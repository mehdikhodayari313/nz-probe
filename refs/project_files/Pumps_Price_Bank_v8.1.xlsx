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10.xml.rels" ContentType="application/vnd.openxmlformats-package.relationships+xml"/>
  <Override PartName="/xl/worksheets/_rels/sheet11.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tables/table1.xml" ContentType="application/vnd.openxmlformats-officedocument.spreadsheetml.table+xml"/>
  <Override PartName="/xl/tables/table2.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15.xml" ContentType="application/vnd.openxmlformats-officedocument.spreadsheetml.table+xml"/>
  <Override PartName="/xl/tables/table4.xml" ContentType="application/vnd.openxmlformats-officedocument.spreadsheetml.table+xml"/>
  <Override PartName="/xl/tables/table14.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Guide" sheetId="1" state="visible" r:id="rId3"/>
    <sheet name="Executive Dashboard" sheetId="2" state="visible" r:id="rId4"/>
    <sheet name="Master Database" sheetId="3" state="visible" r:id="rId5"/>
    <sheet name="Estimator" sheetId="4" state="visible" r:id="rId6"/>
    <sheet name="Search" sheetId="5" state="visible" r:id="rId7"/>
    <sheet name="Vendor_Quotes" sheetId="6" state="visible" r:id="rId8"/>
    <sheet name="Vendor_Register" sheetId="7" state="visible" r:id="rId9"/>
    <sheet name="Factors_ROT" sheetId="8" state="visible" r:id="rId10"/>
    <sheet name="Lookup_Codes" sheetId="9" state="visible" r:id="rId11"/>
    <sheet name="Escalation_Index" sheetId="10" state="visible" r:id="rId12"/>
    <sheet name="Assumptions &amp; FX Reference" sheetId="11" state="visible" r:id="rId13"/>
    <sheet name="Verification_Log" sheetId="12" state="visible" r:id="rId14"/>
    <sheet name="App_Meta" sheetId="13" state="visible" r:id="rId15"/>
    <sheet name="Data_Dictionary" sheetId="14" state="visible" r:id="rId16"/>
    <sheet name="Calc_Spec" sheetId="15" state="visible" r:id="rId17"/>
    <sheet name="Evidence" sheetId="16" state="visible" r:id="rId18"/>
    <sheet name="Test_Cases" sheetId="17" state="visible" r:id="rId19"/>
    <sheet name="Change_Log" sheetId="18" state="visible" r:id="rId2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FreeSans"/>
            <family val="2"/>
          </rPr>
          <t xml:space="preserve">سال هدف تعدیل </t>
        </r>
        <r>
          <rPr>
            <sz val="10"/>
            <rFont val="Arial"/>
            <family val="2"/>
          </rPr>
          <t xml:space="preserve">(</t>
        </r>
        <r>
          <rPr>
            <sz val="10"/>
            <rFont val="FreeSans"/>
            <family val="2"/>
          </rPr>
          <t xml:space="preserve">قابل تغییر در شیت </t>
        </r>
        <r>
          <rPr>
            <sz val="10"/>
            <rFont val="Arial"/>
            <family val="2"/>
          </rPr>
          <t xml:space="preserve">Assumptions &amp; FX Reference</t>
        </r>
        <r>
          <rPr>
            <sz val="10"/>
            <rFont val="FreeSans"/>
            <family val="2"/>
          </rPr>
          <t xml:space="preserve">، سلول I5).</t>
        </r>
      </text>
    </comment>
    <comment ref="A6" authorId="0">
      <text>
        <r>
          <rPr>
            <sz val="10"/>
            <rFont val="FreeSans"/>
            <family val="2"/>
          </rPr>
          <t xml:space="preserve">۱</t>
        </r>
        <r>
          <rPr>
            <sz val="10"/>
            <rFont val="Arial"/>
            <family val="2"/>
          </rPr>
          <t xml:space="preserve">) </t>
        </r>
        <r>
          <rPr>
            <sz val="10"/>
            <rFont val="FreeSans"/>
            <family val="2"/>
          </rPr>
          <t xml:space="preserve">زیرگروه‌های پمپ</t>
        </r>
      </text>
    </comment>
    <comment ref="A7" authorId="0">
      <text>
        <r>
          <rPr>
            <sz val="10"/>
            <rFont val="FreeSans"/>
            <family val="2"/>
          </rPr>
          <t xml:space="preserve">کد زیرگروه</t>
        </r>
      </text>
    </comment>
    <comment ref="A16" authorId="0">
      <text>
        <r>
          <rPr>
            <sz val="10"/>
            <rFont val="FreeSans"/>
            <family val="2"/>
          </rPr>
          <t xml:space="preserve">۲</t>
        </r>
        <r>
          <rPr>
            <sz val="10"/>
            <rFont val="Arial"/>
            <family val="2"/>
          </rPr>
          <t xml:space="preserve">) </t>
        </r>
        <r>
          <rPr>
            <sz val="10"/>
            <rFont val="FreeSans"/>
            <family val="2"/>
          </rPr>
          <t xml:space="preserve">کلاس‌های متریال </t>
        </r>
        <r>
          <rPr>
            <sz val="10"/>
            <rFont val="Arial"/>
            <family val="2"/>
          </rPr>
          <t xml:space="preserve">API 610 (</t>
        </r>
        <r>
          <rPr>
            <sz val="10"/>
            <rFont val="FreeSans"/>
            <family val="2"/>
          </rPr>
          <t xml:space="preserve">جدول </t>
        </r>
        <r>
          <rPr>
            <sz val="10"/>
            <rFont val="Arial"/>
            <family val="2"/>
          </rPr>
          <t xml:space="preserve">H.1)</t>
        </r>
      </text>
    </comment>
    <comment ref="A17" authorId="0">
      <text>
        <r>
          <rPr>
            <sz val="10"/>
            <rFont val="FreeSans"/>
            <family val="2"/>
          </rPr>
          <t xml:space="preserve">کلاس متریال</t>
        </r>
      </text>
    </comment>
    <comment ref="A18" authorId="0">
      <text>
        <r>
          <rPr>
            <sz val="10"/>
            <rFont val="Arial"/>
            <family val="2"/>
          </rPr>
          <t xml:space="preserve">I-1: </t>
        </r>
        <r>
          <rPr>
            <sz val="10"/>
            <rFont val="FreeSans"/>
            <family val="2"/>
          </rPr>
          <t xml:space="preserve">بدنه چدن، پروانه چدن؛ رینگ چدن؛ شفت فولاد کربنی</t>
        </r>
        <r>
          <rPr>
            <sz val="10"/>
            <rFont val="Arial"/>
            <family val="2"/>
          </rPr>
          <t xml:space="preserve">.
</t>
        </r>
        <r>
          <rPr>
            <sz val="10"/>
            <rFont val="FreeSans"/>
            <family val="2"/>
          </rPr>
          <t xml:space="preserve">کاربرد معمول: آب و سرویس غیرخورنده، دمای پایین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19"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0" authorId="0">
      <text>
        <r>
          <rPr>
            <sz val="10"/>
            <rFont val="Arial"/>
            <family val="2"/>
          </rPr>
          <t xml:space="preserve">S-1: </t>
        </r>
        <r>
          <rPr>
            <sz val="10"/>
            <rFont val="FreeSans"/>
            <family val="2"/>
          </rPr>
          <t xml:space="preserve">بدنه فولاد کربنی، پروانه چدن؛ رینگ چدن؛ شفت فولاد کربنی</t>
        </r>
        <r>
          <rPr>
            <sz val="10"/>
            <rFont val="Arial"/>
            <family val="2"/>
          </rPr>
          <t xml:space="preserve">.
</t>
        </r>
        <r>
          <rPr>
            <sz val="10"/>
            <rFont val="FreeSans"/>
            <family val="2"/>
          </rPr>
          <t xml:space="preserve">کاربرد معمول: هیدروکربن غیرخورنده</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1" authorId="0">
      <text>
        <r>
          <rPr>
            <sz val="10"/>
            <rFont val="Arial"/>
            <family val="2"/>
          </rPr>
          <t xml:space="preserve">S-3: </t>
        </r>
        <r>
          <rPr>
            <sz val="10"/>
            <rFont val="FreeSans"/>
            <family val="2"/>
          </rPr>
          <t xml:space="preserve">بدنه فولاد کربنی، پروانه نی‌رزیست (چدن آلیاژی نیکل‌دار)؛ رینگ نی‌رزیست؛ شفت </t>
        </r>
        <r>
          <rPr>
            <sz val="10"/>
            <rFont val="Arial"/>
            <family val="2"/>
          </rPr>
          <t xml:space="preserve">AISI 4140.
</t>
        </r>
        <r>
          <rPr>
            <sz val="10"/>
            <rFont val="FreeSans"/>
            <family val="2"/>
          </rPr>
          <t xml:space="preserve">کاربرد معمول: سرویس‌های با سایش یا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2" authorId="0">
      <text>
        <r>
          <rPr>
            <sz val="10"/>
            <rFont val="Arial"/>
            <family val="2"/>
          </rPr>
          <t xml:space="preserve">S-4: </t>
        </r>
        <r>
          <rPr>
            <sz val="10"/>
            <rFont val="FreeSans"/>
            <family val="2"/>
          </rPr>
          <t xml:space="preserve">بدنه فولاد کربنی، پروانه فولاد کربنی؛ رینگ چدن؛ شفت فولاد کربنی</t>
        </r>
        <r>
          <rPr>
            <sz val="10"/>
            <rFont val="Arial"/>
            <family val="2"/>
          </rPr>
          <t xml:space="preserve">.
</t>
        </r>
        <r>
          <rPr>
            <sz val="10"/>
            <rFont val="FreeSans"/>
            <family val="2"/>
          </rPr>
          <t xml:space="preserve">کاربرد معمول: هیدروکربن عمومی</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3" authorId="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 xml:space="preserve">کاربرد معمول: هیدروکربن عمومی و داغ</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4"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5" authorId="0">
      <text>
        <r>
          <rPr>
            <sz val="10"/>
            <rFont val="Arial"/>
            <family val="2"/>
          </rPr>
          <t xml:space="preserve">S-8: </t>
        </r>
        <r>
          <rPr>
            <sz val="10"/>
            <rFont val="FreeSans"/>
            <family val="2"/>
          </rPr>
          <t xml:space="preserve">بدنه فولاد کربنی، پروانه فولاد ضدزنگ </t>
        </r>
        <r>
          <rPr>
            <sz val="10"/>
            <rFont val="Arial"/>
            <family val="2"/>
          </rPr>
          <t xml:space="preserve">316</t>
        </r>
        <r>
          <rPr>
            <sz val="10"/>
            <rFont val="FreeSans"/>
            <family val="2"/>
          </rPr>
          <t xml:space="preserve">؛ رینگ </t>
        </r>
        <r>
          <rPr>
            <sz val="10"/>
            <rFont val="Arial"/>
            <family val="2"/>
          </rPr>
          <t xml:space="preserve">316 با روکش سخت؛ شفت 316.
</t>
        </r>
        <r>
          <rPr>
            <sz val="10"/>
            <rFont val="FreeSans"/>
            <family val="2"/>
          </rPr>
          <t xml:space="preserve">کاربرد معمول: سرویس‌های خورنده‌تر</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6" authorId="0">
      <text>
        <r>
          <rPr>
            <sz val="10"/>
            <rFont val="Arial"/>
            <family val="2"/>
          </rPr>
          <t xml:space="preserve">S-9: </t>
        </r>
        <r>
          <rPr>
            <sz val="10"/>
            <rFont val="FreeSans"/>
            <family val="2"/>
          </rPr>
          <t xml:space="preserve">بدنه فولاد کربنی، پروانه آلیاژ نیکل‌-مس؛ رینگ نیکل‌-مس؛ شفت نیکل‌-مس</t>
        </r>
        <r>
          <rPr>
            <sz val="10"/>
            <rFont val="Arial"/>
            <family val="2"/>
          </rPr>
          <t xml:space="preserve">.
</t>
        </r>
        <r>
          <rPr>
            <sz val="10"/>
            <rFont val="FreeSans"/>
            <family val="2"/>
          </rPr>
          <t xml:space="preserve">کاربرد معمول: سرویس‌های خاص خورنده</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7" authorId="0">
      <text>
        <r>
          <rPr>
            <sz val="10"/>
            <rFont val="Arial"/>
            <family val="2"/>
          </rPr>
          <t xml:space="preserve">C-6: </t>
        </r>
        <r>
          <rPr>
            <sz val="10"/>
            <rFont val="FreeSans"/>
            <family val="2"/>
          </rPr>
          <t xml:space="preserve">بدنه کروم ۱۲٪، پروانه کروم ۱۲٪؛ رینگ کروم ۱۲٪ سخت‌شده؛ شفت کروم ۱۲٪</t>
        </r>
        <r>
          <rPr>
            <sz val="10"/>
            <rFont val="Arial"/>
            <family val="2"/>
          </rPr>
          <t xml:space="preserve">.
</t>
        </r>
        <r>
          <rPr>
            <sz val="10"/>
            <rFont val="FreeSans"/>
            <family val="2"/>
          </rPr>
          <t xml:space="preserve">کاربرد معمول: آب داغ (تغذیه بویلر) و هیدروکربن داغ</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8" authorId="0">
      <text>
        <r>
          <rPr>
            <sz val="10"/>
            <rFont val="Arial"/>
            <family val="2"/>
          </rPr>
          <t xml:space="preserve">A-7: </t>
        </r>
        <r>
          <rPr>
            <sz val="10"/>
            <rFont val="FreeSans"/>
            <family val="2"/>
          </rPr>
          <t xml:space="preserve">بدنه فولاد ضدزنگ آستنیتی، پروانه فولاد ضدزنگ آستنیتی؛ رینگ با روکش سخت؛ شفت آستنیتی</t>
        </r>
        <r>
          <rPr>
            <sz val="10"/>
            <rFont val="Arial"/>
            <family val="2"/>
          </rPr>
          <t xml:space="preserve">.
</t>
        </r>
        <r>
          <rPr>
            <sz val="10"/>
            <rFont val="FreeSans"/>
            <family val="2"/>
          </rPr>
          <t xml:space="preserve">کاربرد معمول: خوردگی بالا و دمای پایین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29" authorId="0">
      <text>
        <r>
          <rPr>
            <sz val="10"/>
            <rFont val="Arial"/>
            <family val="2"/>
          </rPr>
          <t xml:space="preserve">A-8: </t>
        </r>
        <r>
          <rPr>
            <sz val="10"/>
            <rFont val="FreeSans"/>
            <family val="2"/>
          </rPr>
          <t xml:space="preserve">بدنه فولاد ضدزنگ </t>
        </r>
        <r>
          <rPr>
            <sz val="10"/>
            <rFont val="Arial"/>
            <family val="2"/>
          </rPr>
          <t xml:space="preserve">316</t>
        </r>
        <r>
          <rPr>
            <sz val="10"/>
            <rFont val="FreeSans"/>
            <family val="2"/>
          </rPr>
          <t xml:space="preserve">، پروانه فولاد ضدزنگ </t>
        </r>
        <r>
          <rPr>
            <sz val="10"/>
            <rFont val="Arial"/>
            <family val="2"/>
          </rPr>
          <t xml:space="preserve">316</t>
        </r>
        <r>
          <rPr>
            <sz val="10"/>
            <rFont val="FreeSans"/>
            <family val="2"/>
          </rPr>
          <t xml:space="preserve">؛ رینگ با روکش سخت؛ شفت </t>
        </r>
        <r>
          <rPr>
            <sz val="10"/>
            <rFont val="Arial"/>
            <family val="2"/>
          </rPr>
          <t xml:space="preserve">316.
</t>
        </r>
        <r>
          <rPr>
            <sz val="10"/>
            <rFont val="FreeSans"/>
            <family val="2"/>
          </rPr>
          <t xml:space="preserve">کاربرد معمول: سرویس‌های خورنده</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30"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31"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32" authorId="0">
      <text>
        <r>
          <rPr>
            <sz val="10"/>
            <rFont val="Arial"/>
            <family val="2"/>
          </rPr>
          <t xml:space="preserve">SS316L (non-API): </t>
        </r>
        <r>
          <rPr>
            <sz val="10"/>
            <rFont val="FreeSans"/>
            <family val="2"/>
          </rPr>
          <t xml:space="preserve">بدنه فولاد ضدزنگ </t>
        </r>
        <r>
          <rPr>
            <sz val="10"/>
            <rFont val="Arial"/>
            <family val="2"/>
          </rPr>
          <t xml:space="preserve">316L</t>
        </r>
        <r>
          <rPr>
            <sz val="10"/>
            <rFont val="FreeSans"/>
            <family val="2"/>
          </rPr>
          <t xml:space="preserve">، پروانه فولاد ضدزنگ </t>
        </r>
        <r>
          <rPr>
            <sz val="10"/>
            <rFont val="Arial"/>
            <family val="2"/>
          </rPr>
          <t xml:space="preserve">316L</t>
        </r>
        <r>
          <rPr>
            <sz val="10"/>
            <rFont val="FreeSans"/>
            <family val="2"/>
          </rPr>
          <t xml:space="preserve">؛ —</t>
        </r>
        <r>
          <rPr>
            <sz val="10"/>
            <rFont val="Arial"/>
            <family val="2"/>
          </rPr>
          <t xml:space="preserve">.
</t>
        </r>
        <r>
          <rPr>
            <sz val="10"/>
            <rFont val="FreeSans"/>
            <family val="2"/>
          </rPr>
          <t xml:space="preserve">کاربرد معمول: ساخت غیر </t>
        </r>
        <r>
          <rPr>
            <sz val="10"/>
            <rFont val="Arial"/>
            <family val="2"/>
          </rPr>
          <t xml:space="preserve">API (</t>
        </r>
        <r>
          <rPr>
            <sz val="10"/>
            <rFont val="FreeSans"/>
            <family val="2"/>
          </rPr>
          <t xml:space="preserve">مثلاً پمپ بشکه‌ای پرتابل</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A33" authorId="0">
      <text>
        <r>
          <rPr>
            <sz val="10"/>
            <rFont val="FreeSans"/>
            <family val="2"/>
          </rPr>
          <t xml:space="preserve">کلاس متریال در منبع ذکر نشده است</t>
        </r>
        <r>
          <rPr>
            <sz val="10"/>
            <rFont val="Arial"/>
            <family val="2"/>
          </rPr>
          <t xml:space="preserve">.</t>
        </r>
      </text>
    </comment>
    <comment ref="A36" authorId="0">
      <text>
        <r>
          <rPr>
            <sz val="10"/>
            <rFont val="FreeSans"/>
            <family val="2"/>
          </rPr>
          <t xml:space="preserve">۳</t>
        </r>
        <r>
          <rPr>
            <sz val="10"/>
            <rFont val="Arial"/>
            <family val="2"/>
          </rPr>
          <t xml:space="preserve">) </t>
        </r>
        <r>
          <rPr>
            <sz val="10"/>
            <rFont val="FreeSans"/>
            <family val="2"/>
          </rPr>
          <t xml:space="preserve">انواع پمپ طبق </t>
        </r>
        <r>
          <rPr>
            <sz val="10"/>
            <rFont val="Arial"/>
            <family val="2"/>
          </rPr>
          <t xml:space="preserve">API 610</t>
        </r>
      </text>
    </comment>
    <comment ref="A37" authorId="0">
      <text>
        <r>
          <rPr>
            <sz val="10"/>
            <rFont val="FreeSans"/>
            <family val="2"/>
          </rPr>
          <t xml:space="preserve">کد نوع پمپ</t>
        </r>
        <r>
          <rPr>
            <sz val="10"/>
            <rFont val="Arial"/>
            <family val="2"/>
          </rPr>
          <t xml:space="preserve">: OH = </t>
        </r>
        <r>
          <rPr>
            <sz val="10"/>
            <rFont val="FreeSans"/>
            <family val="2"/>
          </rPr>
          <t xml:space="preserve">پروانه آویزان </t>
        </r>
        <r>
          <rPr>
            <sz val="10"/>
            <rFont val="Arial"/>
            <family val="2"/>
          </rPr>
          <t xml:space="preserve">(Overhung)</t>
        </r>
        <r>
          <rPr>
            <sz val="10"/>
            <rFont val="FreeSans"/>
            <family val="2"/>
          </rPr>
          <t xml:space="preserve">، </t>
        </r>
        <r>
          <rPr>
            <sz val="10"/>
            <rFont val="Arial"/>
            <family val="2"/>
          </rPr>
          <t xml:space="preserve">BB = </t>
        </r>
        <r>
          <rPr>
            <sz val="10"/>
            <rFont val="FreeSans"/>
            <family val="2"/>
          </rPr>
          <t xml:space="preserve">بین دو یاتاقان </t>
        </r>
        <r>
          <rPr>
            <sz val="10"/>
            <rFont val="Arial"/>
            <family val="2"/>
          </rPr>
          <t xml:space="preserve">(Between Bearings)</t>
        </r>
        <r>
          <rPr>
            <sz val="10"/>
            <rFont val="FreeSans"/>
            <family val="2"/>
          </rPr>
          <t xml:space="preserve">، </t>
        </r>
        <r>
          <rPr>
            <sz val="10"/>
            <rFont val="Arial"/>
            <family val="2"/>
          </rPr>
          <t xml:space="preserve">VS = </t>
        </r>
        <r>
          <rPr>
            <sz val="10"/>
            <rFont val="FreeSans"/>
            <family val="2"/>
          </rPr>
          <t xml:space="preserve">عمودی آویزان </t>
        </r>
        <r>
          <rPr>
            <sz val="10"/>
            <rFont val="Arial"/>
            <family val="2"/>
          </rPr>
          <t xml:space="preserve">(Vertically Suspended)</t>
        </r>
      </text>
    </comment>
    <comment ref="A38" authorId="0">
      <text>
        <r>
          <rPr>
            <sz val="10"/>
            <rFont val="Arial"/>
            <family val="2"/>
          </rPr>
          <t xml:space="preserve">OH1 – Overhung, foot-mounted:
</t>
        </r>
        <r>
          <rPr>
            <sz val="10"/>
            <rFont val="FreeSans"/>
            <family val="2"/>
          </rPr>
          <t xml:space="preserve">یک‌مرحله‌ای، پروانه آویزان </t>
        </r>
        <r>
          <rPr>
            <sz val="10"/>
            <rFont val="Arial"/>
            <family val="2"/>
          </rPr>
          <t xml:space="preserve">(Overhung)</t>
        </r>
        <r>
          <rPr>
            <sz val="10"/>
            <rFont val="FreeSans"/>
            <family val="2"/>
          </rPr>
          <t xml:space="preserve">، پایه‌دار زیر بدنه؛ برای دما و فشار متوسط</t>
        </r>
      </text>
    </comment>
    <comment ref="A39"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A40" authorId="0">
      <text>
        <r>
          <rPr>
            <sz val="10"/>
            <rFont val="Arial"/>
            <family val="2"/>
          </rPr>
          <t xml:space="preserve">OH3 – Vertical in-line, separate bearing bracket:
</t>
        </r>
        <r>
          <rPr>
            <sz val="10"/>
            <rFont val="FreeSans"/>
            <family val="2"/>
          </rPr>
          <t xml:space="preserve">عمودی خطی </t>
        </r>
        <r>
          <rPr>
            <sz val="10"/>
            <rFont val="Arial"/>
            <family val="2"/>
          </rPr>
          <t xml:space="preserve">(In-line) </t>
        </r>
        <r>
          <rPr>
            <sz val="10"/>
            <rFont val="FreeSans"/>
            <family val="2"/>
          </rPr>
          <t xml:space="preserve">با یاتاقان مستقل از موتور</t>
        </r>
      </text>
    </comment>
    <comment ref="A41" authorId="0">
      <text>
        <r>
          <rPr>
            <sz val="10"/>
            <rFont val="Arial"/>
            <family val="2"/>
          </rPr>
          <t xml:space="preserve">OH4 – Vertical in-line, rigidly coupled:
</t>
        </r>
        <r>
          <rPr>
            <sz val="10"/>
            <rFont val="FreeSans"/>
            <family val="2"/>
          </rPr>
          <t xml:space="preserve">عمودی خطی با کوپلینگ صلب</t>
        </r>
      </text>
    </comment>
    <comment ref="A42" authorId="0">
      <text>
        <r>
          <rPr>
            <sz val="10"/>
            <rFont val="Arial"/>
            <family val="2"/>
          </rPr>
          <t xml:space="preserve">OH5 – Vertical in-line, close-coupled:
</t>
        </r>
        <r>
          <rPr>
            <sz val="10"/>
            <rFont val="FreeSans"/>
            <family val="2"/>
          </rPr>
          <t xml:space="preserve">عمودی خطی، پروانه مستقیم روی شفت موتور</t>
        </r>
      </text>
    </comment>
    <comment ref="A43" authorId="0">
      <text>
        <r>
          <rPr>
            <sz val="10"/>
            <rFont val="Arial"/>
            <family val="2"/>
          </rPr>
          <t xml:space="preserve">OH6 – High-speed integral gear:
</t>
        </r>
        <r>
          <rPr>
            <sz val="10"/>
            <rFont val="FreeSans"/>
            <family val="2"/>
          </rPr>
          <t xml:space="preserve">پروانه پرسرعت با گیربکس یکپارچه؛ دبی کم و هد بالا</t>
        </r>
      </text>
    </comment>
    <comment ref="A44" authorId="0">
      <text>
        <r>
          <rPr>
            <sz val="10"/>
            <rFont val="Arial"/>
            <family val="2"/>
          </rPr>
          <t xml:space="preserve">BB1 – Between bearings, 1–2 stage, axially split:
</t>
        </r>
        <r>
          <rPr>
            <sz val="10"/>
            <rFont val="FreeSans"/>
            <family val="2"/>
          </rPr>
          <t xml:space="preserve">بین دو یاتاقان، یک یا دو مرحله، بدنه دوتکه افقی</t>
        </r>
      </text>
    </comment>
    <comment ref="A45" authorId="0">
      <text>
        <r>
          <rPr>
            <sz val="10"/>
            <rFont val="Arial"/>
            <family val="2"/>
          </rPr>
          <t xml:space="preserve">BB2 – Between bearings, 1–2 stage, radially split:
</t>
        </r>
        <r>
          <rPr>
            <sz val="10"/>
            <rFont val="FreeSans"/>
            <family val="2"/>
          </rPr>
          <t xml:space="preserve">بین دو یاتاقان، یک یا دو مرحله، بدنه شعاعی؛ دما و فشار بالا</t>
        </r>
      </text>
    </comment>
    <comment ref="A46" authorId="0">
      <text>
        <r>
          <rPr>
            <sz val="10"/>
            <rFont val="Arial"/>
            <family val="2"/>
          </rPr>
          <t xml:space="preserve">BB3 – Between bearings, multistage, axially split:
</t>
        </r>
        <r>
          <rPr>
            <sz val="10"/>
            <rFont val="FreeSans"/>
            <family val="2"/>
          </rPr>
          <t xml:space="preserve">چندمرحله‌ای، بدنه دوتکه افقی؛ تزریق آب و انتقال پرفشار</t>
        </r>
      </text>
    </comment>
    <comment ref="A47" authorId="0">
      <text>
        <r>
          <rPr>
            <sz val="10"/>
            <rFont val="Arial"/>
            <family val="2"/>
          </rPr>
          <t xml:space="preserve">BB4 – Between bearings, multistage, single casing radially split:
</t>
        </r>
        <r>
          <rPr>
            <sz val="10"/>
            <rFont val="FreeSans"/>
            <family val="2"/>
          </rPr>
          <t xml:space="preserve">چندمرحله‌ای حلقه‌ای </t>
        </r>
        <r>
          <rPr>
            <sz val="10"/>
            <rFont val="Arial"/>
            <family val="2"/>
          </rPr>
          <t xml:space="preserve">(Ring-section) </t>
        </r>
        <r>
          <rPr>
            <sz val="10"/>
            <rFont val="FreeSans"/>
            <family val="2"/>
          </rPr>
          <t xml:space="preserve">تک‌بدنه</t>
        </r>
      </text>
    </comment>
    <comment ref="A48" authorId="0">
      <text>
        <r>
          <rPr>
            <sz val="10"/>
            <rFont val="Arial"/>
            <family val="2"/>
          </rPr>
          <t xml:space="preserve">BB5 – Between bearings, multistage, double casing (barrel):
</t>
        </r>
        <r>
          <rPr>
            <sz val="10"/>
            <rFont val="FreeSans"/>
            <family val="2"/>
          </rPr>
          <t xml:space="preserve">چندمرحله‌ای دوبدنه </t>
        </r>
        <r>
          <rPr>
            <sz val="10"/>
            <rFont val="Arial"/>
            <family val="2"/>
          </rPr>
          <t xml:space="preserve">(Barrel)</t>
        </r>
        <r>
          <rPr>
            <sz val="10"/>
            <rFont val="FreeSans"/>
            <family val="2"/>
          </rPr>
          <t xml:space="preserve">؛ سخت‌ترین سرویس‌های پرفشار</t>
        </r>
      </text>
    </comment>
    <comment ref="A49" authorId="0">
      <text>
        <r>
          <rPr>
            <sz val="10"/>
            <rFont val="Arial"/>
            <family val="2"/>
          </rPr>
          <t xml:space="preserve">VS1 – Vertically suspended, diffuser, discharge through column:
</t>
        </r>
        <r>
          <rPr>
            <sz val="10"/>
            <rFont val="FreeSans"/>
            <family val="2"/>
          </rPr>
          <t xml:space="preserve">عمودی آویزان در چاهک، دیفیوزری، خروجی از داخل ستون</t>
        </r>
      </text>
    </comment>
    <comment ref="A50" authorId="0">
      <text>
        <r>
          <rPr>
            <sz val="10"/>
            <rFont val="Arial"/>
            <family val="2"/>
          </rPr>
          <t xml:space="preserve">VS2 – Vertically suspended, volute, discharge through column:
</t>
        </r>
        <r>
          <rPr>
            <sz val="10"/>
            <rFont val="FreeSans"/>
            <family val="2"/>
          </rPr>
          <t xml:space="preserve">عمودی آویزان، حلزونی، خروجی از داخل ستون</t>
        </r>
      </text>
    </comment>
    <comment ref="A51" authorId="0">
      <text>
        <r>
          <rPr>
            <sz val="10"/>
            <rFont val="Arial"/>
            <family val="2"/>
          </rPr>
          <t xml:space="preserve">VS3 – Vertically suspended, axial flow:
</t>
        </r>
        <r>
          <rPr>
            <sz val="10"/>
            <rFont val="FreeSans"/>
            <family val="2"/>
          </rPr>
          <t xml:space="preserve">عمودی آویزان، جریان محوری؛ دبی زیاد و هد کم</t>
        </r>
      </text>
    </comment>
    <comment ref="A52" authorId="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 xml:space="preserve">Flare KO</t>
        </r>
      </text>
    </comment>
    <comment ref="A53" authorId="0">
      <text>
        <r>
          <rPr>
            <sz val="10"/>
            <rFont val="Arial"/>
            <family val="2"/>
          </rPr>
          <t xml:space="preserve">VS5 – Vertically suspended, cantilever sump:
</t>
        </r>
        <r>
          <rPr>
            <sz val="10"/>
            <rFont val="FreeSans"/>
            <family val="2"/>
          </rPr>
          <t xml:space="preserve">پمپ عمودی </t>
        </r>
        <r>
          <rPr>
            <sz val="10"/>
            <rFont val="Arial"/>
            <family val="2"/>
          </rPr>
          <t xml:space="preserve">Sump </t>
        </r>
        <r>
          <rPr>
            <sz val="10"/>
            <rFont val="FreeSans"/>
            <family val="2"/>
          </rPr>
          <t xml:space="preserve">کنسولی بدون یاتاقان غوطه‌ور</t>
        </r>
      </text>
    </comment>
    <comment ref="A54" authorId="0">
      <text>
        <r>
          <rPr>
            <sz val="10"/>
            <rFont val="Arial"/>
            <family val="2"/>
          </rPr>
          <t xml:space="preserve">VS6 – Vertically suspended, double casing, diffuser (can):
</t>
        </r>
        <r>
          <rPr>
            <sz val="10"/>
            <rFont val="FreeSans"/>
            <family val="2"/>
          </rPr>
          <t xml:space="preserve">عمودی دوبدنه در قوطی </t>
        </r>
        <r>
          <rPr>
            <sz val="10"/>
            <rFont val="Arial"/>
            <family val="2"/>
          </rPr>
          <t xml:space="preserve">(Can)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 xml:space="preserve">و مایعات نزدیک نقطه جوش</t>
        </r>
      </text>
    </comment>
    <comment ref="A55" authorId="0">
      <text>
        <r>
          <rPr>
            <sz val="10"/>
            <rFont val="Arial"/>
            <family val="2"/>
          </rPr>
          <t xml:space="preserve">VS7 – Vertically suspended, double casing, volute:
</t>
        </r>
        <r>
          <rPr>
            <sz val="10"/>
            <rFont val="FreeSans"/>
            <family val="2"/>
          </rPr>
          <t xml:space="preserve">عمودی دوبدنه حلزونی</t>
        </r>
      </text>
    </comment>
    <comment ref="A56" authorId="0">
      <text>
        <r>
          <rPr>
            <sz val="10"/>
            <rFont val="Arial"/>
            <family val="2"/>
          </rPr>
          <t xml:space="preserve">OH (unspecified) – Overhung – subtype not stated:
</t>
        </r>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A57" authorId="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A58" authorId="0">
      <text>
        <r>
          <rPr>
            <sz val="10"/>
            <rFont val="Arial"/>
            <family val="2"/>
          </rPr>
          <t xml:space="preserve">VS (unspecified) – Vertically suspended – subtype not stated:
</t>
        </r>
        <r>
          <rPr>
            <sz val="10"/>
            <rFont val="FreeSans"/>
            <family val="2"/>
          </rPr>
          <t xml:space="preserve">منبع فقط </t>
        </r>
        <r>
          <rPr>
            <sz val="10"/>
            <rFont val="Arial"/>
            <family val="2"/>
          </rPr>
          <t xml:space="preserve">«Vertical» </t>
        </r>
        <r>
          <rPr>
            <sz val="10"/>
            <rFont val="FreeSans"/>
            <family val="2"/>
          </rPr>
          <t xml:space="preserve">گفته</t>
        </r>
      </text>
    </comment>
    <comment ref="A59"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A60" authorId="0">
      <text>
        <r>
          <rPr>
            <sz val="10"/>
            <rFont val="Arial"/>
            <family val="2"/>
          </rPr>
          <t xml:space="preserve">Not stated – —:
</t>
        </r>
        <r>
          <rPr>
            <sz val="10"/>
            <rFont val="FreeSans"/>
            <family val="2"/>
          </rPr>
          <t xml:space="preserve">نوع پمپ در منبع ذکر نشده</t>
        </r>
      </text>
    </comment>
    <comment ref="A63" authorId="0">
      <text>
        <r>
          <rPr>
            <sz val="10"/>
            <rFont val="FreeSans"/>
            <family val="2"/>
          </rPr>
          <t xml:space="preserve">۴</t>
        </r>
        <r>
          <rPr>
            <sz val="10"/>
            <rFont val="Arial"/>
            <family val="2"/>
          </rPr>
          <t xml:space="preserve">) Incoterm – </t>
        </r>
        <r>
          <rPr>
            <sz val="10"/>
            <rFont val="FreeSans"/>
            <family val="2"/>
          </rPr>
          <t xml:space="preserve">شرط تحویل قیمت‌ها و آنچه قیمت شامل می‌شود</t>
        </r>
      </text>
    </comment>
    <comment ref="A64" authorId="0">
      <text>
        <r>
          <rPr>
            <sz val="10"/>
            <rFont val="FreeSans"/>
            <family val="2"/>
          </rPr>
          <t xml:space="preserve">کد شرط تحویل</t>
        </r>
      </text>
    </comment>
    <comment ref="A65" authorId="0">
      <text>
        <r>
          <rPr>
            <sz val="10"/>
            <rFont val="FreeSans"/>
            <family val="2"/>
          </rPr>
          <t xml:space="preserve">تحویل درب کارخانه؛ همه هزینه‌های حمل، بیمه، گمرک و ترخیص با خریدار</t>
        </r>
      </text>
    </comment>
    <comment ref="A66" authorId="0">
      <text>
        <r>
          <rPr>
            <sz val="10"/>
            <rFont val="FreeSans"/>
            <family val="2"/>
          </rPr>
          <t xml:space="preserve">تحویل به حمل‌کننده خریدار در محل تعیین‌شده</t>
        </r>
      </text>
    </comment>
    <comment ref="A67" authorId="0">
      <text>
        <r>
          <rPr>
            <sz val="10"/>
            <rFont val="FreeSans"/>
            <family val="2"/>
          </rPr>
          <t xml:space="preserve">تحویل روی کشتی در بندر مبدأ؛ کرایه حمل دریایی، بیمه و هزینه‌های ورود با خریدار</t>
        </r>
      </text>
    </comment>
    <comment ref="A68" authorId="0">
      <text>
        <r>
          <rPr>
            <sz val="10"/>
            <rFont val="FreeSans"/>
            <family val="2"/>
          </rPr>
          <t xml:space="preserve">فروشنده کرایه حمل تا بندر مقصد را می‌پردازد؛ بیمه با خریدار</t>
        </r>
      </text>
    </comment>
    <comment ref="A69" authorId="0">
      <text>
        <r>
          <rPr>
            <sz val="10"/>
            <rFont val="FreeSans"/>
            <family val="2"/>
          </rPr>
          <t xml:space="preserve">فروشنده کرایه حمل و بیمه تا بندر مقصد را می‌پردازد</t>
        </r>
      </text>
    </comment>
    <comment ref="A70" authorId="0">
      <text>
        <r>
          <rPr>
            <sz val="10"/>
            <rFont val="FreeSans"/>
            <family val="2"/>
          </rPr>
          <t xml:space="preserve">تحویل در مقصد تعیین‌شده (مثلاً سایت)؛ حقوق ورودی و ترخیص با خریدار</t>
        </r>
      </text>
    </comment>
    <comment ref="A71" authorId="0">
      <text>
        <r>
          <rPr>
            <sz val="10"/>
            <rFont val="FreeSans"/>
            <family val="2"/>
          </rPr>
          <t xml:space="preserve">تحویل در مقصد با پرداخت همه عوارض و حقوق گمرکی توسط فروشنده</t>
        </r>
      </text>
    </comment>
    <comment ref="A72" authorId="0">
      <text>
        <r>
          <rPr>
            <sz val="10"/>
            <rFont val="FreeSans"/>
            <family val="2"/>
          </rPr>
          <t xml:space="preserve">خرید داخلی ریالی با تحویل در سایت</t>
        </r>
      </text>
    </comment>
    <comment ref="A73" authorId="0">
      <text>
        <r>
          <rPr>
            <sz val="10"/>
            <rFont val="FreeSans"/>
            <family val="2"/>
          </rPr>
          <t xml:space="preserve">شرط تحویل در منبع ذکر نشده است</t>
        </r>
      </text>
    </comment>
    <comment ref="B7" authorId="0">
      <text>
        <r>
          <rPr>
            <sz val="10"/>
            <rFont val="FreeSans"/>
            <family val="2"/>
          </rPr>
          <t xml:space="preserve">نام کامل زیرگروه</t>
        </r>
      </text>
    </comment>
    <comment ref="B17" authorId="0">
      <text>
        <r>
          <rPr>
            <sz val="10"/>
            <rFont val="FreeSans"/>
            <family val="2"/>
          </rPr>
          <t xml:space="preserve">بدنه</t>
        </r>
      </text>
    </comment>
    <comment ref="B18" authorId="0">
      <text>
        <r>
          <rPr>
            <sz val="10"/>
            <rFont val="FreeSans"/>
            <family val="2"/>
          </rPr>
          <t xml:space="preserve">چدن</t>
        </r>
      </text>
    </comment>
    <comment ref="B19" authorId="0">
      <text>
        <r>
          <rPr>
            <sz val="10"/>
            <rFont val="FreeSans"/>
            <family val="2"/>
          </rPr>
          <t xml:space="preserve">چدن</t>
        </r>
      </text>
    </comment>
    <comment ref="B20" authorId="0">
      <text>
        <r>
          <rPr>
            <sz val="10"/>
            <rFont val="FreeSans"/>
            <family val="2"/>
          </rPr>
          <t xml:space="preserve">فولاد کربنی</t>
        </r>
      </text>
    </comment>
    <comment ref="B21" authorId="0">
      <text>
        <r>
          <rPr>
            <sz val="10"/>
            <rFont val="FreeSans"/>
            <family val="2"/>
          </rPr>
          <t xml:space="preserve">فولاد کربنی</t>
        </r>
      </text>
    </comment>
    <comment ref="B22" authorId="0">
      <text>
        <r>
          <rPr>
            <sz val="10"/>
            <rFont val="FreeSans"/>
            <family val="2"/>
          </rPr>
          <t xml:space="preserve">فولاد کربنی</t>
        </r>
      </text>
    </comment>
    <comment ref="B23" authorId="0">
      <text>
        <r>
          <rPr>
            <sz val="10"/>
            <rFont val="FreeSans"/>
            <family val="2"/>
          </rPr>
          <t xml:space="preserve">فولاد کربنی</t>
        </r>
      </text>
    </comment>
    <comment ref="B24" authorId="0">
      <text>
        <r>
          <rPr>
            <sz val="10"/>
            <rFont val="FreeSans"/>
            <family val="2"/>
          </rPr>
          <t xml:space="preserve">فولاد کربنی</t>
        </r>
      </text>
    </comment>
    <comment ref="B25" authorId="0">
      <text>
        <r>
          <rPr>
            <sz val="10"/>
            <rFont val="FreeSans"/>
            <family val="2"/>
          </rPr>
          <t xml:space="preserve">فولاد کربنی</t>
        </r>
      </text>
    </comment>
    <comment ref="B26" authorId="0">
      <text>
        <r>
          <rPr>
            <sz val="10"/>
            <rFont val="FreeSans"/>
            <family val="2"/>
          </rPr>
          <t xml:space="preserve">فولاد کربنی</t>
        </r>
      </text>
    </comment>
    <comment ref="B27" authorId="0">
      <text>
        <r>
          <rPr>
            <sz val="10"/>
            <rFont val="FreeSans"/>
            <family val="2"/>
          </rPr>
          <t xml:space="preserve">کروم ۱۲٪</t>
        </r>
      </text>
    </comment>
    <comment ref="B28" authorId="0">
      <text>
        <r>
          <rPr>
            <sz val="10"/>
            <rFont val="FreeSans"/>
            <family val="2"/>
          </rPr>
          <t xml:space="preserve">فولاد ضدزنگ آستنیتی</t>
        </r>
      </text>
    </comment>
    <comment ref="B29" authorId="0">
      <text>
        <r>
          <rPr>
            <sz val="10"/>
            <rFont val="FreeSans"/>
            <family val="2"/>
          </rPr>
          <t xml:space="preserve">فولاد ضدزنگ </t>
        </r>
        <r>
          <rPr>
            <sz val="10"/>
            <rFont val="Arial"/>
            <family val="2"/>
          </rPr>
          <t xml:space="preserve">316</t>
        </r>
      </text>
    </comment>
    <comment ref="B30" authorId="0">
      <text>
        <r>
          <rPr>
            <sz val="10"/>
            <rFont val="FreeSans"/>
            <family val="2"/>
          </rPr>
          <t xml:space="preserve">داپلکس</t>
        </r>
      </text>
    </comment>
    <comment ref="B31" authorId="0">
      <text>
        <r>
          <rPr>
            <sz val="10"/>
            <rFont val="FreeSans"/>
            <family val="2"/>
          </rPr>
          <t xml:space="preserve">سوپرداپلکس</t>
        </r>
      </text>
    </comment>
    <comment ref="B32" authorId="0">
      <text>
        <r>
          <rPr>
            <sz val="10"/>
            <rFont val="FreeSans"/>
            <family val="2"/>
          </rPr>
          <t xml:space="preserve">فولاد ضدزنگ </t>
        </r>
        <r>
          <rPr>
            <sz val="10"/>
            <rFont val="Arial"/>
            <family val="2"/>
          </rPr>
          <t xml:space="preserve">316L</t>
        </r>
      </text>
    </comment>
    <comment ref="B33" authorId="0">
      <text>
        <r>
          <rPr>
            <sz val="10"/>
            <rFont val="Arial"/>
            <family val="2"/>
          </rPr>
          <t xml:space="preserve">—</t>
        </r>
      </text>
    </comment>
    <comment ref="B37" authorId="0">
      <text>
        <r>
          <rPr>
            <sz val="10"/>
            <rFont val="FreeSans"/>
            <family val="2"/>
          </rPr>
          <t xml:space="preserve">نام نوع</t>
        </r>
      </text>
    </comment>
    <comment ref="B38" authorId="0">
      <text>
        <r>
          <rPr>
            <sz val="10"/>
            <rFont val="FreeSans"/>
            <family val="2"/>
          </rPr>
          <t xml:space="preserve">یک‌مرحله‌ای، پروانه آویزان </t>
        </r>
        <r>
          <rPr>
            <sz val="10"/>
            <rFont val="Arial"/>
            <family val="2"/>
          </rPr>
          <t xml:space="preserve">(Overhung)</t>
        </r>
        <r>
          <rPr>
            <sz val="10"/>
            <rFont val="FreeSans"/>
            <family val="2"/>
          </rPr>
          <t xml:space="preserve">، پایه‌دار زیر بدنه؛ برای دما و فشار متوسط</t>
        </r>
      </text>
    </comment>
    <comment ref="B39" authorId="0">
      <text>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B40" authorId="0">
      <text>
        <r>
          <rPr>
            <sz val="10"/>
            <rFont val="FreeSans"/>
            <family val="2"/>
          </rPr>
          <t xml:space="preserve">عمودی خطی </t>
        </r>
        <r>
          <rPr>
            <sz val="10"/>
            <rFont val="Arial"/>
            <family val="2"/>
          </rPr>
          <t xml:space="preserve">(In-line) </t>
        </r>
        <r>
          <rPr>
            <sz val="10"/>
            <rFont val="FreeSans"/>
            <family val="2"/>
          </rPr>
          <t xml:space="preserve">با یاتاقان مستقل از موتور</t>
        </r>
      </text>
    </comment>
    <comment ref="B41" authorId="0">
      <text>
        <r>
          <rPr>
            <sz val="10"/>
            <rFont val="FreeSans"/>
            <family val="2"/>
          </rPr>
          <t xml:space="preserve">عمودی خطی با کوپلینگ صلب</t>
        </r>
      </text>
    </comment>
    <comment ref="B42" authorId="0">
      <text>
        <r>
          <rPr>
            <sz val="10"/>
            <rFont val="FreeSans"/>
            <family val="2"/>
          </rPr>
          <t xml:space="preserve">عمودی خطی، پروانه مستقیم روی شفت موتور</t>
        </r>
      </text>
    </comment>
    <comment ref="B43" authorId="0">
      <text>
        <r>
          <rPr>
            <sz val="10"/>
            <rFont val="FreeSans"/>
            <family val="2"/>
          </rPr>
          <t xml:space="preserve">پروانه پرسرعت با گیربکس یکپارچه؛ دبی کم و هد بالا</t>
        </r>
      </text>
    </comment>
    <comment ref="B44" authorId="0">
      <text>
        <r>
          <rPr>
            <sz val="10"/>
            <rFont val="FreeSans"/>
            <family val="2"/>
          </rPr>
          <t xml:space="preserve">بین دو یاتاقان، یک یا دو مرحله، بدنه دوتکه افقی</t>
        </r>
      </text>
    </comment>
    <comment ref="B45" authorId="0">
      <text>
        <r>
          <rPr>
            <sz val="10"/>
            <rFont val="FreeSans"/>
            <family val="2"/>
          </rPr>
          <t xml:space="preserve">بین دو یاتاقان، یک یا دو مرحله، بدنه شعاعی؛ دما و فشار بالا</t>
        </r>
      </text>
    </comment>
    <comment ref="B46" authorId="0">
      <text>
        <r>
          <rPr>
            <sz val="10"/>
            <rFont val="FreeSans"/>
            <family val="2"/>
          </rPr>
          <t xml:space="preserve">چندمرحله‌ای، بدنه دوتکه افقی؛ تزریق آب و انتقال پرفشار</t>
        </r>
      </text>
    </comment>
    <comment ref="B47" authorId="0">
      <text>
        <r>
          <rPr>
            <sz val="10"/>
            <rFont val="FreeSans"/>
            <family val="2"/>
          </rPr>
          <t xml:space="preserve">چندمرحله‌ای حلقه‌ای </t>
        </r>
        <r>
          <rPr>
            <sz val="10"/>
            <rFont val="Arial"/>
            <family val="2"/>
          </rPr>
          <t xml:space="preserve">(Ring-section) </t>
        </r>
        <r>
          <rPr>
            <sz val="10"/>
            <rFont val="FreeSans"/>
            <family val="2"/>
          </rPr>
          <t xml:space="preserve">تک‌بدنه</t>
        </r>
      </text>
    </comment>
    <comment ref="B48" authorId="0">
      <text>
        <r>
          <rPr>
            <sz val="10"/>
            <rFont val="FreeSans"/>
            <family val="2"/>
          </rPr>
          <t xml:space="preserve">چندمرحله‌ای دوبدنه </t>
        </r>
        <r>
          <rPr>
            <sz val="10"/>
            <rFont val="Arial"/>
            <family val="2"/>
          </rPr>
          <t xml:space="preserve">(Barrel)</t>
        </r>
        <r>
          <rPr>
            <sz val="10"/>
            <rFont val="FreeSans"/>
            <family val="2"/>
          </rPr>
          <t xml:space="preserve">؛ سخت‌ترین سرویس‌های پرفشار</t>
        </r>
      </text>
    </comment>
    <comment ref="B49" authorId="0">
      <text>
        <r>
          <rPr>
            <sz val="10"/>
            <rFont val="FreeSans"/>
            <family val="2"/>
          </rPr>
          <t xml:space="preserve">عمودی آویزان در چاهک، دیفیوزری، خروجی از داخل ستون</t>
        </r>
      </text>
    </comment>
    <comment ref="B50" authorId="0">
      <text>
        <r>
          <rPr>
            <sz val="10"/>
            <rFont val="FreeSans"/>
            <family val="2"/>
          </rPr>
          <t xml:space="preserve">عمودی آویزان، حلزونی، خروجی از داخل ستون</t>
        </r>
      </text>
    </comment>
    <comment ref="B51" authorId="0">
      <text>
        <r>
          <rPr>
            <sz val="10"/>
            <rFont val="FreeSans"/>
            <family val="2"/>
          </rPr>
          <t xml:space="preserve">عمودی آویزان، جریان محوری؛ دبی زیاد و هد کم</t>
        </r>
      </text>
    </comment>
    <comment ref="B52" authorId="0">
      <text>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 xml:space="preserve">Flare KO</t>
        </r>
      </text>
    </comment>
    <comment ref="B53" authorId="0">
      <text>
        <r>
          <rPr>
            <sz val="10"/>
            <rFont val="FreeSans"/>
            <family val="2"/>
          </rPr>
          <t xml:space="preserve">پمپ عمودی </t>
        </r>
        <r>
          <rPr>
            <sz val="10"/>
            <rFont val="Arial"/>
            <family val="2"/>
          </rPr>
          <t xml:space="preserve">Sump </t>
        </r>
        <r>
          <rPr>
            <sz val="10"/>
            <rFont val="FreeSans"/>
            <family val="2"/>
          </rPr>
          <t xml:space="preserve">کنسولی بدون یاتاقان غوطه‌ور</t>
        </r>
      </text>
    </comment>
    <comment ref="B54" authorId="0">
      <text>
        <r>
          <rPr>
            <sz val="10"/>
            <rFont val="FreeSans"/>
            <family val="2"/>
          </rPr>
          <t xml:space="preserve">عمودی دوبدنه در قوطی </t>
        </r>
        <r>
          <rPr>
            <sz val="10"/>
            <rFont val="Arial"/>
            <family val="2"/>
          </rPr>
          <t xml:space="preserve">(Can)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 xml:space="preserve">و مایعات نزدیک نقطه جوش</t>
        </r>
      </text>
    </comment>
    <comment ref="B55" authorId="0">
      <text>
        <r>
          <rPr>
            <sz val="10"/>
            <rFont val="FreeSans"/>
            <family val="2"/>
          </rPr>
          <t xml:space="preserve">عمودی دوبدنه حلزونی</t>
        </r>
      </text>
    </comment>
    <comment ref="B56" authorId="0">
      <text>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B57" authorId="0">
      <text>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B58" authorId="0">
      <text>
        <r>
          <rPr>
            <sz val="10"/>
            <rFont val="FreeSans"/>
            <family val="2"/>
          </rPr>
          <t xml:space="preserve">منبع فقط </t>
        </r>
        <r>
          <rPr>
            <sz val="10"/>
            <rFont val="Arial"/>
            <family val="2"/>
          </rPr>
          <t xml:space="preserve">«Vertical» </t>
        </r>
        <r>
          <rPr>
            <sz val="10"/>
            <rFont val="FreeSans"/>
            <family val="2"/>
          </rPr>
          <t xml:space="preserve">گفته</t>
        </r>
      </text>
    </comment>
    <comment ref="B59" authorId="0">
      <text>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B60" authorId="0">
      <text>
        <r>
          <rPr>
            <sz val="10"/>
            <rFont val="FreeSans"/>
            <family val="2"/>
          </rPr>
          <t xml:space="preserve">نوع پمپ در منبع ذکر نشده</t>
        </r>
      </text>
    </comment>
    <comment ref="B64" authorId="0">
      <text>
        <r>
          <rPr>
            <sz val="10"/>
            <rFont val="FreeSans"/>
            <family val="2"/>
          </rPr>
          <t xml:space="preserve">معنی و تقسیم هزینه‌ها بین فروشنده و خریدار</t>
        </r>
      </text>
    </comment>
    <comment ref="B65" authorId="0">
      <text>
        <r>
          <rPr>
            <sz val="10"/>
            <rFont val="FreeSans"/>
            <family val="2"/>
          </rPr>
          <t xml:space="preserve">تحویل درب کارخانه؛ همه هزینه‌های حمل، بیمه، گمرک و ترخیص با خریدار</t>
        </r>
      </text>
    </comment>
    <comment ref="B66" authorId="0">
      <text>
        <r>
          <rPr>
            <sz val="10"/>
            <rFont val="FreeSans"/>
            <family val="2"/>
          </rPr>
          <t xml:space="preserve">تحویل به حمل‌کننده خریدار در محل تعیین‌شده</t>
        </r>
      </text>
    </comment>
    <comment ref="B67" authorId="0">
      <text>
        <r>
          <rPr>
            <sz val="10"/>
            <rFont val="FreeSans"/>
            <family val="2"/>
          </rPr>
          <t xml:space="preserve">تحویل روی کشتی در بندر مبدأ؛ کرایه حمل دریایی، بیمه و هزینه‌های ورود با خریدار</t>
        </r>
      </text>
    </comment>
    <comment ref="B68" authorId="0">
      <text>
        <r>
          <rPr>
            <sz val="10"/>
            <rFont val="FreeSans"/>
            <family val="2"/>
          </rPr>
          <t xml:space="preserve">فروشنده کرایه حمل تا بندر مقصد را می‌پردازد؛ بیمه با خریدار</t>
        </r>
      </text>
    </comment>
    <comment ref="B69" authorId="0">
      <text>
        <r>
          <rPr>
            <sz val="10"/>
            <rFont val="FreeSans"/>
            <family val="2"/>
          </rPr>
          <t xml:space="preserve">فروشنده کرایه حمل و بیمه تا بندر مقصد را می‌پردازد</t>
        </r>
      </text>
    </comment>
    <comment ref="B70" authorId="0">
      <text>
        <r>
          <rPr>
            <sz val="10"/>
            <rFont val="FreeSans"/>
            <family val="2"/>
          </rPr>
          <t xml:space="preserve">تحویل در مقصد تعیین‌شده (مثلاً سایت)؛ حقوق ورودی و ترخیص با خریدار</t>
        </r>
      </text>
    </comment>
    <comment ref="B71" authorId="0">
      <text>
        <r>
          <rPr>
            <sz val="10"/>
            <rFont val="FreeSans"/>
            <family val="2"/>
          </rPr>
          <t xml:space="preserve">تحویل در مقصد با پرداخت همه عوارض و حقوق گمرکی توسط فروشنده</t>
        </r>
      </text>
    </comment>
    <comment ref="B72" authorId="0">
      <text>
        <r>
          <rPr>
            <sz val="10"/>
            <rFont val="FreeSans"/>
            <family val="2"/>
          </rPr>
          <t xml:space="preserve">خرید داخلی ریالی با تحویل در سایت</t>
        </r>
      </text>
    </comment>
    <comment ref="B73" authorId="0">
      <text>
        <r>
          <rPr>
            <sz val="10"/>
            <rFont val="FreeSans"/>
            <family val="2"/>
          </rPr>
          <t xml:space="preserve">شرط تحویل در منبع ذکر نشده است</t>
        </r>
      </text>
    </comment>
    <comment ref="C4" authorId="0">
      <text>
        <r>
          <rPr>
            <sz val="10"/>
            <rFont val="FreeSans"/>
            <family val="2"/>
          </rPr>
          <t xml:space="preserve">نرخ یوروی سال هدف که در تعدیل استفاده می‌شود</t>
        </r>
        <r>
          <rPr>
            <sz val="10"/>
            <rFont val="Arial"/>
            <family val="2"/>
          </rPr>
          <t xml:space="preserve">.</t>
        </r>
      </text>
    </comment>
    <comment ref="C7" authorId="0">
      <text>
        <r>
          <rPr>
            <sz val="10"/>
            <rFont val="FreeSans"/>
            <family val="2"/>
          </rPr>
          <t xml:space="preserve">شرح فارسی و نمونه سرویس‌ها</t>
        </r>
      </text>
    </comment>
    <comment ref="C17" authorId="0">
      <text>
        <r>
          <rPr>
            <sz val="10"/>
            <rFont val="FreeSans"/>
            <family val="2"/>
          </rPr>
          <t xml:space="preserve">پروانه</t>
        </r>
      </text>
    </comment>
    <comment ref="C18" authorId="0">
      <text>
        <r>
          <rPr>
            <sz val="10"/>
            <rFont val="FreeSans"/>
            <family val="2"/>
          </rPr>
          <t xml:space="preserve">چدن</t>
        </r>
      </text>
    </comment>
    <comment ref="C19" authorId="0">
      <text>
        <r>
          <rPr>
            <sz val="10"/>
            <rFont val="FreeSans"/>
            <family val="2"/>
          </rPr>
          <t xml:space="preserve">برنز</t>
        </r>
      </text>
    </comment>
    <comment ref="C20" authorId="0">
      <text>
        <r>
          <rPr>
            <sz val="10"/>
            <rFont val="FreeSans"/>
            <family val="2"/>
          </rPr>
          <t xml:space="preserve">چدن</t>
        </r>
      </text>
    </comment>
    <comment ref="C21" authorId="0">
      <text>
        <r>
          <rPr>
            <sz val="10"/>
            <rFont val="FreeSans"/>
            <family val="2"/>
          </rPr>
          <t xml:space="preserve">نی‌رزیست (چدن آلیاژی نیکل‌دار)</t>
        </r>
      </text>
    </comment>
    <comment ref="C22" authorId="0">
      <text>
        <r>
          <rPr>
            <sz val="10"/>
            <rFont val="FreeSans"/>
            <family val="2"/>
          </rPr>
          <t xml:space="preserve">فولاد کربنی</t>
        </r>
      </text>
    </comment>
    <comment ref="C23" authorId="0">
      <text>
        <r>
          <rPr>
            <sz val="10"/>
            <rFont val="FreeSans"/>
            <family val="2"/>
          </rPr>
          <t xml:space="preserve">فولاد کربنی</t>
        </r>
      </text>
    </comment>
    <comment ref="C24" authorId="0">
      <text>
        <r>
          <rPr>
            <sz val="10"/>
            <rFont val="FreeSans"/>
            <family val="2"/>
          </rPr>
          <t xml:space="preserve">کروم ۱۲٪</t>
        </r>
      </text>
    </comment>
    <comment ref="C25" authorId="0">
      <text>
        <r>
          <rPr>
            <sz val="10"/>
            <rFont val="FreeSans"/>
            <family val="2"/>
          </rPr>
          <t xml:space="preserve">فولاد ضدزنگ </t>
        </r>
        <r>
          <rPr>
            <sz val="10"/>
            <rFont val="Arial"/>
            <family val="2"/>
          </rPr>
          <t xml:space="preserve">316</t>
        </r>
      </text>
    </comment>
    <comment ref="C26" authorId="0">
      <text>
        <r>
          <rPr>
            <sz val="10"/>
            <rFont val="FreeSans"/>
            <family val="2"/>
          </rPr>
          <t xml:space="preserve">آلیاژ نیکل‌-مس</t>
        </r>
      </text>
    </comment>
    <comment ref="C27" authorId="0">
      <text>
        <r>
          <rPr>
            <sz val="10"/>
            <rFont val="FreeSans"/>
            <family val="2"/>
          </rPr>
          <t xml:space="preserve">کروم ۱۲٪</t>
        </r>
      </text>
    </comment>
    <comment ref="C28" authorId="0">
      <text>
        <r>
          <rPr>
            <sz val="10"/>
            <rFont val="FreeSans"/>
            <family val="2"/>
          </rPr>
          <t xml:space="preserve">فولاد ضدزنگ آستنیتی</t>
        </r>
      </text>
    </comment>
    <comment ref="C29" authorId="0">
      <text>
        <r>
          <rPr>
            <sz val="10"/>
            <rFont val="FreeSans"/>
            <family val="2"/>
          </rPr>
          <t xml:space="preserve">فولاد ضدزنگ </t>
        </r>
        <r>
          <rPr>
            <sz val="10"/>
            <rFont val="Arial"/>
            <family val="2"/>
          </rPr>
          <t xml:space="preserve">316</t>
        </r>
      </text>
    </comment>
    <comment ref="C30" authorId="0">
      <text>
        <r>
          <rPr>
            <sz val="10"/>
            <rFont val="FreeSans"/>
            <family val="2"/>
          </rPr>
          <t xml:space="preserve">داپلکس</t>
        </r>
      </text>
    </comment>
    <comment ref="C31" authorId="0">
      <text>
        <r>
          <rPr>
            <sz val="10"/>
            <rFont val="FreeSans"/>
            <family val="2"/>
          </rPr>
          <t xml:space="preserve">سوپرداپلکس</t>
        </r>
      </text>
    </comment>
    <comment ref="C32" authorId="0">
      <text>
        <r>
          <rPr>
            <sz val="10"/>
            <rFont val="FreeSans"/>
            <family val="2"/>
          </rPr>
          <t xml:space="preserve">فولاد ضدزنگ </t>
        </r>
        <r>
          <rPr>
            <sz val="10"/>
            <rFont val="Arial"/>
            <family val="2"/>
          </rPr>
          <t xml:space="preserve">316L</t>
        </r>
      </text>
    </comment>
    <comment ref="C33" authorId="0">
      <text>
        <r>
          <rPr>
            <sz val="10"/>
            <rFont val="Arial"/>
            <family val="2"/>
          </rPr>
          <t xml:space="preserve">—</t>
        </r>
      </text>
    </comment>
    <comment ref="C37" authorId="0">
      <text>
        <r>
          <rPr>
            <sz val="10"/>
            <rFont val="FreeSans"/>
            <family val="2"/>
          </rPr>
          <t xml:space="preserve">شرح و کاربرد معمول</t>
        </r>
      </text>
    </comment>
    <comment ref="C38" authorId="0">
      <text>
        <r>
          <rPr>
            <sz val="10"/>
            <rFont val="FreeSans"/>
            <family val="2"/>
          </rPr>
          <t xml:space="preserve">یک‌مرحله‌ای، پروانه آویزان </t>
        </r>
        <r>
          <rPr>
            <sz val="10"/>
            <rFont val="Arial"/>
            <family val="2"/>
          </rPr>
          <t xml:space="preserve">(Overhung)</t>
        </r>
        <r>
          <rPr>
            <sz val="10"/>
            <rFont val="FreeSans"/>
            <family val="2"/>
          </rPr>
          <t xml:space="preserve">، پایه‌دار زیر بدنه؛ برای دما و فشار متوسط</t>
        </r>
      </text>
    </comment>
    <comment ref="C39" authorId="0">
      <text>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C40" authorId="0">
      <text>
        <r>
          <rPr>
            <sz val="10"/>
            <rFont val="FreeSans"/>
            <family val="2"/>
          </rPr>
          <t xml:space="preserve">عمودی خطی </t>
        </r>
        <r>
          <rPr>
            <sz val="10"/>
            <rFont val="Arial"/>
            <family val="2"/>
          </rPr>
          <t xml:space="preserve">(In-line) </t>
        </r>
        <r>
          <rPr>
            <sz val="10"/>
            <rFont val="FreeSans"/>
            <family val="2"/>
          </rPr>
          <t xml:space="preserve">با یاتاقان مستقل از موتور</t>
        </r>
      </text>
    </comment>
    <comment ref="C41" authorId="0">
      <text>
        <r>
          <rPr>
            <sz val="10"/>
            <rFont val="FreeSans"/>
            <family val="2"/>
          </rPr>
          <t xml:space="preserve">عمودی خطی با کوپلینگ صلب</t>
        </r>
      </text>
    </comment>
    <comment ref="C42" authorId="0">
      <text>
        <r>
          <rPr>
            <sz val="10"/>
            <rFont val="FreeSans"/>
            <family val="2"/>
          </rPr>
          <t xml:space="preserve">عمودی خطی، پروانه مستقیم روی شفت موتور</t>
        </r>
      </text>
    </comment>
    <comment ref="C43" authorId="0">
      <text>
        <r>
          <rPr>
            <sz val="10"/>
            <rFont val="FreeSans"/>
            <family val="2"/>
          </rPr>
          <t xml:space="preserve">پروانه پرسرعت با گیربکس یکپارچه؛ دبی کم و هد بالا</t>
        </r>
      </text>
    </comment>
    <comment ref="C44" authorId="0">
      <text>
        <r>
          <rPr>
            <sz val="10"/>
            <rFont val="FreeSans"/>
            <family val="2"/>
          </rPr>
          <t xml:space="preserve">بین دو یاتاقان، یک یا دو مرحله، بدنه دوتکه افقی</t>
        </r>
      </text>
    </comment>
    <comment ref="C45" authorId="0">
      <text>
        <r>
          <rPr>
            <sz val="10"/>
            <rFont val="FreeSans"/>
            <family val="2"/>
          </rPr>
          <t xml:space="preserve">بین دو یاتاقان، یک یا دو مرحله، بدنه شعاعی؛ دما و فشار بالا</t>
        </r>
      </text>
    </comment>
    <comment ref="C46" authorId="0">
      <text>
        <r>
          <rPr>
            <sz val="10"/>
            <rFont val="FreeSans"/>
            <family val="2"/>
          </rPr>
          <t xml:space="preserve">چندمرحله‌ای، بدنه دوتکه افقی؛ تزریق آب و انتقال پرفشار</t>
        </r>
      </text>
    </comment>
    <comment ref="C47" authorId="0">
      <text>
        <r>
          <rPr>
            <sz val="10"/>
            <rFont val="FreeSans"/>
            <family val="2"/>
          </rPr>
          <t xml:space="preserve">چندمرحله‌ای حلقه‌ای </t>
        </r>
        <r>
          <rPr>
            <sz val="10"/>
            <rFont val="Arial"/>
            <family val="2"/>
          </rPr>
          <t xml:space="preserve">(Ring-section) </t>
        </r>
        <r>
          <rPr>
            <sz val="10"/>
            <rFont val="FreeSans"/>
            <family val="2"/>
          </rPr>
          <t xml:space="preserve">تک‌بدنه</t>
        </r>
      </text>
    </comment>
    <comment ref="C48" authorId="0">
      <text>
        <r>
          <rPr>
            <sz val="10"/>
            <rFont val="FreeSans"/>
            <family val="2"/>
          </rPr>
          <t xml:space="preserve">چندمرحله‌ای دوبدنه </t>
        </r>
        <r>
          <rPr>
            <sz val="10"/>
            <rFont val="Arial"/>
            <family val="2"/>
          </rPr>
          <t xml:space="preserve">(Barrel)</t>
        </r>
        <r>
          <rPr>
            <sz val="10"/>
            <rFont val="FreeSans"/>
            <family val="2"/>
          </rPr>
          <t xml:space="preserve">؛ سخت‌ترین سرویس‌های پرفشار</t>
        </r>
      </text>
    </comment>
    <comment ref="C49" authorId="0">
      <text>
        <r>
          <rPr>
            <sz val="10"/>
            <rFont val="FreeSans"/>
            <family val="2"/>
          </rPr>
          <t xml:space="preserve">عمودی آویزان در چاهک، دیفیوزری، خروجی از داخل ستون</t>
        </r>
      </text>
    </comment>
    <comment ref="C50" authorId="0">
      <text>
        <r>
          <rPr>
            <sz val="10"/>
            <rFont val="FreeSans"/>
            <family val="2"/>
          </rPr>
          <t xml:space="preserve">عمودی آویزان، حلزونی، خروجی از داخل ستون</t>
        </r>
      </text>
    </comment>
    <comment ref="C51" authorId="0">
      <text>
        <r>
          <rPr>
            <sz val="10"/>
            <rFont val="FreeSans"/>
            <family val="2"/>
          </rPr>
          <t xml:space="preserve">عمودی آویزان، جریان محوری؛ دبی زیاد و هد کم</t>
        </r>
      </text>
    </comment>
    <comment ref="C52" authorId="0">
      <text>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 xml:space="preserve">Flare KO</t>
        </r>
      </text>
    </comment>
    <comment ref="C53" authorId="0">
      <text>
        <r>
          <rPr>
            <sz val="10"/>
            <rFont val="FreeSans"/>
            <family val="2"/>
          </rPr>
          <t xml:space="preserve">پمپ عمودی </t>
        </r>
        <r>
          <rPr>
            <sz val="10"/>
            <rFont val="Arial"/>
            <family val="2"/>
          </rPr>
          <t xml:space="preserve">Sump </t>
        </r>
        <r>
          <rPr>
            <sz val="10"/>
            <rFont val="FreeSans"/>
            <family val="2"/>
          </rPr>
          <t xml:space="preserve">کنسولی بدون یاتاقان غوطه‌ور</t>
        </r>
      </text>
    </comment>
    <comment ref="C54" authorId="0">
      <text>
        <r>
          <rPr>
            <sz val="10"/>
            <rFont val="FreeSans"/>
            <family val="2"/>
          </rPr>
          <t xml:space="preserve">عمودی دوبدنه در قوطی </t>
        </r>
        <r>
          <rPr>
            <sz val="10"/>
            <rFont val="Arial"/>
            <family val="2"/>
          </rPr>
          <t xml:space="preserve">(Can)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 xml:space="preserve">و مایعات نزدیک نقطه جوش</t>
        </r>
      </text>
    </comment>
    <comment ref="C55" authorId="0">
      <text>
        <r>
          <rPr>
            <sz val="10"/>
            <rFont val="FreeSans"/>
            <family val="2"/>
          </rPr>
          <t xml:space="preserve">عمودی دوبدنه حلزونی</t>
        </r>
      </text>
    </comment>
    <comment ref="C56" authorId="0">
      <text>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C57" authorId="0">
      <text>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C58" authorId="0">
      <text>
        <r>
          <rPr>
            <sz val="10"/>
            <rFont val="FreeSans"/>
            <family val="2"/>
          </rPr>
          <t xml:space="preserve">منبع فقط </t>
        </r>
        <r>
          <rPr>
            <sz val="10"/>
            <rFont val="Arial"/>
            <family val="2"/>
          </rPr>
          <t xml:space="preserve">«Vertical» </t>
        </r>
        <r>
          <rPr>
            <sz val="10"/>
            <rFont val="FreeSans"/>
            <family val="2"/>
          </rPr>
          <t xml:space="preserve">گفته</t>
        </r>
      </text>
    </comment>
    <comment ref="C59" authorId="0">
      <text>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C60" authorId="0">
      <text>
        <r>
          <rPr>
            <sz val="10"/>
            <rFont val="FreeSans"/>
            <family val="2"/>
          </rPr>
          <t xml:space="preserve">نوع پمپ در منبع ذکر نشده</t>
        </r>
      </text>
    </comment>
    <comment ref="C64" authorId="0">
      <text>
        <r>
          <rPr>
            <sz val="10"/>
            <rFont val="FreeSans"/>
            <family val="2"/>
          </rPr>
          <t xml:space="preserve">ترجمه و توضیح فارسی</t>
        </r>
      </text>
    </comment>
    <comment ref="D7" authorId="0">
      <text>
        <r>
          <rPr>
            <sz val="10"/>
            <rFont val="FreeSans"/>
            <family val="2"/>
          </rPr>
          <t xml:space="preserve">تعداد رکوردهای </t>
        </r>
        <r>
          <rPr>
            <sz val="10"/>
            <rFont val="Arial"/>
            <family val="2"/>
          </rPr>
          <t xml:space="preserve">Include = Y</t>
        </r>
      </text>
    </comment>
    <comment ref="D17" authorId="0">
      <text>
        <r>
          <rPr>
            <sz val="10"/>
            <rFont val="FreeSans"/>
            <family val="2"/>
          </rPr>
          <t xml:space="preserve">رینگ سایشی / شفت</t>
        </r>
      </text>
    </comment>
    <comment ref="D18" authorId="0">
      <text>
        <r>
          <rPr>
            <sz val="10"/>
            <rFont val="FreeSans"/>
            <family val="2"/>
          </rPr>
          <t xml:space="preserve">رینگ چدن؛ شفت فولاد کربنی</t>
        </r>
      </text>
    </comment>
    <comment ref="D19" authorId="0">
      <text>
        <r>
          <rPr>
            <sz val="10"/>
            <rFont val="FreeSans"/>
            <family val="2"/>
          </rPr>
          <t xml:space="preserve">رینگ برنز؛ شفت فولاد کربنی</t>
        </r>
      </text>
    </comment>
    <comment ref="D20" authorId="0">
      <text>
        <r>
          <rPr>
            <sz val="10"/>
            <rFont val="FreeSans"/>
            <family val="2"/>
          </rPr>
          <t xml:space="preserve">رینگ چدن؛ شفت فولاد کربنی</t>
        </r>
      </text>
    </comment>
    <comment ref="D21" authorId="0">
      <text>
        <r>
          <rPr>
            <sz val="10"/>
            <rFont val="FreeSans"/>
            <family val="2"/>
          </rPr>
          <t xml:space="preserve">رینگ نی‌رزیست؛ شفت </t>
        </r>
        <r>
          <rPr>
            <sz val="10"/>
            <rFont val="Arial"/>
            <family val="2"/>
          </rPr>
          <t xml:space="preserve">AISI 4140</t>
        </r>
      </text>
    </comment>
    <comment ref="D22" authorId="0">
      <text>
        <r>
          <rPr>
            <sz val="10"/>
            <rFont val="FreeSans"/>
            <family val="2"/>
          </rPr>
          <t xml:space="preserve">رینگ چدن؛ شفت فولاد کربنی</t>
        </r>
      </text>
    </comment>
    <comment ref="D23" authorId="0">
      <text>
        <r>
          <rPr>
            <sz val="10"/>
            <rFont val="FreeSans"/>
            <family val="2"/>
          </rPr>
          <t xml:space="preserve">رینگ کروم ۱۲٪ سخت‌شده؛ شفت </t>
        </r>
        <r>
          <rPr>
            <sz val="10"/>
            <rFont val="Arial"/>
            <family val="2"/>
          </rPr>
          <t xml:space="preserve">AISI 4140</t>
        </r>
      </text>
    </comment>
    <comment ref="D24" authorId="0">
      <text>
        <r>
          <rPr>
            <sz val="10"/>
            <rFont val="FreeSans"/>
            <family val="2"/>
          </rPr>
          <t xml:space="preserve">رینگ کروم ۱۲٪ سخت‌شده؛ شفت کروم ۱۲٪</t>
        </r>
      </text>
    </comment>
    <comment ref="D25" authorId="0">
      <text>
        <r>
          <rPr>
            <sz val="10"/>
            <rFont val="FreeSans"/>
            <family val="2"/>
          </rPr>
          <t xml:space="preserve">رینگ </t>
        </r>
        <r>
          <rPr>
            <sz val="10"/>
            <rFont val="Arial"/>
            <family val="2"/>
          </rPr>
          <t xml:space="preserve">316 با روکش سخت؛ شفت 316</t>
        </r>
      </text>
    </comment>
    <comment ref="D26" authorId="0">
      <text>
        <r>
          <rPr>
            <sz val="10"/>
            <rFont val="FreeSans"/>
            <family val="2"/>
          </rPr>
          <t xml:space="preserve">رینگ نیکل‌-مس؛ شفت نیکل‌-مس</t>
        </r>
      </text>
    </comment>
    <comment ref="D27" authorId="0">
      <text>
        <r>
          <rPr>
            <sz val="10"/>
            <rFont val="FreeSans"/>
            <family val="2"/>
          </rPr>
          <t xml:space="preserve">رینگ کروم ۱۲٪ سخت‌شده؛ شفت کروم ۱۲٪</t>
        </r>
      </text>
    </comment>
    <comment ref="D28" authorId="0">
      <text>
        <r>
          <rPr>
            <sz val="10"/>
            <rFont val="FreeSans"/>
            <family val="2"/>
          </rPr>
          <t xml:space="preserve">رینگ با روکش سخت؛ شفت آستنیتی</t>
        </r>
      </text>
    </comment>
    <comment ref="D29" authorId="0">
      <text>
        <r>
          <rPr>
            <sz val="10"/>
            <rFont val="FreeSans"/>
            <family val="2"/>
          </rPr>
          <t xml:space="preserve">رینگ با روکش سخت؛ شفت </t>
        </r>
        <r>
          <rPr>
            <sz val="10"/>
            <rFont val="Arial"/>
            <family val="2"/>
          </rPr>
          <t xml:space="preserve">316</t>
        </r>
      </text>
    </comment>
    <comment ref="D30" authorId="0">
      <text>
        <r>
          <rPr>
            <sz val="10"/>
            <rFont val="FreeSans"/>
            <family val="2"/>
          </rPr>
          <t xml:space="preserve">رینگ با روکش سخت؛ شفت داپلکس</t>
        </r>
      </text>
    </comment>
    <comment ref="D31" authorId="0">
      <text>
        <r>
          <rPr>
            <sz val="10"/>
            <rFont val="FreeSans"/>
            <family val="2"/>
          </rPr>
          <t xml:space="preserve">رینگ با روکش سخت؛ شفت سوپرداپلکس</t>
        </r>
      </text>
    </comment>
    <comment ref="D32" authorId="0">
      <text>
        <r>
          <rPr>
            <sz val="10"/>
            <rFont val="Arial"/>
            <family val="2"/>
          </rPr>
          <t xml:space="preserve">—</t>
        </r>
      </text>
    </comment>
    <comment ref="D33" authorId="0">
      <text>
        <r>
          <rPr>
            <sz val="10"/>
            <rFont val="Arial"/>
            <family val="2"/>
          </rPr>
          <t xml:space="preserve">—</t>
        </r>
      </text>
    </comment>
    <comment ref="D64" authorId="0">
      <text>
        <r>
          <rPr>
            <sz val="10"/>
            <rFont val="FreeSans"/>
            <family val="2"/>
          </rPr>
          <t xml:space="preserve">در این بانک برای کدام رکوردها به کار رفته است</t>
        </r>
      </text>
    </comment>
    <comment ref="E4" authorId="0">
      <text>
        <r>
          <rPr>
            <sz val="10"/>
            <rFont val="FreeSans"/>
            <family val="2"/>
          </rPr>
          <t xml:space="preserve">نرخ دلار سال هدف</t>
        </r>
        <r>
          <rPr>
            <sz val="10"/>
            <rFont val="Arial"/>
            <family val="2"/>
          </rPr>
          <t xml:space="preserve">.</t>
        </r>
      </text>
    </comment>
    <comment ref="E7" authorId="0">
      <text>
        <r>
          <rPr>
            <sz val="10"/>
            <rFont val="FreeSans"/>
            <family val="2"/>
          </rPr>
          <t xml:space="preserve">تعداد رکوردهایی که قیمت تعدیل‌شده به سال هدف دارند </t>
        </r>
        <r>
          <rPr>
            <sz val="10"/>
            <rFont val="Arial"/>
            <family val="2"/>
          </rPr>
          <t xml:space="preserve">(</t>
        </r>
        <r>
          <rPr>
            <sz val="10"/>
            <rFont val="FreeSans"/>
            <family val="2"/>
          </rPr>
          <t xml:space="preserve">قیمت، سال، نرخ ارز و </t>
        </r>
        <r>
          <rPr>
            <sz val="10"/>
            <rFont val="Arial"/>
            <family val="2"/>
          </rPr>
          <t xml:space="preserve">PPI </t>
        </r>
        <r>
          <rPr>
            <sz val="10"/>
            <rFont val="FreeSans"/>
            <family val="2"/>
          </rPr>
          <t xml:space="preserve">موجود</t>
        </r>
        <r>
          <rPr>
            <sz val="10"/>
            <rFont val="Arial"/>
            <family val="2"/>
          </rPr>
          <t xml:space="preserve">).</t>
        </r>
      </text>
    </comment>
    <comment ref="E17" authorId="0">
      <text>
        <r>
          <rPr>
            <sz val="10"/>
            <rFont val="FreeSans"/>
            <family val="2"/>
          </rPr>
          <t xml:space="preserve">کاربرد معمول – راهنمایی کلی؛ انتخاب نهایی طبق </t>
        </r>
        <r>
          <rPr>
            <sz val="10"/>
            <rFont val="Arial"/>
            <family val="2"/>
          </rPr>
          <t xml:space="preserve">API 610 Annex G/H </t>
        </r>
        <r>
          <rPr>
            <sz val="10"/>
            <rFont val="FreeSans"/>
            <family val="2"/>
          </rPr>
          <t xml:space="preserve">و شرایط سیال</t>
        </r>
      </text>
    </comment>
    <comment ref="E18" authorId="0">
      <text>
        <r>
          <rPr>
            <sz val="10"/>
            <rFont val="FreeSans"/>
            <family val="2"/>
          </rPr>
          <t xml:space="preserve">آب و سرویس غیرخورنده، دمای پایین</t>
        </r>
      </text>
    </comment>
    <comment ref="E19" authorId="0">
      <text>
        <r>
          <rPr>
            <sz val="10"/>
            <rFont val="FreeSans"/>
            <family val="2"/>
          </rPr>
          <t xml:space="preserve">آب، آب آتش‌نشانی و آب شیرین</t>
        </r>
      </text>
    </comment>
    <comment ref="E20" authorId="0">
      <text>
        <r>
          <rPr>
            <sz val="10"/>
            <rFont val="FreeSans"/>
            <family val="2"/>
          </rPr>
          <t xml:space="preserve">هیدروکربن غیرخورنده</t>
        </r>
      </text>
    </comment>
    <comment ref="E21" authorId="0">
      <text>
        <r>
          <rPr>
            <sz val="10"/>
            <rFont val="FreeSans"/>
            <family val="2"/>
          </rPr>
          <t xml:space="preserve">سرویس‌های با سایش یا خوردگی ملایم</t>
        </r>
      </text>
    </comment>
    <comment ref="E22" authorId="0">
      <text>
        <r>
          <rPr>
            <sz val="10"/>
            <rFont val="FreeSans"/>
            <family val="2"/>
          </rPr>
          <t xml:space="preserve">هیدروکربن عمومی</t>
        </r>
      </text>
    </comment>
    <comment ref="E23" authorId="0">
      <text>
        <r>
          <rPr>
            <sz val="10"/>
            <rFont val="FreeSans"/>
            <family val="2"/>
          </rPr>
          <t xml:space="preserve">هیدروکربن عمومی و داغ</t>
        </r>
      </text>
    </comment>
    <comment ref="E24" authorId="0">
      <text>
        <r>
          <rPr>
            <sz val="10"/>
            <rFont val="FreeSans"/>
            <family val="2"/>
          </rPr>
          <t xml:space="preserve">هیدروکربن داغ، آب ترش و خوردگی ملایم</t>
        </r>
      </text>
    </comment>
    <comment ref="E25" authorId="0">
      <text>
        <r>
          <rPr>
            <sz val="10"/>
            <rFont val="FreeSans"/>
            <family val="2"/>
          </rPr>
          <t xml:space="preserve">سرویس‌های خورنده‌تر</t>
        </r>
      </text>
    </comment>
    <comment ref="E26" authorId="0">
      <text>
        <r>
          <rPr>
            <sz val="10"/>
            <rFont val="FreeSans"/>
            <family val="2"/>
          </rPr>
          <t xml:space="preserve">سرویس‌های خاص خورنده</t>
        </r>
      </text>
    </comment>
    <comment ref="E27" authorId="0">
      <text>
        <r>
          <rPr>
            <sz val="10"/>
            <rFont val="FreeSans"/>
            <family val="2"/>
          </rPr>
          <t xml:space="preserve">آب داغ (تغذیه بویلر) و هیدروکربن داغ</t>
        </r>
      </text>
    </comment>
    <comment ref="E28" authorId="0">
      <text>
        <r>
          <rPr>
            <sz val="10"/>
            <rFont val="FreeSans"/>
            <family val="2"/>
          </rPr>
          <t xml:space="preserve">خوردگی بالا و دمای پایین</t>
        </r>
      </text>
    </comment>
    <comment ref="E29" authorId="0">
      <text>
        <r>
          <rPr>
            <sz val="10"/>
            <rFont val="FreeSans"/>
            <family val="2"/>
          </rPr>
          <t xml:space="preserve">سرویس‌های خورنده</t>
        </r>
      </text>
    </comment>
    <comment ref="E30" authorId="0">
      <text>
        <r>
          <rPr>
            <sz val="10"/>
            <rFont val="FreeSans"/>
            <family val="2"/>
          </rPr>
          <t xml:space="preserve">آب شور و آب تولیدی دارای کلراید</t>
        </r>
      </text>
    </comment>
    <comment ref="E31" authorId="0">
      <text>
        <r>
          <rPr>
            <sz val="10"/>
            <rFont val="FreeSans"/>
            <family val="2"/>
          </rPr>
          <t xml:space="preserve">آب شور و تولیدی با کلراید بالا و خوردگی شدید</t>
        </r>
      </text>
    </comment>
    <comment ref="E32" authorId="0">
      <text>
        <r>
          <rPr>
            <sz val="10"/>
            <rFont val="FreeSans"/>
            <family val="2"/>
          </rPr>
          <t xml:space="preserve">ساخت غیر </t>
        </r>
        <r>
          <rPr>
            <sz val="10"/>
            <rFont val="Arial"/>
            <family val="2"/>
          </rPr>
          <t xml:space="preserve">API (</t>
        </r>
        <r>
          <rPr>
            <sz val="10"/>
            <rFont val="FreeSans"/>
            <family val="2"/>
          </rPr>
          <t xml:space="preserve">مثلاً پمپ بشکه‌ای پرتابل</t>
        </r>
        <r>
          <rPr>
            <sz val="10"/>
            <rFont val="Arial"/>
            <family val="2"/>
          </rPr>
          <t xml:space="preserve">)</t>
        </r>
      </text>
    </comment>
    <comment ref="E33" authorId="0">
      <text>
        <r>
          <rPr>
            <sz val="10"/>
            <rFont val="FreeSans"/>
            <family val="2"/>
          </rPr>
          <t xml:space="preserve">در منبع ذکر نشده</t>
        </r>
      </text>
    </comment>
    <comment ref="F7" authorId="0">
      <text>
        <r>
          <rPr>
            <sz val="10"/>
            <rFont val="FreeSans"/>
            <family val="2"/>
          </rPr>
          <t xml:space="preserve">درصد رکوردهایی که کلاس متریال </t>
        </r>
        <r>
          <rPr>
            <sz val="10"/>
            <rFont val="Arial"/>
            <family val="2"/>
          </rPr>
          <t xml:space="preserve">API 610 </t>
        </r>
        <r>
          <rPr>
            <sz val="10"/>
            <rFont val="FreeSans"/>
            <family val="2"/>
          </rPr>
          <t xml:space="preserve">آن‌ها مشخص است</t>
        </r>
        <r>
          <rPr>
            <sz val="10"/>
            <rFont val="Arial"/>
            <family val="2"/>
          </rPr>
          <t xml:space="preserve">.</t>
        </r>
      </text>
    </comment>
    <comment ref="G4" authorId="0">
      <text>
        <r>
          <rPr>
            <sz val="10"/>
            <rFont val="FreeSans"/>
            <family val="2"/>
          </rPr>
          <t xml:space="preserve">شاخص قیمت تولیدکننده پمپ منطقه یورو </t>
        </r>
        <r>
          <rPr>
            <sz val="10"/>
            <rFont val="Arial"/>
            <family val="2"/>
          </rPr>
          <t xml:space="preserve">(Eurostat C28.13</t>
        </r>
        <r>
          <rPr>
            <sz val="10"/>
            <rFont val="FreeSans"/>
            <family val="2"/>
          </rPr>
          <t xml:space="preserve">، </t>
        </r>
        <r>
          <rPr>
            <sz val="10"/>
            <rFont val="Arial"/>
            <family val="2"/>
          </rPr>
          <t xml:space="preserve">2021=100) </t>
        </r>
        <r>
          <rPr>
            <sz val="10"/>
            <rFont val="FreeSans"/>
            <family val="2"/>
          </rPr>
          <t xml:space="preserve">برای سال هدف</t>
        </r>
        <r>
          <rPr>
            <sz val="10"/>
            <rFont val="Arial"/>
            <family val="2"/>
          </rPr>
          <t xml:space="preserve">.</t>
        </r>
      </text>
    </comment>
    <comment ref="G7" authorId="0">
      <text>
        <r>
          <rPr>
            <sz val="10"/>
            <rFont val="FreeSans"/>
            <family val="2"/>
          </rPr>
          <t xml:space="preserve">درصد رکوردهایی که نوع آب‌بند </t>
        </r>
        <r>
          <rPr>
            <sz val="10"/>
            <rFont val="Arial"/>
            <family val="2"/>
          </rPr>
          <t xml:space="preserve">(Seal Arrangement) </t>
        </r>
        <r>
          <rPr>
            <sz val="10"/>
            <rFont val="FreeSans"/>
            <family val="2"/>
          </rPr>
          <t xml:space="preserve">آن‌ها مشخص است</t>
        </r>
        <r>
          <rPr>
            <sz val="10"/>
            <rFont val="Arial"/>
            <family val="2"/>
          </rPr>
          <t xml:space="preserve">.</t>
        </r>
      </text>
    </comment>
    <comment ref="H7" authorId="0">
      <text>
        <r>
          <rPr>
            <sz val="10"/>
            <rFont val="FreeSans"/>
            <family val="2"/>
          </rPr>
          <t xml:space="preserve">درصد رکوردهایی که اندازه </t>
        </r>
        <r>
          <rPr>
            <sz val="10"/>
            <rFont val="Arial"/>
            <family val="2"/>
          </rPr>
          <t xml:space="preserve">(kW</t>
        </r>
        <r>
          <rPr>
            <sz val="10"/>
            <rFont val="FreeSans"/>
            <family val="2"/>
          </rPr>
          <t xml:space="preserve">، از منبع یا محاسبه Q×H) دارند؛ مبنای مقایسه و </t>
        </r>
        <r>
          <rPr>
            <sz val="10"/>
            <rFont val="Arial"/>
            <family val="2"/>
          </rPr>
          <t xml:space="preserve">Estimator.</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4" authorId="0">
      <text>
        <r>
          <rPr>
            <sz val="10"/>
            <rFont val="FreeSans"/>
            <family val="2"/>
          </rPr>
          <t xml:space="preserve">شناسه یکتای رکورد</t>
        </r>
        <r>
          <rPr>
            <sz val="10"/>
            <rFont val="Arial"/>
            <family val="2"/>
          </rPr>
          <t xml:space="preserve">. Vendor_Quotes </t>
        </r>
        <r>
          <rPr>
            <sz val="10"/>
            <rFont val="FreeSans"/>
            <family val="2"/>
          </rPr>
          <t xml:space="preserve">با همین شماره به رکورد وصل است</t>
        </r>
        <r>
          <rPr>
            <sz val="10"/>
            <rFont val="Arial"/>
            <family val="2"/>
          </rPr>
          <t xml:space="preserve">.</t>
        </r>
      </text>
    </comment>
    <comment ref="B4" authorId="0">
      <text>
        <r>
          <rPr>
            <sz val="10"/>
            <rFont val="FreeSans"/>
            <family val="2"/>
          </rPr>
          <t xml:space="preserve">نام سرویس پمپ طبق منبع (متن تکراری داخل پرانتز حذف شده و نام کامل زیرگروه در داشبورد آمده است)</t>
        </r>
        <r>
          <rPr>
            <sz val="10"/>
            <rFont val="Arial"/>
            <family val="2"/>
          </rPr>
          <t xml:space="preserve">.</t>
        </r>
      </text>
    </comment>
    <comment ref="C4" authorId="0">
      <text>
        <r>
          <rPr>
            <sz val="10"/>
            <rFont val="FreeSans"/>
            <family val="2"/>
          </rPr>
          <t xml:space="preserve">پروژه مرجع</t>
        </r>
        <r>
          <rPr>
            <sz val="10"/>
            <rFont val="Arial"/>
            <family val="2"/>
          </rPr>
          <t xml:space="preserve">.</t>
        </r>
      </text>
    </comment>
    <comment ref="D4" authorId="0">
      <text>
        <r>
          <rPr>
            <sz val="10"/>
            <rFont val="FreeSans"/>
            <family val="2"/>
          </rPr>
          <t xml:space="preserve">شماره تگ طبق منبع</t>
        </r>
        <r>
          <rPr>
            <sz val="10"/>
            <rFont val="Arial"/>
            <family val="2"/>
          </rPr>
          <t xml:space="preserve">.</t>
        </r>
      </text>
    </comment>
    <comment ref="E4" authorId="0">
      <text>
        <r>
          <rPr>
            <sz val="10"/>
            <rFont val="FreeSans"/>
            <family val="2"/>
          </rPr>
          <t xml:space="preserve">زیرگروه پمپ. نام کامل و شرح در </t>
        </r>
        <r>
          <rPr>
            <sz val="10"/>
            <rFont val="Arial"/>
            <family val="2"/>
          </rPr>
          <t xml:space="preserve">Executive Dashboard.</t>
        </r>
      </text>
    </comment>
    <comment ref="E5"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6"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7"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8"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9"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10"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1"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2"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13"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
—
</t>
        </r>
        <r>
          <rPr>
            <sz val="10"/>
            <rFont val="Arial"/>
            <family val="2"/>
          </rPr>
          <t xml:space="preserve">Reclassified 1405-07: ROT-DRN → ROT-WAT (service-based classification; approved)</t>
        </r>
      </text>
    </comment>
    <comment ref="E14"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5"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t>
        </r>
      </text>
    </comment>
    <comment ref="E16"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t>
        </r>
      </text>
    </comment>
    <comment ref="E17"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8"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9"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20"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21"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22"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23"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24"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25"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26"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27"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28"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29"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30"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 xml:space="preserve">Reclassified 1405-07: ROT-INJ → ROT-AUX (service-based classification; approved)</t>
        </r>
      </text>
    </comment>
    <comment ref="E31"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32"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33"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34"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35"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36"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37"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38"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39"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t>
        </r>
      </text>
    </comment>
    <comment ref="E40"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41"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42"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43"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44"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45"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46"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
—
</t>
        </r>
        <r>
          <rPr>
            <sz val="10"/>
            <rFont val="Arial"/>
            <family val="2"/>
          </rPr>
          <t xml:space="preserve">Reclassified 1405-07: ROT-INJ → ROT-CRU (service-based classification; approved)</t>
        </r>
      </text>
    </comment>
    <comment ref="E47"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48"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49"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50"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51"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52"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53"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54"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55"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56"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57"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58"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59"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60"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61"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62"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63"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64"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65"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
—
</t>
        </r>
        <r>
          <rPr>
            <sz val="10"/>
            <rFont val="Arial"/>
            <family val="2"/>
          </rPr>
          <t xml:space="preserve">Reclassified 1405-07: ROT-INJ → ROT-CRU (service-based classification; approved)</t>
        </r>
      </text>
    </comment>
    <comment ref="E66"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67"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68"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69"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70"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71"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72"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73"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74"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75"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76"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77"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78"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79"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80"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81"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82"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83"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84"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85"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86"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t>
        </r>
      </text>
    </comment>
    <comment ref="E87"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88"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89"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90"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91"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92"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93"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94"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95"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96"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 xml:space="preserve">Reclassified 1405-07: ROT-INJ → ROT-AUX (service-based classification; approved)</t>
        </r>
      </text>
    </comment>
    <comment ref="E97"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 xml:space="preserve">Reclassified 1405-07: ROT-WAT → ROT-AUX (service-based classification; approved)</t>
        </r>
      </text>
    </comment>
    <comment ref="E98"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99"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00"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01"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02"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103"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104"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105"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106"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07"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08"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09"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110"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11"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12"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t>
        </r>
      </text>
    </comment>
    <comment ref="E113"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114"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115"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116"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117"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 xml:space="preserve">Reclassified 1405-07: ROT-INJ → ROT-AUX (service-based classification; approved)</t>
        </r>
      </text>
    </comment>
    <comment ref="E118"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
—
</t>
        </r>
        <r>
          <rPr>
            <sz val="10"/>
            <rFont val="Arial"/>
            <family val="2"/>
          </rPr>
          <t xml:space="preserve">Reclassified 1405-07: ROT-INJ → ROT-AUX (service-based classification; approved)</t>
        </r>
      </text>
    </comment>
    <comment ref="E119"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120"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121"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122"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123"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124"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25"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26"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127"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
—
</t>
        </r>
        <r>
          <rPr>
            <sz val="10"/>
            <rFont val="Arial"/>
            <family val="2"/>
          </rPr>
          <t xml:space="preserve">Reclassified 1405-07: ROT-DRN → ROT-WAT (service-based classification; approved)</t>
        </r>
      </text>
    </comment>
    <comment ref="E128"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29"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t>
        </r>
      </text>
    </comment>
    <comment ref="E130"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t>
        </r>
      </text>
    </comment>
    <comment ref="E131"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32"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33" authorId="0">
      <text>
        <r>
          <rPr>
            <sz val="10"/>
            <rFont val="Arial"/>
            <family val="2"/>
          </rPr>
          <t xml:space="preserve">ROT-CRU = Crude Oil &amp; Main Transfer Pumps
</t>
        </r>
        <r>
          <rPr>
            <sz val="10"/>
            <rFont val="FreeSans"/>
            <family val="2"/>
          </rPr>
          <t xml:space="preserve">پمپ‌های نفت خام: انتقال نفت شور و نمک‌زدایی‌شده، </t>
        </r>
        <r>
          <rPr>
            <sz val="10"/>
            <rFont val="Arial"/>
            <family val="2"/>
          </rPr>
          <t xml:space="preserve">Booster</t>
        </r>
        <r>
          <rPr>
            <sz val="10"/>
            <rFont val="FreeSans"/>
            <family val="2"/>
          </rPr>
          <t xml:space="preserve">، </t>
        </r>
        <r>
          <rPr>
            <sz val="10"/>
            <rFont val="Arial"/>
            <family val="2"/>
          </rPr>
          <t xml:space="preserve">Off-spec </t>
        </r>
        <r>
          <rPr>
            <sz val="10"/>
            <rFont val="FreeSans"/>
            <family val="2"/>
          </rPr>
          <t xml:space="preserve">و انتقال اصلی</t>
        </r>
      </text>
    </comment>
    <comment ref="E134"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35"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36"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37"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138"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
—
</t>
        </r>
        <r>
          <rPr>
            <sz val="10"/>
            <rFont val="Arial"/>
            <family val="2"/>
          </rPr>
          <t xml:space="preserve">Reclassified 1405-07: ROT-CRU → ROT-DRN (service-based classification; approved)</t>
        </r>
      </text>
    </comment>
    <comment ref="E139"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140" authorId="0">
      <text>
        <r>
          <rPr>
            <sz val="10"/>
            <rFont val="Arial"/>
            <family val="2"/>
          </rPr>
          <t xml:space="preserve">ROT-INJ = Produced Water &amp; Disposal Injection Pumps
</t>
        </r>
        <r>
          <rPr>
            <sz val="10"/>
            <rFont val="FreeSans"/>
            <family val="2"/>
          </rPr>
          <t xml:space="preserve">آب تولیدی و پساب</t>
        </r>
        <r>
          <rPr>
            <sz val="10"/>
            <rFont val="Arial"/>
            <family val="2"/>
          </rPr>
          <t xml:space="preserve">: Booster </t>
        </r>
        <r>
          <rPr>
            <sz val="10"/>
            <rFont val="FreeSans"/>
            <family val="2"/>
          </rPr>
          <t xml:space="preserve">و پمپ‌های پرفشار تزریق به چاه دفعی</t>
        </r>
      </text>
    </comment>
    <comment ref="E141"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42"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43"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44" authorId="0">
      <text>
        <r>
          <rPr>
            <sz val="10"/>
            <rFont val="Arial"/>
            <family val="2"/>
          </rPr>
          <t xml:space="preserve">ROT-WAT = Desalting &amp; Process Water Pumps
</t>
        </r>
        <r>
          <rPr>
            <sz val="10"/>
            <rFont val="FreeSans"/>
            <family val="2"/>
          </rPr>
          <t xml:space="preserve">آب فرآیندی واحد: آب رقیق‌سازی، </t>
        </r>
        <r>
          <rPr>
            <sz val="10"/>
            <rFont val="Arial"/>
            <family val="2"/>
          </rPr>
          <t xml:space="preserve">Recycle </t>
        </r>
        <r>
          <rPr>
            <sz val="10"/>
            <rFont val="FreeSans"/>
            <family val="2"/>
          </rPr>
          <t xml:space="preserve">دیسالتر، آب هوازدایی‌شده، آب شیرین و آب خنک‌کن</t>
        </r>
      </text>
    </comment>
    <comment ref="E145" authorId="0">
      <text>
        <r>
          <rPr>
            <sz val="10"/>
            <rFont val="Arial"/>
            <family val="2"/>
          </rPr>
          <t xml:space="preserve">ROT-DRN = Drainage, Flare &amp; OWS Pumps
</t>
        </r>
        <r>
          <rPr>
            <sz val="10"/>
            <rFont val="FreeSans"/>
            <family val="2"/>
          </rPr>
          <t xml:space="preserve">درین بسته و باز، </t>
        </r>
        <r>
          <rPr>
            <sz val="10"/>
            <rFont val="Arial"/>
            <family val="2"/>
          </rPr>
          <t xml:space="preserve">Flare KO Drum</t>
        </r>
        <r>
          <rPr>
            <sz val="10"/>
            <rFont val="FreeSans"/>
            <family val="2"/>
          </rPr>
          <t xml:space="preserve">، جداکننده آب و نفت (OWS)، نفت بازیافتی و لجن</t>
        </r>
      </text>
    </comment>
    <comment ref="E146" authorId="0">
      <text>
        <r>
          <rPr>
            <sz val="10"/>
            <rFont val="Arial"/>
            <family val="2"/>
          </rPr>
          <t xml:space="preserve">ROT-AUX = Chemical, Fuel &amp; Auxiliary Pumps
</t>
        </r>
        <r>
          <rPr>
            <sz val="10"/>
            <rFont val="FreeSans"/>
            <family val="2"/>
          </rPr>
          <t xml:space="preserve">پمپ‌های جانبی: مواد شیمیایی، گلایکول، گازوئیل و سوخت</t>
        </r>
      </text>
    </comment>
    <comment ref="E147"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148"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149"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E150" authorId="0">
      <text>
        <r>
          <rPr>
            <sz val="10"/>
            <rFont val="Arial"/>
            <family val="2"/>
          </rPr>
          <t xml:space="preserve">ROT-FIR = Firewater &amp; Safety Pumps
</t>
        </r>
        <r>
          <rPr>
            <sz val="10"/>
            <rFont val="FreeSans"/>
            <family val="2"/>
          </rPr>
          <t xml:space="preserve">آتش‌نشانی: پمپ اصلی برقی و دیزلی، </t>
        </r>
        <r>
          <rPr>
            <sz val="10"/>
            <rFont val="Arial"/>
            <family val="2"/>
          </rPr>
          <t xml:space="preserve">Jockey </t>
        </r>
        <r>
          <rPr>
            <sz val="10"/>
            <rFont val="FreeSans"/>
            <family val="2"/>
          </rPr>
          <t xml:space="preserve">و بارگیری آب آتش‌نشانی</t>
        </r>
      </text>
    </comment>
    <comment ref="F4" authorId="0">
      <text>
        <r>
          <rPr>
            <sz val="10"/>
            <rFont val="FreeSans"/>
            <family val="2"/>
          </rPr>
          <t xml:space="preserve">نوع پیکربندی طبق </t>
        </r>
        <r>
          <rPr>
            <sz val="10"/>
            <rFont val="Arial"/>
            <family val="2"/>
          </rPr>
          <t xml:space="preserve">API 610 (OH / BB / VS). </t>
        </r>
        <r>
          <rPr>
            <sz val="10"/>
            <rFont val="FreeSans"/>
            <family val="2"/>
          </rPr>
          <t xml:space="preserve">شرح هر نوع در </t>
        </r>
        <r>
          <rPr>
            <sz val="10"/>
            <rFont val="Arial"/>
            <family val="2"/>
          </rPr>
          <t xml:space="preserve">Executive Dashboard. N/A </t>
        </r>
        <r>
          <rPr>
            <sz val="10"/>
            <rFont val="FreeSans"/>
            <family val="2"/>
          </rPr>
          <t xml:space="preserve">یعنی پمپ </t>
        </r>
        <r>
          <rPr>
            <sz val="10"/>
            <rFont val="Arial"/>
            <family val="2"/>
          </rPr>
          <t xml:space="preserve">API 610 </t>
        </r>
        <r>
          <rPr>
            <sz val="10"/>
            <rFont val="FreeSans"/>
            <family val="2"/>
          </rPr>
          <t xml:space="preserve">نیست</t>
        </r>
        <r>
          <rPr>
            <sz val="10"/>
            <rFont val="Arial"/>
            <family val="2"/>
          </rPr>
          <t xml:space="preserve">.</t>
        </r>
      </text>
    </comment>
    <comment ref="F5" authorId="0">
      <text>
        <r>
          <rPr>
            <sz val="10"/>
            <rFont val="Arial"/>
            <family val="2"/>
          </rPr>
          <t xml:space="preserve">Not stated – —:
</t>
        </r>
        <r>
          <rPr>
            <sz val="10"/>
            <rFont val="FreeSans"/>
            <family val="2"/>
          </rPr>
          <t xml:space="preserve">نوع پمپ در منبع ذکر نشده</t>
        </r>
      </text>
    </comment>
    <comment ref="F6" authorId="0">
      <text>
        <r>
          <rPr>
            <sz val="10"/>
            <rFont val="Arial"/>
            <family val="2"/>
          </rPr>
          <t xml:space="preserve">Not stated – —:
</t>
        </r>
        <r>
          <rPr>
            <sz val="10"/>
            <rFont val="FreeSans"/>
            <family val="2"/>
          </rPr>
          <t xml:space="preserve">نوع پمپ در منبع ذکر نشده</t>
        </r>
      </text>
    </comment>
    <comment ref="F7" authorId="0">
      <text>
        <r>
          <rPr>
            <sz val="10"/>
            <rFont val="Arial"/>
            <family val="2"/>
          </rPr>
          <t xml:space="preserve">Not stated – —:
</t>
        </r>
        <r>
          <rPr>
            <sz val="10"/>
            <rFont val="FreeSans"/>
            <family val="2"/>
          </rPr>
          <t xml:space="preserve">نوع پمپ در منبع ذکر نشده</t>
        </r>
      </text>
    </comment>
    <comment ref="F8" authorId="0">
      <text>
        <r>
          <rPr>
            <sz val="10"/>
            <rFont val="Arial"/>
            <family val="2"/>
          </rPr>
          <t xml:space="preserve">Not stated – —:
</t>
        </r>
        <r>
          <rPr>
            <sz val="10"/>
            <rFont val="FreeSans"/>
            <family val="2"/>
          </rPr>
          <t xml:space="preserve">نوع پمپ در منبع ذکر نشده</t>
        </r>
      </text>
    </comment>
    <comment ref="F9" authorId="0">
      <text>
        <r>
          <rPr>
            <sz val="10"/>
            <rFont val="Arial"/>
            <family val="2"/>
          </rPr>
          <t xml:space="preserve">Not stated – —:
</t>
        </r>
        <r>
          <rPr>
            <sz val="10"/>
            <rFont val="FreeSans"/>
            <family val="2"/>
          </rPr>
          <t xml:space="preserve">نوع پمپ در منبع ذکر نشده</t>
        </r>
      </text>
    </comment>
    <comment ref="F10" authorId="0">
      <text>
        <r>
          <rPr>
            <sz val="10"/>
            <rFont val="Arial"/>
            <family val="2"/>
          </rPr>
          <t xml:space="preserve">Not stated – —:
</t>
        </r>
        <r>
          <rPr>
            <sz val="10"/>
            <rFont val="FreeSans"/>
            <family val="2"/>
          </rPr>
          <t xml:space="preserve">نوع پمپ در منبع ذکر نشده</t>
        </r>
      </text>
    </comment>
    <comment ref="F11" authorId="0">
      <text>
        <r>
          <rPr>
            <sz val="10"/>
            <rFont val="Arial"/>
            <family val="2"/>
          </rPr>
          <t xml:space="preserve">Not stated – —:
</t>
        </r>
        <r>
          <rPr>
            <sz val="10"/>
            <rFont val="FreeSans"/>
            <family val="2"/>
          </rPr>
          <t xml:space="preserve">نوع پمپ در منبع ذکر نشده</t>
        </r>
      </text>
    </comment>
    <comment ref="F12" authorId="0">
      <text>
        <r>
          <rPr>
            <sz val="10"/>
            <rFont val="Arial"/>
            <family val="2"/>
          </rPr>
          <t xml:space="preserve">Not stated – —:
</t>
        </r>
        <r>
          <rPr>
            <sz val="10"/>
            <rFont val="FreeSans"/>
            <family val="2"/>
          </rPr>
          <t xml:space="preserve">نوع پمپ در منبع ذکر نشده</t>
        </r>
      </text>
    </comment>
    <comment ref="F13" authorId="0">
      <text>
        <r>
          <rPr>
            <sz val="10"/>
            <rFont val="Arial"/>
            <family val="2"/>
          </rPr>
          <t xml:space="preserve">Not stated – —:
</t>
        </r>
        <r>
          <rPr>
            <sz val="10"/>
            <rFont val="FreeSans"/>
            <family val="2"/>
          </rPr>
          <t xml:space="preserve">نوع پمپ در منبع ذکر نشده</t>
        </r>
      </text>
    </comment>
    <comment ref="F14" authorId="0">
      <text>
        <r>
          <rPr>
            <sz val="10"/>
            <rFont val="Arial"/>
            <family val="2"/>
          </rPr>
          <t xml:space="preserve">Not stated – —:
</t>
        </r>
        <r>
          <rPr>
            <sz val="10"/>
            <rFont val="FreeSans"/>
            <family val="2"/>
          </rPr>
          <t xml:space="preserve">نوع پمپ در منبع ذکر نشده</t>
        </r>
      </text>
    </comment>
    <comment ref="F15"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6"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7" authorId="0">
      <text>
        <r>
          <rPr>
            <sz val="10"/>
            <rFont val="Arial"/>
            <family val="2"/>
          </rPr>
          <t xml:space="preserve">Not stated – —:
</t>
        </r>
        <r>
          <rPr>
            <sz val="10"/>
            <rFont val="FreeSans"/>
            <family val="2"/>
          </rPr>
          <t xml:space="preserve">نوع پمپ در منبع ذکر نشده</t>
        </r>
      </text>
    </comment>
    <comment ref="F18" authorId="0">
      <text>
        <r>
          <rPr>
            <sz val="10"/>
            <rFont val="Arial"/>
            <family val="2"/>
          </rPr>
          <t xml:space="preserve">Not stated – —:
</t>
        </r>
        <r>
          <rPr>
            <sz val="10"/>
            <rFont val="FreeSans"/>
            <family val="2"/>
          </rPr>
          <t xml:space="preserve">نوع پمپ در منبع ذکر نشده</t>
        </r>
      </text>
    </comment>
    <comment ref="F19" authorId="0">
      <text>
        <r>
          <rPr>
            <sz val="10"/>
            <rFont val="Arial"/>
            <family val="2"/>
          </rPr>
          <t xml:space="preserve">Not stated – —:
</t>
        </r>
        <r>
          <rPr>
            <sz val="10"/>
            <rFont val="FreeSans"/>
            <family val="2"/>
          </rPr>
          <t xml:space="preserve">نوع پمپ در منبع ذکر نشده</t>
        </r>
      </text>
    </comment>
    <comment ref="F20" authorId="0">
      <text>
        <r>
          <rPr>
            <sz val="10"/>
            <rFont val="Arial"/>
            <family val="2"/>
          </rPr>
          <t xml:space="preserve">Not stated – —:
</t>
        </r>
        <r>
          <rPr>
            <sz val="10"/>
            <rFont val="FreeSans"/>
            <family val="2"/>
          </rPr>
          <t xml:space="preserve">نوع پمپ در منبع ذکر نشده</t>
        </r>
      </text>
    </comment>
    <comment ref="F21" authorId="0">
      <text>
        <r>
          <rPr>
            <sz val="10"/>
            <rFont val="Arial"/>
            <family val="2"/>
          </rPr>
          <t xml:space="preserve">Not stated – —:
</t>
        </r>
        <r>
          <rPr>
            <sz val="10"/>
            <rFont val="FreeSans"/>
            <family val="2"/>
          </rPr>
          <t xml:space="preserve">نوع پمپ در منبع ذکر نشده</t>
        </r>
      </text>
    </comment>
    <comment ref="F22" authorId="0">
      <text>
        <r>
          <rPr>
            <sz val="10"/>
            <rFont val="Arial"/>
            <family val="2"/>
          </rPr>
          <t xml:space="preserve">Not stated – —:
</t>
        </r>
        <r>
          <rPr>
            <sz val="10"/>
            <rFont val="FreeSans"/>
            <family val="2"/>
          </rPr>
          <t xml:space="preserve">نوع پمپ در منبع ذکر نشده</t>
        </r>
      </text>
    </comment>
    <comment ref="F23" authorId="0">
      <text>
        <r>
          <rPr>
            <sz val="10"/>
            <rFont val="Arial"/>
            <family val="2"/>
          </rPr>
          <t xml:space="preserve">Not stated – —:
</t>
        </r>
        <r>
          <rPr>
            <sz val="10"/>
            <rFont val="FreeSans"/>
            <family val="2"/>
          </rPr>
          <t xml:space="preserve">نوع پمپ در منبع ذکر نشده</t>
        </r>
      </text>
    </comment>
    <comment ref="F24" authorId="0">
      <text>
        <r>
          <rPr>
            <sz val="10"/>
            <rFont val="Arial"/>
            <family val="2"/>
          </rPr>
          <t xml:space="preserve">Not stated – —:
</t>
        </r>
        <r>
          <rPr>
            <sz val="10"/>
            <rFont val="FreeSans"/>
            <family val="2"/>
          </rPr>
          <t xml:space="preserve">نوع پمپ در منبع ذکر نشده</t>
        </r>
      </text>
    </comment>
    <comment ref="F25" authorId="0">
      <text>
        <r>
          <rPr>
            <sz val="10"/>
            <rFont val="Arial"/>
            <family val="2"/>
          </rPr>
          <t xml:space="preserve">Not stated – —:
</t>
        </r>
        <r>
          <rPr>
            <sz val="10"/>
            <rFont val="FreeSans"/>
            <family val="2"/>
          </rPr>
          <t xml:space="preserve">نوع پمپ در منبع ذکر نشده</t>
        </r>
      </text>
    </comment>
    <comment ref="F26" authorId="0">
      <text>
        <r>
          <rPr>
            <sz val="10"/>
            <rFont val="Arial"/>
            <family val="2"/>
          </rPr>
          <t xml:space="preserve">Not stated – —:
</t>
        </r>
        <r>
          <rPr>
            <sz val="10"/>
            <rFont val="FreeSans"/>
            <family val="2"/>
          </rPr>
          <t xml:space="preserve">نوع پمپ در منبع ذکر نشده</t>
        </r>
      </text>
    </comment>
    <comment ref="F27" authorId="0">
      <text>
        <r>
          <rPr>
            <sz val="10"/>
            <rFont val="Arial"/>
            <family val="2"/>
          </rPr>
          <t xml:space="preserve">Not stated – —:
</t>
        </r>
        <r>
          <rPr>
            <sz val="10"/>
            <rFont val="FreeSans"/>
            <family val="2"/>
          </rPr>
          <t xml:space="preserve">نوع پمپ در منبع ذکر نشده</t>
        </r>
      </text>
    </comment>
    <comment ref="F28" authorId="0">
      <text>
        <r>
          <rPr>
            <sz val="10"/>
            <rFont val="Arial"/>
            <family val="2"/>
          </rPr>
          <t xml:space="preserve">Not stated – —:
</t>
        </r>
        <r>
          <rPr>
            <sz val="10"/>
            <rFont val="FreeSans"/>
            <family val="2"/>
          </rPr>
          <t xml:space="preserve">نوع پمپ در منبع ذکر نشده</t>
        </r>
      </text>
    </comment>
    <comment ref="F29" authorId="0">
      <text>
        <r>
          <rPr>
            <sz val="10"/>
            <rFont val="Arial"/>
            <family val="2"/>
          </rPr>
          <t xml:space="preserve">Not stated – —:
</t>
        </r>
        <r>
          <rPr>
            <sz val="10"/>
            <rFont val="FreeSans"/>
            <family val="2"/>
          </rPr>
          <t xml:space="preserve">نوع پمپ در منبع ذکر نشده</t>
        </r>
      </text>
    </comment>
    <comment ref="F30" authorId="0">
      <text>
        <r>
          <rPr>
            <sz val="10"/>
            <rFont val="Arial"/>
            <family val="2"/>
          </rPr>
          <t xml:space="preserve">Not stated – —:
</t>
        </r>
        <r>
          <rPr>
            <sz val="10"/>
            <rFont val="FreeSans"/>
            <family val="2"/>
          </rPr>
          <t xml:space="preserve">نوع پمپ در منبع ذکر نشده</t>
        </r>
      </text>
    </comment>
    <comment ref="F31" authorId="0">
      <text>
        <r>
          <rPr>
            <sz val="10"/>
            <rFont val="Arial"/>
            <family val="2"/>
          </rPr>
          <t xml:space="preserve">Not stated – —:
</t>
        </r>
        <r>
          <rPr>
            <sz val="10"/>
            <rFont val="FreeSans"/>
            <family val="2"/>
          </rPr>
          <t xml:space="preserve">نوع پمپ در منبع ذکر نشده</t>
        </r>
      </text>
    </comment>
    <comment ref="F32" authorId="0">
      <text>
        <r>
          <rPr>
            <sz val="10"/>
            <rFont val="Arial"/>
            <family val="2"/>
          </rPr>
          <t xml:space="preserve">Not stated – —:
</t>
        </r>
        <r>
          <rPr>
            <sz val="10"/>
            <rFont val="FreeSans"/>
            <family val="2"/>
          </rPr>
          <t xml:space="preserve">نوع پمپ در منبع ذکر نشده</t>
        </r>
      </text>
    </comment>
    <comment ref="F33" authorId="0">
      <text>
        <r>
          <rPr>
            <sz val="10"/>
            <rFont val="Arial"/>
            <family val="2"/>
          </rPr>
          <t xml:space="preserve">Not stated – —:
</t>
        </r>
        <r>
          <rPr>
            <sz val="10"/>
            <rFont val="FreeSans"/>
            <family val="2"/>
          </rPr>
          <t xml:space="preserve">نوع پمپ در منبع ذکر نشده</t>
        </r>
      </text>
    </comment>
    <comment ref="F34" authorId="0">
      <text>
        <r>
          <rPr>
            <sz val="10"/>
            <rFont val="Arial"/>
            <family val="2"/>
          </rPr>
          <t xml:space="preserve">Not stated – —:
</t>
        </r>
        <r>
          <rPr>
            <sz val="10"/>
            <rFont val="FreeSans"/>
            <family val="2"/>
          </rPr>
          <t xml:space="preserve">نوع پمپ در منبع ذکر نشده</t>
        </r>
      </text>
    </comment>
    <comment ref="F35" authorId="0">
      <text>
        <r>
          <rPr>
            <sz val="10"/>
            <rFont val="Arial"/>
            <family val="2"/>
          </rPr>
          <t xml:space="preserve">Not stated – —:
</t>
        </r>
        <r>
          <rPr>
            <sz val="10"/>
            <rFont val="FreeSans"/>
            <family val="2"/>
          </rPr>
          <t xml:space="preserve">نوع پمپ در منبع ذکر نشده</t>
        </r>
      </text>
    </comment>
    <comment ref="F36" authorId="0">
      <text>
        <r>
          <rPr>
            <sz val="10"/>
            <rFont val="Arial"/>
            <family val="2"/>
          </rPr>
          <t xml:space="preserve">Not stated – —:
</t>
        </r>
        <r>
          <rPr>
            <sz val="10"/>
            <rFont val="FreeSans"/>
            <family val="2"/>
          </rPr>
          <t xml:space="preserve">نوع پمپ در منبع ذکر نشده</t>
        </r>
      </text>
    </comment>
    <comment ref="F37" authorId="0">
      <text>
        <r>
          <rPr>
            <sz val="10"/>
            <rFont val="Arial"/>
            <family val="2"/>
          </rPr>
          <t xml:space="preserve">Not stated – —:
</t>
        </r>
        <r>
          <rPr>
            <sz val="10"/>
            <rFont val="FreeSans"/>
            <family val="2"/>
          </rPr>
          <t xml:space="preserve">نوع پمپ در منبع ذکر نشده</t>
        </r>
      </text>
    </comment>
    <comment ref="F38" authorId="0">
      <text>
        <r>
          <rPr>
            <sz val="10"/>
            <rFont val="Arial"/>
            <family val="2"/>
          </rPr>
          <t xml:space="preserve">Not stated – —:
</t>
        </r>
        <r>
          <rPr>
            <sz val="10"/>
            <rFont val="FreeSans"/>
            <family val="2"/>
          </rPr>
          <t xml:space="preserve">نوع پمپ در منبع ذکر نشده</t>
        </r>
      </text>
    </comment>
    <comment ref="F39" authorId="0">
      <text>
        <r>
          <rPr>
            <sz val="10"/>
            <rFont val="Arial"/>
            <family val="2"/>
          </rPr>
          <t xml:space="preserve">Not stated – —:
</t>
        </r>
        <r>
          <rPr>
            <sz val="10"/>
            <rFont val="FreeSans"/>
            <family val="2"/>
          </rPr>
          <t xml:space="preserve">نوع پمپ در منبع ذکر نشده</t>
        </r>
      </text>
    </comment>
    <comment ref="F40" authorId="0">
      <text>
        <r>
          <rPr>
            <sz val="10"/>
            <rFont val="Arial"/>
            <family val="2"/>
          </rPr>
          <t xml:space="preserve">Not stated – —:
</t>
        </r>
        <r>
          <rPr>
            <sz val="10"/>
            <rFont val="FreeSans"/>
            <family val="2"/>
          </rPr>
          <t xml:space="preserve">نوع پمپ در منبع ذکر نشده</t>
        </r>
      </text>
    </comment>
    <comment ref="F41" authorId="0">
      <text>
        <r>
          <rPr>
            <sz val="10"/>
            <rFont val="Arial"/>
            <family val="2"/>
          </rPr>
          <t xml:space="preserve">Not stated – —:
</t>
        </r>
        <r>
          <rPr>
            <sz val="10"/>
            <rFont val="FreeSans"/>
            <family val="2"/>
          </rPr>
          <t xml:space="preserve">نوع پمپ در منبع ذکر نشده</t>
        </r>
      </text>
    </comment>
    <comment ref="F42" authorId="0">
      <text>
        <r>
          <rPr>
            <sz val="10"/>
            <rFont val="Arial"/>
            <family val="2"/>
          </rPr>
          <t xml:space="preserve">Not stated – —:
</t>
        </r>
        <r>
          <rPr>
            <sz val="10"/>
            <rFont val="FreeSans"/>
            <family val="2"/>
          </rPr>
          <t xml:space="preserve">نوع پمپ در منبع ذکر نشده</t>
        </r>
      </text>
    </comment>
    <comment ref="F43" authorId="0">
      <text>
        <r>
          <rPr>
            <sz val="10"/>
            <rFont val="Arial"/>
            <family val="2"/>
          </rPr>
          <t xml:space="preserve">Not stated – —:
</t>
        </r>
        <r>
          <rPr>
            <sz val="10"/>
            <rFont val="FreeSans"/>
            <family val="2"/>
          </rPr>
          <t xml:space="preserve">نوع پمپ در منبع ذکر نشده</t>
        </r>
      </text>
    </comment>
    <comment ref="F44" authorId="0">
      <text>
        <r>
          <rPr>
            <sz val="10"/>
            <rFont val="Arial"/>
            <family val="2"/>
          </rPr>
          <t xml:space="preserve">Not stated – —:
</t>
        </r>
        <r>
          <rPr>
            <sz val="10"/>
            <rFont val="FreeSans"/>
            <family val="2"/>
          </rPr>
          <t xml:space="preserve">نوع پمپ در منبع ذکر نشده</t>
        </r>
      </text>
    </comment>
    <comment ref="F45"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46"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47"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48"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49" authorId="0">
      <text>
        <r>
          <rPr>
            <sz val="10"/>
            <rFont val="Arial"/>
            <family val="2"/>
          </rPr>
          <t xml:space="preserve">BB3 – Between bearings, multistage, axially split:
</t>
        </r>
        <r>
          <rPr>
            <sz val="10"/>
            <rFont val="FreeSans"/>
            <family val="2"/>
          </rPr>
          <t xml:space="preserve">چندمرحله‌ای، بدنه دوتکه افقی؛ تزریق آب و انتقال پرفشار</t>
        </r>
      </text>
    </comment>
    <comment ref="F50" authorId="0">
      <text>
        <r>
          <rPr>
            <sz val="10"/>
            <rFont val="Arial"/>
            <family val="2"/>
          </rPr>
          <t xml:space="preserve">BB3 – Between bearings, multistage, axially split:
</t>
        </r>
        <r>
          <rPr>
            <sz val="10"/>
            <rFont val="FreeSans"/>
            <family val="2"/>
          </rPr>
          <t xml:space="preserve">چندمرحله‌ای، بدنه دوتکه افقی؛ تزریق آب و انتقال پرفشار</t>
        </r>
      </text>
    </comment>
    <comment ref="F51"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52"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53"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54"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55"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56"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57"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 xml:space="preserve">SOURCE – KPL-476 R03 DESALTERS-A F32</t>
        </r>
      </text>
    </comment>
    <comment ref="F58"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 xml:space="preserve">SOURCE – KPL-476 R03 IWWTP-A (1) F32:F36</t>
        </r>
      </text>
    </comment>
    <comment ref="F59"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 xml:space="preserve">SOURCE – KPL-476 R03 IWWTP-A (1) F37:F41</t>
        </r>
      </text>
    </comment>
    <comment ref="F60"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 xml:space="preserve">SOURCE – KPL-476 R03 IWWTP-A (1) F37:F41</t>
        </r>
      </text>
    </comment>
    <comment ref="F61"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
—
</t>
        </r>
        <r>
          <rPr>
            <sz val="10"/>
            <rFont val="Arial"/>
            <family val="2"/>
          </rPr>
          <t xml:space="preserve">SOURCE – KPL-476 R03 IWWTP-A (1) F42:F46</t>
        </r>
      </text>
    </comment>
    <comment ref="F62"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
—
</t>
        </r>
        <r>
          <rPr>
            <sz val="10"/>
            <rFont val="Arial"/>
            <family val="2"/>
          </rPr>
          <t xml:space="preserve">SOURCE – KPL-476 R03 IWWTP-A (2) F16:F20</t>
        </r>
      </text>
    </comment>
    <comment ref="F63"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64"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65"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66"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67"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68" authorId="0">
      <text>
        <r>
          <rPr>
            <sz val="10"/>
            <rFont val="Arial"/>
            <family val="2"/>
          </rPr>
          <t xml:space="preserve">BB3 – Between bearings, multistage, axially split:
</t>
        </r>
        <r>
          <rPr>
            <sz val="10"/>
            <rFont val="FreeSans"/>
            <family val="2"/>
          </rPr>
          <t xml:space="preserve">چندمرحله‌ای، بدنه دوتکه افقی؛ تزریق آب و انتقال پرفشار</t>
        </r>
      </text>
    </comment>
    <comment ref="F69" authorId="0">
      <text>
        <r>
          <rPr>
            <sz val="10"/>
            <rFont val="Arial"/>
            <family val="2"/>
          </rPr>
          <t xml:space="preserve">BB3 – Between bearings, multistage, axially split:
</t>
        </r>
        <r>
          <rPr>
            <sz val="10"/>
            <rFont val="FreeSans"/>
            <family val="2"/>
          </rPr>
          <t xml:space="preserve">چندمرحله‌ای، بدنه دوتکه افقی؛ تزریق آب و انتقال پرفشار</t>
        </r>
      </text>
    </comment>
    <comment ref="F70"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71"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72"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73"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74"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75"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76"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 xml:space="preserve">SOURCE – KPL-476 R03 DESALTERS-B F33</t>
        </r>
      </text>
    </comment>
    <comment ref="F77"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 xml:space="preserve">SOURCE – KPL-476 R03 IWWTP-B (1) F32:F36</t>
        </r>
      </text>
    </comment>
    <comment ref="F78"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 xml:space="preserve">SOURCE – KPL-476 R03 IWWTP-B (1) F37:F42</t>
        </r>
      </text>
    </comment>
    <comment ref="F79"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 xml:space="preserve">SOURCE – KPL-476 R03 IWWTP-B (1) F37:F42</t>
        </r>
      </text>
    </comment>
    <comment ref="F80"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
—
</t>
        </r>
        <r>
          <rPr>
            <sz val="10"/>
            <rFont val="Arial"/>
            <family val="2"/>
          </rPr>
          <t xml:space="preserve">SOURCE – KPL-476 R03 IWWTP-B (1) F43:F47</t>
        </r>
      </text>
    </comment>
    <comment ref="F81"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
—
</t>
        </r>
        <r>
          <rPr>
            <sz val="10"/>
            <rFont val="Arial"/>
            <family val="2"/>
          </rPr>
          <t xml:space="preserve">SOURCE – KPL-476 R03 IWWTP-B (2) F17:F21</t>
        </r>
      </text>
    </comment>
    <comment ref="F82"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
—
</t>
        </r>
        <r>
          <rPr>
            <sz val="10"/>
            <rFont val="Arial"/>
            <family val="2"/>
          </rPr>
          <t xml:space="preserve">SOURCE – KPL-476 R03 STRIPPER-B F36</t>
        </r>
      </text>
    </comment>
    <comment ref="F83"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84"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85" authorId="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 xml:space="preserve">Flare KO</t>
        </r>
      </text>
    </comment>
    <comment ref="F86"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87" authorId="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 xml:space="preserve">Flare KO</t>
        </r>
      </text>
    </comment>
    <comment ref="F88" authorId="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
—
</t>
        </r>
        <r>
          <rPr>
            <sz val="10"/>
            <rFont val="Arial"/>
            <family val="2"/>
          </rPr>
          <t xml:space="preserve">SOURCE – KPL-476 PUMPS-C (2) F28:F29 / F37:F38: "Horizontal, Impeller Between Bearings Design"</t>
        </r>
      </text>
    </comment>
    <comment ref="F89" authorId="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
—
</t>
        </r>
        <r>
          <rPr>
            <sz val="10"/>
            <rFont val="Arial"/>
            <family val="2"/>
          </rPr>
          <t xml:space="preserve">SOURCE – KPL-476 PUMPS-C (2) F28:F29 / F37:F38: "Horizontal, Impeller Between Bearings Design"</t>
        </r>
      </text>
    </comment>
    <comment ref="F90" authorId="0">
      <text>
        <r>
          <rPr>
            <sz val="10"/>
            <rFont val="Arial"/>
            <family val="2"/>
          </rPr>
          <t xml:space="preserve">OH (unspecified) – Overhung – subtype not stated:
</t>
        </r>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 xml:space="preserve">را مشخص نکرده
—
</t>
        </r>
        <r>
          <rPr>
            <sz val="10"/>
            <rFont val="Arial"/>
            <family val="2"/>
          </rPr>
          <t xml:space="preserve">SOURCE – KPL-476 PUMPS-C (3) F20:F21: "Horizontal, Overhung Impeller Design"</t>
        </r>
      </text>
    </comment>
    <comment ref="F91"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92"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93"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94"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95"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96"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97"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98" authorId="0">
      <text>
        <r>
          <rPr>
            <sz val="10"/>
            <rFont val="Arial"/>
            <family val="2"/>
          </rPr>
          <t xml:space="preserve">VS6 – Vertically suspended, double casing, diffuser (can):
</t>
        </r>
        <r>
          <rPr>
            <sz val="10"/>
            <rFont val="FreeSans"/>
            <family val="2"/>
          </rPr>
          <t xml:space="preserve">عمودی دوبدنه در قوطی </t>
        </r>
        <r>
          <rPr>
            <sz val="10"/>
            <rFont val="Arial"/>
            <family val="2"/>
          </rPr>
          <t xml:space="preserve">(Can)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 xml:space="preserve">و مایعات نزدیک نقطه جوش</t>
        </r>
      </text>
    </comment>
    <comment ref="F99"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00"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01"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02" authorId="0">
      <text>
        <r>
          <rPr>
            <sz val="10"/>
            <rFont val="Arial"/>
            <family val="2"/>
          </rPr>
          <t xml:space="preserve">BB3 – Between bearings, multistage, axially split:
</t>
        </r>
        <r>
          <rPr>
            <sz val="10"/>
            <rFont val="FreeSans"/>
            <family val="2"/>
          </rPr>
          <t xml:space="preserve">چندمرحله‌ای، بدنه دوتکه افقی؛ تزریق آب و انتقال پرفشار</t>
        </r>
      </text>
    </comment>
    <comment ref="F103"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04"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05" authorId="0">
      <text>
        <r>
          <rPr>
            <sz val="10"/>
            <rFont val="Arial"/>
            <family val="2"/>
          </rPr>
          <t xml:space="preserve">BB3 – Between bearings, multistage, axially split:
</t>
        </r>
        <r>
          <rPr>
            <sz val="10"/>
            <rFont val="FreeSans"/>
            <family val="2"/>
          </rPr>
          <t xml:space="preserve">چندمرحله‌ای، بدنه دوتکه افقی؛ تزریق آب و انتقال پرفشار</t>
        </r>
      </text>
    </comment>
    <comment ref="F106"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07"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08" authorId="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 xml:space="preserve">Flare KO</t>
        </r>
      </text>
    </comment>
    <comment ref="F109"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10"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11"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12"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13"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14" authorId="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F115" authorId="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F116" authorId="0">
      <text>
        <r>
          <rPr>
            <sz val="10"/>
            <rFont val="Arial"/>
            <family val="2"/>
          </rPr>
          <t xml:space="preserve">OH (unspecified) – Overhung – subtype not stated:
</t>
        </r>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F117"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18"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19" authorId="0">
      <text>
        <r>
          <rPr>
            <sz val="10"/>
            <rFont val="Arial"/>
            <family val="2"/>
          </rPr>
          <t xml:space="preserve">Not stated – —:
</t>
        </r>
        <r>
          <rPr>
            <sz val="10"/>
            <rFont val="FreeSans"/>
            <family val="2"/>
          </rPr>
          <t xml:space="preserve">نوع پمپ در منبع ذکر نشده</t>
        </r>
      </text>
    </comment>
    <comment ref="F120" authorId="0">
      <text>
        <r>
          <rPr>
            <sz val="10"/>
            <rFont val="Arial"/>
            <family val="2"/>
          </rPr>
          <t xml:space="preserve">Not stated – —:
</t>
        </r>
        <r>
          <rPr>
            <sz val="10"/>
            <rFont val="FreeSans"/>
            <family val="2"/>
          </rPr>
          <t xml:space="preserve">نوع پمپ در منبع ذکر نشده</t>
        </r>
      </text>
    </comment>
    <comment ref="F121" authorId="0">
      <text>
        <r>
          <rPr>
            <sz val="10"/>
            <rFont val="Arial"/>
            <family val="2"/>
          </rPr>
          <t xml:space="preserve">Not stated – —:
</t>
        </r>
        <r>
          <rPr>
            <sz val="10"/>
            <rFont val="FreeSans"/>
            <family val="2"/>
          </rPr>
          <t xml:space="preserve">نوع پمپ در منبع ذکر نشده</t>
        </r>
      </text>
    </comment>
    <comment ref="F122" authorId="0">
      <text>
        <r>
          <rPr>
            <sz val="10"/>
            <rFont val="Arial"/>
            <family val="2"/>
          </rPr>
          <t xml:space="preserve">Not stated – —:
</t>
        </r>
        <r>
          <rPr>
            <sz val="10"/>
            <rFont val="FreeSans"/>
            <family val="2"/>
          </rPr>
          <t xml:space="preserve">نوع پمپ در منبع ذکر نشده</t>
        </r>
      </text>
    </comment>
    <comment ref="F123" authorId="0">
      <text>
        <r>
          <rPr>
            <sz val="10"/>
            <rFont val="Arial"/>
            <family val="2"/>
          </rPr>
          <t xml:space="preserve">Not stated – —:
</t>
        </r>
        <r>
          <rPr>
            <sz val="10"/>
            <rFont val="FreeSans"/>
            <family val="2"/>
          </rPr>
          <t xml:space="preserve">نوع پمپ در منبع ذکر نشده</t>
        </r>
      </text>
    </comment>
    <comment ref="F124" authorId="0">
      <text>
        <r>
          <rPr>
            <sz val="10"/>
            <rFont val="Arial"/>
            <family val="2"/>
          </rPr>
          <t xml:space="preserve">Not stated – —:
</t>
        </r>
        <r>
          <rPr>
            <sz val="10"/>
            <rFont val="FreeSans"/>
            <family val="2"/>
          </rPr>
          <t xml:space="preserve">نوع پمپ در منبع ذکر نشده</t>
        </r>
      </text>
    </comment>
    <comment ref="F125" authorId="0">
      <text>
        <r>
          <rPr>
            <sz val="10"/>
            <rFont val="Arial"/>
            <family val="2"/>
          </rPr>
          <t xml:space="preserve">Not stated – —:
</t>
        </r>
        <r>
          <rPr>
            <sz val="10"/>
            <rFont val="FreeSans"/>
            <family val="2"/>
          </rPr>
          <t xml:space="preserve">نوع پمپ در منبع ذکر نشده</t>
        </r>
      </text>
    </comment>
    <comment ref="F126" authorId="0">
      <text>
        <r>
          <rPr>
            <sz val="10"/>
            <rFont val="Arial"/>
            <family val="2"/>
          </rPr>
          <t xml:space="preserve">Not stated – —:
</t>
        </r>
        <r>
          <rPr>
            <sz val="10"/>
            <rFont val="FreeSans"/>
            <family val="2"/>
          </rPr>
          <t xml:space="preserve">نوع پمپ در منبع ذکر نشده</t>
        </r>
      </text>
    </comment>
    <comment ref="F127" authorId="0">
      <text>
        <r>
          <rPr>
            <sz val="10"/>
            <rFont val="Arial"/>
            <family val="2"/>
          </rPr>
          <t xml:space="preserve">Not stated – —:
</t>
        </r>
        <r>
          <rPr>
            <sz val="10"/>
            <rFont val="FreeSans"/>
            <family val="2"/>
          </rPr>
          <t xml:space="preserve">نوع پمپ در منبع ذکر نشده</t>
        </r>
      </text>
    </comment>
    <comment ref="F128" authorId="0">
      <text>
        <r>
          <rPr>
            <sz val="10"/>
            <rFont val="Arial"/>
            <family val="2"/>
          </rPr>
          <t xml:space="preserve">Not stated – —:
</t>
        </r>
        <r>
          <rPr>
            <sz val="10"/>
            <rFont val="FreeSans"/>
            <family val="2"/>
          </rPr>
          <t xml:space="preserve">نوع پمپ در منبع ذکر نشده</t>
        </r>
      </text>
    </comment>
    <comment ref="F129"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30"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31" authorId="0">
      <text>
        <r>
          <rPr>
            <sz val="10"/>
            <rFont val="Arial"/>
            <family val="2"/>
          </rPr>
          <t xml:space="preserve">Not stated – —:
</t>
        </r>
        <r>
          <rPr>
            <sz val="10"/>
            <rFont val="FreeSans"/>
            <family val="2"/>
          </rPr>
          <t xml:space="preserve">نوع پمپ در منبع ذکر نشده</t>
        </r>
      </text>
    </comment>
    <comment ref="F132" authorId="0">
      <text>
        <r>
          <rPr>
            <sz val="10"/>
            <rFont val="Arial"/>
            <family val="2"/>
          </rPr>
          <t xml:space="preserve">Not stated – —:
</t>
        </r>
        <r>
          <rPr>
            <sz val="10"/>
            <rFont val="FreeSans"/>
            <family val="2"/>
          </rPr>
          <t xml:space="preserve">نوع پمپ در منبع ذکر نشده</t>
        </r>
      </text>
    </comment>
    <comment ref="F133" authorId="0">
      <text>
        <r>
          <rPr>
            <sz val="10"/>
            <rFont val="Arial"/>
            <family val="2"/>
          </rPr>
          <t xml:space="preserve">VS6 – Vertically suspended, double casing, diffuser (can):
</t>
        </r>
        <r>
          <rPr>
            <sz val="10"/>
            <rFont val="FreeSans"/>
            <family val="2"/>
          </rPr>
          <t xml:space="preserve">عمودی دوبدنه در قوطی </t>
        </r>
        <r>
          <rPr>
            <sz val="10"/>
            <rFont val="Arial"/>
            <family val="2"/>
          </rPr>
          <t xml:space="preserve">(Can)</t>
        </r>
        <r>
          <rPr>
            <sz val="10"/>
            <rFont val="FreeSans"/>
            <family val="2"/>
          </rPr>
          <t xml:space="preserve">؛ </t>
        </r>
        <r>
          <rPr>
            <sz val="10"/>
            <rFont val="Arial"/>
            <family val="2"/>
          </rPr>
          <t xml:space="preserve">NPSH </t>
        </r>
        <r>
          <rPr>
            <sz val="10"/>
            <rFont val="FreeSans"/>
            <family val="2"/>
          </rPr>
          <t xml:space="preserve">کم، مثل </t>
        </r>
        <r>
          <rPr>
            <sz val="10"/>
            <rFont val="Arial"/>
            <family val="2"/>
          </rPr>
          <t xml:space="preserve">Off-spec </t>
        </r>
        <r>
          <rPr>
            <sz val="10"/>
            <rFont val="FreeSans"/>
            <family val="2"/>
          </rPr>
          <t xml:space="preserve">و مایعات نزدیک نقطه جوش</t>
        </r>
      </text>
    </comment>
    <comment ref="F134"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35"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36"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37" authorId="0">
      <text>
        <r>
          <rPr>
            <sz val="10"/>
            <rFont val="Arial"/>
            <family val="2"/>
          </rPr>
          <t xml:space="preserve">BB3 – Between bearings, multistage, axially split:
</t>
        </r>
        <r>
          <rPr>
            <sz val="10"/>
            <rFont val="FreeSans"/>
            <family val="2"/>
          </rPr>
          <t xml:space="preserve">چندمرحله‌ای، بدنه دوتکه افقی؛ تزریق آب و انتقال پرفشار</t>
        </r>
      </text>
    </comment>
    <comment ref="F138"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39"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40" authorId="0">
      <text>
        <r>
          <rPr>
            <sz val="10"/>
            <rFont val="Arial"/>
            <family val="2"/>
          </rPr>
          <t xml:space="preserve">BB3 – Between bearings, multistage, axially split:
</t>
        </r>
        <r>
          <rPr>
            <sz val="10"/>
            <rFont val="FreeSans"/>
            <family val="2"/>
          </rPr>
          <t xml:space="preserve">چندمرحله‌ای، بدنه دوتکه افقی؛ تزریق آب و انتقال پرفشار</t>
        </r>
      </text>
    </comment>
    <comment ref="F141"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42"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43" authorId="0">
      <text>
        <r>
          <rPr>
            <sz val="10"/>
            <rFont val="Arial"/>
            <family val="2"/>
          </rPr>
          <t xml:space="preserve">VS4 – Vertically suspended, line-shaft, separate discharge (sump):
</t>
        </r>
        <r>
          <rPr>
            <sz val="10"/>
            <rFont val="FreeSans"/>
            <family val="2"/>
          </rPr>
          <t xml:space="preserve">پمپ عمودی </t>
        </r>
        <r>
          <rPr>
            <sz val="10"/>
            <rFont val="Arial"/>
            <family val="2"/>
          </rPr>
          <t xml:space="preserve">Sump </t>
        </r>
        <r>
          <rPr>
            <sz val="10"/>
            <rFont val="FreeSans"/>
            <family val="2"/>
          </rPr>
          <t xml:space="preserve">با شفت بلند و لوله خروجی جدا؛ چاهک درین و </t>
        </r>
        <r>
          <rPr>
            <sz val="10"/>
            <rFont val="Arial"/>
            <family val="2"/>
          </rPr>
          <t xml:space="preserve">Flare KO</t>
        </r>
      </text>
    </comment>
    <comment ref="F144"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45" authorId="0">
      <text>
        <r>
          <rPr>
            <sz val="10"/>
            <rFont val="Arial"/>
            <family val="2"/>
          </rPr>
          <t xml:space="preserve">OH2 – Overhung, centreline-mounted:
</t>
        </r>
        <r>
          <rPr>
            <sz val="10"/>
            <rFont val="FreeSans"/>
            <family val="2"/>
          </rPr>
          <t xml:space="preserve">یک‌مرحله‌ای </t>
        </r>
        <r>
          <rPr>
            <sz val="10"/>
            <rFont val="Arial"/>
            <family val="2"/>
          </rPr>
          <t xml:space="preserve">Overhung </t>
        </r>
        <r>
          <rPr>
            <sz val="10"/>
            <rFont val="FreeSans"/>
            <family val="2"/>
          </rPr>
          <t xml:space="preserve">با نصب روی خط مرکز؛ رایج‌ترین پمپ فرآیندی پالایشگاهی و تحمل دمای بالا</t>
        </r>
      </text>
    </comment>
    <comment ref="F146"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47" authorId="0">
      <text>
        <r>
          <rPr>
            <sz val="10"/>
            <rFont val="Arial"/>
            <family val="2"/>
          </rPr>
          <t xml:space="preserve">N/A (non-API 610) – Not an API 610 pump:
</t>
        </r>
        <r>
          <rPr>
            <sz val="10"/>
            <rFont val="FreeSans"/>
            <family val="2"/>
          </rPr>
          <t xml:space="preserve">پمپ طبق </t>
        </r>
        <r>
          <rPr>
            <sz val="10"/>
            <rFont val="Arial"/>
            <family val="2"/>
          </rPr>
          <t xml:space="preserve">API 610 </t>
        </r>
        <r>
          <rPr>
            <sz val="10"/>
            <rFont val="FreeSans"/>
            <family val="2"/>
          </rPr>
          <t xml:space="preserve">نیست </t>
        </r>
        <r>
          <rPr>
            <sz val="10"/>
            <rFont val="Arial"/>
            <family val="2"/>
          </rPr>
          <t xml:space="preserve">(ISO 5199</t>
        </r>
        <r>
          <rPr>
            <sz val="10"/>
            <rFont val="FreeSans"/>
            <family val="2"/>
          </rPr>
          <t xml:space="preserve">، </t>
        </r>
        <r>
          <rPr>
            <sz val="10"/>
            <rFont val="Arial"/>
            <family val="2"/>
          </rPr>
          <t xml:space="preserve">NFPA 20</t>
        </r>
        <r>
          <rPr>
            <sz val="10"/>
            <rFont val="FreeSans"/>
            <family val="2"/>
          </rPr>
          <t xml:space="preserve">، </t>
        </r>
        <r>
          <rPr>
            <sz val="10"/>
            <rFont val="Arial"/>
            <family val="2"/>
          </rPr>
          <t xml:space="preserve">JIS</t>
        </r>
        <r>
          <rPr>
            <sz val="10"/>
            <rFont val="FreeSans"/>
            <family val="2"/>
          </rPr>
          <t xml:space="preserve">، پمپ جابه‌جایی مثبت یا پرتابل</t>
        </r>
        <r>
          <rPr>
            <sz val="10"/>
            <rFont val="Arial"/>
            <family val="2"/>
          </rPr>
          <t xml:space="preserve">)</t>
        </r>
        <r>
          <rPr>
            <sz val="10"/>
            <rFont val="FreeSans"/>
            <family val="2"/>
          </rPr>
          <t xml:space="preserve">؛ طبقه‌بندی </t>
        </r>
        <r>
          <rPr>
            <sz val="10"/>
            <rFont val="Arial"/>
            <family val="2"/>
          </rPr>
          <t xml:space="preserve">API 610 </t>
        </r>
        <r>
          <rPr>
            <sz val="10"/>
            <rFont val="FreeSans"/>
            <family val="2"/>
          </rPr>
          <t xml:space="preserve">کاربرد ندارد</t>
        </r>
      </text>
    </comment>
    <comment ref="F148" authorId="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F149" authorId="0">
      <text>
        <r>
          <rPr>
            <sz val="10"/>
            <rFont val="Arial"/>
            <family val="2"/>
          </rPr>
          <t xml:space="preserve">BB (unspecified) – Between bearings – subtype not stated:
</t>
        </r>
        <r>
          <rPr>
            <sz val="10"/>
            <rFont val="FreeSans"/>
            <family val="2"/>
          </rPr>
          <t xml:space="preserve">منبع فقط </t>
        </r>
        <r>
          <rPr>
            <sz val="10"/>
            <rFont val="Arial"/>
            <family val="2"/>
          </rPr>
          <t xml:space="preserve">«Between Bearings»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F150" authorId="0">
      <text>
        <r>
          <rPr>
            <sz val="10"/>
            <rFont val="Arial"/>
            <family val="2"/>
          </rPr>
          <t xml:space="preserve">OH (unspecified) – Overhung – subtype not stated:
</t>
        </r>
        <r>
          <rPr>
            <sz val="10"/>
            <rFont val="FreeSans"/>
            <family val="2"/>
          </rPr>
          <t xml:space="preserve">منبع فقط </t>
        </r>
        <r>
          <rPr>
            <sz val="10"/>
            <rFont val="Arial"/>
            <family val="2"/>
          </rPr>
          <t xml:space="preserve">«Overhung» </t>
        </r>
        <r>
          <rPr>
            <sz val="10"/>
            <rFont val="FreeSans"/>
            <family val="2"/>
          </rPr>
          <t xml:space="preserve">گفته و زیرنوع </t>
        </r>
        <r>
          <rPr>
            <sz val="10"/>
            <rFont val="Arial"/>
            <family val="2"/>
          </rPr>
          <t xml:space="preserve">API </t>
        </r>
        <r>
          <rPr>
            <sz val="10"/>
            <rFont val="FreeSans"/>
            <family val="2"/>
          </rPr>
          <t xml:space="preserve">را مشخص نکرده</t>
        </r>
      </text>
    </comment>
    <comment ref="G4" authorId="0">
      <text>
        <r>
          <rPr>
            <sz val="10"/>
            <rFont val="FreeSans"/>
            <family val="2"/>
          </rPr>
          <t xml:space="preserve">کلاس متریال طبق جدول </t>
        </r>
        <r>
          <rPr>
            <sz val="10"/>
            <rFont val="Arial"/>
            <family val="2"/>
          </rPr>
          <t xml:space="preserve">H.1 </t>
        </r>
        <r>
          <rPr>
            <sz val="10"/>
            <rFont val="FreeSans"/>
            <family val="2"/>
          </rPr>
          <t xml:space="preserve">استاندارد </t>
        </r>
        <r>
          <rPr>
            <sz val="10"/>
            <rFont val="Arial"/>
            <family val="2"/>
          </rPr>
          <t xml:space="preserve">API 610. </t>
        </r>
        <r>
          <rPr>
            <sz val="10"/>
            <rFont val="FreeSans"/>
            <family val="2"/>
          </rPr>
          <t xml:space="preserve">شرح هر کلاس در </t>
        </r>
        <r>
          <rPr>
            <sz val="10"/>
            <rFont val="Arial"/>
            <family val="2"/>
          </rPr>
          <t xml:space="preserve">Note </t>
        </r>
        <r>
          <rPr>
            <sz val="10"/>
            <rFont val="FreeSans"/>
            <family val="2"/>
          </rPr>
          <t xml:space="preserve">همان سلول و در </t>
        </r>
        <r>
          <rPr>
            <sz val="10"/>
            <rFont val="Arial"/>
            <family val="2"/>
          </rPr>
          <t xml:space="preserve">Executive Dashboard.</t>
        </r>
      </text>
    </comment>
    <comment ref="G5" authorId="0">
      <text>
        <r>
          <rPr>
            <sz val="10"/>
            <rFont val="FreeSans"/>
            <family val="2"/>
          </rPr>
          <t xml:space="preserve">کلاس متریال در منبع ذکر نشده است</t>
        </r>
        <r>
          <rPr>
            <sz val="10"/>
            <rFont val="Arial"/>
            <family val="2"/>
          </rPr>
          <t xml:space="preserve">.</t>
        </r>
      </text>
    </comment>
    <comment ref="G6" authorId="0">
      <text>
        <r>
          <rPr>
            <sz val="10"/>
            <rFont val="FreeSans"/>
            <family val="2"/>
          </rPr>
          <t xml:space="preserve">کلاس متریال در منبع ذکر نشده است</t>
        </r>
        <r>
          <rPr>
            <sz val="10"/>
            <rFont val="Arial"/>
            <family val="2"/>
          </rPr>
          <t xml:space="preserve">.</t>
        </r>
      </text>
    </comment>
    <comment ref="G7" authorId="0">
      <text>
        <r>
          <rPr>
            <sz val="10"/>
            <rFont val="FreeSans"/>
            <family val="2"/>
          </rPr>
          <t xml:space="preserve">کلاس متریال در منبع ذکر نشده است</t>
        </r>
        <r>
          <rPr>
            <sz val="10"/>
            <rFont val="Arial"/>
            <family val="2"/>
          </rPr>
          <t xml:space="preserve">.</t>
        </r>
      </text>
    </comment>
    <comment ref="G8" authorId="0">
      <text>
        <r>
          <rPr>
            <sz val="10"/>
            <rFont val="FreeSans"/>
            <family val="2"/>
          </rPr>
          <t xml:space="preserve">کلاس متریال در منبع ذکر نشده است</t>
        </r>
        <r>
          <rPr>
            <sz val="10"/>
            <rFont val="Arial"/>
            <family val="2"/>
          </rPr>
          <t xml:space="preserve">.</t>
        </r>
      </text>
    </comment>
    <comment ref="G9" authorId="0">
      <text>
        <r>
          <rPr>
            <sz val="10"/>
            <rFont val="FreeSans"/>
            <family val="2"/>
          </rPr>
          <t xml:space="preserve">کلاس متریال در منبع ذکر نشده است</t>
        </r>
        <r>
          <rPr>
            <sz val="10"/>
            <rFont val="Arial"/>
            <family val="2"/>
          </rPr>
          <t xml:space="preserve">.</t>
        </r>
      </text>
    </comment>
    <comment ref="G10" authorId="0">
      <text>
        <r>
          <rPr>
            <sz val="10"/>
            <rFont val="FreeSans"/>
            <family val="2"/>
          </rPr>
          <t xml:space="preserve">کلاس متریال در منبع ذکر نشده است</t>
        </r>
        <r>
          <rPr>
            <sz val="10"/>
            <rFont val="Arial"/>
            <family val="2"/>
          </rPr>
          <t xml:space="preserve">.</t>
        </r>
      </text>
    </comment>
    <comment ref="G11" authorId="0">
      <text>
        <r>
          <rPr>
            <sz val="10"/>
            <rFont val="FreeSans"/>
            <family val="2"/>
          </rPr>
          <t xml:space="preserve">کلاس متریال در منبع ذکر نشده است</t>
        </r>
        <r>
          <rPr>
            <sz val="10"/>
            <rFont val="Arial"/>
            <family val="2"/>
          </rPr>
          <t xml:space="preserve">.</t>
        </r>
      </text>
    </comment>
    <comment ref="G12" authorId="0">
      <text>
        <r>
          <rPr>
            <sz val="10"/>
            <rFont val="FreeSans"/>
            <family val="2"/>
          </rPr>
          <t xml:space="preserve">کلاس متریال در منبع ذکر نشده است</t>
        </r>
        <r>
          <rPr>
            <sz val="10"/>
            <rFont val="Arial"/>
            <family val="2"/>
          </rPr>
          <t xml:space="preserve">.</t>
        </r>
      </text>
    </comment>
    <comment ref="G13" authorId="0">
      <text>
        <r>
          <rPr>
            <sz val="10"/>
            <rFont val="FreeSans"/>
            <family val="2"/>
          </rPr>
          <t xml:space="preserve">کلاس متریال در منبع ذکر نشده است</t>
        </r>
        <r>
          <rPr>
            <sz val="10"/>
            <rFont val="Arial"/>
            <family val="2"/>
          </rPr>
          <t xml:space="preserve">.</t>
        </r>
      </text>
    </comment>
    <comment ref="G14" authorId="0">
      <text>
        <r>
          <rPr>
            <sz val="10"/>
            <rFont val="FreeSans"/>
            <family val="2"/>
          </rPr>
          <t xml:space="preserve">کلاس متریال در منبع ذکر نشده است</t>
        </r>
        <r>
          <rPr>
            <sz val="10"/>
            <rFont val="Arial"/>
            <family val="2"/>
          </rPr>
          <t xml:space="preserve">.</t>
        </r>
      </text>
    </comment>
    <comment ref="G15" authorId="0">
      <text>
        <r>
          <rPr>
            <sz val="10"/>
            <rFont val="FreeSans"/>
            <family val="2"/>
          </rPr>
          <t xml:space="preserve">کلاس متریال در منبع ذکر نشده است</t>
        </r>
        <r>
          <rPr>
            <sz val="10"/>
            <rFont val="Arial"/>
            <family val="2"/>
          </rPr>
          <t xml:space="preserve">.</t>
        </r>
      </text>
    </comment>
    <comment ref="G16" authorId="0">
      <text>
        <r>
          <rPr>
            <sz val="10"/>
            <rFont val="FreeSans"/>
            <family val="2"/>
          </rPr>
          <t xml:space="preserve">کلاس متریال در منبع ذکر نشده است</t>
        </r>
        <r>
          <rPr>
            <sz val="10"/>
            <rFont val="Arial"/>
            <family val="2"/>
          </rPr>
          <t xml:space="preserve">.</t>
        </r>
      </text>
    </comment>
    <comment ref="G17" authorId="0">
      <text>
        <r>
          <rPr>
            <sz val="10"/>
            <rFont val="FreeSans"/>
            <family val="2"/>
          </rPr>
          <t xml:space="preserve">کلاس متریال در منبع ذکر نشده است</t>
        </r>
        <r>
          <rPr>
            <sz val="10"/>
            <rFont val="Arial"/>
            <family val="2"/>
          </rPr>
          <t xml:space="preserve">.</t>
        </r>
      </text>
    </comment>
    <comment ref="G18" authorId="0">
      <text>
        <r>
          <rPr>
            <sz val="10"/>
            <rFont val="FreeSans"/>
            <family val="2"/>
          </rPr>
          <t xml:space="preserve">کلاس متریال در منبع ذکر نشده است</t>
        </r>
        <r>
          <rPr>
            <sz val="10"/>
            <rFont val="Arial"/>
            <family val="2"/>
          </rPr>
          <t xml:space="preserve">.</t>
        </r>
      </text>
    </comment>
    <comment ref="G19" authorId="0">
      <text>
        <r>
          <rPr>
            <sz val="10"/>
            <rFont val="FreeSans"/>
            <family val="2"/>
          </rPr>
          <t xml:space="preserve">کلاس متریال در منبع ذکر نشده است</t>
        </r>
        <r>
          <rPr>
            <sz val="10"/>
            <rFont val="Arial"/>
            <family val="2"/>
          </rPr>
          <t xml:space="preserve">.</t>
        </r>
      </text>
    </comment>
    <comment ref="G20" authorId="0">
      <text>
        <r>
          <rPr>
            <sz val="10"/>
            <rFont val="FreeSans"/>
            <family val="2"/>
          </rPr>
          <t xml:space="preserve">کلاس متریال در منبع ذکر نشده است</t>
        </r>
        <r>
          <rPr>
            <sz val="10"/>
            <rFont val="Arial"/>
            <family val="2"/>
          </rPr>
          <t xml:space="preserve">.</t>
        </r>
      </text>
    </comment>
    <comment ref="G21" authorId="0">
      <text>
        <r>
          <rPr>
            <sz val="10"/>
            <rFont val="FreeSans"/>
            <family val="2"/>
          </rPr>
          <t xml:space="preserve">کلاس متریال در منبع ذکر نشده است</t>
        </r>
        <r>
          <rPr>
            <sz val="10"/>
            <rFont val="Arial"/>
            <family val="2"/>
          </rPr>
          <t xml:space="preserve">.</t>
        </r>
      </text>
    </comment>
    <comment ref="G22" authorId="0">
      <text>
        <r>
          <rPr>
            <sz val="10"/>
            <rFont val="FreeSans"/>
            <family val="2"/>
          </rPr>
          <t xml:space="preserve">کلاس متریال در منبع ذکر نشده است</t>
        </r>
        <r>
          <rPr>
            <sz val="10"/>
            <rFont val="Arial"/>
            <family val="2"/>
          </rPr>
          <t xml:space="preserve">.</t>
        </r>
      </text>
    </comment>
    <comment ref="G23" authorId="0">
      <text>
        <r>
          <rPr>
            <sz val="10"/>
            <rFont val="FreeSans"/>
            <family val="2"/>
          </rPr>
          <t xml:space="preserve">کلاس متریال در منبع ذکر نشده است</t>
        </r>
        <r>
          <rPr>
            <sz val="10"/>
            <rFont val="Arial"/>
            <family val="2"/>
          </rPr>
          <t xml:space="preserve">.</t>
        </r>
      </text>
    </comment>
    <comment ref="G24" authorId="0">
      <text>
        <r>
          <rPr>
            <sz val="10"/>
            <rFont val="FreeSans"/>
            <family val="2"/>
          </rPr>
          <t xml:space="preserve">کلاس متریال در منبع ذکر نشده است</t>
        </r>
        <r>
          <rPr>
            <sz val="10"/>
            <rFont val="Arial"/>
            <family val="2"/>
          </rPr>
          <t xml:space="preserve">.</t>
        </r>
      </text>
    </comment>
    <comment ref="G25" authorId="0">
      <text>
        <r>
          <rPr>
            <sz val="10"/>
            <rFont val="FreeSans"/>
            <family val="2"/>
          </rPr>
          <t xml:space="preserve">کلاس متریال در منبع ذکر نشده است</t>
        </r>
        <r>
          <rPr>
            <sz val="10"/>
            <rFont val="Arial"/>
            <family val="2"/>
          </rPr>
          <t xml:space="preserve">.</t>
        </r>
      </text>
    </comment>
    <comment ref="G26" authorId="0">
      <text>
        <r>
          <rPr>
            <sz val="10"/>
            <rFont val="FreeSans"/>
            <family val="2"/>
          </rPr>
          <t xml:space="preserve">کلاس متریال در منبع ذکر نشده است</t>
        </r>
        <r>
          <rPr>
            <sz val="10"/>
            <rFont val="Arial"/>
            <family val="2"/>
          </rPr>
          <t xml:space="preserve">.</t>
        </r>
      </text>
    </comment>
    <comment ref="G27" authorId="0">
      <text>
        <r>
          <rPr>
            <sz val="10"/>
            <rFont val="FreeSans"/>
            <family val="2"/>
          </rPr>
          <t xml:space="preserve">کلاس متریال در منبع ذکر نشده است</t>
        </r>
        <r>
          <rPr>
            <sz val="10"/>
            <rFont val="Arial"/>
            <family val="2"/>
          </rPr>
          <t xml:space="preserve">.</t>
        </r>
      </text>
    </comment>
    <comment ref="G28" authorId="0">
      <text>
        <r>
          <rPr>
            <sz val="10"/>
            <rFont val="FreeSans"/>
            <family val="2"/>
          </rPr>
          <t xml:space="preserve">کلاس متریال در منبع ذکر نشده است</t>
        </r>
        <r>
          <rPr>
            <sz val="10"/>
            <rFont val="Arial"/>
            <family val="2"/>
          </rPr>
          <t xml:space="preserve">.</t>
        </r>
      </text>
    </comment>
    <comment ref="G29" authorId="0">
      <text>
        <r>
          <rPr>
            <sz val="10"/>
            <rFont val="FreeSans"/>
            <family val="2"/>
          </rPr>
          <t xml:space="preserve">کلاس متریال در منبع ذکر نشده است</t>
        </r>
        <r>
          <rPr>
            <sz val="10"/>
            <rFont val="Arial"/>
            <family val="2"/>
          </rPr>
          <t xml:space="preserve">.</t>
        </r>
      </text>
    </comment>
    <comment ref="G30" authorId="0">
      <text>
        <r>
          <rPr>
            <sz val="10"/>
            <rFont val="FreeSans"/>
            <family val="2"/>
          </rPr>
          <t xml:space="preserve">کلاس متریال در منبع ذکر نشده است</t>
        </r>
        <r>
          <rPr>
            <sz val="10"/>
            <rFont val="Arial"/>
            <family val="2"/>
          </rPr>
          <t xml:space="preserve">.</t>
        </r>
      </text>
    </comment>
    <comment ref="G31" authorId="0">
      <text>
        <r>
          <rPr>
            <sz val="10"/>
            <rFont val="FreeSans"/>
            <family val="2"/>
          </rPr>
          <t xml:space="preserve">کلاس متریال در منبع ذکر نشده است</t>
        </r>
        <r>
          <rPr>
            <sz val="10"/>
            <rFont val="Arial"/>
            <family val="2"/>
          </rPr>
          <t xml:space="preserve">.</t>
        </r>
      </text>
    </comment>
    <comment ref="G32" authorId="0">
      <text>
        <r>
          <rPr>
            <sz val="10"/>
            <rFont val="FreeSans"/>
            <family val="2"/>
          </rPr>
          <t xml:space="preserve">کلاس متریال در منبع ذکر نشده است</t>
        </r>
        <r>
          <rPr>
            <sz val="10"/>
            <rFont val="Arial"/>
            <family val="2"/>
          </rPr>
          <t xml:space="preserve">.</t>
        </r>
      </text>
    </comment>
    <comment ref="G33" authorId="0">
      <text>
        <r>
          <rPr>
            <sz val="10"/>
            <rFont val="FreeSans"/>
            <family val="2"/>
          </rPr>
          <t xml:space="preserve">کلاس متریال در منبع ذکر نشده است</t>
        </r>
        <r>
          <rPr>
            <sz val="10"/>
            <rFont val="Arial"/>
            <family val="2"/>
          </rPr>
          <t xml:space="preserve">.</t>
        </r>
      </text>
    </comment>
    <comment ref="G34" authorId="0">
      <text>
        <r>
          <rPr>
            <sz val="10"/>
            <rFont val="FreeSans"/>
            <family val="2"/>
          </rPr>
          <t xml:space="preserve">کلاس متریال در منبع ذکر نشده است</t>
        </r>
        <r>
          <rPr>
            <sz val="10"/>
            <rFont val="Arial"/>
            <family val="2"/>
          </rPr>
          <t xml:space="preserve">.</t>
        </r>
      </text>
    </comment>
    <comment ref="G35" authorId="0">
      <text>
        <r>
          <rPr>
            <sz val="10"/>
            <rFont val="FreeSans"/>
            <family val="2"/>
          </rPr>
          <t xml:space="preserve">کلاس متریال در منبع ذکر نشده است</t>
        </r>
        <r>
          <rPr>
            <sz val="10"/>
            <rFont val="Arial"/>
            <family val="2"/>
          </rPr>
          <t xml:space="preserve">.</t>
        </r>
      </text>
    </comment>
    <comment ref="G36" authorId="0">
      <text>
        <r>
          <rPr>
            <sz val="10"/>
            <rFont val="FreeSans"/>
            <family val="2"/>
          </rPr>
          <t xml:space="preserve">کلاس متریال در منبع ذکر نشده است</t>
        </r>
        <r>
          <rPr>
            <sz val="10"/>
            <rFont val="Arial"/>
            <family val="2"/>
          </rPr>
          <t xml:space="preserve">.</t>
        </r>
      </text>
    </comment>
    <comment ref="G37" authorId="0">
      <text>
        <r>
          <rPr>
            <sz val="10"/>
            <rFont val="FreeSans"/>
            <family val="2"/>
          </rPr>
          <t xml:space="preserve">کلاس متریال در منبع ذکر نشده است</t>
        </r>
        <r>
          <rPr>
            <sz val="10"/>
            <rFont val="Arial"/>
            <family val="2"/>
          </rPr>
          <t xml:space="preserve">.</t>
        </r>
      </text>
    </comment>
    <comment ref="G38" authorId="0">
      <text>
        <r>
          <rPr>
            <sz val="10"/>
            <rFont val="FreeSans"/>
            <family val="2"/>
          </rPr>
          <t xml:space="preserve">کلاس متریال در منبع ذکر نشده است</t>
        </r>
        <r>
          <rPr>
            <sz val="10"/>
            <rFont val="Arial"/>
            <family val="2"/>
          </rPr>
          <t xml:space="preserve">.</t>
        </r>
      </text>
    </comment>
    <comment ref="G39" authorId="0">
      <text>
        <r>
          <rPr>
            <sz val="10"/>
            <rFont val="FreeSans"/>
            <family val="2"/>
          </rPr>
          <t xml:space="preserve">کلاس متریال در منبع ذکر نشده است</t>
        </r>
        <r>
          <rPr>
            <sz val="10"/>
            <rFont val="Arial"/>
            <family val="2"/>
          </rPr>
          <t xml:space="preserve">.</t>
        </r>
      </text>
    </comment>
    <comment ref="G40" authorId="0">
      <text>
        <r>
          <rPr>
            <sz val="10"/>
            <rFont val="FreeSans"/>
            <family val="2"/>
          </rPr>
          <t xml:space="preserve">کلاس متریال در منبع ذکر نشده است</t>
        </r>
        <r>
          <rPr>
            <sz val="10"/>
            <rFont val="Arial"/>
            <family val="2"/>
          </rPr>
          <t xml:space="preserve">.</t>
        </r>
      </text>
    </comment>
    <comment ref="G41" authorId="0">
      <text>
        <r>
          <rPr>
            <sz val="10"/>
            <rFont val="FreeSans"/>
            <family val="2"/>
          </rPr>
          <t xml:space="preserve">کلاس متریال در منبع ذکر نشده است</t>
        </r>
        <r>
          <rPr>
            <sz val="10"/>
            <rFont val="Arial"/>
            <family val="2"/>
          </rPr>
          <t xml:space="preserve">.</t>
        </r>
      </text>
    </comment>
    <comment ref="G42" authorId="0">
      <text>
        <r>
          <rPr>
            <sz val="10"/>
            <rFont val="FreeSans"/>
            <family val="2"/>
          </rPr>
          <t xml:space="preserve">کلاس متریال در منبع ذکر نشده است</t>
        </r>
        <r>
          <rPr>
            <sz val="10"/>
            <rFont val="Arial"/>
            <family val="2"/>
          </rPr>
          <t xml:space="preserve">.</t>
        </r>
      </text>
    </comment>
    <comment ref="G43" authorId="0">
      <text>
        <r>
          <rPr>
            <sz val="10"/>
            <rFont val="FreeSans"/>
            <family val="2"/>
          </rPr>
          <t xml:space="preserve">کلاس متریال در منبع ذکر نشده است</t>
        </r>
        <r>
          <rPr>
            <sz val="10"/>
            <rFont val="Arial"/>
            <family val="2"/>
          </rPr>
          <t xml:space="preserve">.</t>
        </r>
      </text>
    </comment>
    <comment ref="G44" authorId="0">
      <text>
        <r>
          <rPr>
            <sz val="10"/>
            <rFont val="FreeSans"/>
            <family val="2"/>
          </rPr>
          <t xml:space="preserve">کلاس متریال در منبع ذکر نشده است</t>
        </r>
        <r>
          <rPr>
            <sz val="10"/>
            <rFont val="Arial"/>
            <family val="2"/>
          </rPr>
          <t xml:space="preserve">.</t>
        </r>
      </text>
    </comment>
    <comment ref="G45"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46"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47"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48"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49"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50"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51" authorId="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 xml:space="preserve">کاربرد معمول: هیدروکربن عمومی و داغ</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52" authorId="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 xml:space="preserve">کاربرد معمول: هیدروکربن عمومی و داغ</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53"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54"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55"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56"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57"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DESALTERS-A F35</t>
        </r>
      </text>
    </comment>
    <comment ref="G58"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IWWTP-A (1) F32:F36</t>
        </r>
      </text>
    </comment>
    <comment ref="G59"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IWWTP-A (1) F37:F41</t>
        </r>
      </text>
    </comment>
    <comment ref="G60"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IWWTP-A (1) F37:F41</t>
        </r>
      </text>
    </comment>
    <comment ref="G61"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IWWTP-A (1) F42:F46</t>
        </r>
      </text>
    </comment>
    <comment ref="G62"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IWWTP-A (2) F16:F20</t>
        </r>
      </text>
    </comment>
    <comment ref="G63"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64"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65"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66"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67"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68"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69"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70" authorId="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 xml:space="preserve">کاربرد معمول: هیدروکربن عمومی و داغ</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71" authorId="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 xml:space="preserve">کاربرد معمول: هیدروکربن عمومی و داغ</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72"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73"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74"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75"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76"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DESALTERS-B F36</t>
        </r>
      </text>
    </comment>
    <comment ref="G77"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IWWTP-B (1) F32:F36</t>
        </r>
      </text>
    </comment>
    <comment ref="G78"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IWWTP-B (1) F37:F42</t>
        </r>
      </text>
    </comment>
    <comment ref="G79"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IWWTP-B (1) F37:F42</t>
        </r>
      </text>
    </comment>
    <comment ref="G80"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IWWTP-B (1) F43:F47</t>
        </r>
      </text>
    </comment>
    <comment ref="G81"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IWWTP-B (2) F17:F21</t>
        </r>
      </text>
    </comment>
    <comment ref="G82"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
—
SOURCE – KPL-476 R03 STRIPPER-B F39</t>
        </r>
      </text>
    </comment>
    <comment ref="G83"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84"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85"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86" authorId="0">
      <text>
        <r>
          <rPr>
            <sz val="10"/>
            <rFont val="Arial"/>
            <family val="2"/>
          </rPr>
          <t xml:space="preserve">S-1: </t>
        </r>
        <r>
          <rPr>
            <sz val="10"/>
            <rFont val="FreeSans"/>
            <family val="2"/>
          </rPr>
          <t xml:space="preserve">بدنه فولاد کربنی، پروانه چدن؛ رینگ چدن؛ شفت فولاد کربنی</t>
        </r>
        <r>
          <rPr>
            <sz val="10"/>
            <rFont val="Arial"/>
            <family val="2"/>
          </rPr>
          <t xml:space="preserve">.
</t>
        </r>
        <r>
          <rPr>
            <sz val="10"/>
            <rFont val="FreeSans"/>
            <family val="2"/>
          </rPr>
          <t xml:space="preserve">کاربرد معمول: هیدروکربن غیرخورنده</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87"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88"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89"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0"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1"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2"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3"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4"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5"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6" authorId="0">
      <text>
        <r>
          <rPr>
            <sz val="10"/>
            <rFont val="Arial"/>
            <family val="2"/>
          </rPr>
          <t xml:space="preserve">SS316L (non-API): </t>
        </r>
        <r>
          <rPr>
            <sz val="10"/>
            <rFont val="FreeSans"/>
            <family val="2"/>
          </rPr>
          <t xml:space="preserve">بدنه فولاد ضدزنگ </t>
        </r>
        <r>
          <rPr>
            <sz val="10"/>
            <rFont val="Arial"/>
            <family val="2"/>
          </rPr>
          <t xml:space="preserve">316L</t>
        </r>
        <r>
          <rPr>
            <sz val="10"/>
            <rFont val="FreeSans"/>
            <family val="2"/>
          </rPr>
          <t xml:space="preserve">، پروانه فولاد ضدزنگ </t>
        </r>
        <r>
          <rPr>
            <sz val="10"/>
            <rFont val="Arial"/>
            <family val="2"/>
          </rPr>
          <t xml:space="preserve">316L</t>
        </r>
        <r>
          <rPr>
            <sz val="10"/>
            <rFont val="FreeSans"/>
            <family val="2"/>
          </rPr>
          <t xml:space="preserve">؛ —</t>
        </r>
        <r>
          <rPr>
            <sz val="10"/>
            <rFont val="Arial"/>
            <family val="2"/>
          </rPr>
          <t xml:space="preserve">.
</t>
        </r>
        <r>
          <rPr>
            <sz val="10"/>
            <rFont val="FreeSans"/>
            <family val="2"/>
          </rPr>
          <t xml:space="preserve">کاربرد معمول: ساخت غیر </t>
        </r>
        <r>
          <rPr>
            <sz val="10"/>
            <rFont val="Arial"/>
            <family val="2"/>
          </rPr>
          <t xml:space="preserve">API (</t>
        </r>
        <r>
          <rPr>
            <sz val="10"/>
            <rFont val="FreeSans"/>
            <family val="2"/>
          </rPr>
          <t xml:space="preserve">مثلاً پمپ بشکه‌ای پرتابل</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7" authorId="0">
      <text>
        <r>
          <rPr>
            <sz val="10"/>
            <rFont val="Arial"/>
            <family val="2"/>
          </rPr>
          <t xml:space="preserve">SS316L (non-API): </t>
        </r>
        <r>
          <rPr>
            <sz val="10"/>
            <rFont val="FreeSans"/>
            <family val="2"/>
          </rPr>
          <t xml:space="preserve">بدنه فولاد ضدزنگ </t>
        </r>
        <r>
          <rPr>
            <sz val="10"/>
            <rFont val="Arial"/>
            <family val="2"/>
          </rPr>
          <t xml:space="preserve">316L</t>
        </r>
        <r>
          <rPr>
            <sz val="10"/>
            <rFont val="FreeSans"/>
            <family val="2"/>
          </rPr>
          <t xml:space="preserve">، پروانه فولاد ضدزنگ </t>
        </r>
        <r>
          <rPr>
            <sz val="10"/>
            <rFont val="Arial"/>
            <family val="2"/>
          </rPr>
          <t xml:space="preserve">316L</t>
        </r>
        <r>
          <rPr>
            <sz val="10"/>
            <rFont val="FreeSans"/>
            <family val="2"/>
          </rPr>
          <t xml:space="preserve">؛ —</t>
        </r>
        <r>
          <rPr>
            <sz val="10"/>
            <rFont val="Arial"/>
            <family val="2"/>
          </rPr>
          <t xml:space="preserve">.
</t>
        </r>
        <r>
          <rPr>
            <sz val="10"/>
            <rFont val="FreeSans"/>
            <family val="2"/>
          </rPr>
          <t xml:space="preserve">کاربرد معمول: ساخت غیر </t>
        </r>
        <r>
          <rPr>
            <sz val="10"/>
            <rFont val="Arial"/>
            <family val="2"/>
          </rPr>
          <t xml:space="preserve">API (</t>
        </r>
        <r>
          <rPr>
            <sz val="10"/>
            <rFont val="FreeSans"/>
            <family val="2"/>
          </rPr>
          <t xml:space="preserve">مثلاً پمپ بشکه‌ای پرتابل</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8"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99"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0"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1"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2"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3"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4"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5"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6"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7"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8"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09"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0"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1"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2" authorId="0">
      <text>
        <r>
          <rPr>
            <sz val="10"/>
            <rFont val="Arial"/>
            <family val="2"/>
          </rPr>
          <t xml:space="preserve">S-1: </t>
        </r>
        <r>
          <rPr>
            <sz val="10"/>
            <rFont val="FreeSans"/>
            <family val="2"/>
          </rPr>
          <t xml:space="preserve">بدنه فولاد کربنی، پروانه چدن؛ رینگ چدن؛ شفت فولاد کربنی</t>
        </r>
        <r>
          <rPr>
            <sz val="10"/>
            <rFont val="Arial"/>
            <family val="2"/>
          </rPr>
          <t xml:space="preserve">.
</t>
        </r>
        <r>
          <rPr>
            <sz val="10"/>
            <rFont val="FreeSans"/>
            <family val="2"/>
          </rPr>
          <t xml:space="preserve">کاربرد معمول: هیدروکربن غیرخورنده</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3"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4"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5"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6"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7" authorId="0">
      <text>
        <r>
          <rPr>
            <sz val="10"/>
            <rFont val="Arial"/>
            <family val="2"/>
          </rPr>
          <t xml:space="preserve">SS316L (non-API): </t>
        </r>
        <r>
          <rPr>
            <sz val="10"/>
            <rFont val="FreeSans"/>
            <family val="2"/>
          </rPr>
          <t xml:space="preserve">بدنه فولاد ضدزنگ </t>
        </r>
        <r>
          <rPr>
            <sz val="10"/>
            <rFont val="Arial"/>
            <family val="2"/>
          </rPr>
          <t xml:space="preserve">316L</t>
        </r>
        <r>
          <rPr>
            <sz val="10"/>
            <rFont val="FreeSans"/>
            <family val="2"/>
          </rPr>
          <t xml:space="preserve">، پروانه فولاد ضدزنگ </t>
        </r>
        <r>
          <rPr>
            <sz val="10"/>
            <rFont val="Arial"/>
            <family val="2"/>
          </rPr>
          <t xml:space="preserve">316L</t>
        </r>
        <r>
          <rPr>
            <sz val="10"/>
            <rFont val="FreeSans"/>
            <family val="2"/>
          </rPr>
          <t xml:space="preserve">؛ —</t>
        </r>
        <r>
          <rPr>
            <sz val="10"/>
            <rFont val="Arial"/>
            <family val="2"/>
          </rPr>
          <t xml:space="preserve">.
</t>
        </r>
        <r>
          <rPr>
            <sz val="10"/>
            <rFont val="FreeSans"/>
            <family val="2"/>
          </rPr>
          <t xml:space="preserve">کاربرد معمول: ساخت غیر </t>
        </r>
        <r>
          <rPr>
            <sz val="10"/>
            <rFont val="Arial"/>
            <family val="2"/>
          </rPr>
          <t xml:space="preserve">API (</t>
        </r>
        <r>
          <rPr>
            <sz val="10"/>
            <rFont val="FreeSans"/>
            <family val="2"/>
          </rPr>
          <t xml:space="preserve">مثلاً پمپ بشکه‌ای پرتابل</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8" authorId="0">
      <text>
        <r>
          <rPr>
            <sz val="10"/>
            <rFont val="Arial"/>
            <family val="2"/>
          </rPr>
          <t xml:space="preserve">SS316L (non-API): </t>
        </r>
        <r>
          <rPr>
            <sz val="10"/>
            <rFont val="FreeSans"/>
            <family val="2"/>
          </rPr>
          <t xml:space="preserve">بدنه فولاد ضدزنگ </t>
        </r>
        <r>
          <rPr>
            <sz val="10"/>
            <rFont val="Arial"/>
            <family val="2"/>
          </rPr>
          <t xml:space="preserve">316L</t>
        </r>
        <r>
          <rPr>
            <sz val="10"/>
            <rFont val="FreeSans"/>
            <family val="2"/>
          </rPr>
          <t xml:space="preserve">، پروانه فولاد ضدزنگ </t>
        </r>
        <r>
          <rPr>
            <sz val="10"/>
            <rFont val="Arial"/>
            <family val="2"/>
          </rPr>
          <t xml:space="preserve">316L</t>
        </r>
        <r>
          <rPr>
            <sz val="10"/>
            <rFont val="FreeSans"/>
            <family val="2"/>
          </rPr>
          <t xml:space="preserve">؛ —</t>
        </r>
        <r>
          <rPr>
            <sz val="10"/>
            <rFont val="Arial"/>
            <family val="2"/>
          </rPr>
          <t xml:space="preserve">.
</t>
        </r>
        <r>
          <rPr>
            <sz val="10"/>
            <rFont val="FreeSans"/>
            <family val="2"/>
          </rPr>
          <t xml:space="preserve">کاربرد معمول: ساخت غیر </t>
        </r>
        <r>
          <rPr>
            <sz val="10"/>
            <rFont val="Arial"/>
            <family val="2"/>
          </rPr>
          <t xml:space="preserve">API (</t>
        </r>
        <r>
          <rPr>
            <sz val="10"/>
            <rFont val="FreeSans"/>
            <family val="2"/>
          </rPr>
          <t xml:space="preserve">مثلاً پمپ بشکه‌ای پرتابل</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19" authorId="0">
      <text>
        <r>
          <rPr>
            <sz val="10"/>
            <rFont val="FreeSans"/>
            <family val="2"/>
          </rPr>
          <t xml:space="preserve">کلاس متریال در منبع ذکر نشده است</t>
        </r>
        <r>
          <rPr>
            <sz val="10"/>
            <rFont val="Arial"/>
            <family val="2"/>
          </rPr>
          <t xml:space="preserve">.</t>
        </r>
      </text>
    </comment>
    <comment ref="G120" authorId="0">
      <text>
        <r>
          <rPr>
            <sz val="10"/>
            <rFont val="FreeSans"/>
            <family val="2"/>
          </rPr>
          <t xml:space="preserve">کلاس متریال در منبع ذکر نشده است</t>
        </r>
        <r>
          <rPr>
            <sz val="10"/>
            <rFont val="Arial"/>
            <family val="2"/>
          </rPr>
          <t xml:space="preserve">.</t>
        </r>
      </text>
    </comment>
    <comment ref="G121" authorId="0">
      <text>
        <r>
          <rPr>
            <sz val="10"/>
            <rFont val="FreeSans"/>
            <family val="2"/>
          </rPr>
          <t xml:space="preserve">کلاس متریال در منبع ذکر نشده است</t>
        </r>
        <r>
          <rPr>
            <sz val="10"/>
            <rFont val="Arial"/>
            <family val="2"/>
          </rPr>
          <t xml:space="preserve">.</t>
        </r>
      </text>
    </comment>
    <comment ref="G122" authorId="0">
      <text>
        <r>
          <rPr>
            <sz val="10"/>
            <rFont val="FreeSans"/>
            <family val="2"/>
          </rPr>
          <t xml:space="preserve">کلاس متریال در منبع ذکر نشده است</t>
        </r>
        <r>
          <rPr>
            <sz val="10"/>
            <rFont val="Arial"/>
            <family val="2"/>
          </rPr>
          <t xml:space="preserve">.</t>
        </r>
      </text>
    </comment>
    <comment ref="G123" authorId="0">
      <text>
        <r>
          <rPr>
            <sz val="10"/>
            <rFont val="FreeSans"/>
            <family val="2"/>
          </rPr>
          <t xml:space="preserve">کلاس متریال در منبع ذکر نشده است</t>
        </r>
        <r>
          <rPr>
            <sz val="10"/>
            <rFont val="Arial"/>
            <family val="2"/>
          </rPr>
          <t xml:space="preserve">.</t>
        </r>
      </text>
    </comment>
    <comment ref="G124" authorId="0">
      <text>
        <r>
          <rPr>
            <sz val="10"/>
            <rFont val="FreeSans"/>
            <family val="2"/>
          </rPr>
          <t xml:space="preserve">کلاس متریال در منبع ذکر نشده است</t>
        </r>
        <r>
          <rPr>
            <sz val="10"/>
            <rFont val="Arial"/>
            <family val="2"/>
          </rPr>
          <t xml:space="preserve">.</t>
        </r>
      </text>
    </comment>
    <comment ref="G125" authorId="0">
      <text>
        <r>
          <rPr>
            <sz val="10"/>
            <rFont val="FreeSans"/>
            <family val="2"/>
          </rPr>
          <t xml:space="preserve">کلاس متریال در منبع ذکر نشده است</t>
        </r>
        <r>
          <rPr>
            <sz val="10"/>
            <rFont val="Arial"/>
            <family val="2"/>
          </rPr>
          <t xml:space="preserve">.</t>
        </r>
      </text>
    </comment>
    <comment ref="G126" authorId="0">
      <text>
        <r>
          <rPr>
            <sz val="10"/>
            <rFont val="FreeSans"/>
            <family val="2"/>
          </rPr>
          <t xml:space="preserve">کلاس متریال در منبع ذکر نشده است</t>
        </r>
        <r>
          <rPr>
            <sz val="10"/>
            <rFont val="Arial"/>
            <family val="2"/>
          </rPr>
          <t xml:space="preserve">.</t>
        </r>
      </text>
    </comment>
    <comment ref="G127" authorId="0">
      <text>
        <r>
          <rPr>
            <sz val="10"/>
            <rFont val="FreeSans"/>
            <family val="2"/>
          </rPr>
          <t xml:space="preserve">کلاس متریال در منبع ذکر نشده است</t>
        </r>
        <r>
          <rPr>
            <sz val="10"/>
            <rFont val="Arial"/>
            <family val="2"/>
          </rPr>
          <t xml:space="preserve">.</t>
        </r>
      </text>
    </comment>
    <comment ref="G128" authorId="0">
      <text>
        <r>
          <rPr>
            <sz val="10"/>
            <rFont val="FreeSans"/>
            <family val="2"/>
          </rPr>
          <t xml:space="preserve">کلاس متریال در منبع ذکر نشده است</t>
        </r>
        <r>
          <rPr>
            <sz val="10"/>
            <rFont val="Arial"/>
            <family val="2"/>
          </rPr>
          <t xml:space="preserve">.</t>
        </r>
      </text>
    </comment>
    <comment ref="G129" authorId="0">
      <text>
        <r>
          <rPr>
            <sz val="10"/>
            <rFont val="FreeSans"/>
            <family val="2"/>
          </rPr>
          <t xml:space="preserve">کلاس متریال در منبع ذکر نشده است</t>
        </r>
        <r>
          <rPr>
            <sz val="10"/>
            <rFont val="Arial"/>
            <family val="2"/>
          </rPr>
          <t xml:space="preserve">.</t>
        </r>
      </text>
    </comment>
    <comment ref="G130" authorId="0">
      <text>
        <r>
          <rPr>
            <sz val="10"/>
            <rFont val="FreeSans"/>
            <family val="2"/>
          </rPr>
          <t xml:space="preserve">کلاس متریال در منبع ذکر نشده است</t>
        </r>
        <r>
          <rPr>
            <sz val="10"/>
            <rFont val="Arial"/>
            <family val="2"/>
          </rPr>
          <t xml:space="preserve">.</t>
        </r>
      </text>
    </comment>
    <comment ref="G131" authorId="0">
      <text>
        <r>
          <rPr>
            <sz val="10"/>
            <rFont val="FreeSans"/>
            <family val="2"/>
          </rPr>
          <t xml:space="preserve">کلاس متریال در منبع ذکر نشده است</t>
        </r>
        <r>
          <rPr>
            <sz val="10"/>
            <rFont val="Arial"/>
            <family val="2"/>
          </rPr>
          <t xml:space="preserve">.</t>
        </r>
      </text>
    </comment>
    <comment ref="G132" authorId="0">
      <text>
        <r>
          <rPr>
            <sz val="10"/>
            <rFont val="FreeSans"/>
            <family val="2"/>
          </rPr>
          <t xml:space="preserve">کلاس متریال در منبع ذکر نشده است</t>
        </r>
        <r>
          <rPr>
            <sz val="10"/>
            <rFont val="Arial"/>
            <family val="2"/>
          </rPr>
          <t xml:space="preserve">.</t>
        </r>
      </text>
    </comment>
    <comment ref="G133"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34"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35"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36"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37"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38"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39"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0"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1"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2"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3"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4"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5"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6" authorId="0">
      <text>
        <r>
          <rPr>
            <sz val="10"/>
            <rFont val="Arial"/>
            <family val="2"/>
          </rPr>
          <t xml:space="preserve">S-1: </t>
        </r>
        <r>
          <rPr>
            <sz val="10"/>
            <rFont val="FreeSans"/>
            <family val="2"/>
          </rPr>
          <t xml:space="preserve">بدنه فولاد کربنی، پروانه چدن؛ رینگ چدن؛ شفت فولاد کربنی</t>
        </r>
        <r>
          <rPr>
            <sz val="10"/>
            <rFont val="Arial"/>
            <family val="2"/>
          </rPr>
          <t xml:space="preserve">.
</t>
        </r>
        <r>
          <rPr>
            <sz val="10"/>
            <rFont val="FreeSans"/>
            <family val="2"/>
          </rPr>
          <t xml:space="preserve">کاربرد معمول: هیدروکربن غیرخورنده</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7"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8"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49"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G150"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H4" authorId="0">
      <text>
        <r>
          <rPr>
            <sz val="10"/>
            <rFont val="FreeSans"/>
            <family val="2"/>
          </rPr>
          <t xml:space="preserve">دبی نامی </t>
        </r>
        <r>
          <rPr>
            <sz val="10"/>
            <rFont val="Arial"/>
            <family val="2"/>
          </rPr>
          <t xml:space="preserve">(Rated Flow).</t>
        </r>
      </text>
    </comment>
    <comment ref="H57" authorId="0">
      <text>
        <r>
          <rPr>
            <sz val="10"/>
            <rFont val="Arial"/>
            <family val="2"/>
          </rPr>
          <t xml:space="preserve">SOURCE – KPL-476 R03 DESALTERS-A F33: Pumps Rated Flow 21 m3/hr</t>
        </r>
      </text>
    </comment>
    <comment ref="H76" authorId="0">
      <text>
        <r>
          <rPr>
            <sz val="10"/>
            <rFont val="Arial"/>
            <family val="2"/>
          </rPr>
          <t xml:space="preserve">SOURCE – KPL-476 R03 DESALTERS-B F34: Pumps Rated Flow 15 m3/hr</t>
        </r>
      </text>
    </comment>
    <comment ref="H82" authorId="0">
      <text>
        <r>
          <rPr>
            <sz val="10"/>
            <rFont val="Arial"/>
            <family val="2"/>
          </rPr>
          <t xml:space="preserve">SOURCE – KPL-476 R03 STRIPPER-B F37: Pumps Rated Flow 50 m3/hr</t>
        </r>
      </text>
    </comment>
    <comment ref="H96" authorId="0">
      <text>
        <r>
          <rPr>
            <sz val="10"/>
            <rFont val="Arial"/>
            <family val="2"/>
          </rPr>
          <t xml:space="preserve">SOURCE – KPL-476 R03 PUMPS-C (3) F38: Rated Flow 160 Lit/min = 9.6 m3/hr (previous bank had 160 m3/h – unit error)</t>
        </r>
      </text>
    </comment>
    <comment ref="H117" authorId="0">
      <text>
        <r>
          <rPr>
            <sz val="10"/>
            <rFont val="Arial"/>
            <family val="2"/>
          </rPr>
          <t xml:space="preserve">SOURCE – PC-ME 14040105 Pazanan2 PUMPS B27: Rated Flow 160 Lit/min = 9.6 m3/hr (previous bank had 160 m3/h – unit error)</t>
        </r>
      </text>
    </comment>
    <comment ref="H118" authorId="0">
      <text>
        <r>
          <rPr>
            <sz val="10"/>
            <rFont val="Arial"/>
            <family val="2"/>
          </rPr>
          <t xml:space="preserve">SOURCE – PC-ME 14040105 Pazanan2 PUMPS B28: Rated Flow 160 Lit/min = 9.6 m3/hr (previous bank had 160 m3/h – unit error)</t>
        </r>
      </text>
    </comment>
    <comment ref="I4" authorId="0">
      <text>
        <r>
          <rPr>
            <sz val="10"/>
            <rFont val="FreeSans"/>
            <family val="2"/>
          </rPr>
          <t xml:space="preserve">هد دیفرانسیل. سلول زرد = محاسبه‌شده از اختلاف فشار با فرض </t>
        </r>
        <r>
          <rPr>
            <sz val="10"/>
            <rFont val="Arial"/>
            <family val="2"/>
          </rPr>
          <t xml:space="preserve">SG=1.</t>
        </r>
      </text>
    </comment>
    <comment ref="I5" authorId="0">
      <text>
        <r>
          <rPr>
            <sz val="10"/>
            <rFont val="Arial"/>
            <family val="2"/>
          </rPr>
          <t xml:space="preserve">SOURCE – 18061405_Pump_only_CSV.csv line 5, column "Head (m)"</t>
        </r>
      </text>
    </comment>
    <comment ref="I6" authorId="0">
      <text>
        <r>
          <rPr>
            <sz val="10"/>
            <rFont val="Arial"/>
            <family val="2"/>
          </rPr>
          <t xml:space="preserve">SOURCE – 18061405_Pump_only_CSV.csv line 6, column "Head (m)"</t>
        </r>
      </text>
    </comment>
    <comment ref="I7" authorId="0">
      <text>
        <r>
          <rPr>
            <sz val="10"/>
            <rFont val="Arial"/>
            <family val="2"/>
          </rPr>
          <t xml:space="preserve">SOURCE – 18061405_Pump_only_CSV.csv line 7, column "Head (m)"</t>
        </r>
      </text>
    </comment>
    <comment ref="I8" authorId="0">
      <text>
        <r>
          <rPr>
            <sz val="10"/>
            <rFont val="Arial"/>
            <family val="2"/>
          </rPr>
          <t xml:space="preserve">SOURCE – 18061405_Pump_only_CSV.csv line 8, column "Head (m)"</t>
        </r>
      </text>
    </comment>
    <comment ref="I9" authorId="0">
      <text>
        <r>
          <rPr>
            <sz val="10"/>
            <rFont val="Arial"/>
            <family val="2"/>
          </rPr>
          <t xml:space="preserve">SOURCE – 18061405_Pump_only_CSV.csv line 9, column "Head (m)"</t>
        </r>
      </text>
    </comment>
    <comment ref="I10" authorId="0">
      <text>
        <r>
          <rPr>
            <sz val="10"/>
            <rFont val="Arial"/>
            <family val="2"/>
          </rPr>
          <t xml:space="preserve">SOURCE – 18061405_Pump_only_CSV.csv line 10, column "Head (m)"</t>
        </r>
      </text>
    </comment>
    <comment ref="I11" authorId="0">
      <text>
        <r>
          <rPr>
            <sz val="10"/>
            <rFont val="Arial"/>
            <family val="2"/>
          </rPr>
          <t xml:space="preserve">SOURCE – 18061405_Pump_only_CSV.csv line 11, column "Head (m)"</t>
        </r>
      </text>
    </comment>
    <comment ref="I12" authorId="0">
      <text>
        <r>
          <rPr>
            <sz val="10"/>
            <rFont val="Arial"/>
            <family val="2"/>
          </rPr>
          <t xml:space="preserve">SOURCE – 18061405_Pump_only_CSV.csv line 12, column "Head (m)"</t>
        </r>
      </text>
    </comment>
    <comment ref="I13" authorId="0">
      <text>
        <r>
          <rPr>
            <sz val="10"/>
            <rFont val="Arial"/>
            <family val="2"/>
          </rPr>
          <t xml:space="preserve">SOURCE – 18061405_Pump_only_CSV.csv line 13, column "Head (m)"</t>
        </r>
      </text>
    </comment>
    <comment ref="I14" authorId="0">
      <text>
        <r>
          <rPr>
            <sz val="10"/>
            <rFont val="Arial"/>
            <family val="2"/>
          </rPr>
          <t xml:space="preserve">SOURCE – 18061405_Pump_only_CSV.csv line 14, column "Head (m)"</t>
        </r>
      </text>
    </comment>
    <comment ref="I15" authorId="0">
      <text>
        <r>
          <rPr>
            <sz val="10"/>
            <rFont val="Arial"/>
            <family val="2"/>
          </rPr>
          <t xml:space="preserve">SOURCE – 18061405_Pump_only_CSV.csv line 15, column "Head (m)"</t>
        </r>
      </text>
    </comment>
    <comment ref="I16" authorId="0">
      <text>
        <r>
          <rPr>
            <sz val="10"/>
            <rFont val="Arial"/>
            <family val="2"/>
          </rPr>
          <t xml:space="preserve">SOURCE – 18061405_Pump_only_CSV.csv line 16, column "Head (m)"</t>
        </r>
      </text>
    </comment>
    <comment ref="I17" authorId="0">
      <text>
        <r>
          <rPr>
            <sz val="10"/>
            <rFont val="Arial"/>
            <family val="2"/>
          </rPr>
          <t xml:space="preserve">SOURCE – 18061405_Pump_only_CSV.csv line 17, column "Head (m)"</t>
        </r>
      </text>
    </comment>
    <comment ref="I18" authorId="0">
      <text>
        <r>
          <rPr>
            <sz val="10"/>
            <rFont val="Arial"/>
            <family val="2"/>
          </rPr>
          <t xml:space="preserve">SOURCE – 18061405_Pump_only_CSV.csv line 18, column "Head (m)"</t>
        </r>
      </text>
    </comment>
    <comment ref="I57" authorId="0">
      <text>
        <r>
          <rPr>
            <sz val="10"/>
            <rFont val="Arial"/>
            <family val="2"/>
          </rPr>
          <t xml:space="preserve">INFERRED – KPL-476 R03 DESALTERS-A F34: Differential Pressure 4.4 barg → head ≈ 4.4×10.2 m (SG 1.0 assumed)</t>
        </r>
      </text>
    </comment>
    <comment ref="I76" authorId="0">
      <text>
        <r>
          <rPr>
            <sz val="10"/>
            <rFont val="Arial"/>
            <family val="2"/>
          </rPr>
          <t xml:space="preserve">INFERRED – KPL-476 R03 DESALTERS-B F35: Differential Pressure 4.4 barg → head ≈ 4.4×10.2 m (SG 1.0 assumed)</t>
        </r>
      </text>
    </comment>
    <comment ref="I82" authorId="0">
      <text>
        <r>
          <rPr>
            <sz val="10"/>
            <rFont val="Arial"/>
            <family val="2"/>
          </rPr>
          <t xml:space="preserve">INFERRED – KPL-476 R03 STRIPPER-B F38: Differential Pressure 3 barg → head ≈ 3×10.2 m (SG 1.0 assumed)</t>
        </r>
      </text>
    </comment>
    <comment ref="I92" authorId="0">
      <text>
        <r>
          <rPr>
            <sz val="10"/>
            <rFont val="Arial"/>
            <family val="2"/>
          </rPr>
          <t xml:space="preserve">INFERRED – KPL-476 R03 PUMPS-C (3) F46: Differential Pressure 3 bar → head ≈ 3×10.2 m (SG 1.0 assumed)</t>
        </r>
      </text>
    </comment>
    <comment ref="I93" authorId="0">
      <text>
        <r>
          <rPr>
            <sz val="10"/>
            <rFont val="Arial"/>
            <family val="2"/>
          </rPr>
          <t xml:space="preserve">INFERRED – KPL-476 R03 PUMPS-C (4) F23: Differential Pressure 3 bar → head ≈ 3×10.2 m (SG 1.0 assumed)</t>
        </r>
      </text>
    </comment>
    <comment ref="I94" authorId="0">
      <text>
        <r>
          <rPr>
            <sz val="10"/>
            <rFont val="Arial"/>
            <family val="2"/>
          </rPr>
          <t xml:space="preserve">INFERRED – KPL-476 R03 PUMPS-A (4) F24: Differential Pressure 2 barg → head ≈ 2×10.2 m (SG 1.0 assumed)</t>
        </r>
      </text>
    </comment>
    <comment ref="I95" authorId="0">
      <text>
        <r>
          <rPr>
            <sz val="10"/>
            <rFont val="Arial"/>
            <family val="2"/>
          </rPr>
          <t xml:space="preserve">INFERRED – KPL-476 R03 PUMPS-B (5) F33: Differential Pressure 2 barg → head ≈ 2×10.2 m (SG 1.0 assumed)</t>
        </r>
      </text>
    </comment>
    <comment ref="I119"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F4</t>
        </r>
      </text>
    </comment>
    <comment ref="I120"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F5</t>
        </r>
      </text>
    </comment>
    <comment ref="I121"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F6</t>
        </r>
      </text>
    </comment>
    <comment ref="I123"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F8</t>
        </r>
      </text>
    </comment>
    <comment ref="I124"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F9</t>
        </r>
      </text>
    </comment>
    <comment ref="I125"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F10</t>
        </r>
      </text>
    </comment>
    <comment ref="I126"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F11</t>
        </r>
      </text>
    </comment>
    <comment ref="I127"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F12</t>
        </r>
      </text>
    </comment>
    <comment ref="I128"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F13</t>
        </r>
      </text>
    </comment>
    <comment ref="I129"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F14</t>
        </r>
      </text>
    </comment>
    <comment ref="I130"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F15</t>
        </r>
      </text>
    </comment>
    <comment ref="J4" authorId="0">
      <text>
        <r>
          <rPr>
            <sz val="10"/>
            <rFont val="FreeSans"/>
            <family val="2"/>
          </rPr>
          <t xml:space="preserve">توان طبق منبع </t>
        </r>
        <r>
          <rPr>
            <sz val="10"/>
            <rFont val="Arial"/>
            <family val="2"/>
          </rPr>
          <t xml:space="preserve">(</t>
        </r>
        <r>
          <rPr>
            <sz val="10"/>
            <rFont val="FreeSans"/>
            <family val="2"/>
          </rPr>
          <t xml:space="preserve">موتور یا محور؛ نوع آن در ستون </t>
        </r>
        <r>
          <rPr>
            <sz val="10"/>
            <rFont val="Arial"/>
            <family val="2"/>
          </rPr>
          <t xml:space="preserve">Power Basis).</t>
        </r>
      </text>
    </comment>
    <comment ref="J130"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G15 = 0.83</t>
        </r>
      </text>
    </comment>
    <comment ref="K4" authorId="0">
      <text>
        <r>
          <rPr>
            <sz val="10"/>
            <rFont val="FreeSans"/>
            <family val="2"/>
          </rPr>
          <t xml:space="preserve">اندازه مبنای مقایسه: اگر توان منبع موجود باشد همان، وگرنه </t>
        </r>
        <r>
          <rPr>
            <sz val="10"/>
            <rFont val="Arial"/>
            <family val="2"/>
          </rPr>
          <t xml:space="preserve">Q×H/(367×η) </t>
        </r>
        <r>
          <rPr>
            <sz val="10"/>
            <rFont val="FreeSans"/>
            <family val="2"/>
          </rPr>
          <t xml:space="preserve">با </t>
        </r>
        <r>
          <rPr>
            <sz val="10"/>
            <rFont val="Arial"/>
            <family val="2"/>
          </rPr>
          <t xml:space="preserve">η=0.6 </t>
        </r>
        <r>
          <rPr>
            <sz val="10"/>
            <rFont val="FreeSans"/>
            <family val="2"/>
          </rPr>
          <t xml:space="preserve">و </t>
        </r>
        <r>
          <rPr>
            <sz val="10"/>
            <rFont val="Arial"/>
            <family val="2"/>
          </rPr>
          <t xml:space="preserve">SG=1.</t>
        </r>
      </text>
    </comment>
    <comment ref="L4" authorId="0">
      <text>
        <r>
          <rPr>
            <sz val="10"/>
            <rFont val="FreeSans"/>
            <family val="2"/>
          </rPr>
          <t xml:space="preserve">همه استانداردهای رکورد در یک سلول </t>
        </r>
        <r>
          <rPr>
            <sz val="10"/>
            <rFont val="Arial"/>
            <family val="2"/>
          </rPr>
          <t xml:space="preserve">(</t>
        </r>
        <r>
          <rPr>
            <sz val="10"/>
            <rFont val="FreeSans"/>
            <family val="2"/>
          </rPr>
          <t xml:space="preserve">خودکار از ستون‌های جمع‌شده کنار آن: استاندارد اصلی، </t>
        </r>
        <r>
          <rPr>
            <sz val="10"/>
            <rFont val="Arial"/>
            <family val="2"/>
          </rPr>
          <t xml:space="preserve">IPS </t>
        </r>
        <r>
          <rPr>
            <sz val="10"/>
            <rFont val="FreeSans"/>
            <family val="2"/>
          </rPr>
          <t xml:space="preserve">و </t>
        </r>
        <r>
          <rPr>
            <sz val="10"/>
            <rFont val="Arial"/>
            <family val="2"/>
          </rPr>
          <t xml:space="preserve">NACE).</t>
        </r>
      </text>
    </comment>
    <comment ref="M4" authorId="0">
      <text>
        <r>
          <rPr>
            <sz val="10"/>
            <rFont val="FreeSans"/>
            <family val="2"/>
          </rPr>
          <t xml:space="preserve">استاندارد اصلی ساخت پمپ (ورودی)</t>
        </r>
        <r>
          <rPr>
            <sz val="10"/>
            <rFont val="Arial"/>
            <family val="2"/>
          </rPr>
          <t xml:space="preserve">.</t>
        </r>
      </text>
    </comment>
    <comment ref="M19" authorId="0">
      <text>
        <r>
          <rPr>
            <sz val="10"/>
            <rFont val="Arial"/>
            <family val="2"/>
          </rPr>
          <t xml:space="preserve">PEP-Rev.140205 P.ME gives only flow / pressure / kW – no design standard stated (previous bank had "API 610 / IPS", unsupported)</t>
        </r>
      </text>
    </comment>
    <comment ref="M20" authorId="0">
      <text>
        <r>
          <rPr>
            <sz val="10"/>
            <rFont val="Arial"/>
            <family val="2"/>
          </rPr>
          <t xml:space="preserve">PEP-Rev.140205 P.ME gives only flow / pressure / kW – no design standard stated (previous bank had "API 610 / IPS", unsupported)</t>
        </r>
      </text>
    </comment>
    <comment ref="M21" authorId="0">
      <text>
        <r>
          <rPr>
            <sz val="10"/>
            <rFont val="Arial"/>
            <family val="2"/>
          </rPr>
          <t xml:space="preserve">PEP-Rev.140205 P.ME gives only flow / pressure / kW – no design standard stated (previous bank had "API 610 / IPS", unsupported)</t>
        </r>
      </text>
    </comment>
    <comment ref="M22" authorId="0">
      <text>
        <r>
          <rPr>
            <sz val="10"/>
            <rFont val="Arial"/>
            <family val="2"/>
          </rPr>
          <t xml:space="preserve">PEP-Rev.140205 P.ME gives only flow / pressure / kW – no design standard stated (previous bank had "API 610 / IPS", unsupported)</t>
        </r>
      </text>
    </comment>
    <comment ref="M23" authorId="0">
      <text>
        <r>
          <rPr>
            <sz val="10"/>
            <rFont val="Arial"/>
            <family val="2"/>
          </rPr>
          <t xml:space="preserve">PEP-Rev.140205 P.ME gives only flow / pressure / kW – no design standard stated (previous bank had "API 610 / IPS", unsupported)</t>
        </r>
      </text>
    </comment>
    <comment ref="M24" authorId="0">
      <text>
        <r>
          <rPr>
            <sz val="10"/>
            <rFont val="Arial"/>
            <family val="2"/>
          </rPr>
          <t xml:space="preserve">PEP-Rev.140205 P.ME gives only flow / pressure / kW – no design standard stated (previous bank had "API 610 / IPS", unsupported)</t>
        </r>
      </text>
    </comment>
    <comment ref="M25" authorId="0">
      <text>
        <r>
          <rPr>
            <sz val="10"/>
            <rFont val="Arial"/>
            <family val="2"/>
          </rPr>
          <t xml:space="preserve">PEP-Rev.140205 P.ME gives only flow / pressure / kW – no design standard stated (previous bank had "API 610 / IPS", unsupported)</t>
        </r>
      </text>
    </comment>
    <comment ref="M26" authorId="0">
      <text>
        <r>
          <rPr>
            <sz val="10"/>
            <rFont val="Arial"/>
            <family val="2"/>
          </rPr>
          <t xml:space="preserve">PEP-Rev.140205 P.ME gives only flow / pressure / kW – no design standard stated (previous bank had "API 610 / IPS", unsupported)</t>
        </r>
      </text>
    </comment>
    <comment ref="M27" authorId="0">
      <text>
        <r>
          <rPr>
            <sz val="10"/>
            <rFont val="Arial"/>
            <family val="2"/>
          </rPr>
          <t xml:space="preserve">PEP-Rev.140205 P.ME gives only flow / pressure / kW – no design standard stated (previous bank had "API 610 / IPS", unsupported)</t>
        </r>
      </text>
    </comment>
    <comment ref="M28" authorId="0">
      <text>
        <r>
          <rPr>
            <sz val="10"/>
            <rFont val="Arial"/>
            <family val="2"/>
          </rPr>
          <t xml:space="preserve">PEP-Rev.140205 P.ME gives only flow / pressure / kW – no design standard stated (previous bank had "API 610 / IPS", unsupported)</t>
        </r>
      </text>
    </comment>
    <comment ref="M29" authorId="0">
      <text>
        <r>
          <rPr>
            <sz val="10"/>
            <rFont val="Arial"/>
            <family val="2"/>
          </rPr>
          <t xml:space="preserve">PEP-Rev.140205 P.ME gives only flow / pressure / kW – no design standard stated (previous bank had "API 610 / IPS", unsupported)</t>
        </r>
      </text>
    </comment>
    <comment ref="M30" authorId="0">
      <text>
        <r>
          <rPr>
            <sz val="10"/>
            <rFont val="Arial"/>
            <family val="2"/>
          </rPr>
          <t xml:space="preserve">PEP-Rev.140205 P.ME gives only flow / pressure / kW – no design standard stated (previous bank had "API 610 / IPS", unsupported)</t>
        </r>
      </text>
    </comment>
    <comment ref="M31" authorId="0">
      <text>
        <r>
          <rPr>
            <sz val="10"/>
            <rFont val="Arial"/>
            <family val="2"/>
          </rPr>
          <t xml:space="preserve">PEP-Rev.140205 P.ME gives only flow / pressure / kW – no design standard stated (previous bank had "API 610 / IPS", unsupported)</t>
        </r>
      </text>
    </comment>
    <comment ref="M32" authorId="0">
      <text>
        <r>
          <rPr>
            <sz val="10"/>
            <rFont val="Arial"/>
            <family val="2"/>
          </rPr>
          <t xml:space="preserve">PEP-Rev.140205 P.ME gives only flow / pressure / kW – no design standard stated (previous bank had "API 610 / IPS", unsupported)</t>
        </r>
      </text>
    </comment>
    <comment ref="M33" authorId="0">
      <text>
        <r>
          <rPr>
            <sz val="10"/>
            <rFont val="Arial"/>
            <family val="2"/>
          </rPr>
          <t xml:space="preserve">PEP-Rev.140205 P.ME gives only flow / pressure / kW – no design standard stated (previous bank had "API 610 / IPS", unsupported)</t>
        </r>
      </text>
    </comment>
    <comment ref="M34" authorId="0">
      <text>
        <r>
          <rPr>
            <sz val="10"/>
            <rFont val="Arial"/>
            <family val="2"/>
          </rPr>
          <t xml:space="preserve">PEP-Rev.140205 P.ME gives only flow / pressure / kW – no design standard stated (previous bank had "API 610 / IPS", unsupported)</t>
        </r>
      </text>
    </comment>
    <comment ref="M35" authorId="0">
      <text>
        <r>
          <rPr>
            <sz val="10"/>
            <rFont val="Arial"/>
            <family val="2"/>
          </rPr>
          <t xml:space="preserve">PEP-Rev.140205 P.ME gives only flow / pressure / kW – no design standard stated (previous bank had "API 610 / IPS", unsupported)</t>
        </r>
      </text>
    </comment>
    <comment ref="M36" authorId="0">
      <text>
        <r>
          <rPr>
            <sz val="10"/>
            <rFont val="Arial"/>
            <family val="2"/>
          </rPr>
          <t xml:space="preserve">PEP-Rev.140205 P.ME gives only flow / pressure / kW – no design standard stated (previous bank had "API 610 / IPS", unsupported)</t>
        </r>
      </text>
    </comment>
    <comment ref="M37" authorId="0">
      <text>
        <r>
          <rPr>
            <sz val="10"/>
            <rFont val="Arial"/>
            <family val="2"/>
          </rPr>
          <t xml:space="preserve">PEP-Rev.140205 P.ME gives only flow / pressure / kW – no design standard stated (previous bank had "API 610 / IPS", unsupported)</t>
        </r>
      </text>
    </comment>
    <comment ref="M38" authorId="0">
      <text>
        <r>
          <rPr>
            <sz val="10"/>
            <rFont val="Arial"/>
            <family val="2"/>
          </rPr>
          <t xml:space="preserve">PEP-Rev.140205 P.ME gives only flow / pressure / kW – no design standard stated (previous bank had "API 610 / IPS", unsupported)</t>
        </r>
      </text>
    </comment>
    <comment ref="M39" authorId="0">
      <text>
        <r>
          <rPr>
            <sz val="10"/>
            <rFont val="Arial"/>
            <family val="2"/>
          </rPr>
          <t xml:space="preserve">PEP-Rev.140205 P.ME gives only flow / pressure / kW – no design standard stated (previous bank had "API 610 / IPS", unsupported)</t>
        </r>
      </text>
    </comment>
    <comment ref="M40" authorId="0">
      <text>
        <r>
          <rPr>
            <sz val="10"/>
            <rFont val="Arial"/>
            <family val="2"/>
          </rPr>
          <t xml:space="preserve">PEP-Rev.140205 P.ME gives only flow / pressure / kW – no design standard stated (previous bank had "API 610 / IPS", unsupported)</t>
        </r>
      </text>
    </comment>
    <comment ref="M41" authorId="0">
      <text>
        <r>
          <rPr>
            <sz val="10"/>
            <rFont val="Arial"/>
            <family val="2"/>
          </rPr>
          <t xml:space="preserve">PEP-Rev.140205 P.ME gives only flow / pressure / kW – no design standard stated (previous bank had "API 610 / IPS", unsupported)</t>
        </r>
      </text>
    </comment>
    <comment ref="M42" authorId="0">
      <text>
        <r>
          <rPr>
            <sz val="10"/>
            <rFont val="Arial"/>
            <family val="2"/>
          </rPr>
          <t xml:space="preserve">PEP-Rev.140205 P.ME gives only flow / pressure / kW – no design standard stated (previous bank had "API 610 / IPS", unsupported)</t>
        </r>
      </text>
    </comment>
    <comment ref="M43" authorId="0">
      <text>
        <r>
          <rPr>
            <sz val="10"/>
            <rFont val="Arial"/>
            <family val="2"/>
          </rPr>
          <t xml:space="preserve">PEP-Rev.140205 P.ME gives only flow / pressure / kW – no design standard stated (previous bank had "API 610 / IPS", unsupported)</t>
        </r>
      </text>
    </comment>
    <comment ref="M44" authorId="0">
      <text>
        <r>
          <rPr>
            <sz val="10"/>
            <rFont val="Arial"/>
            <family val="2"/>
          </rPr>
          <t xml:space="preserve">PEP-Rev.140205 P.ME gives only flow / pressure / kW – no design standard stated (previous bank had "API 610 / IPS", unsupported)</t>
        </r>
      </text>
    </comment>
    <comment ref="M58" authorId="0">
      <text>
        <r>
          <rPr>
            <sz val="10"/>
            <rFont val="Arial"/>
            <family val="2"/>
          </rPr>
          <t xml:space="preserve">SOURCE – KPL-476 R03 IWWTP-A (1) F32:F36</t>
        </r>
      </text>
    </comment>
    <comment ref="M59" authorId="0">
      <text>
        <r>
          <rPr>
            <sz val="10"/>
            <rFont val="Arial"/>
            <family val="2"/>
          </rPr>
          <t xml:space="preserve">SOURCE – KPL-476 R03 IWWTP-A (1) F37:F41</t>
        </r>
      </text>
    </comment>
    <comment ref="M60" authorId="0">
      <text>
        <r>
          <rPr>
            <sz val="10"/>
            <rFont val="Arial"/>
            <family val="2"/>
          </rPr>
          <t xml:space="preserve">SOURCE – KPL-476 R03 IWWTP-A (1) F37:F41</t>
        </r>
      </text>
    </comment>
    <comment ref="M61" authorId="0">
      <text>
        <r>
          <rPr>
            <sz val="10"/>
            <rFont val="Arial"/>
            <family val="2"/>
          </rPr>
          <t xml:space="preserve">SOURCE – KPL-476 R03 IWWTP-A (1) F42:F46</t>
        </r>
      </text>
    </comment>
    <comment ref="M62" authorId="0">
      <text>
        <r>
          <rPr>
            <sz val="10"/>
            <rFont val="Arial"/>
            <family val="2"/>
          </rPr>
          <t xml:space="preserve">SOURCE – KPL-476 R03 IWWTP-A (2) F16:F20 – NOTE: twin-screw pump stated as API 610 in source; API 676 expected – verify</t>
        </r>
      </text>
    </comment>
    <comment ref="M77" authorId="0">
      <text>
        <r>
          <rPr>
            <sz val="10"/>
            <rFont val="Arial"/>
            <family val="2"/>
          </rPr>
          <t xml:space="preserve">SOURCE – KPL-476 R03 IWWTP-B (1) F32:F36</t>
        </r>
      </text>
    </comment>
    <comment ref="M78" authorId="0">
      <text>
        <r>
          <rPr>
            <sz val="10"/>
            <rFont val="Arial"/>
            <family val="2"/>
          </rPr>
          <t xml:space="preserve">SOURCE – KPL-476 R03 IWWTP-B (1) F37:F42</t>
        </r>
      </text>
    </comment>
    <comment ref="M79" authorId="0">
      <text>
        <r>
          <rPr>
            <sz val="10"/>
            <rFont val="Arial"/>
            <family val="2"/>
          </rPr>
          <t xml:space="preserve">SOURCE – KPL-476 R03 IWWTP-B (1) F37:F42</t>
        </r>
      </text>
    </comment>
    <comment ref="M80" authorId="0">
      <text>
        <r>
          <rPr>
            <sz val="10"/>
            <rFont val="Arial"/>
            <family val="2"/>
          </rPr>
          <t xml:space="preserve">SOURCE – KPL-476 R03 IWWTP-B (1) F43:F47</t>
        </r>
      </text>
    </comment>
    <comment ref="M81" authorId="0">
      <text>
        <r>
          <rPr>
            <sz val="10"/>
            <rFont val="Arial"/>
            <family val="2"/>
          </rPr>
          <t xml:space="preserve">SOURCE – KPL-476 R03 IWWTP-B (2) F17:F21 – NOTE: twin-screw pump stated as API 610 in source; API 676 expected – verify</t>
        </r>
      </text>
    </comment>
    <comment ref="M96" authorId="0">
      <text>
        <r>
          <rPr>
            <sz val="10"/>
            <rFont val="Arial"/>
            <family val="2"/>
          </rPr>
          <t xml:space="preserve">Source item gives type / flow / material only – no design standard (previous bank "API 610 / IPS" unsupported; a portable barrel pump is not an API 610 pump)</t>
        </r>
      </text>
    </comment>
    <comment ref="M97" authorId="0">
      <text>
        <r>
          <rPr>
            <sz val="10"/>
            <rFont val="Arial"/>
            <family val="2"/>
          </rPr>
          <t xml:space="preserve">Source item gives type / flow / material only – no design standard (previous bank "API 610 / IPS" unsupported; a portable barrel pump is not an API 610 pump)</t>
        </r>
      </text>
    </comment>
    <comment ref="M117" authorId="0">
      <text>
        <r>
          <rPr>
            <sz val="10"/>
            <rFont val="Arial"/>
            <family val="2"/>
          </rPr>
          <t xml:space="preserve">Source item gives type / flow / material only – no design standard (previous bank "API 610 / IPS" unsupported; a portable barrel pump is not an API 610 pump)</t>
        </r>
      </text>
    </comment>
    <comment ref="M118" authorId="0">
      <text>
        <r>
          <rPr>
            <sz val="10"/>
            <rFont val="Arial"/>
            <family val="2"/>
          </rPr>
          <t xml:space="preserve">Source item gives type / flow / material only – no design standard (previous bank "API 610 / IPS" unsupported; a portable barrel pump is not an API 610 pump)</t>
        </r>
      </text>
    </comment>
    <comment ref="N4" authorId="0">
      <text>
        <r>
          <rPr>
            <sz val="10"/>
            <rFont val="FreeSans"/>
            <family val="2"/>
          </rPr>
          <t xml:space="preserve">استاندارد مکمل </t>
        </r>
        <r>
          <rPr>
            <sz val="10"/>
            <rFont val="Arial"/>
            <family val="2"/>
          </rPr>
          <t xml:space="preserve">IPS </t>
        </r>
        <r>
          <rPr>
            <sz val="10"/>
            <rFont val="FreeSans"/>
            <family val="2"/>
          </rPr>
          <t xml:space="preserve">وزارت نفت (ورودی)</t>
        </r>
        <r>
          <rPr>
            <sz val="10"/>
            <rFont val="Arial"/>
            <family val="2"/>
          </rPr>
          <t xml:space="preserve">.</t>
        </r>
      </text>
    </comment>
    <comment ref="N45" authorId="0">
      <text>
        <r>
          <rPr>
            <sz val="10"/>
            <rFont val="Arial"/>
            <family val="2"/>
          </rPr>
          <t xml:space="preserve">SOURCE – design code line "&amp; IPS-G-PM-105" in the project item description</t>
        </r>
      </text>
    </comment>
    <comment ref="N46" authorId="0">
      <text>
        <r>
          <rPr>
            <sz val="10"/>
            <rFont val="Arial"/>
            <family val="2"/>
          </rPr>
          <t xml:space="preserve">SOURCE – design code line "&amp; IPS-G-PM-105" in the project item description</t>
        </r>
      </text>
    </comment>
    <comment ref="N47" authorId="0">
      <text>
        <r>
          <rPr>
            <sz val="10"/>
            <rFont val="Arial"/>
            <family val="2"/>
          </rPr>
          <t xml:space="preserve">SOURCE – design code line "&amp; IPS-M-PM-140" in the project item description</t>
        </r>
      </text>
    </comment>
    <comment ref="N48" authorId="0">
      <text>
        <r>
          <rPr>
            <sz val="10"/>
            <rFont val="Arial"/>
            <family val="2"/>
          </rPr>
          <t xml:space="preserve">SOURCE – design code line "&amp; IPS-G-PM-105" in the project item description</t>
        </r>
      </text>
    </comment>
    <comment ref="N49" authorId="0">
      <text>
        <r>
          <rPr>
            <sz val="10"/>
            <rFont val="Arial"/>
            <family val="2"/>
          </rPr>
          <t xml:space="preserve">SOURCE – design code line "&amp; IPS-G-PM-105" in the project item description</t>
        </r>
      </text>
    </comment>
    <comment ref="N50" authorId="0">
      <text>
        <r>
          <rPr>
            <sz val="10"/>
            <rFont val="Arial"/>
            <family val="2"/>
          </rPr>
          <t xml:space="preserve">SOURCE – design code line "&amp; IPS-G-PM-105" in the project item description</t>
        </r>
      </text>
    </comment>
    <comment ref="N51" authorId="0">
      <text>
        <r>
          <rPr>
            <sz val="10"/>
            <rFont val="Arial"/>
            <family val="2"/>
          </rPr>
          <t xml:space="preserve">SOURCE – design code line "&amp; IPS-G-PM-105" in the project item description</t>
        </r>
      </text>
    </comment>
    <comment ref="N52" authorId="0">
      <text>
        <r>
          <rPr>
            <sz val="10"/>
            <rFont val="Arial"/>
            <family val="2"/>
          </rPr>
          <t xml:space="preserve">SOURCE – design code line "&amp; IPS-G-PM-105" in the project item description</t>
        </r>
      </text>
    </comment>
    <comment ref="N53" authorId="0">
      <text>
        <r>
          <rPr>
            <sz val="10"/>
            <rFont val="Arial"/>
            <family val="2"/>
          </rPr>
          <t xml:space="preserve">SOURCE – design code line "&amp; IPS-G-PM-105" in the project item description</t>
        </r>
      </text>
    </comment>
    <comment ref="N54" authorId="0">
      <text>
        <r>
          <rPr>
            <sz val="10"/>
            <rFont val="Arial"/>
            <family val="2"/>
          </rPr>
          <t xml:space="preserve">SOURCE – design code line "&amp; IPS-M-PM-140" in the project item description</t>
        </r>
      </text>
    </comment>
    <comment ref="N55" authorId="0">
      <text>
        <r>
          <rPr>
            <sz val="10"/>
            <rFont val="Arial"/>
            <family val="2"/>
          </rPr>
          <t xml:space="preserve">SOURCE – design code line "&amp; IPS-G-PM-105" in the project item description</t>
        </r>
      </text>
    </comment>
    <comment ref="N56" authorId="0">
      <text>
        <r>
          <rPr>
            <sz val="10"/>
            <rFont val="Arial"/>
            <family val="2"/>
          </rPr>
          <t xml:space="preserve">SOURCE – design code line "&amp; IPS-G-PM-105" in the project item description</t>
        </r>
      </text>
    </comment>
    <comment ref="N57" authorId="0">
      <text>
        <r>
          <rPr>
            <sz val="10"/>
            <rFont val="Arial"/>
            <family val="2"/>
          </rPr>
          <t xml:space="preserve">SOURCE – design code line "&amp; IPS-G-PM-105" in the project item description</t>
        </r>
      </text>
    </comment>
    <comment ref="N58" authorId="0">
      <text>
        <r>
          <rPr>
            <sz val="10"/>
            <rFont val="Arial"/>
            <family val="2"/>
          </rPr>
          <t xml:space="preserve">SOURCE – KPL-476 IWWTP-A (1) F35:F36: design code line "&amp; IPS-G-PM-105"</t>
        </r>
      </text>
    </comment>
    <comment ref="N59" authorId="0">
      <text>
        <r>
          <rPr>
            <sz val="10"/>
            <rFont val="Arial"/>
            <family val="2"/>
          </rPr>
          <t xml:space="preserve">SOURCE – KPL-476 IWWTP-A (1) F40:F41: design code line "&amp; IPS-G-PM-105"</t>
        </r>
      </text>
    </comment>
    <comment ref="N60" authorId="0">
      <text>
        <r>
          <rPr>
            <sz val="10"/>
            <rFont val="Arial"/>
            <family val="2"/>
          </rPr>
          <t xml:space="preserve">SOURCE – KPL-476 IWWTP-A (1) F40:F41: design code line "&amp; IPS-G-PM-105"</t>
        </r>
      </text>
    </comment>
    <comment ref="N61" authorId="0">
      <text>
        <r>
          <rPr>
            <sz val="10"/>
            <rFont val="Arial"/>
            <family val="2"/>
          </rPr>
          <t xml:space="preserve">SOURCE – KPL-476 IWWTP-A (1) F45:F46: design code line "&amp; IPS-M-PM-140"</t>
        </r>
      </text>
    </comment>
    <comment ref="N62" authorId="0">
      <text>
        <r>
          <rPr>
            <sz val="10"/>
            <rFont val="Arial"/>
            <family val="2"/>
          </rPr>
          <t xml:space="preserve">SOURCE – KPL-476 IWWTP-A (2) F19:F20: design code line "&amp; IPS-G-PM-105"</t>
        </r>
      </text>
    </comment>
    <comment ref="N63" authorId="0">
      <text>
        <r>
          <rPr>
            <sz val="10"/>
            <rFont val="Arial"/>
            <family val="2"/>
          </rPr>
          <t xml:space="preserve">SOURCE – design code line "&amp; IPS-G-PM-105" in the project item description</t>
        </r>
      </text>
    </comment>
    <comment ref="N64" authorId="0">
      <text>
        <r>
          <rPr>
            <sz val="10"/>
            <rFont val="Arial"/>
            <family val="2"/>
          </rPr>
          <t xml:space="preserve">SOURCE – design code line "&amp; IPS-G-PM-105" in the project item description</t>
        </r>
      </text>
    </comment>
    <comment ref="N65" authorId="0">
      <text>
        <r>
          <rPr>
            <sz val="10"/>
            <rFont val="Arial"/>
            <family val="2"/>
          </rPr>
          <t xml:space="preserve">SOURCE – design code line "&amp; IPS-G-PM-105" in the project item description</t>
        </r>
      </text>
    </comment>
    <comment ref="N66" authorId="0">
      <text>
        <r>
          <rPr>
            <sz val="10"/>
            <rFont val="Arial"/>
            <family val="2"/>
          </rPr>
          <t xml:space="preserve">SOURCE – design code line "&amp; IPS-M-PM-140" in the project item description</t>
        </r>
      </text>
    </comment>
    <comment ref="N67" authorId="0">
      <text>
        <r>
          <rPr>
            <sz val="10"/>
            <rFont val="Arial"/>
            <family val="2"/>
          </rPr>
          <t xml:space="preserve">SOURCE – design code line "&amp; IPS-G-PM-105" in the project item description</t>
        </r>
      </text>
    </comment>
    <comment ref="N68" authorId="0">
      <text>
        <r>
          <rPr>
            <sz val="10"/>
            <rFont val="Arial"/>
            <family val="2"/>
          </rPr>
          <t xml:space="preserve">SOURCE – design code line "&amp; IPS-G-PM-105" in the project item description</t>
        </r>
      </text>
    </comment>
    <comment ref="N69" authorId="0">
      <text>
        <r>
          <rPr>
            <sz val="10"/>
            <rFont val="Arial"/>
            <family val="2"/>
          </rPr>
          <t xml:space="preserve">SOURCE – design code line "&amp; IPS-G-PM-105" in the project item description</t>
        </r>
      </text>
    </comment>
    <comment ref="N70" authorId="0">
      <text>
        <r>
          <rPr>
            <sz val="10"/>
            <rFont val="Arial"/>
            <family val="2"/>
          </rPr>
          <t xml:space="preserve">SOURCE – design code line "&amp; IPS-G-PM-105" in the project item description</t>
        </r>
      </text>
    </comment>
    <comment ref="N71" authorId="0">
      <text>
        <r>
          <rPr>
            <sz val="10"/>
            <rFont val="Arial"/>
            <family val="2"/>
          </rPr>
          <t xml:space="preserve">SOURCE – design code line "&amp; IPS-G-PM-105" in the project item description</t>
        </r>
      </text>
    </comment>
    <comment ref="N72" authorId="0">
      <text>
        <r>
          <rPr>
            <sz val="10"/>
            <rFont val="Arial"/>
            <family val="2"/>
          </rPr>
          <t xml:space="preserve">SOURCE – design code line "&amp; IPS-G-PM-105" in the project item description</t>
        </r>
      </text>
    </comment>
    <comment ref="N73" authorId="0">
      <text>
        <r>
          <rPr>
            <sz val="10"/>
            <rFont val="Arial"/>
            <family val="2"/>
          </rPr>
          <t xml:space="preserve">SOURCE – design code line "&amp; IPS-M-PM-140" in the project item description</t>
        </r>
      </text>
    </comment>
    <comment ref="N74" authorId="0">
      <text>
        <r>
          <rPr>
            <sz val="10"/>
            <rFont val="Arial"/>
            <family val="2"/>
          </rPr>
          <t xml:space="preserve">SOURCE – design code line "&amp; IPS-G-PM-105" in the project item description</t>
        </r>
      </text>
    </comment>
    <comment ref="N75" authorId="0">
      <text>
        <r>
          <rPr>
            <sz val="10"/>
            <rFont val="Arial"/>
            <family val="2"/>
          </rPr>
          <t xml:space="preserve">SOURCE – design code line "&amp; IPS-G-PM-105" in the project item description</t>
        </r>
      </text>
    </comment>
    <comment ref="N76" authorId="0">
      <text>
        <r>
          <rPr>
            <sz val="10"/>
            <rFont val="Arial"/>
            <family val="2"/>
          </rPr>
          <t xml:space="preserve">SOURCE – design code line "&amp; IPS-G-PM-105" in the project item description</t>
        </r>
      </text>
    </comment>
    <comment ref="N77" authorId="0">
      <text>
        <r>
          <rPr>
            <sz val="10"/>
            <rFont val="Arial"/>
            <family val="2"/>
          </rPr>
          <t xml:space="preserve">SOURCE – KPL-476 IWWTP-B (1) F35:F36: design code line "&amp; IPS-G-PM-105"</t>
        </r>
      </text>
    </comment>
    <comment ref="N78" authorId="0">
      <text>
        <r>
          <rPr>
            <sz val="10"/>
            <rFont val="Arial"/>
            <family val="2"/>
          </rPr>
          <t xml:space="preserve">SOURCE – KPL-476 IWWTP-B (1) F41:F42: design code line "&amp; IPS-G-PM-105"</t>
        </r>
      </text>
    </comment>
    <comment ref="N79" authorId="0">
      <text>
        <r>
          <rPr>
            <sz val="10"/>
            <rFont val="Arial"/>
            <family val="2"/>
          </rPr>
          <t xml:space="preserve">SOURCE – KPL-476 IWWTP-B (1) F41:F42: design code line "&amp; IPS-G-PM-105"</t>
        </r>
      </text>
    </comment>
    <comment ref="N80" authorId="0">
      <text>
        <r>
          <rPr>
            <sz val="10"/>
            <rFont val="Arial"/>
            <family val="2"/>
          </rPr>
          <t xml:space="preserve">SOURCE – KPL-476 IWWTP-B (1) F46:F47: design code line "&amp; IPS-M-PM-140"</t>
        </r>
      </text>
    </comment>
    <comment ref="N81" authorId="0">
      <text>
        <r>
          <rPr>
            <sz val="10"/>
            <rFont val="Arial"/>
            <family val="2"/>
          </rPr>
          <t xml:space="preserve">SOURCE – KPL-476 IWWTP-B (2) F20:F21: design code line "&amp; IPS-G-PM-105"</t>
        </r>
      </text>
    </comment>
    <comment ref="N82" authorId="0">
      <text>
        <r>
          <rPr>
            <sz val="10"/>
            <rFont val="Arial"/>
            <family val="2"/>
          </rPr>
          <t xml:space="preserve">SOURCE – design code line "&amp; IPS-G-PM-105" in the project item description</t>
        </r>
      </text>
    </comment>
    <comment ref="N83" authorId="0">
      <text>
        <r>
          <rPr>
            <sz val="10"/>
            <rFont val="Arial"/>
            <family val="2"/>
          </rPr>
          <t xml:space="preserve">SOURCE – design code line "&amp; IPS-M-PM-115" in the project item description</t>
        </r>
      </text>
    </comment>
    <comment ref="N84" authorId="0">
      <text>
        <r>
          <rPr>
            <sz val="10"/>
            <rFont val="Arial"/>
            <family val="2"/>
          </rPr>
          <t xml:space="preserve">SOURCE – design code line "&amp; IPS-M-PM-115" in the project item description</t>
        </r>
      </text>
    </comment>
    <comment ref="N85" authorId="0">
      <text>
        <r>
          <rPr>
            <sz val="10"/>
            <rFont val="Arial"/>
            <family val="2"/>
          </rPr>
          <t xml:space="preserve">SOURCE – design code line "&amp; IPS-G-PM-105" in the project item description</t>
        </r>
      </text>
    </comment>
    <comment ref="N86" authorId="0">
      <text>
        <r>
          <rPr>
            <sz val="10"/>
            <rFont val="Arial"/>
            <family val="2"/>
          </rPr>
          <t xml:space="preserve">SOURCE – design code line "&amp; IPS-M-PM-115" in the project item description</t>
        </r>
      </text>
    </comment>
    <comment ref="N87" authorId="0">
      <text>
        <r>
          <rPr>
            <sz val="10"/>
            <rFont val="Arial"/>
            <family val="2"/>
          </rPr>
          <t xml:space="preserve">SOURCE – design code line "&amp; IPS-G-PM-105" in the project item description</t>
        </r>
      </text>
    </comment>
    <comment ref="N88" authorId="0">
      <text>
        <r>
          <rPr>
            <sz val="10"/>
            <rFont val="Arial"/>
            <family val="2"/>
          </rPr>
          <t xml:space="preserve">SOURCE – design code line "&amp; IPS-M-PM-125" in the project item description</t>
        </r>
      </text>
    </comment>
    <comment ref="N89" authorId="0">
      <text>
        <r>
          <rPr>
            <sz val="10"/>
            <rFont val="Arial"/>
            <family val="2"/>
          </rPr>
          <t xml:space="preserve">SOURCE – design code line "&amp; IPS-M-PM-125" in the project item description</t>
        </r>
      </text>
    </comment>
    <comment ref="N90" authorId="0">
      <text>
        <r>
          <rPr>
            <sz val="10"/>
            <rFont val="Arial"/>
            <family val="2"/>
          </rPr>
          <t xml:space="preserve">SOURCE – design code line "&amp; IPS-M-PM-125" in the project item description</t>
        </r>
      </text>
    </comment>
    <comment ref="N91" authorId="0">
      <text>
        <r>
          <rPr>
            <sz val="10"/>
            <rFont val="Arial"/>
            <family val="2"/>
          </rPr>
          <t xml:space="preserve">SOURCE – design code line "&amp; IPS-M-PM-115" in the project item description</t>
        </r>
      </text>
    </comment>
    <comment ref="N92" authorId="0">
      <text>
        <r>
          <rPr>
            <sz val="10"/>
            <rFont val="Arial"/>
            <family val="2"/>
          </rPr>
          <t xml:space="preserve">SOURCE – design code line "&amp; IPS-M-PM-115" in the project item description</t>
        </r>
      </text>
    </comment>
    <comment ref="N93" authorId="0">
      <text>
        <r>
          <rPr>
            <sz val="10"/>
            <rFont val="Arial"/>
            <family val="2"/>
          </rPr>
          <t xml:space="preserve">SOURCE – design code line "&amp; IPS-M-PM-115" in the project item description</t>
        </r>
      </text>
    </comment>
    <comment ref="N98" authorId="0">
      <text>
        <r>
          <rPr>
            <sz val="10"/>
            <rFont val="Arial"/>
            <family val="2"/>
          </rPr>
          <t xml:space="preserve">SOURCE – design code line "&amp; IPS-G-PM-105" in the project item description</t>
        </r>
      </text>
    </comment>
    <comment ref="N99" authorId="0">
      <text>
        <r>
          <rPr>
            <sz val="10"/>
            <rFont val="Arial"/>
            <family val="2"/>
          </rPr>
          <t xml:space="preserve">SOURCE – design code line "&amp; IPS-M-PM-115" in the project item description</t>
        </r>
      </text>
    </comment>
    <comment ref="N100" authorId="0">
      <text>
        <r>
          <rPr>
            <sz val="10"/>
            <rFont val="Arial"/>
            <family val="2"/>
          </rPr>
          <t xml:space="preserve">SOURCE – design code line "&amp; IPS-G-PM-105" in the project item description</t>
        </r>
      </text>
    </comment>
    <comment ref="N101" authorId="0">
      <text>
        <r>
          <rPr>
            <sz val="10"/>
            <rFont val="Arial"/>
            <family val="2"/>
          </rPr>
          <t xml:space="preserve">SOURCE – design code line "&amp; IPS-G-PM-105" in the project item description</t>
        </r>
      </text>
    </comment>
    <comment ref="N102" authorId="0">
      <text>
        <r>
          <rPr>
            <sz val="10"/>
            <rFont val="Arial"/>
            <family val="2"/>
          </rPr>
          <t xml:space="preserve">SOURCE – design code line "&amp; IPS-G-PM-105" in the project item description</t>
        </r>
      </text>
    </comment>
    <comment ref="N103" authorId="0">
      <text>
        <r>
          <rPr>
            <sz val="10"/>
            <rFont val="Arial"/>
            <family val="2"/>
          </rPr>
          <t xml:space="preserve">SOURCE – design code line "&amp; IPS-M-PM-140" in the project item description</t>
        </r>
      </text>
    </comment>
    <comment ref="N104" authorId="0">
      <text>
        <r>
          <rPr>
            <sz val="10"/>
            <rFont val="Arial"/>
            <family val="2"/>
          </rPr>
          <t xml:space="preserve">SOURCE – design code line "&amp; IPS-G-PM-105" in the project item description</t>
        </r>
      </text>
    </comment>
    <comment ref="N105" authorId="0">
      <text>
        <r>
          <rPr>
            <sz val="10"/>
            <rFont val="Arial"/>
            <family val="2"/>
          </rPr>
          <t xml:space="preserve">SOURCE – design code line "&amp; IPS-G-PM-105" in the project item description</t>
        </r>
      </text>
    </comment>
    <comment ref="N106" authorId="0">
      <text>
        <r>
          <rPr>
            <sz val="10"/>
            <rFont val="Arial"/>
            <family val="2"/>
          </rPr>
          <t xml:space="preserve">SOURCE – design code line "&amp; IPS-G-PM-105" in the project item description</t>
        </r>
      </text>
    </comment>
    <comment ref="N107" authorId="0">
      <text>
        <r>
          <rPr>
            <sz val="10"/>
            <rFont val="Arial"/>
            <family val="2"/>
          </rPr>
          <t xml:space="preserve">SOURCE – design code line "&amp; IPS-G-PM-105" in the project item description</t>
        </r>
      </text>
    </comment>
    <comment ref="N108" authorId="0">
      <text>
        <r>
          <rPr>
            <sz val="10"/>
            <rFont val="Arial"/>
            <family val="2"/>
          </rPr>
          <t xml:space="preserve">SOURCE – design code line "&amp; IPS-G-PM-105" in the project item description</t>
        </r>
      </text>
    </comment>
    <comment ref="N109" authorId="0">
      <text>
        <r>
          <rPr>
            <sz val="10"/>
            <rFont val="Arial"/>
            <family val="2"/>
          </rPr>
          <t xml:space="preserve">SOURCE – design code line "&amp; IPS-M-PM-140" in the project item description</t>
        </r>
      </text>
    </comment>
    <comment ref="N110" authorId="0">
      <text>
        <r>
          <rPr>
            <sz val="10"/>
            <rFont val="Arial"/>
            <family val="2"/>
          </rPr>
          <t xml:space="preserve">SOURCE – design code line "&amp; IPS-G-PM-105" in the project item description</t>
        </r>
      </text>
    </comment>
    <comment ref="N111" authorId="0">
      <text>
        <r>
          <rPr>
            <sz val="10"/>
            <rFont val="Arial"/>
            <family val="2"/>
          </rPr>
          <t xml:space="preserve">SOURCE – design code line "&amp; IPS-G-PM-105" in the project item description</t>
        </r>
      </text>
    </comment>
    <comment ref="N112" authorId="0">
      <text>
        <r>
          <rPr>
            <sz val="10"/>
            <rFont val="Arial"/>
            <family val="2"/>
          </rPr>
          <t xml:space="preserve">SOURCE – design code line "&amp; IPS-M-PM-115" in the project item description</t>
        </r>
      </text>
    </comment>
    <comment ref="N113" authorId="0">
      <text>
        <r>
          <rPr>
            <sz val="10"/>
            <rFont val="Arial"/>
            <family val="2"/>
          </rPr>
          <t xml:space="preserve">SOURCE – design code line "&amp; IPS-M-PM-115" in the project item description</t>
        </r>
      </text>
    </comment>
    <comment ref="N114" authorId="0">
      <text>
        <r>
          <rPr>
            <sz val="10"/>
            <rFont val="Arial"/>
            <family val="2"/>
          </rPr>
          <t xml:space="preserve">SOURCE – design code line "&amp; IPS-M-PM-125" in the project item description</t>
        </r>
      </text>
    </comment>
    <comment ref="N115" authorId="0">
      <text>
        <r>
          <rPr>
            <sz val="10"/>
            <rFont val="Arial"/>
            <family val="2"/>
          </rPr>
          <t xml:space="preserve">SOURCE – design code line "&amp; IPS-M-PM-125" in the project item description</t>
        </r>
      </text>
    </comment>
    <comment ref="N116" authorId="0">
      <text>
        <r>
          <rPr>
            <sz val="10"/>
            <rFont val="Arial"/>
            <family val="2"/>
          </rPr>
          <t xml:space="preserve">SOURCE – design code line "&amp; IPS-M-PM-125" in the project item description</t>
        </r>
      </text>
    </comment>
    <comment ref="N133" authorId="0">
      <text>
        <r>
          <rPr>
            <sz val="10"/>
            <rFont val="Arial"/>
            <family val="2"/>
          </rPr>
          <t xml:space="preserve">SOURCE – design code line "&amp; IPS-G-PM-105" in the project item description</t>
        </r>
      </text>
    </comment>
    <comment ref="N134" authorId="0">
      <text>
        <r>
          <rPr>
            <sz val="10"/>
            <rFont val="Arial"/>
            <family val="2"/>
          </rPr>
          <t xml:space="preserve">SOURCE – design code line "&amp; IPS-M-PM-115" in the project item description</t>
        </r>
      </text>
    </comment>
    <comment ref="N135" authorId="0">
      <text>
        <r>
          <rPr>
            <sz val="10"/>
            <rFont val="Arial"/>
            <family val="2"/>
          </rPr>
          <t xml:space="preserve">SOURCE – design code line "&amp; IPS-G-PM-105" in the project item description</t>
        </r>
      </text>
    </comment>
    <comment ref="N136" authorId="0">
      <text>
        <r>
          <rPr>
            <sz val="10"/>
            <rFont val="Arial"/>
            <family val="2"/>
          </rPr>
          <t xml:space="preserve">SOURCE – design code line "&amp; IPS-G-PM-105" in the project item description</t>
        </r>
      </text>
    </comment>
    <comment ref="N137" authorId="0">
      <text>
        <r>
          <rPr>
            <sz val="10"/>
            <rFont val="Arial"/>
            <family val="2"/>
          </rPr>
          <t xml:space="preserve">SOURCE – design code line "&amp; IPS-G-PM-105" in the project item description</t>
        </r>
      </text>
    </comment>
    <comment ref="N138" authorId="0">
      <text>
        <r>
          <rPr>
            <sz val="10"/>
            <rFont val="Arial"/>
            <family val="2"/>
          </rPr>
          <t xml:space="preserve">SOURCE – design code line "&amp; IPS-M-PM-140" in the project item description</t>
        </r>
      </text>
    </comment>
    <comment ref="N139" authorId="0">
      <text>
        <r>
          <rPr>
            <sz val="10"/>
            <rFont val="Arial"/>
            <family val="2"/>
          </rPr>
          <t xml:space="preserve">SOURCE – design code line "&amp; IPS-G-PM-105" in the project item description</t>
        </r>
      </text>
    </comment>
    <comment ref="N140" authorId="0">
      <text>
        <r>
          <rPr>
            <sz val="10"/>
            <rFont val="Arial"/>
            <family val="2"/>
          </rPr>
          <t xml:space="preserve">SOURCE – design code line "&amp; IPS-G-PM-105" in the project item description</t>
        </r>
      </text>
    </comment>
    <comment ref="N141" authorId="0">
      <text>
        <r>
          <rPr>
            <sz val="10"/>
            <rFont val="Arial"/>
            <family val="2"/>
          </rPr>
          <t xml:space="preserve">SOURCE – design code line "&amp; IPS-G-PM-105" in the project item description</t>
        </r>
      </text>
    </comment>
    <comment ref="N142" authorId="0">
      <text>
        <r>
          <rPr>
            <sz val="10"/>
            <rFont val="Arial"/>
            <family val="2"/>
          </rPr>
          <t xml:space="preserve">SOURCE – design code line "&amp; IPS-G-PM-105" in the project item description</t>
        </r>
      </text>
    </comment>
    <comment ref="N143" authorId="0">
      <text>
        <r>
          <rPr>
            <sz val="10"/>
            <rFont val="Arial"/>
            <family val="2"/>
          </rPr>
          <t xml:space="preserve">SOURCE – design code line "&amp; IPS-G-PM-105" in the project item description</t>
        </r>
      </text>
    </comment>
    <comment ref="N144" authorId="0">
      <text>
        <r>
          <rPr>
            <sz val="10"/>
            <rFont val="Arial"/>
            <family val="2"/>
          </rPr>
          <t xml:space="preserve">SOURCE – design code line "&amp; IPS-G-PM-105" in the project item description</t>
        </r>
      </text>
    </comment>
    <comment ref="N145" authorId="0">
      <text>
        <r>
          <rPr>
            <sz val="10"/>
            <rFont val="Arial"/>
            <family val="2"/>
          </rPr>
          <t xml:space="preserve">SOURCE – design code line "&amp; IPS-G-PM-105" in the project item description</t>
        </r>
      </text>
    </comment>
    <comment ref="N146" authorId="0">
      <text>
        <r>
          <rPr>
            <sz val="10"/>
            <rFont val="Arial"/>
            <family val="2"/>
          </rPr>
          <t xml:space="preserve">SOURCE – design code line "&amp; IPS-M-PM-115" in the project item description</t>
        </r>
      </text>
    </comment>
    <comment ref="N147" authorId="0">
      <text>
        <r>
          <rPr>
            <sz val="10"/>
            <rFont val="Arial"/>
            <family val="2"/>
          </rPr>
          <t xml:space="preserve">SOURCE – design code line "&amp; IPS-M-PM-115" in the project item description</t>
        </r>
      </text>
    </comment>
    <comment ref="N148" authorId="0">
      <text>
        <r>
          <rPr>
            <sz val="10"/>
            <rFont val="Arial"/>
            <family val="2"/>
          </rPr>
          <t xml:space="preserve">SOURCE – design code line "&amp; IPS-M-PM-125" in the project item description</t>
        </r>
      </text>
    </comment>
    <comment ref="N149" authorId="0">
      <text>
        <r>
          <rPr>
            <sz val="10"/>
            <rFont val="Arial"/>
            <family val="2"/>
          </rPr>
          <t xml:space="preserve">SOURCE – design code line "&amp; IPS-M-PM-125" in the project item description</t>
        </r>
      </text>
    </comment>
    <comment ref="N150" authorId="0">
      <text>
        <r>
          <rPr>
            <sz val="10"/>
            <rFont val="Arial"/>
            <family val="2"/>
          </rPr>
          <t xml:space="preserve">SOURCE – design code line "&amp; IPS-M-PM-125" in the project item description</t>
        </r>
      </text>
    </comment>
    <comment ref="O4" authorId="0">
      <text>
        <r>
          <rPr>
            <sz val="10"/>
            <rFont val="FreeSans"/>
            <family val="2"/>
          </rPr>
          <t xml:space="preserve">الزام </t>
        </r>
        <r>
          <rPr>
            <sz val="10"/>
            <rFont val="Arial"/>
            <family val="2"/>
          </rPr>
          <t xml:space="preserve">NACE MR0175 / ISO 15156 </t>
        </r>
        <r>
          <rPr>
            <sz val="10"/>
            <rFont val="FreeSans"/>
            <family val="2"/>
          </rPr>
          <t xml:space="preserve">برای سرویس ترش (ورودی). زرد = استنباطی</t>
        </r>
        <r>
          <rPr>
            <sz val="10"/>
            <rFont val="Arial"/>
            <family val="2"/>
          </rPr>
          <t xml:space="preserve">.</t>
        </r>
      </text>
    </comment>
    <comment ref="O45" authorId="0">
      <text>
        <r>
          <rPr>
            <sz val="10"/>
            <rFont val="Arial"/>
            <family val="2"/>
          </rPr>
          <t xml:space="preserve">INFERRED – KPL-476 R03 PUMPS-A (1) F19:F26: no "NACE MR-0175" line anywhere in Asmari (-A) or Common (-C) sheets, while the document states it item-by-item for the Bangestan train (12 "-B" sheets) → N</t>
        </r>
      </text>
    </comment>
    <comment ref="O46" authorId="0">
      <text>
        <r>
          <rPr>
            <sz val="10"/>
            <rFont val="Arial"/>
            <family val="2"/>
          </rPr>
          <t xml:space="preserve">INFERRED – KPL-476 R03 PUMPS-A (1) F27:F34: no "NACE MR-0175" line anywhere in Asmari (-A) or Common (-C) sheets, while the document states it item-by-item for the Bangestan train (12 "-B" sheets) → N</t>
        </r>
      </text>
    </comment>
    <comment ref="O47" authorId="0">
      <text>
        <r>
          <rPr>
            <sz val="10"/>
            <rFont val="Arial"/>
            <family val="2"/>
          </rPr>
          <t xml:space="preserve">INFERRED – KPL-476 R03 PUMPS-A (1) F35:F41: no "NACE MR-0175" line anywhere in Asmari (-A) or Common (-C) sheets, while the document states it item-by-item for the Bangestan train (12 "-B" sheets) → N</t>
        </r>
      </text>
    </comment>
    <comment ref="O48" authorId="0">
      <text>
        <r>
          <rPr>
            <sz val="10"/>
            <rFont val="Arial"/>
            <family val="2"/>
          </rPr>
          <t xml:space="preserve">INFERRED – KPL-476 R03 PUMPS-A (1) F42:F49: no "NACE MR-0175" line anywhere in Asmari (-A) or Common (-C) sheets, while the document states it item-by-item for the Bangestan train (12 "-B" sheets) → N</t>
        </r>
      </text>
    </comment>
    <comment ref="O49" authorId="0">
      <text>
        <r>
          <rPr>
            <sz val="10"/>
            <rFont val="Arial"/>
            <family val="2"/>
          </rPr>
          <t xml:space="preserve">INFERRED – KPL-476 R03 PUMPS-A (2) F19:F26: no "NACE MR-0175" line anywhere in Asmari (-A) or Common (-C) sheets, while the document states it item-by-item for the Bangestan train (12 "-B" sheets) → N</t>
        </r>
      </text>
    </comment>
    <comment ref="O50" authorId="0">
      <text>
        <r>
          <rPr>
            <sz val="10"/>
            <rFont val="Arial"/>
            <family val="2"/>
          </rPr>
          <t xml:space="preserve">INFERRED – KPL-476 R03 PUMPS-A (2) F27:F34: no "NACE MR-0175" line anywhere in Asmari (-A) or Common (-C) sheets, while the document states it item-by-item for the Bangestan train (12 "-B" sheets) → N</t>
        </r>
      </text>
    </comment>
    <comment ref="O51" authorId="0">
      <text>
        <r>
          <rPr>
            <sz val="10"/>
            <rFont val="Arial"/>
            <family val="2"/>
          </rPr>
          <t xml:space="preserve">INFERRED – KPL-476 R03 PUMPS-A (2) F35:F42: no "NACE MR-0175" line anywhere in Asmari (-A) or Common (-C) sheets, while the document states it item-by-item for the Bangestan train (12 "-B" sheets) → N</t>
        </r>
      </text>
    </comment>
    <comment ref="O52" authorId="0">
      <text>
        <r>
          <rPr>
            <sz val="10"/>
            <rFont val="Arial"/>
            <family val="2"/>
          </rPr>
          <t xml:space="preserve">INFERRED – KPL-476 R03 PUMPS-A (2) F43:F50: no "NACE MR-0175" line anywhere in Asmari (-A) or Common (-C) sheets, while the document states it item-by-item for the Bangestan train (12 "-B" sheets) → N</t>
        </r>
      </text>
    </comment>
    <comment ref="O53" authorId="0">
      <text>
        <r>
          <rPr>
            <sz val="10"/>
            <rFont val="Arial"/>
            <family val="2"/>
          </rPr>
          <t xml:space="preserve">INFERRED – KPL-476 R03 PUMPS-A (3) F19:F26: no "NACE MR-0175" line anywhere in Asmari (-A) or Common (-C) sheets, while the document states it item-by-item for the Bangestan train (12 "-B" sheets) → N</t>
        </r>
      </text>
    </comment>
    <comment ref="O54" authorId="0">
      <text>
        <r>
          <rPr>
            <sz val="10"/>
            <rFont val="Arial"/>
            <family val="2"/>
          </rPr>
          <t xml:space="preserve">INFERRED – KPL-476 R03 PUMPS-A (3) F27:F33: no "NACE MR-0175" line anywhere in Asmari (-A) or Common (-C) sheets, while the document states it item-by-item for the Bangestan train (12 "-B" sheets) → N</t>
        </r>
      </text>
    </comment>
    <comment ref="O55" authorId="0">
      <text>
        <r>
          <rPr>
            <sz val="10"/>
            <rFont val="Arial"/>
            <family val="2"/>
          </rPr>
          <t xml:space="preserve">INFERRED – KPL-476 R03 PUMPS-A (3) F34:F41: no "NACE MR-0175" line anywhere in Asmari (-A) or Common (-C) sheets, while the document states it item-by-item for the Bangestan train (12 "-B" sheets) → N</t>
        </r>
      </text>
    </comment>
    <comment ref="O56" authorId="0">
      <text>
        <r>
          <rPr>
            <sz val="10"/>
            <rFont val="Arial"/>
            <family val="2"/>
          </rPr>
          <t xml:space="preserve">INFERRED – KPL-476 R03 PUMPS-A (3) F42:F49: no "NACE MR-0175" line anywhere in Asmari (-A) or Common (-C) sheets, while the document states it item-by-item for the Bangestan train (12 "-B" sheets) → N</t>
        </r>
      </text>
    </comment>
    <comment ref="O57" authorId="0">
      <text>
        <r>
          <rPr>
            <sz val="10"/>
            <rFont val="Arial"/>
            <family val="2"/>
          </rPr>
          <t xml:space="preserve">INFERRED – KPL-476 R03 DESALTERS-A F19:F37: no "NACE MR-0175" line anywhere in Asmari (-A) or Common (-C) sheets, while the document states it item-by-item for the Bangestan train (12 "-B" sheets) → N</t>
        </r>
      </text>
    </comment>
    <comment ref="O58" authorId="0">
      <text>
        <r>
          <rPr>
            <sz val="10"/>
            <rFont val="Arial"/>
            <family val="2"/>
          </rPr>
          <t xml:space="preserve">INFERRED – KPL-476 R03 IWWTP-A (1) F32:F36: no "NACE MR-0175" line anywhere in Asmari (-A) or Common (-C) sheets, while the document states it item-by-item for the Bangestan train (12 "-B" sheets) → N</t>
        </r>
      </text>
    </comment>
    <comment ref="O59" authorId="0">
      <text>
        <r>
          <rPr>
            <sz val="10"/>
            <rFont val="Arial"/>
            <family val="2"/>
          </rPr>
          <t xml:space="preserve">INFERRED – KPL-476 R03 IWWTP-A (1) F37:F41: no "NACE MR-0175" line anywhere in Asmari (-A) or Common (-C) sheets, while the document states it item-by-item for the Bangestan train (12 "-B" sheets) → N</t>
        </r>
      </text>
    </comment>
    <comment ref="O60" authorId="0">
      <text>
        <r>
          <rPr>
            <sz val="10"/>
            <rFont val="Arial"/>
            <family val="2"/>
          </rPr>
          <t xml:space="preserve">INFERRED – KPL-476 R03 IWWTP-A (1) F37:F41: no "NACE MR-0175" line anywhere in Asmari (-A) or Common (-C) sheets, while the document states it item-by-item for the Bangestan train (12 "-B" sheets) → N</t>
        </r>
      </text>
    </comment>
    <comment ref="O61" authorId="0">
      <text>
        <r>
          <rPr>
            <sz val="10"/>
            <rFont val="Arial"/>
            <family val="2"/>
          </rPr>
          <t xml:space="preserve">INFERRED – KPL-476 R03 IWWTP-A (1) F42:F46: no "NACE MR-0175" line anywhere in Asmari (-A) or Common (-C) sheets, while the document states it item-by-item for the Bangestan train (12 "-B" sheets) → N</t>
        </r>
      </text>
    </comment>
    <comment ref="O62" authorId="0">
      <text>
        <r>
          <rPr>
            <sz val="10"/>
            <rFont val="Arial"/>
            <family val="2"/>
          </rPr>
          <t xml:space="preserve">INFERRED – KPL-476 R03 IWWTP-A (2) F16:F20: no "NACE MR-0175" line anywhere in Asmari (-A) or Common (-C) sheets, while the document states it item-by-item for the Bangestan train (12 "-B" sheets) → N</t>
        </r>
      </text>
    </comment>
    <comment ref="O63" authorId="0">
      <text>
        <r>
          <rPr>
            <sz val="10"/>
            <rFont val="Arial"/>
            <family val="2"/>
          </rPr>
          <t xml:space="preserve">SOURCE – KPL-476 R03 PUMPS-B F25: NACE 'MR-0175' Required: Yes</t>
        </r>
      </text>
    </comment>
    <comment ref="O64" authorId="0">
      <text>
        <r>
          <rPr>
            <sz val="10"/>
            <rFont val="Arial"/>
            <family val="2"/>
          </rPr>
          <t xml:space="preserve">SOURCE – KPL-476 R03 PUMPS-B F34: NACE 'MR-0175' Required: Yes</t>
        </r>
      </text>
    </comment>
    <comment ref="O65" authorId="0">
      <text>
        <r>
          <rPr>
            <sz val="10"/>
            <rFont val="Arial"/>
            <family val="2"/>
          </rPr>
          <t xml:space="preserve">SOURCE – KPL-476 R03 PUMPS-B F43: NACE 'MR-0175' Required: Yes</t>
        </r>
      </text>
    </comment>
    <comment ref="O66" authorId="0">
      <text>
        <r>
          <rPr>
            <sz val="10"/>
            <rFont val="Arial"/>
            <family val="2"/>
          </rPr>
          <t xml:space="preserve">SOURCE – KPL-476 R03 PUMPS-B (2) F24: NACE 'MR-0175' Required: Yes</t>
        </r>
      </text>
    </comment>
    <comment ref="O67" authorId="0">
      <text>
        <r>
          <rPr>
            <sz val="10"/>
            <rFont val="Arial"/>
            <family val="2"/>
          </rPr>
          <t xml:space="preserve">SOURCE – KPL-476 R03 PUMPS-B (2) F33: NACE 'MR-0175' Required: Yes</t>
        </r>
      </text>
    </comment>
    <comment ref="O68" authorId="0">
      <text>
        <r>
          <rPr>
            <sz val="10"/>
            <rFont val="Arial"/>
            <family val="2"/>
          </rPr>
          <t xml:space="preserve">SOURCE – KPL-476 R03 PUMPS-B (2) F42: NACE 'MR-0175' Required: Yes</t>
        </r>
      </text>
    </comment>
    <comment ref="O69" authorId="0">
      <text>
        <r>
          <rPr>
            <sz val="10"/>
            <rFont val="Arial"/>
            <family val="2"/>
          </rPr>
          <t xml:space="preserve">SOURCE – KPL-476 R03 PUMPS-B (3) F25: NACE 'MR-0175' Required: Yes</t>
        </r>
      </text>
    </comment>
    <comment ref="O70" authorId="0">
      <text>
        <r>
          <rPr>
            <sz val="10"/>
            <rFont val="Arial"/>
            <family val="2"/>
          </rPr>
          <t xml:space="preserve">INFERRED – KPL-476 R03 PUMPS-B (3) F28:F35: no "NACE MR-0175 Required" line in item description, while the document states it item-by-item where required → N</t>
        </r>
      </text>
    </comment>
    <comment ref="O71" authorId="0">
      <text>
        <r>
          <rPr>
            <sz val="10"/>
            <rFont val="Arial"/>
            <family val="2"/>
          </rPr>
          <t xml:space="preserve">INFERRED – KPL-476 R03 PUMPS-B (3) F36:F43: no "NACE MR-0175 Required" line in item description, while the document states it item-by-item where required → N</t>
        </r>
      </text>
    </comment>
    <comment ref="O72" authorId="0">
      <text>
        <r>
          <rPr>
            <sz val="10"/>
            <rFont val="Arial"/>
            <family val="2"/>
          </rPr>
          <t xml:space="preserve">INFERRED – KPL-476 R03 PUMPS-B (4) F19:F26: no "NACE MR-0175 Required" line in item description, while the document states it item-by-item where required → N</t>
        </r>
      </text>
    </comment>
    <comment ref="O73" authorId="0">
      <text>
        <r>
          <rPr>
            <sz val="10"/>
            <rFont val="Arial"/>
            <family val="2"/>
          </rPr>
          <t xml:space="preserve">SOURCE – KPL-476 R03 PUMPS-B (4) F32: NACE 'MR-0175' Required: Yes</t>
        </r>
      </text>
    </comment>
    <comment ref="O74" authorId="0">
      <text>
        <r>
          <rPr>
            <sz val="10"/>
            <rFont val="Arial"/>
            <family val="2"/>
          </rPr>
          <t xml:space="preserve">SOURCE – KPL-476 R03 PUMPS-B (4) F41: NACE 'MR-0175' Required: Yes</t>
        </r>
      </text>
    </comment>
    <comment ref="O75" authorId="0">
      <text>
        <r>
          <rPr>
            <sz val="10"/>
            <rFont val="Arial"/>
            <family val="2"/>
          </rPr>
          <t xml:space="preserve">SOURCE – KPL-476 R03 PUMPS-B (5) F25: NACE 'MR-0175' Required: Yes</t>
        </r>
      </text>
    </comment>
    <comment ref="O76" authorId="0">
      <text>
        <r>
          <rPr>
            <sz val="10"/>
            <rFont val="Arial"/>
            <family val="2"/>
          </rPr>
          <t xml:space="preserve">SOURCE – KPL-476 R03 DESALTERS-B F37: NACE 'MR-0175' Required: Yes</t>
        </r>
      </text>
    </comment>
    <comment ref="O77" authorId="0">
      <text>
        <r>
          <rPr>
            <sz val="10"/>
            <rFont val="Arial"/>
            <family val="2"/>
          </rPr>
          <t xml:space="preserve">INFERRED – KPL-476 R03 IWWTP-B (1) F32:F36: no "NACE MR-0175 Required" line in item description, while the document states it item-by-item where required → N</t>
        </r>
      </text>
    </comment>
    <comment ref="O78" authorId="0">
      <text>
        <r>
          <rPr>
            <sz val="10"/>
            <rFont val="Arial"/>
            <family val="2"/>
          </rPr>
          <t xml:space="preserve">SOURCE – KPL-476 R03 IWWTP-B (1) F37:F42: NACE 'MR-0175' Required: Yes</t>
        </r>
      </text>
    </comment>
    <comment ref="O79" authorId="0">
      <text>
        <r>
          <rPr>
            <sz val="10"/>
            <rFont val="Arial"/>
            <family val="2"/>
          </rPr>
          <t xml:space="preserve">SOURCE – KPL-476 R03 IWWTP-B (1) F37:F42: NACE 'MR-0175' Required: Yes</t>
        </r>
      </text>
    </comment>
    <comment ref="O80" authorId="0">
      <text>
        <r>
          <rPr>
            <sz val="10"/>
            <rFont val="Arial"/>
            <family val="2"/>
          </rPr>
          <t xml:space="preserve">INFERRED – KPL-476 R03 IWWTP-B (1) F43:F47: no "NACE MR-0175 Required" line in item description, while the document states it item-by-item where required → N</t>
        </r>
      </text>
    </comment>
    <comment ref="O81" authorId="0">
      <text>
        <r>
          <rPr>
            <sz val="10"/>
            <rFont val="Arial"/>
            <family val="2"/>
          </rPr>
          <t xml:space="preserve">SOURCE – KPL-476 R03 IWWTP-B (2) F17:F21: NACE 'MR-0175' Required: Yes</t>
        </r>
      </text>
    </comment>
    <comment ref="O82" authorId="0">
      <text>
        <r>
          <rPr>
            <sz val="10"/>
            <rFont val="Arial"/>
            <family val="2"/>
          </rPr>
          <t xml:space="preserve">INFERRED – KPL-476 R03 STRIPPER-B F34:F41: no "NACE MR-0175 Required" line in item description, while the document states it item-by-item where required → N</t>
        </r>
      </text>
    </comment>
    <comment ref="O83" authorId="0">
      <text>
        <r>
          <rPr>
            <sz val="10"/>
            <rFont val="Arial"/>
            <family val="2"/>
          </rPr>
          <t xml:space="preserve">INFERRED – KPL-476 R03 PUMPS-C F19:F26: no "NACE MR-0175" line anywhere in Asmari (-A) or Common (-C) sheets, while the document states it item-by-item for the Bangestan train (12 "-B" sheets) → N</t>
        </r>
      </text>
    </comment>
    <comment ref="O84" authorId="0">
      <text>
        <r>
          <rPr>
            <sz val="10"/>
            <rFont val="Arial"/>
            <family val="2"/>
          </rPr>
          <t xml:space="preserve">INFERRED – KPL-476 R03 PUMPS-C F27:F34: no "NACE MR-0175" line anywhere in Asmari (-A) or Common (-C) sheets, while the document states it item-by-item for the Bangestan train (12 "-B" sheets) → N</t>
        </r>
      </text>
    </comment>
    <comment ref="O85" authorId="0">
      <text>
        <r>
          <rPr>
            <sz val="10"/>
            <rFont val="Arial"/>
            <family val="2"/>
          </rPr>
          <t xml:space="preserve">INFERRED – KPL-476 R03 PUMPS-C F35:F42: no "NACE MR-0175" line anywhere in Asmari (-A) or Common (-C) sheets, while the document states it item-by-item for the Bangestan train (12 "-B" sheets) → N</t>
        </r>
      </text>
    </comment>
    <comment ref="O86" authorId="0">
      <text>
        <r>
          <rPr>
            <sz val="10"/>
            <rFont val="Arial"/>
            <family val="2"/>
          </rPr>
          <t xml:space="preserve">INFERRED – KPL-476 R03 PUMPS-C F43:F50: no "NACE MR-0175" line anywhere in Asmari (-A) or Common (-C) sheets, while the document states it item-by-item for the Bangestan train (12 "-B" sheets) → N</t>
        </r>
      </text>
    </comment>
    <comment ref="O87" authorId="0">
      <text>
        <r>
          <rPr>
            <sz val="10"/>
            <rFont val="Arial"/>
            <family val="2"/>
          </rPr>
          <t xml:space="preserve">INFERRED – KPL-476 R03 PUMPS-C (2) F19:F26: no "NACE MR-0175" line anywhere in Asmari (-A) or Common (-C) sheets, while the document states it item-by-item for the Bangestan train (12 "-B" sheets) → N</t>
        </r>
      </text>
    </comment>
    <comment ref="O88" authorId="0">
      <text>
        <r>
          <rPr>
            <sz val="10"/>
            <rFont val="Arial"/>
            <family val="2"/>
          </rPr>
          <t xml:space="preserve">INFERRED – KPL-476 R03 PUMPS-C (2) F27:F35: no "NACE MR-0175" line anywhere in Asmari (-A) or Common (-C) sheets, while the document states it item-by-item for the Bangestan train (12 "-B" sheets) → N</t>
        </r>
      </text>
    </comment>
    <comment ref="O89" authorId="0">
      <text>
        <r>
          <rPr>
            <sz val="10"/>
            <rFont val="Arial"/>
            <family val="2"/>
          </rPr>
          <t xml:space="preserve">INFERRED – KPL-476 R03 PUMPS-C (2) F36:F44: no "NACE MR-0175" line anywhere in Asmari (-A) or Common (-C) sheets, while the document states it item-by-item for the Bangestan train (12 "-B" sheets) → N</t>
        </r>
      </text>
    </comment>
    <comment ref="O90" authorId="0">
      <text>
        <r>
          <rPr>
            <sz val="10"/>
            <rFont val="Arial"/>
            <family val="2"/>
          </rPr>
          <t xml:space="preserve">INFERRED – KPL-476 R03 PUMPS-C (3) F19:F27: no "NACE MR-0175" line anywhere in Asmari (-A) or Common (-C) sheets, while the document states it item-by-item for the Bangestan train (12 "-B" sheets) → N</t>
        </r>
      </text>
    </comment>
    <comment ref="O91" authorId="0">
      <text>
        <r>
          <rPr>
            <sz val="10"/>
            <rFont val="Arial"/>
            <family val="2"/>
          </rPr>
          <t xml:space="preserve">INFERRED – KPL-476 R03 PUMPS-C (3) F28:F35: no "NACE MR-0175" line anywhere in Asmari (-A) or Common (-C) sheets, while the document states it item-by-item for the Bangestan train (12 "-B" sheets) → N</t>
        </r>
      </text>
    </comment>
    <comment ref="O92" authorId="0">
      <text>
        <r>
          <rPr>
            <sz val="10"/>
            <rFont val="Arial"/>
            <family val="2"/>
          </rPr>
          <t xml:space="preserve">INFERRED – KPL-476 R03 PUMPS-C (3) F41:F49: no "NACE MR-0175" line anywhere in Asmari (-A) or Common (-C) sheets, while the document states it item-by-item for the Bangestan train (12 "-B" sheets) → N</t>
        </r>
      </text>
    </comment>
    <comment ref="O93" authorId="0">
      <text>
        <r>
          <rPr>
            <sz val="10"/>
            <rFont val="Arial"/>
            <family val="2"/>
          </rPr>
          <t xml:space="preserve">INFERRED – KPL-476 R03 PUMPS-C (4) F19:F26: no "NACE MR-0175" line anywhere in Asmari (-A) or Common (-C) sheets, while the document states it item-by-item for the Bangestan train (12 "-B" sheets) → N</t>
        </r>
      </text>
    </comment>
    <comment ref="O94" authorId="0">
      <text>
        <r>
          <rPr>
            <sz val="10"/>
            <rFont val="Arial"/>
            <family val="2"/>
          </rPr>
          <t xml:space="preserve">INFERRED – KPL-476 R03 PUMPS-A (4) F19:F26: no "NACE MR-0175" line anywhere in Asmari (-A) or Common (-C) sheets, while the document states it item-by-item for the Bangestan train (12 "-B" sheets) → N</t>
        </r>
      </text>
    </comment>
    <comment ref="O95" authorId="0">
      <text>
        <r>
          <rPr>
            <sz val="10"/>
            <rFont val="Arial"/>
            <family val="2"/>
          </rPr>
          <t xml:space="preserve">INFERRED – KPL-476 R03 PUMPS-B (5) F28:F35: no "NACE MR-0175 Required" line in item description, while the document states it item-by-item where required → N</t>
        </r>
      </text>
    </comment>
    <comment ref="O96" authorId="0">
      <text>
        <r>
          <rPr>
            <sz val="10"/>
            <rFont val="Arial"/>
            <family val="2"/>
          </rPr>
          <t xml:space="preserve">INFERRED – KPL-476 R03 PUMPS-C (3) F36:F40: no "NACE MR-0175" line anywhere in Asmari (-A) or Common (-C) sheets, while the document states it item-by-item for the Bangestan train (12 "-B" sheets) → N</t>
        </r>
      </text>
    </comment>
    <comment ref="O97" authorId="0">
      <text>
        <r>
          <rPr>
            <sz val="10"/>
            <rFont val="Arial"/>
            <family val="2"/>
          </rPr>
          <t xml:space="preserve">INFERRED – KPL-476 R03 PUMPS-C (4) F27:F31: no "NACE MR-0175" line anywhere in Asmari (-A) or Common (-C) sheets, while the document states it item-by-item for the Bangestan train (12 "-B" sheets) → N</t>
        </r>
      </text>
    </comment>
    <comment ref="O98" authorId="0">
      <text>
        <r>
          <rPr>
            <sz val="10"/>
            <rFont val="Arial"/>
            <family val="2"/>
          </rPr>
          <t xml:space="preserve">SOURCE – PC-ME 14040105 Pazanan2 PUMPS B8: NACE 'MR-0175' Required: Yes</t>
        </r>
      </text>
    </comment>
    <comment ref="O99" authorId="0">
      <text>
        <r>
          <rPr>
            <sz val="10"/>
            <rFont val="Arial"/>
            <family val="2"/>
          </rPr>
          <t xml:space="preserve">INFERRED – PC-ME 14040105 Pazanan2 PUMPS B9: no "NACE MR-0175" line in item description, while the document states it item-by-item where required → N</t>
        </r>
      </text>
    </comment>
    <comment ref="O100" authorId="0">
      <text>
        <r>
          <rPr>
            <sz val="10"/>
            <rFont val="Arial"/>
            <family val="2"/>
          </rPr>
          <t xml:space="preserve">INFERRED – PC-ME 14040105 Pazanan2 PUMPS B10: no "NACE MR-0175" line in item description, while the document states it item-by-item where required → N</t>
        </r>
      </text>
    </comment>
    <comment ref="O101" authorId="0">
      <text>
        <r>
          <rPr>
            <sz val="10"/>
            <rFont val="Arial"/>
            <family val="2"/>
          </rPr>
          <t xml:space="preserve">INFERRED – PC-ME 14040105 Pazanan2 PUMPS B11: no "NACE MR-0175" line in item description, while the document states it item-by-item where required → N</t>
        </r>
      </text>
    </comment>
    <comment ref="O102" authorId="0">
      <text>
        <r>
          <rPr>
            <sz val="10"/>
            <rFont val="Arial"/>
            <family val="2"/>
          </rPr>
          <t xml:space="preserve">SOURCE – PC-ME 14040105 Pazanan2 PUMPS B12: NACE 'MR-0175' Required: Yes</t>
        </r>
      </text>
    </comment>
    <comment ref="O103" authorId="0">
      <text>
        <r>
          <rPr>
            <sz val="10"/>
            <rFont val="Arial"/>
            <family val="2"/>
          </rPr>
          <t xml:space="preserve">SOURCE – PC-ME 14040105 Pazanan2 PUMPS B13: NACE 'MR-0175' Required: Yes</t>
        </r>
      </text>
    </comment>
    <comment ref="O104" authorId="0">
      <text>
        <r>
          <rPr>
            <sz val="10"/>
            <rFont val="Arial"/>
            <family val="2"/>
          </rPr>
          <t xml:space="preserve">INFERRED – PC-ME 14040105 Pazanan2 PUMPS B14: no "NACE MR-0175" line in item description, while the document states it item-by-item where required → N</t>
        </r>
      </text>
    </comment>
    <comment ref="O105" authorId="0">
      <text>
        <r>
          <rPr>
            <sz val="10"/>
            <rFont val="Arial"/>
            <family val="2"/>
          </rPr>
          <t xml:space="preserve">SOURCE – PC-ME 14040105 Pazanan2 PUMPS B15: NACE 'MR-0175' Required: Yes</t>
        </r>
      </text>
    </comment>
    <comment ref="O106" authorId="0">
      <text>
        <r>
          <rPr>
            <sz val="10"/>
            <rFont val="Arial"/>
            <family val="2"/>
          </rPr>
          <t xml:space="preserve">INFERRED – PC-ME 14040105 Pazanan2 PUMPS B16: no "NACE MR-0175" line in item description, while the document states it item-by-item where required → N</t>
        </r>
      </text>
    </comment>
    <comment ref="O107" authorId="0">
      <text>
        <r>
          <rPr>
            <sz val="10"/>
            <rFont val="Arial"/>
            <family val="2"/>
          </rPr>
          <t xml:space="preserve">SOURCE – PC-ME 14040105 Pazanan2 PUMPS B17: NACE 'MR-0175' Required: Yes</t>
        </r>
      </text>
    </comment>
    <comment ref="O108" authorId="0">
      <text>
        <r>
          <rPr>
            <sz val="10"/>
            <rFont val="Arial"/>
            <family val="2"/>
          </rPr>
          <t xml:space="preserve">INFERRED – PC-ME 14040105 Pazanan2 PUMPS B18: no "NACE MR-0175" line in item description, while the document states it item-by-item where required → N</t>
        </r>
      </text>
    </comment>
    <comment ref="O109" authorId="0">
      <text>
        <r>
          <rPr>
            <sz val="10"/>
            <rFont val="Arial"/>
            <family val="2"/>
          </rPr>
          <t xml:space="preserve">SOURCE – PC-ME 14040105 Pazanan2 PUMPS B19: NACE 'MR-0175' Required: Yes</t>
        </r>
      </text>
    </comment>
    <comment ref="O110" authorId="0">
      <text>
        <r>
          <rPr>
            <sz val="10"/>
            <rFont val="Arial"/>
            <family val="2"/>
          </rPr>
          <t xml:space="preserve">SOURCE – PC-ME 14040105 Pazanan2 PUMPS B20: NACE 'MR-0175' Required: Yes</t>
        </r>
      </text>
    </comment>
    <comment ref="O111" authorId="0">
      <text>
        <r>
          <rPr>
            <sz val="10"/>
            <rFont val="Arial"/>
            <family val="2"/>
          </rPr>
          <t xml:space="preserve">INFERRED – PC-ME 14040105 Pazanan2 PUMPS B21: no "NACE MR-0175" line in item description, while the document states it item-by-item where required → N</t>
        </r>
      </text>
    </comment>
    <comment ref="O112" authorId="0">
      <text>
        <r>
          <rPr>
            <sz val="10"/>
            <rFont val="Arial"/>
            <family val="2"/>
          </rPr>
          <t xml:space="preserve">INFERRED – PC-ME 14040105 Pazanan2 PUMPS B22: no "NACE MR-0175" line in item description, while the document states it item-by-item where required → N</t>
        </r>
      </text>
    </comment>
    <comment ref="O113" authorId="0">
      <text>
        <r>
          <rPr>
            <sz val="10"/>
            <rFont val="Arial"/>
            <family val="2"/>
          </rPr>
          <t xml:space="preserve">INFERRED – PC-ME 14040105 Pazanan2 PUMPS B23: no "NACE MR-0175" line in item description, while the document states it item-by-item where required → N</t>
        </r>
      </text>
    </comment>
    <comment ref="O114" authorId="0">
      <text>
        <r>
          <rPr>
            <sz val="10"/>
            <rFont val="Arial"/>
            <family val="2"/>
          </rPr>
          <t xml:space="preserve">INFERRED – PC-ME 14040105 Pazanan2 PUMPS B24: no "NACE MR-0175" line in item description, while the document states it item-by-item where required → N</t>
        </r>
      </text>
    </comment>
    <comment ref="O115" authorId="0">
      <text>
        <r>
          <rPr>
            <sz val="10"/>
            <rFont val="Arial"/>
            <family val="2"/>
          </rPr>
          <t xml:space="preserve">INFERRED – PC-ME 14040105 Pazanan2 PUMPS B25: no "NACE MR-0175" line in item description, while the document states it item-by-item where required → N</t>
        </r>
      </text>
    </comment>
    <comment ref="O116" authorId="0">
      <text>
        <r>
          <rPr>
            <sz val="10"/>
            <rFont val="Arial"/>
            <family val="2"/>
          </rPr>
          <t xml:space="preserve">INFERRED – PC-ME 14040105 Pazanan2 PUMPS B26: no "NACE MR-0175" line in item description, while the document states it item-by-item where required → N</t>
        </r>
      </text>
    </comment>
    <comment ref="O117" authorId="0">
      <text>
        <r>
          <rPr>
            <sz val="10"/>
            <rFont val="Arial"/>
            <family val="2"/>
          </rPr>
          <t xml:space="preserve">INFERRED – PC-ME 14040105 Pazanan2 PUMPS B27: no "NACE MR-0175" line in item description, while the document states it item-by-item where required → N</t>
        </r>
      </text>
    </comment>
    <comment ref="O118" authorId="0">
      <text>
        <r>
          <rPr>
            <sz val="10"/>
            <rFont val="Arial"/>
            <family val="2"/>
          </rPr>
          <t xml:space="preserve">INFERRED – PC-ME 14040105 Pazanan2 PUMPS B28: no "NACE MR-0175" line in item description, while the document states it item-by-item where required → N</t>
        </r>
      </text>
    </comment>
    <comment ref="O133" authorId="0">
      <text>
        <r>
          <rPr>
            <sz val="10"/>
            <rFont val="Arial"/>
            <family val="2"/>
          </rPr>
          <t xml:space="preserve">SOURCE – PC-ME 14040105 Pazanan2 PUMPS B8: NACE 'MR-0175' Required: Yes</t>
        </r>
      </text>
    </comment>
    <comment ref="O134" authorId="0">
      <text>
        <r>
          <rPr>
            <sz val="10"/>
            <rFont val="Arial"/>
            <family val="2"/>
          </rPr>
          <t xml:space="preserve">INFERRED – PC-ME 14040105 Pazanan2 PUMPS B9: no "NACE MR-0175" line in item description, while the document states it item-by-item where required → N</t>
        </r>
      </text>
    </comment>
    <comment ref="O135" authorId="0">
      <text>
        <r>
          <rPr>
            <sz val="10"/>
            <rFont val="Arial"/>
            <family val="2"/>
          </rPr>
          <t xml:space="preserve">INFERRED – PC-ME 14040105 Pazanan2 PUMPS B10: no "NACE MR-0175" line in item description, while the document states it item-by-item where required → N</t>
        </r>
      </text>
    </comment>
    <comment ref="O136" authorId="0">
      <text>
        <r>
          <rPr>
            <sz val="10"/>
            <rFont val="Arial"/>
            <family val="2"/>
          </rPr>
          <t xml:space="preserve">INFERRED – PC-ME 14040105 Pazanan2 PUMPS B11: no "NACE MR-0175" line in item description, while the document states it item-by-item where required → N</t>
        </r>
      </text>
    </comment>
    <comment ref="O137" authorId="0">
      <text>
        <r>
          <rPr>
            <sz val="10"/>
            <rFont val="Arial"/>
            <family val="2"/>
          </rPr>
          <t xml:space="preserve">SOURCE – PC-ME 14040105 Pazanan2 PUMPS B12: NACE 'MR-0175' Required: Yes</t>
        </r>
      </text>
    </comment>
    <comment ref="O138" authorId="0">
      <text>
        <r>
          <rPr>
            <sz val="10"/>
            <rFont val="Arial"/>
            <family val="2"/>
          </rPr>
          <t xml:space="preserve">SOURCE – PC-ME 14040105 Pazanan2 PUMPS B13: NACE 'MR-0175' Required: Yes</t>
        </r>
      </text>
    </comment>
    <comment ref="O139" authorId="0">
      <text>
        <r>
          <rPr>
            <sz val="10"/>
            <rFont val="Arial"/>
            <family val="2"/>
          </rPr>
          <t xml:space="preserve">INFERRED – PC-ME 14040105 Pazanan2 PUMPS B14: no "NACE MR-0175" line in item description, while the document states it item-by-item where required → N</t>
        </r>
      </text>
    </comment>
    <comment ref="O140" authorId="0">
      <text>
        <r>
          <rPr>
            <sz val="10"/>
            <rFont val="Arial"/>
            <family val="2"/>
          </rPr>
          <t xml:space="preserve">SOURCE – PC-ME 14040105 Pazanan2 PUMPS B15: NACE 'MR-0175' Required: Yes</t>
        </r>
      </text>
    </comment>
    <comment ref="O141" authorId="0">
      <text>
        <r>
          <rPr>
            <sz val="10"/>
            <rFont val="Arial"/>
            <family val="2"/>
          </rPr>
          <t xml:space="preserve">INFERRED – PC-ME 14040105 Pazanan2 PUMPS B16: no "NACE MR-0175" line in item description, while the document states it item-by-item where required → N</t>
        </r>
      </text>
    </comment>
    <comment ref="O142" authorId="0">
      <text>
        <r>
          <rPr>
            <sz val="10"/>
            <rFont val="Arial"/>
            <family val="2"/>
          </rPr>
          <t xml:space="preserve">SOURCE – PC-ME 14040105 Pazanan2 PUMPS B17: NACE 'MR-0175' Required: Yes</t>
        </r>
      </text>
    </comment>
    <comment ref="O143" authorId="0">
      <text>
        <r>
          <rPr>
            <sz val="10"/>
            <rFont val="Arial"/>
            <family val="2"/>
          </rPr>
          <t xml:space="preserve">INFERRED – PC-ME 14040105 Pazanan2 PUMPS B18: no "NACE MR-0175" line in item description, while the document states it item-by-item where required → N</t>
        </r>
      </text>
    </comment>
    <comment ref="O144" authorId="0">
      <text>
        <r>
          <rPr>
            <sz val="10"/>
            <rFont val="Arial"/>
            <family val="2"/>
          </rPr>
          <t xml:space="preserve">SOURCE – PC-ME 14040105 Pazanan2 PUMPS B20: NACE 'MR-0175' Required: Yes</t>
        </r>
      </text>
    </comment>
    <comment ref="O145" authorId="0">
      <text>
        <r>
          <rPr>
            <sz val="10"/>
            <rFont val="Arial"/>
            <family val="2"/>
          </rPr>
          <t xml:space="preserve">INFERRED – PC-ME 14040105 Pazanan2 PUMPS B21: no "NACE MR-0175" line in item description, while the document states it item-by-item where required → N</t>
        </r>
      </text>
    </comment>
    <comment ref="O146" authorId="0">
      <text>
        <r>
          <rPr>
            <sz val="10"/>
            <rFont val="Arial"/>
            <family val="2"/>
          </rPr>
          <t xml:space="preserve">INFERRED – PC-ME 14040105 Pazanan2 PUMPS B22: no "NACE MR-0175" line in item description, while the document states it item-by-item where required → N</t>
        </r>
      </text>
    </comment>
    <comment ref="O147" authorId="0">
      <text>
        <r>
          <rPr>
            <sz val="10"/>
            <rFont val="Arial"/>
            <family val="2"/>
          </rPr>
          <t xml:space="preserve">INFERRED – PC-ME 14040105 Pazanan2 PUMPS B23: no "NACE MR-0175" line in item description, while the document states it item-by-item where required → N</t>
        </r>
      </text>
    </comment>
    <comment ref="O148" authorId="0">
      <text>
        <r>
          <rPr>
            <sz val="10"/>
            <rFont val="Arial"/>
            <family val="2"/>
          </rPr>
          <t xml:space="preserve">INFERRED – PC-ME 14040105 Pazanan2 PUMPS B24: no "NACE MR-0175" line in item description, while the document states it item-by-item where required → N</t>
        </r>
      </text>
    </comment>
    <comment ref="O149" authorId="0">
      <text>
        <r>
          <rPr>
            <sz val="10"/>
            <rFont val="Arial"/>
            <family val="2"/>
          </rPr>
          <t xml:space="preserve">INFERRED – PC-ME 14040105 Pazanan2 PUMPS B25: no "NACE MR-0175" line in item description, while the document states it item-by-item where required → N</t>
        </r>
      </text>
    </comment>
    <comment ref="O150" authorId="0">
      <text>
        <r>
          <rPr>
            <sz val="10"/>
            <rFont val="Arial"/>
            <family val="2"/>
          </rPr>
          <t xml:space="preserve">INFERRED – PC-ME 14040105 Pazanan2 PUMPS B26: no "NACE MR-0175" line in item description, while the document states it item-by-item where required → N</t>
        </r>
      </text>
    </comment>
    <comment ref="P4" authorId="0">
      <text>
        <r>
          <rPr>
            <sz val="10"/>
            <rFont val="FreeSans"/>
            <family val="2"/>
          </rPr>
          <t xml:space="preserve">نوع آب‌بند مکانیکی طبق </t>
        </r>
        <r>
          <rPr>
            <sz val="10"/>
            <rFont val="Arial"/>
            <family val="2"/>
          </rPr>
          <t xml:space="preserve">API 682: Arr 1 </t>
        </r>
        <r>
          <rPr>
            <sz val="10"/>
            <rFont val="FreeSans"/>
            <family val="2"/>
          </rPr>
          <t xml:space="preserve">تکی، </t>
        </r>
        <r>
          <rPr>
            <sz val="10"/>
            <rFont val="Arial"/>
            <family val="2"/>
          </rPr>
          <t xml:space="preserve">Arr 2 </t>
        </r>
        <r>
          <rPr>
            <sz val="10"/>
            <rFont val="FreeSans"/>
            <family val="2"/>
          </rPr>
          <t xml:space="preserve">دوبل بدون فشار، </t>
        </r>
        <r>
          <rPr>
            <sz val="10"/>
            <rFont val="Arial"/>
            <family val="2"/>
          </rPr>
          <t xml:space="preserve">Arr 3 </t>
        </r>
        <r>
          <rPr>
            <sz val="10"/>
            <rFont val="FreeSans"/>
            <family val="2"/>
          </rPr>
          <t xml:space="preserve">دوبل تحت فشار</t>
        </r>
        <r>
          <rPr>
            <sz val="10"/>
            <rFont val="Arial"/>
            <family val="2"/>
          </rPr>
          <t xml:space="preserve">.</t>
        </r>
      </text>
    </comment>
    <comment ref="Q4" authorId="0">
      <text>
        <r>
          <rPr>
            <sz val="10"/>
            <rFont val="FreeSans"/>
            <family val="2"/>
          </rPr>
          <t xml:space="preserve">کلاس سختگیری آب‌بند طبق </t>
        </r>
        <r>
          <rPr>
            <sz val="10"/>
            <rFont val="Arial"/>
            <family val="2"/>
          </rPr>
          <t xml:space="preserve">API 682: Cat 1 </t>
        </r>
        <r>
          <rPr>
            <sz val="10"/>
            <rFont val="FreeSans"/>
            <family val="2"/>
          </rPr>
          <t xml:space="preserve">سبک، </t>
        </r>
        <r>
          <rPr>
            <sz val="10"/>
            <rFont val="Arial"/>
            <family val="2"/>
          </rPr>
          <t xml:space="preserve">Cat 2 </t>
        </r>
        <r>
          <rPr>
            <sz val="10"/>
            <rFont val="FreeSans"/>
            <family val="2"/>
          </rPr>
          <t xml:space="preserve">استاندارد </t>
        </r>
        <r>
          <rPr>
            <sz val="10"/>
            <rFont val="Arial"/>
            <family val="2"/>
          </rPr>
          <t xml:space="preserve">API 610</t>
        </r>
        <r>
          <rPr>
            <sz val="10"/>
            <rFont val="FreeSans"/>
            <family val="2"/>
          </rPr>
          <t xml:space="preserve">، </t>
        </r>
        <r>
          <rPr>
            <sz val="10"/>
            <rFont val="Arial"/>
            <family val="2"/>
          </rPr>
          <t xml:space="preserve">Cat 3 </t>
        </r>
        <r>
          <rPr>
            <sz val="10"/>
            <rFont val="FreeSans"/>
            <family val="2"/>
          </rPr>
          <t xml:space="preserve">سنگین</t>
        </r>
        <r>
          <rPr>
            <sz val="10"/>
            <rFont val="Arial"/>
            <family val="2"/>
          </rPr>
          <t xml:space="preserve">.</t>
        </r>
      </text>
    </comment>
    <comment ref="R4" authorId="0">
      <text>
        <r>
          <rPr>
            <sz val="10"/>
            <rFont val="FreeSans"/>
            <family val="2"/>
          </rPr>
          <t xml:space="preserve">طرح شستشو </t>
        </r>
        <r>
          <rPr>
            <sz val="10"/>
            <rFont val="Arial"/>
            <family val="2"/>
          </rPr>
          <t xml:space="preserve">/ Barrier </t>
        </r>
        <r>
          <rPr>
            <sz val="10"/>
            <rFont val="FreeSans"/>
            <family val="2"/>
          </rPr>
          <t xml:space="preserve">آب‌بند طبق </t>
        </r>
        <r>
          <rPr>
            <sz val="10"/>
            <rFont val="Arial"/>
            <family val="2"/>
          </rPr>
          <t xml:space="preserve">API 682 (</t>
        </r>
        <r>
          <rPr>
            <sz val="10"/>
            <rFont val="FreeSans"/>
            <family val="2"/>
          </rPr>
          <t xml:space="preserve">مثلاً </t>
        </r>
        <r>
          <rPr>
            <sz val="10"/>
            <rFont val="Arial"/>
            <family val="2"/>
          </rPr>
          <t xml:space="preserve">11</t>
        </r>
        <r>
          <rPr>
            <sz val="10"/>
            <rFont val="FreeSans"/>
            <family val="2"/>
          </rPr>
          <t xml:space="preserve">، </t>
        </r>
        <r>
          <rPr>
            <sz val="10"/>
            <rFont val="Arial"/>
            <family val="2"/>
          </rPr>
          <t xml:space="preserve">52</t>
        </r>
        <r>
          <rPr>
            <sz val="10"/>
            <rFont val="FreeSans"/>
            <family val="2"/>
          </rPr>
          <t xml:space="preserve">، </t>
        </r>
        <r>
          <rPr>
            <sz val="10"/>
            <rFont val="Arial"/>
            <family val="2"/>
          </rPr>
          <t xml:space="preserve">53B).</t>
        </r>
      </text>
    </comment>
    <comment ref="S4" authorId="0">
      <text>
        <r>
          <rPr>
            <sz val="10"/>
            <rFont val="FreeSans"/>
            <family val="2"/>
          </rPr>
          <t xml:space="preserve">نوع محرک</t>
        </r>
        <r>
          <rPr>
            <sz val="10"/>
            <rFont val="Arial"/>
            <family val="2"/>
          </rPr>
          <t xml:space="preserve">.</t>
        </r>
      </text>
    </comment>
    <comment ref="S5" authorId="0">
      <text>
        <r>
          <rPr>
            <sz val="10"/>
            <rFont val="Arial"/>
            <family val="2"/>
          </rPr>
          <t xml:space="preserve">SOURCE – 18061405_Pump_only_CSV.csv line 5, column "Driver Type" = E</t>
        </r>
      </text>
    </comment>
    <comment ref="S6" authorId="0">
      <text>
        <r>
          <rPr>
            <sz val="10"/>
            <rFont val="Arial"/>
            <family val="2"/>
          </rPr>
          <t xml:space="preserve">SOURCE – 18061405_Pump_only_CSV.csv line 6, column "Driver Type" = E</t>
        </r>
      </text>
    </comment>
    <comment ref="S7" authorId="0">
      <text>
        <r>
          <rPr>
            <sz val="10"/>
            <rFont val="Arial"/>
            <family val="2"/>
          </rPr>
          <t xml:space="preserve">SOURCE – 18061405_Pump_only_CSV.csv line 7, column "Driver Type" = E</t>
        </r>
      </text>
    </comment>
    <comment ref="S8" authorId="0">
      <text>
        <r>
          <rPr>
            <sz val="10"/>
            <rFont val="Arial"/>
            <family val="2"/>
          </rPr>
          <t xml:space="preserve">SOURCE – 18061405_Pump_only_CSV.csv line 8, column "Driver Type" = E</t>
        </r>
      </text>
    </comment>
    <comment ref="S9" authorId="0">
      <text>
        <r>
          <rPr>
            <sz val="10"/>
            <rFont val="Arial"/>
            <family val="2"/>
          </rPr>
          <t xml:space="preserve">SOURCE – 18061405_Pump_only_CSV.csv line 9, column "Driver Type" = E</t>
        </r>
      </text>
    </comment>
    <comment ref="S10" authorId="0">
      <text>
        <r>
          <rPr>
            <sz val="10"/>
            <rFont val="Arial"/>
            <family val="2"/>
          </rPr>
          <t xml:space="preserve">SOURCE – 18061405_Pump_only_CSV.csv line 10, column "Driver Type" = E</t>
        </r>
      </text>
    </comment>
    <comment ref="S11" authorId="0">
      <text>
        <r>
          <rPr>
            <sz val="10"/>
            <rFont val="Arial"/>
            <family val="2"/>
          </rPr>
          <t xml:space="preserve">SOURCE – 18061405_Pump_only_CSV.csv line 11, column "Driver Type" = E</t>
        </r>
      </text>
    </comment>
    <comment ref="S12" authorId="0">
      <text>
        <r>
          <rPr>
            <sz val="10"/>
            <rFont val="Arial"/>
            <family val="2"/>
          </rPr>
          <t xml:space="preserve">SOURCE – 18061405_Pump_only_CSV.csv line 12, column "Driver Type" = E</t>
        </r>
      </text>
    </comment>
    <comment ref="S13" authorId="0">
      <text>
        <r>
          <rPr>
            <sz val="10"/>
            <rFont val="Arial"/>
            <family val="2"/>
          </rPr>
          <t xml:space="preserve">SOURCE – 18061405_Pump_only_CSV.csv line 13, column "Driver Type" = E</t>
        </r>
      </text>
    </comment>
    <comment ref="S14" authorId="0">
      <text>
        <r>
          <rPr>
            <sz val="10"/>
            <rFont val="Arial"/>
            <family val="2"/>
          </rPr>
          <t xml:space="preserve">SOURCE – 18061405_Pump_only_CSV.csv line 14, column "Driver Type" = E</t>
        </r>
      </text>
    </comment>
    <comment ref="S15" authorId="0">
      <text>
        <r>
          <rPr>
            <sz val="10"/>
            <rFont val="Arial"/>
            <family val="2"/>
          </rPr>
          <t xml:space="preserve">SOURCE – 18061405_Pump_only_CSV.csv line 15, column "Driver Type" = E</t>
        </r>
      </text>
    </comment>
    <comment ref="S16" authorId="0">
      <text>
        <r>
          <rPr>
            <sz val="10"/>
            <rFont val="Arial"/>
            <family val="2"/>
          </rPr>
          <t xml:space="preserve">SOURCE – 18061405_Pump_only_CSV.csv line 16, column "Driver Type" = E</t>
        </r>
      </text>
    </comment>
    <comment ref="S17" authorId="0">
      <text>
        <r>
          <rPr>
            <sz val="10"/>
            <rFont val="Arial"/>
            <family val="2"/>
          </rPr>
          <t xml:space="preserve">SOURCE – 18061405_Pump_only_CSV.csv line 17, column "Driver Type" = E</t>
        </r>
      </text>
    </comment>
    <comment ref="S18" authorId="0">
      <text>
        <r>
          <rPr>
            <sz val="10"/>
            <rFont val="Arial"/>
            <family val="2"/>
          </rPr>
          <t xml:space="preserve">SOURCE – 18061405_Pump_only_CSV.csv line 18, column "Driver Type" = E</t>
        </r>
      </text>
    </comment>
    <comment ref="S19"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0"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1"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2"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3"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4"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5"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6"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7"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8"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29"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0"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1"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2"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3"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4"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5"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6"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7"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8"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39"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 (P-801 </t>
        </r>
        <r>
          <rPr>
            <sz val="10"/>
            <rFont val="FreeSans"/>
            <family val="2"/>
          </rPr>
          <t xml:space="preserve">پمپ گازوئیل است، نه پمپ دیزلی؛ مقدار قبلی </t>
        </r>
        <r>
          <rPr>
            <sz val="10"/>
            <rFont val="Arial"/>
            <family val="2"/>
          </rPr>
          <t xml:space="preserve">Diesel Engine </t>
        </r>
        <r>
          <rPr>
            <sz val="10"/>
            <rFont val="FreeSans"/>
            <family val="2"/>
          </rPr>
          <t xml:space="preserve">اشتباه بود</t>
        </r>
        <r>
          <rPr>
            <sz val="10"/>
            <rFont val="Arial"/>
            <family val="2"/>
          </rPr>
          <t xml:space="preserve">)</t>
        </r>
      </text>
    </comment>
    <comment ref="S40" authorId="0">
      <text>
        <r>
          <rPr>
            <sz val="10"/>
            <rFont val="Arial"/>
            <family val="2"/>
          </rPr>
          <t xml:space="preserve">SOURCE – equipment name states electric motor driven</t>
        </r>
      </text>
    </comment>
    <comment ref="S41" authorId="0">
      <text>
        <r>
          <rPr>
            <sz val="10"/>
            <rFont val="Arial"/>
            <family val="2"/>
          </rPr>
          <t xml:space="preserve">SOURCE – equipment name states diesel engine driven</t>
        </r>
      </text>
    </comment>
    <comment ref="S42"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43"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44" authorId="0">
      <text>
        <r>
          <rPr>
            <sz val="10"/>
            <rFont val="Arial"/>
            <family val="2"/>
          </rPr>
          <t xml:space="preserve">INFERRED – </t>
        </r>
        <r>
          <rPr>
            <sz val="10"/>
            <rFont val="FreeSans"/>
            <family val="2"/>
          </rPr>
          <t xml:space="preserve">نوع محرک در منبع ذکر نشده؛ موتور برقی فرض شده است </t>
        </r>
        <r>
          <rPr>
            <sz val="10"/>
            <rFont val="Arial"/>
            <family val="2"/>
          </rPr>
          <t xml:space="preserve">(P.ME </t>
        </r>
        <r>
          <rPr>
            <sz val="10"/>
            <rFont val="FreeSans"/>
            <family val="2"/>
          </rPr>
          <t xml:space="preserve">فقط توان </t>
        </r>
        <r>
          <rPr>
            <sz val="10"/>
            <rFont val="Arial"/>
            <family val="2"/>
          </rPr>
          <t xml:space="preserve">kW </t>
        </r>
        <r>
          <rPr>
            <sz val="10"/>
            <rFont val="FreeSans"/>
            <family val="2"/>
          </rPr>
          <t xml:space="preserve">را داده است</t>
        </r>
        <r>
          <rPr>
            <sz val="10"/>
            <rFont val="Arial"/>
            <family val="2"/>
          </rPr>
          <t xml:space="preserve">)</t>
        </r>
      </text>
    </comment>
    <comment ref="S45" authorId="0">
      <text>
        <r>
          <rPr>
            <sz val="10"/>
            <rFont val="Arial"/>
            <family val="2"/>
          </rPr>
          <t xml:space="preserve">INFERRED – </t>
        </r>
        <r>
          <rPr>
            <sz val="10"/>
            <rFont val="FreeSans"/>
            <family val="2"/>
          </rPr>
          <t xml:space="preserve">نوع محرک در منبع ذکر نشده؛ موتور برقی فرض شده است</t>
        </r>
      </text>
    </comment>
    <comment ref="S46" authorId="0">
      <text>
        <r>
          <rPr>
            <sz val="10"/>
            <rFont val="Arial"/>
            <family val="2"/>
          </rPr>
          <t xml:space="preserve">INFERRED – </t>
        </r>
        <r>
          <rPr>
            <sz val="10"/>
            <rFont val="FreeSans"/>
            <family val="2"/>
          </rPr>
          <t xml:space="preserve">نوع محرک در منبع ذکر نشده؛ موتور برقی فرض شده است</t>
        </r>
      </text>
    </comment>
    <comment ref="S47" authorId="0">
      <text>
        <r>
          <rPr>
            <sz val="10"/>
            <rFont val="Arial"/>
            <family val="2"/>
          </rPr>
          <t xml:space="preserve">INFERRED – </t>
        </r>
        <r>
          <rPr>
            <sz val="10"/>
            <rFont val="FreeSans"/>
            <family val="2"/>
          </rPr>
          <t xml:space="preserve">نوع محرک در منبع ذکر نشده؛ موتور برقی فرض شده است</t>
        </r>
      </text>
    </comment>
    <comment ref="S48" authorId="0">
      <text>
        <r>
          <rPr>
            <sz val="10"/>
            <rFont val="Arial"/>
            <family val="2"/>
          </rPr>
          <t xml:space="preserve">INFERRED – </t>
        </r>
        <r>
          <rPr>
            <sz val="10"/>
            <rFont val="FreeSans"/>
            <family val="2"/>
          </rPr>
          <t xml:space="preserve">نوع محرک در منبع ذکر نشده؛ موتور برقی فرض شده است</t>
        </r>
      </text>
    </comment>
    <comment ref="S49" authorId="0">
      <text>
        <r>
          <rPr>
            <sz val="10"/>
            <rFont val="Arial"/>
            <family val="2"/>
          </rPr>
          <t xml:space="preserve">INFERRED – </t>
        </r>
        <r>
          <rPr>
            <sz val="10"/>
            <rFont val="FreeSans"/>
            <family val="2"/>
          </rPr>
          <t xml:space="preserve">نوع محرک در منبع ذکر نشده؛ موتور برقی فرض شده است</t>
        </r>
      </text>
    </comment>
    <comment ref="S50" authorId="0">
      <text>
        <r>
          <rPr>
            <sz val="10"/>
            <rFont val="Arial"/>
            <family val="2"/>
          </rPr>
          <t xml:space="preserve">INFERRED – </t>
        </r>
        <r>
          <rPr>
            <sz val="10"/>
            <rFont val="FreeSans"/>
            <family val="2"/>
          </rPr>
          <t xml:space="preserve">نوع محرک در منبع ذکر نشده؛ موتور برقی فرض شده است</t>
        </r>
      </text>
    </comment>
    <comment ref="S51" authorId="0">
      <text>
        <r>
          <rPr>
            <sz val="10"/>
            <rFont val="Arial"/>
            <family val="2"/>
          </rPr>
          <t xml:space="preserve">INFERRED – </t>
        </r>
        <r>
          <rPr>
            <sz val="10"/>
            <rFont val="FreeSans"/>
            <family val="2"/>
          </rPr>
          <t xml:space="preserve">نوع محرک در منبع ذکر نشده؛ موتور برقی فرض شده است</t>
        </r>
      </text>
    </comment>
    <comment ref="S52" authorId="0">
      <text>
        <r>
          <rPr>
            <sz val="10"/>
            <rFont val="Arial"/>
            <family val="2"/>
          </rPr>
          <t xml:space="preserve">INFERRED – </t>
        </r>
        <r>
          <rPr>
            <sz val="10"/>
            <rFont val="FreeSans"/>
            <family val="2"/>
          </rPr>
          <t xml:space="preserve">نوع محرک در منبع ذکر نشده؛ موتور برقی فرض شده است</t>
        </r>
      </text>
    </comment>
    <comment ref="S53" authorId="0">
      <text>
        <r>
          <rPr>
            <sz val="10"/>
            <rFont val="Arial"/>
            <family val="2"/>
          </rPr>
          <t xml:space="preserve">INFERRED – </t>
        </r>
        <r>
          <rPr>
            <sz val="10"/>
            <rFont val="FreeSans"/>
            <family val="2"/>
          </rPr>
          <t xml:space="preserve">نوع محرک در منبع ذکر نشده؛ موتور برقی فرض شده است</t>
        </r>
      </text>
    </comment>
    <comment ref="S54" authorId="0">
      <text>
        <r>
          <rPr>
            <sz val="10"/>
            <rFont val="Arial"/>
            <family val="2"/>
          </rPr>
          <t xml:space="preserve">INFERRED – </t>
        </r>
        <r>
          <rPr>
            <sz val="10"/>
            <rFont val="FreeSans"/>
            <family val="2"/>
          </rPr>
          <t xml:space="preserve">نوع محرک در منبع ذکر نشده؛ موتور برقی فرض شده است</t>
        </r>
      </text>
    </comment>
    <comment ref="S55" authorId="0">
      <text>
        <r>
          <rPr>
            <sz val="10"/>
            <rFont val="Arial"/>
            <family val="2"/>
          </rPr>
          <t xml:space="preserve">INFERRED – </t>
        </r>
        <r>
          <rPr>
            <sz val="10"/>
            <rFont val="FreeSans"/>
            <family val="2"/>
          </rPr>
          <t xml:space="preserve">نوع محرک در منبع ذکر نشده؛ موتور برقی فرض شده است</t>
        </r>
      </text>
    </comment>
    <comment ref="S56" authorId="0">
      <text>
        <r>
          <rPr>
            <sz val="10"/>
            <rFont val="Arial"/>
            <family val="2"/>
          </rPr>
          <t xml:space="preserve">INFERRED – </t>
        </r>
        <r>
          <rPr>
            <sz val="10"/>
            <rFont val="FreeSans"/>
            <family val="2"/>
          </rPr>
          <t xml:space="preserve">نوع محرک در منبع ذکر نشده؛ موتور برقی فرض شده است</t>
        </r>
      </text>
    </comment>
    <comment ref="S57" authorId="0">
      <text>
        <r>
          <rPr>
            <sz val="10"/>
            <rFont val="Arial"/>
            <family val="2"/>
          </rPr>
          <t xml:space="preserve">INFERRED – </t>
        </r>
        <r>
          <rPr>
            <sz val="10"/>
            <rFont val="FreeSans"/>
            <family val="2"/>
          </rPr>
          <t xml:space="preserve">نوع محرک در منبع ذکر نشده؛ موتور برقی فرض شده است</t>
        </r>
      </text>
    </comment>
    <comment ref="S58" authorId="0">
      <text>
        <r>
          <rPr>
            <sz val="10"/>
            <rFont val="Arial"/>
            <family val="2"/>
          </rPr>
          <t xml:space="preserve">INFERRED – </t>
        </r>
        <r>
          <rPr>
            <sz val="10"/>
            <rFont val="FreeSans"/>
            <family val="2"/>
          </rPr>
          <t xml:space="preserve">نوع محرک در منبع ذکر نشده؛ موتور برقی فرض شده است</t>
        </r>
      </text>
    </comment>
    <comment ref="S59" authorId="0">
      <text>
        <r>
          <rPr>
            <sz val="10"/>
            <rFont val="Arial"/>
            <family val="2"/>
          </rPr>
          <t xml:space="preserve">INFERRED – </t>
        </r>
        <r>
          <rPr>
            <sz val="10"/>
            <rFont val="FreeSans"/>
            <family val="2"/>
          </rPr>
          <t xml:space="preserve">نوع محرک در منبع ذکر نشده؛ موتور برقی فرض شده است</t>
        </r>
      </text>
    </comment>
    <comment ref="S60" authorId="0">
      <text>
        <r>
          <rPr>
            <sz val="10"/>
            <rFont val="Arial"/>
            <family val="2"/>
          </rPr>
          <t xml:space="preserve">INFERRED – </t>
        </r>
        <r>
          <rPr>
            <sz val="10"/>
            <rFont val="FreeSans"/>
            <family val="2"/>
          </rPr>
          <t xml:space="preserve">نوع محرک در منبع ذکر نشده؛ موتور برقی فرض شده است</t>
        </r>
      </text>
    </comment>
    <comment ref="S61" authorId="0">
      <text>
        <r>
          <rPr>
            <sz val="10"/>
            <rFont val="Arial"/>
            <family val="2"/>
          </rPr>
          <t xml:space="preserve">INFERRED – </t>
        </r>
        <r>
          <rPr>
            <sz val="10"/>
            <rFont val="FreeSans"/>
            <family val="2"/>
          </rPr>
          <t xml:space="preserve">نوع محرک در منبع ذکر نشده؛ موتور برقی فرض شده است</t>
        </r>
      </text>
    </comment>
    <comment ref="S62" authorId="0">
      <text>
        <r>
          <rPr>
            <sz val="10"/>
            <rFont val="Arial"/>
            <family val="2"/>
          </rPr>
          <t xml:space="preserve">INFERRED – </t>
        </r>
        <r>
          <rPr>
            <sz val="10"/>
            <rFont val="FreeSans"/>
            <family val="2"/>
          </rPr>
          <t xml:space="preserve">نوع محرک در منبع ذکر نشده؛ موتور برقی فرض شده است</t>
        </r>
      </text>
    </comment>
    <comment ref="S63" authorId="0">
      <text>
        <r>
          <rPr>
            <sz val="10"/>
            <rFont val="Arial"/>
            <family val="2"/>
          </rPr>
          <t xml:space="preserve">INFERRED – </t>
        </r>
        <r>
          <rPr>
            <sz val="10"/>
            <rFont val="FreeSans"/>
            <family val="2"/>
          </rPr>
          <t xml:space="preserve">نوع محرک در منبع ذکر نشده؛ موتور برقی فرض شده است</t>
        </r>
      </text>
    </comment>
    <comment ref="S64" authorId="0">
      <text>
        <r>
          <rPr>
            <sz val="10"/>
            <rFont val="Arial"/>
            <family val="2"/>
          </rPr>
          <t xml:space="preserve">INFERRED – </t>
        </r>
        <r>
          <rPr>
            <sz val="10"/>
            <rFont val="FreeSans"/>
            <family val="2"/>
          </rPr>
          <t xml:space="preserve">نوع محرک در منبع ذکر نشده؛ موتور برقی فرض شده است</t>
        </r>
      </text>
    </comment>
    <comment ref="S65" authorId="0">
      <text>
        <r>
          <rPr>
            <sz val="10"/>
            <rFont val="Arial"/>
            <family val="2"/>
          </rPr>
          <t xml:space="preserve">INFERRED – </t>
        </r>
        <r>
          <rPr>
            <sz val="10"/>
            <rFont val="FreeSans"/>
            <family val="2"/>
          </rPr>
          <t xml:space="preserve">نوع محرک در منبع ذکر نشده؛ موتور برقی فرض شده است</t>
        </r>
      </text>
    </comment>
    <comment ref="S66" authorId="0">
      <text>
        <r>
          <rPr>
            <sz val="10"/>
            <rFont val="Arial"/>
            <family val="2"/>
          </rPr>
          <t xml:space="preserve">INFERRED – </t>
        </r>
        <r>
          <rPr>
            <sz val="10"/>
            <rFont val="FreeSans"/>
            <family val="2"/>
          </rPr>
          <t xml:space="preserve">نوع محرک در منبع ذکر نشده؛ موتور برقی فرض شده است</t>
        </r>
      </text>
    </comment>
    <comment ref="S67" authorId="0">
      <text>
        <r>
          <rPr>
            <sz val="10"/>
            <rFont val="Arial"/>
            <family val="2"/>
          </rPr>
          <t xml:space="preserve">INFERRED – </t>
        </r>
        <r>
          <rPr>
            <sz val="10"/>
            <rFont val="FreeSans"/>
            <family val="2"/>
          </rPr>
          <t xml:space="preserve">نوع محرک در منبع ذکر نشده؛ موتور برقی فرض شده است</t>
        </r>
      </text>
    </comment>
    <comment ref="S68" authorId="0">
      <text>
        <r>
          <rPr>
            <sz val="10"/>
            <rFont val="Arial"/>
            <family val="2"/>
          </rPr>
          <t xml:space="preserve">INFERRED – </t>
        </r>
        <r>
          <rPr>
            <sz val="10"/>
            <rFont val="FreeSans"/>
            <family val="2"/>
          </rPr>
          <t xml:space="preserve">نوع محرک در منبع ذکر نشده؛ موتور برقی فرض شده است</t>
        </r>
      </text>
    </comment>
    <comment ref="S69" authorId="0">
      <text>
        <r>
          <rPr>
            <sz val="10"/>
            <rFont val="Arial"/>
            <family val="2"/>
          </rPr>
          <t xml:space="preserve">INFERRED – </t>
        </r>
        <r>
          <rPr>
            <sz val="10"/>
            <rFont val="FreeSans"/>
            <family val="2"/>
          </rPr>
          <t xml:space="preserve">نوع محرک در منبع ذکر نشده؛ موتور برقی فرض شده است</t>
        </r>
      </text>
    </comment>
    <comment ref="S70" authorId="0">
      <text>
        <r>
          <rPr>
            <sz val="10"/>
            <rFont val="Arial"/>
            <family val="2"/>
          </rPr>
          <t xml:space="preserve">INFERRED – </t>
        </r>
        <r>
          <rPr>
            <sz val="10"/>
            <rFont val="FreeSans"/>
            <family val="2"/>
          </rPr>
          <t xml:space="preserve">نوع محرک در منبع ذکر نشده؛ موتور برقی فرض شده است</t>
        </r>
      </text>
    </comment>
    <comment ref="S71" authorId="0">
      <text>
        <r>
          <rPr>
            <sz val="10"/>
            <rFont val="Arial"/>
            <family val="2"/>
          </rPr>
          <t xml:space="preserve">INFERRED – </t>
        </r>
        <r>
          <rPr>
            <sz val="10"/>
            <rFont val="FreeSans"/>
            <family val="2"/>
          </rPr>
          <t xml:space="preserve">نوع محرک در منبع ذکر نشده؛ موتور برقی فرض شده است</t>
        </r>
      </text>
    </comment>
    <comment ref="S72" authorId="0">
      <text>
        <r>
          <rPr>
            <sz val="10"/>
            <rFont val="Arial"/>
            <family val="2"/>
          </rPr>
          <t xml:space="preserve">INFERRED – </t>
        </r>
        <r>
          <rPr>
            <sz val="10"/>
            <rFont val="FreeSans"/>
            <family val="2"/>
          </rPr>
          <t xml:space="preserve">نوع محرک در منبع ذکر نشده؛ موتور برقی فرض شده است</t>
        </r>
      </text>
    </comment>
    <comment ref="S73" authorId="0">
      <text>
        <r>
          <rPr>
            <sz val="10"/>
            <rFont val="Arial"/>
            <family val="2"/>
          </rPr>
          <t xml:space="preserve">INFERRED – </t>
        </r>
        <r>
          <rPr>
            <sz val="10"/>
            <rFont val="FreeSans"/>
            <family val="2"/>
          </rPr>
          <t xml:space="preserve">نوع محرک در منبع ذکر نشده؛ موتور برقی فرض شده است</t>
        </r>
      </text>
    </comment>
    <comment ref="S74" authorId="0">
      <text>
        <r>
          <rPr>
            <sz val="10"/>
            <rFont val="Arial"/>
            <family val="2"/>
          </rPr>
          <t xml:space="preserve">INFERRED – </t>
        </r>
        <r>
          <rPr>
            <sz val="10"/>
            <rFont val="FreeSans"/>
            <family val="2"/>
          </rPr>
          <t xml:space="preserve">نوع محرک در منبع ذکر نشده؛ موتور برقی فرض شده است</t>
        </r>
      </text>
    </comment>
    <comment ref="S75" authorId="0">
      <text>
        <r>
          <rPr>
            <sz val="10"/>
            <rFont val="Arial"/>
            <family val="2"/>
          </rPr>
          <t xml:space="preserve">INFERRED – </t>
        </r>
        <r>
          <rPr>
            <sz val="10"/>
            <rFont val="FreeSans"/>
            <family val="2"/>
          </rPr>
          <t xml:space="preserve">نوع محرک در منبع ذکر نشده؛ موتور برقی فرض شده است</t>
        </r>
      </text>
    </comment>
    <comment ref="S76" authorId="0">
      <text>
        <r>
          <rPr>
            <sz val="10"/>
            <rFont val="Arial"/>
            <family val="2"/>
          </rPr>
          <t xml:space="preserve">INFERRED – </t>
        </r>
        <r>
          <rPr>
            <sz val="10"/>
            <rFont val="FreeSans"/>
            <family val="2"/>
          </rPr>
          <t xml:space="preserve">نوع محرک در منبع ذکر نشده؛ موتور برقی فرض شده است</t>
        </r>
      </text>
    </comment>
    <comment ref="S77" authorId="0">
      <text>
        <r>
          <rPr>
            <sz val="10"/>
            <rFont val="Arial"/>
            <family val="2"/>
          </rPr>
          <t xml:space="preserve">INFERRED – </t>
        </r>
        <r>
          <rPr>
            <sz val="10"/>
            <rFont val="FreeSans"/>
            <family val="2"/>
          </rPr>
          <t xml:space="preserve">نوع محرک در منبع ذکر نشده؛ موتور برقی فرض شده است</t>
        </r>
      </text>
    </comment>
    <comment ref="S78" authorId="0">
      <text>
        <r>
          <rPr>
            <sz val="10"/>
            <rFont val="Arial"/>
            <family val="2"/>
          </rPr>
          <t xml:space="preserve">INFERRED – </t>
        </r>
        <r>
          <rPr>
            <sz val="10"/>
            <rFont val="FreeSans"/>
            <family val="2"/>
          </rPr>
          <t xml:space="preserve">نوع محرک در منبع ذکر نشده؛ موتور برقی فرض شده است</t>
        </r>
      </text>
    </comment>
    <comment ref="S79" authorId="0">
      <text>
        <r>
          <rPr>
            <sz val="10"/>
            <rFont val="Arial"/>
            <family val="2"/>
          </rPr>
          <t xml:space="preserve">INFERRED – </t>
        </r>
        <r>
          <rPr>
            <sz val="10"/>
            <rFont val="FreeSans"/>
            <family val="2"/>
          </rPr>
          <t xml:space="preserve">نوع محرک در منبع ذکر نشده؛ موتور برقی فرض شده است</t>
        </r>
      </text>
    </comment>
    <comment ref="S80" authorId="0">
      <text>
        <r>
          <rPr>
            <sz val="10"/>
            <rFont val="Arial"/>
            <family val="2"/>
          </rPr>
          <t xml:space="preserve">INFERRED – </t>
        </r>
        <r>
          <rPr>
            <sz val="10"/>
            <rFont val="FreeSans"/>
            <family val="2"/>
          </rPr>
          <t xml:space="preserve">نوع محرک در منبع ذکر نشده؛ موتور برقی فرض شده است</t>
        </r>
      </text>
    </comment>
    <comment ref="S81" authorId="0">
      <text>
        <r>
          <rPr>
            <sz val="10"/>
            <rFont val="Arial"/>
            <family val="2"/>
          </rPr>
          <t xml:space="preserve">INFERRED – </t>
        </r>
        <r>
          <rPr>
            <sz val="10"/>
            <rFont val="FreeSans"/>
            <family val="2"/>
          </rPr>
          <t xml:space="preserve">نوع محرک در منبع ذکر نشده؛ موتور برقی فرض شده است</t>
        </r>
      </text>
    </comment>
    <comment ref="S82" authorId="0">
      <text>
        <r>
          <rPr>
            <sz val="10"/>
            <rFont val="Arial"/>
            <family val="2"/>
          </rPr>
          <t xml:space="preserve">INFERRED – </t>
        </r>
        <r>
          <rPr>
            <sz val="10"/>
            <rFont val="FreeSans"/>
            <family val="2"/>
          </rPr>
          <t xml:space="preserve">نوع محرک در منبع ذکر نشده؛ موتور برقی فرض شده است</t>
        </r>
      </text>
    </comment>
    <comment ref="S83" authorId="0">
      <text>
        <r>
          <rPr>
            <sz val="10"/>
            <rFont val="Arial"/>
            <family val="2"/>
          </rPr>
          <t xml:space="preserve">INFERRED – </t>
        </r>
        <r>
          <rPr>
            <sz val="10"/>
            <rFont val="FreeSans"/>
            <family val="2"/>
          </rPr>
          <t xml:space="preserve">نوع محرک در منبع ذکر نشده؛ موتور برقی فرض شده است</t>
        </r>
      </text>
    </comment>
    <comment ref="S84" authorId="0">
      <text>
        <r>
          <rPr>
            <sz val="10"/>
            <rFont val="Arial"/>
            <family val="2"/>
          </rPr>
          <t xml:space="preserve">INFERRED – </t>
        </r>
        <r>
          <rPr>
            <sz val="10"/>
            <rFont val="FreeSans"/>
            <family val="2"/>
          </rPr>
          <t xml:space="preserve">نوع محرک در منبع ذکر نشده؛ موتور برقی فرض شده است</t>
        </r>
      </text>
    </comment>
    <comment ref="S85" authorId="0">
      <text>
        <r>
          <rPr>
            <sz val="10"/>
            <rFont val="Arial"/>
            <family val="2"/>
          </rPr>
          <t xml:space="preserve">INFERRED – </t>
        </r>
        <r>
          <rPr>
            <sz val="10"/>
            <rFont val="FreeSans"/>
            <family val="2"/>
          </rPr>
          <t xml:space="preserve">نوع محرک در منبع ذکر نشده؛ موتور برقی فرض شده است</t>
        </r>
      </text>
    </comment>
    <comment ref="S86" authorId="0">
      <text>
        <r>
          <rPr>
            <sz val="10"/>
            <rFont val="Arial"/>
            <family val="2"/>
          </rPr>
          <t xml:space="preserve">INFERRED – </t>
        </r>
        <r>
          <rPr>
            <sz val="10"/>
            <rFont val="FreeSans"/>
            <family val="2"/>
          </rPr>
          <t xml:space="preserve">نوع محرک در منبع ذکر نشده؛ موتور برقی فرض شده است</t>
        </r>
      </text>
    </comment>
    <comment ref="S87" authorId="0">
      <text>
        <r>
          <rPr>
            <sz val="10"/>
            <rFont val="Arial"/>
            <family val="2"/>
          </rPr>
          <t xml:space="preserve">INFERRED – </t>
        </r>
        <r>
          <rPr>
            <sz val="10"/>
            <rFont val="FreeSans"/>
            <family val="2"/>
          </rPr>
          <t xml:space="preserve">نوع محرک در منبع ذکر نشده؛ موتور برقی فرض شده است</t>
        </r>
      </text>
    </comment>
    <comment ref="S88" authorId="0">
      <text>
        <r>
          <rPr>
            <sz val="10"/>
            <rFont val="Arial"/>
            <family val="2"/>
          </rPr>
          <t xml:space="preserve">SOURCE – equipment name states electric motor driven</t>
        </r>
      </text>
    </comment>
    <comment ref="S89" authorId="0">
      <text>
        <r>
          <rPr>
            <sz val="10"/>
            <rFont val="Arial"/>
            <family val="2"/>
          </rPr>
          <t xml:space="preserve">SOURCE – equipment name states diesel engine driven</t>
        </r>
      </text>
    </comment>
    <comment ref="S90" authorId="0">
      <text>
        <r>
          <rPr>
            <sz val="10"/>
            <rFont val="Arial"/>
            <family val="2"/>
          </rPr>
          <t xml:space="preserve">INFERRED – </t>
        </r>
        <r>
          <rPr>
            <sz val="10"/>
            <rFont val="FreeSans"/>
            <family val="2"/>
          </rPr>
          <t xml:space="preserve">نوع محرک در منبع ذکر نشده؛ موتور برقی فرض شده است</t>
        </r>
      </text>
    </comment>
    <comment ref="S91" authorId="0">
      <text>
        <r>
          <rPr>
            <sz val="10"/>
            <rFont val="Arial"/>
            <family val="2"/>
          </rPr>
          <t xml:space="preserve">INFERRED – </t>
        </r>
        <r>
          <rPr>
            <sz val="10"/>
            <rFont val="FreeSans"/>
            <family val="2"/>
          </rPr>
          <t xml:space="preserve">نوع محرک در منبع ذکر نشده؛ موتور برقی فرض شده است</t>
        </r>
      </text>
    </comment>
    <comment ref="S92" authorId="0">
      <text>
        <r>
          <rPr>
            <sz val="10"/>
            <rFont val="Arial"/>
            <family val="2"/>
          </rPr>
          <t xml:space="preserve">INFERRED – </t>
        </r>
        <r>
          <rPr>
            <sz val="10"/>
            <rFont val="FreeSans"/>
            <family val="2"/>
          </rPr>
          <t xml:space="preserve">نوع محرک در منبع ذکر نشده؛ موتور برقی فرض شده است</t>
        </r>
      </text>
    </comment>
    <comment ref="S93" authorId="0">
      <text>
        <r>
          <rPr>
            <sz val="10"/>
            <rFont val="Arial"/>
            <family val="2"/>
          </rPr>
          <t xml:space="preserve">INFERRED – </t>
        </r>
        <r>
          <rPr>
            <sz val="10"/>
            <rFont val="FreeSans"/>
            <family val="2"/>
          </rPr>
          <t xml:space="preserve">نوع محرک در منبع ذکر نشده؛ موتور برقی فرض شده است</t>
        </r>
      </text>
    </comment>
    <comment ref="S94" authorId="0">
      <text>
        <r>
          <rPr>
            <sz val="10"/>
            <rFont val="Arial"/>
            <family val="2"/>
          </rPr>
          <t xml:space="preserve">SOURCE – KPL-476 R03 PUMPS-A (4) F21</t>
        </r>
      </text>
    </comment>
    <comment ref="S95" authorId="0">
      <text>
        <r>
          <rPr>
            <sz val="10"/>
            <rFont val="Arial"/>
            <family val="2"/>
          </rPr>
          <t xml:space="preserve">SOURCE – KPL-476 R03 PUMPS-B (5) F30</t>
        </r>
      </text>
    </comment>
    <comment ref="S96" authorId="0">
      <text>
        <r>
          <rPr>
            <sz val="10"/>
            <rFont val="Arial"/>
            <family val="2"/>
          </rPr>
          <t xml:space="preserve">INFERRED – </t>
        </r>
        <r>
          <rPr>
            <sz val="10"/>
            <rFont val="FreeSans"/>
            <family val="2"/>
          </rPr>
          <t xml:space="preserve">نوع محرک در منبع ذکر نشده؛ موتور برقی فرض شده است</t>
        </r>
      </text>
    </comment>
    <comment ref="S97" authorId="0">
      <text>
        <r>
          <rPr>
            <sz val="10"/>
            <rFont val="Arial"/>
            <family val="2"/>
          </rPr>
          <t xml:space="preserve">INFERRED – </t>
        </r>
        <r>
          <rPr>
            <sz val="10"/>
            <rFont val="FreeSans"/>
            <family val="2"/>
          </rPr>
          <t xml:space="preserve">نوع محرک در منبع ذکر نشده؛ موتور برقی فرض شده است</t>
        </r>
      </text>
    </comment>
    <comment ref="S98" authorId="0">
      <text>
        <r>
          <rPr>
            <sz val="10"/>
            <rFont val="Arial"/>
            <family val="2"/>
          </rPr>
          <t xml:space="preserve">INFERRED – </t>
        </r>
        <r>
          <rPr>
            <sz val="10"/>
            <rFont val="FreeSans"/>
            <family val="2"/>
          </rPr>
          <t xml:space="preserve">نوع محرک در منبع ذکر نشده؛ موتور برقی فرض شده است</t>
        </r>
      </text>
    </comment>
    <comment ref="S99" authorId="0">
      <text>
        <r>
          <rPr>
            <sz val="10"/>
            <rFont val="Arial"/>
            <family val="2"/>
          </rPr>
          <t xml:space="preserve">INFERRED – </t>
        </r>
        <r>
          <rPr>
            <sz val="10"/>
            <rFont val="FreeSans"/>
            <family val="2"/>
          </rPr>
          <t xml:space="preserve">نوع محرک در منبع ذکر نشده؛ موتور برقی فرض شده است</t>
        </r>
      </text>
    </comment>
    <comment ref="S100" authorId="0">
      <text>
        <r>
          <rPr>
            <sz val="10"/>
            <rFont val="Arial"/>
            <family val="2"/>
          </rPr>
          <t xml:space="preserve">INFERRED – </t>
        </r>
        <r>
          <rPr>
            <sz val="10"/>
            <rFont val="FreeSans"/>
            <family val="2"/>
          </rPr>
          <t xml:space="preserve">نوع محرک در منبع ذکر نشده؛ موتور برقی فرض شده است</t>
        </r>
      </text>
    </comment>
    <comment ref="S101" authorId="0">
      <text>
        <r>
          <rPr>
            <sz val="10"/>
            <rFont val="Arial"/>
            <family val="2"/>
          </rPr>
          <t xml:space="preserve">INFERRED – </t>
        </r>
        <r>
          <rPr>
            <sz val="10"/>
            <rFont val="FreeSans"/>
            <family val="2"/>
          </rPr>
          <t xml:space="preserve">نوع محرک در منبع ذکر نشده؛ موتور برقی فرض شده است</t>
        </r>
      </text>
    </comment>
    <comment ref="S102" authorId="0">
      <text>
        <r>
          <rPr>
            <sz val="10"/>
            <rFont val="Arial"/>
            <family val="2"/>
          </rPr>
          <t xml:space="preserve">INFERRED – </t>
        </r>
        <r>
          <rPr>
            <sz val="10"/>
            <rFont val="FreeSans"/>
            <family val="2"/>
          </rPr>
          <t xml:space="preserve">نوع محرک در منبع ذکر نشده؛ موتور برقی فرض شده است</t>
        </r>
      </text>
    </comment>
    <comment ref="S103" authorId="0">
      <text>
        <r>
          <rPr>
            <sz val="10"/>
            <rFont val="Arial"/>
            <family val="2"/>
          </rPr>
          <t xml:space="preserve">INFERRED – </t>
        </r>
        <r>
          <rPr>
            <sz val="10"/>
            <rFont val="FreeSans"/>
            <family val="2"/>
          </rPr>
          <t xml:space="preserve">نوع محرک در منبع ذکر نشده؛ موتور برقی فرض شده است</t>
        </r>
      </text>
    </comment>
    <comment ref="S104" authorId="0">
      <text>
        <r>
          <rPr>
            <sz val="10"/>
            <rFont val="Arial"/>
            <family val="2"/>
          </rPr>
          <t xml:space="preserve">INFERRED – </t>
        </r>
        <r>
          <rPr>
            <sz val="10"/>
            <rFont val="FreeSans"/>
            <family val="2"/>
          </rPr>
          <t xml:space="preserve">نوع محرک در منبع ذکر نشده؛ موتور برقی فرض شده است</t>
        </r>
      </text>
    </comment>
    <comment ref="S105" authorId="0">
      <text>
        <r>
          <rPr>
            <sz val="10"/>
            <rFont val="Arial"/>
            <family val="2"/>
          </rPr>
          <t xml:space="preserve">INFERRED – </t>
        </r>
        <r>
          <rPr>
            <sz val="10"/>
            <rFont val="FreeSans"/>
            <family val="2"/>
          </rPr>
          <t xml:space="preserve">نوع محرک در منبع ذکر نشده؛ موتور برقی فرض شده است</t>
        </r>
      </text>
    </comment>
    <comment ref="S106" authorId="0">
      <text>
        <r>
          <rPr>
            <sz val="10"/>
            <rFont val="Arial"/>
            <family val="2"/>
          </rPr>
          <t xml:space="preserve">INFERRED – </t>
        </r>
        <r>
          <rPr>
            <sz val="10"/>
            <rFont val="FreeSans"/>
            <family val="2"/>
          </rPr>
          <t xml:space="preserve">نوع محرک در منبع ذکر نشده؛ موتور برقی فرض شده است</t>
        </r>
      </text>
    </comment>
    <comment ref="S107" authorId="0">
      <text>
        <r>
          <rPr>
            <sz val="10"/>
            <rFont val="Arial"/>
            <family val="2"/>
          </rPr>
          <t xml:space="preserve">INFERRED – </t>
        </r>
        <r>
          <rPr>
            <sz val="10"/>
            <rFont val="FreeSans"/>
            <family val="2"/>
          </rPr>
          <t xml:space="preserve">نوع محرک در منبع ذکر نشده؛ موتور برقی فرض شده است</t>
        </r>
      </text>
    </comment>
    <comment ref="S108" authorId="0">
      <text>
        <r>
          <rPr>
            <sz val="10"/>
            <rFont val="Arial"/>
            <family val="2"/>
          </rPr>
          <t xml:space="preserve">INFERRED – </t>
        </r>
        <r>
          <rPr>
            <sz val="10"/>
            <rFont val="FreeSans"/>
            <family val="2"/>
          </rPr>
          <t xml:space="preserve">نوع محرک در منبع ذکر نشده؛ موتور برقی فرض شده است</t>
        </r>
      </text>
    </comment>
    <comment ref="S109" authorId="0">
      <text>
        <r>
          <rPr>
            <sz val="10"/>
            <rFont val="Arial"/>
            <family val="2"/>
          </rPr>
          <t xml:space="preserve">INFERRED – </t>
        </r>
        <r>
          <rPr>
            <sz val="10"/>
            <rFont val="FreeSans"/>
            <family val="2"/>
          </rPr>
          <t xml:space="preserve">نوع محرک در منبع ذکر نشده؛ موتور برقی فرض شده است</t>
        </r>
      </text>
    </comment>
    <comment ref="S110" authorId="0">
      <text>
        <r>
          <rPr>
            <sz val="10"/>
            <rFont val="Arial"/>
            <family val="2"/>
          </rPr>
          <t xml:space="preserve">INFERRED – </t>
        </r>
        <r>
          <rPr>
            <sz val="10"/>
            <rFont val="FreeSans"/>
            <family val="2"/>
          </rPr>
          <t xml:space="preserve">نوع محرک در منبع ذکر نشده؛ موتور برقی فرض شده است</t>
        </r>
      </text>
    </comment>
    <comment ref="S111" authorId="0">
      <text>
        <r>
          <rPr>
            <sz val="10"/>
            <rFont val="Arial"/>
            <family val="2"/>
          </rPr>
          <t xml:space="preserve">INFERRED – </t>
        </r>
        <r>
          <rPr>
            <sz val="10"/>
            <rFont val="FreeSans"/>
            <family val="2"/>
          </rPr>
          <t xml:space="preserve">نوع محرک در منبع ذکر نشده؛ موتور برقی فرض شده است</t>
        </r>
      </text>
    </comment>
    <comment ref="S112" authorId="0">
      <text>
        <r>
          <rPr>
            <sz val="10"/>
            <rFont val="Arial"/>
            <family val="2"/>
          </rPr>
          <t xml:space="preserve">INFERRED – </t>
        </r>
        <r>
          <rPr>
            <sz val="10"/>
            <rFont val="FreeSans"/>
            <family val="2"/>
          </rPr>
          <t xml:space="preserve">نوع محرک در منبع ذکر نشده؛ موتور برقی فرض شده است</t>
        </r>
      </text>
    </comment>
    <comment ref="S113" authorId="0">
      <text>
        <r>
          <rPr>
            <sz val="10"/>
            <rFont val="Arial"/>
            <family val="2"/>
          </rPr>
          <t xml:space="preserve">INFERRED – </t>
        </r>
        <r>
          <rPr>
            <sz val="10"/>
            <rFont val="FreeSans"/>
            <family val="2"/>
          </rPr>
          <t xml:space="preserve">نوع محرک در منبع ذکر نشده؛ موتور برقی فرض شده است</t>
        </r>
      </text>
    </comment>
    <comment ref="S114" authorId="0">
      <text>
        <r>
          <rPr>
            <sz val="10"/>
            <rFont val="Arial"/>
            <family val="2"/>
          </rPr>
          <t xml:space="preserve">SOURCE – equipment name states electric motor driven</t>
        </r>
      </text>
    </comment>
    <comment ref="S115" authorId="0">
      <text>
        <r>
          <rPr>
            <sz val="10"/>
            <rFont val="Arial"/>
            <family val="2"/>
          </rPr>
          <t xml:space="preserve">SOURCE – equipment name states diesel engine driven</t>
        </r>
      </text>
    </comment>
    <comment ref="S116" authorId="0">
      <text>
        <r>
          <rPr>
            <sz val="10"/>
            <rFont val="Arial"/>
            <family val="2"/>
          </rPr>
          <t xml:space="preserve">INFERRED – </t>
        </r>
        <r>
          <rPr>
            <sz val="10"/>
            <rFont val="FreeSans"/>
            <family val="2"/>
          </rPr>
          <t xml:space="preserve">نوع محرک در منبع ذکر نشده؛ موتور برقی فرض شده است</t>
        </r>
      </text>
    </comment>
    <comment ref="S117" authorId="0">
      <text>
        <r>
          <rPr>
            <sz val="10"/>
            <rFont val="Arial"/>
            <family val="2"/>
          </rPr>
          <t xml:space="preserve">INFERRED – </t>
        </r>
        <r>
          <rPr>
            <sz val="10"/>
            <rFont val="FreeSans"/>
            <family val="2"/>
          </rPr>
          <t xml:space="preserve">نوع محرک در منبع ذکر نشده؛ موتور برقی فرض شده است</t>
        </r>
      </text>
    </comment>
    <comment ref="S118" authorId="0">
      <text>
        <r>
          <rPr>
            <sz val="10"/>
            <rFont val="Arial"/>
            <family val="2"/>
          </rPr>
          <t xml:space="preserve">INFERRED – </t>
        </r>
        <r>
          <rPr>
            <sz val="10"/>
            <rFont val="FreeSans"/>
            <family val="2"/>
          </rPr>
          <t xml:space="preserve">نوع محرک در منبع ذکر نشده؛ موتور برقی فرض شده است</t>
        </r>
      </text>
    </comment>
    <comment ref="S119"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E4 = E</t>
        </r>
      </text>
    </comment>
    <comment ref="S120"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E5 = E</t>
        </r>
      </text>
    </comment>
    <comment ref="S121"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E6 = E</t>
        </r>
      </text>
    </comment>
    <comment ref="S122"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E7 = E</t>
        </r>
      </text>
    </comment>
    <comment ref="S123"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E8 = E</t>
        </r>
      </text>
    </comment>
    <comment ref="S124"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E9 = E</t>
        </r>
      </text>
    </comment>
    <comment ref="S125"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E10 = E</t>
        </r>
      </text>
    </comment>
    <comment ref="S126"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E11 = E</t>
        </r>
      </text>
    </comment>
    <comment ref="S127"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E12 = E</t>
        </r>
      </text>
    </comment>
    <comment ref="S128"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E13 = E</t>
        </r>
      </text>
    </comment>
    <comment ref="S130"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E15 = E</t>
        </r>
      </text>
    </comment>
    <comment ref="S131"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E16 = E</t>
        </r>
      </text>
    </comment>
    <comment ref="S132" authorId="0">
      <text>
        <r>
          <rPr>
            <sz val="10"/>
            <rFont val="Arial"/>
            <family val="2"/>
          </rPr>
          <t xml:space="preserve">SOURCE – </t>
        </r>
        <r>
          <rPr>
            <sz val="10"/>
            <rFont val="FreeSans"/>
            <family val="2"/>
          </rPr>
          <t xml:space="preserve">نمونه قیمتی، شیت </t>
        </r>
        <r>
          <rPr>
            <sz val="10"/>
            <rFont val="Arial"/>
            <family val="2"/>
          </rPr>
          <t xml:space="preserve">PUMPS </t>
        </r>
        <r>
          <rPr>
            <sz val="10"/>
            <rFont val="FreeSans"/>
            <family val="2"/>
          </rPr>
          <t xml:space="preserve">سلول </t>
        </r>
        <r>
          <rPr>
            <sz val="10"/>
            <rFont val="Arial"/>
            <family val="2"/>
          </rPr>
          <t xml:space="preserve">E17 = E</t>
        </r>
      </text>
    </comment>
    <comment ref="S133" authorId="0">
      <text>
        <r>
          <rPr>
            <sz val="10"/>
            <rFont val="Arial"/>
            <family val="2"/>
          </rPr>
          <t xml:space="preserve">INFERRED – </t>
        </r>
        <r>
          <rPr>
            <sz val="10"/>
            <rFont val="FreeSans"/>
            <family val="2"/>
          </rPr>
          <t xml:space="preserve">نوع محرک در منبع ذکر نشده؛ موتور برقی فرض شده است</t>
        </r>
      </text>
    </comment>
    <comment ref="S134" authorId="0">
      <text>
        <r>
          <rPr>
            <sz val="10"/>
            <rFont val="Arial"/>
            <family val="2"/>
          </rPr>
          <t xml:space="preserve">INFERRED – </t>
        </r>
        <r>
          <rPr>
            <sz val="10"/>
            <rFont val="FreeSans"/>
            <family val="2"/>
          </rPr>
          <t xml:space="preserve">نوع محرک در منبع ذکر نشده؛ موتور برقی فرض شده است</t>
        </r>
      </text>
    </comment>
    <comment ref="S135" authorId="0">
      <text>
        <r>
          <rPr>
            <sz val="10"/>
            <rFont val="Arial"/>
            <family val="2"/>
          </rPr>
          <t xml:space="preserve">INFERRED – </t>
        </r>
        <r>
          <rPr>
            <sz val="10"/>
            <rFont val="FreeSans"/>
            <family val="2"/>
          </rPr>
          <t xml:space="preserve">نوع محرک در منبع ذکر نشده؛ موتور برقی فرض شده است</t>
        </r>
      </text>
    </comment>
    <comment ref="S136" authorId="0">
      <text>
        <r>
          <rPr>
            <sz val="10"/>
            <rFont val="Arial"/>
            <family val="2"/>
          </rPr>
          <t xml:space="preserve">INFERRED – </t>
        </r>
        <r>
          <rPr>
            <sz val="10"/>
            <rFont val="FreeSans"/>
            <family val="2"/>
          </rPr>
          <t xml:space="preserve">نوع محرک در منبع ذکر نشده؛ موتور برقی فرض شده است</t>
        </r>
      </text>
    </comment>
    <comment ref="S137" authorId="0">
      <text>
        <r>
          <rPr>
            <sz val="10"/>
            <rFont val="Arial"/>
            <family val="2"/>
          </rPr>
          <t xml:space="preserve">INFERRED – </t>
        </r>
        <r>
          <rPr>
            <sz val="10"/>
            <rFont val="FreeSans"/>
            <family val="2"/>
          </rPr>
          <t xml:space="preserve">نوع محرک در منبع ذکر نشده؛ موتور برقی فرض شده است</t>
        </r>
      </text>
    </comment>
    <comment ref="S138" authorId="0">
      <text>
        <r>
          <rPr>
            <sz val="10"/>
            <rFont val="Arial"/>
            <family val="2"/>
          </rPr>
          <t xml:space="preserve">INFERRED – </t>
        </r>
        <r>
          <rPr>
            <sz val="10"/>
            <rFont val="FreeSans"/>
            <family val="2"/>
          </rPr>
          <t xml:space="preserve">نوع محرک در منبع ذکر نشده؛ موتور برقی فرض شده است</t>
        </r>
      </text>
    </comment>
    <comment ref="S139" authorId="0">
      <text>
        <r>
          <rPr>
            <sz val="10"/>
            <rFont val="Arial"/>
            <family val="2"/>
          </rPr>
          <t xml:space="preserve">INFERRED – </t>
        </r>
        <r>
          <rPr>
            <sz val="10"/>
            <rFont val="FreeSans"/>
            <family val="2"/>
          </rPr>
          <t xml:space="preserve">نوع محرک در منبع ذکر نشده؛ موتور برقی فرض شده است</t>
        </r>
      </text>
    </comment>
    <comment ref="S140" authorId="0">
      <text>
        <r>
          <rPr>
            <sz val="10"/>
            <rFont val="Arial"/>
            <family val="2"/>
          </rPr>
          <t xml:space="preserve">INFERRED – </t>
        </r>
        <r>
          <rPr>
            <sz val="10"/>
            <rFont val="FreeSans"/>
            <family val="2"/>
          </rPr>
          <t xml:space="preserve">نوع محرک در منبع ذکر نشده؛ موتور برقی فرض شده است</t>
        </r>
      </text>
    </comment>
    <comment ref="S141" authorId="0">
      <text>
        <r>
          <rPr>
            <sz val="10"/>
            <rFont val="Arial"/>
            <family val="2"/>
          </rPr>
          <t xml:space="preserve">INFERRED – </t>
        </r>
        <r>
          <rPr>
            <sz val="10"/>
            <rFont val="FreeSans"/>
            <family val="2"/>
          </rPr>
          <t xml:space="preserve">نوع محرک در منبع ذکر نشده؛ موتور برقی فرض شده است</t>
        </r>
      </text>
    </comment>
    <comment ref="S142" authorId="0">
      <text>
        <r>
          <rPr>
            <sz val="10"/>
            <rFont val="Arial"/>
            <family val="2"/>
          </rPr>
          <t xml:space="preserve">INFERRED – </t>
        </r>
        <r>
          <rPr>
            <sz val="10"/>
            <rFont val="FreeSans"/>
            <family val="2"/>
          </rPr>
          <t xml:space="preserve">نوع محرک در منبع ذکر نشده؛ موتور برقی فرض شده است</t>
        </r>
      </text>
    </comment>
    <comment ref="S143" authorId="0">
      <text>
        <r>
          <rPr>
            <sz val="10"/>
            <rFont val="Arial"/>
            <family val="2"/>
          </rPr>
          <t xml:space="preserve">INFERRED – </t>
        </r>
        <r>
          <rPr>
            <sz val="10"/>
            <rFont val="FreeSans"/>
            <family val="2"/>
          </rPr>
          <t xml:space="preserve">نوع محرک در منبع ذکر نشده؛ موتور برقی فرض شده است</t>
        </r>
      </text>
    </comment>
    <comment ref="S144" authorId="0">
      <text>
        <r>
          <rPr>
            <sz val="10"/>
            <rFont val="Arial"/>
            <family val="2"/>
          </rPr>
          <t xml:space="preserve">INFERRED – </t>
        </r>
        <r>
          <rPr>
            <sz val="10"/>
            <rFont val="FreeSans"/>
            <family val="2"/>
          </rPr>
          <t xml:space="preserve">نوع محرک در منبع ذکر نشده؛ موتور برقی فرض شده است</t>
        </r>
      </text>
    </comment>
    <comment ref="S145" authorId="0">
      <text>
        <r>
          <rPr>
            <sz val="10"/>
            <rFont val="Arial"/>
            <family val="2"/>
          </rPr>
          <t xml:space="preserve">INFERRED – </t>
        </r>
        <r>
          <rPr>
            <sz val="10"/>
            <rFont val="FreeSans"/>
            <family val="2"/>
          </rPr>
          <t xml:space="preserve">نوع محرک در منبع ذکر نشده؛ موتور برقی فرض شده است</t>
        </r>
      </text>
    </comment>
    <comment ref="S146" authorId="0">
      <text>
        <r>
          <rPr>
            <sz val="10"/>
            <rFont val="Arial"/>
            <family val="2"/>
          </rPr>
          <t xml:space="preserve">INFERRED – </t>
        </r>
        <r>
          <rPr>
            <sz val="10"/>
            <rFont val="FreeSans"/>
            <family val="2"/>
          </rPr>
          <t xml:space="preserve">نوع محرک در منبع ذکر نشده؛ موتور برقی فرض شده است</t>
        </r>
      </text>
    </comment>
    <comment ref="S147" authorId="0">
      <text>
        <r>
          <rPr>
            <sz val="10"/>
            <rFont val="Arial"/>
            <family val="2"/>
          </rPr>
          <t xml:space="preserve">INFERRED – </t>
        </r>
        <r>
          <rPr>
            <sz val="10"/>
            <rFont val="FreeSans"/>
            <family val="2"/>
          </rPr>
          <t xml:space="preserve">نوع محرک در منبع ذکر نشده؛ موتور برقی فرض شده است</t>
        </r>
      </text>
    </comment>
    <comment ref="S148" authorId="0">
      <text>
        <r>
          <rPr>
            <sz val="10"/>
            <rFont val="Arial"/>
            <family val="2"/>
          </rPr>
          <t xml:space="preserve">SOURCE – equipment name states electric motor driven</t>
        </r>
      </text>
    </comment>
    <comment ref="S149" authorId="0">
      <text>
        <r>
          <rPr>
            <sz val="10"/>
            <rFont val="Arial"/>
            <family val="2"/>
          </rPr>
          <t xml:space="preserve">SOURCE – equipment name states diesel engine driven</t>
        </r>
      </text>
    </comment>
    <comment ref="S150" authorId="0">
      <text>
        <r>
          <rPr>
            <sz val="10"/>
            <rFont val="Arial"/>
            <family val="2"/>
          </rPr>
          <t xml:space="preserve">INFERRED – </t>
        </r>
        <r>
          <rPr>
            <sz val="10"/>
            <rFont val="FreeSans"/>
            <family val="2"/>
          </rPr>
          <t xml:space="preserve">نوع محرک در منبع ذکر نشده؛ موتور برقی فرض شده است</t>
        </r>
      </text>
    </comment>
    <comment ref="T4" authorId="0">
      <text>
        <r>
          <rPr>
            <sz val="10"/>
            <rFont val="FreeSans"/>
            <family val="2"/>
          </rPr>
          <t xml:space="preserve">سیالی که پمپ جابه‌جا می‌کند</t>
        </r>
        <r>
          <rPr>
            <sz val="10"/>
            <rFont val="Arial"/>
            <family val="2"/>
          </rPr>
          <t xml:space="preserve">.</t>
        </r>
      </text>
    </comment>
    <comment ref="U4" authorId="0">
      <text>
        <r>
          <rPr>
            <sz val="10"/>
            <rFont val="FreeSans"/>
            <family val="2"/>
          </rPr>
          <t xml:space="preserve">تعداد طبق منبع </t>
        </r>
        <r>
          <rPr>
            <sz val="10"/>
            <rFont val="Arial"/>
            <family val="2"/>
          </rPr>
          <t xml:space="preserve">(Set).</t>
        </r>
      </text>
    </comment>
    <comment ref="V4" authorId="0">
      <text>
        <r>
          <rPr>
            <sz val="10"/>
            <rFont val="FreeSans"/>
            <family val="2"/>
          </rPr>
          <t xml:space="preserve">اصل کارکرد پمپ (گریز از مرکز یا جابه‌جایی مثبت). پیکربندی در </t>
        </r>
        <r>
          <rPr>
            <sz val="10"/>
            <rFont val="Arial"/>
            <family val="2"/>
          </rPr>
          <t xml:space="preserve">API 610 Type </t>
        </r>
        <r>
          <rPr>
            <sz val="10"/>
            <rFont val="FreeSans"/>
            <family val="2"/>
          </rPr>
          <t xml:space="preserve">آمده است. زرد = فرض‌شده</t>
        </r>
        <r>
          <rPr>
            <sz val="10"/>
            <rFont val="Arial"/>
            <family val="2"/>
          </rPr>
          <t xml:space="preserve">.</t>
        </r>
      </text>
    </comment>
    <comment ref="V19" authorId="0">
      <text>
        <r>
          <rPr>
            <sz val="10"/>
            <rFont val="Arial"/>
            <family val="2"/>
          </rPr>
          <t xml:space="preserve">INFERRED – source does not state pump type; "Centrifugal (assumed)" carried from previous bank</t>
        </r>
      </text>
    </comment>
    <comment ref="V20" authorId="0">
      <text>
        <r>
          <rPr>
            <sz val="10"/>
            <rFont val="Arial"/>
            <family val="2"/>
          </rPr>
          <t xml:space="preserve">INFERRED – source does not state pump type; "Centrifugal (assumed)" carried from previous bank</t>
        </r>
      </text>
    </comment>
    <comment ref="V21" authorId="0">
      <text>
        <r>
          <rPr>
            <sz val="10"/>
            <rFont val="Arial"/>
            <family val="2"/>
          </rPr>
          <t xml:space="preserve">INFERRED – source does not state pump type; "Centrifugal (assumed)" carried from previous bank</t>
        </r>
      </text>
    </comment>
    <comment ref="V22" authorId="0">
      <text>
        <r>
          <rPr>
            <sz val="10"/>
            <rFont val="Arial"/>
            <family val="2"/>
          </rPr>
          <t xml:space="preserve">INFERRED – source does not state pump type; "Centrifugal (assumed)" carried from previous bank</t>
        </r>
      </text>
    </comment>
    <comment ref="V23" authorId="0">
      <text>
        <r>
          <rPr>
            <sz val="10"/>
            <rFont val="Arial"/>
            <family val="2"/>
          </rPr>
          <t xml:space="preserve">INFERRED – source does not state pump type; "Centrifugal (assumed)" carried from previous bank</t>
        </r>
      </text>
    </comment>
    <comment ref="V24" authorId="0">
      <text>
        <r>
          <rPr>
            <sz val="10"/>
            <rFont val="Arial"/>
            <family val="2"/>
          </rPr>
          <t xml:space="preserve">INFERRED – source does not state pump type; "Centrifugal (assumed)" carried from previous bank</t>
        </r>
      </text>
    </comment>
    <comment ref="V25" authorId="0">
      <text>
        <r>
          <rPr>
            <sz val="10"/>
            <rFont val="Arial"/>
            <family val="2"/>
          </rPr>
          <t xml:space="preserve">INFERRED – source does not state pump type; "Centrifugal (assumed)" carried from previous bank</t>
        </r>
      </text>
    </comment>
    <comment ref="V26" authorId="0">
      <text>
        <r>
          <rPr>
            <sz val="10"/>
            <rFont val="Arial"/>
            <family val="2"/>
          </rPr>
          <t xml:space="preserve">INFERRED – source does not state pump type; "Centrifugal (assumed)" carried from previous bank</t>
        </r>
      </text>
    </comment>
    <comment ref="V27" authorId="0">
      <text>
        <r>
          <rPr>
            <sz val="10"/>
            <rFont val="Arial"/>
            <family val="2"/>
          </rPr>
          <t xml:space="preserve">INFERRED – source does not state pump type; "Centrifugal (assumed)" carried from previous bank</t>
        </r>
      </text>
    </comment>
    <comment ref="V28" authorId="0">
      <text>
        <r>
          <rPr>
            <sz val="10"/>
            <rFont val="Arial"/>
            <family val="2"/>
          </rPr>
          <t xml:space="preserve">INFERRED – source does not state pump type; "Centrifugal (assumed)" carried from previous bank</t>
        </r>
      </text>
    </comment>
    <comment ref="V29" authorId="0">
      <text>
        <r>
          <rPr>
            <sz val="10"/>
            <rFont val="Arial"/>
            <family val="2"/>
          </rPr>
          <t xml:space="preserve">INFERRED – source does not state pump type; "Centrifugal (assumed)" carried from previous bank</t>
        </r>
      </text>
    </comment>
    <comment ref="V30" authorId="0">
      <text>
        <r>
          <rPr>
            <sz val="10"/>
            <rFont val="Arial"/>
            <family val="2"/>
          </rPr>
          <t xml:space="preserve">INFERRED – source does not state pump type; "Centrifugal (assumed)" carried from previous bank</t>
        </r>
      </text>
    </comment>
    <comment ref="V31" authorId="0">
      <text>
        <r>
          <rPr>
            <sz val="10"/>
            <rFont val="Arial"/>
            <family val="2"/>
          </rPr>
          <t xml:space="preserve">INFERRED – source does not state pump type; "Centrifugal (assumed)" carried from previous bank</t>
        </r>
      </text>
    </comment>
    <comment ref="V32" authorId="0">
      <text>
        <r>
          <rPr>
            <sz val="10"/>
            <rFont val="Arial"/>
            <family val="2"/>
          </rPr>
          <t xml:space="preserve">INFERRED – source does not state pump type; "Centrifugal (assumed)" carried from previous bank</t>
        </r>
      </text>
    </comment>
    <comment ref="V33" authorId="0">
      <text>
        <r>
          <rPr>
            <sz val="10"/>
            <rFont val="Arial"/>
            <family val="2"/>
          </rPr>
          <t xml:space="preserve">INFERRED – source does not state pump type; "Centrifugal (assumed)" carried from previous bank</t>
        </r>
      </text>
    </comment>
    <comment ref="V34" authorId="0">
      <text>
        <r>
          <rPr>
            <sz val="10"/>
            <rFont val="Arial"/>
            <family val="2"/>
          </rPr>
          <t xml:space="preserve">INFERRED – source does not state pump type; "Centrifugal (assumed)" carried from previous bank</t>
        </r>
      </text>
    </comment>
    <comment ref="V35" authorId="0">
      <text>
        <r>
          <rPr>
            <sz val="10"/>
            <rFont val="Arial"/>
            <family val="2"/>
          </rPr>
          <t xml:space="preserve">INFERRED – source does not state pump type; "Centrifugal (assumed)" carried from previous bank</t>
        </r>
      </text>
    </comment>
    <comment ref="V36" authorId="0">
      <text>
        <r>
          <rPr>
            <sz val="10"/>
            <rFont val="Arial"/>
            <family val="2"/>
          </rPr>
          <t xml:space="preserve">INFERRED – source does not state pump type; "Centrifugal (assumed)" carried from previous bank</t>
        </r>
      </text>
    </comment>
    <comment ref="V37" authorId="0">
      <text>
        <r>
          <rPr>
            <sz val="10"/>
            <rFont val="Arial"/>
            <family val="2"/>
          </rPr>
          <t xml:space="preserve">INFERRED – source does not state pump type; "Centrifugal (assumed)" carried from previous bank</t>
        </r>
      </text>
    </comment>
    <comment ref="V38" authorId="0">
      <text>
        <r>
          <rPr>
            <sz val="10"/>
            <rFont val="Arial"/>
            <family val="2"/>
          </rPr>
          <t xml:space="preserve">INFERRED – source does not state pump type; "Centrifugal (assumed)" carried from previous bank</t>
        </r>
      </text>
    </comment>
    <comment ref="V39" authorId="0">
      <text>
        <r>
          <rPr>
            <sz val="10"/>
            <rFont val="Arial"/>
            <family val="2"/>
          </rPr>
          <t xml:space="preserve">INFERRED – source does not state pump type; "Centrifugal (assumed)" carried from previous bank</t>
        </r>
      </text>
    </comment>
    <comment ref="V40" authorId="0">
      <text>
        <r>
          <rPr>
            <sz val="10"/>
            <rFont val="Arial"/>
            <family val="2"/>
          </rPr>
          <t xml:space="preserve">INFERRED – source does not state pump type; "Centrifugal (assumed)" carried from previous bank</t>
        </r>
      </text>
    </comment>
    <comment ref="V41" authorId="0">
      <text>
        <r>
          <rPr>
            <sz val="10"/>
            <rFont val="Arial"/>
            <family val="2"/>
          </rPr>
          <t xml:space="preserve">INFERRED – source does not state pump type; "Centrifugal (assumed)" carried from previous bank</t>
        </r>
      </text>
    </comment>
    <comment ref="V42" authorId="0">
      <text>
        <r>
          <rPr>
            <sz val="10"/>
            <rFont val="Arial"/>
            <family val="2"/>
          </rPr>
          <t xml:space="preserve">INFERRED – source does not state pump type; "Centrifugal (assumed)" carried from previous bank</t>
        </r>
      </text>
    </comment>
    <comment ref="V43" authorId="0">
      <text>
        <r>
          <rPr>
            <sz val="10"/>
            <rFont val="Arial"/>
            <family val="2"/>
          </rPr>
          <t xml:space="preserve">INFERRED – source does not state pump type; "Centrifugal (assumed)" carried from previous bank</t>
        </r>
      </text>
    </comment>
    <comment ref="V44" authorId="0">
      <text>
        <r>
          <rPr>
            <sz val="10"/>
            <rFont val="Arial"/>
            <family val="2"/>
          </rPr>
          <t xml:space="preserve">INFERRED – source does not state pump type; "Centrifugal (assumed)" carried from previous bank</t>
        </r>
      </text>
    </comment>
    <comment ref="V58" authorId="0">
      <text>
        <r>
          <rPr>
            <sz val="10"/>
            <rFont val="Arial"/>
            <family val="2"/>
          </rPr>
          <t xml:space="preserve">SOURCE – KPL-476 R03 IWWTP-A (1) F32:F36</t>
        </r>
      </text>
    </comment>
    <comment ref="V59" authorId="0">
      <text>
        <r>
          <rPr>
            <sz val="10"/>
            <rFont val="Arial"/>
            <family val="2"/>
          </rPr>
          <t xml:space="preserve">SOURCE – KPL-476 R03 IWWTP-A (1) F37:F41</t>
        </r>
      </text>
    </comment>
    <comment ref="V60" authorId="0">
      <text>
        <r>
          <rPr>
            <sz val="10"/>
            <rFont val="Arial"/>
            <family val="2"/>
          </rPr>
          <t xml:space="preserve">SOURCE – KPL-476 R03 IWWTP-A (1) F37:F41</t>
        </r>
      </text>
    </comment>
    <comment ref="V61" authorId="0">
      <text>
        <r>
          <rPr>
            <sz val="10"/>
            <rFont val="Arial"/>
            <family val="2"/>
          </rPr>
          <t xml:space="preserve">SOURCE – KPL-476 R03 IWWTP-A (1) F42:F46</t>
        </r>
      </text>
    </comment>
    <comment ref="V62" authorId="0">
      <text>
        <r>
          <rPr>
            <sz val="10"/>
            <rFont val="Arial"/>
            <family val="2"/>
          </rPr>
          <t xml:space="preserve">SOURCE – KPL-476 R03 IWWTP-A (2) F16:F20</t>
        </r>
      </text>
    </comment>
    <comment ref="V77" authorId="0">
      <text>
        <r>
          <rPr>
            <sz val="10"/>
            <rFont val="Arial"/>
            <family val="2"/>
          </rPr>
          <t xml:space="preserve">SOURCE – KPL-476 R03 IWWTP-B (1) F32:F36</t>
        </r>
      </text>
    </comment>
    <comment ref="V78" authorId="0">
      <text>
        <r>
          <rPr>
            <sz val="10"/>
            <rFont val="Arial"/>
            <family val="2"/>
          </rPr>
          <t xml:space="preserve">SOURCE – KPL-476 R03 IWWTP-B (1) F37:F42</t>
        </r>
      </text>
    </comment>
    <comment ref="V79" authorId="0">
      <text>
        <r>
          <rPr>
            <sz val="10"/>
            <rFont val="Arial"/>
            <family val="2"/>
          </rPr>
          <t xml:space="preserve">SOURCE – KPL-476 R03 IWWTP-B (1) F37:F42</t>
        </r>
      </text>
    </comment>
    <comment ref="V80" authorId="0">
      <text>
        <r>
          <rPr>
            <sz val="10"/>
            <rFont val="Arial"/>
            <family val="2"/>
          </rPr>
          <t xml:space="preserve">SOURCE – KPL-476 R03 IWWTP-B (1) F43:F47</t>
        </r>
      </text>
    </comment>
    <comment ref="V81" authorId="0">
      <text>
        <r>
          <rPr>
            <sz val="10"/>
            <rFont val="Arial"/>
            <family val="2"/>
          </rPr>
          <t xml:space="preserve">SOURCE – KPL-476 R03 IWWTP-B (2) F17:F21</t>
        </r>
      </text>
    </comment>
    <comment ref="V128" authorId="0">
      <text>
        <r>
          <rPr>
            <sz val="10"/>
            <rFont val="Arial"/>
            <family val="2"/>
          </rPr>
          <t xml:space="preserve">INFERRED – source does not state pump type; "Centrifugal (assumed)" carried from previous bank</t>
        </r>
      </text>
    </comment>
    <comment ref="W4" authorId="0">
      <text>
        <r>
          <rPr>
            <sz val="10"/>
            <rFont val="FreeSans"/>
            <family val="2"/>
          </rPr>
          <t xml:space="preserve">فشار رانش طبق منبع (در گچساران نوع فشار مشخص نیست)</t>
        </r>
        <r>
          <rPr>
            <sz val="10"/>
            <rFont val="Arial"/>
            <family val="2"/>
          </rPr>
          <t xml:space="preserve">.</t>
        </r>
      </text>
    </comment>
    <comment ref="W19" authorId="0">
      <text>
        <r>
          <rPr>
            <sz val="10"/>
            <rFont val="Arial"/>
            <family val="2"/>
          </rPr>
          <t xml:space="preserve">PEP P.ME: pressure given as "bar" – discharge / differential / design not specified</t>
        </r>
      </text>
    </comment>
    <comment ref="W20" authorId="0">
      <text>
        <r>
          <rPr>
            <sz val="10"/>
            <rFont val="Arial"/>
            <family val="2"/>
          </rPr>
          <t xml:space="preserve">PEP P.ME: pressure given as "bar" – discharge / differential / design not specified</t>
        </r>
      </text>
    </comment>
    <comment ref="W21" authorId="0">
      <text>
        <r>
          <rPr>
            <sz val="10"/>
            <rFont val="Arial"/>
            <family val="2"/>
          </rPr>
          <t xml:space="preserve">PEP P.ME: pressure given as "bar" – discharge / differential / design not specified</t>
        </r>
      </text>
    </comment>
    <comment ref="W22" authorId="0">
      <text>
        <r>
          <rPr>
            <sz val="10"/>
            <rFont val="Arial"/>
            <family val="2"/>
          </rPr>
          <t xml:space="preserve">PEP P.ME: pressure given as "bar" – discharge / differential / design not specified</t>
        </r>
      </text>
    </comment>
    <comment ref="W23" authorId="0">
      <text>
        <r>
          <rPr>
            <sz val="10"/>
            <rFont val="Arial"/>
            <family val="2"/>
          </rPr>
          <t xml:space="preserve">PEP P.ME: pressure given as "bar" – discharge / differential / design not specified</t>
        </r>
      </text>
    </comment>
    <comment ref="W24" authorId="0">
      <text>
        <r>
          <rPr>
            <sz val="10"/>
            <rFont val="Arial"/>
            <family val="2"/>
          </rPr>
          <t xml:space="preserve">PEP P.ME: pressure given as "bar" – discharge / differential / design not specified</t>
        </r>
      </text>
    </comment>
    <comment ref="W25" authorId="0">
      <text>
        <r>
          <rPr>
            <sz val="10"/>
            <rFont val="Arial"/>
            <family val="2"/>
          </rPr>
          <t xml:space="preserve">PEP P.ME: pressure given as "bar" – discharge / differential / design not specified</t>
        </r>
      </text>
    </comment>
    <comment ref="W26" authorId="0">
      <text>
        <r>
          <rPr>
            <sz val="10"/>
            <rFont val="Arial"/>
            <family val="2"/>
          </rPr>
          <t xml:space="preserve">PEP P.ME: pressure given as "bar" – discharge / differential / design not specified</t>
        </r>
      </text>
    </comment>
    <comment ref="W27" authorId="0">
      <text>
        <r>
          <rPr>
            <sz val="10"/>
            <rFont val="Arial"/>
            <family val="2"/>
          </rPr>
          <t xml:space="preserve">PEP P.ME: pressure given as "bar" – discharge / differential / design not specified</t>
        </r>
      </text>
    </comment>
    <comment ref="W28" authorId="0">
      <text>
        <r>
          <rPr>
            <sz val="10"/>
            <rFont val="Arial"/>
            <family val="2"/>
          </rPr>
          <t xml:space="preserve">PEP P.ME: pressure given as "bar" – discharge / differential / design not specified</t>
        </r>
      </text>
    </comment>
    <comment ref="W29" authorId="0">
      <text>
        <r>
          <rPr>
            <sz val="10"/>
            <rFont val="Arial"/>
            <family val="2"/>
          </rPr>
          <t xml:space="preserve">PEP P.ME: pressure given as "bar" – discharge / differential / design not specified</t>
        </r>
      </text>
    </comment>
    <comment ref="W30" authorId="0">
      <text>
        <r>
          <rPr>
            <sz val="10"/>
            <rFont val="Arial"/>
            <family val="2"/>
          </rPr>
          <t xml:space="preserve">PEP P.ME: pressure given as "bar" – discharge / differential / design not specified</t>
        </r>
      </text>
    </comment>
    <comment ref="W31" authorId="0">
      <text>
        <r>
          <rPr>
            <sz val="10"/>
            <rFont val="Arial"/>
            <family val="2"/>
          </rPr>
          <t xml:space="preserve">PEP P.ME: pressure given as "bar" – discharge / differential / design not specified</t>
        </r>
      </text>
    </comment>
    <comment ref="W32" authorId="0">
      <text>
        <r>
          <rPr>
            <sz val="10"/>
            <rFont val="Arial"/>
            <family val="2"/>
          </rPr>
          <t xml:space="preserve">PEP P.ME: pressure given as "bar" – discharge / differential / design not specified</t>
        </r>
      </text>
    </comment>
    <comment ref="W33" authorId="0">
      <text>
        <r>
          <rPr>
            <sz val="10"/>
            <rFont val="Arial"/>
            <family val="2"/>
          </rPr>
          <t xml:space="preserve">PEP P.ME: pressure given as "bar" – discharge / differential / design not specified</t>
        </r>
      </text>
    </comment>
    <comment ref="W34" authorId="0">
      <text>
        <r>
          <rPr>
            <sz val="10"/>
            <rFont val="Arial"/>
            <family val="2"/>
          </rPr>
          <t xml:space="preserve">PEP P.ME: pressure given as "bar" – discharge / differential / design not specified</t>
        </r>
      </text>
    </comment>
    <comment ref="W35" authorId="0">
      <text>
        <r>
          <rPr>
            <sz val="10"/>
            <rFont val="Arial"/>
            <family val="2"/>
          </rPr>
          <t xml:space="preserve">PEP P.ME: pressure given as "bar" – discharge / differential / design not specified</t>
        </r>
      </text>
    </comment>
    <comment ref="W36" authorId="0">
      <text>
        <r>
          <rPr>
            <sz val="10"/>
            <rFont val="Arial"/>
            <family val="2"/>
          </rPr>
          <t xml:space="preserve">PEP P.ME: pressure given as "bar" – discharge / differential / design not specified</t>
        </r>
      </text>
    </comment>
    <comment ref="W37" authorId="0">
      <text>
        <r>
          <rPr>
            <sz val="10"/>
            <rFont val="Arial"/>
            <family val="2"/>
          </rPr>
          <t xml:space="preserve">PEP P.ME: pressure given as "bar" – discharge / differential / design not specified</t>
        </r>
      </text>
    </comment>
    <comment ref="W38" authorId="0">
      <text>
        <r>
          <rPr>
            <sz val="10"/>
            <rFont val="Arial"/>
            <family val="2"/>
          </rPr>
          <t xml:space="preserve">PEP P.ME: pressure given as "bar" – discharge / differential / design not specified</t>
        </r>
      </text>
    </comment>
    <comment ref="W39" authorId="0">
      <text>
        <r>
          <rPr>
            <sz val="10"/>
            <rFont val="Arial"/>
            <family val="2"/>
          </rPr>
          <t xml:space="preserve">PEP P.ME: pressure given as "bar" – discharge / differential / design not specified</t>
        </r>
      </text>
    </comment>
    <comment ref="W40" authorId="0">
      <text>
        <r>
          <rPr>
            <sz val="10"/>
            <rFont val="Arial"/>
            <family val="2"/>
          </rPr>
          <t xml:space="preserve">PEP P.ME: pressure given as "bar" – discharge / differential / design not specified</t>
        </r>
      </text>
    </comment>
    <comment ref="W41" authorId="0">
      <text>
        <r>
          <rPr>
            <sz val="10"/>
            <rFont val="Arial"/>
            <family val="2"/>
          </rPr>
          <t xml:space="preserve">PEP P.ME: pressure given as "bar" – discharge / differential / design not specified</t>
        </r>
      </text>
    </comment>
    <comment ref="W42" authorId="0">
      <text>
        <r>
          <rPr>
            <sz val="10"/>
            <rFont val="Arial"/>
            <family val="2"/>
          </rPr>
          <t xml:space="preserve">PEP P.ME: pressure given as "bar" – discharge / differential / design not specified</t>
        </r>
      </text>
    </comment>
    <comment ref="W43" authorId="0">
      <text>
        <r>
          <rPr>
            <sz val="10"/>
            <rFont val="Arial"/>
            <family val="2"/>
          </rPr>
          <t xml:space="preserve">PEP P.ME: pressure given as "bar" – discharge / differential / design not specified</t>
        </r>
      </text>
    </comment>
    <comment ref="W44" authorId="0">
      <text>
        <r>
          <rPr>
            <sz val="10"/>
            <rFont val="Arial"/>
            <family val="2"/>
          </rPr>
          <t xml:space="preserve">PEP P.ME: pressure given as "bar" – discharge / differential / design not specified</t>
        </r>
      </text>
    </comment>
    <comment ref="X4" authorId="0">
      <text>
        <r>
          <rPr>
            <sz val="10"/>
            <rFont val="FreeSans"/>
            <family val="2"/>
          </rPr>
          <t xml:space="preserve">نوع عدد توان: توان نامی موتور یا توان محور</t>
        </r>
        <r>
          <rPr>
            <sz val="10"/>
            <rFont val="Arial"/>
            <family val="2"/>
          </rPr>
          <t xml:space="preserve">.</t>
        </r>
      </text>
    </comment>
    <comment ref="Y4" authorId="0">
      <text>
        <r>
          <rPr>
            <sz val="10"/>
            <rFont val="FreeSans"/>
            <family val="2"/>
          </rPr>
          <t xml:space="preserve">سال مبنای قیمت مرجع</t>
        </r>
        <r>
          <rPr>
            <sz val="10"/>
            <rFont val="Arial"/>
            <family val="2"/>
          </rPr>
          <t xml:space="preserve">.</t>
        </r>
      </text>
    </comment>
    <comment ref="Y19"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0"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1"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2"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3"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4"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5"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6"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7"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8"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29"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0"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1"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2"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3"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4"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5"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6"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7"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8"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39"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40" authorId="0">
      <text>
        <r>
          <rPr>
            <sz val="10"/>
            <rFont val="Arial"/>
            <family val="2"/>
          </rPr>
          <t xml:space="preserve">INFERRED – PEP-Rev.140205 Gachsaran 4 P.ME H61: IRR constant (no formula) in PEP Rev.1402/05 → 1402 assumed (previous bank had 1399 – not supported by the file)</t>
        </r>
      </text>
    </comment>
    <comment ref="Y41" authorId="0">
      <text>
        <r>
          <rPr>
            <sz val="10"/>
            <rFont val="Arial"/>
            <family val="2"/>
          </rPr>
          <t xml:space="preserve">INFERRED – PEP-Rev.140205 Gachsaran 4 P.ME H62: IRR constant (no formula) in PEP Rev.1402/05 → 1402 assumed (previous bank had 1399 – not supported by the file)</t>
        </r>
      </text>
    </comment>
    <comment ref="Y42" authorId="0">
      <text>
        <r>
          <rPr>
            <sz val="10"/>
            <rFont val="Arial"/>
            <family val="2"/>
          </rPr>
          <t xml:space="preserve">INFERRED – PEP-Rev.140205 Gachsaran 4 P.ME H63: IRR constant (no formula) in PEP Rev.1402/05 → 1402 assumed (previous bank had 1399 – not supported by the file)</t>
        </r>
      </text>
    </comment>
    <comment ref="Y43"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44" authorId="0">
      <text>
        <r>
          <rPr>
            <sz val="10"/>
            <rFont val="Arial"/>
            <family val="2"/>
          </rPr>
          <t xml:space="preserve">INFERRED – PEP-Rev.140205 Gachsaran 4 PEP Rev.1402/05: IRR value is built with USD_Change_IRR = 420,000 ('basic data' B2 = 'Procurement' G1 '</t>
        </r>
        <r>
          <rPr>
            <sz val="10"/>
            <rFont val="FreeSans"/>
            <family val="2"/>
          </rPr>
          <t xml:space="preserve">ارز مرجع</t>
        </r>
        <r>
          <rPr>
            <sz val="10"/>
            <rFont val="Arial"/>
            <family val="2"/>
          </rPr>
          <t xml:space="preserve">'), i.e. the 1402 rate; base year of the EUR figure itself is not stated → 1402 assumed (previous bank had 1399 – not supported by the file)</t>
        </r>
      </text>
    </comment>
    <comment ref="Y45"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46"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47"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48"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49"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0"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1"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2"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3"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4"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5"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6"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7"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8"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59"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0"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1"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2"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3"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4"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5"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6"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7"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8"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69"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0"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1"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2"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3"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4"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5"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6"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7"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8"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79"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0"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1"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2"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3"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4"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5"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6"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7"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8"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89"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90"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91"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92"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93"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94"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95"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96"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97" authorId="0">
      <text>
        <r>
          <rPr>
            <sz val="10"/>
            <rFont val="Arial"/>
            <family val="2"/>
          </rPr>
          <t xml:space="preserve">INFERRED – </t>
        </r>
        <r>
          <rPr>
            <sz val="10"/>
            <rFont val="FreeSans"/>
            <family val="2"/>
          </rPr>
          <t xml:space="preserve">سال قیمت در </t>
        </r>
        <r>
          <rPr>
            <sz val="10"/>
            <rFont val="Arial"/>
            <family val="2"/>
          </rPr>
          <t xml:space="preserve">KPL-476 </t>
        </r>
        <r>
          <rPr>
            <sz val="10"/>
            <rFont val="FreeSans"/>
            <family val="2"/>
          </rPr>
          <t xml:space="preserve">صریح نیست</t>
        </r>
        <r>
          <rPr>
            <sz val="10"/>
            <rFont val="Arial"/>
            <family val="2"/>
          </rPr>
          <t xml:space="preserve">. Cover: R00 = JUN 2014 (</t>
        </r>
        <r>
          <rPr>
            <sz val="10"/>
            <rFont val="FreeSans"/>
            <family val="2"/>
          </rPr>
          <t xml:space="preserve">۱۳۹۳</t>
        </r>
        <r>
          <rPr>
            <sz val="10"/>
            <rFont val="Arial"/>
            <family val="2"/>
          </rPr>
          <t xml:space="preserve">)</t>
        </r>
        <r>
          <rPr>
            <sz val="10"/>
            <rFont val="FreeSans"/>
            <family val="2"/>
          </rPr>
          <t xml:space="preserve">، </t>
        </r>
        <r>
          <rPr>
            <sz val="10"/>
            <rFont val="Arial"/>
            <family val="2"/>
          </rPr>
          <t xml:space="preserve">R03 = JAN 2016 (</t>
        </r>
        <r>
          <rPr>
            <sz val="10"/>
            <rFont val="FreeSans"/>
            <family val="2"/>
          </rPr>
          <t xml:space="preserve">دی ۱۳۹۴</t>
        </r>
        <r>
          <rPr>
            <sz val="10"/>
            <rFont val="Arial"/>
            <family val="2"/>
          </rPr>
          <t xml:space="preserve">)</t>
        </r>
        <r>
          <rPr>
            <sz val="10"/>
            <rFont val="FreeSans"/>
            <family val="2"/>
          </rPr>
          <t xml:space="preserve">؛ برآورد نصب بر پایه «فهرست بهای نفت سال ۹۳</t>
        </r>
        <r>
          <rPr>
            <sz val="10"/>
            <rFont val="Arial"/>
            <family val="2"/>
          </rPr>
          <t xml:space="preserve">» (INS-PUMP) → </t>
        </r>
        <r>
          <rPr>
            <sz val="10"/>
            <rFont val="FreeSans"/>
            <family val="2"/>
          </rPr>
          <t xml:space="preserve">۱۳۹۳ فرض شد. اگر ۱۳۹۴ باشد اثر بر قیمت تعدیل‌شده حدود ۰٫۸٪ است</t>
        </r>
        <r>
          <rPr>
            <sz val="10"/>
            <rFont val="Arial"/>
            <family val="2"/>
          </rPr>
          <t xml:space="preserve">.</t>
        </r>
      </text>
    </comment>
    <comment ref="Y98" authorId="0">
      <text>
        <r>
          <rPr>
            <sz val="10"/>
            <rFont val="Arial"/>
            <family val="2"/>
          </rPr>
          <t xml:space="preserve">SOURCE – PC-ME PUMPS F7: «GOING UNIT PRICE FOB EUR 1404Q1»</t>
        </r>
      </text>
    </comment>
    <comment ref="Y99" authorId="0">
      <text>
        <r>
          <rPr>
            <sz val="10"/>
            <rFont val="Arial"/>
            <family val="2"/>
          </rPr>
          <t xml:space="preserve">SOURCE – PC-ME PUMPS F7: «GOING UNIT PRICE FOB EUR 1404Q1»</t>
        </r>
      </text>
    </comment>
    <comment ref="Y100" authorId="0">
      <text>
        <r>
          <rPr>
            <sz val="10"/>
            <rFont val="Arial"/>
            <family val="2"/>
          </rPr>
          <t xml:space="preserve">SOURCE – PC-ME PUMPS F7: «GOING UNIT PRICE FOB EUR 1404Q1»</t>
        </r>
      </text>
    </comment>
    <comment ref="Y101" authorId="0">
      <text>
        <r>
          <rPr>
            <sz val="10"/>
            <rFont val="Arial"/>
            <family val="2"/>
          </rPr>
          <t xml:space="preserve">SOURCE – PC-ME PUMPS F7: «GOING UNIT PRICE FOB EUR 1404Q1»</t>
        </r>
      </text>
    </comment>
    <comment ref="Y102" authorId="0">
      <text>
        <r>
          <rPr>
            <sz val="10"/>
            <rFont val="Arial"/>
            <family val="2"/>
          </rPr>
          <t xml:space="preserve">SOURCE – PC-ME PUMPS F7: «GOING UNIT PRICE FOB EUR 1404Q1»</t>
        </r>
      </text>
    </comment>
    <comment ref="Y103" authorId="0">
      <text>
        <r>
          <rPr>
            <sz val="10"/>
            <rFont val="Arial"/>
            <family val="2"/>
          </rPr>
          <t xml:space="preserve">SOURCE – PC-ME PUMPS F7: «GOING UNIT PRICE FOB EUR 1404Q1»</t>
        </r>
      </text>
    </comment>
    <comment ref="Y104" authorId="0">
      <text>
        <r>
          <rPr>
            <sz val="10"/>
            <rFont val="Arial"/>
            <family val="2"/>
          </rPr>
          <t xml:space="preserve">SOURCE – PC-ME PUMPS F7: «GOING UNIT PRICE FOB EUR 1404Q1»</t>
        </r>
      </text>
    </comment>
    <comment ref="Y105" authorId="0">
      <text>
        <r>
          <rPr>
            <sz val="10"/>
            <rFont val="Arial"/>
            <family val="2"/>
          </rPr>
          <t xml:space="preserve">SOURCE – PC-ME PUMPS F7: «GOING UNIT PRICE FOB EUR 1404Q1»</t>
        </r>
      </text>
    </comment>
    <comment ref="Y106" authorId="0">
      <text>
        <r>
          <rPr>
            <sz val="10"/>
            <rFont val="Arial"/>
            <family val="2"/>
          </rPr>
          <t xml:space="preserve">SOURCE – PC-ME PUMPS F7: «GOING UNIT PRICE FOB EUR 1404Q1»</t>
        </r>
      </text>
    </comment>
    <comment ref="Y107" authorId="0">
      <text>
        <r>
          <rPr>
            <sz val="10"/>
            <rFont val="Arial"/>
            <family val="2"/>
          </rPr>
          <t xml:space="preserve">SOURCE – PC-ME PUMPS F7: «GOING UNIT PRICE FOB EUR 1404Q1»</t>
        </r>
      </text>
    </comment>
    <comment ref="Y108" authorId="0">
      <text>
        <r>
          <rPr>
            <sz val="10"/>
            <rFont val="Arial"/>
            <family val="2"/>
          </rPr>
          <t xml:space="preserve">SOURCE – PC-ME PUMPS F7: «GOING UNIT PRICE FOB EUR 1404Q1»</t>
        </r>
      </text>
    </comment>
    <comment ref="Y109"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10" authorId="0">
      <text>
        <r>
          <rPr>
            <sz val="10"/>
            <rFont val="Arial"/>
            <family val="2"/>
          </rPr>
          <t xml:space="preserve">SOURCE – PC-ME PUMPS F7: «GOING UNIT PRICE FOB EUR 1404Q1»</t>
        </r>
      </text>
    </comment>
    <comment ref="Y111" authorId="0">
      <text>
        <r>
          <rPr>
            <sz val="10"/>
            <rFont val="Arial"/>
            <family val="2"/>
          </rPr>
          <t xml:space="preserve">SOURCE – PC-ME PUMPS F7: «GOING UNIT PRICE FOB EUR 1404Q1»</t>
        </r>
      </text>
    </comment>
    <comment ref="Y112" authorId="0">
      <text>
        <r>
          <rPr>
            <sz val="10"/>
            <rFont val="Arial"/>
            <family val="2"/>
          </rPr>
          <t xml:space="preserve">SOURCE – PC-ME PUMPS F7: «GOING UNIT PRICE FOB EUR 1404Q1»</t>
        </r>
      </text>
    </comment>
    <comment ref="Y113" authorId="0">
      <text>
        <r>
          <rPr>
            <sz val="10"/>
            <rFont val="Arial"/>
            <family val="2"/>
          </rPr>
          <t xml:space="preserve">SOURCE – PC-ME PUMPS F7: «GOING UNIT PRICE FOB EUR 1404Q1»</t>
        </r>
      </text>
    </comment>
    <comment ref="Y114" authorId="0">
      <text>
        <r>
          <rPr>
            <sz val="10"/>
            <rFont val="Arial"/>
            <family val="2"/>
          </rPr>
          <t xml:space="preserve">SOURCE – PC-ME PUMPS F7: «GOING UNIT PRICE FOB EUR 1404Q1»</t>
        </r>
      </text>
    </comment>
    <comment ref="Y115" authorId="0">
      <text>
        <r>
          <rPr>
            <sz val="10"/>
            <rFont val="Arial"/>
            <family val="2"/>
          </rPr>
          <t xml:space="preserve">SOURCE – PC-ME PUMPS F7: «GOING UNIT PRICE FOB EUR 1404Q1»</t>
        </r>
      </text>
    </comment>
    <comment ref="Y116" authorId="0">
      <text>
        <r>
          <rPr>
            <sz val="10"/>
            <rFont val="Arial"/>
            <family val="2"/>
          </rPr>
          <t xml:space="preserve">SOURCE – PC-ME PUMPS F7: «GOING UNIT PRICE FOB EUR 1404Q1»</t>
        </r>
      </text>
    </comment>
    <comment ref="Y117"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18"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33"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34"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35"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36"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37"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38"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39"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0"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1"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2"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3"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4"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5"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6"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7"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8"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49"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Y150" authorId="0">
      <text>
        <r>
          <rPr>
            <sz val="10"/>
            <rFont val="Arial"/>
            <family val="2"/>
          </rPr>
          <t xml:space="preserve">SOURCE – PC-ME Cover D65: </t>
        </r>
        <r>
          <rPr>
            <sz val="10"/>
            <rFont val="FreeSans"/>
            <family val="2"/>
          </rPr>
          <t xml:space="preserve">نسخه </t>
        </r>
        <r>
          <rPr>
            <sz val="10"/>
            <rFont val="Arial"/>
            <family val="2"/>
          </rPr>
          <t xml:space="preserve">R02 = FEB 2015 (</t>
        </r>
        <r>
          <rPr>
            <sz val="10"/>
            <rFont val="FreeSans"/>
            <family val="2"/>
          </rPr>
          <t xml:space="preserve">بهمن ۱۳۹۳</t>
        </r>
        <r>
          <rPr>
            <sz val="10"/>
            <rFont val="Arial"/>
            <family val="2"/>
          </rPr>
          <t xml:space="preserve">)</t>
        </r>
      </text>
    </comment>
    <comment ref="Z4" authorId="0">
      <text>
        <r>
          <rPr>
            <sz val="10"/>
            <rFont val="FreeSans"/>
            <family val="2"/>
          </rPr>
          <t xml:space="preserve">ارز قیمت مرجع</t>
        </r>
        <r>
          <rPr>
            <sz val="10"/>
            <rFont val="Arial"/>
            <family val="2"/>
          </rPr>
          <t xml:space="preserve">.</t>
        </r>
      </text>
    </comment>
    <comment ref="Z19" authorId="0">
      <text>
        <r>
          <rPr>
            <sz val="10"/>
            <rFont val="Arial"/>
            <family val="2"/>
          </rPr>
          <t xml:space="preserve">SOURCE – PEP-Rev.140205 Gachsaran 4 P.ME H11: formula =ROUND(385000*per_Euro*USD_Change_IRR,-3) → base price is EUR (IRR value is only a conversion at per_Euro 1.085 × 420,000)</t>
        </r>
      </text>
    </comment>
    <comment ref="Z20" authorId="0">
      <text>
        <r>
          <rPr>
            <sz val="10"/>
            <rFont val="Arial"/>
            <family val="2"/>
          </rPr>
          <t xml:space="preserve">SOURCE – PEP-Rev.140205 Gachsaran 4 P.ME H12: formula =ROUND(135000*per_Euro*USD_Change_IRR,-3) → base price is EUR (IRR value is only a conversion at per_Euro 1.085 × 420,000)</t>
        </r>
      </text>
    </comment>
    <comment ref="Z21" authorId="0">
      <text>
        <r>
          <rPr>
            <sz val="10"/>
            <rFont val="Arial"/>
            <family val="2"/>
          </rPr>
          <t xml:space="preserve">SOURCE – PEP-Rev.140205 Gachsaran 4 P.ME H13: formula =ROUND(140000*per_Euro*USD_Change_IRR,-3) → base price is EUR (IRR value is only a conversion at per_Euro 1.085 × 420,000)</t>
        </r>
      </text>
    </comment>
    <comment ref="Z22" authorId="0">
      <text>
        <r>
          <rPr>
            <sz val="10"/>
            <rFont val="Arial"/>
            <family val="2"/>
          </rPr>
          <t xml:space="preserve">SOURCE – PEP-Rev.140205 Gachsaran 4 P.ME H14: formula =ROUND(34000*per_Euro*USD_Change_IRR,-3) → base price is EUR (IRR value is only a conversion at per_Euro 1.085 × 420,000)</t>
        </r>
      </text>
    </comment>
    <comment ref="Z23" authorId="0">
      <text>
        <r>
          <rPr>
            <sz val="10"/>
            <rFont val="Arial"/>
            <family val="2"/>
          </rPr>
          <t xml:space="preserve">SOURCE – PEP-Rev.140205 Gachsaran 4 P.ME H17: formula =ROUND(29000*per_Euro*USD_Change_IRR,-3) → base price is EUR (IRR value is only a conversion at per_Euro 1.085 × 420,000)</t>
        </r>
      </text>
    </comment>
    <comment ref="Z24" authorId="0">
      <text>
        <r>
          <rPr>
            <sz val="10"/>
            <rFont val="Arial"/>
            <family val="2"/>
          </rPr>
          <t xml:space="preserve">SOURCE – PEP-Rev.140205 Gachsaran 4 P.ME H18: formula =ROUND(27500*per_Euro*USD_Change_IRR,-3) → base price is EUR (IRR value is only a conversion at per_Euro 1.085 × 420,000)</t>
        </r>
      </text>
    </comment>
    <comment ref="Z25" authorId="0">
      <text>
        <r>
          <rPr>
            <sz val="10"/>
            <rFont val="Arial"/>
            <family val="2"/>
          </rPr>
          <t xml:space="preserve">SOURCE – PEP-Rev.140205 Gachsaran 4 P.ME H20: formula =ROUND(15000*per_Euro*USD_Change_IRR,-3) → base price is EUR (IRR value is only a conversion at per_Euro 1.085 × 420,000)</t>
        </r>
      </text>
    </comment>
    <comment ref="Z26" authorId="0">
      <text>
        <r>
          <rPr>
            <sz val="10"/>
            <rFont val="Arial"/>
            <family val="2"/>
          </rPr>
          <t xml:space="preserve">SOURCE – PEP-Rev.140205 Gachsaran 4 P.ME H21: formula =ROUND(17000*per_Euro*USD_Change_IRR,-3) → base price is EUR (IRR value is only a conversion at per_Euro 1.085 × 420,000)</t>
        </r>
      </text>
    </comment>
    <comment ref="Z27" authorId="0">
      <text>
        <r>
          <rPr>
            <sz val="10"/>
            <rFont val="Arial"/>
            <family val="2"/>
          </rPr>
          <t xml:space="preserve">SOURCE – PEP-Rev.140205 Gachsaran 4 P.ME H23: formula =ROUND(11000*per_Euro*USD_Change_IRR,-3) → base price is EUR (IRR value is only a conversion at per_Euro 1.085 × 420,000)</t>
        </r>
      </text>
    </comment>
    <comment ref="Z28" authorId="0">
      <text>
        <r>
          <rPr>
            <sz val="10"/>
            <rFont val="Arial"/>
            <family val="2"/>
          </rPr>
          <t xml:space="preserve">SOURCE – PEP-Rev.140205 Gachsaran 4 P.ME H24: formula =ROUND(430000*per_Euro*USD_Change_IRR,-3) → base price is EUR (IRR value is only a conversion at per_Euro 1.085 × 420,000)</t>
        </r>
      </text>
    </comment>
    <comment ref="Z29" authorId="0">
      <text>
        <r>
          <rPr>
            <sz val="10"/>
            <rFont val="Arial"/>
            <family val="2"/>
          </rPr>
          <t xml:space="preserve">SOURCE – PEP-Rev.140205 Gachsaran 4 P.ME H25: formula =ROUND(285000*per_Euro*USD_Change_IRR,-3) → base price is EUR (IRR value is only a conversion at per_Euro 1.085 × 420,000)</t>
        </r>
      </text>
    </comment>
    <comment ref="Z30" authorId="0">
      <text>
        <r>
          <rPr>
            <sz val="10"/>
            <rFont val="Arial"/>
            <family val="2"/>
          </rPr>
          <t xml:space="preserve">SOURCE – PEP-Rev.140205 Gachsaran 4 P.ME H36: formula =ROUND(9000*per_Euro*USD_Change_IRR,-3) → base price is EUR (IRR value is only a conversion at per_Euro 1.085 × 420,000)</t>
        </r>
      </text>
    </comment>
    <comment ref="Z31" authorId="0">
      <text>
        <r>
          <rPr>
            <sz val="10"/>
            <rFont val="Arial"/>
            <family val="2"/>
          </rPr>
          <t xml:space="preserve">SOURCE – PEP-Rev.140205 Gachsaran 4 P.ME H46: formula =ROUND(28000*per_Euro*USD_Change_IRR,-3) → base price is EUR (IRR value is only a conversion at per_Euro 1.085 × 420,000)</t>
        </r>
      </text>
    </comment>
    <comment ref="Z32" authorId="0">
      <text>
        <r>
          <rPr>
            <sz val="10"/>
            <rFont val="Arial"/>
            <family val="2"/>
          </rPr>
          <t xml:space="preserve">SOURCE – PEP-Rev.140205 Gachsaran 4 P.ME H50: formula =ROUND(53000*per_Euro*USD_Change_IRR,-3) → base price is EUR (IRR value is only a conversion at per_Euro 1.085 × 420,000)</t>
        </r>
      </text>
    </comment>
    <comment ref="Z33" authorId="0">
      <text>
        <r>
          <rPr>
            <sz val="10"/>
            <rFont val="Arial"/>
            <family val="2"/>
          </rPr>
          <t xml:space="preserve">SOURCE – PEP-Rev.140205 Gachsaran 4 P.ME H51: formula =ROUND(53000*per_Euro*USD_Change_IRR,-3) → base price is EUR (IRR value is only a conversion at per_Euro 1.085 × 420,000)</t>
        </r>
      </text>
    </comment>
    <comment ref="Z34" authorId="0">
      <text>
        <r>
          <rPr>
            <sz val="10"/>
            <rFont val="Arial"/>
            <family val="2"/>
          </rPr>
          <t xml:space="preserve">SOURCE – PEP-Rev.140205 Gachsaran 4 P.ME H53: formula =ROUND(29000*per_Euro*USD_Change_IRR,-3) → base price is EUR (IRR value is only a conversion at per_Euro 1.085 × 420,000)</t>
        </r>
      </text>
    </comment>
    <comment ref="Z35" authorId="0">
      <text>
        <r>
          <rPr>
            <sz val="10"/>
            <rFont val="Arial"/>
            <family val="2"/>
          </rPr>
          <t xml:space="preserve">SOURCE – PEP-Rev.140205 Gachsaran 4 P.ME H54: formula =ROUND(35000*per_Euro*USD_Change_IRR,-3) → base price is EUR (IRR value is only a conversion at per_Euro 1.085 × 420,000)</t>
        </r>
      </text>
    </comment>
    <comment ref="Z36" authorId="0">
      <text>
        <r>
          <rPr>
            <sz val="10"/>
            <rFont val="Arial"/>
            <family val="2"/>
          </rPr>
          <t xml:space="preserve">SOURCE – PEP-Rev.140205 Gachsaran 4 P.ME H55: formula =ROUND(13350*per_Euro*USD_Change_IRR,-3) → base price is EUR (IRR value is only a conversion at per_Euro 1.085 × 420,000)</t>
        </r>
      </text>
    </comment>
    <comment ref="Z37" authorId="0">
      <text>
        <r>
          <rPr>
            <sz val="10"/>
            <rFont val="Arial"/>
            <family val="2"/>
          </rPr>
          <t xml:space="preserve">SOURCE – PEP-Rev.140205 Gachsaran 4 P.ME H57: formula =ROUND(31000*per_Euro*USD_Change_IRR,-3) → base price is EUR (IRR value is only a conversion at per_Euro 1.085 × 420,000)</t>
        </r>
      </text>
    </comment>
    <comment ref="Z38" authorId="0">
      <text>
        <r>
          <rPr>
            <sz val="10"/>
            <rFont val="Arial"/>
            <family val="2"/>
          </rPr>
          <t xml:space="preserve">SOURCE – PEP-Rev.140205 Gachsaran 4 P.ME H58: formula =ROUND(28000*per_Euro*USD_Change_IRR,-3) → base price is EUR (IRR value is only a conversion at per_Euro 1.085 × 420,000)</t>
        </r>
      </text>
    </comment>
    <comment ref="Z39" authorId="0">
      <text>
        <r>
          <rPr>
            <sz val="10"/>
            <rFont val="Arial"/>
            <family val="2"/>
          </rPr>
          <t xml:space="preserve">SOURCE – PEP-Rev.140205 Gachsaran 4 P.ME H60: formula =ROUND(13500*per_Euro*USD_Change_IRR,-3) → base price is EUR (IRR value is only a conversion at per_Euro 1.085 × 420,000)</t>
        </r>
      </text>
    </comment>
    <comment ref="Z43" authorId="0">
      <text>
        <r>
          <rPr>
            <sz val="10"/>
            <rFont val="Arial"/>
            <family val="2"/>
          </rPr>
          <t xml:space="preserve">SOURCE – PEP-Rev.140205 Gachsaran 4 P.ME H64: formula =ROUND(17500*per_Euro*USD_Change_IRR,-3) → base price is EUR (IRR value is only a conversion at per_Euro 1.085 × 420,000)</t>
        </r>
      </text>
    </comment>
    <comment ref="Z44" authorId="0">
      <text>
        <r>
          <rPr>
            <sz val="10"/>
            <rFont val="Arial"/>
            <family val="2"/>
          </rPr>
          <t xml:space="preserve">SOURCE – PEP-Rev.140205 Gachsaran 4 P.ME H68: formula =ROUND(19500*per_Euro*USD_Change_IRR,-3) → base price is EUR (IRR value is only a conversion at per_Euro 1.085 × 420,000)</t>
        </r>
      </text>
    </comment>
    <comment ref="Z92" authorId="0">
      <text>
        <r>
          <rPr>
            <sz val="10"/>
            <rFont val="Arial"/>
            <family val="2"/>
          </rPr>
          <t xml:space="preserve">SOURCE – KPL-476 R03 PUMPS-C (3) U41: value is in column "Unit Price (Rials)" – previous bank had EUR (error)</t>
        </r>
      </text>
    </comment>
    <comment ref="Z93" authorId="0">
      <text>
        <r>
          <rPr>
            <sz val="10"/>
            <rFont val="Arial"/>
            <family val="2"/>
          </rPr>
          <t xml:space="preserve">SOURCE – KPL-476 R03 PUMPS-C (4) U19: value is in column "Unit Price (Rials)" – previous bank had EUR (error)</t>
        </r>
      </text>
    </comment>
    <comment ref="Z96" authorId="0">
      <text>
        <r>
          <rPr>
            <sz val="10"/>
            <rFont val="Arial"/>
            <family val="2"/>
          </rPr>
          <t xml:space="preserve">SOURCE – KPL-476 R03 PUMPS-C (3) U36: value is in column "Unit Price (Rials)" – previous bank had EUR (error)</t>
        </r>
      </text>
    </comment>
    <comment ref="Z97" authorId="0">
      <text>
        <r>
          <rPr>
            <sz val="10"/>
            <rFont val="Arial"/>
            <family val="2"/>
          </rPr>
          <t xml:space="preserve">SOURCE – KPL-476 R03 PUMPS-C (4) U27: value is in column "Unit Price (Rials)" – previous bank had EUR (error)</t>
        </r>
      </text>
    </comment>
    <comment ref="Z133" authorId="0">
      <text>
        <r>
          <rPr>
            <sz val="10"/>
            <rFont val="Arial"/>
            <family val="2"/>
          </rPr>
          <t xml:space="preserve">SOURCE – PC-ME 14040105 Pazanan2 PUMPS AR8</t>
        </r>
      </text>
    </comment>
    <comment ref="Z134" authorId="0">
      <text>
        <r>
          <rPr>
            <sz val="10"/>
            <rFont val="Arial"/>
            <family val="2"/>
          </rPr>
          <t xml:space="preserve">SOURCE – PC-ME 14040105 Pazanan2 PUMPS AR9</t>
        </r>
      </text>
    </comment>
    <comment ref="Z135" authorId="0">
      <text>
        <r>
          <rPr>
            <sz val="10"/>
            <rFont val="Arial"/>
            <family val="2"/>
          </rPr>
          <t xml:space="preserve">SOURCE – PC-ME 14040105 Pazanan2 PUMPS AR10</t>
        </r>
      </text>
    </comment>
    <comment ref="Z136" authorId="0">
      <text>
        <r>
          <rPr>
            <sz val="10"/>
            <rFont val="Arial"/>
            <family val="2"/>
          </rPr>
          <t xml:space="preserve">SOURCE – PC-ME 14040105 Pazanan2 PUMPS AR11</t>
        </r>
      </text>
    </comment>
    <comment ref="Z137" authorId="0">
      <text>
        <r>
          <rPr>
            <sz val="10"/>
            <rFont val="Arial"/>
            <family val="2"/>
          </rPr>
          <t xml:space="preserve">SOURCE – PC-ME 14040105 Pazanan2 PUMPS AR12</t>
        </r>
      </text>
    </comment>
    <comment ref="Z138" authorId="0">
      <text>
        <r>
          <rPr>
            <sz val="10"/>
            <rFont val="Arial"/>
            <family val="2"/>
          </rPr>
          <t xml:space="preserve">SOURCE – PC-ME 14040105 Pazanan2 PUMPS AR13</t>
        </r>
      </text>
    </comment>
    <comment ref="Z139" authorId="0">
      <text>
        <r>
          <rPr>
            <sz val="10"/>
            <rFont val="Arial"/>
            <family val="2"/>
          </rPr>
          <t xml:space="preserve">SOURCE – PC-ME 14040105 Pazanan2 PUMPS AR14</t>
        </r>
      </text>
    </comment>
    <comment ref="Z140" authorId="0">
      <text>
        <r>
          <rPr>
            <sz val="10"/>
            <rFont val="Arial"/>
            <family val="2"/>
          </rPr>
          <t xml:space="preserve">SOURCE – PC-ME 14040105 Pazanan2 PUMPS AR15</t>
        </r>
      </text>
    </comment>
    <comment ref="Z141" authorId="0">
      <text>
        <r>
          <rPr>
            <sz val="10"/>
            <rFont val="Arial"/>
            <family val="2"/>
          </rPr>
          <t xml:space="preserve">SOURCE – PC-ME 14040105 Pazanan2 PUMPS AR16</t>
        </r>
      </text>
    </comment>
    <comment ref="Z142" authorId="0">
      <text>
        <r>
          <rPr>
            <sz val="10"/>
            <rFont val="Arial"/>
            <family val="2"/>
          </rPr>
          <t xml:space="preserve">SOURCE – PC-ME 14040105 Pazanan2 PUMPS AR17</t>
        </r>
      </text>
    </comment>
    <comment ref="Z143" authorId="0">
      <text>
        <r>
          <rPr>
            <sz val="10"/>
            <rFont val="Arial"/>
            <family val="2"/>
          </rPr>
          <t xml:space="preserve">SOURCE – PC-ME 14040105 Pazanan2 PUMPS AR18</t>
        </r>
      </text>
    </comment>
    <comment ref="Z144" authorId="0">
      <text>
        <r>
          <rPr>
            <sz val="10"/>
            <rFont val="Arial"/>
            <family val="2"/>
          </rPr>
          <t xml:space="preserve">SOURCE – PC-ME 14040105 Pazanan2 PUMPS AR20</t>
        </r>
      </text>
    </comment>
    <comment ref="Z145" authorId="0">
      <text>
        <r>
          <rPr>
            <sz val="10"/>
            <rFont val="Arial"/>
            <family val="2"/>
          </rPr>
          <t xml:space="preserve">SOURCE – PC-ME 14040105 Pazanan2 PUMPS AR21</t>
        </r>
      </text>
    </comment>
    <comment ref="Z146" authorId="0">
      <text>
        <r>
          <rPr>
            <sz val="10"/>
            <rFont val="Arial"/>
            <family val="2"/>
          </rPr>
          <t xml:space="preserve">SOURCE – PC-ME 14040105 Pazanan2 PUMPS AR22</t>
        </r>
      </text>
    </comment>
    <comment ref="Z147" authorId="0">
      <text>
        <r>
          <rPr>
            <sz val="10"/>
            <rFont val="Arial"/>
            <family val="2"/>
          </rPr>
          <t xml:space="preserve">SOURCE – PC-ME 14040105 Pazanan2 PUMPS AR23</t>
        </r>
      </text>
    </comment>
    <comment ref="Z148" authorId="0">
      <text>
        <r>
          <rPr>
            <sz val="10"/>
            <rFont val="Arial"/>
            <family val="2"/>
          </rPr>
          <t xml:space="preserve">SOURCE – PC-ME 14040105 Pazanan2 PUMPS AR24</t>
        </r>
      </text>
    </comment>
    <comment ref="Z149" authorId="0">
      <text>
        <r>
          <rPr>
            <sz val="10"/>
            <rFont val="Arial"/>
            <family val="2"/>
          </rPr>
          <t xml:space="preserve">SOURCE – PC-ME 14040105 Pazanan2 PUMPS AR25</t>
        </r>
      </text>
    </comment>
    <comment ref="Z150" authorId="0">
      <text>
        <r>
          <rPr>
            <sz val="10"/>
            <rFont val="Arial"/>
            <family val="2"/>
          </rPr>
          <t xml:space="preserve">SOURCE – PC-ME 14040105 Pazanan2 PUMPS AR26</t>
        </r>
      </text>
    </comment>
    <comment ref="AA4" authorId="0">
      <text>
        <r>
          <rPr>
            <sz val="10"/>
            <rFont val="FreeSans"/>
            <family val="2"/>
          </rPr>
          <t xml:space="preserve">قیمت واحد در ارز و سال مرجع، عیناً از منبع</t>
        </r>
        <r>
          <rPr>
            <sz val="10"/>
            <rFont val="Arial"/>
            <family val="2"/>
          </rPr>
          <t xml:space="preserve">.</t>
        </r>
      </text>
    </comment>
    <comment ref="AA19" authorId="0">
      <text>
        <r>
          <rPr>
            <sz val="10"/>
            <rFont val="Arial"/>
            <family val="2"/>
          </rPr>
          <t xml:space="preserve">SOURCE – PEP-Rev.140205 Gachsaran 4 P.ME H11: EUR constant inside the formula</t>
        </r>
      </text>
    </comment>
    <comment ref="AA20" authorId="0">
      <text>
        <r>
          <rPr>
            <sz val="10"/>
            <rFont val="Arial"/>
            <family val="2"/>
          </rPr>
          <t xml:space="preserve">SOURCE – PEP-Rev.140205 Gachsaran 4 P.ME H12: EUR constant inside the formula</t>
        </r>
      </text>
    </comment>
    <comment ref="AA21" authorId="0">
      <text>
        <r>
          <rPr>
            <sz val="10"/>
            <rFont val="Arial"/>
            <family val="2"/>
          </rPr>
          <t xml:space="preserve">SOURCE – PEP-Rev.140205 Gachsaran 4 P.ME H13: EUR constant inside the formula</t>
        </r>
      </text>
    </comment>
    <comment ref="AA22" authorId="0">
      <text>
        <r>
          <rPr>
            <sz val="10"/>
            <rFont val="Arial"/>
            <family val="2"/>
          </rPr>
          <t xml:space="preserve">SOURCE – PEP-Rev.140205 Gachsaran 4 P.ME H14: EUR constant inside the formula</t>
        </r>
      </text>
    </comment>
    <comment ref="AA23" authorId="0">
      <text>
        <r>
          <rPr>
            <sz val="10"/>
            <rFont val="Arial"/>
            <family val="2"/>
          </rPr>
          <t xml:space="preserve">SOURCE – PEP-Rev.140205 Gachsaran 4 P.ME H17: EUR constant inside the formula</t>
        </r>
      </text>
    </comment>
    <comment ref="AA24" authorId="0">
      <text>
        <r>
          <rPr>
            <sz val="10"/>
            <rFont val="Arial"/>
            <family val="2"/>
          </rPr>
          <t xml:space="preserve">SOURCE – PEP-Rev.140205 Gachsaran 4 P.ME H18: EUR constant inside the formula</t>
        </r>
      </text>
    </comment>
    <comment ref="AA25" authorId="0">
      <text>
        <r>
          <rPr>
            <sz val="10"/>
            <rFont val="Arial"/>
            <family val="2"/>
          </rPr>
          <t xml:space="preserve">SOURCE – PEP-Rev.140205 Gachsaran 4 P.ME H20: EUR constant inside the formula</t>
        </r>
      </text>
    </comment>
    <comment ref="AA26" authorId="0">
      <text>
        <r>
          <rPr>
            <sz val="10"/>
            <rFont val="Arial"/>
            <family val="2"/>
          </rPr>
          <t xml:space="preserve">SOURCE – PEP-Rev.140205 Gachsaran 4 P.ME H21: EUR constant inside the formula</t>
        </r>
      </text>
    </comment>
    <comment ref="AA27" authorId="0">
      <text>
        <r>
          <rPr>
            <sz val="10"/>
            <rFont val="Arial"/>
            <family val="2"/>
          </rPr>
          <t xml:space="preserve">SOURCE – PEP-Rev.140205 Gachsaran 4 P.ME H23: EUR constant inside the formula</t>
        </r>
      </text>
    </comment>
    <comment ref="AA28" authorId="0">
      <text>
        <r>
          <rPr>
            <sz val="10"/>
            <rFont val="Arial"/>
            <family val="2"/>
          </rPr>
          <t xml:space="preserve">SOURCE – PEP-Rev.140205 Gachsaran 4 P.ME H24: EUR constant inside the formula</t>
        </r>
      </text>
    </comment>
    <comment ref="AA29" authorId="0">
      <text>
        <r>
          <rPr>
            <sz val="10"/>
            <rFont val="Arial"/>
            <family val="2"/>
          </rPr>
          <t xml:space="preserve">SOURCE – PEP-Rev.140205 Gachsaran 4 P.ME H25: EUR constant inside the formula</t>
        </r>
      </text>
    </comment>
    <comment ref="AA30" authorId="0">
      <text>
        <r>
          <rPr>
            <sz val="10"/>
            <rFont val="Arial"/>
            <family val="2"/>
          </rPr>
          <t xml:space="preserve">SOURCE – PEP-Rev.140205 Gachsaran 4 P.ME H36: EUR constant inside the formula</t>
        </r>
      </text>
    </comment>
    <comment ref="AA31" authorId="0">
      <text>
        <r>
          <rPr>
            <sz val="10"/>
            <rFont val="Arial"/>
            <family val="2"/>
          </rPr>
          <t xml:space="preserve">SOURCE – PEP-Rev.140205 Gachsaran 4 P.ME H46: EUR constant inside the formula</t>
        </r>
      </text>
    </comment>
    <comment ref="AA32" authorId="0">
      <text>
        <r>
          <rPr>
            <sz val="10"/>
            <rFont val="Arial"/>
            <family val="2"/>
          </rPr>
          <t xml:space="preserve">SOURCE – PEP-Rev.140205 Gachsaran 4 P.ME H50: EUR constant inside the formula</t>
        </r>
      </text>
    </comment>
    <comment ref="AA33" authorId="0">
      <text>
        <r>
          <rPr>
            <sz val="10"/>
            <rFont val="Arial"/>
            <family val="2"/>
          </rPr>
          <t xml:space="preserve">SOURCE – PEP-Rev.140205 Gachsaran 4 P.ME H51: EUR constant inside the formula</t>
        </r>
      </text>
    </comment>
    <comment ref="AA34" authorId="0">
      <text>
        <r>
          <rPr>
            <sz val="10"/>
            <rFont val="Arial"/>
            <family val="2"/>
          </rPr>
          <t xml:space="preserve">SOURCE – PEP-Rev.140205 Gachsaran 4 P.ME H53: EUR constant inside the formula</t>
        </r>
      </text>
    </comment>
    <comment ref="AA35" authorId="0">
      <text>
        <r>
          <rPr>
            <sz val="10"/>
            <rFont val="Arial"/>
            <family val="2"/>
          </rPr>
          <t xml:space="preserve">SOURCE – PEP-Rev.140205 Gachsaran 4 P.ME H54: EUR constant inside the formula</t>
        </r>
      </text>
    </comment>
    <comment ref="AA36" authorId="0">
      <text>
        <r>
          <rPr>
            <sz val="10"/>
            <rFont val="Arial"/>
            <family val="2"/>
          </rPr>
          <t xml:space="preserve">SOURCE – PEP-Rev.140205 Gachsaran 4 P.ME H55: EUR constant inside the formula</t>
        </r>
      </text>
    </comment>
    <comment ref="AA37" authorId="0">
      <text>
        <r>
          <rPr>
            <sz val="10"/>
            <rFont val="Arial"/>
            <family val="2"/>
          </rPr>
          <t xml:space="preserve">SOURCE – PEP-Rev.140205 Gachsaran 4 P.ME H57: EUR constant inside the formula</t>
        </r>
      </text>
    </comment>
    <comment ref="AA38" authorId="0">
      <text>
        <r>
          <rPr>
            <sz val="10"/>
            <rFont val="Arial"/>
            <family val="2"/>
          </rPr>
          <t xml:space="preserve">SOURCE – PEP-Rev.140205 Gachsaran 4 P.ME H58: EUR constant inside the formula</t>
        </r>
      </text>
    </comment>
    <comment ref="AA39" authorId="0">
      <text>
        <r>
          <rPr>
            <sz val="10"/>
            <rFont val="Arial"/>
            <family val="2"/>
          </rPr>
          <t xml:space="preserve">SOURCE – PEP-Rev.140205 Gachsaran 4 P.ME H60: EUR constant inside the formula</t>
        </r>
      </text>
    </comment>
    <comment ref="AA43" authorId="0">
      <text>
        <r>
          <rPr>
            <sz val="10"/>
            <rFont val="Arial"/>
            <family val="2"/>
          </rPr>
          <t xml:space="preserve">SOURCE – PEP-Rev.140205 Gachsaran 4 P.ME H64: EUR constant inside the formula</t>
        </r>
      </text>
    </comment>
    <comment ref="AA44" authorId="0">
      <text>
        <r>
          <rPr>
            <sz val="10"/>
            <rFont val="Arial"/>
            <family val="2"/>
          </rPr>
          <t xml:space="preserve">SOURCE – PEP-Rev.140205 Gachsaran 4 P.ME H68: EUR constant inside the formula</t>
        </r>
      </text>
    </comment>
    <comment ref="AA57"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58"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59"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60"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61"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62"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76"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77"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78"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79"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80"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81"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82" authorId="0">
      <text>
        <r>
          <rPr>
            <sz val="10"/>
            <rFont val="Arial"/>
            <family val="2"/>
          </rPr>
          <t xml:space="preserve">Not stated – </t>
        </r>
        <r>
          <rPr>
            <sz val="10"/>
            <rFont val="FreeSans"/>
            <family val="2"/>
          </rPr>
          <t xml:space="preserve">منبع عددی برای این فیلد ندارد </t>
        </r>
        <r>
          <rPr>
            <sz val="10"/>
            <rFont val="Arial"/>
            <family val="2"/>
          </rPr>
          <t xml:space="preserve">(</t>
        </r>
        <r>
          <rPr>
            <sz val="10"/>
            <rFont val="FreeSans"/>
            <family val="2"/>
          </rPr>
          <t xml:space="preserve">مقدار قبلی </t>
        </r>
        <r>
          <rPr>
            <sz val="10"/>
            <rFont val="Arial"/>
            <family val="2"/>
          </rPr>
          <t xml:space="preserve">«(Not stated)»</t>
        </r>
        <r>
          <rPr>
            <sz val="10"/>
            <rFont val="FreeSans"/>
            <family val="2"/>
          </rPr>
          <t xml:space="preserve">؛ دلیل در </t>
        </r>
        <r>
          <rPr>
            <sz val="10"/>
            <rFont val="Arial"/>
            <family val="2"/>
          </rPr>
          <t xml:space="preserve">Price Basis / Remarks / QA Flag).</t>
        </r>
      </text>
    </comment>
    <comment ref="AA109" authorId="0">
      <text>
        <r>
          <rPr>
            <sz val="10"/>
            <rFont val="Arial"/>
            <family val="2"/>
          </rPr>
          <t xml:space="preserve">SOURCE – PC-ME 14040105 Pazanan2 PUMPS F19: =AR19*'[5]Basic INFO'!$C$138 – no quotation received (all declined); AR19 = R02 (1393) FOB price 25,000 EUR × 1.552</t>
        </r>
      </text>
    </comment>
    <comment ref="AA117" authorId="0">
      <text>
        <r>
          <rPr>
            <sz val="10"/>
            <rFont val="Arial"/>
            <family val="2"/>
          </rPr>
          <t xml:space="preserve">SOURCE – PC-ME 14040105 Pazanan2 PUMPS E27: =AQ27*'[5]Basic INFO'!$E$127 – no quotation received (all declined); value is the R02 (1393) price AQ27 = 100,000,000 IRR escalated by an external factor</t>
        </r>
      </text>
    </comment>
    <comment ref="AA118" authorId="0">
      <text>
        <r>
          <rPr>
            <sz val="10"/>
            <rFont val="Arial"/>
            <family val="2"/>
          </rPr>
          <t xml:space="preserve">SOURCE – PC-ME 14040105 Pazanan2 PUMPS E28: =AQ28*'[5]Basic INFO'!$E$127 – no quotation received (all declined); value is the R02 (1393) price AQ28 = 100,000,000 IRR escalated by an external factor</t>
        </r>
      </text>
    </comment>
    <comment ref="AA133" authorId="0">
      <text>
        <r>
          <rPr>
            <sz val="10"/>
            <rFont val="Arial"/>
            <family val="2"/>
          </rPr>
          <t xml:space="preserve">SOURCE – PC-ME 14040105 Pazanan2 PUMPS AR8: R02 (1393) FOB unit price</t>
        </r>
      </text>
    </comment>
    <comment ref="AA134" authorId="0">
      <text>
        <r>
          <rPr>
            <sz val="10"/>
            <rFont val="Arial"/>
            <family val="2"/>
          </rPr>
          <t xml:space="preserve">SOURCE – PC-ME 14040105 Pazanan2 PUMPS AR9: R02 (1393) FOB unit price</t>
        </r>
      </text>
    </comment>
    <comment ref="AA135" authorId="0">
      <text>
        <r>
          <rPr>
            <sz val="10"/>
            <rFont val="Arial"/>
            <family val="2"/>
          </rPr>
          <t xml:space="preserve">SOURCE – PC-ME 14040105 Pazanan2 PUMPS AR10: R02 (1393) FOB unit price</t>
        </r>
      </text>
    </comment>
    <comment ref="AA136" authorId="0">
      <text>
        <r>
          <rPr>
            <sz val="10"/>
            <rFont val="Arial"/>
            <family val="2"/>
          </rPr>
          <t xml:space="preserve">SOURCE – PC-ME 14040105 Pazanan2 PUMPS AR11: R02 (1393) FOB unit price</t>
        </r>
      </text>
    </comment>
    <comment ref="AA137" authorId="0">
      <text>
        <r>
          <rPr>
            <sz val="10"/>
            <rFont val="Arial"/>
            <family val="2"/>
          </rPr>
          <t xml:space="preserve">SOURCE – PC-ME 14040105 Pazanan2 PUMPS AR12: R02 (1393) FOB unit price</t>
        </r>
      </text>
    </comment>
    <comment ref="AA138" authorId="0">
      <text>
        <r>
          <rPr>
            <sz val="10"/>
            <rFont val="Arial"/>
            <family val="2"/>
          </rPr>
          <t xml:space="preserve">SOURCE – PC-ME 14040105 Pazanan2 PUMPS AR13: R02 (1393) FOB unit price</t>
        </r>
      </text>
    </comment>
    <comment ref="AA139" authorId="0">
      <text>
        <r>
          <rPr>
            <sz val="10"/>
            <rFont val="Arial"/>
            <family val="2"/>
          </rPr>
          <t xml:space="preserve">SOURCE – PC-ME 14040105 Pazanan2 PUMPS AR14: R02 (1393) FOB unit price</t>
        </r>
      </text>
    </comment>
    <comment ref="AA140" authorId="0">
      <text>
        <r>
          <rPr>
            <sz val="10"/>
            <rFont val="Arial"/>
            <family val="2"/>
          </rPr>
          <t xml:space="preserve">SOURCE – PC-ME 14040105 Pazanan2 PUMPS AR15: R02 (1393) FOB unit price</t>
        </r>
      </text>
    </comment>
    <comment ref="AA141" authorId="0">
      <text>
        <r>
          <rPr>
            <sz val="10"/>
            <rFont val="Arial"/>
            <family val="2"/>
          </rPr>
          <t xml:space="preserve">SOURCE – PC-ME 14040105 Pazanan2 PUMPS AR16: R02 (1393) FOB unit price</t>
        </r>
      </text>
    </comment>
    <comment ref="AA142" authorId="0">
      <text>
        <r>
          <rPr>
            <sz val="10"/>
            <rFont val="Arial"/>
            <family val="2"/>
          </rPr>
          <t xml:space="preserve">SOURCE – PC-ME 14040105 Pazanan2 PUMPS AR17: R02 (1393) FOB unit price</t>
        </r>
      </text>
    </comment>
    <comment ref="AA143" authorId="0">
      <text>
        <r>
          <rPr>
            <sz val="10"/>
            <rFont val="Arial"/>
            <family val="2"/>
          </rPr>
          <t xml:space="preserve">SOURCE – PC-ME 14040105 Pazanan2 PUMPS AR18: R02 (1393) FOB unit price</t>
        </r>
      </text>
    </comment>
    <comment ref="AA144" authorId="0">
      <text>
        <r>
          <rPr>
            <sz val="10"/>
            <rFont val="Arial"/>
            <family val="2"/>
          </rPr>
          <t xml:space="preserve">SOURCE – PC-ME 14040105 Pazanan2 PUMPS AR20: R02 (1393) FOB unit price</t>
        </r>
      </text>
    </comment>
    <comment ref="AA145" authorId="0">
      <text>
        <r>
          <rPr>
            <sz val="10"/>
            <rFont val="Arial"/>
            <family val="2"/>
          </rPr>
          <t xml:space="preserve">SOURCE – PC-ME 14040105 Pazanan2 PUMPS AR21: R02 (1393) FOB unit price</t>
        </r>
      </text>
    </comment>
    <comment ref="AA146" authorId="0">
      <text>
        <r>
          <rPr>
            <sz val="10"/>
            <rFont val="Arial"/>
            <family val="2"/>
          </rPr>
          <t xml:space="preserve">SOURCE – PC-ME 14040105 Pazanan2 PUMPS AR22: R02 (1393) FOB unit price</t>
        </r>
      </text>
    </comment>
    <comment ref="AA147" authorId="0">
      <text>
        <r>
          <rPr>
            <sz val="10"/>
            <rFont val="Arial"/>
            <family val="2"/>
          </rPr>
          <t xml:space="preserve">SOURCE – PC-ME 14040105 Pazanan2 PUMPS AR23: R02 (1393) FOB unit price</t>
        </r>
      </text>
    </comment>
    <comment ref="AA148" authorId="0">
      <text>
        <r>
          <rPr>
            <sz val="10"/>
            <rFont val="Arial"/>
            <family val="2"/>
          </rPr>
          <t xml:space="preserve">SOURCE – PC-ME 14040105 Pazanan2 PUMPS AR24: R02 (1393) FOB unit price</t>
        </r>
      </text>
    </comment>
    <comment ref="AA149" authorId="0">
      <text>
        <r>
          <rPr>
            <sz val="10"/>
            <rFont val="Arial"/>
            <family val="2"/>
          </rPr>
          <t xml:space="preserve">SOURCE – PC-ME 14040105 Pazanan2 PUMPS AR25: R02 (1393) FOB unit price</t>
        </r>
      </text>
    </comment>
    <comment ref="AA150" authorId="0">
      <text>
        <r>
          <rPr>
            <sz val="10"/>
            <rFont val="Arial"/>
            <family val="2"/>
          </rPr>
          <t xml:space="preserve">SOURCE – PC-ME 14040105 Pazanan2 PUMPS AR26: R02 (1393) FOB unit price</t>
        </r>
      </text>
    </comment>
    <comment ref="AB4" authorId="0">
      <text>
        <r>
          <rPr>
            <sz val="10"/>
            <rFont val="FreeSans"/>
            <family val="2"/>
          </rPr>
          <t xml:space="preserve">معادل یورویی قیمت مرجع در سال منبع، با نرخ جدول </t>
        </r>
        <r>
          <rPr>
            <sz val="10"/>
            <rFont val="Arial"/>
            <family val="2"/>
          </rPr>
          <t xml:space="preserve">FX </t>
        </r>
        <r>
          <rPr>
            <sz val="10"/>
            <rFont val="FreeSans"/>
            <family val="2"/>
          </rPr>
          <t xml:space="preserve">بانک</t>
        </r>
        <r>
          <rPr>
            <sz val="10"/>
            <rFont val="Arial"/>
            <family val="2"/>
          </rPr>
          <t xml:space="preserve">.</t>
        </r>
      </text>
    </comment>
    <comment ref="AC4" authorId="0">
      <text>
        <r>
          <rPr>
            <sz val="10"/>
            <rFont val="FreeSans"/>
            <family val="2"/>
          </rPr>
          <t xml:space="preserve">معادل دلاری قیمت مرجع در سال منبع، با نرخ جدول </t>
        </r>
        <r>
          <rPr>
            <sz val="10"/>
            <rFont val="Arial"/>
            <family val="2"/>
          </rPr>
          <t xml:space="preserve">FX </t>
        </r>
        <r>
          <rPr>
            <sz val="10"/>
            <rFont val="FreeSans"/>
            <family val="2"/>
          </rPr>
          <t xml:space="preserve">بانک</t>
        </r>
        <r>
          <rPr>
            <sz val="10"/>
            <rFont val="Arial"/>
            <family val="2"/>
          </rPr>
          <t xml:space="preserve">.</t>
        </r>
      </text>
    </comment>
    <comment ref="AD4" authorId="0">
      <text>
        <r>
          <rPr>
            <sz val="10"/>
            <rFont val="FreeSans"/>
            <family val="2"/>
          </rPr>
          <t xml:space="preserve">معادل ریالی قیمت مرجع در سال منبع، با نرخ جدول </t>
        </r>
        <r>
          <rPr>
            <sz val="10"/>
            <rFont val="Arial"/>
            <family val="2"/>
          </rPr>
          <t xml:space="preserve">FX </t>
        </r>
        <r>
          <rPr>
            <sz val="10"/>
            <rFont val="FreeSans"/>
            <family val="2"/>
          </rPr>
          <t xml:space="preserve">بانک. سلول آبی = پروژه نرخ دیگری به کار برده </t>
        </r>
        <r>
          <rPr>
            <sz val="10"/>
            <rFont val="Arial"/>
            <family val="2"/>
          </rPr>
          <t xml:space="preserve">(</t>
        </r>
        <r>
          <rPr>
            <sz val="10"/>
            <rFont val="FreeSans"/>
            <family val="2"/>
          </rPr>
          <t xml:space="preserve">نرخ و قیمت پروژه در </t>
        </r>
        <r>
          <rPr>
            <sz val="10"/>
            <rFont val="Arial"/>
            <family val="2"/>
          </rPr>
          <t xml:space="preserve">Note).</t>
        </r>
      </text>
    </comment>
    <comment ref="AD19"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H11)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175,441,330,000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0"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H12)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61,518,388,000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1"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H13)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63,796,847,232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2"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H14)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15,493,520,000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3"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H17)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13,215,061,212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4"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H18)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12,531,523,563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5"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H20)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6,835,376,489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6"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H21)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7,746,760,021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7"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H23)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5,012,609,000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8"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H24)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195,947,459,000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29"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H25)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129,872,153,000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0"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H36)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4,101,226,000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1"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H46)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12,759,369,000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2"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H50)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24,151,664,000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3"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H51)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24,151,664,000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4"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H53)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13,215,061,000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5"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H54)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15,949,212,000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6"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H55)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6,083,485,000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7"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H57)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14,126,445,000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8"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H58)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12,759,369,000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39"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H60)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6,151,839,000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43"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H64)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7,974,606,000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D44" authorId="0">
      <text>
        <r>
          <rPr>
            <sz val="10"/>
            <rFont val="FreeSans"/>
            <family val="2"/>
          </rPr>
          <t xml:space="preserve">نرخ پروژه: در فایل </t>
        </r>
        <r>
          <rPr>
            <sz val="10"/>
            <rFont val="Arial"/>
            <family val="2"/>
          </rPr>
          <t xml:space="preserve">PEP-Rev.140205 </t>
        </r>
        <r>
          <rPr>
            <sz val="10"/>
            <rFont val="FreeSans"/>
            <family val="2"/>
          </rPr>
          <t xml:space="preserve">گچساران ۴ </t>
        </r>
        <r>
          <rPr>
            <sz val="10"/>
            <rFont val="Arial"/>
            <family val="2"/>
          </rPr>
          <t xml:space="preserve">(P.ME H68) </t>
        </r>
        <r>
          <rPr>
            <sz val="10"/>
            <rFont val="FreeSans"/>
            <family val="2"/>
          </rPr>
          <t xml:space="preserve">قیمت با نرخ یورو </t>
        </r>
        <r>
          <rPr>
            <sz val="10"/>
            <rFont val="Arial"/>
            <family val="2"/>
          </rPr>
          <t xml:space="preserve">455,692 ریال (= </t>
        </r>
        <r>
          <rPr>
            <sz val="10"/>
            <rFont val="FreeSans"/>
            <family val="2"/>
          </rPr>
          <t xml:space="preserve">۴۲۰٬۰۰۰ ریال/دلار × ۱٫۰۸۵</t>
        </r>
        <r>
          <rPr>
            <sz val="10"/>
            <rFont val="Arial"/>
            <family val="2"/>
          </rPr>
          <t xml:space="preserve">) برابر 8,885,989,000 ریال بوده است. این سلول با نرخ جدول FX </t>
        </r>
        <r>
          <rPr>
            <sz val="10"/>
            <rFont val="FreeSans"/>
            <family val="2"/>
          </rPr>
          <t xml:space="preserve">بانک (سال ۱۴۰۲</t>
        </r>
        <r>
          <rPr>
            <sz val="10"/>
            <rFont val="Arial"/>
            <family val="2"/>
          </rPr>
          <t xml:space="preserve">) محاسبه شده است.</t>
        </r>
      </text>
    </comment>
    <comment ref="AE4" authorId="0">
      <text>
        <r>
          <rPr>
            <sz val="10"/>
            <rFont val="FreeSans"/>
            <family val="2"/>
          </rPr>
          <t xml:space="preserve">مبنای قیمت به نقل از منبع </t>
        </r>
        <r>
          <rPr>
            <sz val="10"/>
            <rFont val="Arial"/>
            <family val="2"/>
          </rPr>
          <t xml:space="preserve">(</t>
        </r>
        <r>
          <rPr>
            <sz val="10"/>
            <rFont val="FreeSans"/>
            <family val="2"/>
          </rPr>
          <t xml:space="preserve">استعلام، برآورد </t>
        </r>
        <r>
          <rPr>
            <sz val="10"/>
            <rFont val="Arial"/>
            <family val="2"/>
          </rPr>
          <t xml:space="preserve">MTO</t>
        </r>
        <r>
          <rPr>
            <sz val="10"/>
            <rFont val="FreeSans"/>
            <family val="2"/>
          </rPr>
          <t xml:space="preserve">، قیمت خرید و ...). برچسب کلاس منبع هم داخل همین متن آمده است</t>
        </r>
        <r>
          <rPr>
            <sz val="10"/>
            <rFont val="Arial"/>
            <family val="2"/>
          </rPr>
          <t xml:space="preserve">.</t>
        </r>
      </text>
    </comment>
    <comment ref="AF4" authorId="0">
      <text>
        <r>
          <rPr>
            <sz val="10"/>
            <rFont val="FreeSans"/>
            <family val="2"/>
          </rPr>
          <t xml:space="preserve">شرط تحویل قیمت</t>
        </r>
        <r>
          <rPr>
            <sz val="10"/>
            <rFont val="Arial"/>
            <family val="2"/>
          </rPr>
          <t xml:space="preserve">. Note </t>
        </r>
        <r>
          <rPr>
            <sz val="10"/>
            <rFont val="FreeSans"/>
            <family val="2"/>
          </rPr>
          <t xml:space="preserve">هر سلول می‌گوید قیمت شامل چه هزینه‌هایی هست و نیست. زرد = استنباطی. جدول حالت‌ها در </t>
        </r>
        <r>
          <rPr>
            <sz val="10"/>
            <rFont val="Arial"/>
            <family val="2"/>
          </rPr>
          <t xml:space="preserve">Executive Dashboard.</t>
        </r>
      </text>
    </comment>
    <comment ref="AF5"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14,400 دلار (CSV </t>
        </r>
        <r>
          <rPr>
            <sz val="10"/>
            <rFont val="FreeSans"/>
            <family val="2"/>
          </rPr>
          <t xml:space="preserve">سطر </t>
        </r>
        <r>
          <rPr>
            <sz val="10"/>
            <rFont val="Arial"/>
            <family val="2"/>
          </rPr>
          <t xml:space="preserve">5</t>
        </r>
        <r>
          <rPr>
            <sz val="10"/>
            <rFont val="FreeSans"/>
            <family val="2"/>
          </rPr>
          <t xml:space="preserve">، ستون </t>
        </r>
        <r>
          <rPr>
            <sz val="10"/>
            <rFont val="Arial"/>
            <family val="2"/>
          </rPr>
          <t xml:space="preserve">J).</t>
        </r>
      </text>
    </comment>
    <comment ref="AF6"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16,800 دلار (CSV </t>
        </r>
        <r>
          <rPr>
            <sz val="10"/>
            <rFont val="FreeSans"/>
            <family val="2"/>
          </rPr>
          <t xml:space="preserve">سطر </t>
        </r>
        <r>
          <rPr>
            <sz val="10"/>
            <rFont val="Arial"/>
            <family val="2"/>
          </rPr>
          <t xml:space="preserve">6</t>
        </r>
        <r>
          <rPr>
            <sz val="10"/>
            <rFont val="FreeSans"/>
            <family val="2"/>
          </rPr>
          <t xml:space="preserve">، ستون </t>
        </r>
        <r>
          <rPr>
            <sz val="10"/>
            <rFont val="Arial"/>
            <family val="2"/>
          </rPr>
          <t xml:space="preserve">J).</t>
        </r>
      </text>
    </comment>
    <comment ref="AF7"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15,000 دلار (CSV </t>
        </r>
        <r>
          <rPr>
            <sz val="10"/>
            <rFont val="FreeSans"/>
            <family val="2"/>
          </rPr>
          <t xml:space="preserve">سطر </t>
        </r>
        <r>
          <rPr>
            <sz val="10"/>
            <rFont val="Arial"/>
            <family val="2"/>
          </rPr>
          <t xml:space="preserve">7</t>
        </r>
        <r>
          <rPr>
            <sz val="10"/>
            <rFont val="FreeSans"/>
            <family val="2"/>
          </rPr>
          <t xml:space="preserve">، ستون </t>
        </r>
        <r>
          <rPr>
            <sz val="10"/>
            <rFont val="Arial"/>
            <family val="2"/>
          </rPr>
          <t xml:space="preserve">J).</t>
        </r>
      </text>
    </comment>
    <comment ref="AF8"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25,200 دلار (CSV </t>
        </r>
        <r>
          <rPr>
            <sz val="10"/>
            <rFont val="FreeSans"/>
            <family val="2"/>
          </rPr>
          <t xml:space="preserve">سطر </t>
        </r>
        <r>
          <rPr>
            <sz val="10"/>
            <rFont val="Arial"/>
            <family val="2"/>
          </rPr>
          <t xml:space="preserve">8</t>
        </r>
        <r>
          <rPr>
            <sz val="10"/>
            <rFont val="FreeSans"/>
            <family val="2"/>
          </rPr>
          <t xml:space="preserve">، ستون </t>
        </r>
        <r>
          <rPr>
            <sz val="10"/>
            <rFont val="Arial"/>
            <family val="2"/>
          </rPr>
          <t xml:space="preserve">J).</t>
        </r>
      </text>
    </comment>
    <comment ref="AF9"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4,500 دلار (CSV </t>
        </r>
        <r>
          <rPr>
            <sz val="10"/>
            <rFont val="FreeSans"/>
            <family val="2"/>
          </rPr>
          <t xml:space="preserve">سطر </t>
        </r>
        <r>
          <rPr>
            <sz val="10"/>
            <rFont val="Arial"/>
            <family val="2"/>
          </rPr>
          <t xml:space="preserve">9</t>
        </r>
        <r>
          <rPr>
            <sz val="10"/>
            <rFont val="FreeSans"/>
            <family val="2"/>
          </rPr>
          <t xml:space="preserve">، ستون </t>
        </r>
        <r>
          <rPr>
            <sz val="10"/>
            <rFont val="Arial"/>
            <family val="2"/>
          </rPr>
          <t xml:space="preserve">J).</t>
        </r>
      </text>
    </comment>
    <comment ref="AF10"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3,600 دلار (CSV </t>
        </r>
        <r>
          <rPr>
            <sz val="10"/>
            <rFont val="FreeSans"/>
            <family val="2"/>
          </rPr>
          <t xml:space="preserve">سطر </t>
        </r>
        <r>
          <rPr>
            <sz val="10"/>
            <rFont val="Arial"/>
            <family val="2"/>
          </rPr>
          <t xml:space="preserve">10</t>
        </r>
        <r>
          <rPr>
            <sz val="10"/>
            <rFont val="FreeSans"/>
            <family val="2"/>
          </rPr>
          <t xml:space="preserve">، ستون </t>
        </r>
        <r>
          <rPr>
            <sz val="10"/>
            <rFont val="Arial"/>
            <family val="2"/>
          </rPr>
          <t xml:space="preserve">J).</t>
        </r>
      </text>
    </comment>
    <comment ref="AF11"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3,600 دلار (CSV </t>
        </r>
        <r>
          <rPr>
            <sz val="10"/>
            <rFont val="FreeSans"/>
            <family val="2"/>
          </rPr>
          <t xml:space="preserve">سطر </t>
        </r>
        <r>
          <rPr>
            <sz val="10"/>
            <rFont val="Arial"/>
            <family val="2"/>
          </rPr>
          <t xml:space="preserve">11</t>
        </r>
        <r>
          <rPr>
            <sz val="10"/>
            <rFont val="FreeSans"/>
            <family val="2"/>
          </rPr>
          <t xml:space="preserve">، ستون </t>
        </r>
        <r>
          <rPr>
            <sz val="10"/>
            <rFont val="Arial"/>
            <family val="2"/>
          </rPr>
          <t xml:space="preserve">J).</t>
        </r>
      </text>
    </comment>
    <comment ref="AF12"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24,600 دلار (CSV </t>
        </r>
        <r>
          <rPr>
            <sz val="10"/>
            <rFont val="FreeSans"/>
            <family val="2"/>
          </rPr>
          <t xml:space="preserve">سطر </t>
        </r>
        <r>
          <rPr>
            <sz val="10"/>
            <rFont val="Arial"/>
            <family val="2"/>
          </rPr>
          <t xml:space="preserve">12</t>
        </r>
        <r>
          <rPr>
            <sz val="10"/>
            <rFont val="FreeSans"/>
            <family val="2"/>
          </rPr>
          <t xml:space="preserve">، ستون </t>
        </r>
        <r>
          <rPr>
            <sz val="10"/>
            <rFont val="Arial"/>
            <family val="2"/>
          </rPr>
          <t xml:space="preserve">J).</t>
        </r>
      </text>
    </comment>
    <comment ref="AF13"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480 دلار (CSV </t>
        </r>
        <r>
          <rPr>
            <sz val="10"/>
            <rFont val="FreeSans"/>
            <family val="2"/>
          </rPr>
          <t xml:space="preserve">سطر </t>
        </r>
        <r>
          <rPr>
            <sz val="10"/>
            <rFont val="Arial"/>
            <family val="2"/>
          </rPr>
          <t xml:space="preserve">13</t>
        </r>
        <r>
          <rPr>
            <sz val="10"/>
            <rFont val="FreeSans"/>
            <family val="2"/>
          </rPr>
          <t xml:space="preserve">، ستون </t>
        </r>
        <r>
          <rPr>
            <sz val="10"/>
            <rFont val="Arial"/>
            <family val="2"/>
          </rPr>
          <t xml:space="preserve">J).</t>
        </r>
      </text>
    </comment>
    <comment ref="AF14"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2,400 دلار (CSV </t>
        </r>
        <r>
          <rPr>
            <sz val="10"/>
            <rFont val="FreeSans"/>
            <family val="2"/>
          </rPr>
          <t xml:space="preserve">سطر </t>
        </r>
        <r>
          <rPr>
            <sz val="10"/>
            <rFont val="Arial"/>
            <family val="2"/>
          </rPr>
          <t xml:space="preserve">14</t>
        </r>
        <r>
          <rPr>
            <sz val="10"/>
            <rFont val="FreeSans"/>
            <family val="2"/>
          </rPr>
          <t xml:space="preserve">، ستون </t>
        </r>
        <r>
          <rPr>
            <sz val="10"/>
            <rFont val="Arial"/>
            <family val="2"/>
          </rPr>
          <t xml:space="preserve">J).</t>
        </r>
      </text>
    </comment>
    <comment ref="AF15"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300 دلار (CSV </t>
        </r>
        <r>
          <rPr>
            <sz val="10"/>
            <rFont val="FreeSans"/>
            <family val="2"/>
          </rPr>
          <t xml:space="preserve">سطر </t>
        </r>
        <r>
          <rPr>
            <sz val="10"/>
            <rFont val="Arial"/>
            <family val="2"/>
          </rPr>
          <t xml:space="preserve">15</t>
        </r>
        <r>
          <rPr>
            <sz val="10"/>
            <rFont val="FreeSans"/>
            <family val="2"/>
          </rPr>
          <t xml:space="preserve">، ستون </t>
        </r>
        <r>
          <rPr>
            <sz val="10"/>
            <rFont val="Arial"/>
            <family val="2"/>
          </rPr>
          <t xml:space="preserve">J).</t>
        </r>
      </text>
    </comment>
    <comment ref="AF16"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180 دلار (CSV </t>
        </r>
        <r>
          <rPr>
            <sz val="10"/>
            <rFont val="FreeSans"/>
            <family val="2"/>
          </rPr>
          <t xml:space="preserve">سطر </t>
        </r>
        <r>
          <rPr>
            <sz val="10"/>
            <rFont val="Arial"/>
            <family val="2"/>
          </rPr>
          <t xml:space="preserve">16</t>
        </r>
        <r>
          <rPr>
            <sz val="10"/>
            <rFont val="FreeSans"/>
            <family val="2"/>
          </rPr>
          <t xml:space="preserve">، ستون </t>
        </r>
        <r>
          <rPr>
            <sz val="10"/>
            <rFont val="Arial"/>
            <family val="2"/>
          </rPr>
          <t xml:space="preserve">J).</t>
        </r>
      </text>
    </comment>
    <comment ref="AF17"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180 دلار (CSV </t>
        </r>
        <r>
          <rPr>
            <sz val="10"/>
            <rFont val="FreeSans"/>
            <family val="2"/>
          </rPr>
          <t xml:space="preserve">سطر </t>
        </r>
        <r>
          <rPr>
            <sz val="10"/>
            <rFont val="Arial"/>
            <family val="2"/>
          </rPr>
          <t xml:space="preserve">17</t>
        </r>
        <r>
          <rPr>
            <sz val="10"/>
            <rFont val="FreeSans"/>
            <family val="2"/>
          </rPr>
          <t xml:space="preserve">، ستون </t>
        </r>
        <r>
          <rPr>
            <sz val="10"/>
            <rFont val="Arial"/>
            <family val="2"/>
          </rPr>
          <t xml:space="preserve">J).</t>
        </r>
      </text>
    </comment>
    <comment ref="AF18" authorId="0">
      <text>
        <r>
          <rPr>
            <sz val="10"/>
            <rFont val="FreeSans"/>
            <family val="2"/>
          </rPr>
          <t xml:space="preserve">شرط تحویل: در منبع ذکر نشده</t>
        </r>
        <r>
          <rPr>
            <sz val="10"/>
            <rFont val="Arial"/>
            <family val="2"/>
          </rPr>
          <t xml:space="preserve">.
</t>
        </r>
        <r>
          <rPr>
            <sz val="10"/>
            <rFont val="FreeSans"/>
            <family val="2"/>
          </rPr>
          <t xml:space="preserve">این قیمت </t>
        </r>
        <r>
          <rPr>
            <sz val="10"/>
            <rFont val="Arial"/>
            <family val="2"/>
          </rPr>
          <t xml:space="preserve">= «Price ($)» </t>
        </r>
        <r>
          <rPr>
            <sz val="10"/>
            <rFont val="FreeSans"/>
            <family val="2"/>
          </rPr>
          <t xml:space="preserve">فایل </t>
        </r>
        <r>
          <rPr>
            <sz val="10"/>
            <rFont val="Arial"/>
            <family val="2"/>
          </rPr>
          <t xml:space="preserve">CSV (</t>
        </r>
        <r>
          <rPr>
            <sz val="10"/>
            <rFont val="FreeSans"/>
            <family val="2"/>
          </rPr>
          <t xml:space="preserve">قیمت خرید</t>
        </r>
        <r>
          <rPr>
            <sz val="10"/>
            <rFont val="Arial"/>
            <family val="2"/>
          </rPr>
          <t xml:space="preserve">). </t>
        </r>
        <r>
          <rPr>
            <sz val="10"/>
            <rFont val="FreeSans"/>
            <family val="2"/>
          </rPr>
          <t xml:space="preserve">هزینه گمرک و حمل جداگانه آمده و در این قیمت نیست: </t>
        </r>
        <r>
          <rPr>
            <sz val="10"/>
            <rFont val="Arial"/>
            <family val="2"/>
          </rPr>
          <t xml:space="preserve">2,400 دلار (CSV </t>
        </r>
        <r>
          <rPr>
            <sz val="10"/>
            <rFont val="FreeSans"/>
            <family val="2"/>
          </rPr>
          <t xml:space="preserve">سطر </t>
        </r>
        <r>
          <rPr>
            <sz val="10"/>
            <rFont val="Arial"/>
            <family val="2"/>
          </rPr>
          <t xml:space="preserve">18</t>
        </r>
        <r>
          <rPr>
            <sz val="10"/>
            <rFont val="FreeSans"/>
            <family val="2"/>
          </rPr>
          <t xml:space="preserve">، ستون </t>
        </r>
        <r>
          <rPr>
            <sz val="10"/>
            <rFont val="Arial"/>
            <family val="2"/>
          </rPr>
          <t xml:space="preserve">J).</t>
        </r>
      </text>
    </comment>
    <comment ref="AF19"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0"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1"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2"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3"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4"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5"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6"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7"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8"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29"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0"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1"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2"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3"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4"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5"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6"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7"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8"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39"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40"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41"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42"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43"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44" authorId="0">
      <text>
        <r>
          <rPr>
            <sz val="10"/>
            <rFont val="FreeSans"/>
            <family val="2"/>
          </rPr>
          <t xml:space="preserve">شرط تحویل</t>
        </r>
        <r>
          <rPr>
            <sz val="10"/>
            <rFont val="Arial"/>
            <family val="2"/>
          </rPr>
          <t xml:space="preserve">: EXW (</t>
        </r>
        <r>
          <rPr>
            <sz val="10"/>
            <rFont val="FreeSans"/>
            <family val="2"/>
          </rPr>
          <t xml:space="preserve">استنباطی</t>
        </r>
        <r>
          <rPr>
            <sz val="10"/>
            <rFont val="Arial"/>
            <family val="2"/>
          </rPr>
          <t xml:space="preserve">).
</t>
        </r>
        <r>
          <rPr>
            <sz val="10"/>
            <rFont val="FreeSans"/>
            <family val="2"/>
          </rPr>
          <t xml:space="preserve">این قیمت = «هزینه واحد بدون ضریب» شیت </t>
        </r>
        <r>
          <rPr>
            <sz val="10"/>
            <rFont val="Arial"/>
            <family val="2"/>
          </rPr>
          <t xml:space="preserve">P.ME </t>
        </r>
        <r>
          <rPr>
            <sz val="10"/>
            <rFont val="FreeSans"/>
            <family val="2"/>
          </rPr>
          <t xml:space="preserve">سند </t>
        </r>
        <r>
          <rPr>
            <sz val="10"/>
            <rFont val="Arial"/>
            <family val="2"/>
          </rPr>
          <t xml:space="preserve">PEP </t>
        </r>
        <r>
          <rPr>
            <sz val="10"/>
            <rFont val="FreeSans"/>
            <family val="2"/>
          </rPr>
          <t xml:space="preserve">گچساران </t>
        </r>
        <r>
          <rPr>
            <sz val="10"/>
            <rFont val="Arial"/>
            <family val="2"/>
          </rPr>
          <t xml:space="preserve">(Rev.1402/05).
</t>
        </r>
        <r>
          <rPr>
            <sz val="10"/>
            <rFont val="FreeSans"/>
            <family val="2"/>
          </rPr>
          <t xml:space="preserve">این قیمت شامل نیست (هر کدام سطر جداگانه دارند): حمل هر قلم </t>
        </r>
        <r>
          <rPr>
            <sz val="10"/>
            <rFont val="Arial"/>
            <family val="2"/>
          </rPr>
          <t xml:space="preserve">(P.ME </t>
        </r>
        <r>
          <rPr>
            <sz val="10"/>
            <rFont val="FreeSans"/>
            <family val="2"/>
          </rPr>
          <t xml:space="preserve">ستون </t>
        </r>
        <r>
          <rPr>
            <sz val="10"/>
            <rFont val="Arial"/>
            <family val="2"/>
          </rPr>
          <t xml:space="preserve">N)</t>
        </r>
        <r>
          <rPr>
            <sz val="10"/>
            <rFont val="FreeSans"/>
            <family val="2"/>
          </rPr>
          <t xml:space="preserve">، یدکی راه‌اندازی و دو ساله (Procurement D49)، بیمه ۱٪ (D51)، بارگیری و حمل ۳٪ (D52)، بازرسی شخص ثالث ۱٪ (D53)، خدمات فنی سازنده در نصب ۳٪ (D54)، بالاسری پروژه (EPC Summary، ستون «با اعمال سربار</t>
        </r>
        <r>
          <rPr>
            <sz val="10"/>
            <rFont val="Arial"/>
            <family val="2"/>
          </rPr>
          <t xml:space="preserve">»)</t>
        </r>
        <r>
          <rPr>
            <sz val="10"/>
            <rFont val="FreeSans"/>
            <family val="2"/>
          </rPr>
          <t xml:space="preserve">، نصب و مالیات</t>
        </r>
        <r>
          <rPr>
            <sz val="10"/>
            <rFont val="Arial"/>
            <family val="2"/>
          </rPr>
          <t xml:space="preserve">.</t>
        </r>
      </text>
    </comment>
    <comment ref="AF45"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46"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47"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48"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49"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50"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51"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52"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53"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54"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55"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56"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57"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58"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59"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60"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61"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62"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63"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64"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65"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66"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67"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68"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69"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70"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71"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72"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73"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74"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75"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76"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77"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78"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79"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80"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81"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82" authorId="0">
      <text>
        <r>
          <rPr>
            <sz val="10"/>
            <rFont val="FreeSans"/>
            <family val="2"/>
          </rPr>
          <t xml:space="preserve">قیمت جداگانه ندارد؛ این پمپ داخل قیمت پکیج آمده است </t>
        </r>
        <r>
          <rPr>
            <sz val="10"/>
            <rFont val="Arial"/>
            <family val="2"/>
          </rPr>
          <t xml:space="preserve">(Remarks). </t>
        </r>
        <r>
          <rPr>
            <sz val="10"/>
            <rFont val="FreeSans"/>
            <family val="2"/>
          </rPr>
          <t xml:space="preserve">شرط تحویل همان پکیج </t>
        </r>
        <r>
          <rPr>
            <sz val="10"/>
            <rFont val="Arial"/>
            <family val="2"/>
          </rPr>
          <t xml:space="preserve">(FOB</t>
        </r>
        <r>
          <rPr>
            <sz val="10"/>
            <rFont val="FreeSans"/>
            <family val="2"/>
          </rPr>
          <t xml:space="preserve">، با ضریب ×۱٫۵۸ جداگانه</t>
        </r>
        <r>
          <rPr>
            <sz val="10"/>
            <rFont val="Arial"/>
            <family val="2"/>
          </rPr>
          <t xml:space="preserve">).</t>
        </r>
      </text>
    </comment>
    <comment ref="AF83"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84"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85"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86"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87"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88"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89"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90"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91"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92" authorId="0">
      <text>
        <r>
          <rPr>
            <sz val="10"/>
            <rFont val="FreeSans"/>
            <family val="2"/>
          </rPr>
          <t xml:space="preserve">شرط تحویل</t>
        </r>
        <r>
          <rPr>
            <sz val="10"/>
            <rFont val="Arial"/>
            <family val="2"/>
          </rPr>
          <t xml:space="preserve">: EXW (</t>
        </r>
        <r>
          <rPr>
            <sz val="10"/>
            <rFont val="FreeSans"/>
            <family val="2"/>
          </rPr>
          <t xml:space="preserve">استنباطی؛ خرید داخلی ریالی</t>
        </r>
        <r>
          <rPr>
            <sz val="10"/>
            <rFont val="Arial"/>
            <family val="2"/>
          </rPr>
          <t xml:space="preserve">).
</t>
        </r>
        <r>
          <rPr>
            <sz val="10"/>
            <rFont val="FreeSans"/>
            <family val="2"/>
          </rPr>
          <t xml:space="preserve">این قیمت شامل: قیمت فروشنده داخلی</t>
        </r>
        <r>
          <rPr>
            <sz val="10"/>
            <rFont val="Arial"/>
            <family val="2"/>
          </rPr>
          <t xml:space="preserve">.
</t>
        </r>
        <r>
          <rPr>
            <sz val="10"/>
            <rFont val="FreeSans"/>
            <family val="2"/>
          </rPr>
          <t xml:space="preserve">این قیمت شامل نیست </t>
        </r>
        <r>
          <rPr>
            <sz val="10"/>
            <rFont val="Arial"/>
            <family val="2"/>
          </rPr>
          <t xml:space="preserve">(KPL-476</t>
        </r>
        <r>
          <rPr>
            <sz val="10"/>
            <rFont val="FreeSans"/>
            <family val="2"/>
          </rPr>
          <t xml:space="preserve">، </t>
        </r>
        <r>
          <rPr>
            <sz val="10"/>
            <rFont val="Arial"/>
            <family val="2"/>
          </rPr>
          <t xml:space="preserve">TOTAL (2) </t>
        </r>
        <r>
          <rPr>
            <sz val="10"/>
            <rFont val="FreeSans"/>
            <family val="2"/>
          </rPr>
          <t xml:space="preserve">سلول </t>
        </r>
        <r>
          <rPr>
            <sz val="10"/>
            <rFont val="Arial"/>
            <family val="2"/>
          </rPr>
          <t xml:space="preserve">A20 </t>
        </r>
        <r>
          <rPr>
            <sz val="10"/>
            <rFont val="FreeSans"/>
            <family val="2"/>
          </rPr>
          <t xml:space="preserve">با ضریب ×۱٫۲۷</t>
        </r>
        <r>
          <rPr>
            <sz val="10"/>
            <rFont val="Arial"/>
            <family val="2"/>
          </rPr>
          <t xml:space="preserve">): </t>
        </r>
        <r>
          <rPr>
            <sz val="10"/>
            <rFont val="FreeSans"/>
            <family val="2"/>
          </rPr>
          <t xml:space="preserve">هزینه بانکی ۲٪، بیمه ۰٫۵٪، بازرسی و حمل ۲٫۵٪، هزینه‌های دفتری ۰٫۵٪، سود پیمانکار ۱۰٪، عدم قطعیت طراحی پایه ۱۰٪. نصب و مالیات هم شامل نیست</t>
        </r>
        <r>
          <rPr>
            <sz val="10"/>
            <rFont val="Arial"/>
            <family val="2"/>
          </rPr>
          <t xml:space="preserve">.</t>
        </r>
      </text>
    </comment>
    <comment ref="AF93" authorId="0">
      <text>
        <r>
          <rPr>
            <sz val="10"/>
            <rFont val="FreeSans"/>
            <family val="2"/>
          </rPr>
          <t xml:space="preserve">شرط تحویل</t>
        </r>
        <r>
          <rPr>
            <sz val="10"/>
            <rFont val="Arial"/>
            <family val="2"/>
          </rPr>
          <t xml:space="preserve">: EXW (</t>
        </r>
        <r>
          <rPr>
            <sz val="10"/>
            <rFont val="FreeSans"/>
            <family val="2"/>
          </rPr>
          <t xml:space="preserve">استنباطی؛ خرید داخلی ریالی</t>
        </r>
        <r>
          <rPr>
            <sz val="10"/>
            <rFont val="Arial"/>
            <family val="2"/>
          </rPr>
          <t xml:space="preserve">).
</t>
        </r>
        <r>
          <rPr>
            <sz val="10"/>
            <rFont val="FreeSans"/>
            <family val="2"/>
          </rPr>
          <t xml:space="preserve">این قیمت شامل: قیمت فروشنده داخلی</t>
        </r>
        <r>
          <rPr>
            <sz val="10"/>
            <rFont val="Arial"/>
            <family val="2"/>
          </rPr>
          <t xml:space="preserve">.
</t>
        </r>
        <r>
          <rPr>
            <sz val="10"/>
            <rFont val="FreeSans"/>
            <family val="2"/>
          </rPr>
          <t xml:space="preserve">این قیمت شامل نیست </t>
        </r>
        <r>
          <rPr>
            <sz val="10"/>
            <rFont val="Arial"/>
            <family val="2"/>
          </rPr>
          <t xml:space="preserve">(KPL-476</t>
        </r>
        <r>
          <rPr>
            <sz val="10"/>
            <rFont val="FreeSans"/>
            <family val="2"/>
          </rPr>
          <t xml:space="preserve">، </t>
        </r>
        <r>
          <rPr>
            <sz val="10"/>
            <rFont val="Arial"/>
            <family val="2"/>
          </rPr>
          <t xml:space="preserve">TOTAL (2) </t>
        </r>
        <r>
          <rPr>
            <sz val="10"/>
            <rFont val="FreeSans"/>
            <family val="2"/>
          </rPr>
          <t xml:space="preserve">سلول </t>
        </r>
        <r>
          <rPr>
            <sz val="10"/>
            <rFont val="Arial"/>
            <family val="2"/>
          </rPr>
          <t xml:space="preserve">A20 </t>
        </r>
        <r>
          <rPr>
            <sz val="10"/>
            <rFont val="FreeSans"/>
            <family val="2"/>
          </rPr>
          <t xml:space="preserve">با ضریب ×۱٫۲۷</t>
        </r>
        <r>
          <rPr>
            <sz val="10"/>
            <rFont val="Arial"/>
            <family val="2"/>
          </rPr>
          <t xml:space="preserve">): </t>
        </r>
        <r>
          <rPr>
            <sz val="10"/>
            <rFont val="FreeSans"/>
            <family val="2"/>
          </rPr>
          <t xml:space="preserve">هزینه بانکی ۲٪، بیمه ۰٫۵٪، بازرسی و حمل ۲٫۵٪، هزینه‌های دفتری ۰٫۵٪، سود پیمانکار ۱۰٪، عدم قطعیت طراحی پایه ۱۰٪. نصب و مالیات هم شامل نیست</t>
        </r>
        <r>
          <rPr>
            <sz val="10"/>
            <rFont val="Arial"/>
            <family val="2"/>
          </rPr>
          <t xml:space="preserve">.</t>
        </r>
      </text>
    </comment>
    <comment ref="AF94"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95" authorId="0">
      <text>
        <r>
          <rPr>
            <sz val="10"/>
            <rFont val="FreeSans"/>
            <family val="2"/>
          </rPr>
          <t xml:space="preserve">شرط تحویل</t>
        </r>
        <r>
          <rPr>
            <sz val="10"/>
            <rFont val="Arial"/>
            <family val="2"/>
          </rPr>
          <t xml:space="preserve">: FOB (</t>
        </r>
        <r>
          <rPr>
            <sz val="10"/>
            <rFont val="FreeSans"/>
            <family val="2"/>
          </rPr>
          <t xml:space="preserve">استنباطی</t>
        </r>
        <r>
          <rPr>
            <sz val="10"/>
            <rFont val="Arial"/>
            <family val="2"/>
          </rPr>
          <t xml:space="preserve">).
</t>
        </r>
        <r>
          <rPr>
            <sz val="10"/>
            <rFont val="FreeSans"/>
            <family val="2"/>
          </rPr>
          <t xml:space="preserve">این قیمت شامل: قیمت فروشنده برای پمپ طبق قلم </t>
        </r>
        <r>
          <rPr>
            <sz val="10"/>
            <rFont val="Arial"/>
            <family val="2"/>
          </rPr>
          <t xml:space="preserve">MTO.
</t>
        </r>
        <r>
          <rPr>
            <sz val="10"/>
            <rFont val="FreeSans"/>
            <family val="2"/>
          </rPr>
          <t xml:space="preserve">این قیمت شامل نیست </t>
        </r>
        <r>
          <rPr>
            <sz val="10"/>
            <rFont val="Arial"/>
            <family val="2"/>
          </rPr>
          <t xml:space="preserve">(</t>
        </r>
        <r>
          <rPr>
            <sz val="10"/>
            <rFont val="FreeSans"/>
            <family val="2"/>
          </rPr>
          <t xml:space="preserve">در گزارش </t>
        </r>
        <r>
          <rPr>
            <sz val="10"/>
            <rFont val="Arial"/>
            <family val="2"/>
          </rPr>
          <t xml:space="preserve">KPL-476</t>
        </r>
        <r>
          <rPr>
            <sz val="10"/>
            <rFont val="FreeSans"/>
            <family val="2"/>
          </rPr>
          <t xml:space="preserve">، شیت TOTAL (2) سلول </t>
        </r>
        <r>
          <rPr>
            <sz val="10"/>
            <rFont val="Arial"/>
            <family val="2"/>
          </rPr>
          <t xml:space="preserve">A29 </t>
        </r>
        <r>
          <rPr>
            <sz val="10"/>
            <rFont val="FreeSans"/>
            <family val="2"/>
          </rPr>
          <t xml:space="preserve">جداگانه با ضریب بالاسری ×۱٫۵۸ اضافه شده</t>
        </r>
        <r>
          <rPr>
            <sz val="10"/>
            <rFont val="Arial"/>
            <family val="2"/>
          </rPr>
          <t xml:space="preserve">): </t>
        </r>
        <r>
          <rPr>
            <sz val="10"/>
            <rFont val="FreeSans"/>
            <family val="2"/>
          </rPr>
          <t xml:space="preserve">هزینه بانکی ۲٪، بیمه ۰٫۴٪، بازرسی و حمل ۳٪، ترخیص گمرکی ۲۵٪، هزینه‌های دفتری ۰٫۵٪، سود پیمانکار ۱۰٪، عدم قطعیت طراحی پایه ۱۰٪. همچنین نصب </t>
        </r>
        <r>
          <rPr>
            <sz val="10"/>
            <rFont val="Arial"/>
            <family val="2"/>
          </rPr>
          <t xml:space="preserve">(</t>
        </r>
        <r>
          <rPr>
            <sz val="10"/>
            <rFont val="FreeSans"/>
            <family val="2"/>
          </rPr>
          <t xml:space="preserve">شیت‌های </t>
        </r>
        <r>
          <rPr>
            <sz val="10"/>
            <rFont val="Arial"/>
            <family val="2"/>
          </rPr>
          <t xml:space="preserve">INS) </t>
        </r>
        <r>
          <rPr>
            <sz val="10"/>
            <rFont val="FreeSans"/>
            <family val="2"/>
          </rPr>
          <t xml:space="preserve">و مالیات بر ارزش افزوده در این قیمت نیست</t>
        </r>
        <r>
          <rPr>
            <sz val="10"/>
            <rFont val="Arial"/>
            <family val="2"/>
          </rPr>
          <t xml:space="preserve">.</t>
        </r>
      </text>
    </comment>
    <comment ref="AF96" authorId="0">
      <text>
        <r>
          <rPr>
            <sz val="10"/>
            <rFont val="FreeSans"/>
            <family val="2"/>
          </rPr>
          <t xml:space="preserve">شرط تحویل</t>
        </r>
        <r>
          <rPr>
            <sz val="10"/>
            <rFont val="Arial"/>
            <family val="2"/>
          </rPr>
          <t xml:space="preserve">: EXW (</t>
        </r>
        <r>
          <rPr>
            <sz val="10"/>
            <rFont val="FreeSans"/>
            <family val="2"/>
          </rPr>
          <t xml:space="preserve">استنباطی؛ خرید داخلی ریالی</t>
        </r>
        <r>
          <rPr>
            <sz val="10"/>
            <rFont val="Arial"/>
            <family val="2"/>
          </rPr>
          <t xml:space="preserve">).
</t>
        </r>
        <r>
          <rPr>
            <sz val="10"/>
            <rFont val="FreeSans"/>
            <family val="2"/>
          </rPr>
          <t xml:space="preserve">این قیمت شامل: قیمت فروشنده داخلی</t>
        </r>
        <r>
          <rPr>
            <sz val="10"/>
            <rFont val="Arial"/>
            <family val="2"/>
          </rPr>
          <t xml:space="preserve">.
</t>
        </r>
        <r>
          <rPr>
            <sz val="10"/>
            <rFont val="FreeSans"/>
            <family val="2"/>
          </rPr>
          <t xml:space="preserve">این قیمت شامل نیست </t>
        </r>
        <r>
          <rPr>
            <sz val="10"/>
            <rFont val="Arial"/>
            <family val="2"/>
          </rPr>
          <t xml:space="preserve">(KPL-476</t>
        </r>
        <r>
          <rPr>
            <sz val="10"/>
            <rFont val="FreeSans"/>
            <family val="2"/>
          </rPr>
          <t xml:space="preserve">، </t>
        </r>
        <r>
          <rPr>
            <sz val="10"/>
            <rFont val="Arial"/>
            <family val="2"/>
          </rPr>
          <t xml:space="preserve">TOTAL (2) </t>
        </r>
        <r>
          <rPr>
            <sz val="10"/>
            <rFont val="FreeSans"/>
            <family val="2"/>
          </rPr>
          <t xml:space="preserve">سلول </t>
        </r>
        <r>
          <rPr>
            <sz val="10"/>
            <rFont val="Arial"/>
            <family val="2"/>
          </rPr>
          <t xml:space="preserve">A20 </t>
        </r>
        <r>
          <rPr>
            <sz val="10"/>
            <rFont val="FreeSans"/>
            <family val="2"/>
          </rPr>
          <t xml:space="preserve">با ضریب ×۱٫۲۷</t>
        </r>
        <r>
          <rPr>
            <sz val="10"/>
            <rFont val="Arial"/>
            <family val="2"/>
          </rPr>
          <t xml:space="preserve">): </t>
        </r>
        <r>
          <rPr>
            <sz val="10"/>
            <rFont val="FreeSans"/>
            <family val="2"/>
          </rPr>
          <t xml:space="preserve">هزینه بانکی ۲٪، بیمه ۰٫۵٪، بازرسی و حمل ۲٫۵٪، هزینه‌های دفتری ۰٫۵٪، سود پیمانکار ۱۰٪، عدم قطعیت طراحی پایه ۱۰٪. نصب و مالیات هم شامل نیست</t>
        </r>
        <r>
          <rPr>
            <sz val="10"/>
            <rFont val="Arial"/>
            <family val="2"/>
          </rPr>
          <t xml:space="preserve">.</t>
        </r>
      </text>
    </comment>
    <comment ref="AF97" authorId="0">
      <text>
        <r>
          <rPr>
            <sz val="10"/>
            <rFont val="FreeSans"/>
            <family val="2"/>
          </rPr>
          <t xml:space="preserve">شرط تحویل</t>
        </r>
        <r>
          <rPr>
            <sz val="10"/>
            <rFont val="Arial"/>
            <family val="2"/>
          </rPr>
          <t xml:space="preserve">: EXW (</t>
        </r>
        <r>
          <rPr>
            <sz val="10"/>
            <rFont val="FreeSans"/>
            <family val="2"/>
          </rPr>
          <t xml:space="preserve">استنباطی؛ خرید داخلی ریالی</t>
        </r>
        <r>
          <rPr>
            <sz val="10"/>
            <rFont val="Arial"/>
            <family val="2"/>
          </rPr>
          <t xml:space="preserve">).
</t>
        </r>
        <r>
          <rPr>
            <sz val="10"/>
            <rFont val="FreeSans"/>
            <family val="2"/>
          </rPr>
          <t xml:space="preserve">این قیمت شامل: قیمت فروشنده داخلی</t>
        </r>
        <r>
          <rPr>
            <sz val="10"/>
            <rFont val="Arial"/>
            <family val="2"/>
          </rPr>
          <t xml:space="preserve">.
</t>
        </r>
        <r>
          <rPr>
            <sz val="10"/>
            <rFont val="FreeSans"/>
            <family val="2"/>
          </rPr>
          <t xml:space="preserve">این قیمت شامل نیست </t>
        </r>
        <r>
          <rPr>
            <sz val="10"/>
            <rFont val="Arial"/>
            <family val="2"/>
          </rPr>
          <t xml:space="preserve">(KPL-476</t>
        </r>
        <r>
          <rPr>
            <sz val="10"/>
            <rFont val="FreeSans"/>
            <family val="2"/>
          </rPr>
          <t xml:space="preserve">، </t>
        </r>
        <r>
          <rPr>
            <sz val="10"/>
            <rFont val="Arial"/>
            <family val="2"/>
          </rPr>
          <t xml:space="preserve">TOTAL (2) </t>
        </r>
        <r>
          <rPr>
            <sz val="10"/>
            <rFont val="FreeSans"/>
            <family val="2"/>
          </rPr>
          <t xml:space="preserve">سلول </t>
        </r>
        <r>
          <rPr>
            <sz val="10"/>
            <rFont val="Arial"/>
            <family val="2"/>
          </rPr>
          <t xml:space="preserve">A20 </t>
        </r>
        <r>
          <rPr>
            <sz val="10"/>
            <rFont val="FreeSans"/>
            <family val="2"/>
          </rPr>
          <t xml:space="preserve">با ضریب ×۱٫۲۷</t>
        </r>
        <r>
          <rPr>
            <sz val="10"/>
            <rFont val="Arial"/>
            <family val="2"/>
          </rPr>
          <t xml:space="preserve">): </t>
        </r>
        <r>
          <rPr>
            <sz val="10"/>
            <rFont val="FreeSans"/>
            <family val="2"/>
          </rPr>
          <t xml:space="preserve">هزینه بانکی ۲٪، بیمه ۰٫۵٪، بازرسی و حمل ۲٫۵٪، هزینه‌های دفتری ۰٫۵٪، سود پیمانکار ۱۰٪، عدم قطعیت طراحی پایه ۱۰٪. نصب و مالیات هم شامل نیست</t>
        </r>
        <r>
          <rPr>
            <sz val="10"/>
            <rFont val="Arial"/>
            <family val="2"/>
          </rPr>
          <t xml:space="preserve">.</t>
        </r>
      </text>
    </comment>
    <comment ref="AF98"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99"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0"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1"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2"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3"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4"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5"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6"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7"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8"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09"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10"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11"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12"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13"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14"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15"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16"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F7 «GOING UNIT PRICE FOB EUR 1404Q1»).
</t>
        </r>
        <r>
          <rPr>
            <sz val="10"/>
            <rFont val="FreeSans"/>
            <family val="2"/>
          </rPr>
          <t xml:space="preserve">این قیمت = میانگین پیشنهادهای فروشندگان </t>
        </r>
        <r>
          <rPr>
            <sz val="10"/>
            <rFont val="Arial"/>
            <family val="2"/>
          </rPr>
          <t xml:space="preserve">(Vendor_Quotes).
</t>
        </r>
        <r>
          <rPr>
            <sz val="10"/>
            <rFont val="FreeSans"/>
            <family val="2"/>
          </rPr>
          <t xml:space="preserve">این قیمت شامل نیست: ضریب سربار تأمین کالا ×۱٫۱۸ و مالیات بر ارزش افزوده ۱۰٪ </t>
        </r>
        <r>
          <rPr>
            <sz val="10"/>
            <rFont val="Arial"/>
            <family val="2"/>
          </rPr>
          <t xml:space="preserve">(PUMPS G30:H31)</t>
        </r>
        <r>
          <rPr>
            <sz val="10"/>
            <rFont val="FreeSans"/>
            <family val="2"/>
          </rPr>
          <t xml:space="preserve">، حمل از بندر، بیمه، ترخیص و نصب. شمول یدکی و </t>
        </r>
        <r>
          <rPr>
            <sz val="10"/>
            <rFont val="Arial"/>
            <family val="2"/>
          </rPr>
          <t xml:space="preserve">TPI </t>
        </r>
        <r>
          <rPr>
            <sz val="10"/>
            <rFont val="FreeSans"/>
            <family val="2"/>
          </rPr>
          <t xml:space="preserve">در پیشنهادها مشخص نیست</t>
        </r>
        <r>
          <rPr>
            <sz val="10"/>
            <rFont val="Arial"/>
            <family val="2"/>
          </rPr>
          <t xml:space="preserve">.</t>
        </r>
      </text>
    </comment>
    <comment ref="AF117" authorId="0">
      <text>
        <r>
          <rPr>
            <sz val="10"/>
            <rFont val="FreeSans"/>
            <family val="2"/>
          </rPr>
          <t xml:space="preserve">شرط تحویل: در منبع ذکر نشده </t>
        </r>
        <r>
          <rPr>
            <sz val="10"/>
            <rFont val="Arial"/>
            <family val="2"/>
          </rPr>
          <t xml:space="preserve">(</t>
        </r>
        <r>
          <rPr>
            <sz val="10"/>
            <rFont val="FreeSans"/>
            <family val="2"/>
          </rPr>
          <t xml:space="preserve">قیمت ریالی </t>
        </r>
        <r>
          <rPr>
            <sz val="10"/>
            <rFont val="Arial"/>
            <family val="2"/>
          </rPr>
          <t xml:space="preserve">R02</t>
        </r>
        <r>
          <rPr>
            <sz val="10"/>
            <rFont val="FreeSans"/>
            <family val="2"/>
          </rPr>
          <t xml:space="preserve">، ستون AQ «Unit Price (Rials)»).
سربار، مالیات و نصب شامل نیست</t>
        </r>
        <r>
          <rPr>
            <sz val="10"/>
            <rFont val="Arial"/>
            <family val="2"/>
          </rPr>
          <t xml:space="preserve">.</t>
        </r>
      </text>
    </comment>
    <comment ref="AF118" authorId="0">
      <text>
        <r>
          <rPr>
            <sz val="10"/>
            <rFont val="FreeSans"/>
            <family val="2"/>
          </rPr>
          <t xml:space="preserve">شرط تحویل: در منبع ذکر نشده </t>
        </r>
        <r>
          <rPr>
            <sz val="10"/>
            <rFont val="Arial"/>
            <family val="2"/>
          </rPr>
          <t xml:space="preserve">(</t>
        </r>
        <r>
          <rPr>
            <sz val="10"/>
            <rFont val="FreeSans"/>
            <family val="2"/>
          </rPr>
          <t xml:space="preserve">قیمت ریالی </t>
        </r>
        <r>
          <rPr>
            <sz val="10"/>
            <rFont val="Arial"/>
            <family val="2"/>
          </rPr>
          <t xml:space="preserve">R02</t>
        </r>
        <r>
          <rPr>
            <sz val="10"/>
            <rFont val="FreeSans"/>
            <family val="2"/>
          </rPr>
          <t xml:space="preserve">، ستون AQ «Unit Price (Rials)»).
سربار، مالیات و نصب شامل نیست</t>
        </r>
        <r>
          <rPr>
            <sz val="10"/>
            <rFont val="Arial"/>
            <family val="2"/>
          </rPr>
          <t xml:space="preserve">.</t>
        </r>
      </text>
    </comment>
    <comment ref="AF119"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0"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1"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2"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3"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4"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5"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6"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7"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8"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29"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30"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31"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32" authorId="0">
      <text>
        <r>
          <rPr>
            <sz val="10"/>
            <rFont val="FreeSans"/>
            <family val="2"/>
          </rPr>
          <t xml:space="preserve">شرط تحویل و شمول هزینه‌ها در منبع </t>
        </r>
        <r>
          <rPr>
            <sz val="10"/>
            <rFont val="Arial"/>
            <family val="2"/>
          </rPr>
          <t xml:space="preserve">(</t>
        </r>
        <r>
          <rPr>
            <sz val="10"/>
            <rFont val="FreeSans"/>
            <family val="2"/>
          </rPr>
          <t xml:space="preserve">نمونه قیمتی، شیت </t>
        </r>
        <r>
          <rPr>
            <sz val="10"/>
            <rFont val="Arial"/>
            <family val="2"/>
          </rPr>
          <t xml:space="preserve">PUMPS </t>
        </r>
        <r>
          <rPr>
            <sz val="10"/>
            <rFont val="FreeSans"/>
            <family val="2"/>
          </rPr>
          <t xml:space="preserve">ستون </t>
        </r>
        <r>
          <rPr>
            <sz val="10"/>
            <rFont val="Arial"/>
            <family val="2"/>
          </rPr>
          <t xml:space="preserve">H «Price ($)») </t>
        </r>
        <r>
          <rPr>
            <sz val="10"/>
            <rFont val="FreeSans"/>
            <family val="2"/>
          </rPr>
          <t xml:space="preserve">ذکر نشده است</t>
        </r>
        <r>
          <rPr>
            <sz val="10"/>
            <rFont val="Arial"/>
            <family val="2"/>
          </rPr>
          <t xml:space="preserve">.</t>
        </r>
      </text>
    </comment>
    <comment ref="AF133"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34"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35"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36"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37"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38"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39"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0"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1"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2"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3"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4"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5"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6"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7"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8"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49"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F150" authorId="0">
      <text>
        <r>
          <rPr>
            <sz val="10"/>
            <rFont val="FreeSans"/>
            <family val="2"/>
          </rPr>
          <t xml:space="preserve">شرط تحویل</t>
        </r>
        <r>
          <rPr>
            <sz val="10"/>
            <rFont val="Arial"/>
            <family val="2"/>
          </rPr>
          <t xml:space="preserve">: FOB (</t>
        </r>
        <r>
          <rPr>
            <sz val="10"/>
            <rFont val="FreeSans"/>
            <family val="2"/>
          </rPr>
          <t xml:space="preserve">صریح؛ سرستون </t>
        </r>
        <r>
          <rPr>
            <sz val="10"/>
            <rFont val="Arial"/>
            <family val="2"/>
          </rPr>
          <t xml:space="preserve">AR7 «Unit Price 'FOB' (€)»</t>
        </r>
        <r>
          <rPr>
            <sz val="10"/>
            <rFont val="FreeSans"/>
            <family val="2"/>
          </rPr>
          <t xml:space="preserve">، نسخه R02 فوریه ۲۰۱۵ = بهمن ۱۳۹۳</t>
        </r>
        <r>
          <rPr>
            <sz val="10"/>
            <rFont val="Arial"/>
            <family val="2"/>
          </rPr>
          <t xml:space="preserve">).
</t>
        </r>
        <r>
          <rPr>
            <sz val="10"/>
            <rFont val="FreeSans"/>
            <family val="2"/>
          </rPr>
          <t xml:space="preserve">این قیمت = قیمت واحد برآوردی </t>
        </r>
        <r>
          <rPr>
            <sz val="10"/>
            <rFont val="Arial"/>
            <family val="2"/>
          </rPr>
          <t xml:space="preserve">R02 </t>
        </r>
        <r>
          <rPr>
            <sz val="10"/>
            <rFont val="FreeSans"/>
            <family val="2"/>
          </rPr>
          <t xml:space="preserve">بدون سربار؛ حمل، بیمه، ترخیص، سربار، مالیات و نصب شامل نیست</t>
        </r>
        <r>
          <rPr>
            <sz val="10"/>
            <rFont val="Arial"/>
            <family val="2"/>
          </rPr>
          <t xml:space="preserve">.</t>
        </r>
      </text>
    </comment>
    <comment ref="AG4" authorId="0">
      <text>
        <r>
          <rPr>
            <sz val="10"/>
            <rFont val="FreeSans"/>
            <family val="2"/>
          </rPr>
          <t xml:space="preserve">قیمت یورویی تعدیل‌شده به سال هدف</t>
        </r>
        <r>
          <rPr>
            <sz val="10"/>
            <rFont val="Arial"/>
            <family val="2"/>
          </rPr>
          <t xml:space="preserve">: EUR × PPI(</t>
        </r>
        <r>
          <rPr>
            <sz val="10"/>
            <rFont val="FreeSans"/>
            <family val="2"/>
          </rPr>
          <t xml:space="preserve">هدف</t>
        </r>
        <r>
          <rPr>
            <sz val="10"/>
            <rFont val="Arial"/>
            <family val="2"/>
          </rPr>
          <t xml:space="preserve">)/PPI(</t>
        </r>
        <r>
          <rPr>
            <sz val="10"/>
            <rFont val="FreeSans"/>
            <family val="2"/>
          </rPr>
          <t xml:space="preserve">پایه</t>
        </r>
        <r>
          <rPr>
            <sz val="10"/>
            <rFont val="Arial"/>
            <family val="2"/>
          </rPr>
          <t xml:space="preserve">)</t>
        </r>
        <r>
          <rPr>
            <sz val="10"/>
            <rFont val="FreeSans"/>
            <family val="2"/>
          </rPr>
          <t xml:space="preserve">، با کف ۲۵٬۰۰۰ یورو برای API 610 گریز از مرکز کلاس </t>
        </r>
        <r>
          <rPr>
            <sz val="10"/>
            <rFont val="Arial"/>
            <family val="2"/>
          </rPr>
          <t xml:space="preserve">S/D.</t>
        </r>
      </text>
    </comment>
    <comment ref="AH4" authorId="0">
      <text>
        <r>
          <rPr>
            <sz val="10"/>
            <rFont val="Arial"/>
            <family val="2"/>
          </rPr>
          <t xml:space="preserve">= </t>
        </r>
        <r>
          <rPr>
            <sz val="10"/>
            <rFont val="FreeSans"/>
            <family val="2"/>
          </rPr>
          <t xml:space="preserve">قیمت یورویی تعدیل‌شده × نرخ یورو ÷ نرخ دلار سال هدف</t>
        </r>
        <r>
          <rPr>
            <sz val="10"/>
            <rFont val="Arial"/>
            <family val="2"/>
          </rPr>
          <t xml:space="preserve">.</t>
        </r>
      </text>
    </comment>
    <comment ref="AI4" authorId="0">
      <text>
        <r>
          <rPr>
            <sz val="10"/>
            <rFont val="Arial"/>
            <family val="2"/>
          </rPr>
          <t xml:space="preserve">= </t>
        </r>
        <r>
          <rPr>
            <sz val="10"/>
            <rFont val="FreeSans"/>
            <family val="2"/>
          </rPr>
          <t xml:space="preserve">قیمت یورویی تعدیل‌شده × نرخ یوروی سال هدف</t>
        </r>
        <r>
          <rPr>
            <sz val="10"/>
            <rFont val="Arial"/>
            <family val="2"/>
          </rPr>
          <t xml:space="preserve">.</t>
        </r>
      </text>
    </comment>
    <comment ref="AJ4" authorId="0">
      <text>
        <r>
          <rPr>
            <sz val="10"/>
            <rFont val="FreeSans"/>
            <family val="2"/>
          </rPr>
          <t xml:space="preserve">سازنده یا تهیه‌کننده سند منبع</t>
        </r>
        <r>
          <rPr>
            <sz val="10"/>
            <rFont val="Arial"/>
            <family val="2"/>
          </rPr>
          <t xml:space="preserve">.</t>
        </r>
      </text>
    </comment>
    <comment ref="AK4" authorId="0">
      <text>
        <r>
          <rPr>
            <sz val="10"/>
            <rFont val="FreeSans"/>
            <family val="2"/>
          </rPr>
          <t xml:space="preserve">مرحله پروژه‌ای که سند منبع در آن تهیه شده</t>
        </r>
        <r>
          <rPr>
            <sz val="10"/>
            <rFont val="Arial"/>
            <family val="2"/>
          </rPr>
          <t xml:space="preserve">.</t>
        </r>
      </text>
    </comment>
    <comment ref="AL4" authorId="0">
      <text>
        <r>
          <rPr>
            <sz val="10"/>
            <rFont val="Arial"/>
            <family val="2"/>
          </rPr>
          <t xml:space="preserve">Scope: driver included (base = Y). Y/N/Not stated. </t>
        </r>
        <r>
          <rPr>
            <sz val="10"/>
            <rFont val="FreeSans"/>
            <family val="2"/>
          </rPr>
          <t xml:space="preserve">زرد = استنباطی</t>
        </r>
        <r>
          <rPr>
            <sz val="10"/>
            <rFont val="Arial"/>
            <family val="2"/>
          </rPr>
          <t xml:space="preserve">.</t>
        </r>
      </text>
    </comment>
    <comment ref="AM4" authorId="0">
      <text>
        <r>
          <rPr>
            <sz val="10"/>
            <rFont val="Arial"/>
            <family val="2"/>
          </rPr>
          <t xml:space="preserve">Scope: baseplate &amp; coupling (base = Y). Y/N/Not stated. </t>
        </r>
        <r>
          <rPr>
            <sz val="10"/>
            <rFont val="FreeSans"/>
            <family val="2"/>
          </rPr>
          <t xml:space="preserve">زرد = استنباطی</t>
        </r>
        <r>
          <rPr>
            <sz val="10"/>
            <rFont val="Arial"/>
            <family val="2"/>
          </rPr>
          <t xml:space="preserve">.</t>
        </r>
      </text>
    </comment>
    <comment ref="AN4" authorId="0">
      <text>
        <r>
          <rPr>
            <sz val="10"/>
            <rFont val="Arial"/>
            <family val="2"/>
          </rPr>
          <t xml:space="preserve">Scope: seal support system (base = Y). Y/N/Not stated. </t>
        </r>
        <r>
          <rPr>
            <sz val="10"/>
            <rFont val="FreeSans"/>
            <family val="2"/>
          </rPr>
          <t xml:space="preserve">زرد = استنباطی</t>
        </r>
        <r>
          <rPr>
            <sz val="10"/>
            <rFont val="Arial"/>
            <family val="2"/>
          </rPr>
          <t xml:space="preserve">.</t>
        </r>
      </text>
    </comment>
    <comment ref="AO4" authorId="0">
      <text>
        <r>
          <rPr>
            <sz val="10"/>
            <rFont val="Arial"/>
            <family val="2"/>
          </rPr>
          <t xml:space="preserve">Scope: commissioning spares (base = Y). Y/N/Not stated. </t>
        </r>
        <r>
          <rPr>
            <sz val="10"/>
            <rFont val="FreeSans"/>
            <family val="2"/>
          </rPr>
          <t xml:space="preserve">زرد = استنباطی</t>
        </r>
        <r>
          <rPr>
            <sz val="10"/>
            <rFont val="Arial"/>
            <family val="2"/>
          </rPr>
          <t xml:space="preserve">.</t>
        </r>
      </text>
    </comment>
    <comment ref="AO19"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0"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1"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2"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3"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4"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5"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6"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7"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8"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29"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0"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1"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2"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3"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4"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5"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6"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7"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8"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39"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40"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41"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42"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43"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O44"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4" authorId="0">
      <text>
        <r>
          <rPr>
            <sz val="10"/>
            <rFont val="Arial"/>
            <family val="2"/>
          </rPr>
          <t xml:space="preserve">Scope: 2-year spares (base = N). Y/N/Not stated. </t>
        </r>
        <r>
          <rPr>
            <sz val="10"/>
            <rFont val="FreeSans"/>
            <family val="2"/>
          </rPr>
          <t xml:space="preserve">زرد = استنباطی</t>
        </r>
        <r>
          <rPr>
            <sz val="10"/>
            <rFont val="Arial"/>
            <family val="2"/>
          </rPr>
          <t xml:space="preserve">.</t>
        </r>
      </text>
    </comment>
    <comment ref="AP19"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0"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1"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2"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3"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4"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5"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6"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7"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8"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29"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0"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1"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2"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3"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4"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5"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6"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7"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8"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39"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40"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41"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42"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43"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P44"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4" authorId="0">
      <text>
        <r>
          <rPr>
            <sz val="10"/>
            <rFont val="Arial"/>
            <family val="2"/>
          </rPr>
          <t xml:space="preserve">Scope: third-party inspection (base = N). Y/N/Not stated. </t>
        </r>
        <r>
          <rPr>
            <sz val="10"/>
            <rFont val="FreeSans"/>
            <family val="2"/>
          </rPr>
          <t xml:space="preserve">زرد = استنباطی</t>
        </r>
        <r>
          <rPr>
            <sz val="10"/>
            <rFont val="Arial"/>
            <family val="2"/>
          </rPr>
          <t xml:space="preserve">.</t>
        </r>
      </text>
    </comment>
    <comment ref="AQ19"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0"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1"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2"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3"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4"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5"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6"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7"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8"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29"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0"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1"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2"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3"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4"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5"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6"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7"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8"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39"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40"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41"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42"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43"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44" authorId="0">
      <text>
        <r>
          <rPr>
            <sz val="10"/>
            <rFont val="Arial"/>
            <family val="2"/>
          </rPr>
          <t xml:space="preserve">INFERRED – PEP-Rev.140205 Gachsaran 4 'Procurement' rows 49–54: spares (commissioning + 2-yr) D49, insurance D51, transport D52, TPI D53 and vendor site services D54 are separate lines on top of the P.ME unit prices; P.ME column N (</t>
        </r>
        <r>
          <rPr>
            <sz val="10"/>
            <rFont val="FreeSans"/>
            <family val="2"/>
          </rPr>
          <t xml:space="preserve">حمل</t>
        </r>
        <r>
          <rPr>
            <sz val="10"/>
            <rFont val="Arial"/>
            <family val="2"/>
          </rPr>
          <t xml:space="preserve">) carries transport per item</t>
        </r>
      </text>
    </comment>
    <comment ref="AQ45" authorId="0">
      <text>
        <r>
          <rPr>
            <sz val="10"/>
            <rFont val="Arial"/>
            <family val="2"/>
          </rPr>
          <t xml:space="preserve">INFERRED – KPL-476 R03 TOTAL (2) A29: inspection cost carried in overhead factor, not in vendor unit price</t>
        </r>
      </text>
    </comment>
    <comment ref="AQ46" authorId="0">
      <text>
        <r>
          <rPr>
            <sz val="10"/>
            <rFont val="Arial"/>
            <family val="2"/>
          </rPr>
          <t xml:space="preserve">INFERRED – KPL-476 R03 TOTAL (2) A29: inspection cost carried in overhead factor, not in vendor unit price</t>
        </r>
      </text>
    </comment>
    <comment ref="AQ47" authorId="0">
      <text>
        <r>
          <rPr>
            <sz val="10"/>
            <rFont val="Arial"/>
            <family val="2"/>
          </rPr>
          <t xml:space="preserve">INFERRED – KPL-476 R03 TOTAL (2) A29: inspection cost carried in overhead factor, not in vendor unit price</t>
        </r>
      </text>
    </comment>
    <comment ref="AQ48" authorId="0">
      <text>
        <r>
          <rPr>
            <sz val="10"/>
            <rFont val="Arial"/>
            <family val="2"/>
          </rPr>
          <t xml:space="preserve">INFERRED – KPL-476 R03 TOTAL (2) A29: inspection cost carried in overhead factor, not in vendor unit price</t>
        </r>
      </text>
    </comment>
    <comment ref="AQ49" authorId="0">
      <text>
        <r>
          <rPr>
            <sz val="10"/>
            <rFont val="Arial"/>
            <family val="2"/>
          </rPr>
          <t xml:space="preserve">INFERRED – KPL-476 R03 TOTAL (2) A29: inspection cost carried in overhead factor, not in vendor unit price</t>
        </r>
      </text>
    </comment>
    <comment ref="AQ50" authorId="0">
      <text>
        <r>
          <rPr>
            <sz val="10"/>
            <rFont val="Arial"/>
            <family val="2"/>
          </rPr>
          <t xml:space="preserve">INFERRED – KPL-476 R03 TOTAL (2) A29: inspection cost carried in overhead factor, not in vendor unit price</t>
        </r>
      </text>
    </comment>
    <comment ref="AQ51" authorId="0">
      <text>
        <r>
          <rPr>
            <sz val="10"/>
            <rFont val="Arial"/>
            <family val="2"/>
          </rPr>
          <t xml:space="preserve">INFERRED – KPL-476 R03 TOTAL (2) A29: inspection cost carried in overhead factor, not in vendor unit price</t>
        </r>
      </text>
    </comment>
    <comment ref="AQ52" authorId="0">
      <text>
        <r>
          <rPr>
            <sz val="10"/>
            <rFont val="Arial"/>
            <family val="2"/>
          </rPr>
          <t xml:space="preserve">INFERRED – KPL-476 R03 TOTAL (2) A29: inspection cost carried in overhead factor, not in vendor unit price</t>
        </r>
      </text>
    </comment>
    <comment ref="AQ53" authorId="0">
      <text>
        <r>
          <rPr>
            <sz val="10"/>
            <rFont val="Arial"/>
            <family val="2"/>
          </rPr>
          <t xml:space="preserve">INFERRED – KPL-476 R03 TOTAL (2) A29: inspection cost carried in overhead factor, not in vendor unit price</t>
        </r>
      </text>
    </comment>
    <comment ref="AQ54" authorId="0">
      <text>
        <r>
          <rPr>
            <sz val="10"/>
            <rFont val="Arial"/>
            <family val="2"/>
          </rPr>
          <t xml:space="preserve">INFERRED – KPL-476 R03 TOTAL (2) A29: inspection cost carried in overhead factor, not in vendor unit price</t>
        </r>
      </text>
    </comment>
    <comment ref="AQ55" authorId="0">
      <text>
        <r>
          <rPr>
            <sz val="10"/>
            <rFont val="Arial"/>
            <family val="2"/>
          </rPr>
          <t xml:space="preserve">INFERRED – KPL-476 R03 TOTAL (2) A29: inspection cost carried in overhead factor, not in vendor unit price</t>
        </r>
      </text>
    </comment>
    <comment ref="AQ56" authorId="0">
      <text>
        <r>
          <rPr>
            <sz val="10"/>
            <rFont val="Arial"/>
            <family val="2"/>
          </rPr>
          <t xml:space="preserve">INFERRED – KPL-476 R03 TOTAL (2) A29: inspection cost carried in overhead factor, not in vendor unit price</t>
        </r>
      </text>
    </comment>
    <comment ref="AQ63" authorId="0">
      <text>
        <r>
          <rPr>
            <sz val="10"/>
            <rFont val="Arial"/>
            <family val="2"/>
          </rPr>
          <t xml:space="preserve">INFERRED – KPL-476 R03 TOTAL (2) A29: inspection cost carried in overhead factor, not in vendor unit price</t>
        </r>
      </text>
    </comment>
    <comment ref="AQ64" authorId="0">
      <text>
        <r>
          <rPr>
            <sz val="10"/>
            <rFont val="Arial"/>
            <family val="2"/>
          </rPr>
          <t xml:space="preserve">INFERRED – KPL-476 R03 TOTAL (2) A29: inspection cost carried in overhead factor, not in vendor unit price</t>
        </r>
      </text>
    </comment>
    <comment ref="AQ65" authorId="0">
      <text>
        <r>
          <rPr>
            <sz val="10"/>
            <rFont val="Arial"/>
            <family val="2"/>
          </rPr>
          <t xml:space="preserve">INFERRED – KPL-476 R03 TOTAL (2) A29: inspection cost carried in overhead factor, not in vendor unit price</t>
        </r>
      </text>
    </comment>
    <comment ref="AQ66" authorId="0">
      <text>
        <r>
          <rPr>
            <sz val="10"/>
            <rFont val="Arial"/>
            <family val="2"/>
          </rPr>
          <t xml:space="preserve">INFERRED – KPL-476 R03 TOTAL (2) A29: inspection cost carried in overhead factor, not in vendor unit price</t>
        </r>
      </text>
    </comment>
    <comment ref="AQ67" authorId="0">
      <text>
        <r>
          <rPr>
            <sz val="10"/>
            <rFont val="Arial"/>
            <family val="2"/>
          </rPr>
          <t xml:space="preserve">INFERRED – KPL-476 R03 TOTAL (2) A29: inspection cost carried in overhead factor, not in vendor unit price</t>
        </r>
      </text>
    </comment>
    <comment ref="AQ68" authorId="0">
      <text>
        <r>
          <rPr>
            <sz val="10"/>
            <rFont val="Arial"/>
            <family val="2"/>
          </rPr>
          <t xml:space="preserve">INFERRED – KPL-476 R03 TOTAL (2) A29: inspection cost carried in overhead factor, not in vendor unit price</t>
        </r>
      </text>
    </comment>
    <comment ref="AQ69" authorId="0">
      <text>
        <r>
          <rPr>
            <sz val="10"/>
            <rFont val="Arial"/>
            <family val="2"/>
          </rPr>
          <t xml:space="preserve">INFERRED – KPL-476 R03 TOTAL (2) A29: inspection cost carried in overhead factor, not in vendor unit price</t>
        </r>
      </text>
    </comment>
    <comment ref="AQ70" authorId="0">
      <text>
        <r>
          <rPr>
            <sz val="10"/>
            <rFont val="Arial"/>
            <family val="2"/>
          </rPr>
          <t xml:space="preserve">INFERRED – KPL-476 R03 TOTAL (2) A29: inspection cost carried in overhead factor, not in vendor unit price</t>
        </r>
      </text>
    </comment>
    <comment ref="AQ71" authorId="0">
      <text>
        <r>
          <rPr>
            <sz val="10"/>
            <rFont val="Arial"/>
            <family val="2"/>
          </rPr>
          <t xml:space="preserve">INFERRED – KPL-476 R03 TOTAL (2) A29: inspection cost carried in overhead factor, not in vendor unit price</t>
        </r>
      </text>
    </comment>
    <comment ref="AQ72" authorId="0">
      <text>
        <r>
          <rPr>
            <sz val="10"/>
            <rFont val="Arial"/>
            <family val="2"/>
          </rPr>
          <t xml:space="preserve">INFERRED – KPL-476 R03 TOTAL (2) A29: inspection cost carried in overhead factor, not in vendor unit price</t>
        </r>
      </text>
    </comment>
    <comment ref="AQ73" authorId="0">
      <text>
        <r>
          <rPr>
            <sz val="10"/>
            <rFont val="Arial"/>
            <family val="2"/>
          </rPr>
          <t xml:space="preserve">INFERRED – KPL-476 R03 TOTAL (2) A29: inspection cost carried in overhead factor, not in vendor unit price</t>
        </r>
      </text>
    </comment>
    <comment ref="AQ74" authorId="0">
      <text>
        <r>
          <rPr>
            <sz val="10"/>
            <rFont val="Arial"/>
            <family val="2"/>
          </rPr>
          <t xml:space="preserve">INFERRED – KPL-476 R03 TOTAL (2) A29: inspection cost carried in overhead factor, not in vendor unit price</t>
        </r>
      </text>
    </comment>
    <comment ref="AQ75" authorId="0">
      <text>
        <r>
          <rPr>
            <sz val="10"/>
            <rFont val="Arial"/>
            <family val="2"/>
          </rPr>
          <t xml:space="preserve">INFERRED – KPL-476 R03 TOTAL (2) A29: inspection cost carried in overhead factor, not in vendor unit price</t>
        </r>
      </text>
    </comment>
    <comment ref="AQ83" authorId="0">
      <text>
        <r>
          <rPr>
            <sz val="10"/>
            <rFont val="Arial"/>
            <family val="2"/>
          </rPr>
          <t xml:space="preserve">INFERRED – KPL-476 R03 TOTAL (2) A29: inspection cost carried in overhead factor, not in vendor unit price</t>
        </r>
      </text>
    </comment>
    <comment ref="AQ84" authorId="0">
      <text>
        <r>
          <rPr>
            <sz val="10"/>
            <rFont val="Arial"/>
            <family val="2"/>
          </rPr>
          <t xml:space="preserve">INFERRED – KPL-476 R03 TOTAL (2) A29: inspection cost carried in overhead factor, not in vendor unit price</t>
        </r>
      </text>
    </comment>
    <comment ref="AQ85" authorId="0">
      <text>
        <r>
          <rPr>
            <sz val="10"/>
            <rFont val="Arial"/>
            <family val="2"/>
          </rPr>
          <t xml:space="preserve">INFERRED – KPL-476 R03 TOTAL (2) A29: inspection cost carried in overhead factor, not in vendor unit price</t>
        </r>
      </text>
    </comment>
    <comment ref="AQ86" authorId="0">
      <text>
        <r>
          <rPr>
            <sz val="10"/>
            <rFont val="Arial"/>
            <family val="2"/>
          </rPr>
          <t xml:space="preserve">INFERRED – KPL-476 R03 TOTAL (2) A29: inspection cost carried in overhead factor, not in vendor unit price</t>
        </r>
      </text>
    </comment>
    <comment ref="AQ87" authorId="0">
      <text>
        <r>
          <rPr>
            <sz val="10"/>
            <rFont val="Arial"/>
            <family val="2"/>
          </rPr>
          <t xml:space="preserve">INFERRED – KPL-476 R03 TOTAL (2) A29: inspection cost carried in overhead factor, not in vendor unit price</t>
        </r>
      </text>
    </comment>
    <comment ref="AQ88" authorId="0">
      <text>
        <r>
          <rPr>
            <sz val="10"/>
            <rFont val="Arial"/>
            <family val="2"/>
          </rPr>
          <t xml:space="preserve">INFERRED – KPL-476 R03 TOTAL (2) A29: inspection cost carried in overhead factor, not in vendor unit price</t>
        </r>
      </text>
    </comment>
    <comment ref="AQ89" authorId="0">
      <text>
        <r>
          <rPr>
            <sz val="10"/>
            <rFont val="Arial"/>
            <family val="2"/>
          </rPr>
          <t xml:space="preserve">INFERRED – KPL-476 R03 TOTAL (2) A29: inspection cost carried in overhead factor, not in vendor unit price</t>
        </r>
      </text>
    </comment>
    <comment ref="AQ90" authorId="0">
      <text>
        <r>
          <rPr>
            <sz val="10"/>
            <rFont val="Arial"/>
            <family val="2"/>
          </rPr>
          <t xml:space="preserve">INFERRED – KPL-476 R03 TOTAL (2) A29: inspection cost carried in overhead factor, not in vendor unit price</t>
        </r>
      </text>
    </comment>
    <comment ref="AQ91" authorId="0">
      <text>
        <r>
          <rPr>
            <sz val="10"/>
            <rFont val="Arial"/>
            <family val="2"/>
          </rPr>
          <t xml:space="preserve">INFERRED – KPL-476 R03 TOTAL (2) A29: inspection cost carried in overhead factor, not in vendor unit price</t>
        </r>
      </text>
    </comment>
    <comment ref="AQ92" authorId="0">
      <text>
        <r>
          <rPr>
            <sz val="10"/>
            <rFont val="Arial"/>
            <family val="2"/>
          </rPr>
          <t xml:space="preserve">INFERRED – KPL-476 R03 TOTAL (2) A20: inspection cost carried in overhead factor, not in vendor unit price</t>
        </r>
      </text>
    </comment>
    <comment ref="AQ93" authorId="0">
      <text>
        <r>
          <rPr>
            <sz val="10"/>
            <rFont val="Arial"/>
            <family val="2"/>
          </rPr>
          <t xml:space="preserve">INFERRED – KPL-476 R03 TOTAL (2) A20: inspection cost carried in overhead factor, not in vendor unit price</t>
        </r>
      </text>
    </comment>
    <comment ref="AQ94" authorId="0">
      <text>
        <r>
          <rPr>
            <sz val="10"/>
            <rFont val="Arial"/>
            <family val="2"/>
          </rPr>
          <t xml:space="preserve">INFERRED – KPL-476 R03 TOTAL (2) A29: inspection cost carried in overhead factor, not in vendor unit price</t>
        </r>
      </text>
    </comment>
    <comment ref="AQ95" authorId="0">
      <text>
        <r>
          <rPr>
            <sz val="10"/>
            <rFont val="Arial"/>
            <family val="2"/>
          </rPr>
          <t xml:space="preserve">INFERRED – KPL-476 R03 TOTAL (2) A29: inspection cost carried in overhead factor, not in vendor unit price</t>
        </r>
      </text>
    </comment>
    <comment ref="AQ96" authorId="0">
      <text>
        <r>
          <rPr>
            <sz val="10"/>
            <rFont val="Arial"/>
            <family val="2"/>
          </rPr>
          <t xml:space="preserve">INFERRED – KPL-476 R03 TOTAL (2) A20: inspection cost carried in overhead factor, not in vendor unit price</t>
        </r>
      </text>
    </comment>
    <comment ref="AQ97" authorId="0">
      <text>
        <r>
          <rPr>
            <sz val="10"/>
            <rFont val="Arial"/>
            <family val="2"/>
          </rPr>
          <t xml:space="preserve">INFERRED – KPL-476 R03 TOTAL (2) A20: inspection cost carried in overhead factor, not in vendor unit price</t>
        </r>
      </text>
    </comment>
    <comment ref="AR4" authorId="0">
      <text>
        <r>
          <rPr>
            <sz val="10"/>
            <rFont val="Arial"/>
            <family val="2"/>
          </rPr>
          <t xml:space="preserve">Scope: witnessed FAT (base = N). Y/N/Not stated. </t>
        </r>
        <r>
          <rPr>
            <sz val="10"/>
            <rFont val="FreeSans"/>
            <family val="2"/>
          </rPr>
          <t xml:space="preserve">زرد = استنباطی</t>
        </r>
        <r>
          <rPr>
            <sz val="10"/>
            <rFont val="Arial"/>
            <family val="2"/>
          </rPr>
          <t xml:space="preserve">.</t>
        </r>
      </text>
    </comment>
    <comment ref="AS4" authorId="0">
      <text>
        <r>
          <rPr>
            <sz val="10"/>
            <rFont val="FreeSans"/>
            <family val="2"/>
          </rPr>
          <t xml:space="preserve">کنترل خودکار کمبود یا تناقض داده</t>
        </r>
        <r>
          <rPr>
            <sz val="10"/>
            <rFont val="Arial"/>
            <family val="2"/>
          </rPr>
          <t xml:space="preserve">.</t>
        </r>
      </text>
    </comment>
    <comment ref="AT4" authorId="0">
      <text>
        <r>
          <rPr>
            <sz val="10"/>
            <rFont val="FreeSans"/>
            <family val="2"/>
          </rPr>
          <t xml:space="preserve">ضریب متریال از </t>
        </r>
        <r>
          <rPr>
            <sz val="10"/>
            <rFont val="Arial"/>
            <family val="2"/>
          </rPr>
          <t xml:space="preserve">Factors_ROT.</t>
        </r>
      </text>
    </comment>
    <comment ref="AU4" authorId="0">
      <text>
        <r>
          <rPr>
            <sz val="10"/>
            <rFont val="Arial"/>
            <family val="2"/>
          </rPr>
          <t xml:space="preserve">Arrangement × Category × Plan.</t>
        </r>
      </text>
    </comment>
    <comment ref="AV4" authorId="0">
      <text>
        <r>
          <rPr>
            <sz val="10"/>
            <rFont val="Arial"/>
            <family val="2"/>
          </rPr>
          <t xml:space="preserve">Driver × NACE.</t>
        </r>
      </text>
    </comment>
    <comment ref="AW4" authorId="0">
      <text>
        <r>
          <rPr>
            <sz val="10"/>
            <rFont val="FreeSans"/>
            <family val="2"/>
          </rPr>
          <t xml:space="preserve">حاصل‌ضرب ۷ ضریب </t>
        </r>
        <r>
          <rPr>
            <sz val="10"/>
            <rFont val="Arial"/>
            <family val="2"/>
          </rPr>
          <t xml:space="preserve">Scope.</t>
        </r>
      </text>
    </comment>
    <comment ref="AX4" authorId="0">
      <text>
        <r>
          <rPr>
            <sz val="10"/>
            <rFont val="Arial"/>
            <family val="2"/>
          </rPr>
          <t xml:space="preserve">MAT × SEAL × DRIVE × SCOPE.</t>
        </r>
      </text>
    </comment>
    <comment ref="AY4" authorId="0">
      <text>
        <r>
          <rPr>
            <sz val="10"/>
            <rFont val="Arial"/>
            <family val="2"/>
          </rPr>
          <t xml:space="preserve">EUR </t>
        </r>
        <r>
          <rPr>
            <sz val="10"/>
            <rFont val="FreeSans"/>
            <family val="2"/>
          </rPr>
          <t xml:space="preserve">سال منبع </t>
        </r>
        <r>
          <rPr>
            <sz val="10"/>
            <rFont val="Arial"/>
            <family val="2"/>
          </rPr>
          <t xml:space="preserve">÷ ALL_F = </t>
        </r>
        <r>
          <rPr>
            <sz val="10"/>
            <rFont val="FreeSans"/>
            <family val="2"/>
          </rPr>
          <t xml:space="preserve">قیمت معادل پیکربندی پایه</t>
        </r>
        <r>
          <rPr>
            <sz val="10"/>
            <rFont val="Arial"/>
            <family val="2"/>
          </rPr>
          <t xml:space="preserve">.</t>
        </r>
      </text>
    </comment>
    <comment ref="BB4" authorId="0">
      <text>
        <r>
          <rPr>
            <sz val="10"/>
            <rFont val="Arial"/>
            <family val="2"/>
          </rPr>
          <t xml:space="preserve">Y </t>
        </r>
        <r>
          <rPr>
            <sz val="10"/>
            <rFont val="FreeSans"/>
            <family val="2"/>
          </rPr>
          <t xml:space="preserve">اگر استاندارد </t>
        </r>
        <r>
          <rPr>
            <sz val="10"/>
            <rFont val="Arial"/>
            <family val="2"/>
          </rPr>
          <t xml:space="preserve">API 610</t>
        </r>
        <r>
          <rPr>
            <sz val="10"/>
            <rFont val="FreeSans"/>
            <family val="2"/>
          </rPr>
          <t xml:space="preserve">، پمپ گریز از مرکز و کلاس متریال S-x یا </t>
        </r>
        <r>
          <rPr>
            <sz val="10"/>
            <rFont val="Arial"/>
            <family val="2"/>
          </rPr>
          <t xml:space="preserve">D-x </t>
        </r>
        <r>
          <rPr>
            <sz val="10"/>
            <rFont val="FreeSans"/>
            <family val="2"/>
          </rPr>
          <t xml:space="preserve">باشد</t>
        </r>
        <r>
          <rPr>
            <sz val="10"/>
            <rFont val="Arial"/>
            <family val="2"/>
          </rPr>
          <t xml:space="preserve">.</t>
        </r>
      </text>
    </comment>
    <comment ref="BD4" authorId="0">
      <text>
        <r>
          <rPr>
            <sz val="10"/>
            <rFont val="FreeSans"/>
            <family val="2"/>
          </rPr>
          <t xml:space="preserve">مبنای </t>
        </r>
        <r>
          <rPr>
            <sz val="10"/>
            <rFont val="Arial"/>
            <family val="2"/>
          </rPr>
          <t xml:space="preserve">Estimator.</t>
        </r>
      </text>
    </comment>
    <comment ref="BE4" authorId="0">
      <text>
        <r>
          <rPr>
            <sz val="10"/>
            <rFont val="FreeSans"/>
            <family val="2"/>
          </rPr>
          <t xml:space="preserve">فایل، شیت و سلول منبع</t>
        </r>
        <r>
          <rPr>
            <sz val="10"/>
            <rFont val="Arial"/>
            <family val="2"/>
          </rPr>
          <t xml:space="preserve">.</t>
        </r>
      </text>
    </comment>
    <comment ref="BG4" authorId="0">
      <text>
        <r>
          <rPr>
            <sz val="10"/>
            <rFont val="Arial"/>
            <family val="2"/>
          </rPr>
          <t xml:space="preserve">N = </t>
        </r>
        <r>
          <rPr>
            <sz val="10"/>
            <rFont val="FreeSans"/>
            <family val="2"/>
          </rPr>
          <t xml:space="preserve">رکورد تکراری یا کنارگذاشته‌شده (در شمارش داشبورد و جستجو با فیلتر لحاظ نمی‌شود)</t>
        </r>
        <r>
          <rPr>
            <sz val="10"/>
            <rFont val="Arial"/>
            <family val="2"/>
          </rPr>
          <t xml:space="preserve">.</t>
        </r>
      </text>
    </comment>
    <comment ref="BH4" authorId="0">
      <text>
        <r>
          <rPr>
            <sz val="10"/>
            <rFont val="FreeSans"/>
            <family val="2"/>
          </rPr>
          <t xml:space="preserve">کد تجهیز در پایگاه‌داده مشترک اپلیکیشن </t>
        </r>
        <r>
          <rPr>
            <sz val="10"/>
            <rFont val="Arial"/>
            <family val="2"/>
          </rPr>
          <t xml:space="preserve">(PMP = Pumps). </t>
        </r>
        <r>
          <rPr>
            <sz val="10"/>
            <rFont val="FreeSans"/>
            <family val="2"/>
          </rPr>
          <t xml:space="preserve">ثابت برای همه رکوردهای این بانک</t>
        </r>
        <r>
          <rPr>
            <sz val="10"/>
            <rFont val="Arial"/>
            <family val="2"/>
          </rPr>
          <t xml:space="preserve">.</t>
        </r>
      </text>
    </comment>
    <comment ref="BI4" authorId="0">
      <text>
        <r>
          <rPr>
            <sz val="10"/>
            <rFont val="FreeSans"/>
            <family val="2"/>
          </rPr>
          <t xml:space="preserve">شناسه یکتای پایدار رکورد در اپلیکیشن </t>
        </r>
        <r>
          <rPr>
            <sz val="10"/>
            <rFont val="Arial"/>
            <family val="2"/>
          </rPr>
          <t xml:space="preserve">= PMP- + </t>
        </r>
        <r>
          <rPr>
            <sz val="10"/>
            <rFont val="FreeSans"/>
            <family val="2"/>
          </rPr>
          <t xml:space="preserve">شماره </t>
        </r>
        <r>
          <rPr>
            <sz val="10"/>
            <rFont val="Arial"/>
            <family val="2"/>
          </rPr>
          <t xml:space="preserve">Row </t>
        </r>
        <r>
          <rPr>
            <sz val="10"/>
            <rFont val="FreeSans"/>
            <family val="2"/>
          </rPr>
          <t xml:space="preserve">چهاررقمی. با جابه‌جایی ردیف یا ستون تغییر نمی‌کند</t>
        </r>
        <r>
          <rPr>
            <sz val="10"/>
            <rFont val="Arial"/>
            <family val="2"/>
          </rPr>
          <t xml:space="preserv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K6" authorId="0">
      <text>
        <r>
          <rPr>
            <sz val="10"/>
            <rFont val="Arial"/>
            <family val="2"/>
          </rPr>
          <t xml:space="preserve">INFERRED – column header F7 "GOING UNIT PRICE FOB EUR 1404Q1" (average of these quotes) → quotes taken as FOB</t>
        </r>
      </text>
    </comment>
    <comment ref="K7" authorId="0">
      <text>
        <r>
          <rPr>
            <sz val="10"/>
            <rFont val="Arial"/>
            <family val="2"/>
          </rPr>
          <t xml:space="preserve">INFERRED – column header F7 "GOING UNIT PRICE FOB EUR 1404Q1" (average of these quotes) → quotes taken as FOB</t>
        </r>
      </text>
    </comment>
    <comment ref="K10" authorId="0">
      <text>
        <r>
          <rPr>
            <sz val="10"/>
            <rFont val="Arial"/>
            <family val="2"/>
          </rPr>
          <t xml:space="preserve">INFERRED – column header F7 "GOING UNIT PRICE FOB EUR 1404Q1" (average of these quotes) → quotes taken as FOB</t>
        </r>
      </text>
    </comment>
    <comment ref="K11" authorId="0">
      <text>
        <r>
          <rPr>
            <sz val="10"/>
            <rFont val="Arial"/>
            <family val="2"/>
          </rPr>
          <t xml:space="preserve">INFERRED – column header F7 "GOING UNIT PRICE FOB EUR 1404Q1" (average of these quotes) → quotes taken as FOB</t>
        </r>
      </text>
    </comment>
    <comment ref="K14" authorId="0">
      <text>
        <r>
          <rPr>
            <sz val="10"/>
            <rFont val="Arial"/>
            <family val="2"/>
          </rPr>
          <t xml:space="preserve">INFERRED – column header F7 "GOING UNIT PRICE FOB EUR 1404Q1" (average of these quotes) → quotes taken as FOB</t>
        </r>
      </text>
    </comment>
    <comment ref="K15" authorId="0">
      <text>
        <r>
          <rPr>
            <sz val="10"/>
            <rFont val="Arial"/>
            <family val="2"/>
          </rPr>
          <t xml:space="preserve">INFERRED – column header F7 "GOING UNIT PRICE FOB EUR 1404Q1" (average of these quotes) → quotes taken as FOB</t>
        </r>
      </text>
    </comment>
    <comment ref="K18" authorId="0">
      <text>
        <r>
          <rPr>
            <sz val="10"/>
            <rFont val="Arial"/>
            <family val="2"/>
          </rPr>
          <t xml:space="preserve">INFERRED – column header F7 "GOING UNIT PRICE FOB EUR 1404Q1" (average of these quotes) → quotes taken as FOB</t>
        </r>
      </text>
    </comment>
    <comment ref="K19" authorId="0">
      <text>
        <r>
          <rPr>
            <sz val="10"/>
            <rFont val="Arial"/>
            <family val="2"/>
          </rPr>
          <t xml:space="preserve">INFERRED – column header F7 "GOING UNIT PRICE FOB EUR 1404Q1" (average of these quotes) → quotes taken as FOB</t>
        </r>
      </text>
    </comment>
    <comment ref="K22" authorId="0">
      <text>
        <r>
          <rPr>
            <sz val="10"/>
            <rFont val="Arial"/>
            <family val="2"/>
          </rPr>
          <t xml:space="preserve">INFERRED – column header F7 "GOING UNIT PRICE FOB EUR 1404Q1" (average of these quotes) → quotes taken as FOB</t>
        </r>
      </text>
    </comment>
    <comment ref="K23" authorId="0">
      <text>
        <r>
          <rPr>
            <sz val="10"/>
            <rFont val="Arial"/>
            <family val="2"/>
          </rPr>
          <t xml:space="preserve">INFERRED – column header F7 "GOING UNIT PRICE FOB EUR 1404Q1" (average of these quotes) → quotes taken as FOB</t>
        </r>
      </text>
    </comment>
    <comment ref="K26" authorId="0">
      <text>
        <r>
          <rPr>
            <sz val="10"/>
            <rFont val="Arial"/>
            <family val="2"/>
          </rPr>
          <t xml:space="preserve">INFERRED – column header F7 "GOING UNIT PRICE FOB EUR 1404Q1" (average of these quotes) → quotes taken as FOB</t>
        </r>
      </text>
    </comment>
    <comment ref="K30" authorId="0">
      <text>
        <r>
          <rPr>
            <sz val="10"/>
            <rFont val="Arial"/>
            <family val="2"/>
          </rPr>
          <t xml:space="preserve">INFERRED – column header F7 "GOING UNIT PRICE FOB EUR 1404Q1" (average of these quotes) → quotes taken as FOB</t>
        </r>
      </text>
    </comment>
    <comment ref="K31" authorId="0">
      <text>
        <r>
          <rPr>
            <sz val="10"/>
            <rFont val="Arial"/>
            <family val="2"/>
          </rPr>
          <t xml:space="preserve">INFERRED – column header F7 "GOING UNIT PRICE FOB EUR 1404Q1" (average of these quotes) → quotes taken as FOB</t>
        </r>
      </text>
    </comment>
    <comment ref="K34" authorId="0">
      <text>
        <r>
          <rPr>
            <sz val="10"/>
            <rFont val="Arial"/>
            <family val="2"/>
          </rPr>
          <t xml:space="preserve">INFERRED – column header F7 "GOING UNIT PRICE FOB EUR 1404Q1" (average of these quotes) → quotes taken as FOB</t>
        </r>
      </text>
    </comment>
    <comment ref="K35" authorId="0">
      <text>
        <r>
          <rPr>
            <sz val="10"/>
            <rFont val="Arial"/>
            <family val="2"/>
          </rPr>
          <t xml:space="preserve">INFERRED – column header F7 "GOING UNIT PRICE FOB EUR 1404Q1" (average of these quotes) → quotes taken as FOB</t>
        </r>
      </text>
    </comment>
    <comment ref="K38" authorId="0">
      <text>
        <r>
          <rPr>
            <sz val="10"/>
            <rFont val="Arial"/>
            <family val="2"/>
          </rPr>
          <t xml:space="preserve">INFERRED – column header F7 "GOING UNIT PRICE FOB EUR 1404Q1" (average of these quotes) → quotes taken as FOB</t>
        </r>
      </text>
    </comment>
    <comment ref="K39" authorId="0">
      <text>
        <r>
          <rPr>
            <sz val="10"/>
            <rFont val="Arial"/>
            <family val="2"/>
          </rPr>
          <t xml:space="preserve">INFERRED – column header F7 "GOING UNIT PRICE FOB EUR 1404Q1" (average of these quotes) → quotes taken as FOB</t>
        </r>
      </text>
    </comment>
    <comment ref="K42" authorId="0">
      <text>
        <r>
          <rPr>
            <sz val="10"/>
            <rFont val="Arial"/>
            <family val="2"/>
          </rPr>
          <t xml:space="preserve">INFERRED – column header F7 "GOING UNIT PRICE FOB EUR 1404Q1" (average of these quotes) → quotes taken as FOB</t>
        </r>
      </text>
    </comment>
    <comment ref="K43" authorId="0">
      <text>
        <r>
          <rPr>
            <sz val="10"/>
            <rFont val="Arial"/>
            <family val="2"/>
          </rPr>
          <t xml:space="preserve">INFERRED – column header F7 "GOING UNIT PRICE FOB EUR 1404Q1" (average of these quotes) → quotes taken as FOB</t>
        </r>
      </text>
    </comment>
    <comment ref="K46" authorId="0">
      <text>
        <r>
          <rPr>
            <sz val="10"/>
            <rFont val="Arial"/>
            <family val="2"/>
          </rPr>
          <t xml:space="preserve">INFERRED – column header F7 "GOING UNIT PRICE FOB EUR 1404Q1" (average of these quotes) → quotes taken as FOB</t>
        </r>
      </text>
    </comment>
    <comment ref="K47" authorId="0">
      <text>
        <r>
          <rPr>
            <sz val="10"/>
            <rFont val="Arial"/>
            <family val="2"/>
          </rPr>
          <t xml:space="preserve">INFERRED – column header F7 "GOING UNIT PRICE FOB EUR 1404Q1" (average of these quotes) → quotes taken as FOB</t>
        </r>
      </text>
    </comment>
    <comment ref="K54" authorId="0">
      <text>
        <r>
          <rPr>
            <sz val="10"/>
            <rFont val="Arial"/>
            <family val="2"/>
          </rPr>
          <t xml:space="preserve">INFERRED – column header F7 "GOING UNIT PRICE FOB EUR 1404Q1" (average of these quotes) → quotes taken as FOB</t>
        </r>
      </text>
    </comment>
    <comment ref="K55" authorId="0">
      <text>
        <r>
          <rPr>
            <sz val="10"/>
            <rFont val="Arial"/>
            <family val="2"/>
          </rPr>
          <t xml:space="preserve">INFERRED – column header F7 "GOING UNIT PRICE FOB EUR 1404Q1" (average of these quotes) → quotes taken as FOB</t>
        </r>
      </text>
    </comment>
    <comment ref="K58" authorId="0">
      <text>
        <r>
          <rPr>
            <sz val="10"/>
            <rFont val="Arial"/>
            <family val="2"/>
          </rPr>
          <t xml:space="preserve">INFERRED – column header F7 "GOING UNIT PRICE FOB EUR 1404Q1" (average of these quotes) → quotes taken as FOB</t>
        </r>
      </text>
    </comment>
    <comment ref="K59" authorId="0">
      <text>
        <r>
          <rPr>
            <sz val="10"/>
            <rFont val="Arial"/>
            <family val="2"/>
          </rPr>
          <t xml:space="preserve">INFERRED – column header F7 "GOING UNIT PRICE FOB EUR 1404Q1" (average of these quotes) → quotes taken as FOB</t>
        </r>
      </text>
    </comment>
    <comment ref="K62" authorId="0">
      <text>
        <r>
          <rPr>
            <sz val="10"/>
            <rFont val="Arial"/>
            <family val="2"/>
          </rPr>
          <t xml:space="preserve">INFERRED – column header F7 "GOING UNIT PRICE FOB EUR 1404Q1" (average of these quotes) → quotes taken as FOB</t>
        </r>
      </text>
    </comment>
    <comment ref="K63" authorId="0">
      <text>
        <r>
          <rPr>
            <sz val="10"/>
            <rFont val="Arial"/>
            <family val="2"/>
          </rPr>
          <t xml:space="preserve">INFERRED – column header F7 "GOING UNIT PRICE FOB EUR 1404Q1" (average of these quotes) → quotes taken as FOB</t>
        </r>
      </text>
    </comment>
    <comment ref="K66" authorId="0">
      <text>
        <r>
          <rPr>
            <sz val="10"/>
            <rFont val="Arial"/>
            <family val="2"/>
          </rPr>
          <t xml:space="preserve">INFERRED – column header F7 "GOING UNIT PRICE FOB EUR 1404Q1" (average of these quotes) → quotes taken as FOB</t>
        </r>
      </text>
    </comment>
    <comment ref="K67" authorId="0">
      <text>
        <r>
          <rPr>
            <sz val="10"/>
            <rFont val="Arial"/>
            <family val="2"/>
          </rPr>
          <t xml:space="preserve">INFERRED – column header F7 "GOING UNIT PRICE FOB EUR 1404Q1" (average of these quotes) → quotes taken as FOB</t>
        </r>
      </text>
    </comment>
    <comment ref="K70" authorId="0">
      <text>
        <r>
          <rPr>
            <sz val="10"/>
            <rFont val="Arial"/>
            <family val="2"/>
          </rPr>
          <t xml:space="preserve">INFERRED – column header F7 "GOING UNIT PRICE FOB EUR 1404Q1" (average of these quotes) → quotes taken as FOB</t>
        </r>
      </text>
    </comment>
    <comment ref="K71" authorId="0">
      <text>
        <r>
          <rPr>
            <sz val="10"/>
            <rFont val="Arial"/>
            <family val="2"/>
          </rPr>
          <t xml:space="preserve">INFERRED – column header F7 "GOING UNIT PRICE FOB EUR 1404Q1" (average of these quotes) → quotes taken as FOB</t>
        </r>
      </text>
    </comment>
    <comment ref="K72" authorId="0">
      <text>
        <r>
          <rPr>
            <sz val="10"/>
            <rFont val="Arial"/>
            <family val="2"/>
          </rPr>
          <t xml:space="preserve">INFERRED – column header F7 "GOING UNIT PRICE FOB EUR 1404Q1" (average of these quotes) → quotes taken as FOB</t>
        </r>
      </text>
    </comment>
    <comment ref="K74" authorId="0">
      <text>
        <r>
          <rPr>
            <sz val="10"/>
            <rFont val="Arial"/>
            <family val="2"/>
          </rPr>
          <t xml:space="preserve">INFERRED – column header F7 "GOING UNIT PRICE FOB EUR 1404Q1" (average of these quotes) → quotes taken as FOB</t>
        </r>
      </text>
    </comment>
    <comment ref="K75" authorId="0">
      <text>
        <r>
          <rPr>
            <sz val="10"/>
            <rFont val="Arial"/>
            <family val="2"/>
          </rPr>
          <t xml:space="preserve">INFERRED – column header F7 "GOING UNIT PRICE FOB EUR 1404Q1" (average of these quotes) → quotes taken as FOB</t>
        </r>
      </text>
    </comment>
    <comment ref="K76" authorId="0">
      <text>
        <r>
          <rPr>
            <sz val="10"/>
            <rFont val="Arial"/>
            <family val="2"/>
          </rPr>
          <t xml:space="preserve">INFERRED – column header F7 "GOING UNIT PRICE FOB EUR 1404Q1" (average of these quotes) → quotes taken as FOB</t>
        </r>
      </text>
    </comment>
    <comment ref="K78" authorId="0">
      <text>
        <r>
          <rPr>
            <sz val="10"/>
            <rFont val="Arial"/>
            <family val="2"/>
          </rPr>
          <t xml:space="preserve">INFERRED – column header F7 "GOING UNIT PRICE FOB EUR 1404Q1" (average of these quotes) → quotes taken as FOB</t>
        </r>
      </text>
    </comment>
    <comment ref="K79" authorId="0">
      <text>
        <r>
          <rPr>
            <sz val="10"/>
            <rFont val="Arial"/>
            <family val="2"/>
          </rPr>
          <t xml:space="preserve">INFERRED – column header F7 "GOING UNIT PRICE FOB EUR 1404Q1" (average of these quotes) → quotes taken as FOB</t>
        </r>
      </text>
    </comment>
    <comment ref="K80" authorId="0">
      <text>
        <r>
          <rPr>
            <sz val="10"/>
            <rFont val="Arial"/>
            <family val="2"/>
          </rPr>
          <t xml:space="preserve">INFERRED – column header F7 "GOING UNIT PRICE FOB EUR 1404Q1" (average of these quotes) → quotes taken as FOB</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I-1: </t>
        </r>
        <r>
          <rPr>
            <sz val="10"/>
            <rFont val="FreeSans"/>
            <family val="2"/>
          </rPr>
          <t xml:space="preserve">بدنه چدن، پروانه چدن؛ رینگ چدن؛ شفت فولاد کربنی</t>
        </r>
        <r>
          <rPr>
            <sz val="10"/>
            <rFont val="Arial"/>
            <family val="2"/>
          </rPr>
          <t xml:space="preserve">.
</t>
        </r>
        <r>
          <rPr>
            <sz val="10"/>
            <rFont val="FreeSans"/>
            <family val="2"/>
          </rPr>
          <t xml:space="preserve">کاربرد معمول: آب و سرویس غیرخورنده، دمای پایین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6" authorId="0">
      <text>
        <r>
          <rPr>
            <sz val="10"/>
            <rFont val="Arial"/>
            <family val="2"/>
          </rPr>
          <t xml:space="preserve">I-2: </t>
        </r>
        <r>
          <rPr>
            <sz val="10"/>
            <rFont val="FreeSans"/>
            <family val="2"/>
          </rPr>
          <t xml:space="preserve">بدنه چدن، پروانه برنز؛ رینگ برنز؛ شفت فولاد کربنی</t>
        </r>
        <r>
          <rPr>
            <sz val="10"/>
            <rFont val="Arial"/>
            <family val="2"/>
          </rPr>
          <t xml:space="preserve">.
</t>
        </r>
        <r>
          <rPr>
            <sz val="10"/>
            <rFont val="FreeSans"/>
            <family val="2"/>
          </rPr>
          <t xml:space="preserve">کاربرد معمول: آب، آب آتش‌نشانی و آب شیرین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7" authorId="0">
      <text>
        <r>
          <rPr>
            <sz val="10"/>
            <rFont val="Arial"/>
            <family val="2"/>
          </rPr>
          <t xml:space="preserve">S-1: </t>
        </r>
        <r>
          <rPr>
            <sz val="10"/>
            <rFont val="FreeSans"/>
            <family val="2"/>
          </rPr>
          <t xml:space="preserve">بدنه فولاد کربنی، پروانه چدن؛ رینگ چدن؛ شفت فولاد کربنی</t>
        </r>
        <r>
          <rPr>
            <sz val="10"/>
            <rFont val="Arial"/>
            <family val="2"/>
          </rPr>
          <t xml:space="preserve">.
</t>
        </r>
        <r>
          <rPr>
            <sz val="10"/>
            <rFont val="FreeSans"/>
            <family val="2"/>
          </rPr>
          <t xml:space="preserve">کاربرد معمول: هیدروکربن غیرخورنده</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8" authorId="0">
      <text>
        <r>
          <rPr>
            <sz val="10"/>
            <rFont val="Arial"/>
            <family val="2"/>
          </rPr>
          <t xml:space="preserve">S-3: </t>
        </r>
        <r>
          <rPr>
            <sz val="10"/>
            <rFont val="FreeSans"/>
            <family val="2"/>
          </rPr>
          <t xml:space="preserve">بدنه فولاد کربنی، پروانه نی‌رزیست (چدن آلیاژی نیکل‌دار)؛ رینگ نی‌رزیست؛ شفت </t>
        </r>
        <r>
          <rPr>
            <sz val="10"/>
            <rFont val="Arial"/>
            <family val="2"/>
          </rPr>
          <t xml:space="preserve">AISI 4140.
</t>
        </r>
        <r>
          <rPr>
            <sz val="10"/>
            <rFont val="FreeSans"/>
            <family val="2"/>
          </rPr>
          <t xml:space="preserve">کاربرد معمول: سرویس‌های با سایش یا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9" authorId="0">
      <text>
        <r>
          <rPr>
            <sz val="10"/>
            <rFont val="Arial"/>
            <family val="2"/>
          </rPr>
          <t xml:space="preserve">S-4: </t>
        </r>
        <r>
          <rPr>
            <sz val="10"/>
            <rFont val="FreeSans"/>
            <family val="2"/>
          </rPr>
          <t xml:space="preserve">بدنه فولاد کربنی، پروانه فولاد کربنی؛ رینگ چدن؛ شفت فولاد کربنی</t>
        </r>
        <r>
          <rPr>
            <sz val="10"/>
            <rFont val="Arial"/>
            <family val="2"/>
          </rPr>
          <t xml:space="preserve">.
</t>
        </r>
        <r>
          <rPr>
            <sz val="10"/>
            <rFont val="FreeSans"/>
            <family val="2"/>
          </rPr>
          <t xml:space="preserve">کاربرد معمول: هیدروکربن عمومی</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0" authorId="0">
      <text>
        <r>
          <rPr>
            <sz val="10"/>
            <rFont val="Arial"/>
            <family val="2"/>
          </rPr>
          <t xml:space="preserve">S-5: </t>
        </r>
        <r>
          <rPr>
            <sz val="10"/>
            <rFont val="FreeSans"/>
            <family val="2"/>
          </rPr>
          <t xml:space="preserve">بدنه فولاد کربنی، پروانه فولاد کربنی؛ رینگ کروم ۱۲٪ سخت‌شده؛ شفت </t>
        </r>
        <r>
          <rPr>
            <sz val="10"/>
            <rFont val="Arial"/>
            <family val="2"/>
          </rPr>
          <t xml:space="preserve">AISI 4140.
</t>
        </r>
        <r>
          <rPr>
            <sz val="10"/>
            <rFont val="FreeSans"/>
            <family val="2"/>
          </rPr>
          <t xml:space="preserve">کاربرد معمول: هیدروکربن عمومی و داغ</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1" authorId="0">
      <text>
        <r>
          <rPr>
            <sz val="10"/>
            <rFont val="Arial"/>
            <family val="2"/>
          </rPr>
          <t xml:space="preserve">S-6: </t>
        </r>
        <r>
          <rPr>
            <sz val="10"/>
            <rFont val="FreeSans"/>
            <family val="2"/>
          </rPr>
          <t xml:space="preserve">بدنه فولاد کربنی، پروانه کروم ۱۲٪؛ رینگ کروم ۱۲٪ سخت‌شده؛ شفت کروم ۱۲٪</t>
        </r>
        <r>
          <rPr>
            <sz val="10"/>
            <rFont val="Arial"/>
            <family val="2"/>
          </rPr>
          <t xml:space="preserve">.
</t>
        </r>
        <r>
          <rPr>
            <sz val="10"/>
            <rFont val="FreeSans"/>
            <family val="2"/>
          </rPr>
          <t xml:space="preserve">کاربرد معمول: هیدروکربن داغ، آب ترش و خوردگی ملایم</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2" authorId="0">
      <text>
        <r>
          <rPr>
            <sz val="10"/>
            <rFont val="Arial"/>
            <family val="2"/>
          </rPr>
          <t xml:space="preserve">S-8: </t>
        </r>
        <r>
          <rPr>
            <sz val="10"/>
            <rFont val="FreeSans"/>
            <family val="2"/>
          </rPr>
          <t xml:space="preserve">بدنه فولاد کربنی، پروانه فولاد ضدزنگ </t>
        </r>
        <r>
          <rPr>
            <sz val="10"/>
            <rFont val="Arial"/>
            <family val="2"/>
          </rPr>
          <t xml:space="preserve">316</t>
        </r>
        <r>
          <rPr>
            <sz val="10"/>
            <rFont val="FreeSans"/>
            <family val="2"/>
          </rPr>
          <t xml:space="preserve">؛ رینگ </t>
        </r>
        <r>
          <rPr>
            <sz val="10"/>
            <rFont val="Arial"/>
            <family val="2"/>
          </rPr>
          <t xml:space="preserve">316 با روکش سخت؛ شفت 316.
</t>
        </r>
        <r>
          <rPr>
            <sz val="10"/>
            <rFont val="FreeSans"/>
            <family val="2"/>
          </rPr>
          <t xml:space="preserve">کاربرد معمول: سرویس‌های خورنده‌تر</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3" authorId="0">
      <text>
        <r>
          <rPr>
            <sz val="10"/>
            <rFont val="Arial"/>
            <family val="2"/>
          </rPr>
          <t xml:space="preserve">S-9: </t>
        </r>
        <r>
          <rPr>
            <sz val="10"/>
            <rFont val="FreeSans"/>
            <family val="2"/>
          </rPr>
          <t xml:space="preserve">بدنه فولاد کربنی، پروانه آلیاژ نیکل‌-مس؛ رینگ نیکل‌-مس؛ شفت نیکل‌-مس</t>
        </r>
        <r>
          <rPr>
            <sz val="10"/>
            <rFont val="Arial"/>
            <family val="2"/>
          </rPr>
          <t xml:space="preserve">.
</t>
        </r>
        <r>
          <rPr>
            <sz val="10"/>
            <rFont val="FreeSans"/>
            <family val="2"/>
          </rPr>
          <t xml:space="preserve">کاربرد معمول: سرویس‌های خاص خورنده</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4" authorId="0">
      <text>
        <r>
          <rPr>
            <sz val="10"/>
            <rFont val="Arial"/>
            <family val="2"/>
          </rPr>
          <t xml:space="preserve">C-6: </t>
        </r>
        <r>
          <rPr>
            <sz val="10"/>
            <rFont val="FreeSans"/>
            <family val="2"/>
          </rPr>
          <t xml:space="preserve">بدنه کروم ۱۲٪، پروانه کروم ۱۲٪؛ رینگ کروم ۱۲٪ سخت‌شده؛ شفت کروم ۱۲٪</t>
        </r>
        <r>
          <rPr>
            <sz val="10"/>
            <rFont val="Arial"/>
            <family val="2"/>
          </rPr>
          <t xml:space="preserve">.
</t>
        </r>
        <r>
          <rPr>
            <sz val="10"/>
            <rFont val="FreeSans"/>
            <family val="2"/>
          </rPr>
          <t xml:space="preserve">کاربرد معمول: آب داغ (تغذیه بویلر) و هیدروکربن داغ</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5" authorId="0">
      <text>
        <r>
          <rPr>
            <sz val="10"/>
            <rFont val="Arial"/>
            <family val="2"/>
          </rPr>
          <t xml:space="preserve">A-7: </t>
        </r>
        <r>
          <rPr>
            <sz val="10"/>
            <rFont val="FreeSans"/>
            <family val="2"/>
          </rPr>
          <t xml:space="preserve">بدنه فولاد ضدزنگ آستنیتی، پروانه فولاد ضدزنگ آستنیتی؛ رینگ با روکش سخت؛ شفت آستنیتی</t>
        </r>
        <r>
          <rPr>
            <sz val="10"/>
            <rFont val="Arial"/>
            <family val="2"/>
          </rPr>
          <t xml:space="preserve">.
</t>
        </r>
        <r>
          <rPr>
            <sz val="10"/>
            <rFont val="FreeSans"/>
            <family val="2"/>
          </rPr>
          <t xml:space="preserve">کاربرد معمول: خوردگی بالا و دمای پایین</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6" authorId="0">
      <text>
        <r>
          <rPr>
            <sz val="10"/>
            <rFont val="Arial"/>
            <family val="2"/>
          </rPr>
          <t xml:space="preserve">A-8: </t>
        </r>
        <r>
          <rPr>
            <sz val="10"/>
            <rFont val="FreeSans"/>
            <family val="2"/>
          </rPr>
          <t xml:space="preserve">بدنه فولاد ضدزنگ </t>
        </r>
        <r>
          <rPr>
            <sz val="10"/>
            <rFont val="Arial"/>
            <family val="2"/>
          </rPr>
          <t xml:space="preserve">316</t>
        </r>
        <r>
          <rPr>
            <sz val="10"/>
            <rFont val="FreeSans"/>
            <family val="2"/>
          </rPr>
          <t xml:space="preserve">، پروانه فولاد ضدزنگ </t>
        </r>
        <r>
          <rPr>
            <sz val="10"/>
            <rFont val="Arial"/>
            <family val="2"/>
          </rPr>
          <t xml:space="preserve">316</t>
        </r>
        <r>
          <rPr>
            <sz val="10"/>
            <rFont val="FreeSans"/>
            <family val="2"/>
          </rPr>
          <t xml:space="preserve">؛ رینگ با روکش سخت؛ شفت </t>
        </r>
        <r>
          <rPr>
            <sz val="10"/>
            <rFont val="Arial"/>
            <family val="2"/>
          </rPr>
          <t xml:space="preserve">316.
</t>
        </r>
        <r>
          <rPr>
            <sz val="10"/>
            <rFont val="FreeSans"/>
            <family val="2"/>
          </rPr>
          <t xml:space="preserve">کاربرد معمول: سرویس‌های خورنده</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7" authorId="0">
      <text>
        <r>
          <rPr>
            <sz val="10"/>
            <rFont val="Arial"/>
            <family val="2"/>
          </rPr>
          <t xml:space="preserve">D-1: </t>
        </r>
        <r>
          <rPr>
            <sz val="10"/>
            <rFont val="FreeSans"/>
            <family val="2"/>
          </rPr>
          <t xml:space="preserve">بدنه داپلکس، پروانه داپلکس؛ رینگ با روکش سخت؛ شفت داپلکس</t>
        </r>
        <r>
          <rPr>
            <sz val="10"/>
            <rFont val="Arial"/>
            <family val="2"/>
          </rPr>
          <t xml:space="preserve">.
</t>
        </r>
        <r>
          <rPr>
            <sz val="10"/>
            <rFont val="FreeSans"/>
            <family val="2"/>
          </rPr>
          <t xml:space="preserve">کاربرد معمول: آب شور و آب تولیدی دارای کلراید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8" authorId="0">
      <text>
        <r>
          <rPr>
            <sz val="10"/>
            <rFont val="Arial"/>
            <family val="2"/>
          </rPr>
          <t xml:space="preserve">D-2: </t>
        </r>
        <r>
          <rPr>
            <sz val="10"/>
            <rFont val="FreeSans"/>
            <family val="2"/>
          </rPr>
          <t xml:space="preserve">بدنه سوپرداپلکس، پروانه سوپرداپلکس؛ رینگ با روکش سخت؛ شفت سوپرداپلکس</t>
        </r>
        <r>
          <rPr>
            <sz val="10"/>
            <rFont val="Arial"/>
            <family val="2"/>
          </rPr>
          <t xml:space="preserve">.
</t>
        </r>
        <r>
          <rPr>
            <sz val="10"/>
            <rFont val="FreeSans"/>
            <family val="2"/>
          </rPr>
          <t xml:space="preserve">کاربرد معمول: آب شور و تولیدی با کلراید بالا و خوردگی شدید</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19" authorId="0">
      <text>
        <r>
          <rPr>
            <sz val="10"/>
            <rFont val="Arial"/>
            <family val="2"/>
          </rPr>
          <t xml:space="preserve">SS316L (non-API): </t>
        </r>
        <r>
          <rPr>
            <sz val="10"/>
            <rFont val="FreeSans"/>
            <family val="2"/>
          </rPr>
          <t xml:space="preserve">بدنه فولاد ضدزنگ </t>
        </r>
        <r>
          <rPr>
            <sz val="10"/>
            <rFont val="Arial"/>
            <family val="2"/>
          </rPr>
          <t xml:space="preserve">316L</t>
        </r>
        <r>
          <rPr>
            <sz val="10"/>
            <rFont val="FreeSans"/>
            <family val="2"/>
          </rPr>
          <t xml:space="preserve">، پروانه فولاد ضدزنگ </t>
        </r>
        <r>
          <rPr>
            <sz val="10"/>
            <rFont val="Arial"/>
            <family val="2"/>
          </rPr>
          <t xml:space="preserve">316L</t>
        </r>
        <r>
          <rPr>
            <sz val="10"/>
            <rFont val="FreeSans"/>
            <family val="2"/>
          </rPr>
          <t xml:space="preserve">؛ —</t>
        </r>
        <r>
          <rPr>
            <sz val="10"/>
            <rFont val="Arial"/>
            <family val="2"/>
          </rPr>
          <t xml:space="preserve">.
</t>
        </r>
        <r>
          <rPr>
            <sz val="10"/>
            <rFont val="FreeSans"/>
            <family val="2"/>
          </rPr>
          <t xml:space="preserve">کاربرد معمول: ساخت غیر </t>
        </r>
        <r>
          <rPr>
            <sz val="10"/>
            <rFont val="Arial"/>
            <family val="2"/>
          </rPr>
          <t xml:space="preserve">API (</t>
        </r>
        <r>
          <rPr>
            <sz val="10"/>
            <rFont val="FreeSans"/>
            <family val="2"/>
          </rPr>
          <t xml:space="preserve">مثلاً پمپ بشکه‌ای پرتابل</t>
        </r>
        <r>
          <rPr>
            <sz val="10"/>
            <rFont val="Arial"/>
            <family val="2"/>
          </rPr>
          <t xml:space="preserve">).
(</t>
        </r>
        <r>
          <rPr>
            <sz val="10"/>
            <rFont val="FreeSans"/>
            <family val="2"/>
          </rPr>
          <t xml:space="preserve">خلاصه جدول </t>
        </r>
        <r>
          <rPr>
            <sz val="10"/>
            <rFont val="Arial"/>
            <family val="2"/>
          </rPr>
          <t xml:space="preserve">H.1 </t>
        </r>
        <r>
          <rPr>
            <sz val="10"/>
            <rFont val="FreeSans"/>
            <family val="2"/>
          </rPr>
          <t xml:space="preserve">استاندارد </t>
        </r>
        <r>
          <rPr>
            <sz val="10"/>
            <rFont val="Arial"/>
            <family val="2"/>
          </rPr>
          <t xml:space="preserve">API 610</t>
        </r>
        <r>
          <rPr>
            <sz val="10"/>
            <rFont val="FreeSans"/>
            <family val="2"/>
          </rPr>
          <t xml:space="preserve">؛ انتخاب نهایی طبق </t>
        </r>
        <r>
          <rPr>
            <sz val="10"/>
            <rFont val="Arial"/>
            <family val="2"/>
          </rPr>
          <t xml:space="preserve">Annex H/G)</t>
        </r>
      </text>
    </comment>
    <comment ref="C20" authorId="0">
      <text>
        <r>
          <rPr>
            <sz val="10"/>
            <rFont val="FreeSans"/>
            <family val="2"/>
          </rPr>
          <t xml:space="preserve">کلاس متریال در منبع ذکر نشده است</t>
        </r>
        <r>
          <rPr>
            <sz val="10"/>
            <rFont val="Arial"/>
            <family val="2"/>
          </rPr>
          <t xml:space="preserve">.</t>
        </r>
      </text>
    </comment>
    <comment ref="C21" authorId="0">
      <text>
        <r>
          <rPr>
            <sz val="10"/>
            <rFont val="FreeSans"/>
            <family val="2"/>
          </rPr>
          <t xml:space="preserve">آب‌بندی با گلند پکینگ؛ ارزان‌ترین، با نشتی کنترل‌شده</t>
        </r>
      </text>
    </comment>
    <comment ref="C22" authorId="0">
      <text>
        <r>
          <rPr>
            <sz val="10"/>
            <rFont val="Arial"/>
            <family val="2"/>
          </rPr>
          <t xml:space="preserve">API 682 Arrangement 1: </t>
        </r>
        <r>
          <rPr>
            <sz val="10"/>
            <rFont val="FreeSans"/>
            <family val="2"/>
          </rPr>
          <t xml:space="preserve">یک آب‌بند مکانیکی تکی (پایه)</t>
        </r>
      </text>
    </comment>
    <comment ref="C23" authorId="0">
      <text>
        <r>
          <rPr>
            <sz val="10"/>
            <rFont val="Arial"/>
            <family val="2"/>
          </rPr>
          <t xml:space="preserve">API 682 Arrangement 2: </t>
        </r>
        <r>
          <rPr>
            <sz val="10"/>
            <rFont val="FreeSans"/>
            <family val="2"/>
          </rPr>
          <t xml:space="preserve">آب‌بند دوبل با سیال </t>
        </r>
        <r>
          <rPr>
            <sz val="10"/>
            <rFont val="Arial"/>
            <family val="2"/>
          </rPr>
          <t xml:space="preserve">Buffer </t>
        </r>
        <r>
          <rPr>
            <sz val="10"/>
            <rFont val="FreeSans"/>
            <family val="2"/>
          </rPr>
          <t xml:space="preserve">بدون فشار </t>
        </r>
        <r>
          <rPr>
            <sz val="10"/>
            <rFont val="Arial"/>
            <family val="2"/>
          </rPr>
          <t xml:space="preserve">(Plan 52)</t>
        </r>
      </text>
    </comment>
    <comment ref="C24" authorId="0">
      <text>
        <r>
          <rPr>
            <sz val="10"/>
            <rFont val="Arial"/>
            <family val="2"/>
          </rPr>
          <t xml:space="preserve">API 682 Arrangement 3: </t>
        </r>
        <r>
          <rPr>
            <sz val="10"/>
            <rFont val="FreeSans"/>
            <family val="2"/>
          </rPr>
          <t xml:space="preserve">آب‌بند دوبل با سیال </t>
        </r>
        <r>
          <rPr>
            <sz val="10"/>
            <rFont val="Arial"/>
            <family val="2"/>
          </rPr>
          <t xml:space="preserve">Barrier </t>
        </r>
        <r>
          <rPr>
            <sz val="10"/>
            <rFont val="FreeSans"/>
            <family val="2"/>
          </rPr>
          <t xml:space="preserve">تحت فشار </t>
        </r>
        <r>
          <rPr>
            <sz val="10"/>
            <rFont val="Arial"/>
            <family val="2"/>
          </rPr>
          <t xml:space="preserve">(Plan 53A/B/C </t>
        </r>
        <r>
          <rPr>
            <sz val="10"/>
            <rFont val="FreeSans"/>
            <family val="2"/>
          </rPr>
          <t xml:space="preserve">یا </t>
        </r>
        <r>
          <rPr>
            <sz val="10"/>
            <rFont val="Arial"/>
            <family val="2"/>
          </rPr>
          <t xml:space="preserve">54)</t>
        </r>
        <r>
          <rPr>
            <sz val="10"/>
            <rFont val="FreeSans"/>
            <family val="2"/>
          </rPr>
          <t xml:space="preserve">؛ برای سیال سمی یا ترش</t>
        </r>
      </text>
    </comment>
    <comment ref="C25" authorId="0">
      <text>
        <r>
          <rPr>
            <sz val="10"/>
            <rFont val="FreeSans"/>
            <family val="2"/>
          </rPr>
          <t xml:space="preserve">پمپ بدون آب‌بند با کوپلینگ مغناطیسی</t>
        </r>
      </text>
    </comment>
    <comment ref="C26" authorId="0">
      <text>
        <r>
          <rPr>
            <sz val="10"/>
            <rFont val="FreeSans"/>
            <family val="2"/>
          </rPr>
          <t xml:space="preserve">پمپ بدون آب‌بند با موتور کنسروی </t>
        </r>
        <r>
          <rPr>
            <sz val="10"/>
            <rFont val="Arial"/>
            <family val="2"/>
          </rPr>
          <t xml:space="preserve">(Canned)</t>
        </r>
      </text>
    </comment>
    <comment ref="C27" authorId="0">
      <text>
        <r>
          <rPr>
            <sz val="10"/>
            <rFont val="FreeSans"/>
            <family val="2"/>
          </rPr>
          <t xml:space="preserve">ذکر نشده یا کاربرد ندارد؛ ضریب خنثی (۱</t>
        </r>
        <r>
          <rPr>
            <sz val="10"/>
            <rFont val="Arial"/>
            <family val="2"/>
          </rPr>
          <t xml:space="preserve">)</t>
        </r>
      </text>
    </comment>
    <comment ref="C28" authorId="0">
      <text>
        <r>
          <rPr>
            <sz val="10"/>
            <rFont val="Arial"/>
            <family val="2"/>
          </rPr>
          <t xml:space="preserve">API 682 Category 1: </t>
        </r>
        <r>
          <rPr>
            <sz val="10"/>
            <rFont val="FreeSans"/>
            <family val="2"/>
          </rPr>
          <t xml:space="preserve">آب‌بند سبک برای پمپ‌های غیر </t>
        </r>
        <r>
          <rPr>
            <sz val="10"/>
            <rFont val="Arial"/>
            <family val="2"/>
          </rPr>
          <t xml:space="preserve">API 610 (ISO)</t>
        </r>
      </text>
    </comment>
    <comment ref="C29" authorId="0">
      <text>
        <r>
          <rPr>
            <sz val="10"/>
            <rFont val="Arial"/>
            <family val="2"/>
          </rPr>
          <t xml:space="preserve">API 682 Category 2: </t>
        </r>
        <r>
          <rPr>
            <sz val="10"/>
            <rFont val="FreeSans"/>
            <family val="2"/>
          </rPr>
          <t xml:space="preserve">آب‌بند استاندارد پمپ‌های </t>
        </r>
        <r>
          <rPr>
            <sz val="10"/>
            <rFont val="Arial"/>
            <family val="2"/>
          </rPr>
          <t xml:space="preserve">API 610 (</t>
        </r>
        <r>
          <rPr>
            <sz val="10"/>
            <rFont val="FreeSans"/>
            <family val="2"/>
          </rPr>
          <t xml:space="preserve">پایه</t>
        </r>
        <r>
          <rPr>
            <sz val="10"/>
            <rFont val="Arial"/>
            <family val="2"/>
          </rPr>
          <t xml:space="preserve">)</t>
        </r>
      </text>
    </comment>
    <comment ref="C30" authorId="0">
      <text>
        <r>
          <rPr>
            <sz val="10"/>
            <rFont val="Arial"/>
            <family val="2"/>
          </rPr>
          <t xml:space="preserve">API 682 Category 3: </t>
        </r>
        <r>
          <rPr>
            <sz val="10"/>
            <rFont val="FreeSans"/>
            <family val="2"/>
          </rPr>
          <t xml:space="preserve">سنگین‌ترین، با آزمون تأیید کامل</t>
        </r>
      </text>
    </comment>
    <comment ref="C31" authorId="0">
      <text>
        <r>
          <rPr>
            <sz val="10"/>
            <rFont val="FreeSans"/>
            <family val="2"/>
          </rPr>
          <t xml:space="preserve">ذکر نشده یا کاربرد ندارد؛ ضریب خنثی (۱</t>
        </r>
        <r>
          <rPr>
            <sz val="10"/>
            <rFont val="Arial"/>
            <family val="2"/>
          </rPr>
          <t xml:space="preserve">)</t>
        </r>
      </text>
    </comment>
    <comment ref="C32" authorId="0">
      <text>
        <r>
          <rPr>
            <sz val="10"/>
            <rFont val="FreeSans"/>
            <family val="2"/>
          </rPr>
          <t xml:space="preserve">ذکر نشده یا کاربرد ندارد؛ ضریب خنثی (۱</t>
        </r>
        <r>
          <rPr>
            <sz val="10"/>
            <rFont val="Arial"/>
            <family val="2"/>
          </rPr>
          <t xml:space="preserve">)</t>
        </r>
      </text>
    </comment>
    <comment ref="C33" authorId="0">
      <text>
        <r>
          <rPr>
            <sz val="10"/>
            <rFont val="Arial"/>
            <family val="2"/>
          </rPr>
          <t xml:space="preserve">API 682 Plan 01: </t>
        </r>
        <r>
          <rPr>
            <sz val="10"/>
            <rFont val="FreeSans"/>
            <family val="2"/>
          </rPr>
          <t xml:space="preserve">گردش داخلی از رانش به محفظه آب‌بند</t>
        </r>
      </text>
    </comment>
    <comment ref="C34" authorId="0">
      <text>
        <r>
          <rPr>
            <sz val="10"/>
            <rFont val="Arial"/>
            <family val="2"/>
          </rPr>
          <t xml:space="preserve">API 682 Plan 02: </t>
        </r>
        <r>
          <rPr>
            <sz val="10"/>
            <rFont val="FreeSans"/>
            <family val="2"/>
          </rPr>
          <t xml:space="preserve">محفظه بسته بدون گردش</t>
        </r>
      </text>
    </comment>
    <comment ref="C35" authorId="0">
      <text>
        <r>
          <rPr>
            <sz val="10"/>
            <rFont val="Arial"/>
            <family val="2"/>
          </rPr>
          <t xml:space="preserve">API 682 Plan 11: </t>
        </r>
        <r>
          <rPr>
            <sz val="10"/>
            <rFont val="FreeSans"/>
            <family val="2"/>
          </rPr>
          <t xml:space="preserve">برگشت از رانش پمپ به آب‌بند (پایه)</t>
        </r>
      </text>
    </comment>
    <comment ref="C36" authorId="0">
      <text>
        <r>
          <rPr>
            <sz val="10"/>
            <rFont val="Arial"/>
            <family val="2"/>
          </rPr>
          <t xml:space="preserve">API 682 Plan 13: </t>
        </r>
        <r>
          <rPr>
            <sz val="10"/>
            <rFont val="FreeSans"/>
            <family val="2"/>
          </rPr>
          <t xml:space="preserve">گردش از محفظه آب‌بند به مکش</t>
        </r>
      </text>
    </comment>
    <comment ref="C37" authorId="0">
      <text>
        <r>
          <rPr>
            <sz val="10"/>
            <rFont val="Arial"/>
            <family val="2"/>
          </rPr>
          <t xml:space="preserve">API 682 Plan 14: </t>
        </r>
        <r>
          <rPr>
            <sz val="10"/>
            <rFont val="FreeSans"/>
            <family val="2"/>
          </rPr>
          <t xml:space="preserve">ترکیب </t>
        </r>
        <r>
          <rPr>
            <sz val="10"/>
            <rFont val="Arial"/>
            <family val="2"/>
          </rPr>
          <t xml:space="preserve">Plan 11 </t>
        </r>
        <r>
          <rPr>
            <sz val="10"/>
            <rFont val="FreeSans"/>
            <family val="2"/>
          </rPr>
          <t xml:space="preserve">و </t>
        </r>
        <r>
          <rPr>
            <sz val="10"/>
            <rFont val="Arial"/>
            <family val="2"/>
          </rPr>
          <t xml:space="preserve">13</t>
        </r>
      </text>
    </comment>
    <comment ref="C38" authorId="0">
      <text>
        <r>
          <rPr>
            <sz val="10"/>
            <rFont val="Arial"/>
            <family val="2"/>
          </rPr>
          <t xml:space="preserve">API 682 Plan 21: Plan 11 </t>
        </r>
        <r>
          <rPr>
            <sz val="10"/>
            <rFont val="FreeSans"/>
            <family val="2"/>
          </rPr>
          <t xml:space="preserve">با کولر</t>
        </r>
      </text>
    </comment>
    <comment ref="C39" authorId="0">
      <text>
        <r>
          <rPr>
            <sz val="10"/>
            <rFont val="Arial"/>
            <family val="2"/>
          </rPr>
          <t xml:space="preserve">API 682 Plan 23: </t>
        </r>
        <r>
          <rPr>
            <sz val="10"/>
            <rFont val="FreeSans"/>
            <family val="2"/>
          </rPr>
          <t xml:space="preserve">گردش بسته از مسیر کولر (سیال داغ)</t>
        </r>
      </text>
    </comment>
    <comment ref="C40" authorId="0">
      <text>
        <r>
          <rPr>
            <sz val="10"/>
            <rFont val="Arial"/>
            <family val="2"/>
          </rPr>
          <t xml:space="preserve">API 682 Plan 32: </t>
        </r>
        <r>
          <rPr>
            <sz val="10"/>
            <rFont val="FreeSans"/>
            <family val="2"/>
          </rPr>
          <t xml:space="preserve">تزریق سیال تمیز از منبع خارجی</t>
        </r>
      </text>
    </comment>
    <comment ref="C41" authorId="0">
      <text>
        <r>
          <rPr>
            <sz val="10"/>
            <rFont val="Arial"/>
            <family val="2"/>
          </rPr>
          <t xml:space="preserve">API 682 Plan 52: </t>
        </r>
        <r>
          <rPr>
            <sz val="10"/>
            <rFont val="FreeSans"/>
            <family val="2"/>
          </rPr>
          <t xml:space="preserve">سیال </t>
        </r>
        <r>
          <rPr>
            <sz val="10"/>
            <rFont val="Arial"/>
            <family val="2"/>
          </rPr>
          <t xml:space="preserve">Buffer </t>
        </r>
        <r>
          <rPr>
            <sz val="10"/>
            <rFont val="FreeSans"/>
            <family val="2"/>
          </rPr>
          <t xml:space="preserve">بدون فشار برای آب‌بند دوبل </t>
        </r>
        <r>
          <rPr>
            <sz val="10"/>
            <rFont val="Arial"/>
            <family val="2"/>
          </rPr>
          <t xml:space="preserve">(Arr 2)</t>
        </r>
      </text>
    </comment>
    <comment ref="C42" authorId="0">
      <text>
        <r>
          <rPr>
            <sz val="10"/>
            <rFont val="Arial"/>
            <family val="2"/>
          </rPr>
          <t xml:space="preserve">API 682 Plan 53A: Barrier </t>
        </r>
        <r>
          <rPr>
            <sz val="10"/>
            <rFont val="FreeSans"/>
            <family val="2"/>
          </rPr>
          <t xml:space="preserve">تحت فشار با مخزن و گاز نیتروژن </t>
        </r>
        <r>
          <rPr>
            <sz val="10"/>
            <rFont val="Arial"/>
            <family val="2"/>
          </rPr>
          <t xml:space="preserve">(Arr 3)</t>
        </r>
      </text>
    </comment>
    <comment ref="C43" authorId="0">
      <text>
        <r>
          <rPr>
            <sz val="10"/>
            <rFont val="Arial"/>
            <family val="2"/>
          </rPr>
          <t xml:space="preserve">API 682 Plan 53B: Barrier </t>
        </r>
        <r>
          <rPr>
            <sz val="10"/>
            <rFont val="FreeSans"/>
            <family val="2"/>
          </rPr>
          <t xml:space="preserve">تحت فشار با </t>
        </r>
        <r>
          <rPr>
            <sz val="10"/>
            <rFont val="Arial"/>
            <family val="2"/>
          </rPr>
          <t xml:space="preserve">Bladder Accumulator (Arr 3)</t>
        </r>
      </text>
    </comment>
    <comment ref="C44" authorId="0">
      <text>
        <r>
          <rPr>
            <sz val="10"/>
            <rFont val="Arial"/>
            <family val="2"/>
          </rPr>
          <t xml:space="preserve">API 682 Plan 53C: Barrier </t>
        </r>
        <r>
          <rPr>
            <sz val="10"/>
            <rFont val="FreeSans"/>
            <family val="2"/>
          </rPr>
          <t xml:space="preserve">تحت فشار با پیستون </t>
        </r>
        <r>
          <rPr>
            <sz val="10"/>
            <rFont val="Arial"/>
            <family val="2"/>
          </rPr>
          <t xml:space="preserve">Accumulator (Arr 3)</t>
        </r>
      </text>
    </comment>
    <comment ref="C45" authorId="0">
      <text>
        <r>
          <rPr>
            <sz val="10"/>
            <rFont val="Arial"/>
            <family val="2"/>
          </rPr>
          <t xml:space="preserve">API 682 Plan 54: </t>
        </r>
        <r>
          <rPr>
            <sz val="10"/>
            <rFont val="FreeSans"/>
            <family val="2"/>
          </rPr>
          <t xml:space="preserve">سیستم </t>
        </r>
        <r>
          <rPr>
            <sz val="10"/>
            <rFont val="Arial"/>
            <family val="2"/>
          </rPr>
          <t xml:space="preserve">Barrier </t>
        </r>
        <r>
          <rPr>
            <sz val="10"/>
            <rFont val="FreeSans"/>
            <family val="2"/>
          </rPr>
          <t xml:space="preserve">خارجی کامل تحت فشار</t>
        </r>
      </text>
    </comment>
    <comment ref="C46" authorId="0">
      <text>
        <r>
          <rPr>
            <sz val="10"/>
            <rFont val="Arial"/>
            <family val="2"/>
          </rPr>
          <t xml:space="preserve">API 682 Plan 62: Quench </t>
        </r>
        <r>
          <rPr>
            <sz val="10"/>
            <rFont val="FreeSans"/>
            <family val="2"/>
          </rPr>
          <t xml:space="preserve">با بخار یا آب در سمت اتمسفر</t>
        </r>
      </text>
    </comment>
    <comment ref="C47" authorId="0">
      <text>
        <r>
          <rPr>
            <sz val="10"/>
            <rFont val="Arial"/>
            <family val="2"/>
          </rPr>
          <t xml:space="preserve">API 682 Plan 65A: </t>
        </r>
        <r>
          <rPr>
            <sz val="10"/>
            <rFont val="FreeSans"/>
            <family val="2"/>
          </rPr>
          <t xml:space="preserve">تخلیه و هشدار نشتی</t>
        </r>
      </text>
    </comment>
    <comment ref="C48" authorId="0">
      <text>
        <r>
          <rPr>
            <sz val="10"/>
            <rFont val="Arial"/>
            <family val="2"/>
          </rPr>
          <t xml:space="preserve">API 682 Plan 72/76: </t>
        </r>
        <r>
          <rPr>
            <sz val="10"/>
            <rFont val="FreeSans"/>
            <family val="2"/>
          </rPr>
          <t xml:space="preserve">آب‌بند گازی </t>
        </r>
        <r>
          <rPr>
            <sz val="10"/>
            <rFont val="Arial"/>
            <family val="2"/>
          </rPr>
          <t xml:space="preserve">(Buffer </t>
        </r>
        <r>
          <rPr>
            <sz val="10"/>
            <rFont val="FreeSans"/>
            <family val="2"/>
          </rPr>
          <t xml:space="preserve">یا تخلیه بخارات</t>
        </r>
        <r>
          <rPr>
            <sz val="10"/>
            <rFont val="Arial"/>
            <family val="2"/>
          </rPr>
          <t xml:space="preserve">)</t>
        </r>
      </text>
    </comment>
    <comment ref="C49" authorId="0">
      <text>
        <r>
          <rPr>
            <sz val="10"/>
            <rFont val="Arial"/>
            <family val="2"/>
          </rPr>
          <t xml:space="preserve">API 682 Plan 11+52: Plan 11 </t>
        </r>
        <r>
          <rPr>
            <sz val="10"/>
            <rFont val="FreeSans"/>
            <family val="2"/>
          </rPr>
          <t xml:space="preserve">روی آب‌بند داخلی </t>
        </r>
        <r>
          <rPr>
            <sz val="10"/>
            <rFont val="Arial"/>
            <family val="2"/>
          </rPr>
          <t xml:space="preserve">+ Plan 52</t>
        </r>
      </text>
    </comment>
    <comment ref="C50" authorId="0">
      <text>
        <r>
          <rPr>
            <sz val="10"/>
            <rFont val="Arial"/>
            <family val="2"/>
          </rPr>
          <t xml:space="preserve">API 682 Plan 11+53B: Plan 11 + Plan 53B</t>
        </r>
      </text>
    </comment>
    <comment ref="C51" authorId="0">
      <text>
        <r>
          <rPr>
            <sz val="10"/>
            <rFont val="Arial"/>
            <family val="2"/>
          </rPr>
          <t xml:space="preserve">API 682 Plan 23+53B: Plan 23 + Plan 53B</t>
        </r>
      </text>
    </comment>
    <comment ref="C52" authorId="0">
      <text>
        <r>
          <rPr>
            <sz val="10"/>
            <rFont val="Arial"/>
            <family val="2"/>
          </rPr>
          <t xml:space="preserve">API 682 Plan N/A: </t>
        </r>
        <r>
          <rPr>
            <sz val="10"/>
            <rFont val="FreeSans"/>
            <family val="2"/>
          </rPr>
          <t xml:space="preserve">کاربرد ندارد یا ذکر نشده</t>
        </r>
      </text>
    </comment>
    <comment ref="C53" authorId="0">
      <text>
        <r>
          <rPr>
            <sz val="10"/>
            <rFont val="Arial"/>
            <family val="2"/>
          </rPr>
          <t xml:space="preserve">API 682 Plan Not stated: </t>
        </r>
        <r>
          <rPr>
            <sz val="10"/>
            <rFont val="FreeSans"/>
            <family val="2"/>
          </rPr>
          <t xml:space="preserve">کاربرد ندارد یا ذکر نشده</t>
        </r>
      </text>
    </comment>
    <comment ref="C54" authorId="0">
      <text>
        <r>
          <rPr>
            <sz val="10"/>
            <rFont val="FreeSans"/>
            <family val="2"/>
          </rPr>
          <t xml:space="preserve">موتور برقی (پایه)</t>
        </r>
      </text>
    </comment>
    <comment ref="C55" authorId="0">
      <text>
        <r>
          <rPr>
            <sz val="10"/>
            <rFont val="FreeSans"/>
            <family val="2"/>
          </rPr>
          <t xml:space="preserve">موتور دیزلی (مثلاً پمپ آتش‌نشانی دیزلی)</t>
        </r>
      </text>
    </comment>
    <comment ref="C56" authorId="0">
      <text>
        <r>
          <rPr>
            <sz val="10"/>
            <rFont val="FreeSans"/>
            <family val="2"/>
          </rPr>
          <t xml:space="preserve">توربین بخار</t>
        </r>
      </text>
    </comment>
    <comment ref="C57" authorId="0">
      <text>
        <r>
          <rPr>
            <sz val="10"/>
            <rFont val="FreeSans"/>
            <family val="2"/>
          </rPr>
          <t xml:space="preserve">محرک بادی</t>
        </r>
      </text>
    </comment>
    <comment ref="C58" authorId="0">
      <text>
        <r>
          <rPr>
            <sz val="10"/>
            <rFont val="FreeSans"/>
            <family val="2"/>
          </rPr>
          <t xml:space="preserve">محرک پرتابل بادی یا برقی (پمپ بشکه‌ای)</t>
        </r>
      </text>
    </comment>
    <comment ref="C59" authorId="0">
      <text>
        <r>
          <rPr>
            <sz val="10"/>
            <rFont val="FreeSans"/>
            <family val="2"/>
          </rPr>
          <t xml:space="preserve">ذکر نشده یا کاربرد ندارد؛ ضریب خنثی (۱</t>
        </r>
        <r>
          <rPr>
            <sz val="10"/>
            <rFont val="Arial"/>
            <family val="2"/>
          </rPr>
          <t xml:space="preserve">)</t>
        </r>
      </text>
    </comment>
    <comment ref="C60" authorId="0">
      <text>
        <r>
          <rPr>
            <sz val="10"/>
            <rFont val="FreeSans"/>
            <family val="2"/>
          </rPr>
          <t xml:space="preserve">الزام </t>
        </r>
        <r>
          <rPr>
            <sz val="10"/>
            <rFont val="Arial"/>
            <family val="2"/>
          </rPr>
          <t xml:space="preserve">NACE MR0175 / ISO 15156 </t>
        </r>
        <r>
          <rPr>
            <sz val="10"/>
            <rFont val="FreeSans"/>
            <family val="2"/>
          </rPr>
          <t xml:space="preserve">برای سرویس ترش </t>
        </r>
        <r>
          <rPr>
            <sz val="10"/>
            <rFont val="Arial"/>
            <family val="2"/>
          </rPr>
          <t xml:space="preserve">(H2S)</t>
        </r>
      </text>
    </comment>
    <comment ref="C61" authorId="0">
      <text>
        <r>
          <rPr>
            <sz val="10"/>
            <rFont val="FreeSans"/>
            <family val="2"/>
          </rPr>
          <t xml:space="preserve">بدون الزام </t>
        </r>
        <r>
          <rPr>
            <sz val="10"/>
            <rFont val="Arial"/>
            <family val="2"/>
          </rPr>
          <t xml:space="preserve">NACE (</t>
        </r>
        <r>
          <rPr>
            <sz val="10"/>
            <rFont val="FreeSans"/>
            <family val="2"/>
          </rPr>
          <t xml:space="preserve">پایه</t>
        </r>
        <r>
          <rPr>
            <sz val="10"/>
            <rFont val="Arial"/>
            <family val="2"/>
          </rPr>
          <t xml:space="preserve">)</t>
        </r>
      </text>
    </comment>
    <comment ref="C62" authorId="0">
      <text>
        <r>
          <rPr>
            <sz val="10"/>
            <rFont val="FreeSans"/>
            <family val="2"/>
          </rPr>
          <t xml:space="preserve">ذکر نشده یا کاربرد ندارد؛ ضریب خنثی (۱</t>
        </r>
        <r>
          <rPr>
            <sz val="10"/>
            <rFont val="Arial"/>
            <family val="2"/>
          </rPr>
          <t xml:space="preserve">)</t>
        </r>
      </text>
    </comment>
    <comment ref="C63" authorId="0">
      <text>
        <r>
          <rPr>
            <sz val="10"/>
            <rFont val="FreeSans"/>
            <family val="2"/>
          </rPr>
          <t xml:space="preserve">محرک (موتور) جزو قیمت: بله</t>
        </r>
      </text>
    </comment>
    <comment ref="C64" authorId="0">
      <text>
        <r>
          <rPr>
            <sz val="10"/>
            <rFont val="FreeSans"/>
            <family val="2"/>
          </rPr>
          <t xml:space="preserve">محرک (موتور) جزو قیمت: خیر</t>
        </r>
      </text>
    </comment>
    <comment ref="C65" authorId="0">
      <text>
        <r>
          <rPr>
            <sz val="10"/>
            <rFont val="FreeSans"/>
            <family val="2"/>
          </rPr>
          <t xml:space="preserve">محرک (موتور) جزو قیمت: در منبع ذکر نشده (ضریب ۱</t>
        </r>
        <r>
          <rPr>
            <sz val="10"/>
            <rFont val="Arial"/>
            <family val="2"/>
          </rPr>
          <t xml:space="preserve">)</t>
        </r>
      </text>
    </comment>
    <comment ref="C66" authorId="0">
      <text>
        <r>
          <rPr>
            <sz val="10"/>
            <rFont val="FreeSans"/>
            <family val="2"/>
          </rPr>
          <t xml:space="preserve">شاسی و کوپلینگ جزو قیمت: بله</t>
        </r>
      </text>
    </comment>
    <comment ref="C67" authorId="0">
      <text>
        <r>
          <rPr>
            <sz val="10"/>
            <rFont val="FreeSans"/>
            <family val="2"/>
          </rPr>
          <t xml:space="preserve">شاسی و کوپلینگ جزو قیمت: خیر</t>
        </r>
      </text>
    </comment>
    <comment ref="C68" authorId="0">
      <text>
        <r>
          <rPr>
            <sz val="10"/>
            <rFont val="FreeSans"/>
            <family val="2"/>
          </rPr>
          <t xml:space="preserve">شاسی و کوپلینگ جزو قیمت: در منبع ذکر نشده (ضریب ۱</t>
        </r>
        <r>
          <rPr>
            <sz val="10"/>
            <rFont val="Arial"/>
            <family val="2"/>
          </rPr>
          <t xml:space="preserve">)</t>
        </r>
      </text>
    </comment>
    <comment ref="C69" authorId="0">
      <text>
        <r>
          <rPr>
            <sz val="10"/>
            <rFont val="FreeSans"/>
            <family val="2"/>
          </rPr>
          <t xml:space="preserve">سیستم جانبی آب‌بند </t>
        </r>
        <r>
          <rPr>
            <sz val="10"/>
            <rFont val="Arial"/>
            <family val="2"/>
          </rPr>
          <t xml:space="preserve">(</t>
        </r>
        <r>
          <rPr>
            <sz val="10"/>
            <rFont val="FreeSans"/>
            <family val="2"/>
          </rPr>
          <t xml:space="preserve">مخزن، </t>
        </r>
        <r>
          <rPr>
            <sz val="10"/>
            <rFont val="Arial"/>
            <family val="2"/>
          </rPr>
          <t xml:space="preserve">Accumulator</t>
        </r>
        <r>
          <rPr>
            <sz val="10"/>
            <rFont val="FreeSans"/>
            <family val="2"/>
          </rPr>
          <t xml:space="preserve">، کولر</t>
        </r>
        <r>
          <rPr>
            <sz val="10"/>
            <rFont val="Arial"/>
            <family val="2"/>
          </rPr>
          <t xml:space="preserve">) </t>
        </r>
        <r>
          <rPr>
            <sz val="10"/>
            <rFont val="FreeSans"/>
            <family val="2"/>
          </rPr>
          <t xml:space="preserve">جزو قیمت: بله</t>
        </r>
      </text>
    </comment>
    <comment ref="C70" authorId="0">
      <text>
        <r>
          <rPr>
            <sz val="10"/>
            <rFont val="FreeSans"/>
            <family val="2"/>
          </rPr>
          <t xml:space="preserve">سیستم جانبی آب‌بند </t>
        </r>
        <r>
          <rPr>
            <sz val="10"/>
            <rFont val="Arial"/>
            <family val="2"/>
          </rPr>
          <t xml:space="preserve">(</t>
        </r>
        <r>
          <rPr>
            <sz val="10"/>
            <rFont val="FreeSans"/>
            <family val="2"/>
          </rPr>
          <t xml:space="preserve">مخزن، </t>
        </r>
        <r>
          <rPr>
            <sz val="10"/>
            <rFont val="Arial"/>
            <family val="2"/>
          </rPr>
          <t xml:space="preserve">Accumulator</t>
        </r>
        <r>
          <rPr>
            <sz val="10"/>
            <rFont val="FreeSans"/>
            <family val="2"/>
          </rPr>
          <t xml:space="preserve">، کولر</t>
        </r>
        <r>
          <rPr>
            <sz val="10"/>
            <rFont val="Arial"/>
            <family val="2"/>
          </rPr>
          <t xml:space="preserve">) </t>
        </r>
        <r>
          <rPr>
            <sz val="10"/>
            <rFont val="FreeSans"/>
            <family val="2"/>
          </rPr>
          <t xml:space="preserve">جزو قیمت: خیر</t>
        </r>
      </text>
    </comment>
    <comment ref="C71" authorId="0">
      <text>
        <r>
          <rPr>
            <sz val="10"/>
            <rFont val="FreeSans"/>
            <family val="2"/>
          </rPr>
          <t xml:space="preserve">سیستم جانبی آب‌بند </t>
        </r>
        <r>
          <rPr>
            <sz val="10"/>
            <rFont val="Arial"/>
            <family val="2"/>
          </rPr>
          <t xml:space="preserve">(</t>
        </r>
        <r>
          <rPr>
            <sz val="10"/>
            <rFont val="FreeSans"/>
            <family val="2"/>
          </rPr>
          <t xml:space="preserve">مخزن، </t>
        </r>
        <r>
          <rPr>
            <sz val="10"/>
            <rFont val="Arial"/>
            <family val="2"/>
          </rPr>
          <t xml:space="preserve">Accumulator</t>
        </r>
        <r>
          <rPr>
            <sz val="10"/>
            <rFont val="FreeSans"/>
            <family val="2"/>
          </rPr>
          <t xml:space="preserve">، کولر</t>
        </r>
        <r>
          <rPr>
            <sz val="10"/>
            <rFont val="Arial"/>
            <family val="2"/>
          </rPr>
          <t xml:space="preserve">) </t>
        </r>
        <r>
          <rPr>
            <sz val="10"/>
            <rFont val="FreeSans"/>
            <family val="2"/>
          </rPr>
          <t xml:space="preserve">جزو قیمت: در منبع ذکر نشده (ضریب ۱</t>
        </r>
        <r>
          <rPr>
            <sz val="10"/>
            <rFont val="Arial"/>
            <family val="2"/>
          </rPr>
          <t xml:space="preserve">)</t>
        </r>
      </text>
    </comment>
    <comment ref="C72" authorId="0">
      <text>
        <r>
          <rPr>
            <sz val="10"/>
            <rFont val="FreeSans"/>
            <family val="2"/>
          </rPr>
          <t xml:space="preserve">یدکی راه‌اندازی جزو قیمت: بله</t>
        </r>
      </text>
    </comment>
    <comment ref="C73" authorId="0">
      <text>
        <r>
          <rPr>
            <sz val="10"/>
            <rFont val="FreeSans"/>
            <family val="2"/>
          </rPr>
          <t xml:space="preserve">یدکی راه‌اندازی جزو قیمت: خیر</t>
        </r>
      </text>
    </comment>
    <comment ref="C74" authorId="0">
      <text>
        <r>
          <rPr>
            <sz val="10"/>
            <rFont val="FreeSans"/>
            <family val="2"/>
          </rPr>
          <t xml:space="preserve">یدکی راه‌اندازی جزو قیمت: در منبع ذکر نشده (ضریب ۱</t>
        </r>
        <r>
          <rPr>
            <sz val="10"/>
            <rFont val="Arial"/>
            <family val="2"/>
          </rPr>
          <t xml:space="preserve">)</t>
        </r>
      </text>
    </comment>
    <comment ref="C75" authorId="0">
      <text>
        <r>
          <rPr>
            <sz val="10"/>
            <rFont val="FreeSans"/>
            <family val="2"/>
          </rPr>
          <t xml:space="preserve">یدکی دو سال بهره‌برداری جزو قیمت: بله</t>
        </r>
      </text>
    </comment>
    <comment ref="C76" authorId="0">
      <text>
        <r>
          <rPr>
            <sz val="10"/>
            <rFont val="FreeSans"/>
            <family val="2"/>
          </rPr>
          <t xml:space="preserve">یدکی دو سال بهره‌برداری جزو قیمت: خیر</t>
        </r>
      </text>
    </comment>
    <comment ref="C77" authorId="0">
      <text>
        <r>
          <rPr>
            <sz val="10"/>
            <rFont val="FreeSans"/>
            <family val="2"/>
          </rPr>
          <t xml:space="preserve">یدکی دو سال بهره‌برداری جزو قیمت: در منبع ذکر نشده (ضریب ۱</t>
        </r>
        <r>
          <rPr>
            <sz val="10"/>
            <rFont val="Arial"/>
            <family val="2"/>
          </rPr>
          <t xml:space="preserve">)</t>
        </r>
      </text>
    </comment>
    <comment ref="C78" authorId="0">
      <text>
        <r>
          <rPr>
            <sz val="10"/>
            <rFont val="FreeSans"/>
            <family val="2"/>
          </rPr>
          <t xml:space="preserve">هزینه بازرسی شخص ثالث جزو قیمت: بله</t>
        </r>
      </text>
    </comment>
    <comment ref="C79" authorId="0">
      <text>
        <r>
          <rPr>
            <sz val="10"/>
            <rFont val="FreeSans"/>
            <family val="2"/>
          </rPr>
          <t xml:space="preserve">هزینه بازرسی شخص ثالث جزو قیمت: خیر</t>
        </r>
      </text>
    </comment>
    <comment ref="C80" authorId="0">
      <text>
        <r>
          <rPr>
            <sz val="10"/>
            <rFont val="FreeSans"/>
            <family val="2"/>
          </rPr>
          <t xml:space="preserve">هزینه بازرسی شخص ثالث جزو قیمت: در منبع ذکر نشده (ضریب ۱</t>
        </r>
        <r>
          <rPr>
            <sz val="10"/>
            <rFont val="Arial"/>
            <family val="2"/>
          </rPr>
          <t xml:space="preserve">)</t>
        </r>
      </text>
    </comment>
    <comment ref="C81" authorId="0">
      <text>
        <r>
          <rPr>
            <sz val="10"/>
            <rFont val="FreeSans"/>
            <family val="2"/>
          </rPr>
          <t xml:space="preserve">آزمون عملکرد کارخانه با حضور کارفرما جزو قیمت: بله</t>
        </r>
      </text>
    </comment>
    <comment ref="C82" authorId="0">
      <text>
        <r>
          <rPr>
            <sz val="10"/>
            <rFont val="FreeSans"/>
            <family val="2"/>
          </rPr>
          <t xml:space="preserve">آزمون عملکرد کارخانه با حضور کارفرما جزو قیمت: خیر</t>
        </r>
      </text>
    </comment>
    <comment ref="C83" authorId="0">
      <text>
        <r>
          <rPr>
            <sz val="10"/>
            <rFont val="FreeSans"/>
            <family val="2"/>
          </rPr>
          <t xml:space="preserve">آزمون عملکرد کارخانه با حضور کارفرما جزو قیمت: در منبع ذکر نشده (ضریب ۱</t>
        </r>
        <r>
          <rPr>
            <sz val="10"/>
            <rFont val="Arial"/>
            <family val="2"/>
          </rPr>
          <t xml:space="preserve">)</t>
        </r>
      </text>
    </comment>
  </commentList>
</comments>
</file>

<file path=xl/sharedStrings.xml><?xml version="1.0" encoding="utf-8"?>
<sst xmlns="http://schemas.openxmlformats.org/spreadsheetml/2006/main" count="30440" uniqueCount="3504">
  <si>
    <t xml:space="preserve">راهنمای بانک قیمت پمپ – نسخه ۸</t>
  </si>
  <si>
    <t xml:space="preserve">بر اساس شرح نیاز و اصلاحات سازمانی مهر ۱۴۰۵</t>
  </si>
  <si>
    <t xml:space="preserve">ترتیب ستون‌ها</t>
  </si>
  <si>
    <t xml:space="preserve">شناسایی ← مشخصات کلیدی (نوع و متریال API 610، دبی، هد، توان، استانداردها، آب‌بند) ← مشخصات تکمیلی ← قیمت ← دامنه کار ← منبع ← محاسبات ← کنترل. ستون‌های فرعی گروه‌بندی شده‌اند و با «+» بالای ستون باز می‌شوند.</t>
  </si>
  <si>
    <t xml:space="preserve">رنگ‌ها</t>
  </si>
  <si>
    <t xml:space="preserve">سرستون زرد = ورودی Dropdown؛ آبی روشن = ورودی آزاد؛ خاکستری = فرمول. سلول زرد پررنگ = مقدار استنباطی (شاهد در Note). سلول آبی در ستون IRR = تبدیل با نرخ بانک؛ نرخ و قیمت پروژه در Note.</t>
  </si>
  <si>
    <t xml:space="preserve">Standards</t>
  </si>
  <si>
    <t xml:space="preserve">ستون Standards خودکار از ستون‌های جمع‌شده Pump Standard، IPS، NACE و NFPA 20 ساخته می‌شود. ورودی‌ها را در همان ستون‌های جمع‌شده تغییر دهید.</t>
  </si>
  <si>
    <t xml:space="preserve">نرمال‌سازی</t>
  </si>
  <si>
    <t xml:space="preserve">Normalized EUR = قیمت یورویی سال منبع ÷ (MAT × SEAL × DRIVE × SCOPE) = قیمت معادل پیکربندی پایه. ضرایب در Factors_ROT و هنوز کالیبره نشده‌اند.</t>
  </si>
  <si>
    <t xml:space="preserve">تعدیل</t>
  </si>
  <si>
    <t xml:space="preserve">یورو × PPI(هدف)/PPI(پایه)، با کف ۲۵٬۰۰۰ یورو (۱۴۰۴) برای API 610 گریز از مرکز کلاس S/D؛ دلار و ریال با نرخ‌های سال هدف. شاخص PPI از Eurostat C28.13 (EA20)؛ عدد ۱۴۰۵ پیش‌بینی است. CPI استفاده نمی‌شود.</t>
  </si>
  <si>
    <t xml:space="preserve">Price Basis چیست؟</t>
  </si>
  <si>
    <t xml:space="preserve">ستون Price Basis می‌گوید عدد قیمت «چه نوع قیمتی» است و از کدام سند آمده: پیشنهاد فروشنده (Inquiry)، برآورد مشاور در MTO مرحله FEED یا Basic، یا قیمت خرید. برچسب کلاس برآورد که در خود سند منبع نوشته شده، عیناً داخل همین متن آمده است.</t>
  </si>
  <si>
    <t xml:space="preserve">Incoterm چیست؟</t>
  </si>
  <si>
    <t xml:space="preserve">ستون Incoterm شرط تحویل قیمت است (EXW، FOB و ...). Note هر سلول صریحاً می‌گوید این قیمت «شامل» چه هزینه‌هایی هست و «شامل» چه هزینه‌هایی نیست (حمل، بیمه، ترخیص، بازرسی، یدکی، سربار، مالیات، نصب) و هر کدام در کدام سلول سند منبع جداگانه آمده است. جدول معرفی حالت‌ها در Executive Dashboard است.</t>
  </si>
  <si>
    <t xml:space="preserve">یعنی چه قیمتی می‌بینیم؟</t>
  </si>
  <si>
    <t xml:space="preserve">Unit Price (Reference) و معادل‌های یورو/دلار/ریال سال منبع = قیمت تجهیز در سطح فروشنده، بدون سربار پروژه، مالیات و نصب (جز آنچه Note همان ردیف خلاف آن را بگوید). قیمت‌های Escalated همان قیمت است که فقط از نظر زمان به سال هدف آورده شده؛ هیچ هزینه دیگری به آن اضافه نشده است.</t>
  </si>
  <si>
    <t xml:space="preserve">Estimator</t>
  </si>
  <si>
    <t xml:space="preserve">پارامترها در سمت چپ با ضریب متناظر در ستون C؛ محاسبات و نتیجه در پنل سمت راست.</t>
  </si>
  <si>
    <t xml:space="preserve">Search</t>
  </si>
  <si>
    <t xml:space="preserve">فیلترها در سه بلوک بالا؛ خلاصه نتایج و لیست رکوردها زیر آن.</t>
  </si>
  <si>
    <t xml:space="preserve">Vendor_Quotes</t>
  </si>
  <si>
    <t xml:space="preserve">سند پیوست استعلام‌ها؛ در محاسبات Master استفاده نمی‌شود.</t>
  </si>
  <si>
    <t xml:space="preserve">رکورد جدید</t>
  </si>
  <si>
    <t xml:space="preserve">آخرین ردیف Master را کپی و زیر آن Paste کنید تا فرمول‌ها منتقل شوند (Dropdownها تا ردیف ۶۰۰).</t>
  </si>
  <si>
    <t xml:space="preserve">اپلیکیشن</t>
  </si>
  <si>
    <t xml:space="preserve">شیت‌های App_Meta، Data_Dictionary، Calc_Spec، Evidence و Test_Cases قرارداد داده و منطق محاسبات را برای ساخت اپلیکیشن (وب، اندروید، iOS) مشخص می‌کنند. همه جدول‌های داده Excel Table نام‌دار هستند (tbl_master، tbl_factors، tbl_fx، tbl_params، tbl_index، …). شناسه پایدار هر رکورد در ستون Record ID است.</t>
  </si>
  <si>
    <t xml:space="preserve">ستون‌های عددی</t>
  </si>
  <si>
    <t xml:space="preserve">ستون‌های عددی فقط عدد یا خالی‌اند؛ دلیل خالی بودن در QA Flag آمده.</t>
  </si>
  <si>
    <t xml:space="preserve">EXECUTIVE DASHBOARD – بانک قیمت پمپ</t>
  </si>
  <si>
    <t xml:space="preserve">فقط رکوردهای Include = Y شمارش می‌شوند. روی سرستون‌ها و سلول‌ها Note توضیحی یا ترجمه فارسی هست.</t>
  </si>
  <si>
    <t xml:space="preserve">Target year</t>
  </si>
  <si>
    <t xml:space="preserve">EUR→IRR</t>
  </si>
  <si>
    <t xml:space="preserve">USD→IRR</t>
  </si>
  <si>
    <t xml:space="preserve">PPI target</t>
  </si>
  <si>
    <t xml:space="preserve">1) Pump sub-categories</t>
  </si>
  <si>
    <t xml:space="preserve">Sub-Category</t>
  </si>
  <si>
    <t xml:space="preserve">Full Name</t>
  </si>
  <si>
    <t xml:space="preserve">شرح</t>
  </si>
  <si>
    <t xml:space="preserve">Records</t>
  </si>
  <si>
    <t xml:space="preserve">With escalated price</t>
  </si>
  <si>
    <t xml:space="preserve">% Material stated</t>
  </si>
  <si>
    <t xml:space="preserve">% Seal stated</t>
  </si>
  <si>
    <t xml:space="preserve">% Size driver</t>
  </si>
  <si>
    <t xml:space="preserve">ROT-CRU</t>
  </si>
  <si>
    <t xml:space="preserve">Crude Oil &amp; Main Transfer Pumps</t>
  </si>
  <si>
    <t xml:space="preserve">پمپ‌های نفت خام: انتقال نفت شور و نمک‌زدایی‌شده، Booster، Off-spec و انتقال اصلی</t>
  </si>
  <si>
    <t xml:space="preserve">ROT-WAT</t>
  </si>
  <si>
    <t xml:space="preserve">Desalting &amp; Process Water Pumps</t>
  </si>
  <si>
    <t xml:space="preserve">آب فرآیندی واحد: آب رقیق‌سازی، Recycle دیسالتر، آب هوازدایی‌شده، آب شیرین و آب خنک‌کن</t>
  </si>
  <si>
    <t xml:space="preserve">ROT-INJ</t>
  </si>
  <si>
    <t xml:space="preserve">Produced Water &amp; Disposal Injection Pumps</t>
  </si>
  <si>
    <t xml:space="preserve">آب تولیدی و پساب: Booster و پمپ‌های پرفشار تزریق به چاه دفعی</t>
  </si>
  <si>
    <t xml:space="preserve">ROT-DRN</t>
  </si>
  <si>
    <t xml:space="preserve">Drainage, Flare &amp; OWS Pumps</t>
  </si>
  <si>
    <t xml:space="preserve">درین بسته و باز، Flare KO Drum، جداکننده آب و نفت (OWS)، نفت بازیافتی و لجن</t>
  </si>
  <si>
    <t xml:space="preserve">ROT-AUX</t>
  </si>
  <si>
    <t xml:space="preserve">Chemical, Fuel &amp; Auxiliary Pumps</t>
  </si>
  <si>
    <t xml:space="preserve">پمپ‌های جانبی: مواد شیمیایی، گلایکول، گازوئیل و سوخت</t>
  </si>
  <si>
    <t xml:space="preserve">ROT-FIR</t>
  </si>
  <si>
    <t xml:space="preserve">Firewater &amp; Safety Pumps</t>
  </si>
  <si>
    <t xml:space="preserve">آتش‌نشانی: پمپ اصلی برقی و دیزلی، Jockey و بارگیری آب آتش‌نشانی</t>
  </si>
  <si>
    <t xml:space="preserve">TOTAL</t>
  </si>
  <si>
    <t xml:space="preserve">2) API 610 material classes (Table H.1)</t>
  </si>
  <si>
    <t xml:space="preserve">Class</t>
  </si>
  <si>
    <t xml:space="preserve">Casing</t>
  </si>
  <si>
    <t xml:space="preserve">Impeller</t>
  </si>
  <si>
    <t xml:space="preserve">Wear rings / Shaft</t>
  </si>
  <si>
    <t xml:space="preserve">Typical service</t>
  </si>
  <si>
    <t xml:space="preserve">I-1</t>
  </si>
  <si>
    <t xml:space="preserve">Cast iron</t>
  </si>
  <si>
    <t xml:space="preserve">Cast-iron rings; carbon-steel shaft</t>
  </si>
  <si>
    <t xml:space="preserve">Water and non-corrosive services, low temperature</t>
  </si>
  <si>
    <t xml:space="preserve">I-2</t>
  </si>
  <si>
    <t xml:space="preserve">Bronze</t>
  </si>
  <si>
    <t xml:space="preserve">Bronze rings; carbon-steel shaft</t>
  </si>
  <si>
    <t xml:space="preserve">Water, fire water, fresh water</t>
  </si>
  <si>
    <t xml:space="preserve">S-1</t>
  </si>
  <si>
    <t xml:space="preserve">Carbon steel</t>
  </si>
  <si>
    <t xml:space="preserve">Non-corrosive hydrocarbons</t>
  </si>
  <si>
    <t xml:space="preserve">S-3</t>
  </si>
  <si>
    <t xml:space="preserve">Ni-resist</t>
  </si>
  <si>
    <t xml:space="preserve">Ni-resist rings; AISI 4140 shaft</t>
  </si>
  <si>
    <t xml:space="preserve">Mildly abrasive or corrosive services</t>
  </si>
  <si>
    <t xml:space="preserve">S-4</t>
  </si>
  <si>
    <t xml:space="preserve">General hydrocarbons</t>
  </si>
  <si>
    <t xml:space="preserve">S-5</t>
  </si>
  <si>
    <t xml:space="preserve">Hardened 12% Cr rings; AISI 4140 shaft</t>
  </si>
  <si>
    <t xml:space="preserve">General and hot hydrocarbons</t>
  </si>
  <si>
    <t xml:space="preserve">S-6</t>
  </si>
  <si>
    <t xml:space="preserve">12% Cr</t>
  </si>
  <si>
    <t xml:space="preserve">Hardened 12% Cr rings; 12% Cr shaft</t>
  </si>
  <si>
    <t xml:space="preserve">Hot hydrocarbons, sour water, mild corrosion</t>
  </si>
  <si>
    <t xml:space="preserve">S-8</t>
  </si>
  <si>
    <t xml:space="preserve">316 stainless steel</t>
  </si>
  <si>
    <t xml:space="preserve">Hard-faced 316 rings; 316 shaft</t>
  </si>
  <si>
    <t xml:space="preserve">More corrosive services</t>
  </si>
  <si>
    <t xml:space="preserve">S-9</t>
  </si>
  <si>
    <t xml:space="preserve">Ni-Cu alloy</t>
  </si>
  <si>
    <t xml:space="preserve">Ni-Cu rings; Ni-Cu shaft</t>
  </si>
  <si>
    <t xml:space="preserve">Special corrosive services</t>
  </si>
  <si>
    <t xml:space="preserve">C-6</t>
  </si>
  <si>
    <t xml:space="preserve">Boiler feed water, hot hydrocarbons</t>
  </si>
  <si>
    <t xml:space="preserve">A-7</t>
  </si>
  <si>
    <t xml:space="preserve">Austenitic stainless steel</t>
  </si>
  <si>
    <t xml:space="preserve">Hard-faced rings; austenitic shaft</t>
  </si>
  <si>
    <t xml:space="preserve">High corrosion, low temperature</t>
  </si>
  <si>
    <t xml:space="preserve">A-8</t>
  </si>
  <si>
    <t xml:space="preserve">Hard-faced rings; 316 shaft</t>
  </si>
  <si>
    <t xml:space="preserve">Corrosive services</t>
  </si>
  <si>
    <t xml:space="preserve">D-1</t>
  </si>
  <si>
    <t xml:space="preserve">Duplex stainless steel</t>
  </si>
  <si>
    <t xml:space="preserve">Hard-faced rings; duplex shaft</t>
  </si>
  <si>
    <t xml:space="preserve">Saline and produced water with chlorides</t>
  </si>
  <si>
    <t xml:space="preserve">D-2</t>
  </si>
  <si>
    <t xml:space="preserve">Super-duplex stainless steel</t>
  </si>
  <si>
    <t xml:space="preserve">Hard-faced rings; super-duplex shaft</t>
  </si>
  <si>
    <t xml:space="preserve">High-chloride saline / produced water, severe corrosion</t>
  </si>
  <si>
    <t xml:space="preserve">SS316L (non-API)</t>
  </si>
  <si>
    <t xml:space="preserve">316L stainless steel</t>
  </si>
  <si>
    <t xml:space="preserve">—</t>
  </si>
  <si>
    <t xml:space="preserve">Non-API construction (e.g. portable barrel pump)</t>
  </si>
  <si>
    <t xml:space="preserve">Not stated</t>
  </si>
  <si>
    <t xml:space="preserve">Not stated in source</t>
  </si>
  <si>
    <t xml:space="preserve">3) Pump types per API 610</t>
  </si>
  <si>
    <t xml:space="preserve">Type</t>
  </si>
  <si>
    <t xml:space="preserve">Name</t>
  </si>
  <si>
    <t xml:space="preserve">Description</t>
  </si>
  <si>
    <t xml:space="preserve">OH1</t>
  </si>
  <si>
    <t xml:space="preserve">Overhung, foot-mounted</t>
  </si>
  <si>
    <t xml:space="preserve">Single-stage overhung, foot-mounted; moderate temperature and pressure</t>
  </si>
  <si>
    <t xml:space="preserve">OH2</t>
  </si>
  <si>
    <t xml:space="preserve">Overhung, centreline-mounted</t>
  </si>
  <si>
    <t xml:space="preserve">Single-stage overhung, centreline-mounted; the most common refinery process pump, suitable for high temperature</t>
  </si>
  <si>
    <t xml:space="preserve">OH3</t>
  </si>
  <si>
    <t xml:space="preserve">Vertical in-line, separate bearing bracket</t>
  </si>
  <si>
    <t xml:space="preserve">Vertical in-line pump with separate bearing bracket</t>
  </si>
  <si>
    <t xml:space="preserve">OH4</t>
  </si>
  <si>
    <t xml:space="preserve">Vertical in-line, rigidly coupled</t>
  </si>
  <si>
    <t xml:space="preserve">Vertical in-line pump, rigidly coupled</t>
  </si>
  <si>
    <t xml:space="preserve">OH5</t>
  </si>
  <si>
    <t xml:space="preserve">Vertical in-line, close-coupled</t>
  </si>
  <si>
    <t xml:space="preserve">Vertical in-line pump, close-coupled (impeller on the motor shaft)</t>
  </si>
  <si>
    <t xml:space="preserve">OH6</t>
  </si>
  <si>
    <t xml:space="preserve">High-speed integral gear</t>
  </si>
  <si>
    <t xml:space="preserve">High-speed integral-gear pump; low flow, high head</t>
  </si>
  <si>
    <t xml:space="preserve">BB1</t>
  </si>
  <si>
    <t xml:space="preserve">Between bearings, 1–2 stage, axially split</t>
  </si>
  <si>
    <t xml:space="preserve">Between bearings, 1–2 stage, axially split casing</t>
  </si>
  <si>
    <t xml:space="preserve">BB2</t>
  </si>
  <si>
    <t xml:space="preserve">Between bearings, 1–2 stage, radially split</t>
  </si>
  <si>
    <t xml:space="preserve">Between bearings, 1–2 stage, radially split; high temperature and pressure</t>
  </si>
  <si>
    <t xml:space="preserve">BB3</t>
  </si>
  <si>
    <t xml:space="preserve">Between bearings, multistage, axially split</t>
  </si>
  <si>
    <t xml:space="preserve">Multistage, axially split casing; water injection and high-pressure transfer</t>
  </si>
  <si>
    <t xml:space="preserve">BB4</t>
  </si>
  <si>
    <t xml:space="preserve">Between bearings, multistage, single casing radially split</t>
  </si>
  <si>
    <t xml:space="preserve">Multistage single-casing ring-section pump</t>
  </si>
  <si>
    <t xml:space="preserve">BB5</t>
  </si>
  <si>
    <t xml:space="preserve">Between bearings, multistage, double casing (barrel)</t>
  </si>
  <si>
    <t xml:space="preserve">Multistage double-casing (barrel) pump; the most severe high-pressure services</t>
  </si>
  <si>
    <t xml:space="preserve">VS1</t>
  </si>
  <si>
    <t xml:space="preserve">Vertically suspended, diffuser, discharge through column</t>
  </si>
  <si>
    <t xml:space="preserve">Wet-pit vertically suspended, diffuser, discharge through the column</t>
  </si>
  <si>
    <t xml:space="preserve">VS2</t>
  </si>
  <si>
    <t xml:space="preserve">Vertically suspended, volute, discharge through column</t>
  </si>
  <si>
    <t xml:space="preserve">Wet-pit vertically suspended, volute, discharge through the column</t>
  </si>
  <si>
    <t xml:space="preserve">VS3</t>
  </si>
  <si>
    <t xml:space="preserve">Vertically suspended, axial flow</t>
  </si>
  <si>
    <t xml:space="preserve">Wet-pit vertically suspended, axial flow; high flow, low head</t>
  </si>
  <si>
    <t xml:space="preserve">VS4</t>
  </si>
  <si>
    <t xml:space="preserve">Vertically suspended, line-shaft, separate discharge (sump)</t>
  </si>
  <si>
    <t xml:space="preserve">Line-shaft sump pump with separate discharge; drain and flare KO sumps</t>
  </si>
  <si>
    <t xml:space="preserve">VS5</t>
  </si>
  <si>
    <t xml:space="preserve">Vertically suspended, cantilever sump</t>
  </si>
  <si>
    <t xml:space="preserve">Cantilever sump pump without submerged bearings</t>
  </si>
  <si>
    <t xml:space="preserve">VS6</t>
  </si>
  <si>
    <t xml:space="preserve">Vertically suspended, double casing, diffuser (can)</t>
  </si>
  <si>
    <t xml:space="preserve">Double-casing diffuser (can) pump; low NPSH, e.g. off-spec crude and near-boiling liquids</t>
  </si>
  <si>
    <t xml:space="preserve">VS7</t>
  </si>
  <si>
    <t xml:space="preserve">Vertically suspended, double casing, volute</t>
  </si>
  <si>
    <t xml:space="preserve">Double-casing volute pump</t>
  </si>
  <si>
    <t xml:space="preserve">OH (unspecified)</t>
  </si>
  <si>
    <t xml:space="preserve">Overhung – subtype not stated</t>
  </si>
  <si>
    <t xml:space="preserve">Source states only "Overhung"; API subtype not given</t>
  </si>
  <si>
    <t xml:space="preserve">BB (unspecified)</t>
  </si>
  <si>
    <t xml:space="preserve">Between bearings – subtype not stated</t>
  </si>
  <si>
    <t xml:space="preserve">Source states only "Between Bearings"; API subtype not given</t>
  </si>
  <si>
    <t xml:space="preserve">VS (unspecified)</t>
  </si>
  <si>
    <t xml:space="preserve">Vertically suspended – subtype not stated</t>
  </si>
  <si>
    <t xml:space="preserve">Source states only "Vertical"; API subtype not given</t>
  </si>
  <si>
    <t xml:space="preserve">N/A (non-API 610)</t>
  </si>
  <si>
    <t xml:space="preserve">Not an API 610 pump</t>
  </si>
  <si>
    <t xml:space="preserve">Not an API 610 pump (ISO 5199, NFPA 20, JIS, positive-displacement or portable pump); API 610 type does not apply</t>
  </si>
  <si>
    <t xml:space="preserve">Pump type not stated in source</t>
  </si>
  <si>
    <t xml:space="preserve">4) Incoterm – delivery basis of prices</t>
  </si>
  <si>
    <t xml:space="preserve">Incoterm</t>
  </si>
  <si>
    <t xml:space="preserve">Meaning</t>
  </si>
  <si>
    <t xml:space="preserve">توضیح فارسی</t>
  </si>
  <si>
    <t xml:space="preserve">Used in this bank for</t>
  </si>
  <si>
    <t xml:space="preserve">EXW</t>
  </si>
  <si>
    <t xml:space="preserve">Ex Works – goods made available at the seller's works; buyer bears all transport, insurance, export/import costs</t>
  </si>
  <si>
    <t xml:space="preserve">تحویل درب کارخانه؛ همه هزینه‌های حمل، بیمه، گمرک و ترخیص با خریدار</t>
  </si>
  <si>
    <t xml:space="preserve">گچساران ۴ (هزینه حمل، بیمه، بازرسی و یدکی جدا) و اقلام ریالی کوپال</t>
  </si>
  <si>
    <t xml:space="preserve">FCA</t>
  </si>
  <si>
    <t xml:space="preserve">Free Carrier – delivered to the buyer's carrier at a named place</t>
  </si>
  <si>
    <t xml:space="preserve">تحویل به حمل‌کننده خریدار در محل تعیین‌شده</t>
  </si>
  <si>
    <t xml:space="preserve">FOB</t>
  </si>
  <si>
    <t xml:space="preserve">Free On Board – loaded on the vessel at the port of shipment; sea freight, insurance and import costs for buyer</t>
  </si>
  <si>
    <t xml:space="preserve">تحویل روی کشتی در بندر مبدأ؛ کرایه حمل دریایی، بیمه و هزینه‌های ورود با خریدار</t>
  </si>
  <si>
    <t xml:space="preserve">پازنان ۲ (۱۳۹۳ و ۱۴۰۴) و اقلام ارزی کوپال</t>
  </si>
  <si>
    <t xml:space="preserve">CFR</t>
  </si>
  <si>
    <t xml:space="preserve">Cost and Freight – seller pays sea freight to the destination port; insurance for buyer</t>
  </si>
  <si>
    <t xml:space="preserve">فروشنده کرایه حمل تا بندر مقصد را می‌پردازد؛ بیمه با خریدار</t>
  </si>
  <si>
    <t xml:space="preserve">CIF</t>
  </si>
  <si>
    <t xml:space="preserve">Cost, Insurance and Freight – seller pays sea freight and minimum insurance to the destination port</t>
  </si>
  <si>
    <t xml:space="preserve">فروشنده کرایه حمل و بیمه تا بندر مقصد را می‌پردازد</t>
  </si>
  <si>
    <t xml:space="preserve">DAP</t>
  </si>
  <si>
    <t xml:space="preserve">Delivered At Place – delivered at the named destination, not unloaded; import duties for buyer</t>
  </si>
  <si>
    <t xml:space="preserve">تحویل در مقصد تعیین‌شده (مثلاً سایت)؛ حقوق ورودی و ترخیص با خریدار</t>
  </si>
  <si>
    <t xml:space="preserve">DDP</t>
  </si>
  <si>
    <t xml:space="preserve">Delivered Duty Paid – delivered at destination with all duties paid by the seller</t>
  </si>
  <si>
    <t xml:space="preserve">تحویل در مقصد با پرداخت همه عوارض و حقوق گمرکی توسط فروشنده</t>
  </si>
  <si>
    <t xml:space="preserve">Domestic Delivered (IRR)</t>
  </si>
  <si>
    <t xml:space="preserve">Domestic supply in rials, delivered to site</t>
  </si>
  <si>
    <t xml:space="preserve">خرید داخلی ریالی با تحویل در سایت</t>
  </si>
  <si>
    <t xml:space="preserve">Delivery basis not stated in the source</t>
  </si>
  <si>
    <t xml:space="preserve">شرط تحویل در منبع ذکر نشده است</t>
  </si>
  <si>
    <t xml:space="preserve">رکوردهای CSV و نمونه قیمتی (بدون پروژه و سال)</t>
  </si>
  <si>
    <t xml:space="preserve">در همه رکوردها قیمت در سطح فروشنده است: سربار پروژه، مالیات بر ارزش افزوده و هزینه نصب در هیچ قیمتی نیست. آنچه هر قیمت دقیقاً شامل هست یا نیست، در Note ستون Incoterm همان ردیف در Master Database آمده است.</t>
  </si>
  <si>
    <t xml:space="preserve">MASTER PUMP PRICE DATABASE – v8</t>
  </si>
  <si>
    <t xml:space="preserve">ستون‌های گروه‌بندی‌شده با دکمه «+» بالای ستون‌ها باز می‌شوند. سرستون زرد = ورودی Dropdown، خاکستری = فرمول. سلول زرد پررنگ = مقدار استنباطی (شاهد در Note)؛ سلول آبی = تبدیل ارز با نرخ بانک (نرخ پروژه در Note). روی هر سرستون Note توضیحی هست.</t>
  </si>
  <si>
    <t xml:space="preserve">شناسایی</t>
  </si>
  <si>
    <t xml:space="preserve">مشخصات کلیدی</t>
  </si>
  <si>
    <t xml:space="preserve">مشخصات تکمیلی</t>
  </si>
  <si>
    <t xml:space="preserve">قیمت</t>
  </si>
  <si>
    <t xml:space="preserve">منبع و سازنده</t>
  </si>
  <si>
    <t xml:space="preserve">دامنه کار (Scope)</t>
  </si>
  <si>
    <t xml:space="preserve">کنترل و ردیابی</t>
  </si>
  <si>
    <t xml:space="preserve">محاسبات نرمال‌سازی و تعدیل (فرمول)</t>
  </si>
  <si>
    <t xml:space="preserve">شناسه اپلیکیشن</t>
  </si>
  <si>
    <t xml:space="preserve">Row</t>
  </si>
  <si>
    <t xml:space="preserve">Equipment Name</t>
  </si>
  <si>
    <t xml:space="preserve">Project Name</t>
  </si>
  <si>
    <t xml:space="preserve">Tag No.</t>
  </si>
  <si>
    <t xml:space="preserve">API 610 Type</t>
  </si>
  <si>
    <t xml:space="preserve">API 610 Material Class</t>
  </si>
  <si>
    <t xml:space="preserve">Capacity (m³/h)</t>
  </si>
  <si>
    <t xml:space="preserve">Diff. Head (m)</t>
  </si>
  <si>
    <t xml:space="preserve">Power (kW)</t>
  </si>
  <si>
    <t xml:space="preserve">Size Driver kW (est.)</t>
  </si>
  <si>
    <t xml:space="preserve">Pump Standard</t>
  </si>
  <si>
    <t xml:space="preserve">IPS Standard</t>
  </si>
  <si>
    <t xml:space="preserve">NACE MR0175 (Y/N)</t>
  </si>
  <si>
    <t xml:space="preserve">Seal Type / Arrangement</t>
  </si>
  <si>
    <t xml:space="preserve">API 682 Category</t>
  </si>
  <si>
    <t xml:space="preserve">API 682 Seal Plan</t>
  </si>
  <si>
    <t xml:space="preserve">Driver Type</t>
  </si>
  <si>
    <t xml:space="preserve">Service Fluid</t>
  </si>
  <si>
    <t xml:space="preserve">Quantity</t>
  </si>
  <si>
    <t xml:space="preserve">Pump Family</t>
  </si>
  <si>
    <t xml:space="preserve">Discharge Pressure (barg)</t>
  </si>
  <si>
    <t xml:space="preserve">Power Basis</t>
  </si>
  <si>
    <t xml:space="preserve">Cost Year (Jalali)</t>
  </si>
  <si>
    <t xml:space="preserve">Reference Currency</t>
  </si>
  <si>
    <t xml:space="preserve">Unit Price (Reference)</t>
  </si>
  <si>
    <t xml:space="preserve">Unit Price EUR (source yr)</t>
  </si>
  <si>
    <t xml:space="preserve">Unit Price USD (source yr)</t>
  </si>
  <si>
    <t xml:space="preserve">Unit Price IRR (source yr)</t>
  </si>
  <si>
    <t xml:space="preserve">Price Basis (as stated in source)</t>
  </si>
  <si>
    <t xml:space="preserve">Escalated Unit Price EUR (target yr)</t>
  </si>
  <si>
    <t xml:space="preserve">Escalated Unit Price USD (target yr)</t>
  </si>
  <si>
    <t xml:space="preserve">Escalated Unit Price IRR (target yr)</t>
  </si>
  <si>
    <t xml:space="preserve">Manufacturer / Supplier (as in source)</t>
  </si>
  <si>
    <t xml:space="preserve">Project Phase</t>
  </si>
  <si>
    <t xml:space="preserve">Scope: Driver incl.</t>
  </si>
  <si>
    <t xml:space="preserve">Scope: Baseplate &amp; Coupling</t>
  </si>
  <si>
    <t xml:space="preserve">Scope: Seal Support System</t>
  </si>
  <si>
    <t xml:space="preserve">Scope: Comm. Spares</t>
  </si>
  <si>
    <t xml:space="preserve">Scope: 2-yr Spares</t>
  </si>
  <si>
    <t xml:space="preserve">Scope: TPI</t>
  </si>
  <si>
    <t xml:space="preserve">Scope: Witnessed FAT</t>
  </si>
  <si>
    <t xml:space="preserve">QA Flag</t>
  </si>
  <si>
    <t xml:space="preserve">MAT_F</t>
  </si>
  <si>
    <t xml:space="preserve">SEAL_F</t>
  </si>
  <si>
    <t xml:space="preserve">DRIVE_F</t>
  </si>
  <si>
    <t xml:space="preserve">SCOPE_F</t>
  </si>
  <si>
    <t xml:space="preserve">ALL_F</t>
  </si>
  <si>
    <t xml:space="preserve">Normalized EUR (base config, source yr)</t>
  </si>
  <si>
    <t xml:space="preserve">PPI Base</t>
  </si>
  <si>
    <t xml:space="preserve">PPI Target</t>
  </si>
  <si>
    <t xml:space="preserve">Floor Applies</t>
  </si>
  <si>
    <t xml:space="preserve">Normalized Escalated EUR</t>
  </si>
  <si>
    <t xml:space="preserve">Cost Coefficient (NormEsc EUR / kW^n)</t>
  </si>
  <si>
    <t xml:space="preserve">Source Document</t>
  </si>
  <si>
    <t xml:space="preserve">Remarks &amp; Notes</t>
  </si>
  <si>
    <t xml:space="preserve">Include in Totals (Y/N)</t>
  </si>
  <si>
    <t xml:space="preserve">Equipment Code</t>
  </si>
  <si>
    <t xml:space="preserve">Record ID</t>
  </si>
  <si>
    <t xml:space="preserve">2nd Stage  Separators Oil Pumps</t>
  </si>
  <si>
    <t xml:space="preserve">(نام پروژه در فایل قید نشده است) – CSV 18061405</t>
  </si>
  <si>
    <t xml:space="preserve">(Not stated in source document)</t>
  </si>
  <si>
    <t xml:space="preserve">None</t>
  </si>
  <si>
    <t xml:space="preserve">Electric Motor</t>
  </si>
  <si>
    <t xml:space="preserve">Crude Oil</t>
  </si>
  <si>
    <t xml:space="preserve">Centrifugal</t>
  </si>
  <si>
    <t xml:space="preserve">(Not stated)</t>
  </si>
  <si>
    <t xml:space="preserve">USD</t>
  </si>
  <si>
    <t xml:space="preserve">Purchase price (USD) – 18061405 pump CSV; project and year not stated</t>
  </si>
  <si>
    <t xml:space="preserve">18061405_Pump_only_CSV.csv – section Pumps (row 1)</t>
  </si>
  <si>
    <t xml:space="preserve">Type: Centrifugal | Driver: موتور الکتریکی (E) | Power: 54.3 kW | Head: 95.8 m | گمرک و حمل: $14400 | Duplicate of the xlsx-sourced record for the same pump (see PUMPS.csv row); kept for reference, excluded from totals. | Original type text: Centrifugal</t>
  </si>
  <si>
    <t xml:space="preserve">N</t>
  </si>
  <si>
    <t xml:space="preserve">PMP</t>
  </si>
  <si>
    <t xml:space="preserve">3rd Stage  Separators Oil Pumps</t>
  </si>
  <si>
    <t xml:space="preserve">18061405_Pump_only_CSV.csv – section Pumps (row 2)</t>
  </si>
  <si>
    <t xml:space="preserve">Type: Centrifugal | Driver: موتور الکتریکی (E) | Power: 33.1 kW | Head: 59.9 m | گمرک و حمل: $16800 | Duplicate of the xlsx-sourced record for the same pump (see PUMPS.csv row); kept for reference, excluded from totals. | Original type text: Centrifugal</t>
  </si>
  <si>
    <t xml:space="preserve">Stabilized Oil Pump</t>
  </si>
  <si>
    <t xml:space="preserve">18061405_Pump_only_CSV.csv – section Pumps (row 3)</t>
  </si>
  <si>
    <t xml:space="preserve">Type: Centrifugal | Driver: موتور الکتریکی (E) | Power: 57.4 kW | Head: 34.8 m | گمرک و حمل: $15000 | Duplicate of the xlsx-sourced record for the same pump (see PUMPS.csv row); kept for reference, excluded from totals. | Original type text: Centrifugal</t>
  </si>
  <si>
    <t xml:space="preserve">Product Oil Pump</t>
  </si>
  <si>
    <t xml:space="preserve">18061405_Pump_only_CSV.csv – section Pumps (row 4)</t>
  </si>
  <si>
    <t xml:space="preserve">Type: Centrifugal | Driver: موتور الکتریکی (E) | Power: 379 kW | Head: 329 m | گمرک و حمل: $25200 | Duplicate of the xlsx-sourced record for the same pump (see PUMPS.csv row); kept for reference, excluded from totals. | Original type text: Centrifugal</t>
  </si>
  <si>
    <t xml:space="preserve">Off Spec Crude Pump</t>
  </si>
  <si>
    <t xml:space="preserve">18061405_Pump_only_CSV.csv – section Pumps (row 5)</t>
  </si>
  <si>
    <t xml:space="preserve">Type: Centrifugal | Driver: موتور الکتریکی (E) | Power: 48 kW | Head: 311.3 m | گمرک و حمل: $4500 | Duplicate of the xlsx-sourced record for the same pump (see PUMPS.csv row); kept for reference, excluded from totals. | Original type text: Centrifugal</t>
  </si>
  <si>
    <t xml:space="preserve">Second Stage Desalter Water Criculated Pump</t>
  </si>
  <si>
    <t xml:space="preserve">Process / Dilution Water</t>
  </si>
  <si>
    <t xml:space="preserve">18061405_Pump_only_CSV.csv – section Pumps (row 6)</t>
  </si>
  <si>
    <t xml:space="preserve">Type: Centrifugal | Driver: موتور الکتریکی (E) | Power: 2.2 kW | Head: 32 m | گمرک و حمل: $3600 | Duplicate of the xlsx-sourced record for the same pump (see PUMPS.csv row); kept for reference, excluded from totals. | Original type text: Centrifugal</t>
  </si>
  <si>
    <t xml:space="preserve">Degassing Water Pump</t>
  </si>
  <si>
    <t xml:space="preserve">18061405_Pump_only_CSV.csv – section Pumps (row 7)</t>
  </si>
  <si>
    <t xml:space="preserve">Type: Centrifugal | Driver: موتور الکتریکی (E) | Power: 13.1 kW | Head: 36.2 m | گمرک و حمل: $3600 | Duplicate of the xlsx-sourced record for the same pump (see PUMPS.csv row); kept for reference, excluded from totals. | Original type text: Centrifugal</t>
  </si>
  <si>
    <t xml:space="preserve">Disposal Water Pump</t>
  </si>
  <si>
    <t xml:space="preserve">Produced / Disposal Water</t>
  </si>
  <si>
    <t xml:space="preserve">18061405_Pump_only_CSV.csv – section Pumps (row 8)</t>
  </si>
  <si>
    <t xml:space="preserve">Type: Centrifugal | Driver: موتور الکتریکی (E) | Power: 423 kW | Head: 1383 m | گمرک و حمل: $24600 | Duplicate of the xlsx-sourced record for the same pump (see PUMPS.csv row); kept for reference, excluded from totals. | Original type text: Centrifugal</t>
  </si>
  <si>
    <t xml:space="preserve">Fresh Water Pump</t>
  </si>
  <si>
    <t xml:space="preserve">Fresh / Potable Water</t>
  </si>
  <si>
    <t xml:space="preserve">18061405_Pump_only_CSV.csv – section Pumps (row 9)</t>
  </si>
  <si>
    <t xml:space="preserve">Type: Centrifugal | Driver: موتور الکتریکی (E) | Power: 3.9 kW | Head: 41 m | گمرک و حمل: $480 | Duplicate of the xlsx-sourced record for the same pump (see PUMPS.csv row); kept for reference, excluded from totals. | Original type text: Centrifugal</t>
  </si>
  <si>
    <t xml:space="preserve">Closed Drain Pump</t>
  </si>
  <si>
    <t xml:space="preserve">Oily Water / Drain</t>
  </si>
  <si>
    <t xml:space="preserve">18061405_Pump_only_CSV.csv – section Pumps (row 10)</t>
  </si>
  <si>
    <t xml:space="preserve">Type: Centrifugal | Driver: موتور الکتریکی (E) | Power: 13.7 kW | Head: 120 m | گمرک و حمل: $2400 | Duplicate of the xlsx-sourced record for the same pump (see PUMPS.csv row); kept for reference, excluded from totals. | Original type text: Centrifugal</t>
  </si>
  <si>
    <t xml:space="preserve">Diesel Unlodaing pump</t>
  </si>
  <si>
    <t xml:space="preserve">Diesel / Fuel Oil</t>
  </si>
  <si>
    <t xml:space="preserve">PD-Rotary (Sliding Vane)</t>
  </si>
  <si>
    <t xml:space="preserve">18061405_Pump_only_CSV.csv – section Pumps (row 11)</t>
  </si>
  <si>
    <t xml:space="preserve">Type: Sliding valve | Driver: موتور الکتریکی (E) | Power: 4 kW | Head: 27.2 m | گمرک و حمل: $300 | Duplicate of the xlsx-sourced record for the same pump (see PUMPS.csv row); kept for reference, excluded from totals. | Original type text: Sliding valve</t>
  </si>
  <si>
    <t xml:space="preserve">Diesel Transfer pump</t>
  </si>
  <si>
    <t xml:space="preserve">PD-Rotary (Screw)</t>
  </si>
  <si>
    <t xml:space="preserve">18061405_Pump_only_CSV.csv – section Pumps (row 12)</t>
  </si>
  <si>
    <t xml:space="preserve">Type: Screw | Driver: موتور الکتریکی (E) | Power: 0.8 kW | Head: 40.8 m | گمرک و حمل: $180 | Duplicate of the xlsx-sourced record for the same pump (see PUMPS.csv row); kept for reference, excluded from totals. | Original type text: Screw</t>
  </si>
  <si>
    <t xml:space="preserve">Sludge Discharge Water Jet Pump</t>
  </si>
  <si>
    <t xml:space="preserve">18061405_Pump_only_CSV.csv – section Pumps (row 13)</t>
  </si>
  <si>
    <t xml:space="preserve">Type: Centrifugal | Driver: موتور الکتریکی (E) | Power: 5 kW | Head: 15 m | گمرک و حمل: $180 | Duplicate of the xlsx-sourced record for the same pump (see PUMPS.csv row); kept for reference, excluded from totals. | Original type text: Centrifugal</t>
  </si>
  <si>
    <t xml:space="preserve">Flare KO Drum Pumps</t>
  </si>
  <si>
    <t xml:space="preserve">18061405_Pump_only_CSV.csv – section Pumps (row 14)</t>
  </si>
  <si>
    <t xml:space="preserve">Type: Centrifugal | Driver: موتور الکتریکی (E) | Power: 2 kW | Head: 18 m | گمرک و حمل: $2400 | Duplicate of the xlsx-sourced record for the same pump (see PUMPS.csv row); kept for reference, excluded from totals. | Original type text: Centrifugal</t>
  </si>
  <si>
    <t xml:space="preserve">MAIN TRANSFER PUMPS</t>
  </si>
  <si>
    <t xml:space="preserve">Gachsaran 4</t>
  </si>
  <si>
    <t xml:space="preserve">P-001-A/B</t>
  </si>
  <si>
    <t xml:space="preserve">EUR</t>
  </si>
  <si>
    <t xml:space="preserve">Consultant basic-design estimate – PEP Rev.1402/05, sheet P.ME «هزینه واحد بدون ضریب»; EUR figure (converted in the PEP at 420,000×1.085 IRR/EUR) | source label: AACE Class 2</t>
  </si>
  <si>
    <t xml:space="preserve">(Gachsaran 4 Basic Design MTO)</t>
  </si>
  <si>
    <t xml:space="preserve">Basic Design</t>
  </si>
  <si>
    <t xml:space="preserve">File PEP-Rev 140205 Gachsaran 4.xlsx, sheet 'P.ME', cells A11:H11 (service in D, spec in E, unit price in H)</t>
  </si>
  <si>
    <t xml:space="preserve">Type: Centrifugal (API 610) | Driver: موتور الکتریکی (E) | Power: 216.3 kW | مشخصات کاتالوگی: 500m3/hr, 15.2 bar, 216.3 kw | Original type text: Centrifugal (assumed) | GCH4 review 1405-07: Source IRR = EUR 385,000 × 1.085 × 420,000 (P.ME H11); previous bank stored the IRR figure as 1399 IRR, which overstated EUR ≈2.6×</t>
  </si>
  <si>
    <t xml:space="preserve">Y</t>
  </si>
  <si>
    <t xml:space="preserve">AUXILLIARY TRANSFER PUMPS</t>
  </si>
  <si>
    <t xml:space="preserve">P-002-A/B</t>
  </si>
  <si>
    <t xml:space="preserve">File PEP-Rev 140205 Gachsaran 4.xlsx, sheet 'P.ME', cells A12:H12 (service in D, spec in E, unit price in H)</t>
  </si>
  <si>
    <t xml:space="preserve">Type: Centrifugal (API 610) | Driver: موتور الکتریکی (E) | Power: 108.1 kW | مشخصات کاتالوگی: 250m3/hr, 15.2 bar, 108.1 kw | Original type text: Centrifugal (assumed) | GCH4 review 1405-07: Source IRR = EUR 135,000 × 1.085 × 420,000 (P.ME H12); previous bank stored the IRR figure as 1399 IRR, which overstated EUR ≈2.6×</t>
  </si>
  <si>
    <t xml:space="preserve">OFF-SPEC PUMPS</t>
  </si>
  <si>
    <t xml:space="preserve">P-003-A/B</t>
  </si>
  <si>
    <t xml:space="preserve">File PEP-Rev 140205 Gachsaran 4.xlsx, sheet 'P.ME', cells A13:H13 (service in D, spec in E, unit price in H)</t>
  </si>
  <si>
    <t xml:space="preserve">Type: Centrifugal (API 610) | Driver: موتور الکتریکی (E) | Power: 44.2 kW | NACE MR0175: YES | مشخصات کاتالوگی: 100 m3/hr , 15.5 bar,44.2 kw | Original type text: Centrifugal (assumed) | GCH4 review 1405-07: Source IRR = EUR 140,000 × 1.085 × 420,000 (P.ME H13); previous bank stored the IRR figure as 1399 IRR, which overstated EUR ≈2.6×</t>
  </si>
  <si>
    <t xml:space="preserve">DEGASSING WATER  PUMPS</t>
  </si>
  <si>
    <t xml:space="preserve">P-005-A/B</t>
  </si>
  <si>
    <t xml:space="preserve">File PEP-Rev 140205 Gachsaran 4.xlsx, sheet 'P.ME', cells A14:H14 (service in D, spec in E, unit price in H)</t>
  </si>
  <si>
    <t xml:space="preserve">Type: Centrifugal (API 610) | Driver: موتور الکتریکی (E) | Power: 2.7 kW | مشخصات کاتالوگی: 30m3/hr, 3bar, 2.7 kw | Original type text: Centrifugal (assumed) | GCH4 review 1405-07: Source IRR = EUR 34,000 × 1.085 × 420,000 (P.ME H14); previous bank stored the IRR figure as 1399 IRR, which overstated EUR ≈2.6×</t>
  </si>
  <si>
    <t xml:space="preserve">DILUTION WATER PUMPS</t>
  </si>
  <si>
    <t xml:space="preserve">P-103</t>
  </si>
  <si>
    <t xml:space="preserve">File PEP-Rev 140205 Gachsaran 4.xlsx, sheet 'P.ME', cells A17:H17 (service in D, spec in E, unit price in H)</t>
  </si>
  <si>
    <t xml:space="preserve">Type: Centrifugal (API 610) | Driver: موتور الکتریکی (E) | Power: 12 kW | مشخصات کاتالوگی: 40m3/hr , 10.4 bar, 12 kw | Original type text: Centrifugal (assumed) | GCH4 review 1405-07: Source IRR = EUR 29,000 × 1.085 × 420,000 (P.ME H17); previous bank stored the IRR figure as 1399 IRR, which overstated EUR ≈2.6×</t>
  </si>
  <si>
    <t xml:space="preserve">P-106-A1/A2</t>
  </si>
  <si>
    <t xml:space="preserve">File PEP-Rev 140205 Gachsaran 4.xlsx, sheet 'P.ME', cells A18:H18 (service in D, spec in E, unit price in H)</t>
  </si>
  <si>
    <t xml:space="preserve">Type: Centrifugal (API 610) | Driver: موتور الکتریکی (E) | Power: 6 kW | مشخصات کاتالوگی: 20 m3/hr, 10.4 bar, 6 kw | Original type text: Centrifugal (assumed) | GCH4 review 1405-07: Source IRR = EUR 27,500 × 1.085 × 420,000 (P.ME H18); previous bank stored the IRR figure as 1399 IRR, which overstated EUR ≈2.6×</t>
  </si>
  <si>
    <t xml:space="preserve">DEAERATED WATER PUMPS</t>
  </si>
  <si>
    <t xml:space="preserve">P-102-A/B</t>
  </si>
  <si>
    <t xml:space="preserve">Deaerated Water</t>
  </si>
  <si>
    <t xml:space="preserve">File PEP-Rev 140205 Gachsaran 4.xlsx, sheet 'P.ME', cells A20:H20 (service in D, spec in E, unit price in H)</t>
  </si>
  <si>
    <t xml:space="preserve">Type: Centrifugal (API 610) | Driver: موتور الکتریکی (E) | Power: 1.35 kW | مشخصات کاتالوگی: 20m3/hr, 2.4 bar, 1.35 kw | Original type text: Centrifugal (assumed) | GCH4 review 1405-07: Source IRR = EUR 15,000 × 1.085 × 420,000 (P.ME H20); previous bank stored the IRR figure as 1399 IRR, which overstated EUR ≈2.6×</t>
  </si>
  <si>
    <t xml:space="preserve">P-105</t>
  </si>
  <si>
    <t xml:space="preserve">File PEP-Rev 140205 Gachsaran 4.xlsx, sheet 'P.ME', cells A21:H21 (service in D, spec in E, unit price in H)</t>
  </si>
  <si>
    <t xml:space="preserve">Type: Centrifugal (API 610) | Driver: موتور الکتریکی (E) | Power: 2.7 kW | مشخصات کاتالوگی: 40m3/hr, 2.4 bar, 2.7 kw | Original type text: Centrifugal (assumed) | GCH4 review 1405-07: Source IRR = EUR 17,000 × 1.085 × 420,000 (P.ME H21); previous bank stored the IRR figure as 1399 IRR, which overstated EUR ≈2.6×</t>
  </si>
  <si>
    <t xml:space="preserve">POTABLE WATER FILLING PUMP</t>
  </si>
  <si>
    <t xml:space="preserve">P-104</t>
  </si>
  <si>
    <t xml:space="preserve">File PEP-Rev 140205 Gachsaran 4.xlsx, sheet 'P.ME', cells A23:H23 (service in D, spec in E, unit price in H)</t>
  </si>
  <si>
    <t xml:space="preserve">Type: Centrifugal (API 610) | Driver: موتور الکتریکی (E) | Power: 1.4 kW | مشخصات کاتالوگی: 20m3/hr, 2.5 bar, 1.4 kw | Original type text: Centrifugal (assumed) | GCH4 review 1405-07: Source IRR = EUR 11,000 × 1.085 × 420,000 (P.ME H23); previous bank stored the IRR figure as 1399 IRR, which overstated EUR ≈2.6×</t>
  </si>
  <si>
    <t xml:space="preserve">WATER INJECTION MAIN PUMPS</t>
  </si>
  <si>
    <t xml:space="preserve">P-201-A/B/C</t>
  </si>
  <si>
    <t xml:space="preserve">File PEP-Rev 140205 Gachsaran 4.xlsx, sheet 'P.ME', cells A24:H24 (service in D, spec in E, unit price in H)</t>
  </si>
  <si>
    <t xml:space="preserve">Type: Centrifugal (API 610) | Driver: موتور الکتریکی (E) | Power: 73.6 kW | NACE MR0175: YES | مشخصات کاتالوگی: 73m3/hr (each),36.3 bar, 73.6 kw | Original type text: Centrifugal (assumed) | GCH4 review 1405-07: Source IRR = EUR 430,000 × 1.085 × 420,000 (P.ME H24); previous bank stored the IRR figure as 1399 IRR, which overstated EUR ≈2.6×</t>
  </si>
  <si>
    <t xml:space="preserve">WATER INJECTION BOOSTER PUMPS</t>
  </si>
  <si>
    <t xml:space="preserve">P-206-A/B/C</t>
  </si>
  <si>
    <t xml:space="preserve">File PEP-Rev 140205 Gachsaran 4.xlsx, sheet 'P.ME', cells A25:H25 (service in D, spec in E, unit price in H)</t>
  </si>
  <si>
    <t xml:space="preserve">Type: Centrifugal (API 610) | Driver: موتور الکتریکی (E) | Power: 36.5 kW | NACE MR0175: YES | مشخصات کاتالوگی: 36.5m3/hr (each),36.3 bar, 36.5 kw | Original type text: Centrifugal (assumed) | GCH4 review 1405-07: Source IRR = EUR 285,000 × 1.085 × 420,000 (P.ME H25); previous bank stored the IRR figure as 1399 IRR, which overstated EUR ≈2.6×</t>
  </si>
  <si>
    <t xml:space="preserve">CHEMICAL INJECTION PORTABLE PUMPS</t>
  </si>
  <si>
    <t xml:space="preserve">P-501-A/B/C</t>
  </si>
  <si>
    <t xml:space="preserve">Chemical</t>
  </si>
  <si>
    <t xml:space="preserve">File PEP-Rev 140205 Gachsaran 4.xlsx, sheet 'P.ME', cells A36:H36 (service in D, spec in E, unit price in H)</t>
  </si>
  <si>
    <t xml:space="preserve">Type: Centrifugal (API 610) | Driver: موتور الکتریکی (E) | Power: 0.45 kW | NACE MR0175: YES | مشخصات کاتالوگی: .8m/h, 2bar, 0.45 kw | Original type text: Centrifugal (assumed) | GCH4 review 1405-07: Source IRR = EUR 9,000 × 1.085 × 420,000 (P.ME H36); previous bank stored the IRR figure as 1399 IRR, which overstated EUR ≈2.6×</t>
  </si>
  <si>
    <t xml:space="preserve">FLARE K.O DRUM LIQUID PUMPS</t>
  </si>
  <si>
    <t xml:space="preserve">P-601-A/B</t>
  </si>
  <si>
    <t xml:space="preserve">File PEP-Rev 140205 Gachsaran 4.xlsx, sheet 'P.ME', cells A46:H46 (service in D, spec in E, unit price in H)</t>
  </si>
  <si>
    <t xml:space="preserve">Type: Centrifugal (API 610) | Driver: موتور الکتریکی (E) | Power: 0.33 kW | مشخصات کاتالوگی: 15m3/hr, 0.8 bar, 0.33 kw | Original type text: Centrifugal (assumed) | GCH4 review 1405-07: Source IRR = EUR 28,000 × 1.085 × 420,000 (P.ME H46); previous bank stored the IRR figure as 1399 IRR, which overstated EUR ≈2.6×</t>
  </si>
  <si>
    <t xml:space="preserve">HC CLOSED DRAIN TRANSFER PUMPS</t>
  </si>
  <si>
    <t xml:space="preserve">P-701-A/B</t>
  </si>
  <si>
    <t xml:space="preserve">File PEP-Rev 140205 Gachsaran 4.xlsx, sheet 'P.ME', cells A50:H50 (service in D, spec in E, unit price in H)</t>
  </si>
  <si>
    <t xml:space="preserve">Type: Centrifugal (API 610) | Driver: موتور الکتریکی (E) | Power: 3.3 kW | مشخصات کاتالوگی: 27.5m3/hr, 4.3 bar, 3.3 kw | Original type text: Centrifugal (assumed) | GCH4 review 1405-07: Source IRR = EUR 53,000 × 1.085 × 420,000 (P.ME H50); previous bank stored the IRR figure as 1399 IRR, which overstated EUR ≈2.6×</t>
  </si>
  <si>
    <t xml:space="preserve">HC CLOSED DRAIN DRUM SUMP PUMP</t>
  </si>
  <si>
    <t xml:space="preserve">P-702A/B</t>
  </si>
  <si>
    <t xml:space="preserve">File PEP-Rev 140205 Gachsaran 4.xlsx, sheet 'P.ME', cells A51:H51 (service in D, spec in E, unit price in H)</t>
  </si>
  <si>
    <t xml:space="preserve">Type: Centrifugal (API 610) | Driver: موتور الکتریکی (E) | Power: 0.11 kW | مشخصات کاتالوگی: 5.5m3/hr, 7 bar. 0.11 kw | Original type text: Centrifugal (assumed) | GCH4 review 1405-07: Source IRR = EUR 53,000 × 1.085 × 420,000 (P.ME H51); previous bank stored the IRR figure as 1399 IRR, which overstated EUR ≈2.6×</t>
  </si>
  <si>
    <t xml:space="preserve">CLEAN WATER PUMPS</t>
  </si>
  <si>
    <t xml:space="preserve">P-703-A/B</t>
  </si>
  <si>
    <t xml:space="preserve">File PEP-Rev 140205 Gachsaran 4.xlsx, sheet 'P.ME', cells A53:H53 (service in D, spec in E, unit price in H)</t>
  </si>
  <si>
    <t xml:space="preserve">Type: Centrifugal (API 610) | Driver: موتور الکتریکی (E) | Power: 0.54 kW | مشخصات کاتالوگی: 11m3/hr, 1.8 bar, 0.54 kw | Original type text: Centrifugal (assumed) | GCH4 review 1405-07: Source IRR = EUR 29,000 × 1.085 × 420,000 (P.ME H53); previous bank stored the IRR figure as 1399 IRR, which overstated EUR ≈2.6×</t>
  </si>
  <si>
    <t xml:space="preserve">RECOVERED WASTE OIL PUMPS</t>
  </si>
  <si>
    <t xml:space="preserve">P-704-A/B</t>
  </si>
  <si>
    <t xml:space="preserve">Slop / Dirty Oil</t>
  </si>
  <si>
    <t xml:space="preserve">File PEP-Rev 140205 Gachsaran 4.xlsx, sheet 'P.ME', cells A54:H54 (service in D, spec in E, unit price in H)</t>
  </si>
  <si>
    <t xml:space="preserve">Type: Centrifugal (API 610) | Driver: موتور الکتریکی (E) | Power: 0.8 kW | NACE MR0175: YES | مشخصات کاتالوگی: 11 m3/hr, 2.7 bar, 0.8 kw | Original type text: Centrifugal (assumed) | GCH4 review 1405-07: Source IRR = EUR 35,000 × 1.085 × 420,000 (P.ME H54); previous bank stored the IRR figure as 1399 IRR, which overstated EUR ≈2.6×</t>
  </si>
  <si>
    <t xml:space="preserve">OILY WATER SEPARATOR PUMP</t>
  </si>
  <si>
    <t xml:space="preserve">P-750</t>
  </si>
  <si>
    <t xml:space="preserve">File PEP-Rev 140205 Gachsaran 4.xlsx, sheet 'P.ME', cells A55:H55 (service in D, spec in E, unit price in H)</t>
  </si>
  <si>
    <t xml:space="preserve">Type: Centrifugal (API 610) | Driver: موتور الکتریکی (E) | Power: 0.02 kW | مشخصات کاتالوگی: 1m3/hr, 0.84 bar, 0.02kw | Original type text: Centrifugal (assumed) | GCH4 review 1405-07: Source IRR = EUR 13,350 × 1.085 × 420,000 (P.ME H55); previous bank stored the IRR figure as 1399 IRR, which overstated EUR ≈2.6×</t>
  </si>
  <si>
    <t xml:space="preserve">DIRTY OIL PUMPS</t>
  </si>
  <si>
    <t xml:space="preserve">P-705-A/B</t>
  </si>
  <si>
    <t xml:space="preserve">File PEP-Rev 140205 Gachsaran 4.xlsx, sheet 'P.ME', cells A57:H57 (service in D, spec in E, unit price in H)</t>
  </si>
  <si>
    <t xml:space="preserve">Type: Centrifugal (API 610) | Driver: موتور الکتریکی (E) | Power: 0.3 kW | NACE MR0175: YES | مشخصات کاتالوگی: 5m3/hr, 2bar, 0.3 kw | Original type text: Centrifugal (assumed) | GCH4 review 1405-07: Source IRR = EUR 31,000 × 1.085 × 420,000 (P.ME H57); previous bank stored the IRR figure as 1399 IRR, which overstated EUR ≈2.6×</t>
  </si>
  <si>
    <t xml:space="preserve">RECOVERED WASTE WATER  PUMPS</t>
  </si>
  <si>
    <t xml:space="preserve">P-706-A/B</t>
  </si>
  <si>
    <t xml:space="preserve">File PEP-Rev 140205 Gachsaran 4.xlsx, sheet 'P.ME', cells A58:H58 (service in D, spec in E, unit price in H)</t>
  </si>
  <si>
    <t xml:space="preserve">Type: Centrifugal (API 610) | Driver: موتور الکتریکی (E) | Power: 1.35 kW | NACE MR0175: YES | مشخصات کاتالوگی: 33m3/hr, 1.5 bar, 1.35 kw | Original type text: Centrifugal (assumed) | GCH4 review 1405-07: Source IRR = EUR 28,000 × 1.085 × 420,000 (P.ME H58); previous bank stored the IRR figure as 1399 IRR, which overstated EUR ≈2.6×</t>
  </si>
  <si>
    <t xml:space="preserve">DIESEL OIL PUMP</t>
  </si>
  <si>
    <t xml:space="preserve">P-801</t>
  </si>
  <si>
    <t xml:space="preserve">File PEP-Rev 140205 Gachsaran 4.xlsx, sheet 'P.ME', cells A60:H60 (service in D, spec in E, unit price in H)</t>
  </si>
  <si>
    <t xml:space="preserve">Type: Centrifugal (API 610) | Driver: دیزلی (Diesel Engine) | Power: 0.16 kW | مشخصات کاتالوگی: 10m3/hr, 0.6 bar, 0.16 kw | Original type text: Centrifugal (assumed) | GCH4 review 1405-07: Source IRR = EUR 13,500 × 1.085 × 420,000 (P.ME H60); previous bank stored the IRR figure as 1399 IRR, which overstated EUR ≈2.6×</t>
  </si>
  <si>
    <t xml:space="preserve">FIRE WATER MAIN ELECTRICAL PUMP</t>
  </si>
  <si>
    <t xml:space="preserve">P-901A/B</t>
  </si>
  <si>
    <t xml:space="preserve">Fire Water</t>
  </si>
  <si>
    <t xml:space="preserve">IRR</t>
  </si>
  <si>
    <t xml:space="preserve">Consultant basic-design estimate – PEP Rev.1402/05, sheet P.ME «هزینه واحد بدون ضریب»; IRR lump figure | source label: AACE Class 2</t>
  </si>
  <si>
    <t xml:space="preserve">File PEP-Rev 140205 Gachsaran 4.xlsx, sheet 'P.ME', cells A61:H61 (service in D, spec in E, unit price in H)</t>
  </si>
  <si>
    <t xml:space="preserve">Type: Centrifugal (API 610) | Driver: موتور الکتریکی (E) | Power: 133 kW | مشخصات کاتالوگی: 480m3/hr, 10 barg,133kw | Original type text: Centrifugal (assumed)</t>
  </si>
  <si>
    <t xml:space="preserve">FIRE WATER MAIN DESEL PUMP</t>
  </si>
  <si>
    <t xml:space="preserve">P902</t>
  </si>
  <si>
    <t xml:space="preserve">Diesel Engine</t>
  </si>
  <si>
    <t xml:space="preserve">File PEP-Rev 140205 Gachsaran 4.xlsx, sheet 'P.ME', cells A62:H62 (service in D, spec in E, unit price in H)</t>
  </si>
  <si>
    <t xml:space="preserve">Type: Centrifugal (API 610) | Driver: دیزلی (Diesel Engine) | Power: 133 kW | مشخصات کاتالوگی: 480m3/hr, 10 barg,133kw | Original type text: Centrifugal (assumed)</t>
  </si>
  <si>
    <t xml:space="preserve">FIRE WATER JOCKEY PUMPS</t>
  </si>
  <si>
    <t xml:space="preserve">P-903-A/B</t>
  </si>
  <si>
    <t xml:space="preserve">File PEP-Rev 140205 Gachsaran 4.xlsx, sheet 'P.ME', cells A63:H63 (service in D, spec in E, unit price in H)</t>
  </si>
  <si>
    <t xml:space="preserve">Type: Centrifugal (API 610) | Driver: موتور الکتریکی (E) | Power: 2.5 kW | مشخصات کاتالوگی: 15m3/hr, 6 barg, 2.5 kw | Original type text: Centrifugal (assumed)</t>
  </si>
  <si>
    <t xml:space="preserve">UNIT SUPPLY WATER PUMP</t>
  </si>
  <si>
    <t xml:space="preserve">P108A/B</t>
  </si>
  <si>
    <t xml:space="preserve">File PEP-Rev 140205 Gachsaran 4.xlsx, sheet 'P.ME', cells A64:H64 (service in D, spec in E, unit price in H)</t>
  </si>
  <si>
    <t xml:space="preserve">Type: Centrifugal (API 610) | Driver: موتور الکتریکی (E) | Power: 2.5 kW | مشخصات کاتالوگی: 15m3/hr, 6 barg, 2.5 kw | Original type text: Centrifugal (assumed) | GCH4 review 1405-07: Source IRR = EUR 17,500 × 1.085 × 420,000 (P.ME H64); previous bank stored the IRR figure as 1399 IRR, which overstated EUR ≈2.6×</t>
  </si>
  <si>
    <t xml:space="preserve">FIRE WATER LOADING PUMP</t>
  </si>
  <si>
    <t xml:space="preserve">P-904</t>
  </si>
  <si>
    <t xml:space="preserve">File PEP-Rev 140205 Gachsaran 4.xlsx, sheet 'P.ME', cells A68:H68 (service in D, spec in E, unit price in H)</t>
  </si>
  <si>
    <t xml:space="preserve">Type: Centrifugal (API 610) | Driver: موتور الکتریکی (E) | Power: 2.5 kW | مشخصات کاتالوگی: 30m3/hr, 3 bar, 2.5 kw | Original type text: Centrifugal (assumed) | GCH4 review 1405-07: Source IRR = EUR 19,500 × 1.085 × 420,000 (P.ME H68); previous bank stored the IRR figure as 1399 IRR, which overstated EUR ≈2.6×</t>
  </si>
  <si>
    <t xml:space="preserve">Salty Crude Transfer Pumps</t>
  </si>
  <si>
    <t xml:space="preserve">Koopal Asmari</t>
  </si>
  <si>
    <t xml:space="preserve">P-111 A/B/C</t>
  </si>
  <si>
    <t xml:space="preserve">API 610</t>
  </si>
  <si>
    <t xml:space="preserve">IPS-G-PM-105</t>
  </si>
  <si>
    <t xml:space="preserve">Consultant FEED MTO estimate – KPL-476 R03 (Jan 2016); vendor-level price in EUR, before project overhead | source label: AACE Class 3</t>
  </si>
  <si>
    <t xml:space="preserve">(Koopal FEED Study / Hirgan Energy)</t>
  </si>
  <si>
    <t xml:space="preserve">FEED</t>
  </si>
  <si>
    <t xml:space="preserve">File 91215-KPL-ME-RE-476 R03, sheet 'PUMPS-A (1)', cells A19:F26 + unit price EUR AK19</t>
  </si>
  <si>
    <t xml:space="preserve">Type: Centrifugal (API 610) | Driver: موتور الکتریکی (E) | NACE MR0175: YES | وزن MTO: 6000 kg | Rated Flow: 354 m³/hr | Differential Head: 31.2 m | Discharge Pressure: 4 Barg | Material Class: D1 (Acc. to API 610) | Design Code: API 610 &amp; IPS-G-PM-105 | Unit Price: EUR 55,000 (Source: 91215-KPL-ME-RE-476 R03, sheet PUMPS-A(1), tag P-111 A/B/C) | Original type text: Centrifugal (OH2) | Original material text: D1 – Duplex stainless steel casing &amp; trim (API 610) | KPL-A review 1405-07: Design code: API 610 &amp; IPS-G-PM-105; installation weight 6,000 kg for tag group (INS-PUMP-A (1) AF21)</t>
  </si>
  <si>
    <t xml:space="preserve">Salty Crude Booster Pumps</t>
  </si>
  <si>
    <t xml:space="preserve">P-114 A/B/C</t>
  </si>
  <si>
    <t xml:space="preserve">File 91215-KPL-ME-RE-476 R03, sheet 'PUMPS-A (1)', cells A27:F34 + unit price EUR AK27</t>
  </si>
  <si>
    <t xml:space="preserve">Type: Centrifugal (API 610) | Driver: موتور الکتریکی (E) | NACE MR0175: YES | وزن MTO: 9600 kg | Rated Flow: 255 m³/hr | Differential Head: 170 m | Discharge Pressure: 17.2 Barg | Material Class: D1 (Acc. to API 610) | Design Code: API 610 &amp; IPS-G-PM-105 | Unit Price: EUR 60,000 (Source: 91215-KPL-ME-RE-476 R03, sheet PUMPS-A(1), tag P-114 A/B/C) | Original type text: Centrifugal (OH2) | Original material text: D1 – Duplex stainless steel casing &amp; trim (API 610) | KPL-A review 1405-07: Design code: API 610 &amp; IPS-G-PM-105; installation weight 9,600 kg for tag group (INS-PUMP-A (1) AF23)</t>
  </si>
  <si>
    <t xml:space="preserve">Dirty Oil Pumps</t>
  </si>
  <si>
    <t xml:space="preserve">P-135 A/B</t>
  </si>
  <si>
    <t xml:space="preserve">API 676</t>
  </si>
  <si>
    <t xml:space="preserve">IPS-M-PM-140</t>
  </si>
  <si>
    <t xml:space="preserve">PD-Rotary (Gear)</t>
  </si>
  <si>
    <t xml:space="preserve">File 91215-KPL-ME-RE-476 R03, sheet 'PUMPS-A (1)', cells A35:F41 + unit price EUR AK35</t>
  </si>
  <si>
    <t xml:space="preserve">Type: Centrifugal (API 610) | Driver: موتور الکتریکی (E) | NACE MR0175: YES | وزن MTO: 1000 kg | Rated Flow: 5 m³/hr | Discharge Pressure: 5.3 Barg | Material Class: D1 (Acc. to API 610) | Design Code: API 676 &amp; IPS-M-PM-140 | Unit Price: EUR 10,000 (Source: 91215-KPL-ME-RE-476 R03, sheet PUMPS-A(1), tag P-135 A/B) | Original type text: P.D.-Rotary (Ext. Gear) | Original material text: D1 – Duplex stainless steel casing &amp; trim (API 610) | KPL-A review 1405-07: Design code: API 676 &amp; IPS-M-PM-140; installation weight 1,000 kg for tag group (INS-PUMP-A (1) AF25)</t>
  </si>
  <si>
    <t xml:space="preserve">Free Water Transfer Pumps</t>
  </si>
  <si>
    <t xml:space="preserve">P-136 A/B</t>
  </si>
  <si>
    <t xml:space="preserve">File 91215-KPL-ME-RE-476 R03, sheet 'PUMPS-A (1)', cells A42:F49 + unit price EUR AK42</t>
  </si>
  <si>
    <t xml:space="preserve">Type: Centrifugal (API 610) | Driver: موتور الکتریکی (E) | وزن MTO: 1200 kg | Rated Flow: 21 m³/hr | Differential Head: 27.6 m | Discharge Pressure: 4 Barg | Material Class: D2 (Acc. to API 610) | Design Code: API 610 &amp; IPS-G-PM-105 | Unit Price: EUR 30,000 (Source: 91215-KPL-ME-RE-476 R03, sheet PUMPS-A(1), tag P-136 A/B) | Original type text: Centrifugal (OH2) | Original material text: D2 – Super-duplex stainless steel casing &amp; trim (API 610) | KPL-A review 1405-07: Design code: API 610 &amp; IPS-G-PM-105; installation weight 1,200 kg for tag group (INS-PUMP-A (1) AF27)</t>
  </si>
  <si>
    <t xml:space="preserve">Disposal Water Injection Main Pumps</t>
  </si>
  <si>
    <t xml:space="preserve">P-137 A/B</t>
  </si>
  <si>
    <t xml:space="preserve">File 91215-KPL-ME-RE-476 R03, sheet 'PUMPS-A (2)', cells A19:F26 + unit price EUR AK19</t>
  </si>
  <si>
    <t xml:space="preserve">Type: Centrifugal (API 610) | Driver: موتور الکتریکی (E) | NACE MR0175: YES | وزن MTO: 5000 kg | Rated Flow: 73 m³/hr | Differential Head: 607.4 m | Discharge Pressure: 74.4 Barg | Material Class: D2 (Acc. to API 610) | Design Code: API 610 &amp; IPS-G-PM-105 | Unit Price: EUR 210,000 (Source: 91215-KPL-ME-RE-476 R03, sheet PUMPS-A(2), tag P-137 A/B) | Original type text: Centrifugal (BB3) | Original material text: D2 – Super-duplex stainless steel casing &amp; trim (API 610) | KPL-A review 1405-07: Design code: API 610 &amp; IPS-G-PM-105; installation weight 5,000 kg for tag group (INS-PUMP-A (1) AF29)</t>
  </si>
  <si>
    <t xml:space="preserve">Disposal Water Injection Booster Pumps</t>
  </si>
  <si>
    <t xml:space="preserve">P-139 A/B</t>
  </si>
  <si>
    <t xml:space="preserve">File 91215-KPL-ME-RE-476 R03, sheet 'PUMPS-A (2)', cells A27:F34 + unit price EUR AK27</t>
  </si>
  <si>
    <t xml:space="preserve">Type: Centrifugal (API 610) | Driver: موتور الکتریکی (E) | NACE MR0175: YES | وزن MTO: 4000 kg | Rated Flow: 36 m³/hr | Differential Head: 331 m | Discharge Pressure: 37.4 Barg | Material Class: D2 (Acc. to API 610) | Design Code: API 610 &amp; IPS-G-PM-105 | Unit Price: EUR 150,000 (Source: 91215-KPL-ME-RE-476 R03, sheet PUMPS-A(2), tag P-139 A/B) | Original type text: Centrifugal (BB3) | Original material text: D2 – Super-duplex stainless steel casing &amp; trim (API 610) | KPL-A review 1405-07: Design code: API 610 &amp; IPS-G-PM-105; installation weight 4,000 kg for tag group (INS-PUMP-A (1) AF31)</t>
  </si>
  <si>
    <t xml:space="preserve">Dilution Water Pumps</t>
  </si>
  <si>
    <t xml:space="preserve">P-151 A/B</t>
  </si>
  <si>
    <t xml:space="preserve">File 91215-KPL-ME-RE-476 R03, sheet 'PUMPS-A (2)', cells A35:F42 + unit price EUR AK35</t>
  </si>
  <si>
    <t xml:space="preserve">Type: Centrifugal (API 610) | Driver: موتور الکتریکی (E) | وزن MTO: 2400 kg | Rated Flow: 23 m³/hr | Differential Head: 158 m | Discharge Pressure: 16.7 Barg | Material Class: S5 (Acc. to API 610) | Design Code: API 610 &amp; IPS-G-PM-105 | Unit Price: EUR 16,500 (Source: 91215-KPL-ME-RE-476 R03, sheet PUMPS-A(2), tag P-151 A/B) | Original type text: Centrifugal (OH2) | Original material text: S5 – Carbon steel casing &amp; trim (API 610) | KPL-A review 1405-07: Design code: API 610 &amp; IPS-G-PM-105; installation weight 2,400 kg for tag group (INS-PUMP-A (1) AF33)</t>
  </si>
  <si>
    <t xml:space="preserve">Dilution Water Pump</t>
  </si>
  <si>
    <t xml:space="preserve">P-152</t>
  </si>
  <si>
    <t xml:space="preserve">File 91215-KPL-ME-RE-476 R03, sheet 'PUMPS-A (2)', cells A43:F50 + unit price EUR AK43</t>
  </si>
  <si>
    <t xml:space="preserve">Type: Centrifugal (API 610) | Driver: موتور الکتریکی (E) | وزن MTO: 500 kg | Rated Flow: 43 m³/hr | Differential Head: 158 m | Discharge Pressure: 16.7 Barg | Material Class: S5 (Acc. to API 610) | Design Code: API 610 &amp; IPS-G-PM-105 | Unit Price: EUR 17,500 (Source: 91215-KPL-ME-RE-476 R03, sheet PUMPS-A(2), tag P-152) | Original type text: Centrifugal (OH2) | Original material text: S5 – Carbon steel casing &amp; trim (API 610) | KPL-A review 1405-07: Design code: API 610 &amp; IPS-G-PM-105; installation weight 500 kg for tag group (INS-PUMP-A (1) AF35)</t>
  </si>
  <si>
    <t xml:space="preserve">Flare K.O. Drum Pumps</t>
  </si>
  <si>
    <t xml:space="preserve">P-171 A/B</t>
  </si>
  <si>
    <t xml:space="preserve">File 91215-KPL-ME-RE-476 R03, sheet 'PUMPS-A (3)', cells A19:F26 + unit price EUR AK19</t>
  </si>
  <si>
    <t xml:space="preserve">Type: Centrifugal (OH2) | Driver: موتور الکتریکی (E) | Head: 50 m | پروژه کوپال | Contract 53-73-1264 | Original type text: Centrifugal (OH2) | Original material text: S6 – Carbon steel casing, 12% Cr trim (API 610) | KPL-A review 1405-07: Design code: API 610 &amp; IPS-G-PM-105; installation weight 1,200 kg for tag group (INS-PUMP-A (1) AF37)</t>
  </si>
  <si>
    <t xml:space="preserve">O.W.S. Oil Pumps</t>
  </si>
  <si>
    <t xml:space="preserve">P-231 A/B</t>
  </si>
  <si>
    <t xml:space="preserve">PD-Rotary (Progressing Cavity)</t>
  </si>
  <si>
    <t xml:space="preserve">File 91215-KPL-ME-RE-476 R03, sheet 'PUMPS-A (3)', cells A27:F33 + unit price EUR AK27</t>
  </si>
  <si>
    <t xml:space="preserve">Type: P.D.-Rotary (Progressing Cavity) | Driver: موتور الکتریکی (E) | پروژه کوپال | Contract 53-73-1264 | Original type text: P.D.-Rotary (Progressing Cavity) | Original material text: D1 – Duplex stainless steel casing &amp; trim (API 610) | KPL-A review 1405-07: Design code: API 676 &amp; IPS-M-PM-140; installation weight 2,000 kg for tag group (INS-PUMP-A (1) AF39)</t>
  </si>
  <si>
    <t xml:space="preserve">O.W.S. Water Pumps</t>
  </si>
  <si>
    <t xml:space="preserve">P-232 A/B</t>
  </si>
  <si>
    <t xml:space="preserve">File 91215-KPL-ME-RE-476 R03, sheet 'PUMPS-A (3)', cells A34:F41 + unit price EUR AK34</t>
  </si>
  <si>
    <t xml:space="preserve">Type: Centrifugal (OH2) | Driver: موتور الکتریکی (E) | Head: 27.6 m | پروژه کوپال | Contract 53-73-1264 | Original type text: Centrifugal (OH2) | Original material text: D2 – Super-duplex stainless steel casing &amp; trim (API 610) | KPL-A review 1405-07: Design code: API 610 &amp; IPS-G-PM-105; installation weight 1,200 kg for tag group (INS-PUMP-A (1) AF41)</t>
  </si>
  <si>
    <t xml:space="preserve">Closed Drain Drum Pumps</t>
  </si>
  <si>
    <t xml:space="preserve">P-234 A/B</t>
  </si>
  <si>
    <t xml:space="preserve">File 91215-KPL-ME-RE-476 R03, sheet 'PUMPS-A (3)', cells A42:F49 + unit price EUR AK42</t>
  </si>
  <si>
    <t xml:space="preserve">Type: Centrifugal (OH2) | Driver: موتور الکتریکی (E) | Head: 46.81 m | پروژه کوپال | Contract 53-73-1264 | Original type text: Centrifugal (OH2) | Original material text: D2 – Super-duplex stainless steel casing &amp; trim (API 610) | KPL-A review 1405-07: Design code: API 610 &amp; IPS-G-PM-105; installation weight 1,400 kg for tag group (INS-PUMP-A (1) AF43)</t>
  </si>
  <si>
    <t xml:space="preserve">Desalters Recycle Pumps</t>
  </si>
  <si>
    <t xml:space="preserve">P-113 A/B</t>
  </si>
  <si>
    <t xml:space="preserve">Consultant FEED MTO estimate – KPL-476 R03 (Jan 2016); pump priced inside its package, no separate price | source label: AACE Class 3</t>
  </si>
  <si>
    <t xml:space="preserve">File 91215-KPL-ME-RE-476 R03, sheet 'DESALTERS-A', cells F31:F36</t>
  </si>
  <si>
    <t xml:space="preserve">Type: Centrifugal (API 610) | Driver: موتور الکتریکی (E) | وزن MTO: 1600 kg | Original type text: Centrifugal (OH2) | Original material text: D2 – Super-duplex stainless steel casing &amp; trim (API 610) | KPL-A review 1405-07: Priced inside Desalting Package PK-111 (DESALTERS-A AK19 = 3,500,000 EUR), no separate price; API 610 &amp; IPS-G-PM-105; installation weight 1,600 kg (INS-PUMP-A (1) AF45)</t>
  </si>
  <si>
    <t xml:space="preserve">IGF Water Recycle Pumps</t>
  </si>
  <si>
    <t xml:space="preserve">P-130 A/B</t>
  </si>
  <si>
    <t xml:space="preserve">File 91215-KPL-ME-RE-476 R03, sheet 'INS-PUMP-A (1)', cells AL47:AQ47</t>
  </si>
  <si>
    <t xml:space="preserve">Type: Centrifugal (API 610) | Driver: موتور الکتریکی (E) | وزن MTO: 1000 kg | Original type text: Centrifugal (assumed) | KPL-A review 1405-07: Priced inside IGF Package PK-131 (IWWTP-A (1) AK19 = 1,000,000 EUR), no separate price; installation weight 1,000 kg (INS-PUMP-A (1) AF47)</t>
  </si>
  <si>
    <t xml:space="preserve">IGF De-oiled Waste Booster Pumps</t>
  </si>
  <si>
    <t xml:space="preserve">P-131 A/B</t>
  </si>
  <si>
    <t xml:space="preserve">File 91215-KPL-ME-RE-476 R03, sheet 'INS-PUMP-A (1)', cells AL49:AQ49</t>
  </si>
  <si>
    <t xml:space="preserve">Type: Centrifugal (API 610) | Driver: موتور الکتریکی (E) | وزن MTO: 1000 kg | Original type text: Centrifugal (assumed) | KPL-A review 1405-07: Priced inside IGF Package PK-131 (IWWTP-A (1) AK19 = 1,000,000 EUR), no separate price; installation weight 1,000 kg (INS-PUMP-A (1) AF49)</t>
  </si>
  <si>
    <t xml:space="preserve">P-132 A/B</t>
  </si>
  <si>
    <t xml:space="preserve">File 91215-KPL-ME-RE-476 R03, sheet 'INS-PUMP-A (2)', cells AL19:AQ19</t>
  </si>
  <si>
    <t xml:space="preserve">Type: Centrifugal (API 610) | Driver: موتور الکتریکی (E) | وزن MTO: 1000 kg | Original type text: Centrifugal (assumed) | KPL-A review 1405-07: Priced inside IGF Package PK-131 (IWWTP-A (1) AK19 = 1,000,000 EUR), no separate price; installation weight 1,000 kg (INS-PUMP-A (2) AF19)</t>
  </si>
  <si>
    <t xml:space="preserve">IGF Recovered Waste Oil Pumps</t>
  </si>
  <si>
    <t xml:space="preserve">P-133 A/B</t>
  </si>
  <si>
    <t xml:space="preserve">File 91215-KPL-ME-RE-476 R03, sheet 'INS-PUMP-A (2)', cells AL21:AQ21</t>
  </si>
  <si>
    <t xml:space="preserve">Type: Centrifugal (API 610) | Driver: موتور الکتریکی (E) | وزن MTO: 1000 kg | Original type text: Centrifugal (assumed) | KPL-A review 1405-07: Priced inside IGF Package PK-131 (IWWTP-A (1) AK19 = 1,000,000 EUR), no separate price; installation weight 1,000 kg (INS-PUMP-A (2) AF21)</t>
  </si>
  <si>
    <t xml:space="preserve">IGF Oily Sludge Pumps</t>
  </si>
  <si>
    <t xml:space="preserve">P-134 A/B</t>
  </si>
  <si>
    <t xml:space="preserve">Sludge</t>
  </si>
  <si>
    <t xml:space="preserve">File 91215-KPL-ME-RE-476 R03, sheet 'INS-PUMP-A (2)', cells AL23:AQ23</t>
  </si>
  <si>
    <t xml:space="preserve">Type: Centrifugal (API 610) | Driver: موتور الکتریکی (E) | وزن MTO: 1400 kg | Original type text: Centrifugal (assumed) | KPL-A review 1405-07: Priced inside IGF Package PK-131 (IWWTP-A (1) AK19 = 1,000,000 EUR), no separate price; installation weight 1,400 kg (INS-PUMP-A (2) AF23); type corrected from "Centrifugal (assumed)" to P.D.-Rotary (Twin Screw)</t>
  </si>
  <si>
    <t xml:space="preserve">Koopal Bangestan</t>
  </si>
  <si>
    <t xml:space="preserve">P-121 A/B/C</t>
  </si>
  <si>
    <t xml:space="preserve">File 91215-KPL-ME-RE-476 R03, sheet 'PUMPS-B', cells A19:F27 + unit price EUR AK19</t>
  </si>
  <si>
    <t xml:space="preserve">Type: Centrifugal (OH2) | Driver: موتور الکتریکی (E) | Head: 33.4 m | NACE MR0175: YES | پروژه کوپال | Contract 53-73-1264 | Original type text: Centrifugal (OH2) | Original material text: D1 – Duplex stainless steel casing &amp; trim (API 610) | KPL-B review 1405-07: Design code: API 610 &amp; IPS-G-PM-105; installation weight 6,000 kg for tag group (INS-PUMP-B (1) AF21)</t>
  </si>
  <si>
    <t xml:space="preserve">Off-Spec. Crude Pumps</t>
  </si>
  <si>
    <t xml:space="preserve">P-122 A/B</t>
  </si>
  <si>
    <t xml:space="preserve">File 91215-KPL-ME-RE-476 R03, sheet 'PUMPS-B', cells A28:F36 + unit price EUR AK28</t>
  </si>
  <si>
    <t xml:space="preserve">Type: Centrifugal (OH2) | Driver: موتور الکتریکی (E) | Head: 39 m | NACE MR0175: YES | پروژه کوپال | Contract 53-73-1264 | Original type text: Centrifugal (OH2) | Original material text: D1 – Duplex stainless steel casing &amp; trim (API 610) | KPL-B review 1405-07: Design code: API 610 &amp; IPS-G-PM-105; installation weight 1,400 kg for tag group (INS-PUMP-B (1) AF23)</t>
  </si>
  <si>
    <t xml:space="preserve">P-124 A/B/C</t>
  </si>
  <si>
    <t xml:space="preserve">File 91215-KPL-ME-RE-476 R03, sheet 'PUMPS-B', cells A37:F45 + unit price EUR AK37</t>
  </si>
  <si>
    <t xml:space="preserve">Type: Centrifugal (OH2) | Driver: موتور الکتریکی (E) | Head: 186.3 m | NACE MR0175: YES | پروژه کوپال | Contract 53-73-1264 | Original type text: Centrifugal (OH2) | Original material text: D1 – Duplex stainless steel casing &amp; trim (API 610) | KPL-B review 1405-07: Design code: API 610 &amp; IPS-G-PM-105; installation weight 7,500 kg for tag group (INS-PUMP-B (1) AF25)</t>
  </si>
  <si>
    <t xml:space="preserve">P-145 A/B</t>
  </si>
  <si>
    <t xml:space="preserve">File 91215-KPL-ME-RE-476 R03, sheet 'PUMPS-B (2)', cells A19:F26 + unit price EUR AK19</t>
  </si>
  <si>
    <t xml:space="preserve">Type: P.D.-Rotary (Ext. Gear) | Driver: موتور الکتریکی (E) | NACE MR0175: YES | پروژه کوپال | Contract 53-73-1264 | Original type text: P.D.-Rotary (Ext. Gear) | Original material text: D1 – Duplex stainless steel casing &amp; trim (API 610) | KPL-B review 1405-07: Design code: API 676 &amp; IPS-M-PM-140; installation weight 1,000 kg for tag group (INS-PUMP-B (1) AF27)</t>
  </si>
  <si>
    <t xml:space="preserve">P-146 A/B</t>
  </si>
  <si>
    <t xml:space="preserve">File 91215-KPL-ME-RE-476 R03, sheet 'PUMPS-B (2)', cells A27:F35 + unit price EUR AK27</t>
  </si>
  <si>
    <t xml:space="preserve">Type: Centrifugal (OH2) | Driver: موتور الکتریکی (E) | Head: 27.6 m | NACE MR0175: YES | پروژه کوپال | Contract 53-73-1264 | Original type text: Centrifugal (OH2) | Original material text: D2 – Super-duplex stainless steel casing &amp; trim (API 610) | KPL-B review 1405-07: Design code: API 610 &amp; IPS-G-PM-105; installation weight 1,200 kg for tag group (INS-PUMP-B (1) AF29)</t>
  </si>
  <si>
    <t xml:space="preserve">P-147 A/B</t>
  </si>
  <si>
    <t xml:space="preserve">File 91215-KPL-ME-RE-476 R03, sheet 'PUMPS-B (2)', cells A36:F44 + unit price EUR AK36</t>
  </si>
  <si>
    <t xml:space="preserve">Type: Centrifugal (BB3) | Driver: موتور الکتریکی (E) | Head: 670 m | NACE MR0175: YES | پروژه کوپال | Contract 53-73-1264 | Original type text: Centrifugal (BB3) | Original material text: D2 – Super-duplex stainless steel casing &amp; trim (API 610) | KPL-B review 1405-07: Design code: API 610 &amp; IPS-G-PM-105; installation weight 4,600 kg for tag group (INS-PUMP-B (1) AF31)</t>
  </si>
  <si>
    <t xml:space="preserve">P-149 A/B</t>
  </si>
  <si>
    <t xml:space="preserve">File 91215-KPL-ME-RE-476 R03, sheet 'PUMPS-B (3)', cells A19:F27 + unit price EUR AK19</t>
  </si>
  <si>
    <t xml:space="preserve">Type: Centrifugal (BB3) | Driver: موتور الکتریکی (E) | Head: 331 m | NACE MR0175: YES | پروژه کوپال | Contract 53-73-1264 | Original type text: Centrifugal (BB3) | Original material text: D2 – Super-duplex stainless steel casing &amp; trim (API 610) | KPL-B review 1405-07: Design code: API 610 &amp; IPS-G-PM-105; installation weight 3,600 kg for tag group (INS-PUMP-B (1) AF33)</t>
  </si>
  <si>
    <t xml:space="preserve">P-161 A/B</t>
  </si>
  <si>
    <t xml:space="preserve">File 91215-KPL-ME-RE-476 R03, sheet 'PUMPS-B (3)', cells A28:F35 + unit price EUR AK28</t>
  </si>
  <si>
    <t xml:space="preserve">Type: Centrifugal (OH2) | Driver: موتور الکتریکی (E) | Head: 168 m | پروژه کوپال | Contract 53-73-1264 | Original type text: Centrifugal (OH2) | Original material text: S5 – Carbon steel casing &amp; trim (API 610) | KPL-B review 1405-07: Design code: API 610 &amp; IPS-G-PM-105; installation weight 2,200 kg for tag group (INS-PUMP-B (1) AF35)</t>
  </si>
  <si>
    <t xml:space="preserve">P-162</t>
  </si>
  <si>
    <t xml:space="preserve">File 91215-KPL-ME-RE-476 R03, sheet 'PUMPS-B (3)', cells A36:F43 + unit price EUR AK36</t>
  </si>
  <si>
    <t xml:space="preserve">Type: Centrifugal (OH2) | Driver: موتور الکتریکی (E) | Head: 168 m | پروژه کوپال | Contract 53-73-1264 | Original type text: Centrifugal (OH2) | Original material text: S5 – Carbon steel casing &amp; trim (API 610) | KPL-B review 1405-07: Design code: API 610 &amp; IPS-G-PM-105; installation weight 500 kg for tag group (INS-PUMP-B (1) AF37)</t>
  </si>
  <si>
    <t xml:space="preserve">P-181 A/B</t>
  </si>
  <si>
    <t xml:space="preserve">File 91215-KPL-ME-RE-476 R03, sheet 'PUMPS-B (4)', cells A19:F26 + unit price EUR AK19</t>
  </si>
  <si>
    <t xml:space="preserve">Type: Centrifugal (OH2) | Driver: موتور الکتریکی (E) | Head: 52 m | پروژه کوپال | Contract 53-73-1264 | Original type text: Centrifugal (OH2) | Original material text: S6 – Carbon steel casing, 12% Cr trim (API 610) | KPL-B review 1405-07: Design code: API 610 &amp; IPS-G-PM-105; installation weight 1,200 kg for tag group (INS-PUMP-B (1) AF39) | KPL-B review 1405-07: NACE=N inferred by omission – VERIFY (flare KO liquid of sour Bangestan train)</t>
  </si>
  <si>
    <t xml:space="preserve">P-241 A/B</t>
  </si>
  <si>
    <t xml:space="preserve">File 91215-KPL-ME-RE-476 R03, sheet 'PUMPS-B (4)', cells A27:F34 + unit price EUR AK27</t>
  </si>
  <si>
    <t xml:space="preserve">Type: P.D.-Rotary (Progressing Cavity) | Driver: موتور الکتریکی (E) | NACE MR0175: YES | پروژه کوپال | Contract 53-73-1264 | Original type text: P.D.-Rotary (Progressing Cavity) | Original material text: D1 – Duplex stainless steel casing &amp; trim (API 610) | KPL-B review 1405-07: Design code: API 676 &amp; IPS-M-PM-140; installation weight 2,000 kg for tag group (INS-PUMP-B (1) AF41)</t>
  </si>
  <si>
    <t xml:space="preserve">P-242 A/B</t>
  </si>
  <si>
    <t xml:space="preserve">File 91215-KPL-ME-RE-476 R03, sheet 'PUMPS-B (4)', cells A35:F43 + unit price EUR AK35</t>
  </si>
  <si>
    <t xml:space="preserve">Type: Centrifugal (OH2) | Driver: موتور الکتریکی (E) | Head: 28 m | NACE MR0175: YES | پروژه کوپال | Contract 53-73-1264 | Original type text: Centrifugal (OH2) | Original material text: D2 – Super-duplex stainless steel casing &amp; trim (API 610) | KPL-B review 1405-07: Design code: API 610 &amp; IPS-G-PM-105; installation weight 1,200 kg for tag group (INS-PUMP-B (1) AF43)</t>
  </si>
  <si>
    <t xml:space="preserve">P-244 A/B</t>
  </si>
  <si>
    <t xml:space="preserve">File 91215-KPL-ME-RE-476 R03, sheet 'PUMPS-B (5)', cells A19:F27 + unit price EUR AK19</t>
  </si>
  <si>
    <t xml:space="preserve">Type: Centrifugal (OH2) | Driver: موتور الکتریکی (E) | Head: 61 m | NACE MR0175: YES | پروژه کوپال | Contract 53-73-1264 | Original type text: Centrifugal (OH2) | Original material text: D2 – Super-duplex stainless steel casing &amp; trim (API 610) | KPL-B review 1405-07: Design code: API 610 &amp; IPS-G-PM-105; installation weight 1,400 kg for tag group (INS-PUMP-B (1) AF45)</t>
  </si>
  <si>
    <t xml:space="preserve">P-123 A/B</t>
  </si>
  <si>
    <t xml:space="preserve">File 91215-KPL-ME-RE-476 R03, sheet 'DESALTERS-B', cells F32:F37</t>
  </si>
  <si>
    <t xml:space="preserve">Type: Centrifugal (API 610) | Driver: موتور الکتریکی (E) | وزن MTO: 1600 kg | Original type text: Centrifugal (OH2) | Original material text: D2 – Super-duplex stainless steel casing &amp; trim (API 610) | KPL-B review 1405-07: Priced inside Desalting Package PK-121 (DESALTERS-B AK19), no separate price; API 610 &amp; IPS-G-PM-105; installation weight 1,600 kg (INS-PUMP-B (1) AF47)</t>
  </si>
  <si>
    <t xml:space="preserve">P-140 A/B</t>
  </si>
  <si>
    <t xml:space="preserve">File 91215-KPL-ME-RE-476 R03, sheet 'INS-PUMP-B (1)', cells AL49:AQ49</t>
  </si>
  <si>
    <t xml:space="preserve">Type: Centrifugal (API 610) | Driver: موتور الکتریکی (E) | وزن MTO: 1000 kg | Original type text: Centrifugal (assumed) | KPL-B review 1405-07: Priced inside IGF Package PK-141 (IWWTP-B (1) AK19 = 600,000 EUR), no separate price; installation weight 1,000 kg (INS-PUMP-B (1) AF49)</t>
  </si>
  <si>
    <t xml:space="preserve">P-141 A/B</t>
  </si>
  <si>
    <t xml:space="preserve">File 91215-KPL-ME-RE-476 R03, sheet 'INS-PUMP-B (2)', cells AL19:AQ19</t>
  </si>
  <si>
    <t xml:space="preserve">Type: Centrifugal (API 610) | Driver: موتور الکتریکی (E) | وزن MTO: 1000 kg | Original type text: Centrifugal (assumed) | KPL-B review 1405-07: Priced inside IGF Package PK-141 (IWWTP-B (1) AK19 = 600,000 EUR), no separate price; installation weight 1,000 kg (INS-PUMP-B (2) AF19)</t>
  </si>
  <si>
    <t xml:space="preserve">P-142 A/B</t>
  </si>
  <si>
    <t xml:space="preserve">File 91215-KPL-ME-RE-476 R03, sheet 'INS-PUMP-B (2)', cells AL21:AQ21</t>
  </si>
  <si>
    <t xml:space="preserve">Type: Centrifugal (API 610) | Driver: موتور الکتریکی (E) | وزن MTO: 1000 kg | Original type text: Centrifugal (assumed) | KPL-B review 1405-07: Priced inside IGF Package PK-141 (IWWTP-B (1) AK19 = 600,000 EUR), no separate price; installation weight 1,000 kg (INS-PUMP-B (2) AF21)</t>
  </si>
  <si>
    <t xml:space="preserve">P-143 A/B</t>
  </si>
  <si>
    <t xml:space="preserve">File 91215-KPL-ME-RE-476 R03, sheet 'INS-PUMP-B (2)', cells AL23:AQ23</t>
  </si>
  <si>
    <t xml:space="preserve">Type: Centrifugal (API 610) | Driver: موتور الکتریکی (E) | وزن MTO: 1000 kg | Original type text: Centrifugal (assumed) | KPL-B review 1405-07: Priced inside IGF Package PK-141 (IWWTP-B (1) AK19 = 600,000 EUR), no separate price; installation weight 1,000 kg (INS-PUMP-B (2) AF23)</t>
  </si>
  <si>
    <t xml:space="preserve">P-144 A/B</t>
  </si>
  <si>
    <t xml:space="preserve">File 91215-KPL-ME-RE-476 R03, sheet 'INS-PUMP-B (2)', cells AL25:AQ25</t>
  </si>
  <si>
    <t xml:space="preserve">Type: Centrifugal (API 610) | Driver: موتور الکتریکی (E) | وزن MTO: 1400 kg | Original type text: Centrifugal (assumed) | KPL-B review 1405-07: Priced inside IGF Package PK-141 (IWWTP-B (1) AK19 = 600,000 EUR), no separate price; installation weight 1,400 kg (INS-PUMP-B (2) AF25); type corrected from "Centrifugal (assumed)" to P.D.-Rotary (Twin Screw)</t>
  </si>
  <si>
    <t xml:space="preserve">Stripped Waste Water Pumps</t>
  </si>
  <si>
    <t xml:space="preserve">P-148 A/B/C</t>
  </si>
  <si>
    <t xml:space="preserve">File 91215-KPL-ME-RE-476 R03, sheet 'STRIPPER-B', cells F35:F40</t>
  </si>
  <si>
    <t xml:space="preserve">Type: Centrifugal (API 610) | Driver: موتور الکتریکی (E) | وزن MTO: 2400 kg | Original type text: Centrifugal (OH2) | Original material text: D2 – Super-duplex stainless steel casing &amp; trim (API 610) | KPL-B review 1405-07: Priced inside Stripping Package PK-143 (STRIPPER-B U19), no separate price; API 610 &amp; IPS-G-PM-105; installation weight 2,400 kg (INS-PUMP-B (2) AF27)</t>
  </si>
  <si>
    <t xml:space="preserve">Deaerated Water Pumps</t>
  </si>
  <si>
    <t xml:space="preserve">P-153 A/B</t>
  </si>
  <si>
    <t xml:space="preserve">ISO 5199</t>
  </si>
  <si>
    <t xml:space="preserve">IPS-M-PM-115</t>
  </si>
  <si>
    <t xml:space="preserve">File 91215-KPL-ME-RE-476 R03, sheet 'PUMPS-C', cells A19:F26 + unit price EUR AK19</t>
  </si>
  <si>
    <t xml:space="preserve">Type: Centrifugal (Horizontal) | Driver: موتور الکتریکی (E) | Head: 36 m | پروژه کوپال | Contract 53-73-1264 | Original type text: Centrifugal (Horizontal) | Original material text: I2 – Cast iron casing, bronze trim (API 610) | KPL-A review 1405-07: Design code: ISO 5199 &amp; IPS-M-PM-115; installation weight 1,300 kg for tag group (INS-PUMP-C AF21)</t>
  </si>
  <si>
    <t xml:space="preserve">Potable Water Loading Pumps</t>
  </si>
  <si>
    <t xml:space="preserve">P-158</t>
  </si>
  <si>
    <t xml:space="preserve">File 91215-KPL-ME-RE-476 R03, sheet 'PUMPS-C', cells A27:F34 + unit price EUR AK27</t>
  </si>
  <si>
    <t xml:space="preserve">Type: Centrifugal (Horizontal) | Driver: موتور الکتریکی (E) | Head: 31 m | پروژه کوپال | Contract 53-73-1264 | Original type text: Centrifugal (Horizontal) | Original material text: I2 – Cast iron casing, bronze trim (API 610) | KPL-A review 1405-07: Design code: ISO 5199 &amp; IPS-M-PM-115; installation weight 1,500 kg for tag group (INS-PUMP-C AF23)</t>
  </si>
  <si>
    <t xml:space="preserve">Flare K.O. Drums Sump Pump</t>
  </si>
  <si>
    <t xml:space="preserve">P-172</t>
  </si>
  <si>
    <t xml:space="preserve">File 91215-KPL-ME-RE-476 R03, sheet 'PUMPS-C', cells A35:F42 + unit price EUR AK35</t>
  </si>
  <si>
    <t xml:space="preserve">Type: Centrifugal (VS4) | Driver: موتور الکتریکی (E) | Head: 43 m | پروژه کوپال | Contract 53-73-1264 | Original type text: Centrifugal (VS4) | Original material text: S6 – Carbon steel casing, 12% Cr trim (API 610) | KPL-A review 1405-07: Design code: API 610 &amp; IPS-G-PM-105; installation weight 300 kg for tag group (INS-PUMP-C AF25)</t>
  </si>
  <si>
    <t xml:space="preserve">Fuel Oil Pump</t>
  </si>
  <si>
    <t xml:space="preserve">P-201</t>
  </si>
  <si>
    <t xml:space="preserve">File 91215-KPL-ME-RE-476 R03, sheet 'PUMPS-C', cells A43:F50 + unit price EUR AK43</t>
  </si>
  <si>
    <t xml:space="preserve">Type: Centrifugal (Horizontal) | Driver: موتور الکتریکی (E) | Head: 41 m | پروژه کوپال | Contract 53-73-1264 | Original type text: Centrifugal (Horizontal) | Original material text: S1 – Carbon steel casing, cast iron trim (API 610) | KPL-A review 1405-07: Design code: ISO 5199 &amp; IPS-M-PM-115; installation weight 500 kg for tag group (INS-PUMP-C AF27)</t>
  </si>
  <si>
    <t xml:space="preserve">Closed Drain Drums Sump Pump</t>
  </si>
  <si>
    <t xml:space="preserve">P-235</t>
  </si>
  <si>
    <t xml:space="preserve">File 91215-KPL-ME-RE-476 R03, sheet 'PUMPS-C (2)', cells A19:F26 + unit price EUR AK19</t>
  </si>
  <si>
    <t xml:space="preserve">Type: Centrifugal (VS4) | Driver: موتور الکتریکی (E) | Head: 31 m | پروژه کوپال | Contract 53-73-1264 | Original type text: Centrifugal (VS4) | Original material text: S6 – Carbon steel casing, 12% Cr trim (API 610) | KPL-A review 1405-07: Design code: API 610 &amp; IPS-G-PM-105; installation weight 350 kg for tag group (INS-PUMP-C AF29)</t>
  </si>
  <si>
    <t xml:space="preserve">Fire Water Pump-Elect. Motor Driven</t>
  </si>
  <si>
    <t xml:space="preserve">P-270</t>
  </si>
  <si>
    <t xml:space="preserve">NFPA 20</t>
  </si>
  <si>
    <t xml:space="preserve">IPS-M-PM-125</t>
  </si>
  <si>
    <t xml:space="preserve">File 91215-KPL-ME-RE-476 R03, sheet 'PUMPS-C (2)', cells A27:F35 + unit price EUR AK27</t>
  </si>
  <si>
    <t xml:space="preserve">Type: Centrifugal (Horizontal, | Driver: موتور الکتریکی (E) | Head: 107 m | پروژه کوپال | Contract 53-73-1264 | Original type text: Centrifugal (Horizontal, | Original material text: I2 – Cast iron casing, bronze trim (API 610) | KPL-A review 1405-07: Design code: NFPA 20 &amp; IPS-M-PM-125; installation weight 2,500 kg for tag group (INS-PUMP-C AF31)</t>
  </si>
  <si>
    <t xml:space="preserve">Fire Water Pump-Diesel Engine Driven</t>
  </si>
  <si>
    <t xml:space="preserve">P-271</t>
  </si>
  <si>
    <t xml:space="preserve">File 91215-KPL-ME-RE-476 R03, sheet 'PUMPS-C (2)', cells A36:F44 + unit price EUR AK36</t>
  </si>
  <si>
    <t xml:space="preserve">Type: Centrifugal (Horizontal, | Driver: دیزلی (Diesel Engine) | Head: 88.7 m | پروژه کوپال | Contract 53-73-1264 | Original type text: Centrifugal (Horizontal, | Original material text: I2 – Cast iron casing, bronze trim (API 610) | KPL-A review 1405-07: Design code: NFPA 20 &amp; IPS-M-PM-125; installation weight 6,000 kg for tag group (INS-PUMP-C AF33)</t>
  </si>
  <si>
    <t xml:space="preserve">Fire Water Jockey Pumps</t>
  </si>
  <si>
    <t xml:space="preserve">P-272 A/B</t>
  </si>
  <si>
    <t xml:space="preserve">File 91215-KPL-ME-RE-476 R03, sheet 'PUMPS-C (3)', cells A19:F27 + unit price EUR AK19</t>
  </si>
  <si>
    <t xml:space="preserve">Type: Centrifugal | Driver: موتور الکتریکی (E) | Head: 107 m | پروژه کوپال | Contract 53-73-1264 | Original type text: Centrifugal | Original material text: I2 – Cast iron casing, bronze trim (API 610) | KPL-A review 1405-07: Design code: NFPA 20 &amp; IPS-M-PM-125; installation weight 1,400 kg for tag group (INS-PUMP-C AF35)</t>
  </si>
  <si>
    <t xml:space="preserve">Fire Water Loading Pump</t>
  </si>
  <si>
    <t xml:space="preserve">P-273</t>
  </si>
  <si>
    <t xml:space="preserve">File 91215-KPL-ME-RE-476 R03, sheet 'PUMPS-C (3)', cells A28:F35 + unit price EUR AK28</t>
  </si>
  <si>
    <t xml:space="preserve">Type: Centrifugal (Horizontal) | Driver: موتور الکتریکی (E) | Head: 30.6 m | پروژه کوپال | Contract 53-73-1264 | Original type text: Centrifugal (Horizontal) | Original material text: I2 – Cast iron casing, bronze trim (API 610) | KPL-A review 1405-07: Design code: ISO 5199 &amp; IPS-M-PM-115; installation weight 750 kg for tag group (INS-PUMP-C AF37)</t>
  </si>
  <si>
    <t xml:space="preserve">Cooling Water (Sealing System) Recycle Pumps</t>
  </si>
  <si>
    <t xml:space="preserve">P-154 A/B</t>
  </si>
  <si>
    <t xml:space="preserve">Cooling / Seal Water</t>
  </si>
  <si>
    <t xml:space="preserve">Consultant FEED MTO estimate – KPL-476 R03 (Jan 2016); local supplier price in IRR, before project overhead | source label: AACE Class 3</t>
  </si>
  <si>
    <t xml:space="preserve">File 91215-KPL-ME-RE-476 R03, sheet 'PUMPS-C (3)', cells A41:F49 + unit price IRR U41</t>
  </si>
  <si>
    <t xml:space="preserve">Type: Centrifugal (Horizontal) | Driver: موتور الکتریکی (E) | پروژه کوپال | Contract 53-73-1264 | Original type text: Centrifugal (Horizontal) | Original material text: I2 – Cast iron casing, bronze trim (API 610) | KPL-A review 1405-07: Design code: ISO 5199 &amp; IPS-M-PM-115; installation weight 1,000 kg for tag group (INS-PUMP-C AF39) | KPL-A review 1405-07: Currency corrected EUR → IRR (PUMPS-C (3) U41)</t>
  </si>
  <si>
    <t xml:space="preserve">Water Liquid Return Pumps (Deaeration System)</t>
  </si>
  <si>
    <t xml:space="preserve">P-157 A/B</t>
  </si>
  <si>
    <t xml:space="preserve">File 91215-KPL-ME-RE-476 R03, sheet 'PUMPS-C (4)', cells A19:F26 + unit price IRR U19</t>
  </si>
  <si>
    <t xml:space="preserve">Type: Centrifugal (Horizontal) | Driver: موتور الکتریکی (E) | پروژه کوپال | Contract 53-73-1264 | Original type text: Centrifugal (Horizontal) | Original material text: I2 – Cast iron casing, bronze trim (API 610) | KPL-A review 1405-07: Design code: ISO 5199 &amp; IPS-M-PM-115; installation weight 1,000 kg for tag group (INS-PUMP-C AF41) | KPL-A review 1405-07: Currency corrected EUR → IRR (PUMPS-C (4) U19) | KPL-A review 1405-07: Source remark AW19: capacity to be confirmed &amp; finalized by Deaerator vendor</t>
  </si>
  <si>
    <t xml:space="preserve">Evaporation Pond Portable Pump</t>
  </si>
  <si>
    <t xml:space="preserve">P-236</t>
  </si>
  <si>
    <t xml:space="preserve">JIS B 8325</t>
  </si>
  <si>
    <t xml:space="preserve">Centrifugal - Submersible</t>
  </si>
  <si>
    <t xml:space="preserve">File 91215-KPL-ME-RE-476 R03, sheet 'PUMPS-A (4)', cells A19:F26 + unit price EUR AK19</t>
  </si>
  <si>
    <t xml:space="preserve">Type: Centrifugal , Submersible | Driver: موتور الکتریکی (E) | پروژه کوپال | Contract 53-73-1264 | Original type text: Centrifugal , Submersible | Original material text: D2 – Super-duplex stainless steel casing &amp; trim (API 610) | KPL-A review 1405-07: Design code: JIS B 8325 | KPL-A review 1405-07: IP68 (PUMPS-A (4) F22); differential pressure 2 barg | Motor: Electrical motor driven, explosion proof (source)</t>
  </si>
  <si>
    <t xml:space="preserve">P-246</t>
  </si>
  <si>
    <t xml:space="preserve">File 91215-KPL-ME-RE-476 R03, sheet 'PUMPS-B (5)', cells A28:F35 + unit price EUR AK28</t>
  </si>
  <si>
    <t xml:space="preserve">Type: Centrifugal , Submersible | Driver: موتور الکتریکی (E) | پروژه کوپال | Contract 53-73-1264 | Original type text: Centrifugal , Submersible | Original material text: D2 – Super-duplex stainless steel casing &amp; trim (API 610) | KPL-B review 1405-07: IP68 (PUMPS-B (5) F31); differential pressure 2 barg | Motor: Electrical motor driven, explosion proof (source)</t>
  </si>
  <si>
    <t xml:space="preserve">Chemical Loading Pumps</t>
  </si>
  <si>
    <t xml:space="preserve">P-220 A/B/C/D/E</t>
  </si>
  <si>
    <t xml:space="preserve">Portable Barrel</t>
  </si>
  <si>
    <t xml:space="preserve">File 91215-KPL-ME-RE-476 R03, sheet 'PUMPS-C (3)', cells A36:F40 + unit price IRR U36</t>
  </si>
  <si>
    <t xml:space="preserve">Type: Portable Barrel Pump | Driver: موتور الکتریکی (E) | پروژه کوپال | Contract 53-73-1264 | Original type text: Portable Barrel Pump | Original material text: S.S. 316 L – Stainless steel 316L (pump material, not an API class) | KPL-A review 1405-07: Design code: (not stated) – Material S.S. 316 L | KPL-A review 1405-07: Currency corrected EUR → IRR (PUMPS-C (3) U36) | KPL-A review 1405-07: Flow corrected 160 m3/h → 9.6 m3/h (160 L/min)</t>
  </si>
  <si>
    <t xml:space="preserve">Water Glycol Loading Pump</t>
  </si>
  <si>
    <t xml:space="preserve">P-116</t>
  </si>
  <si>
    <t xml:space="preserve">File 91215-KPL-ME-RE-476 R03, sheet 'PUMPS-C (4)', cells A27:F31 + unit price IRR U27</t>
  </si>
  <si>
    <t xml:space="preserve">Type: Portable Barrel Pump | Driver: موتور الکتریکی (E) | پروژه کوپال | Contract 53-73-1264 | Original type text: Portable Barrel Pump | Original material text: S.S. 316 L – Stainless steel 316L (pump material, not an API class) | KPL-A review 1405-07: Design code: (not stated) – Material S.S. 316 L | KPL-A review 1405-07: Currency corrected EUR → IRR (PUMPS-C (4) U27)</t>
  </si>
  <si>
    <t xml:space="preserve">Off Spec. Crude Pumps</t>
  </si>
  <si>
    <t xml:space="preserve">Pazanan 2</t>
  </si>
  <si>
    <t xml:space="preserve">P-111 A/B</t>
  </si>
  <si>
    <t xml:space="preserve">Vendor inquiry 1404Q1 – average of 2 quotation(s), PC-ME (91211-PZN-ME-RE-451) sheet PUMPS | source label: AACE Class 1</t>
  </si>
  <si>
    <t xml:space="preserve">(Pazanan II Inquiry / Thermo Engineering)</t>
  </si>
  <si>
    <t xml:space="preserve">File PC-ME 14040105 Pazanan2 Reconstruction.xlsx, sheet 'PUMPS', cells A8:F8 (spec in B8, price in F8)</t>
  </si>
  <si>
    <t xml:space="preserve">Type: Centrifugal (VS6) | Driver: موتور الکتریکی (E) | Head: 139.1 m | NACE MR0175: YES | کد پروژه 03229 | FEED Report | Original type text: Centrifugal (VS6) | Original material text: D1 – Duplex stainless steel casing &amp; trim (API 610) | PZN2 review 1405-07: Supply overhead ×1.18 and VAT 10% are applied on top of unit prices (PUMPS G30:H31)</t>
  </si>
  <si>
    <t xml:space="preserve">File PC-ME 14040105 Pazanan2 Reconstruction.xlsx, sheet 'PUMPS', cells A9:F9 (spec in B9, price in F9)</t>
  </si>
  <si>
    <t xml:space="preserve">Type: Centrifugal (Horizontal) | Driver: موتور الکتریکی (E) | Head: 35.7 m | کد پروژه 03229 | FEED Report | Original type text: Centrifugal (Horizontal) | Original material text: I2 – Cast iron casing, bronze trim (API 610) | PZN2 review 1405-07: Supply overhead ×1.18 and VAT 10% are applied on top of unit prices (PUMPS G30:H31)</t>
  </si>
  <si>
    <t xml:space="preserve">P-124</t>
  </si>
  <si>
    <t xml:space="preserve">File PC-ME 14040105 Pazanan2 Reconstruction.xlsx, sheet 'PUMPS', cells A10:F10 (spec in B10, price in F10)</t>
  </si>
  <si>
    <t xml:space="preserve">Type: Centrifugal (OH2) | Driver: موتور الکتریکی (E) | Head: 122.3 m | کد پروژه 03229 | FEED Report | Original type text: Centrifugal (OH2) | Original material text: I2 – Cast iron casing, bronze trim (API 610) | PZN2 review 1405-07: Supply overhead ×1.18 and VAT 10% are applied on top of unit prices (PUMPS G30:H31)</t>
  </si>
  <si>
    <t xml:space="preserve">P-125 A/B</t>
  </si>
  <si>
    <t xml:space="preserve">File PC-ME 14040105 Pazanan2 Reconstruction.xlsx, sheet 'PUMPS', cells A11:F11 (spec in B11, price in F11)</t>
  </si>
  <si>
    <t xml:space="preserve">Type: Centrifugal (OH2) | Driver: موتور الکتریکی (E) | Head: 122 m | کد پروژه 03229 | FEED Report | Original type text: Centrifugal (OH2) | Original material text: I2 – Cast iron casing, bronze trim (API 610) | PZN2 review 1405-07: Supply overhead ×1.18 and VAT 10% are applied on top of unit prices (PUMPS G30:H31)</t>
  </si>
  <si>
    <t xml:space="preserve">Disposal Water InjectionPumps</t>
  </si>
  <si>
    <t xml:space="preserve">File PC-ME 14040105 Pazanan2 Reconstruction.xlsx, sheet 'PUMPS', cells A12:F12 (spec in B12, price in F12)</t>
  </si>
  <si>
    <t xml:space="preserve">Type: Centrifugal (BB3) | Driver: موتور الکتریکی (E) | Head: 650 m | NACE MR0175: YES | کد پروژه 03229 | FEED Report | Original type text: Centrifugal (BB3) | Original material text: D2 – Super-duplex stainless steel casing &amp; trim (API 610) | PZN2 review 1405-07: Supply overhead ×1.18 and VAT 10% are applied on top of unit prices (PUMPS G30:H31)</t>
  </si>
  <si>
    <t xml:space="preserve">Vendor inquiry 1404Q1 – average of 1 quotation(s), PC-ME (91211-PZN-ME-RE-451) sheet PUMPS | source label: AACE Class 1</t>
  </si>
  <si>
    <t xml:space="preserve">File PC-ME 14040105 Pazanan2 Reconstruction.xlsx, sheet 'PUMPS', cells A13:F13 (spec in B13, price in F13)</t>
  </si>
  <si>
    <t xml:space="preserve">Type: P.D.-Rotary (Ext. Gear) | Driver: موتور الکتریکی (E) | NACE MR0175: YES | کد پروژه 03229 | FEED Report | Original type text: P.D.-Rotary (Ext. Gear) | Original material text: D1 – Duplex stainless steel casing &amp; trim (API 610) | PZN2 review 1405-07: Supply overhead ×1.18 and VAT 10% are applied on top of unit prices (PUMPS G30:H31)</t>
  </si>
  <si>
    <t xml:space="preserve">Evaporation Pond Water Return Pumps</t>
  </si>
  <si>
    <t xml:space="preserve">P-138 A/B</t>
  </si>
  <si>
    <t xml:space="preserve">File PC-ME 14040105 Pazanan2 Reconstruction.xlsx, sheet 'PUMPS', cells A14:F14 (spec in B14, price in F14)</t>
  </si>
  <si>
    <t xml:space="preserve">Type: Centrifugal (OH2) | Driver: موتور الکتریکی (E) | Head: 27 m | کد پروژه 03229 | FEED Report | Original type text: Centrifugal (OH2) | Original material text: D2 – Super-duplex stainless steel casing &amp; trim (API 610) | PZN2 review 1405-07: Supply overhead ×1.18 and VAT 10% are applied on top of unit prices (PUMPS G30:H31)</t>
  </si>
  <si>
    <t xml:space="preserve">P-139 A/B/C</t>
  </si>
  <si>
    <t xml:space="preserve">File PC-ME 14040105 Pazanan2 Reconstruction.xlsx, sheet 'PUMPS', cells A15:F15 (spec in B15, price in F15)</t>
  </si>
  <si>
    <t xml:space="preserve">Type: Centrifugal (BB3) | Driver: موتور الکتریکی (E) | Head: 385 m | NACE MR0175: YES | کد پروژه 03229 | FEED Report | Original type text: Centrifugal (BB3) | Original material text: D2 – Super-duplex stainless steel casing &amp; trim (API 610) | PZN2 review 1405-07: Supply overhead ×1.18 and VAT 10% are applied on top of unit prices (PUMPS G30:H31)</t>
  </si>
  <si>
    <t xml:space="preserve">File PC-ME 14040105 Pazanan2 Reconstruction.xlsx, sheet 'PUMPS', cells A16:F16 (spec in B16, price in F16)</t>
  </si>
  <si>
    <t xml:space="preserve">Type: Centrifugal (OH2) | Driver: موتور الکتریکی (E) | Head: 40 m | کد پروژه 03229 | FEED Report | Original type text: Centrifugal (OH2) | Original material text: S6 – Carbon steel casing, 12% Cr trim (API 610) | PZN2 review 1405-07: Supply overhead ×1.18 and VAT 10% are applied on top of unit prices (PUMPS G30:H31)</t>
  </si>
  <si>
    <t xml:space="preserve">File PC-ME 14040105 Pazanan2 Reconstruction.xlsx, sheet 'PUMPS', cells A17:F17 (spec in B17, price in F17)</t>
  </si>
  <si>
    <t xml:space="preserve">Type: Centrifugal (OH2) | Driver: موتور الکتریکی (E) | Head: 55 m | NACE MR0175: YES | کد پروژه 03229 | FEED Report | Original type text: Centrifugal (OH2) | Original material text: D2 – Super-duplex stainless steel casing &amp; trim (API 610) | PZN2 review 1405-07: Supply overhead ×1.18 and VAT 10% are applied on top of unit prices (PUMPS G30:H31)</t>
  </si>
  <si>
    <t xml:space="preserve">C. D. Drum / Flare K.O. Drum Sump Pump</t>
  </si>
  <si>
    <t xml:space="preserve">File PC-ME 14040105 Pazanan2 Reconstruction.xlsx, sheet 'PUMPS', cells A18:F18 (spec in B18, price in F18)</t>
  </si>
  <si>
    <t xml:space="preserve">Type: Centrifugal (VS4) | Driver: موتور الکتریکی (E) | Head: 21.4 m | کد پروژه 03229 | FEED Report | Original type text: Centrifugal (VS4) | Original material text: S6 – Carbon steel casing, 12% Cr trim (API 610) | PZN2 review 1405-07: Supply overhead ×1.18 and VAT 10% are applied on top of unit prices (PUMPS G30:H31)</t>
  </si>
  <si>
    <t xml:space="preserve">P-163 A/B</t>
  </si>
  <si>
    <t xml:space="preserve">Consultant basic MTO estimate R02 (Feb 2015), PC-ME sheet PUMPS col. AR (FOB EUR) – no 1404 quotation received (all vendors declined)</t>
  </si>
  <si>
    <t xml:space="preserve">File PC-ME 14040105 Pazanan2 Reconstruction.xlsx, sheet 'PUMPS', cells A19:F19 (spec in B19, price in F19)</t>
  </si>
  <si>
    <t xml:space="preserve">Type: P.D.-Rotary (Progressing Cavity) | Driver: موتور الکتریکی (E) | NACE MR0175: YES | کد پروژه 03229 | FEED Report | Original type text: P.D.-Rotary (Progressing Cavity) | Original material text: D1 – Duplex stainless steel casing &amp; trim (API 610) | PZN2 review 1405-07: Price reset to the 1393 base (25,000 EUR FOB) because 38,801.91 EUR was 25,000 × 1.552 escalation – avoids double escalation | PZN2 review 1405-07: Supply overhead ×1.18 and VAT 10% are applied on top of unit prices (PUMPS G30:H31)</t>
  </si>
  <si>
    <t xml:space="preserve">P-164 A/B</t>
  </si>
  <si>
    <t xml:space="preserve">File PC-ME 14040105 Pazanan2 Reconstruction.xlsx, sheet 'PUMPS', cells A20:F20 (spec in B20, price in F20)</t>
  </si>
  <si>
    <t xml:space="preserve">Type: Centrifugal (OH2) | Driver: موتور الکتریکی (E) | Head: 50 m | NACE MR0175: YES | کد پروژه 03229 | FEED Report | Original type text: Centrifugal (OH2) | Original material text: D2 – Super-duplex stainless steel casing &amp; trim (API 610) | PZN2 review 1405-07: Supply overhead ×1.18 and VAT 10% are applied on top of unit prices (PUMPS G30:H31)</t>
  </si>
  <si>
    <t xml:space="preserve">Oily Water Basin Pumps</t>
  </si>
  <si>
    <t xml:space="preserve">P-165 A/B</t>
  </si>
  <si>
    <t xml:space="preserve">File PC-ME 14040105 Pazanan2 Reconstruction.xlsx, sheet 'PUMPS', cells A21:F21 (spec in B21, price in F21)</t>
  </si>
  <si>
    <t xml:space="preserve">Type: Centrifugal (OH2) | Driver: موتور الکتریکی (E) | Head: 20 m | کد پروژه 03229 | FEED Report | Original type text: Centrifugal (OH2) | Original material text: S6 – Carbon steel casing, 12% Cr trim (API 610) | PZN2 review 1405-07: Supply overhead ×1.18 and VAT 10% are applied on top of unit prices (PUMPS G30:H31)</t>
  </si>
  <si>
    <t xml:space="preserve">P-171</t>
  </si>
  <si>
    <t xml:space="preserve">File PC-ME 14040105 Pazanan2 Reconstruction.xlsx, sheet 'PUMPS', cells A22:F22 (spec in B22, price in F22)</t>
  </si>
  <si>
    <t xml:space="preserve">Type: Centrifugal (Horizontal) | Driver: موتور الکتریکی (E) | Head: 21 m | کد پروژه 03229 | FEED Report | Original type text: Centrifugal (Horizontal) | Original material text: S1 – Carbon steel casing, cast iron trim (API 610) | PZN2 review 1405-07: Supply overhead ×1.18 and VAT 10% are applied on top of unit prices (PUMPS G30:H31)</t>
  </si>
  <si>
    <t xml:space="preserve">P-191</t>
  </si>
  <si>
    <t xml:space="preserve">File PC-ME 14040105 Pazanan2 Reconstruction.xlsx, sheet 'PUMPS', cells A23:F23 (spec in B23, price in F23)</t>
  </si>
  <si>
    <t xml:space="preserve">Type: Centrifugal (Horizontal) | Driver: موتور الکتریکی (E) | Head: 31 m | کد پروژه 03229 | FEED Report | Original type text: Centrifugal (Horizontal) | Original material text: I2 – Cast iron casing, bronze trim (API 610) | PZN2 review 1405-07: Supply overhead ×1.18 and VAT 10% are applied on top of unit prices (PUMPS G30:H31)</t>
  </si>
  <si>
    <t xml:space="preserve">P-192</t>
  </si>
  <si>
    <t xml:space="preserve">Vendor inquiry 1404Q1 – average of 3 quotation(s), PC-ME (91211-PZN-ME-RE-451) sheet PUMPS | source label: AACE Class 1</t>
  </si>
  <si>
    <t xml:space="preserve">File PC-ME 14040105 Pazanan2 Reconstruction.xlsx, sheet 'PUMPS', cells A24:F24 (spec in B24, price in F24)</t>
  </si>
  <si>
    <t xml:space="preserve">Type: Centrifugal (Horizontal, | Driver: موتور الکتریکی (E) | Head: 107 m | کد پروژه 03229 | FEED Report | Original type text: Centrifugal (Horizontal, Impeller Between Bearings Design) | Original material text: I2 – Cast iron casing, bronze trim (API 610) | PZN2 review 1405-07: Supply overhead ×1.18 and VAT 10% are applied on top of unit prices (PUMPS G30:H31)</t>
  </si>
  <si>
    <t xml:space="preserve">P-193</t>
  </si>
  <si>
    <t xml:space="preserve">File PC-ME 14040105 Pazanan2 Reconstruction.xlsx, sheet 'PUMPS', cells A25:F25 (spec in B25, price in F25)</t>
  </si>
  <si>
    <t xml:space="preserve">Type: Centrifugal (Horizontal, | Driver: دیزلی (Diesel Engine) | Head: 107 m | کد پروژه 03229 | FEED Report | Original type text: Centrifugal (Horizontal, Impeller Between Bearings Design) | Original material text: I2 – Cast iron casing, bronze trim (API 610) | PZN2 review 1405-07: Supply overhead ×1.18 and VAT 10% are applied on top of unit prices (PUMPS G30:H31)</t>
  </si>
  <si>
    <t xml:space="preserve">P-194 A/B</t>
  </si>
  <si>
    <t xml:space="preserve">File PC-ME 14040105 Pazanan2 Reconstruction.xlsx, sheet 'PUMPS', cells A26:F26 (spec in B26, price in F26)</t>
  </si>
  <si>
    <t xml:space="preserve">Type: Centrifugal | Driver: موتور الکتریکی (E) | Head: 107 m | کد پروژه 03229 | FEED Report | Original type text: Centrifugal (Horizontal, Overhung Impeller Design) | Original material text: I2 – Cast iron casing, bronze trim (API 610) | PZN2 review 1405-07: Supply overhead ×1.18 and VAT 10% are applied on top of unit prices (PUMPS G30:H31)</t>
  </si>
  <si>
    <t xml:space="preserve">P-210 A/B</t>
  </si>
  <si>
    <t xml:space="preserve">Portable (Air / Electric)</t>
  </si>
  <si>
    <t xml:space="preserve">Consultant basic MTO estimate R02 (Feb 2015), PC-ME sheet PUMPS col. AQ (IRR) – no 1404 quotation received (all vendors declined)</t>
  </si>
  <si>
    <t xml:space="preserve">File PC-ME 14040105 Pazanan2 Reconstruction.xlsx, sheet 'PUMPS', cells A27:F27 (spec in B27, price in F27)</t>
  </si>
  <si>
    <t xml:space="preserve">Type: Portable Barrel Pump | Driver: موتور پرتابل بادی/الکتریکی | کد پروژه 03229 | FEED Report | Original type text: Portable Barrel Pump | Original material text: S.S. 316 L – Stainless steel 316L (pump material, not an API class) | PZN2 review 1405-07: Price reset to the 1393 base (100,000,000 IRR) because the 1404 figure was only an escalation of it – avoids double escalation; flow corrected 160 → 9.6 m3/h | PZN2 review 1405-07: Supply overhead ×1.18 and VAT 10% are applied on top of unit prices (PUMPS G30:H31)</t>
  </si>
  <si>
    <t xml:space="preserve">P-211</t>
  </si>
  <si>
    <t xml:space="preserve">File PC-ME 14040105 Pazanan2 Reconstruction.xlsx, sheet 'PUMPS', cells A28:F28 (spec in B28, price in F28)</t>
  </si>
  <si>
    <t xml:space="preserve">(نام پروژه در فایل قید نشده است) – نمونه قیمتی نمک زدایی (PUMPS.csv)</t>
  </si>
  <si>
    <t xml:space="preserve">Shaft (Absorbed)</t>
  </si>
  <si>
    <t xml:space="preserve">Price (USD) – «نمونه قیمتی نمک‌زدایی» sheet PUMPS; project and year not stated</t>
  </si>
  <si>
    <t xml:space="preserve">File نمونه قیمتی نمک زدایی overall.xlsx, sheet 'PUMPS', cells A4:H4 (price in H4)</t>
  </si>
  <si>
    <t xml:space="preserve">Type: Centrifugal | Driver: Electric motor (E) | Power: 54.3 (Shaft) | Head: 95.8 m | Fluid: Crude Oil | Quantity not stated in source; 1 assumed. | Original type text: Centrifugal</t>
  </si>
  <si>
    <t xml:space="preserve">File نمونه قیمتی نمک زدایی overall.xlsx, sheet 'PUMPS', cells A5:H5 (price in H5)</t>
  </si>
  <si>
    <t xml:space="preserve">Type: Centrifugal | Driver: Electric motor (E) | Power: 33.12 (Shaft) | Head: 59.9 m | Fluid: Crude Oil | Quantity not stated in source; 1 assumed. | Original type text: Centrifugal</t>
  </si>
  <si>
    <t xml:space="preserve">File نمونه قیمتی نمک زدایی overall.xlsx, sheet 'PUMPS', cells A6:H6 (price in H6)</t>
  </si>
  <si>
    <t xml:space="preserve">Type: Centrifugal | Driver: Electric motor (E) | Power: 57.35 (Shaft) | Head: 34.8 m | Fluid: Stabilized Oil | Quantity not stated in source; 1 assumed. | Original type text: Centrifugal</t>
  </si>
  <si>
    <t xml:space="preserve">File نمونه قیمتی نمک زدایی overall.xlsx, sheet 'PUMPS', cells A7:H7 (price in H7)</t>
  </si>
  <si>
    <t xml:space="preserve">Type: Centrifugal | Driver: Electric motor (E) | Power: HOLD | Fluid: Stabilized Oil | Quantity not stated in source; 1 assumed. | Power column in source = HOLD | Original type text: Centrifugal</t>
  </si>
  <si>
    <t xml:space="preserve">File نمونه قیمتی نمک زدایی overall.xlsx, sheet 'PUMPS', cells A8:H8 (price in H8)</t>
  </si>
  <si>
    <t xml:space="preserve">Type: Centrifugal | Driver: Electric motor (E) | Power: 48 (Shaft) | Head: 311.3 m | Fluid: off Crude | Quantity not stated in source; 1 assumed. | Original type text: Centrifugal</t>
  </si>
  <si>
    <t xml:space="preserve">File نمونه قیمتی نمک زدایی overall.xlsx, sheet 'PUMPS', cells A9:H9 (price in H9)</t>
  </si>
  <si>
    <t xml:space="preserve">Type: Centrifugal | Driver: Electric motor (E) | Power: 1 (Shaft) | Head: 32.0 m | Fluid: Salty Water | Quantity not stated in source; 1 assumed. | Original type text: Centrifugal</t>
  </si>
  <si>
    <t xml:space="preserve">File نمونه قیمتی نمک زدایی overall.xlsx, sheet 'PUMPS', cells A10:H10 (price in H10)</t>
  </si>
  <si>
    <t xml:space="preserve">Type: Centrifugal | Driver: Electric motor (E) | Power: 13.1 (Shaft) | Head: 36.2 m | Fluid: Water | Quantity not stated in source; 1 assumed. | Original type text: Centrifugal</t>
  </si>
  <si>
    <t xml:space="preserve">File نمونه قیمتی نمک زدایی overall.xlsx, sheet 'PUMPS', cells A11:H11 (price in H11)</t>
  </si>
  <si>
    <t xml:space="preserve">Type: Centrifugal | Driver: Electric motor (E) | Head: 51.5 m | Fluid: Salty Water | Quantity not stated in source; 1 assumed. | Original type text: Centrifugal</t>
  </si>
  <si>
    <t xml:space="preserve">File نمونه قیمتی نمک زدایی overall.xlsx, sheet 'PUMPS', cells A12:H12 (price in H12)</t>
  </si>
  <si>
    <t xml:space="preserve">Type: Centrifugal | Driver: Electric motor (E) | Power: 3.9 Shaft | Head: 41.0 m | Fluid: Water | Quantity not stated in source; 1 assumed. | Original type text: Centrifugal</t>
  </si>
  <si>
    <t xml:space="preserve">File نمونه قیمتی نمک زدایی overall.xlsx, sheet 'PUMPS', cells A13:H13 (price in H13)</t>
  </si>
  <si>
    <t xml:space="preserve">Driver: Electric motor (E) | Power: 13.7 | Head: 120.0 m | Fluid: HC | Quantity not stated in source; 1 assumed. | Original type text: Centrifugal (assumed)</t>
  </si>
  <si>
    <t xml:space="preserve">File نمونه قیمتی نمک زدایی overall.xlsx, sheet 'PUMPS', cells A14:H14 (price in H14)</t>
  </si>
  <si>
    <t xml:space="preserve">Type: Sliding valve | Driver: (Not stated) | Head: 27.2 m | Fluid: Diesel | Quantity not stated in source; 1 assumed. | Original type text: Sliding valve</t>
  </si>
  <si>
    <t xml:space="preserve">File نمونه قیمتی نمک زدایی overall.xlsx, sheet 'PUMPS', cells A15:H15 (price in H15)</t>
  </si>
  <si>
    <t xml:space="preserve">Type: Screw | Driver: Electric motor (E) | Power: 0.8 | Head: 40.8 m | Fluid: Diesel | Quantity not stated in source; 1 assumed. | Original type text: Screw</t>
  </si>
  <si>
    <t xml:space="preserve">File نمونه قیمتی نمک زدایی overall.xlsx, sheet 'PUMPS', cells A16:H16 (price in H16)</t>
  </si>
  <si>
    <t xml:space="preserve">Type: Centrifugal | Driver: Electric motor (E) | Fluid: Water | Quantity not stated in source; 1 assumed. | Original type text: Centrifugal</t>
  </si>
  <si>
    <t xml:space="preserve">File نمونه قیمتی نمک زدایی overall.xlsx, sheet 'PUMPS', cells A17:H17 (price in H17)</t>
  </si>
  <si>
    <t xml:space="preserve">Type: Centrifugal | Driver: Electric motor (E) | Quantity not stated in source; 1 assumed. | Original type text: Centrifugal</t>
  </si>
  <si>
    <t xml:space="preserve">Consultant basic MTO estimate R02 (Feb 2015), PC-ME sheet PUMPS col. AR (FOB EUR)</t>
  </si>
  <si>
    <t xml:space="preserve">File PC-ME 14040105 Pazanan2 Reconstruction.xlsx, sheet 'PUMPS', spec B8, R02 (1393) FOB price AR8</t>
  </si>
  <si>
    <t xml:space="preserve">Paired historical record of Row 94 (same tag &amp; spec, 1404 inquiry price). Added 1405-07 for escalation / factor calibration. NOTE: counted in totals together with Row 94 – set Include=N if a single price per tag is needed.</t>
  </si>
  <si>
    <t xml:space="preserve">File PC-ME 14040105 Pazanan2 Reconstruction.xlsx, sheet 'PUMPS', spec B9, R02 (1393) FOB price AR9</t>
  </si>
  <si>
    <t xml:space="preserve">Paired historical record of Row 95 (same tag &amp; spec, 1404 inquiry price). Added 1405-07 for escalation / factor calibration. NOTE: counted in totals together with Row 95 – set Include=N if a single price per tag is needed.</t>
  </si>
  <si>
    <t xml:space="preserve">File PC-ME 14040105 Pazanan2 Reconstruction.xlsx, sheet 'PUMPS', spec B10, R02 (1393) FOB price AR10</t>
  </si>
  <si>
    <t xml:space="preserve">Paired historical record of Row 96 (same tag &amp; spec, 1404 inquiry price). Added 1405-07 for escalation / factor calibration. NOTE: counted in totals together with Row 96 – set Include=N if a single price per tag is needed.</t>
  </si>
  <si>
    <t xml:space="preserve">File PC-ME 14040105 Pazanan2 Reconstruction.xlsx, sheet 'PUMPS', spec B11, R02 (1393) FOB price AR11</t>
  </si>
  <si>
    <t xml:space="preserve">Paired historical record of Row 97 (same tag &amp; spec, 1404 inquiry price). Added 1405-07 for escalation / factor calibration. NOTE: counted in totals together with Row 97 – set Include=N if a single price per tag is needed.</t>
  </si>
  <si>
    <t xml:space="preserve">File PC-ME 14040105 Pazanan2 Reconstruction.xlsx, sheet 'PUMPS', spec B12, R02 (1393) FOB price AR12</t>
  </si>
  <si>
    <t xml:space="preserve">Paired historical record of Row 98 (same tag &amp; spec, 1404 inquiry price). Added 1405-07 for escalation / factor calibration. NOTE: counted in totals together with Row 98 – set Include=N if a single price per tag is needed.</t>
  </si>
  <si>
    <t xml:space="preserve">File PC-ME 14040105 Pazanan2 Reconstruction.xlsx, sheet 'PUMPS', spec B13, R02 (1393) FOB price AR13</t>
  </si>
  <si>
    <t xml:space="preserve">Paired historical record of Row 99 (same tag &amp; spec, 1404 inquiry price). Added 1405-07 for escalation / factor calibration. NOTE: counted in totals together with Row 99 – set Include=N if a single price per tag is needed.</t>
  </si>
  <si>
    <t xml:space="preserve">File PC-ME 14040105 Pazanan2 Reconstruction.xlsx, sheet 'PUMPS', spec B14, R02 (1393) FOB price AR14</t>
  </si>
  <si>
    <t xml:space="preserve">Paired historical record of Row 100 (same tag &amp; spec, 1404 inquiry price). Added 1405-07 for escalation / factor calibration. NOTE: counted in totals together with Row 100 – set Include=N if a single price per tag is needed.</t>
  </si>
  <si>
    <t xml:space="preserve">File PC-ME 14040105 Pazanan2 Reconstruction.xlsx, sheet 'PUMPS', spec B15, R02 (1393) FOB price AR15</t>
  </si>
  <si>
    <t xml:space="preserve">Paired historical record of Row 101 (same tag &amp; spec, 1404 inquiry price). Added 1405-07 for escalation / factor calibration. NOTE: counted in totals together with Row 101 – set Include=N if a single price per tag is needed.</t>
  </si>
  <si>
    <t xml:space="preserve">File PC-ME 14040105 Pazanan2 Reconstruction.xlsx, sheet 'PUMPS', spec B16, R02 (1393) FOB price AR16</t>
  </si>
  <si>
    <t xml:space="preserve">Paired historical record of Row 102 (same tag &amp; spec, 1404 inquiry price). Added 1405-07 for escalation / factor calibration. NOTE: counted in totals together with Row 102 – set Include=N if a single price per tag is needed.</t>
  </si>
  <si>
    <t xml:space="preserve">File PC-ME 14040105 Pazanan2 Reconstruction.xlsx, sheet 'PUMPS', spec B17, R02 (1393) FOB price AR17</t>
  </si>
  <si>
    <t xml:space="preserve">Paired historical record of Row 103 (same tag &amp; spec, 1404 inquiry price). Added 1405-07 for escalation / factor calibration. NOTE: counted in totals together with Row 103 – set Include=N if a single price per tag is needed.</t>
  </si>
  <si>
    <t xml:space="preserve">File PC-ME 14040105 Pazanan2 Reconstruction.xlsx, sheet 'PUMPS', spec B18, R02 (1393) FOB price AR18</t>
  </si>
  <si>
    <t xml:space="preserve">Paired historical record of Row 104 (same tag &amp; spec, 1404 inquiry price). Added 1405-07 for escalation / factor calibration. NOTE: counted in totals together with Row 104 – set Include=N if a single price per tag is needed.</t>
  </si>
  <si>
    <t xml:space="preserve">File PC-ME 14040105 Pazanan2 Reconstruction.xlsx, sheet 'PUMPS', spec B20, R02 (1393) FOB price AR20</t>
  </si>
  <si>
    <t xml:space="preserve">Paired historical record of Row 106 (same tag &amp; spec, 1404 inquiry price). Added 1405-07 for escalation / factor calibration. NOTE: counted in totals together with Row 106 – set Include=N if a single price per tag is needed.</t>
  </si>
  <si>
    <t xml:space="preserve">File PC-ME 14040105 Pazanan2 Reconstruction.xlsx, sheet 'PUMPS', spec B21, R02 (1393) FOB price AR21</t>
  </si>
  <si>
    <t xml:space="preserve">Paired historical record of Row 107 (same tag &amp; spec, 1404 inquiry price). Added 1405-07 for escalation / factor calibration. NOTE: counted in totals together with Row 107 – set Include=N if a single price per tag is needed.</t>
  </si>
  <si>
    <t xml:space="preserve">File PC-ME 14040105 Pazanan2 Reconstruction.xlsx, sheet 'PUMPS', spec B22, R02 (1393) FOB price AR22</t>
  </si>
  <si>
    <t xml:space="preserve">Paired historical record of Row 108 (same tag &amp; spec, 1404 inquiry price). Added 1405-07 for escalation / factor calibration. NOTE: counted in totals together with Row 108 – set Include=N if a single price per tag is needed.</t>
  </si>
  <si>
    <t xml:space="preserve">File PC-ME 14040105 Pazanan2 Reconstruction.xlsx, sheet 'PUMPS', spec B23, R02 (1393) FOB price AR23</t>
  </si>
  <si>
    <t xml:space="preserve">Paired historical record of Row 109 (same tag &amp; spec, 1404 inquiry price). Added 1405-07 for escalation / factor calibration. NOTE: counted in totals together with Row 109 – set Include=N if a single price per tag is needed.</t>
  </si>
  <si>
    <t xml:space="preserve">File PC-ME 14040105 Pazanan2 Reconstruction.xlsx, sheet 'PUMPS', spec B24, R02 (1393) FOB price AR24</t>
  </si>
  <si>
    <t xml:space="preserve">Paired historical record of Row 110 (same tag &amp; spec, 1404 inquiry price). Added 1405-07 for escalation / factor calibration. NOTE: counted in totals together with Row 110 – set Include=N if a single price per tag is needed.</t>
  </si>
  <si>
    <t xml:space="preserve">File PC-ME 14040105 Pazanan2 Reconstruction.xlsx, sheet 'PUMPS', spec B25, R02 (1393) FOB price AR25</t>
  </si>
  <si>
    <t xml:space="preserve">Paired historical record of Row 111 (same tag &amp; spec, 1404 inquiry price). Added 1405-07 for escalation / factor calibration. NOTE: counted in totals together with Row 111 – set Include=N if a single price per tag is needed.</t>
  </si>
  <si>
    <t xml:space="preserve">File PC-ME 14040105 Pazanan2 Reconstruction.xlsx, sheet 'PUMPS', spec B26, R02 (1393) FOB price AR26</t>
  </si>
  <si>
    <t xml:space="preserve">Paired historical record of Row 112 (same tag &amp; spec, 1404 inquiry price). Added 1405-07 for escalation / factor calibration. NOTE: counted in totals together with Row 112 – set Include=N if a single price per tag is needed.</t>
  </si>
  <si>
    <t xml:space="preserve">ESTIMATOR – برآورد قیمت پمپ جدید</t>
  </si>
  <si>
    <t xml:space="preserve">پارامترهای زرد را انتخاب کنید؛ ضریب هر پارامتر در ستون C همان ردیف و محاسبات در پنل سمت راست بلافاصله به‌روز می‌شود. روش: میانگین Coef رکوردهای همتا × kW^n × ضرایب پیکربندی؛ سپس کف قیمت API 610.</t>
  </si>
  <si>
    <t xml:space="preserve">پارامتر</t>
  </si>
  <si>
    <t xml:space="preserve">مقدار</t>
  </si>
  <si>
    <t xml:space="preserve">ضریب</t>
  </si>
  <si>
    <t xml:space="preserve">محاسبه</t>
  </si>
  <si>
    <t xml:space="preserve">نتیجه</t>
  </si>
  <si>
    <t xml:space="preserve">توضیح</t>
  </si>
  <si>
    <t xml:space="preserve">Size driver kW</t>
  </si>
  <si>
    <t xml:space="preserve">kW یا Q·H/(367·η)</t>
  </si>
  <si>
    <t xml:space="preserve">Only Match Sub-Category in peers?</t>
  </si>
  <si>
    <t xml:space="preserve">ضریب متریال</t>
  </si>
  <si>
    <t xml:space="preserve">Arrangement × Category × Plan</t>
  </si>
  <si>
    <t xml:space="preserve">Driver × NACE</t>
  </si>
  <si>
    <t xml:space="preserve">حاصل‌ضرب ۷ ضریب Scope</t>
  </si>
  <si>
    <t xml:space="preserve">ضریب کل پیکربندی</t>
  </si>
  <si>
    <t xml:space="preserve">Arr 2 - Dual Unpressurized</t>
  </si>
  <si>
    <t xml:space="preserve">Peer records (n)</t>
  </si>
  <si>
    <t xml:space="preserve">رکوردهای همتای دارای Coef</t>
  </si>
  <si>
    <t xml:space="preserve">Cat 2</t>
  </si>
  <si>
    <t xml:space="preserve">Peer Coef – average</t>
  </si>
  <si>
    <t xml:space="preserve">EUR / kW^n، سال هدف، پیکربندی پایه</t>
  </si>
  <si>
    <t xml:space="preserve">11+52</t>
  </si>
  <si>
    <t xml:space="preserve">Peer Coef – min</t>
  </si>
  <si>
    <t xml:space="preserve">Peer Coef – max</t>
  </si>
  <si>
    <t xml:space="preserve">NACE MR0175</t>
  </si>
  <si>
    <t xml:space="preserve">Floor applies?</t>
  </si>
  <si>
    <t xml:space="preserve">API 610، گریز از مرکز، کلاس S/D</t>
  </si>
  <si>
    <t xml:space="preserve">Floor EUR (target year)</t>
  </si>
  <si>
    <t xml:space="preserve">۲۵٬۰۰۰ یورو (۱۴۰۴) × نسبت PPI</t>
  </si>
  <si>
    <t xml:space="preserve">نتیجه برآورد</t>
  </si>
  <si>
    <t xml:space="preserve">Unit price EUR – expected</t>
  </si>
  <si>
    <t xml:space="preserve">MAX(Coef میانگین × kW^n × ALL_F ، کف)</t>
  </si>
  <si>
    <t xml:space="preserve">Unit price EUR – low</t>
  </si>
  <si>
    <t xml:space="preserve">با Coef کمینه همتاها</t>
  </si>
  <si>
    <t xml:space="preserve">Unit price EUR – high</t>
  </si>
  <si>
    <t xml:space="preserve">با Coef بیشینه همتاها</t>
  </si>
  <si>
    <t xml:space="preserve">Unit price USD – expected</t>
  </si>
  <si>
    <t xml:space="preserve">× نرخ یورو ÷ نرخ دلار سال هدف</t>
  </si>
  <si>
    <t xml:space="preserve">Unit price IRR – expected</t>
  </si>
  <si>
    <t xml:space="preserve">× نرخ یوروی سال هدف</t>
  </si>
  <si>
    <t xml:space="preserve">Power (kW) – if known</t>
  </si>
  <si>
    <t xml:space="preserve">Total IRR (× quantity)</t>
  </si>
  <si>
    <t xml:space="preserve">Target year / EUR→IRR / USD→IRR</t>
  </si>
  <si>
    <t xml:space="preserve">از شیت Assumptions</t>
  </si>
  <si>
    <t xml:space="preserve">Quantity (sets)</t>
  </si>
  <si>
    <t xml:space="preserve">SEARCH – جستجوی بانک قیمت پمپ</t>
  </si>
  <si>
    <t xml:space="preserve">(All) = بدون فیلتر؛ خانه خالی در بازه عددی = بدون محدودیت. نتایج با هر تغییر فوراً به‌روز می‌شوند (حداکثر ۲۰۰ ردیف).</t>
  </si>
  <si>
    <t xml:space="preserve">فیلتر</t>
  </si>
  <si>
    <t xml:space="preserve">حداکثر</t>
  </si>
  <si>
    <t xml:space="preserve">Text in Name / Tag</t>
  </si>
  <si>
    <t xml:space="preserve">(All)</t>
  </si>
  <si>
    <t xml:space="preserve">Include in Totals</t>
  </si>
  <si>
    <t xml:space="preserve">Project</t>
  </si>
  <si>
    <t xml:space="preserve">Material Class</t>
  </si>
  <si>
    <t xml:space="preserve">Only escalated price</t>
  </si>
  <si>
    <t xml:space="preserve">Capacity m³/h (min / max)</t>
  </si>
  <si>
    <t xml:space="preserve">Seal Arrangement</t>
  </si>
  <si>
    <t xml:space="preserve">Head m (min / max)</t>
  </si>
  <si>
    <t xml:space="preserve">Size kW (min / max)</t>
  </si>
  <si>
    <t xml:space="preserve">Cost Year</t>
  </si>
  <si>
    <t xml:space="preserve">تعداد نتایج</t>
  </si>
  <si>
    <t xml:space="preserve">یورو تعدیل‌شده – کمینه</t>
  </si>
  <si>
    <t xml:space="preserve">یورو تعدیل‌شده – میانگین</t>
  </si>
  <si>
    <t xml:space="preserve">یورو تعدیل‌شده – بیشینه</t>
  </si>
  <si>
    <t xml:space="preserve">ریال تعدیل‌شده – میانگین</t>
  </si>
  <si>
    <t xml:space="preserve">سال هدف</t>
  </si>
  <si>
    <t xml:space="preserve">#</t>
  </si>
  <si>
    <t xml:space="preserve">Master row</t>
  </si>
  <si>
    <t xml:space="preserve">Sub-Cat</t>
  </si>
  <si>
    <t xml:space="preserve">API Type</t>
  </si>
  <si>
    <t xml:space="preserve">Material</t>
  </si>
  <si>
    <t xml:space="preserve">Q m³/h</t>
  </si>
  <si>
    <t xml:space="preserve">Head m</t>
  </si>
  <si>
    <t xml:space="preserve">Size kW</t>
  </si>
  <si>
    <t xml:space="preserve">Seal</t>
  </si>
  <si>
    <t xml:space="preserve">Driver</t>
  </si>
  <si>
    <t xml:space="preserve">Service</t>
  </si>
  <si>
    <t xml:space="preserve">Cur.</t>
  </si>
  <si>
    <t xml:space="preserve">Unit Price (Ref)</t>
  </si>
  <si>
    <t xml:space="preserve">Price Basis</t>
  </si>
  <si>
    <t xml:space="preserve">Escalated EUR</t>
  </si>
  <si>
    <t xml:space="preserve">Escalated USD</t>
  </si>
  <si>
    <t xml:space="preserve">Escalated IRR</t>
  </si>
  <si>
    <t xml:space="preserve">Incl.</t>
  </si>
  <si>
    <t xml:space="preserve">VENDOR_QUOTES – ثبت طولی استعلام‌ها (هر ردیف = یک پیشنهاد)</t>
  </si>
  <si>
    <t xml:space="preserve">سند پیوست: در محاسبات Master استفاده نمی‌شود و فقط مبنای قیمت‌های استعلامی (مثل پازنان ۲، ۱۴۰۴) را مستند می‌کند. ستون Master Row = شماره Row رکورد در Master. ستون‌های (auto) خودکار پر می‌شوند. ردیف 5 نمونه است.</t>
  </si>
  <si>
    <t xml:space="preserve">Quote_ID</t>
  </si>
  <si>
    <t xml:space="preserve">Master Row</t>
  </si>
  <si>
    <t xml:space="preserve">Tag (auto)</t>
  </si>
  <si>
    <t xml:space="preserve">Equipment Name (auto)</t>
  </si>
  <si>
    <t xml:space="preserve">Vendor_ID</t>
  </si>
  <si>
    <t xml:space="preserve">Vendor Name (auto)</t>
  </si>
  <si>
    <t xml:space="preserve">AVL Status (auto)</t>
  </si>
  <si>
    <t xml:space="preserve">Quote Year (Jalali)</t>
  </si>
  <si>
    <t xml:space="preserve">Quote Ref / Date</t>
  </si>
  <si>
    <t xml:space="preserve">Validity (days)</t>
  </si>
  <si>
    <t xml:space="preserve">Currency</t>
  </si>
  <si>
    <t xml:space="preserve">Quoted Unit Price</t>
  </si>
  <si>
    <t xml:space="preserve">TBE OK</t>
  </si>
  <si>
    <t xml:space="preserve">Unit Price EUR (auto)</t>
  </si>
  <si>
    <t xml:space="preserve">Delivery (weeks)</t>
  </si>
  <si>
    <t xml:space="preserve">Sc: Driver</t>
  </si>
  <si>
    <t xml:space="preserve">Sc: Baseplate</t>
  </si>
  <si>
    <t xml:space="preserve">Sc: Seal System</t>
  </si>
  <si>
    <t xml:space="preserve">Sc: Spares</t>
  </si>
  <si>
    <t xml:space="preserve">Sc: TPI</t>
  </si>
  <si>
    <t xml:space="preserve">Remarks</t>
  </si>
  <si>
    <t xml:space="preserve">Q-EX01</t>
  </si>
  <si>
    <t xml:space="preserve">(e.g. 98)</t>
  </si>
  <si>
    <t xml:space="preserve">V-EX01</t>
  </si>
  <si>
    <t xml:space="preserve">INQ-123 / 1404-02</t>
  </si>
  <si>
    <t xml:space="preserve">نمونه – در شمارش وارد نمی‌شود</t>
  </si>
  <si>
    <t xml:space="preserve">PZN2-P-111 A/B-V-01</t>
  </si>
  <si>
    <t xml:space="preserve">V-01</t>
  </si>
  <si>
    <t xml:space="preserve">2025-02-15</t>
  </si>
  <si>
    <t xml:space="preserve">Pending</t>
  </si>
  <si>
    <t xml:space="preserve">Source: PUMPS I8:M8</t>
  </si>
  <si>
    <t xml:space="preserve">PZN2-P-111 A/B-V-02</t>
  </si>
  <si>
    <t xml:space="preserve">V-02</t>
  </si>
  <si>
    <t xml:space="preserve">2025-05-04</t>
  </si>
  <si>
    <t xml:space="preserve">Source: PUMPS N8:R8</t>
  </si>
  <si>
    <t xml:space="preserve">PZN2-P-111 A/B-V-03</t>
  </si>
  <si>
    <t xml:space="preserve">V-03</t>
  </si>
  <si>
    <t xml:space="preserve">Source: PUMPS S8:W8 – declined</t>
  </si>
  <si>
    <t xml:space="preserve">PZN2-P-111 A/B-V-04</t>
  </si>
  <si>
    <t xml:space="preserve">V-04</t>
  </si>
  <si>
    <t xml:space="preserve">Source: PUMPS X8:AB8 – no reply</t>
  </si>
  <si>
    <t xml:space="preserve">PZN2-P-122 A/B-V-01</t>
  </si>
  <si>
    <t xml:space="preserve">Source: PUMPS I9:M9</t>
  </si>
  <si>
    <t xml:space="preserve">PZN2-P-122 A/B-V-02</t>
  </si>
  <si>
    <t xml:space="preserve">Source: PUMPS N9:R9</t>
  </si>
  <si>
    <t xml:space="preserve">PZN2-P-122 A/B-V-03</t>
  </si>
  <si>
    <t xml:space="preserve">Source: PUMPS S9:W9 – declined</t>
  </si>
  <si>
    <t xml:space="preserve">PZN2-P-122 A/B-V-04</t>
  </si>
  <si>
    <t xml:space="preserve">Source: PUMPS X9:AB9 – no reply</t>
  </si>
  <si>
    <t xml:space="preserve">PZN2-P-124-V-01</t>
  </si>
  <si>
    <t xml:space="preserve">Source: PUMPS I10:M10</t>
  </si>
  <si>
    <t xml:space="preserve">PZN2-P-124-V-02</t>
  </si>
  <si>
    <t xml:space="preserve">Source: PUMPS N10:R10</t>
  </si>
  <si>
    <t xml:space="preserve">PZN2-P-124-V-03</t>
  </si>
  <si>
    <t xml:space="preserve">Source: PUMPS S10:W10 – declined</t>
  </si>
  <si>
    <t xml:space="preserve">PZN2-P-124-V-04</t>
  </si>
  <si>
    <t xml:space="preserve">Source: PUMPS X10:AB10 – no reply</t>
  </si>
  <si>
    <t xml:space="preserve">PZN2-P-125 A/B-V-01</t>
  </si>
  <si>
    <t xml:space="preserve">Source: PUMPS I11:M11</t>
  </si>
  <si>
    <t xml:space="preserve">PZN2-P-125 A/B-V-02</t>
  </si>
  <si>
    <t xml:space="preserve">Source: PUMPS N11:R11</t>
  </si>
  <si>
    <t xml:space="preserve">PZN2-P-125 A/B-V-03</t>
  </si>
  <si>
    <t xml:space="preserve">Source: PUMPS S11:W11 – declined</t>
  </si>
  <si>
    <t xml:space="preserve">PZN2-P-125 A/B-V-04</t>
  </si>
  <si>
    <t xml:space="preserve">Source: PUMPS X11:AB11 – no reply</t>
  </si>
  <si>
    <t xml:space="preserve">PZN2-P-136 A/B-V-01</t>
  </si>
  <si>
    <t xml:space="preserve">Source: PUMPS I12:M12</t>
  </si>
  <si>
    <t xml:space="preserve">PZN2-P-136 A/B-V-02</t>
  </si>
  <si>
    <t xml:space="preserve">Source: PUMPS N12:R12</t>
  </si>
  <si>
    <t xml:space="preserve">PZN2-P-136 A/B-V-03</t>
  </si>
  <si>
    <t xml:space="preserve">Source: PUMPS S12:W12 – declined</t>
  </si>
  <si>
    <t xml:space="preserve">PZN2-P-136 A/B-V-04</t>
  </si>
  <si>
    <t xml:space="preserve">Source: PUMPS X12:AB12 – no reply</t>
  </si>
  <si>
    <t xml:space="preserve">PZN2-P-137 A/B-V-01</t>
  </si>
  <si>
    <t xml:space="preserve">Source: PUMPS I13:M13</t>
  </si>
  <si>
    <t xml:space="preserve">PZN2-P-137 A/B-V-02</t>
  </si>
  <si>
    <t xml:space="preserve">Source: PUMPS N13:R13 – declined</t>
  </si>
  <si>
    <t xml:space="preserve">PZN2-P-137 A/B-V-03</t>
  </si>
  <si>
    <t xml:space="preserve">Source: PUMPS S13:W13 – declined</t>
  </si>
  <si>
    <t xml:space="preserve">PZN2-P-137 A/B-V-04</t>
  </si>
  <si>
    <t xml:space="preserve">Source: PUMPS X13:AB13 – no reply</t>
  </si>
  <si>
    <t xml:space="preserve">PZN2-P-138 A/B-V-01</t>
  </si>
  <si>
    <t xml:space="preserve">Source: PUMPS I14:M14</t>
  </si>
  <si>
    <t xml:space="preserve">PZN2-P-138 A/B-V-02</t>
  </si>
  <si>
    <t xml:space="preserve">Source: PUMPS N14:R14</t>
  </si>
  <si>
    <t xml:space="preserve">PZN2-P-138 A/B-V-03</t>
  </si>
  <si>
    <t xml:space="preserve">Source: PUMPS S14:W14 – declined</t>
  </si>
  <si>
    <t xml:space="preserve">PZN2-P-138 A/B-V-04</t>
  </si>
  <si>
    <t xml:space="preserve">Source: PUMPS X14:AB14 – no reply</t>
  </si>
  <si>
    <t xml:space="preserve">PZN2-P-139 A/B/C-V-01</t>
  </si>
  <si>
    <t xml:space="preserve">Source: PUMPS I15:M15</t>
  </si>
  <si>
    <t xml:space="preserve">PZN2-P-139 A/B/C-V-02</t>
  </si>
  <si>
    <t xml:space="preserve">Source: PUMPS N15:R15</t>
  </si>
  <si>
    <t xml:space="preserve">PZN2-P-139 A/B/C-V-03</t>
  </si>
  <si>
    <t xml:space="preserve">Source: PUMPS S15:W15 – declined</t>
  </si>
  <si>
    <t xml:space="preserve">PZN2-P-139 A/B/C-V-04</t>
  </si>
  <si>
    <t xml:space="preserve">Source: PUMPS X15:AB15 – no reply</t>
  </si>
  <si>
    <t xml:space="preserve">PZN2-P-151 A/B-V-01</t>
  </si>
  <si>
    <t xml:space="preserve">Source: PUMPS I16:M16</t>
  </si>
  <si>
    <t xml:space="preserve">PZN2-P-151 A/B-V-02</t>
  </si>
  <si>
    <t xml:space="preserve">Source: PUMPS N16:R16</t>
  </si>
  <si>
    <t xml:space="preserve">PZN2-P-151 A/B-V-03</t>
  </si>
  <si>
    <t xml:space="preserve">Source: PUMPS S16:W16 – declined</t>
  </si>
  <si>
    <t xml:space="preserve">PZN2-P-151 A/B-V-04</t>
  </si>
  <si>
    <t xml:space="preserve">Source: PUMPS X16:AB16 – no reply</t>
  </si>
  <si>
    <t xml:space="preserve">PZN2-P-161 A/B-V-01</t>
  </si>
  <si>
    <t xml:space="preserve">Source: PUMPS I17:M17</t>
  </si>
  <si>
    <t xml:space="preserve">PZN2-P-161 A/B-V-02</t>
  </si>
  <si>
    <t xml:space="preserve">Source: PUMPS N17:R17</t>
  </si>
  <si>
    <t xml:space="preserve">PZN2-P-161 A/B-V-03</t>
  </si>
  <si>
    <t xml:space="preserve">Source: PUMPS S17:W17 – declined</t>
  </si>
  <si>
    <t xml:space="preserve">PZN2-P-161 A/B-V-04</t>
  </si>
  <si>
    <t xml:space="preserve">Source: PUMPS X17:AB17 – no reply</t>
  </si>
  <si>
    <t xml:space="preserve">PZN2-P-162-V-01</t>
  </si>
  <si>
    <t xml:space="preserve">Source: PUMPS I18:M18</t>
  </si>
  <si>
    <t xml:space="preserve">PZN2-P-162-V-02</t>
  </si>
  <si>
    <t xml:space="preserve">Source: PUMPS N18:R18</t>
  </si>
  <si>
    <t xml:space="preserve">PZN2-P-162-V-03</t>
  </si>
  <si>
    <t xml:space="preserve">Source: PUMPS S18:W18 – declined</t>
  </si>
  <si>
    <t xml:space="preserve">PZN2-P-162-V-04</t>
  </si>
  <si>
    <t xml:space="preserve">Source: PUMPS X18:AB18 – no reply</t>
  </si>
  <si>
    <t xml:space="preserve">PZN2-P-163 A/B-V-01</t>
  </si>
  <si>
    <t xml:space="preserve">Source: PUMPS I19:M19 – declined</t>
  </si>
  <si>
    <t xml:space="preserve">PZN2-P-163 A/B-V-02</t>
  </si>
  <si>
    <t xml:space="preserve">Source: PUMPS N19:R19 – declined</t>
  </si>
  <si>
    <t xml:space="preserve">PZN2-P-163 A/B-V-03</t>
  </si>
  <si>
    <t xml:space="preserve">Source: PUMPS S19:W19 – declined</t>
  </si>
  <si>
    <t xml:space="preserve">PZN2-P-163 A/B-V-04</t>
  </si>
  <si>
    <t xml:space="preserve">Source: PUMPS X19:AB19 – no reply</t>
  </si>
  <si>
    <t xml:space="preserve">PZN2-P-164 A/B-V-01</t>
  </si>
  <si>
    <t xml:space="preserve">Source: PUMPS I20:M20</t>
  </si>
  <si>
    <t xml:space="preserve">PZN2-P-164 A/B-V-02</t>
  </si>
  <si>
    <t xml:space="preserve">Source: PUMPS N20:R20</t>
  </si>
  <si>
    <t xml:space="preserve">PZN2-P-164 A/B-V-03</t>
  </si>
  <si>
    <t xml:space="preserve">Source: PUMPS S20:W20 – declined</t>
  </si>
  <si>
    <t xml:space="preserve">PZN2-P-164 A/B-V-04</t>
  </si>
  <si>
    <t xml:space="preserve">Source: PUMPS X20:AB20 – no reply</t>
  </si>
  <si>
    <t xml:space="preserve">PZN2-P-165 A/B-V-01</t>
  </si>
  <si>
    <t xml:space="preserve">Source: PUMPS I21:M21</t>
  </si>
  <si>
    <t xml:space="preserve">PZN2-P-165 A/B-V-02</t>
  </si>
  <si>
    <t xml:space="preserve">Source: PUMPS N21:R21</t>
  </si>
  <si>
    <t xml:space="preserve">PZN2-P-165 A/B-V-03</t>
  </si>
  <si>
    <t xml:space="preserve">Source: PUMPS S21:W21 – declined</t>
  </si>
  <si>
    <t xml:space="preserve">PZN2-P-165 A/B-V-04</t>
  </si>
  <si>
    <t xml:space="preserve">Source: PUMPS X21:AB21 – no reply</t>
  </si>
  <si>
    <t xml:space="preserve">PZN2-P-171-V-01</t>
  </si>
  <si>
    <t xml:space="preserve">Source: PUMPS I22:M22</t>
  </si>
  <si>
    <t xml:space="preserve">PZN2-P-171-V-02</t>
  </si>
  <si>
    <t xml:space="preserve">Source: PUMPS N22:R22</t>
  </si>
  <si>
    <t xml:space="preserve">PZN2-P-171-V-03</t>
  </si>
  <si>
    <t xml:space="preserve">Source: PUMPS S22:W22 – declined</t>
  </si>
  <si>
    <t xml:space="preserve">PZN2-P-171-V-04</t>
  </si>
  <si>
    <t xml:space="preserve">Source: PUMPS X22:AB22 – no reply</t>
  </si>
  <si>
    <t xml:space="preserve">PZN2-P-191-V-01</t>
  </si>
  <si>
    <t xml:space="preserve">Source: PUMPS I23:M23</t>
  </si>
  <si>
    <t xml:space="preserve">PZN2-P-191-V-02</t>
  </si>
  <si>
    <t xml:space="preserve">Source: PUMPS N23:R23</t>
  </si>
  <si>
    <t xml:space="preserve">PZN2-P-191-V-03</t>
  </si>
  <si>
    <t xml:space="preserve">Source: PUMPS S23:W23 – declined</t>
  </si>
  <si>
    <t xml:space="preserve">PZN2-P-191-V-04</t>
  </si>
  <si>
    <t xml:space="preserve">Source: PUMPS X23:AB23 – no reply</t>
  </si>
  <si>
    <t xml:space="preserve">PZN2-P-192-V-01</t>
  </si>
  <si>
    <t xml:space="preserve">Source: PUMPS I24:M24</t>
  </si>
  <si>
    <t xml:space="preserve">PZN2-P-192-V-02</t>
  </si>
  <si>
    <t xml:space="preserve">Source: PUMPS N24:R24</t>
  </si>
  <si>
    <t xml:space="preserve">PZN2-P-192-V-03</t>
  </si>
  <si>
    <t xml:space="preserve">2025-02-21</t>
  </si>
  <si>
    <t xml:space="preserve">Source: PUMPS S24:W24</t>
  </si>
  <si>
    <t xml:space="preserve">PZN2-P-192-V-04</t>
  </si>
  <si>
    <t xml:space="preserve">Source: PUMPS X24:AB24 – no reply</t>
  </si>
  <si>
    <t xml:space="preserve">PZN2-P-193-V-01</t>
  </si>
  <si>
    <t xml:space="preserve">Source: PUMPS I25:M25</t>
  </si>
  <si>
    <t xml:space="preserve">PZN2-P-193-V-02</t>
  </si>
  <si>
    <t xml:space="preserve">Source: PUMPS N25:R25</t>
  </si>
  <si>
    <t xml:space="preserve">PZN2-P-193-V-03</t>
  </si>
  <si>
    <t xml:space="preserve">Source: PUMPS S25:W25</t>
  </si>
  <si>
    <t xml:space="preserve">PZN2-P-193-V-04</t>
  </si>
  <si>
    <t xml:space="preserve">Source: PUMPS X25:AB25 – no reply</t>
  </si>
  <si>
    <t xml:space="preserve">PZN2-P-194 A/B-V-01</t>
  </si>
  <si>
    <t xml:space="preserve">Source: PUMPS I26:M26</t>
  </si>
  <si>
    <t xml:space="preserve">PZN2-P-194 A/B-V-02</t>
  </si>
  <si>
    <t xml:space="preserve">Source: PUMPS N26:R26</t>
  </si>
  <si>
    <t xml:space="preserve">PZN2-P-194 A/B-V-03</t>
  </si>
  <si>
    <t xml:space="preserve">Source: PUMPS S26:W26</t>
  </si>
  <si>
    <t xml:space="preserve">PZN2-P-194 A/B-V-04</t>
  </si>
  <si>
    <t xml:space="preserve">Source: PUMPS X26:AB26 – no reply</t>
  </si>
  <si>
    <t xml:space="preserve">PZN2-P-210 A/B-V-01</t>
  </si>
  <si>
    <t xml:space="preserve">Source: PUMPS I27:M27 – declined</t>
  </si>
  <si>
    <t xml:space="preserve">PZN2-P-210 A/B-V-02</t>
  </si>
  <si>
    <t xml:space="preserve">Source: PUMPS N27:R27 – declined</t>
  </si>
  <si>
    <t xml:space="preserve">PZN2-P-210 A/B-V-03</t>
  </si>
  <si>
    <t xml:space="preserve">Source: PUMPS S27:W27 – declined</t>
  </si>
  <si>
    <t xml:space="preserve">PZN2-P-210 A/B-V-04</t>
  </si>
  <si>
    <t xml:space="preserve">Source: PUMPS X27:AB27 – no reply</t>
  </si>
  <si>
    <t xml:space="preserve">PZN2-P-211-V-01</t>
  </si>
  <si>
    <t xml:space="preserve">Source: PUMPS I28:M28 – declined</t>
  </si>
  <si>
    <t xml:space="preserve">PZN2-P-211-V-02</t>
  </si>
  <si>
    <t xml:space="preserve">Source: PUMPS N28:R28 – declined</t>
  </si>
  <si>
    <t xml:space="preserve">PZN2-P-211-V-03</t>
  </si>
  <si>
    <t xml:space="preserve">Source: PUMPS S28:W28 – declined</t>
  </si>
  <si>
    <t xml:space="preserve">PZN2-P-211-V-04</t>
  </si>
  <si>
    <t xml:space="preserve">Source: PUMPS X28:AB28 – no reply</t>
  </si>
  <si>
    <t xml:space="preserve">VENDOR_REGISTER – فهرست سازندگان و وضعیت AVL</t>
  </si>
  <si>
    <t xml:space="preserve">ردیف 5 نمونه است (خاکستری). ردیف‌های بعدی را تکمیل کنید؛ Vendor_ID در Master و Vendor_Quotes به‌صورت Dropdown از ستون A خوانده می‌شود.</t>
  </si>
  <si>
    <t xml:space="preserve">Vendor Name</t>
  </si>
  <si>
    <t xml:space="preserve">Country</t>
  </si>
  <si>
    <t xml:space="preserve">Origin</t>
  </si>
  <si>
    <t xml:space="preserve">AVL_Status</t>
  </si>
  <si>
    <t xml:space="preserve">Vendor_Rank</t>
  </si>
  <si>
    <t xml:space="preserve">Pump types supplied</t>
  </si>
  <si>
    <t xml:space="preserve">Licensor / OEM</t>
  </si>
  <si>
    <t xml:space="preserve">Notes</t>
  </si>
  <si>
    <t xml:space="preserve">(Example vendor)</t>
  </si>
  <si>
    <t xml:space="preserve">Iran</t>
  </si>
  <si>
    <t xml:space="preserve">Domestic (Licensed)</t>
  </si>
  <si>
    <t xml:space="preserve">NIOC/NISOC Approved</t>
  </si>
  <si>
    <t xml:space="preserve">Rank 1</t>
  </si>
  <si>
    <t xml:space="preserve">API 610 OH2/BB2</t>
  </si>
  <si>
    <t xml:space="preserve">(Licensor name)</t>
  </si>
  <si>
    <t xml:space="preserve">نمونه – حذف یا جایگزین کنید</t>
  </si>
  <si>
    <t xml:space="preserve">آریا سپهر کیهان</t>
  </si>
  <si>
    <t xml:space="preserve">Not checked</t>
  </si>
  <si>
    <t xml:space="preserve">Pazanan 2 pump inquiries (PC-ME 14040105, sheet PUMPS, cols I:AG)</t>
  </si>
  <si>
    <t xml:space="preserve">پمپیران</t>
  </si>
  <si>
    <t xml:space="preserve">کالای پمپ</t>
  </si>
  <si>
    <t xml:space="preserve">دالاهو پارس کیش (دمکو)</t>
  </si>
  <si>
    <t xml:space="preserve">FACTORS_ROT – ضرایب نرمال‌سازی (پیکربندی پایه: S-5، Seal Arr 1 / Plan 11 / Cat 2، موتور برقی، بدون NACE، Scope پایه)</t>
  </si>
  <si>
    <t xml:space="preserve">ستون D ضریب اولیه بر پایه قضاوت مهندسی است و کالیبره نشده. ضریب کالیبره را در ستون E (زرد) وارد کنید؛ ستون F خودکار جایگزین می‌شود.</t>
  </si>
  <si>
    <t xml:space="preserve">Key</t>
  </si>
  <si>
    <t xml:space="preserve">Group</t>
  </si>
  <si>
    <t xml:space="preserve">Option</t>
  </si>
  <si>
    <t xml:space="preserve">Provisional Factor</t>
  </si>
  <si>
    <t xml:space="preserve">Calibrated Factor (input)</t>
  </si>
  <si>
    <t xml:space="preserve">Used Factor</t>
  </si>
  <si>
    <t xml:space="preserve">Status</t>
  </si>
  <si>
    <t xml:space="preserve">MAT</t>
  </si>
  <si>
    <t xml:space="preserve">API 610 material class – base S-5 = 1.00 | بدنه چدن، پروانه چدن؛ رینگ چدن؛ شفت فولاد کربنی</t>
  </si>
  <si>
    <t xml:space="preserve">API 610 material class – base S-5 = 1.00 | بدنه چدن، پروانه برنز؛ رینگ برنز؛ شفت فولاد کربنی</t>
  </si>
  <si>
    <t xml:space="preserve">API 610 material class – base S-5 = 1.00 | بدنه فولاد کربنی، پروانه چدن؛ رینگ چدن؛ شفت فولاد کربنی</t>
  </si>
  <si>
    <t xml:space="preserve">API 610 material class – base S-5 = 1.00 | بدنه فولاد کربنی، پروانه نی‌رزیست (چدن آلیاژی نیکل‌دار)؛ رینگ نی‌رزیست؛ شفت AISI 4140</t>
  </si>
  <si>
    <t xml:space="preserve">API 610 material class – base S-5 = 1.00 | بدنه فولاد کربنی، پروانه فولاد کربنی؛ رینگ چدن؛ شفت فولاد کربنی</t>
  </si>
  <si>
    <t xml:space="preserve">API 610 material class – base S-5 = 1.00 | بدنه فولاد کربنی، پروانه فولاد کربنی؛ رینگ کروم ۱۲٪ سخت‌شده؛ شفت AISI 4140</t>
  </si>
  <si>
    <t xml:space="preserve">API 610 material class – base S-5 = 1.00 | بدنه فولاد کربنی، پروانه کروم ۱۲٪؛ رینگ کروم ۱۲٪ سخت‌شده؛ شفت کروم ۱۲٪</t>
  </si>
  <si>
    <t xml:space="preserve">API 610 material class – base S-5 = 1.00 | بدنه فولاد کربنی، پروانه فولاد ضدزنگ 316؛ رینگ 316 با روکش سخت؛ شفت 316</t>
  </si>
  <si>
    <t xml:space="preserve">API 610 material class – base S-5 = 1.00 | بدنه فولاد کربنی، پروانه آلیاژ نیکل‌-مس؛ رینگ نیکل‌-مس؛ شفت نیکل‌-مس</t>
  </si>
  <si>
    <t xml:space="preserve">API 610 material class – base S-5 = 1.00 | بدنه کروم ۱۲٪، پروانه کروم ۱۲٪؛ رینگ کروم ۱۲٪ سخت‌شده؛ شفت کروم ۱۲٪</t>
  </si>
  <si>
    <t xml:space="preserve">API 610 material class – base S-5 = 1.00 | بدنه فولاد ضدزنگ آستنیتی، پروانه فولاد ضدزنگ آستنیتی؛ رینگ با روکش سخت؛ شفت آستنیتی</t>
  </si>
  <si>
    <t xml:space="preserve">API 610 material class – base S-5 = 1.00 | بدنه فولاد ضدزنگ 316، پروانه فولاد ضدزنگ 316؛ رینگ با روکش سخت؛ شفت 316</t>
  </si>
  <si>
    <t xml:space="preserve">API 610 material class – base S-5 = 1.00 | بدنه داپلکس، پروانه داپلکس؛ رینگ با روکش سخت؛ شفت داپلکس</t>
  </si>
  <si>
    <t xml:space="preserve">API 610 material class – base S-5 = 1.00 | بدنه سوپرداپلکس، پروانه سوپرداپلکس؛ رینگ با روکش سخت؛ شفت سوپرداپلکس</t>
  </si>
  <si>
    <t xml:space="preserve">API 610 material class – base S-5 = 1.00 | بدنه فولاد ضدزنگ 316L، پروانه فولاد ضدزنگ 316L؛ —</t>
  </si>
  <si>
    <t xml:space="preserve">API 610 material class – base S-5 = 1.00</t>
  </si>
  <si>
    <t xml:space="preserve">SEAL_ARR</t>
  </si>
  <si>
    <t xml:space="preserve">Packing</t>
  </si>
  <si>
    <t xml:space="preserve">Seal type / API 682 arrangement – base Arr 1 = 1.00</t>
  </si>
  <si>
    <t xml:space="preserve">Arr 1 - Single</t>
  </si>
  <si>
    <t xml:space="preserve">Seal type / API 682 arrangement – base Arr 1 = 1.00 | Base</t>
  </si>
  <si>
    <t xml:space="preserve">Arr 3 - Dual Pressurized</t>
  </si>
  <si>
    <t xml:space="preserve">Sealless - Magnetic Drive</t>
  </si>
  <si>
    <t xml:space="preserve">Sealless - Canned Motor</t>
  </si>
  <si>
    <t xml:space="preserve">Seal type / API 682 arrangement – base Arr 1 = 1.00 | Neutral</t>
  </si>
  <si>
    <t xml:space="preserve">SEAL_CAT</t>
  </si>
  <si>
    <t xml:space="preserve">Cat 1</t>
  </si>
  <si>
    <t xml:space="preserve">API 682 category – base Cat 2 = 1.00</t>
  </si>
  <si>
    <t xml:space="preserve">API 682 category – base Cat 2 = 1.00 | Base</t>
  </si>
  <si>
    <t xml:space="preserve">Cat 3</t>
  </si>
  <si>
    <t xml:space="preserve">N/A</t>
  </si>
  <si>
    <t xml:space="preserve">SEAL_PLAN</t>
  </si>
  <si>
    <t xml:space="preserve">01</t>
  </si>
  <si>
    <t xml:space="preserve">API 682 seal plan – base Plan 11 = 1.00</t>
  </si>
  <si>
    <t xml:space="preserve">02</t>
  </si>
  <si>
    <t xml:space="preserve">11</t>
  </si>
  <si>
    <t xml:space="preserve">API 682 seal plan – base Plan 11 = 1.00 | Base</t>
  </si>
  <si>
    <t xml:space="preserve">13</t>
  </si>
  <si>
    <t xml:space="preserve">14</t>
  </si>
  <si>
    <t xml:space="preserve">21</t>
  </si>
  <si>
    <t xml:space="preserve">23</t>
  </si>
  <si>
    <t xml:space="preserve">32</t>
  </si>
  <si>
    <t xml:space="preserve">52</t>
  </si>
  <si>
    <t xml:space="preserve">53A</t>
  </si>
  <si>
    <t xml:space="preserve">53B</t>
  </si>
  <si>
    <t xml:space="preserve">53C</t>
  </si>
  <si>
    <t xml:space="preserve">54</t>
  </si>
  <si>
    <t xml:space="preserve">62</t>
  </si>
  <si>
    <t xml:space="preserve">65A</t>
  </si>
  <si>
    <t xml:space="preserve">72/76</t>
  </si>
  <si>
    <t xml:space="preserve">11+53B</t>
  </si>
  <si>
    <t xml:space="preserve">23+53B</t>
  </si>
  <si>
    <t xml:space="preserve">API 682 seal plan – base Plan 11 = 1.00 | Neutral</t>
  </si>
  <si>
    <t xml:space="preserve">DRV</t>
  </si>
  <si>
    <t xml:space="preserve">Driver type – base electric motor = 1.00 | Base</t>
  </si>
  <si>
    <t xml:space="preserve">Driver type – base electric motor = 1.00</t>
  </si>
  <si>
    <t xml:space="preserve">Steam Turbine</t>
  </si>
  <si>
    <t xml:space="preserve">Air / Pneumatic</t>
  </si>
  <si>
    <t xml:space="preserve">NACE</t>
  </si>
  <si>
    <t xml:space="preserve">NACE MR0175 / ISO 15156 compliance</t>
  </si>
  <si>
    <t xml:space="preserve">NACE MR0175 / ISO 15156 compliance | Base</t>
  </si>
  <si>
    <t xml:space="preserve">SC_DRV</t>
  </si>
  <si>
    <t xml:space="preserve">Scope: driver included (base = Y) | Base</t>
  </si>
  <si>
    <t xml:space="preserve">Scope: driver included (base = Y) | Bare-shaft pump</t>
  </si>
  <si>
    <t xml:space="preserve">Scope: driver included (base = Y)</t>
  </si>
  <si>
    <t xml:space="preserve">SC_BSP</t>
  </si>
  <si>
    <t xml:space="preserve">Scope: baseplate &amp; coupling (base = Y) | Base</t>
  </si>
  <si>
    <t xml:space="preserve">Scope: baseplate &amp; coupling (base = Y)</t>
  </si>
  <si>
    <t xml:space="preserve">SC_SEAL</t>
  </si>
  <si>
    <t xml:space="preserve">Scope: seal support system (base = Y) | Base</t>
  </si>
  <si>
    <t xml:space="preserve">Scope: seal support system (base = Y)</t>
  </si>
  <si>
    <t xml:space="preserve">SC_COMM</t>
  </si>
  <si>
    <t xml:space="preserve">Scope: commissioning spares (base = Y) | Base</t>
  </si>
  <si>
    <t xml:space="preserve">Scope: commissioning spares (base = Y)</t>
  </si>
  <si>
    <t xml:space="preserve">SC_2Y</t>
  </si>
  <si>
    <t xml:space="preserve">Scope: 2-year spares (base = N)</t>
  </si>
  <si>
    <t xml:space="preserve">Scope: 2-year spares (base = N) | Base</t>
  </si>
  <si>
    <t xml:space="preserve">SC_TPI</t>
  </si>
  <si>
    <t xml:space="preserve">Scope: third-party inspection (base = N)</t>
  </si>
  <si>
    <t xml:space="preserve">Scope: third-party inspection (base = N) | Base</t>
  </si>
  <si>
    <t xml:space="preserve">SC_FAT</t>
  </si>
  <si>
    <t xml:space="preserve">Scope: witnessed FAT (base = N)</t>
  </si>
  <si>
    <t xml:space="preserve">Scope: witnessed FAT (base = N) | Base</t>
  </si>
  <si>
    <t xml:space="preserve">LOOKUP CODES – منبع همه Dropdownها</t>
  </si>
  <si>
    <t xml:space="preserve">برای افزودن گزینه، مقدار را به انتهای ستون اضافه کنید (محدوده تا ردیف 60). گزینه‌های دارای ضریب باید در Factors_ROT هم اضافه شوند.</t>
  </si>
  <si>
    <t xml:space="preserve">SubCat</t>
  </si>
  <si>
    <t xml:space="preserve">Std</t>
  </si>
  <si>
    <t xml:space="preserve">IPS</t>
  </si>
  <si>
    <t xml:space="preserve">Family</t>
  </si>
  <si>
    <t xml:space="preserve">API610</t>
  </si>
  <si>
    <t xml:space="preserve">Power_Basis</t>
  </si>
  <si>
    <t xml:space="preserve">YN</t>
  </si>
  <si>
    <t xml:space="preserve">YNS</t>
  </si>
  <si>
    <t xml:space="preserve">Year</t>
  </si>
  <si>
    <t xml:space="preserve">Phase</t>
  </si>
  <si>
    <t xml:space="preserve">AVL</t>
  </si>
  <si>
    <t xml:space="preserve">Rank</t>
  </si>
  <si>
    <t xml:space="preserve">TBE</t>
  </si>
  <si>
    <t xml:space="preserve">SRCH_Project</t>
  </si>
  <si>
    <t xml:space="preserve">SRCH_SubCat</t>
  </si>
  <si>
    <t xml:space="preserve">SRCH_Service</t>
  </si>
  <si>
    <t xml:space="preserve">SRCH_Std</t>
  </si>
  <si>
    <t xml:space="preserve">SRCH_Family</t>
  </si>
  <si>
    <t xml:space="preserve">SRCH_API610</t>
  </si>
  <si>
    <t xml:space="preserve">SRCH_MAT</t>
  </si>
  <si>
    <t xml:space="preserve">SRCH_YNS</t>
  </si>
  <si>
    <t xml:space="preserve">SRCH_SEAL_ARR</t>
  </si>
  <si>
    <t xml:space="preserve">SRCH_DRV</t>
  </si>
  <si>
    <t xml:space="preserve">SRCH_Year</t>
  </si>
  <si>
    <t xml:space="preserve">SRCH_YN</t>
  </si>
  <si>
    <t xml:space="preserve">Motor Rated</t>
  </si>
  <si>
    <t xml:space="preserve">Conceptual</t>
  </si>
  <si>
    <t xml:space="preserve">Domestic</t>
  </si>
  <si>
    <t xml:space="preserve">API 674</t>
  </si>
  <si>
    <t xml:space="preserve">Import</t>
  </si>
  <si>
    <t xml:space="preserve">Conditional</t>
  </si>
  <si>
    <t xml:space="preserve">Rank 2</t>
  </si>
  <si>
    <t xml:space="preserve">API 675</t>
  </si>
  <si>
    <t xml:space="preserve">Non-AVL</t>
  </si>
  <si>
    <t xml:space="preserve">Rank 3</t>
  </si>
  <si>
    <t xml:space="preserve">Detail Engineering</t>
  </si>
  <si>
    <t xml:space="preserve">ISO 13709</t>
  </si>
  <si>
    <t xml:space="preserve">Tender / Procurement</t>
  </si>
  <si>
    <t xml:space="preserve">EPC Contract</t>
  </si>
  <si>
    <t xml:space="preserve">ISO 2858</t>
  </si>
  <si>
    <t xml:space="preserve">PD-Reciprocating (Plunger)</t>
  </si>
  <si>
    <t xml:space="preserve">Metering (Diaphragm)</t>
  </si>
  <si>
    <t xml:space="preserve">Metering (Plunger)</t>
  </si>
  <si>
    <t xml:space="preserve">Manufacturer Std</t>
  </si>
  <si>
    <t xml:space="preserve">Jet / Eductor</t>
  </si>
  <si>
    <t xml:space="preserve">Other</t>
  </si>
  <si>
    <t xml:space="preserve">ESCALATION_INDEX – شاخص قیمت تولیدکننده پمپ (Eurostat sts_inppd_a, NACE C28.13, EA20)</t>
  </si>
  <si>
    <t xml:space="preserve">Source: Pump_Escalation_Validation.xlsx, sheet Indices, Table 3 (C51:C71) = Jalali-year blend of Eurostat sts_inppd_a, NACE C28.13, EA20 (2021=100): PPI(Jalali Y) = 0.79×PPI(Y+621) + 0.21×PPI(Y+622) (Indices C3). CPI is not used.</t>
  </si>
  <si>
    <t xml:space="preserve">Jalali Year</t>
  </si>
  <si>
    <t xml:space="preserve">PPI C28.13 EA20 (2021=100), Jalali-year blend</t>
  </si>
  <si>
    <t xml:space="preserve">Gregorian ref.</t>
  </si>
  <si>
    <t xml:space="preserve">Source / status</t>
  </si>
  <si>
    <t xml:space="preserve">2006 (79%) / 2007 (21%)</t>
  </si>
  <si>
    <t xml:space="preserve">Eurostat sts_inppd_a (imputed before 2018) | Pump_Escalation_Validation.xlsx Indices C51</t>
  </si>
  <si>
    <t xml:space="preserve">2007 (79%) / 2008 (21%)</t>
  </si>
  <si>
    <t xml:space="preserve">Eurostat sts_inppd_a (imputed before 2018) | Pump_Escalation_Validation.xlsx Indices C52</t>
  </si>
  <si>
    <t xml:space="preserve">2008 (79%) / 2009 (21%)</t>
  </si>
  <si>
    <t xml:space="preserve">Eurostat sts_inppd_a (imputed before 2018) | Pump_Escalation_Validation.xlsx Indices C53</t>
  </si>
  <si>
    <t xml:space="preserve">2009 (79%) / 2010 (21%)</t>
  </si>
  <si>
    <t xml:space="preserve">Eurostat sts_inppd_a (imputed before 2018) | Pump_Escalation_Validation.xlsx Indices C54</t>
  </si>
  <si>
    <t xml:space="preserve">2010 (79%) / 2011 (21%)</t>
  </si>
  <si>
    <t xml:space="preserve">Eurostat sts_inppd_a (imputed before 2018) | Pump_Escalation_Validation.xlsx Indices C55</t>
  </si>
  <si>
    <t xml:space="preserve">2011 (79%) / 2012 (21%)</t>
  </si>
  <si>
    <t xml:space="preserve">Eurostat sts_inppd_a (imputed before 2018) | Pump_Escalation_Validation.xlsx Indices C56</t>
  </si>
  <si>
    <t xml:space="preserve">2012 (79%) / 2013 (21%)</t>
  </si>
  <si>
    <t xml:space="preserve">Eurostat sts_inppd_a (imputed before 2018) | Pump_Escalation_Validation.xlsx Indices C57</t>
  </si>
  <si>
    <t xml:space="preserve">2013 (79%) / 2014 (21%)</t>
  </si>
  <si>
    <t xml:space="preserve">Eurostat sts_inppd_a (imputed before 2018) | Pump_Escalation_Validation.xlsx Indices C58</t>
  </si>
  <si>
    <t xml:space="preserve">2014 (79%) / 2015 (21%)</t>
  </si>
  <si>
    <t xml:space="preserve">Eurostat sts_inppd_a (imputed before 2018) | Pump_Escalation_Validation.xlsx Indices C59</t>
  </si>
  <si>
    <t xml:space="preserve">2015 (79%) / 2016 (21%)</t>
  </si>
  <si>
    <t xml:space="preserve">Eurostat sts_inppd_a (imputed before 2018) | Pump_Escalation_Validation.xlsx Indices C60</t>
  </si>
  <si>
    <t xml:space="preserve">2016 (79%) / 2017 (21%)</t>
  </si>
  <si>
    <t xml:space="preserve">Eurostat sts_inppd_a (imputed before 2018) | Pump_Escalation_Validation.xlsx Indices C61</t>
  </si>
  <si>
    <t xml:space="preserve">2017 (79%) / 2018 (21%)</t>
  </si>
  <si>
    <t xml:space="preserve">Eurostat sts_inppd_a (imputed before 2018) | Pump_Escalation_Validation.xlsx Indices C62</t>
  </si>
  <si>
    <t xml:space="preserve">2018 (79%) / 2019 (21%)</t>
  </si>
  <si>
    <t xml:space="preserve">Eurostat sts_inppd_a | Pump_Escalation_Validation.xlsx Indices C63</t>
  </si>
  <si>
    <t xml:space="preserve">2019 (79%) / 2020 (21%)</t>
  </si>
  <si>
    <t xml:space="preserve">Eurostat sts_inppd_a | Pump_Escalation_Validation.xlsx Indices C64</t>
  </si>
  <si>
    <t xml:space="preserve">2020 (79%) / 2021 (21%)</t>
  </si>
  <si>
    <t xml:space="preserve">Eurostat sts_inppd_a | Pump_Escalation_Validation.xlsx Indices C65</t>
  </si>
  <si>
    <t xml:space="preserve">2021 (79%) / 2022 (21%)</t>
  </si>
  <si>
    <t xml:space="preserve">Eurostat sts_inppd_a | Pump_Escalation_Validation.xlsx Indices C66</t>
  </si>
  <si>
    <t xml:space="preserve">2022 (79%) / 2023 (21%)</t>
  </si>
  <si>
    <t xml:space="preserve">Eurostat sts_inppd_a | Pump_Escalation_Validation.xlsx Indices C67</t>
  </si>
  <si>
    <t xml:space="preserve">2023 (79%) / 2024 (21%)</t>
  </si>
  <si>
    <t xml:space="preserve">Eurostat sts_inppd_a | Pump_Escalation_Validation.xlsx Indices C68</t>
  </si>
  <si>
    <t xml:space="preserve">2024 (79%) / 2025 (21%)</t>
  </si>
  <si>
    <t xml:space="preserve">Eurostat sts_inppd_a | Pump_Escalation_Validation.xlsx Indices C69</t>
  </si>
  <si>
    <t xml:space="preserve">2025 (79%) / 2026 (21%)</t>
  </si>
  <si>
    <t xml:space="preserve">Eurostat 2025 (79%) + 2026 forecast (21%) | Pump_Escalation_Validation.xlsx Indices C70</t>
  </si>
  <si>
    <t xml:space="preserve">2026 (79%) / 2027 (21%)</t>
  </si>
  <si>
    <t xml:space="preserve">FORECAST – 2026 not yet published; +2%/yr trend (Indices C4); 21% weight of 2027 also forecast | Pump_Escalation_Validation.xlsx Indices C71</t>
  </si>
  <si>
    <t xml:space="preserve">ASSUMPTIONS &amp; FX REFERENCE – نرخ تسعیر و پارامترهای تعدیل</t>
  </si>
  <si>
    <t xml:space="preserve">جدول FX از Pumps_Price_Bank_Final_Updated_v2 منتقل شده است (فقط سال‌های دارای مرجع در ستون E تأییدشده‌اند). پارامترهای زرد ورودی کاربر هستند.</t>
  </si>
  <si>
    <t xml:space="preserve">USD → IRR</t>
  </si>
  <si>
    <t xml:space="preserve">EUR → IRR</t>
  </si>
  <si>
    <t xml:space="preserve">EUR / USD Ratio</t>
  </si>
  <si>
    <t xml:space="preserve">Basis / Document Reference Source</t>
  </si>
  <si>
    <t xml:space="preserve">Parameter</t>
  </si>
  <si>
    <t xml:space="preserve">Value</t>
  </si>
  <si>
    <t xml:space="preserve">Note</t>
  </si>
  <si>
    <t xml:space="preserve">(not found in the source files – add if needed)</t>
  </si>
  <si>
    <t xml:space="preserve">Target Year (سال هدف تعدیل)</t>
  </si>
  <si>
    <t xml:space="preserve">Dropdown. سال ۱۴۰۵ در Escalation_Index پیش‌بینی است.</t>
  </si>
  <si>
    <t xml:space="preserve">Target EUR→IRR (auto)</t>
  </si>
  <si>
    <t xml:space="preserve">از جدول FX</t>
  </si>
  <si>
    <t xml:space="preserve">Target EUR→IRR override (optional)</t>
  </si>
  <si>
    <t xml:space="preserve">نرخ روز را در صورت نیاز وارد کنید</t>
  </si>
  <si>
    <t xml:space="preserve">Target EUR→IRR used</t>
  </si>
  <si>
    <t xml:space="preserve">Target USD→IRR (auto)</t>
  </si>
  <si>
    <t xml:space="preserve">Target USD→IRR override (optional)</t>
  </si>
  <si>
    <t xml:space="preserve">Target USD→IRR used</t>
  </si>
  <si>
    <t xml:space="preserve">EUR: free-market euro rate 42,000 (label 'نرخ آزاد یورو', Maroon3 sheets p.lab.1392 / SEFTY.p.1392).</t>
  </si>
  <si>
    <t xml:space="preserve">PPI target year (C28.13 EA20)</t>
  </si>
  <si>
    <t xml:space="preserve">EUR: 40,530.8 – Maroon3 sheet Inflation, label 'نرخ تسعیر ارز سال 93' (currency not written in the label; presumed EUR – verify).</t>
  </si>
  <si>
    <t xml:space="preserve">Price floor, EUR (API 610 centrifugal, class S/D)</t>
  </si>
  <si>
    <t xml:space="preserve">روش تأییدشده تعدیل پمپ (مهر ۱۴۰۵)</t>
  </si>
  <si>
    <t xml:space="preserve">Floor base year</t>
  </si>
  <si>
    <t xml:space="preserve">PPI of floor base year</t>
  </si>
  <si>
    <t xml:space="preserve">Cost-capacity exponent n (price ∝ kW^n)</t>
  </si>
  <si>
    <t xml:space="preserve">Provisional – calibrate</t>
  </si>
  <si>
    <t xml:space="preserve">Pump efficiency for estimated kW</t>
  </si>
  <si>
    <t xml:space="preserve">kW ≈ Q[m³/h]·H[m] / (367·η)؛ آب با SG=1 فرض شده</t>
  </si>
  <si>
    <t xml:space="preserve">USD: 420,000 – Gachsaran4 sheet Procurement 'ارز مرجع' (PEP Rev. 1402/05).</t>
  </si>
  <si>
    <t xml:space="preserve">USD: 658,533 = cached external-link value used by Pazanan2 formulas (assumed IRR per USD; verify). EUR = USD x 1.0558 (cached ratio) – derived.</t>
  </si>
  <si>
    <t xml:space="preserve">EUR: 2,000,000 – Maroon3 sheet Inflation, label 'یورو به ریال' (1405 estimate). USD = EUR / 1.1 (same sheet) – derived. | اصلاح: فرمول دوری B25↔D25 حذف و USD = EUR/1.1 مستقیم شد.</t>
  </si>
  <si>
    <t xml:space="preserve">VERIFICATION LOG – صحت‌سنجی فیلدبه‌فیلد با فایل‌های مرجع</t>
  </si>
  <si>
    <t xml:space="preserve">هر ردیف یک فیلد از یک رکورد است که مستقیماً با سلول فایل مرجع مقایسه شده (نه با بانک قدیم). مراجع: KPL-476 R03، PEP-Rev.140205 گچساران، PC-ME 14040105 پازنان ۲، 18061405_Pump_only_CSV.csv، نمونه قیمتی نمک‌زدایی.</t>
  </si>
  <si>
    <t xml:space="preserve">Result</t>
  </si>
  <si>
    <t xml:space="preserve">Count</t>
  </si>
  <si>
    <t xml:space="preserve">معنی</t>
  </si>
  <si>
    <t xml:space="preserve">Match</t>
  </si>
  <si>
    <t xml:space="preserve">مطابق مرجع</t>
  </si>
  <si>
    <t xml:space="preserve">Inferred – marked</t>
  </si>
  <si>
    <t xml:space="preserve">در مرجع نیست؛ استنباطی و زرد شده (دلیل در Note سلول)</t>
  </si>
  <si>
    <t xml:space="preserve">Derived – marked</t>
  </si>
  <si>
    <t xml:space="preserve">محاسبه‌شده از داده مرجع (مثلاً هد از اختلاف فشار)؛ زرد شده</t>
  </si>
  <si>
    <t xml:space="preserve">Match (INS-PUMP sheet name)</t>
  </si>
  <si>
    <t xml:space="preserve">نام مطابق شیت INS-PUMP همان گزارش (دقیق‌تر از شیت PUMPS)</t>
  </si>
  <si>
    <t xml:space="preserve">Total checks</t>
  </si>
  <si>
    <t xml:space="preserve">Field</t>
  </si>
  <si>
    <t xml:space="preserve">Bank value</t>
  </si>
  <si>
    <t xml:space="preserve">Source value</t>
  </si>
  <si>
    <t xml:space="preserve">Source reference</t>
  </si>
  <si>
    <t xml:space="preserve">CSV line 5 col C</t>
  </si>
  <si>
    <t xml:space="preserve">CSV line 5 col E</t>
  </si>
  <si>
    <t xml:space="preserve">CSV line 5 col G</t>
  </si>
  <si>
    <t xml:space="preserve">CSV line 5 col H</t>
  </si>
  <si>
    <t xml:space="preserve">CSV line 5 col F</t>
  </si>
  <si>
    <t xml:space="preserve">CSV line 5 col I</t>
  </si>
  <si>
    <t xml:space="preserve">Unit Price</t>
  </si>
  <si>
    <t xml:space="preserve">CSV line 6 col C</t>
  </si>
  <si>
    <t xml:space="preserve">CSV line 6 col E</t>
  </si>
  <si>
    <t xml:space="preserve">CSV line 6 col G</t>
  </si>
  <si>
    <t xml:space="preserve">CSV line 6 col H</t>
  </si>
  <si>
    <t xml:space="preserve">CSV line 6 col F</t>
  </si>
  <si>
    <t xml:space="preserve">CSV line 6 col I</t>
  </si>
  <si>
    <t xml:space="preserve">CSV line 7 col C</t>
  </si>
  <si>
    <t xml:space="preserve">CSV line 7 col E</t>
  </si>
  <si>
    <t xml:space="preserve">CSV line 7 col G</t>
  </si>
  <si>
    <t xml:space="preserve">CSV line 7 col H</t>
  </si>
  <si>
    <t xml:space="preserve">CSV line 7 col F</t>
  </si>
  <si>
    <t xml:space="preserve">CSV line 7 col I</t>
  </si>
  <si>
    <t xml:space="preserve">CSV line 8 col C</t>
  </si>
  <si>
    <t xml:space="preserve">CSV line 8 col E</t>
  </si>
  <si>
    <t xml:space="preserve">CSV line 8 col G</t>
  </si>
  <si>
    <t xml:space="preserve">CSV line 8 col H</t>
  </si>
  <si>
    <t xml:space="preserve">CSV line 8 col F</t>
  </si>
  <si>
    <t xml:space="preserve">CSV line 8 col I</t>
  </si>
  <si>
    <t xml:space="preserve">CSV line 9 col C</t>
  </si>
  <si>
    <t xml:space="preserve">CSV line 9 col E</t>
  </si>
  <si>
    <t xml:space="preserve">CSV line 9 col G</t>
  </si>
  <si>
    <t xml:space="preserve">CSV line 9 col H</t>
  </si>
  <si>
    <t xml:space="preserve">CSV line 9 col F</t>
  </si>
  <si>
    <t xml:space="preserve">CSV line 9 col I</t>
  </si>
  <si>
    <t xml:space="preserve">CSV line 10 col C</t>
  </si>
  <si>
    <t xml:space="preserve">CSV line 10 col E</t>
  </si>
  <si>
    <t xml:space="preserve">CSV line 10 col G</t>
  </si>
  <si>
    <t xml:space="preserve">CSV line 10 col H</t>
  </si>
  <si>
    <t xml:space="preserve">CSV line 10 col F</t>
  </si>
  <si>
    <t xml:space="preserve">CSV line 10 col I</t>
  </si>
  <si>
    <t xml:space="preserve">CSV line 11 col C</t>
  </si>
  <si>
    <t xml:space="preserve">CSV line 11 col E</t>
  </si>
  <si>
    <t xml:space="preserve">CSV line 11 col G</t>
  </si>
  <si>
    <t xml:space="preserve">CSV line 11 col H</t>
  </si>
  <si>
    <t xml:space="preserve">CSV line 11 col F</t>
  </si>
  <si>
    <t xml:space="preserve">CSV line 11 col I</t>
  </si>
  <si>
    <t xml:space="preserve">CSV line 12 col C</t>
  </si>
  <si>
    <t xml:space="preserve">CSV line 12 col E</t>
  </si>
  <si>
    <t xml:space="preserve">CSV line 12 col G</t>
  </si>
  <si>
    <t xml:space="preserve">CSV line 12 col H</t>
  </si>
  <si>
    <t xml:space="preserve">CSV line 12 col F</t>
  </si>
  <si>
    <t xml:space="preserve">CSV line 12 col I</t>
  </si>
  <si>
    <t xml:space="preserve">CSV line 13 col C</t>
  </si>
  <si>
    <t xml:space="preserve">CSV line 13 col E</t>
  </si>
  <si>
    <t xml:space="preserve">CSV line 13 col G</t>
  </si>
  <si>
    <t xml:space="preserve">CSV line 13 col H</t>
  </si>
  <si>
    <t xml:space="preserve">CSV line 13 col F</t>
  </si>
  <si>
    <t xml:space="preserve">CSV line 13 col I</t>
  </si>
  <si>
    <t xml:space="preserve">CSV line 14 col C</t>
  </si>
  <si>
    <t xml:space="preserve">CSV line 14 col E</t>
  </si>
  <si>
    <t xml:space="preserve">CSV line 14 col G</t>
  </si>
  <si>
    <t xml:space="preserve">CSV line 14 col H</t>
  </si>
  <si>
    <t xml:space="preserve">CSV line 14 col F</t>
  </si>
  <si>
    <t xml:space="preserve">CSV line 14 col I</t>
  </si>
  <si>
    <t xml:space="preserve">CSV line 15 col C</t>
  </si>
  <si>
    <t xml:space="preserve">Sliding valve</t>
  </si>
  <si>
    <t xml:space="preserve">CSV line 15 col E</t>
  </si>
  <si>
    <t xml:space="preserve">CSV line 15 col G</t>
  </si>
  <si>
    <t xml:space="preserve">CSV line 15 col H</t>
  </si>
  <si>
    <t xml:space="preserve">CSV line 15 col F</t>
  </si>
  <si>
    <t xml:space="preserve">CSV line 15 col I</t>
  </si>
  <si>
    <t xml:space="preserve">CSV line 16 col C</t>
  </si>
  <si>
    <t xml:space="preserve">Screw</t>
  </si>
  <si>
    <t xml:space="preserve">CSV line 16 col E</t>
  </si>
  <si>
    <t xml:space="preserve">CSV line 16 col G</t>
  </si>
  <si>
    <t xml:space="preserve">CSV line 16 col H</t>
  </si>
  <si>
    <t xml:space="preserve">CSV line 16 col F</t>
  </si>
  <si>
    <t xml:space="preserve">CSV line 16 col I</t>
  </si>
  <si>
    <t xml:space="preserve">CSV line 17 col C</t>
  </si>
  <si>
    <t xml:space="preserve">CSV line 17 col E</t>
  </si>
  <si>
    <t xml:space="preserve">CSV line 17 col G</t>
  </si>
  <si>
    <t xml:space="preserve">CSV line 17 col H</t>
  </si>
  <si>
    <t xml:space="preserve">CSV line 17 col F</t>
  </si>
  <si>
    <t xml:space="preserve">CSV line 17 col I</t>
  </si>
  <si>
    <t xml:space="preserve">CSV line 18 col C</t>
  </si>
  <si>
    <t xml:space="preserve">CSV line 18 col E</t>
  </si>
  <si>
    <t xml:space="preserve">CSV line 18 col G</t>
  </si>
  <si>
    <t xml:space="preserve">CSV line 18 col H</t>
  </si>
  <si>
    <t xml:space="preserve">CSV line 18 col F</t>
  </si>
  <si>
    <t xml:space="preserve">CSV line 18 col I</t>
  </si>
  <si>
    <t xml:space="preserve">P.ME!D11</t>
  </si>
  <si>
    <t xml:space="preserve">P.ME!G11</t>
  </si>
  <si>
    <t xml:space="preserve">(not stated)</t>
  </si>
  <si>
    <t xml:space="preserve">P.ME!E11</t>
  </si>
  <si>
    <t xml:space="preserve">P.ME!H11</t>
  </si>
  <si>
    <t xml:space="preserve">P.ME!D12</t>
  </si>
  <si>
    <t xml:space="preserve">P.ME!G12</t>
  </si>
  <si>
    <t xml:space="preserve">P.ME!E12</t>
  </si>
  <si>
    <t xml:space="preserve">P.ME!H12</t>
  </si>
  <si>
    <t xml:space="preserve">P.ME!D13</t>
  </si>
  <si>
    <t xml:space="preserve">P.ME!G13</t>
  </si>
  <si>
    <t xml:space="preserve">P.ME!E13</t>
  </si>
  <si>
    <t xml:space="preserve">P.ME!H13</t>
  </si>
  <si>
    <t xml:space="preserve">P.ME!D14</t>
  </si>
  <si>
    <t xml:space="preserve">P.ME!G14</t>
  </si>
  <si>
    <t xml:space="preserve">P.ME!E14</t>
  </si>
  <si>
    <t xml:space="preserve">P.ME!H14</t>
  </si>
  <si>
    <t xml:space="preserve">P.ME!D17</t>
  </si>
  <si>
    <t xml:space="preserve">P.ME!G17</t>
  </si>
  <si>
    <t xml:space="preserve">P.ME!E17</t>
  </si>
  <si>
    <t xml:space="preserve">P.ME!H17</t>
  </si>
  <si>
    <t xml:space="preserve">P.ME!D18</t>
  </si>
  <si>
    <t xml:space="preserve">P.ME!G18</t>
  </si>
  <si>
    <t xml:space="preserve">P.ME!E18</t>
  </si>
  <si>
    <t xml:space="preserve">P.ME!H18</t>
  </si>
  <si>
    <t xml:space="preserve">P.ME!D20</t>
  </si>
  <si>
    <t xml:space="preserve">P.ME!G20</t>
  </si>
  <si>
    <t xml:space="preserve">P.ME!E20</t>
  </si>
  <si>
    <t xml:space="preserve">P.ME!H20</t>
  </si>
  <si>
    <t xml:space="preserve">P.ME!D21</t>
  </si>
  <si>
    <t xml:space="preserve">P.ME!G21</t>
  </si>
  <si>
    <t xml:space="preserve">P.ME!E21</t>
  </si>
  <si>
    <t xml:space="preserve">P.ME!H21</t>
  </si>
  <si>
    <t xml:space="preserve">P.ME!D23</t>
  </si>
  <si>
    <t xml:space="preserve">P.ME!G23</t>
  </si>
  <si>
    <t xml:space="preserve">P.ME!E23</t>
  </si>
  <si>
    <t xml:space="preserve">P.ME!H23</t>
  </si>
  <si>
    <t xml:space="preserve">P.ME!D24</t>
  </si>
  <si>
    <t xml:space="preserve">P.ME!G24</t>
  </si>
  <si>
    <t xml:space="preserve">P.ME!E24</t>
  </si>
  <si>
    <t xml:space="preserve">P.ME!H24</t>
  </si>
  <si>
    <t xml:space="preserve">P.ME!D25</t>
  </si>
  <si>
    <t xml:space="preserve">P.ME!G25</t>
  </si>
  <si>
    <t xml:space="preserve">P.ME!E25</t>
  </si>
  <si>
    <t xml:space="preserve">P.ME!H25</t>
  </si>
  <si>
    <t xml:space="preserve">P.ME!D36</t>
  </si>
  <si>
    <t xml:space="preserve">P.ME!G36</t>
  </si>
  <si>
    <t xml:space="preserve">P.ME!E36</t>
  </si>
  <si>
    <t xml:space="preserve">P.ME!H36</t>
  </si>
  <si>
    <t xml:space="preserve">P.ME!D46</t>
  </si>
  <si>
    <t xml:space="preserve">P.ME!G46</t>
  </si>
  <si>
    <t xml:space="preserve">P.ME!E46</t>
  </si>
  <si>
    <t xml:space="preserve">P.ME!H46</t>
  </si>
  <si>
    <t xml:space="preserve">P.ME!D50</t>
  </si>
  <si>
    <t xml:space="preserve">P.ME!G50</t>
  </si>
  <si>
    <t xml:space="preserve">P.ME!E50</t>
  </si>
  <si>
    <t xml:space="preserve">P.ME!H50</t>
  </si>
  <si>
    <t xml:space="preserve">P.ME!D51</t>
  </si>
  <si>
    <t xml:space="preserve">P.ME!G51</t>
  </si>
  <si>
    <t xml:space="preserve">P.ME!E51</t>
  </si>
  <si>
    <t xml:space="preserve">P.ME!H51</t>
  </si>
  <si>
    <t xml:space="preserve">P.ME!D53</t>
  </si>
  <si>
    <t xml:space="preserve">P.ME!G53</t>
  </si>
  <si>
    <t xml:space="preserve">P.ME!E53</t>
  </si>
  <si>
    <t xml:space="preserve">P.ME!H53</t>
  </si>
  <si>
    <t xml:space="preserve">P.ME!D54</t>
  </si>
  <si>
    <t xml:space="preserve">P.ME!G54</t>
  </si>
  <si>
    <t xml:space="preserve">P.ME!E54</t>
  </si>
  <si>
    <t xml:space="preserve">P.ME!H54</t>
  </si>
  <si>
    <t xml:space="preserve">P.ME!D55</t>
  </si>
  <si>
    <t xml:space="preserve">P.ME!G55</t>
  </si>
  <si>
    <t xml:space="preserve">P.ME!E55</t>
  </si>
  <si>
    <t xml:space="preserve">P.ME!H55</t>
  </si>
  <si>
    <t xml:space="preserve">P.ME!D57</t>
  </si>
  <si>
    <t xml:space="preserve">P.ME!G57</t>
  </si>
  <si>
    <t xml:space="preserve">P.ME!E57</t>
  </si>
  <si>
    <t xml:space="preserve">P.ME!H57</t>
  </si>
  <si>
    <t xml:space="preserve">P.ME!D58</t>
  </si>
  <si>
    <t xml:space="preserve">P.ME!G58</t>
  </si>
  <si>
    <t xml:space="preserve">P.ME!E58</t>
  </si>
  <si>
    <t xml:space="preserve">P.ME!H58</t>
  </si>
  <si>
    <t xml:space="preserve">P.ME!D60</t>
  </si>
  <si>
    <t xml:space="preserve">P.ME!G60</t>
  </si>
  <si>
    <t xml:space="preserve">P.ME!E60</t>
  </si>
  <si>
    <t xml:space="preserve">P.ME!H60</t>
  </si>
  <si>
    <t xml:space="preserve">P.ME!D61</t>
  </si>
  <si>
    <t xml:space="preserve">P.ME!G61</t>
  </si>
  <si>
    <t xml:space="preserve">P.ME!E61</t>
  </si>
  <si>
    <t xml:space="preserve">name: electric</t>
  </si>
  <si>
    <t xml:space="preserve">P.ME!H61</t>
  </si>
  <si>
    <t xml:space="preserve">P.ME!D62</t>
  </si>
  <si>
    <t xml:space="preserve">P.ME!G62</t>
  </si>
  <si>
    <t xml:space="preserve">P.ME!E62</t>
  </si>
  <si>
    <t xml:space="preserve">name: diesel</t>
  </si>
  <si>
    <t xml:space="preserve">P.ME!H62</t>
  </si>
  <si>
    <t xml:space="preserve">P.ME!D63</t>
  </si>
  <si>
    <t xml:space="preserve">P.ME!G63</t>
  </si>
  <si>
    <t xml:space="preserve">P.ME!E63</t>
  </si>
  <si>
    <t xml:space="preserve">P.ME!H63</t>
  </si>
  <si>
    <t xml:space="preserve">P.ME!D64</t>
  </si>
  <si>
    <t xml:space="preserve">P.ME!G64</t>
  </si>
  <si>
    <t xml:space="preserve">P.ME!E64</t>
  </si>
  <si>
    <t xml:space="preserve">P.ME!H64</t>
  </si>
  <si>
    <t xml:space="preserve">P.ME!D68</t>
  </si>
  <si>
    <t xml:space="preserve">P.ME!G68</t>
  </si>
  <si>
    <t xml:space="preserve">P.ME!E68</t>
  </si>
  <si>
    <t xml:space="preserve">P.ME!H68</t>
  </si>
  <si>
    <t xml:space="preserve">PUMPS-A (1)!F19</t>
  </si>
  <si>
    <t xml:space="preserve">PUMPS-A (1)!R19</t>
  </si>
  <si>
    <t xml:space="preserve">Centrifugal (OH2)</t>
  </si>
  <si>
    <t xml:space="preserve">PUMPS-A (1)!F20</t>
  </si>
  <si>
    <t xml:space="preserve">D1</t>
  </si>
  <si>
    <t xml:space="preserve">PUMPS-A (1)!F24</t>
  </si>
  <si>
    <t xml:space="preserve">PUMPS-A (1)!F21</t>
  </si>
  <si>
    <t xml:space="preserve">PUMPS-A (1)!F22</t>
  </si>
  <si>
    <t xml:space="preserve">PUMPS-A (1)!F23</t>
  </si>
  <si>
    <t xml:space="preserve">(no NACE line)</t>
  </si>
  <si>
    <t xml:space="preserve">Standard / IPS</t>
  </si>
  <si>
    <t xml:space="preserve">API 610 + IPS-G-PM-105</t>
  </si>
  <si>
    <t xml:space="preserve">API 610 &amp; IPS-G-PM-105</t>
  </si>
  <si>
    <t xml:space="preserve">PUMPS-A (1)!F25</t>
  </si>
  <si>
    <t xml:space="preserve">PUMPS-A (1)!AK19</t>
  </si>
  <si>
    <t xml:space="preserve">PUMPS-A (1)!F27</t>
  </si>
  <si>
    <t xml:space="preserve">PUMPS-A (1)!R27</t>
  </si>
  <si>
    <t xml:space="preserve">PUMPS-A (1)!F28</t>
  </si>
  <si>
    <t xml:space="preserve">PUMPS-A (1)!F32</t>
  </si>
  <si>
    <t xml:space="preserve">PUMPS-A (1)!F29</t>
  </si>
  <si>
    <t xml:space="preserve">PUMPS-A (1)!F30</t>
  </si>
  <si>
    <t xml:space="preserve">PUMPS-A (1)!F31</t>
  </si>
  <si>
    <t xml:space="preserve">PUMPS-A (1)!F33</t>
  </si>
  <si>
    <t xml:space="preserve">PUMPS-A (1)!AK27</t>
  </si>
  <si>
    <t xml:space="preserve">PUMPS-A (1)!F35</t>
  </si>
  <si>
    <t xml:space="preserve">PUMPS-A (1)!R35</t>
  </si>
  <si>
    <t xml:space="preserve">P.D.-Rotary (Ext. Gear)</t>
  </si>
  <si>
    <t xml:space="preserve">PUMPS-A (1)!F36</t>
  </si>
  <si>
    <t xml:space="preserve">PUMPS-A (1)!F39</t>
  </si>
  <si>
    <t xml:space="preserve">PUMPS-A (1)!F37</t>
  </si>
  <si>
    <t xml:space="preserve">PUMPS-A (1)!F38</t>
  </si>
  <si>
    <t xml:space="preserve">API 676 + IPS-M-PM-140</t>
  </si>
  <si>
    <t xml:space="preserve">API 676 &amp; IPS-M-PM-140</t>
  </si>
  <si>
    <t xml:space="preserve">PUMPS-A (1)!F40</t>
  </si>
  <si>
    <t xml:space="preserve">PUMPS-A (1)!AK35</t>
  </si>
  <si>
    <t xml:space="preserve">PUMPS-A (1)!F42</t>
  </si>
  <si>
    <t xml:space="preserve">PUMPS-A (1)!R42</t>
  </si>
  <si>
    <t xml:space="preserve">PUMPS-A (1)!F43</t>
  </si>
  <si>
    <t xml:space="preserve">D2</t>
  </si>
  <si>
    <t xml:space="preserve">PUMPS-A (1)!F47</t>
  </si>
  <si>
    <t xml:space="preserve">PUMPS-A (1)!F44</t>
  </si>
  <si>
    <t xml:space="preserve">PUMPS-A (1)!F45</t>
  </si>
  <si>
    <t xml:space="preserve">PUMPS-A (1)!F46</t>
  </si>
  <si>
    <t xml:space="preserve">PUMPS-A (1)!F48</t>
  </si>
  <si>
    <t xml:space="preserve">PUMPS-A (1)!AK42</t>
  </si>
  <si>
    <t xml:space="preserve">INS-PUMP-A (1)!AQ29</t>
  </si>
  <si>
    <t xml:space="preserve">PUMPS-A (2)!R19</t>
  </si>
  <si>
    <t xml:space="preserve">Centrifugal (BB3)</t>
  </si>
  <si>
    <t xml:space="preserve">PUMPS-A (2)!F20</t>
  </si>
  <si>
    <t xml:space="preserve">PUMPS-A (2)!F24</t>
  </si>
  <si>
    <t xml:space="preserve">PUMPS-A (2)!F21</t>
  </si>
  <si>
    <t xml:space="preserve">PUMPS-A (2)!F22</t>
  </si>
  <si>
    <t xml:space="preserve">PUMPS-A (2)!F23</t>
  </si>
  <si>
    <t xml:space="preserve">PUMPS-A (2)!F25</t>
  </si>
  <si>
    <t xml:space="preserve">PUMPS-A (2)!AK19</t>
  </si>
  <si>
    <t xml:space="preserve">INS-PUMP-A (1)!AQ31</t>
  </si>
  <si>
    <t xml:space="preserve">PUMPS-A (2)!R27</t>
  </si>
  <si>
    <t xml:space="preserve">PUMPS-A (2)!F28</t>
  </si>
  <si>
    <t xml:space="preserve">PUMPS-A (2)!F32</t>
  </si>
  <si>
    <t xml:space="preserve">PUMPS-A (2)!F29</t>
  </si>
  <si>
    <t xml:space="preserve">PUMPS-A (2)!F30</t>
  </si>
  <si>
    <t xml:space="preserve">PUMPS-A (2)!F31</t>
  </si>
  <si>
    <t xml:space="preserve">PUMPS-A (2)!F33</t>
  </si>
  <si>
    <t xml:space="preserve">PUMPS-A (2)!AK27</t>
  </si>
  <si>
    <t xml:space="preserve">PUMPS-A (2)!F35</t>
  </si>
  <si>
    <t xml:space="preserve">PUMPS-A (2)!R35</t>
  </si>
  <si>
    <t xml:space="preserve">PUMPS-A (2)!F36</t>
  </si>
  <si>
    <t xml:space="preserve">S5</t>
  </si>
  <si>
    <t xml:space="preserve">PUMPS-A (2)!F40</t>
  </si>
  <si>
    <t xml:space="preserve">PUMPS-A (2)!F37</t>
  </si>
  <si>
    <t xml:space="preserve">PUMPS-A (2)!F38</t>
  </si>
  <si>
    <t xml:space="preserve">PUMPS-A (2)!F39</t>
  </si>
  <si>
    <t xml:space="preserve">PUMPS-A (2)!F41</t>
  </si>
  <si>
    <t xml:space="preserve">PUMPS-A (2)!AK35</t>
  </si>
  <si>
    <t xml:space="preserve">PUMPS-A (2)!F43</t>
  </si>
  <si>
    <t xml:space="preserve">PUMPS-A (2)!R43</t>
  </si>
  <si>
    <t xml:space="preserve">PUMPS-A (2)!F44</t>
  </si>
  <si>
    <t xml:space="preserve">PUMPS-A (2)!F48</t>
  </si>
  <si>
    <t xml:space="preserve">PUMPS-A (2)!F45</t>
  </si>
  <si>
    <t xml:space="preserve">PUMPS-A (2)!F46</t>
  </si>
  <si>
    <t xml:space="preserve">PUMPS-A (2)!F47</t>
  </si>
  <si>
    <t xml:space="preserve">PUMPS-A (2)!F49</t>
  </si>
  <si>
    <t xml:space="preserve">PUMPS-A (2)!AK43</t>
  </si>
  <si>
    <t xml:space="preserve">PUMPS-A (3)!F19</t>
  </si>
  <si>
    <t xml:space="preserve">PUMPS-A (3)!R19</t>
  </si>
  <si>
    <t xml:space="preserve">PUMPS-A (3)!F20</t>
  </si>
  <si>
    <t xml:space="preserve">S6</t>
  </si>
  <si>
    <t xml:space="preserve">PUMPS-A (3)!F24</t>
  </si>
  <si>
    <t xml:space="preserve">PUMPS-A (3)!F21</t>
  </si>
  <si>
    <t xml:space="preserve">PUMPS-A (3)!F22</t>
  </si>
  <si>
    <t xml:space="preserve">PUMPS-A (3)!F23</t>
  </si>
  <si>
    <t xml:space="preserve">PUMPS-A (3)!F25</t>
  </si>
  <si>
    <t xml:space="preserve">PUMPS-A (3)!AK19</t>
  </si>
  <si>
    <t xml:space="preserve">PUMPS-A (3)!F27</t>
  </si>
  <si>
    <t xml:space="preserve">PUMPS-A (3)!R27</t>
  </si>
  <si>
    <t xml:space="preserve">P.D.-Rotary (Progressing Cavity)</t>
  </si>
  <si>
    <t xml:space="preserve">PUMPS-A (3)!F28</t>
  </si>
  <si>
    <t xml:space="preserve">PUMPS-A (3)!F31</t>
  </si>
  <si>
    <t xml:space="preserve">PUMPS-A (3)!F29</t>
  </si>
  <si>
    <t xml:space="preserve">PUMPS-A (3)!F30</t>
  </si>
  <si>
    <t xml:space="preserve">PUMPS-A (3)!F32</t>
  </si>
  <si>
    <t xml:space="preserve">PUMPS-A (3)!AK27</t>
  </si>
  <si>
    <t xml:space="preserve">PUMPS-A (3)!F34</t>
  </si>
  <si>
    <t xml:space="preserve">PUMPS-A (3)!R34</t>
  </si>
  <si>
    <t xml:space="preserve">PUMPS-A (3)!F35</t>
  </si>
  <si>
    <t xml:space="preserve">PUMPS-A (3)!F39</t>
  </si>
  <si>
    <t xml:space="preserve">PUMPS-A (3)!F36</t>
  </si>
  <si>
    <t xml:space="preserve">PUMPS-A (3)!F37</t>
  </si>
  <si>
    <t xml:space="preserve">PUMPS-A (3)!F38</t>
  </si>
  <si>
    <t xml:space="preserve">PUMPS-A (3)!F40</t>
  </si>
  <si>
    <t xml:space="preserve">PUMPS-A (3)!AK34</t>
  </si>
  <si>
    <t xml:space="preserve">PUMPS-A (3)!F42</t>
  </si>
  <si>
    <t xml:space="preserve">PUMPS-A (3)!R42</t>
  </si>
  <si>
    <t xml:space="preserve">PUMPS-A (3)!F43</t>
  </si>
  <si>
    <t xml:space="preserve">PUMPS-A (3)!F47</t>
  </si>
  <si>
    <t xml:space="preserve">PUMPS-A (3)!F44</t>
  </si>
  <si>
    <t xml:space="preserve">PUMPS-A (3)!F45</t>
  </si>
  <si>
    <t xml:space="preserve">PUMPS-A (3)!F46</t>
  </si>
  <si>
    <t xml:space="preserve">PUMPS-A (3)!F48</t>
  </si>
  <si>
    <t xml:space="preserve">PUMPS-A (3)!AK42</t>
  </si>
  <si>
    <t xml:space="preserve">DESALTERS-A!F32</t>
  </si>
  <si>
    <t xml:space="preserve">DESALTERS-A!F35</t>
  </si>
  <si>
    <t xml:space="preserve">DESALTERS-A!F33</t>
  </si>
  <si>
    <t xml:space="preserve">ΔP 4.4 bar</t>
  </si>
  <si>
    <t xml:space="preserve">DESALTERS-A!F34</t>
  </si>
  <si>
    <t xml:space="preserve">DESALTERS-A!F36</t>
  </si>
  <si>
    <t xml:space="preserve">priced inside package</t>
  </si>
  <si>
    <t xml:space="preserve">DESALTERS-A</t>
  </si>
  <si>
    <t xml:space="preserve">IWWTP-A (1)!F33</t>
  </si>
  <si>
    <t xml:space="preserve">IWWTP-A (1)!F34</t>
  </si>
  <si>
    <t xml:space="preserve">IWWTP-A (1)!F35</t>
  </si>
  <si>
    <t xml:space="preserve">IWWTP-A (1)</t>
  </si>
  <si>
    <t xml:space="preserve">IWWTP-A (1)!F38</t>
  </si>
  <si>
    <t xml:space="preserve">IWWTP-A (1)!F39</t>
  </si>
  <si>
    <t xml:space="preserve">IWWTP-A (1)!F40</t>
  </si>
  <si>
    <t xml:space="preserve">IWWTP-A (1)!F43</t>
  </si>
  <si>
    <t xml:space="preserve">IWWTP-A (1)!F44</t>
  </si>
  <si>
    <t xml:space="preserve">IWWTP-A (1)!F45</t>
  </si>
  <si>
    <t xml:space="preserve">P.D.-Rotary (Twin Screw)</t>
  </si>
  <si>
    <t xml:space="preserve">IWWTP-A (2)!F17</t>
  </si>
  <si>
    <t xml:space="preserve">IWWTP-A (2)!F18</t>
  </si>
  <si>
    <t xml:space="preserve">IWWTP-A (2)!F19</t>
  </si>
  <si>
    <t xml:space="preserve">IWWTP-A (2)</t>
  </si>
  <si>
    <t xml:space="preserve">PUMPS-B!F19</t>
  </si>
  <si>
    <t xml:space="preserve">PUMPS-B!R19</t>
  </si>
  <si>
    <t xml:space="preserve">PUMPS-B!F20</t>
  </si>
  <si>
    <t xml:space="preserve">PUMPS-B!F24</t>
  </si>
  <si>
    <t xml:space="preserve">PUMPS-B!F21</t>
  </si>
  <si>
    <t xml:space="preserve">PUMPS-B!F22</t>
  </si>
  <si>
    <t xml:space="preserve">PUMPS-B!F23</t>
  </si>
  <si>
    <t xml:space="preserve">PUMPS-B!F25</t>
  </si>
  <si>
    <t xml:space="preserve">PUMPS-B!F26</t>
  </si>
  <si>
    <t xml:space="preserve">PUMPS-B!AK19</t>
  </si>
  <si>
    <t xml:space="preserve">INS-PUMP-B (1)!AQ23</t>
  </si>
  <si>
    <t xml:space="preserve">PUMPS-B!R28</t>
  </si>
  <si>
    <t xml:space="preserve">PUMPS-B!F29</t>
  </si>
  <si>
    <t xml:space="preserve">PUMPS-B!F33</t>
  </si>
  <si>
    <t xml:space="preserve">PUMPS-B!F30</t>
  </si>
  <si>
    <t xml:space="preserve">PUMPS-B!F31</t>
  </si>
  <si>
    <t xml:space="preserve">PUMPS-B!F32</t>
  </si>
  <si>
    <t xml:space="preserve">PUMPS-B!F34</t>
  </si>
  <si>
    <t xml:space="preserve">PUMPS-B!F35</t>
  </si>
  <si>
    <t xml:space="preserve">PUMPS-B!AK28</t>
  </si>
  <si>
    <t xml:space="preserve">PUMPS-B!F37</t>
  </si>
  <si>
    <t xml:space="preserve">PUMPS-B!R37</t>
  </si>
  <si>
    <t xml:space="preserve">PUMPS-B!F38</t>
  </si>
  <si>
    <t xml:space="preserve">PUMPS-B!F42</t>
  </si>
  <si>
    <t xml:space="preserve">PUMPS-B!F39</t>
  </si>
  <si>
    <t xml:space="preserve">PUMPS-B!F40</t>
  </si>
  <si>
    <t xml:space="preserve">PUMPS-B!F41</t>
  </si>
  <si>
    <t xml:space="preserve">PUMPS-B!F43</t>
  </si>
  <si>
    <t xml:space="preserve">PUMPS-B!F44</t>
  </si>
  <si>
    <t xml:space="preserve">PUMPS-B!AK37</t>
  </si>
  <si>
    <t xml:space="preserve">PUMPS-B (2)!F19</t>
  </si>
  <si>
    <t xml:space="preserve">PUMPS-B (2)!R19</t>
  </si>
  <si>
    <t xml:space="preserve">PUMPS-B (2)!F20</t>
  </si>
  <si>
    <t xml:space="preserve">PUMPS-B (2)!F23</t>
  </si>
  <si>
    <t xml:space="preserve">PUMPS-B (2)!F21</t>
  </si>
  <si>
    <t xml:space="preserve">PUMPS-B (2)!F22</t>
  </si>
  <si>
    <t xml:space="preserve">PUMPS-B (2)!F24</t>
  </si>
  <si>
    <t xml:space="preserve">PUMPS-B (2)!F25</t>
  </si>
  <si>
    <t xml:space="preserve">PUMPS-B (2)!AK19</t>
  </si>
  <si>
    <t xml:space="preserve">PUMPS-B (2)!F27</t>
  </si>
  <si>
    <t xml:space="preserve">PUMPS-B (2)!R27</t>
  </si>
  <si>
    <t xml:space="preserve">PUMPS-B (2)!F28</t>
  </si>
  <si>
    <t xml:space="preserve">PUMPS-B (2)!F32</t>
  </si>
  <si>
    <t xml:space="preserve">PUMPS-B (2)!F29</t>
  </si>
  <si>
    <t xml:space="preserve">PUMPS-B (2)!F30</t>
  </si>
  <si>
    <t xml:space="preserve">PUMPS-B (2)!F31</t>
  </si>
  <si>
    <t xml:space="preserve">PUMPS-B (2)!F33</t>
  </si>
  <si>
    <t xml:space="preserve">PUMPS-B (2)!F34</t>
  </si>
  <si>
    <t xml:space="preserve">PUMPS-B (2)!AK27</t>
  </si>
  <si>
    <t xml:space="preserve">INS-PUMP-B (1)!AQ31</t>
  </si>
  <si>
    <t xml:space="preserve">PUMPS-B (2)!R36</t>
  </si>
  <si>
    <t xml:space="preserve">PUMPS-B (2)!F37</t>
  </si>
  <si>
    <t xml:space="preserve">PUMPS-B (2)!F41</t>
  </si>
  <si>
    <t xml:space="preserve">PUMPS-B (2)!F38</t>
  </si>
  <si>
    <t xml:space="preserve">PUMPS-B (2)!F39</t>
  </si>
  <si>
    <t xml:space="preserve">PUMPS-B (2)!F40</t>
  </si>
  <si>
    <t xml:space="preserve">PUMPS-B (2)!F42</t>
  </si>
  <si>
    <t xml:space="preserve">PUMPS-B (2)!F43</t>
  </si>
  <si>
    <t xml:space="preserve">PUMPS-B (2)!AK36</t>
  </si>
  <si>
    <t xml:space="preserve">INS-PUMP-B (1)!AQ33</t>
  </si>
  <si>
    <t xml:space="preserve">PUMPS-B (3)!R19</t>
  </si>
  <si>
    <t xml:space="preserve">PUMPS-B (3)!F20</t>
  </si>
  <si>
    <t xml:space="preserve">PUMPS-B (3)!F24</t>
  </si>
  <si>
    <t xml:space="preserve">PUMPS-B (3)!F21</t>
  </si>
  <si>
    <t xml:space="preserve">PUMPS-B (3)!F22</t>
  </si>
  <si>
    <t xml:space="preserve">PUMPS-B (3)!F23</t>
  </si>
  <si>
    <t xml:space="preserve">PUMPS-B (3)!F25</t>
  </si>
  <si>
    <t xml:space="preserve">PUMPS-B (3)!F26</t>
  </si>
  <si>
    <t xml:space="preserve">PUMPS-B (3)!AK19</t>
  </si>
  <si>
    <t xml:space="preserve">PUMPS-B (3)!F28</t>
  </si>
  <si>
    <t xml:space="preserve">PUMPS-B (3)!R28</t>
  </si>
  <si>
    <t xml:space="preserve">PUMPS-B (3)!F29</t>
  </si>
  <si>
    <t xml:space="preserve">PUMPS-B (3)!F33</t>
  </si>
  <si>
    <t xml:space="preserve">PUMPS-B (3)!F30</t>
  </si>
  <si>
    <t xml:space="preserve">PUMPS-B (3)!F31</t>
  </si>
  <si>
    <t xml:space="preserve">PUMPS-B (3)!F32</t>
  </si>
  <si>
    <t xml:space="preserve">PUMPS-B (3)!F34</t>
  </si>
  <si>
    <t xml:space="preserve">PUMPS-B (3)!AK28</t>
  </si>
  <si>
    <t xml:space="preserve">PUMPS-B (3)!F36</t>
  </si>
  <si>
    <t xml:space="preserve">PUMPS-B (3)!R36</t>
  </si>
  <si>
    <t xml:space="preserve">PUMPS-B (3)!F37</t>
  </si>
  <si>
    <t xml:space="preserve">PUMPS-B (3)!F41</t>
  </si>
  <si>
    <t xml:space="preserve">PUMPS-B (3)!F38</t>
  </si>
  <si>
    <t xml:space="preserve">PUMPS-B (3)!F39</t>
  </si>
  <si>
    <t xml:space="preserve">PUMPS-B (3)!F40</t>
  </si>
  <si>
    <t xml:space="preserve">PUMPS-B (3)!F42</t>
  </si>
  <si>
    <t xml:space="preserve">PUMPS-B (3)!AK36</t>
  </si>
  <si>
    <t xml:space="preserve">PUMPS-B (4)!F19</t>
  </si>
  <si>
    <t xml:space="preserve">PUMPS-B (4)!R19</t>
  </si>
  <si>
    <t xml:space="preserve">PUMPS-B (4)!F20</t>
  </si>
  <si>
    <t xml:space="preserve">PUMPS-B (4)!F24</t>
  </si>
  <si>
    <t xml:space="preserve">PUMPS-B (4)!F21</t>
  </si>
  <si>
    <t xml:space="preserve">PUMPS-B (4)!F22</t>
  </si>
  <si>
    <t xml:space="preserve">PUMPS-B (4)!F23</t>
  </si>
  <si>
    <t xml:space="preserve">PUMPS-B (4)!F25</t>
  </si>
  <si>
    <t xml:space="preserve">PUMPS-B (4)!AK19</t>
  </si>
  <si>
    <t xml:space="preserve">PUMPS-B (4)!F27</t>
  </si>
  <si>
    <t xml:space="preserve">PUMPS-B (4)!R27</t>
  </si>
  <si>
    <t xml:space="preserve">PUMPS-B (4)!F28</t>
  </si>
  <si>
    <t xml:space="preserve">PUMPS-B (4)!F31</t>
  </si>
  <si>
    <t xml:space="preserve">PUMPS-B (4)!F29</t>
  </si>
  <si>
    <t xml:space="preserve">PUMPS-B (4)!F30</t>
  </si>
  <si>
    <t xml:space="preserve">PUMPS-B (4)!F32</t>
  </si>
  <si>
    <t xml:space="preserve">PUMPS-B (4)!F33</t>
  </si>
  <si>
    <t xml:space="preserve">PUMPS-B (4)!AK27</t>
  </si>
  <si>
    <t xml:space="preserve">PUMPS-B (4)!F35</t>
  </si>
  <si>
    <t xml:space="preserve">PUMPS-B (4)!R35</t>
  </si>
  <si>
    <t xml:space="preserve">PUMPS-B (4)!F36</t>
  </si>
  <si>
    <t xml:space="preserve">PUMPS-B (4)!F40</t>
  </si>
  <si>
    <t xml:space="preserve">PUMPS-B (4)!F37</t>
  </si>
  <si>
    <t xml:space="preserve">PUMPS-B (4)!F38</t>
  </si>
  <si>
    <t xml:space="preserve">PUMPS-B (4)!F39</t>
  </si>
  <si>
    <t xml:space="preserve">PUMPS-B (4)!F41</t>
  </si>
  <si>
    <t xml:space="preserve">PUMPS-B (4)!F42</t>
  </si>
  <si>
    <t xml:space="preserve">PUMPS-B (4)!AK35</t>
  </si>
  <si>
    <t xml:space="preserve">PUMPS-B (5)!F19</t>
  </si>
  <si>
    <t xml:space="preserve">PUMPS-B (5)!R19</t>
  </si>
  <si>
    <t xml:space="preserve">PUMPS-B (5)!F20</t>
  </si>
  <si>
    <t xml:space="preserve">PUMPS-B (5)!F24</t>
  </si>
  <si>
    <t xml:space="preserve">PUMPS-B (5)!F21</t>
  </si>
  <si>
    <t xml:space="preserve">PUMPS-B (5)!F22</t>
  </si>
  <si>
    <t xml:space="preserve">PUMPS-B (5)!F23</t>
  </si>
  <si>
    <t xml:space="preserve">PUMPS-B (5)!F25</t>
  </si>
  <si>
    <t xml:space="preserve">PUMPS-B (5)!F26</t>
  </si>
  <si>
    <t xml:space="preserve">PUMPS-B (5)!AK19</t>
  </si>
  <si>
    <t xml:space="preserve">DESALTERS-B!F33</t>
  </si>
  <si>
    <t xml:space="preserve">DESALTERS-B!F36</t>
  </si>
  <si>
    <t xml:space="preserve">DESALTERS-B!F34</t>
  </si>
  <si>
    <t xml:space="preserve">DESALTERS-B!F35</t>
  </si>
  <si>
    <t xml:space="preserve">DESALTERS-B!F37</t>
  </si>
  <si>
    <t xml:space="preserve">DESALTERS-B!F38</t>
  </si>
  <si>
    <t xml:space="preserve">DESALTERS-B</t>
  </si>
  <si>
    <t xml:space="preserve">IWWTP-B (1)!F33</t>
  </si>
  <si>
    <t xml:space="preserve">IWWTP-B (1)!F34</t>
  </si>
  <si>
    <t xml:space="preserve">IWWTP-B (1)!F35</t>
  </si>
  <si>
    <t xml:space="preserve">IWWTP-B (1)</t>
  </si>
  <si>
    <t xml:space="preserve">IWWTP-B (1)!F38</t>
  </si>
  <si>
    <t xml:space="preserve">IWWTP-B (1)!F39</t>
  </si>
  <si>
    <t xml:space="preserve">IWWTP-B (1)!F40</t>
  </si>
  <si>
    <t xml:space="preserve">IWWTP-B (1)!F41</t>
  </si>
  <si>
    <t xml:space="preserve">IWWTP-B (1)!F44</t>
  </si>
  <si>
    <t xml:space="preserve">IWWTP-B (1)!F45</t>
  </si>
  <si>
    <t xml:space="preserve">IWWTP-B (1)!F46</t>
  </si>
  <si>
    <t xml:space="preserve">IWWTP-B (2)!F17</t>
  </si>
  <si>
    <t xml:space="preserve">IWWTP-B (2)!F18</t>
  </si>
  <si>
    <t xml:space="preserve">IWWTP-B (2)!F19</t>
  </si>
  <si>
    <t xml:space="preserve">IWWTP-B (2)!F20</t>
  </si>
  <si>
    <t xml:space="preserve">IWWTP-B (2)</t>
  </si>
  <si>
    <t xml:space="preserve">STRIPPER-B!F36</t>
  </si>
  <si>
    <t xml:space="preserve">STRIPPER-B!F39</t>
  </si>
  <si>
    <t xml:space="preserve">STRIPPER-B!F37</t>
  </si>
  <si>
    <t xml:space="preserve">ΔP 3.0 bar</t>
  </si>
  <si>
    <t xml:space="preserve">STRIPPER-B!F38</t>
  </si>
  <si>
    <t xml:space="preserve">STRIPPER-B!F40</t>
  </si>
  <si>
    <t xml:space="preserve">STRIPPER-B</t>
  </si>
  <si>
    <t xml:space="preserve">PUMPS-C!F19</t>
  </si>
  <si>
    <t xml:space="preserve">PUMPS-C!R19</t>
  </si>
  <si>
    <t xml:space="preserve">Centrifugal (Horizontal)</t>
  </si>
  <si>
    <t xml:space="preserve">PUMPS-C!F20</t>
  </si>
  <si>
    <t xml:space="preserve">I2</t>
  </si>
  <si>
    <t xml:space="preserve">PUMPS-C!F24</t>
  </si>
  <si>
    <t xml:space="preserve">PUMPS-C!F21</t>
  </si>
  <si>
    <t xml:space="preserve">PUMPS-C!F22</t>
  </si>
  <si>
    <t xml:space="preserve">PUMPS-C!F23</t>
  </si>
  <si>
    <t xml:space="preserve">ISO 5199 + IPS-M-PM-115</t>
  </si>
  <si>
    <t xml:space="preserve">ISO 5199 &amp; IPS-M-PM-115</t>
  </si>
  <si>
    <t xml:space="preserve">PUMPS-C!F25</t>
  </si>
  <si>
    <t xml:space="preserve">PUMPS-C!AK19</t>
  </si>
  <si>
    <t xml:space="preserve">Potable Water Loading Pump</t>
  </si>
  <si>
    <t xml:space="preserve">PUMPS-C!F27</t>
  </si>
  <si>
    <t xml:space="preserve">PUMPS-C!R27</t>
  </si>
  <si>
    <t xml:space="preserve">PUMPS-C!F28</t>
  </si>
  <si>
    <t xml:space="preserve">PUMPS-C!F32</t>
  </si>
  <si>
    <t xml:space="preserve">PUMPS-C!F29</t>
  </si>
  <si>
    <t xml:space="preserve">PUMPS-C!F30</t>
  </si>
  <si>
    <t xml:space="preserve">PUMPS-C!F31</t>
  </si>
  <si>
    <t xml:space="preserve">PUMPS-C!F33</t>
  </si>
  <si>
    <t xml:space="preserve">PUMPS-C!AK27</t>
  </si>
  <si>
    <t xml:space="preserve">PUMPS-C!F35</t>
  </si>
  <si>
    <t xml:space="preserve">PUMPS-C!R35</t>
  </si>
  <si>
    <t xml:space="preserve">Centrifugal (VS4)</t>
  </si>
  <si>
    <t xml:space="preserve">PUMPS-C!F36</t>
  </si>
  <si>
    <t xml:space="preserve">PUMPS-C!F40</t>
  </si>
  <si>
    <t xml:space="preserve">PUMPS-C!F37</t>
  </si>
  <si>
    <t xml:space="preserve">PUMPS-C!F38</t>
  </si>
  <si>
    <t xml:space="preserve">PUMPS-C!F39</t>
  </si>
  <si>
    <t xml:space="preserve">PUMPS-C!F41</t>
  </si>
  <si>
    <t xml:space="preserve">PUMPS-C!AK35</t>
  </si>
  <si>
    <t xml:space="preserve">PUMPS-C!F43</t>
  </si>
  <si>
    <t xml:space="preserve">PUMPS-C!R43</t>
  </si>
  <si>
    <t xml:space="preserve">PUMPS-C!F44</t>
  </si>
  <si>
    <t xml:space="preserve">S1</t>
  </si>
  <si>
    <t xml:space="preserve">PUMPS-C!F48</t>
  </si>
  <si>
    <t xml:space="preserve">PUMPS-C!F45</t>
  </si>
  <si>
    <t xml:space="preserve">PUMPS-C!F46</t>
  </si>
  <si>
    <t xml:space="preserve">PUMPS-C!F47</t>
  </si>
  <si>
    <t xml:space="preserve">PUMPS-C!F49</t>
  </si>
  <si>
    <t xml:space="preserve">PUMPS-C!AK43</t>
  </si>
  <si>
    <t xml:space="preserve">PUMPS-C (2)!F19</t>
  </si>
  <si>
    <t xml:space="preserve">PUMPS-C (2)!R19</t>
  </si>
  <si>
    <t xml:space="preserve">PUMPS-C (2)!F20</t>
  </si>
  <si>
    <t xml:space="preserve">PUMPS-C (2)!F24</t>
  </si>
  <si>
    <t xml:space="preserve">PUMPS-C (2)!F21</t>
  </si>
  <si>
    <t xml:space="preserve">PUMPS-C (2)!F22</t>
  </si>
  <si>
    <t xml:space="preserve">PUMPS-C (2)!F23</t>
  </si>
  <si>
    <t xml:space="preserve">PUMPS-C (2)!F25</t>
  </si>
  <si>
    <t xml:space="preserve">PUMPS-C (2)!AK19</t>
  </si>
  <si>
    <t xml:space="preserve">PUMPS-C (2)!F27</t>
  </si>
  <si>
    <t xml:space="preserve">PUMPS-C (2)!R27</t>
  </si>
  <si>
    <t xml:space="preserve">Centrifugal (Horizontal, Impeller Between Bearings Design)</t>
  </si>
  <si>
    <t xml:space="preserve">PUMPS-C (2)!F28</t>
  </si>
  <si>
    <t xml:space="preserve">PUMPS-C (2)!F33</t>
  </si>
  <si>
    <t xml:space="preserve">PUMPS-C (2)!F30</t>
  </si>
  <si>
    <t xml:space="preserve">PUMPS-C (2)!F31</t>
  </si>
  <si>
    <t xml:space="preserve">PUMPS-C (2)!F32</t>
  </si>
  <si>
    <t xml:space="preserve">NFPA 20 + IPS-M-PM-125</t>
  </si>
  <si>
    <t xml:space="preserve">NFPA 20 &amp; IPS-M-PM-125</t>
  </si>
  <si>
    <t xml:space="preserve">PUMPS-C (2)!F34</t>
  </si>
  <si>
    <t xml:space="preserve">PUMPS-C (2)!AK27</t>
  </si>
  <si>
    <t xml:space="preserve">PUMPS-C (2)!F36</t>
  </si>
  <si>
    <t xml:space="preserve">PUMPS-C (2)!R36</t>
  </si>
  <si>
    <t xml:space="preserve">PUMPS-C (2)!F37</t>
  </si>
  <si>
    <t xml:space="preserve">PUMPS-C (2)!F42</t>
  </si>
  <si>
    <t xml:space="preserve">PUMPS-C (2)!F39</t>
  </si>
  <si>
    <t xml:space="preserve">PUMPS-C (2)!F40</t>
  </si>
  <si>
    <t xml:space="preserve">PUMPS-C (2)!F41</t>
  </si>
  <si>
    <t xml:space="preserve">PUMPS-C (2)!F43</t>
  </si>
  <si>
    <t xml:space="preserve">PUMPS-C (2)!AK36</t>
  </si>
  <si>
    <t xml:space="preserve">PUMPS-C (3)!F19</t>
  </si>
  <si>
    <t xml:space="preserve">PUMPS-C (3)!R19</t>
  </si>
  <si>
    <t xml:space="preserve">Centrifugal (Horizontal, Overhung Impeller Design)</t>
  </si>
  <si>
    <t xml:space="preserve">PUMPS-C (3)!F20</t>
  </si>
  <si>
    <t xml:space="preserve">PUMPS-C (3)!F25</t>
  </si>
  <si>
    <t xml:space="preserve">PUMPS-C (3)!F22</t>
  </si>
  <si>
    <t xml:space="preserve">PUMPS-C (3)!F23</t>
  </si>
  <si>
    <t xml:space="preserve">PUMPS-C (3)!F24</t>
  </si>
  <si>
    <t xml:space="preserve">PUMPS-C (3)!F26</t>
  </si>
  <si>
    <t xml:space="preserve">PUMPS-C (3)!AK19</t>
  </si>
  <si>
    <t xml:space="preserve">PUMPS-C (3)!F28</t>
  </si>
  <si>
    <t xml:space="preserve">PUMPS-C (3)!R28</t>
  </si>
  <si>
    <t xml:space="preserve">PUMPS-C (3)!F29</t>
  </si>
  <si>
    <t xml:space="preserve">PUMPS-C (3)!F33</t>
  </si>
  <si>
    <t xml:space="preserve">PUMPS-C (3)!F30</t>
  </si>
  <si>
    <t xml:space="preserve">PUMPS-C (3)!F31</t>
  </si>
  <si>
    <t xml:space="preserve">PUMPS-C (3)!F32</t>
  </si>
  <si>
    <t xml:space="preserve">PUMPS-C (3)!F34</t>
  </si>
  <si>
    <t xml:space="preserve">PUMPS-C (3)!AK28</t>
  </si>
  <si>
    <t xml:space="preserve">Cooling Water (Sealing System)  Recycle Pumps</t>
  </si>
  <si>
    <t xml:space="preserve">PUMPS-C (3)!F41</t>
  </si>
  <si>
    <t xml:space="preserve">PUMPS-C (3)!R41</t>
  </si>
  <si>
    <t xml:space="preserve">PUMPS-C (3)!F44</t>
  </si>
  <si>
    <t xml:space="preserve">PUMPS-C (3)!F47</t>
  </si>
  <si>
    <t xml:space="preserve">PUMPS-C (3)!F45</t>
  </si>
  <si>
    <t xml:space="preserve">PUMPS-C (3)!F46</t>
  </si>
  <si>
    <t xml:space="preserve">PUMPS-C (3)!F48</t>
  </si>
  <si>
    <t xml:space="preserve">PUMPS-C (3)!U41</t>
  </si>
  <si>
    <t xml:space="preserve">Water Liquid Return Pumps</t>
  </si>
  <si>
    <t xml:space="preserve">PUMPS-C (4)!F19</t>
  </si>
  <si>
    <t xml:space="preserve">PUMPS-C (4)!R19</t>
  </si>
  <si>
    <t xml:space="preserve">PUMPS-C (4)!F21</t>
  </si>
  <si>
    <t xml:space="preserve">PUMPS-C (4)!F24</t>
  </si>
  <si>
    <t xml:space="preserve">PUMPS-C (4)!F22</t>
  </si>
  <si>
    <t xml:space="preserve">PUMPS-C (4)!F23</t>
  </si>
  <si>
    <t xml:space="preserve">PUMPS-C (4)!F25</t>
  </si>
  <si>
    <t xml:space="preserve">PUMPS-C (4)!U19</t>
  </si>
  <si>
    <t xml:space="preserve">PUMPS-A (4)!F19</t>
  </si>
  <si>
    <t xml:space="preserve">PUMPS-A (4)!R19</t>
  </si>
  <si>
    <t xml:space="preserve">Centrifugal , Submersible</t>
  </si>
  <si>
    <t xml:space="preserve">PUMPS-A (4)!F20</t>
  </si>
  <si>
    <t xml:space="preserve">PUMPS-A (4)!F25</t>
  </si>
  <si>
    <t xml:space="preserve">PUMPS-A (4)!F23</t>
  </si>
  <si>
    <t xml:space="preserve">ΔP 2.0 bar</t>
  </si>
  <si>
    <t xml:space="preserve">PUMPS-A (4)!F24</t>
  </si>
  <si>
    <t xml:space="preserve">JIS B 8325 + None</t>
  </si>
  <si>
    <t xml:space="preserve">PUMPS-A (4)!F26</t>
  </si>
  <si>
    <t xml:space="preserve">PUMPS-A (4)!F21</t>
  </si>
  <si>
    <t xml:space="preserve">PUMPS-A (4)!AK19</t>
  </si>
  <si>
    <t xml:space="preserve">PUMPS-B (5)!F28</t>
  </si>
  <si>
    <t xml:space="preserve">PUMPS-B (5)!R28</t>
  </si>
  <si>
    <t xml:space="preserve">PUMPS-B (5)!F29</t>
  </si>
  <si>
    <t xml:space="preserve">PUMPS-B (5)!F34</t>
  </si>
  <si>
    <t xml:space="preserve">PUMPS-B (5)!F32</t>
  </si>
  <si>
    <t xml:space="preserve">PUMPS-B (5)!F33</t>
  </si>
  <si>
    <t xml:space="preserve">PUMPS-B (5)!F35</t>
  </si>
  <si>
    <t xml:space="preserve">PUMPS-B (5)!F30</t>
  </si>
  <si>
    <t xml:space="preserve">PUMPS-B (5)!AK28</t>
  </si>
  <si>
    <t xml:space="preserve">PUMPS-C (3)!F36</t>
  </si>
  <si>
    <t xml:space="preserve">PUMPS-C (3)!R36</t>
  </si>
  <si>
    <t xml:space="preserve">Portable Barrel Pump</t>
  </si>
  <si>
    <t xml:space="preserve">PUMPS-C (3)!F37</t>
  </si>
  <si>
    <t xml:space="preserve">S.S. 316 L</t>
  </si>
  <si>
    <t xml:space="preserve">PUMPS-C (3)!F40</t>
  </si>
  <si>
    <t xml:space="preserve">PUMPS-C (3)!F38 (L/min→m³/h)</t>
  </si>
  <si>
    <t xml:space="preserve">PUMPS-C (3)!U36</t>
  </si>
  <si>
    <t xml:space="preserve">PUMPS-C (4)!F27</t>
  </si>
  <si>
    <t xml:space="preserve">PUMPS-C (4)!R27</t>
  </si>
  <si>
    <t xml:space="preserve">PUMPS-C (4)!F28</t>
  </si>
  <si>
    <t xml:space="preserve">PUMPS-C (4)!F31</t>
  </si>
  <si>
    <t xml:space="preserve">PUMPS-C (4)!F29</t>
  </si>
  <si>
    <t xml:space="preserve">PUMPS-C (4)!U27</t>
  </si>
  <si>
    <t xml:space="preserve">PUMPS!B8</t>
  </si>
  <si>
    <t xml:space="preserve">PUMPS!C8</t>
  </si>
  <si>
    <t xml:space="preserve">Centrifugal (VS6)</t>
  </si>
  <si>
    <t xml:space="preserve">PUMPS!F8</t>
  </si>
  <si>
    <t xml:space="preserve">PUMPS!B9</t>
  </si>
  <si>
    <t xml:space="preserve">PUMPS!C9</t>
  </si>
  <si>
    <t xml:space="preserve">PUMPS!F9</t>
  </si>
  <si>
    <t xml:space="preserve">PUMPS!B10</t>
  </si>
  <si>
    <t xml:space="preserve">PUMPS!C10</t>
  </si>
  <si>
    <t xml:space="preserve">PUMPS!F10</t>
  </si>
  <si>
    <t xml:space="preserve">PUMPS!B11</t>
  </si>
  <si>
    <t xml:space="preserve">PUMPS!C11</t>
  </si>
  <si>
    <t xml:space="preserve">PUMPS!F11</t>
  </si>
  <si>
    <t xml:space="preserve">PUMPS!B12</t>
  </si>
  <si>
    <t xml:space="preserve">PUMPS!C12</t>
  </si>
  <si>
    <t xml:space="preserve">PUMPS!F12</t>
  </si>
  <si>
    <t xml:space="preserve">PUMPS!B13</t>
  </si>
  <si>
    <t xml:space="preserve">PUMPS!C13</t>
  </si>
  <si>
    <t xml:space="preserve">PUMPS!F13</t>
  </si>
  <si>
    <t xml:space="preserve">PUMPS!B14</t>
  </si>
  <si>
    <t xml:space="preserve">PUMPS!C14</t>
  </si>
  <si>
    <t xml:space="preserve">PUMPS!F14</t>
  </si>
  <si>
    <t xml:space="preserve">PUMPS!B15</t>
  </si>
  <si>
    <t xml:space="preserve">PUMPS!C15</t>
  </si>
  <si>
    <t xml:space="preserve">PUMPS!F15</t>
  </si>
  <si>
    <t xml:space="preserve">PUMPS!B16</t>
  </si>
  <si>
    <t xml:space="preserve">PUMPS!C16</t>
  </si>
  <si>
    <t xml:space="preserve">PUMPS!F16</t>
  </si>
  <si>
    <t xml:space="preserve">PUMPS!B17</t>
  </si>
  <si>
    <t xml:space="preserve">PUMPS!C17</t>
  </si>
  <si>
    <t xml:space="preserve">PUMPS!F17</t>
  </si>
  <si>
    <t xml:space="preserve">PUMPS!B18</t>
  </si>
  <si>
    <t xml:space="preserve">PUMPS!C18</t>
  </si>
  <si>
    <t xml:space="preserve">PUMPS!F18</t>
  </si>
  <si>
    <t xml:space="preserve">PUMPS!B19</t>
  </si>
  <si>
    <t xml:space="preserve">PUMPS!C19</t>
  </si>
  <si>
    <t xml:space="preserve">PUMPS!AR19/AQ19</t>
  </si>
  <si>
    <t xml:space="preserve">PUMPS!B20</t>
  </si>
  <si>
    <t xml:space="preserve">PUMPS!C20</t>
  </si>
  <si>
    <t xml:space="preserve">PUMPS!F20</t>
  </si>
  <si>
    <t xml:space="preserve">PUMPS!B21</t>
  </si>
  <si>
    <t xml:space="preserve">PUMPS!C21</t>
  </si>
  <si>
    <t xml:space="preserve">PUMPS!F21</t>
  </si>
  <si>
    <t xml:space="preserve">PUMPS!B22</t>
  </si>
  <si>
    <t xml:space="preserve">PUMPS!C22</t>
  </si>
  <si>
    <t xml:space="preserve">PUMPS!F22</t>
  </si>
  <si>
    <t xml:space="preserve">PUMPS!B23</t>
  </si>
  <si>
    <t xml:space="preserve">PUMPS!C23</t>
  </si>
  <si>
    <t xml:space="preserve">PUMPS!F23</t>
  </si>
  <si>
    <t xml:space="preserve">PUMPS!B24</t>
  </si>
  <si>
    <t xml:space="preserve">PUMPS!C24</t>
  </si>
  <si>
    <t xml:space="preserve">PUMPS!F24</t>
  </si>
  <si>
    <t xml:space="preserve">PUMPS!B25</t>
  </si>
  <si>
    <t xml:space="preserve">PUMPS!C25</t>
  </si>
  <si>
    <t xml:space="preserve">PUMPS!F25</t>
  </si>
  <si>
    <t xml:space="preserve">PUMPS!B26</t>
  </si>
  <si>
    <t xml:space="preserve">PUMPS!C26</t>
  </si>
  <si>
    <t xml:space="preserve">PUMPS!F26</t>
  </si>
  <si>
    <t xml:space="preserve">PUMPS!B27</t>
  </si>
  <si>
    <t xml:space="preserve">PUMPS!C27</t>
  </si>
  <si>
    <t xml:space="preserve">PUMPS!B27 (L/min→m³/h)</t>
  </si>
  <si>
    <t xml:space="preserve">PUMPS!AR27/AQ27</t>
  </si>
  <si>
    <t xml:space="preserve">PUMPS!B28</t>
  </si>
  <si>
    <t xml:space="preserve">PUMPS!C28</t>
  </si>
  <si>
    <t xml:space="preserve">PUMPS!B28 (L/min→m³/h)</t>
  </si>
  <si>
    <t xml:space="preserve">PUMPS!AR28/AQ28</t>
  </si>
  <si>
    <t xml:space="preserve">PUMPS!B4</t>
  </si>
  <si>
    <t xml:space="preserve">PUMPS!D4</t>
  </si>
  <si>
    <t xml:space="preserve">PUMPS!F4</t>
  </si>
  <si>
    <t xml:space="preserve">PUMPS!G4</t>
  </si>
  <si>
    <t xml:space="preserve">PUMPS!E4</t>
  </si>
  <si>
    <t xml:space="preserve">PUMPS!H4</t>
  </si>
  <si>
    <t xml:space="preserve">PUMPS!B5</t>
  </si>
  <si>
    <t xml:space="preserve">PUMPS!D5</t>
  </si>
  <si>
    <t xml:space="preserve">PUMPS!F5</t>
  </si>
  <si>
    <t xml:space="preserve">PUMPS!G5</t>
  </si>
  <si>
    <t xml:space="preserve">PUMPS!E5</t>
  </si>
  <si>
    <t xml:space="preserve">PUMPS!H5</t>
  </si>
  <si>
    <t xml:space="preserve">PUMPS!B6</t>
  </si>
  <si>
    <t xml:space="preserve">PUMPS!D6</t>
  </si>
  <si>
    <t xml:space="preserve">PUMPS!F6</t>
  </si>
  <si>
    <t xml:space="preserve">PUMPS!G6</t>
  </si>
  <si>
    <t xml:space="preserve">PUMPS!E6</t>
  </si>
  <si>
    <t xml:space="preserve">PUMPS!H6</t>
  </si>
  <si>
    <t xml:space="preserve">PUMPS!B7</t>
  </si>
  <si>
    <t xml:space="preserve">PUMPS!D7</t>
  </si>
  <si>
    <t xml:space="preserve">PUMPS!E7</t>
  </si>
  <si>
    <t xml:space="preserve">PUMPS!H7</t>
  </si>
  <si>
    <t xml:space="preserve">PUMPS!D8</t>
  </si>
  <si>
    <t xml:space="preserve">PUMPS!G8</t>
  </si>
  <si>
    <t xml:space="preserve">PUMPS!E8</t>
  </si>
  <si>
    <t xml:space="preserve">PUMPS!H8</t>
  </si>
  <si>
    <t xml:space="preserve">PUMPS!D9</t>
  </si>
  <si>
    <t xml:space="preserve">PUMPS!G9</t>
  </si>
  <si>
    <t xml:space="preserve">PUMPS!E9</t>
  </si>
  <si>
    <t xml:space="preserve">PUMPS!H9</t>
  </si>
  <si>
    <t xml:space="preserve">PUMPS!D10</t>
  </si>
  <si>
    <t xml:space="preserve">PUMPS!G10</t>
  </si>
  <si>
    <t xml:space="preserve">PUMPS!E10</t>
  </si>
  <si>
    <t xml:space="preserve">PUMPS!H10</t>
  </si>
  <si>
    <t xml:space="preserve">PUMPS!D11</t>
  </si>
  <si>
    <t xml:space="preserve">PUMPS!E11</t>
  </si>
  <si>
    <t xml:space="preserve">PUMPS!H11</t>
  </si>
  <si>
    <t xml:space="preserve">PUMPS!D12</t>
  </si>
  <si>
    <t xml:space="preserve">PUMPS!G12</t>
  </si>
  <si>
    <t xml:space="preserve">PUMPS!E12</t>
  </si>
  <si>
    <t xml:space="preserve">PUMPS!H12</t>
  </si>
  <si>
    <t xml:space="preserve">PUMPS!G13</t>
  </si>
  <si>
    <t xml:space="preserve">PUMPS!E13</t>
  </si>
  <si>
    <t xml:space="preserve">PUMPS!H13</t>
  </si>
  <si>
    <t xml:space="preserve">PUMPS!D14</t>
  </si>
  <si>
    <t xml:space="preserve">PUMPS!E14</t>
  </si>
  <si>
    <t xml:space="preserve">PUMPS!H14</t>
  </si>
  <si>
    <t xml:space="preserve">PUMPS!D15</t>
  </si>
  <si>
    <t xml:space="preserve">PUMPS!G15</t>
  </si>
  <si>
    <t xml:space="preserve">PUMPS!E15</t>
  </si>
  <si>
    <t xml:space="preserve">PUMPS!H15</t>
  </si>
  <si>
    <t xml:space="preserve">PUMPS!D16</t>
  </si>
  <si>
    <t xml:space="preserve">PUMPS!E16</t>
  </si>
  <si>
    <t xml:space="preserve">PUMPS!H16</t>
  </si>
  <si>
    <t xml:space="preserve">PUMPS!D17</t>
  </si>
  <si>
    <t xml:space="preserve">PUMPS!E17</t>
  </si>
  <si>
    <t xml:space="preserve">PUMPS!H17</t>
  </si>
  <si>
    <t xml:space="preserve">PUMPS!AR8/AQ8</t>
  </si>
  <si>
    <t xml:space="preserve">PUMPS!AR9/AQ9</t>
  </si>
  <si>
    <t xml:space="preserve">PUMPS!AR10/AQ10</t>
  </si>
  <si>
    <t xml:space="preserve">PUMPS!AR11/AQ11</t>
  </si>
  <si>
    <t xml:space="preserve">PUMPS!AR12/AQ12</t>
  </si>
  <si>
    <t xml:space="preserve">PUMPS!AR13/AQ13</t>
  </si>
  <si>
    <t xml:space="preserve">PUMPS!AR14/AQ14</t>
  </si>
  <si>
    <t xml:space="preserve">PUMPS!AR15/AQ15</t>
  </si>
  <si>
    <t xml:space="preserve">PUMPS!AR16/AQ16</t>
  </si>
  <si>
    <t xml:space="preserve">PUMPS!AR17/AQ17</t>
  </si>
  <si>
    <t xml:space="preserve">PUMPS!AR18/AQ18</t>
  </si>
  <si>
    <t xml:space="preserve">PUMPS!AR20/AQ20</t>
  </si>
  <si>
    <t xml:space="preserve">PUMPS!AR21/AQ21</t>
  </si>
  <si>
    <t xml:space="preserve">PUMPS!AR22/AQ22</t>
  </si>
  <si>
    <t xml:space="preserve">PUMPS!AR23/AQ23</t>
  </si>
  <si>
    <t xml:space="preserve">PUMPS!AR24/AQ24</t>
  </si>
  <si>
    <t xml:space="preserve">PUMPS!AR25/AQ25</t>
  </si>
  <si>
    <t xml:space="preserve">PUMPS!AR26/AQ26</t>
  </si>
  <si>
    <t xml:space="preserve">APP_META – اطلاعات انتقال به اپلیکیشن (وب، اندروید، iOS)</t>
  </si>
  <si>
    <t xml:space="preserve">این شیت و شیت‌های Data_Dictionary، Calc_Spec، Test_Cases و Evidence برای ساخت اپلیکیشن است و روی کارکرد Excel اثری ندارد.</t>
  </si>
  <si>
    <t xml:space="preserve">key</t>
  </si>
  <si>
    <t xml:space="preserve">value</t>
  </si>
  <si>
    <t xml:space="preserve">description_fa</t>
  </si>
  <si>
    <t xml:space="preserve">schema_version</t>
  </si>
  <si>
    <t xml:space="preserve">pricebank-app-1.0</t>
  </si>
  <si>
    <t xml:space="preserve">نسخه قرارداد داده؛ برای همه بانک‌ها یکسان</t>
  </si>
  <si>
    <t xml:space="preserve">equipment_code</t>
  </si>
  <si>
    <t xml:space="preserve">کد تجهیز؛ پیشوند record_id</t>
  </si>
  <si>
    <t xml:space="preserve">equipment_name_en</t>
  </si>
  <si>
    <t xml:space="preserve">Pumps</t>
  </si>
  <si>
    <t xml:space="preserve">equipment_name_fa</t>
  </si>
  <si>
    <t xml:space="preserve">پمپ‌ها</t>
  </si>
  <si>
    <t xml:space="preserve">bank_file_version</t>
  </si>
  <si>
    <t xml:space="preserve">v8</t>
  </si>
  <si>
    <t xml:space="preserve">نسخه ساختار بانک</t>
  </si>
  <si>
    <t xml:space="preserve">generated_utc</t>
  </si>
  <si>
    <t xml:space="preserve">2026-10-15</t>
  </si>
  <si>
    <t xml:space="preserve">تاریخ تولید لایه اپلیکیشن</t>
  </si>
  <si>
    <t xml:space="preserve">record_count</t>
  </si>
  <si>
    <t xml:space="preserve">تعداد رکوردهای Master</t>
  </si>
  <si>
    <t xml:space="preserve">primary_key</t>
  </si>
  <si>
    <t xml:space="preserve">record_id</t>
  </si>
  <si>
    <t xml:space="preserve">= "PMP-" + row_no چهاررقمی (ثابت). row_no عددی است و Vendor_Quotes با آن به Master وصل است</t>
  </si>
  <si>
    <t xml:space="preserve">base_currency</t>
  </si>
  <si>
    <t xml:space="preserve">همه محاسبات نرمال‌سازی و تعدیل در یورو؛ USD و IRR مشتق از جدول FX</t>
  </si>
  <si>
    <t xml:space="preserve">calendar</t>
  </si>
  <si>
    <t xml:space="preserve">Jalali (Solar Hijri) year</t>
  </si>
  <si>
    <t xml:space="preserve">cost_year و target year شمسی؛ شاخص‌های Eurostat میلادی با ترکیب ۰٫۷۹×(Y+621) + ۰٫۲۱×(Y+622)</t>
  </si>
  <si>
    <t xml:space="preserve">null_rule</t>
  </si>
  <si>
    <t xml:space="preserve">empty cell = null</t>
  </si>
  <si>
    <t xml:space="preserve">ستون‌های عددی فقط عدد یا خالی‌اند. دلیل خالی بودن در qa_flag آمده</t>
  </si>
  <si>
    <t xml:space="preserve">sentinel_values</t>
  </si>
  <si>
    <t xml:space="preserve">"Not stated", "(Not stated)", "None", "N/A"</t>
  </si>
  <si>
    <t xml:space="preserve">در ستون‌های متنی/Dropdown به معنی «در منبع ذکر نشده» = null منطقی؛ cost_year = "(Not stated)" یعنی سال نامعلوم</t>
  </si>
  <si>
    <t xml:space="preserve">yes_no</t>
  </si>
  <si>
    <t xml:space="preserve">Y / N / Not stated</t>
  </si>
  <si>
    <t xml:space="preserve">پرچم‌های بولی سه‌حالته</t>
  </si>
  <si>
    <t xml:space="preserve">evidence_model</t>
  </si>
  <si>
    <t xml:space="preserve">sheet Evidence (tbl_evidence)</t>
  </si>
  <si>
    <t xml:space="preserve">رنگ زرد = Inferred یا Derived، آبی = FX_conversion؛ متن Note هر سلول در Evidence به صورت جدول</t>
  </si>
  <si>
    <t xml:space="preserve">factor_lookup</t>
  </si>
  <si>
    <t xml:space="preserve">tbl_factors[Key] = GROUP|option → tbl_factors[Used Factor]; default 1</t>
  </si>
  <si>
    <t xml:space="preserve">Used = Calibrated اگر عدد باشد وگرنه Provisional</t>
  </si>
  <si>
    <t xml:space="preserve">params</t>
  </si>
  <si>
    <t xml:space="preserve">tbl_params (Assumptions H:J)</t>
  </si>
  <si>
    <t xml:space="preserve">در Calc_Spec با param[&lt;key&gt;] ارجاع داده شده (کلید = نام انگلیسی پارامتر به snake_case)</t>
  </si>
  <si>
    <t xml:space="preserve">tables</t>
  </si>
  <si>
    <t xml:space="preserve">tbl_master, tbl_factors, tbl_fx, tbl_params, tbl_index, tbl_vendors, tbl_quotes, tbl_lookup, tbl_verification, tbl_dictionary, tbl_calc_spec, tbl_test_records, tbl_test_estimator, tbl_evidence, tbl_meta</t>
  </si>
  <si>
    <t xml:space="preserve">همه جدول‌ها Excel Table نام‌دارند</t>
  </si>
  <si>
    <t xml:space="preserve">formula_templates</t>
  </si>
  <si>
    <t xml:space="preserve">Data_Dictionary[formula_template]</t>
  </si>
  <si>
    <t xml:space="preserve">فرمول دقیق Excel هر ستون با نام فیلدها: [field_key] = همان ردیف، tbl_x[col] = ستون جدول، param[key] = پارامتر</t>
  </si>
  <si>
    <t xml:space="preserve">verification</t>
  </si>
  <si>
    <t xml:space="preserve">Test_Cases</t>
  </si>
  <si>
    <t xml:space="preserve">خروجی‌های محاسبه‌شده Excel برای مقایسه با محاسبات اپ (تلورانس نسبی 1e-6)</t>
  </si>
  <si>
    <t xml:space="preserve">forbidden_functions</t>
  </si>
  <si>
    <t xml:space="preserve">FILTER, XLOOKUP, UNIQUE, SORT</t>
  </si>
  <si>
    <t xml:space="preserve">برای سازگاری با Excel 2016 و LibreOffice استفاده نشده‌اند</t>
  </si>
  <si>
    <t xml:space="preserve">ui_sheets_not_data</t>
  </si>
  <si>
    <t xml:space="preserve">Guide, Executive Dashboard, Estimator, Search</t>
  </si>
  <si>
    <t xml:space="preserve">شیت‌های رابط کاربری Excel؛ منطق آن‌ها در Calc_Spec آمده</t>
  </si>
  <si>
    <t xml:space="preserve">DATA_DICTIONARY – تعریف فیلدها (قرارداد داده اپلیکیشن)</t>
  </si>
  <si>
    <t xml:space="preserve">یک ردیف برای هر ستون Master و هر پارامتر. scope = core یعنی فیلد مشترک همه بانک‌های تجهیز (نام کلید یکسان)؛ equipment = مخصوص این تجهیز.</t>
  </si>
  <si>
    <t xml:space="preserve">field_key</t>
  </si>
  <si>
    <t xml:space="preserve">header_en</t>
  </si>
  <si>
    <t xml:space="preserve">table</t>
  </si>
  <si>
    <t xml:space="preserve">excel_column</t>
  </si>
  <si>
    <t xml:space="preserve">group_fa</t>
  </si>
  <si>
    <t xml:space="preserve">scope</t>
  </si>
  <si>
    <t xml:space="preserve">role</t>
  </si>
  <si>
    <t xml:space="preserve">data_type</t>
  </si>
  <si>
    <t xml:space="preserve">unit</t>
  </si>
  <si>
    <t xml:space="preserve">allowed_values_source</t>
  </si>
  <si>
    <t xml:space="preserve">allowed_values</t>
  </si>
  <si>
    <t xml:space="preserve">formula_template</t>
  </si>
  <si>
    <t xml:space="preserve">excel_formula_row5</t>
  </si>
  <si>
    <t xml:space="preserve">row_no</t>
  </si>
  <si>
    <t xml:space="preserve">tbl_master</t>
  </si>
  <si>
    <t xml:space="preserve">A</t>
  </si>
  <si>
    <t xml:space="preserve">core</t>
  </si>
  <si>
    <t xml:space="preserve">input-free</t>
  </si>
  <si>
    <t xml:space="preserve">integer</t>
  </si>
  <si>
    <t xml:space="preserve">شناسه یکتای رکورد. Vendor_Quotes با همین شماره به رکورد وصل است.</t>
  </si>
  <si>
    <t xml:space="preserve">equipment_name</t>
  </si>
  <si>
    <t xml:space="preserve">B</t>
  </si>
  <si>
    <t xml:space="preserve">text</t>
  </si>
  <si>
    <t xml:space="preserve">نام سرویس پمپ طبق منبع (متن تکراری داخل پرانتز حذف شده و نام کامل زیرگروه در داشبورد آمده است).</t>
  </si>
  <si>
    <t xml:space="preserve">project_name</t>
  </si>
  <si>
    <t xml:space="preserve">C</t>
  </si>
  <si>
    <t xml:space="preserve">پروژه مرجع.</t>
  </si>
  <si>
    <t xml:space="preserve">tag_no</t>
  </si>
  <si>
    <t xml:space="preserve">D</t>
  </si>
  <si>
    <t xml:space="preserve">شماره تگ طبق منبع.</t>
  </si>
  <si>
    <t xml:space="preserve">sub_category</t>
  </si>
  <si>
    <t xml:space="preserve">E</t>
  </si>
  <si>
    <t xml:space="preserve">input-dropdown</t>
  </si>
  <si>
    <t xml:space="preserve">enum</t>
  </si>
  <si>
    <t xml:space="preserve">Lookup_Codes!A (SubCat)</t>
  </si>
  <si>
    <t xml:space="preserve">ROT-CRU | ROT-WAT | ROT-INJ | ROT-DRN | ROT-AUX | ROT-FIR</t>
  </si>
  <si>
    <t xml:space="preserve">زیرگروه پمپ. نام کامل و شرح در Executive Dashboard.</t>
  </si>
  <si>
    <t xml:space="preserve">api_610_type</t>
  </si>
  <si>
    <t xml:space="preserve">F</t>
  </si>
  <si>
    <t xml:space="preserve">equipment</t>
  </si>
  <si>
    <t xml:space="preserve">Lookup_Codes!F (API610)</t>
  </si>
  <si>
    <t xml:space="preserve">OH1 | OH2 | OH3 | OH4 | OH5 | OH6 | BB1 | BB2 | BB3 | BB4 | BB5 | VS1 | VS2 | VS3 | VS4 | VS5 | VS6 | VS7 | OH (unspecified) | BB (unspecified) | VS (unspecified) | N/A (non-API 610) | Not stated</t>
  </si>
  <si>
    <t xml:space="preserve">نوع پیکربندی طبق API 610 (OH / BB / VS). شرح هر نوع در Executive Dashboard. N/A یعنی پمپ API 610 نیست.</t>
  </si>
  <si>
    <t xml:space="preserve">api_610_material_class</t>
  </si>
  <si>
    <t xml:space="preserve">G</t>
  </si>
  <si>
    <t xml:space="preserve">Lookup_Codes!R (MAT)</t>
  </si>
  <si>
    <t xml:space="preserve">I-1 | I-2 | S-1 | S-3 | S-4 | S-5 | S-6 | S-8 | S-9 | C-6 | A-7 | A-8 | D-1 | D-2 | SS316L (non-API) | Not stated</t>
  </si>
  <si>
    <t xml:space="preserve">کلاس متریال طبق جدول H.1 استاندارد API 610. شرح هر کلاس در Note همان سلول و در Executive Dashboard.</t>
  </si>
  <si>
    <t xml:space="preserve">capacity_m3_h</t>
  </si>
  <si>
    <t xml:space="preserve">H</t>
  </si>
  <si>
    <t xml:space="preserve">number</t>
  </si>
  <si>
    <t xml:space="preserve">m³/h</t>
  </si>
  <si>
    <t xml:space="preserve">دبی نامی (Rated Flow).</t>
  </si>
  <si>
    <t xml:space="preserve">diff_head_m</t>
  </si>
  <si>
    <t xml:space="preserve">I</t>
  </si>
  <si>
    <t xml:space="preserve">m</t>
  </si>
  <si>
    <t xml:space="preserve">هد دیفرانسیل. سلول زرد = محاسبه‌شده از اختلاف فشار با فرض SG=1.</t>
  </si>
  <si>
    <t xml:space="preserve">power_kw</t>
  </si>
  <si>
    <t xml:space="preserve">J</t>
  </si>
  <si>
    <t xml:space="preserve">kW</t>
  </si>
  <si>
    <t xml:space="preserve">توان طبق منبع (موتور یا محور؛ نوع آن در ستون Power Basis).</t>
  </si>
  <si>
    <t xml:space="preserve">size_driver_kw_est</t>
  </si>
  <si>
    <t xml:space="preserve">K</t>
  </si>
  <si>
    <t xml:space="preserve">formula</t>
  </si>
  <si>
    <t xml:space="preserve">=IF(ISNUMBER([power_kw]),[power_kw],IF(AND(ISNUMBER([capacity_m3_h]),ISNUMBER([diff_head_m])),[capacity_m3_h]*[diff_head_m]/(367*param[pump_efficiency_for_estimated_kw]),""))</t>
  </si>
  <si>
    <t xml:space="preserve">=IF(ISNUMBER(J5),J5,IF(AND(ISNUMBER(H5),ISNUMBER(I5)),H5*I5/(367*'Assumptions &amp; FX Reference'!$I$17),""))</t>
  </si>
  <si>
    <t xml:space="preserve">اندازه مبنای مقایسه: اگر توان منبع موجود باشد همان، وگرنه Q×H/(367×η) با η=0.6 و SG=1.</t>
  </si>
  <si>
    <t xml:space="preserve">standards</t>
  </si>
  <si>
    <t xml:space="preserve">L</t>
  </si>
  <si>
    <t xml:space="preserve">=IF(IF(OR([pump_standard]="Not stated",[pump_standard]=""),""," + "&amp;[pump_standard])&amp;IF(OR([ips_standard]="None",[ips_standard]=""),""," + "&amp;[ips_standard])&amp;IF([nace_mr0175]="Y"," + NACE MR0175","")="","Not stated",MID(IF(OR([pump_standard]="Not stated",[pump_standard]=""),""," + "&amp;[pump_standard])&amp;IF(OR([ips_standard]="None",[ips_standard]=""),""," + "&amp;[ips_standard])&amp;IF([nace_mr0175]="Y"," + NACE MR0175",""),4,300))</t>
  </si>
  <si>
    <t xml:space="preserve">=IF(IF(OR(M5="Not stated",M5=""),""," + "&amp;M5)&amp;IF(OR(N5="None",N5=""),""," + "&amp;N5)&amp;IF(O5="Y"," + NACE MR0175","")="","Not stated",MID(IF(OR(M5="Not stated",M5=""),""," + "&amp;M5)&amp;IF(OR(N5="None",N5=""),""," + "&amp;N5)&amp;IF(O5="Y"," + NACE MR0175",""),4,300))</t>
  </si>
  <si>
    <t xml:space="preserve">همه استانداردهای رکورد در یک سلول (خودکار از ستون‌های جمع‌شده کنار آن: استاندارد اصلی، IPS و NACE).</t>
  </si>
  <si>
    <t xml:space="preserve">pump_standard</t>
  </si>
  <si>
    <t xml:space="preserve">M</t>
  </si>
  <si>
    <t xml:space="preserve">Lookup_Codes!C (Std)</t>
  </si>
  <si>
    <t xml:space="preserve">API 610 | API 674 | API 675 | API 676 | ISO 13709 | ISO 5199 | ISO 2858 | NFPA 20 | JIS B 8325 | Manufacturer Std | Not stated</t>
  </si>
  <si>
    <t xml:space="preserve">استاندارد اصلی ساخت پمپ (ورودی).</t>
  </si>
  <si>
    <t xml:space="preserve">ips_standard</t>
  </si>
  <si>
    <t xml:space="preserve">Lookup_Codes!D (IPS)</t>
  </si>
  <si>
    <t xml:space="preserve">IPS-G-PM-105 | IPS-M-PM-115 | IPS-M-PM-125 | IPS-M-PM-140 | None</t>
  </si>
  <si>
    <t xml:space="preserve">استاندارد مکمل IPS وزارت نفت (ورودی).</t>
  </si>
  <si>
    <t xml:space="preserve">nace_mr0175</t>
  </si>
  <si>
    <t xml:space="preserve">O</t>
  </si>
  <si>
    <t xml:space="preserve">Lookup_Codes!I (YNS)</t>
  </si>
  <si>
    <t xml:space="preserve">Y | N | Not stated</t>
  </si>
  <si>
    <t xml:space="preserve">الزام NACE MR0175 / ISO 15156 برای سرویس ترش (ورودی). زرد = استنباطی.</t>
  </si>
  <si>
    <t xml:space="preserve">seal_type_arrangement</t>
  </si>
  <si>
    <t xml:space="preserve">P</t>
  </si>
  <si>
    <t xml:space="preserve">Lookup_Codes!S (SEAL_ARR)</t>
  </si>
  <si>
    <t xml:space="preserve">Packing | Arr 1 - Single | Arr 2 - Dual Unpressurized | Arr 3 - Dual Pressurized | Sealless - Magnetic Drive | Sealless - Canned Motor | Not stated</t>
  </si>
  <si>
    <t xml:space="preserve">نوع آب‌بند مکانیکی طبق API 682: Arr 1 تکی، Arr 2 دوبل بدون فشار، Arr 3 دوبل تحت فشار.</t>
  </si>
  <si>
    <t xml:space="preserve">api_682_category</t>
  </si>
  <si>
    <t xml:space="preserve">Q</t>
  </si>
  <si>
    <t xml:space="preserve">Lookup_Codes!T (SEAL_CAT)</t>
  </si>
  <si>
    <t xml:space="preserve">Cat 1 | Cat 2 | Cat 3 | N/A | Not stated</t>
  </si>
  <si>
    <t xml:space="preserve">کلاس سختگیری آب‌بند طبق API 682: Cat 1 سبک، Cat 2 استاندارد API 610، Cat 3 سنگین.</t>
  </si>
  <si>
    <t xml:space="preserve">api_682_seal_plan</t>
  </si>
  <si>
    <t xml:space="preserve">R</t>
  </si>
  <si>
    <t xml:space="preserve">Lookup_Codes!U (SEAL_PLAN)</t>
  </si>
  <si>
    <t xml:space="preserve">01 | 02 | 11 | 13 | 14 | 21 | 23 | 32 | 52 | 53A | 53B | 53C | 54 | 62 | 65A | 72/76 | 11+52 | 11+53B | 23+53B | N/A | Not stated</t>
  </si>
  <si>
    <t xml:space="preserve">طرح شستشو / Barrier آب‌بند طبق API 682 (مثلاً 11، 52، 53B).</t>
  </si>
  <si>
    <t xml:space="preserve">driver_type</t>
  </si>
  <si>
    <t xml:space="preserve">S</t>
  </si>
  <si>
    <t xml:space="preserve">Lookup_Codes!V (DRV)</t>
  </si>
  <si>
    <t xml:space="preserve">Electric Motor | Diesel Engine | Steam Turbine | Air / Pneumatic | Portable (Air / Electric) | Not stated</t>
  </si>
  <si>
    <t xml:space="preserve">نوع محرک.</t>
  </si>
  <si>
    <t xml:space="preserve">service_fluid</t>
  </si>
  <si>
    <t xml:space="preserve">T</t>
  </si>
  <si>
    <t xml:space="preserve">Lookup_Codes!B (Service)</t>
  </si>
  <si>
    <t xml:space="preserve">Crude Oil | Slop / Dirty Oil | Produced / Disposal Water | Process / Dilution Water | Deaerated Water | Fresh / Potable Water | Oily Water / Drain | Sludge | Chemical | Diesel / Fuel Oil | Fire Water | Cooling / Seal Water | Other</t>
  </si>
  <si>
    <t xml:space="preserve">سیالی که پمپ جابه‌جا می‌کند.</t>
  </si>
  <si>
    <t xml:space="preserve">quantity</t>
  </si>
  <si>
    <t xml:space="preserve">U</t>
  </si>
  <si>
    <t xml:space="preserve">تعداد طبق منبع (Set).</t>
  </si>
  <si>
    <t xml:space="preserve">pump_family</t>
  </si>
  <si>
    <t xml:space="preserve">V</t>
  </si>
  <si>
    <t xml:space="preserve">Lookup_Codes!E (Family)</t>
  </si>
  <si>
    <t xml:space="preserve">Centrifugal | Centrifugal - Submersible | PD-Rotary (Gear) | PD-Rotary (Progressing Cavity) | PD-Rotary (Screw) | PD-Rotary (Sliding Vane) | PD-Reciprocating (Plunger) | Metering (Diaphragm) | Metering (Plunger) | Portable Barrel | Jet / Eductor | Not stated</t>
  </si>
  <si>
    <t xml:space="preserve">اصل کارکرد پمپ (گریز از مرکز یا جابه‌جایی مثبت). پیکربندی در API 610 Type آمده است. زرد = فرض‌شده.</t>
  </si>
  <si>
    <t xml:space="preserve">discharge_pressure_barg</t>
  </si>
  <si>
    <t xml:space="preserve">W</t>
  </si>
  <si>
    <t xml:space="preserve">barg</t>
  </si>
  <si>
    <t xml:space="preserve">فشار رانش طبق منبع (در گچساران نوع فشار مشخص نیست).</t>
  </si>
  <si>
    <t xml:space="preserve">power_basis</t>
  </si>
  <si>
    <t xml:space="preserve">X</t>
  </si>
  <si>
    <t xml:space="preserve">Lookup_Codes!G (Power_Basis)</t>
  </si>
  <si>
    <t xml:space="preserve">Motor Rated | Shaft (Absorbed) | Not stated</t>
  </si>
  <si>
    <t xml:space="preserve">نوع عدد توان: توان نامی موتور یا توان محور.</t>
  </si>
  <si>
    <t xml:space="preserve">cost_year_jalali</t>
  </si>
  <si>
    <t xml:space="preserve">integer | "(Not stated)"</t>
  </si>
  <si>
    <t xml:space="preserve">Jalali year</t>
  </si>
  <si>
    <t xml:space="preserve">Lookup_Codes!K (Year)</t>
  </si>
  <si>
    <t xml:space="preserve">1385 | 1386 | 1387 | 1388 | 1389 | 1390 | 1391 | 1392 | 1393 | 1394 | 1395 | 1396 | 1397 | 1398 | 1399 | 1400 | 1401 | 1402 | 1403 | 1404 | 1405 | (Not stated)</t>
  </si>
  <si>
    <t xml:space="preserve">سال مبنای قیمت مرجع.</t>
  </si>
  <si>
    <t xml:space="preserve">reference_currency</t>
  </si>
  <si>
    <t xml:space="preserve">Z</t>
  </si>
  <si>
    <t xml:space="preserve">Lookup_Codes!J (Currency)</t>
  </si>
  <si>
    <t xml:space="preserve">EUR | USD | IRR</t>
  </si>
  <si>
    <t xml:space="preserve">ارز قیمت مرجع.</t>
  </si>
  <si>
    <t xml:space="preserve">unit_price_reference</t>
  </si>
  <si>
    <t xml:space="preserve">AA</t>
  </si>
  <si>
    <t xml:space="preserve">قیمت واحد در ارز و سال مرجع، عیناً از منبع.</t>
  </si>
  <si>
    <t xml:space="preserve">unit_price_eur_source_yr</t>
  </si>
  <si>
    <t xml:space="preserve">AB</t>
  </si>
  <si>
    <t xml:space="preserve">=IF(NOT(ISNUMBER([unit_price_reference])),"",IF(NOT(ISNUMBER([cost_year_jalali])),"",IFERROR(IF([reference_currency]="EUR",[unit_price_reference],IF([reference_currency]="IRR",[unit_price_reference]/INDEX(tbl_fx[EUR → IRR],MATCH([cost_year_jalali],tbl_fx[Jalali Year],0)),IF([reference_currency]="USD",[unit_price_reference]*INDEX(tbl_fx[USD → IRR],MATCH([cost_year_jalali],tbl_fx[Jalali Year],0))/INDEX(tbl_fx[EUR → IRR],MATCH([cost_year_jalali],tbl_fx[Jalali Year],0)),""))),"")))</t>
  </si>
  <si>
    <t xml:space="preserve">=IF(NOT(ISNUMBER(AA5)),"",IF(NOT(ISNUMBER(Y5)),"",IFERROR(IF(Z5="EUR",AA5,IF(Z5="IRR",AA5/INDEX('Assumptions &amp; FX Reference'!$C$5:$C$25,MATCH(Y5,'Assumptions &amp; FX Reference'!$A$5:$A$25,0)),IF(Z5="USD",AA5*INDEX('Assumptions &amp; FX Reference'!$B$5:$B$25,MATCH(Y5,'Assumptions &amp; FX Reference'!$A$5:$A$25,0))/INDEX('Assumptions &amp; FX Reference'!$C$5:$C$25,MATCH(Y5,'Assumptions &amp; FX Reference'!$A$5:$A$25,0)),""))),"")))</t>
  </si>
  <si>
    <t xml:space="preserve">معادل یورویی قیمت مرجع در سال منبع، با نرخ جدول FX بانک.</t>
  </si>
  <si>
    <t xml:space="preserve">unit_price_usd_source_yr</t>
  </si>
  <si>
    <t xml:space="preserve">AC</t>
  </si>
  <si>
    <t xml:space="preserve">=IF(NOT(ISNUMBER([unit_price_reference])),"",IF(NOT(ISNUMBER([cost_year_jalali])),"",IFERROR(IF([reference_currency]="USD",[unit_price_reference],IF([reference_currency]="IRR",[unit_price_reference]/INDEX(tbl_fx[USD → IRR],MATCH([cost_year_jalali],tbl_fx[Jalali Year],0)),IF([reference_currency]="EUR",[unit_price_reference]*INDEX(tbl_fx[EUR → IRR],MATCH([cost_year_jalali],tbl_fx[Jalali Year],0))/INDEX(tbl_fx[USD → IRR],MATCH([cost_year_jalali],tbl_fx[Jalali Year],0)),""))),"")))</t>
  </si>
  <si>
    <t xml:space="preserve">=IF(NOT(ISNUMBER(AA5)),"",IF(NOT(ISNUMBER(Y5)),"",IFERROR(IF(Z5="USD",AA5,IF(Z5="IRR",AA5/INDEX('Assumptions &amp; FX Reference'!$B$5:$B$25,MATCH(Y5,'Assumptions &amp; FX Reference'!$A$5:$A$25,0)),IF(Z5="EUR",AA5*INDEX('Assumptions &amp; FX Reference'!$C$5:$C$25,MATCH(Y5,'Assumptions &amp; FX Reference'!$A$5:$A$25,0))/INDEX('Assumptions &amp; FX Reference'!$B$5:$B$25,MATCH(Y5,'Assumptions &amp; FX Reference'!$A$5:$A$25,0)),""))),"")))</t>
  </si>
  <si>
    <t xml:space="preserve">معادل دلاری قیمت مرجع در سال منبع، با نرخ جدول FX بانک.</t>
  </si>
  <si>
    <t xml:space="preserve">unit_price_irr_source_yr</t>
  </si>
  <si>
    <t xml:space="preserve">AD</t>
  </si>
  <si>
    <t xml:space="preserve">=IF(NOT(ISNUMBER([unit_price_reference])),"",IF(NOT(ISNUMBER([cost_year_jalali])),"",IFERROR(IF([reference_currency]="IRR",[unit_price_reference],IF([reference_currency]="USD",[unit_price_reference]*INDEX(tbl_fx[USD → IRR],MATCH([cost_year_jalali],tbl_fx[Jalali Year],0)),IF([reference_currency]="EUR",[unit_price_reference]*INDEX(tbl_fx[EUR → IRR],MATCH([cost_year_jalali],tbl_fx[Jalali Year],0)),""))),"")))</t>
  </si>
  <si>
    <t xml:space="preserve">=IF(NOT(ISNUMBER(AA5)),"",IF(NOT(ISNUMBER(Y5)),"",IFERROR(IF(Z5="IRR",AA5,IF(Z5="USD",AA5*INDEX('Assumptions &amp; FX Reference'!$B$5:$B$25,MATCH(Y5,'Assumptions &amp; FX Reference'!$A$5:$A$25,0)),IF(Z5="EUR",AA5*INDEX('Assumptions &amp; FX Reference'!$C$5:$C$25,MATCH(Y5,'Assumptions &amp; FX Reference'!$A$5:$A$25,0)),""))),"")))</t>
  </si>
  <si>
    <t xml:space="preserve">معادل ریالی قیمت مرجع در سال منبع، با نرخ جدول FX بانک. سلول آبی = پروژه نرخ دیگری به کار برده (نرخ و قیمت پروژه در Note).</t>
  </si>
  <si>
    <t xml:space="preserve">price_basis_as_stated_in_source</t>
  </si>
  <si>
    <t xml:space="preserve">AE</t>
  </si>
  <si>
    <t xml:space="preserve">مبنای قیمت به نقل از منبع (استعلام، برآورد MTO، قیمت خرید و ...). برچسب کلاس منبع هم داخل همین متن آمده است.</t>
  </si>
  <si>
    <t xml:space="preserve">incoterm</t>
  </si>
  <si>
    <t xml:space="preserve">AF</t>
  </si>
  <si>
    <t xml:space="preserve">Lookup_Codes!L (Incoterm)</t>
  </si>
  <si>
    <t xml:space="preserve">EXW | FCA | FOB | CFR | CIF | DAP | DDP | Domestic Delivered (IRR) | Not stated</t>
  </si>
  <si>
    <t xml:space="preserve">شرط تحویل قیمت. Note هر سلول می‌گوید قیمت شامل چه هزینه‌هایی هست و نیست. زرد = استنباطی. جدول حالت‌ها در Executive Dashboard.</t>
  </si>
  <si>
    <t xml:space="preserve">escalated_unit_price_eur_target_yr</t>
  </si>
  <si>
    <t xml:space="preserve">AG</t>
  </si>
  <si>
    <t xml:space="preserve">=IF(AND([reference_currency]="EUR",N([unit_price_reference])&gt;5000000),"",IF(AND(ISNUMBER([unit_price_eur_source_yr]),ISNUMBER([ppi_base]),ISNUMBER([ppi_target])),IF(AND([floor_applies]="Y",ISNUMBER(param[ppi_of_floor_base_year])),MAX([unit_price_eur_source_yr]*[ppi_target]/[ppi_base],param[price_floor_eur_api_610_centrifugal_class_s_d]*[ppi_target]/param[ppi_of_floor_base_year]),[unit_price_eur_source_yr]*[ppi_target]/[ppi_base]),""))</t>
  </si>
  <si>
    <t xml:space="preserve">=IF(AND(Z5="EUR",N(AA5)&gt;5000000),"",IF(AND(ISNUMBER(AB5),ISNUMBER(AZ5),ISNUMBER(BA5)),IF(AND(BB5="Y",ISNUMBER('Assumptions &amp; FX Reference'!$I$15)),MAX(AB5*BA5/AZ5,'Assumptions &amp; FX Reference'!$I$13*BA5/'Assumptions &amp; FX Reference'!$I$15),AB5*BA5/AZ5),""))</t>
  </si>
  <si>
    <t xml:space="preserve">قیمت یورویی تعدیل‌شده به سال هدف: EUR × PPI(هدف)/PPI(پایه)، با کف ۲۵٬۰۰۰ یورو برای API 610 گریز از مرکز کلاس S/D.</t>
  </si>
  <si>
    <t xml:space="preserve">escalated_unit_price_usd_target_yr</t>
  </si>
  <si>
    <t xml:space="preserve">AH</t>
  </si>
  <si>
    <t xml:space="preserve">=IF(AND(ISNUMBER([escalated_unit_price_eur_target_yr]),ISNUMBER(param[target_eur_to_irr_used]),ISNUMBER(param[target_usd_to_irr_used])),[escalated_unit_price_eur_target_yr]*param[target_eur_to_irr_used]/param[target_usd_to_irr_used],"")</t>
  </si>
  <si>
    <t xml:space="preserve">=IF(AND(ISNUMBER(AG5),ISNUMBER('Assumptions &amp; FX Reference'!$I$8),ISNUMBER('Assumptions &amp; FX Reference'!$I$11)),AG5*'Assumptions &amp; FX Reference'!$I$8/'Assumptions &amp; FX Reference'!$I$11,"")</t>
  </si>
  <si>
    <t xml:space="preserve">= قیمت یورویی تعدیل‌شده × نرخ یورو ÷ نرخ دلار سال هدف.</t>
  </si>
  <si>
    <t xml:space="preserve">escalated_unit_price_irr_target_yr</t>
  </si>
  <si>
    <t xml:space="preserve">AI</t>
  </si>
  <si>
    <t xml:space="preserve">=IF(AND(ISNUMBER([escalated_unit_price_eur_target_yr]),ISNUMBER(param[target_eur_to_irr_used])),[escalated_unit_price_eur_target_yr]*param[target_eur_to_irr_used],"")</t>
  </si>
  <si>
    <t xml:space="preserve">=IF(AND(ISNUMBER(AG5),ISNUMBER('Assumptions &amp; FX Reference'!$I$8)),AG5*'Assumptions &amp; FX Reference'!$I$8,"")</t>
  </si>
  <si>
    <t xml:space="preserve">= قیمت یورویی تعدیل‌شده × نرخ یوروی سال هدف.</t>
  </si>
  <si>
    <t xml:space="preserve">manufacturer_supplier_as_in_source</t>
  </si>
  <si>
    <t xml:space="preserve">AJ</t>
  </si>
  <si>
    <t xml:space="preserve">سازنده یا تهیه‌کننده سند منبع.</t>
  </si>
  <si>
    <t xml:space="preserve">project_phase</t>
  </si>
  <si>
    <t xml:space="preserve">AK</t>
  </si>
  <si>
    <t xml:space="preserve">Lookup_Codes!M (Phase)</t>
  </si>
  <si>
    <t xml:space="preserve">Conceptual | Basic Design | FEED | Detail Engineering | Tender / Procurement | EPC Contract | Not stated</t>
  </si>
  <si>
    <t xml:space="preserve">مرحله پروژه‌ای که سند منبع در آن تهیه شده.</t>
  </si>
  <si>
    <t xml:space="preserve">scope_driver_incl</t>
  </si>
  <si>
    <t xml:space="preserve">AL</t>
  </si>
  <si>
    <t xml:space="preserve">Scope: driver included (base = Y). Y/N/Not stated. زرد = استنباطی.</t>
  </si>
  <si>
    <t xml:space="preserve">scope_baseplate_coupling</t>
  </si>
  <si>
    <t xml:space="preserve">AM</t>
  </si>
  <si>
    <t xml:space="preserve">Scope: baseplate &amp; coupling (base = Y). Y/N/Not stated. زرد = استنباطی.</t>
  </si>
  <si>
    <t xml:space="preserve">scope_seal_support_system</t>
  </si>
  <si>
    <t xml:space="preserve">AN</t>
  </si>
  <si>
    <t xml:space="preserve">Scope: seal support system (base = Y). Y/N/Not stated. زرد = استنباطی.</t>
  </si>
  <si>
    <t xml:space="preserve">scope_comm_spares</t>
  </si>
  <si>
    <t xml:space="preserve">AO</t>
  </si>
  <si>
    <t xml:space="preserve">Scope: commissioning spares (base = Y). Y/N/Not stated. زرد = استنباطی.</t>
  </si>
  <si>
    <t xml:space="preserve">scope_2_yr_spares</t>
  </si>
  <si>
    <t xml:space="preserve">AP</t>
  </si>
  <si>
    <t xml:space="preserve">Scope: 2-year spares (base = N). Y/N/Not stated. زرد = استنباطی.</t>
  </si>
  <si>
    <t xml:space="preserve">scope_tpi</t>
  </si>
  <si>
    <t xml:space="preserve">AQ</t>
  </si>
  <si>
    <t xml:space="preserve">Scope: third-party inspection (base = N). Y/N/Not stated. زرد = استنباطی.</t>
  </si>
  <si>
    <t xml:space="preserve">scope_witnessed_fat</t>
  </si>
  <si>
    <t xml:space="preserve">AR</t>
  </si>
  <si>
    <t xml:space="preserve">Scope: witnessed FAT (base = N). Y/N/Not stated. زرد = استنباطی.</t>
  </si>
  <si>
    <t xml:space="preserve">qa_flag</t>
  </si>
  <si>
    <t xml:space="preserve">AS</t>
  </si>
  <si>
    <t xml:space="preserve">=IF(AND([reference_currency]="EUR",N([unit_price_reference])&gt;5000000),"Check currency (EUR&gt;5M); ","")&amp;IF(NOT(ISNUMBER([unit_price_reference])),"No price; ","")&amp;IF([api_610_material_class]="Not stated","Material missing; ","")&amp;IF([seal_type_arrangement]="Not stated","Seal missing; ","")&amp;IF([size_driver_kw_est]="","Size driver missing; ","")&amp;IF(NOT(ISNUMBER([ppi_base])),"Base-year PPI missing; ","")</t>
  </si>
  <si>
    <t xml:space="preserve">=IF(AND(Z5="EUR",N(AA5)&gt;5000000),"Check currency (EUR&gt;5M); ","")&amp;IF(NOT(ISNUMBER(AA5)),"No price; ","")&amp;IF(G5="Not stated","Material missing; ","")&amp;IF(P5="Not stated","Seal missing; ","")&amp;IF(K5="","Size driver missing; ","")&amp;IF(NOT(ISNUMBER(AZ5)),"Base-year PPI missing; ","")</t>
  </si>
  <si>
    <t xml:space="preserve">کنترل خودکار کمبود یا تناقض داده.</t>
  </si>
  <si>
    <t xml:space="preserve">mat_f</t>
  </si>
  <si>
    <t xml:space="preserve">AT</t>
  </si>
  <si>
    <t xml:space="preserve">=IFERROR(INDEX(tbl_factors[Used Factor],MATCH("MAT|"&amp;[api_610_material_class],tbl_factors[Key],0)),1)</t>
  </si>
  <si>
    <t xml:space="preserve">=IFERROR(INDEX(Factors_ROT!$F$5:$F$200,MATCH("MAT|"&amp;G5,Factors_ROT!$A$5:$A$200,0)),1)</t>
  </si>
  <si>
    <t xml:space="preserve">ضریب متریال از Factors_ROT.</t>
  </si>
  <si>
    <t xml:space="preserve">seal_f</t>
  </si>
  <si>
    <t xml:space="preserve">AU</t>
  </si>
  <si>
    <t xml:space="preserve">=IFERROR(INDEX(tbl_factors[Used Factor],MATCH("SEAL_ARR|"&amp;[seal_type_arrangement],tbl_factors[Key],0)),1)*IFERROR(INDEX(tbl_factors[Used Factor],MATCH("SEAL_CAT|"&amp;[api_682_category],tbl_factors[Key],0)),1)*IFERROR(INDEX(tbl_factors[Used Factor],MATCH("SEAL_PLAN|"&amp;[api_682_seal_plan],tbl_factors[Key],0)),1)</t>
  </si>
  <si>
    <t xml:space="preserve">=IFERROR(INDEX(Factors_ROT!$F$5:$F$200,MATCH("SEAL_ARR|"&amp;P5,Factors_ROT!$A$5:$A$200,0)),1)*IFERROR(INDEX(Factors_ROT!$F$5:$F$200,MATCH("SEAL_CAT|"&amp;Q5,Factors_ROT!$A$5:$A$200,0)),1)*IFERROR(INDEX(Factors_ROT!$F$5:$F$200,MATCH("SEAL_PLAN|"&amp;R5,Factors_ROT!$A$5:$A$200,0)),1)</t>
  </si>
  <si>
    <t xml:space="preserve">Arrangement × Category × Plan.</t>
  </si>
  <si>
    <t xml:space="preserve">drive_f</t>
  </si>
  <si>
    <t xml:space="preserve">AV</t>
  </si>
  <si>
    <t xml:space="preserve">=IFERROR(INDEX(tbl_factors[Used Factor],MATCH("DRV|"&amp;[driver_type],tbl_factors[Key],0)),1)*IFERROR(INDEX(tbl_factors[Used Factor],MATCH("NACE|"&amp;[nace_mr0175],tbl_factors[Key],0)),1)</t>
  </si>
  <si>
    <t xml:space="preserve">=IFERROR(INDEX(Factors_ROT!$F$5:$F$200,MATCH("DRV|"&amp;S5,Factors_ROT!$A$5:$A$200,0)),1)*IFERROR(INDEX(Factors_ROT!$F$5:$F$200,MATCH("NACE|"&amp;O5,Factors_ROT!$A$5:$A$200,0)),1)</t>
  </si>
  <si>
    <t xml:space="preserve">Driver × NACE.</t>
  </si>
  <si>
    <t xml:space="preserve">scope_f</t>
  </si>
  <si>
    <t xml:space="preserve">AW</t>
  </si>
  <si>
    <t xml:space="preserve">=IFERROR(INDEX(tbl_factors[Used Factor],MATCH("SC_DRV|"&amp;[scope_driver_incl],tbl_factors[Key],0)),1)*IFERROR(INDEX(tbl_factors[Used Factor],MATCH("SC_BSP|"&amp;[scope_baseplate_coupling],tbl_factors[Key],0)),1)*IFERROR(INDEX(tbl_factors[Used Factor],MATCH("SC_SEAL|"&amp;[scope_seal_support_system],tbl_factors[Key],0)),1)*IFERROR(INDEX(tbl_factors[Used Factor],MATCH("SC_COMM|"&amp;[scope_comm_spares],tbl_factors[Key],0)),1)*IFERROR(INDEX(tbl_factors[Used Factor],MATCH("SC_2Y|"&amp;[scope_2_yr_spares],tbl_factors[Key],0)),1)*IFERROR(INDEX(tbl_factors[Used Factor],MATCH("SC_TPI|"&amp;[scope_tpi],tbl_factors[Key],0)),1)*IFERROR(INDEX(tbl_factors[Used Factor],MATCH("SC_FAT|"&amp;[scope_witnessed_fat],tbl_factors[Key],0)),1)</t>
  </si>
  <si>
    <t xml:space="preserve">=IFERROR(INDEX(Factors_ROT!$F$5:$F$200,MATCH("SC_DRV|"&amp;AL5,Factors_ROT!$A$5:$A$200,0)),1)*IFERROR(INDEX(Factors_ROT!$F$5:$F$200,MATCH("SC_BSP|"&amp;AM5,Factors_ROT!$A$5:$A$200,0)),1)*IFERROR(INDEX(Factors_ROT!$F$5:$F$200,MATCH("SC_SEAL|"&amp;AN5,Factors_ROT!$A$5:$A$200,0)),1)*IFERROR(INDEX(Factors_ROT!$F$5:$F$200,MATCH("SC_COMM|"&amp;AO5,Factors_ROT!$A$5:$A$200,0)),1)*IFERROR(INDEX(Factors_ROT!$F$5:$F$200,MATCH("SC_2Y|"&amp;AP5,Factors_ROT!$A$5:$A$200,0)),1)*IFERROR(INDEX(Factors_ROT!$F$5:$F$200,MATCH("SC_TPI|"&amp;AQ5,Factors_ROT!$A$5:$A$200,0)),1)*IFERROR(INDEX(Factors_ROT!$F$5:$F$200,MATCH("SC_FAT|"&amp;AR5,Factors_ROT!$A$5:$A$200,0)),1)</t>
  </si>
  <si>
    <t xml:space="preserve">حاصل‌ضرب ۷ ضریب Scope.</t>
  </si>
  <si>
    <t xml:space="preserve">all_f</t>
  </si>
  <si>
    <t xml:space="preserve">AX</t>
  </si>
  <si>
    <t xml:space="preserve">=[mat_f]*[seal_f]*[drive_f]*[scope_f]</t>
  </si>
  <si>
    <t xml:space="preserve">=AT5*AU5*AV5*AW5</t>
  </si>
  <si>
    <t xml:space="preserve">MAT × SEAL × DRIVE × SCOPE.</t>
  </si>
  <si>
    <t xml:space="preserve">normalized_eur_base_config_source_yr</t>
  </si>
  <si>
    <t xml:space="preserve">AY</t>
  </si>
  <si>
    <t xml:space="preserve">=IF(ISNUMBER([unit_price_eur_source_yr]),[unit_price_eur_source_yr]/[all_f],"")</t>
  </si>
  <si>
    <t xml:space="preserve">=IF(ISNUMBER(AB5),AB5/AX5,"")</t>
  </si>
  <si>
    <t xml:space="preserve">EUR سال منبع ÷ ALL_F = قیمت معادل پیکربندی پایه.</t>
  </si>
  <si>
    <t xml:space="preserve">ppi_base</t>
  </si>
  <si>
    <t xml:space="preserve">AZ</t>
  </si>
  <si>
    <t xml:space="preserve">=IFERROR(IF(N(INDEX(tbl_index[PPI C28.13 EA20 (2021=100), Jalali-year blend],MATCH([cost_year_jalali],tbl_index[Jalali Year],0)))&gt;0,INDEX(tbl_index[PPI C28.13 EA20 (2021=100), Jalali-year blend],MATCH([cost_year_jalali],tbl_index[Jalali Year],0)),""),"")</t>
  </si>
  <si>
    <t xml:space="preserve">=IFERROR(IF(N(INDEX(Escalation_Index!$B$5:$B$25,MATCH(Y5,Escalation_Index!$A$5:$A$25,0)))&gt;0,INDEX(Escalation_Index!$B$5:$B$25,MATCH(Y5,Escalation_Index!$A$5:$A$25,0)),""),"")</t>
  </si>
  <si>
    <t xml:space="preserve">ppi_target</t>
  </si>
  <si>
    <t xml:space="preserve">BA</t>
  </si>
  <si>
    <t xml:space="preserve">=IF(ISNUMBER(param[ppi_target_year_c28_13_ea20]),param[ppi_target_year_c28_13_ea20],"")</t>
  </si>
  <si>
    <t xml:space="preserve">=IF(ISNUMBER('Assumptions &amp; FX Reference'!$I$12),'Assumptions &amp; FX Reference'!$I$12,"")</t>
  </si>
  <si>
    <t xml:space="preserve">floor_applies</t>
  </si>
  <si>
    <t xml:space="preserve">BB</t>
  </si>
  <si>
    <t xml:space="preserve">=IF(AND([pump_standard]="API 610",LEFT([pump_family],11)="Centrifugal",OR(LEFT([api_610_material_class],2)="S-",LEFT([api_610_material_class],2)="D-")),"Y","N")</t>
  </si>
  <si>
    <t xml:space="preserve">=IF(AND(M5="API 610",LEFT(V5,11)="Centrifugal",OR(LEFT(G5,2)="S-",LEFT(G5,2)="D-")),"Y","N")</t>
  </si>
  <si>
    <t xml:space="preserve">Y اگر استاندارد API 610، پمپ گریز از مرکز و کلاس متریال S-x یا D-x باشد.</t>
  </si>
  <si>
    <t xml:space="preserve">normalized_escalated_eur</t>
  </si>
  <si>
    <t xml:space="preserve">BC</t>
  </si>
  <si>
    <t xml:space="preserve">=IF(ISNUMBER([escalated_unit_price_eur_target_yr]),[escalated_unit_price_eur_target_yr]/[all_f],"")</t>
  </si>
  <si>
    <t xml:space="preserve">=IF(ISNUMBER(AG5),AG5/AX5,"")</t>
  </si>
  <si>
    <t xml:space="preserve">cost_coefficient_normesc_eur_kw_pow_n</t>
  </si>
  <si>
    <t xml:space="preserve">BD</t>
  </si>
  <si>
    <t xml:space="preserve">=IF(AND(ISNUMBER([normalized_escalated_eur]),ISNUMBER([size_driver_kw_est])),IF([size_driver_kw_est]&gt;0,[normalized_escalated_eur]/[size_driver_kw_est]^param[cost_capacity_exponent_n_price_kw_pow_n],""),"")</t>
  </si>
  <si>
    <t xml:space="preserve">=IF(AND(ISNUMBER(BC5),ISNUMBER(K5)),IF(K5&gt;0,BC5/K5^'Assumptions &amp; FX Reference'!$I$16,""),"")</t>
  </si>
  <si>
    <t xml:space="preserve">مبنای Estimator.</t>
  </si>
  <si>
    <t xml:space="preserve">source_document</t>
  </si>
  <si>
    <t xml:space="preserve">BE</t>
  </si>
  <si>
    <t xml:space="preserve">فایل، شیت و سلول منبع.</t>
  </si>
  <si>
    <t xml:space="preserve">remarks_notes</t>
  </si>
  <si>
    <t xml:space="preserve">BF</t>
  </si>
  <si>
    <t xml:space="preserve">include_in_totals</t>
  </si>
  <si>
    <t xml:space="preserve">BG</t>
  </si>
  <si>
    <t xml:space="preserve">Lookup_Codes!H (YN)</t>
  </si>
  <si>
    <t xml:space="preserve">Y | N</t>
  </si>
  <si>
    <t xml:space="preserve">N = رکورد تکراری یا کنارگذاشته‌شده (در شمارش داشبورد و جستجو با فیلتر لحاظ نمی‌شود).</t>
  </si>
  <si>
    <t xml:space="preserve">BH</t>
  </si>
  <si>
    <t xml:space="preserve">constant</t>
  </si>
  <si>
    <t xml:space="preserve">کد تجهیز در پایگاه‌داده مشترک اپلیکیشن (PMP = Pumps). ثابت برای همه رکوردهای این بانک.</t>
  </si>
  <si>
    <t xml:space="preserve">BI</t>
  </si>
  <si>
    <t xml:space="preserve">="PMP-"&amp;TEXT([row_no],"0000")</t>
  </si>
  <si>
    <t xml:space="preserve">="PMP-"&amp;TEXT(A5,"0000")</t>
  </si>
  <si>
    <t xml:space="preserve">شناسه یکتای پایدار رکورد در اپلیکیشن = PMP- + شماره Row چهاررقمی. با جابه‌جایی ردیف یا ستون تغییر نمی‌کند.</t>
  </si>
  <si>
    <t xml:space="preserve">param.target_year</t>
  </si>
  <si>
    <t xml:space="preserve">tbl_params</t>
  </si>
  <si>
    <t xml:space="preserve">I5</t>
  </si>
  <si>
    <t xml:space="preserve">param.target_eur_to_irr_auto</t>
  </si>
  <si>
    <t xml:space="preserve">I6</t>
  </si>
  <si>
    <t xml:space="preserve">=IFERROR(INDEX(tbl_fx[EUR → IRR],MATCH(I5,tbl_fx[Jalali Year],0)),"(no FX)")</t>
  </si>
  <si>
    <t xml:space="preserve">=IFERROR(INDEX('Assumptions &amp; FX Reference'!$C$5:$C$25,MATCH(I5,'Assumptions &amp; FX Reference'!$A$5:$A$25,0)),"(no FX)")</t>
  </si>
  <si>
    <t xml:space="preserve">param.target_eur_to_irr_override_optional</t>
  </si>
  <si>
    <t xml:space="preserve">I7</t>
  </si>
  <si>
    <t xml:space="preserve">param.target_eur_to_irr_used</t>
  </si>
  <si>
    <t xml:space="preserve">I8</t>
  </si>
  <si>
    <t xml:space="preserve">=IF(ISNUMBER(I7),I7,I6)</t>
  </si>
  <si>
    <t xml:space="preserve">param.target_usd_to_irr_auto</t>
  </si>
  <si>
    <t xml:space="preserve">I9</t>
  </si>
  <si>
    <t xml:space="preserve">=IFERROR(INDEX(tbl_fx[USD → IRR],MATCH(I5,tbl_fx[Jalali Year],0)),"(no FX)")</t>
  </si>
  <si>
    <t xml:space="preserve">=IFERROR(INDEX('Assumptions &amp; FX Reference'!$B$5:$B$25,MATCH(I5,'Assumptions &amp; FX Reference'!$A$5:$A$25,0)),"(no FX)")</t>
  </si>
  <si>
    <t xml:space="preserve">param.target_usd_to_irr_override_optional</t>
  </si>
  <si>
    <t xml:space="preserve">I10</t>
  </si>
  <si>
    <t xml:space="preserve">param.target_usd_to_irr_used</t>
  </si>
  <si>
    <t xml:space="preserve">I11</t>
  </si>
  <si>
    <t xml:space="preserve">=IF(ISNUMBER(I10),I10,I9)</t>
  </si>
  <si>
    <t xml:space="preserve">param.ppi_target_year_c28_13_ea20</t>
  </si>
  <si>
    <t xml:space="preserve">I12</t>
  </si>
  <si>
    <t xml:space="preserve">=IFERROR(IF(N(INDEX(tbl_index[PPI C28.13 EA20 (2021=100), Jalali-year blend],MATCH(I5,tbl_index[Jalali Year],0)))&gt;0,INDEX(tbl_index[PPI C28.13 EA20 (2021=100), Jalali-year blend],MATCH(I5,tbl_index[Jalali Year],0)),"(PPI not entered)"),"(PPI not entered)")</t>
  </si>
  <si>
    <t xml:space="preserve">=IFERROR(IF(N(INDEX(Escalation_Index!$B$5:$B$25,MATCH(I5,Escalation_Index!$A$5:$A$25,0)))&gt;0,INDEX(Escalation_Index!$B$5:$B$25,MATCH(I5,Escalation_Index!$A$5:$A$25,0)),"(PPI not entered)"),"(PPI not entered)")</t>
  </si>
  <si>
    <t xml:space="preserve">param.price_floor_eur_api_610_centrifugal_class_s_d</t>
  </si>
  <si>
    <t xml:space="preserve">I13</t>
  </si>
  <si>
    <t xml:space="preserve">param.floor_base_year</t>
  </si>
  <si>
    <t xml:space="preserve">I14</t>
  </si>
  <si>
    <t xml:space="preserve">param.ppi_of_floor_base_year</t>
  </si>
  <si>
    <t xml:space="preserve">I15</t>
  </si>
  <si>
    <t xml:space="preserve">=IFERROR(IF(N(INDEX(tbl_index[PPI C28.13 EA20 (2021=100), Jalali-year blend],MATCH(I14,tbl_index[Jalali Year],0)))&gt;0,INDEX(tbl_index[PPI C28.13 EA20 (2021=100), Jalali-year blend],MATCH(I14,tbl_index[Jalali Year],0)),"(PPI not entered)"),"(PPI not entered)")</t>
  </si>
  <si>
    <t xml:space="preserve">=IFERROR(IF(N(INDEX(Escalation_Index!$B$5:$B$25,MATCH(I14,Escalation_Index!$A$5:$A$25,0)))&gt;0,INDEX(Escalation_Index!$B$5:$B$25,MATCH(I14,Escalation_Index!$A$5:$A$25,0)),"(PPI not entered)"),"(PPI not entered)")</t>
  </si>
  <si>
    <t xml:space="preserve">param.cost_capacity_exponent_n_price_kw_pow_n</t>
  </si>
  <si>
    <t xml:space="preserve">I16</t>
  </si>
  <si>
    <t xml:space="preserve">param.pump_efficiency_for_estimated_kw</t>
  </si>
  <si>
    <t xml:space="preserve">I17</t>
  </si>
  <si>
    <t xml:space="preserve">CALC_SPEC – منطق محاسبات به ترتیب اجرا (مستقل از Excel)</t>
  </si>
  <si>
    <t xml:space="preserve">نماد: [field_key] = فیلد همان رکورد؛ tbl_x[col] = ستون جدول؛ param[key] = پارامتر Assumptions. فرمول دقیق Excel هر ستون در Data_Dictionary[formula_template].</t>
  </si>
  <si>
    <t xml:space="preserve">step</t>
  </si>
  <si>
    <t xml:space="preserve">name</t>
  </si>
  <si>
    <t xml:space="preserve">expression</t>
  </si>
  <si>
    <t xml:space="preserve">note_fa</t>
  </si>
  <si>
    <t xml:space="preserve">FX-1</t>
  </si>
  <si>
    <t xml:space="preserve">Rates of a Jalali year</t>
  </si>
  <si>
    <t xml:space="preserve">Master</t>
  </si>
  <si>
    <t xml:space="preserve">rate_eur(y) = tbl_fx[EUR → IRR] where tbl_fx[Jalali Year]=y ; rate_usd(y) = tbl_fx[USD → IRR] ; 1405: USD = EUR/1.1</t>
  </si>
  <si>
    <t xml:space="preserve">نرخ‌ها از جدول FX خود بانک؛ نرخ پروژه‌ها فقط در Evidence (FX_conversion) آمده</t>
  </si>
  <si>
    <t xml:space="preserve">FX-2</t>
  </si>
  <si>
    <t xml:space="preserve">Source-year EUR</t>
  </si>
  <si>
    <t xml:space="preserve">[unit_price_eur_source_yr] = price if cur="EUR"; price/rate_eur(y) if "IRR"; price*rate_usd(y)/rate_eur(y) if "USD"; null if price or year missing
  price=[unit_price_reference], cur=[reference_currency], y=[cost_year_jalali]</t>
  </si>
  <si>
    <t xml:space="preserve">همین منطق برای USD و IRR سال منبع (ارز مقصد = همان ارز → خود قیمت)</t>
  </si>
  <si>
    <t xml:space="preserve">FX-3</t>
  </si>
  <si>
    <t xml:space="preserve">Target rates</t>
  </si>
  <si>
    <t xml:space="preserve">Global</t>
  </si>
  <si>
    <t xml:space="preserve">eur_t = param[target_eur_to_irr_override_optional] if number else rate_eur(param[target_year]) ; usd_t idem</t>
  </si>
  <si>
    <t xml:space="preserve">نرخ روز اختیاری بر نرخ جدول مقدم است</t>
  </si>
  <si>
    <t xml:space="preserve">IDX-1</t>
  </si>
  <si>
    <t xml:space="preserve">Jalali blend of a Gregorian index</t>
  </si>
  <si>
    <t xml:space="preserve">idx_j(Y) = 0.79*idx_g(Y+621) + 0.21*idx_g(Y+622) ; null if either missing</t>
  </si>
  <si>
    <t xml:space="preserve">۷۹٪ فروردین تا دی در سال میلادی Y+621</t>
  </si>
  <si>
    <t xml:space="preserve">FAC-1</t>
  </si>
  <si>
    <t xml:space="preserve">Factor lookup</t>
  </si>
  <si>
    <t xml:space="preserve">Master/Estimator</t>
  </si>
  <si>
    <t xml:space="preserve">factor(GROUP, option) = tbl_factors[Used Factor] where tbl_factors[Key] = GROUP &amp; "|" &amp; option ; default 1 ; Used = Calibrated if number else Provisional</t>
  </si>
  <si>
    <t xml:space="preserve">ضریب ناموجود = ۱ (خنثی)</t>
  </si>
  <si>
    <t xml:space="preserve">SIZ-1</t>
  </si>
  <si>
    <t xml:space="preserve">[size_driver_kw_est] = [power_kw] if number else [capacity_m3_h]*[diff_head_m]/(367*param[pump_efficiency_for_estimated_kw])</t>
  </si>
  <si>
    <t xml:space="preserve">SG=1</t>
  </si>
  <si>
    <t xml:space="preserve">STD-1</t>
  </si>
  <si>
    <t xml:space="preserve">Standards text</t>
  </si>
  <si>
    <t xml:space="preserve">[standards] = join(" + ", [pump_standard≠"Not stated", ips_standard≠"None", "NACE MR0175" if nace="Y"]) or "Not stated"</t>
  </si>
  <si>
    <t xml:space="preserve">FAC-2</t>
  </si>
  <si>
    <t xml:space="preserve">Factor groups</t>
  </si>
  <si>
    <t xml:space="preserve">MAT_F=factor(MAT,material) ; SEAL_F=factor(SEAL_ARR)*factor(SEAL_CAT)*factor(SEAL_PLAN) ; DRIVE_F=factor(DRV)*factor(NACE) ; SCOPE_F=Π factor(SC_DRV,SC_BSP,SC_SEAL,SC_COMM,SC_2Y,SC_TPI,SC_FAT) ; ALL_F = MAT_F*SEAL_F*DRIVE_F*SCOPE_F</t>
  </si>
  <si>
    <t xml:space="preserve">NRM-1</t>
  </si>
  <si>
    <t xml:space="preserve">Normalized EUR</t>
  </si>
  <si>
    <t xml:space="preserve">[normalized_eur_base_config_source_yr] = [unit_price_eur_source_yr] / [all_f]</t>
  </si>
  <si>
    <t xml:space="preserve">قیمت معادل پیکربندی پایه</t>
  </si>
  <si>
    <t xml:space="preserve">IDX-2</t>
  </si>
  <si>
    <t xml:space="preserve">PPI base / target</t>
  </si>
  <si>
    <t xml:space="preserve">[ppi_base] = tbl_index[PPI…] at cost_year ; [ppi_target] = param[ppi_target_year_c28_13_ea20]</t>
  </si>
  <si>
    <t xml:space="preserve">Eurostat C28.13 EA20</t>
  </si>
  <si>
    <t xml:space="preserve">ESC-0</t>
  </si>
  <si>
    <t xml:space="preserve">Floor applies</t>
  </si>
  <si>
    <t xml:space="preserve">[floor_applies] = "Y" if pump_standard="API 610" and pump_family starts "Centrifugal" and material class starts "S-" or "D-"</t>
  </si>
  <si>
    <t xml:space="preserve">ESC-1</t>
  </si>
  <si>
    <t xml:space="preserve">[escalated_unit_price_eur_target_yr] = null if cur="EUR" and price&gt;5,000,000 (check currency) ; else EUR*PPI_t/PPI_b ; if floor applies: MAX(that, param[price_floor_eur_api_610_centrifugal_class_s_d]*PPI_t/param[ppi_of_floor_base_year])</t>
  </si>
  <si>
    <t xml:space="preserve">کف ۲۵٬۰۰۰ یورو ۱۴۰۴</t>
  </si>
  <si>
    <t xml:space="preserve">ESC-2</t>
  </si>
  <si>
    <t xml:space="preserve">Escalated USD / IRR</t>
  </si>
  <si>
    <t xml:space="preserve">[escalated_unit_price_usd_target_yr] = EscE*eur_t/usd_t ; [escalated_unit_price_irr_target_yr] = EscE*eur_t</t>
  </si>
  <si>
    <t xml:space="preserve">NRM-2</t>
  </si>
  <si>
    <t xml:space="preserve">Normalized escalated EUR</t>
  </si>
  <si>
    <t xml:space="preserve">[normalized_escalated_eur] = [escalated_unit_price_eur_target_yr] / [all_f]</t>
  </si>
  <si>
    <t xml:space="preserve">مبنای ضرایب هزینه</t>
  </si>
  <si>
    <t xml:space="preserve">COEF-1</t>
  </si>
  <si>
    <t xml:space="preserve">Cost coefficient</t>
  </si>
  <si>
    <t xml:space="preserve">[cost_coefficient_normesc_eur_kw_pow_n] = NEsc / size_kw ^ param[cost_capacity_exponent_n_price_kw_pow_n]</t>
  </si>
  <si>
    <t xml:space="preserve">EST-1</t>
  </si>
  <si>
    <t xml:space="preserve">Estimator peers</t>
  </si>
  <si>
    <t xml:space="preserve">peers = records with coef&gt;0, include="Y", pump_family = input family, pump_standard = input standard, sub_category = input (only if "Match"=Y)</t>
  </si>
  <si>
    <t xml:space="preserve">EST-2</t>
  </si>
  <si>
    <t xml:space="preserve">Estimator size &amp; factors</t>
  </si>
  <si>
    <t xml:space="preserve">kW = input power or Q*H/(367*η) ; MAT/SEAL/DRIVE/SCOPE/ALL_F from inputs via FAC-1</t>
  </si>
  <si>
    <t xml:space="preserve">EST-3</t>
  </si>
  <si>
    <t xml:space="preserve">Estimator price</t>
  </si>
  <si>
    <t xml:space="preserve">unit EUR (expected/low/high) = coef(avg/min/max of peers) * kW^n * ALL_F ; if floor applies: MAX(…, floor_t) ; USD = EUR*eur_t/usd_t ; IRR = EUR*eur_t ; total = IRR*quantity</t>
  </si>
  <si>
    <t xml:space="preserve">ID-1</t>
  </si>
  <si>
    <t xml:space="preserve">[record_id] = "PMP-" &amp; TEXT([row_no],"0000")</t>
  </si>
  <si>
    <t xml:space="preserve">DSH-1</t>
  </si>
  <si>
    <t xml:space="preserve">Dashboard counts</t>
  </si>
  <si>
    <t xml:space="preserve">Dashboard</t>
  </si>
  <si>
    <t xml:space="preserve">count records where include_in_totals="Y" per sub_category; % = count(field stated)/count</t>
  </si>
  <si>
    <t xml:space="preserve">هیچ جمع ارزشی در داشبورد نیست</t>
  </si>
  <si>
    <t xml:space="preserve">SRC-1</t>
  </si>
  <si>
    <t xml:space="preserve">record passes if every filter is "(All)"/blank or equals the field; text = substring of equipment_name &amp; " " &amp; tag_no (case-insensitive); ranges min ≤ x ≤ max; summary MIN/AVG/MAX of escalated EUR over passing rows</t>
  </si>
  <si>
    <t xml:space="preserve">EVIDENCE – شاهد و وضعیت مقادیر (معادل جدولی رنگ‌ها و Noteهای Master)</t>
  </si>
  <si>
    <t xml:space="preserve">status: Source = از منبع با آدرس؛ Inferred = استنباطی (زرد)؛ Derived = محاسبه‌شده از داده منبع (زرد)؛ FX_conversion = نرخ پروژه متفاوت (آبی)؛ Info = توضیح کد/گزینه.</t>
  </si>
  <si>
    <t xml:space="preserve">status</t>
  </si>
  <si>
    <t xml:space="preserve">note</t>
  </si>
  <si>
    <t xml:space="preserve">PMP-0001</t>
  </si>
  <si>
    <t xml:space="preserve">Info</t>
  </si>
  <si>
    <t xml:space="preserve">ROT-CRU = Crude Oil &amp; Main Transfer Pumps
پمپ‌های نفت خام: انتقال نفت شور و نمک‌زدایی‌شده، Booster، Off-spec و انتقال اصلی</t>
  </si>
  <si>
    <t xml:space="preserve">Not stated – —:
نوع پمپ در منبع ذکر نشده</t>
  </si>
  <si>
    <t xml:space="preserve">کلاس متریال در منبع ذکر نشده است.</t>
  </si>
  <si>
    <t xml:space="preserve">Source</t>
  </si>
  <si>
    <t xml:space="preserve">SOURCE – 18061405_Pump_only_CSV.csv line 5, column "Head (m)"</t>
  </si>
  <si>
    <t xml:space="preserve">SOURCE – 18061405_Pump_only_CSV.csv line 5, column "Driver Type" = E</t>
  </si>
  <si>
    <t xml:space="preserve">شرط تحویل: در منبع ذکر نشده.
این قیمت = «Price ($)» فایل CSV (قیمت خرید). هزینه گمرک و حمل جداگانه آمده و در این قیمت نیست: 14,400 دلار (CSV سطر 5، ستون J).</t>
  </si>
  <si>
    <t xml:space="preserve">PMP-0002</t>
  </si>
  <si>
    <t xml:space="preserve">SOURCE – 18061405_Pump_only_CSV.csv line 6, column "Head (m)"</t>
  </si>
  <si>
    <t xml:space="preserve">SOURCE – 18061405_Pump_only_CSV.csv line 6, column "Driver Type" = E</t>
  </si>
  <si>
    <t xml:space="preserve">شرط تحویل: در منبع ذکر نشده.
این قیمت = «Price ($)» فایل CSV (قیمت خرید). هزینه گمرک و حمل جداگانه آمده و در این قیمت نیست: 16,800 دلار (CSV سطر 6، ستون J).</t>
  </si>
  <si>
    <t xml:space="preserve">PMP-0003</t>
  </si>
  <si>
    <t xml:space="preserve">SOURCE – 18061405_Pump_only_CSV.csv line 7, column "Head (m)"</t>
  </si>
  <si>
    <t xml:space="preserve">SOURCE – 18061405_Pump_only_CSV.csv line 7, column "Driver Type" = E</t>
  </si>
  <si>
    <t xml:space="preserve">شرط تحویل: در منبع ذکر نشده.
این قیمت = «Price ($)» فایل CSV (قیمت خرید). هزینه گمرک و حمل جداگانه آمده و در این قیمت نیست: 15,000 دلار (CSV سطر 7، ستون J).</t>
  </si>
  <si>
    <t xml:space="preserve">PMP-0004</t>
  </si>
  <si>
    <t xml:space="preserve">SOURCE – 18061405_Pump_only_CSV.csv line 8, column "Head (m)"</t>
  </si>
  <si>
    <t xml:space="preserve">SOURCE – 18061405_Pump_only_CSV.csv line 8, column "Driver Type" = E</t>
  </si>
  <si>
    <t xml:space="preserve">شرط تحویل: در منبع ذکر نشده.
این قیمت = «Price ($)» فایل CSV (قیمت خرید). هزینه گمرک و حمل جداگانه آمده و در این قیمت نیست: 25,200 دلار (CSV سطر 8، ستون J).</t>
  </si>
  <si>
    <t xml:space="preserve">PMP-0005</t>
  </si>
  <si>
    <t xml:space="preserve">SOURCE – 18061405_Pump_only_CSV.csv line 9, column "Head (m)"</t>
  </si>
  <si>
    <t xml:space="preserve">SOURCE – 18061405_Pump_only_CSV.csv line 9, column "Driver Type" = E</t>
  </si>
  <si>
    <t xml:space="preserve">شرط تحویل: در منبع ذکر نشده.
این قیمت = «Price ($)» فایل CSV (قیمت خرید). هزینه گمرک و حمل جداگانه آمده و در این قیمت نیست: 4,500 دلار (CSV سطر 9، ستون J).</t>
  </si>
  <si>
    <t xml:space="preserve">PMP-0006</t>
  </si>
  <si>
    <t xml:space="preserve">ROT-WAT = Desalting &amp; Process Water Pumps
آب فرآیندی واحد: آب رقیق‌سازی، Recycle دیسالتر، آب هوازدایی‌شده، آب شیرین و آب خنک‌کن</t>
  </si>
  <si>
    <t xml:space="preserve">SOURCE – 18061405_Pump_only_CSV.csv line 10, column "Head (m)"</t>
  </si>
  <si>
    <t xml:space="preserve">SOURCE – 18061405_Pump_only_CSV.csv line 10, column "Driver Type" = E</t>
  </si>
  <si>
    <t xml:space="preserve">شرط تحویل: در منبع ذکر نشده.
این قیمت = «Price ($)» فایل CSV (قیمت خرید). هزینه گمرک و حمل جداگانه آمده و در این قیمت نیست: 3,600 دلار (CSV سطر 10، ستون J).</t>
  </si>
  <si>
    <t xml:space="preserve">PMP-0007</t>
  </si>
  <si>
    <t xml:space="preserve">SOURCE – 18061405_Pump_only_CSV.csv line 11, column "Head (m)"</t>
  </si>
  <si>
    <t xml:space="preserve">SOURCE – 18061405_Pump_only_CSV.csv line 11, column "Driver Type" = E</t>
  </si>
  <si>
    <t xml:space="preserve">شرط تحویل: در منبع ذکر نشده.
این قیمت = «Price ($)» فایل CSV (قیمت خرید). هزینه گمرک و حمل جداگانه آمده و در این قیمت نیست: 3,600 دلار (CSV سطر 11، ستون J).</t>
  </si>
  <si>
    <t xml:space="preserve">PMP-0008</t>
  </si>
  <si>
    <t xml:space="preserve">ROT-INJ = Produced Water &amp; Disposal Injection Pumps
آب تولیدی و پساب: Booster و پمپ‌های پرفشار تزریق به چاه دفعی</t>
  </si>
  <si>
    <t xml:space="preserve">SOURCE – 18061405_Pump_only_CSV.csv line 12, column "Head (m)"</t>
  </si>
  <si>
    <t xml:space="preserve">SOURCE – 18061405_Pump_only_CSV.csv line 12, column "Driver Type" = E</t>
  </si>
  <si>
    <t xml:space="preserve">شرط تحویل: در منبع ذکر نشده.
این قیمت = «Price ($)» فایل CSV (قیمت خرید). هزینه گمرک و حمل جداگانه آمده و در این قیمت نیست: 24,600 دلار (CSV سطر 12، ستون J).</t>
  </si>
  <si>
    <t xml:space="preserve">PMP-0009</t>
  </si>
  <si>
    <t xml:space="preserve">ROT-WAT = Desalting &amp; Process Water Pumps
آب فرآیندی واحد: آب رقیق‌سازی، Recycle دیسالتر، آب هوازدایی‌شده، آب شیرین و آب خنک‌کن
—
Reclassified 1405-07: ROT-DRN → ROT-WAT (service-based classification; approved)</t>
  </si>
  <si>
    <t xml:space="preserve">SOURCE – 18061405_Pump_only_CSV.csv line 13, column "Head (m)"</t>
  </si>
  <si>
    <t xml:space="preserve">SOURCE – 18061405_Pump_only_CSV.csv line 13, column "Driver Type" = E</t>
  </si>
  <si>
    <t xml:space="preserve">شرط تحویل: در منبع ذکر نشده.
این قیمت = «Price ($)» فایل CSV (قیمت خرید). هزینه گمرک و حمل جداگانه آمده و در این قیمت نیست: 480 دلار (CSV سطر 13، ستون J).</t>
  </si>
  <si>
    <t xml:space="preserve">PMP-0010</t>
  </si>
  <si>
    <t xml:space="preserve">ROT-DRN = Drainage, Flare &amp; OWS Pumps
درین بسته و باز، Flare KO Drum، جداکننده آب و نفت (OWS)، نفت بازیافتی و لجن</t>
  </si>
  <si>
    <t xml:space="preserve">SOURCE – 18061405_Pump_only_CSV.csv line 14, column "Head (m)"</t>
  </si>
  <si>
    <t xml:space="preserve">SOURCE – 18061405_Pump_only_CSV.csv line 14, column "Driver Type" = E</t>
  </si>
  <si>
    <t xml:space="preserve">شرط تحویل: در منبع ذکر نشده.
این قیمت = «Price ($)» فایل CSV (قیمت خرید). هزینه گمرک و حمل جداگانه آمده و در این قیمت نیست: 2,400 دلار (CSV سطر 14، ستون J).</t>
  </si>
  <si>
    <t xml:space="preserve">PMP-0011</t>
  </si>
  <si>
    <t xml:space="preserve">ROT-AUX = Chemical, Fuel &amp; Auxiliary Pumps
پمپ‌های جانبی: مواد شیمیایی، گلایکول، گازوئیل و سوخت</t>
  </si>
  <si>
    <t xml:space="preserve">N/A (non-API 610) – Not an API 610 pump:
پمپ طبق API 610 نیست (ISO 5199، NFPA 20، JIS، پمپ جابه‌جایی مثبت یا پرتابل)؛ طبقه‌بندی API 610 کاربرد ندارد</t>
  </si>
  <si>
    <t xml:space="preserve">SOURCE – 18061405_Pump_only_CSV.csv line 15, column "Head (m)"</t>
  </si>
  <si>
    <t xml:space="preserve">SOURCE – 18061405_Pump_only_CSV.csv line 15, column "Driver Type" = E</t>
  </si>
  <si>
    <t xml:space="preserve">شرط تحویل: در منبع ذکر نشده.
این قیمت = «Price ($)» فایل CSV (قیمت خرید). هزینه گمرک و حمل جداگانه آمده و در این قیمت نیست: 300 دلار (CSV سطر 15، ستون J).</t>
  </si>
  <si>
    <t xml:space="preserve">PMP-0012</t>
  </si>
  <si>
    <t xml:space="preserve">SOURCE – 18061405_Pump_only_CSV.csv line 16, column "Head (m)"</t>
  </si>
  <si>
    <t xml:space="preserve">SOURCE – 18061405_Pump_only_CSV.csv line 16, column "Driver Type" = E</t>
  </si>
  <si>
    <t xml:space="preserve">شرط تحویل: در منبع ذکر نشده.
این قیمت = «Price ($)» فایل CSV (قیمت خرید). هزینه گمرک و حمل جداگانه آمده و در این قیمت نیست: 180 دلار (CSV سطر 16، ستون J).</t>
  </si>
  <si>
    <t xml:space="preserve">PMP-0013</t>
  </si>
  <si>
    <t xml:space="preserve">SOURCE – 18061405_Pump_only_CSV.csv line 17, column "Head (m)"</t>
  </si>
  <si>
    <t xml:space="preserve">SOURCE – 18061405_Pump_only_CSV.csv line 17, column "Driver Type" = E</t>
  </si>
  <si>
    <t xml:space="preserve">شرط تحویل: در منبع ذکر نشده.
این قیمت = «Price ($)» فایل CSV (قیمت خرید). هزینه گمرک و حمل جداگانه آمده و در این قیمت نیست: 180 دلار (CSV سطر 17، ستون J).</t>
  </si>
  <si>
    <t xml:space="preserve">PMP-0014</t>
  </si>
  <si>
    <t xml:space="preserve">SOURCE – 18061405_Pump_only_CSV.csv line 18, column "Head (m)"</t>
  </si>
  <si>
    <t xml:space="preserve">SOURCE – 18061405_Pump_only_CSV.csv line 18, column "Driver Type" = E</t>
  </si>
  <si>
    <t xml:space="preserve">شرط تحویل: در منبع ذکر نشده.
این قیمت = «Price ($)» فایل CSV (قیمت خرید). هزینه گمرک و حمل جداگانه آمده و در این قیمت نیست: 2,400 دلار (CSV سطر 18، ستون J).</t>
  </si>
  <si>
    <t xml:space="preserve">PMP-0015</t>
  </si>
  <si>
    <t xml:space="preserve">PEP-Rev.140205 P.ME gives only flow / pressure / kW – no design standard stated (previous bank had "API 610 / IPS", unsupported)</t>
  </si>
  <si>
    <t xml:space="preserve">Inferred</t>
  </si>
  <si>
    <t xml:space="preserve">INFERRED – نوع محرک در منبع ذکر نشده؛ موتور برقی فرض شده است (P.ME فقط توان kW را داده است)</t>
  </si>
  <si>
    <t xml:space="preserve">INFERRED – source does not state pump type; "Centrifugal (assumed)" carried from previous bank</t>
  </si>
  <si>
    <t xml:space="preserve">PEP P.ME: pressure given as "bar" – discharge / differential / design not specified</t>
  </si>
  <si>
    <t xml:space="preserve">INFERRED – PEP-Rev.140205 Gachsaran 4 PEP Rev.1402/05: IRR value is built with USD_Change_IRR = 420,000 ('basic data' B2 = 'Procurement' G1 'ارز مرجع'), i.e. the 1402 rate; base year of the EUR figure itself is not stated → 1402 assumed (previous bank had 1399 – not supported by the file)</t>
  </si>
  <si>
    <t xml:space="preserve">SOURCE – PEP-Rev.140205 Gachsaran 4 P.ME H11: formula =ROUND(385000*per_Euro*USD_Change_IRR,-3) → base price is EUR (IRR value is only a conversion at per_Euro 1.085 × 420,000)</t>
  </si>
  <si>
    <t xml:space="preserve">SOURCE – PEP-Rev.140205 Gachsaran 4 P.ME H11: EUR constant inside the formula</t>
  </si>
  <si>
    <t xml:space="preserve">FX_conversion</t>
  </si>
  <si>
    <t xml:space="preserve">نرخ پروژه: در فایل PEP-Rev.140205 گچساران ۴ (P.ME H11) قیمت با نرخ یورو 455,692 ریال (= ۴۲۰٬۰۰۰ ریال/دلار × ۱٫۰۸۵) برابر 175,441,330,000 ریال بوده است. این سلول با نرخ جدول FX بانک (سال ۱۴۰۲) محاسبه شده است.</t>
  </si>
  <si>
    <t xml:space="preserve">شرط تحویل: EXW (استنباطی).
این قیمت = «هزینه واحد بدون ضریب» شیت P.ME سند PEP گچساران (Rev.1402/05).
این قیمت شامل نیست (هر کدام سطر جداگانه دارند): حمل هر قلم (P.ME ستون N)، یدکی راه‌اندازی و دو ساله (Procurement D49)، بیمه ۱٪ (D51)، بارگیری و حمل ۳٪ (D52)، بازرسی شخص ثالث ۱٪ (D53)، خدمات فنی سازنده در نصب ۳٪ (D54)، بالاسری پروژه (EPC Summary، ستون «با اعمال سربار»)، نصب و مالیات.</t>
  </si>
  <si>
    <t xml:space="preserve">INFERRED – PEP-Rev.140205 Gachsaran 4 'Procurement' rows 49–54: spares (commissioning + 2-yr) D49, insurance D51, transport D52, TPI D53 and vendor site services D54 are separate lines on top of the P.ME unit prices; P.ME column N (حمل) carries transport per item</t>
  </si>
  <si>
    <t xml:space="preserve">PMP-0016</t>
  </si>
  <si>
    <t xml:space="preserve">SOURCE – PEP-Rev.140205 Gachsaran 4 P.ME H12: formula =ROUND(135000*per_Euro*USD_Change_IRR,-3) → base price is EUR (IRR value is only a conversion at per_Euro 1.085 × 420,000)</t>
  </si>
  <si>
    <t xml:space="preserve">SOURCE – PEP-Rev.140205 Gachsaran 4 P.ME H12: EUR constant inside the formula</t>
  </si>
  <si>
    <t xml:space="preserve">نرخ پروژه: در فایل PEP-Rev.140205 گچساران ۴ (P.ME H12) قیمت با نرخ یورو 455,692 ریال (= ۴۲۰٬۰۰۰ ریال/دلار × ۱٫۰۸۵) برابر 61,518,388,000 ریال بوده است. این سلول با نرخ جدول FX بانک (سال ۱۴۰۲) محاسبه شده است.</t>
  </si>
  <si>
    <t xml:space="preserve">PMP-0017</t>
  </si>
  <si>
    <t xml:space="preserve">SOURCE – PEP-Rev.140205 Gachsaran 4 P.ME H13: formula =ROUND(140000*per_Euro*USD_Change_IRR,-3) → base price is EUR (IRR value is only a conversion at per_Euro 1.085 × 420,000)</t>
  </si>
  <si>
    <t xml:space="preserve">SOURCE – PEP-Rev.140205 Gachsaran 4 P.ME H13: EUR constant inside the formula</t>
  </si>
  <si>
    <t xml:space="preserve">نرخ پروژه: در فایل PEP-Rev.140205 گچساران ۴ (P.ME H13) قیمت با نرخ یورو 455,692 ریال (= ۴۲۰٬۰۰۰ ریال/دلار × ۱٫۰۸۵) برابر 63,796,847,232 ریال بوده است. این سلول با نرخ جدول FX بانک (سال ۱۴۰۲) محاسبه شده است.</t>
  </si>
  <si>
    <t xml:space="preserve">PMP-0018</t>
  </si>
  <si>
    <t xml:space="preserve">SOURCE – PEP-Rev.140205 Gachsaran 4 P.ME H14: formula =ROUND(34000*per_Euro*USD_Change_IRR,-3) → base price is EUR (IRR value is only a conversion at per_Euro 1.085 × 420,000)</t>
  </si>
  <si>
    <t xml:space="preserve">SOURCE – PEP-Rev.140205 Gachsaran 4 P.ME H14: EUR constant inside the formula</t>
  </si>
  <si>
    <t xml:space="preserve">نرخ پروژه: در فایل PEP-Rev.140205 گچساران ۴ (P.ME H14) قیمت با نرخ یورو 455,692 ریال (= ۴۲۰٬۰۰۰ ریال/دلار × ۱٫۰۸۵) برابر 15,493,520,000 ریال بوده است. این سلول با نرخ جدول FX بانک (سال ۱۴۰۲) محاسبه شده است.</t>
  </si>
  <si>
    <t xml:space="preserve">PMP-0019</t>
  </si>
  <si>
    <t xml:space="preserve">SOURCE – PEP-Rev.140205 Gachsaran 4 P.ME H17: formula =ROUND(29000*per_Euro*USD_Change_IRR,-3) → base price is EUR (IRR value is only a conversion at per_Euro 1.085 × 420,000)</t>
  </si>
  <si>
    <t xml:space="preserve">SOURCE – PEP-Rev.140205 Gachsaran 4 P.ME H17: EUR constant inside the formula</t>
  </si>
  <si>
    <t xml:space="preserve">نرخ پروژه: در فایل PEP-Rev.140205 گچساران ۴ (P.ME H17) قیمت با نرخ یورو 455,692 ریال (= ۴۲۰٬۰۰۰ ریال/دلار × ۱٫۰۸۵) برابر 13,215,061,212 ریال بوده است. این سلول با نرخ جدول FX بانک (سال ۱۴۰۲) محاسبه شده است.</t>
  </si>
  <si>
    <t xml:space="preserve">PMP-0020</t>
  </si>
  <si>
    <t xml:space="preserve">SOURCE – PEP-Rev.140205 Gachsaran 4 P.ME H18: formula =ROUND(27500*per_Euro*USD_Change_IRR,-3) → base price is EUR (IRR value is only a conversion at per_Euro 1.085 × 420,000)</t>
  </si>
  <si>
    <t xml:space="preserve">SOURCE – PEP-Rev.140205 Gachsaran 4 P.ME H18: EUR constant inside the formula</t>
  </si>
  <si>
    <t xml:space="preserve">نرخ پروژه: در فایل PEP-Rev.140205 گچساران ۴ (P.ME H18) قیمت با نرخ یورو 455,692 ریال (= ۴۲۰٬۰۰۰ ریال/دلار × ۱٫۰۸۵) برابر 12,531,523,563 ریال بوده است. این سلول با نرخ جدول FX بانک (سال ۱۴۰۲) محاسبه شده است.</t>
  </si>
  <si>
    <t xml:space="preserve">PMP-0021</t>
  </si>
  <si>
    <t xml:space="preserve">SOURCE – PEP-Rev.140205 Gachsaran 4 P.ME H20: formula =ROUND(15000*per_Euro*USD_Change_IRR,-3) → base price is EUR (IRR value is only a conversion at per_Euro 1.085 × 420,000)</t>
  </si>
  <si>
    <t xml:space="preserve">SOURCE – PEP-Rev.140205 Gachsaran 4 P.ME H20: EUR constant inside the formula</t>
  </si>
  <si>
    <t xml:space="preserve">نرخ پروژه: در فایل PEP-Rev.140205 گچساران ۴ (P.ME H20) قیمت با نرخ یورو 455,692 ریال (= ۴۲۰٬۰۰۰ ریال/دلار × ۱٫۰۸۵) برابر 6,835,376,489 ریال بوده است. این سلول با نرخ جدول FX بانک (سال ۱۴۰۲) محاسبه شده است.</t>
  </si>
  <si>
    <t xml:space="preserve">PMP-0022</t>
  </si>
  <si>
    <t xml:space="preserve">SOURCE – PEP-Rev.140205 Gachsaran 4 P.ME H21: formula =ROUND(17000*per_Euro*USD_Change_IRR,-3) → base price is EUR (IRR value is only a conversion at per_Euro 1.085 × 420,000)</t>
  </si>
  <si>
    <t xml:space="preserve">SOURCE – PEP-Rev.140205 Gachsaran 4 P.ME H21: EUR constant inside the formula</t>
  </si>
  <si>
    <t xml:space="preserve">نرخ پروژه: در فایل PEP-Rev.140205 گچساران ۴ (P.ME H21) قیمت با نرخ یورو 455,692 ریال (= ۴۲۰٬۰۰۰ ریال/دلار × ۱٫۰۸۵) برابر 7,746,760,021 ریال بوده است. این سلول با نرخ جدول FX بانک (سال ۱۴۰۲) محاسبه شده است.</t>
  </si>
  <si>
    <t xml:space="preserve">PMP-0023</t>
  </si>
  <si>
    <t xml:space="preserve">SOURCE – PEP-Rev.140205 Gachsaran 4 P.ME H23: formula =ROUND(11000*per_Euro*USD_Change_IRR,-3) → base price is EUR (IRR value is only a conversion at per_Euro 1.085 × 420,000)</t>
  </si>
  <si>
    <t xml:space="preserve">SOURCE – PEP-Rev.140205 Gachsaran 4 P.ME H23: EUR constant inside the formula</t>
  </si>
  <si>
    <t xml:space="preserve">نرخ پروژه: در فایل PEP-Rev.140205 گچساران ۴ (P.ME H23) قیمت با نرخ یورو 455,692 ریال (= ۴۲۰٬۰۰۰ ریال/دلار × ۱٫۰۸۵) برابر 5,012,609,000 ریال بوده است. این سلول با نرخ جدول FX بانک (سال ۱۴۰۲) محاسبه شده است.</t>
  </si>
  <si>
    <t xml:space="preserve">PMP-0024</t>
  </si>
  <si>
    <t xml:space="preserve">SOURCE – PEP-Rev.140205 Gachsaran 4 P.ME H24: formula =ROUND(430000*per_Euro*USD_Change_IRR,-3) → base price is EUR (IRR value is only a conversion at per_Euro 1.085 × 420,000)</t>
  </si>
  <si>
    <t xml:space="preserve">SOURCE – PEP-Rev.140205 Gachsaran 4 P.ME H24: EUR constant inside the formula</t>
  </si>
  <si>
    <t xml:space="preserve">نرخ پروژه: در فایل PEP-Rev.140205 گچساران ۴ (P.ME H24) قیمت با نرخ یورو 455,692 ریال (= ۴۲۰٬۰۰۰ ریال/دلار × ۱٫۰۸۵) برابر 195,947,459,000 ریال بوده است. این سلول با نرخ جدول FX بانک (سال ۱۴۰۲) محاسبه شده است.</t>
  </si>
  <si>
    <t xml:space="preserve">PMP-0025</t>
  </si>
  <si>
    <t xml:space="preserve">SOURCE – PEP-Rev.140205 Gachsaran 4 P.ME H25: formula =ROUND(285000*per_Euro*USD_Change_IRR,-3) → base price is EUR (IRR value is only a conversion at per_Euro 1.085 × 420,000)</t>
  </si>
  <si>
    <t xml:space="preserve">SOURCE – PEP-Rev.140205 Gachsaran 4 P.ME H25: EUR constant inside the formula</t>
  </si>
  <si>
    <t xml:space="preserve">نرخ پروژه: در فایل PEP-Rev.140205 گچساران ۴ (P.ME H25) قیمت با نرخ یورو 455,692 ریال (= ۴۲۰٬۰۰۰ ریال/دلار × ۱٫۰۸۵) برابر 129,872,153,000 ریال بوده است. این سلول با نرخ جدول FX بانک (سال ۱۴۰۲) محاسبه شده است.</t>
  </si>
  <si>
    <t xml:space="preserve">PMP-0026</t>
  </si>
  <si>
    <t xml:space="preserve">ROT-AUX = Chemical, Fuel &amp; Auxiliary Pumps
پمپ‌های جانبی: مواد شیمیایی، گلایکول، گازوئیل و سوخت
—
Reclassified 1405-07: ROT-INJ → ROT-AUX (service-based classification; approved)</t>
  </si>
  <si>
    <t xml:space="preserve">SOURCE – PEP-Rev.140205 Gachsaran 4 P.ME H36: formula =ROUND(9000*per_Euro*USD_Change_IRR,-3) → base price is EUR (IRR value is only a conversion at per_Euro 1.085 × 420,000)</t>
  </si>
  <si>
    <t xml:space="preserve">SOURCE – PEP-Rev.140205 Gachsaran 4 P.ME H36: EUR constant inside the formula</t>
  </si>
  <si>
    <t xml:space="preserve">نرخ پروژه: در فایل PEP-Rev.140205 گچساران ۴ (P.ME H36) قیمت با نرخ یورو 455,692 ریال (= ۴۲۰٬۰۰۰ ریال/دلار × ۱٫۰۸۵) برابر 4,101,226,000 ریال بوده است. این سلول با نرخ جدول FX بانک (سال ۱۴۰۲) محاسبه شده است.</t>
  </si>
  <si>
    <t xml:space="preserve">PMP-0027</t>
  </si>
  <si>
    <t xml:space="preserve">SOURCE – PEP-Rev.140205 Gachsaran 4 P.ME H46: formula =ROUND(28000*per_Euro*USD_Change_IRR,-3) → base price is EUR (IRR value is only a conversion at per_Euro 1.085 × 420,000)</t>
  </si>
  <si>
    <t xml:space="preserve">SOURCE – PEP-Rev.140205 Gachsaran 4 P.ME H46: EUR constant inside the formula</t>
  </si>
  <si>
    <t xml:space="preserve">نرخ پروژه: در فایل PEP-Rev.140205 گچساران ۴ (P.ME H46) قیمت با نرخ یورو 455,692 ریال (= ۴۲۰٬۰۰۰ ریال/دلار × ۱٫۰۸۵) برابر 12,759,369,000 ریال بوده است. این سلول با نرخ جدول FX بانک (سال ۱۴۰۲) محاسبه شده است.</t>
  </si>
  <si>
    <t xml:space="preserve">PMP-0028</t>
  </si>
  <si>
    <t xml:space="preserve">SOURCE – PEP-Rev.140205 Gachsaran 4 P.ME H50: formula =ROUND(53000*per_Euro*USD_Change_IRR,-3) → base price is EUR (IRR value is only a conversion at per_Euro 1.085 × 420,000)</t>
  </si>
  <si>
    <t xml:space="preserve">SOURCE – PEP-Rev.140205 Gachsaran 4 P.ME H50: EUR constant inside the formula</t>
  </si>
  <si>
    <t xml:space="preserve">نرخ پروژه: در فایل PEP-Rev.140205 گچساران ۴ (P.ME H50) قیمت با نرخ یورو 455,692 ریال (= ۴۲۰٬۰۰۰ ریال/دلار × ۱٫۰۸۵) برابر 24,151,664,000 ریال بوده است. این سلول با نرخ جدول FX بانک (سال ۱۴۰۲) محاسبه شده است.</t>
  </si>
  <si>
    <t xml:space="preserve">PMP-0029</t>
  </si>
  <si>
    <t xml:space="preserve">SOURCE – PEP-Rev.140205 Gachsaran 4 P.ME H51: formula =ROUND(53000*per_Euro*USD_Change_IRR,-3) → base price is EUR (IRR value is only a conversion at per_Euro 1.085 × 420,000)</t>
  </si>
  <si>
    <t xml:space="preserve">SOURCE – PEP-Rev.140205 Gachsaran 4 P.ME H51: EUR constant inside the formula</t>
  </si>
  <si>
    <t xml:space="preserve">نرخ پروژه: در فایل PEP-Rev.140205 گچساران ۴ (P.ME H51) قیمت با نرخ یورو 455,692 ریال (= ۴۲۰٬۰۰۰ ریال/دلار × ۱٫۰۸۵) برابر 24,151,664,000 ریال بوده است. این سلول با نرخ جدول FX بانک (سال ۱۴۰۲) محاسبه شده است.</t>
  </si>
  <si>
    <t xml:space="preserve">PMP-0030</t>
  </si>
  <si>
    <t xml:space="preserve">SOURCE – PEP-Rev.140205 Gachsaran 4 P.ME H53: formula =ROUND(29000*per_Euro*USD_Change_IRR,-3) → base price is EUR (IRR value is only a conversion at per_Euro 1.085 × 420,000)</t>
  </si>
  <si>
    <t xml:space="preserve">SOURCE – PEP-Rev.140205 Gachsaran 4 P.ME H53: EUR constant inside the formula</t>
  </si>
  <si>
    <t xml:space="preserve">نرخ پروژه: در فایل PEP-Rev.140205 گچساران ۴ (P.ME H53) قیمت با نرخ یورو 455,692 ریال (= ۴۲۰٬۰۰۰ ریال/دلار × ۱٫۰۸۵) برابر 13,215,061,000 ریال بوده است. این سلول با نرخ جدول FX بانک (سال ۱۴۰۲) محاسبه شده است.</t>
  </si>
  <si>
    <t xml:space="preserve">PMP-0031</t>
  </si>
  <si>
    <t xml:space="preserve">SOURCE – PEP-Rev.140205 Gachsaran 4 P.ME H54: formula =ROUND(35000*per_Euro*USD_Change_IRR,-3) → base price is EUR (IRR value is only a conversion at per_Euro 1.085 × 420,000)</t>
  </si>
  <si>
    <t xml:space="preserve">SOURCE – PEP-Rev.140205 Gachsaran 4 P.ME H54: EUR constant inside the formula</t>
  </si>
  <si>
    <t xml:space="preserve">نرخ پروژه: در فایل PEP-Rev.140205 گچساران ۴ (P.ME H54) قیمت با نرخ یورو 455,692 ریال (= ۴۲۰٬۰۰۰ ریال/دلار × ۱٫۰۸۵) برابر 15,949,212,000 ریال بوده است. این سلول با نرخ جدول FX بانک (سال ۱۴۰۲) محاسبه شده است.</t>
  </si>
  <si>
    <t xml:space="preserve">PMP-0032</t>
  </si>
  <si>
    <t xml:space="preserve">SOURCE – PEP-Rev.140205 Gachsaran 4 P.ME H55: formula =ROUND(13350*per_Euro*USD_Change_IRR,-3) → base price is EUR (IRR value is only a conversion at per_Euro 1.085 × 420,000)</t>
  </si>
  <si>
    <t xml:space="preserve">SOURCE – PEP-Rev.140205 Gachsaran 4 P.ME H55: EUR constant inside the formula</t>
  </si>
  <si>
    <t xml:space="preserve">نرخ پروژه: در فایل PEP-Rev.140205 گچساران ۴ (P.ME H55) قیمت با نرخ یورو 455,692 ریال (= ۴۲۰٬۰۰۰ ریال/دلار × ۱٫۰۸۵) برابر 6,083,485,000 ریال بوده است. این سلول با نرخ جدول FX بانک (سال ۱۴۰۲) محاسبه شده است.</t>
  </si>
  <si>
    <t xml:space="preserve">PMP-0033</t>
  </si>
  <si>
    <t xml:space="preserve">ROT-DRN = Drainage, Flare &amp; OWS Pumps
درین بسته و باز، Flare KO Drum، جداکننده آب و نفت (OWS)، نفت بازیافتی و لجن
—
Reclassified 1405-07: ROT-CRU → ROT-DRN (service-based classification; approved)</t>
  </si>
  <si>
    <t xml:space="preserve">SOURCE – PEP-Rev.140205 Gachsaran 4 P.ME H57: formula =ROUND(31000*per_Euro*USD_Change_IRR,-3) → base price is EUR (IRR value is only a conversion at per_Euro 1.085 × 420,000)</t>
  </si>
  <si>
    <t xml:space="preserve">SOURCE – PEP-Rev.140205 Gachsaran 4 P.ME H57: EUR constant inside the formula</t>
  </si>
  <si>
    <t xml:space="preserve">نرخ پروژه: در فایل PEP-Rev.140205 گچساران ۴ (P.ME H57) قیمت با نرخ یورو 455,692 ریال (= ۴۲۰٬۰۰۰ ریال/دلار × ۱٫۰۸۵) برابر 14,126,445,000 ریال بوده است. این سلول با نرخ جدول FX بانک (سال ۱۴۰۲) محاسبه شده است.</t>
  </si>
  <si>
    <t xml:space="preserve">PMP-0034</t>
  </si>
  <si>
    <t xml:space="preserve">SOURCE – PEP-Rev.140205 Gachsaran 4 P.ME H58: formula =ROUND(28000*per_Euro*USD_Change_IRR,-3) → base price is EUR (IRR value is only a conversion at per_Euro 1.085 × 420,000)</t>
  </si>
  <si>
    <t xml:space="preserve">SOURCE – PEP-Rev.140205 Gachsaran 4 P.ME H58: EUR constant inside the formula</t>
  </si>
  <si>
    <t xml:space="preserve">نرخ پروژه: در فایل PEP-Rev.140205 گچساران ۴ (P.ME H58) قیمت با نرخ یورو 455,692 ریال (= ۴۲۰٬۰۰۰ ریال/دلار × ۱٫۰۸۵) برابر 12,759,369,000 ریال بوده است. این سلول با نرخ جدول FX بانک (سال ۱۴۰۲) محاسبه شده است.</t>
  </si>
  <si>
    <t xml:space="preserve">PMP-0035</t>
  </si>
  <si>
    <t xml:space="preserve">INFERRED – نوع محرک در منبع ذکر نشده؛ موتور برقی فرض شده است (P.ME فقط توان kW را داده است) (P-801 پمپ گازوئیل است، نه پمپ دیزلی؛ مقدار قبلی Diesel Engine اشتباه بود)</t>
  </si>
  <si>
    <t xml:space="preserve">SOURCE – PEP-Rev.140205 Gachsaran 4 P.ME H60: formula =ROUND(13500*per_Euro*USD_Change_IRR,-3) → base price is EUR (IRR value is only a conversion at per_Euro 1.085 × 420,000)</t>
  </si>
  <si>
    <t xml:space="preserve">SOURCE – PEP-Rev.140205 Gachsaran 4 P.ME H60: EUR constant inside the formula</t>
  </si>
  <si>
    <t xml:space="preserve">نرخ پروژه: در فایل PEP-Rev.140205 گچساران ۴ (P.ME H60) قیمت با نرخ یورو 455,692 ریال (= ۴۲۰٬۰۰۰ ریال/دلار × ۱٫۰۸۵) برابر 6,151,839,000 ریال بوده است. این سلول با نرخ جدول FX بانک (سال ۱۴۰۲) محاسبه شده است.</t>
  </si>
  <si>
    <t xml:space="preserve">PMP-0036</t>
  </si>
  <si>
    <t xml:space="preserve">ROT-FIR = Firewater &amp; Safety Pumps
آتش‌نشانی: پمپ اصلی برقی و دیزلی، Jockey و بارگیری آب آتش‌نشانی</t>
  </si>
  <si>
    <t xml:space="preserve">SOURCE – equipment name states electric motor driven</t>
  </si>
  <si>
    <t xml:space="preserve">INFERRED – PEP-Rev.140205 Gachsaran 4 P.ME H61: IRR constant (no formula) in PEP Rev.1402/05 → 1402 assumed (previous bank had 1399 – not supported by the file)</t>
  </si>
  <si>
    <t xml:space="preserve">PMP-0037</t>
  </si>
  <si>
    <t xml:space="preserve">SOURCE – equipment name states diesel engine driven</t>
  </si>
  <si>
    <t xml:space="preserve">INFERRED – PEP-Rev.140205 Gachsaran 4 P.ME H62: IRR constant (no formula) in PEP Rev.1402/05 → 1402 assumed (previous bank had 1399 – not supported by the file)</t>
  </si>
  <si>
    <t xml:space="preserve">PMP-0038</t>
  </si>
  <si>
    <t xml:space="preserve">INFERRED – PEP-Rev.140205 Gachsaran 4 P.ME H63: IRR constant (no formula) in PEP Rev.1402/05 → 1402 assumed (previous bank had 1399 – not supported by the file)</t>
  </si>
  <si>
    <t xml:space="preserve">PMP-0039</t>
  </si>
  <si>
    <t xml:space="preserve">SOURCE – PEP-Rev.140205 Gachsaran 4 P.ME H64: formula =ROUND(17500*per_Euro*USD_Change_IRR,-3) → base price is EUR (IRR value is only a conversion at per_Euro 1.085 × 420,000)</t>
  </si>
  <si>
    <t xml:space="preserve">SOURCE – PEP-Rev.140205 Gachsaran 4 P.ME H64: EUR constant inside the formula</t>
  </si>
  <si>
    <t xml:space="preserve">نرخ پروژه: در فایل PEP-Rev.140205 گچساران ۴ (P.ME H64) قیمت با نرخ یورو 455,692 ریال (= ۴۲۰٬۰۰۰ ریال/دلار × ۱٫۰۸۵) برابر 7,974,606,000 ریال بوده است. این سلول با نرخ جدول FX بانک (سال ۱۴۰۲) محاسبه شده است.</t>
  </si>
  <si>
    <t xml:space="preserve">PMP-0040</t>
  </si>
  <si>
    <t xml:space="preserve">SOURCE – PEP-Rev.140205 Gachsaran 4 P.ME H68: formula =ROUND(19500*per_Euro*USD_Change_IRR,-3) → base price is EUR (IRR value is only a conversion at per_Euro 1.085 × 420,000)</t>
  </si>
  <si>
    <t xml:space="preserve">SOURCE – PEP-Rev.140205 Gachsaran 4 P.ME H68: EUR constant inside the formula</t>
  </si>
  <si>
    <t xml:space="preserve">نرخ پروژه: در فایل PEP-Rev.140205 گچساران ۴ (P.ME H68) قیمت با نرخ یورو 455,692 ریال (= ۴۲۰٬۰۰۰ ریال/دلار × ۱٫۰۸۵) برابر 8,885,989,000 ریال بوده است. این سلول با نرخ جدول FX بانک (سال ۱۴۰۲) محاسبه شده است.</t>
  </si>
  <si>
    <t xml:space="preserve">PMP-0041</t>
  </si>
  <si>
    <t xml:space="preserve">OH2 – Overhung, centreline-mounted:
یک‌مرحله‌ای Overhung با نصب روی خط مرکز؛ رایج‌ترین پمپ فرآیندی پالایشگاهی و تحمل دمای بالا</t>
  </si>
  <si>
    <t xml:space="preserve">D-1: بدنه داپلکس، پروانه داپلکس؛ رینگ با روکش سخت؛ شفت داپلکس.
کاربرد معمول: آب شور و آب تولیدی دارای کلراید.
(خلاصه جدول H.1 استاندارد API 610؛ انتخاب نهایی طبق Annex H/G)</t>
  </si>
  <si>
    <t xml:space="preserve">SOURCE – design code line "&amp; IPS-G-PM-105" in the project item description</t>
  </si>
  <si>
    <t xml:space="preserve">INFERRED – KPL-476 R03 PUMPS-A (1) F19:F26: no "NACE MR-0175" line anywhere in Asmari (-A) or Common (-C) sheets, while the document states it item-by-item for the Bangestan train (12 "-B" sheets) → N</t>
  </si>
  <si>
    <t xml:space="preserve">INFERRED – نوع محرک در منبع ذکر نشده؛ موتور برقی فرض شده است</t>
  </si>
  <si>
    <t xml:space="preserve">INFERRED – سال قیمت در KPL-476 صریح نیست. Cover: R00 = JUN 2014 (۱۳۹۳)، R03 = JAN 2016 (دی ۱۳۹۴)؛ برآورد نصب بر پایه «فهرست بهای نفت سال ۹۳» (INS-PUMP) → ۱۳۹۳ فرض شد. اگر ۱۳۹۴ باشد اثر بر قیمت تعدیل‌شده حدود ۰٫۸٪ است.</t>
  </si>
  <si>
    <t xml:space="preserve">شرط تحویل: FOB (استنباطی).
این قیمت شامل: قیمت فروشنده برای پمپ طبق قلم MTO.
این قیمت شامل نیست (در گزارش KPL-476، شیت TOTAL (2) سلول A29 جداگانه با ضریب بالاسری ×۱٫۵۸ اضافه شده): هزینه بانکی ۲٪، بیمه ۰٫۴٪، بازرسی و حمل ۳٪، ترخیص گمرکی ۲۵٪، هزینه‌های دفتری ۰٫۵٪، سود پیمانکار ۱۰٪، عدم قطعیت طراحی پایه ۱۰٪. همچنین نصب (شیت‌های INS) و مالیات بر ارزش افزوده در این قیمت نیست.</t>
  </si>
  <si>
    <t xml:space="preserve">INFERRED – KPL-476 R03 TOTAL (2) A29: inspection cost carried in overhead factor, not in vendor unit price</t>
  </si>
  <si>
    <t xml:space="preserve">PMP-0042</t>
  </si>
  <si>
    <t xml:space="preserve">ROT-CRU = Crude Oil &amp; Main Transfer Pumps
پمپ‌های نفت خام: انتقال نفت شور و نمک‌زدایی‌شده، Booster، Off-spec و انتقال اصلی
—
Reclassified 1405-07: ROT-INJ → ROT-CRU (service-based classification; approved)</t>
  </si>
  <si>
    <t xml:space="preserve">INFERRED – KPL-476 R03 PUMPS-A (1) F27:F34: no "NACE MR-0175" line anywhere in Asmari (-A) or Common (-C) sheets, while the document states it item-by-item for the Bangestan train (12 "-B" sheets) → N</t>
  </si>
  <si>
    <t xml:space="preserve">PMP-0043</t>
  </si>
  <si>
    <t xml:space="preserve">SOURCE – design code line "&amp; IPS-M-PM-140" in the project item description</t>
  </si>
  <si>
    <t xml:space="preserve">INFERRED – KPL-476 R03 PUMPS-A (1) F35:F41: no "NACE MR-0175" line anywhere in Asmari (-A) or Common (-C) sheets, while the document states it item-by-item for the Bangestan train (12 "-B" sheets) → N</t>
  </si>
  <si>
    <t xml:space="preserve">PMP-0044</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</si>
  <si>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t>
  </si>
  <si>
    <t xml:space="preserve">INFERRED – KPL-476 R03 PUMPS-A (1) F42:F49: no "NACE MR-0175" line anywhere in Asmari (-A) or Common (-C) sheets, while the document states it item-by-item for the Bangestan train (12 "-B" sheets) → N</t>
  </si>
  <si>
    <t xml:space="preserve">PMP-0045</t>
  </si>
  <si>
    <t xml:space="preserve">BB3 – Between bearings, multistage, axially split:
چندمرحله‌ای، بدنه دوتکه افقی؛ تزریق آب و انتقال پرفشار</t>
  </si>
  <si>
    <t xml:space="preserve">INFERRED – KPL-476 R03 PUMPS-A (2) F19:F26: no "NACE MR-0175" line anywhere in Asmari (-A) or Common (-C) sheets, while the document states it item-by-item for the Bangestan train (12 "-B" sheets) → N</t>
  </si>
  <si>
    <t xml:space="preserve">PMP-0046</t>
  </si>
  <si>
    <t xml:space="preserve">INFERRED – KPL-476 R03 PUMPS-A (2) F27:F34: no "NACE MR-0175" line anywhere in Asmari (-A) or Common (-C) sheets, while the document states it item-by-item for the Bangestan train (12 "-B" sheets) → N</t>
  </si>
  <si>
    <t xml:space="preserve">PMP-0047</t>
  </si>
  <si>
    <t xml:space="preserve">S-5: بدنه فولاد کربنی، پروانه فولاد کربنی؛ رینگ کروم ۱۲٪ سخت‌شده؛ شفت AISI 4140.
کاربرد معمول: هیدروکربن عمومی و داغ.
(خلاصه جدول H.1 استاندارد API 610؛ انتخاب نهایی طبق Annex H/G)</t>
  </si>
  <si>
    <t xml:space="preserve">INFERRED – KPL-476 R03 PUMPS-A (2) F35:F42: no "NACE MR-0175" line anywhere in Asmari (-A) or Common (-C) sheets, while the document states it item-by-item for the Bangestan train (12 "-B" sheets) → N</t>
  </si>
  <si>
    <t xml:space="preserve">PMP-0048</t>
  </si>
  <si>
    <t xml:space="preserve">INFERRED – KPL-476 R03 PUMPS-A (2) F43:F50: no "NACE MR-0175" line anywhere in Asmari (-A) or Common (-C) sheets, while the document states it item-by-item for the Bangestan train (12 "-B" sheets) → N</t>
  </si>
  <si>
    <t xml:space="preserve">PMP-0049</t>
  </si>
  <si>
    <t xml:space="preserve">S-6: بدنه فولاد کربنی، پروانه کروم ۱۲٪؛ رینگ کروم ۱۲٪ سخت‌شده؛ شفت کروم ۱۲٪.
کاربرد معمول: هیدروکربن داغ، آب ترش و خوردگی ملایم.
(خلاصه جدول H.1 استاندارد API 610؛ انتخاب نهایی طبق Annex H/G)</t>
  </si>
  <si>
    <t xml:space="preserve">INFERRED – KPL-476 R03 PUMPS-A (3) F19:F26: no "NACE MR-0175" line anywhere in Asmari (-A) or Common (-C) sheets, while the document states it item-by-item for the Bangestan train (12 "-B" sheets) → N</t>
  </si>
  <si>
    <t xml:space="preserve">PMP-0050</t>
  </si>
  <si>
    <t xml:space="preserve">INFERRED – KPL-476 R03 PUMPS-A (3) F27:F33: no "NACE MR-0175" line anywhere in Asmari (-A) or Common (-C) sheets, while the document states it item-by-item for the Bangestan train (12 "-B" sheets) → N</t>
  </si>
  <si>
    <t xml:space="preserve">PMP-0051</t>
  </si>
  <si>
    <t xml:space="preserve">INFERRED – KPL-476 R03 PUMPS-A (3) F34:F41: no "NACE MR-0175" line anywhere in Asmari (-A) or Common (-C) sheets, while the document states it item-by-item for the Bangestan train (12 "-B" sheets) → N</t>
  </si>
  <si>
    <t xml:space="preserve">PMP-0052</t>
  </si>
  <si>
    <t xml:space="preserve">INFERRED – KPL-476 R03 PUMPS-A (3) F42:F49: no "NACE MR-0175" line anywhere in Asmari (-A) or Common (-C) sheets, while the document states it item-by-item for the Bangestan train (12 "-B" sheets) → N</t>
  </si>
  <si>
    <t xml:space="preserve">PMP-0053</t>
  </si>
  <si>
    <t xml:space="preserve">OH2 – Overhung, centreline-mounted:
یک‌مرحله‌ای Overhung با نصب روی خط مرکز؛ رایج‌ترین پمپ فرآیندی پالایشگاهی و تحمل دمای بالا
—
SOURCE – KPL-476 R03 DESALTERS-A F32</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</si>
  <si>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
—
SOURCE – KPL-476 R03 DESALTERS-A F35</t>
  </si>
  <si>
    <t xml:space="preserve">SOURCE – KPL-476 R03 DESALTERS-A F33: Pumps Rated Flow 21 m3/hr</t>
  </si>
  <si>
    <t xml:space="preserve">INFERRED – KPL-476 R03 DESALTERS-A F34: Differential Pressure 4.4 barg → head ≈ 4.4×10.2 m (SG 1.0 assumed)</t>
  </si>
  <si>
    <t xml:space="preserve">INFERRED – KPL-476 R03 DESALTERS-A F19:F37: no "NACE MR-0175" line anywhere in Asmari (-A) or Common (-C) sheets, while the document states it item-by-item for the Bangestan train (12 "-B" sheets) → N</t>
  </si>
  <si>
    <t xml:space="preserve">Not stated – منبع عددی برای این فیلد ندارد (مقدار قبلی «(Not stated)»؛ دلیل در Price Basis / Remarks / QA Flag).</t>
  </si>
  <si>
    <t xml:space="preserve">قیمت جداگانه ندارد؛ این پمپ داخل قیمت پکیج آمده است (Remarks). شرط تحویل همان پکیج (FOB، با ضریب ×۱٫۵۸ جداگانه).</t>
  </si>
  <si>
    <t xml:space="preserve">PMP-0054</t>
  </si>
  <si>
    <t xml:space="preserve">OH2 – Overhung, centreline-mounted:
یک‌مرحله‌ای Overhung با نصب روی خط مرکز؛ رایج‌ترین پمپ فرآیندی پالایشگاهی و تحمل دمای بالا
—
SOURCE – KPL-476 R03 IWWTP-A (1) F32:F36</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</si>
  <si>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
—
SOURCE – KPL-476 R03 IWWTP-A (1) F32:F36</t>
  </si>
  <si>
    <t xml:space="preserve">SOURCE – KPL-476 R03 IWWTP-A (1) F32:F36</t>
  </si>
  <si>
    <t xml:space="preserve">SOURCE – KPL-476 IWWTP-A (1) F35:F36: design code line "&amp; IPS-G-PM-105"</t>
  </si>
  <si>
    <t xml:space="preserve">INFERRED – KPL-476 R03 IWWTP-A (1) F32:F36: no "NACE MR-0175" line anywhere in Asmari (-A) or Common (-C) sheets, while the document states it item-by-item for the Bangestan train (12 "-B" sheets) → N</t>
  </si>
  <si>
    <t xml:space="preserve">PMP-0055</t>
  </si>
  <si>
    <t xml:space="preserve">OH2 – Overhung, centreline-mounted:
یک‌مرحله‌ای Overhung با نصب روی خط مرکز؛ رایج‌ترین پمپ فرآیندی پالایشگاهی و تحمل دمای بالا
—
SOURCE – KPL-476 R03 IWWTP-A (1) F37:F41</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</si>
  <si>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
—
SOURCE – KPL-476 R03 IWWTP-A (1) F37:F41</t>
  </si>
  <si>
    <t xml:space="preserve">SOURCE – KPL-476 R03 IWWTP-A (1) F37:F41</t>
  </si>
  <si>
    <t xml:space="preserve">SOURCE – KPL-476 IWWTP-A (1) F40:F41: design code line "&amp; IPS-G-PM-105"</t>
  </si>
  <si>
    <t xml:space="preserve">INFERRED – KPL-476 R03 IWWTP-A (1) F37:F41: no "NACE MR-0175" line anywhere in Asmari (-A) or Common (-C) sheets, while the document states it item-by-item for the Bangestan train (12 "-B" sheets) → N</t>
  </si>
  <si>
    <t xml:space="preserve">PMP-0056</t>
  </si>
  <si>
    <t xml:space="preserve">PMP-0057</t>
  </si>
  <si>
    <t xml:space="preserve">N/A (non-API 610) – Not an API 610 pump:
پمپ طبق API 610 نیست (ISO 5199، NFPA 20، JIS، پمپ جابه‌جایی مثبت یا پرتابل)؛ طبقه‌بندی API 610 کاربرد ندارد
—
SOURCE – KPL-476 R03 IWWTP-A (1) F42:F46</t>
  </si>
  <si>
    <t xml:space="preserve">D-1: بدنه داپلکس، پروانه داپلکس؛ رینگ با روکش سخت؛ شفت داپلکس.
کاربرد معمول: آب شور و آب تولیدی دارای کلراید.
(خلاصه جدول H.1 استاندارد API 610؛ انتخاب نهایی طبق Annex H/G)
—
SOURCE – KPL-476 R03 IWWTP-A (1) F42:F46</t>
  </si>
  <si>
    <t xml:space="preserve">SOURCE – KPL-476 R03 IWWTP-A (1) F42:F46</t>
  </si>
  <si>
    <t xml:space="preserve">SOURCE – KPL-476 IWWTP-A (1) F45:F46: design code line "&amp; IPS-M-PM-140"</t>
  </si>
  <si>
    <t xml:space="preserve">INFERRED – KPL-476 R03 IWWTP-A (1) F42:F46: no "NACE MR-0175" line anywhere in Asmari (-A) or Common (-C) sheets, while the document states it item-by-item for the Bangestan train (12 "-B" sheets) → N</t>
  </si>
  <si>
    <t xml:space="preserve">PMP-0058</t>
  </si>
  <si>
    <t xml:space="preserve">N/A (non-API 610) – Not an API 610 pump:
پمپ طبق API 610 نیست (ISO 5199، NFPA 20، JIS، پمپ جابه‌جایی مثبت یا پرتابل)؛ طبقه‌بندی API 610 کاربرد ندارد
—
SOURCE – KPL-476 R03 IWWTP-A (2) F16:F20</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</si>
  <si>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
—
SOURCE – KPL-476 R03 IWWTP-A (2) F16:F20</t>
  </si>
  <si>
    <t xml:space="preserve">SOURCE – KPL-476 R03 IWWTP-A (2) F16:F20 – NOTE: twin-screw pump stated as API 610 in source; API 676 expected – verify</t>
  </si>
  <si>
    <t xml:space="preserve">SOURCE – KPL-476 IWWTP-A (2) F19:F20: design code line "&amp; IPS-G-PM-105"</t>
  </si>
  <si>
    <t xml:space="preserve">INFERRED – KPL-476 R03 IWWTP-A (2) F16:F20: no "NACE MR-0175" line anywhere in Asmari (-A) or Common (-C) sheets, while the document states it item-by-item for the Bangestan train (12 "-B" sheets) → N</t>
  </si>
  <si>
    <t xml:space="preserve">SOURCE – KPL-476 R03 IWWTP-A (2) F16:F20</t>
  </si>
  <si>
    <t xml:space="preserve">PMP-0059</t>
  </si>
  <si>
    <t xml:space="preserve">SOURCE – KPL-476 R03 PUMPS-B F25: NACE 'MR-0175' Required: Yes</t>
  </si>
  <si>
    <t xml:space="preserve">PMP-0060</t>
  </si>
  <si>
    <t xml:space="preserve">SOURCE – KPL-476 R03 PUMPS-B F34: NACE 'MR-0175' Required: Yes</t>
  </si>
  <si>
    <t xml:space="preserve">PMP-0061</t>
  </si>
  <si>
    <t xml:space="preserve">SOURCE – KPL-476 R03 PUMPS-B F43: NACE 'MR-0175' Required: Yes</t>
  </si>
  <si>
    <t xml:space="preserve">PMP-0062</t>
  </si>
  <si>
    <t xml:space="preserve">SOURCE – KPL-476 R03 PUMPS-B (2) F24: NACE 'MR-0175' Required: Yes</t>
  </si>
  <si>
    <t xml:space="preserve">PMP-0063</t>
  </si>
  <si>
    <t xml:space="preserve">SOURCE – KPL-476 R03 PUMPS-B (2) F33: NACE 'MR-0175' Required: Yes</t>
  </si>
  <si>
    <t xml:space="preserve">PMP-0064</t>
  </si>
  <si>
    <t xml:space="preserve">SOURCE – KPL-476 R03 PUMPS-B (2) F42: NACE 'MR-0175' Required: Yes</t>
  </si>
  <si>
    <t xml:space="preserve">PMP-0065</t>
  </si>
  <si>
    <t xml:space="preserve">SOURCE – KPL-476 R03 PUMPS-B (3) F25: NACE 'MR-0175' Required: Yes</t>
  </si>
  <si>
    <t xml:space="preserve">PMP-0066</t>
  </si>
  <si>
    <t xml:space="preserve">INFERRED – KPL-476 R03 PUMPS-B (3) F28:F35: no "NACE MR-0175 Required" line in item description, while the document states it item-by-item where required → N</t>
  </si>
  <si>
    <t xml:space="preserve">PMP-0067</t>
  </si>
  <si>
    <t xml:space="preserve">INFERRED – KPL-476 R03 PUMPS-B (3) F36:F43: no "NACE MR-0175 Required" line in item description, while the document states it item-by-item where required → N</t>
  </si>
  <si>
    <t xml:space="preserve">PMP-0068</t>
  </si>
  <si>
    <t xml:space="preserve">INFERRED – KPL-476 R03 PUMPS-B (4) F19:F26: no "NACE MR-0175 Required" line in item description, while the document states it item-by-item where required → N</t>
  </si>
  <si>
    <t xml:space="preserve">PMP-0069</t>
  </si>
  <si>
    <t xml:space="preserve">SOURCE – KPL-476 R03 PUMPS-B (4) F32: NACE 'MR-0175' Required: Yes</t>
  </si>
  <si>
    <t xml:space="preserve">PMP-0070</t>
  </si>
  <si>
    <t xml:space="preserve">SOURCE – KPL-476 R03 PUMPS-B (4) F41: NACE 'MR-0175' Required: Yes</t>
  </si>
  <si>
    <t xml:space="preserve">PMP-0071</t>
  </si>
  <si>
    <t xml:space="preserve">SOURCE – KPL-476 R03 PUMPS-B (5) F25: NACE 'MR-0175' Required: Yes</t>
  </si>
  <si>
    <t xml:space="preserve">PMP-0072</t>
  </si>
  <si>
    <t xml:space="preserve">OH2 – Overhung, centreline-mounted:
یک‌مرحله‌ای Overhung با نصب روی خط مرکز؛ رایج‌ترین پمپ فرآیندی پالایشگاهی و تحمل دمای بالا
—
SOURCE – KPL-476 R03 DESALTERS-B F33</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</si>
  <si>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
—
SOURCE – KPL-476 R03 DESALTERS-B F36</t>
  </si>
  <si>
    <t xml:space="preserve">SOURCE – KPL-476 R03 DESALTERS-B F34: Pumps Rated Flow 15 m3/hr</t>
  </si>
  <si>
    <t xml:space="preserve">INFERRED – KPL-476 R03 DESALTERS-B F35: Differential Pressure 4.4 barg → head ≈ 4.4×10.2 m (SG 1.0 assumed)</t>
  </si>
  <si>
    <t xml:space="preserve">SOURCE – KPL-476 R03 DESALTERS-B F37: NACE 'MR-0175' Required: Yes</t>
  </si>
  <si>
    <t xml:space="preserve">PMP-0073</t>
  </si>
  <si>
    <t xml:space="preserve">OH2 – Overhung, centreline-mounted:
یک‌مرحله‌ای Overhung با نصب روی خط مرکز؛ رایج‌ترین پمپ فرآیندی پالایشگاهی و تحمل دمای بالا
—
SOURCE – KPL-476 R03 IWWTP-B (1) F32:F36</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</si>
  <si>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
—
SOURCE – KPL-476 R03 IWWTP-B (1) F32:F36</t>
  </si>
  <si>
    <t xml:space="preserve">SOURCE – KPL-476 R03 IWWTP-B (1) F32:F36</t>
  </si>
  <si>
    <t xml:space="preserve">SOURCE – KPL-476 IWWTP-B (1) F35:F36: design code line "&amp; IPS-G-PM-105"</t>
  </si>
  <si>
    <t xml:space="preserve">INFERRED – KPL-476 R03 IWWTP-B (1) F32:F36: no "NACE MR-0175 Required" line in item description, while the document states it item-by-item where required → N</t>
  </si>
  <si>
    <t xml:space="preserve">PMP-0074</t>
  </si>
  <si>
    <t xml:space="preserve">OH2 – Overhung, centreline-mounted:
یک‌مرحله‌ای Overhung با نصب روی خط مرکز؛ رایج‌ترین پمپ فرآیندی پالایشگاهی و تحمل دمای بالا
—
SOURCE – KPL-476 R03 IWWTP-B (1) F37:F42</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</si>
  <si>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
—
SOURCE – KPL-476 R03 IWWTP-B (1) F37:F42</t>
  </si>
  <si>
    <t xml:space="preserve">SOURCE – KPL-476 R03 IWWTP-B (1) F37:F42</t>
  </si>
  <si>
    <t xml:space="preserve">SOURCE – KPL-476 IWWTP-B (1) F41:F42: design code line "&amp; IPS-G-PM-105"</t>
  </si>
  <si>
    <t xml:space="preserve">SOURCE – KPL-476 R03 IWWTP-B (1) F37:F42: NACE 'MR-0175' Required: Yes</t>
  </si>
  <si>
    <t xml:space="preserve">PMP-0075</t>
  </si>
  <si>
    <t xml:space="preserve">PMP-0076</t>
  </si>
  <si>
    <t xml:space="preserve">N/A (non-API 610) – Not an API 610 pump:
پمپ طبق API 610 نیست (ISO 5199، NFPA 20، JIS، پمپ جابه‌جایی مثبت یا پرتابل)؛ طبقه‌بندی API 610 کاربرد ندارد
—
SOURCE – KPL-476 R03 IWWTP-B (1) F43:F47</t>
  </si>
  <si>
    <t xml:space="preserve">D-1: بدنه داپلکس، پروانه داپلکس؛ رینگ با روکش سخت؛ شفت داپلکس.
کاربرد معمول: آب شور و آب تولیدی دارای کلراید.
(خلاصه جدول H.1 استاندارد API 610؛ انتخاب نهایی طبق Annex H/G)
—
SOURCE – KPL-476 R03 IWWTP-B (1) F43:F47</t>
  </si>
  <si>
    <t xml:space="preserve">SOURCE – KPL-476 R03 IWWTP-B (1) F43:F47</t>
  </si>
  <si>
    <t xml:space="preserve">SOURCE – KPL-476 IWWTP-B (1) F46:F47: design code line "&amp; IPS-M-PM-140"</t>
  </si>
  <si>
    <t xml:space="preserve">INFERRED – KPL-476 R03 IWWTP-B (1) F43:F47: no "NACE MR-0175 Required" line in item description, while the document states it item-by-item where required → N</t>
  </si>
  <si>
    <t xml:space="preserve">PMP-0077</t>
  </si>
  <si>
    <t xml:space="preserve">N/A (non-API 610) – Not an API 610 pump:
پمپ طبق API 610 نیست (ISO 5199، NFPA 20، JIS، پمپ جابه‌جایی مثبت یا پرتابل)؛ طبقه‌بندی API 610 کاربرد ندارد
—
SOURCE – KPL-476 R03 IWWTP-B (2) F17:F21</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</si>
  <si>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
—
SOURCE – KPL-476 R03 IWWTP-B (2) F17:F21</t>
  </si>
  <si>
    <t xml:space="preserve">SOURCE – KPL-476 R03 IWWTP-B (2) F17:F21 – NOTE: twin-screw pump stated as API 610 in source; API 676 expected – verify</t>
  </si>
  <si>
    <t xml:space="preserve">SOURCE – KPL-476 IWWTP-B (2) F20:F21: design code line "&amp; IPS-G-PM-105"</t>
  </si>
  <si>
    <t xml:space="preserve">SOURCE – KPL-476 R03 IWWTP-B (2) F17:F21: NACE 'MR-0175' Required: Yes</t>
  </si>
  <si>
    <t xml:space="preserve">SOURCE – KPL-476 R03 IWWTP-B (2) F17:F21</t>
  </si>
  <si>
    <t xml:space="preserve">PMP-0078</t>
  </si>
  <si>
    <t xml:space="preserve">OH2 – Overhung, centreline-mounted:
یک‌مرحله‌ای Overhung با نصب روی خط مرکز؛ رایج‌ترین پمپ فرآیندی پالایشگاهی و تحمل دمای بالا
—
SOURCE – KPL-476 R03 STRIPPER-B F36</t>
  </si>
  <si>
    <t xml:space="preserve">D-2: بدنه سوپرداپلکس، پروانه سوپرداپلکس؛ رینگ با روکش سخت؛ شفت سوپرداپلکس.
کاربرد معمول: آب شور و تولیدی با کلراید بالا و خوردگی شدید.
(خلاصه جدول H.1 استاندارد API 610؛ انتخاب نهایی طبق Annex H/G)
—
SOURCE – KPL-476 R03 STRIPPER-B F39</t>
  </si>
  <si>
    <t xml:space="preserve">SOURCE – KPL-476 R03 STRIPPER-B F37: Pumps Rated Flow 50 m3/hr</t>
  </si>
  <si>
    <t xml:space="preserve">INFERRED – KPL-476 R03 STRIPPER-B F38: Differential Pressure 3 barg → head ≈ 3×10.2 m (SG 1.0 assumed)</t>
  </si>
  <si>
    <t xml:space="preserve">INFERRED – KPL-476 R03 STRIPPER-B F34:F41: no "NACE MR-0175 Required" line in item description, while the document states it item-by-item where required → N</t>
  </si>
  <si>
    <t xml:space="preserve">PMP-0079</t>
  </si>
  <si>
    <t xml:space="preserve">I-2: بدنه چدن، پروانه برنز؛ رینگ برنز؛ شفت فولاد کربنی.
کاربرد معمول: آب، آب آتش‌نشانی و آب شیرین.
(خلاصه جدول H.1 استاندارد API 610؛ انتخاب نهایی طبق Annex H/G)</t>
  </si>
  <si>
    <t xml:space="preserve">SOURCE – design code line "&amp; IPS-M-PM-115" in the project item description</t>
  </si>
  <si>
    <t xml:space="preserve">INFERRED – KPL-476 R03 PUMPS-C F19:F26: no "NACE MR-0175" line anywhere in Asmari (-A) or Common (-C) sheets, while the document states it item-by-item for the Bangestan train (12 "-B" sheets) → N</t>
  </si>
  <si>
    <t xml:space="preserve">PMP-0080</t>
  </si>
  <si>
    <t xml:space="preserve">INFERRED – KPL-476 R03 PUMPS-C F27:F34: no "NACE MR-0175" line anywhere in Asmari (-A) or Common (-C) sheets, while the document states it item-by-item for the Bangestan train (12 "-B" sheets) → N</t>
  </si>
  <si>
    <t xml:space="preserve">PMP-0081</t>
  </si>
  <si>
    <t xml:space="preserve">VS4 – Vertically suspended, line-shaft, separate discharge (sump):
پمپ عمودی Sump با شفت بلند و لوله خروجی جدا؛ چاهک درین و Flare KO</t>
  </si>
  <si>
    <t xml:space="preserve">INFERRED – KPL-476 R03 PUMPS-C F35:F42: no "NACE MR-0175" line anywhere in Asmari (-A) or Common (-C) sheets, while the document states it item-by-item for the Bangestan train (12 "-B" sheets) → N</t>
  </si>
  <si>
    <t xml:space="preserve">PMP-0082</t>
  </si>
  <si>
    <t xml:space="preserve">S-1: بدنه فولاد کربنی، پروانه چدن؛ رینگ چدن؛ شفت فولاد کربنی.
کاربرد معمول: هیدروکربن غیرخورنده.
(خلاصه جدول H.1 استاندارد API 610؛ انتخاب نهایی طبق Annex H/G)</t>
  </si>
  <si>
    <t xml:space="preserve">INFERRED – KPL-476 R03 PUMPS-C F43:F50: no "NACE MR-0175" line anywhere in Asmari (-A) or Common (-C) sheets, while the document states it item-by-item for the Bangestan train (12 "-B" sheets) → N</t>
  </si>
  <si>
    <t xml:space="preserve">PMP-0083</t>
  </si>
  <si>
    <t xml:space="preserve">INFERRED – KPL-476 R03 PUMPS-C (2) F19:F26: no "NACE MR-0175" line anywhere in Asmari (-A) or Common (-C) sheets, while the document states it item-by-item for the Bangestan train (12 "-B" sheets) → N</t>
  </si>
  <si>
    <t xml:space="preserve">PMP-0084</t>
  </si>
  <si>
    <t xml:space="preserve">BB (unspecified) – Between bearings – subtype not stated:
منبع فقط «Between Bearings» گفته و زیرنوع API را مشخص نکرده
—
SOURCE – KPL-476 PUMPS-C (2) F28:F29 / F37:F38: "Horizontal, Impeller Between Bearings Design"</t>
  </si>
  <si>
    <t xml:space="preserve">SOURCE – design code line "&amp; IPS-M-PM-125" in the project item description</t>
  </si>
  <si>
    <t xml:space="preserve">INFERRED – KPL-476 R03 PUMPS-C (2) F27:F35: no "NACE MR-0175" line anywhere in Asmari (-A) or Common (-C) sheets, while the document states it item-by-item for the Bangestan train (12 "-B" sheets) → N</t>
  </si>
  <si>
    <t xml:space="preserve">PMP-0085</t>
  </si>
  <si>
    <t xml:space="preserve">INFERRED – KPL-476 R03 PUMPS-C (2) F36:F44: no "NACE MR-0175" line anywhere in Asmari (-A) or Common (-C) sheets, while the document states it item-by-item for the Bangestan train (12 "-B" sheets) → N</t>
  </si>
  <si>
    <t xml:space="preserve">PMP-0086</t>
  </si>
  <si>
    <t xml:space="preserve">OH (unspecified) – Overhung – subtype not stated:
منبع فقط «Overhung» گفته و زیرنوع API را مشخص نکرده
—
SOURCE – KPL-476 PUMPS-C (3) F20:F21: "Horizontal, Overhung Impeller Design"</t>
  </si>
  <si>
    <t xml:space="preserve">INFERRED – KPL-476 R03 PUMPS-C (3) F19:F27: no "NACE MR-0175" line anywhere in Asmari (-A) or Common (-C) sheets, while the document states it item-by-item for the Bangestan train (12 "-B" sheets) → N</t>
  </si>
  <si>
    <t xml:space="preserve">PMP-0087</t>
  </si>
  <si>
    <t xml:space="preserve">INFERRED – KPL-476 R03 PUMPS-C (3) F28:F35: no "NACE MR-0175" line anywhere in Asmari (-A) or Common (-C) sheets, while the document states it item-by-item for the Bangestan train (12 "-B" sheets) → N</t>
  </si>
  <si>
    <t xml:space="preserve">PMP-0088</t>
  </si>
  <si>
    <t xml:space="preserve">INFERRED – KPL-476 R03 PUMPS-C (3) F46: Differential Pressure 3 bar → head ≈ 3×10.2 m (SG 1.0 assumed)</t>
  </si>
  <si>
    <t xml:space="preserve">INFERRED – KPL-476 R03 PUMPS-C (3) F41:F49: no "NACE MR-0175" line anywhere in Asmari (-A) or Common (-C) sheets, while the document states it item-by-item for the Bangestan train (12 "-B" sheets) → N</t>
  </si>
  <si>
    <t xml:space="preserve">SOURCE – KPL-476 R03 PUMPS-C (3) U41: value is in column "Unit Price (Rials)" – previous bank had EUR (error)</t>
  </si>
  <si>
    <t xml:space="preserve">شرط تحویل: EXW (استنباطی؛ خرید داخلی ریالی).
این قیمت شامل: قیمت فروشنده داخلی.
این قیمت شامل نیست (KPL-476، TOTAL (2) سلول A20 با ضریب ×۱٫۲۷): هزینه بانکی ۲٪، بیمه ۰٫۵٪، بازرسی و حمل ۲٫۵٪، هزینه‌های دفتری ۰٫۵٪، سود پیمانکار ۱۰٪، عدم قطعیت طراحی پایه ۱۰٪. نصب و مالیات هم شامل نیست.</t>
  </si>
  <si>
    <t xml:space="preserve">INFERRED – KPL-476 R03 TOTAL (2) A20: inspection cost carried in overhead factor, not in vendor unit price</t>
  </si>
  <si>
    <t xml:space="preserve">PMP-0089</t>
  </si>
  <si>
    <t xml:space="preserve">INFERRED – KPL-476 R03 PUMPS-C (4) F23: Differential Pressure 3 bar → head ≈ 3×10.2 m (SG 1.0 assumed)</t>
  </si>
  <si>
    <t xml:space="preserve">INFERRED – KPL-476 R03 PUMPS-C (4) F19:F26: no "NACE MR-0175" line anywhere in Asmari (-A) or Common (-C) sheets, while the document states it item-by-item for the Bangestan train (12 "-B" sheets) → N</t>
  </si>
  <si>
    <t xml:space="preserve">SOURCE – KPL-476 R03 PUMPS-C (4) U19: value is in column "Unit Price (Rials)" – previous bank had EUR (error)</t>
  </si>
  <si>
    <t xml:space="preserve">PMP-0090</t>
  </si>
  <si>
    <t xml:space="preserve">INFERRED – KPL-476 R03 PUMPS-A (4) F24: Differential Pressure 2 barg → head ≈ 2×10.2 m (SG 1.0 assumed)</t>
  </si>
  <si>
    <t xml:space="preserve">INFERRED – KPL-476 R03 PUMPS-A (4) F19:F26: no "NACE MR-0175" line anywhere in Asmari (-A) or Common (-C) sheets, while the document states it item-by-item for the Bangestan train (12 "-B" sheets) → N</t>
  </si>
  <si>
    <t xml:space="preserve">SOURCE – KPL-476 R03 PUMPS-A (4) F21</t>
  </si>
  <si>
    <t xml:space="preserve">PMP-0091</t>
  </si>
  <si>
    <t xml:space="preserve">INFERRED – KPL-476 R03 PUMPS-B (5) F33: Differential Pressure 2 barg → head ≈ 2×10.2 m (SG 1.0 assumed)</t>
  </si>
  <si>
    <t xml:space="preserve">INFERRED – KPL-476 R03 PUMPS-B (5) F28:F35: no "NACE MR-0175 Required" line in item description, while the document states it item-by-item where required → N</t>
  </si>
  <si>
    <t xml:space="preserve">SOURCE – KPL-476 R03 PUMPS-B (5) F30</t>
  </si>
  <si>
    <t xml:space="preserve">PMP-0092</t>
  </si>
  <si>
    <t xml:space="preserve">SS316L (non-API): بدنه فولاد ضدزنگ 316L، پروانه فولاد ضدزنگ 316L؛ —.
کاربرد معمول: ساخت غیر API (مثلاً پمپ بشکه‌ای پرتابل).
(خلاصه جدول H.1 استاندارد API 610؛ انتخاب نهایی طبق Annex H/G)</t>
  </si>
  <si>
    <t xml:space="preserve">SOURCE – KPL-476 R03 PUMPS-C (3) F38: Rated Flow 160 Lit/min = 9.6 m3/hr (previous bank had 160 m3/h – unit error)</t>
  </si>
  <si>
    <t xml:space="preserve">Source item gives type / flow / material only – no design standard (previous bank "API 610 / IPS" unsupported; a portable barrel pump is not an API 610 pump)</t>
  </si>
  <si>
    <t xml:space="preserve">INFERRED – KPL-476 R03 PUMPS-C (3) F36:F40: no "NACE MR-0175" line anywhere in Asmari (-A) or Common (-C) sheets, while the document states it item-by-item for the Bangestan train (12 "-B" sheets) → N</t>
  </si>
  <si>
    <t xml:space="preserve">SOURCE – KPL-476 R03 PUMPS-C (3) U36: value is in column "Unit Price (Rials)" – previous bank had EUR (error)</t>
  </si>
  <si>
    <t xml:space="preserve">PMP-0093</t>
  </si>
  <si>
    <t xml:space="preserve">ROT-AUX = Chemical, Fuel &amp; Auxiliary Pumps
پمپ‌های جانبی: مواد شیمیایی، گلایکول، گازوئیل و سوخت
—
Reclassified 1405-07: ROT-WAT → ROT-AUX (service-based classification; approved)</t>
  </si>
  <si>
    <t xml:space="preserve">INFERRED – KPL-476 R03 PUMPS-C (4) F27:F31: no "NACE MR-0175" line anywhere in Asmari (-A) or Common (-C) sheets, while the document states it item-by-item for the Bangestan train (12 "-B" sheets) → N</t>
  </si>
  <si>
    <t xml:space="preserve">SOURCE – KPL-476 R03 PUMPS-C (4) U27: value is in column "Unit Price (Rials)" – previous bank had EUR (error)</t>
  </si>
  <si>
    <t xml:space="preserve">PMP-0094</t>
  </si>
  <si>
    <t xml:space="preserve">VS6 – Vertically suspended, double casing, diffuser (can):
عمودی دوبدنه در قوطی (Can)؛ NPSH کم، مثل Off-spec و مایعات نزدیک نقطه جوش</t>
  </si>
  <si>
    <t xml:space="preserve">SOURCE – PC-ME 14040105 Pazanan2 PUMPS B8: NACE 'MR-0175' Required: Yes</t>
  </si>
  <si>
    <t xml:space="preserve">SOURCE – PC-ME PUMPS F7: «GOING UNIT PRICE FOB EUR 1404Q1»</t>
  </si>
  <si>
    <t xml:space="preserve">شرط تحویل: FOB (صریح؛ سرستون F7 «GOING UNIT PRICE FOB EUR 1404Q1»).
این قیمت = میانگین پیشنهادهای فروشندگان (Vendor_Quotes).
این قیمت شامل نیست: ضریب سربار تأمین کالا ×۱٫۱۸ و مالیات بر ارزش افزوده ۱۰٪ (PUMPS G30:H31)، حمل از بندر، بیمه، ترخیص و نصب. شمول یدکی و TPI در پیشنهادها مشخص نیست.</t>
  </si>
  <si>
    <t xml:space="preserve">PMP-0095</t>
  </si>
  <si>
    <t xml:space="preserve">INFERRED – PC-ME 14040105 Pazanan2 PUMPS B9: no "NACE MR-0175" line in item description, while the document states it item-by-item where required → N</t>
  </si>
  <si>
    <t xml:space="preserve">PMP-0096</t>
  </si>
  <si>
    <t xml:space="preserve">INFERRED – PC-ME 14040105 Pazanan2 PUMPS B10: no "NACE MR-0175" line in item description, while the document states it item-by-item where required → N</t>
  </si>
  <si>
    <t xml:space="preserve">PMP-0097</t>
  </si>
  <si>
    <t xml:space="preserve">INFERRED – PC-ME 14040105 Pazanan2 PUMPS B11: no "NACE MR-0175" line in item description, while the document states it item-by-item where required → N</t>
  </si>
  <si>
    <t xml:space="preserve">PMP-0098</t>
  </si>
  <si>
    <t xml:space="preserve">SOURCE – PC-ME 14040105 Pazanan2 PUMPS B12: NACE 'MR-0175' Required: Yes</t>
  </si>
  <si>
    <t xml:space="preserve">PMP-0099</t>
  </si>
  <si>
    <t xml:space="preserve">SOURCE – PC-ME 14040105 Pazanan2 PUMPS B13: NACE 'MR-0175' Required: Yes</t>
  </si>
  <si>
    <t xml:space="preserve">PMP-0100</t>
  </si>
  <si>
    <t xml:space="preserve">INFERRED – PC-ME 14040105 Pazanan2 PUMPS B14: no "NACE MR-0175" line in item description, while the document states it item-by-item where required → N</t>
  </si>
  <si>
    <t xml:space="preserve">PMP-0101</t>
  </si>
  <si>
    <t xml:space="preserve">SOURCE – PC-ME 14040105 Pazanan2 PUMPS B15: NACE 'MR-0175' Required: Yes</t>
  </si>
  <si>
    <t xml:space="preserve">PMP-0102</t>
  </si>
  <si>
    <t xml:space="preserve">INFERRED – PC-ME 14040105 Pazanan2 PUMPS B16: no "NACE MR-0175" line in item description, while the document states it item-by-item where required → N</t>
  </si>
  <si>
    <t xml:space="preserve">PMP-0103</t>
  </si>
  <si>
    <t xml:space="preserve">SOURCE – PC-ME 14040105 Pazanan2 PUMPS B17: NACE 'MR-0175' Required: Yes</t>
  </si>
  <si>
    <t xml:space="preserve">PMP-0104</t>
  </si>
  <si>
    <t xml:space="preserve">INFERRED – PC-ME 14040105 Pazanan2 PUMPS B18: no "NACE MR-0175" line in item description, while the document states it item-by-item where required → N</t>
  </si>
  <si>
    <t xml:space="preserve">PMP-0105</t>
  </si>
  <si>
    <t xml:space="preserve">SOURCE – PC-ME 14040105 Pazanan2 PUMPS B19: NACE 'MR-0175' Required: Yes</t>
  </si>
  <si>
    <t xml:space="preserve">SOURCE – PC-ME Cover D65: نسخه R02 = FEB 2015 (بهمن ۱۳۹۳)</t>
  </si>
  <si>
    <t xml:space="preserve">SOURCE – PC-ME 14040105 Pazanan2 PUMPS F19: =AR19*'[5]Basic INFO'!$C$138 – no quotation received (all declined); AR19 = R02 (1393) FOB price 25,000 EUR × 1.552</t>
  </si>
  <si>
    <t xml:space="preserve">شرط تحویل: FOB (صریح؛ سرستون AR7 «Unit Price 'FOB' (€)»، نسخه R02 فوریه ۲۰۱۵ = بهمن ۱۳۹۳).
این قیمت = قیمت واحد برآوردی R02 بدون سربار؛ حمل، بیمه، ترخیص، سربار، مالیات و نصب شامل نیست.</t>
  </si>
  <si>
    <t xml:space="preserve">PMP-0106</t>
  </si>
  <si>
    <t xml:space="preserve">SOURCE – PC-ME 14040105 Pazanan2 PUMPS B20: NACE 'MR-0175' Required: Yes</t>
  </si>
  <si>
    <t xml:space="preserve">PMP-0107</t>
  </si>
  <si>
    <t xml:space="preserve">INFERRED – PC-ME 14040105 Pazanan2 PUMPS B21: no "NACE MR-0175" line in item description, while the document states it item-by-item where required → N</t>
  </si>
  <si>
    <t xml:space="preserve">PMP-0108</t>
  </si>
  <si>
    <t xml:space="preserve">INFERRED – PC-ME 14040105 Pazanan2 PUMPS B22: no "NACE MR-0175" line in item description, while the document states it item-by-item where required → N</t>
  </si>
  <si>
    <t xml:space="preserve">PMP-0109</t>
  </si>
  <si>
    <t xml:space="preserve">INFERRED – PC-ME 14040105 Pazanan2 PUMPS B23: no "NACE MR-0175" line in item description, while the document states it item-by-item where required → N</t>
  </si>
  <si>
    <t xml:space="preserve">PMP-0110</t>
  </si>
  <si>
    <t xml:space="preserve">BB (unspecified) – Between bearings – subtype not stated:
منبع فقط «Between Bearings» گفته و زیرنوع API را مشخص نکرده</t>
  </si>
  <si>
    <t xml:space="preserve">INFERRED – PC-ME 14040105 Pazanan2 PUMPS B24: no "NACE MR-0175" line in item description, while the document states it item-by-item where required → N</t>
  </si>
  <si>
    <t xml:space="preserve">PMP-0111</t>
  </si>
  <si>
    <t xml:space="preserve">INFERRED – PC-ME 14040105 Pazanan2 PUMPS B25: no "NACE MR-0175" line in item description, while the document states it item-by-item where required → N</t>
  </si>
  <si>
    <t xml:space="preserve">PMP-0112</t>
  </si>
  <si>
    <t xml:space="preserve">OH (unspecified) – Overhung – subtype not stated:
منبع فقط «Overhung» گفته و زیرنوع API را مشخص نکرده</t>
  </si>
  <si>
    <t xml:space="preserve">INFERRED – PC-ME 14040105 Pazanan2 PUMPS B26: no "NACE MR-0175" line in item description, while the document states it item-by-item where required → N</t>
  </si>
  <si>
    <t xml:space="preserve">PMP-0113</t>
  </si>
  <si>
    <t xml:space="preserve">SOURCE – PC-ME 14040105 Pazanan2 PUMPS B27: Rated Flow 160 Lit/min = 9.6 m3/hr (previous bank had 160 m3/h – unit error)</t>
  </si>
  <si>
    <t xml:space="preserve">INFERRED – PC-ME 14040105 Pazanan2 PUMPS B27: no "NACE MR-0175" line in item description, while the document states it item-by-item where required → N</t>
  </si>
  <si>
    <t xml:space="preserve">SOURCE – PC-ME 14040105 Pazanan2 PUMPS E27: =AQ27*'[5]Basic INFO'!$E$127 – no quotation received (all declined); value is the R02 (1393) price AQ27 = 100,000,000 IRR escalated by an external factor</t>
  </si>
  <si>
    <t xml:space="preserve">شرط تحویل: در منبع ذکر نشده (قیمت ریالی R02، ستون AQ «Unit Price (Rials)»).
سربار، مالیات و نصب شامل نیست.</t>
  </si>
  <si>
    <t xml:space="preserve">PMP-0114</t>
  </si>
  <si>
    <t xml:space="preserve">SOURCE – PC-ME 14040105 Pazanan2 PUMPS B28: Rated Flow 160 Lit/min = 9.6 m3/hr (previous bank had 160 m3/h – unit error)</t>
  </si>
  <si>
    <t xml:space="preserve">INFERRED – PC-ME 14040105 Pazanan2 PUMPS B28: no "NACE MR-0175" line in item description, while the document states it item-by-item where required → N</t>
  </si>
  <si>
    <t xml:space="preserve">SOURCE – PC-ME 14040105 Pazanan2 PUMPS E28: =AQ28*'[5]Basic INFO'!$E$127 – no quotation received (all declined); value is the R02 (1393) price AQ28 = 100,000,000 IRR escalated by an external factor</t>
  </si>
  <si>
    <t xml:space="preserve">PMP-0115</t>
  </si>
  <si>
    <t xml:space="preserve">SOURCE – نمونه قیمتی، شیت PUMPS سلول F4</t>
  </si>
  <si>
    <t xml:space="preserve">SOURCE – نمونه قیمتی، شیت PUMPS سلول E4 = E</t>
  </si>
  <si>
    <t xml:space="preserve">شرط تحویل و شمول هزینه‌ها در منبع (نمونه قیمتی، شیت PUMPS ستون H «Price ($)») ذکر نشده است.</t>
  </si>
  <si>
    <t xml:space="preserve">PMP-0116</t>
  </si>
  <si>
    <t xml:space="preserve">SOURCE – نمونه قیمتی، شیت PUMPS سلول F5</t>
  </si>
  <si>
    <t xml:space="preserve">SOURCE – نمونه قیمتی، شیت PUMPS سلول E5 = E</t>
  </si>
  <si>
    <t xml:space="preserve">PMP-0117</t>
  </si>
  <si>
    <t xml:space="preserve">SOURCE – نمونه قیمتی، شیت PUMPS سلول F6</t>
  </si>
  <si>
    <t xml:space="preserve">SOURCE – نمونه قیمتی، شیت PUMPS سلول E6 = E</t>
  </si>
  <si>
    <t xml:space="preserve">PMP-0118</t>
  </si>
  <si>
    <t xml:space="preserve">SOURCE – نمونه قیمتی، شیت PUMPS سلول E7 = E</t>
  </si>
  <si>
    <t xml:space="preserve">PMP-0119</t>
  </si>
  <si>
    <t xml:space="preserve">SOURCE – نمونه قیمتی، شیت PUMPS سلول F8</t>
  </si>
  <si>
    <t xml:space="preserve">SOURCE – نمونه قیمتی، شیت PUMPS سلول E8 = E</t>
  </si>
  <si>
    <t xml:space="preserve">PMP-0120</t>
  </si>
  <si>
    <t xml:space="preserve">SOURCE – نمونه قیمتی، شیت PUMPS سلول F9</t>
  </si>
  <si>
    <t xml:space="preserve">SOURCE – نمونه قیمتی، شیت PUMPS سلول E9 = E</t>
  </si>
  <si>
    <t xml:space="preserve">PMP-0121</t>
  </si>
  <si>
    <t xml:space="preserve">SOURCE – نمونه قیمتی، شیت PUMPS سلول F10</t>
  </si>
  <si>
    <t xml:space="preserve">SOURCE – نمونه قیمتی، شیت PUMPS سلول E10 = E</t>
  </si>
  <si>
    <t xml:space="preserve">PMP-0122</t>
  </si>
  <si>
    <t xml:space="preserve">SOURCE – نمونه قیمتی، شیت PUMPS سلول F11</t>
  </si>
  <si>
    <t xml:space="preserve">SOURCE – نمونه قیمتی، شیت PUMPS سلول E11 = E</t>
  </si>
  <si>
    <t xml:space="preserve">PMP-0123</t>
  </si>
  <si>
    <t xml:space="preserve">SOURCE – نمونه قیمتی، شیت PUMPS سلول F12</t>
  </si>
  <si>
    <t xml:space="preserve">SOURCE – نمونه قیمتی، شیت PUMPS سلول E12 = E</t>
  </si>
  <si>
    <t xml:space="preserve">PMP-0124</t>
  </si>
  <si>
    <t xml:space="preserve">SOURCE – نمونه قیمتی، شیت PUMPS سلول F13</t>
  </si>
  <si>
    <t xml:space="preserve">SOURCE – نمونه قیمتی، شیت PUMPS سلول E13 = E</t>
  </si>
  <si>
    <t xml:space="preserve">PMP-0125</t>
  </si>
  <si>
    <t xml:space="preserve">SOURCE – نمونه قیمتی، شیت PUMPS سلول F14</t>
  </si>
  <si>
    <t xml:space="preserve">PMP-0126</t>
  </si>
  <si>
    <t xml:space="preserve">SOURCE – نمونه قیمتی، شیت PUMPS سلول F15</t>
  </si>
  <si>
    <t xml:space="preserve">SOURCE – نمونه قیمتی، شیت PUMPS سلول G15 = 0.83</t>
  </si>
  <si>
    <t xml:space="preserve">SOURCE – نمونه قیمتی، شیت PUMPS سلول E15 = E</t>
  </si>
  <si>
    <t xml:space="preserve">PMP-0127</t>
  </si>
  <si>
    <t xml:space="preserve">SOURCE – نمونه قیمتی، شیت PUMPS سلول E16 = E</t>
  </si>
  <si>
    <t xml:space="preserve">PMP-0128</t>
  </si>
  <si>
    <t xml:space="preserve">SOURCE – نمونه قیمتی، شیت PUMPS سلول E17 = E</t>
  </si>
  <si>
    <t xml:space="preserve">PMP-0129</t>
  </si>
  <si>
    <t xml:space="preserve">SOURCE – PC-ME 14040105 Pazanan2 PUMPS AR8</t>
  </si>
  <si>
    <t xml:space="preserve">SOURCE – PC-ME 14040105 Pazanan2 PUMPS AR8: R02 (1393) FOB unit price</t>
  </si>
  <si>
    <t xml:space="preserve">PMP-0130</t>
  </si>
  <si>
    <t xml:space="preserve">SOURCE – PC-ME 14040105 Pazanan2 PUMPS AR9</t>
  </si>
  <si>
    <t xml:space="preserve">SOURCE – PC-ME 14040105 Pazanan2 PUMPS AR9: R02 (1393) FOB unit price</t>
  </si>
  <si>
    <t xml:space="preserve">PMP-0131</t>
  </si>
  <si>
    <t xml:space="preserve">SOURCE – PC-ME 14040105 Pazanan2 PUMPS AR10</t>
  </si>
  <si>
    <t xml:space="preserve">SOURCE – PC-ME 14040105 Pazanan2 PUMPS AR10: R02 (1393) FOB unit price</t>
  </si>
  <si>
    <t xml:space="preserve">PMP-0132</t>
  </si>
  <si>
    <t xml:space="preserve">SOURCE – PC-ME 14040105 Pazanan2 PUMPS AR11</t>
  </si>
  <si>
    <t xml:space="preserve">SOURCE – PC-ME 14040105 Pazanan2 PUMPS AR11: R02 (1393) FOB unit price</t>
  </si>
  <si>
    <t xml:space="preserve">PMP-0133</t>
  </si>
  <si>
    <t xml:space="preserve">SOURCE – PC-ME 14040105 Pazanan2 PUMPS AR12</t>
  </si>
  <si>
    <t xml:space="preserve">SOURCE – PC-ME 14040105 Pazanan2 PUMPS AR12: R02 (1393) FOB unit price</t>
  </si>
  <si>
    <t xml:space="preserve">PMP-0134</t>
  </si>
  <si>
    <t xml:space="preserve">SOURCE – PC-ME 14040105 Pazanan2 PUMPS AR13</t>
  </si>
  <si>
    <t xml:space="preserve">SOURCE – PC-ME 14040105 Pazanan2 PUMPS AR13: R02 (1393) FOB unit price</t>
  </si>
  <si>
    <t xml:space="preserve">PMP-0135</t>
  </si>
  <si>
    <t xml:space="preserve">SOURCE – PC-ME 14040105 Pazanan2 PUMPS AR14</t>
  </si>
  <si>
    <t xml:space="preserve">SOURCE – PC-ME 14040105 Pazanan2 PUMPS AR14: R02 (1393) FOB unit price</t>
  </si>
  <si>
    <t xml:space="preserve">PMP-0136</t>
  </si>
  <si>
    <t xml:space="preserve">SOURCE – PC-ME 14040105 Pazanan2 PUMPS AR15</t>
  </si>
  <si>
    <t xml:space="preserve">SOURCE – PC-ME 14040105 Pazanan2 PUMPS AR15: R02 (1393) FOB unit price</t>
  </si>
  <si>
    <t xml:space="preserve">PMP-0137</t>
  </si>
  <si>
    <t xml:space="preserve">SOURCE – PC-ME 14040105 Pazanan2 PUMPS AR16</t>
  </si>
  <si>
    <t xml:space="preserve">SOURCE – PC-ME 14040105 Pazanan2 PUMPS AR16: R02 (1393) FOB unit price</t>
  </si>
  <si>
    <t xml:space="preserve">PMP-0138</t>
  </si>
  <si>
    <t xml:space="preserve">SOURCE – PC-ME 14040105 Pazanan2 PUMPS AR17</t>
  </si>
  <si>
    <t xml:space="preserve">SOURCE – PC-ME 14040105 Pazanan2 PUMPS AR17: R02 (1393) FOB unit price</t>
  </si>
  <si>
    <t xml:space="preserve">PMP-0139</t>
  </si>
  <si>
    <t xml:space="preserve">SOURCE – PC-ME 14040105 Pazanan2 PUMPS AR18</t>
  </si>
  <si>
    <t xml:space="preserve">SOURCE – PC-ME 14040105 Pazanan2 PUMPS AR18: R02 (1393) FOB unit price</t>
  </si>
  <si>
    <t xml:space="preserve">PMP-0140</t>
  </si>
  <si>
    <t xml:space="preserve">SOURCE – PC-ME 14040105 Pazanan2 PUMPS AR20</t>
  </si>
  <si>
    <t xml:space="preserve">SOURCE – PC-ME 14040105 Pazanan2 PUMPS AR20: R02 (1393) FOB unit price</t>
  </si>
  <si>
    <t xml:space="preserve">PMP-0141</t>
  </si>
  <si>
    <t xml:space="preserve">SOURCE – PC-ME 14040105 Pazanan2 PUMPS AR21</t>
  </si>
  <si>
    <t xml:space="preserve">SOURCE – PC-ME 14040105 Pazanan2 PUMPS AR21: R02 (1393) FOB unit price</t>
  </si>
  <si>
    <t xml:space="preserve">PMP-0142</t>
  </si>
  <si>
    <t xml:space="preserve">SOURCE – PC-ME 14040105 Pazanan2 PUMPS AR22</t>
  </si>
  <si>
    <t xml:space="preserve">SOURCE – PC-ME 14040105 Pazanan2 PUMPS AR22: R02 (1393) FOB unit price</t>
  </si>
  <si>
    <t xml:space="preserve">PMP-0143</t>
  </si>
  <si>
    <t xml:space="preserve">SOURCE – PC-ME 14040105 Pazanan2 PUMPS AR23</t>
  </si>
  <si>
    <t xml:space="preserve">SOURCE – PC-ME 14040105 Pazanan2 PUMPS AR23: R02 (1393) FOB unit price</t>
  </si>
  <si>
    <t xml:space="preserve">PMP-0144</t>
  </si>
  <si>
    <t xml:space="preserve">SOURCE – PC-ME 14040105 Pazanan2 PUMPS AR24</t>
  </si>
  <si>
    <t xml:space="preserve">SOURCE – PC-ME 14040105 Pazanan2 PUMPS AR24: R02 (1393) FOB unit price</t>
  </si>
  <si>
    <t xml:space="preserve">PMP-0145</t>
  </si>
  <si>
    <t xml:space="preserve">SOURCE – PC-ME 14040105 Pazanan2 PUMPS AR25</t>
  </si>
  <si>
    <t xml:space="preserve">SOURCE – PC-ME 14040105 Pazanan2 PUMPS AR25: R02 (1393) FOB unit price</t>
  </si>
  <si>
    <t xml:space="preserve">PMP-0146</t>
  </si>
  <si>
    <t xml:space="preserve">SOURCE – PC-ME 14040105 Pazanan2 PUMPS AR26</t>
  </si>
  <si>
    <t xml:space="preserve">SOURCE – PC-ME 14040105 Pazanan2 PUMPS AR26: R02 (1393) FOB unit price</t>
  </si>
  <si>
    <t xml:space="preserve">TEST_CASES – خروجی‌های مرجع Excel برای آزمون محاسبات اپلیکیشن</t>
  </si>
  <si>
    <t xml:space="preserve">جدول ۱: مقدار هر ستون فرمولی هر رکورد با پارامترهای پیش‌فرض. جدول ۲: Estimator با ورودی‌های پیش‌فرض (و سناریو). اپ باید همین اعداد را با تلورانس نسبی 1e-6 تولید کند.  سناریو: target_1405_S6_150m3h = target year 1405, material class S-6, capacity 150 m³/h</t>
  </si>
  <si>
    <t xml:space="preserve">expected_value</t>
  </si>
  <si>
    <t xml:space="preserve">scenario</t>
  </si>
  <si>
    <t xml:space="preserve">kind</t>
  </si>
  <si>
    <t xml:space="preserve">excel_cell</t>
  </si>
  <si>
    <t xml:space="preserve">label</t>
  </si>
  <si>
    <t xml:space="preserve">factor</t>
  </si>
  <si>
    <t xml:space="preserve">default</t>
  </si>
  <si>
    <t xml:space="preserve">input</t>
  </si>
  <si>
    <t xml:space="preserve">B5</t>
  </si>
  <si>
    <t xml:space="preserve">B6</t>
  </si>
  <si>
    <t xml:space="preserve">B7</t>
  </si>
  <si>
    <t xml:space="preserve">B8</t>
  </si>
  <si>
    <t xml:space="preserve">B9</t>
  </si>
  <si>
    <t xml:space="preserve">B10</t>
  </si>
  <si>
    <t xml:space="preserve">B11</t>
  </si>
  <si>
    <t xml:space="preserve">B12</t>
  </si>
  <si>
    <t xml:space="preserve">Material missing; Seal missing; Base-year PPI missing; </t>
  </si>
  <si>
    <t xml:space="preserve">B13</t>
  </si>
  <si>
    <t xml:space="preserve">B14</t>
  </si>
  <si>
    <t xml:space="preserve">B15</t>
  </si>
  <si>
    <t xml:space="preserve">B16</t>
  </si>
  <si>
    <t xml:space="preserve">B17</t>
  </si>
  <si>
    <t xml:space="preserve">B18</t>
  </si>
  <si>
    <t xml:space="preserve">B19</t>
  </si>
  <si>
    <t xml:space="preserve">B20</t>
  </si>
  <si>
    <t xml:space="preserve">B21</t>
  </si>
  <si>
    <t xml:space="preserve">B22</t>
  </si>
  <si>
    <t xml:space="preserve">B23</t>
  </si>
  <si>
    <t xml:space="preserve">B24</t>
  </si>
  <si>
    <t xml:space="preserve">B25</t>
  </si>
  <si>
    <t xml:space="preserve">B26</t>
  </si>
  <si>
    <t xml:space="preserve">output</t>
  </si>
  <si>
    <t xml:space="preserve">F5</t>
  </si>
  <si>
    <t xml:space="preserve">F6</t>
  </si>
  <si>
    <t xml:space="preserve">F7</t>
  </si>
  <si>
    <t xml:space="preserve">F8</t>
  </si>
  <si>
    <t xml:space="preserve">F9</t>
  </si>
  <si>
    <t xml:space="preserve">F10</t>
  </si>
  <si>
    <t xml:space="preserve">F11</t>
  </si>
  <si>
    <t xml:space="preserve">F12</t>
  </si>
  <si>
    <t xml:space="preserve">F13</t>
  </si>
  <si>
    <t xml:space="preserve">F14</t>
  </si>
  <si>
    <t xml:space="preserve">F15</t>
  </si>
  <si>
    <t xml:space="preserve">F16</t>
  </si>
  <si>
    <t xml:space="preserve">F18</t>
  </si>
  <si>
    <t xml:space="preserve">F19</t>
  </si>
  <si>
    <t xml:space="preserve">F20</t>
  </si>
  <si>
    <t xml:space="preserve">F21</t>
  </si>
  <si>
    <t xml:space="preserve">F22</t>
  </si>
  <si>
    <t xml:space="preserve">F23</t>
  </si>
  <si>
    <t xml:space="preserve">F24</t>
  </si>
  <si>
    <t xml:space="preserve">1404 / 695,268 / 658,533</t>
  </si>
  <si>
    <t xml:space="preserve">target_1405_S6_150m3h</t>
  </si>
  <si>
    <t xml:space="preserve">1405 / 2,000,000 / 1,818,182</t>
  </si>
  <si>
    <t xml:space="preserve">Material missing; Seal missing; </t>
  </si>
  <si>
    <t xml:space="preserve">Seal missing; </t>
  </si>
  <si>
    <t xml:space="preserve">Seal missing; Size driver missing; </t>
  </si>
  <si>
    <t xml:space="preserve">No price; Seal missing; </t>
  </si>
  <si>
    <t xml:space="preserve">No price; Seal missing; Size driver missing; </t>
  </si>
  <si>
    <t xml:space="preserve">API 610 + IPS-G-PM-105 + NACE MR0175</t>
  </si>
  <si>
    <t xml:space="preserve">API 676 + IPS-M-PM-140 + NACE MR0175</t>
  </si>
  <si>
    <t xml:space="preserve">Material missing; Seal missing; Size driver missing; Base-year PPI missing; </t>
  </si>
  <si>
    <t xml:space="preserve">CHANGE_LOG</t>
  </si>
  <si>
    <t xml:space="preserve">Field / Record</t>
  </si>
  <si>
    <t xml:space="preserve">Change</t>
  </si>
  <si>
    <t xml:space="preserve">Structure</t>
  </si>
  <si>
    <t xml:space="preserve">Master Database</t>
  </si>
  <si>
    <t xml:space="preserve">28 → 72 columns in 7 groups (A–G); sub-category sheets replaced by AutoFilter on Master</t>
  </si>
  <si>
    <t xml:space="preserve">Split</t>
  </si>
  <si>
    <t xml:space="preserve">Weight / Power</t>
  </si>
  <si>
    <t xml:space="preserve">Split into Power (kW) + Power Basis; "(Shaft)" → Shaft (Absorbed); HOLD → blank + remark</t>
  </si>
  <si>
    <t xml:space="preserve">Capacity / Pressure / Head</t>
  </si>
  <si>
    <t xml:space="preserve">Text converted to numeric columns (m³/h, barg, m); original text kept in Remarks where relevant</t>
  </si>
  <si>
    <t xml:space="preserve">Mapping</t>
  </si>
  <si>
    <t xml:space="preserve">Type → Pump Family + API 610 Type</t>
  </si>
  <si>
    <t xml:space="preserve">OH2/BB3/VS4/VS6 parsed; "Centrifugal (assumed)" → Family=Centrifugal, Type=Not stated</t>
  </si>
  <si>
    <t xml:space="preserve">D1/D2/I2/S1/S5/S6 → API 610 Annex H codes D-1/D-2/I-2/S-1/S-5/S-6; S.S.316L → SS316L (non-API)</t>
  </si>
  <si>
    <t xml:space="preserve">Design Code → Pump Standard</t>
  </si>
  <si>
    <t xml:space="preserve">"API 610 / IPS" → API 610 (IPS reference kept in source text)</t>
  </si>
  <si>
    <t xml:space="preserve">Driver (from Remarks)</t>
  </si>
  <si>
    <t xml:space="preserve">Electric / Diesel / Portable parsed from Remarks "Driver:" text</t>
  </si>
  <si>
    <t xml:space="preserve">Price Basis → Price Source Type</t>
  </si>
  <si>
    <t xml:space="preserve">FEED MTO → Historical Estimate; Inquiry → Budgetary Quote; Purchase price → PO</t>
  </si>
  <si>
    <t xml:space="preserve">Src AACE Class (verify)</t>
  </si>
  <si>
    <t xml:space="preserve">Koopal FEED → 3; Gachsaran 4 Basic Design MTO → 4; Pazanan 2 Basic MTO → 4; CSV (no project) → blank. Original label kept in "Estimate Class (as stated in source)"</t>
  </si>
  <si>
    <t xml:space="preserve">Pazanan 2 EUR inquiries → FOB (sheet header "GOING UNIT PRICE FOB EUR"); others Not stated</t>
  </si>
  <si>
    <t xml:space="preserve">New</t>
  </si>
  <si>
    <t xml:space="preserve">Seal / Ex / VFD / NACE / Scope</t>
  </si>
  <si>
    <t xml:space="preserve">Not stated in any source → "Not stated" (factor 1.00) – to be completed</t>
  </si>
  <si>
    <t xml:space="preserve">Fix</t>
  </si>
  <si>
    <t xml:space="preserve">Assumptions &amp; FX (1405)</t>
  </si>
  <si>
    <t xml:space="preserve">Circular reference B25 (=C25/D25) ↔ D25 (=C25/B25) removed: B25 = C25/1.1 per Maroon3 note</t>
  </si>
  <si>
    <t xml:space="preserve">Escalation</t>
  </si>
  <si>
    <t xml:space="preserve">PPI-based method from claude/pump-escalation-method.md, incl. 25,000 EUR floor; PPI table needs Eurostat values</t>
  </si>
  <si>
    <t xml:space="preserve">QA</t>
  </si>
  <si>
    <t xml:space="preserve">Rows 88, 89, 92, 93</t>
  </si>
  <si>
    <t xml:space="preserve">Reference currency EUR with price 1e8–3e8 → flagged "Check currency" (probably IRR) – not changed, verify against Koopal source</t>
  </si>
  <si>
    <t xml:space="preserve">Update</t>
  </si>
  <si>
    <t xml:space="preserve">Koopal Bangestan rows 59–78, 91</t>
  </si>
  <si>
    <t xml:space="preserve">NACE, Type, Material, Std, Q, Head, Ex (P-246), Incoterm, Scope TPI filled from KPL-476 R03 (PUMPS-B…(5), DESALTERS-B, STRIPPER-B, IWWTP-B, INS-PUMP-B, TOTAL (2)); evidence in cell comments; inferred cells yellow</t>
  </si>
  <si>
    <t xml:space="preserve">Row 77 (P-144)</t>
  </si>
  <si>
    <t xml:space="preserve">Pump type corrected: Centrifugal (assumed) → PD-Rotary (Twin Screw) per IWWTP-B (2) F17</t>
  </si>
  <si>
    <t xml:space="preserve">Seal (Plan 53B)</t>
  </si>
  <si>
    <t xml:space="preserve">TK-154, P-154 A/B, F-161 serve a common Plan 53B sealing system; tag allocation not stated → Seal fields left Not stated</t>
  </si>
  <si>
    <t xml:space="preserve">Koopal Asmari / Common rows 41–58, 79–93 (excl. 91)</t>
  </si>
  <si>
    <t xml:space="preserve">NACE (N, inferred – no MR-0175 in any -A/-C sheet), Type/Material/Std of package pumps, Q, Head, Ex (P-236), Incoterm, Scope TPI from KPL-476 R03; evidence in cell comments; inferred cells yellow</t>
  </si>
  <si>
    <t xml:space="preserve">Rows 88, 89, 92, 93 (P-154, P-157, P-220, P-116)</t>
  </si>
  <si>
    <t xml:space="preserve">Reference currency EUR → IRR (prices sit in the "Unit Price (Rials)" column U)</t>
  </si>
  <si>
    <t xml:space="preserve">Row 92 (P-220)</t>
  </si>
  <si>
    <t xml:space="preserve">Capacity 160 m³/h → 9.6 m³/h (source: 160 Lit/min)</t>
  </si>
  <si>
    <t xml:space="preserve">Row 58 (P-134)</t>
  </si>
  <si>
    <t xml:space="preserve">Pump type corrected: Centrifugal (assumed) → PD-Rotary (Twin Screw) per IWWTP-A (2) F17</t>
  </si>
  <si>
    <t xml:space="preserve">Gachsaran 4 rows 15–35, 39, 40</t>
  </si>
  <si>
    <t xml:space="preserve">Reference price changed from IRR (stored as 1399) to the EUR base price found inside P.ME formulas (=EUR×per_Euro×USD_Change_IRR); Cost Year 1402 (inferred). Previous conversion with the 1399 FX rate overstated EUR ≈2.6×</t>
  </si>
  <si>
    <t xml:space="preserve">Gachsaran 4 rows 36–38 (fire pumps)</t>
  </si>
  <si>
    <t xml:space="preserve">IRR constants kept; Cost Year 1399 → 1402 (inferred, PEP Rev.1402/05)</t>
  </si>
  <si>
    <t xml:space="preserve">Gachsaran 4 all pumps</t>
  </si>
  <si>
    <t xml:space="preserve">Incoterm EXW, Scope TPI/Comm. spares/2-yr spares = N (inferred – carried as separate lines in Procurement sheet)</t>
  </si>
  <si>
    <t xml:space="preserve">Gachsaran 4 NACE</t>
  </si>
  <si>
    <t xml:space="preserve">P.PI marks piping classes AN16/CN16 as NACE (sour process lines) but no pump-level NACE statement → pump NACE left Not stated</t>
  </si>
  <si>
    <t xml:space="preserve">FX 1402</t>
  </si>
  <si>
    <t xml:space="preserve">PEP implies EUR→IRR = 420,000×1.085 = 455,700; bank FX table 1402 has 529,500 – verify</t>
  </si>
  <si>
    <t xml:space="preserve">Pazanan 2 rows 94–114</t>
  </si>
  <si>
    <t xml:space="preserve">NACE from item descriptions (Y explicit for P-111/136/137/139/161/163/164; N inferred for the rest)</t>
  </si>
  <si>
    <t xml:space="preserve">Rows 105, 113, 114 (P-163, P-210, P-211)</t>
  </si>
  <si>
    <t xml:space="preserve">No quotation existed (all declined); the 1404 value was the 1393 R02 price × external factor. Reset to 1393 base price, Source Type = Historical Estimate, to avoid double escalation</t>
  </si>
  <si>
    <t xml:space="preserve">Rows 113, 114</t>
  </si>
  <si>
    <t xml:space="preserve">Vendor_Register / Vendor_Quotes</t>
  </si>
  <si>
    <t xml:space="preserve">4 vendors and all Pazanan 2 quotations (incl. declined / no reply) loaded; Bid Count, Min/Max, Spread now live in Master</t>
  </si>
  <si>
    <t xml:space="preserve">Escalation_Index</t>
  </si>
  <si>
    <t xml:space="preserve">PPI 1385–1405 filled from Pump_Escalation_Validation.xlsx (Indices C51:C71, EA20 C28.13, 2021=100, Jalali blend 0.79/0.21); 1405 is a forecast</t>
  </si>
  <si>
    <t xml:space="preserve">Rows 129–146</t>
  </si>
  <si>
    <t xml:space="preserve">18 Pazanan 2 R02 (1393) FOB records added (PUMPS AR8:AR26), paired with the 1404 inquiry records of the same tags</t>
  </si>
  <si>
    <t xml:space="preserve">Gachsaran 4 IRR cells</t>
  </si>
  <si>
    <t xml:space="preserve">Converted with bank FX 1402; project rate 455,692 IRR/EUR and project IRR price recorded in cell comment (light-blue cells)</t>
  </si>
  <si>
    <t xml:space="preserve">v6 Structure</t>
  </si>
  <si>
    <t xml:space="preserve">New column order (identification → key specs → supplementary specs → price → scope → source → calculations → control) with collapsible groups</t>
  </si>
  <si>
    <t xml:space="preserve">v6 Removed</t>
  </si>
  <si>
    <t xml:space="preserve">Unit, VFD, Motor Ex, Price Source Type, Src AACE Class, Bid Count, Min/Max Quote, Spread, Price Age, DQ Score, Usable For Class, Accuracy</t>
  </si>
  <si>
    <t xml:space="preserve">Removed per organisation request; VFD and Ex factors removed from DRIVE_F, Estimator and Factors_ROT; Class_Matrix sheet removed</t>
  </si>
  <si>
    <t xml:space="preserve">v6 New</t>
  </si>
  <si>
    <t xml:space="preserve">Standards (combined), IPS Standard, Escalated USD, Price Basis (as stated in source)</t>
  </si>
  <si>
    <t xml:space="preserve">Standards = Pump Standard + IPS + NACE + NFPA listing; Price Basis quotes the source basis and its class label</t>
  </si>
  <si>
    <t xml:space="preserve">v6 Fix</t>
  </si>
  <si>
    <t xml:space="preserve">Duplicate sub-category text in parentheses removed (it equalled the sub-category full name in all records)</t>
  </si>
  <si>
    <t xml:space="preserve">Gachsaran 4 Pump Standard</t>
  </si>
  <si>
    <t xml:space="preserve">"API 610" removed → Not stated (no standard given in PEP P.ME); Pump Family "Centrifugal" marked inferred (source: assumed)</t>
  </si>
  <si>
    <t xml:space="preserve">Non-API pumps → N/A (non-API 610); Koopal P-270/P-271 → BB, P-272 → OH (per source text)</t>
  </si>
  <si>
    <t xml:space="preserve">Factors / material descriptions</t>
  </si>
  <si>
    <t xml:space="preserve">Material class descriptions rewritten per API 610 Table H.1 (casing / impeller / rings / shaft)</t>
  </si>
  <si>
    <t xml:space="preserve">v8 Layout</t>
  </si>
  <si>
    <t xml:space="preserve">Seal columns / Vendor_Quotes</t>
  </si>
  <si>
    <t xml:space="preserve">Seal Type and API 682 Category grouped (collapsed) with Pump Standard, IPS and NACE; API 682 Seal Plan stays visible. Vendor_Quotes: Equipment Name (auto) and Vendor Name (auto) added</t>
  </si>
  <si>
    <t xml:space="preserve">v7 Removed</t>
  </si>
  <si>
    <t xml:space="preserve">Category, Vendor_ID, NFPA 20 Listing</t>
  </si>
  <si>
    <t xml:space="preserve">Category always ROT (covered by Sub-Category); no awarded vendor in any record; NFPA listing never stated</t>
  </si>
  <si>
    <t xml:space="preserve">v7 Moved</t>
  </si>
  <si>
    <t xml:space="preserve">Unit Price EUR / USD / IRR (source yr)</t>
  </si>
  <si>
    <t xml:space="preserve">Moved next to Unit Price (Reference); Scope flags made collapsible</t>
  </si>
  <si>
    <t xml:space="preserve">v7 Verified</t>
  </si>
  <si>
    <t xml:space="preserve">All records</t>
  </si>
  <si>
    <t xml:space="preserve">Field-by-field verification against the five source files – see Verification_Log</t>
  </si>
  <si>
    <t xml:space="preserve">v7 Notes</t>
  </si>
  <si>
    <t xml:space="preserve">Master / Factors_ROT / Dashboard</t>
  </si>
  <si>
    <t xml:space="preserve">Sub-Category, API type and material notes moved to Master and Factors_ROT; Incoterm notes state what the price includes / excludes</t>
  </si>
  <si>
    <t xml:space="preserve">v6 Data fix</t>
  </si>
  <si>
    <t xml:space="preserve">Row 9 – Sub-Category</t>
  </si>
  <si>
    <t xml:space="preserve">ROT-DRN → ROT-WAT</t>
  </si>
  <si>
    <t xml:space="preserve">Row 11 – Service Fluid</t>
  </si>
  <si>
    <t xml:space="preserve">Chemical → Diesel / Fuel Oil</t>
  </si>
  <si>
    <t xml:space="preserve">Row 11 – API 610 Type</t>
  </si>
  <si>
    <t xml:space="preserve">N/A → N/A (non-API 610)</t>
  </si>
  <si>
    <t xml:space="preserve">Row 12 – Service Fluid</t>
  </si>
  <si>
    <t xml:space="preserve">Row 12 – API 610 Type</t>
  </si>
  <si>
    <t xml:space="preserve">Row 13 – Service Fluid</t>
  </si>
  <si>
    <t xml:space="preserve">Sludge → Process / Dilution Water</t>
  </si>
  <si>
    <t xml:space="preserve">Row 13 – Pump Family</t>
  </si>
  <si>
    <t xml:space="preserve">Jet / Eductor → Centrifugal</t>
  </si>
  <si>
    <t xml:space="preserve">Row 15 – Pump Standard</t>
  </si>
  <si>
    <t xml:space="preserve">API 610 → Not stated</t>
  </si>
  <si>
    <t xml:space="preserve">Row 16 – Pump Standard</t>
  </si>
  <si>
    <t xml:space="preserve">Row 17 – Pump Standard</t>
  </si>
  <si>
    <t xml:space="preserve">Row 18 – Pump Standard</t>
  </si>
  <si>
    <t xml:space="preserve">Row 19 – Pump Standard</t>
  </si>
  <si>
    <t xml:space="preserve">Row 20 – Pump Standard</t>
  </si>
  <si>
    <t xml:space="preserve">Row 21 – Pump Standard</t>
  </si>
  <si>
    <t xml:space="preserve">Row 22 – Pump Standard</t>
  </si>
  <si>
    <t xml:space="preserve">Row 23 – Pump Standard</t>
  </si>
  <si>
    <t xml:space="preserve">Row 24 – Pump Standard</t>
  </si>
  <si>
    <t xml:space="preserve">Row 25 – Pump Standard</t>
  </si>
  <si>
    <t xml:space="preserve">Row 26 – Sub-Category</t>
  </si>
  <si>
    <t xml:space="preserve">ROT-INJ → ROT-AUX</t>
  </si>
  <si>
    <t xml:space="preserve">Row 26 – Pump Standard</t>
  </si>
  <si>
    <t xml:space="preserve">Row 27 – Pump Standard</t>
  </si>
  <si>
    <t xml:space="preserve">Row 28 – Pump Standard</t>
  </si>
  <si>
    <t xml:space="preserve">Row 29 – Pump Standard</t>
  </si>
  <si>
    <t xml:space="preserve">Row 30 – Pump Standard</t>
  </si>
  <si>
    <t xml:space="preserve">Row 31 – Pump Standard</t>
  </si>
  <si>
    <t xml:space="preserve">Row 32 – Pump Standard</t>
  </si>
  <si>
    <t xml:space="preserve">Row 33 – Sub-Category</t>
  </si>
  <si>
    <t xml:space="preserve">ROT-CRU → ROT-DRN</t>
  </si>
  <si>
    <t xml:space="preserve">Row 33 – Pump Standard</t>
  </si>
  <si>
    <t xml:space="preserve">Row 34 – Pump Standard</t>
  </si>
  <si>
    <t xml:space="preserve">Row 35 – Service Fluid</t>
  </si>
  <si>
    <t xml:space="preserve">Row 35 – Pump Standard</t>
  </si>
  <si>
    <t xml:space="preserve">Row 36 – Pump Standard</t>
  </si>
  <si>
    <t xml:space="preserve">Row 37 – Pump Standard</t>
  </si>
  <si>
    <t xml:space="preserve">Row 38 – Pump Standard</t>
  </si>
  <si>
    <t xml:space="preserve">Row 39 – Pump Standard</t>
  </si>
  <si>
    <t xml:space="preserve">Row 40 – Pump Standard</t>
  </si>
  <si>
    <t xml:space="preserve">Row 42 – Sub-Category</t>
  </si>
  <si>
    <t xml:space="preserve">ROT-INJ → ROT-CRU</t>
  </si>
  <si>
    <t xml:space="preserve">Row 42 – Service Fluid</t>
  </si>
  <si>
    <t xml:space="preserve">Produced / Disposal Water → Crude Oil</t>
  </si>
  <si>
    <t xml:space="preserve">Row 43 – Sub-Category</t>
  </si>
  <si>
    <t xml:space="preserve">Row 43 – API 610 Type</t>
  </si>
  <si>
    <t xml:space="preserve">Row 50 – Sub-Category</t>
  </si>
  <si>
    <t xml:space="preserve">Row 50 – API 610 Type</t>
  </si>
  <si>
    <t xml:space="preserve">Row 51 – Service Fluid</t>
  </si>
  <si>
    <t xml:space="preserve">Process / Dilution Water → Oily Water / Drain</t>
  </si>
  <si>
    <t xml:space="preserve">Row 57 – API 610 Type</t>
  </si>
  <si>
    <t xml:space="preserve">Row 58 – Sub-Category</t>
  </si>
  <si>
    <t xml:space="preserve">Row 58 – API 610 Type</t>
  </si>
  <si>
    <t xml:space="preserve">Row 61 – Sub-Category</t>
  </si>
  <si>
    <t xml:space="preserve">Row 61 – Service Fluid</t>
  </si>
  <si>
    <t xml:space="preserve">Row 62 – Sub-Category</t>
  </si>
  <si>
    <t xml:space="preserve">Row 62 – API 610 Type</t>
  </si>
  <si>
    <t xml:space="preserve">Row 69 – Sub-Category</t>
  </si>
  <si>
    <t xml:space="preserve">Row 69 – API 610 Type</t>
  </si>
  <si>
    <t xml:space="preserve">Row 70 – Service Fluid</t>
  </si>
  <si>
    <t xml:space="preserve">Row 76 – API 610 Type</t>
  </si>
  <si>
    <t xml:space="preserve">Row 77 – Sub-Category</t>
  </si>
  <si>
    <t xml:space="preserve">Row 77 – API 610 Type</t>
  </si>
  <si>
    <t xml:space="preserve">Row 79 – API 610 Type</t>
  </si>
  <si>
    <t xml:space="preserve">Not stated → N/A (non-API 610)</t>
  </si>
  <si>
    <t xml:space="preserve">Row 80 – API 610 Type</t>
  </si>
  <si>
    <t xml:space="preserve">Row 81 – Pump Family</t>
  </si>
  <si>
    <t xml:space="preserve">Centrifugal - Vertical Sump → Centrifugal</t>
  </si>
  <si>
    <t xml:space="preserve">Row 82 – Service Fluid</t>
  </si>
  <si>
    <t xml:space="preserve">Row 82 – API 610 Type</t>
  </si>
  <si>
    <t xml:space="preserve">Row 83 – Pump Family</t>
  </si>
  <si>
    <t xml:space="preserve">Row 84 – API 610 Type</t>
  </si>
  <si>
    <t xml:space="preserve">Not stated → BB (unspecified)</t>
  </si>
  <si>
    <t xml:space="preserve">Row 85 – API 610 Type</t>
  </si>
  <si>
    <t xml:space="preserve">Row 86 – API 610 Type</t>
  </si>
  <si>
    <t xml:space="preserve">Not stated → OH (unspecified)</t>
  </si>
  <si>
    <t xml:space="preserve">Row 87 – API 610 Type</t>
  </si>
  <si>
    <t xml:space="preserve">Row 88 – API 610 Type</t>
  </si>
  <si>
    <t xml:space="preserve">Row 89 – API 610 Type</t>
  </si>
  <si>
    <t xml:space="preserve">Row 90 – API 610 Type</t>
  </si>
  <si>
    <t xml:space="preserve">Row 91 – API 610 Type</t>
  </si>
  <si>
    <t xml:space="preserve">Row 92 – Sub-Category</t>
  </si>
  <si>
    <t xml:space="preserve">Row 92 – Pump Standard</t>
  </si>
  <si>
    <t xml:space="preserve">Row 92 – API 610 Type</t>
  </si>
  <si>
    <t xml:space="preserve">Row 93 – Sub-Category</t>
  </si>
  <si>
    <t xml:space="preserve">ROT-WAT → ROT-AUX</t>
  </si>
  <si>
    <t xml:space="preserve">Row 93 – Pump Standard</t>
  </si>
  <si>
    <t xml:space="preserve">Row 93 – API 610 Type</t>
  </si>
  <si>
    <t xml:space="preserve">Row 95 – API 610 Type</t>
  </si>
  <si>
    <t xml:space="preserve">Row 99 – Sub-Category</t>
  </si>
  <si>
    <t xml:space="preserve">Row 99 – API 610 Type</t>
  </si>
  <si>
    <t xml:space="preserve">Row 104 – Pump Family</t>
  </si>
  <si>
    <t xml:space="preserve">Row 105 – Sub-Category</t>
  </si>
  <si>
    <t xml:space="preserve">Row 105 – API 610 Type</t>
  </si>
  <si>
    <t xml:space="preserve">Row 106 – Service Fluid</t>
  </si>
  <si>
    <t xml:space="preserve">Row 108 – Service Fluid</t>
  </si>
  <si>
    <t xml:space="preserve">Row 108 – API 610 Type</t>
  </si>
  <si>
    <t xml:space="preserve">Row 109 – API 610 Type</t>
  </si>
  <si>
    <t xml:space="preserve">Row 113 – Sub-Category</t>
  </si>
  <si>
    <t xml:space="preserve">Row 113 – Pump Standard</t>
  </si>
  <si>
    <t xml:space="preserve">Row 113 – API 610 Type</t>
  </si>
  <si>
    <t xml:space="preserve">Row 114 – Sub-Category</t>
  </si>
  <si>
    <t xml:space="preserve">Row 114 – Pump Standard</t>
  </si>
  <si>
    <t xml:space="preserve">Row 114 – API 610 Type</t>
  </si>
  <si>
    <t xml:space="preserve">Row 123 – Sub-Category</t>
  </si>
  <si>
    <t xml:space="preserve">Row 125 – Service Fluid</t>
  </si>
  <si>
    <t xml:space="preserve">Row 125 – API 610 Type</t>
  </si>
  <si>
    <t xml:space="preserve">Row 126 – Service Fluid</t>
  </si>
  <si>
    <t xml:space="preserve">Row 126 – API 610 Type</t>
  </si>
  <si>
    <t xml:space="preserve">Row 127 – Service Fluid</t>
  </si>
  <si>
    <t xml:space="preserve">Row 127 – Pump Family</t>
  </si>
  <si>
    <t xml:space="preserve">Row 130 – API 610 Type</t>
  </si>
  <si>
    <t xml:space="preserve">Row 134 – Sub-Category</t>
  </si>
  <si>
    <t xml:space="preserve">Row 134 – API 610 Type</t>
  </si>
  <si>
    <t xml:space="preserve">Row 139 – Pump Family</t>
  </si>
  <si>
    <t xml:space="preserve">Row 140 – Service Fluid</t>
  </si>
  <si>
    <t xml:space="preserve">Row 142 – Service Fluid</t>
  </si>
  <si>
    <t xml:space="preserve">Row 142 – API 610 Type</t>
  </si>
  <si>
    <t xml:space="preserve">Row 143 – API 610 Type</t>
  </si>
  <si>
    <t xml:space="preserve">Row 1 – Diff. Head (m)</t>
  </si>
  <si>
    <t xml:space="preserve">None → 95.8</t>
  </si>
  <si>
    <t xml:space="preserve">Row 2 – Diff. Head (m)</t>
  </si>
  <si>
    <t xml:space="preserve">None → 59.9</t>
  </si>
  <si>
    <t xml:space="preserve">Row 3 – Diff. Head (m)</t>
  </si>
  <si>
    <t xml:space="preserve">None → 34.8</t>
  </si>
  <si>
    <t xml:space="preserve">Row 4 – Diff. Head (m)</t>
  </si>
  <si>
    <t xml:space="preserve">None → 329.0</t>
  </si>
  <si>
    <t xml:space="preserve">Row 5 – Diff. Head (m)</t>
  </si>
  <si>
    <t xml:space="preserve">None → 311.3</t>
  </si>
  <si>
    <t xml:space="preserve">Row 6 – Diff. Head (m)</t>
  </si>
  <si>
    <t xml:space="preserve">None → 32.0</t>
  </si>
  <si>
    <t xml:space="preserve">Row 7 – Diff. Head (m)</t>
  </si>
  <si>
    <t xml:space="preserve">None → 36.2</t>
  </si>
  <si>
    <t xml:space="preserve">Row 8 – Diff. Head (m)</t>
  </si>
  <si>
    <t xml:space="preserve">None → 1383.0</t>
  </si>
  <si>
    <t xml:space="preserve">Row 9 – Diff. Head (m)</t>
  </si>
  <si>
    <t xml:space="preserve">None → 41.0</t>
  </si>
  <si>
    <t xml:space="preserve">Row 10 – Diff. Head (m)</t>
  </si>
  <si>
    <t xml:space="preserve">None → 120.0</t>
  </si>
  <si>
    <t xml:space="preserve">Row 11 – Diff. Head (m)</t>
  </si>
  <si>
    <t xml:space="preserve">None → 27.2</t>
  </si>
  <si>
    <t xml:space="preserve">Row 12 – Diff. Head (m)</t>
  </si>
  <si>
    <t xml:space="preserve">None → 40.8</t>
  </si>
  <si>
    <t xml:space="preserve">Row 13 – Diff. Head (m)</t>
  </si>
  <si>
    <t xml:space="preserve">None → 15.0</t>
  </si>
  <si>
    <t xml:space="preserve">Row 14 – Diff. Head (m)</t>
  </si>
  <si>
    <t xml:space="preserve">None → 18.0</t>
  </si>
  <si>
    <t xml:space="preserve">Row 35 – Driver Type</t>
  </si>
  <si>
    <t xml:space="preserve">Diesel Engine → Electric Motor</t>
  </si>
  <si>
    <t xml:space="preserve">Row 54 – IPS Standard</t>
  </si>
  <si>
    <t xml:space="preserve">None → IPS-G-PM-105</t>
  </si>
  <si>
    <t xml:space="preserve">Row 55 – IPS Standard</t>
  </si>
  <si>
    <t xml:space="preserve">Row 56 – IPS Standard</t>
  </si>
  <si>
    <t xml:space="preserve">Row 57 – IPS Standard</t>
  </si>
  <si>
    <t xml:space="preserve">None → IPS-M-PM-140</t>
  </si>
  <si>
    <t xml:space="preserve">Row 58 – IPS Standard</t>
  </si>
  <si>
    <t xml:space="preserve">Row 73 – IPS Standard</t>
  </si>
  <si>
    <t xml:space="preserve">Row 74 – IPS Standard</t>
  </si>
  <si>
    <t xml:space="preserve">Row 75 – IPS Standard</t>
  </si>
  <si>
    <t xml:space="preserve">Row 76 – IPS Standard</t>
  </si>
  <si>
    <t xml:space="preserve">Row 77 – IPS Standard</t>
  </si>
  <si>
    <t xml:space="preserve">Row 88 – Equipment Name</t>
  </si>
  <si>
    <t xml:space="preserve">Cooling Water (Pumps Seal System) Recycle Pumps → Cooling Water (Sealing System) Recycle Pumps</t>
  </si>
  <si>
    <t xml:space="preserve">Row 89 – Equipment Name</t>
  </si>
  <si>
    <t xml:space="preserve">Water Liquid Ring Return Pumps (Deaeration System) → Water Liquid Return Pumps (Deaeration System)</t>
  </si>
  <si>
    <t xml:space="preserve">Row 115 – Diff. Head (m)</t>
  </si>
  <si>
    <t xml:space="preserve">Row 116 – Diff. Head (m)</t>
  </si>
  <si>
    <t xml:space="preserve">None → 59.85</t>
  </si>
  <si>
    <t xml:space="preserve">Row 117 – Diff. Head (m)</t>
  </si>
  <si>
    <t xml:space="preserve">None → 34.75</t>
  </si>
  <si>
    <t xml:space="preserve">Row 119 – Diff. Head (m)</t>
  </si>
  <si>
    <t xml:space="preserve">Row 120 – Diff. Head (m)</t>
  </si>
  <si>
    <t xml:space="preserve">Row 121 – Diff. Head (m)</t>
  </si>
  <si>
    <t xml:space="preserve">None → 36.15</t>
  </si>
  <si>
    <t xml:space="preserve">Row 122 – Diff. Head (m)</t>
  </si>
  <si>
    <t xml:space="preserve">None → 51.5</t>
  </si>
  <si>
    <t xml:space="preserve">Row 123 – Diff. Head (m)</t>
  </si>
  <si>
    <t xml:space="preserve">Row 124 – Diff. Head (m)</t>
  </si>
  <si>
    <t xml:space="preserve">Row 125 – Diff. Head (m)</t>
  </si>
  <si>
    <t xml:space="preserve">Row 126 – Diff. Head (m)</t>
  </si>
  <si>
    <t xml:space="preserve">Row 126 – Power (kW)</t>
  </si>
  <si>
    <t xml:space="preserve">0.8 → 0.83</t>
  </si>
  <si>
    <t xml:space="preserve">App layer</t>
  </si>
  <si>
    <t xml:space="preserve">Added App_Meta, Data_Dictionary, Calc_Spec, Evidence, Test_Cases; named Excel Tables on all data sheets; Equipment Code + Record ID columns</t>
  </si>
  <si>
    <t xml:space="preserve">Numeric columns</t>
  </si>
  <si>
    <t xml:space="preserve">Text sentinels removed from 597 numeric formula cells (now blank = null; reason in QA Flag)</t>
  </si>
  <si>
    <t xml:space="preserve">Data validation</t>
  </si>
  <si>
    <t xml:space="preserve">51 list validations re-created as standard validations</t>
  </si>
</sst>
</file>

<file path=xl/styles.xml><?xml version="1.0" encoding="utf-8"?>
<styleSheet xmlns="http://schemas.openxmlformats.org/spreadsheetml/2006/main">
  <numFmts count="10">
    <numFmt numFmtId="164" formatCode="General"/>
    <numFmt numFmtId="165" formatCode="#,##0.###"/>
    <numFmt numFmtId="166" formatCode="#,##0"/>
    <numFmt numFmtId="167" formatCode="0.0"/>
    <numFmt numFmtId="168" formatCode="0"/>
    <numFmt numFmtId="169" formatCode="0%"/>
    <numFmt numFmtId="170" formatCode="#,##0.0"/>
    <numFmt numFmtId="171" formatCode="0.00"/>
    <numFmt numFmtId="172" formatCode="General"/>
    <numFmt numFmtId="173" formatCode="0.000"/>
  </numFmts>
  <fonts count="2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rgb="FF595959"/>
      <name val="Arial"/>
      <family val="2"/>
      <charset val="1"/>
    </font>
    <font>
      <b val="true"/>
      <sz val="10"/>
      <name val="Arial"/>
      <family val="2"/>
      <charset val="1"/>
    </font>
    <font>
      <sz val="10"/>
      <name val="Arial"/>
      <family val="2"/>
      <charset val="1"/>
    </font>
    <font>
      <b val="true"/>
      <sz val="9"/>
      <name val="Arial"/>
      <family val="0"/>
      <charset val="1"/>
    </font>
    <font>
      <sz val="9"/>
      <name val="Arial"/>
      <family val="0"/>
      <charset val="1"/>
    </font>
    <font>
      <i val="true"/>
      <sz val="8"/>
      <color rgb="FF595959"/>
      <name val="Arial"/>
      <family val="0"/>
      <charset val="1"/>
    </font>
    <font>
      <b val="true"/>
      <sz val="9"/>
      <color rgb="FF008000"/>
      <name val="Arial"/>
      <family val="0"/>
      <charset val="1"/>
    </font>
    <font>
      <b val="true"/>
      <sz val="11"/>
      <color rgb="FF1F3864"/>
      <name val="Arial"/>
      <family val="0"/>
      <charset val="1"/>
    </font>
    <font>
      <b val="true"/>
      <sz val="10"/>
      <color rgb="FFFFFFFF"/>
      <name val="Arial"/>
      <family val="2"/>
      <charset val="1"/>
    </font>
    <font>
      <b val="true"/>
      <sz val="9"/>
      <color rgb="FFFFFFFF"/>
      <name val="Arial"/>
      <family val="0"/>
      <charset val="1"/>
    </font>
    <font>
      <sz val="10"/>
      <name val="FreeSans"/>
      <family val="2"/>
    </font>
    <font>
      <sz val="10"/>
      <name val="Arial"/>
      <family val="2"/>
    </font>
    <font>
      <sz val="9"/>
      <color rgb="FF0000FF"/>
      <name val="Arial"/>
      <family val="0"/>
      <charset val="1"/>
    </font>
    <font>
      <sz val="9"/>
      <color rgb="FF595959"/>
      <name val="Arial"/>
      <family val="2"/>
      <charset val="1"/>
    </font>
    <font>
      <sz val="9"/>
      <color rgb="FF0000FF"/>
      <name val="Arial"/>
      <family val="2"/>
      <charset val="1"/>
    </font>
    <font>
      <i val="true"/>
      <sz val="9"/>
      <color rgb="FF808080"/>
      <name val="Arial"/>
      <family val="0"/>
      <charset val="1"/>
    </font>
    <font>
      <b val="true"/>
      <sz val="13"/>
      <color rgb="FF1F3864"/>
      <name val="Arial"/>
      <family val="0"/>
      <charset val="1"/>
    </font>
  </fonts>
  <fills count="16">
    <fill>
      <patternFill patternType="none"/>
    </fill>
    <fill>
      <patternFill patternType="gray125"/>
    </fill>
    <fill>
      <patternFill patternType="solid">
        <fgColor rgb="FF1F3864"/>
        <bgColor rgb="FF333399"/>
      </patternFill>
    </fill>
    <fill>
      <patternFill patternType="solid">
        <fgColor rgb="FFE2EFDA"/>
        <bgColor rgb="FFDDEBF7"/>
      </patternFill>
    </fill>
    <fill>
      <patternFill patternType="solid">
        <fgColor rgb="FFC00000"/>
        <bgColor rgb="FF800000"/>
      </patternFill>
    </fill>
    <fill>
      <patternFill patternType="solid">
        <fgColor rgb="FF7030A0"/>
        <bgColor rgb="FF993366"/>
      </patternFill>
    </fill>
    <fill>
      <patternFill patternType="solid">
        <fgColor rgb="FF375623"/>
        <bgColor rgb="FF404040"/>
      </patternFill>
    </fill>
    <fill>
      <patternFill patternType="solid">
        <fgColor rgb="FFFFF2CC"/>
        <bgColor rgb="FFF2F2F2"/>
      </patternFill>
    </fill>
    <fill>
      <patternFill patternType="solid">
        <fgColor rgb="FF833C0B"/>
        <bgColor rgb="FF7F6000"/>
      </patternFill>
    </fill>
    <fill>
      <patternFill patternType="solid">
        <fgColor rgb="FF404040"/>
        <bgColor rgb="FF375623"/>
      </patternFill>
    </fill>
    <fill>
      <patternFill patternType="solid">
        <fgColor rgb="FF7F6000"/>
        <bgColor rgb="FF833C0B"/>
      </patternFill>
    </fill>
    <fill>
      <patternFill patternType="solid">
        <fgColor rgb="FF595959"/>
        <bgColor rgb="FF404040"/>
      </patternFill>
    </fill>
    <fill>
      <patternFill patternType="solid">
        <fgColor rgb="FFDDEBF7"/>
        <bgColor rgb="FFE2EFDA"/>
      </patternFill>
    </fill>
    <fill>
      <patternFill patternType="solid">
        <fgColor rgb="FFD9D9D9"/>
        <bgColor rgb="FFDDEBF7"/>
      </patternFill>
    </fill>
    <fill>
      <patternFill patternType="solid">
        <fgColor rgb="FFF2F2F2"/>
        <bgColor rgb="FFE2EFDA"/>
      </patternFill>
    </fill>
    <fill>
      <patternFill patternType="solid">
        <fgColor rgb="FFFFFF00"/>
        <bgColor rgb="FFFFF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center" textRotation="0" wrapText="true" indent="0" shrinkToFit="false" readingOrder="2"/>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8" fontId="6" fillId="3" borderId="1" xfId="0" applyFont="true" applyBorder="true" applyAlignment="false" applyProtection="false">
      <alignment horizontal="general" vertical="bottom" textRotation="0" wrapText="false" indent="0" shrinkToFit="false"/>
      <protection locked="true" hidden="false"/>
    </xf>
    <xf numFmtId="169" fontId="6" fillId="3"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6" fillId="7" borderId="2" xfId="0" applyFont="true" applyBorder="true" applyAlignment="true" applyProtection="false">
      <alignment horizontal="general" vertical="top"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4" fontId="14" fillId="8" borderId="2" xfId="0" applyFont="true" applyBorder="true" applyAlignment="true" applyProtection="false">
      <alignment horizontal="center" vertical="center" textRotation="0" wrapText="true" indent="0" shrinkToFit="false"/>
      <protection locked="true" hidden="false"/>
    </xf>
    <xf numFmtId="164" fontId="14" fillId="6" borderId="2" xfId="0" applyFont="true" applyBorder="true" applyAlignment="true" applyProtection="false">
      <alignment horizontal="center" vertical="center" textRotation="0" wrapText="true" indent="0" shrinkToFit="false"/>
      <protection locked="true" hidden="false"/>
    </xf>
    <xf numFmtId="164" fontId="14" fillId="9" borderId="2" xfId="0" applyFont="true" applyBorder="true" applyAlignment="true" applyProtection="false">
      <alignment horizontal="center" vertical="center" textRotation="0" wrapText="true" indent="0" shrinkToFit="false"/>
      <protection locked="true" hidden="false"/>
    </xf>
    <xf numFmtId="164" fontId="14" fillId="10" borderId="2"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center" vertical="center" textRotation="0" wrapText="true" indent="0" shrinkToFit="false"/>
      <protection locked="true" hidden="false"/>
    </xf>
    <xf numFmtId="164" fontId="14" fillId="11" borderId="2"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true" applyAlignment="false" applyProtection="false">
      <alignment horizontal="general" vertical="bottom" textRotation="0" wrapText="fals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70" fontId="17" fillId="0" borderId="1" xfId="0" applyFont="true" applyBorder="true" applyAlignment="false" applyProtection="false">
      <alignment horizontal="general" vertical="bottom" textRotation="0" wrapText="false" indent="0" shrinkToFit="false"/>
      <protection locked="true" hidden="false"/>
    </xf>
    <xf numFmtId="170" fontId="9" fillId="14" borderId="1" xfId="0" applyFont="true" applyBorder="true" applyAlignment="false" applyProtection="false">
      <alignment horizontal="general" vertical="bottom" textRotation="0" wrapText="false" indent="0" shrinkToFit="false"/>
      <protection locked="true" hidden="false"/>
    </xf>
    <xf numFmtId="164" fontId="9" fillId="14" borderId="1" xfId="0" applyFont="true" applyBorder="true" applyAlignment="false" applyProtection="false">
      <alignment horizontal="general" vertical="bottom" textRotation="0" wrapText="false" indent="0" shrinkToFit="false"/>
      <protection locked="true" hidden="false"/>
    </xf>
    <xf numFmtId="166" fontId="17" fillId="0" borderId="1" xfId="0" applyFont="true" applyBorder="true" applyAlignment="false" applyProtection="false">
      <alignment horizontal="general" vertical="bottom" textRotation="0" wrapText="false" indent="0" shrinkToFit="false"/>
      <protection locked="true" hidden="false"/>
    </xf>
    <xf numFmtId="166" fontId="9" fillId="14" borderId="1" xfId="0" applyFont="true" applyBorder="true" applyAlignment="false" applyProtection="false">
      <alignment horizontal="general" vertical="bottom" textRotation="0" wrapText="false" indent="0" shrinkToFit="false"/>
      <protection locked="true" hidden="false"/>
    </xf>
    <xf numFmtId="171" fontId="9" fillId="14" borderId="1" xfId="0" applyFont="true" applyBorder="true" applyAlignment="false" applyProtection="false">
      <alignment horizontal="general" vertical="bottom" textRotation="0" wrapText="false" indent="0" shrinkToFit="false"/>
      <protection locked="true" hidden="false"/>
    </xf>
    <xf numFmtId="167" fontId="9" fillId="14" borderId="1" xfId="0" applyFont="true" applyBorder="true" applyAlignment="false" applyProtection="false">
      <alignment horizontal="general" vertical="bottom" textRotation="0" wrapText="false" indent="0" shrinkToFit="false"/>
      <protection locked="true" hidden="false"/>
    </xf>
    <xf numFmtId="164" fontId="17" fillId="15" borderId="1" xfId="0" applyFont="true" applyBorder="true" applyAlignment="false" applyProtection="false">
      <alignment horizontal="general" vertical="bottom" textRotation="0" wrapText="false" indent="0" shrinkToFit="false"/>
      <protection locked="true" hidden="false"/>
    </xf>
    <xf numFmtId="166" fontId="9" fillId="12" borderId="1" xfId="0" applyFont="true" applyBorder="true" applyAlignment="false" applyProtection="false">
      <alignment horizontal="general" vertical="bottom" textRotation="0" wrapText="false" indent="0" shrinkToFit="false"/>
      <protection locked="true" hidden="false"/>
    </xf>
    <xf numFmtId="170" fontId="17" fillId="15" borderId="1" xfId="0" applyFont="true" applyBorder="tru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7" fillId="7" borderId="1" xfId="0" applyFont="true" applyBorder="true" applyAlignment="true" applyProtection="false">
      <alignment horizontal="general" vertical="bottom" textRotation="0" wrapText="tru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8" fontId="9" fillId="14" borderId="1" xfId="0" applyFont="true" applyBorder="true" applyAlignment="false" applyProtection="false">
      <alignment horizontal="general"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9" fillId="7" borderId="1" xfId="0" applyFont="true" applyBorder="tru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20" fillId="14" borderId="1" xfId="0" applyFont="true" applyBorder="true" applyAlignment="false" applyProtection="false">
      <alignment horizontal="general" vertical="bottom" textRotation="0" wrapText="false" indent="0" shrinkToFit="false"/>
      <protection locked="true" hidden="false"/>
    </xf>
    <xf numFmtId="166" fontId="20" fillId="14"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71" fontId="17" fillId="0" borderId="1" xfId="0" applyFont="true" applyBorder="true" applyAlignment="false" applyProtection="false">
      <alignment horizontal="general" vertical="bottom" textRotation="0" wrapText="false" indent="0" shrinkToFit="false"/>
      <protection locked="true" hidden="false"/>
    </xf>
    <xf numFmtId="171" fontId="17" fillId="7"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14" fillId="10" borderId="1" xfId="0" applyFont="true" applyBorder="true" applyAlignment="true" applyProtection="false">
      <alignment horizontal="center" vertical="center" textRotation="0" wrapText="true" indent="0" shrinkToFit="false"/>
      <protection locked="true" hidden="false"/>
    </xf>
    <xf numFmtId="173" fontId="1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73" fontId="17" fillId="15" borderId="1" xfId="0" applyFont="true" applyBorder="true" applyAlignment="false" applyProtection="false">
      <alignment horizontal="general" vertical="bottom" textRotation="0" wrapText="false" indent="0" shrinkToFit="false"/>
      <protection locked="true" hidden="false"/>
    </xf>
    <xf numFmtId="173" fontId="9" fillId="0" borderId="1" xfId="0" applyFont="true" applyBorder="true" applyAlignment="false" applyProtection="false">
      <alignment horizontal="general" vertical="bottom" textRotation="0" wrapText="false" indent="0" shrinkToFit="false"/>
      <protection locked="true" hidden="false"/>
    </xf>
    <xf numFmtId="165" fontId="17" fillId="7"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9" fillId="15" borderId="1" xfId="0" applyFont="true" applyBorder="true" applyAlignment="false" applyProtection="false">
      <alignment horizontal="general" vertical="bottom" textRotation="0" wrapText="false" indent="0" shrinkToFit="false"/>
      <protection locked="true" hidden="false"/>
    </xf>
    <xf numFmtId="164" fontId="14"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DDEBF7"/>
          <bgColor rgb="FF000000"/>
        </patternFill>
      </fill>
    </dxf>
    <dxf>
      <fill>
        <patternFill patternType="solid">
          <bgColor rgb="FF000000"/>
        </patternFill>
      </fill>
    </dxf>
    <dxf>
      <fill>
        <patternFill patternType="solid">
          <fgColor rgb="FF0000FF"/>
          <bgColor rgb="FF000000"/>
        </patternFill>
      </fill>
    </dxf>
    <dxf>
      <fill>
        <patternFill patternType="solid">
          <fgColor rgb="FFFFF2CC"/>
          <bgColor rgb="FF000000"/>
        </patternFill>
      </fill>
    </dxf>
    <dxf>
      <fill>
        <patternFill patternType="solid">
          <fgColor rgb="FFFFFF00"/>
          <bgColor rgb="FF000000"/>
        </patternFill>
      </fill>
    </dxf>
    <dxf>
      <fill>
        <patternFill patternType="solid">
          <fgColor rgb="FFD9D9D9"/>
          <bgColor rgb="FF000000"/>
        </patternFill>
      </fill>
    </dxf>
    <dxf>
      <fill>
        <patternFill patternType="solid">
          <fgColor rgb="FFF2F2F2"/>
          <bgColor rgb="FF000000"/>
        </patternFill>
      </fill>
    </dxf>
    <dxf>
      <fill>
        <patternFill>
          <bgColor rgb="FFF2F2F2"/>
        </patternFill>
      </fill>
    </dxf>
    <dxf>
      <fill>
        <patternFill patternType="solid">
          <fgColor rgb="FF808080"/>
          <bgColor rgb="FF000000"/>
        </patternFill>
      </fill>
    </dxf>
    <dxf>
      <fill>
        <patternFill patternType="solid">
          <fgColor rgb="FF375623"/>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1F3864"/>
          <bgColor rgb="FF000000"/>
        </patternFill>
      </fill>
    </dxf>
    <dxf>
      <fill>
        <patternFill patternType="solid">
          <fgColor rgb="FF000000"/>
          <bgColor rgb="FF000000"/>
        </patternFill>
      </fill>
    </dxf>
    <dxf>
      <fill>
        <patternFill patternType="solid">
          <fgColor rgb="FF7030A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75623"/>
      <rgbColor rgb="FF833C0B"/>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ables/table1.xml><?xml version="1.0" encoding="utf-8"?>
<table xmlns="http://schemas.openxmlformats.org/spreadsheetml/2006/main" id="1" name="tbl_calc_spec" displayName="tbl_calc_spec" ref="A4:E25" headerRowCount="1" totalsRowCount="0" totalsRowShown="0">
  <autoFilter ref="A4:E25"/>
  <tableColumns count="5">
    <tableColumn id="1" name="step"/>
    <tableColumn id="2" name="name"/>
    <tableColumn id="3" name="scope"/>
    <tableColumn id="4" name="expression"/>
    <tableColumn id="5" name="note_fa"/>
  </tableColumns>
</table>
</file>

<file path=xl/tables/table2.xml><?xml version="1.0" encoding="utf-8"?>
<table xmlns="http://schemas.openxmlformats.org/spreadsheetml/2006/main" id="2" name="tbl_dictionary" displayName="tbl_dictionary" ref="A4:N78" headerRowCount="1" totalsRowCount="0" totalsRowShown="0">
  <autoFilter ref="A4:N78"/>
  <tableColumns count="14">
    <tableColumn id="1" name="field_key"/>
    <tableColumn id="2" name="header_en"/>
    <tableColumn id="3" name="table"/>
    <tableColumn id="4" name="excel_column"/>
    <tableColumn id="5" name="group_fa"/>
    <tableColumn id="6" name="scope"/>
    <tableColumn id="7" name="role"/>
    <tableColumn id="8" name="data_type"/>
    <tableColumn id="9" name="unit"/>
    <tableColumn id="10" name="allowed_values_source"/>
    <tableColumn id="11" name="allowed_values"/>
    <tableColumn id="12" name="formula_template"/>
    <tableColumn id="13" name="excel_formula_row5"/>
    <tableColumn id="14" name="description_fa"/>
  </tableColumns>
</table>
</file>

<file path=xl/tables/table3.xml><?xml version="1.0" encoding="utf-8"?>
<table xmlns="http://schemas.openxmlformats.org/spreadsheetml/2006/main" id="3" name="tbl_evidence" displayName="tbl_evidence" ref="A4:F1414" headerRowCount="1" totalsRowCount="0" totalsRowShown="0">
  <autoFilter ref="A4:F1414"/>
  <tableColumns count="6">
    <tableColumn id="1" name="record_id"/>
    <tableColumn id="2" name="row_no"/>
    <tableColumn id="3" name="field_key"/>
    <tableColumn id="4" name="status"/>
    <tableColumn id="5" name="value"/>
    <tableColumn id="6" name="note"/>
  </tableColumns>
</table>
</file>

<file path=xl/tables/table4.xml><?xml version="1.0" encoding="utf-8"?>
<table xmlns="http://schemas.openxmlformats.org/spreadsheetml/2006/main" id="4" name="tbl_factors" displayName="tbl_factors" ref="A4:H83" headerRowCount="1" totalsRowCount="0" totalsRowShown="0">
  <autoFilter ref="A4:H83"/>
  <tableColumns count="8">
    <tableColumn id="1" name="Key"/>
    <tableColumn id="2" name="Group"/>
    <tableColumn id="3" name="Option"/>
    <tableColumn id="4" name="Provisional Factor"/>
    <tableColumn id="5" name="Calibrated Factor (input)"/>
    <tableColumn id="6" name="Used Factor"/>
    <tableColumn id="7" name="Status"/>
    <tableColumn id="8" name="Description"/>
  </tableColumns>
</table>
</file>

<file path=xl/tables/table5.xml><?xml version="1.0" encoding="utf-8"?>
<table xmlns="http://schemas.openxmlformats.org/spreadsheetml/2006/main" id="5" name="tbl_fx" displayName="tbl_fx" ref="A4:E25" headerRowCount="1" totalsRowCount="0" totalsRowShown="0">
  <autoFilter ref="A4:E25"/>
  <tableColumns count="5">
    <tableColumn id="1" name="Jalali Year"/>
    <tableColumn id="2" name="USD → IRR"/>
    <tableColumn id="3" name="EUR → IRR"/>
    <tableColumn id="4" name="EUR / USD Ratio"/>
    <tableColumn id="5" name="Basis / Document Reference Source"/>
  </tableColumns>
</table>
</file>

<file path=xl/tables/table6.xml><?xml version="1.0" encoding="utf-8"?>
<table xmlns="http://schemas.openxmlformats.org/spreadsheetml/2006/main" id="6" name="tbl_index" displayName="tbl_index" ref="A4:D25" headerRowCount="1" totalsRowCount="0" totalsRowShown="0">
  <autoFilter ref="A4:D25"/>
  <tableColumns count="4">
    <tableColumn id="1" name="Jalali Year"/>
    <tableColumn id="2" name="PPI C28.13 EA20 (2021=100), Jalali-year blend"/>
    <tableColumn id="3" name="Gregorian ref."/>
    <tableColumn id="4" name="Source / status"/>
  </tableColumns>
</table>
</file>

<file path=xl/tables/table7.xml><?xml version="1.0" encoding="utf-8"?>
<table xmlns="http://schemas.openxmlformats.org/spreadsheetml/2006/main" id="7" name="tbl_lookup" displayName="tbl_lookup" ref="A4:V60" headerRowCount="1" totalsRowCount="0" totalsRowShown="0">
  <autoFilter ref="A4:V60"/>
  <tableColumns count="22">
    <tableColumn id="1" name="SubCat"/>
    <tableColumn id="2" name="Service"/>
    <tableColumn id="3" name="Std"/>
    <tableColumn id="4" name="IPS"/>
    <tableColumn id="5" name="Family"/>
    <tableColumn id="6" name="API610"/>
    <tableColumn id="7" name="Power_Basis"/>
    <tableColumn id="8" name="YN"/>
    <tableColumn id="9" name="YNS"/>
    <tableColumn id="10" name="Currency"/>
    <tableColumn id="11" name="Year"/>
    <tableColumn id="12" name="Incoterm"/>
    <tableColumn id="13" name="Phase"/>
    <tableColumn id="14" name="Origin"/>
    <tableColumn id="15" name="AVL"/>
    <tableColumn id="16" name="Rank"/>
    <tableColumn id="17" name="TBE"/>
    <tableColumn id="18" name="MAT"/>
    <tableColumn id="19" name="SEAL_ARR"/>
    <tableColumn id="20" name="SEAL_CAT"/>
    <tableColumn id="21" name="SEAL_PLAN"/>
    <tableColumn id="22" name="DRV"/>
  </tableColumns>
</table>
</file>

<file path=xl/tables/table8.xml><?xml version="1.0" encoding="utf-8"?>
<table xmlns="http://schemas.openxmlformats.org/spreadsheetml/2006/main" id="8" name="tbl_master" displayName="tbl_master" ref="A4:BI150" headerRowCount="1" totalsRowCount="0" totalsRowShown="0">
  <autoFilter ref="A4:BI150"/>
  <tableColumns count="61">
    <tableColumn id="1" name="Row"/>
    <tableColumn id="2" name="Equipment Name"/>
    <tableColumn id="3" name="Project Name"/>
    <tableColumn id="4" name="Tag No."/>
    <tableColumn id="5" name="Sub-Category"/>
    <tableColumn id="6" name="API 610 Type"/>
    <tableColumn id="7" name="API 610 Material Class"/>
    <tableColumn id="8" name="Capacity (m³/h)"/>
    <tableColumn id="9" name="Diff. Head (m)"/>
    <tableColumn id="10" name="Power (kW)"/>
    <tableColumn id="11" name="Size Driver kW (est.)"/>
    <tableColumn id="12" name="Standards"/>
    <tableColumn id="13" name="Pump Standard"/>
    <tableColumn id="14" name="IPS Standard"/>
    <tableColumn id="15" name="NACE MR0175 (Y/N)"/>
    <tableColumn id="16" name="Seal Type / Arrangement"/>
    <tableColumn id="17" name="API 682 Category"/>
    <tableColumn id="18" name="API 682 Seal Plan"/>
    <tableColumn id="19" name="Driver Type"/>
    <tableColumn id="20" name="Service Fluid"/>
    <tableColumn id="21" name="Quantity"/>
    <tableColumn id="22" name="Pump Family"/>
    <tableColumn id="23" name="Discharge Pressure (barg)"/>
    <tableColumn id="24" name="Power Basis"/>
    <tableColumn id="25" name="Cost Year (Jalali)"/>
    <tableColumn id="26" name="Reference Currency"/>
    <tableColumn id="27" name="Unit Price (Reference)"/>
    <tableColumn id="28" name="Unit Price EUR (source yr)"/>
    <tableColumn id="29" name="Unit Price USD (source yr)"/>
    <tableColumn id="30" name="Unit Price IRR (source yr)"/>
    <tableColumn id="31" name="Price Basis (as stated in source)"/>
    <tableColumn id="32" name="Incoterm"/>
    <tableColumn id="33" name="Escalated Unit Price EUR (target yr)"/>
    <tableColumn id="34" name="Escalated Unit Price USD (target yr)"/>
    <tableColumn id="35" name="Escalated Unit Price IRR (target yr)"/>
    <tableColumn id="36" name="Manufacturer / Supplier (as in source)"/>
    <tableColumn id="37" name="Project Phase"/>
    <tableColumn id="38" name="Scope: Driver incl."/>
    <tableColumn id="39" name="Scope: Baseplate &amp; Coupling"/>
    <tableColumn id="40" name="Scope: Seal Support System"/>
    <tableColumn id="41" name="Scope: Comm. Spares"/>
    <tableColumn id="42" name="Scope: 2-yr Spares"/>
    <tableColumn id="43" name="Scope: TPI"/>
    <tableColumn id="44" name="Scope: Witnessed FAT"/>
    <tableColumn id="45" name="QA Flag"/>
    <tableColumn id="46" name="MAT_F"/>
    <tableColumn id="47" name="SEAL_F"/>
    <tableColumn id="48" name="DRIVE_F"/>
    <tableColumn id="49" name="SCOPE_F"/>
    <tableColumn id="50" name="ALL_F"/>
    <tableColumn id="51" name="Normalized EUR (base config, source yr)"/>
    <tableColumn id="52" name="PPI Base"/>
    <tableColumn id="53" name="PPI Target"/>
    <tableColumn id="54" name="Floor Applies"/>
    <tableColumn id="55" name="Normalized Escalated EUR"/>
    <tableColumn id="56" name="Cost Coefficient (NormEsc EUR / kW^n)"/>
    <tableColumn id="57" name="Source Document"/>
    <tableColumn id="58" name="Remarks &amp; Notes"/>
    <tableColumn id="59" name="Include in Totals (Y/N)"/>
    <tableColumn id="60" name="Equipment Code"/>
    <tableColumn id="61" name="Record ID"/>
  </tableColumns>
</table>
</file>

<file path=xl/tables/table9.xml><?xml version="1.0" encoding="utf-8"?>
<table xmlns="http://schemas.openxmlformats.org/spreadsheetml/2006/main" id="9" name="tbl_meta" displayName="tbl_meta" ref="A4:C25" headerRowCount="1" totalsRowCount="0" totalsRowShown="0">
  <autoFilter ref="A4:C25"/>
  <tableColumns count="3">
    <tableColumn id="1" name="key"/>
    <tableColumn id="2" name="value"/>
    <tableColumn id="3" name="description_fa"/>
  </tableColumns>
</table>
</file>

<file path=xl/tables/table10.xml><?xml version="1.0" encoding="utf-8"?>
<table xmlns="http://schemas.openxmlformats.org/spreadsheetml/2006/main" id="10" name="tbl_params" displayName="tbl_params" ref="H4:J17" headerRowCount="1" totalsRowCount="0" totalsRowShown="0">
  <autoFilter ref="H4:J17"/>
  <tableColumns count="3">
    <tableColumn id="1" name="Parameter"/>
    <tableColumn id="2" name="Value"/>
    <tableColumn id="3" name="Note"/>
  </tableColumns>
</table>
</file>

<file path=xl/tables/table11.xml><?xml version="1.0" encoding="utf-8"?>
<table xmlns="http://schemas.openxmlformats.org/spreadsheetml/2006/main" id="11" name="tbl_quotes" displayName="tbl_quotes" ref="A4:V89" headerRowCount="1" totalsRowCount="0" totalsRowShown="0">
  <autoFilter ref="A4:V89"/>
  <tableColumns count="22">
    <tableColumn id="1" name="Quote_ID"/>
    <tableColumn id="2" name="Master Row"/>
    <tableColumn id="3" name="Tag (auto)"/>
    <tableColumn id="4" name="Equipment Name (auto)"/>
    <tableColumn id="5" name="Vendor_ID"/>
    <tableColumn id="6" name="Vendor Name (auto)"/>
    <tableColumn id="7" name="AVL Status (auto)"/>
    <tableColumn id="8" name="Quote Year (Jalali)"/>
    <tableColumn id="9" name="Quote Ref / Date"/>
    <tableColumn id="10" name="Validity (days)"/>
    <tableColumn id="11" name="Incoterm"/>
    <tableColumn id="12" name="Currency"/>
    <tableColumn id="13" name="Quoted Unit Price"/>
    <tableColumn id="14" name="TBE OK"/>
    <tableColumn id="15" name="Unit Price EUR (auto)"/>
    <tableColumn id="16" name="Delivery (weeks)"/>
    <tableColumn id="17" name="Sc: Driver"/>
    <tableColumn id="18" name="Sc: Baseplate"/>
    <tableColumn id="19" name="Sc: Seal System"/>
    <tableColumn id="20" name="Sc: Spares"/>
    <tableColumn id="21" name="Sc: TPI"/>
    <tableColumn id="22" name="Remarks"/>
  </tableColumns>
</table>
</file>

<file path=xl/tables/table12.xml><?xml version="1.0" encoding="utf-8"?>
<table xmlns="http://schemas.openxmlformats.org/spreadsheetml/2006/main" id="12" name="tbl_test_estimator" displayName="tbl_test_estimator" ref="E4:J86" headerRowCount="1" totalsRowCount="0" totalsRowShown="0">
  <autoFilter ref="E4:J86"/>
  <tableColumns count="6">
    <tableColumn id="1" name="scenario"/>
    <tableColumn id="2" name="kind"/>
    <tableColumn id="3" name="excel_cell"/>
    <tableColumn id="4" name="label"/>
    <tableColumn id="5" name="value"/>
    <tableColumn id="6" name="factor"/>
  </tableColumns>
</table>
</file>

<file path=xl/tables/table13.xml><?xml version="1.0" encoding="utf-8"?>
<table xmlns="http://schemas.openxmlformats.org/spreadsheetml/2006/main" id="13" name="tbl_test_records" displayName="tbl_test_records" ref="A4:C2924" headerRowCount="1" totalsRowCount="0" totalsRowShown="0">
  <autoFilter ref="A4:C2924"/>
  <tableColumns count="3">
    <tableColumn id="1" name="record_id"/>
    <tableColumn id="2" name="field_key"/>
    <tableColumn id="3" name="expected_value"/>
  </tableColumns>
</table>
</file>

<file path=xl/tables/table14.xml><?xml version="1.0" encoding="utf-8"?>
<table xmlns="http://schemas.openxmlformats.org/spreadsheetml/2006/main" id="14" name="tbl_vendors" displayName="tbl_vendors" ref="A4:I9" headerRowCount="1" totalsRowCount="0" totalsRowShown="0">
  <autoFilter ref="A4:I9"/>
  <tableColumns count="9">
    <tableColumn id="1" name="Vendor_ID"/>
    <tableColumn id="2" name="Vendor Name"/>
    <tableColumn id="3" name="Country"/>
    <tableColumn id="4" name="Origin"/>
    <tableColumn id="5" name="AVL_Status"/>
    <tableColumn id="6" name="Vendor_Rank"/>
    <tableColumn id="7" name="Pump types supplied"/>
    <tableColumn id="8" name="Licensor / OEM"/>
    <tableColumn id="9" name="Notes"/>
  </tableColumns>
</table>
</file>

<file path=xl/tables/table15.xml><?xml version="1.0" encoding="utf-8"?>
<table xmlns="http://schemas.openxmlformats.org/spreadsheetml/2006/main" id="15" name="tbl_verification" displayName="tbl_verification" ref="A11:H1503" headerRowCount="1" totalsRowCount="0" totalsRowShown="0">
  <autoFilter ref="A11:H1503"/>
  <tableColumns count="8">
    <tableColumn id="1" name="Row"/>
    <tableColumn id="2" name="Project"/>
    <tableColumn id="3" name="Tag No."/>
    <tableColumn id="4" name="Field"/>
    <tableColumn id="5" name="Bank value"/>
    <tableColumn id="6" name="Source value"/>
    <tableColumn id="7" name="Source reference"/>
    <tableColumn id="8" name="Resul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Relationship Id="rId3" Type="http://schemas.openxmlformats.org/officeDocument/2006/relationships/table" Target="../tables/table8.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Relationship Id="rId3" Type="http://schemas.openxmlformats.org/officeDocument/2006/relationships/table" Target="../tables/table11.xml"/>
</Relationships>
</file>

<file path=xl/worksheets/_rels/sheet7.xml.rels><?xml version="1.0" encoding="UTF-8"?>
<Relationships xmlns="http://schemas.openxmlformats.org/package/2006/relationships"><Relationship Id="rId1" Type="http://schemas.openxmlformats.org/officeDocument/2006/relationships/table" Target="../tables/table14.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Relationship Id="rId3"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7.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table" Target="../tables/table5.xml"/><Relationship Id="rId2" Type="http://schemas.openxmlformats.org/officeDocument/2006/relationships/table" Target="../tables/table10.xml"/>
</Relationships>
</file>

<file path=xl/worksheets/_rels/sheet12.xml.rels><?xml version="1.0" encoding="UTF-8"?>
<Relationships xmlns="http://schemas.openxmlformats.org/package/2006/relationships"><Relationship Id="rId1" Type="http://schemas.openxmlformats.org/officeDocument/2006/relationships/table" Target="../tables/table15.xml"/>
</Relationships>
</file>

<file path=xl/worksheets/_rels/sheet13.xml.rels><?xml version="1.0" encoding="UTF-8"?>
<Relationships xmlns="http://schemas.openxmlformats.org/package/2006/relationships"><Relationship Id="rId1" Type="http://schemas.openxmlformats.org/officeDocument/2006/relationships/table" Target="../tables/table9.xml"/>
</Relationships>
</file>

<file path=xl/worksheets/_rels/sheet14.xml.rels><?xml version="1.0" encoding="UTF-8"?>
<Relationships xmlns="http://schemas.openxmlformats.org/package/2006/relationships"><Relationship Id="rId1" Type="http://schemas.openxmlformats.org/officeDocument/2006/relationships/table" Target="../tables/table2.xml"/>
</Relationships>
</file>

<file path=xl/worksheets/_rels/sheet15.xml.rels><?xml version="1.0" encoding="UTF-8"?>
<Relationships xmlns="http://schemas.openxmlformats.org/package/2006/relationships"><Relationship Id="rId1" Type="http://schemas.openxmlformats.org/officeDocument/2006/relationships/table" Target="../tables/table1.xml"/>
</Relationships>
</file>

<file path=xl/worksheets/_rels/sheet16.xml.rels><?xml version="1.0" encoding="UTF-8"?>
<Relationships xmlns="http://schemas.openxmlformats.org/package/2006/relationships"><Relationship Id="rId1" Type="http://schemas.openxmlformats.org/officeDocument/2006/relationships/table" Target="../tables/table3.xml"/>
</Relationships>
</file>

<file path=xl/worksheets/_rels/sheet17.xml.rels><?xml version="1.0" encoding="UTF-8"?>
<Relationships xmlns="http://schemas.openxmlformats.org/package/2006/relationships"><Relationship Id="rId1" Type="http://schemas.openxmlformats.org/officeDocument/2006/relationships/table" Target="../tables/table12.xml"/><Relationship Id="rId2" Type="http://schemas.openxmlformats.org/officeDocument/2006/relationships/table" Target="../tables/table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71484375" defaultRowHeight="15" zeroHeight="false" outlineLevelRow="0" outlineLevelCol="0"/>
  <cols>
    <col collapsed="false" customWidth="true" hidden="false" outlineLevel="0" max="1" min="1" style="0" width="20"/>
    <col collapsed="false" customWidth="true" hidden="false" outlineLevel="0" max="2" min="2" style="0" width="120"/>
  </cols>
  <sheetData>
    <row r="1" customFormat="false" ht="18" hidden="false" customHeight="true" outlineLevel="0" collapsed="false">
      <c r="A1" s="1" t="s">
        <v>0</v>
      </c>
      <c r="B1" s="1"/>
    </row>
    <row r="2" customFormat="false" ht="15" hidden="false" customHeight="false" outlineLevel="0" collapsed="false">
      <c r="A2" s="2" t="s">
        <v>1</v>
      </c>
      <c r="B2" s="2"/>
    </row>
    <row r="4" customFormat="false" ht="39.75" hidden="false" customHeight="true" outlineLevel="0" collapsed="false">
      <c r="A4" s="3" t="s">
        <v>2</v>
      </c>
      <c r="B4" s="4" t="s">
        <v>3</v>
      </c>
    </row>
    <row r="5" customFormat="false" ht="39.75" hidden="false" customHeight="true" outlineLevel="0" collapsed="false">
      <c r="A5" s="3" t="s">
        <v>4</v>
      </c>
      <c r="B5" s="4" t="s">
        <v>5</v>
      </c>
    </row>
    <row r="6" customFormat="false" ht="39.75" hidden="false" customHeight="true" outlineLevel="0" collapsed="false">
      <c r="A6" s="3" t="s">
        <v>6</v>
      </c>
      <c r="B6" s="4" t="s">
        <v>7</v>
      </c>
    </row>
    <row r="7" customFormat="false" ht="39.75" hidden="false" customHeight="true" outlineLevel="0" collapsed="false">
      <c r="A7" s="3" t="s">
        <v>8</v>
      </c>
      <c r="B7" s="4" t="s">
        <v>9</v>
      </c>
    </row>
    <row r="8" customFormat="false" ht="39.75" hidden="false" customHeight="true" outlineLevel="0" collapsed="false">
      <c r="A8" s="3" t="s">
        <v>10</v>
      </c>
      <c r="B8" s="4" t="s">
        <v>11</v>
      </c>
    </row>
    <row r="9" customFormat="false" ht="39.75" hidden="false" customHeight="true" outlineLevel="0" collapsed="false">
      <c r="A9" s="3" t="s">
        <v>12</v>
      </c>
      <c r="B9" s="4" t="s">
        <v>13</v>
      </c>
    </row>
    <row r="10" customFormat="false" ht="39.75" hidden="false" customHeight="true" outlineLevel="0" collapsed="false">
      <c r="A10" s="3" t="s">
        <v>14</v>
      </c>
      <c r="B10" s="4" t="s">
        <v>15</v>
      </c>
    </row>
    <row r="11" customFormat="false" ht="39.75" hidden="false" customHeight="true" outlineLevel="0" collapsed="false">
      <c r="A11" s="3" t="s">
        <v>16</v>
      </c>
      <c r="B11" s="4" t="s">
        <v>17</v>
      </c>
    </row>
    <row r="12" customFormat="false" ht="39.75" hidden="false" customHeight="true" outlineLevel="0" collapsed="false">
      <c r="A12" s="3" t="s">
        <v>18</v>
      </c>
      <c r="B12" s="4" t="s">
        <v>19</v>
      </c>
    </row>
    <row r="13" customFormat="false" ht="39.75" hidden="false" customHeight="true" outlineLevel="0" collapsed="false">
      <c r="A13" s="3" t="s">
        <v>20</v>
      </c>
      <c r="B13" s="4" t="s">
        <v>21</v>
      </c>
    </row>
    <row r="14" customFormat="false" ht="39.75" hidden="false" customHeight="true" outlineLevel="0" collapsed="false">
      <c r="A14" s="3" t="s">
        <v>22</v>
      </c>
      <c r="B14" s="4" t="s">
        <v>23</v>
      </c>
    </row>
    <row r="15" customFormat="false" ht="39.75" hidden="false" customHeight="true" outlineLevel="0" collapsed="false">
      <c r="A15" s="3" t="s">
        <v>24</v>
      </c>
      <c r="B15" s="4" t="s">
        <v>25</v>
      </c>
    </row>
    <row r="16" customFormat="false" ht="43.5" hidden="false" customHeight="true" outlineLevel="0" collapsed="false">
      <c r="A16" s="5" t="s">
        <v>26</v>
      </c>
      <c r="B16" s="6" t="s">
        <v>27</v>
      </c>
    </row>
    <row r="17" customFormat="false" ht="43.5" hidden="false" customHeight="true" outlineLevel="0" collapsed="false">
      <c r="A17" s="5" t="s">
        <v>28</v>
      </c>
      <c r="B17" s="6" t="s">
        <v>29</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8.714843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46"/>
    <col collapsed="false" customWidth="true" hidden="false" outlineLevel="0" max="4" min="4" style="0" width="30"/>
    <col collapsed="false" customWidth="true" hidden="false" outlineLevel="0" max="5" min="5" style="0" width="14"/>
    <col collapsed="false" customWidth="true" hidden="false" outlineLevel="0" max="8" min="6" style="0" width="12"/>
  </cols>
  <sheetData>
    <row r="1" customFormat="false" ht="18" hidden="false" customHeight="true" outlineLevel="0" collapsed="false">
      <c r="A1" s="7" t="s">
        <v>30</v>
      </c>
    </row>
    <row r="2" customFormat="false" ht="15" hidden="false" customHeight="false" outlineLevel="0" collapsed="false">
      <c r="A2" s="8" t="s">
        <v>31</v>
      </c>
    </row>
    <row r="4" customFormat="false" ht="15" hidden="false" customHeight="false" outlineLevel="0" collapsed="false">
      <c r="A4" s="9" t="s">
        <v>32</v>
      </c>
      <c r="B4" s="10" t="n">
        <f aca="false">'Assumptions &amp; FX Reference'!$I$5</f>
        <v>1404</v>
      </c>
      <c r="C4" s="9" t="s">
        <v>33</v>
      </c>
      <c r="D4" s="11" t="n">
        <f aca="false">'Assumptions &amp; FX Reference'!$I$8</f>
        <v>695268</v>
      </c>
      <c r="E4" s="9" t="s">
        <v>34</v>
      </c>
      <c r="F4" s="11" t="n">
        <f aca="false">'Assumptions &amp; FX Reference'!$I$11</f>
        <v>658533</v>
      </c>
      <c r="G4" s="9" t="s">
        <v>35</v>
      </c>
      <c r="H4" s="12" t="n">
        <f aca="false">'Assumptions &amp; FX Reference'!$I$12</f>
        <v>123.416</v>
      </c>
    </row>
    <row r="6" customFormat="false" ht="15" hidden="false" customHeight="false" outlineLevel="0" collapsed="false">
      <c r="A6" s="13" t="s">
        <v>36</v>
      </c>
    </row>
    <row r="7" customFormat="false" ht="38.25" hidden="false" customHeight="true" outlineLevel="0" collapsed="false">
      <c r="A7" s="14" t="s">
        <v>37</v>
      </c>
      <c r="B7" s="14" t="s">
        <v>38</v>
      </c>
      <c r="C7" s="14" t="s">
        <v>39</v>
      </c>
      <c r="D7" s="14" t="s">
        <v>40</v>
      </c>
      <c r="E7" s="14" t="s">
        <v>41</v>
      </c>
      <c r="F7" s="14" t="s">
        <v>42</v>
      </c>
      <c r="G7" s="14" t="s">
        <v>43</v>
      </c>
      <c r="H7" s="14" t="s">
        <v>44</v>
      </c>
    </row>
    <row r="8" customFormat="false" ht="30" hidden="false" customHeight="true" outlineLevel="0" collapsed="false">
      <c r="A8" s="15" t="s">
        <v>45</v>
      </c>
      <c r="B8" s="16" t="s">
        <v>46</v>
      </c>
      <c r="C8" s="17" t="s">
        <v>47</v>
      </c>
      <c r="D8" s="18" t="n">
        <f aca="false">COUNTIFS('Master Database'!$BG$5:$BG$600,"Y",'Master Database'!$E$5:$E$600,A8)</f>
        <v>15</v>
      </c>
      <c r="E8" s="18" t="n">
        <f aca="false">COUNTIFS('Master Database'!$BG$5:$BG$600,"Y",'Master Database'!$E$5:$E$600,A8,'Master Database'!$AG$5:$AG$600,"&gt;0")</f>
        <v>10</v>
      </c>
      <c r="F8" s="19" t="n">
        <f aca="false">IF(D8=0,"",COUNTIFS('Master Database'!$BG$5:$BG$600,"Y",'Master Database'!$E$5:$E$600,A8,'Master Database'!$G$5:$G$600,"&lt;&gt;Not stated")/D8)</f>
        <v>0.466666666666667</v>
      </c>
      <c r="G8" s="19" t="n">
        <f aca="false">IF(D8=0,"",COUNTIFS('Master Database'!$BG$5:$BG$600,"Y",'Master Database'!$E$5:$E$600,A8,'Master Database'!$P$5:$P$600,"&lt;&gt;Not stated")/D8)</f>
        <v>0</v>
      </c>
      <c r="H8" s="19" t="n">
        <f aca="false">IF(D8=0,"",COUNTIFS('Master Database'!$BG$5:$BG$600,"Y",'Master Database'!$E$5:$E$600,A8,'Master Database'!$K$5:$K$600,"&gt;0")/D8)</f>
        <v>0.933333333333333</v>
      </c>
    </row>
    <row r="9" customFormat="false" ht="30" hidden="false" customHeight="true" outlineLevel="0" collapsed="false">
      <c r="A9" s="15" t="s">
        <v>48</v>
      </c>
      <c r="B9" s="16" t="s">
        <v>49</v>
      </c>
      <c r="C9" s="17" t="s">
        <v>50</v>
      </c>
      <c r="D9" s="18" t="n">
        <f aca="false">COUNTIFS('Master Database'!$BG$5:$BG$600,"Y",'Master Database'!$E$5:$E$600,A9)</f>
        <v>36</v>
      </c>
      <c r="E9" s="18" t="n">
        <f aca="false">COUNTIFS('Master Database'!$BG$5:$BG$600,"Y",'Master Database'!$E$5:$E$600,A9,'Master Database'!$AG$5:$AG$600,"&gt;0")</f>
        <v>28</v>
      </c>
      <c r="F9" s="19" t="n">
        <f aca="false">IF(D9=0,"",COUNTIFS('Master Database'!$BG$5:$BG$600,"Y",'Master Database'!$E$5:$E$600,A9,'Master Database'!$G$5:$G$600,"&lt;&gt;Not stated")/D9)</f>
        <v>0.666666666666667</v>
      </c>
      <c r="G9" s="19" t="n">
        <f aca="false">IF(D9=0,"",COUNTIFS('Master Database'!$BG$5:$BG$600,"Y",'Master Database'!$E$5:$E$600,A9,'Master Database'!$P$5:$P$600,"&lt;&gt;Not stated")/D9)</f>
        <v>0</v>
      </c>
      <c r="H9" s="19" t="n">
        <f aca="false">IF(D9=0,"",COUNTIFS('Master Database'!$BG$5:$BG$600,"Y",'Master Database'!$E$5:$E$600,A9,'Master Database'!$K$5:$K$600,"&gt;0")/D9)</f>
        <v>0.916666666666667</v>
      </c>
    </row>
    <row r="10" customFormat="false" ht="30" hidden="false" customHeight="true" outlineLevel="0" collapsed="false">
      <c r="A10" s="15" t="s">
        <v>51</v>
      </c>
      <c r="B10" s="16" t="s">
        <v>52</v>
      </c>
      <c r="C10" s="17" t="s">
        <v>53</v>
      </c>
      <c r="D10" s="18" t="n">
        <f aca="false">COUNTIFS('Master Database'!$BG$5:$BG$600,"Y",'Master Database'!$E$5:$E$600,A10)</f>
        <v>21</v>
      </c>
      <c r="E10" s="18" t="n">
        <f aca="false">COUNTIFS('Master Database'!$BG$5:$BG$600,"Y",'Master Database'!$E$5:$E$600,A10,'Master Database'!$AG$5:$AG$600,"&gt;0")</f>
        <v>15</v>
      </c>
      <c r="F10" s="19" t="n">
        <f aca="false">IF(D10=0,"",COUNTIFS('Master Database'!$BG$5:$BG$600,"Y",'Master Database'!$E$5:$E$600,A10,'Master Database'!$G$5:$G$600,"&lt;&gt;Not stated")/D10)</f>
        <v>0.80952380952381</v>
      </c>
      <c r="G10" s="19" t="n">
        <f aca="false">IF(D10=0,"",COUNTIFS('Master Database'!$BG$5:$BG$600,"Y",'Master Database'!$E$5:$E$600,A10,'Master Database'!$P$5:$P$600,"&lt;&gt;Not stated")/D10)</f>
        <v>0</v>
      </c>
      <c r="H10" s="19" t="n">
        <f aca="false">IF(D10=0,"",COUNTIFS('Master Database'!$BG$5:$BG$600,"Y",'Master Database'!$E$5:$E$600,A10,'Master Database'!$K$5:$K$600,"&gt;0")/D10)</f>
        <v>0.761904761904762</v>
      </c>
    </row>
    <row r="11" customFormat="false" ht="30" hidden="false" customHeight="true" outlineLevel="0" collapsed="false">
      <c r="A11" s="15" t="s">
        <v>54</v>
      </c>
      <c r="B11" s="16" t="s">
        <v>55</v>
      </c>
      <c r="C11" s="17" t="s">
        <v>56</v>
      </c>
      <c r="D11" s="18" t="n">
        <f aca="false">COUNTIFS('Master Database'!$BG$5:$BG$600,"Y",'Master Database'!$E$5:$E$600,A11)</f>
        <v>33</v>
      </c>
      <c r="E11" s="18" t="n">
        <f aca="false">COUNTIFS('Master Database'!$BG$5:$BG$600,"Y",'Master Database'!$E$5:$E$600,A11,'Master Database'!$AG$5:$AG$600,"&gt;0")</f>
        <v>27</v>
      </c>
      <c r="F11" s="19" t="n">
        <f aca="false">IF(D11=0,"",COUNTIFS('Master Database'!$BG$5:$BG$600,"Y",'Master Database'!$E$5:$E$600,A11,'Master Database'!$G$5:$G$600,"&lt;&gt;Not stated")/D11)</f>
        <v>0.757575757575758</v>
      </c>
      <c r="G11" s="19" t="n">
        <f aca="false">IF(D11=0,"",COUNTIFS('Master Database'!$BG$5:$BG$600,"Y",'Master Database'!$E$5:$E$600,A11,'Master Database'!$P$5:$P$600,"&lt;&gt;Not stated")/D11)</f>
        <v>0</v>
      </c>
      <c r="H11" s="19" t="n">
        <f aca="false">IF(D11=0,"",COUNTIFS('Master Database'!$BG$5:$BG$600,"Y",'Master Database'!$E$5:$E$600,A11,'Master Database'!$K$5:$K$600,"&gt;0")/D11)</f>
        <v>0.636363636363636</v>
      </c>
    </row>
    <row r="12" customFormat="false" ht="30" hidden="false" customHeight="true" outlineLevel="0" collapsed="false">
      <c r="A12" s="15" t="s">
        <v>57</v>
      </c>
      <c r="B12" s="16" t="s">
        <v>58</v>
      </c>
      <c r="C12" s="17" t="s">
        <v>59</v>
      </c>
      <c r="D12" s="18" t="n">
        <f aca="false">COUNTIFS('Master Database'!$BG$5:$BG$600,"Y",'Master Database'!$E$5:$E$600,A12)</f>
        <v>11</v>
      </c>
      <c r="E12" s="18" t="n">
        <f aca="false">COUNTIFS('Master Database'!$BG$5:$BG$600,"Y",'Master Database'!$E$5:$E$600,A12,'Master Database'!$AG$5:$AG$600,"&gt;0")</f>
        <v>9</v>
      </c>
      <c r="F12" s="19" t="n">
        <f aca="false">IF(D12=0,"",COUNTIFS('Master Database'!$BG$5:$BG$600,"Y",'Master Database'!$E$5:$E$600,A12,'Master Database'!$G$5:$G$600,"&lt;&gt;Not stated")/D12)</f>
        <v>0.636363636363636</v>
      </c>
      <c r="G12" s="19" t="n">
        <f aca="false">IF(D12=0,"",COUNTIFS('Master Database'!$BG$5:$BG$600,"Y",'Master Database'!$E$5:$E$600,A12,'Master Database'!$P$5:$P$600,"&lt;&gt;Not stated")/D12)</f>
        <v>0</v>
      </c>
      <c r="H12" s="19" t="n">
        <f aca="false">IF(D12=0,"",COUNTIFS('Master Database'!$BG$5:$BG$600,"Y",'Master Database'!$E$5:$E$600,A12,'Master Database'!$K$5:$K$600,"&gt;0")/D12)</f>
        <v>0.545454545454545</v>
      </c>
    </row>
    <row r="13" customFormat="false" ht="30" hidden="false" customHeight="true" outlineLevel="0" collapsed="false">
      <c r="A13" s="15" t="s">
        <v>60</v>
      </c>
      <c r="B13" s="16" t="s">
        <v>61</v>
      </c>
      <c r="C13" s="17" t="s">
        <v>62</v>
      </c>
      <c r="D13" s="18" t="n">
        <f aca="false">COUNTIFS('Master Database'!$BG$5:$BG$600,"Y",'Master Database'!$E$5:$E$600,A13)</f>
        <v>16</v>
      </c>
      <c r="E13" s="18" t="n">
        <f aca="false">COUNTIFS('Master Database'!$BG$5:$BG$600,"Y",'Master Database'!$E$5:$E$600,A13,'Master Database'!$AG$5:$AG$600,"&gt;0")</f>
        <v>16</v>
      </c>
      <c r="F13" s="19" t="n">
        <f aca="false">IF(D13=0,"",COUNTIFS('Master Database'!$BG$5:$BG$600,"Y",'Master Database'!$E$5:$E$600,A13,'Master Database'!$G$5:$G$600,"&lt;&gt;Not stated")/D13)</f>
        <v>0.75</v>
      </c>
      <c r="G13" s="19" t="n">
        <f aca="false">IF(D13=0,"",COUNTIFS('Master Database'!$BG$5:$BG$600,"Y",'Master Database'!$E$5:$E$600,A13,'Master Database'!$P$5:$P$600,"&lt;&gt;Not stated")/D13)</f>
        <v>0</v>
      </c>
      <c r="H13" s="19" t="n">
        <f aca="false">IF(D13=0,"",COUNTIFS('Master Database'!$BG$5:$BG$600,"Y",'Master Database'!$E$5:$E$600,A13,'Master Database'!$K$5:$K$600,"&gt;0")/D13)</f>
        <v>1</v>
      </c>
    </row>
    <row r="14" customFormat="false" ht="30" hidden="false" customHeight="true" outlineLevel="0" collapsed="false">
      <c r="A14" s="20" t="s">
        <v>63</v>
      </c>
      <c r="B14" s="20"/>
      <c r="C14" s="21"/>
      <c r="D14" s="22" t="n">
        <f aca="false">COUNTIFS('Master Database'!$BG$5:$BG$600,"Y")</f>
        <v>132</v>
      </c>
      <c r="E14" s="22" t="n">
        <f aca="false">COUNTIFS('Master Database'!$BG$5:$BG$600,"Y",'Master Database'!$AG$5:$AG$600,"&gt;0")</f>
        <v>105</v>
      </c>
      <c r="F14" s="23" t="n">
        <f aca="false">IF(D14=0,"",COUNTIFS('Master Database'!$BG$5:$BG$600,"Y",'Master Database'!$G$5:$G$600,"&lt;&gt;Not stated")/D14)</f>
        <v>0.696969696969697</v>
      </c>
      <c r="G14" s="23" t="n">
        <f aca="false">IF(D14=0,"",COUNTIFS('Master Database'!$BG$5:$BG$600,"Y",'Master Database'!$P$5:$P$600,"&lt;&gt;Not stated")/D14)</f>
        <v>0</v>
      </c>
      <c r="H14" s="23" t="n">
        <f aca="false">IF(D14=0,"",COUNTIFS('Master Database'!$BG$5:$BG$600,"Y",'Master Database'!$K$5:$K$600,"&gt;0")/D14)</f>
        <v>0.803030303030303</v>
      </c>
    </row>
    <row r="16" customFormat="false" ht="15" hidden="false" customHeight="false" outlineLevel="0" collapsed="false">
      <c r="A16" s="13" t="s">
        <v>64</v>
      </c>
    </row>
    <row r="17" customFormat="false" ht="15" hidden="false" customHeight="true" outlineLevel="0" collapsed="false">
      <c r="A17" s="24" t="s">
        <v>65</v>
      </c>
      <c r="B17" s="24" t="s">
        <v>66</v>
      </c>
      <c r="C17" s="24" t="s">
        <v>67</v>
      </c>
      <c r="D17" s="24" t="s">
        <v>68</v>
      </c>
      <c r="E17" s="24" t="s">
        <v>69</v>
      </c>
      <c r="F17" s="24"/>
      <c r="G17" s="24"/>
      <c r="H17" s="24"/>
    </row>
    <row r="18" customFormat="false" ht="27.75" hidden="false" customHeight="true" outlineLevel="0" collapsed="false">
      <c r="A18" s="15" t="s">
        <v>70</v>
      </c>
      <c r="B18" s="16" t="s">
        <v>71</v>
      </c>
      <c r="C18" s="16" t="s">
        <v>71</v>
      </c>
      <c r="D18" s="17" t="s">
        <v>72</v>
      </c>
      <c r="E18" s="25" t="s">
        <v>73</v>
      </c>
      <c r="F18" s="25"/>
      <c r="G18" s="25"/>
      <c r="H18" s="25"/>
    </row>
    <row r="19" customFormat="false" ht="27.75" hidden="false" customHeight="true" outlineLevel="0" collapsed="false">
      <c r="A19" s="15" t="s">
        <v>74</v>
      </c>
      <c r="B19" s="16" t="s">
        <v>71</v>
      </c>
      <c r="C19" s="16" t="s">
        <v>75</v>
      </c>
      <c r="D19" s="17" t="s">
        <v>76</v>
      </c>
      <c r="E19" s="25" t="s">
        <v>77</v>
      </c>
      <c r="F19" s="25"/>
      <c r="G19" s="25"/>
      <c r="H19" s="25"/>
    </row>
    <row r="20" customFormat="false" ht="27.75" hidden="false" customHeight="true" outlineLevel="0" collapsed="false">
      <c r="A20" s="15" t="s">
        <v>78</v>
      </c>
      <c r="B20" s="16" t="s">
        <v>79</v>
      </c>
      <c r="C20" s="16" t="s">
        <v>71</v>
      </c>
      <c r="D20" s="17" t="s">
        <v>72</v>
      </c>
      <c r="E20" s="25" t="s">
        <v>80</v>
      </c>
      <c r="F20" s="25"/>
      <c r="G20" s="25"/>
      <c r="H20" s="25"/>
    </row>
    <row r="21" customFormat="false" ht="27.75" hidden="false" customHeight="true" outlineLevel="0" collapsed="false">
      <c r="A21" s="15" t="s">
        <v>81</v>
      </c>
      <c r="B21" s="16" t="s">
        <v>79</v>
      </c>
      <c r="C21" s="16" t="s">
        <v>82</v>
      </c>
      <c r="D21" s="17" t="s">
        <v>83</v>
      </c>
      <c r="E21" s="25" t="s">
        <v>84</v>
      </c>
      <c r="F21" s="25"/>
      <c r="G21" s="25"/>
      <c r="H21" s="25"/>
    </row>
    <row r="22" customFormat="false" ht="27.75" hidden="false" customHeight="true" outlineLevel="0" collapsed="false">
      <c r="A22" s="15" t="s">
        <v>85</v>
      </c>
      <c r="B22" s="16" t="s">
        <v>79</v>
      </c>
      <c r="C22" s="16" t="s">
        <v>79</v>
      </c>
      <c r="D22" s="17" t="s">
        <v>72</v>
      </c>
      <c r="E22" s="25" t="s">
        <v>86</v>
      </c>
      <c r="F22" s="25"/>
      <c r="G22" s="25"/>
      <c r="H22" s="25"/>
    </row>
    <row r="23" customFormat="false" ht="27.75" hidden="false" customHeight="true" outlineLevel="0" collapsed="false">
      <c r="A23" s="15" t="s">
        <v>87</v>
      </c>
      <c r="B23" s="16" t="s">
        <v>79</v>
      </c>
      <c r="C23" s="16" t="s">
        <v>79</v>
      </c>
      <c r="D23" s="17" t="s">
        <v>88</v>
      </c>
      <c r="E23" s="25" t="s">
        <v>89</v>
      </c>
      <c r="F23" s="25"/>
      <c r="G23" s="25"/>
      <c r="H23" s="25"/>
    </row>
    <row r="24" customFormat="false" ht="27.75" hidden="false" customHeight="true" outlineLevel="0" collapsed="false">
      <c r="A24" s="15" t="s">
        <v>90</v>
      </c>
      <c r="B24" s="16" t="s">
        <v>79</v>
      </c>
      <c r="C24" s="16" t="s">
        <v>91</v>
      </c>
      <c r="D24" s="17" t="s">
        <v>92</v>
      </c>
      <c r="E24" s="25" t="s">
        <v>93</v>
      </c>
      <c r="F24" s="25"/>
      <c r="G24" s="25"/>
      <c r="H24" s="25"/>
    </row>
    <row r="25" customFormat="false" ht="27.75" hidden="false" customHeight="true" outlineLevel="0" collapsed="false">
      <c r="A25" s="15" t="s">
        <v>94</v>
      </c>
      <c r="B25" s="16" t="s">
        <v>79</v>
      </c>
      <c r="C25" s="16" t="s">
        <v>95</v>
      </c>
      <c r="D25" s="17" t="s">
        <v>96</v>
      </c>
      <c r="E25" s="25" t="s">
        <v>97</v>
      </c>
      <c r="F25" s="25"/>
      <c r="G25" s="25"/>
      <c r="H25" s="25"/>
    </row>
    <row r="26" customFormat="false" ht="27.75" hidden="false" customHeight="true" outlineLevel="0" collapsed="false">
      <c r="A26" s="15" t="s">
        <v>98</v>
      </c>
      <c r="B26" s="16" t="s">
        <v>79</v>
      </c>
      <c r="C26" s="16" t="s">
        <v>99</v>
      </c>
      <c r="D26" s="17" t="s">
        <v>100</v>
      </c>
      <c r="E26" s="25" t="s">
        <v>101</v>
      </c>
      <c r="F26" s="25"/>
      <c r="G26" s="25"/>
      <c r="H26" s="25"/>
    </row>
    <row r="27" customFormat="false" ht="27.75" hidden="false" customHeight="true" outlineLevel="0" collapsed="false">
      <c r="A27" s="15" t="s">
        <v>102</v>
      </c>
      <c r="B27" s="16" t="s">
        <v>91</v>
      </c>
      <c r="C27" s="16" t="s">
        <v>91</v>
      </c>
      <c r="D27" s="17" t="s">
        <v>92</v>
      </c>
      <c r="E27" s="25" t="s">
        <v>103</v>
      </c>
      <c r="F27" s="25"/>
      <c r="G27" s="25"/>
      <c r="H27" s="25"/>
    </row>
    <row r="28" customFormat="false" ht="27.75" hidden="false" customHeight="true" outlineLevel="0" collapsed="false">
      <c r="A28" s="15" t="s">
        <v>104</v>
      </c>
      <c r="B28" s="16" t="s">
        <v>105</v>
      </c>
      <c r="C28" s="16" t="s">
        <v>105</v>
      </c>
      <c r="D28" s="17" t="s">
        <v>106</v>
      </c>
      <c r="E28" s="25" t="s">
        <v>107</v>
      </c>
      <c r="F28" s="25"/>
      <c r="G28" s="25"/>
      <c r="H28" s="25"/>
    </row>
    <row r="29" customFormat="false" ht="27.75" hidden="false" customHeight="true" outlineLevel="0" collapsed="false">
      <c r="A29" s="15" t="s">
        <v>108</v>
      </c>
      <c r="B29" s="16" t="s">
        <v>95</v>
      </c>
      <c r="C29" s="16" t="s">
        <v>95</v>
      </c>
      <c r="D29" s="17" t="s">
        <v>109</v>
      </c>
      <c r="E29" s="25" t="s">
        <v>110</v>
      </c>
      <c r="F29" s="25"/>
      <c r="G29" s="25"/>
      <c r="H29" s="25"/>
    </row>
    <row r="30" customFormat="false" ht="27.75" hidden="false" customHeight="true" outlineLevel="0" collapsed="false">
      <c r="A30" s="15" t="s">
        <v>111</v>
      </c>
      <c r="B30" s="16" t="s">
        <v>112</v>
      </c>
      <c r="C30" s="16" t="s">
        <v>112</v>
      </c>
      <c r="D30" s="17" t="s">
        <v>113</v>
      </c>
      <c r="E30" s="25" t="s">
        <v>114</v>
      </c>
      <c r="F30" s="25"/>
      <c r="G30" s="25"/>
      <c r="H30" s="25"/>
    </row>
    <row r="31" customFormat="false" ht="27.75" hidden="false" customHeight="true" outlineLevel="0" collapsed="false">
      <c r="A31" s="15" t="s">
        <v>115</v>
      </c>
      <c r="B31" s="16" t="s">
        <v>116</v>
      </c>
      <c r="C31" s="16" t="s">
        <v>116</v>
      </c>
      <c r="D31" s="17" t="s">
        <v>117</v>
      </c>
      <c r="E31" s="25" t="s">
        <v>118</v>
      </c>
      <c r="F31" s="25"/>
      <c r="G31" s="25"/>
      <c r="H31" s="25"/>
    </row>
    <row r="32" customFormat="false" ht="27.75" hidden="false" customHeight="true" outlineLevel="0" collapsed="false">
      <c r="A32" s="15" t="s">
        <v>119</v>
      </c>
      <c r="B32" s="16" t="s">
        <v>120</v>
      </c>
      <c r="C32" s="16" t="s">
        <v>120</v>
      </c>
      <c r="D32" s="17" t="s">
        <v>121</v>
      </c>
      <c r="E32" s="25" t="s">
        <v>122</v>
      </c>
      <c r="F32" s="25"/>
      <c r="G32" s="25"/>
      <c r="H32" s="25"/>
    </row>
    <row r="33" customFormat="false" ht="27.75" hidden="false" customHeight="true" outlineLevel="0" collapsed="false">
      <c r="A33" s="15" t="s">
        <v>123</v>
      </c>
      <c r="B33" s="16" t="s">
        <v>121</v>
      </c>
      <c r="C33" s="16" t="s">
        <v>121</v>
      </c>
      <c r="D33" s="17" t="s">
        <v>121</v>
      </c>
      <c r="E33" s="25" t="s">
        <v>124</v>
      </c>
      <c r="F33" s="25"/>
      <c r="G33" s="25"/>
      <c r="H33" s="25"/>
    </row>
    <row r="36" customFormat="false" ht="15" hidden="false" customHeight="false" outlineLevel="0" collapsed="false">
      <c r="A36" s="13" t="s">
        <v>125</v>
      </c>
    </row>
    <row r="37" customFormat="false" ht="15" hidden="false" customHeight="true" outlineLevel="0" collapsed="false">
      <c r="A37" s="26" t="s">
        <v>126</v>
      </c>
      <c r="B37" s="26" t="s">
        <v>127</v>
      </c>
      <c r="C37" s="26" t="s">
        <v>128</v>
      </c>
      <c r="D37" s="26"/>
      <c r="E37" s="26"/>
      <c r="F37" s="26"/>
      <c r="G37" s="26"/>
      <c r="H37" s="26"/>
    </row>
    <row r="38" customFormat="false" ht="27.75" hidden="false" customHeight="true" outlineLevel="0" collapsed="false">
      <c r="A38" s="15" t="s">
        <v>129</v>
      </c>
      <c r="B38" s="17" t="s">
        <v>130</v>
      </c>
      <c r="C38" s="25" t="s">
        <v>131</v>
      </c>
      <c r="D38" s="25"/>
      <c r="E38" s="25"/>
      <c r="F38" s="25"/>
      <c r="G38" s="25"/>
      <c r="H38" s="25"/>
    </row>
    <row r="39" customFormat="false" ht="27.75" hidden="false" customHeight="true" outlineLevel="0" collapsed="false">
      <c r="A39" s="15" t="s">
        <v>132</v>
      </c>
      <c r="B39" s="17" t="s">
        <v>133</v>
      </c>
      <c r="C39" s="25" t="s">
        <v>134</v>
      </c>
      <c r="D39" s="25"/>
      <c r="E39" s="25"/>
      <c r="F39" s="25"/>
      <c r="G39" s="25"/>
      <c r="H39" s="25"/>
    </row>
    <row r="40" customFormat="false" ht="27.75" hidden="false" customHeight="true" outlineLevel="0" collapsed="false">
      <c r="A40" s="15" t="s">
        <v>135</v>
      </c>
      <c r="B40" s="17" t="s">
        <v>136</v>
      </c>
      <c r="C40" s="25" t="s">
        <v>137</v>
      </c>
      <c r="D40" s="25"/>
      <c r="E40" s="25"/>
      <c r="F40" s="25"/>
      <c r="G40" s="25"/>
      <c r="H40" s="25"/>
    </row>
    <row r="41" customFormat="false" ht="27.75" hidden="false" customHeight="true" outlineLevel="0" collapsed="false">
      <c r="A41" s="15" t="s">
        <v>138</v>
      </c>
      <c r="B41" s="17" t="s">
        <v>139</v>
      </c>
      <c r="C41" s="25" t="s">
        <v>140</v>
      </c>
      <c r="D41" s="25"/>
      <c r="E41" s="25"/>
      <c r="F41" s="25"/>
      <c r="G41" s="25"/>
      <c r="H41" s="25"/>
    </row>
    <row r="42" customFormat="false" ht="27.75" hidden="false" customHeight="true" outlineLevel="0" collapsed="false">
      <c r="A42" s="15" t="s">
        <v>141</v>
      </c>
      <c r="B42" s="17" t="s">
        <v>142</v>
      </c>
      <c r="C42" s="25" t="s">
        <v>143</v>
      </c>
      <c r="D42" s="25"/>
      <c r="E42" s="25"/>
      <c r="F42" s="25"/>
      <c r="G42" s="25"/>
      <c r="H42" s="25"/>
    </row>
    <row r="43" customFormat="false" ht="27.75" hidden="false" customHeight="true" outlineLevel="0" collapsed="false">
      <c r="A43" s="15" t="s">
        <v>144</v>
      </c>
      <c r="B43" s="17" t="s">
        <v>145</v>
      </c>
      <c r="C43" s="25" t="s">
        <v>146</v>
      </c>
      <c r="D43" s="25"/>
      <c r="E43" s="25"/>
      <c r="F43" s="25"/>
      <c r="G43" s="25"/>
      <c r="H43" s="25"/>
    </row>
    <row r="44" customFormat="false" ht="27.75" hidden="false" customHeight="true" outlineLevel="0" collapsed="false">
      <c r="A44" s="15" t="s">
        <v>147</v>
      </c>
      <c r="B44" s="17" t="s">
        <v>148</v>
      </c>
      <c r="C44" s="25" t="s">
        <v>149</v>
      </c>
      <c r="D44" s="25"/>
      <c r="E44" s="25"/>
      <c r="F44" s="25"/>
      <c r="G44" s="25"/>
      <c r="H44" s="25"/>
    </row>
    <row r="45" customFormat="false" ht="27.75" hidden="false" customHeight="true" outlineLevel="0" collapsed="false">
      <c r="A45" s="15" t="s">
        <v>150</v>
      </c>
      <c r="B45" s="17" t="s">
        <v>151</v>
      </c>
      <c r="C45" s="25" t="s">
        <v>152</v>
      </c>
      <c r="D45" s="25"/>
      <c r="E45" s="25"/>
      <c r="F45" s="25"/>
      <c r="G45" s="25"/>
      <c r="H45" s="25"/>
    </row>
    <row r="46" customFormat="false" ht="27.75" hidden="false" customHeight="true" outlineLevel="0" collapsed="false">
      <c r="A46" s="15" t="s">
        <v>153</v>
      </c>
      <c r="B46" s="17" t="s">
        <v>154</v>
      </c>
      <c r="C46" s="25" t="s">
        <v>155</v>
      </c>
      <c r="D46" s="25"/>
      <c r="E46" s="25"/>
      <c r="F46" s="25"/>
      <c r="G46" s="25"/>
      <c r="H46" s="25"/>
    </row>
    <row r="47" customFormat="false" ht="27.75" hidden="false" customHeight="true" outlineLevel="0" collapsed="false">
      <c r="A47" s="15" t="s">
        <v>156</v>
      </c>
      <c r="B47" s="17" t="s">
        <v>157</v>
      </c>
      <c r="C47" s="25" t="s">
        <v>158</v>
      </c>
      <c r="D47" s="25"/>
      <c r="E47" s="25"/>
      <c r="F47" s="25"/>
      <c r="G47" s="25"/>
      <c r="H47" s="25"/>
    </row>
    <row r="48" customFormat="false" ht="27.75" hidden="false" customHeight="true" outlineLevel="0" collapsed="false">
      <c r="A48" s="15" t="s">
        <v>159</v>
      </c>
      <c r="B48" s="17" t="s">
        <v>160</v>
      </c>
      <c r="C48" s="25" t="s">
        <v>161</v>
      </c>
      <c r="D48" s="25"/>
      <c r="E48" s="25"/>
      <c r="F48" s="25"/>
      <c r="G48" s="25"/>
      <c r="H48" s="25"/>
    </row>
    <row r="49" customFormat="false" ht="27.75" hidden="false" customHeight="true" outlineLevel="0" collapsed="false">
      <c r="A49" s="15" t="s">
        <v>162</v>
      </c>
      <c r="B49" s="17" t="s">
        <v>163</v>
      </c>
      <c r="C49" s="25" t="s">
        <v>164</v>
      </c>
      <c r="D49" s="25"/>
      <c r="E49" s="25"/>
      <c r="F49" s="25"/>
      <c r="G49" s="25"/>
      <c r="H49" s="25"/>
    </row>
    <row r="50" customFormat="false" ht="27.75" hidden="false" customHeight="true" outlineLevel="0" collapsed="false">
      <c r="A50" s="15" t="s">
        <v>165</v>
      </c>
      <c r="B50" s="17" t="s">
        <v>166</v>
      </c>
      <c r="C50" s="25" t="s">
        <v>167</v>
      </c>
      <c r="D50" s="25"/>
      <c r="E50" s="25"/>
      <c r="F50" s="25"/>
      <c r="G50" s="25"/>
      <c r="H50" s="25"/>
    </row>
    <row r="51" customFormat="false" ht="27.75" hidden="false" customHeight="true" outlineLevel="0" collapsed="false">
      <c r="A51" s="15" t="s">
        <v>168</v>
      </c>
      <c r="B51" s="17" t="s">
        <v>169</v>
      </c>
      <c r="C51" s="25" t="s">
        <v>170</v>
      </c>
      <c r="D51" s="25"/>
      <c r="E51" s="25"/>
      <c r="F51" s="25"/>
      <c r="G51" s="25"/>
      <c r="H51" s="25"/>
    </row>
    <row r="52" customFormat="false" ht="27.75" hidden="false" customHeight="true" outlineLevel="0" collapsed="false">
      <c r="A52" s="15" t="s">
        <v>171</v>
      </c>
      <c r="B52" s="17" t="s">
        <v>172</v>
      </c>
      <c r="C52" s="25" t="s">
        <v>173</v>
      </c>
      <c r="D52" s="25"/>
      <c r="E52" s="25"/>
      <c r="F52" s="25"/>
      <c r="G52" s="25"/>
      <c r="H52" s="25"/>
    </row>
    <row r="53" customFormat="false" ht="27.75" hidden="false" customHeight="true" outlineLevel="0" collapsed="false">
      <c r="A53" s="15" t="s">
        <v>174</v>
      </c>
      <c r="B53" s="17" t="s">
        <v>175</v>
      </c>
      <c r="C53" s="25" t="s">
        <v>176</v>
      </c>
      <c r="D53" s="25"/>
      <c r="E53" s="25"/>
      <c r="F53" s="25"/>
      <c r="G53" s="25"/>
      <c r="H53" s="25"/>
    </row>
    <row r="54" customFormat="false" ht="27.75" hidden="false" customHeight="true" outlineLevel="0" collapsed="false">
      <c r="A54" s="15" t="s">
        <v>177</v>
      </c>
      <c r="B54" s="17" t="s">
        <v>178</v>
      </c>
      <c r="C54" s="25" t="s">
        <v>179</v>
      </c>
      <c r="D54" s="25"/>
      <c r="E54" s="25"/>
      <c r="F54" s="25"/>
      <c r="G54" s="25"/>
      <c r="H54" s="25"/>
    </row>
    <row r="55" customFormat="false" ht="27.75" hidden="false" customHeight="true" outlineLevel="0" collapsed="false">
      <c r="A55" s="15" t="s">
        <v>180</v>
      </c>
      <c r="B55" s="17" t="s">
        <v>181</v>
      </c>
      <c r="C55" s="25" t="s">
        <v>182</v>
      </c>
      <c r="D55" s="25"/>
      <c r="E55" s="25"/>
      <c r="F55" s="25"/>
      <c r="G55" s="25"/>
      <c r="H55" s="25"/>
    </row>
    <row r="56" customFormat="false" ht="27.75" hidden="false" customHeight="true" outlineLevel="0" collapsed="false">
      <c r="A56" s="15" t="s">
        <v>183</v>
      </c>
      <c r="B56" s="17" t="s">
        <v>184</v>
      </c>
      <c r="C56" s="25" t="s">
        <v>185</v>
      </c>
      <c r="D56" s="25"/>
      <c r="E56" s="25"/>
      <c r="F56" s="25"/>
      <c r="G56" s="25"/>
      <c r="H56" s="25"/>
    </row>
    <row r="57" customFormat="false" ht="27.75" hidden="false" customHeight="true" outlineLevel="0" collapsed="false">
      <c r="A57" s="15" t="s">
        <v>186</v>
      </c>
      <c r="B57" s="17" t="s">
        <v>187</v>
      </c>
      <c r="C57" s="25" t="s">
        <v>188</v>
      </c>
      <c r="D57" s="25"/>
      <c r="E57" s="25"/>
      <c r="F57" s="25"/>
      <c r="G57" s="25"/>
      <c r="H57" s="25"/>
    </row>
    <row r="58" customFormat="false" ht="27.75" hidden="false" customHeight="true" outlineLevel="0" collapsed="false">
      <c r="A58" s="15" t="s">
        <v>189</v>
      </c>
      <c r="B58" s="17" t="s">
        <v>190</v>
      </c>
      <c r="C58" s="25" t="s">
        <v>191</v>
      </c>
      <c r="D58" s="25"/>
      <c r="E58" s="25"/>
      <c r="F58" s="25"/>
      <c r="G58" s="25"/>
      <c r="H58" s="25"/>
    </row>
    <row r="59" customFormat="false" ht="27.75" hidden="false" customHeight="true" outlineLevel="0" collapsed="false">
      <c r="A59" s="15" t="s">
        <v>192</v>
      </c>
      <c r="B59" s="17" t="s">
        <v>193</v>
      </c>
      <c r="C59" s="25" t="s">
        <v>194</v>
      </c>
      <c r="D59" s="25"/>
      <c r="E59" s="25"/>
      <c r="F59" s="25"/>
      <c r="G59" s="25"/>
      <c r="H59" s="25"/>
    </row>
    <row r="60" customFormat="false" ht="27.75" hidden="false" customHeight="true" outlineLevel="0" collapsed="false">
      <c r="A60" s="15" t="s">
        <v>123</v>
      </c>
      <c r="B60" s="17" t="s">
        <v>121</v>
      </c>
      <c r="C60" s="25" t="s">
        <v>195</v>
      </c>
      <c r="D60" s="25"/>
      <c r="E60" s="25"/>
      <c r="F60" s="25"/>
      <c r="G60" s="25"/>
      <c r="H60" s="25"/>
    </row>
    <row r="63" customFormat="false" ht="15" hidden="false" customHeight="false" outlineLevel="0" collapsed="false">
      <c r="A63" s="13" t="s">
        <v>196</v>
      </c>
    </row>
    <row r="64" customFormat="false" ht="15" hidden="false" customHeight="true" outlineLevel="0" collapsed="false">
      <c r="A64" s="27" t="s">
        <v>197</v>
      </c>
      <c r="B64" s="27" t="s">
        <v>198</v>
      </c>
      <c r="C64" s="27" t="s">
        <v>199</v>
      </c>
      <c r="D64" s="27" t="s">
        <v>200</v>
      </c>
      <c r="E64" s="27"/>
      <c r="F64" s="27"/>
      <c r="G64" s="27"/>
      <c r="H64" s="27"/>
    </row>
    <row r="65" customFormat="false" ht="39.75" hidden="false" customHeight="true" outlineLevel="0" collapsed="false">
      <c r="A65" s="15" t="s">
        <v>201</v>
      </c>
      <c r="B65" s="17" t="s">
        <v>202</v>
      </c>
      <c r="C65" s="17" t="s">
        <v>203</v>
      </c>
      <c r="D65" s="25" t="s">
        <v>204</v>
      </c>
      <c r="E65" s="25"/>
      <c r="F65" s="25"/>
      <c r="G65" s="25"/>
      <c r="H65" s="25"/>
    </row>
    <row r="66" customFormat="false" ht="39.75" hidden="false" customHeight="true" outlineLevel="0" collapsed="false">
      <c r="A66" s="15" t="s">
        <v>205</v>
      </c>
      <c r="B66" s="17" t="s">
        <v>206</v>
      </c>
      <c r="C66" s="17" t="s">
        <v>207</v>
      </c>
      <c r="D66" s="25" t="s">
        <v>121</v>
      </c>
      <c r="E66" s="25"/>
      <c r="F66" s="25"/>
      <c r="G66" s="25"/>
      <c r="H66" s="25"/>
    </row>
    <row r="67" customFormat="false" ht="39.75" hidden="false" customHeight="true" outlineLevel="0" collapsed="false">
      <c r="A67" s="15" t="s">
        <v>208</v>
      </c>
      <c r="B67" s="17" t="s">
        <v>209</v>
      </c>
      <c r="C67" s="17" t="s">
        <v>210</v>
      </c>
      <c r="D67" s="25" t="s">
        <v>211</v>
      </c>
      <c r="E67" s="25"/>
      <c r="F67" s="25"/>
      <c r="G67" s="25"/>
      <c r="H67" s="25"/>
    </row>
    <row r="68" customFormat="false" ht="39.75" hidden="false" customHeight="true" outlineLevel="0" collapsed="false">
      <c r="A68" s="15" t="s">
        <v>212</v>
      </c>
      <c r="B68" s="17" t="s">
        <v>213</v>
      </c>
      <c r="C68" s="17" t="s">
        <v>214</v>
      </c>
      <c r="D68" s="25" t="s">
        <v>121</v>
      </c>
      <c r="E68" s="25"/>
      <c r="F68" s="25"/>
      <c r="G68" s="25"/>
      <c r="H68" s="25"/>
    </row>
    <row r="69" customFormat="false" ht="39.75" hidden="false" customHeight="true" outlineLevel="0" collapsed="false">
      <c r="A69" s="15" t="s">
        <v>215</v>
      </c>
      <c r="B69" s="17" t="s">
        <v>216</v>
      </c>
      <c r="C69" s="17" t="s">
        <v>217</v>
      </c>
      <c r="D69" s="25" t="s">
        <v>121</v>
      </c>
      <c r="E69" s="25"/>
      <c r="F69" s="25"/>
      <c r="G69" s="25"/>
      <c r="H69" s="25"/>
    </row>
    <row r="70" customFormat="false" ht="39.75" hidden="false" customHeight="true" outlineLevel="0" collapsed="false">
      <c r="A70" s="15" t="s">
        <v>218</v>
      </c>
      <c r="B70" s="17" t="s">
        <v>219</v>
      </c>
      <c r="C70" s="17" t="s">
        <v>220</v>
      </c>
      <c r="D70" s="25" t="s">
        <v>121</v>
      </c>
      <c r="E70" s="25"/>
      <c r="F70" s="25"/>
      <c r="G70" s="25"/>
      <c r="H70" s="25"/>
    </row>
    <row r="71" customFormat="false" ht="39.75" hidden="false" customHeight="true" outlineLevel="0" collapsed="false">
      <c r="A71" s="15" t="s">
        <v>221</v>
      </c>
      <c r="B71" s="17" t="s">
        <v>222</v>
      </c>
      <c r="C71" s="17" t="s">
        <v>223</v>
      </c>
      <c r="D71" s="25" t="s">
        <v>121</v>
      </c>
      <c r="E71" s="25"/>
      <c r="F71" s="25"/>
      <c r="G71" s="25"/>
      <c r="H71" s="25"/>
    </row>
    <row r="72" customFormat="false" ht="39.75" hidden="false" customHeight="true" outlineLevel="0" collapsed="false">
      <c r="A72" s="15" t="s">
        <v>224</v>
      </c>
      <c r="B72" s="17" t="s">
        <v>225</v>
      </c>
      <c r="C72" s="17" t="s">
        <v>226</v>
      </c>
      <c r="D72" s="25" t="s">
        <v>121</v>
      </c>
      <c r="E72" s="25"/>
      <c r="F72" s="25"/>
      <c r="G72" s="25"/>
      <c r="H72" s="25"/>
    </row>
    <row r="73" customFormat="false" ht="39.75" hidden="false" customHeight="true" outlineLevel="0" collapsed="false">
      <c r="A73" s="15" t="s">
        <v>123</v>
      </c>
      <c r="B73" s="17" t="s">
        <v>227</v>
      </c>
      <c r="C73" s="17" t="s">
        <v>228</v>
      </c>
      <c r="D73" s="25" t="s">
        <v>229</v>
      </c>
      <c r="E73" s="25"/>
      <c r="F73" s="25"/>
      <c r="G73" s="25"/>
      <c r="H73" s="25"/>
    </row>
    <row r="74" customFormat="false" ht="33.75" hidden="false" customHeight="true" outlineLevel="0" collapsed="false">
      <c r="A74" s="28" t="s">
        <v>230</v>
      </c>
      <c r="B74" s="28"/>
      <c r="C74" s="28"/>
      <c r="D74" s="28"/>
      <c r="E74" s="28"/>
      <c r="F74" s="28"/>
      <c r="G74" s="28"/>
      <c r="H74" s="28"/>
    </row>
  </sheetData>
  <mergeCells count="52">
    <mergeCell ref="E17:H17"/>
    <mergeCell ref="E18:H18"/>
    <mergeCell ref="E19:H19"/>
    <mergeCell ref="E20:H20"/>
    <mergeCell ref="E21:H21"/>
    <mergeCell ref="E22:H22"/>
    <mergeCell ref="E23:H23"/>
    <mergeCell ref="E24:H24"/>
    <mergeCell ref="E25:H25"/>
    <mergeCell ref="E26:H26"/>
    <mergeCell ref="E27:H27"/>
    <mergeCell ref="E28:H28"/>
    <mergeCell ref="E29:H29"/>
    <mergeCell ref="E30:H30"/>
    <mergeCell ref="E31:H31"/>
    <mergeCell ref="E32:H32"/>
    <mergeCell ref="E33:H33"/>
    <mergeCell ref="C37:H37"/>
    <mergeCell ref="C38:H38"/>
    <mergeCell ref="C39:H39"/>
    <mergeCell ref="C40:H40"/>
    <mergeCell ref="C41:H41"/>
    <mergeCell ref="C42:H42"/>
    <mergeCell ref="C43:H43"/>
    <mergeCell ref="C44:H44"/>
    <mergeCell ref="C45:H45"/>
    <mergeCell ref="C46:H46"/>
    <mergeCell ref="C47:H47"/>
    <mergeCell ref="C48:H48"/>
    <mergeCell ref="C49:H49"/>
    <mergeCell ref="C50:H50"/>
    <mergeCell ref="C51:H51"/>
    <mergeCell ref="C52:H52"/>
    <mergeCell ref="C53:H53"/>
    <mergeCell ref="C54:H54"/>
    <mergeCell ref="C55:H55"/>
    <mergeCell ref="C56:H56"/>
    <mergeCell ref="C57:H57"/>
    <mergeCell ref="C58:H58"/>
    <mergeCell ref="C59:H59"/>
    <mergeCell ref="C60:H60"/>
    <mergeCell ref="D64:H64"/>
    <mergeCell ref="D65:H65"/>
    <mergeCell ref="D66:H66"/>
    <mergeCell ref="D67:H67"/>
    <mergeCell ref="D68:H68"/>
    <mergeCell ref="D69:H69"/>
    <mergeCell ref="D70:H70"/>
    <mergeCell ref="D71:H71"/>
    <mergeCell ref="D72:H72"/>
    <mergeCell ref="D73:H73"/>
    <mergeCell ref="A74:H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BE135" activeCellId="0" sqref="BE135"/>
    </sheetView>
  </sheetViews>
  <sheetFormatPr defaultColWidth="8.71484375" defaultRowHeight="15" zeroHeight="false" outlineLevelRow="0" outlineLevelCol="1"/>
  <cols>
    <col collapsed="false" customWidth="true" hidden="false" outlineLevel="0" max="1" min="1" style="0" width="6"/>
    <col collapsed="false" customWidth="true" hidden="false" outlineLevel="0" max="2" min="2" style="0" width="34"/>
    <col collapsed="false" customWidth="true" hidden="false" outlineLevel="1" max="5" min="3" style="0" width="16"/>
    <col collapsed="false" customWidth="true" hidden="false" outlineLevel="0" max="7" min="6" style="0" width="12"/>
    <col collapsed="false" customWidth="true" hidden="false" outlineLevel="0" max="9" min="8" style="0" width="9"/>
    <col collapsed="false" customWidth="true" hidden="false" outlineLevel="0" max="10" min="10" style="0" width="8"/>
    <col collapsed="false" customWidth="true" hidden="false" outlineLevel="1" max="11" min="11" style="0" width="9"/>
    <col collapsed="false" customWidth="true" hidden="false" outlineLevel="0" max="12" min="12" style="0" width="30"/>
    <col collapsed="false" customWidth="true" hidden="false" outlineLevel="1" max="17" min="13" style="0" width="11"/>
    <col collapsed="false" customWidth="true" hidden="false" outlineLevel="0" max="18" min="18" style="0" width="10"/>
    <col collapsed="false" customWidth="true" hidden="false" outlineLevel="0" max="19" min="19" style="0" width="14"/>
    <col collapsed="false" customWidth="true" hidden="false" outlineLevel="0" max="20" min="20" style="0" width="18"/>
    <col collapsed="false" customWidth="true" hidden="false" outlineLevel="0" max="21" min="21" style="0" width="8"/>
    <col collapsed="false" customWidth="true" hidden="false" outlineLevel="0" max="22" min="22" style="0" width="18"/>
    <col collapsed="false" customWidth="true" hidden="false" outlineLevel="0" max="23" min="23" style="0" width="9"/>
    <col collapsed="false" customWidth="true" hidden="false" outlineLevel="0" max="24" min="24" style="0" width="15"/>
    <col collapsed="false" customWidth="true" hidden="false" outlineLevel="0" max="26" min="25" style="0" width="8"/>
    <col collapsed="false" customWidth="true" hidden="false" outlineLevel="0" max="27" min="27" style="0" width="14"/>
    <col collapsed="false" customWidth="true" hidden="false" outlineLevel="0" max="29" min="28" style="0" width="12"/>
    <col collapsed="false" customWidth="true" hidden="false" outlineLevel="0" max="30" min="30" style="0" width="16"/>
    <col collapsed="false" customWidth="true" hidden="false" outlineLevel="0" max="31" min="31" style="0" width="30"/>
    <col collapsed="false" customWidth="true" hidden="false" outlineLevel="0" max="32" min="32" style="0" width="9"/>
    <col collapsed="false" customWidth="true" hidden="false" outlineLevel="1" max="34" min="33" style="0" width="13"/>
    <col collapsed="false" customWidth="true" hidden="false" outlineLevel="1" max="35" min="35" style="0" width="17.71"/>
    <col collapsed="false" customWidth="true" hidden="false" outlineLevel="0" max="36" min="36" style="0" width="22"/>
    <col collapsed="false" customWidth="true" hidden="false" outlineLevel="0" max="37" min="37" style="0" width="12"/>
    <col collapsed="false" customWidth="true" hidden="false" outlineLevel="1" max="44" min="38" style="0" width="8"/>
    <col collapsed="false" customWidth="true" hidden="false" outlineLevel="0" max="45" min="45" style="0" width="28"/>
    <col collapsed="false" customWidth="true" hidden="false" outlineLevel="1" max="56" min="46" style="0" width="7"/>
    <col collapsed="false" customWidth="true" hidden="false" outlineLevel="0" max="57" min="57" style="0" width="30"/>
    <col collapsed="false" customWidth="true" hidden="false" outlineLevel="0" max="58" min="58" style="0" width="40"/>
    <col collapsed="false" customWidth="true" hidden="false" outlineLevel="0" max="59" min="59" style="0" width="8"/>
    <col collapsed="false" customWidth="true" hidden="false" outlineLevel="0" max="61" min="60" style="0" width="12"/>
  </cols>
  <sheetData>
    <row r="1" customFormat="false" ht="18" hidden="false" customHeight="true" outlineLevel="0" collapsed="false">
      <c r="A1" s="7" t="s">
        <v>231</v>
      </c>
    </row>
    <row r="2" customFormat="false" ht="15" hidden="false" customHeight="false" outlineLevel="0" collapsed="false">
      <c r="A2" s="8" t="s">
        <v>232</v>
      </c>
    </row>
    <row r="3" customFormat="false" ht="21.75" hidden="false" customHeight="true" outlineLevel="0" collapsed="false">
      <c r="A3" s="29" t="s">
        <v>233</v>
      </c>
      <c r="B3" s="29"/>
      <c r="C3" s="29"/>
      <c r="D3" s="29"/>
      <c r="E3" s="29"/>
      <c r="F3" s="30" t="s">
        <v>234</v>
      </c>
      <c r="G3" s="30"/>
      <c r="H3" s="30"/>
      <c r="I3" s="30"/>
      <c r="J3" s="30"/>
      <c r="K3" s="30"/>
      <c r="L3" s="30"/>
      <c r="M3" s="30"/>
      <c r="N3" s="30"/>
      <c r="O3" s="30"/>
      <c r="P3" s="30"/>
      <c r="Q3" s="30"/>
      <c r="R3" s="30"/>
      <c r="S3" s="30"/>
      <c r="T3" s="30"/>
      <c r="U3" s="30"/>
      <c r="V3" s="31" t="s">
        <v>235</v>
      </c>
      <c r="W3" s="31"/>
      <c r="X3" s="31"/>
      <c r="Y3" s="32" t="s">
        <v>236</v>
      </c>
      <c r="Z3" s="32"/>
      <c r="AA3" s="32"/>
      <c r="AB3" s="32"/>
      <c r="AC3" s="32"/>
      <c r="AD3" s="32"/>
      <c r="AE3" s="32"/>
      <c r="AF3" s="32"/>
      <c r="AG3" s="32"/>
      <c r="AH3" s="32"/>
      <c r="AI3" s="32"/>
      <c r="AJ3" s="33" t="s">
        <v>237</v>
      </c>
      <c r="AK3" s="33"/>
      <c r="AL3" s="34" t="s">
        <v>238</v>
      </c>
      <c r="AM3" s="34"/>
      <c r="AN3" s="34"/>
      <c r="AO3" s="34"/>
      <c r="AP3" s="34"/>
      <c r="AQ3" s="34"/>
      <c r="AR3" s="34"/>
      <c r="AS3" s="35" t="s">
        <v>239</v>
      </c>
      <c r="AT3" s="36" t="s">
        <v>240</v>
      </c>
      <c r="AU3" s="36"/>
      <c r="AV3" s="36"/>
      <c r="AW3" s="36"/>
      <c r="AX3" s="36"/>
      <c r="AY3" s="36"/>
      <c r="AZ3" s="36"/>
      <c r="BA3" s="36"/>
      <c r="BB3" s="36"/>
      <c r="BC3" s="36"/>
      <c r="BD3" s="36"/>
      <c r="BE3" s="37" t="s">
        <v>239</v>
      </c>
      <c r="BF3" s="37"/>
      <c r="BG3" s="37"/>
      <c r="BH3" s="38" t="s">
        <v>241</v>
      </c>
      <c r="BI3" s="38"/>
    </row>
    <row r="4" customFormat="false" ht="54" hidden="false" customHeight="true" outlineLevel="0" collapsed="false">
      <c r="A4" s="39" t="s">
        <v>242</v>
      </c>
      <c r="B4" s="39" t="s">
        <v>243</v>
      </c>
      <c r="C4" s="39" t="s">
        <v>244</v>
      </c>
      <c r="D4" s="39" t="s">
        <v>245</v>
      </c>
      <c r="E4" s="40" t="s">
        <v>37</v>
      </c>
      <c r="F4" s="40" t="s">
        <v>246</v>
      </c>
      <c r="G4" s="40" t="s">
        <v>247</v>
      </c>
      <c r="H4" s="39" t="s">
        <v>248</v>
      </c>
      <c r="I4" s="39" t="s">
        <v>249</v>
      </c>
      <c r="J4" s="39" t="s">
        <v>250</v>
      </c>
      <c r="K4" s="41" t="s">
        <v>251</v>
      </c>
      <c r="L4" s="41" t="s">
        <v>6</v>
      </c>
      <c r="M4" s="40" t="s">
        <v>252</v>
      </c>
      <c r="N4" s="40" t="s">
        <v>253</v>
      </c>
      <c r="O4" s="40" t="s">
        <v>254</v>
      </c>
      <c r="P4" s="40" t="s">
        <v>255</v>
      </c>
      <c r="Q4" s="40" t="s">
        <v>256</v>
      </c>
      <c r="R4" s="40" t="s">
        <v>257</v>
      </c>
      <c r="S4" s="40" t="s">
        <v>258</v>
      </c>
      <c r="T4" s="40" t="s">
        <v>259</v>
      </c>
      <c r="U4" s="39" t="s">
        <v>260</v>
      </c>
      <c r="V4" s="40" t="s">
        <v>261</v>
      </c>
      <c r="W4" s="39" t="s">
        <v>262</v>
      </c>
      <c r="X4" s="40" t="s">
        <v>263</v>
      </c>
      <c r="Y4" s="40" t="s">
        <v>264</v>
      </c>
      <c r="Z4" s="40" t="s">
        <v>265</v>
      </c>
      <c r="AA4" s="39" t="s">
        <v>266</v>
      </c>
      <c r="AB4" s="41" t="s">
        <v>267</v>
      </c>
      <c r="AC4" s="41" t="s">
        <v>268</v>
      </c>
      <c r="AD4" s="41" t="s">
        <v>269</v>
      </c>
      <c r="AE4" s="39" t="s">
        <v>270</v>
      </c>
      <c r="AF4" s="40" t="s">
        <v>197</v>
      </c>
      <c r="AG4" s="41" t="s">
        <v>271</v>
      </c>
      <c r="AH4" s="41" t="s">
        <v>272</v>
      </c>
      <c r="AI4" s="41" t="s">
        <v>273</v>
      </c>
      <c r="AJ4" s="39" t="s">
        <v>274</v>
      </c>
      <c r="AK4" s="40" t="s">
        <v>275</v>
      </c>
      <c r="AL4" s="40" t="s">
        <v>276</v>
      </c>
      <c r="AM4" s="40" t="s">
        <v>277</v>
      </c>
      <c r="AN4" s="40" t="s">
        <v>278</v>
      </c>
      <c r="AO4" s="40" t="s">
        <v>279</v>
      </c>
      <c r="AP4" s="40" t="s">
        <v>280</v>
      </c>
      <c r="AQ4" s="40" t="s">
        <v>281</v>
      </c>
      <c r="AR4" s="40" t="s">
        <v>282</v>
      </c>
      <c r="AS4" s="41" t="s">
        <v>283</v>
      </c>
      <c r="AT4" s="41" t="s">
        <v>284</v>
      </c>
      <c r="AU4" s="41" t="s">
        <v>285</v>
      </c>
      <c r="AV4" s="41" t="s">
        <v>286</v>
      </c>
      <c r="AW4" s="41" t="s">
        <v>287</v>
      </c>
      <c r="AX4" s="41" t="s">
        <v>288</v>
      </c>
      <c r="AY4" s="41" t="s">
        <v>289</v>
      </c>
      <c r="AZ4" s="41" t="s">
        <v>290</v>
      </c>
      <c r="BA4" s="41" t="s">
        <v>291</v>
      </c>
      <c r="BB4" s="41" t="s">
        <v>292</v>
      </c>
      <c r="BC4" s="41" t="s">
        <v>293</v>
      </c>
      <c r="BD4" s="41" t="s">
        <v>294</v>
      </c>
      <c r="BE4" s="39" t="s">
        <v>295</v>
      </c>
      <c r="BF4" s="39" t="s">
        <v>296</v>
      </c>
      <c r="BG4" s="40" t="s">
        <v>297</v>
      </c>
      <c r="BH4" s="41" t="s">
        <v>298</v>
      </c>
      <c r="BI4" s="41" t="s">
        <v>299</v>
      </c>
    </row>
    <row r="5" customFormat="false" ht="24" hidden="false" customHeight="true" outlineLevel="0" collapsed="false">
      <c r="A5" s="42" t="n">
        <v>1</v>
      </c>
      <c r="B5" s="42" t="s">
        <v>300</v>
      </c>
      <c r="C5" s="42" t="s">
        <v>301</v>
      </c>
      <c r="D5" s="42" t="s">
        <v>302</v>
      </c>
      <c r="E5" s="42" t="s">
        <v>45</v>
      </c>
      <c r="F5" s="42" t="s">
        <v>123</v>
      </c>
      <c r="G5" s="42" t="s">
        <v>123</v>
      </c>
      <c r="H5" s="43"/>
      <c r="I5" s="43" t="n">
        <v>95.8</v>
      </c>
      <c r="J5" s="43" t="n">
        <v>54.3</v>
      </c>
      <c r="K5" s="44" t="n">
        <f aca="false">IF(ISNUMBER(J5),J5,IF(AND(ISNUMBER(H5),ISNUMBER(I5)),H5*I5/(367*'Assumptions &amp; FX Reference'!$I$17),""))</f>
        <v>54.3</v>
      </c>
      <c r="L5" s="45" t="str">
        <f aca="false">IF(IF(OR(M5="Not stated",M5=""),""," + "&amp;M5)&amp;IF(OR(N5="None",N5=""),""," + "&amp;N5)&amp;IF(O5="Y"," + NACE MR0175","")="","Not stated",MID(IF(OR(M5="Not stated",M5=""),""," + "&amp;M5)&amp;IF(OR(N5="None",N5=""),""," + "&amp;N5)&amp;IF(O5="Y"," + NACE MR0175",""),4,300))</f>
        <v>Not stated</v>
      </c>
      <c r="M5" s="42" t="s">
        <v>123</v>
      </c>
      <c r="N5" s="42" t="s">
        <v>303</v>
      </c>
      <c r="O5" s="42" t="s">
        <v>123</v>
      </c>
      <c r="P5" s="42" t="s">
        <v>123</v>
      </c>
      <c r="Q5" s="42" t="s">
        <v>123</v>
      </c>
      <c r="R5" s="42" t="s">
        <v>123</v>
      </c>
      <c r="S5" s="42" t="s">
        <v>304</v>
      </c>
      <c r="T5" s="42" t="s">
        <v>305</v>
      </c>
      <c r="U5" s="42" t="n">
        <v>1</v>
      </c>
      <c r="V5" s="42" t="s">
        <v>306</v>
      </c>
      <c r="W5" s="43"/>
      <c r="X5" s="42" t="s">
        <v>123</v>
      </c>
      <c r="Y5" s="42" t="s">
        <v>307</v>
      </c>
      <c r="Z5" s="42" t="s">
        <v>308</v>
      </c>
      <c r="AA5" s="46" t="n">
        <v>240000</v>
      </c>
      <c r="AB5" s="47" t="str">
        <f aca="false">IF(NOT(ISNUMBER(AA5)),"",IF(NOT(ISNUMBER(Y5)),"",IFERROR(IF(Z5="EUR",AA5,IF(Z5="IRR",AA5/INDEX('Assumptions &amp; FX Reference'!$C$5:$C$25,MATCH(Y5,'Assumptions &amp; FX Reference'!$A$5:$A$25,0)),IF(Z5="USD",AA5*INDEX('Assumptions &amp; FX Reference'!$B$5:$B$25,MATCH(Y5,'Assumptions &amp; FX Reference'!$A$5:$A$25,0))/INDEX('Assumptions &amp; FX Reference'!$C$5:$C$25,MATCH(Y5,'Assumptions &amp; FX Reference'!$A$5:$A$25,0)),""))),"")))</f>
        <v/>
      </c>
      <c r="AC5" s="47" t="str">
        <f aca="false">IF(NOT(ISNUMBER(AA5)),"",IF(NOT(ISNUMBER(Y5)),"",IFERROR(IF(Z5="USD",AA5,IF(Z5="IRR",AA5/INDEX('Assumptions &amp; FX Reference'!$B$5:$B$25,MATCH(Y5,'Assumptions &amp; FX Reference'!$A$5:$A$25,0)),IF(Z5="EUR",AA5*INDEX('Assumptions &amp; FX Reference'!$C$5:$C$25,MATCH(Y5,'Assumptions &amp; FX Reference'!$A$5:$A$25,0))/INDEX('Assumptions &amp; FX Reference'!$B$5:$B$25,MATCH(Y5,'Assumptions &amp; FX Reference'!$A$5:$A$25,0)),""))),"")))</f>
        <v/>
      </c>
      <c r="AD5" s="47" t="str">
        <f aca="false">IF(NOT(ISNUMBER(AA5)),"",IF(NOT(ISNUMBER(Y5)),"",IFERROR(IF(Z5="IRR",AA5,IF(Z5="USD",AA5*INDEX('Assumptions &amp; FX Reference'!$B$5:$B$25,MATCH(Y5,'Assumptions &amp; FX Reference'!$A$5:$A$25,0)),IF(Z5="EUR",AA5*INDEX('Assumptions &amp; FX Reference'!$C$5:$C$25,MATCH(Y5,'Assumptions &amp; FX Reference'!$A$5:$A$25,0)),""))),"")))</f>
        <v/>
      </c>
      <c r="AE5" s="42" t="s">
        <v>309</v>
      </c>
      <c r="AF5" s="42" t="s">
        <v>123</v>
      </c>
      <c r="AG5" s="47" t="str">
        <f aca="false">IF(AND(Z5="EUR",N(AA5)&gt;5000000),"",IF(AND(ISNUMBER(AB5),ISNUMBER(AZ5),ISNUMBER(BA5)),IF(AND(BB5="Y",ISNUMBER('Assumptions &amp; FX Reference'!$I$15)),MAX(AB5*BA5/AZ5,'Assumptions &amp; FX Reference'!$I$13*BA5/'Assumptions &amp; FX Reference'!$I$15),AB5*BA5/AZ5),""))</f>
        <v/>
      </c>
      <c r="AH5" s="47" t="str">
        <f aca="false">IF(AND(ISNUMBER(AG5),ISNUMBER('Assumptions &amp; FX Reference'!$I$8),ISNUMBER('Assumptions &amp; FX Reference'!$I$11)),AG5*'Assumptions &amp; FX Reference'!$I$8/'Assumptions &amp; FX Reference'!$I$11,"")</f>
        <v/>
      </c>
      <c r="AI5" s="47" t="str">
        <f aca="false">IF(AND(ISNUMBER(AG5),ISNUMBER('Assumptions &amp; FX Reference'!$I$8)),AG5*'Assumptions &amp; FX Reference'!$I$8,"")</f>
        <v/>
      </c>
      <c r="AJ5" s="42" t="s">
        <v>302</v>
      </c>
      <c r="AK5" s="42" t="s">
        <v>123</v>
      </c>
      <c r="AL5" s="42" t="s">
        <v>123</v>
      </c>
      <c r="AM5" s="42" t="s">
        <v>123</v>
      </c>
      <c r="AN5" s="42" t="s">
        <v>123</v>
      </c>
      <c r="AO5" s="42" t="s">
        <v>123</v>
      </c>
      <c r="AP5" s="42" t="s">
        <v>123</v>
      </c>
      <c r="AQ5" s="42" t="s">
        <v>123</v>
      </c>
      <c r="AR5" s="42" t="s">
        <v>123</v>
      </c>
      <c r="AS5" s="45" t="str">
        <f aca="false">IF(AND(Z5="EUR",N(AA5)&gt;5000000),"Check currency (EUR&gt;5M); ","")&amp;IF(NOT(ISNUMBER(AA5)),"No price; ","")&amp;IF(G5="Not stated","Material missing; ","")&amp;IF(P5="Not stated","Seal missing; ","")&amp;IF(K5="","Size driver missing; ","")&amp;IF(NOT(ISNUMBER(AZ5)),"Base-year PPI missing; ","")</f>
        <v>Material missing; Seal missing; Base-year PPI missing; </v>
      </c>
      <c r="AT5" s="48" t="n">
        <f aca="false">IFERROR(INDEX(Factors_ROT!$F$5:$F$200,MATCH("MAT|"&amp;G5,Factors_ROT!$A$5:$A$200,0)),1)</f>
        <v>1</v>
      </c>
      <c r="AU5" s="48" t="n">
        <f aca="false">IFERROR(INDEX(Factors_ROT!$F$5:$F$200,MATCH("SEAL_ARR|"&amp;P5,Factors_ROT!$A$5:$A$200,0)),1)*IFERROR(INDEX(Factors_ROT!$F$5:$F$200,MATCH("SEAL_CAT|"&amp;Q5,Factors_ROT!$A$5:$A$200,0)),1)*IFERROR(INDEX(Factors_ROT!$F$5:$F$200,MATCH("SEAL_PLAN|"&amp;R5,Factors_ROT!$A$5:$A$200,0)),1)</f>
        <v>1</v>
      </c>
      <c r="AV5" s="48" t="n">
        <f aca="false">IFERROR(INDEX(Factors_ROT!$F$5:$F$200,MATCH("DRV|"&amp;S5,Factors_ROT!$A$5:$A$200,0)),1)*IFERROR(INDEX(Factors_ROT!$F$5:$F$200,MATCH("NACE|"&amp;O5,Factors_ROT!$A$5:$A$200,0)),1)</f>
        <v>1</v>
      </c>
      <c r="AW5" s="48" t="n">
        <f aca="false">IFERROR(INDEX(Factors_ROT!$F$5:$F$200,MATCH("SC_DRV|"&amp;AL5,Factors_ROT!$A$5:$A$200,0)),1)*IFERROR(INDEX(Factors_ROT!$F$5:$F$200,MATCH("SC_BSP|"&amp;AM5,Factors_ROT!$A$5:$A$200,0)),1)*IFERROR(INDEX(Factors_ROT!$F$5:$F$200,MATCH("SC_SEAL|"&amp;AN5,Factors_ROT!$A$5:$A$200,0)),1)*IFERROR(INDEX(Factors_ROT!$F$5:$F$200,MATCH("SC_COMM|"&amp;AO5,Factors_ROT!$A$5:$A$200,0)),1)*IFERROR(INDEX(Factors_ROT!$F$5:$F$200,MATCH("SC_2Y|"&amp;AP5,Factors_ROT!$A$5:$A$200,0)),1)*IFERROR(INDEX(Factors_ROT!$F$5:$F$200,MATCH("SC_TPI|"&amp;AQ5,Factors_ROT!$A$5:$A$200,0)),1)*IFERROR(INDEX(Factors_ROT!$F$5:$F$200,MATCH("SC_FAT|"&amp;AR5,Factors_ROT!$A$5:$A$200,0)),1)</f>
        <v>1</v>
      </c>
      <c r="AX5" s="48" t="n">
        <f aca="false">AT5*AU5*AV5*AW5</f>
        <v>1</v>
      </c>
      <c r="AY5" s="47" t="str">
        <f aca="false">IF(ISNUMBER(AB5),AB5/AX5,"")</f>
        <v/>
      </c>
      <c r="AZ5" s="49" t="str">
        <f aca="false">IFERROR(IF(N(INDEX(Escalation_Index!$B$5:$B$25,MATCH(Y5,Escalation_Index!$A$5:$A$25,0)))&gt;0,INDEX(Escalation_Index!$B$5:$B$25,MATCH(Y5,Escalation_Index!$A$5:$A$25,0)),""),"")</f>
        <v/>
      </c>
      <c r="BA5" s="49" t="n">
        <f aca="false">IF(ISNUMBER('Assumptions &amp; FX Reference'!$I$12),'Assumptions &amp; FX Reference'!$I$12,"")</f>
        <v>123.416</v>
      </c>
      <c r="BB5" s="45" t="str">
        <f aca="false">IF(AND(M5="API 610",LEFT(V5,11)="Centrifugal",OR(LEFT(G5,2)="S-",LEFT(G5,2)="D-")),"Y","N")</f>
        <v>N</v>
      </c>
      <c r="BC5" s="47" t="str">
        <f aca="false">IF(ISNUMBER(AG5),AG5/AX5,"")</f>
        <v/>
      </c>
      <c r="BD5" s="47" t="str">
        <f aca="false">IF(AND(ISNUMBER(BC5),ISNUMBER(K5)),IF(K5&gt;0,BC5/K5^'Assumptions &amp; FX Reference'!$I$16,""),"")</f>
        <v/>
      </c>
      <c r="BE5" s="42" t="s">
        <v>310</v>
      </c>
      <c r="BF5" s="42" t="s">
        <v>311</v>
      </c>
      <c r="BG5" s="42" t="s">
        <v>312</v>
      </c>
      <c r="BH5" s="45" t="s">
        <v>313</v>
      </c>
      <c r="BI5" s="45" t="str">
        <f aca="false">"PMP-"&amp;TEXT(A5,"0000")</f>
        <v>PMP-0001</v>
      </c>
    </row>
    <row r="6" customFormat="false" ht="24" hidden="false" customHeight="true" outlineLevel="0" collapsed="false">
      <c r="A6" s="42" t="n">
        <v>2</v>
      </c>
      <c r="B6" s="42" t="s">
        <v>314</v>
      </c>
      <c r="C6" s="42" t="s">
        <v>301</v>
      </c>
      <c r="D6" s="42" t="s">
        <v>302</v>
      </c>
      <c r="E6" s="42" t="s">
        <v>45</v>
      </c>
      <c r="F6" s="42" t="s">
        <v>123</v>
      </c>
      <c r="G6" s="42" t="s">
        <v>123</v>
      </c>
      <c r="H6" s="43"/>
      <c r="I6" s="43" t="n">
        <v>59.9</v>
      </c>
      <c r="J6" s="43" t="n">
        <v>33.1</v>
      </c>
      <c r="K6" s="44" t="n">
        <f aca="false">IF(ISNUMBER(J6),J6,IF(AND(ISNUMBER(H6),ISNUMBER(I6)),H6*I6/(367*'Assumptions &amp; FX Reference'!$I$17),""))</f>
        <v>33.1</v>
      </c>
      <c r="L6" s="45" t="str">
        <f aca="false">IF(IF(OR(M6="Not stated",M6=""),""," + "&amp;M6)&amp;IF(OR(N6="None",N6=""),""," + "&amp;N6)&amp;IF(O6="Y"," + NACE MR0175","")="","Not stated",MID(IF(OR(M6="Not stated",M6=""),""," + "&amp;M6)&amp;IF(OR(N6="None",N6=""),""," + "&amp;N6)&amp;IF(O6="Y"," + NACE MR0175",""),4,300))</f>
        <v>Not stated</v>
      </c>
      <c r="M6" s="42" t="s">
        <v>123</v>
      </c>
      <c r="N6" s="42" t="s">
        <v>303</v>
      </c>
      <c r="O6" s="42" t="s">
        <v>123</v>
      </c>
      <c r="P6" s="42" t="s">
        <v>123</v>
      </c>
      <c r="Q6" s="42" t="s">
        <v>123</v>
      </c>
      <c r="R6" s="42" t="s">
        <v>123</v>
      </c>
      <c r="S6" s="42" t="s">
        <v>304</v>
      </c>
      <c r="T6" s="42" t="s">
        <v>305</v>
      </c>
      <c r="U6" s="42" t="n">
        <v>1</v>
      </c>
      <c r="V6" s="42" t="s">
        <v>306</v>
      </c>
      <c r="W6" s="43"/>
      <c r="X6" s="42" t="s">
        <v>123</v>
      </c>
      <c r="Y6" s="42" t="s">
        <v>307</v>
      </c>
      <c r="Z6" s="42" t="s">
        <v>308</v>
      </c>
      <c r="AA6" s="46" t="n">
        <v>280000</v>
      </c>
      <c r="AB6" s="47" t="str">
        <f aca="false">IF(NOT(ISNUMBER(AA6)),"",IF(NOT(ISNUMBER(Y6)),"",IFERROR(IF(Z6="EUR",AA6,IF(Z6="IRR",AA6/INDEX('Assumptions &amp; FX Reference'!$C$5:$C$25,MATCH(Y6,'Assumptions &amp; FX Reference'!$A$5:$A$25,0)),IF(Z6="USD",AA6*INDEX('Assumptions &amp; FX Reference'!$B$5:$B$25,MATCH(Y6,'Assumptions &amp; FX Reference'!$A$5:$A$25,0))/INDEX('Assumptions &amp; FX Reference'!$C$5:$C$25,MATCH(Y6,'Assumptions &amp; FX Reference'!$A$5:$A$25,0)),""))),"")))</f>
        <v/>
      </c>
      <c r="AC6" s="47" t="str">
        <f aca="false">IF(NOT(ISNUMBER(AA6)),"",IF(NOT(ISNUMBER(Y6)),"",IFERROR(IF(Z6="USD",AA6,IF(Z6="IRR",AA6/INDEX('Assumptions &amp; FX Reference'!$B$5:$B$25,MATCH(Y6,'Assumptions &amp; FX Reference'!$A$5:$A$25,0)),IF(Z6="EUR",AA6*INDEX('Assumptions &amp; FX Reference'!$C$5:$C$25,MATCH(Y6,'Assumptions &amp; FX Reference'!$A$5:$A$25,0))/INDEX('Assumptions &amp; FX Reference'!$B$5:$B$25,MATCH(Y6,'Assumptions &amp; FX Reference'!$A$5:$A$25,0)),""))),"")))</f>
        <v/>
      </c>
      <c r="AD6" s="47" t="str">
        <f aca="false">IF(NOT(ISNUMBER(AA6)),"",IF(NOT(ISNUMBER(Y6)),"",IFERROR(IF(Z6="IRR",AA6,IF(Z6="USD",AA6*INDEX('Assumptions &amp; FX Reference'!$B$5:$B$25,MATCH(Y6,'Assumptions &amp; FX Reference'!$A$5:$A$25,0)),IF(Z6="EUR",AA6*INDEX('Assumptions &amp; FX Reference'!$C$5:$C$25,MATCH(Y6,'Assumptions &amp; FX Reference'!$A$5:$A$25,0)),""))),"")))</f>
        <v/>
      </c>
      <c r="AE6" s="42" t="s">
        <v>309</v>
      </c>
      <c r="AF6" s="42" t="s">
        <v>123</v>
      </c>
      <c r="AG6" s="47" t="str">
        <f aca="false">IF(AND(Z6="EUR",N(AA6)&gt;5000000),"",IF(AND(ISNUMBER(AB6),ISNUMBER(AZ6),ISNUMBER(BA6)),IF(AND(BB6="Y",ISNUMBER('Assumptions &amp; FX Reference'!$I$15)),MAX(AB6*BA6/AZ6,'Assumptions &amp; FX Reference'!$I$13*BA6/'Assumptions &amp; FX Reference'!$I$15),AB6*BA6/AZ6),""))</f>
        <v/>
      </c>
      <c r="AH6" s="47" t="str">
        <f aca="false">IF(AND(ISNUMBER(AG6),ISNUMBER('Assumptions &amp; FX Reference'!$I$8),ISNUMBER('Assumptions &amp; FX Reference'!$I$11)),AG6*'Assumptions &amp; FX Reference'!$I$8/'Assumptions &amp; FX Reference'!$I$11,"")</f>
        <v/>
      </c>
      <c r="AI6" s="47" t="str">
        <f aca="false">IF(AND(ISNUMBER(AG6),ISNUMBER('Assumptions &amp; FX Reference'!$I$8)),AG6*'Assumptions &amp; FX Reference'!$I$8,"")</f>
        <v/>
      </c>
      <c r="AJ6" s="42" t="s">
        <v>302</v>
      </c>
      <c r="AK6" s="42" t="s">
        <v>123</v>
      </c>
      <c r="AL6" s="42" t="s">
        <v>123</v>
      </c>
      <c r="AM6" s="42" t="s">
        <v>123</v>
      </c>
      <c r="AN6" s="42" t="s">
        <v>123</v>
      </c>
      <c r="AO6" s="42" t="s">
        <v>123</v>
      </c>
      <c r="AP6" s="42" t="s">
        <v>123</v>
      </c>
      <c r="AQ6" s="42" t="s">
        <v>123</v>
      </c>
      <c r="AR6" s="42" t="s">
        <v>123</v>
      </c>
      <c r="AS6" s="45" t="str">
        <f aca="false">IF(AND(Z6="EUR",N(AA6)&gt;5000000),"Check currency (EUR&gt;5M); ","")&amp;IF(NOT(ISNUMBER(AA6)),"No price; ","")&amp;IF(G6="Not stated","Material missing; ","")&amp;IF(P6="Not stated","Seal missing; ","")&amp;IF(K6="","Size driver missing; ","")&amp;IF(NOT(ISNUMBER(AZ6)),"Base-year PPI missing; ","")</f>
        <v>Material missing; Seal missing; Base-year PPI missing; </v>
      </c>
      <c r="AT6" s="48" t="n">
        <f aca="false">IFERROR(INDEX(Factors_ROT!$F$5:$F$200,MATCH("MAT|"&amp;G6,Factors_ROT!$A$5:$A$200,0)),1)</f>
        <v>1</v>
      </c>
      <c r="AU6" s="48" t="n">
        <f aca="false">IFERROR(INDEX(Factors_ROT!$F$5:$F$200,MATCH("SEAL_ARR|"&amp;P6,Factors_ROT!$A$5:$A$200,0)),1)*IFERROR(INDEX(Factors_ROT!$F$5:$F$200,MATCH("SEAL_CAT|"&amp;Q6,Factors_ROT!$A$5:$A$200,0)),1)*IFERROR(INDEX(Factors_ROT!$F$5:$F$200,MATCH("SEAL_PLAN|"&amp;R6,Factors_ROT!$A$5:$A$200,0)),1)</f>
        <v>1</v>
      </c>
      <c r="AV6" s="48" t="n">
        <f aca="false">IFERROR(INDEX(Factors_ROT!$F$5:$F$200,MATCH("DRV|"&amp;S6,Factors_ROT!$A$5:$A$200,0)),1)*IFERROR(INDEX(Factors_ROT!$F$5:$F$200,MATCH("NACE|"&amp;O6,Factors_ROT!$A$5:$A$200,0)),1)</f>
        <v>1</v>
      </c>
      <c r="AW6" s="48" t="n">
        <f aca="false">IFERROR(INDEX(Factors_ROT!$F$5:$F$200,MATCH("SC_DRV|"&amp;AL6,Factors_ROT!$A$5:$A$200,0)),1)*IFERROR(INDEX(Factors_ROT!$F$5:$F$200,MATCH("SC_BSP|"&amp;AM6,Factors_ROT!$A$5:$A$200,0)),1)*IFERROR(INDEX(Factors_ROT!$F$5:$F$200,MATCH("SC_SEAL|"&amp;AN6,Factors_ROT!$A$5:$A$200,0)),1)*IFERROR(INDEX(Factors_ROT!$F$5:$F$200,MATCH("SC_COMM|"&amp;AO6,Factors_ROT!$A$5:$A$200,0)),1)*IFERROR(INDEX(Factors_ROT!$F$5:$F$200,MATCH("SC_2Y|"&amp;AP6,Factors_ROT!$A$5:$A$200,0)),1)*IFERROR(INDEX(Factors_ROT!$F$5:$F$200,MATCH("SC_TPI|"&amp;AQ6,Factors_ROT!$A$5:$A$200,0)),1)*IFERROR(INDEX(Factors_ROT!$F$5:$F$200,MATCH("SC_FAT|"&amp;AR6,Factors_ROT!$A$5:$A$200,0)),1)</f>
        <v>1</v>
      </c>
      <c r="AX6" s="48" t="n">
        <f aca="false">AT6*AU6*AV6*AW6</f>
        <v>1</v>
      </c>
      <c r="AY6" s="47" t="str">
        <f aca="false">IF(ISNUMBER(AB6),AB6/AX6,"")</f>
        <v/>
      </c>
      <c r="AZ6" s="49" t="str">
        <f aca="false">IFERROR(IF(N(INDEX(Escalation_Index!$B$5:$B$25,MATCH(Y6,Escalation_Index!$A$5:$A$25,0)))&gt;0,INDEX(Escalation_Index!$B$5:$B$25,MATCH(Y6,Escalation_Index!$A$5:$A$25,0)),""),"")</f>
        <v/>
      </c>
      <c r="BA6" s="49" t="n">
        <f aca="false">IF(ISNUMBER('Assumptions &amp; FX Reference'!$I$12),'Assumptions &amp; FX Reference'!$I$12,"")</f>
        <v>123.416</v>
      </c>
      <c r="BB6" s="45" t="str">
        <f aca="false">IF(AND(M6="API 610",LEFT(V6,11)="Centrifugal",OR(LEFT(G6,2)="S-",LEFT(G6,2)="D-")),"Y","N")</f>
        <v>N</v>
      </c>
      <c r="BC6" s="47" t="str">
        <f aca="false">IF(ISNUMBER(AG6),AG6/AX6,"")</f>
        <v/>
      </c>
      <c r="BD6" s="47" t="str">
        <f aca="false">IF(AND(ISNUMBER(BC6),ISNUMBER(K6)),IF(K6&gt;0,BC6/K6^'Assumptions &amp; FX Reference'!$I$16,""),"")</f>
        <v/>
      </c>
      <c r="BE6" s="42" t="s">
        <v>315</v>
      </c>
      <c r="BF6" s="42" t="s">
        <v>316</v>
      </c>
      <c r="BG6" s="42" t="s">
        <v>312</v>
      </c>
      <c r="BH6" s="45" t="s">
        <v>313</v>
      </c>
      <c r="BI6" s="45" t="str">
        <f aca="false">"PMP-"&amp;TEXT(A6,"0000")</f>
        <v>PMP-0002</v>
      </c>
    </row>
    <row r="7" customFormat="false" ht="24" hidden="false" customHeight="true" outlineLevel="0" collapsed="false">
      <c r="A7" s="42" t="n">
        <v>3</v>
      </c>
      <c r="B7" s="42" t="s">
        <v>317</v>
      </c>
      <c r="C7" s="42" t="s">
        <v>301</v>
      </c>
      <c r="D7" s="42" t="s">
        <v>302</v>
      </c>
      <c r="E7" s="42" t="s">
        <v>45</v>
      </c>
      <c r="F7" s="42" t="s">
        <v>123</v>
      </c>
      <c r="G7" s="42" t="s">
        <v>123</v>
      </c>
      <c r="H7" s="43"/>
      <c r="I7" s="43" t="n">
        <v>34.8</v>
      </c>
      <c r="J7" s="43" t="n">
        <v>57.4</v>
      </c>
      <c r="K7" s="44" t="n">
        <f aca="false">IF(ISNUMBER(J7),J7,IF(AND(ISNUMBER(H7),ISNUMBER(I7)),H7*I7/(367*'Assumptions &amp; FX Reference'!$I$17),""))</f>
        <v>57.4</v>
      </c>
      <c r="L7" s="45" t="str">
        <f aca="false">IF(IF(OR(M7="Not stated",M7=""),""," + "&amp;M7)&amp;IF(OR(N7="None",N7=""),""," + "&amp;N7)&amp;IF(O7="Y"," + NACE MR0175","")="","Not stated",MID(IF(OR(M7="Not stated",M7=""),""," + "&amp;M7)&amp;IF(OR(N7="None",N7=""),""," + "&amp;N7)&amp;IF(O7="Y"," + NACE MR0175",""),4,300))</f>
        <v>Not stated</v>
      </c>
      <c r="M7" s="42" t="s">
        <v>123</v>
      </c>
      <c r="N7" s="42" t="s">
        <v>303</v>
      </c>
      <c r="O7" s="42" t="s">
        <v>123</v>
      </c>
      <c r="P7" s="42" t="s">
        <v>123</v>
      </c>
      <c r="Q7" s="42" t="s">
        <v>123</v>
      </c>
      <c r="R7" s="42" t="s">
        <v>123</v>
      </c>
      <c r="S7" s="42" t="s">
        <v>304</v>
      </c>
      <c r="T7" s="42" t="s">
        <v>305</v>
      </c>
      <c r="U7" s="42" t="n">
        <v>1</v>
      </c>
      <c r="V7" s="42" t="s">
        <v>306</v>
      </c>
      <c r="W7" s="43"/>
      <c r="X7" s="42" t="s">
        <v>123</v>
      </c>
      <c r="Y7" s="42" t="s">
        <v>307</v>
      </c>
      <c r="Z7" s="42" t="s">
        <v>308</v>
      </c>
      <c r="AA7" s="46" t="n">
        <v>250000</v>
      </c>
      <c r="AB7" s="47" t="str">
        <f aca="false">IF(NOT(ISNUMBER(AA7)),"",IF(NOT(ISNUMBER(Y7)),"",IFERROR(IF(Z7="EUR",AA7,IF(Z7="IRR",AA7/INDEX('Assumptions &amp; FX Reference'!$C$5:$C$25,MATCH(Y7,'Assumptions &amp; FX Reference'!$A$5:$A$25,0)),IF(Z7="USD",AA7*INDEX('Assumptions &amp; FX Reference'!$B$5:$B$25,MATCH(Y7,'Assumptions &amp; FX Reference'!$A$5:$A$25,0))/INDEX('Assumptions &amp; FX Reference'!$C$5:$C$25,MATCH(Y7,'Assumptions &amp; FX Reference'!$A$5:$A$25,0)),""))),"")))</f>
        <v/>
      </c>
      <c r="AC7" s="47" t="str">
        <f aca="false">IF(NOT(ISNUMBER(AA7)),"",IF(NOT(ISNUMBER(Y7)),"",IFERROR(IF(Z7="USD",AA7,IF(Z7="IRR",AA7/INDEX('Assumptions &amp; FX Reference'!$B$5:$B$25,MATCH(Y7,'Assumptions &amp; FX Reference'!$A$5:$A$25,0)),IF(Z7="EUR",AA7*INDEX('Assumptions &amp; FX Reference'!$C$5:$C$25,MATCH(Y7,'Assumptions &amp; FX Reference'!$A$5:$A$25,0))/INDEX('Assumptions &amp; FX Reference'!$B$5:$B$25,MATCH(Y7,'Assumptions &amp; FX Reference'!$A$5:$A$25,0)),""))),"")))</f>
        <v/>
      </c>
      <c r="AD7" s="47" t="str">
        <f aca="false">IF(NOT(ISNUMBER(AA7)),"",IF(NOT(ISNUMBER(Y7)),"",IFERROR(IF(Z7="IRR",AA7,IF(Z7="USD",AA7*INDEX('Assumptions &amp; FX Reference'!$B$5:$B$25,MATCH(Y7,'Assumptions &amp; FX Reference'!$A$5:$A$25,0)),IF(Z7="EUR",AA7*INDEX('Assumptions &amp; FX Reference'!$C$5:$C$25,MATCH(Y7,'Assumptions &amp; FX Reference'!$A$5:$A$25,0)),""))),"")))</f>
        <v/>
      </c>
      <c r="AE7" s="42" t="s">
        <v>309</v>
      </c>
      <c r="AF7" s="42" t="s">
        <v>123</v>
      </c>
      <c r="AG7" s="47" t="str">
        <f aca="false">IF(AND(Z7="EUR",N(AA7)&gt;5000000),"",IF(AND(ISNUMBER(AB7),ISNUMBER(AZ7),ISNUMBER(BA7)),IF(AND(BB7="Y",ISNUMBER('Assumptions &amp; FX Reference'!$I$15)),MAX(AB7*BA7/AZ7,'Assumptions &amp; FX Reference'!$I$13*BA7/'Assumptions &amp; FX Reference'!$I$15),AB7*BA7/AZ7),""))</f>
        <v/>
      </c>
      <c r="AH7" s="47" t="str">
        <f aca="false">IF(AND(ISNUMBER(AG7),ISNUMBER('Assumptions &amp; FX Reference'!$I$8),ISNUMBER('Assumptions &amp; FX Reference'!$I$11)),AG7*'Assumptions &amp; FX Reference'!$I$8/'Assumptions &amp; FX Reference'!$I$11,"")</f>
        <v/>
      </c>
      <c r="AI7" s="47" t="str">
        <f aca="false">IF(AND(ISNUMBER(AG7),ISNUMBER('Assumptions &amp; FX Reference'!$I$8)),AG7*'Assumptions &amp; FX Reference'!$I$8,"")</f>
        <v/>
      </c>
      <c r="AJ7" s="42" t="s">
        <v>302</v>
      </c>
      <c r="AK7" s="42" t="s">
        <v>123</v>
      </c>
      <c r="AL7" s="42" t="s">
        <v>123</v>
      </c>
      <c r="AM7" s="42" t="s">
        <v>123</v>
      </c>
      <c r="AN7" s="42" t="s">
        <v>123</v>
      </c>
      <c r="AO7" s="42" t="s">
        <v>123</v>
      </c>
      <c r="AP7" s="42" t="s">
        <v>123</v>
      </c>
      <c r="AQ7" s="42" t="s">
        <v>123</v>
      </c>
      <c r="AR7" s="42" t="s">
        <v>123</v>
      </c>
      <c r="AS7" s="45" t="str">
        <f aca="false">IF(AND(Z7="EUR",N(AA7)&gt;5000000),"Check currency (EUR&gt;5M); ","")&amp;IF(NOT(ISNUMBER(AA7)),"No price; ","")&amp;IF(G7="Not stated","Material missing; ","")&amp;IF(P7="Not stated","Seal missing; ","")&amp;IF(K7="","Size driver missing; ","")&amp;IF(NOT(ISNUMBER(AZ7)),"Base-year PPI missing; ","")</f>
        <v>Material missing; Seal missing; Base-year PPI missing; </v>
      </c>
      <c r="AT7" s="48" t="n">
        <f aca="false">IFERROR(INDEX(Factors_ROT!$F$5:$F$200,MATCH("MAT|"&amp;G7,Factors_ROT!$A$5:$A$200,0)),1)</f>
        <v>1</v>
      </c>
      <c r="AU7" s="48" t="n">
        <f aca="false">IFERROR(INDEX(Factors_ROT!$F$5:$F$200,MATCH("SEAL_ARR|"&amp;P7,Factors_ROT!$A$5:$A$200,0)),1)*IFERROR(INDEX(Factors_ROT!$F$5:$F$200,MATCH("SEAL_CAT|"&amp;Q7,Factors_ROT!$A$5:$A$200,0)),1)*IFERROR(INDEX(Factors_ROT!$F$5:$F$200,MATCH("SEAL_PLAN|"&amp;R7,Factors_ROT!$A$5:$A$200,0)),1)</f>
        <v>1</v>
      </c>
      <c r="AV7" s="48" t="n">
        <f aca="false">IFERROR(INDEX(Factors_ROT!$F$5:$F$200,MATCH("DRV|"&amp;S7,Factors_ROT!$A$5:$A$200,0)),1)*IFERROR(INDEX(Factors_ROT!$F$5:$F$200,MATCH("NACE|"&amp;O7,Factors_ROT!$A$5:$A$200,0)),1)</f>
        <v>1</v>
      </c>
      <c r="AW7" s="48" t="n">
        <f aca="false">IFERROR(INDEX(Factors_ROT!$F$5:$F$200,MATCH("SC_DRV|"&amp;AL7,Factors_ROT!$A$5:$A$200,0)),1)*IFERROR(INDEX(Factors_ROT!$F$5:$F$200,MATCH("SC_BSP|"&amp;AM7,Factors_ROT!$A$5:$A$200,0)),1)*IFERROR(INDEX(Factors_ROT!$F$5:$F$200,MATCH("SC_SEAL|"&amp;AN7,Factors_ROT!$A$5:$A$200,0)),1)*IFERROR(INDEX(Factors_ROT!$F$5:$F$200,MATCH("SC_COMM|"&amp;AO7,Factors_ROT!$A$5:$A$200,0)),1)*IFERROR(INDEX(Factors_ROT!$F$5:$F$200,MATCH("SC_2Y|"&amp;AP7,Factors_ROT!$A$5:$A$200,0)),1)*IFERROR(INDEX(Factors_ROT!$F$5:$F$200,MATCH("SC_TPI|"&amp;AQ7,Factors_ROT!$A$5:$A$200,0)),1)*IFERROR(INDEX(Factors_ROT!$F$5:$F$200,MATCH("SC_FAT|"&amp;AR7,Factors_ROT!$A$5:$A$200,0)),1)</f>
        <v>1</v>
      </c>
      <c r="AX7" s="48" t="n">
        <f aca="false">AT7*AU7*AV7*AW7</f>
        <v>1</v>
      </c>
      <c r="AY7" s="47" t="str">
        <f aca="false">IF(ISNUMBER(AB7),AB7/AX7,"")</f>
        <v/>
      </c>
      <c r="AZ7" s="49" t="str">
        <f aca="false">IFERROR(IF(N(INDEX(Escalation_Index!$B$5:$B$25,MATCH(Y7,Escalation_Index!$A$5:$A$25,0)))&gt;0,INDEX(Escalation_Index!$B$5:$B$25,MATCH(Y7,Escalation_Index!$A$5:$A$25,0)),""),"")</f>
        <v/>
      </c>
      <c r="BA7" s="49" t="n">
        <f aca="false">IF(ISNUMBER('Assumptions &amp; FX Reference'!$I$12),'Assumptions &amp; FX Reference'!$I$12,"")</f>
        <v>123.416</v>
      </c>
      <c r="BB7" s="45" t="str">
        <f aca="false">IF(AND(M7="API 610",LEFT(V7,11)="Centrifugal",OR(LEFT(G7,2)="S-",LEFT(G7,2)="D-")),"Y","N")</f>
        <v>N</v>
      </c>
      <c r="BC7" s="47" t="str">
        <f aca="false">IF(ISNUMBER(AG7),AG7/AX7,"")</f>
        <v/>
      </c>
      <c r="BD7" s="47" t="str">
        <f aca="false">IF(AND(ISNUMBER(BC7),ISNUMBER(K7)),IF(K7&gt;0,BC7/K7^'Assumptions &amp; FX Reference'!$I$16,""),"")</f>
        <v/>
      </c>
      <c r="BE7" s="42" t="s">
        <v>318</v>
      </c>
      <c r="BF7" s="42" t="s">
        <v>319</v>
      </c>
      <c r="BG7" s="42" t="s">
        <v>312</v>
      </c>
      <c r="BH7" s="45" t="s">
        <v>313</v>
      </c>
      <c r="BI7" s="45" t="str">
        <f aca="false">"PMP-"&amp;TEXT(A7,"0000")</f>
        <v>PMP-0003</v>
      </c>
    </row>
    <row r="8" customFormat="false" ht="24" hidden="false" customHeight="true" outlineLevel="0" collapsed="false">
      <c r="A8" s="42" t="n">
        <v>4</v>
      </c>
      <c r="B8" s="42" t="s">
        <v>320</v>
      </c>
      <c r="C8" s="42" t="s">
        <v>301</v>
      </c>
      <c r="D8" s="42" t="s">
        <v>302</v>
      </c>
      <c r="E8" s="42" t="s">
        <v>45</v>
      </c>
      <c r="F8" s="42" t="s">
        <v>123</v>
      </c>
      <c r="G8" s="42" t="s">
        <v>123</v>
      </c>
      <c r="H8" s="43"/>
      <c r="I8" s="43" t="n">
        <v>329</v>
      </c>
      <c r="J8" s="43" t="n">
        <v>379</v>
      </c>
      <c r="K8" s="44" t="n">
        <f aca="false">IF(ISNUMBER(J8),J8,IF(AND(ISNUMBER(H8),ISNUMBER(I8)),H8*I8/(367*'Assumptions &amp; FX Reference'!$I$17),""))</f>
        <v>379</v>
      </c>
      <c r="L8" s="45" t="str">
        <f aca="false">IF(IF(OR(M8="Not stated",M8=""),""," + "&amp;M8)&amp;IF(OR(N8="None",N8=""),""," + "&amp;N8)&amp;IF(O8="Y"," + NACE MR0175","")="","Not stated",MID(IF(OR(M8="Not stated",M8=""),""," + "&amp;M8)&amp;IF(OR(N8="None",N8=""),""," + "&amp;N8)&amp;IF(O8="Y"," + NACE MR0175",""),4,300))</f>
        <v>Not stated</v>
      </c>
      <c r="M8" s="42" t="s">
        <v>123</v>
      </c>
      <c r="N8" s="42" t="s">
        <v>303</v>
      </c>
      <c r="O8" s="42" t="s">
        <v>123</v>
      </c>
      <c r="P8" s="42" t="s">
        <v>123</v>
      </c>
      <c r="Q8" s="42" t="s">
        <v>123</v>
      </c>
      <c r="R8" s="42" t="s">
        <v>123</v>
      </c>
      <c r="S8" s="42" t="s">
        <v>304</v>
      </c>
      <c r="T8" s="42" t="s">
        <v>305</v>
      </c>
      <c r="U8" s="42" t="n">
        <v>1</v>
      </c>
      <c r="V8" s="42" t="s">
        <v>306</v>
      </c>
      <c r="W8" s="43"/>
      <c r="X8" s="42" t="s">
        <v>123</v>
      </c>
      <c r="Y8" s="42" t="s">
        <v>307</v>
      </c>
      <c r="Z8" s="42" t="s">
        <v>308</v>
      </c>
      <c r="AA8" s="46" t="n">
        <v>420000</v>
      </c>
      <c r="AB8" s="47" t="str">
        <f aca="false">IF(NOT(ISNUMBER(AA8)),"",IF(NOT(ISNUMBER(Y8)),"",IFERROR(IF(Z8="EUR",AA8,IF(Z8="IRR",AA8/INDEX('Assumptions &amp; FX Reference'!$C$5:$C$25,MATCH(Y8,'Assumptions &amp; FX Reference'!$A$5:$A$25,0)),IF(Z8="USD",AA8*INDEX('Assumptions &amp; FX Reference'!$B$5:$B$25,MATCH(Y8,'Assumptions &amp; FX Reference'!$A$5:$A$25,0))/INDEX('Assumptions &amp; FX Reference'!$C$5:$C$25,MATCH(Y8,'Assumptions &amp; FX Reference'!$A$5:$A$25,0)),""))),"")))</f>
        <v/>
      </c>
      <c r="AC8" s="47" t="str">
        <f aca="false">IF(NOT(ISNUMBER(AA8)),"",IF(NOT(ISNUMBER(Y8)),"",IFERROR(IF(Z8="USD",AA8,IF(Z8="IRR",AA8/INDEX('Assumptions &amp; FX Reference'!$B$5:$B$25,MATCH(Y8,'Assumptions &amp; FX Reference'!$A$5:$A$25,0)),IF(Z8="EUR",AA8*INDEX('Assumptions &amp; FX Reference'!$C$5:$C$25,MATCH(Y8,'Assumptions &amp; FX Reference'!$A$5:$A$25,0))/INDEX('Assumptions &amp; FX Reference'!$B$5:$B$25,MATCH(Y8,'Assumptions &amp; FX Reference'!$A$5:$A$25,0)),""))),"")))</f>
        <v/>
      </c>
      <c r="AD8" s="47" t="str">
        <f aca="false">IF(NOT(ISNUMBER(AA8)),"",IF(NOT(ISNUMBER(Y8)),"",IFERROR(IF(Z8="IRR",AA8,IF(Z8="USD",AA8*INDEX('Assumptions &amp; FX Reference'!$B$5:$B$25,MATCH(Y8,'Assumptions &amp; FX Reference'!$A$5:$A$25,0)),IF(Z8="EUR",AA8*INDEX('Assumptions &amp; FX Reference'!$C$5:$C$25,MATCH(Y8,'Assumptions &amp; FX Reference'!$A$5:$A$25,0)),""))),"")))</f>
        <v/>
      </c>
      <c r="AE8" s="42" t="s">
        <v>309</v>
      </c>
      <c r="AF8" s="42" t="s">
        <v>123</v>
      </c>
      <c r="AG8" s="47" t="str">
        <f aca="false">IF(AND(Z8="EUR",N(AA8)&gt;5000000),"",IF(AND(ISNUMBER(AB8),ISNUMBER(AZ8),ISNUMBER(BA8)),IF(AND(BB8="Y",ISNUMBER('Assumptions &amp; FX Reference'!$I$15)),MAX(AB8*BA8/AZ8,'Assumptions &amp; FX Reference'!$I$13*BA8/'Assumptions &amp; FX Reference'!$I$15),AB8*BA8/AZ8),""))</f>
        <v/>
      </c>
      <c r="AH8" s="47" t="str">
        <f aca="false">IF(AND(ISNUMBER(AG8),ISNUMBER('Assumptions &amp; FX Reference'!$I$8),ISNUMBER('Assumptions &amp; FX Reference'!$I$11)),AG8*'Assumptions &amp; FX Reference'!$I$8/'Assumptions &amp; FX Reference'!$I$11,"")</f>
        <v/>
      </c>
      <c r="AI8" s="47" t="str">
        <f aca="false">IF(AND(ISNUMBER(AG8),ISNUMBER('Assumptions &amp; FX Reference'!$I$8)),AG8*'Assumptions &amp; FX Reference'!$I$8,"")</f>
        <v/>
      </c>
      <c r="AJ8" s="42" t="s">
        <v>302</v>
      </c>
      <c r="AK8" s="42" t="s">
        <v>123</v>
      </c>
      <c r="AL8" s="42" t="s">
        <v>123</v>
      </c>
      <c r="AM8" s="42" t="s">
        <v>123</v>
      </c>
      <c r="AN8" s="42" t="s">
        <v>123</v>
      </c>
      <c r="AO8" s="42" t="s">
        <v>123</v>
      </c>
      <c r="AP8" s="42" t="s">
        <v>123</v>
      </c>
      <c r="AQ8" s="42" t="s">
        <v>123</v>
      </c>
      <c r="AR8" s="42" t="s">
        <v>123</v>
      </c>
      <c r="AS8" s="45" t="str">
        <f aca="false">IF(AND(Z8="EUR",N(AA8)&gt;5000000),"Check currency (EUR&gt;5M); ","")&amp;IF(NOT(ISNUMBER(AA8)),"No price; ","")&amp;IF(G8="Not stated","Material missing; ","")&amp;IF(P8="Not stated","Seal missing; ","")&amp;IF(K8="","Size driver missing; ","")&amp;IF(NOT(ISNUMBER(AZ8)),"Base-year PPI missing; ","")</f>
        <v>Material missing; Seal missing; Base-year PPI missing; </v>
      </c>
      <c r="AT8" s="48" t="n">
        <f aca="false">IFERROR(INDEX(Factors_ROT!$F$5:$F$200,MATCH("MAT|"&amp;G8,Factors_ROT!$A$5:$A$200,0)),1)</f>
        <v>1</v>
      </c>
      <c r="AU8" s="48" t="n">
        <f aca="false">IFERROR(INDEX(Factors_ROT!$F$5:$F$200,MATCH("SEAL_ARR|"&amp;P8,Factors_ROT!$A$5:$A$200,0)),1)*IFERROR(INDEX(Factors_ROT!$F$5:$F$200,MATCH("SEAL_CAT|"&amp;Q8,Factors_ROT!$A$5:$A$200,0)),1)*IFERROR(INDEX(Factors_ROT!$F$5:$F$200,MATCH("SEAL_PLAN|"&amp;R8,Factors_ROT!$A$5:$A$200,0)),1)</f>
        <v>1</v>
      </c>
      <c r="AV8" s="48" t="n">
        <f aca="false">IFERROR(INDEX(Factors_ROT!$F$5:$F$200,MATCH("DRV|"&amp;S8,Factors_ROT!$A$5:$A$200,0)),1)*IFERROR(INDEX(Factors_ROT!$F$5:$F$200,MATCH("NACE|"&amp;O8,Factors_ROT!$A$5:$A$200,0)),1)</f>
        <v>1</v>
      </c>
      <c r="AW8" s="48" t="n">
        <f aca="false">IFERROR(INDEX(Factors_ROT!$F$5:$F$200,MATCH("SC_DRV|"&amp;AL8,Factors_ROT!$A$5:$A$200,0)),1)*IFERROR(INDEX(Factors_ROT!$F$5:$F$200,MATCH("SC_BSP|"&amp;AM8,Factors_ROT!$A$5:$A$200,0)),1)*IFERROR(INDEX(Factors_ROT!$F$5:$F$200,MATCH("SC_SEAL|"&amp;AN8,Factors_ROT!$A$5:$A$200,0)),1)*IFERROR(INDEX(Factors_ROT!$F$5:$F$200,MATCH("SC_COMM|"&amp;AO8,Factors_ROT!$A$5:$A$200,0)),1)*IFERROR(INDEX(Factors_ROT!$F$5:$F$200,MATCH("SC_2Y|"&amp;AP8,Factors_ROT!$A$5:$A$200,0)),1)*IFERROR(INDEX(Factors_ROT!$F$5:$F$200,MATCH("SC_TPI|"&amp;AQ8,Factors_ROT!$A$5:$A$200,0)),1)*IFERROR(INDEX(Factors_ROT!$F$5:$F$200,MATCH("SC_FAT|"&amp;AR8,Factors_ROT!$A$5:$A$200,0)),1)</f>
        <v>1</v>
      </c>
      <c r="AX8" s="48" t="n">
        <f aca="false">AT8*AU8*AV8*AW8</f>
        <v>1</v>
      </c>
      <c r="AY8" s="47" t="str">
        <f aca="false">IF(ISNUMBER(AB8),AB8/AX8,"")</f>
        <v/>
      </c>
      <c r="AZ8" s="49" t="str">
        <f aca="false">IFERROR(IF(N(INDEX(Escalation_Index!$B$5:$B$25,MATCH(Y8,Escalation_Index!$A$5:$A$25,0)))&gt;0,INDEX(Escalation_Index!$B$5:$B$25,MATCH(Y8,Escalation_Index!$A$5:$A$25,0)),""),"")</f>
        <v/>
      </c>
      <c r="BA8" s="49" t="n">
        <f aca="false">IF(ISNUMBER('Assumptions &amp; FX Reference'!$I$12),'Assumptions &amp; FX Reference'!$I$12,"")</f>
        <v>123.416</v>
      </c>
      <c r="BB8" s="45" t="str">
        <f aca="false">IF(AND(M8="API 610",LEFT(V8,11)="Centrifugal",OR(LEFT(G8,2)="S-",LEFT(G8,2)="D-")),"Y","N")</f>
        <v>N</v>
      </c>
      <c r="BC8" s="47" t="str">
        <f aca="false">IF(ISNUMBER(AG8),AG8/AX8,"")</f>
        <v/>
      </c>
      <c r="BD8" s="47" t="str">
        <f aca="false">IF(AND(ISNUMBER(BC8),ISNUMBER(K8)),IF(K8&gt;0,BC8/K8^'Assumptions &amp; FX Reference'!$I$16,""),"")</f>
        <v/>
      </c>
      <c r="BE8" s="42" t="s">
        <v>321</v>
      </c>
      <c r="BF8" s="42" t="s">
        <v>322</v>
      </c>
      <c r="BG8" s="42" t="s">
        <v>312</v>
      </c>
      <c r="BH8" s="45" t="s">
        <v>313</v>
      </c>
      <c r="BI8" s="45" t="str">
        <f aca="false">"PMP-"&amp;TEXT(A8,"0000")</f>
        <v>PMP-0004</v>
      </c>
    </row>
    <row r="9" customFormat="false" ht="24" hidden="false" customHeight="true" outlineLevel="0" collapsed="false">
      <c r="A9" s="42" t="n">
        <v>5</v>
      </c>
      <c r="B9" s="42" t="s">
        <v>323</v>
      </c>
      <c r="C9" s="42" t="s">
        <v>301</v>
      </c>
      <c r="D9" s="42" t="s">
        <v>302</v>
      </c>
      <c r="E9" s="42" t="s">
        <v>45</v>
      </c>
      <c r="F9" s="42" t="s">
        <v>123</v>
      </c>
      <c r="G9" s="42" t="s">
        <v>123</v>
      </c>
      <c r="H9" s="43"/>
      <c r="I9" s="43" t="n">
        <v>311.3</v>
      </c>
      <c r="J9" s="43" t="n">
        <v>48</v>
      </c>
      <c r="K9" s="44" t="n">
        <f aca="false">IF(ISNUMBER(J9),J9,IF(AND(ISNUMBER(H9),ISNUMBER(I9)),H9*I9/(367*'Assumptions &amp; FX Reference'!$I$17),""))</f>
        <v>48</v>
      </c>
      <c r="L9" s="45" t="str">
        <f aca="false">IF(IF(OR(M9="Not stated",M9=""),""," + "&amp;M9)&amp;IF(OR(N9="None",N9=""),""," + "&amp;N9)&amp;IF(O9="Y"," + NACE MR0175","")="","Not stated",MID(IF(OR(M9="Not stated",M9=""),""," + "&amp;M9)&amp;IF(OR(N9="None",N9=""),""," + "&amp;N9)&amp;IF(O9="Y"," + NACE MR0175",""),4,300))</f>
        <v>Not stated</v>
      </c>
      <c r="M9" s="42" t="s">
        <v>123</v>
      </c>
      <c r="N9" s="42" t="s">
        <v>303</v>
      </c>
      <c r="O9" s="42" t="s">
        <v>123</v>
      </c>
      <c r="P9" s="42" t="s">
        <v>123</v>
      </c>
      <c r="Q9" s="42" t="s">
        <v>123</v>
      </c>
      <c r="R9" s="42" t="s">
        <v>123</v>
      </c>
      <c r="S9" s="42" t="s">
        <v>304</v>
      </c>
      <c r="T9" s="42" t="s">
        <v>305</v>
      </c>
      <c r="U9" s="42" t="n">
        <v>1</v>
      </c>
      <c r="V9" s="42" t="s">
        <v>306</v>
      </c>
      <c r="W9" s="43"/>
      <c r="X9" s="42" t="s">
        <v>123</v>
      </c>
      <c r="Y9" s="42" t="s">
        <v>307</v>
      </c>
      <c r="Z9" s="42" t="s">
        <v>308</v>
      </c>
      <c r="AA9" s="46" t="n">
        <v>75000</v>
      </c>
      <c r="AB9" s="47" t="str">
        <f aca="false">IF(NOT(ISNUMBER(AA9)),"",IF(NOT(ISNUMBER(Y9)),"",IFERROR(IF(Z9="EUR",AA9,IF(Z9="IRR",AA9/INDEX('Assumptions &amp; FX Reference'!$C$5:$C$25,MATCH(Y9,'Assumptions &amp; FX Reference'!$A$5:$A$25,0)),IF(Z9="USD",AA9*INDEX('Assumptions &amp; FX Reference'!$B$5:$B$25,MATCH(Y9,'Assumptions &amp; FX Reference'!$A$5:$A$25,0))/INDEX('Assumptions &amp; FX Reference'!$C$5:$C$25,MATCH(Y9,'Assumptions &amp; FX Reference'!$A$5:$A$25,0)),""))),"")))</f>
        <v/>
      </c>
      <c r="AC9" s="47" t="str">
        <f aca="false">IF(NOT(ISNUMBER(AA9)),"",IF(NOT(ISNUMBER(Y9)),"",IFERROR(IF(Z9="USD",AA9,IF(Z9="IRR",AA9/INDEX('Assumptions &amp; FX Reference'!$B$5:$B$25,MATCH(Y9,'Assumptions &amp; FX Reference'!$A$5:$A$25,0)),IF(Z9="EUR",AA9*INDEX('Assumptions &amp; FX Reference'!$C$5:$C$25,MATCH(Y9,'Assumptions &amp; FX Reference'!$A$5:$A$25,0))/INDEX('Assumptions &amp; FX Reference'!$B$5:$B$25,MATCH(Y9,'Assumptions &amp; FX Reference'!$A$5:$A$25,0)),""))),"")))</f>
        <v/>
      </c>
      <c r="AD9" s="47" t="str">
        <f aca="false">IF(NOT(ISNUMBER(AA9)),"",IF(NOT(ISNUMBER(Y9)),"",IFERROR(IF(Z9="IRR",AA9,IF(Z9="USD",AA9*INDEX('Assumptions &amp; FX Reference'!$B$5:$B$25,MATCH(Y9,'Assumptions &amp; FX Reference'!$A$5:$A$25,0)),IF(Z9="EUR",AA9*INDEX('Assumptions &amp; FX Reference'!$C$5:$C$25,MATCH(Y9,'Assumptions &amp; FX Reference'!$A$5:$A$25,0)),""))),"")))</f>
        <v/>
      </c>
      <c r="AE9" s="42" t="s">
        <v>309</v>
      </c>
      <c r="AF9" s="42" t="s">
        <v>123</v>
      </c>
      <c r="AG9" s="47" t="str">
        <f aca="false">IF(AND(Z9="EUR",N(AA9)&gt;5000000),"",IF(AND(ISNUMBER(AB9),ISNUMBER(AZ9),ISNUMBER(BA9)),IF(AND(BB9="Y",ISNUMBER('Assumptions &amp; FX Reference'!$I$15)),MAX(AB9*BA9/AZ9,'Assumptions &amp; FX Reference'!$I$13*BA9/'Assumptions &amp; FX Reference'!$I$15),AB9*BA9/AZ9),""))</f>
        <v/>
      </c>
      <c r="AH9" s="47" t="str">
        <f aca="false">IF(AND(ISNUMBER(AG9),ISNUMBER('Assumptions &amp; FX Reference'!$I$8),ISNUMBER('Assumptions &amp; FX Reference'!$I$11)),AG9*'Assumptions &amp; FX Reference'!$I$8/'Assumptions &amp; FX Reference'!$I$11,"")</f>
        <v/>
      </c>
      <c r="AI9" s="47" t="str">
        <f aca="false">IF(AND(ISNUMBER(AG9),ISNUMBER('Assumptions &amp; FX Reference'!$I$8)),AG9*'Assumptions &amp; FX Reference'!$I$8,"")</f>
        <v/>
      </c>
      <c r="AJ9" s="42" t="s">
        <v>302</v>
      </c>
      <c r="AK9" s="42" t="s">
        <v>123</v>
      </c>
      <c r="AL9" s="42" t="s">
        <v>123</v>
      </c>
      <c r="AM9" s="42" t="s">
        <v>123</v>
      </c>
      <c r="AN9" s="42" t="s">
        <v>123</v>
      </c>
      <c r="AO9" s="42" t="s">
        <v>123</v>
      </c>
      <c r="AP9" s="42" t="s">
        <v>123</v>
      </c>
      <c r="AQ9" s="42" t="s">
        <v>123</v>
      </c>
      <c r="AR9" s="42" t="s">
        <v>123</v>
      </c>
      <c r="AS9" s="45" t="str">
        <f aca="false">IF(AND(Z9="EUR",N(AA9)&gt;5000000),"Check currency (EUR&gt;5M); ","")&amp;IF(NOT(ISNUMBER(AA9)),"No price; ","")&amp;IF(G9="Not stated","Material missing; ","")&amp;IF(P9="Not stated","Seal missing; ","")&amp;IF(K9="","Size driver missing; ","")&amp;IF(NOT(ISNUMBER(AZ9)),"Base-year PPI missing; ","")</f>
        <v>Material missing; Seal missing; Base-year PPI missing; </v>
      </c>
      <c r="AT9" s="48" t="n">
        <f aca="false">IFERROR(INDEX(Factors_ROT!$F$5:$F$200,MATCH("MAT|"&amp;G9,Factors_ROT!$A$5:$A$200,0)),1)</f>
        <v>1</v>
      </c>
      <c r="AU9" s="48" t="n">
        <f aca="false">IFERROR(INDEX(Factors_ROT!$F$5:$F$200,MATCH("SEAL_ARR|"&amp;P9,Factors_ROT!$A$5:$A$200,0)),1)*IFERROR(INDEX(Factors_ROT!$F$5:$F$200,MATCH("SEAL_CAT|"&amp;Q9,Factors_ROT!$A$5:$A$200,0)),1)*IFERROR(INDEX(Factors_ROT!$F$5:$F$200,MATCH("SEAL_PLAN|"&amp;R9,Factors_ROT!$A$5:$A$200,0)),1)</f>
        <v>1</v>
      </c>
      <c r="AV9" s="48" t="n">
        <f aca="false">IFERROR(INDEX(Factors_ROT!$F$5:$F$200,MATCH("DRV|"&amp;S9,Factors_ROT!$A$5:$A$200,0)),1)*IFERROR(INDEX(Factors_ROT!$F$5:$F$200,MATCH("NACE|"&amp;O9,Factors_ROT!$A$5:$A$200,0)),1)</f>
        <v>1</v>
      </c>
      <c r="AW9" s="48" t="n">
        <f aca="false">IFERROR(INDEX(Factors_ROT!$F$5:$F$200,MATCH("SC_DRV|"&amp;AL9,Factors_ROT!$A$5:$A$200,0)),1)*IFERROR(INDEX(Factors_ROT!$F$5:$F$200,MATCH("SC_BSP|"&amp;AM9,Factors_ROT!$A$5:$A$200,0)),1)*IFERROR(INDEX(Factors_ROT!$F$5:$F$200,MATCH("SC_SEAL|"&amp;AN9,Factors_ROT!$A$5:$A$200,0)),1)*IFERROR(INDEX(Factors_ROT!$F$5:$F$200,MATCH("SC_COMM|"&amp;AO9,Factors_ROT!$A$5:$A$200,0)),1)*IFERROR(INDEX(Factors_ROT!$F$5:$F$200,MATCH("SC_2Y|"&amp;AP9,Factors_ROT!$A$5:$A$200,0)),1)*IFERROR(INDEX(Factors_ROT!$F$5:$F$200,MATCH("SC_TPI|"&amp;AQ9,Factors_ROT!$A$5:$A$200,0)),1)*IFERROR(INDEX(Factors_ROT!$F$5:$F$200,MATCH("SC_FAT|"&amp;AR9,Factors_ROT!$A$5:$A$200,0)),1)</f>
        <v>1</v>
      </c>
      <c r="AX9" s="48" t="n">
        <f aca="false">AT9*AU9*AV9*AW9</f>
        <v>1</v>
      </c>
      <c r="AY9" s="47" t="str">
        <f aca="false">IF(ISNUMBER(AB9),AB9/AX9,"")</f>
        <v/>
      </c>
      <c r="AZ9" s="49" t="str">
        <f aca="false">IFERROR(IF(N(INDEX(Escalation_Index!$B$5:$B$25,MATCH(Y9,Escalation_Index!$A$5:$A$25,0)))&gt;0,INDEX(Escalation_Index!$B$5:$B$25,MATCH(Y9,Escalation_Index!$A$5:$A$25,0)),""),"")</f>
        <v/>
      </c>
      <c r="BA9" s="49" t="n">
        <f aca="false">IF(ISNUMBER('Assumptions &amp; FX Reference'!$I$12),'Assumptions &amp; FX Reference'!$I$12,"")</f>
        <v>123.416</v>
      </c>
      <c r="BB9" s="45" t="str">
        <f aca="false">IF(AND(M9="API 610",LEFT(V9,11)="Centrifugal",OR(LEFT(G9,2)="S-",LEFT(G9,2)="D-")),"Y","N")</f>
        <v>N</v>
      </c>
      <c r="BC9" s="47" t="str">
        <f aca="false">IF(ISNUMBER(AG9),AG9/AX9,"")</f>
        <v/>
      </c>
      <c r="BD9" s="47" t="str">
        <f aca="false">IF(AND(ISNUMBER(BC9),ISNUMBER(K9)),IF(K9&gt;0,BC9/K9^'Assumptions &amp; FX Reference'!$I$16,""),"")</f>
        <v/>
      </c>
      <c r="BE9" s="42" t="s">
        <v>324</v>
      </c>
      <c r="BF9" s="42" t="s">
        <v>325</v>
      </c>
      <c r="BG9" s="42" t="s">
        <v>312</v>
      </c>
      <c r="BH9" s="45" t="s">
        <v>313</v>
      </c>
      <c r="BI9" s="45" t="str">
        <f aca="false">"PMP-"&amp;TEXT(A9,"0000")</f>
        <v>PMP-0005</v>
      </c>
    </row>
    <row r="10" customFormat="false" ht="24" hidden="false" customHeight="true" outlineLevel="0" collapsed="false">
      <c r="A10" s="42" t="n">
        <v>6</v>
      </c>
      <c r="B10" s="42" t="s">
        <v>326</v>
      </c>
      <c r="C10" s="42" t="s">
        <v>301</v>
      </c>
      <c r="D10" s="42" t="s">
        <v>302</v>
      </c>
      <c r="E10" s="42" t="s">
        <v>48</v>
      </c>
      <c r="F10" s="42" t="s">
        <v>123</v>
      </c>
      <c r="G10" s="42" t="s">
        <v>123</v>
      </c>
      <c r="H10" s="43"/>
      <c r="I10" s="43" t="n">
        <v>32</v>
      </c>
      <c r="J10" s="43" t="n">
        <v>2.2</v>
      </c>
      <c r="K10" s="44" t="n">
        <f aca="false">IF(ISNUMBER(J10),J10,IF(AND(ISNUMBER(H10),ISNUMBER(I10)),H10*I10/(367*'Assumptions &amp; FX Reference'!$I$17),""))</f>
        <v>2.2</v>
      </c>
      <c r="L10" s="45" t="str">
        <f aca="false">IF(IF(OR(M10="Not stated",M10=""),""," + "&amp;M10)&amp;IF(OR(N10="None",N10=""),""," + "&amp;N10)&amp;IF(O10="Y"," + NACE MR0175","")="","Not stated",MID(IF(OR(M10="Not stated",M10=""),""," + "&amp;M10)&amp;IF(OR(N10="None",N10=""),""," + "&amp;N10)&amp;IF(O10="Y"," + NACE MR0175",""),4,300))</f>
        <v>Not stated</v>
      </c>
      <c r="M10" s="42" t="s">
        <v>123</v>
      </c>
      <c r="N10" s="42" t="s">
        <v>303</v>
      </c>
      <c r="O10" s="42" t="s">
        <v>123</v>
      </c>
      <c r="P10" s="42" t="s">
        <v>123</v>
      </c>
      <c r="Q10" s="42" t="s">
        <v>123</v>
      </c>
      <c r="R10" s="42" t="s">
        <v>123</v>
      </c>
      <c r="S10" s="42" t="s">
        <v>304</v>
      </c>
      <c r="T10" s="42" t="s">
        <v>327</v>
      </c>
      <c r="U10" s="42" t="n">
        <v>1</v>
      </c>
      <c r="V10" s="42" t="s">
        <v>306</v>
      </c>
      <c r="W10" s="43"/>
      <c r="X10" s="42" t="s">
        <v>123</v>
      </c>
      <c r="Y10" s="42" t="s">
        <v>307</v>
      </c>
      <c r="Z10" s="42" t="s">
        <v>308</v>
      </c>
      <c r="AA10" s="46" t="n">
        <v>60000</v>
      </c>
      <c r="AB10" s="47" t="str">
        <f aca="false">IF(NOT(ISNUMBER(AA10)),"",IF(NOT(ISNUMBER(Y10)),"",IFERROR(IF(Z10="EUR",AA10,IF(Z10="IRR",AA10/INDEX('Assumptions &amp; FX Reference'!$C$5:$C$25,MATCH(Y10,'Assumptions &amp; FX Reference'!$A$5:$A$25,0)),IF(Z10="USD",AA10*INDEX('Assumptions &amp; FX Reference'!$B$5:$B$25,MATCH(Y10,'Assumptions &amp; FX Reference'!$A$5:$A$25,0))/INDEX('Assumptions &amp; FX Reference'!$C$5:$C$25,MATCH(Y10,'Assumptions &amp; FX Reference'!$A$5:$A$25,0)),""))),"")))</f>
        <v/>
      </c>
      <c r="AC10" s="47" t="str">
        <f aca="false">IF(NOT(ISNUMBER(AA10)),"",IF(NOT(ISNUMBER(Y10)),"",IFERROR(IF(Z10="USD",AA10,IF(Z10="IRR",AA10/INDEX('Assumptions &amp; FX Reference'!$B$5:$B$25,MATCH(Y10,'Assumptions &amp; FX Reference'!$A$5:$A$25,0)),IF(Z10="EUR",AA10*INDEX('Assumptions &amp; FX Reference'!$C$5:$C$25,MATCH(Y10,'Assumptions &amp; FX Reference'!$A$5:$A$25,0))/INDEX('Assumptions &amp; FX Reference'!$B$5:$B$25,MATCH(Y10,'Assumptions &amp; FX Reference'!$A$5:$A$25,0)),""))),"")))</f>
        <v/>
      </c>
      <c r="AD10" s="47" t="str">
        <f aca="false">IF(NOT(ISNUMBER(AA10)),"",IF(NOT(ISNUMBER(Y10)),"",IFERROR(IF(Z10="IRR",AA10,IF(Z10="USD",AA10*INDEX('Assumptions &amp; FX Reference'!$B$5:$B$25,MATCH(Y10,'Assumptions &amp; FX Reference'!$A$5:$A$25,0)),IF(Z10="EUR",AA10*INDEX('Assumptions &amp; FX Reference'!$C$5:$C$25,MATCH(Y10,'Assumptions &amp; FX Reference'!$A$5:$A$25,0)),""))),"")))</f>
        <v/>
      </c>
      <c r="AE10" s="42" t="s">
        <v>309</v>
      </c>
      <c r="AF10" s="42" t="s">
        <v>123</v>
      </c>
      <c r="AG10" s="47" t="str">
        <f aca="false">IF(AND(Z10="EUR",N(AA10)&gt;5000000),"",IF(AND(ISNUMBER(AB10),ISNUMBER(AZ10),ISNUMBER(BA10)),IF(AND(BB10="Y",ISNUMBER('Assumptions &amp; FX Reference'!$I$15)),MAX(AB10*BA10/AZ10,'Assumptions &amp; FX Reference'!$I$13*BA10/'Assumptions &amp; FX Reference'!$I$15),AB10*BA10/AZ10),""))</f>
        <v/>
      </c>
      <c r="AH10" s="47" t="str">
        <f aca="false">IF(AND(ISNUMBER(AG10),ISNUMBER('Assumptions &amp; FX Reference'!$I$8),ISNUMBER('Assumptions &amp; FX Reference'!$I$11)),AG10*'Assumptions &amp; FX Reference'!$I$8/'Assumptions &amp; FX Reference'!$I$11,"")</f>
        <v/>
      </c>
      <c r="AI10" s="47" t="str">
        <f aca="false">IF(AND(ISNUMBER(AG10),ISNUMBER('Assumptions &amp; FX Reference'!$I$8)),AG10*'Assumptions &amp; FX Reference'!$I$8,"")</f>
        <v/>
      </c>
      <c r="AJ10" s="42" t="s">
        <v>302</v>
      </c>
      <c r="AK10" s="42" t="s">
        <v>123</v>
      </c>
      <c r="AL10" s="42" t="s">
        <v>123</v>
      </c>
      <c r="AM10" s="42" t="s">
        <v>123</v>
      </c>
      <c r="AN10" s="42" t="s">
        <v>123</v>
      </c>
      <c r="AO10" s="42" t="s">
        <v>123</v>
      </c>
      <c r="AP10" s="42" t="s">
        <v>123</v>
      </c>
      <c r="AQ10" s="42" t="s">
        <v>123</v>
      </c>
      <c r="AR10" s="42" t="s">
        <v>123</v>
      </c>
      <c r="AS10" s="45" t="str">
        <f aca="false">IF(AND(Z10="EUR",N(AA10)&gt;5000000),"Check currency (EUR&gt;5M); ","")&amp;IF(NOT(ISNUMBER(AA10)),"No price; ","")&amp;IF(G10="Not stated","Material missing; ","")&amp;IF(P10="Not stated","Seal missing; ","")&amp;IF(K10="","Size driver missing; ","")&amp;IF(NOT(ISNUMBER(AZ10)),"Base-year PPI missing; ","")</f>
        <v>Material missing; Seal missing; Base-year PPI missing; </v>
      </c>
      <c r="AT10" s="48" t="n">
        <f aca="false">IFERROR(INDEX(Factors_ROT!$F$5:$F$200,MATCH("MAT|"&amp;G10,Factors_ROT!$A$5:$A$200,0)),1)</f>
        <v>1</v>
      </c>
      <c r="AU10" s="48" t="n">
        <f aca="false">IFERROR(INDEX(Factors_ROT!$F$5:$F$200,MATCH("SEAL_ARR|"&amp;P10,Factors_ROT!$A$5:$A$200,0)),1)*IFERROR(INDEX(Factors_ROT!$F$5:$F$200,MATCH("SEAL_CAT|"&amp;Q10,Factors_ROT!$A$5:$A$200,0)),1)*IFERROR(INDEX(Factors_ROT!$F$5:$F$200,MATCH("SEAL_PLAN|"&amp;R10,Factors_ROT!$A$5:$A$200,0)),1)</f>
        <v>1</v>
      </c>
      <c r="AV10" s="48" t="n">
        <f aca="false">IFERROR(INDEX(Factors_ROT!$F$5:$F$200,MATCH("DRV|"&amp;S10,Factors_ROT!$A$5:$A$200,0)),1)*IFERROR(INDEX(Factors_ROT!$F$5:$F$200,MATCH("NACE|"&amp;O10,Factors_ROT!$A$5:$A$200,0)),1)</f>
        <v>1</v>
      </c>
      <c r="AW10" s="48" t="n">
        <f aca="false">IFERROR(INDEX(Factors_ROT!$F$5:$F$200,MATCH("SC_DRV|"&amp;AL10,Factors_ROT!$A$5:$A$200,0)),1)*IFERROR(INDEX(Factors_ROT!$F$5:$F$200,MATCH("SC_BSP|"&amp;AM10,Factors_ROT!$A$5:$A$200,0)),1)*IFERROR(INDEX(Factors_ROT!$F$5:$F$200,MATCH("SC_SEAL|"&amp;AN10,Factors_ROT!$A$5:$A$200,0)),1)*IFERROR(INDEX(Factors_ROT!$F$5:$F$200,MATCH("SC_COMM|"&amp;AO10,Factors_ROT!$A$5:$A$200,0)),1)*IFERROR(INDEX(Factors_ROT!$F$5:$F$200,MATCH("SC_2Y|"&amp;AP10,Factors_ROT!$A$5:$A$200,0)),1)*IFERROR(INDEX(Factors_ROT!$F$5:$F$200,MATCH("SC_TPI|"&amp;AQ10,Factors_ROT!$A$5:$A$200,0)),1)*IFERROR(INDEX(Factors_ROT!$F$5:$F$200,MATCH("SC_FAT|"&amp;AR10,Factors_ROT!$A$5:$A$200,0)),1)</f>
        <v>1</v>
      </c>
      <c r="AX10" s="48" t="n">
        <f aca="false">AT10*AU10*AV10*AW10</f>
        <v>1</v>
      </c>
      <c r="AY10" s="47" t="str">
        <f aca="false">IF(ISNUMBER(AB10),AB10/AX10,"")</f>
        <v/>
      </c>
      <c r="AZ10" s="49" t="str">
        <f aca="false">IFERROR(IF(N(INDEX(Escalation_Index!$B$5:$B$25,MATCH(Y10,Escalation_Index!$A$5:$A$25,0)))&gt;0,INDEX(Escalation_Index!$B$5:$B$25,MATCH(Y10,Escalation_Index!$A$5:$A$25,0)),""),"")</f>
        <v/>
      </c>
      <c r="BA10" s="49" t="n">
        <f aca="false">IF(ISNUMBER('Assumptions &amp; FX Reference'!$I$12),'Assumptions &amp; FX Reference'!$I$12,"")</f>
        <v>123.416</v>
      </c>
      <c r="BB10" s="45" t="str">
        <f aca="false">IF(AND(M10="API 610",LEFT(V10,11)="Centrifugal",OR(LEFT(G10,2)="S-",LEFT(G10,2)="D-")),"Y","N")</f>
        <v>N</v>
      </c>
      <c r="BC10" s="47" t="str">
        <f aca="false">IF(ISNUMBER(AG10),AG10/AX10,"")</f>
        <v/>
      </c>
      <c r="BD10" s="47" t="str">
        <f aca="false">IF(AND(ISNUMBER(BC10),ISNUMBER(K10)),IF(K10&gt;0,BC10/K10^'Assumptions &amp; FX Reference'!$I$16,""),"")</f>
        <v/>
      </c>
      <c r="BE10" s="42" t="s">
        <v>328</v>
      </c>
      <c r="BF10" s="42" t="s">
        <v>329</v>
      </c>
      <c r="BG10" s="42" t="s">
        <v>312</v>
      </c>
      <c r="BH10" s="45" t="s">
        <v>313</v>
      </c>
      <c r="BI10" s="45" t="str">
        <f aca="false">"PMP-"&amp;TEXT(A10,"0000")</f>
        <v>PMP-0006</v>
      </c>
    </row>
    <row r="11" customFormat="false" ht="24" hidden="false" customHeight="true" outlineLevel="0" collapsed="false">
      <c r="A11" s="42" t="n">
        <v>7</v>
      </c>
      <c r="B11" s="42" t="s">
        <v>330</v>
      </c>
      <c r="C11" s="42" t="s">
        <v>301</v>
      </c>
      <c r="D11" s="42" t="s">
        <v>302</v>
      </c>
      <c r="E11" s="42" t="s">
        <v>48</v>
      </c>
      <c r="F11" s="42" t="s">
        <v>123</v>
      </c>
      <c r="G11" s="42" t="s">
        <v>123</v>
      </c>
      <c r="H11" s="43"/>
      <c r="I11" s="43" t="n">
        <v>36.2</v>
      </c>
      <c r="J11" s="43" t="n">
        <v>13.1</v>
      </c>
      <c r="K11" s="44" t="n">
        <f aca="false">IF(ISNUMBER(J11),J11,IF(AND(ISNUMBER(H11),ISNUMBER(I11)),H11*I11/(367*'Assumptions &amp; FX Reference'!$I$17),""))</f>
        <v>13.1</v>
      </c>
      <c r="L11" s="45" t="str">
        <f aca="false">IF(IF(OR(M11="Not stated",M11=""),""," + "&amp;M11)&amp;IF(OR(N11="None",N11=""),""," + "&amp;N11)&amp;IF(O11="Y"," + NACE MR0175","")="","Not stated",MID(IF(OR(M11="Not stated",M11=""),""," + "&amp;M11)&amp;IF(OR(N11="None",N11=""),""," + "&amp;N11)&amp;IF(O11="Y"," + NACE MR0175",""),4,300))</f>
        <v>Not stated</v>
      </c>
      <c r="M11" s="42" t="s">
        <v>123</v>
      </c>
      <c r="N11" s="42" t="s">
        <v>303</v>
      </c>
      <c r="O11" s="42" t="s">
        <v>123</v>
      </c>
      <c r="P11" s="42" t="s">
        <v>123</v>
      </c>
      <c r="Q11" s="42" t="s">
        <v>123</v>
      </c>
      <c r="R11" s="42" t="s">
        <v>123</v>
      </c>
      <c r="S11" s="42" t="s">
        <v>304</v>
      </c>
      <c r="T11" s="42" t="s">
        <v>327</v>
      </c>
      <c r="U11" s="42" t="n">
        <v>1</v>
      </c>
      <c r="V11" s="42" t="s">
        <v>306</v>
      </c>
      <c r="W11" s="43"/>
      <c r="X11" s="42" t="s">
        <v>123</v>
      </c>
      <c r="Y11" s="42" t="s">
        <v>307</v>
      </c>
      <c r="Z11" s="42" t="s">
        <v>308</v>
      </c>
      <c r="AA11" s="46" t="n">
        <v>60000</v>
      </c>
      <c r="AB11" s="47" t="str">
        <f aca="false">IF(NOT(ISNUMBER(AA11)),"",IF(NOT(ISNUMBER(Y11)),"",IFERROR(IF(Z11="EUR",AA11,IF(Z11="IRR",AA11/INDEX('Assumptions &amp; FX Reference'!$C$5:$C$25,MATCH(Y11,'Assumptions &amp; FX Reference'!$A$5:$A$25,0)),IF(Z11="USD",AA11*INDEX('Assumptions &amp; FX Reference'!$B$5:$B$25,MATCH(Y11,'Assumptions &amp; FX Reference'!$A$5:$A$25,0))/INDEX('Assumptions &amp; FX Reference'!$C$5:$C$25,MATCH(Y11,'Assumptions &amp; FX Reference'!$A$5:$A$25,0)),""))),"")))</f>
        <v/>
      </c>
      <c r="AC11" s="47" t="str">
        <f aca="false">IF(NOT(ISNUMBER(AA11)),"",IF(NOT(ISNUMBER(Y11)),"",IFERROR(IF(Z11="USD",AA11,IF(Z11="IRR",AA11/INDEX('Assumptions &amp; FX Reference'!$B$5:$B$25,MATCH(Y11,'Assumptions &amp; FX Reference'!$A$5:$A$25,0)),IF(Z11="EUR",AA11*INDEX('Assumptions &amp; FX Reference'!$C$5:$C$25,MATCH(Y11,'Assumptions &amp; FX Reference'!$A$5:$A$25,0))/INDEX('Assumptions &amp; FX Reference'!$B$5:$B$25,MATCH(Y11,'Assumptions &amp; FX Reference'!$A$5:$A$25,0)),""))),"")))</f>
        <v/>
      </c>
      <c r="AD11" s="47" t="str">
        <f aca="false">IF(NOT(ISNUMBER(AA11)),"",IF(NOT(ISNUMBER(Y11)),"",IFERROR(IF(Z11="IRR",AA11,IF(Z11="USD",AA11*INDEX('Assumptions &amp; FX Reference'!$B$5:$B$25,MATCH(Y11,'Assumptions &amp; FX Reference'!$A$5:$A$25,0)),IF(Z11="EUR",AA11*INDEX('Assumptions &amp; FX Reference'!$C$5:$C$25,MATCH(Y11,'Assumptions &amp; FX Reference'!$A$5:$A$25,0)),""))),"")))</f>
        <v/>
      </c>
      <c r="AE11" s="42" t="s">
        <v>309</v>
      </c>
      <c r="AF11" s="42" t="s">
        <v>123</v>
      </c>
      <c r="AG11" s="47" t="str">
        <f aca="false">IF(AND(Z11="EUR",N(AA11)&gt;5000000),"",IF(AND(ISNUMBER(AB11),ISNUMBER(AZ11),ISNUMBER(BA11)),IF(AND(BB11="Y",ISNUMBER('Assumptions &amp; FX Reference'!$I$15)),MAX(AB11*BA11/AZ11,'Assumptions &amp; FX Reference'!$I$13*BA11/'Assumptions &amp; FX Reference'!$I$15),AB11*BA11/AZ11),""))</f>
        <v/>
      </c>
      <c r="AH11" s="47" t="str">
        <f aca="false">IF(AND(ISNUMBER(AG11),ISNUMBER('Assumptions &amp; FX Reference'!$I$8),ISNUMBER('Assumptions &amp; FX Reference'!$I$11)),AG11*'Assumptions &amp; FX Reference'!$I$8/'Assumptions &amp; FX Reference'!$I$11,"")</f>
        <v/>
      </c>
      <c r="AI11" s="47" t="str">
        <f aca="false">IF(AND(ISNUMBER(AG11),ISNUMBER('Assumptions &amp; FX Reference'!$I$8)),AG11*'Assumptions &amp; FX Reference'!$I$8,"")</f>
        <v/>
      </c>
      <c r="AJ11" s="42" t="s">
        <v>302</v>
      </c>
      <c r="AK11" s="42" t="s">
        <v>123</v>
      </c>
      <c r="AL11" s="42" t="s">
        <v>123</v>
      </c>
      <c r="AM11" s="42" t="s">
        <v>123</v>
      </c>
      <c r="AN11" s="42" t="s">
        <v>123</v>
      </c>
      <c r="AO11" s="42" t="s">
        <v>123</v>
      </c>
      <c r="AP11" s="42" t="s">
        <v>123</v>
      </c>
      <c r="AQ11" s="42" t="s">
        <v>123</v>
      </c>
      <c r="AR11" s="42" t="s">
        <v>123</v>
      </c>
      <c r="AS11" s="45" t="str">
        <f aca="false">IF(AND(Z11="EUR",N(AA11)&gt;5000000),"Check currency (EUR&gt;5M); ","")&amp;IF(NOT(ISNUMBER(AA11)),"No price; ","")&amp;IF(G11="Not stated","Material missing; ","")&amp;IF(P11="Not stated","Seal missing; ","")&amp;IF(K11="","Size driver missing; ","")&amp;IF(NOT(ISNUMBER(AZ11)),"Base-year PPI missing; ","")</f>
        <v>Material missing; Seal missing; Base-year PPI missing; </v>
      </c>
      <c r="AT11" s="48" t="n">
        <f aca="false">IFERROR(INDEX(Factors_ROT!$F$5:$F$200,MATCH("MAT|"&amp;G11,Factors_ROT!$A$5:$A$200,0)),1)</f>
        <v>1</v>
      </c>
      <c r="AU11" s="48" t="n">
        <f aca="false">IFERROR(INDEX(Factors_ROT!$F$5:$F$200,MATCH("SEAL_ARR|"&amp;P11,Factors_ROT!$A$5:$A$200,0)),1)*IFERROR(INDEX(Factors_ROT!$F$5:$F$200,MATCH("SEAL_CAT|"&amp;Q11,Factors_ROT!$A$5:$A$200,0)),1)*IFERROR(INDEX(Factors_ROT!$F$5:$F$200,MATCH("SEAL_PLAN|"&amp;R11,Factors_ROT!$A$5:$A$200,0)),1)</f>
        <v>1</v>
      </c>
      <c r="AV11" s="48" t="n">
        <f aca="false">IFERROR(INDEX(Factors_ROT!$F$5:$F$200,MATCH("DRV|"&amp;S11,Factors_ROT!$A$5:$A$200,0)),1)*IFERROR(INDEX(Factors_ROT!$F$5:$F$200,MATCH("NACE|"&amp;O11,Factors_ROT!$A$5:$A$200,0)),1)</f>
        <v>1</v>
      </c>
      <c r="AW11" s="48" t="n">
        <f aca="false">IFERROR(INDEX(Factors_ROT!$F$5:$F$200,MATCH("SC_DRV|"&amp;AL11,Factors_ROT!$A$5:$A$200,0)),1)*IFERROR(INDEX(Factors_ROT!$F$5:$F$200,MATCH("SC_BSP|"&amp;AM11,Factors_ROT!$A$5:$A$200,0)),1)*IFERROR(INDEX(Factors_ROT!$F$5:$F$200,MATCH("SC_SEAL|"&amp;AN11,Factors_ROT!$A$5:$A$200,0)),1)*IFERROR(INDEX(Factors_ROT!$F$5:$F$200,MATCH("SC_COMM|"&amp;AO11,Factors_ROT!$A$5:$A$200,0)),1)*IFERROR(INDEX(Factors_ROT!$F$5:$F$200,MATCH("SC_2Y|"&amp;AP11,Factors_ROT!$A$5:$A$200,0)),1)*IFERROR(INDEX(Factors_ROT!$F$5:$F$200,MATCH("SC_TPI|"&amp;AQ11,Factors_ROT!$A$5:$A$200,0)),1)*IFERROR(INDEX(Factors_ROT!$F$5:$F$200,MATCH("SC_FAT|"&amp;AR11,Factors_ROT!$A$5:$A$200,0)),1)</f>
        <v>1</v>
      </c>
      <c r="AX11" s="48" t="n">
        <f aca="false">AT11*AU11*AV11*AW11</f>
        <v>1</v>
      </c>
      <c r="AY11" s="47" t="str">
        <f aca="false">IF(ISNUMBER(AB11),AB11/AX11,"")</f>
        <v/>
      </c>
      <c r="AZ11" s="49" t="str">
        <f aca="false">IFERROR(IF(N(INDEX(Escalation_Index!$B$5:$B$25,MATCH(Y11,Escalation_Index!$A$5:$A$25,0)))&gt;0,INDEX(Escalation_Index!$B$5:$B$25,MATCH(Y11,Escalation_Index!$A$5:$A$25,0)),""),"")</f>
        <v/>
      </c>
      <c r="BA11" s="49" t="n">
        <f aca="false">IF(ISNUMBER('Assumptions &amp; FX Reference'!$I$12),'Assumptions &amp; FX Reference'!$I$12,"")</f>
        <v>123.416</v>
      </c>
      <c r="BB11" s="45" t="str">
        <f aca="false">IF(AND(M11="API 610",LEFT(V11,11)="Centrifugal",OR(LEFT(G11,2)="S-",LEFT(G11,2)="D-")),"Y","N")</f>
        <v>N</v>
      </c>
      <c r="BC11" s="47" t="str">
        <f aca="false">IF(ISNUMBER(AG11),AG11/AX11,"")</f>
        <v/>
      </c>
      <c r="BD11" s="47" t="str">
        <f aca="false">IF(AND(ISNUMBER(BC11),ISNUMBER(K11)),IF(K11&gt;0,BC11/K11^'Assumptions &amp; FX Reference'!$I$16,""),"")</f>
        <v/>
      </c>
      <c r="BE11" s="42" t="s">
        <v>331</v>
      </c>
      <c r="BF11" s="42" t="s">
        <v>332</v>
      </c>
      <c r="BG11" s="42" t="s">
        <v>312</v>
      </c>
      <c r="BH11" s="45" t="s">
        <v>313</v>
      </c>
      <c r="BI11" s="45" t="str">
        <f aca="false">"PMP-"&amp;TEXT(A11,"0000")</f>
        <v>PMP-0007</v>
      </c>
    </row>
    <row r="12" customFormat="false" ht="24" hidden="false" customHeight="true" outlineLevel="0" collapsed="false">
      <c r="A12" s="42" t="n">
        <v>8</v>
      </c>
      <c r="B12" s="42" t="s">
        <v>333</v>
      </c>
      <c r="C12" s="42" t="s">
        <v>301</v>
      </c>
      <c r="D12" s="42" t="s">
        <v>302</v>
      </c>
      <c r="E12" s="42" t="s">
        <v>51</v>
      </c>
      <c r="F12" s="42" t="s">
        <v>123</v>
      </c>
      <c r="G12" s="42" t="s">
        <v>123</v>
      </c>
      <c r="H12" s="43"/>
      <c r="I12" s="43" t="n">
        <v>1383</v>
      </c>
      <c r="J12" s="43" t="n">
        <v>423</v>
      </c>
      <c r="K12" s="44" t="n">
        <f aca="false">IF(ISNUMBER(J12),J12,IF(AND(ISNUMBER(H12),ISNUMBER(I12)),H12*I12/(367*'Assumptions &amp; FX Reference'!$I$17),""))</f>
        <v>423</v>
      </c>
      <c r="L12" s="45" t="str">
        <f aca="false">IF(IF(OR(M12="Not stated",M12=""),""," + "&amp;M12)&amp;IF(OR(N12="None",N12=""),""," + "&amp;N12)&amp;IF(O12="Y"," + NACE MR0175","")="","Not stated",MID(IF(OR(M12="Not stated",M12=""),""," + "&amp;M12)&amp;IF(OR(N12="None",N12=""),""," + "&amp;N12)&amp;IF(O12="Y"," + NACE MR0175",""),4,300))</f>
        <v>Not stated</v>
      </c>
      <c r="M12" s="42" t="s">
        <v>123</v>
      </c>
      <c r="N12" s="42" t="s">
        <v>303</v>
      </c>
      <c r="O12" s="42" t="s">
        <v>123</v>
      </c>
      <c r="P12" s="42" t="s">
        <v>123</v>
      </c>
      <c r="Q12" s="42" t="s">
        <v>123</v>
      </c>
      <c r="R12" s="42" t="s">
        <v>123</v>
      </c>
      <c r="S12" s="42" t="s">
        <v>304</v>
      </c>
      <c r="T12" s="42" t="s">
        <v>334</v>
      </c>
      <c r="U12" s="42" t="n">
        <v>1</v>
      </c>
      <c r="V12" s="42" t="s">
        <v>306</v>
      </c>
      <c r="W12" s="43"/>
      <c r="X12" s="42" t="s">
        <v>123</v>
      </c>
      <c r="Y12" s="42" t="s">
        <v>307</v>
      </c>
      <c r="Z12" s="42" t="s">
        <v>308</v>
      </c>
      <c r="AA12" s="46" t="n">
        <v>410000</v>
      </c>
      <c r="AB12" s="47" t="str">
        <f aca="false">IF(NOT(ISNUMBER(AA12)),"",IF(NOT(ISNUMBER(Y12)),"",IFERROR(IF(Z12="EUR",AA12,IF(Z12="IRR",AA12/INDEX('Assumptions &amp; FX Reference'!$C$5:$C$25,MATCH(Y12,'Assumptions &amp; FX Reference'!$A$5:$A$25,0)),IF(Z12="USD",AA12*INDEX('Assumptions &amp; FX Reference'!$B$5:$B$25,MATCH(Y12,'Assumptions &amp; FX Reference'!$A$5:$A$25,0))/INDEX('Assumptions &amp; FX Reference'!$C$5:$C$25,MATCH(Y12,'Assumptions &amp; FX Reference'!$A$5:$A$25,0)),""))),"")))</f>
        <v/>
      </c>
      <c r="AC12" s="47" t="str">
        <f aca="false">IF(NOT(ISNUMBER(AA12)),"",IF(NOT(ISNUMBER(Y12)),"",IFERROR(IF(Z12="USD",AA12,IF(Z12="IRR",AA12/INDEX('Assumptions &amp; FX Reference'!$B$5:$B$25,MATCH(Y12,'Assumptions &amp; FX Reference'!$A$5:$A$25,0)),IF(Z12="EUR",AA12*INDEX('Assumptions &amp; FX Reference'!$C$5:$C$25,MATCH(Y12,'Assumptions &amp; FX Reference'!$A$5:$A$25,0))/INDEX('Assumptions &amp; FX Reference'!$B$5:$B$25,MATCH(Y12,'Assumptions &amp; FX Reference'!$A$5:$A$25,0)),""))),"")))</f>
        <v/>
      </c>
      <c r="AD12" s="47" t="str">
        <f aca="false">IF(NOT(ISNUMBER(AA12)),"",IF(NOT(ISNUMBER(Y12)),"",IFERROR(IF(Z12="IRR",AA12,IF(Z12="USD",AA12*INDEX('Assumptions &amp; FX Reference'!$B$5:$B$25,MATCH(Y12,'Assumptions &amp; FX Reference'!$A$5:$A$25,0)),IF(Z12="EUR",AA12*INDEX('Assumptions &amp; FX Reference'!$C$5:$C$25,MATCH(Y12,'Assumptions &amp; FX Reference'!$A$5:$A$25,0)),""))),"")))</f>
        <v/>
      </c>
      <c r="AE12" s="42" t="s">
        <v>309</v>
      </c>
      <c r="AF12" s="42" t="s">
        <v>123</v>
      </c>
      <c r="AG12" s="47" t="str">
        <f aca="false">IF(AND(Z12="EUR",N(AA12)&gt;5000000),"",IF(AND(ISNUMBER(AB12),ISNUMBER(AZ12),ISNUMBER(BA12)),IF(AND(BB12="Y",ISNUMBER('Assumptions &amp; FX Reference'!$I$15)),MAX(AB12*BA12/AZ12,'Assumptions &amp; FX Reference'!$I$13*BA12/'Assumptions &amp; FX Reference'!$I$15),AB12*BA12/AZ12),""))</f>
        <v/>
      </c>
      <c r="AH12" s="47" t="str">
        <f aca="false">IF(AND(ISNUMBER(AG12),ISNUMBER('Assumptions &amp; FX Reference'!$I$8),ISNUMBER('Assumptions &amp; FX Reference'!$I$11)),AG12*'Assumptions &amp; FX Reference'!$I$8/'Assumptions &amp; FX Reference'!$I$11,"")</f>
        <v/>
      </c>
      <c r="AI12" s="47" t="str">
        <f aca="false">IF(AND(ISNUMBER(AG12),ISNUMBER('Assumptions &amp; FX Reference'!$I$8)),AG12*'Assumptions &amp; FX Reference'!$I$8,"")</f>
        <v/>
      </c>
      <c r="AJ12" s="42" t="s">
        <v>302</v>
      </c>
      <c r="AK12" s="42" t="s">
        <v>123</v>
      </c>
      <c r="AL12" s="42" t="s">
        <v>123</v>
      </c>
      <c r="AM12" s="42" t="s">
        <v>123</v>
      </c>
      <c r="AN12" s="42" t="s">
        <v>123</v>
      </c>
      <c r="AO12" s="42" t="s">
        <v>123</v>
      </c>
      <c r="AP12" s="42" t="s">
        <v>123</v>
      </c>
      <c r="AQ12" s="42" t="s">
        <v>123</v>
      </c>
      <c r="AR12" s="42" t="s">
        <v>123</v>
      </c>
      <c r="AS12" s="45" t="str">
        <f aca="false">IF(AND(Z12="EUR",N(AA12)&gt;5000000),"Check currency (EUR&gt;5M); ","")&amp;IF(NOT(ISNUMBER(AA12)),"No price; ","")&amp;IF(G12="Not stated","Material missing; ","")&amp;IF(P12="Not stated","Seal missing; ","")&amp;IF(K12="","Size driver missing; ","")&amp;IF(NOT(ISNUMBER(AZ12)),"Base-year PPI missing; ","")</f>
        <v>Material missing; Seal missing; Base-year PPI missing; </v>
      </c>
      <c r="AT12" s="48" t="n">
        <f aca="false">IFERROR(INDEX(Factors_ROT!$F$5:$F$200,MATCH("MAT|"&amp;G12,Factors_ROT!$A$5:$A$200,0)),1)</f>
        <v>1</v>
      </c>
      <c r="AU12" s="48" t="n">
        <f aca="false">IFERROR(INDEX(Factors_ROT!$F$5:$F$200,MATCH("SEAL_ARR|"&amp;P12,Factors_ROT!$A$5:$A$200,0)),1)*IFERROR(INDEX(Factors_ROT!$F$5:$F$200,MATCH("SEAL_CAT|"&amp;Q12,Factors_ROT!$A$5:$A$200,0)),1)*IFERROR(INDEX(Factors_ROT!$F$5:$F$200,MATCH("SEAL_PLAN|"&amp;R12,Factors_ROT!$A$5:$A$200,0)),1)</f>
        <v>1</v>
      </c>
      <c r="AV12" s="48" t="n">
        <f aca="false">IFERROR(INDEX(Factors_ROT!$F$5:$F$200,MATCH("DRV|"&amp;S12,Factors_ROT!$A$5:$A$200,0)),1)*IFERROR(INDEX(Factors_ROT!$F$5:$F$200,MATCH("NACE|"&amp;O12,Factors_ROT!$A$5:$A$200,0)),1)</f>
        <v>1</v>
      </c>
      <c r="AW12" s="48" t="n">
        <f aca="false">IFERROR(INDEX(Factors_ROT!$F$5:$F$200,MATCH("SC_DRV|"&amp;AL12,Factors_ROT!$A$5:$A$200,0)),1)*IFERROR(INDEX(Factors_ROT!$F$5:$F$200,MATCH("SC_BSP|"&amp;AM12,Factors_ROT!$A$5:$A$200,0)),1)*IFERROR(INDEX(Factors_ROT!$F$5:$F$200,MATCH("SC_SEAL|"&amp;AN12,Factors_ROT!$A$5:$A$200,0)),1)*IFERROR(INDEX(Factors_ROT!$F$5:$F$200,MATCH("SC_COMM|"&amp;AO12,Factors_ROT!$A$5:$A$200,0)),1)*IFERROR(INDEX(Factors_ROT!$F$5:$F$200,MATCH("SC_2Y|"&amp;AP12,Factors_ROT!$A$5:$A$200,0)),1)*IFERROR(INDEX(Factors_ROT!$F$5:$F$200,MATCH("SC_TPI|"&amp;AQ12,Factors_ROT!$A$5:$A$200,0)),1)*IFERROR(INDEX(Factors_ROT!$F$5:$F$200,MATCH("SC_FAT|"&amp;AR12,Factors_ROT!$A$5:$A$200,0)),1)</f>
        <v>1</v>
      </c>
      <c r="AX12" s="48" t="n">
        <f aca="false">AT12*AU12*AV12*AW12</f>
        <v>1</v>
      </c>
      <c r="AY12" s="47" t="str">
        <f aca="false">IF(ISNUMBER(AB12),AB12/AX12,"")</f>
        <v/>
      </c>
      <c r="AZ12" s="49" t="str">
        <f aca="false">IFERROR(IF(N(INDEX(Escalation_Index!$B$5:$B$25,MATCH(Y12,Escalation_Index!$A$5:$A$25,0)))&gt;0,INDEX(Escalation_Index!$B$5:$B$25,MATCH(Y12,Escalation_Index!$A$5:$A$25,0)),""),"")</f>
        <v/>
      </c>
      <c r="BA12" s="49" t="n">
        <f aca="false">IF(ISNUMBER('Assumptions &amp; FX Reference'!$I$12),'Assumptions &amp; FX Reference'!$I$12,"")</f>
        <v>123.416</v>
      </c>
      <c r="BB12" s="45" t="str">
        <f aca="false">IF(AND(M12="API 610",LEFT(V12,11)="Centrifugal",OR(LEFT(G12,2)="S-",LEFT(G12,2)="D-")),"Y","N")</f>
        <v>N</v>
      </c>
      <c r="BC12" s="47" t="str">
        <f aca="false">IF(ISNUMBER(AG12),AG12/AX12,"")</f>
        <v/>
      </c>
      <c r="BD12" s="47" t="str">
        <f aca="false">IF(AND(ISNUMBER(BC12),ISNUMBER(K12)),IF(K12&gt;0,BC12/K12^'Assumptions &amp; FX Reference'!$I$16,""),"")</f>
        <v/>
      </c>
      <c r="BE12" s="42" t="s">
        <v>335</v>
      </c>
      <c r="BF12" s="42" t="s">
        <v>336</v>
      </c>
      <c r="BG12" s="42" t="s">
        <v>312</v>
      </c>
      <c r="BH12" s="45" t="s">
        <v>313</v>
      </c>
      <c r="BI12" s="45" t="str">
        <f aca="false">"PMP-"&amp;TEXT(A12,"0000")</f>
        <v>PMP-0008</v>
      </c>
    </row>
    <row r="13" customFormat="false" ht="24" hidden="false" customHeight="true" outlineLevel="0" collapsed="false">
      <c r="A13" s="42" t="n">
        <v>9</v>
      </c>
      <c r="B13" s="42" t="s">
        <v>337</v>
      </c>
      <c r="C13" s="42" t="s">
        <v>301</v>
      </c>
      <c r="D13" s="42" t="s">
        <v>302</v>
      </c>
      <c r="E13" s="42" t="s">
        <v>48</v>
      </c>
      <c r="F13" s="42" t="s">
        <v>123</v>
      </c>
      <c r="G13" s="42" t="s">
        <v>123</v>
      </c>
      <c r="H13" s="43"/>
      <c r="I13" s="43" t="n">
        <v>41</v>
      </c>
      <c r="J13" s="43" t="n">
        <v>3.9</v>
      </c>
      <c r="K13" s="44" t="n">
        <f aca="false">IF(ISNUMBER(J13),J13,IF(AND(ISNUMBER(H13),ISNUMBER(I13)),H13*I13/(367*'Assumptions &amp; FX Reference'!$I$17),""))</f>
        <v>3.9</v>
      </c>
      <c r="L13" s="45" t="str">
        <f aca="false">IF(IF(OR(M13="Not stated",M13=""),""," + "&amp;M13)&amp;IF(OR(N13="None",N13=""),""," + "&amp;N13)&amp;IF(O13="Y"," + NACE MR0175","")="","Not stated",MID(IF(OR(M13="Not stated",M13=""),""," + "&amp;M13)&amp;IF(OR(N13="None",N13=""),""," + "&amp;N13)&amp;IF(O13="Y"," + NACE MR0175",""),4,300))</f>
        <v>Not stated</v>
      </c>
      <c r="M13" s="42" t="s">
        <v>123</v>
      </c>
      <c r="N13" s="42" t="s">
        <v>303</v>
      </c>
      <c r="O13" s="42" t="s">
        <v>123</v>
      </c>
      <c r="P13" s="42" t="s">
        <v>123</v>
      </c>
      <c r="Q13" s="42" t="s">
        <v>123</v>
      </c>
      <c r="R13" s="42" t="s">
        <v>123</v>
      </c>
      <c r="S13" s="42" t="s">
        <v>304</v>
      </c>
      <c r="T13" s="42" t="s">
        <v>338</v>
      </c>
      <c r="U13" s="42" t="n">
        <v>1</v>
      </c>
      <c r="V13" s="42" t="s">
        <v>306</v>
      </c>
      <c r="W13" s="43"/>
      <c r="X13" s="42" t="s">
        <v>123</v>
      </c>
      <c r="Y13" s="42" t="s">
        <v>307</v>
      </c>
      <c r="Z13" s="42" t="s">
        <v>308</v>
      </c>
      <c r="AA13" s="46" t="n">
        <v>8000</v>
      </c>
      <c r="AB13" s="47" t="str">
        <f aca="false">IF(NOT(ISNUMBER(AA13)),"",IF(NOT(ISNUMBER(Y13)),"",IFERROR(IF(Z13="EUR",AA13,IF(Z13="IRR",AA13/INDEX('Assumptions &amp; FX Reference'!$C$5:$C$25,MATCH(Y13,'Assumptions &amp; FX Reference'!$A$5:$A$25,0)),IF(Z13="USD",AA13*INDEX('Assumptions &amp; FX Reference'!$B$5:$B$25,MATCH(Y13,'Assumptions &amp; FX Reference'!$A$5:$A$25,0))/INDEX('Assumptions &amp; FX Reference'!$C$5:$C$25,MATCH(Y13,'Assumptions &amp; FX Reference'!$A$5:$A$25,0)),""))),"")))</f>
        <v/>
      </c>
      <c r="AC13" s="47" t="str">
        <f aca="false">IF(NOT(ISNUMBER(AA13)),"",IF(NOT(ISNUMBER(Y13)),"",IFERROR(IF(Z13="USD",AA13,IF(Z13="IRR",AA13/INDEX('Assumptions &amp; FX Reference'!$B$5:$B$25,MATCH(Y13,'Assumptions &amp; FX Reference'!$A$5:$A$25,0)),IF(Z13="EUR",AA13*INDEX('Assumptions &amp; FX Reference'!$C$5:$C$25,MATCH(Y13,'Assumptions &amp; FX Reference'!$A$5:$A$25,0))/INDEX('Assumptions &amp; FX Reference'!$B$5:$B$25,MATCH(Y13,'Assumptions &amp; FX Reference'!$A$5:$A$25,0)),""))),"")))</f>
        <v/>
      </c>
      <c r="AD13" s="47" t="str">
        <f aca="false">IF(NOT(ISNUMBER(AA13)),"",IF(NOT(ISNUMBER(Y13)),"",IFERROR(IF(Z13="IRR",AA13,IF(Z13="USD",AA13*INDEX('Assumptions &amp; FX Reference'!$B$5:$B$25,MATCH(Y13,'Assumptions &amp; FX Reference'!$A$5:$A$25,0)),IF(Z13="EUR",AA13*INDEX('Assumptions &amp; FX Reference'!$C$5:$C$25,MATCH(Y13,'Assumptions &amp; FX Reference'!$A$5:$A$25,0)),""))),"")))</f>
        <v/>
      </c>
      <c r="AE13" s="42" t="s">
        <v>309</v>
      </c>
      <c r="AF13" s="42" t="s">
        <v>123</v>
      </c>
      <c r="AG13" s="47" t="str">
        <f aca="false">IF(AND(Z13="EUR",N(AA13)&gt;5000000),"",IF(AND(ISNUMBER(AB13),ISNUMBER(AZ13),ISNUMBER(BA13)),IF(AND(BB13="Y",ISNUMBER('Assumptions &amp; FX Reference'!$I$15)),MAX(AB13*BA13/AZ13,'Assumptions &amp; FX Reference'!$I$13*BA13/'Assumptions &amp; FX Reference'!$I$15),AB13*BA13/AZ13),""))</f>
        <v/>
      </c>
      <c r="AH13" s="47" t="str">
        <f aca="false">IF(AND(ISNUMBER(AG13),ISNUMBER('Assumptions &amp; FX Reference'!$I$8),ISNUMBER('Assumptions &amp; FX Reference'!$I$11)),AG13*'Assumptions &amp; FX Reference'!$I$8/'Assumptions &amp; FX Reference'!$I$11,"")</f>
        <v/>
      </c>
      <c r="AI13" s="47" t="str">
        <f aca="false">IF(AND(ISNUMBER(AG13),ISNUMBER('Assumptions &amp; FX Reference'!$I$8)),AG13*'Assumptions &amp; FX Reference'!$I$8,"")</f>
        <v/>
      </c>
      <c r="AJ13" s="42" t="s">
        <v>302</v>
      </c>
      <c r="AK13" s="42" t="s">
        <v>123</v>
      </c>
      <c r="AL13" s="42" t="s">
        <v>123</v>
      </c>
      <c r="AM13" s="42" t="s">
        <v>123</v>
      </c>
      <c r="AN13" s="42" t="s">
        <v>123</v>
      </c>
      <c r="AO13" s="42" t="s">
        <v>123</v>
      </c>
      <c r="AP13" s="42" t="s">
        <v>123</v>
      </c>
      <c r="AQ13" s="42" t="s">
        <v>123</v>
      </c>
      <c r="AR13" s="42" t="s">
        <v>123</v>
      </c>
      <c r="AS13" s="45" t="str">
        <f aca="false">IF(AND(Z13="EUR",N(AA13)&gt;5000000),"Check currency (EUR&gt;5M); ","")&amp;IF(NOT(ISNUMBER(AA13)),"No price; ","")&amp;IF(G13="Not stated","Material missing; ","")&amp;IF(P13="Not stated","Seal missing; ","")&amp;IF(K13="","Size driver missing; ","")&amp;IF(NOT(ISNUMBER(AZ13)),"Base-year PPI missing; ","")</f>
        <v>Material missing; Seal missing; Base-year PPI missing; </v>
      </c>
      <c r="AT13" s="48" t="n">
        <f aca="false">IFERROR(INDEX(Factors_ROT!$F$5:$F$200,MATCH("MAT|"&amp;G13,Factors_ROT!$A$5:$A$200,0)),1)</f>
        <v>1</v>
      </c>
      <c r="AU13" s="48" t="n">
        <f aca="false">IFERROR(INDEX(Factors_ROT!$F$5:$F$200,MATCH("SEAL_ARR|"&amp;P13,Factors_ROT!$A$5:$A$200,0)),1)*IFERROR(INDEX(Factors_ROT!$F$5:$F$200,MATCH("SEAL_CAT|"&amp;Q13,Factors_ROT!$A$5:$A$200,0)),1)*IFERROR(INDEX(Factors_ROT!$F$5:$F$200,MATCH("SEAL_PLAN|"&amp;R13,Factors_ROT!$A$5:$A$200,0)),1)</f>
        <v>1</v>
      </c>
      <c r="AV13" s="48" t="n">
        <f aca="false">IFERROR(INDEX(Factors_ROT!$F$5:$F$200,MATCH("DRV|"&amp;S13,Factors_ROT!$A$5:$A$200,0)),1)*IFERROR(INDEX(Factors_ROT!$F$5:$F$200,MATCH("NACE|"&amp;O13,Factors_ROT!$A$5:$A$200,0)),1)</f>
        <v>1</v>
      </c>
      <c r="AW13" s="48" t="n">
        <f aca="false">IFERROR(INDEX(Factors_ROT!$F$5:$F$200,MATCH("SC_DRV|"&amp;AL13,Factors_ROT!$A$5:$A$200,0)),1)*IFERROR(INDEX(Factors_ROT!$F$5:$F$200,MATCH("SC_BSP|"&amp;AM13,Factors_ROT!$A$5:$A$200,0)),1)*IFERROR(INDEX(Factors_ROT!$F$5:$F$200,MATCH("SC_SEAL|"&amp;AN13,Factors_ROT!$A$5:$A$200,0)),1)*IFERROR(INDEX(Factors_ROT!$F$5:$F$200,MATCH("SC_COMM|"&amp;AO13,Factors_ROT!$A$5:$A$200,0)),1)*IFERROR(INDEX(Factors_ROT!$F$5:$F$200,MATCH("SC_2Y|"&amp;AP13,Factors_ROT!$A$5:$A$200,0)),1)*IFERROR(INDEX(Factors_ROT!$F$5:$F$200,MATCH("SC_TPI|"&amp;AQ13,Factors_ROT!$A$5:$A$200,0)),1)*IFERROR(INDEX(Factors_ROT!$F$5:$F$200,MATCH("SC_FAT|"&amp;AR13,Factors_ROT!$A$5:$A$200,0)),1)</f>
        <v>1</v>
      </c>
      <c r="AX13" s="48" t="n">
        <f aca="false">AT13*AU13*AV13*AW13</f>
        <v>1</v>
      </c>
      <c r="AY13" s="47" t="str">
        <f aca="false">IF(ISNUMBER(AB13),AB13/AX13,"")</f>
        <v/>
      </c>
      <c r="AZ13" s="49" t="str">
        <f aca="false">IFERROR(IF(N(INDEX(Escalation_Index!$B$5:$B$25,MATCH(Y13,Escalation_Index!$A$5:$A$25,0)))&gt;0,INDEX(Escalation_Index!$B$5:$B$25,MATCH(Y13,Escalation_Index!$A$5:$A$25,0)),""),"")</f>
        <v/>
      </c>
      <c r="BA13" s="49" t="n">
        <f aca="false">IF(ISNUMBER('Assumptions &amp; FX Reference'!$I$12),'Assumptions &amp; FX Reference'!$I$12,"")</f>
        <v>123.416</v>
      </c>
      <c r="BB13" s="45" t="str">
        <f aca="false">IF(AND(M13="API 610",LEFT(V13,11)="Centrifugal",OR(LEFT(G13,2)="S-",LEFT(G13,2)="D-")),"Y","N")</f>
        <v>N</v>
      </c>
      <c r="BC13" s="47" t="str">
        <f aca="false">IF(ISNUMBER(AG13),AG13/AX13,"")</f>
        <v/>
      </c>
      <c r="BD13" s="47" t="str">
        <f aca="false">IF(AND(ISNUMBER(BC13),ISNUMBER(K13)),IF(K13&gt;0,BC13/K13^'Assumptions &amp; FX Reference'!$I$16,""),"")</f>
        <v/>
      </c>
      <c r="BE13" s="42" t="s">
        <v>339</v>
      </c>
      <c r="BF13" s="42" t="s">
        <v>340</v>
      </c>
      <c r="BG13" s="42" t="s">
        <v>312</v>
      </c>
      <c r="BH13" s="45" t="s">
        <v>313</v>
      </c>
      <c r="BI13" s="45" t="str">
        <f aca="false">"PMP-"&amp;TEXT(A13,"0000")</f>
        <v>PMP-0009</v>
      </c>
    </row>
    <row r="14" customFormat="false" ht="24" hidden="false" customHeight="true" outlineLevel="0" collapsed="false">
      <c r="A14" s="42" t="n">
        <v>10</v>
      </c>
      <c r="B14" s="42" t="s">
        <v>341</v>
      </c>
      <c r="C14" s="42" t="s">
        <v>301</v>
      </c>
      <c r="D14" s="42" t="s">
        <v>302</v>
      </c>
      <c r="E14" s="42" t="s">
        <v>54</v>
      </c>
      <c r="F14" s="42" t="s">
        <v>123</v>
      </c>
      <c r="G14" s="42" t="s">
        <v>123</v>
      </c>
      <c r="H14" s="43"/>
      <c r="I14" s="43" t="n">
        <v>120</v>
      </c>
      <c r="J14" s="43" t="n">
        <v>13.7</v>
      </c>
      <c r="K14" s="44" t="n">
        <f aca="false">IF(ISNUMBER(J14),J14,IF(AND(ISNUMBER(H14),ISNUMBER(I14)),H14*I14/(367*'Assumptions &amp; FX Reference'!$I$17),""))</f>
        <v>13.7</v>
      </c>
      <c r="L14" s="45" t="str">
        <f aca="false">IF(IF(OR(M14="Not stated",M14=""),""," + "&amp;M14)&amp;IF(OR(N14="None",N14=""),""," + "&amp;N14)&amp;IF(O14="Y"," + NACE MR0175","")="","Not stated",MID(IF(OR(M14="Not stated",M14=""),""," + "&amp;M14)&amp;IF(OR(N14="None",N14=""),""," + "&amp;N14)&amp;IF(O14="Y"," + NACE MR0175",""),4,300))</f>
        <v>Not stated</v>
      </c>
      <c r="M14" s="42" t="s">
        <v>123</v>
      </c>
      <c r="N14" s="42" t="s">
        <v>303</v>
      </c>
      <c r="O14" s="42" t="s">
        <v>123</v>
      </c>
      <c r="P14" s="42" t="s">
        <v>123</v>
      </c>
      <c r="Q14" s="42" t="s">
        <v>123</v>
      </c>
      <c r="R14" s="42" t="s">
        <v>123</v>
      </c>
      <c r="S14" s="42" t="s">
        <v>304</v>
      </c>
      <c r="T14" s="42" t="s">
        <v>342</v>
      </c>
      <c r="U14" s="42" t="n">
        <v>1</v>
      </c>
      <c r="V14" s="42" t="s">
        <v>306</v>
      </c>
      <c r="W14" s="43"/>
      <c r="X14" s="42" t="s">
        <v>123</v>
      </c>
      <c r="Y14" s="42" t="s">
        <v>307</v>
      </c>
      <c r="Z14" s="42" t="s">
        <v>308</v>
      </c>
      <c r="AA14" s="46" t="n">
        <v>40000</v>
      </c>
      <c r="AB14" s="47" t="str">
        <f aca="false">IF(NOT(ISNUMBER(AA14)),"",IF(NOT(ISNUMBER(Y14)),"",IFERROR(IF(Z14="EUR",AA14,IF(Z14="IRR",AA14/INDEX('Assumptions &amp; FX Reference'!$C$5:$C$25,MATCH(Y14,'Assumptions &amp; FX Reference'!$A$5:$A$25,0)),IF(Z14="USD",AA14*INDEX('Assumptions &amp; FX Reference'!$B$5:$B$25,MATCH(Y14,'Assumptions &amp; FX Reference'!$A$5:$A$25,0))/INDEX('Assumptions &amp; FX Reference'!$C$5:$C$25,MATCH(Y14,'Assumptions &amp; FX Reference'!$A$5:$A$25,0)),""))),"")))</f>
        <v/>
      </c>
      <c r="AC14" s="47" t="str">
        <f aca="false">IF(NOT(ISNUMBER(AA14)),"",IF(NOT(ISNUMBER(Y14)),"",IFERROR(IF(Z14="USD",AA14,IF(Z14="IRR",AA14/INDEX('Assumptions &amp; FX Reference'!$B$5:$B$25,MATCH(Y14,'Assumptions &amp; FX Reference'!$A$5:$A$25,0)),IF(Z14="EUR",AA14*INDEX('Assumptions &amp; FX Reference'!$C$5:$C$25,MATCH(Y14,'Assumptions &amp; FX Reference'!$A$5:$A$25,0))/INDEX('Assumptions &amp; FX Reference'!$B$5:$B$25,MATCH(Y14,'Assumptions &amp; FX Reference'!$A$5:$A$25,0)),""))),"")))</f>
        <v/>
      </c>
      <c r="AD14" s="47" t="str">
        <f aca="false">IF(NOT(ISNUMBER(AA14)),"",IF(NOT(ISNUMBER(Y14)),"",IFERROR(IF(Z14="IRR",AA14,IF(Z14="USD",AA14*INDEX('Assumptions &amp; FX Reference'!$B$5:$B$25,MATCH(Y14,'Assumptions &amp; FX Reference'!$A$5:$A$25,0)),IF(Z14="EUR",AA14*INDEX('Assumptions &amp; FX Reference'!$C$5:$C$25,MATCH(Y14,'Assumptions &amp; FX Reference'!$A$5:$A$25,0)),""))),"")))</f>
        <v/>
      </c>
      <c r="AE14" s="42" t="s">
        <v>309</v>
      </c>
      <c r="AF14" s="42" t="s">
        <v>123</v>
      </c>
      <c r="AG14" s="47" t="str">
        <f aca="false">IF(AND(Z14="EUR",N(AA14)&gt;5000000),"",IF(AND(ISNUMBER(AB14),ISNUMBER(AZ14),ISNUMBER(BA14)),IF(AND(BB14="Y",ISNUMBER('Assumptions &amp; FX Reference'!$I$15)),MAX(AB14*BA14/AZ14,'Assumptions &amp; FX Reference'!$I$13*BA14/'Assumptions &amp; FX Reference'!$I$15),AB14*BA14/AZ14),""))</f>
        <v/>
      </c>
      <c r="AH14" s="47" t="str">
        <f aca="false">IF(AND(ISNUMBER(AG14),ISNUMBER('Assumptions &amp; FX Reference'!$I$8),ISNUMBER('Assumptions &amp; FX Reference'!$I$11)),AG14*'Assumptions &amp; FX Reference'!$I$8/'Assumptions &amp; FX Reference'!$I$11,"")</f>
        <v/>
      </c>
      <c r="AI14" s="47" t="str">
        <f aca="false">IF(AND(ISNUMBER(AG14),ISNUMBER('Assumptions &amp; FX Reference'!$I$8)),AG14*'Assumptions &amp; FX Reference'!$I$8,"")</f>
        <v/>
      </c>
      <c r="AJ14" s="42" t="s">
        <v>302</v>
      </c>
      <c r="AK14" s="42" t="s">
        <v>123</v>
      </c>
      <c r="AL14" s="42" t="s">
        <v>123</v>
      </c>
      <c r="AM14" s="42" t="s">
        <v>123</v>
      </c>
      <c r="AN14" s="42" t="s">
        <v>123</v>
      </c>
      <c r="AO14" s="42" t="s">
        <v>123</v>
      </c>
      <c r="AP14" s="42" t="s">
        <v>123</v>
      </c>
      <c r="AQ14" s="42" t="s">
        <v>123</v>
      </c>
      <c r="AR14" s="42" t="s">
        <v>123</v>
      </c>
      <c r="AS14" s="45" t="str">
        <f aca="false">IF(AND(Z14="EUR",N(AA14)&gt;5000000),"Check currency (EUR&gt;5M); ","")&amp;IF(NOT(ISNUMBER(AA14)),"No price; ","")&amp;IF(G14="Not stated","Material missing; ","")&amp;IF(P14="Not stated","Seal missing; ","")&amp;IF(K14="","Size driver missing; ","")&amp;IF(NOT(ISNUMBER(AZ14)),"Base-year PPI missing; ","")</f>
        <v>Material missing; Seal missing; Base-year PPI missing; </v>
      </c>
      <c r="AT14" s="48" t="n">
        <f aca="false">IFERROR(INDEX(Factors_ROT!$F$5:$F$200,MATCH("MAT|"&amp;G14,Factors_ROT!$A$5:$A$200,0)),1)</f>
        <v>1</v>
      </c>
      <c r="AU14" s="48" t="n">
        <f aca="false">IFERROR(INDEX(Factors_ROT!$F$5:$F$200,MATCH("SEAL_ARR|"&amp;P14,Factors_ROT!$A$5:$A$200,0)),1)*IFERROR(INDEX(Factors_ROT!$F$5:$F$200,MATCH("SEAL_CAT|"&amp;Q14,Factors_ROT!$A$5:$A$200,0)),1)*IFERROR(INDEX(Factors_ROT!$F$5:$F$200,MATCH("SEAL_PLAN|"&amp;R14,Factors_ROT!$A$5:$A$200,0)),1)</f>
        <v>1</v>
      </c>
      <c r="AV14" s="48" t="n">
        <f aca="false">IFERROR(INDEX(Factors_ROT!$F$5:$F$200,MATCH("DRV|"&amp;S14,Factors_ROT!$A$5:$A$200,0)),1)*IFERROR(INDEX(Factors_ROT!$F$5:$F$200,MATCH("NACE|"&amp;O14,Factors_ROT!$A$5:$A$200,0)),1)</f>
        <v>1</v>
      </c>
      <c r="AW14" s="48" t="n">
        <f aca="false">IFERROR(INDEX(Factors_ROT!$F$5:$F$200,MATCH("SC_DRV|"&amp;AL14,Factors_ROT!$A$5:$A$200,0)),1)*IFERROR(INDEX(Factors_ROT!$F$5:$F$200,MATCH("SC_BSP|"&amp;AM14,Factors_ROT!$A$5:$A$200,0)),1)*IFERROR(INDEX(Factors_ROT!$F$5:$F$200,MATCH("SC_SEAL|"&amp;AN14,Factors_ROT!$A$5:$A$200,0)),1)*IFERROR(INDEX(Factors_ROT!$F$5:$F$200,MATCH("SC_COMM|"&amp;AO14,Factors_ROT!$A$5:$A$200,0)),1)*IFERROR(INDEX(Factors_ROT!$F$5:$F$200,MATCH("SC_2Y|"&amp;AP14,Factors_ROT!$A$5:$A$200,0)),1)*IFERROR(INDEX(Factors_ROT!$F$5:$F$200,MATCH("SC_TPI|"&amp;AQ14,Factors_ROT!$A$5:$A$200,0)),1)*IFERROR(INDEX(Factors_ROT!$F$5:$F$200,MATCH("SC_FAT|"&amp;AR14,Factors_ROT!$A$5:$A$200,0)),1)</f>
        <v>1</v>
      </c>
      <c r="AX14" s="48" t="n">
        <f aca="false">AT14*AU14*AV14*AW14</f>
        <v>1</v>
      </c>
      <c r="AY14" s="47" t="str">
        <f aca="false">IF(ISNUMBER(AB14),AB14/AX14,"")</f>
        <v/>
      </c>
      <c r="AZ14" s="49" t="str">
        <f aca="false">IFERROR(IF(N(INDEX(Escalation_Index!$B$5:$B$25,MATCH(Y14,Escalation_Index!$A$5:$A$25,0)))&gt;0,INDEX(Escalation_Index!$B$5:$B$25,MATCH(Y14,Escalation_Index!$A$5:$A$25,0)),""),"")</f>
        <v/>
      </c>
      <c r="BA14" s="49" t="n">
        <f aca="false">IF(ISNUMBER('Assumptions &amp; FX Reference'!$I$12),'Assumptions &amp; FX Reference'!$I$12,"")</f>
        <v>123.416</v>
      </c>
      <c r="BB14" s="45" t="str">
        <f aca="false">IF(AND(M14="API 610",LEFT(V14,11)="Centrifugal",OR(LEFT(G14,2)="S-",LEFT(G14,2)="D-")),"Y","N")</f>
        <v>N</v>
      </c>
      <c r="BC14" s="47" t="str">
        <f aca="false">IF(ISNUMBER(AG14),AG14/AX14,"")</f>
        <v/>
      </c>
      <c r="BD14" s="47" t="str">
        <f aca="false">IF(AND(ISNUMBER(BC14),ISNUMBER(K14)),IF(K14&gt;0,BC14/K14^'Assumptions &amp; FX Reference'!$I$16,""),"")</f>
        <v/>
      </c>
      <c r="BE14" s="42" t="s">
        <v>343</v>
      </c>
      <c r="BF14" s="42" t="s">
        <v>344</v>
      </c>
      <c r="BG14" s="42" t="s">
        <v>312</v>
      </c>
      <c r="BH14" s="45" t="s">
        <v>313</v>
      </c>
      <c r="BI14" s="45" t="str">
        <f aca="false">"PMP-"&amp;TEXT(A14,"0000")</f>
        <v>PMP-0010</v>
      </c>
    </row>
    <row r="15" customFormat="false" ht="24" hidden="false" customHeight="true" outlineLevel="0" collapsed="false">
      <c r="A15" s="42" t="n">
        <v>11</v>
      </c>
      <c r="B15" s="42" t="s">
        <v>345</v>
      </c>
      <c r="C15" s="42" t="s">
        <v>301</v>
      </c>
      <c r="D15" s="42" t="s">
        <v>302</v>
      </c>
      <c r="E15" s="42" t="s">
        <v>57</v>
      </c>
      <c r="F15" s="42" t="s">
        <v>192</v>
      </c>
      <c r="G15" s="42" t="s">
        <v>123</v>
      </c>
      <c r="H15" s="43"/>
      <c r="I15" s="43" t="n">
        <v>27.2</v>
      </c>
      <c r="J15" s="43" t="n">
        <v>4</v>
      </c>
      <c r="K15" s="44" t="n">
        <f aca="false">IF(ISNUMBER(J15),J15,IF(AND(ISNUMBER(H15),ISNUMBER(I15)),H15*I15/(367*'Assumptions &amp; FX Reference'!$I$17),""))</f>
        <v>4</v>
      </c>
      <c r="L15" s="45" t="str">
        <f aca="false">IF(IF(OR(M15="Not stated",M15=""),""," + "&amp;M15)&amp;IF(OR(N15="None",N15=""),""," + "&amp;N15)&amp;IF(O15="Y"," + NACE MR0175","")="","Not stated",MID(IF(OR(M15="Not stated",M15=""),""," + "&amp;M15)&amp;IF(OR(N15="None",N15=""),""," + "&amp;N15)&amp;IF(O15="Y"," + NACE MR0175",""),4,300))</f>
        <v>Not stated</v>
      </c>
      <c r="M15" s="42" t="s">
        <v>123</v>
      </c>
      <c r="N15" s="42" t="s">
        <v>303</v>
      </c>
      <c r="O15" s="42" t="s">
        <v>123</v>
      </c>
      <c r="P15" s="42" t="s">
        <v>123</v>
      </c>
      <c r="Q15" s="42" t="s">
        <v>123</v>
      </c>
      <c r="R15" s="42" t="s">
        <v>123</v>
      </c>
      <c r="S15" s="42" t="s">
        <v>304</v>
      </c>
      <c r="T15" s="42" t="s">
        <v>346</v>
      </c>
      <c r="U15" s="42" t="n">
        <v>1</v>
      </c>
      <c r="V15" s="42" t="s">
        <v>347</v>
      </c>
      <c r="W15" s="43"/>
      <c r="X15" s="42" t="s">
        <v>123</v>
      </c>
      <c r="Y15" s="42" t="s">
        <v>307</v>
      </c>
      <c r="Z15" s="42" t="s">
        <v>308</v>
      </c>
      <c r="AA15" s="46" t="n">
        <v>5000</v>
      </c>
      <c r="AB15" s="47" t="str">
        <f aca="false">IF(NOT(ISNUMBER(AA15)),"",IF(NOT(ISNUMBER(Y15)),"",IFERROR(IF(Z15="EUR",AA15,IF(Z15="IRR",AA15/INDEX('Assumptions &amp; FX Reference'!$C$5:$C$25,MATCH(Y15,'Assumptions &amp; FX Reference'!$A$5:$A$25,0)),IF(Z15="USD",AA15*INDEX('Assumptions &amp; FX Reference'!$B$5:$B$25,MATCH(Y15,'Assumptions &amp; FX Reference'!$A$5:$A$25,0))/INDEX('Assumptions &amp; FX Reference'!$C$5:$C$25,MATCH(Y15,'Assumptions &amp; FX Reference'!$A$5:$A$25,0)),""))),"")))</f>
        <v/>
      </c>
      <c r="AC15" s="47" t="str">
        <f aca="false">IF(NOT(ISNUMBER(AA15)),"",IF(NOT(ISNUMBER(Y15)),"",IFERROR(IF(Z15="USD",AA15,IF(Z15="IRR",AA15/INDEX('Assumptions &amp; FX Reference'!$B$5:$B$25,MATCH(Y15,'Assumptions &amp; FX Reference'!$A$5:$A$25,0)),IF(Z15="EUR",AA15*INDEX('Assumptions &amp; FX Reference'!$C$5:$C$25,MATCH(Y15,'Assumptions &amp; FX Reference'!$A$5:$A$25,0))/INDEX('Assumptions &amp; FX Reference'!$B$5:$B$25,MATCH(Y15,'Assumptions &amp; FX Reference'!$A$5:$A$25,0)),""))),"")))</f>
        <v/>
      </c>
      <c r="AD15" s="47" t="str">
        <f aca="false">IF(NOT(ISNUMBER(AA15)),"",IF(NOT(ISNUMBER(Y15)),"",IFERROR(IF(Z15="IRR",AA15,IF(Z15="USD",AA15*INDEX('Assumptions &amp; FX Reference'!$B$5:$B$25,MATCH(Y15,'Assumptions &amp; FX Reference'!$A$5:$A$25,0)),IF(Z15="EUR",AA15*INDEX('Assumptions &amp; FX Reference'!$C$5:$C$25,MATCH(Y15,'Assumptions &amp; FX Reference'!$A$5:$A$25,0)),""))),"")))</f>
        <v/>
      </c>
      <c r="AE15" s="42" t="s">
        <v>309</v>
      </c>
      <c r="AF15" s="42" t="s">
        <v>123</v>
      </c>
      <c r="AG15" s="47" t="str">
        <f aca="false">IF(AND(Z15="EUR",N(AA15)&gt;5000000),"",IF(AND(ISNUMBER(AB15),ISNUMBER(AZ15),ISNUMBER(BA15)),IF(AND(BB15="Y",ISNUMBER('Assumptions &amp; FX Reference'!$I$15)),MAX(AB15*BA15/AZ15,'Assumptions &amp; FX Reference'!$I$13*BA15/'Assumptions &amp; FX Reference'!$I$15),AB15*BA15/AZ15),""))</f>
        <v/>
      </c>
      <c r="AH15" s="47" t="str">
        <f aca="false">IF(AND(ISNUMBER(AG15),ISNUMBER('Assumptions &amp; FX Reference'!$I$8),ISNUMBER('Assumptions &amp; FX Reference'!$I$11)),AG15*'Assumptions &amp; FX Reference'!$I$8/'Assumptions &amp; FX Reference'!$I$11,"")</f>
        <v/>
      </c>
      <c r="AI15" s="47" t="str">
        <f aca="false">IF(AND(ISNUMBER(AG15),ISNUMBER('Assumptions &amp; FX Reference'!$I$8)),AG15*'Assumptions &amp; FX Reference'!$I$8,"")</f>
        <v/>
      </c>
      <c r="AJ15" s="42" t="s">
        <v>302</v>
      </c>
      <c r="AK15" s="42" t="s">
        <v>123</v>
      </c>
      <c r="AL15" s="42" t="s">
        <v>123</v>
      </c>
      <c r="AM15" s="42" t="s">
        <v>123</v>
      </c>
      <c r="AN15" s="42" t="s">
        <v>123</v>
      </c>
      <c r="AO15" s="42" t="s">
        <v>123</v>
      </c>
      <c r="AP15" s="42" t="s">
        <v>123</v>
      </c>
      <c r="AQ15" s="42" t="s">
        <v>123</v>
      </c>
      <c r="AR15" s="42" t="s">
        <v>123</v>
      </c>
      <c r="AS15" s="45" t="str">
        <f aca="false">IF(AND(Z15="EUR",N(AA15)&gt;5000000),"Check currency (EUR&gt;5M); ","")&amp;IF(NOT(ISNUMBER(AA15)),"No price; ","")&amp;IF(G15="Not stated","Material missing; ","")&amp;IF(P15="Not stated","Seal missing; ","")&amp;IF(K15="","Size driver missing; ","")&amp;IF(NOT(ISNUMBER(AZ15)),"Base-year PPI missing; ","")</f>
        <v>Material missing; Seal missing; Base-year PPI missing; </v>
      </c>
      <c r="AT15" s="48" t="n">
        <f aca="false">IFERROR(INDEX(Factors_ROT!$F$5:$F$200,MATCH("MAT|"&amp;G15,Factors_ROT!$A$5:$A$200,0)),1)</f>
        <v>1</v>
      </c>
      <c r="AU15" s="48" t="n">
        <f aca="false">IFERROR(INDEX(Factors_ROT!$F$5:$F$200,MATCH("SEAL_ARR|"&amp;P15,Factors_ROT!$A$5:$A$200,0)),1)*IFERROR(INDEX(Factors_ROT!$F$5:$F$200,MATCH("SEAL_CAT|"&amp;Q15,Factors_ROT!$A$5:$A$200,0)),1)*IFERROR(INDEX(Factors_ROT!$F$5:$F$200,MATCH("SEAL_PLAN|"&amp;R15,Factors_ROT!$A$5:$A$200,0)),1)</f>
        <v>1</v>
      </c>
      <c r="AV15" s="48" t="n">
        <f aca="false">IFERROR(INDEX(Factors_ROT!$F$5:$F$200,MATCH("DRV|"&amp;S15,Factors_ROT!$A$5:$A$200,0)),1)*IFERROR(INDEX(Factors_ROT!$F$5:$F$200,MATCH("NACE|"&amp;O15,Factors_ROT!$A$5:$A$200,0)),1)</f>
        <v>1</v>
      </c>
      <c r="AW15" s="48" t="n">
        <f aca="false">IFERROR(INDEX(Factors_ROT!$F$5:$F$200,MATCH("SC_DRV|"&amp;AL15,Factors_ROT!$A$5:$A$200,0)),1)*IFERROR(INDEX(Factors_ROT!$F$5:$F$200,MATCH("SC_BSP|"&amp;AM15,Factors_ROT!$A$5:$A$200,0)),1)*IFERROR(INDEX(Factors_ROT!$F$5:$F$200,MATCH("SC_SEAL|"&amp;AN15,Factors_ROT!$A$5:$A$200,0)),1)*IFERROR(INDEX(Factors_ROT!$F$5:$F$200,MATCH("SC_COMM|"&amp;AO15,Factors_ROT!$A$5:$A$200,0)),1)*IFERROR(INDEX(Factors_ROT!$F$5:$F$200,MATCH("SC_2Y|"&amp;AP15,Factors_ROT!$A$5:$A$200,0)),1)*IFERROR(INDEX(Factors_ROT!$F$5:$F$200,MATCH("SC_TPI|"&amp;AQ15,Factors_ROT!$A$5:$A$200,0)),1)*IFERROR(INDEX(Factors_ROT!$F$5:$F$200,MATCH("SC_FAT|"&amp;AR15,Factors_ROT!$A$5:$A$200,0)),1)</f>
        <v>1</v>
      </c>
      <c r="AX15" s="48" t="n">
        <f aca="false">AT15*AU15*AV15*AW15</f>
        <v>1</v>
      </c>
      <c r="AY15" s="47" t="str">
        <f aca="false">IF(ISNUMBER(AB15),AB15/AX15,"")</f>
        <v/>
      </c>
      <c r="AZ15" s="49" t="str">
        <f aca="false">IFERROR(IF(N(INDEX(Escalation_Index!$B$5:$B$25,MATCH(Y15,Escalation_Index!$A$5:$A$25,0)))&gt;0,INDEX(Escalation_Index!$B$5:$B$25,MATCH(Y15,Escalation_Index!$A$5:$A$25,0)),""),"")</f>
        <v/>
      </c>
      <c r="BA15" s="49" t="n">
        <f aca="false">IF(ISNUMBER('Assumptions &amp; FX Reference'!$I$12),'Assumptions &amp; FX Reference'!$I$12,"")</f>
        <v>123.416</v>
      </c>
      <c r="BB15" s="45" t="str">
        <f aca="false">IF(AND(M15="API 610",LEFT(V15,11)="Centrifugal",OR(LEFT(G15,2)="S-",LEFT(G15,2)="D-")),"Y","N")</f>
        <v>N</v>
      </c>
      <c r="BC15" s="47" t="str">
        <f aca="false">IF(ISNUMBER(AG15),AG15/AX15,"")</f>
        <v/>
      </c>
      <c r="BD15" s="47" t="str">
        <f aca="false">IF(AND(ISNUMBER(BC15),ISNUMBER(K15)),IF(K15&gt;0,BC15/K15^'Assumptions &amp; FX Reference'!$I$16,""),"")</f>
        <v/>
      </c>
      <c r="BE15" s="42" t="s">
        <v>348</v>
      </c>
      <c r="BF15" s="42" t="s">
        <v>349</v>
      </c>
      <c r="BG15" s="42" t="s">
        <v>312</v>
      </c>
      <c r="BH15" s="45" t="s">
        <v>313</v>
      </c>
      <c r="BI15" s="45" t="str">
        <f aca="false">"PMP-"&amp;TEXT(A15,"0000")</f>
        <v>PMP-0011</v>
      </c>
    </row>
    <row r="16" customFormat="false" ht="24" hidden="false" customHeight="true" outlineLevel="0" collapsed="false">
      <c r="A16" s="42" t="n">
        <v>12</v>
      </c>
      <c r="B16" s="42" t="s">
        <v>350</v>
      </c>
      <c r="C16" s="42" t="s">
        <v>301</v>
      </c>
      <c r="D16" s="42" t="s">
        <v>302</v>
      </c>
      <c r="E16" s="42" t="s">
        <v>57</v>
      </c>
      <c r="F16" s="42" t="s">
        <v>192</v>
      </c>
      <c r="G16" s="42" t="s">
        <v>123</v>
      </c>
      <c r="H16" s="43"/>
      <c r="I16" s="43" t="n">
        <v>40.8</v>
      </c>
      <c r="J16" s="43" t="n">
        <v>0.8</v>
      </c>
      <c r="K16" s="44" t="n">
        <f aca="false">IF(ISNUMBER(J16),J16,IF(AND(ISNUMBER(H16),ISNUMBER(I16)),H16*I16/(367*'Assumptions &amp; FX Reference'!$I$17),""))</f>
        <v>0.8</v>
      </c>
      <c r="L16" s="45" t="str">
        <f aca="false">IF(IF(OR(M16="Not stated",M16=""),""," + "&amp;M16)&amp;IF(OR(N16="None",N16=""),""," + "&amp;N16)&amp;IF(O16="Y"," + NACE MR0175","")="","Not stated",MID(IF(OR(M16="Not stated",M16=""),""," + "&amp;M16)&amp;IF(OR(N16="None",N16=""),""," + "&amp;N16)&amp;IF(O16="Y"," + NACE MR0175",""),4,300))</f>
        <v>Not stated</v>
      </c>
      <c r="M16" s="42" t="s">
        <v>123</v>
      </c>
      <c r="N16" s="42" t="s">
        <v>303</v>
      </c>
      <c r="O16" s="42" t="s">
        <v>123</v>
      </c>
      <c r="P16" s="42" t="s">
        <v>123</v>
      </c>
      <c r="Q16" s="42" t="s">
        <v>123</v>
      </c>
      <c r="R16" s="42" t="s">
        <v>123</v>
      </c>
      <c r="S16" s="42" t="s">
        <v>304</v>
      </c>
      <c r="T16" s="42" t="s">
        <v>346</v>
      </c>
      <c r="U16" s="42" t="n">
        <v>1</v>
      </c>
      <c r="V16" s="42" t="s">
        <v>351</v>
      </c>
      <c r="W16" s="43"/>
      <c r="X16" s="42" t="s">
        <v>123</v>
      </c>
      <c r="Y16" s="42" t="s">
        <v>307</v>
      </c>
      <c r="Z16" s="42" t="s">
        <v>308</v>
      </c>
      <c r="AA16" s="46" t="n">
        <v>3000</v>
      </c>
      <c r="AB16" s="47" t="str">
        <f aca="false">IF(NOT(ISNUMBER(AA16)),"",IF(NOT(ISNUMBER(Y16)),"",IFERROR(IF(Z16="EUR",AA16,IF(Z16="IRR",AA16/INDEX('Assumptions &amp; FX Reference'!$C$5:$C$25,MATCH(Y16,'Assumptions &amp; FX Reference'!$A$5:$A$25,0)),IF(Z16="USD",AA16*INDEX('Assumptions &amp; FX Reference'!$B$5:$B$25,MATCH(Y16,'Assumptions &amp; FX Reference'!$A$5:$A$25,0))/INDEX('Assumptions &amp; FX Reference'!$C$5:$C$25,MATCH(Y16,'Assumptions &amp; FX Reference'!$A$5:$A$25,0)),""))),"")))</f>
        <v/>
      </c>
      <c r="AC16" s="47" t="str">
        <f aca="false">IF(NOT(ISNUMBER(AA16)),"",IF(NOT(ISNUMBER(Y16)),"",IFERROR(IF(Z16="USD",AA16,IF(Z16="IRR",AA16/INDEX('Assumptions &amp; FX Reference'!$B$5:$B$25,MATCH(Y16,'Assumptions &amp; FX Reference'!$A$5:$A$25,0)),IF(Z16="EUR",AA16*INDEX('Assumptions &amp; FX Reference'!$C$5:$C$25,MATCH(Y16,'Assumptions &amp; FX Reference'!$A$5:$A$25,0))/INDEX('Assumptions &amp; FX Reference'!$B$5:$B$25,MATCH(Y16,'Assumptions &amp; FX Reference'!$A$5:$A$25,0)),""))),"")))</f>
        <v/>
      </c>
      <c r="AD16" s="47" t="str">
        <f aca="false">IF(NOT(ISNUMBER(AA16)),"",IF(NOT(ISNUMBER(Y16)),"",IFERROR(IF(Z16="IRR",AA16,IF(Z16="USD",AA16*INDEX('Assumptions &amp; FX Reference'!$B$5:$B$25,MATCH(Y16,'Assumptions &amp; FX Reference'!$A$5:$A$25,0)),IF(Z16="EUR",AA16*INDEX('Assumptions &amp; FX Reference'!$C$5:$C$25,MATCH(Y16,'Assumptions &amp; FX Reference'!$A$5:$A$25,0)),""))),"")))</f>
        <v/>
      </c>
      <c r="AE16" s="42" t="s">
        <v>309</v>
      </c>
      <c r="AF16" s="42" t="s">
        <v>123</v>
      </c>
      <c r="AG16" s="47" t="str">
        <f aca="false">IF(AND(Z16="EUR",N(AA16)&gt;5000000),"",IF(AND(ISNUMBER(AB16),ISNUMBER(AZ16),ISNUMBER(BA16)),IF(AND(BB16="Y",ISNUMBER('Assumptions &amp; FX Reference'!$I$15)),MAX(AB16*BA16/AZ16,'Assumptions &amp; FX Reference'!$I$13*BA16/'Assumptions &amp; FX Reference'!$I$15),AB16*BA16/AZ16),""))</f>
        <v/>
      </c>
      <c r="AH16" s="47" t="str">
        <f aca="false">IF(AND(ISNUMBER(AG16),ISNUMBER('Assumptions &amp; FX Reference'!$I$8),ISNUMBER('Assumptions &amp; FX Reference'!$I$11)),AG16*'Assumptions &amp; FX Reference'!$I$8/'Assumptions &amp; FX Reference'!$I$11,"")</f>
        <v/>
      </c>
      <c r="AI16" s="47" t="str">
        <f aca="false">IF(AND(ISNUMBER(AG16),ISNUMBER('Assumptions &amp; FX Reference'!$I$8)),AG16*'Assumptions &amp; FX Reference'!$I$8,"")</f>
        <v/>
      </c>
      <c r="AJ16" s="42" t="s">
        <v>302</v>
      </c>
      <c r="AK16" s="42" t="s">
        <v>123</v>
      </c>
      <c r="AL16" s="42" t="s">
        <v>123</v>
      </c>
      <c r="AM16" s="42" t="s">
        <v>123</v>
      </c>
      <c r="AN16" s="42" t="s">
        <v>123</v>
      </c>
      <c r="AO16" s="42" t="s">
        <v>123</v>
      </c>
      <c r="AP16" s="42" t="s">
        <v>123</v>
      </c>
      <c r="AQ16" s="42" t="s">
        <v>123</v>
      </c>
      <c r="AR16" s="42" t="s">
        <v>123</v>
      </c>
      <c r="AS16" s="45" t="str">
        <f aca="false">IF(AND(Z16="EUR",N(AA16)&gt;5000000),"Check currency (EUR&gt;5M); ","")&amp;IF(NOT(ISNUMBER(AA16)),"No price; ","")&amp;IF(G16="Not stated","Material missing; ","")&amp;IF(P16="Not stated","Seal missing; ","")&amp;IF(K16="","Size driver missing; ","")&amp;IF(NOT(ISNUMBER(AZ16)),"Base-year PPI missing; ","")</f>
        <v>Material missing; Seal missing; Base-year PPI missing; </v>
      </c>
      <c r="AT16" s="48" t="n">
        <f aca="false">IFERROR(INDEX(Factors_ROT!$F$5:$F$200,MATCH("MAT|"&amp;G16,Factors_ROT!$A$5:$A$200,0)),1)</f>
        <v>1</v>
      </c>
      <c r="AU16" s="48" t="n">
        <f aca="false">IFERROR(INDEX(Factors_ROT!$F$5:$F$200,MATCH("SEAL_ARR|"&amp;P16,Factors_ROT!$A$5:$A$200,0)),1)*IFERROR(INDEX(Factors_ROT!$F$5:$F$200,MATCH("SEAL_CAT|"&amp;Q16,Factors_ROT!$A$5:$A$200,0)),1)*IFERROR(INDEX(Factors_ROT!$F$5:$F$200,MATCH("SEAL_PLAN|"&amp;R16,Factors_ROT!$A$5:$A$200,0)),1)</f>
        <v>1</v>
      </c>
      <c r="AV16" s="48" t="n">
        <f aca="false">IFERROR(INDEX(Factors_ROT!$F$5:$F$200,MATCH("DRV|"&amp;S16,Factors_ROT!$A$5:$A$200,0)),1)*IFERROR(INDEX(Factors_ROT!$F$5:$F$200,MATCH("NACE|"&amp;O16,Factors_ROT!$A$5:$A$200,0)),1)</f>
        <v>1</v>
      </c>
      <c r="AW16" s="48" t="n">
        <f aca="false">IFERROR(INDEX(Factors_ROT!$F$5:$F$200,MATCH("SC_DRV|"&amp;AL16,Factors_ROT!$A$5:$A$200,0)),1)*IFERROR(INDEX(Factors_ROT!$F$5:$F$200,MATCH("SC_BSP|"&amp;AM16,Factors_ROT!$A$5:$A$200,0)),1)*IFERROR(INDEX(Factors_ROT!$F$5:$F$200,MATCH("SC_SEAL|"&amp;AN16,Factors_ROT!$A$5:$A$200,0)),1)*IFERROR(INDEX(Factors_ROT!$F$5:$F$200,MATCH("SC_COMM|"&amp;AO16,Factors_ROT!$A$5:$A$200,0)),1)*IFERROR(INDEX(Factors_ROT!$F$5:$F$200,MATCH("SC_2Y|"&amp;AP16,Factors_ROT!$A$5:$A$200,0)),1)*IFERROR(INDEX(Factors_ROT!$F$5:$F$200,MATCH("SC_TPI|"&amp;AQ16,Factors_ROT!$A$5:$A$200,0)),1)*IFERROR(INDEX(Factors_ROT!$F$5:$F$200,MATCH("SC_FAT|"&amp;AR16,Factors_ROT!$A$5:$A$200,0)),1)</f>
        <v>1</v>
      </c>
      <c r="AX16" s="48" t="n">
        <f aca="false">AT16*AU16*AV16*AW16</f>
        <v>1</v>
      </c>
      <c r="AY16" s="47" t="str">
        <f aca="false">IF(ISNUMBER(AB16),AB16/AX16,"")</f>
        <v/>
      </c>
      <c r="AZ16" s="49" t="str">
        <f aca="false">IFERROR(IF(N(INDEX(Escalation_Index!$B$5:$B$25,MATCH(Y16,Escalation_Index!$A$5:$A$25,0)))&gt;0,INDEX(Escalation_Index!$B$5:$B$25,MATCH(Y16,Escalation_Index!$A$5:$A$25,0)),""),"")</f>
        <v/>
      </c>
      <c r="BA16" s="49" t="n">
        <f aca="false">IF(ISNUMBER('Assumptions &amp; FX Reference'!$I$12),'Assumptions &amp; FX Reference'!$I$12,"")</f>
        <v>123.416</v>
      </c>
      <c r="BB16" s="45" t="str">
        <f aca="false">IF(AND(M16="API 610",LEFT(V16,11)="Centrifugal",OR(LEFT(G16,2)="S-",LEFT(G16,2)="D-")),"Y","N")</f>
        <v>N</v>
      </c>
      <c r="BC16" s="47" t="str">
        <f aca="false">IF(ISNUMBER(AG16),AG16/AX16,"")</f>
        <v/>
      </c>
      <c r="BD16" s="47" t="str">
        <f aca="false">IF(AND(ISNUMBER(BC16),ISNUMBER(K16)),IF(K16&gt;0,BC16/K16^'Assumptions &amp; FX Reference'!$I$16,""),"")</f>
        <v/>
      </c>
      <c r="BE16" s="42" t="s">
        <v>352</v>
      </c>
      <c r="BF16" s="42" t="s">
        <v>353</v>
      </c>
      <c r="BG16" s="42" t="s">
        <v>312</v>
      </c>
      <c r="BH16" s="45" t="s">
        <v>313</v>
      </c>
      <c r="BI16" s="45" t="str">
        <f aca="false">"PMP-"&amp;TEXT(A16,"0000")</f>
        <v>PMP-0012</v>
      </c>
    </row>
    <row r="17" customFormat="false" ht="24" hidden="false" customHeight="true" outlineLevel="0" collapsed="false">
      <c r="A17" s="42" t="n">
        <v>13</v>
      </c>
      <c r="B17" s="42" t="s">
        <v>354</v>
      </c>
      <c r="C17" s="42" t="s">
        <v>301</v>
      </c>
      <c r="D17" s="42" t="s">
        <v>302</v>
      </c>
      <c r="E17" s="42" t="s">
        <v>48</v>
      </c>
      <c r="F17" s="42" t="s">
        <v>123</v>
      </c>
      <c r="G17" s="42" t="s">
        <v>123</v>
      </c>
      <c r="H17" s="43"/>
      <c r="I17" s="43" t="n">
        <v>15</v>
      </c>
      <c r="J17" s="43" t="n">
        <v>5</v>
      </c>
      <c r="K17" s="44" t="n">
        <f aca="false">IF(ISNUMBER(J17),J17,IF(AND(ISNUMBER(H17),ISNUMBER(I17)),H17*I17/(367*'Assumptions &amp; FX Reference'!$I$17),""))</f>
        <v>5</v>
      </c>
      <c r="L17" s="45" t="str">
        <f aca="false">IF(IF(OR(M17="Not stated",M17=""),""," + "&amp;M17)&amp;IF(OR(N17="None",N17=""),""," + "&amp;N17)&amp;IF(O17="Y"," + NACE MR0175","")="","Not stated",MID(IF(OR(M17="Not stated",M17=""),""," + "&amp;M17)&amp;IF(OR(N17="None",N17=""),""," + "&amp;N17)&amp;IF(O17="Y"," + NACE MR0175",""),4,300))</f>
        <v>Not stated</v>
      </c>
      <c r="M17" s="42" t="s">
        <v>123</v>
      </c>
      <c r="N17" s="42" t="s">
        <v>303</v>
      </c>
      <c r="O17" s="42" t="s">
        <v>123</v>
      </c>
      <c r="P17" s="42" t="s">
        <v>123</v>
      </c>
      <c r="Q17" s="42" t="s">
        <v>123</v>
      </c>
      <c r="R17" s="42" t="s">
        <v>123</v>
      </c>
      <c r="S17" s="42" t="s">
        <v>304</v>
      </c>
      <c r="T17" s="42" t="s">
        <v>327</v>
      </c>
      <c r="U17" s="42" t="n">
        <v>1</v>
      </c>
      <c r="V17" s="42" t="s">
        <v>306</v>
      </c>
      <c r="W17" s="43"/>
      <c r="X17" s="42" t="s">
        <v>123</v>
      </c>
      <c r="Y17" s="42" t="s">
        <v>307</v>
      </c>
      <c r="Z17" s="42" t="s">
        <v>308</v>
      </c>
      <c r="AA17" s="46" t="n">
        <v>3000</v>
      </c>
      <c r="AB17" s="47" t="str">
        <f aca="false">IF(NOT(ISNUMBER(AA17)),"",IF(NOT(ISNUMBER(Y17)),"",IFERROR(IF(Z17="EUR",AA17,IF(Z17="IRR",AA17/INDEX('Assumptions &amp; FX Reference'!$C$5:$C$25,MATCH(Y17,'Assumptions &amp; FX Reference'!$A$5:$A$25,0)),IF(Z17="USD",AA17*INDEX('Assumptions &amp; FX Reference'!$B$5:$B$25,MATCH(Y17,'Assumptions &amp; FX Reference'!$A$5:$A$25,0))/INDEX('Assumptions &amp; FX Reference'!$C$5:$C$25,MATCH(Y17,'Assumptions &amp; FX Reference'!$A$5:$A$25,0)),""))),"")))</f>
        <v/>
      </c>
      <c r="AC17" s="47" t="str">
        <f aca="false">IF(NOT(ISNUMBER(AA17)),"",IF(NOT(ISNUMBER(Y17)),"",IFERROR(IF(Z17="USD",AA17,IF(Z17="IRR",AA17/INDEX('Assumptions &amp; FX Reference'!$B$5:$B$25,MATCH(Y17,'Assumptions &amp; FX Reference'!$A$5:$A$25,0)),IF(Z17="EUR",AA17*INDEX('Assumptions &amp; FX Reference'!$C$5:$C$25,MATCH(Y17,'Assumptions &amp; FX Reference'!$A$5:$A$25,0))/INDEX('Assumptions &amp; FX Reference'!$B$5:$B$25,MATCH(Y17,'Assumptions &amp; FX Reference'!$A$5:$A$25,0)),""))),"")))</f>
        <v/>
      </c>
      <c r="AD17" s="47" t="str">
        <f aca="false">IF(NOT(ISNUMBER(AA17)),"",IF(NOT(ISNUMBER(Y17)),"",IFERROR(IF(Z17="IRR",AA17,IF(Z17="USD",AA17*INDEX('Assumptions &amp; FX Reference'!$B$5:$B$25,MATCH(Y17,'Assumptions &amp; FX Reference'!$A$5:$A$25,0)),IF(Z17="EUR",AA17*INDEX('Assumptions &amp; FX Reference'!$C$5:$C$25,MATCH(Y17,'Assumptions &amp; FX Reference'!$A$5:$A$25,0)),""))),"")))</f>
        <v/>
      </c>
      <c r="AE17" s="42" t="s">
        <v>309</v>
      </c>
      <c r="AF17" s="42" t="s">
        <v>123</v>
      </c>
      <c r="AG17" s="47" t="str">
        <f aca="false">IF(AND(Z17="EUR",N(AA17)&gt;5000000),"",IF(AND(ISNUMBER(AB17),ISNUMBER(AZ17),ISNUMBER(BA17)),IF(AND(BB17="Y",ISNUMBER('Assumptions &amp; FX Reference'!$I$15)),MAX(AB17*BA17/AZ17,'Assumptions &amp; FX Reference'!$I$13*BA17/'Assumptions &amp; FX Reference'!$I$15),AB17*BA17/AZ17),""))</f>
        <v/>
      </c>
      <c r="AH17" s="47" t="str">
        <f aca="false">IF(AND(ISNUMBER(AG17),ISNUMBER('Assumptions &amp; FX Reference'!$I$8),ISNUMBER('Assumptions &amp; FX Reference'!$I$11)),AG17*'Assumptions &amp; FX Reference'!$I$8/'Assumptions &amp; FX Reference'!$I$11,"")</f>
        <v/>
      </c>
      <c r="AI17" s="47" t="str">
        <f aca="false">IF(AND(ISNUMBER(AG17),ISNUMBER('Assumptions &amp; FX Reference'!$I$8)),AG17*'Assumptions &amp; FX Reference'!$I$8,"")</f>
        <v/>
      </c>
      <c r="AJ17" s="42" t="s">
        <v>302</v>
      </c>
      <c r="AK17" s="42" t="s">
        <v>123</v>
      </c>
      <c r="AL17" s="42" t="s">
        <v>123</v>
      </c>
      <c r="AM17" s="42" t="s">
        <v>123</v>
      </c>
      <c r="AN17" s="42" t="s">
        <v>123</v>
      </c>
      <c r="AO17" s="42" t="s">
        <v>123</v>
      </c>
      <c r="AP17" s="42" t="s">
        <v>123</v>
      </c>
      <c r="AQ17" s="42" t="s">
        <v>123</v>
      </c>
      <c r="AR17" s="42" t="s">
        <v>123</v>
      </c>
      <c r="AS17" s="45" t="str">
        <f aca="false">IF(AND(Z17="EUR",N(AA17)&gt;5000000),"Check currency (EUR&gt;5M); ","")&amp;IF(NOT(ISNUMBER(AA17)),"No price; ","")&amp;IF(G17="Not stated","Material missing; ","")&amp;IF(P17="Not stated","Seal missing; ","")&amp;IF(K17="","Size driver missing; ","")&amp;IF(NOT(ISNUMBER(AZ17)),"Base-year PPI missing; ","")</f>
        <v>Material missing; Seal missing; Base-year PPI missing; </v>
      </c>
      <c r="AT17" s="48" t="n">
        <f aca="false">IFERROR(INDEX(Factors_ROT!$F$5:$F$200,MATCH("MAT|"&amp;G17,Factors_ROT!$A$5:$A$200,0)),1)</f>
        <v>1</v>
      </c>
      <c r="AU17" s="48" t="n">
        <f aca="false">IFERROR(INDEX(Factors_ROT!$F$5:$F$200,MATCH("SEAL_ARR|"&amp;P17,Factors_ROT!$A$5:$A$200,0)),1)*IFERROR(INDEX(Factors_ROT!$F$5:$F$200,MATCH("SEAL_CAT|"&amp;Q17,Factors_ROT!$A$5:$A$200,0)),1)*IFERROR(INDEX(Factors_ROT!$F$5:$F$200,MATCH("SEAL_PLAN|"&amp;R17,Factors_ROT!$A$5:$A$200,0)),1)</f>
        <v>1</v>
      </c>
      <c r="AV17" s="48" t="n">
        <f aca="false">IFERROR(INDEX(Factors_ROT!$F$5:$F$200,MATCH("DRV|"&amp;S17,Factors_ROT!$A$5:$A$200,0)),1)*IFERROR(INDEX(Factors_ROT!$F$5:$F$200,MATCH("NACE|"&amp;O17,Factors_ROT!$A$5:$A$200,0)),1)</f>
        <v>1</v>
      </c>
      <c r="AW17" s="48" t="n">
        <f aca="false">IFERROR(INDEX(Factors_ROT!$F$5:$F$200,MATCH("SC_DRV|"&amp;AL17,Factors_ROT!$A$5:$A$200,0)),1)*IFERROR(INDEX(Factors_ROT!$F$5:$F$200,MATCH("SC_BSP|"&amp;AM17,Factors_ROT!$A$5:$A$200,0)),1)*IFERROR(INDEX(Factors_ROT!$F$5:$F$200,MATCH("SC_SEAL|"&amp;AN17,Factors_ROT!$A$5:$A$200,0)),1)*IFERROR(INDEX(Factors_ROT!$F$5:$F$200,MATCH("SC_COMM|"&amp;AO17,Factors_ROT!$A$5:$A$200,0)),1)*IFERROR(INDEX(Factors_ROT!$F$5:$F$200,MATCH("SC_2Y|"&amp;AP17,Factors_ROT!$A$5:$A$200,0)),1)*IFERROR(INDEX(Factors_ROT!$F$5:$F$200,MATCH("SC_TPI|"&amp;AQ17,Factors_ROT!$A$5:$A$200,0)),1)*IFERROR(INDEX(Factors_ROT!$F$5:$F$200,MATCH("SC_FAT|"&amp;AR17,Factors_ROT!$A$5:$A$200,0)),1)</f>
        <v>1</v>
      </c>
      <c r="AX17" s="48" t="n">
        <f aca="false">AT17*AU17*AV17*AW17</f>
        <v>1</v>
      </c>
      <c r="AY17" s="47" t="str">
        <f aca="false">IF(ISNUMBER(AB17),AB17/AX17,"")</f>
        <v/>
      </c>
      <c r="AZ17" s="49" t="str">
        <f aca="false">IFERROR(IF(N(INDEX(Escalation_Index!$B$5:$B$25,MATCH(Y17,Escalation_Index!$A$5:$A$25,0)))&gt;0,INDEX(Escalation_Index!$B$5:$B$25,MATCH(Y17,Escalation_Index!$A$5:$A$25,0)),""),"")</f>
        <v/>
      </c>
      <c r="BA17" s="49" t="n">
        <f aca="false">IF(ISNUMBER('Assumptions &amp; FX Reference'!$I$12),'Assumptions &amp; FX Reference'!$I$12,"")</f>
        <v>123.416</v>
      </c>
      <c r="BB17" s="45" t="str">
        <f aca="false">IF(AND(M17="API 610",LEFT(V17,11)="Centrifugal",OR(LEFT(G17,2)="S-",LEFT(G17,2)="D-")),"Y","N")</f>
        <v>N</v>
      </c>
      <c r="BC17" s="47" t="str">
        <f aca="false">IF(ISNUMBER(AG17),AG17/AX17,"")</f>
        <v/>
      </c>
      <c r="BD17" s="47" t="str">
        <f aca="false">IF(AND(ISNUMBER(BC17),ISNUMBER(K17)),IF(K17&gt;0,BC17/K17^'Assumptions &amp; FX Reference'!$I$16,""),"")</f>
        <v/>
      </c>
      <c r="BE17" s="42" t="s">
        <v>355</v>
      </c>
      <c r="BF17" s="42" t="s">
        <v>356</v>
      </c>
      <c r="BG17" s="42" t="s">
        <v>312</v>
      </c>
      <c r="BH17" s="45" t="s">
        <v>313</v>
      </c>
      <c r="BI17" s="45" t="str">
        <f aca="false">"PMP-"&amp;TEXT(A17,"0000")</f>
        <v>PMP-0013</v>
      </c>
    </row>
    <row r="18" customFormat="false" ht="24" hidden="false" customHeight="true" outlineLevel="0" collapsed="false">
      <c r="A18" s="42" t="n">
        <v>14</v>
      </c>
      <c r="B18" s="42" t="s">
        <v>357</v>
      </c>
      <c r="C18" s="42" t="s">
        <v>301</v>
      </c>
      <c r="D18" s="42" t="s">
        <v>302</v>
      </c>
      <c r="E18" s="42" t="s">
        <v>54</v>
      </c>
      <c r="F18" s="42" t="s">
        <v>123</v>
      </c>
      <c r="G18" s="42" t="s">
        <v>123</v>
      </c>
      <c r="H18" s="43"/>
      <c r="I18" s="43" t="n">
        <v>18</v>
      </c>
      <c r="J18" s="43" t="n">
        <v>2</v>
      </c>
      <c r="K18" s="44" t="n">
        <f aca="false">IF(ISNUMBER(J18),J18,IF(AND(ISNUMBER(H18),ISNUMBER(I18)),H18*I18/(367*'Assumptions &amp; FX Reference'!$I$17),""))</f>
        <v>2</v>
      </c>
      <c r="L18" s="45" t="str">
        <f aca="false">IF(IF(OR(M18="Not stated",M18=""),""," + "&amp;M18)&amp;IF(OR(N18="None",N18=""),""," + "&amp;N18)&amp;IF(O18="Y"," + NACE MR0175","")="","Not stated",MID(IF(OR(M18="Not stated",M18=""),""," + "&amp;M18)&amp;IF(OR(N18="None",N18=""),""," + "&amp;N18)&amp;IF(O18="Y"," + NACE MR0175",""),4,300))</f>
        <v>Not stated</v>
      </c>
      <c r="M18" s="42" t="s">
        <v>123</v>
      </c>
      <c r="N18" s="42" t="s">
        <v>303</v>
      </c>
      <c r="O18" s="42" t="s">
        <v>123</v>
      </c>
      <c r="P18" s="42" t="s">
        <v>123</v>
      </c>
      <c r="Q18" s="42" t="s">
        <v>123</v>
      </c>
      <c r="R18" s="42" t="s">
        <v>123</v>
      </c>
      <c r="S18" s="42" t="s">
        <v>304</v>
      </c>
      <c r="T18" s="42" t="s">
        <v>342</v>
      </c>
      <c r="U18" s="42" t="n">
        <v>1</v>
      </c>
      <c r="V18" s="42" t="s">
        <v>306</v>
      </c>
      <c r="W18" s="43"/>
      <c r="X18" s="42" t="s">
        <v>123</v>
      </c>
      <c r="Y18" s="42" t="s">
        <v>307</v>
      </c>
      <c r="Z18" s="42" t="s">
        <v>308</v>
      </c>
      <c r="AA18" s="46" t="n">
        <v>40000</v>
      </c>
      <c r="AB18" s="47" t="str">
        <f aca="false">IF(NOT(ISNUMBER(AA18)),"",IF(NOT(ISNUMBER(Y18)),"",IFERROR(IF(Z18="EUR",AA18,IF(Z18="IRR",AA18/INDEX('Assumptions &amp; FX Reference'!$C$5:$C$25,MATCH(Y18,'Assumptions &amp; FX Reference'!$A$5:$A$25,0)),IF(Z18="USD",AA18*INDEX('Assumptions &amp; FX Reference'!$B$5:$B$25,MATCH(Y18,'Assumptions &amp; FX Reference'!$A$5:$A$25,0))/INDEX('Assumptions &amp; FX Reference'!$C$5:$C$25,MATCH(Y18,'Assumptions &amp; FX Reference'!$A$5:$A$25,0)),""))),"")))</f>
        <v/>
      </c>
      <c r="AC18" s="47" t="str">
        <f aca="false">IF(NOT(ISNUMBER(AA18)),"",IF(NOT(ISNUMBER(Y18)),"",IFERROR(IF(Z18="USD",AA18,IF(Z18="IRR",AA18/INDEX('Assumptions &amp; FX Reference'!$B$5:$B$25,MATCH(Y18,'Assumptions &amp; FX Reference'!$A$5:$A$25,0)),IF(Z18="EUR",AA18*INDEX('Assumptions &amp; FX Reference'!$C$5:$C$25,MATCH(Y18,'Assumptions &amp; FX Reference'!$A$5:$A$25,0))/INDEX('Assumptions &amp; FX Reference'!$B$5:$B$25,MATCH(Y18,'Assumptions &amp; FX Reference'!$A$5:$A$25,0)),""))),"")))</f>
        <v/>
      </c>
      <c r="AD18" s="47" t="str">
        <f aca="false">IF(NOT(ISNUMBER(AA18)),"",IF(NOT(ISNUMBER(Y18)),"",IFERROR(IF(Z18="IRR",AA18,IF(Z18="USD",AA18*INDEX('Assumptions &amp; FX Reference'!$B$5:$B$25,MATCH(Y18,'Assumptions &amp; FX Reference'!$A$5:$A$25,0)),IF(Z18="EUR",AA18*INDEX('Assumptions &amp; FX Reference'!$C$5:$C$25,MATCH(Y18,'Assumptions &amp; FX Reference'!$A$5:$A$25,0)),""))),"")))</f>
        <v/>
      </c>
      <c r="AE18" s="42" t="s">
        <v>309</v>
      </c>
      <c r="AF18" s="42" t="s">
        <v>123</v>
      </c>
      <c r="AG18" s="47" t="str">
        <f aca="false">IF(AND(Z18="EUR",N(AA18)&gt;5000000),"",IF(AND(ISNUMBER(AB18),ISNUMBER(AZ18),ISNUMBER(BA18)),IF(AND(BB18="Y",ISNUMBER('Assumptions &amp; FX Reference'!$I$15)),MAX(AB18*BA18/AZ18,'Assumptions &amp; FX Reference'!$I$13*BA18/'Assumptions &amp; FX Reference'!$I$15),AB18*BA18/AZ18),""))</f>
        <v/>
      </c>
      <c r="AH18" s="47" t="str">
        <f aca="false">IF(AND(ISNUMBER(AG18),ISNUMBER('Assumptions &amp; FX Reference'!$I$8),ISNUMBER('Assumptions &amp; FX Reference'!$I$11)),AG18*'Assumptions &amp; FX Reference'!$I$8/'Assumptions &amp; FX Reference'!$I$11,"")</f>
        <v/>
      </c>
      <c r="AI18" s="47" t="str">
        <f aca="false">IF(AND(ISNUMBER(AG18),ISNUMBER('Assumptions &amp; FX Reference'!$I$8)),AG18*'Assumptions &amp; FX Reference'!$I$8,"")</f>
        <v/>
      </c>
      <c r="AJ18" s="42" t="s">
        <v>302</v>
      </c>
      <c r="AK18" s="42" t="s">
        <v>123</v>
      </c>
      <c r="AL18" s="42" t="s">
        <v>123</v>
      </c>
      <c r="AM18" s="42" t="s">
        <v>123</v>
      </c>
      <c r="AN18" s="42" t="s">
        <v>123</v>
      </c>
      <c r="AO18" s="42" t="s">
        <v>123</v>
      </c>
      <c r="AP18" s="42" t="s">
        <v>123</v>
      </c>
      <c r="AQ18" s="42" t="s">
        <v>123</v>
      </c>
      <c r="AR18" s="42" t="s">
        <v>123</v>
      </c>
      <c r="AS18" s="45" t="str">
        <f aca="false">IF(AND(Z18="EUR",N(AA18)&gt;5000000),"Check currency (EUR&gt;5M); ","")&amp;IF(NOT(ISNUMBER(AA18)),"No price; ","")&amp;IF(G18="Not stated","Material missing; ","")&amp;IF(P18="Not stated","Seal missing; ","")&amp;IF(K18="","Size driver missing; ","")&amp;IF(NOT(ISNUMBER(AZ18)),"Base-year PPI missing; ","")</f>
        <v>Material missing; Seal missing; Base-year PPI missing; </v>
      </c>
      <c r="AT18" s="48" t="n">
        <f aca="false">IFERROR(INDEX(Factors_ROT!$F$5:$F$200,MATCH("MAT|"&amp;G18,Factors_ROT!$A$5:$A$200,0)),1)</f>
        <v>1</v>
      </c>
      <c r="AU18" s="48" t="n">
        <f aca="false">IFERROR(INDEX(Factors_ROT!$F$5:$F$200,MATCH("SEAL_ARR|"&amp;P18,Factors_ROT!$A$5:$A$200,0)),1)*IFERROR(INDEX(Factors_ROT!$F$5:$F$200,MATCH("SEAL_CAT|"&amp;Q18,Factors_ROT!$A$5:$A$200,0)),1)*IFERROR(INDEX(Factors_ROT!$F$5:$F$200,MATCH("SEAL_PLAN|"&amp;R18,Factors_ROT!$A$5:$A$200,0)),1)</f>
        <v>1</v>
      </c>
      <c r="AV18" s="48" t="n">
        <f aca="false">IFERROR(INDEX(Factors_ROT!$F$5:$F$200,MATCH("DRV|"&amp;S18,Factors_ROT!$A$5:$A$200,0)),1)*IFERROR(INDEX(Factors_ROT!$F$5:$F$200,MATCH("NACE|"&amp;O18,Factors_ROT!$A$5:$A$200,0)),1)</f>
        <v>1</v>
      </c>
      <c r="AW18" s="48" t="n">
        <f aca="false">IFERROR(INDEX(Factors_ROT!$F$5:$F$200,MATCH("SC_DRV|"&amp;AL18,Factors_ROT!$A$5:$A$200,0)),1)*IFERROR(INDEX(Factors_ROT!$F$5:$F$200,MATCH("SC_BSP|"&amp;AM18,Factors_ROT!$A$5:$A$200,0)),1)*IFERROR(INDEX(Factors_ROT!$F$5:$F$200,MATCH("SC_SEAL|"&amp;AN18,Factors_ROT!$A$5:$A$200,0)),1)*IFERROR(INDEX(Factors_ROT!$F$5:$F$200,MATCH("SC_COMM|"&amp;AO18,Factors_ROT!$A$5:$A$200,0)),1)*IFERROR(INDEX(Factors_ROT!$F$5:$F$200,MATCH("SC_2Y|"&amp;AP18,Factors_ROT!$A$5:$A$200,0)),1)*IFERROR(INDEX(Factors_ROT!$F$5:$F$200,MATCH("SC_TPI|"&amp;AQ18,Factors_ROT!$A$5:$A$200,0)),1)*IFERROR(INDEX(Factors_ROT!$F$5:$F$200,MATCH("SC_FAT|"&amp;AR18,Factors_ROT!$A$5:$A$200,0)),1)</f>
        <v>1</v>
      </c>
      <c r="AX18" s="48" t="n">
        <f aca="false">AT18*AU18*AV18*AW18</f>
        <v>1</v>
      </c>
      <c r="AY18" s="47" t="str">
        <f aca="false">IF(ISNUMBER(AB18),AB18/AX18,"")</f>
        <v/>
      </c>
      <c r="AZ18" s="49" t="str">
        <f aca="false">IFERROR(IF(N(INDEX(Escalation_Index!$B$5:$B$25,MATCH(Y18,Escalation_Index!$A$5:$A$25,0)))&gt;0,INDEX(Escalation_Index!$B$5:$B$25,MATCH(Y18,Escalation_Index!$A$5:$A$25,0)),""),"")</f>
        <v/>
      </c>
      <c r="BA18" s="49" t="n">
        <f aca="false">IF(ISNUMBER('Assumptions &amp; FX Reference'!$I$12),'Assumptions &amp; FX Reference'!$I$12,"")</f>
        <v>123.416</v>
      </c>
      <c r="BB18" s="45" t="str">
        <f aca="false">IF(AND(M18="API 610",LEFT(V18,11)="Centrifugal",OR(LEFT(G18,2)="S-",LEFT(G18,2)="D-")),"Y","N")</f>
        <v>N</v>
      </c>
      <c r="BC18" s="47" t="str">
        <f aca="false">IF(ISNUMBER(AG18),AG18/AX18,"")</f>
        <v/>
      </c>
      <c r="BD18" s="47" t="str">
        <f aca="false">IF(AND(ISNUMBER(BC18),ISNUMBER(K18)),IF(K18&gt;0,BC18/K18^'Assumptions &amp; FX Reference'!$I$16,""),"")</f>
        <v/>
      </c>
      <c r="BE18" s="42" t="s">
        <v>358</v>
      </c>
      <c r="BF18" s="42" t="s">
        <v>359</v>
      </c>
      <c r="BG18" s="42" t="s">
        <v>312</v>
      </c>
      <c r="BH18" s="45" t="s">
        <v>313</v>
      </c>
      <c r="BI18" s="45" t="str">
        <f aca="false">"PMP-"&amp;TEXT(A18,"0000")</f>
        <v>PMP-0014</v>
      </c>
    </row>
    <row r="19" customFormat="false" ht="24" hidden="false" customHeight="true" outlineLevel="0" collapsed="false">
      <c r="A19" s="42" t="n">
        <v>15</v>
      </c>
      <c r="B19" s="42" t="s">
        <v>360</v>
      </c>
      <c r="C19" s="42" t="s">
        <v>361</v>
      </c>
      <c r="D19" s="42" t="s">
        <v>362</v>
      </c>
      <c r="E19" s="42" t="s">
        <v>45</v>
      </c>
      <c r="F19" s="42" t="s">
        <v>123</v>
      </c>
      <c r="G19" s="42" t="s">
        <v>123</v>
      </c>
      <c r="H19" s="43" t="n">
        <v>500</v>
      </c>
      <c r="I19" s="43"/>
      <c r="J19" s="43" t="n">
        <v>216.3</v>
      </c>
      <c r="K19" s="44" t="n">
        <f aca="false">IF(ISNUMBER(J19),J19,IF(AND(ISNUMBER(H19),ISNUMBER(I19)),H19*I19/(367*'Assumptions &amp; FX Reference'!$I$17),""))</f>
        <v>216.3</v>
      </c>
      <c r="L19" s="45" t="str">
        <f aca="false">IF(IF(OR(M19="Not stated",M19=""),""," + "&amp;M19)&amp;IF(OR(N19="None",N19=""),""," + "&amp;N19)&amp;IF(O19="Y"," + NACE MR0175","")="","Not stated",MID(IF(OR(M19="Not stated",M19=""),""," + "&amp;M19)&amp;IF(OR(N19="None",N19=""),""," + "&amp;N19)&amp;IF(O19="Y"," + NACE MR0175",""),4,300))</f>
        <v>Not stated</v>
      </c>
      <c r="M19" s="42" t="s">
        <v>123</v>
      </c>
      <c r="N19" s="42" t="s">
        <v>303</v>
      </c>
      <c r="O19" s="42" t="s">
        <v>123</v>
      </c>
      <c r="P19" s="42" t="s">
        <v>123</v>
      </c>
      <c r="Q19" s="42" t="s">
        <v>123</v>
      </c>
      <c r="R19" s="42" t="s">
        <v>123</v>
      </c>
      <c r="S19" s="50" t="s">
        <v>304</v>
      </c>
      <c r="T19" s="42" t="s">
        <v>305</v>
      </c>
      <c r="U19" s="42" t="n">
        <v>2</v>
      </c>
      <c r="V19" s="50" t="s">
        <v>306</v>
      </c>
      <c r="W19" s="43" t="n">
        <v>15.2</v>
      </c>
      <c r="X19" s="42" t="s">
        <v>123</v>
      </c>
      <c r="Y19" s="50" t="n">
        <v>1402</v>
      </c>
      <c r="Z19" s="42" t="s">
        <v>363</v>
      </c>
      <c r="AA19" s="46" t="n">
        <v>385000</v>
      </c>
      <c r="AB19" s="47" t="n">
        <f aca="false">IF(NOT(ISNUMBER(AA19)),"",IF(NOT(ISNUMBER(Y19)),"",IFERROR(IF(Z19="EUR",AA19,IF(Z19="IRR",AA19/INDEX('Assumptions &amp; FX Reference'!$C$5:$C$25,MATCH(Y19,'Assumptions &amp; FX Reference'!$A$5:$A$25,0)),IF(Z19="USD",AA19*INDEX('Assumptions &amp; FX Reference'!$B$5:$B$25,MATCH(Y19,'Assumptions &amp; FX Reference'!$A$5:$A$25,0))/INDEX('Assumptions &amp; FX Reference'!$C$5:$C$25,MATCH(Y19,'Assumptions &amp; FX Reference'!$A$5:$A$25,0)),""))),"")))</f>
        <v>385000</v>
      </c>
      <c r="AC19" s="47" t="n">
        <f aca="false">IF(NOT(ISNUMBER(AA19)),"",IF(NOT(ISNUMBER(Y19)),"",IFERROR(IF(Z19="USD",AA19,IF(Z19="IRR",AA19/INDEX('Assumptions &amp; FX Reference'!$B$5:$B$25,MATCH(Y19,'Assumptions &amp; FX Reference'!$A$5:$A$25,0)),IF(Z19="EUR",AA19*INDEX('Assumptions &amp; FX Reference'!$C$5:$C$25,MATCH(Y19,'Assumptions &amp; FX Reference'!$A$5:$A$25,0))/INDEX('Assumptions &amp; FX Reference'!$B$5:$B$25,MATCH(Y19,'Assumptions &amp; FX Reference'!$A$5:$A$25,0)),""))),"")))</f>
        <v>485375</v>
      </c>
      <c r="AD19" s="51" t="n">
        <f aca="false">IF(NOT(ISNUMBER(AA19)),"",IF(NOT(ISNUMBER(Y19)),"",IFERROR(IF(Z19="IRR",AA19,IF(Z19="USD",AA19*INDEX('Assumptions &amp; FX Reference'!$B$5:$B$25,MATCH(Y19,'Assumptions &amp; FX Reference'!$A$5:$A$25,0)),IF(Z19="EUR",AA19*INDEX('Assumptions &amp; FX Reference'!$C$5:$C$25,MATCH(Y19,'Assumptions &amp; FX Reference'!$A$5:$A$25,0)),""))),"")))</f>
        <v>203857500000</v>
      </c>
      <c r="AE19" s="42" t="s">
        <v>364</v>
      </c>
      <c r="AF19" s="50" t="s">
        <v>201</v>
      </c>
      <c r="AG19" s="47" t="n">
        <f aca="false">IF(AND(Z19="EUR",N(AA19)&gt;5000000),"",IF(AND(ISNUMBER(AB19),ISNUMBER(AZ19),ISNUMBER(BA19)),IF(AND(BB19="Y",ISNUMBER('Assumptions &amp; FX Reference'!$I$15)),MAX(AB19*BA19/AZ19,'Assumptions &amp; FX Reference'!$I$13*BA19/'Assumptions &amp; FX Reference'!$I$15),AB19*BA19/AZ19),""))</f>
        <v>398446.637764044</v>
      </c>
      <c r="AH19" s="47" t="n">
        <f aca="false">IF(AND(ISNUMBER(AG19),ISNUMBER('Assumptions &amp; FX Reference'!$I$8),ISNUMBER('Assumptions &amp; FX Reference'!$I$11)),AG19*'Assumptions &amp; FX Reference'!$I$8/'Assumptions &amp; FX Reference'!$I$11,"")</f>
        <v>420673.219026125</v>
      </c>
      <c r="AI19" s="47" t="n">
        <f aca="false">IF(AND(ISNUMBER(AG19),ISNUMBER('Assumptions &amp; FX Reference'!$I$8)),AG19*'Assumptions &amp; FX Reference'!$I$8,"")</f>
        <v>277027196944.931</v>
      </c>
      <c r="AJ19" s="42" t="s">
        <v>365</v>
      </c>
      <c r="AK19" s="42" t="s">
        <v>366</v>
      </c>
      <c r="AL19" s="42" t="s">
        <v>123</v>
      </c>
      <c r="AM19" s="42" t="s">
        <v>123</v>
      </c>
      <c r="AN19" s="42" t="s">
        <v>123</v>
      </c>
      <c r="AO19" s="50" t="s">
        <v>312</v>
      </c>
      <c r="AP19" s="50" t="s">
        <v>312</v>
      </c>
      <c r="AQ19" s="50" t="s">
        <v>312</v>
      </c>
      <c r="AR19" s="42" t="s">
        <v>123</v>
      </c>
      <c r="AS19" s="45" t="str">
        <f aca="false">IF(AND(Z19="EUR",N(AA19)&gt;5000000),"Check currency (EUR&gt;5M); ","")&amp;IF(NOT(ISNUMBER(AA19)),"No price; ","")&amp;IF(G19="Not stated","Material missing; ","")&amp;IF(P19="Not stated","Seal missing; ","")&amp;IF(K19="","Size driver missing; ","")&amp;IF(NOT(ISNUMBER(AZ19)),"Base-year PPI missing; ","")</f>
        <v>Material missing; Seal missing; </v>
      </c>
      <c r="AT19" s="48" t="n">
        <f aca="false">IFERROR(INDEX(Factors_ROT!$F$5:$F$200,MATCH("MAT|"&amp;G19,Factors_ROT!$A$5:$A$200,0)),1)</f>
        <v>1</v>
      </c>
      <c r="AU19" s="48" t="n">
        <f aca="false">IFERROR(INDEX(Factors_ROT!$F$5:$F$200,MATCH("SEAL_ARR|"&amp;P19,Factors_ROT!$A$5:$A$200,0)),1)*IFERROR(INDEX(Factors_ROT!$F$5:$F$200,MATCH("SEAL_CAT|"&amp;Q19,Factors_ROT!$A$5:$A$200,0)),1)*IFERROR(INDEX(Factors_ROT!$F$5:$F$200,MATCH("SEAL_PLAN|"&amp;R19,Factors_ROT!$A$5:$A$200,0)),1)</f>
        <v>1</v>
      </c>
      <c r="AV19" s="48" t="n">
        <f aca="false">IFERROR(INDEX(Factors_ROT!$F$5:$F$200,MATCH("DRV|"&amp;S19,Factors_ROT!$A$5:$A$200,0)),1)*IFERROR(INDEX(Factors_ROT!$F$5:$F$200,MATCH("NACE|"&amp;O19,Factors_ROT!$A$5:$A$200,0)),1)</f>
        <v>1</v>
      </c>
      <c r="AW19" s="48" t="n">
        <f aca="false">IFERROR(INDEX(Factors_ROT!$F$5:$F$200,MATCH("SC_DRV|"&amp;AL19,Factors_ROT!$A$5:$A$200,0)),1)*IFERROR(INDEX(Factors_ROT!$F$5:$F$200,MATCH("SC_BSP|"&amp;AM19,Factors_ROT!$A$5:$A$200,0)),1)*IFERROR(INDEX(Factors_ROT!$F$5:$F$200,MATCH("SC_SEAL|"&amp;AN19,Factors_ROT!$A$5:$A$200,0)),1)*IFERROR(INDEX(Factors_ROT!$F$5:$F$200,MATCH("SC_COMM|"&amp;AO19,Factors_ROT!$A$5:$A$200,0)),1)*IFERROR(INDEX(Factors_ROT!$F$5:$F$200,MATCH("SC_2Y|"&amp;AP19,Factors_ROT!$A$5:$A$200,0)),1)*IFERROR(INDEX(Factors_ROT!$F$5:$F$200,MATCH("SC_TPI|"&amp;AQ19,Factors_ROT!$A$5:$A$200,0)),1)*IFERROR(INDEX(Factors_ROT!$F$5:$F$200,MATCH("SC_FAT|"&amp;AR19,Factors_ROT!$A$5:$A$200,0)),1)</f>
        <v>0.98</v>
      </c>
      <c r="AX19" s="48" t="n">
        <f aca="false">AT19*AU19*AV19*AW19</f>
        <v>0.98</v>
      </c>
      <c r="AY19" s="47" t="n">
        <f aca="false">IF(ISNUMBER(AB19),AB19/AX19,"")</f>
        <v>392857.142857143</v>
      </c>
      <c r="AZ19" s="49" t="n">
        <f aca="false">IFERROR(IF(N(INDEX(Escalation_Index!$B$5:$B$25,MATCH(Y19,Escalation_Index!$A$5:$A$25,0)))&gt;0,INDEX(Escalation_Index!$B$5:$B$25,MATCH(Y19,Escalation_Index!$A$5:$A$25,0)),""),"")</f>
        <v>119.251</v>
      </c>
      <c r="BA19" s="49" t="n">
        <f aca="false">IF(ISNUMBER('Assumptions &amp; FX Reference'!$I$12),'Assumptions &amp; FX Reference'!$I$12,"")</f>
        <v>123.416</v>
      </c>
      <c r="BB19" s="45" t="str">
        <f aca="false">IF(AND(M19="API 610",LEFT(V19,11)="Centrifugal",OR(LEFT(G19,2)="S-",LEFT(G19,2)="D-")),"Y","N")</f>
        <v>N</v>
      </c>
      <c r="BC19" s="47" t="n">
        <f aca="false">IF(ISNUMBER(AG19),AG19/AX19,"")</f>
        <v>406578.201800045</v>
      </c>
      <c r="BD19" s="47" t="n">
        <f aca="false">IF(AND(ISNUMBER(BC19),ISNUMBER(K19)),IF(K19&gt;0,BC19/K19^'Assumptions &amp; FX Reference'!$I$16,""),"")</f>
        <v>16147.6816626174</v>
      </c>
      <c r="BE19" s="42" t="s">
        <v>367</v>
      </c>
      <c r="BF19" s="42" t="s">
        <v>368</v>
      </c>
      <c r="BG19" s="42" t="s">
        <v>369</v>
      </c>
      <c r="BH19" s="45" t="s">
        <v>313</v>
      </c>
      <c r="BI19" s="45" t="str">
        <f aca="false">"PMP-"&amp;TEXT(A19,"0000")</f>
        <v>PMP-0015</v>
      </c>
    </row>
    <row r="20" customFormat="false" ht="24" hidden="false" customHeight="true" outlineLevel="0" collapsed="false">
      <c r="A20" s="42" t="n">
        <v>16</v>
      </c>
      <c r="B20" s="42" t="s">
        <v>370</v>
      </c>
      <c r="C20" s="42" t="s">
        <v>361</v>
      </c>
      <c r="D20" s="42" t="s">
        <v>371</v>
      </c>
      <c r="E20" s="42" t="s">
        <v>45</v>
      </c>
      <c r="F20" s="42" t="s">
        <v>123</v>
      </c>
      <c r="G20" s="42" t="s">
        <v>123</v>
      </c>
      <c r="H20" s="43" t="n">
        <v>250</v>
      </c>
      <c r="I20" s="43"/>
      <c r="J20" s="43" t="n">
        <v>108.1</v>
      </c>
      <c r="K20" s="44" t="n">
        <f aca="false">IF(ISNUMBER(J20),J20,IF(AND(ISNUMBER(H20),ISNUMBER(I20)),H20*I20/(367*'Assumptions &amp; FX Reference'!$I$17),""))</f>
        <v>108.1</v>
      </c>
      <c r="L20" s="45" t="str">
        <f aca="false">IF(IF(OR(M20="Not stated",M20=""),""," + "&amp;M20)&amp;IF(OR(N20="None",N20=""),""," + "&amp;N20)&amp;IF(O20="Y"," + NACE MR0175","")="","Not stated",MID(IF(OR(M20="Not stated",M20=""),""," + "&amp;M20)&amp;IF(OR(N20="None",N20=""),""," + "&amp;N20)&amp;IF(O20="Y"," + NACE MR0175",""),4,300))</f>
        <v>Not stated</v>
      </c>
      <c r="M20" s="42" t="s">
        <v>123</v>
      </c>
      <c r="N20" s="42" t="s">
        <v>303</v>
      </c>
      <c r="O20" s="42" t="s">
        <v>123</v>
      </c>
      <c r="P20" s="42" t="s">
        <v>123</v>
      </c>
      <c r="Q20" s="42" t="s">
        <v>123</v>
      </c>
      <c r="R20" s="42" t="s">
        <v>123</v>
      </c>
      <c r="S20" s="50" t="s">
        <v>304</v>
      </c>
      <c r="T20" s="42" t="s">
        <v>305</v>
      </c>
      <c r="U20" s="42" t="n">
        <v>2</v>
      </c>
      <c r="V20" s="50" t="s">
        <v>306</v>
      </c>
      <c r="W20" s="43" t="n">
        <v>15.2</v>
      </c>
      <c r="X20" s="42" t="s">
        <v>123</v>
      </c>
      <c r="Y20" s="50" t="n">
        <v>1402</v>
      </c>
      <c r="Z20" s="42" t="s">
        <v>363</v>
      </c>
      <c r="AA20" s="46" t="n">
        <v>135000</v>
      </c>
      <c r="AB20" s="47" t="n">
        <f aca="false">IF(NOT(ISNUMBER(AA20)),"",IF(NOT(ISNUMBER(Y20)),"",IFERROR(IF(Z20="EUR",AA20,IF(Z20="IRR",AA20/INDEX('Assumptions &amp; FX Reference'!$C$5:$C$25,MATCH(Y20,'Assumptions &amp; FX Reference'!$A$5:$A$25,0)),IF(Z20="USD",AA20*INDEX('Assumptions &amp; FX Reference'!$B$5:$B$25,MATCH(Y20,'Assumptions &amp; FX Reference'!$A$5:$A$25,0))/INDEX('Assumptions &amp; FX Reference'!$C$5:$C$25,MATCH(Y20,'Assumptions &amp; FX Reference'!$A$5:$A$25,0)),""))),"")))</f>
        <v>135000</v>
      </c>
      <c r="AC20" s="47" t="n">
        <f aca="false">IF(NOT(ISNUMBER(AA20)),"",IF(NOT(ISNUMBER(Y20)),"",IFERROR(IF(Z20="USD",AA20,IF(Z20="IRR",AA20/INDEX('Assumptions &amp; FX Reference'!$B$5:$B$25,MATCH(Y20,'Assumptions &amp; FX Reference'!$A$5:$A$25,0)),IF(Z20="EUR",AA20*INDEX('Assumptions &amp; FX Reference'!$C$5:$C$25,MATCH(Y20,'Assumptions &amp; FX Reference'!$A$5:$A$25,0))/INDEX('Assumptions &amp; FX Reference'!$B$5:$B$25,MATCH(Y20,'Assumptions &amp; FX Reference'!$A$5:$A$25,0)),""))),"")))</f>
        <v>170196.428571429</v>
      </c>
      <c r="AD20" s="51" t="n">
        <f aca="false">IF(NOT(ISNUMBER(AA20)),"",IF(NOT(ISNUMBER(Y20)),"",IFERROR(IF(Z20="IRR",AA20,IF(Z20="USD",AA20*INDEX('Assumptions &amp; FX Reference'!$B$5:$B$25,MATCH(Y20,'Assumptions &amp; FX Reference'!$A$5:$A$25,0)),IF(Z20="EUR",AA20*INDEX('Assumptions &amp; FX Reference'!$C$5:$C$25,MATCH(Y20,'Assumptions &amp; FX Reference'!$A$5:$A$25,0)),""))),"")))</f>
        <v>71482500000</v>
      </c>
      <c r="AE20" s="42" t="s">
        <v>364</v>
      </c>
      <c r="AF20" s="50" t="s">
        <v>201</v>
      </c>
      <c r="AG20" s="47" t="n">
        <f aca="false">IF(AND(Z20="EUR",N(AA20)&gt;5000000),"",IF(AND(ISNUMBER(AB20),ISNUMBER(AZ20),ISNUMBER(BA20)),IF(AND(BB20="Y",ISNUMBER('Assumptions &amp; FX Reference'!$I$15)),MAX(AB20*BA20/AZ20,'Assumptions &amp; FX Reference'!$I$13*BA20/'Assumptions &amp; FX Reference'!$I$15),AB20*BA20/AZ20),""))</f>
        <v>139715.054800379</v>
      </c>
      <c r="AH20" s="47" t="n">
        <f aca="false">IF(AND(ISNUMBER(AG20),ISNUMBER('Assumptions &amp; FX Reference'!$I$8),ISNUMBER('Assumptions &amp; FX Reference'!$I$11)),AG20*'Assumptions &amp; FX Reference'!$I$8/'Assumptions &amp; FX Reference'!$I$11,"")</f>
        <v>147508.791087083</v>
      </c>
      <c r="AI20" s="47" t="n">
        <f aca="false">IF(AND(ISNUMBER(AG20),ISNUMBER('Assumptions &amp; FX Reference'!$I$8)),AG20*'Assumptions &amp; FX Reference'!$I$8,"")</f>
        <v>97139406720.9499</v>
      </c>
      <c r="AJ20" s="42" t="s">
        <v>365</v>
      </c>
      <c r="AK20" s="42" t="s">
        <v>366</v>
      </c>
      <c r="AL20" s="42" t="s">
        <v>123</v>
      </c>
      <c r="AM20" s="42" t="s">
        <v>123</v>
      </c>
      <c r="AN20" s="42" t="s">
        <v>123</v>
      </c>
      <c r="AO20" s="50" t="s">
        <v>312</v>
      </c>
      <c r="AP20" s="50" t="s">
        <v>312</v>
      </c>
      <c r="AQ20" s="50" t="s">
        <v>312</v>
      </c>
      <c r="AR20" s="42" t="s">
        <v>123</v>
      </c>
      <c r="AS20" s="45" t="str">
        <f aca="false">IF(AND(Z20="EUR",N(AA20)&gt;5000000),"Check currency (EUR&gt;5M); ","")&amp;IF(NOT(ISNUMBER(AA20)),"No price; ","")&amp;IF(G20="Not stated","Material missing; ","")&amp;IF(P20="Not stated","Seal missing; ","")&amp;IF(K20="","Size driver missing; ","")&amp;IF(NOT(ISNUMBER(AZ20)),"Base-year PPI missing; ","")</f>
        <v>Material missing; Seal missing; </v>
      </c>
      <c r="AT20" s="48" t="n">
        <f aca="false">IFERROR(INDEX(Factors_ROT!$F$5:$F$200,MATCH("MAT|"&amp;G20,Factors_ROT!$A$5:$A$200,0)),1)</f>
        <v>1</v>
      </c>
      <c r="AU20" s="48" t="n">
        <f aca="false">IFERROR(INDEX(Factors_ROT!$F$5:$F$200,MATCH("SEAL_ARR|"&amp;P20,Factors_ROT!$A$5:$A$200,0)),1)*IFERROR(INDEX(Factors_ROT!$F$5:$F$200,MATCH("SEAL_CAT|"&amp;Q20,Factors_ROT!$A$5:$A$200,0)),1)*IFERROR(INDEX(Factors_ROT!$F$5:$F$200,MATCH("SEAL_PLAN|"&amp;R20,Factors_ROT!$A$5:$A$200,0)),1)</f>
        <v>1</v>
      </c>
      <c r="AV20" s="48" t="n">
        <f aca="false">IFERROR(INDEX(Factors_ROT!$F$5:$F$200,MATCH("DRV|"&amp;S20,Factors_ROT!$A$5:$A$200,0)),1)*IFERROR(INDEX(Factors_ROT!$F$5:$F$200,MATCH("NACE|"&amp;O20,Factors_ROT!$A$5:$A$200,0)),1)</f>
        <v>1</v>
      </c>
      <c r="AW20" s="48" t="n">
        <f aca="false">IFERROR(INDEX(Factors_ROT!$F$5:$F$200,MATCH("SC_DRV|"&amp;AL20,Factors_ROT!$A$5:$A$200,0)),1)*IFERROR(INDEX(Factors_ROT!$F$5:$F$200,MATCH("SC_BSP|"&amp;AM20,Factors_ROT!$A$5:$A$200,0)),1)*IFERROR(INDEX(Factors_ROT!$F$5:$F$200,MATCH("SC_SEAL|"&amp;AN20,Factors_ROT!$A$5:$A$200,0)),1)*IFERROR(INDEX(Factors_ROT!$F$5:$F$200,MATCH("SC_COMM|"&amp;AO20,Factors_ROT!$A$5:$A$200,0)),1)*IFERROR(INDEX(Factors_ROT!$F$5:$F$200,MATCH("SC_2Y|"&amp;AP20,Factors_ROT!$A$5:$A$200,0)),1)*IFERROR(INDEX(Factors_ROT!$F$5:$F$200,MATCH("SC_TPI|"&amp;AQ20,Factors_ROT!$A$5:$A$200,0)),1)*IFERROR(INDEX(Factors_ROT!$F$5:$F$200,MATCH("SC_FAT|"&amp;AR20,Factors_ROT!$A$5:$A$200,0)),1)</f>
        <v>0.98</v>
      </c>
      <c r="AX20" s="48" t="n">
        <f aca="false">AT20*AU20*AV20*AW20</f>
        <v>0.98</v>
      </c>
      <c r="AY20" s="47" t="n">
        <f aca="false">IF(ISNUMBER(AB20),AB20/AX20,"")</f>
        <v>137755.102040816</v>
      </c>
      <c r="AZ20" s="49" t="n">
        <f aca="false">IFERROR(IF(N(INDEX(Escalation_Index!$B$5:$B$25,MATCH(Y20,Escalation_Index!$A$5:$A$25,0)))&gt;0,INDEX(Escalation_Index!$B$5:$B$25,MATCH(Y20,Escalation_Index!$A$5:$A$25,0)),""),"")</f>
        <v>119.251</v>
      </c>
      <c r="BA20" s="49" t="n">
        <f aca="false">IF(ISNUMBER('Assumptions &amp; FX Reference'!$I$12),'Assumptions &amp; FX Reference'!$I$12,"")</f>
        <v>123.416</v>
      </c>
      <c r="BB20" s="45" t="str">
        <f aca="false">IF(AND(M20="API 610",LEFT(V20,11)="Centrifugal",OR(LEFT(G20,2)="S-",LEFT(G20,2)="D-")),"Y","N")</f>
        <v>N</v>
      </c>
      <c r="BC20" s="47" t="n">
        <f aca="false">IF(ISNUMBER(AG20),AG20/AX20,"")</f>
        <v>142566.382449366</v>
      </c>
      <c r="BD20" s="47" t="n">
        <f aca="false">IF(AND(ISNUMBER(BC20),ISNUMBER(K20)),IF(K20&gt;0,BC20/K20^'Assumptions &amp; FX Reference'!$I$16,""),"")</f>
        <v>8584.632602927</v>
      </c>
      <c r="BE20" s="42" t="s">
        <v>372</v>
      </c>
      <c r="BF20" s="42" t="s">
        <v>373</v>
      </c>
      <c r="BG20" s="42" t="s">
        <v>369</v>
      </c>
      <c r="BH20" s="45" t="s">
        <v>313</v>
      </c>
      <c r="BI20" s="45" t="str">
        <f aca="false">"PMP-"&amp;TEXT(A20,"0000")</f>
        <v>PMP-0016</v>
      </c>
    </row>
    <row r="21" customFormat="false" ht="24" hidden="false" customHeight="true" outlineLevel="0" collapsed="false">
      <c r="A21" s="42" t="n">
        <v>17</v>
      </c>
      <c r="B21" s="42" t="s">
        <v>374</v>
      </c>
      <c r="C21" s="42" t="s">
        <v>361</v>
      </c>
      <c r="D21" s="42" t="s">
        <v>375</v>
      </c>
      <c r="E21" s="42" t="s">
        <v>45</v>
      </c>
      <c r="F21" s="42" t="s">
        <v>123</v>
      </c>
      <c r="G21" s="42" t="s">
        <v>123</v>
      </c>
      <c r="H21" s="43" t="n">
        <v>100</v>
      </c>
      <c r="I21" s="43"/>
      <c r="J21" s="43" t="n">
        <v>44.2</v>
      </c>
      <c r="K21" s="44" t="n">
        <f aca="false">IF(ISNUMBER(J21),J21,IF(AND(ISNUMBER(H21),ISNUMBER(I21)),H21*I21/(367*'Assumptions &amp; FX Reference'!$I$17),""))</f>
        <v>44.2</v>
      </c>
      <c r="L21" s="45" t="str">
        <f aca="false">IF(IF(OR(M21="Not stated",M21=""),""," + "&amp;M21)&amp;IF(OR(N21="None",N21=""),""," + "&amp;N21)&amp;IF(O21="Y"," + NACE MR0175","")="","Not stated",MID(IF(OR(M21="Not stated",M21=""),""," + "&amp;M21)&amp;IF(OR(N21="None",N21=""),""," + "&amp;N21)&amp;IF(O21="Y"," + NACE MR0175",""),4,300))</f>
        <v>Not stated</v>
      </c>
      <c r="M21" s="42" t="s">
        <v>123</v>
      </c>
      <c r="N21" s="42" t="s">
        <v>303</v>
      </c>
      <c r="O21" s="42" t="s">
        <v>123</v>
      </c>
      <c r="P21" s="42" t="s">
        <v>123</v>
      </c>
      <c r="Q21" s="42" t="s">
        <v>123</v>
      </c>
      <c r="R21" s="42" t="s">
        <v>123</v>
      </c>
      <c r="S21" s="50" t="s">
        <v>304</v>
      </c>
      <c r="T21" s="42" t="s">
        <v>305</v>
      </c>
      <c r="U21" s="42" t="n">
        <v>2</v>
      </c>
      <c r="V21" s="50" t="s">
        <v>306</v>
      </c>
      <c r="W21" s="43" t="n">
        <v>15.5</v>
      </c>
      <c r="X21" s="42" t="s">
        <v>123</v>
      </c>
      <c r="Y21" s="50" t="n">
        <v>1402</v>
      </c>
      <c r="Z21" s="42" t="s">
        <v>363</v>
      </c>
      <c r="AA21" s="46" t="n">
        <v>140000</v>
      </c>
      <c r="AB21" s="47" t="n">
        <f aca="false">IF(NOT(ISNUMBER(AA21)),"",IF(NOT(ISNUMBER(Y21)),"",IFERROR(IF(Z21="EUR",AA21,IF(Z21="IRR",AA21/INDEX('Assumptions &amp; FX Reference'!$C$5:$C$25,MATCH(Y21,'Assumptions &amp; FX Reference'!$A$5:$A$25,0)),IF(Z21="USD",AA21*INDEX('Assumptions &amp; FX Reference'!$B$5:$B$25,MATCH(Y21,'Assumptions &amp; FX Reference'!$A$5:$A$25,0))/INDEX('Assumptions &amp; FX Reference'!$C$5:$C$25,MATCH(Y21,'Assumptions &amp; FX Reference'!$A$5:$A$25,0)),""))),"")))</f>
        <v>140000</v>
      </c>
      <c r="AC21" s="47" t="n">
        <f aca="false">IF(NOT(ISNUMBER(AA21)),"",IF(NOT(ISNUMBER(Y21)),"",IFERROR(IF(Z21="USD",AA21,IF(Z21="IRR",AA21/INDEX('Assumptions &amp; FX Reference'!$B$5:$B$25,MATCH(Y21,'Assumptions &amp; FX Reference'!$A$5:$A$25,0)),IF(Z21="EUR",AA21*INDEX('Assumptions &amp; FX Reference'!$C$5:$C$25,MATCH(Y21,'Assumptions &amp; FX Reference'!$A$5:$A$25,0))/INDEX('Assumptions &amp; FX Reference'!$B$5:$B$25,MATCH(Y21,'Assumptions &amp; FX Reference'!$A$5:$A$25,0)),""))),"")))</f>
        <v>176500</v>
      </c>
      <c r="AD21" s="51" t="n">
        <f aca="false">IF(NOT(ISNUMBER(AA21)),"",IF(NOT(ISNUMBER(Y21)),"",IFERROR(IF(Z21="IRR",AA21,IF(Z21="USD",AA21*INDEX('Assumptions &amp; FX Reference'!$B$5:$B$25,MATCH(Y21,'Assumptions &amp; FX Reference'!$A$5:$A$25,0)),IF(Z21="EUR",AA21*INDEX('Assumptions &amp; FX Reference'!$C$5:$C$25,MATCH(Y21,'Assumptions &amp; FX Reference'!$A$5:$A$25,0)),""))),"")))</f>
        <v>74130000000</v>
      </c>
      <c r="AE21" s="42" t="s">
        <v>364</v>
      </c>
      <c r="AF21" s="50" t="s">
        <v>201</v>
      </c>
      <c r="AG21" s="47" t="n">
        <f aca="false">IF(AND(Z21="EUR",N(AA21)&gt;5000000),"",IF(AND(ISNUMBER(AB21),ISNUMBER(AZ21),ISNUMBER(BA21)),IF(AND(BB21="Y",ISNUMBER('Assumptions &amp; FX Reference'!$I$15)),MAX(AB21*BA21/AZ21,'Assumptions &amp; FX Reference'!$I$13*BA21/'Assumptions &amp; FX Reference'!$I$15),AB21*BA21/AZ21),""))</f>
        <v>144889.686459652</v>
      </c>
      <c r="AH21" s="47" t="n">
        <f aca="false">IF(AND(ISNUMBER(AG21),ISNUMBER('Assumptions &amp; FX Reference'!$I$8),ISNUMBER('Assumptions &amp; FX Reference'!$I$11)),AG21*'Assumptions &amp; FX Reference'!$I$8/'Assumptions &amp; FX Reference'!$I$11,"")</f>
        <v>152972.079645864</v>
      </c>
      <c r="AI21" s="47" t="n">
        <f aca="false">IF(AND(ISNUMBER(AG21),ISNUMBER('Assumptions &amp; FX Reference'!$I$8)),AG21*'Assumptions &amp; FX Reference'!$I$8,"")</f>
        <v>100737162525.43</v>
      </c>
      <c r="AJ21" s="42" t="s">
        <v>365</v>
      </c>
      <c r="AK21" s="42" t="s">
        <v>366</v>
      </c>
      <c r="AL21" s="42" t="s">
        <v>123</v>
      </c>
      <c r="AM21" s="42" t="s">
        <v>123</v>
      </c>
      <c r="AN21" s="42" t="s">
        <v>123</v>
      </c>
      <c r="AO21" s="50" t="s">
        <v>312</v>
      </c>
      <c r="AP21" s="50" t="s">
        <v>312</v>
      </c>
      <c r="AQ21" s="50" t="s">
        <v>312</v>
      </c>
      <c r="AR21" s="42" t="s">
        <v>123</v>
      </c>
      <c r="AS21" s="45" t="str">
        <f aca="false">IF(AND(Z21="EUR",N(AA21)&gt;5000000),"Check currency (EUR&gt;5M); ","")&amp;IF(NOT(ISNUMBER(AA21)),"No price; ","")&amp;IF(G21="Not stated","Material missing; ","")&amp;IF(P21="Not stated","Seal missing; ","")&amp;IF(K21="","Size driver missing; ","")&amp;IF(NOT(ISNUMBER(AZ21)),"Base-year PPI missing; ","")</f>
        <v>Material missing; Seal missing; </v>
      </c>
      <c r="AT21" s="48" t="n">
        <f aca="false">IFERROR(INDEX(Factors_ROT!$F$5:$F$200,MATCH("MAT|"&amp;G21,Factors_ROT!$A$5:$A$200,0)),1)</f>
        <v>1</v>
      </c>
      <c r="AU21" s="48" t="n">
        <f aca="false">IFERROR(INDEX(Factors_ROT!$F$5:$F$200,MATCH("SEAL_ARR|"&amp;P21,Factors_ROT!$A$5:$A$200,0)),1)*IFERROR(INDEX(Factors_ROT!$F$5:$F$200,MATCH("SEAL_CAT|"&amp;Q21,Factors_ROT!$A$5:$A$200,0)),1)*IFERROR(INDEX(Factors_ROT!$F$5:$F$200,MATCH("SEAL_PLAN|"&amp;R21,Factors_ROT!$A$5:$A$200,0)),1)</f>
        <v>1</v>
      </c>
      <c r="AV21" s="48" t="n">
        <f aca="false">IFERROR(INDEX(Factors_ROT!$F$5:$F$200,MATCH("DRV|"&amp;S21,Factors_ROT!$A$5:$A$200,0)),1)*IFERROR(INDEX(Factors_ROT!$F$5:$F$200,MATCH("NACE|"&amp;O21,Factors_ROT!$A$5:$A$200,0)),1)</f>
        <v>1</v>
      </c>
      <c r="AW21" s="48" t="n">
        <f aca="false">IFERROR(INDEX(Factors_ROT!$F$5:$F$200,MATCH("SC_DRV|"&amp;AL21,Factors_ROT!$A$5:$A$200,0)),1)*IFERROR(INDEX(Factors_ROT!$F$5:$F$200,MATCH("SC_BSP|"&amp;AM21,Factors_ROT!$A$5:$A$200,0)),1)*IFERROR(INDEX(Factors_ROT!$F$5:$F$200,MATCH("SC_SEAL|"&amp;AN21,Factors_ROT!$A$5:$A$200,0)),1)*IFERROR(INDEX(Factors_ROT!$F$5:$F$200,MATCH("SC_COMM|"&amp;AO21,Factors_ROT!$A$5:$A$200,0)),1)*IFERROR(INDEX(Factors_ROT!$F$5:$F$200,MATCH("SC_2Y|"&amp;AP21,Factors_ROT!$A$5:$A$200,0)),1)*IFERROR(INDEX(Factors_ROT!$F$5:$F$200,MATCH("SC_TPI|"&amp;AQ21,Factors_ROT!$A$5:$A$200,0)),1)*IFERROR(INDEX(Factors_ROT!$F$5:$F$200,MATCH("SC_FAT|"&amp;AR21,Factors_ROT!$A$5:$A$200,0)),1)</f>
        <v>0.98</v>
      </c>
      <c r="AX21" s="48" t="n">
        <f aca="false">AT21*AU21*AV21*AW21</f>
        <v>0.98</v>
      </c>
      <c r="AY21" s="47" t="n">
        <f aca="false">IF(ISNUMBER(AB21),AB21/AX21,"")</f>
        <v>142857.142857143</v>
      </c>
      <c r="AZ21" s="49" t="n">
        <f aca="false">IFERROR(IF(N(INDEX(Escalation_Index!$B$5:$B$25,MATCH(Y21,Escalation_Index!$A$5:$A$25,0)))&gt;0,INDEX(Escalation_Index!$B$5:$B$25,MATCH(Y21,Escalation_Index!$A$5:$A$25,0)),""),"")</f>
        <v>119.251</v>
      </c>
      <c r="BA21" s="49" t="n">
        <f aca="false">IF(ISNUMBER('Assumptions &amp; FX Reference'!$I$12),'Assumptions &amp; FX Reference'!$I$12,"")</f>
        <v>123.416</v>
      </c>
      <c r="BB21" s="45" t="str">
        <f aca="false">IF(AND(M21="API 610",LEFT(V21,11)="Centrifugal",OR(LEFT(G21,2)="S-",LEFT(G21,2)="D-")),"Y","N")</f>
        <v>N</v>
      </c>
      <c r="BC21" s="47" t="n">
        <f aca="false">IF(ISNUMBER(AG21),AG21/AX21,"")</f>
        <v>147846.61883638</v>
      </c>
      <c r="BD21" s="47" t="n">
        <f aca="false">IF(AND(ISNUMBER(BC21),ISNUMBER(K21)),IF(K21&gt;0,BC21/K21^'Assumptions &amp; FX Reference'!$I$16,""),"")</f>
        <v>15225.0257319889</v>
      </c>
      <c r="BE21" s="42" t="s">
        <v>376</v>
      </c>
      <c r="BF21" s="42" t="s">
        <v>377</v>
      </c>
      <c r="BG21" s="42" t="s">
        <v>369</v>
      </c>
      <c r="BH21" s="45" t="s">
        <v>313</v>
      </c>
      <c r="BI21" s="45" t="str">
        <f aca="false">"PMP-"&amp;TEXT(A21,"0000")</f>
        <v>PMP-0017</v>
      </c>
    </row>
    <row r="22" customFormat="false" ht="24" hidden="false" customHeight="true" outlineLevel="0" collapsed="false">
      <c r="A22" s="42" t="n">
        <v>18</v>
      </c>
      <c r="B22" s="42" t="s">
        <v>378</v>
      </c>
      <c r="C22" s="42" t="s">
        <v>361</v>
      </c>
      <c r="D22" s="42" t="s">
        <v>379</v>
      </c>
      <c r="E22" s="42" t="s">
        <v>48</v>
      </c>
      <c r="F22" s="42" t="s">
        <v>123</v>
      </c>
      <c r="G22" s="42" t="s">
        <v>123</v>
      </c>
      <c r="H22" s="43" t="n">
        <v>30</v>
      </c>
      <c r="I22" s="43"/>
      <c r="J22" s="43" t="n">
        <v>2.7</v>
      </c>
      <c r="K22" s="44" t="n">
        <f aca="false">IF(ISNUMBER(J22),J22,IF(AND(ISNUMBER(H22),ISNUMBER(I22)),H22*I22/(367*'Assumptions &amp; FX Reference'!$I$17),""))</f>
        <v>2.7</v>
      </c>
      <c r="L22" s="45" t="str">
        <f aca="false">IF(IF(OR(M22="Not stated",M22=""),""," + "&amp;M22)&amp;IF(OR(N22="None",N22=""),""," + "&amp;N22)&amp;IF(O22="Y"," + NACE MR0175","")="","Not stated",MID(IF(OR(M22="Not stated",M22=""),""," + "&amp;M22)&amp;IF(OR(N22="None",N22=""),""," + "&amp;N22)&amp;IF(O22="Y"," + NACE MR0175",""),4,300))</f>
        <v>Not stated</v>
      </c>
      <c r="M22" s="42" t="s">
        <v>123</v>
      </c>
      <c r="N22" s="42" t="s">
        <v>303</v>
      </c>
      <c r="O22" s="42" t="s">
        <v>123</v>
      </c>
      <c r="P22" s="42" t="s">
        <v>123</v>
      </c>
      <c r="Q22" s="42" t="s">
        <v>123</v>
      </c>
      <c r="R22" s="42" t="s">
        <v>123</v>
      </c>
      <c r="S22" s="50" t="s">
        <v>304</v>
      </c>
      <c r="T22" s="42" t="s">
        <v>327</v>
      </c>
      <c r="U22" s="42" t="n">
        <v>2</v>
      </c>
      <c r="V22" s="50" t="s">
        <v>306</v>
      </c>
      <c r="W22" s="43" t="n">
        <v>3</v>
      </c>
      <c r="X22" s="42" t="s">
        <v>123</v>
      </c>
      <c r="Y22" s="50" t="n">
        <v>1402</v>
      </c>
      <c r="Z22" s="42" t="s">
        <v>363</v>
      </c>
      <c r="AA22" s="46" t="n">
        <v>34000</v>
      </c>
      <c r="AB22" s="47" t="n">
        <f aca="false">IF(NOT(ISNUMBER(AA22)),"",IF(NOT(ISNUMBER(Y22)),"",IFERROR(IF(Z22="EUR",AA22,IF(Z22="IRR",AA22/INDEX('Assumptions &amp; FX Reference'!$C$5:$C$25,MATCH(Y22,'Assumptions &amp; FX Reference'!$A$5:$A$25,0)),IF(Z22="USD",AA22*INDEX('Assumptions &amp; FX Reference'!$B$5:$B$25,MATCH(Y22,'Assumptions &amp; FX Reference'!$A$5:$A$25,0))/INDEX('Assumptions &amp; FX Reference'!$C$5:$C$25,MATCH(Y22,'Assumptions &amp; FX Reference'!$A$5:$A$25,0)),""))),"")))</f>
        <v>34000</v>
      </c>
      <c r="AC22" s="47" t="n">
        <f aca="false">IF(NOT(ISNUMBER(AA22)),"",IF(NOT(ISNUMBER(Y22)),"",IFERROR(IF(Z22="USD",AA22,IF(Z22="IRR",AA22/INDEX('Assumptions &amp; FX Reference'!$B$5:$B$25,MATCH(Y22,'Assumptions &amp; FX Reference'!$A$5:$A$25,0)),IF(Z22="EUR",AA22*INDEX('Assumptions &amp; FX Reference'!$C$5:$C$25,MATCH(Y22,'Assumptions &amp; FX Reference'!$A$5:$A$25,0))/INDEX('Assumptions &amp; FX Reference'!$B$5:$B$25,MATCH(Y22,'Assumptions &amp; FX Reference'!$A$5:$A$25,0)),""))),"")))</f>
        <v>42864.2857142857</v>
      </c>
      <c r="AD22" s="51" t="n">
        <f aca="false">IF(NOT(ISNUMBER(AA22)),"",IF(NOT(ISNUMBER(Y22)),"",IFERROR(IF(Z22="IRR",AA22,IF(Z22="USD",AA22*INDEX('Assumptions &amp; FX Reference'!$B$5:$B$25,MATCH(Y22,'Assumptions &amp; FX Reference'!$A$5:$A$25,0)),IF(Z22="EUR",AA22*INDEX('Assumptions &amp; FX Reference'!$C$5:$C$25,MATCH(Y22,'Assumptions &amp; FX Reference'!$A$5:$A$25,0)),""))),"")))</f>
        <v>18003000000</v>
      </c>
      <c r="AE22" s="42" t="s">
        <v>364</v>
      </c>
      <c r="AF22" s="50" t="s">
        <v>201</v>
      </c>
      <c r="AG22" s="47" t="n">
        <f aca="false">IF(AND(Z22="EUR",N(AA22)&gt;5000000),"",IF(AND(ISNUMBER(AB22),ISNUMBER(AZ22),ISNUMBER(BA22)),IF(AND(BB22="Y",ISNUMBER('Assumptions &amp; FX Reference'!$I$15)),MAX(AB22*BA22/AZ22,'Assumptions &amp; FX Reference'!$I$13*BA22/'Assumptions &amp; FX Reference'!$I$15),AB22*BA22/AZ22),""))</f>
        <v>35187.4952830584</v>
      </c>
      <c r="AH22" s="47" t="n">
        <f aca="false">IF(AND(ISNUMBER(AG22),ISNUMBER('Assumptions &amp; FX Reference'!$I$8),ISNUMBER('Assumptions &amp; FX Reference'!$I$11)),AG22*'Assumptions &amp; FX Reference'!$I$8/'Assumptions &amp; FX Reference'!$I$11,"")</f>
        <v>37150.3621997098</v>
      </c>
      <c r="AI22" s="47" t="n">
        <f aca="false">IF(AND(ISNUMBER(AG22),ISNUMBER('Assumptions &amp; FX Reference'!$I$8)),AG22*'Assumptions &amp; FX Reference'!$I$8,"")</f>
        <v>24464739470.4615</v>
      </c>
      <c r="AJ22" s="42" t="s">
        <v>365</v>
      </c>
      <c r="AK22" s="42" t="s">
        <v>366</v>
      </c>
      <c r="AL22" s="42" t="s">
        <v>123</v>
      </c>
      <c r="AM22" s="42" t="s">
        <v>123</v>
      </c>
      <c r="AN22" s="42" t="s">
        <v>123</v>
      </c>
      <c r="AO22" s="50" t="s">
        <v>312</v>
      </c>
      <c r="AP22" s="50" t="s">
        <v>312</v>
      </c>
      <c r="AQ22" s="50" t="s">
        <v>312</v>
      </c>
      <c r="AR22" s="42" t="s">
        <v>123</v>
      </c>
      <c r="AS22" s="45" t="str">
        <f aca="false">IF(AND(Z22="EUR",N(AA22)&gt;5000000),"Check currency (EUR&gt;5M); ","")&amp;IF(NOT(ISNUMBER(AA22)),"No price; ","")&amp;IF(G22="Not stated","Material missing; ","")&amp;IF(P22="Not stated","Seal missing; ","")&amp;IF(K22="","Size driver missing; ","")&amp;IF(NOT(ISNUMBER(AZ22)),"Base-year PPI missing; ","")</f>
        <v>Material missing; Seal missing; </v>
      </c>
      <c r="AT22" s="48" t="n">
        <f aca="false">IFERROR(INDEX(Factors_ROT!$F$5:$F$200,MATCH("MAT|"&amp;G22,Factors_ROT!$A$5:$A$200,0)),1)</f>
        <v>1</v>
      </c>
      <c r="AU22" s="48" t="n">
        <f aca="false">IFERROR(INDEX(Factors_ROT!$F$5:$F$200,MATCH("SEAL_ARR|"&amp;P22,Factors_ROT!$A$5:$A$200,0)),1)*IFERROR(INDEX(Factors_ROT!$F$5:$F$200,MATCH("SEAL_CAT|"&amp;Q22,Factors_ROT!$A$5:$A$200,0)),1)*IFERROR(INDEX(Factors_ROT!$F$5:$F$200,MATCH("SEAL_PLAN|"&amp;R22,Factors_ROT!$A$5:$A$200,0)),1)</f>
        <v>1</v>
      </c>
      <c r="AV22" s="48" t="n">
        <f aca="false">IFERROR(INDEX(Factors_ROT!$F$5:$F$200,MATCH("DRV|"&amp;S22,Factors_ROT!$A$5:$A$200,0)),1)*IFERROR(INDEX(Factors_ROT!$F$5:$F$200,MATCH("NACE|"&amp;O22,Factors_ROT!$A$5:$A$200,0)),1)</f>
        <v>1</v>
      </c>
      <c r="AW22" s="48" t="n">
        <f aca="false">IFERROR(INDEX(Factors_ROT!$F$5:$F$200,MATCH("SC_DRV|"&amp;AL22,Factors_ROT!$A$5:$A$200,0)),1)*IFERROR(INDEX(Factors_ROT!$F$5:$F$200,MATCH("SC_BSP|"&amp;AM22,Factors_ROT!$A$5:$A$200,0)),1)*IFERROR(INDEX(Factors_ROT!$F$5:$F$200,MATCH("SC_SEAL|"&amp;AN22,Factors_ROT!$A$5:$A$200,0)),1)*IFERROR(INDEX(Factors_ROT!$F$5:$F$200,MATCH("SC_COMM|"&amp;AO22,Factors_ROT!$A$5:$A$200,0)),1)*IFERROR(INDEX(Factors_ROT!$F$5:$F$200,MATCH("SC_2Y|"&amp;AP22,Factors_ROT!$A$5:$A$200,0)),1)*IFERROR(INDEX(Factors_ROT!$F$5:$F$200,MATCH("SC_TPI|"&amp;AQ22,Factors_ROT!$A$5:$A$200,0)),1)*IFERROR(INDEX(Factors_ROT!$F$5:$F$200,MATCH("SC_FAT|"&amp;AR22,Factors_ROT!$A$5:$A$200,0)),1)</f>
        <v>0.98</v>
      </c>
      <c r="AX22" s="48" t="n">
        <f aca="false">AT22*AU22*AV22*AW22</f>
        <v>0.98</v>
      </c>
      <c r="AY22" s="47" t="n">
        <f aca="false">IF(ISNUMBER(AB22),AB22/AX22,"")</f>
        <v>34693.8775510204</v>
      </c>
      <c r="AZ22" s="49" t="n">
        <f aca="false">IFERROR(IF(N(INDEX(Escalation_Index!$B$5:$B$25,MATCH(Y22,Escalation_Index!$A$5:$A$25,0)))&gt;0,INDEX(Escalation_Index!$B$5:$B$25,MATCH(Y22,Escalation_Index!$A$5:$A$25,0)),""),"")</f>
        <v>119.251</v>
      </c>
      <c r="BA22" s="49" t="n">
        <f aca="false">IF(ISNUMBER('Assumptions &amp; FX Reference'!$I$12),'Assumptions &amp; FX Reference'!$I$12,"")</f>
        <v>123.416</v>
      </c>
      <c r="BB22" s="45" t="str">
        <f aca="false">IF(AND(M22="API 610",LEFT(V22,11)="Centrifugal",OR(LEFT(G22,2)="S-",LEFT(G22,2)="D-")),"Y","N")</f>
        <v>N</v>
      </c>
      <c r="BC22" s="47" t="n">
        <f aca="false">IF(ISNUMBER(AG22),AG22/AX22,"")</f>
        <v>35905.6074316923</v>
      </c>
      <c r="BD22" s="47" t="n">
        <f aca="false">IF(AND(ISNUMBER(BC22),ISNUMBER(K22)),IF(K22&gt;0,BC22/K22^'Assumptions &amp; FX Reference'!$I$16,""),"")</f>
        <v>19785.3628705601</v>
      </c>
      <c r="BE22" s="42" t="s">
        <v>380</v>
      </c>
      <c r="BF22" s="42" t="s">
        <v>381</v>
      </c>
      <c r="BG22" s="42" t="s">
        <v>369</v>
      </c>
      <c r="BH22" s="45" t="s">
        <v>313</v>
      </c>
      <c r="BI22" s="45" t="str">
        <f aca="false">"PMP-"&amp;TEXT(A22,"0000")</f>
        <v>PMP-0018</v>
      </c>
    </row>
    <row r="23" customFormat="false" ht="24" hidden="false" customHeight="true" outlineLevel="0" collapsed="false">
      <c r="A23" s="42" t="n">
        <v>19</v>
      </c>
      <c r="B23" s="42" t="s">
        <v>382</v>
      </c>
      <c r="C23" s="42" t="s">
        <v>361</v>
      </c>
      <c r="D23" s="42" t="s">
        <v>383</v>
      </c>
      <c r="E23" s="42" t="s">
        <v>48</v>
      </c>
      <c r="F23" s="42" t="s">
        <v>123</v>
      </c>
      <c r="G23" s="42" t="s">
        <v>123</v>
      </c>
      <c r="H23" s="43" t="n">
        <v>40</v>
      </c>
      <c r="I23" s="43"/>
      <c r="J23" s="43" t="n">
        <v>12</v>
      </c>
      <c r="K23" s="44" t="n">
        <f aca="false">IF(ISNUMBER(J23),J23,IF(AND(ISNUMBER(H23),ISNUMBER(I23)),H23*I23/(367*'Assumptions &amp; FX Reference'!$I$17),""))</f>
        <v>12</v>
      </c>
      <c r="L23" s="45" t="str">
        <f aca="false">IF(IF(OR(M23="Not stated",M23=""),""," + "&amp;M23)&amp;IF(OR(N23="None",N23=""),""," + "&amp;N23)&amp;IF(O23="Y"," + NACE MR0175","")="","Not stated",MID(IF(OR(M23="Not stated",M23=""),""," + "&amp;M23)&amp;IF(OR(N23="None",N23=""),""," + "&amp;N23)&amp;IF(O23="Y"," + NACE MR0175",""),4,300))</f>
        <v>Not stated</v>
      </c>
      <c r="M23" s="42" t="s">
        <v>123</v>
      </c>
      <c r="N23" s="42" t="s">
        <v>303</v>
      </c>
      <c r="O23" s="42" t="s">
        <v>123</v>
      </c>
      <c r="P23" s="42" t="s">
        <v>123</v>
      </c>
      <c r="Q23" s="42" t="s">
        <v>123</v>
      </c>
      <c r="R23" s="42" t="s">
        <v>123</v>
      </c>
      <c r="S23" s="50" t="s">
        <v>304</v>
      </c>
      <c r="T23" s="42" t="s">
        <v>327</v>
      </c>
      <c r="U23" s="42" t="n">
        <v>1</v>
      </c>
      <c r="V23" s="50" t="s">
        <v>306</v>
      </c>
      <c r="W23" s="43" t="n">
        <v>10.4</v>
      </c>
      <c r="X23" s="42" t="s">
        <v>123</v>
      </c>
      <c r="Y23" s="50" t="n">
        <v>1402</v>
      </c>
      <c r="Z23" s="42" t="s">
        <v>363</v>
      </c>
      <c r="AA23" s="46" t="n">
        <v>29000</v>
      </c>
      <c r="AB23" s="47" t="n">
        <f aca="false">IF(NOT(ISNUMBER(AA23)),"",IF(NOT(ISNUMBER(Y23)),"",IFERROR(IF(Z23="EUR",AA23,IF(Z23="IRR",AA23/INDEX('Assumptions &amp; FX Reference'!$C$5:$C$25,MATCH(Y23,'Assumptions &amp; FX Reference'!$A$5:$A$25,0)),IF(Z23="USD",AA23*INDEX('Assumptions &amp; FX Reference'!$B$5:$B$25,MATCH(Y23,'Assumptions &amp; FX Reference'!$A$5:$A$25,0))/INDEX('Assumptions &amp; FX Reference'!$C$5:$C$25,MATCH(Y23,'Assumptions &amp; FX Reference'!$A$5:$A$25,0)),""))),"")))</f>
        <v>29000</v>
      </c>
      <c r="AC23" s="47" t="n">
        <f aca="false">IF(NOT(ISNUMBER(AA23)),"",IF(NOT(ISNUMBER(Y23)),"",IFERROR(IF(Z23="USD",AA23,IF(Z23="IRR",AA23/INDEX('Assumptions &amp; FX Reference'!$B$5:$B$25,MATCH(Y23,'Assumptions &amp; FX Reference'!$A$5:$A$25,0)),IF(Z23="EUR",AA23*INDEX('Assumptions &amp; FX Reference'!$C$5:$C$25,MATCH(Y23,'Assumptions &amp; FX Reference'!$A$5:$A$25,0))/INDEX('Assumptions &amp; FX Reference'!$B$5:$B$25,MATCH(Y23,'Assumptions &amp; FX Reference'!$A$5:$A$25,0)),""))),"")))</f>
        <v>36560.7142857143</v>
      </c>
      <c r="AD23" s="51" t="n">
        <f aca="false">IF(NOT(ISNUMBER(AA23)),"",IF(NOT(ISNUMBER(Y23)),"",IFERROR(IF(Z23="IRR",AA23,IF(Z23="USD",AA23*INDEX('Assumptions &amp; FX Reference'!$B$5:$B$25,MATCH(Y23,'Assumptions &amp; FX Reference'!$A$5:$A$25,0)),IF(Z23="EUR",AA23*INDEX('Assumptions &amp; FX Reference'!$C$5:$C$25,MATCH(Y23,'Assumptions &amp; FX Reference'!$A$5:$A$25,0)),""))),"")))</f>
        <v>15355500000</v>
      </c>
      <c r="AE23" s="42" t="s">
        <v>364</v>
      </c>
      <c r="AF23" s="50" t="s">
        <v>201</v>
      </c>
      <c r="AG23" s="47" t="n">
        <f aca="false">IF(AND(Z23="EUR",N(AA23)&gt;5000000),"",IF(AND(ISNUMBER(AB23),ISNUMBER(AZ23),ISNUMBER(BA23)),IF(AND(BB23="Y",ISNUMBER('Assumptions &amp; FX Reference'!$I$15)),MAX(AB23*BA23/AZ23,'Assumptions &amp; FX Reference'!$I$13*BA23/'Assumptions &amp; FX Reference'!$I$15),AB23*BA23/AZ23),""))</f>
        <v>30012.8636237851</v>
      </c>
      <c r="AH23" s="47" t="n">
        <f aca="false">IF(AND(ISNUMBER(AG23),ISNUMBER('Assumptions &amp; FX Reference'!$I$8),ISNUMBER('Assumptions &amp; FX Reference'!$I$11)),AG23*'Assumptions &amp; FX Reference'!$I$8/'Assumptions &amp; FX Reference'!$I$11,"")</f>
        <v>31687.0736409289</v>
      </c>
      <c r="AI23" s="47" t="n">
        <f aca="false">IF(AND(ISNUMBER(AG23),ISNUMBER('Assumptions &amp; FX Reference'!$I$8)),AG23*'Assumptions &amp; FX Reference'!$I$8,"")</f>
        <v>20866983665.9818</v>
      </c>
      <c r="AJ23" s="42" t="s">
        <v>365</v>
      </c>
      <c r="AK23" s="42" t="s">
        <v>366</v>
      </c>
      <c r="AL23" s="42" t="s">
        <v>123</v>
      </c>
      <c r="AM23" s="42" t="s">
        <v>123</v>
      </c>
      <c r="AN23" s="42" t="s">
        <v>123</v>
      </c>
      <c r="AO23" s="50" t="s">
        <v>312</v>
      </c>
      <c r="AP23" s="50" t="s">
        <v>312</v>
      </c>
      <c r="AQ23" s="50" t="s">
        <v>312</v>
      </c>
      <c r="AR23" s="42" t="s">
        <v>123</v>
      </c>
      <c r="AS23" s="45" t="str">
        <f aca="false">IF(AND(Z23="EUR",N(AA23)&gt;5000000),"Check currency (EUR&gt;5M); ","")&amp;IF(NOT(ISNUMBER(AA23)),"No price; ","")&amp;IF(G23="Not stated","Material missing; ","")&amp;IF(P23="Not stated","Seal missing; ","")&amp;IF(K23="","Size driver missing; ","")&amp;IF(NOT(ISNUMBER(AZ23)),"Base-year PPI missing; ","")</f>
        <v>Material missing; Seal missing; </v>
      </c>
      <c r="AT23" s="48" t="n">
        <f aca="false">IFERROR(INDEX(Factors_ROT!$F$5:$F$200,MATCH("MAT|"&amp;G23,Factors_ROT!$A$5:$A$200,0)),1)</f>
        <v>1</v>
      </c>
      <c r="AU23" s="48" t="n">
        <f aca="false">IFERROR(INDEX(Factors_ROT!$F$5:$F$200,MATCH("SEAL_ARR|"&amp;P23,Factors_ROT!$A$5:$A$200,0)),1)*IFERROR(INDEX(Factors_ROT!$F$5:$F$200,MATCH("SEAL_CAT|"&amp;Q23,Factors_ROT!$A$5:$A$200,0)),1)*IFERROR(INDEX(Factors_ROT!$F$5:$F$200,MATCH("SEAL_PLAN|"&amp;R23,Factors_ROT!$A$5:$A$200,0)),1)</f>
        <v>1</v>
      </c>
      <c r="AV23" s="48" t="n">
        <f aca="false">IFERROR(INDEX(Factors_ROT!$F$5:$F$200,MATCH("DRV|"&amp;S23,Factors_ROT!$A$5:$A$200,0)),1)*IFERROR(INDEX(Factors_ROT!$F$5:$F$200,MATCH("NACE|"&amp;O23,Factors_ROT!$A$5:$A$200,0)),1)</f>
        <v>1</v>
      </c>
      <c r="AW23" s="48" t="n">
        <f aca="false">IFERROR(INDEX(Factors_ROT!$F$5:$F$200,MATCH("SC_DRV|"&amp;AL23,Factors_ROT!$A$5:$A$200,0)),1)*IFERROR(INDEX(Factors_ROT!$F$5:$F$200,MATCH("SC_BSP|"&amp;AM23,Factors_ROT!$A$5:$A$200,0)),1)*IFERROR(INDEX(Factors_ROT!$F$5:$F$200,MATCH("SC_SEAL|"&amp;AN23,Factors_ROT!$A$5:$A$200,0)),1)*IFERROR(INDEX(Factors_ROT!$F$5:$F$200,MATCH("SC_COMM|"&amp;AO23,Factors_ROT!$A$5:$A$200,0)),1)*IFERROR(INDEX(Factors_ROT!$F$5:$F$200,MATCH("SC_2Y|"&amp;AP23,Factors_ROT!$A$5:$A$200,0)),1)*IFERROR(INDEX(Factors_ROT!$F$5:$F$200,MATCH("SC_TPI|"&amp;AQ23,Factors_ROT!$A$5:$A$200,0)),1)*IFERROR(INDEX(Factors_ROT!$F$5:$F$200,MATCH("SC_FAT|"&amp;AR23,Factors_ROT!$A$5:$A$200,0)),1)</f>
        <v>0.98</v>
      </c>
      <c r="AX23" s="48" t="n">
        <f aca="false">AT23*AU23*AV23*AW23</f>
        <v>0.98</v>
      </c>
      <c r="AY23" s="47" t="n">
        <f aca="false">IF(ISNUMBER(AB23),AB23/AX23,"")</f>
        <v>29591.8367346939</v>
      </c>
      <c r="AZ23" s="49" t="n">
        <f aca="false">IFERROR(IF(N(INDEX(Escalation_Index!$B$5:$B$25,MATCH(Y23,Escalation_Index!$A$5:$A$25,0)))&gt;0,INDEX(Escalation_Index!$B$5:$B$25,MATCH(Y23,Escalation_Index!$A$5:$A$25,0)),""),"")</f>
        <v>119.251</v>
      </c>
      <c r="BA23" s="49" t="n">
        <f aca="false">IF(ISNUMBER('Assumptions &amp; FX Reference'!$I$12),'Assumptions &amp; FX Reference'!$I$12,"")</f>
        <v>123.416</v>
      </c>
      <c r="BB23" s="45" t="str">
        <f aca="false">IF(AND(M23="API 610",LEFT(V23,11)="Centrifugal",OR(LEFT(G23,2)="S-",LEFT(G23,2)="D-")),"Y","N")</f>
        <v>N</v>
      </c>
      <c r="BC23" s="47" t="n">
        <f aca="false">IF(ISNUMBER(AG23),AG23/AX23,"")</f>
        <v>30625.3710446787</v>
      </c>
      <c r="BD23" s="47" t="n">
        <f aca="false">IF(AND(ISNUMBER(BC23),ISNUMBER(K23)),IF(K23&gt;0,BC23/K23^'Assumptions &amp; FX Reference'!$I$16,""),"")</f>
        <v>6895.60874103787</v>
      </c>
      <c r="BE23" s="42" t="s">
        <v>384</v>
      </c>
      <c r="BF23" s="42" t="s">
        <v>385</v>
      </c>
      <c r="BG23" s="42" t="s">
        <v>369</v>
      </c>
      <c r="BH23" s="45" t="s">
        <v>313</v>
      </c>
      <c r="BI23" s="45" t="str">
        <f aca="false">"PMP-"&amp;TEXT(A23,"0000")</f>
        <v>PMP-0019</v>
      </c>
    </row>
    <row r="24" customFormat="false" ht="24" hidden="false" customHeight="true" outlineLevel="0" collapsed="false">
      <c r="A24" s="42" t="n">
        <v>20</v>
      </c>
      <c r="B24" s="42" t="s">
        <v>382</v>
      </c>
      <c r="C24" s="42" t="s">
        <v>361</v>
      </c>
      <c r="D24" s="42" t="s">
        <v>386</v>
      </c>
      <c r="E24" s="42" t="s">
        <v>48</v>
      </c>
      <c r="F24" s="42" t="s">
        <v>123</v>
      </c>
      <c r="G24" s="42" t="s">
        <v>123</v>
      </c>
      <c r="H24" s="43" t="n">
        <v>20</v>
      </c>
      <c r="I24" s="43"/>
      <c r="J24" s="43" t="n">
        <v>6</v>
      </c>
      <c r="K24" s="44" t="n">
        <f aca="false">IF(ISNUMBER(J24),J24,IF(AND(ISNUMBER(H24),ISNUMBER(I24)),H24*I24/(367*'Assumptions &amp; FX Reference'!$I$17),""))</f>
        <v>6</v>
      </c>
      <c r="L24" s="45" t="str">
        <f aca="false">IF(IF(OR(M24="Not stated",M24=""),""," + "&amp;M24)&amp;IF(OR(N24="None",N24=""),""," + "&amp;N24)&amp;IF(O24="Y"," + NACE MR0175","")="","Not stated",MID(IF(OR(M24="Not stated",M24=""),""," + "&amp;M24)&amp;IF(OR(N24="None",N24=""),""," + "&amp;N24)&amp;IF(O24="Y"," + NACE MR0175",""),4,300))</f>
        <v>Not stated</v>
      </c>
      <c r="M24" s="42" t="s">
        <v>123</v>
      </c>
      <c r="N24" s="42" t="s">
        <v>303</v>
      </c>
      <c r="O24" s="42" t="s">
        <v>123</v>
      </c>
      <c r="P24" s="42" t="s">
        <v>123</v>
      </c>
      <c r="Q24" s="42" t="s">
        <v>123</v>
      </c>
      <c r="R24" s="42" t="s">
        <v>123</v>
      </c>
      <c r="S24" s="50" t="s">
        <v>304</v>
      </c>
      <c r="T24" s="42" t="s">
        <v>327</v>
      </c>
      <c r="U24" s="42" t="n">
        <v>2</v>
      </c>
      <c r="V24" s="50" t="s">
        <v>306</v>
      </c>
      <c r="W24" s="43" t="n">
        <v>10.4</v>
      </c>
      <c r="X24" s="42" t="s">
        <v>123</v>
      </c>
      <c r="Y24" s="50" t="n">
        <v>1402</v>
      </c>
      <c r="Z24" s="42" t="s">
        <v>363</v>
      </c>
      <c r="AA24" s="46" t="n">
        <v>27500</v>
      </c>
      <c r="AB24" s="47" t="n">
        <f aca="false">IF(NOT(ISNUMBER(AA24)),"",IF(NOT(ISNUMBER(Y24)),"",IFERROR(IF(Z24="EUR",AA24,IF(Z24="IRR",AA24/INDEX('Assumptions &amp; FX Reference'!$C$5:$C$25,MATCH(Y24,'Assumptions &amp; FX Reference'!$A$5:$A$25,0)),IF(Z24="USD",AA24*INDEX('Assumptions &amp; FX Reference'!$B$5:$B$25,MATCH(Y24,'Assumptions &amp; FX Reference'!$A$5:$A$25,0))/INDEX('Assumptions &amp; FX Reference'!$C$5:$C$25,MATCH(Y24,'Assumptions &amp; FX Reference'!$A$5:$A$25,0)),""))),"")))</f>
        <v>27500</v>
      </c>
      <c r="AC24" s="47" t="n">
        <f aca="false">IF(NOT(ISNUMBER(AA24)),"",IF(NOT(ISNUMBER(Y24)),"",IFERROR(IF(Z24="USD",AA24,IF(Z24="IRR",AA24/INDEX('Assumptions &amp; FX Reference'!$B$5:$B$25,MATCH(Y24,'Assumptions &amp; FX Reference'!$A$5:$A$25,0)),IF(Z24="EUR",AA24*INDEX('Assumptions &amp; FX Reference'!$C$5:$C$25,MATCH(Y24,'Assumptions &amp; FX Reference'!$A$5:$A$25,0))/INDEX('Assumptions &amp; FX Reference'!$B$5:$B$25,MATCH(Y24,'Assumptions &amp; FX Reference'!$A$5:$A$25,0)),""))),"")))</f>
        <v>34669.6428571429</v>
      </c>
      <c r="AD24" s="51" t="n">
        <f aca="false">IF(NOT(ISNUMBER(AA24)),"",IF(NOT(ISNUMBER(Y24)),"",IFERROR(IF(Z24="IRR",AA24,IF(Z24="USD",AA24*INDEX('Assumptions &amp; FX Reference'!$B$5:$B$25,MATCH(Y24,'Assumptions &amp; FX Reference'!$A$5:$A$25,0)),IF(Z24="EUR",AA24*INDEX('Assumptions &amp; FX Reference'!$C$5:$C$25,MATCH(Y24,'Assumptions &amp; FX Reference'!$A$5:$A$25,0)),""))),"")))</f>
        <v>14561250000</v>
      </c>
      <c r="AE24" s="42" t="s">
        <v>364</v>
      </c>
      <c r="AF24" s="50" t="s">
        <v>201</v>
      </c>
      <c r="AG24" s="47" t="n">
        <f aca="false">IF(AND(Z24="EUR",N(AA24)&gt;5000000),"",IF(AND(ISNUMBER(AB24),ISNUMBER(AZ24),ISNUMBER(BA24)),IF(AND(BB24="Y",ISNUMBER('Assumptions &amp; FX Reference'!$I$15)),MAX(AB24*BA24/AZ24,'Assumptions &amp; FX Reference'!$I$13*BA24/'Assumptions &amp; FX Reference'!$I$15),AB24*BA24/AZ24),""))</f>
        <v>28460.4741260031</v>
      </c>
      <c r="AH24" s="47" t="n">
        <f aca="false">IF(AND(ISNUMBER(AG24),ISNUMBER('Assumptions &amp; FX Reference'!$I$8),ISNUMBER('Assumptions &amp; FX Reference'!$I$11)),AG24*'Assumptions &amp; FX Reference'!$I$8/'Assumptions &amp; FX Reference'!$I$11,"")</f>
        <v>30048.0870732947</v>
      </c>
      <c r="AI24" s="47" t="n">
        <f aca="false">IF(AND(ISNUMBER(AG24),ISNUMBER('Assumptions &amp; FX Reference'!$I$8)),AG24*'Assumptions &amp; FX Reference'!$I$8,"")</f>
        <v>19787656924.638</v>
      </c>
      <c r="AJ24" s="42" t="s">
        <v>365</v>
      </c>
      <c r="AK24" s="42" t="s">
        <v>366</v>
      </c>
      <c r="AL24" s="42" t="s">
        <v>123</v>
      </c>
      <c r="AM24" s="42" t="s">
        <v>123</v>
      </c>
      <c r="AN24" s="42" t="s">
        <v>123</v>
      </c>
      <c r="AO24" s="50" t="s">
        <v>312</v>
      </c>
      <c r="AP24" s="50" t="s">
        <v>312</v>
      </c>
      <c r="AQ24" s="50" t="s">
        <v>312</v>
      </c>
      <c r="AR24" s="42" t="s">
        <v>123</v>
      </c>
      <c r="AS24" s="45" t="str">
        <f aca="false">IF(AND(Z24="EUR",N(AA24)&gt;5000000),"Check currency (EUR&gt;5M); ","")&amp;IF(NOT(ISNUMBER(AA24)),"No price; ","")&amp;IF(G24="Not stated","Material missing; ","")&amp;IF(P24="Not stated","Seal missing; ","")&amp;IF(K24="","Size driver missing; ","")&amp;IF(NOT(ISNUMBER(AZ24)),"Base-year PPI missing; ","")</f>
        <v>Material missing; Seal missing; </v>
      </c>
      <c r="AT24" s="48" t="n">
        <f aca="false">IFERROR(INDEX(Factors_ROT!$F$5:$F$200,MATCH("MAT|"&amp;G24,Factors_ROT!$A$5:$A$200,0)),1)</f>
        <v>1</v>
      </c>
      <c r="AU24" s="48" t="n">
        <f aca="false">IFERROR(INDEX(Factors_ROT!$F$5:$F$200,MATCH("SEAL_ARR|"&amp;P24,Factors_ROT!$A$5:$A$200,0)),1)*IFERROR(INDEX(Factors_ROT!$F$5:$F$200,MATCH("SEAL_CAT|"&amp;Q24,Factors_ROT!$A$5:$A$200,0)),1)*IFERROR(INDEX(Factors_ROT!$F$5:$F$200,MATCH("SEAL_PLAN|"&amp;R24,Factors_ROT!$A$5:$A$200,0)),1)</f>
        <v>1</v>
      </c>
      <c r="AV24" s="48" t="n">
        <f aca="false">IFERROR(INDEX(Factors_ROT!$F$5:$F$200,MATCH("DRV|"&amp;S24,Factors_ROT!$A$5:$A$200,0)),1)*IFERROR(INDEX(Factors_ROT!$F$5:$F$200,MATCH("NACE|"&amp;O24,Factors_ROT!$A$5:$A$200,0)),1)</f>
        <v>1</v>
      </c>
      <c r="AW24" s="48" t="n">
        <f aca="false">IFERROR(INDEX(Factors_ROT!$F$5:$F$200,MATCH("SC_DRV|"&amp;AL24,Factors_ROT!$A$5:$A$200,0)),1)*IFERROR(INDEX(Factors_ROT!$F$5:$F$200,MATCH("SC_BSP|"&amp;AM24,Factors_ROT!$A$5:$A$200,0)),1)*IFERROR(INDEX(Factors_ROT!$F$5:$F$200,MATCH("SC_SEAL|"&amp;AN24,Factors_ROT!$A$5:$A$200,0)),1)*IFERROR(INDEX(Factors_ROT!$F$5:$F$200,MATCH("SC_COMM|"&amp;AO24,Factors_ROT!$A$5:$A$200,0)),1)*IFERROR(INDEX(Factors_ROT!$F$5:$F$200,MATCH("SC_2Y|"&amp;AP24,Factors_ROT!$A$5:$A$200,0)),1)*IFERROR(INDEX(Factors_ROT!$F$5:$F$200,MATCH("SC_TPI|"&amp;AQ24,Factors_ROT!$A$5:$A$200,0)),1)*IFERROR(INDEX(Factors_ROT!$F$5:$F$200,MATCH("SC_FAT|"&amp;AR24,Factors_ROT!$A$5:$A$200,0)),1)</f>
        <v>0.98</v>
      </c>
      <c r="AX24" s="48" t="n">
        <f aca="false">AT24*AU24*AV24*AW24</f>
        <v>0.98</v>
      </c>
      <c r="AY24" s="47" t="n">
        <f aca="false">IF(ISNUMBER(AB24),AB24/AX24,"")</f>
        <v>28061.2244897959</v>
      </c>
      <c r="AZ24" s="49" t="n">
        <f aca="false">IFERROR(IF(N(INDEX(Escalation_Index!$B$5:$B$25,MATCH(Y24,Escalation_Index!$A$5:$A$25,0)))&gt;0,INDEX(Escalation_Index!$B$5:$B$25,MATCH(Y24,Escalation_Index!$A$5:$A$25,0)),""),"")</f>
        <v>119.251</v>
      </c>
      <c r="BA24" s="49" t="n">
        <f aca="false">IF(ISNUMBER('Assumptions &amp; FX Reference'!$I$12),'Assumptions &amp; FX Reference'!$I$12,"")</f>
        <v>123.416</v>
      </c>
      <c r="BB24" s="45" t="str">
        <f aca="false">IF(AND(M24="API 610",LEFT(V24,11)="Centrifugal",OR(LEFT(G24,2)="S-",LEFT(G24,2)="D-")),"Y","N")</f>
        <v>N</v>
      </c>
      <c r="BC24" s="47" t="n">
        <f aca="false">IF(ISNUMBER(AG24),AG24/AX24,"")</f>
        <v>29041.3001285746</v>
      </c>
      <c r="BD24" s="47" t="n">
        <f aca="false">IF(AND(ISNUMBER(BC24),ISNUMBER(K24)),IF(K24&gt;0,BC24/K24^'Assumptions &amp; FX Reference'!$I$16,""),"")</f>
        <v>9911.17865988061</v>
      </c>
      <c r="BE24" s="42" t="s">
        <v>387</v>
      </c>
      <c r="BF24" s="42" t="s">
        <v>388</v>
      </c>
      <c r="BG24" s="42" t="s">
        <v>369</v>
      </c>
      <c r="BH24" s="45" t="s">
        <v>313</v>
      </c>
      <c r="BI24" s="45" t="str">
        <f aca="false">"PMP-"&amp;TEXT(A24,"0000")</f>
        <v>PMP-0020</v>
      </c>
    </row>
    <row r="25" customFormat="false" ht="24" hidden="false" customHeight="true" outlineLevel="0" collapsed="false">
      <c r="A25" s="42" t="n">
        <v>21</v>
      </c>
      <c r="B25" s="42" t="s">
        <v>389</v>
      </c>
      <c r="C25" s="42" t="s">
        <v>361</v>
      </c>
      <c r="D25" s="42" t="s">
        <v>390</v>
      </c>
      <c r="E25" s="42" t="s">
        <v>48</v>
      </c>
      <c r="F25" s="42" t="s">
        <v>123</v>
      </c>
      <c r="G25" s="42" t="s">
        <v>123</v>
      </c>
      <c r="H25" s="43" t="n">
        <v>20</v>
      </c>
      <c r="I25" s="43"/>
      <c r="J25" s="43" t="n">
        <v>1.35</v>
      </c>
      <c r="K25" s="44" t="n">
        <f aca="false">IF(ISNUMBER(J25),J25,IF(AND(ISNUMBER(H25),ISNUMBER(I25)),H25*I25/(367*'Assumptions &amp; FX Reference'!$I$17),""))</f>
        <v>1.35</v>
      </c>
      <c r="L25" s="45" t="str">
        <f aca="false">IF(IF(OR(M25="Not stated",M25=""),""," + "&amp;M25)&amp;IF(OR(N25="None",N25=""),""," + "&amp;N25)&amp;IF(O25="Y"," + NACE MR0175","")="","Not stated",MID(IF(OR(M25="Not stated",M25=""),""," + "&amp;M25)&amp;IF(OR(N25="None",N25=""),""," + "&amp;N25)&amp;IF(O25="Y"," + NACE MR0175",""),4,300))</f>
        <v>Not stated</v>
      </c>
      <c r="M25" s="42" t="s">
        <v>123</v>
      </c>
      <c r="N25" s="42" t="s">
        <v>303</v>
      </c>
      <c r="O25" s="42" t="s">
        <v>123</v>
      </c>
      <c r="P25" s="42" t="s">
        <v>123</v>
      </c>
      <c r="Q25" s="42" t="s">
        <v>123</v>
      </c>
      <c r="R25" s="42" t="s">
        <v>123</v>
      </c>
      <c r="S25" s="50" t="s">
        <v>304</v>
      </c>
      <c r="T25" s="42" t="s">
        <v>391</v>
      </c>
      <c r="U25" s="42" t="n">
        <v>2</v>
      </c>
      <c r="V25" s="50" t="s">
        <v>306</v>
      </c>
      <c r="W25" s="43" t="n">
        <v>2.4</v>
      </c>
      <c r="X25" s="42" t="s">
        <v>123</v>
      </c>
      <c r="Y25" s="50" t="n">
        <v>1402</v>
      </c>
      <c r="Z25" s="42" t="s">
        <v>363</v>
      </c>
      <c r="AA25" s="46" t="n">
        <v>15000</v>
      </c>
      <c r="AB25" s="47" t="n">
        <f aca="false">IF(NOT(ISNUMBER(AA25)),"",IF(NOT(ISNUMBER(Y25)),"",IFERROR(IF(Z25="EUR",AA25,IF(Z25="IRR",AA25/INDEX('Assumptions &amp; FX Reference'!$C$5:$C$25,MATCH(Y25,'Assumptions &amp; FX Reference'!$A$5:$A$25,0)),IF(Z25="USD",AA25*INDEX('Assumptions &amp; FX Reference'!$B$5:$B$25,MATCH(Y25,'Assumptions &amp; FX Reference'!$A$5:$A$25,0))/INDEX('Assumptions &amp; FX Reference'!$C$5:$C$25,MATCH(Y25,'Assumptions &amp; FX Reference'!$A$5:$A$25,0)),""))),"")))</f>
        <v>15000</v>
      </c>
      <c r="AC25" s="47" t="n">
        <f aca="false">IF(NOT(ISNUMBER(AA25)),"",IF(NOT(ISNUMBER(Y25)),"",IFERROR(IF(Z25="USD",AA25,IF(Z25="IRR",AA25/INDEX('Assumptions &amp; FX Reference'!$B$5:$B$25,MATCH(Y25,'Assumptions &amp; FX Reference'!$A$5:$A$25,0)),IF(Z25="EUR",AA25*INDEX('Assumptions &amp; FX Reference'!$C$5:$C$25,MATCH(Y25,'Assumptions &amp; FX Reference'!$A$5:$A$25,0))/INDEX('Assumptions &amp; FX Reference'!$B$5:$B$25,MATCH(Y25,'Assumptions &amp; FX Reference'!$A$5:$A$25,0)),""))),"")))</f>
        <v>18910.7142857143</v>
      </c>
      <c r="AD25" s="51" t="n">
        <f aca="false">IF(NOT(ISNUMBER(AA25)),"",IF(NOT(ISNUMBER(Y25)),"",IFERROR(IF(Z25="IRR",AA25,IF(Z25="USD",AA25*INDEX('Assumptions &amp; FX Reference'!$B$5:$B$25,MATCH(Y25,'Assumptions &amp; FX Reference'!$A$5:$A$25,0)),IF(Z25="EUR",AA25*INDEX('Assumptions &amp; FX Reference'!$C$5:$C$25,MATCH(Y25,'Assumptions &amp; FX Reference'!$A$5:$A$25,0)),""))),"")))</f>
        <v>7942500000</v>
      </c>
      <c r="AE25" s="42" t="s">
        <v>364</v>
      </c>
      <c r="AF25" s="50" t="s">
        <v>201</v>
      </c>
      <c r="AG25" s="47" t="n">
        <f aca="false">IF(AND(Z25="EUR",N(AA25)&gt;5000000),"",IF(AND(ISNUMBER(AB25),ISNUMBER(AZ25),ISNUMBER(BA25)),IF(AND(BB25="Y",ISNUMBER('Assumptions &amp; FX Reference'!$I$15)),MAX(AB25*BA25/AZ25,'Assumptions &amp; FX Reference'!$I$13*BA25/'Assumptions &amp; FX Reference'!$I$15),AB25*BA25/AZ25),""))</f>
        <v>15523.8949778199</v>
      </c>
      <c r="AH25" s="47" t="n">
        <f aca="false">IF(AND(ISNUMBER(AG25),ISNUMBER('Assumptions &amp; FX Reference'!$I$8),ISNUMBER('Assumptions &amp; FX Reference'!$I$11)),AG25*'Assumptions &amp; FX Reference'!$I$8/'Assumptions &amp; FX Reference'!$I$11,"")</f>
        <v>16389.8656763425</v>
      </c>
      <c r="AI25" s="47" t="n">
        <f aca="false">IF(AND(ISNUMBER(AG25),ISNUMBER('Assumptions &amp; FX Reference'!$I$8)),AG25*'Assumptions &amp; FX Reference'!$I$8,"")</f>
        <v>10793267413.4389</v>
      </c>
      <c r="AJ25" s="42" t="s">
        <v>365</v>
      </c>
      <c r="AK25" s="42" t="s">
        <v>366</v>
      </c>
      <c r="AL25" s="42" t="s">
        <v>123</v>
      </c>
      <c r="AM25" s="42" t="s">
        <v>123</v>
      </c>
      <c r="AN25" s="42" t="s">
        <v>123</v>
      </c>
      <c r="AO25" s="50" t="s">
        <v>312</v>
      </c>
      <c r="AP25" s="50" t="s">
        <v>312</v>
      </c>
      <c r="AQ25" s="50" t="s">
        <v>312</v>
      </c>
      <c r="AR25" s="42" t="s">
        <v>123</v>
      </c>
      <c r="AS25" s="45" t="str">
        <f aca="false">IF(AND(Z25="EUR",N(AA25)&gt;5000000),"Check currency (EUR&gt;5M); ","")&amp;IF(NOT(ISNUMBER(AA25)),"No price; ","")&amp;IF(G25="Not stated","Material missing; ","")&amp;IF(P25="Not stated","Seal missing; ","")&amp;IF(K25="","Size driver missing; ","")&amp;IF(NOT(ISNUMBER(AZ25)),"Base-year PPI missing; ","")</f>
        <v>Material missing; Seal missing; </v>
      </c>
      <c r="AT25" s="48" t="n">
        <f aca="false">IFERROR(INDEX(Factors_ROT!$F$5:$F$200,MATCH("MAT|"&amp;G25,Factors_ROT!$A$5:$A$200,0)),1)</f>
        <v>1</v>
      </c>
      <c r="AU25" s="48" t="n">
        <f aca="false">IFERROR(INDEX(Factors_ROT!$F$5:$F$200,MATCH("SEAL_ARR|"&amp;P25,Factors_ROT!$A$5:$A$200,0)),1)*IFERROR(INDEX(Factors_ROT!$F$5:$F$200,MATCH("SEAL_CAT|"&amp;Q25,Factors_ROT!$A$5:$A$200,0)),1)*IFERROR(INDEX(Factors_ROT!$F$5:$F$200,MATCH("SEAL_PLAN|"&amp;R25,Factors_ROT!$A$5:$A$200,0)),1)</f>
        <v>1</v>
      </c>
      <c r="AV25" s="48" t="n">
        <f aca="false">IFERROR(INDEX(Factors_ROT!$F$5:$F$200,MATCH("DRV|"&amp;S25,Factors_ROT!$A$5:$A$200,0)),1)*IFERROR(INDEX(Factors_ROT!$F$5:$F$200,MATCH("NACE|"&amp;O25,Factors_ROT!$A$5:$A$200,0)),1)</f>
        <v>1</v>
      </c>
      <c r="AW25" s="48" t="n">
        <f aca="false">IFERROR(INDEX(Factors_ROT!$F$5:$F$200,MATCH("SC_DRV|"&amp;AL25,Factors_ROT!$A$5:$A$200,0)),1)*IFERROR(INDEX(Factors_ROT!$F$5:$F$200,MATCH("SC_BSP|"&amp;AM25,Factors_ROT!$A$5:$A$200,0)),1)*IFERROR(INDEX(Factors_ROT!$F$5:$F$200,MATCH("SC_SEAL|"&amp;AN25,Factors_ROT!$A$5:$A$200,0)),1)*IFERROR(INDEX(Factors_ROT!$F$5:$F$200,MATCH("SC_COMM|"&amp;AO25,Factors_ROT!$A$5:$A$200,0)),1)*IFERROR(INDEX(Factors_ROT!$F$5:$F$200,MATCH("SC_2Y|"&amp;AP25,Factors_ROT!$A$5:$A$200,0)),1)*IFERROR(INDEX(Factors_ROT!$F$5:$F$200,MATCH("SC_TPI|"&amp;AQ25,Factors_ROT!$A$5:$A$200,0)),1)*IFERROR(INDEX(Factors_ROT!$F$5:$F$200,MATCH("SC_FAT|"&amp;AR25,Factors_ROT!$A$5:$A$200,0)),1)</f>
        <v>0.98</v>
      </c>
      <c r="AX25" s="48" t="n">
        <f aca="false">AT25*AU25*AV25*AW25</f>
        <v>0.98</v>
      </c>
      <c r="AY25" s="47" t="n">
        <f aca="false">IF(ISNUMBER(AB25),AB25/AX25,"")</f>
        <v>15306.1224489796</v>
      </c>
      <c r="AZ25" s="49" t="n">
        <f aca="false">IFERROR(IF(N(INDEX(Escalation_Index!$B$5:$B$25,MATCH(Y25,Escalation_Index!$A$5:$A$25,0)))&gt;0,INDEX(Escalation_Index!$B$5:$B$25,MATCH(Y25,Escalation_Index!$A$5:$A$25,0)),""),"")</f>
        <v>119.251</v>
      </c>
      <c r="BA25" s="49" t="n">
        <f aca="false">IF(ISNUMBER('Assumptions &amp; FX Reference'!$I$12),'Assumptions &amp; FX Reference'!$I$12,"")</f>
        <v>123.416</v>
      </c>
      <c r="BB25" s="45" t="str">
        <f aca="false">IF(AND(M25="API 610",LEFT(V25,11)="Centrifugal",OR(LEFT(G25,2)="S-",LEFT(G25,2)="D-")),"Y","N")</f>
        <v>N</v>
      </c>
      <c r="BC25" s="47" t="n">
        <f aca="false">IF(ISNUMBER(AG25),AG25/AX25,"")</f>
        <v>15840.7091610407</v>
      </c>
      <c r="BD25" s="47" t="n">
        <f aca="false">IF(AND(ISNUMBER(BC25),ISNUMBER(K25)),IF(K25&gt;0,BC25/K25^'Assumptions &amp; FX Reference'!$I$16,""),"")</f>
        <v>13230.4421811739</v>
      </c>
      <c r="BE25" s="42" t="s">
        <v>392</v>
      </c>
      <c r="BF25" s="42" t="s">
        <v>393</v>
      </c>
      <c r="BG25" s="42" t="s">
        <v>369</v>
      </c>
      <c r="BH25" s="45" t="s">
        <v>313</v>
      </c>
      <c r="BI25" s="45" t="str">
        <f aca="false">"PMP-"&amp;TEXT(A25,"0000")</f>
        <v>PMP-0021</v>
      </c>
    </row>
    <row r="26" customFormat="false" ht="24" hidden="false" customHeight="true" outlineLevel="0" collapsed="false">
      <c r="A26" s="42" t="n">
        <v>22</v>
      </c>
      <c r="B26" s="42" t="s">
        <v>389</v>
      </c>
      <c r="C26" s="42" t="s">
        <v>361</v>
      </c>
      <c r="D26" s="42" t="s">
        <v>394</v>
      </c>
      <c r="E26" s="42" t="s">
        <v>48</v>
      </c>
      <c r="F26" s="42" t="s">
        <v>123</v>
      </c>
      <c r="G26" s="42" t="s">
        <v>123</v>
      </c>
      <c r="H26" s="43" t="n">
        <v>40</v>
      </c>
      <c r="I26" s="43"/>
      <c r="J26" s="43" t="n">
        <v>2.7</v>
      </c>
      <c r="K26" s="44" t="n">
        <f aca="false">IF(ISNUMBER(J26),J26,IF(AND(ISNUMBER(H26),ISNUMBER(I26)),H26*I26/(367*'Assumptions &amp; FX Reference'!$I$17),""))</f>
        <v>2.7</v>
      </c>
      <c r="L26" s="45" t="str">
        <f aca="false">IF(IF(OR(M26="Not stated",M26=""),""," + "&amp;M26)&amp;IF(OR(N26="None",N26=""),""," + "&amp;N26)&amp;IF(O26="Y"," + NACE MR0175","")="","Not stated",MID(IF(OR(M26="Not stated",M26=""),""," + "&amp;M26)&amp;IF(OR(N26="None",N26=""),""," + "&amp;N26)&amp;IF(O26="Y"," + NACE MR0175",""),4,300))</f>
        <v>Not stated</v>
      </c>
      <c r="M26" s="42" t="s">
        <v>123</v>
      </c>
      <c r="N26" s="42" t="s">
        <v>303</v>
      </c>
      <c r="O26" s="42" t="s">
        <v>123</v>
      </c>
      <c r="P26" s="42" t="s">
        <v>123</v>
      </c>
      <c r="Q26" s="42" t="s">
        <v>123</v>
      </c>
      <c r="R26" s="42" t="s">
        <v>123</v>
      </c>
      <c r="S26" s="50" t="s">
        <v>304</v>
      </c>
      <c r="T26" s="42" t="s">
        <v>391</v>
      </c>
      <c r="U26" s="42" t="n">
        <v>1</v>
      </c>
      <c r="V26" s="50" t="s">
        <v>306</v>
      </c>
      <c r="W26" s="43" t="n">
        <v>2.4</v>
      </c>
      <c r="X26" s="42" t="s">
        <v>123</v>
      </c>
      <c r="Y26" s="50" t="n">
        <v>1402</v>
      </c>
      <c r="Z26" s="42" t="s">
        <v>363</v>
      </c>
      <c r="AA26" s="46" t="n">
        <v>17000</v>
      </c>
      <c r="AB26" s="47" t="n">
        <f aca="false">IF(NOT(ISNUMBER(AA26)),"",IF(NOT(ISNUMBER(Y26)),"",IFERROR(IF(Z26="EUR",AA26,IF(Z26="IRR",AA26/INDEX('Assumptions &amp; FX Reference'!$C$5:$C$25,MATCH(Y26,'Assumptions &amp; FX Reference'!$A$5:$A$25,0)),IF(Z26="USD",AA26*INDEX('Assumptions &amp; FX Reference'!$B$5:$B$25,MATCH(Y26,'Assumptions &amp; FX Reference'!$A$5:$A$25,0))/INDEX('Assumptions &amp; FX Reference'!$C$5:$C$25,MATCH(Y26,'Assumptions &amp; FX Reference'!$A$5:$A$25,0)),""))),"")))</f>
        <v>17000</v>
      </c>
      <c r="AC26" s="47" t="n">
        <f aca="false">IF(NOT(ISNUMBER(AA26)),"",IF(NOT(ISNUMBER(Y26)),"",IFERROR(IF(Z26="USD",AA26,IF(Z26="IRR",AA26/INDEX('Assumptions &amp; FX Reference'!$B$5:$B$25,MATCH(Y26,'Assumptions &amp; FX Reference'!$A$5:$A$25,0)),IF(Z26="EUR",AA26*INDEX('Assumptions &amp; FX Reference'!$C$5:$C$25,MATCH(Y26,'Assumptions &amp; FX Reference'!$A$5:$A$25,0))/INDEX('Assumptions &amp; FX Reference'!$B$5:$B$25,MATCH(Y26,'Assumptions &amp; FX Reference'!$A$5:$A$25,0)),""))),"")))</f>
        <v>21432.1428571429</v>
      </c>
      <c r="AD26" s="51" t="n">
        <f aca="false">IF(NOT(ISNUMBER(AA26)),"",IF(NOT(ISNUMBER(Y26)),"",IFERROR(IF(Z26="IRR",AA26,IF(Z26="USD",AA26*INDEX('Assumptions &amp; FX Reference'!$B$5:$B$25,MATCH(Y26,'Assumptions &amp; FX Reference'!$A$5:$A$25,0)),IF(Z26="EUR",AA26*INDEX('Assumptions &amp; FX Reference'!$C$5:$C$25,MATCH(Y26,'Assumptions &amp; FX Reference'!$A$5:$A$25,0)),""))),"")))</f>
        <v>9001500000</v>
      </c>
      <c r="AE26" s="42" t="s">
        <v>364</v>
      </c>
      <c r="AF26" s="50" t="s">
        <v>201</v>
      </c>
      <c r="AG26" s="47" t="n">
        <f aca="false">IF(AND(Z26="EUR",N(AA26)&gt;5000000),"",IF(AND(ISNUMBER(AB26),ISNUMBER(AZ26),ISNUMBER(BA26)),IF(AND(BB26="Y",ISNUMBER('Assumptions &amp; FX Reference'!$I$15)),MAX(AB26*BA26/AZ26,'Assumptions &amp; FX Reference'!$I$13*BA26/'Assumptions &amp; FX Reference'!$I$15),AB26*BA26/AZ26),""))</f>
        <v>17593.7476415292</v>
      </c>
      <c r="AH26" s="47" t="n">
        <f aca="false">IF(AND(ISNUMBER(AG26),ISNUMBER('Assumptions &amp; FX Reference'!$I$8),ISNUMBER('Assumptions &amp; FX Reference'!$I$11)),AG26*'Assumptions &amp; FX Reference'!$I$8/'Assumptions &amp; FX Reference'!$I$11,"")</f>
        <v>18575.1810998549</v>
      </c>
      <c r="AI26" s="47" t="n">
        <f aca="false">IF(AND(ISNUMBER(AG26),ISNUMBER('Assumptions &amp; FX Reference'!$I$8)),AG26*'Assumptions &amp; FX Reference'!$I$8,"")</f>
        <v>12232369735.2307</v>
      </c>
      <c r="AJ26" s="42" t="s">
        <v>365</v>
      </c>
      <c r="AK26" s="42" t="s">
        <v>366</v>
      </c>
      <c r="AL26" s="42" t="s">
        <v>123</v>
      </c>
      <c r="AM26" s="42" t="s">
        <v>123</v>
      </c>
      <c r="AN26" s="42" t="s">
        <v>123</v>
      </c>
      <c r="AO26" s="50" t="s">
        <v>312</v>
      </c>
      <c r="AP26" s="50" t="s">
        <v>312</v>
      </c>
      <c r="AQ26" s="50" t="s">
        <v>312</v>
      </c>
      <c r="AR26" s="42" t="s">
        <v>123</v>
      </c>
      <c r="AS26" s="45" t="str">
        <f aca="false">IF(AND(Z26="EUR",N(AA26)&gt;5000000),"Check currency (EUR&gt;5M); ","")&amp;IF(NOT(ISNUMBER(AA26)),"No price; ","")&amp;IF(G26="Not stated","Material missing; ","")&amp;IF(P26="Not stated","Seal missing; ","")&amp;IF(K26="","Size driver missing; ","")&amp;IF(NOT(ISNUMBER(AZ26)),"Base-year PPI missing; ","")</f>
        <v>Material missing; Seal missing; </v>
      </c>
      <c r="AT26" s="48" t="n">
        <f aca="false">IFERROR(INDEX(Factors_ROT!$F$5:$F$200,MATCH("MAT|"&amp;G26,Factors_ROT!$A$5:$A$200,0)),1)</f>
        <v>1</v>
      </c>
      <c r="AU26" s="48" t="n">
        <f aca="false">IFERROR(INDEX(Factors_ROT!$F$5:$F$200,MATCH("SEAL_ARR|"&amp;P26,Factors_ROT!$A$5:$A$200,0)),1)*IFERROR(INDEX(Factors_ROT!$F$5:$F$200,MATCH("SEAL_CAT|"&amp;Q26,Factors_ROT!$A$5:$A$200,0)),1)*IFERROR(INDEX(Factors_ROT!$F$5:$F$200,MATCH("SEAL_PLAN|"&amp;R26,Factors_ROT!$A$5:$A$200,0)),1)</f>
        <v>1</v>
      </c>
      <c r="AV26" s="48" t="n">
        <f aca="false">IFERROR(INDEX(Factors_ROT!$F$5:$F$200,MATCH("DRV|"&amp;S26,Factors_ROT!$A$5:$A$200,0)),1)*IFERROR(INDEX(Factors_ROT!$F$5:$F$200,MATCH("NACE|"&amp;O26,Factors_ROT!$A$5:$A$200,0)),1)</f>
        <v>1</v>
      </c>
      <c r="AW26" s="48" t="n">
        <f aca="false">IFERROR(INDEX(Factors_ROT!$F$5:$F$200,MATCH("SC_DRV|"&amp;AL26,Factors_ROT!$A$5:$A$200,0)),1)*IFERROR(INDEX(Factors_ROT!$F$5:$F$200,MATCH("SC_BSP|"&amp;AM26,Factors_ROT!$A$5:$A$200,0)),1)*IFERROR(INDEX(Factors_ROT!$F$5:$F$200,MATCH("SC_SEAL|"&amp;AN26,Factors_ROT!$A$5:$A$200,0)),1)*IFERROR(INDEX(Factors_ROT!$F$5:$F$200,MATCH("SC_COMM|"&amp;AO26,Factors_ROT!$A$5:$A$200,0)),1)*IFERROR(INDEX(Factors_ROT!$F$5:$F$200,MATCH("SC_2Y|"&amp;AP26,Factors_ROT!$A$5:$A$200,0)),1)*IFERROR(INDEX(Factors_ROT!$F$5:$F$200,MATCH("SC_TPI|"&amp;AQ26,Factors_ROT!$A$5:$A$200,0)),1)*IFERROR(INDEX(Factors_ROT!$F$5:$F$200,MATCH("SC_FAT|"&amp;AR26,Factors_ROT!$A$5:$A$200,0)),1)</f>
        <v>0.98</v>
      </c>
      <c r="AX26" s="48" t="n">
        <f aca="false">AT26*AU26*AV26*AW26</f>
        <v>0.98</v>
      </c>
      <c r="AY26" s="47" t="n">
        <f aca="false">IF(ISNUMBER(AB26),AB26/AX26,"")</f>
        <v>17346.9387755102</v>
      </c>
      <c r="AZ26" s="49" t="n">
        <f aca="false">IFERROR(IF(N(INDEX(Escalation_Index!$B$5:$B$25,MATCH(Y26,Escalation_Index!$A$5:$A$25,0)))&gt;0,INDEX(Escalation_Index!$B$5:$B$25,MATCH(Y26,Escalation_Index!$A$5:$A$25,0)),""),"")</f>
        <v>119.251</v>
      </c>
      <c r="BA26" s="49" t="n">
        <f aca="false">IF(ISNUMBER('Assumptions &amp; FX Reference'!$I$12),'Assumptions &amp; FX Reference'!$I$12,"")</f>
        <v>123.416</v>
      </c>
      <c r="BB26" s="45" t="str">
        <f aca="false">IF(AND(M26="API 610",LEFT(V26,11)="Centrifugal",OR(LEFT(G26,2)="S-",LEFT(G26,2)="D-")),"Y","N")</f>
        <v>N</v>
      </c>
      <c r="BC26" s="47" t="n">
        <f aca="false">IF(ISNUMBER(AG26),AG26/AX26,"")</f>
        <v>17952.8037158461</v>
      </c>
      <c r="BD26" s="47" t="n">
        <f aca="false">IF(AND(ISNUMBER(BC26),ISNUMBER(K26)),IF(K26&gt;0,BC26/K26^'Assumptions &amp; FX Reference'!$I$16,""),"")</f>
        <v>9892.68143528003</v>
      </c>
      <c r="BE26" s="42" t="s">
        <v>395</v>
      </c>
      <c r="BF26" s="42" t="s">
        <v>396</v>
      </c>
      <c r="BG26" s="42" t="s">
        <v>369</v>
      </c>
      <c r="BH26" s="45" t="s">
        <v>313</v>
      </c>
      <c r="BI26" s="45" t="str">
        <f aca="false">"PMP-"&amp;TEXT(A26,"0000")</f>
        <v>PMP-0022</v>
      </c>
    </row>
    <row r="27" customFormat="false" ht="24" hidden="false" customHeight="true" outlineLevel="0" collapsed="false">
      <c r="A27" s="42" t="n">
        <v>23</v>
      </c>
      <c r="B27" s="42" t="s">
        <v>397</v>
      </c>
      <c r="C27" s="42" t="s">
        <v>361</v>
      </c>
      <c r="D27" s="42" t="s">
        <v>398</v>
      </c>
      <c r="E27" s="42" t="s">
        <v>48</v>
      </c>
      <c r="F27" s="42" t="s">
        <v>123</v>
      </c>
      <c r="G27" s="42" t="s">
        <v>123</v>
      </c>
      <c r="H27" s="43" t="n">
        <v>20</v>
      </c>
      <c r="I27" s="43"/>
      <c r="J27" s="43" t="n">
        <v>1.4</v>
      </c>
      <c r="K27" s="44" t="n">
        <f aca="false">IF(ISNUMBER(J27),J27,IF(AND(ISNUMBER(H27),ISNUMBER(I27)),H27*I27/(367*'Assumptions &amp; FX Reference'!$I$17),""))</f>
        <v>1.4</v>
      </c>
      <c r="L27" s="45" t="str">
        <f aca="false">IF(IF(OR(M27="Not stated",M27=""),""," + "&amp;M27)&amp;IF(OR(N27="None",N27=""),""," + "&amp;N27)&amp;IF(O27="Y"," + NACE MR0175","")="","Not stated",MID(IF(OR(M27="Not stated",M27=""),""," + "&amp;M27)&amp;IF(OR(N27="None",N27=""),""," + "&amp;N27)&amp;IF(O27="Y"," + NACE MR0175",""),4,300))</f>
        <v>Not stated</v>
      </c>
      <c r="M27" s="42" t="s">
        <v>123</v>
      </c>
      <c r="N27" s="42" t="s">
        <v>303</v>
      </c>
      <c r="O27" s="42" t="s">
        <v>123</v>
      </c>
      <c r="P27" s="42" t="s">
        <v>123</v>
      </c>
      <c r="Q27" s="42" t="s">
        <v>123</v>
      </c>
      <c r="R27" s="42" t="s">
        <v>123</v>
      </c>
      <c r="S27" s="50" t="s">
        <v>304</v>
      </c>
      <c r="T27" s="42" t="s">
        <v>338</v>
      </c>
      <c r="U27" s="42" t="n">
        <v>1</v>
      </c>
      <c r="V27" s="50" t="s">
        <v>306</v>
      </c>
      <c r="W27" s="43" t="n">
        <v>2.5</v>
      </c>
      <c r="X27" s="42" t="s">
        <v>123</v>
      </c>
      <c r="Y27" s="50" t="n">
        <v>1402</v>
      </c>
      <c r="Z27" s="42" t="s">
        <v>363</v>
      </c>
      <c r="AA27" s="46" t="n">
        <v>11000</v>
      </c>
      <c r="AB27" s="47" t="n">
        <f aca="false">IF(NOT(ISNUMBER(AA27)),"",IF(NOT(ISNUMBER(Y27)),"",IFERROR(IF(Z27="EUR",AA27,IF(Z27="IRR",AA27/INDEX('Assumptions &amp; FX Reference'!$C$5:$C$25,MATCH(Y27,'Assumptions &amp; FX Reference'!$A$5:$A$25,0)),IF(Z27="USD",AA27*INDEX('Assumptions &amp; FX Reference'!$B$5:$B$25,MATCH(Y27,'Assumptions &amp; FX Reference'!$A$5:$A$25,0))/INDEX('Assumptions &amp; FX Reference'!$C$5:$C$25,MATCH(Y27,'Assumptions &amp; FX Reference'!$A$5:$A$25,0)),""))),"")))</f>
        <v>11000</v>
      </c>
      <c r="AC27" s="47" t="n">
        <f aca="false">IF(NOT(ISNUMBER(AA27)),"",IF(NOT(ISNUMBER(Y27)),"",IFERROR(IF(Z27="USD",AA27,IF(Z27="IRR",AA27/INDEX('Assumptions &amp; FX Reference'!$B$5:$B$25,MATCH(Y27,'Assumptions &amp; FX Reference'!$A$5:$A$25,0)),IF(Z27="EUR",AA27*INDEX('Assumptions &amp; FX Reference'!$C$5:$C$25,MATCH(Y27,'Assumptions &amp; FX Reference'!$A$5:$A$25,0))/INDEX('Assumptions &amp; FX Reference'!$B$5:$B$25,MATCH(Y27,'Assumptions &amp; FX Reference'!$A$5:$A$25,0)),""))),"")))</f>
        <v>13867.8571428571</v>
      </c>
      <c r="AD27" s="51" t="n">
        <f aca="false">IF(NOT(ISNUMBER(AA27)),"",IF(NOT(ISNUMBER(Y27)),"",IFERROR(IF(Z27="IRR",AA27,IF(Z27="USD",AA27*INDEX('Assumptions &amp; FX Reference'!$B$5:$B$25,MATCH(Y27,'Assumptions &amp; FX Reference'!$A$5:$A$25,0)),IF(Z27="EUR",AA27*INDEX('Assumptions &amp; FX Reference'!$C$5:$C$25,MATCH(Y27,'Assumptions &amp; FX Reference'!$A$5:$A$25,0)),""))),"")))</f>
        <v>5824500000</v>
      </c>
      <c r="AE27" s="42" t="s">
        <v>364</v>
      </c>
      <c r="AF27" s="50" t="s">
        <v>201</v>
      </c>
      <c r="AG27" s="47" t="n">
        <f aca="false">IF(AND(Z27="EUR",N(AA27)&gt;5000000),"",IF(AND(ISNUMBER(AB27),ISNUMBER(AZ27),ISNUMBER(BA27)),IF(AND(BB27="Y",ISNUMBER('Assumptions &amp; FX Reference'!$I$15)),MAX(AB27*BA27/AZ27,'Assumptions &amp; FX Reference'!$I$13*BA27/'Assumptions &amp; FX Reference'!$I$15),AB27*BA27/AZ27),""))</f>
        <v>11384.1896504013</v>
      </c>
      <c r="AH27" s="47" t="n">
        <f aca="false">IF(AND(ISNUMBER(AG27),ISNUMBER('Assumptions &amp; FX Reference'!$I$8),ISNUMBER('Assumptions &amp; FX Reference'!$I$11)),AG27*'Assumptions &amp; FX Reference'!$I$8/'Assumptions &amp; FX Reference'!$I$11,"")</f>
        <v>12019.2348293179</v>
      </c>
      <c r="AI27" s="47" t="n">
        <f aca="false">IF(AND(ISNUMBER(AG27),ISNUMBER('Assumptions &amp; FX Reference'!$I$8)),AG27*'Assumptions &amp; FX Reference'!$I$8,"")</f>
        <v>7915062769.85518</v>
      </c>
      <c r="AJ27" s="42" t="s">
        <v>365</v>
      </c>
      <c r="AK27" s="42" t="s">
        <v>366</v>
      </c>
      <c r="AL27" s="42" t="s">
        <v>123</v>
      </c>
      <c r="AM27" s="42" t="s">
        <v>123</v>
      </c>
      <c r="AN27" s="42" t="s">
        <v>123</v>
      </c>
      <c r="AO27" s="50" t="s">
        <v>312</v>
      </c>
      <c r="AP27" s="50" t="s">
        <v>312</v>
      </c>
      <c r="AQ27" s="50" t="s">
        <v>312</v>
      </c>
      <c r="AR27" s="42" t="s">
        <v>123</v>
      </c>
      <c r="AS27" s="45" t="str">
        <f aca="false">IF(AND(Z27="EUR",N(AA27)&gt;5000000),"Check currency (EUR&gt;5M); ","")&amp;IF(NOT(ISNUMBER(AA27)),"No price; ","")&amp;IF(G27="Not stated","Material missing; ","")&amp;IF(P27="Not stated","Seal missing; ","")&amp;IF(K27="","Size driver missing; ","")&amp;IF(NOT(ISNUMBER(AZ27)),"Base-year PPI missing; ","")</f>
        <v>Material missing; Seal missing; </v>
      </c>
      <c r="AT27" s="48" t="n">
        <f aca="false">IFERROR(INDEX(Factors_ROT!$F$5:$F$200,MATCH("MAT|"&amp;G27,Factors_ROT!$A$5:$A$200,0)),1)</f>
        <v>1</v>
      </c>
      <c r="AU27" s="48" t="n">
        <f aca="false">IFERROR(INDEX(Factors_ROT!$F$5:$F$200,MATCH("SEAL_ARR|"&amp;P27,Factors_ROT!$A$5:$A$200,0)),1)*IFERROR(INDEX(Factors_ROT!$F$5:$F$200,MATCH("SEAL_CAT|"&amp;Q27,Factors_ROT!$A$5:$A$200,0)),1)*IFERROR(INDEX(Factors_ROT!$F$5:$F$200,MATCH("SEAL_PLAN|"&amp;R27,Factors_ROT!$A$5:$A$200,0)),1)</f>
        <v>1</v>
      </c>
      <c r="AV27" s="48" t="n">
        <f aca="false">IFERROR(INDEX(Factors_ROT!$F$5:$F$200,MATCH("DRV|"&amp;S27,Factors_ROT!$A$5:$A$200,0)),1)*IFERROR(INDEX(Factors_ROT!$F$5:$F$200,MATCH("NACE|"&amp;O27,Factors_ROT!$A$5:$A$200,0)),1)</f>
        <v>1</v>
      </c>
      <c r="AW27" s="48" t="n">
        <f aca="false">IFERROR(INDEX(Factors_ROT!$F$5:$F$200,MATCH("SC_DRV|"&amp;AL27,Factors_ROT!$A$5:$A$200,0)),1)*IFERROR(INDEX(Factors_ROT!$F$5:$F$200,MATCH("SC_BSP|"&amp;AM27,Factors_ROT!$A$5:$A$200,0)),1)*IFERROR(INDEX(Factors_ROT!$F$5:$F$200,MATCH("SC_SEAL|"&amp;AN27,Factors_ROT!$A$5:$A$200,0)),1)*IFERROR(INDEX(Factors_ROT!$F$5:$F$200,MATCH("SC_COMM|"&amp;AO27,Factors_ROT!$A$5:$A$200,0)),1)*IFERROR(INDEX(Factors_ROT!$F$5:$F$200,MATCH("SC_2Y|"&amp;AP27,Factors_ROT!$A$5:$A$200,0)),1)*IFERROR(INDEX(Factors_ROT!$F$5:$F$200,MATCH("SC_TPI|"&amp;AQ27,Factors_ROT!$A$5:$A$200,0)),1)*IFERROR(INDEX(Factors_ROT!$F$5:$F$200,MATCH("SC_FAT|"&amp;AR27,Factors_ROT!$A$5:$A$200,0)),1)</f>
        <v>0.98</v>
      </c>
      <c r="AX27" s="48" t="n">
        <f aca="false">AT27*AU27*AV27*AW27</f>
        <v>0.98</v>
      </c>
      <c r="AY27" s="47" t="n">
        <f aca="false">IF(ISNUMBER(AB27),AB27/AX27,"")</f>
        <v>11224.4897959184</v>
      </c>
      <c r="AZ27" s="49" t="n">
        <f aca="false">IFERROR(IF(N(INDEX(Escalation_Index!$B$5:$B$25,MATCH(Y27,Escalation_Index!$A$5:$A$25,0)))&gt;0,INDEX(Escalation_Index!$B$5:$B$25,MATCH(Y27,Escalation_Index!$A$5:$A$25,0)),""),"")</f>
        <v>119.251</v>
      </c>
      <c r="BA27" s="49" t="n">
        <f aca="false">IF(ISNUMBER('Assumptions &amp; FX Reference'!$I$12),'Assumptions &amp; FX Reference'!$I$12,"")</f>
        <v>123.416</v>
      </c>
      <c r="BB27" s="45" t="str">
        <f aca="false">IF(AND(M27="API 610",LEFT(V27,11)="Centrifugal",OR(LEFT(G27,2)="S-",LEFT(G27,2)="D-")),"Y","N")</f>
        <v>N</v>
      </c>
      <c r="BC27" s="47" t="n">
        <f aca="false">IF(ISNUMBER(AG27),AG27/AX27,"")</f>
        <v>11616.5200514299</v>
      </c>
      <c r="BD27" s="47" t="n">
        <f aca="false">IF(AND(ISNUMBER(BC27),ISNUMBER(K27)),IF(K27&gt;0,BC27/K27^'Assumptions &amp; FX Reference'!$I$16,""),"")</f>
        <v>9492.90697357081</v>
      </c>
      <c r="BE27" s="42" t="s">
        <v>399</v>
      </c>
      <c r="BF27" s="42" t="s">
        <v>400</v>
      </c>
      <c r="BG27" s="42" t="s">
        <v>369</v>
      </c>
      <c r="BH27" s="45" t="s">
        <v>313</v>
      </c>
      <c r="BI27" s="45" t="str">
        <f aca="false">"PMP-"&amp;TEXT(A27,"0000")</f>
        <v>PMP-0023</v>
      </c>
    </row>
    <row r="28" customFormat="false" ht="24" hidden="false" customHeight="true" outlineLevel="0" collapsed="false">
      <c r="A28" s="42" t="n">
        <v>24</v>
      </c>
      <c r="B28" s="42" t="s">
        <v>401</v>
      </c>
      <c r="C28" s="42" t="s">
        <v>361</v>
      </c>
      <c r="D28" s="42" t="s">
        <v>402</v>
      </c>
      <c r="E28" s="42" t="s">
        <v>51</v>
      </c>
      <c r="F28" s="42" t="s">
        <v>123</v>
      </c>
      <c r="G28" s="42" t="s">
        <v>123</v>
      </c>
      <c r="H28" s="43" t="n">
        <v>73</v>
      </c>
      <c r="I28" s="43"/>
      <c r="J28" s="43" t="n">
        <v>73.6</v>
      </c>
      <c r="K28" s="44" t="n">
        <f aca="false">IF(ISNUMBER(J28),J28,IF(AND(ISNUMBER(H28),ISNUMBER(I28)),H28*I28/(367*'Assumptions &amp; FX Reference'!$I$17),""))</f>
        <v>73.6</v>
      </c>
      <c r="L28" s="45" t="str">
        <f aca="false">IF(IF(OR(M28="Not stated",M28=""),""," + "&amp;M28)&amp;IF(OR(N28="None",N28=""),""," + "&amp;N28)&amp;IF(O28="Y"," + NACE MR0175","")="","Not stated",MID(IF(OR(M28="Not stated",M28=""),""," + "&amp;M28)&amp;IF(OR(N28="None",N28=""),""," + "&amp;N28)&amp;IF(O28="Y"," + NACE MR0175",""),4,300))</f>
        <v>Not stated</v>
      </c>
      <c r="M28" s="42" t="s">
        <v>123</v>
      </c>
      <c r="N28" s="42" t="s">
        <v>303</v>
      </c>
      <c r="O28" s="42" t="s">
        <v>123</v>
      </c>
      <c r="P28" s="42" t="s">
        <v>123</v>
      </c>
      <c r="Q28" s="42" t="s">
        <v>123</v>
      </c>
      <c r="R28" s="42" t="s">
        <v>123</v>
      </c>
      <c r="S28" s="50" t="s">
        <v>304</v>
      </c>
      <c r="T28" s="42" t="s">
        <v>334</v>
      </c>
      <c r="U28" s="42" t="n">
        <v>3</v>
      </c>
      <c r="V28" s="50" t="s">
        <v>306</v>
      </c>
      <c r="W28" s="43" t="n">
        <v>36.3</v>
      </c>
      <c r="X28" s="42" t="s">
        <v>123</v>
      </c>
      <c r="Y28" s="50" t="n">
        <v>1402</v>
      </c>
      <c r="Z28" s="42" t="s">
        <v>363</v>
      </c>
      <c r="AA28" s="46" t="n">
        <v>430000</v>
      </c>
      <c r="AB28" s="47" t="n">
        <f aca="false">IF(NOT(ISNUMBER(AA28)),"",IF(NOT(ISNUMBER(Y28)),"",IFERROR(IF(Z28="EUR",AA28,IF(Z28="IRR",AA28/INDEX('Assumptions &amp; FX Reference'!$C$5:$C$25,MATCH(Y28,'Assumptions &amp; FX Reference'!$A$5:$A$25,0)),IF(Z28="USD",AA28*INDEX('Assumptions &amp; FX Reference'!$B$5:$B$25,MATCH(Y28,'Assumptions &amp; FX Reference'!$A$5:$A$25,0))/INDEX('Assumptions &amp; FX Reference'!$C$5:$C$25,MATCH(Y28,'Assumptions &amp; FX Reference'!$A$5:$A$25,0)),""))),"")))</f>
        <v>430000</v>
      </c>
      <c r="AC28" s="47" t="n">
        <f aca="false">IF(NOT(ISNUMBER(AA28)),"",IF(NOT(ISNUMBER(Y28)),"",IFERROR(IF(Z28="USD",AA28,IF(Z28="IRR",AA28/INDEX('Assumptions &amp; FX Reference'!$B$5:$B$25,MATCH(Y28,'Assumptions &amp; FX Reference'!$A$5:$A$25,0)),IF(Z28="EUR",AA28*INDEX('Assumptions &amp; FX Reference'!$C$5:$C$25,MATCH(Y28,'Assumptions &amp; FX Reference'!$A$5:$A$25,0))/INDEX('Assumptions &amp; FX Reference'!$B$5:$B$25,MATCH(Y28,'Assumptions &amp; FX Reference'!$A$5:$A$25,0)),""))),"")))</f>
        <v>542107.142857143</v>
      </c>
      <c r="AD28" s="51" t="n">
        <f aca="false">IF(NOT(ISNUMBER(AA28)),"",IF(NOT(ISNUMBER(Y28)),"",IFERROR(IF(Z28="IRR",AA28,IF(Z28="USD",AA28*INDEX('Assumptions &amp; FX Reference'!$B$5:$B$25,MATCH(Y28,'Assumptions &amp; FX Reference'!$A$5:$A$25,0)),IF(Z28="EUR",AA28*INDEX('Assumptions &amp; FX Reference'!$C$5:$C$25,MATCH(Y28,'Assumptions &amp; FX Reference'!$A$5:$A$25,0)),""))),"")))</f>
        <v>227685000000</v>
      </c>
      <c r="AE28" s="42" t="s">
        <v>364</v>
      </c>
      <c r="AF28" s="50" t="s">
        <v>201</v>
      </c>
      <c r="AG28" s="47" t="n">
        <f aca="false">IF(AND(Z28="EUR",N(AA28)&gt;5000000),"",IF(AND(ISNUMBER(AB28),ISNUMBER(AZ28),ISNUMBER(BA28)),IF(AND(BB28="Y",ISNUMBER('Assumptions &amp; FX Reference'!$I$15)),MAX(AB28*BA28/AZ28,'Assumptions &amp; FX Reference'!$I$13*BA28/'Assumptions &amp; FX Reference'!$I$15),AB28*BA28/AZ28),""))</f>
        <v>445018.322697504</v>
      </c>
      <c r="AH28" s="47" t="n">
        <f aca="false">IF(AND(ISNUMBER(AG28),ISNUMBER('Assumptions &amp; FX Reference'!$I$8),ISNUMBER('Assumptions &amp; FX Reference'!$I$11)),AG28*'Assumptions &amp; FX Reference'!$I$8/'Assumptions &amp; FX Reference'!$I$11,"")</f>
        <v>469842.816055153</v>
      </c>
      <c r="AI28" s="47" t="n">
        <f aca="false">IF(AND(ISNUMBER(AG28),ISNUMBER('Assumptions &amp; FX Reference'!$I$8)),AG28*'Assumptions &amp; FX Reference'!$I$8,"")</f>
        <v>309406999185.248</v>
      </c>
      <c r="AJ28" s="42" t="s">
        <v>365</v>
      </c>
      <c r="AK28" s="42" t="s">
        <v>366</v>
      </c>
      <c r="AL28" s="42" t="s">
        <v>123</v>
      </c>
      <c r="AM28" s="42" t="s">
        <v>123</v>
      </c>
      <c r="AN28" s="42" t="s">
        <v>123</v>
      </c>
      <c r="AO28" s="50" t="s">
        <v>312</v>
      </c>
      <c r="AP28" s="50" t="s">
        <v>312</v>
      </c>
      <c r="AQ28" s="50" t="s">
        <v>312</v>
      </c>
      <c r="AR28" s="42" t="s">
        <v>123</v>
      </c>
      <c r="AS28" s="45" t="str">
        <f aca="false">IF(AND(Z28="EUR",N(AA28)&gt;5000000),"Check currency (EUR&gt;5M); ","")&amp;IF(NOT(ISNUMBER(AA28)),"No price; ","")&amp;IF(G28="Not stated","Material missing; ","")&amp;IF(P28="Not stated","Seal missing; ","")&amp;IF(K28="","Size driver missing; ","")&amp;IF(NOT(ISNUMBER(AZ28)),"Base-year PPI missing; ","")</f>
        <v>Material missing; Seal missing; </v>
      </c>
      <c r="AT28" s="48" t="n">
        <f aca="false">IFERROR(INDEX(Factors_ROT!$F$5:$F$200,MATCH("MAT|"&amp;G28,Factors_ROT!$A$5:$A$200,0)),1)</f>
        <v>1</v>
      </c>
      <c r="AU28" s="48" t="n">
        <f aca="false">IFERROR(INDEX(Factors_ROT!$F$5:$F$200,MATCH("SEAL_ARR|"&amp;P28,Factors_ROT!$A$5:$A$200,0)),1)*IFERROR(INDEX(Factors_ROT!$F$5:$F$200,MATCH("SEAL_CAT|"&amp;Q28,Factors_ROT!$A$5:$A$200,0)),1)*IFERROR(INDEX(Factors_ROT!$F$5:$F$200,MATCH("SEAL_PLAN|"&amp;R28,Factors_ROT!$A$5:$A$200,0)),1)</f>
        <v>1</v>
      </c>
      <c r="AV28" s="48" t="n">
        <f aca="false">IFERROR(INDEX(Factors_ROT!$F$5:$F$200,MATCH("DRV|"&amp;S28,Factors_ROT!$A$5:$A$200,0)),1)*IFERROR(INDEX(Factors_ROT!$F$5:$F$200,MATCH("NACE|"&amp;O28,Factors_ROT!$A$5:$A$200,0)),1)</f>
        <v>1</v>
      </c>
      <c r="AW28" s="48" t="n">
        <f aca="false">IFERROR(INDEX(Factors_ROT!$F$5:$F$200,MATCH("SC_DRV|"&amp;AL28,Factors_ROT!$A$5:$A$200,0)),1)*IFERROR(INDEX(Factors_ROT!$F$5:$F$200,MATCH("SC_BSP|"&amp;AM28,Factors_ROT!$A$5:$A$200,0)),1)*IFERROR(INDEX(Factors_ROT!$F$5:$F$200,MATCH("SC_SEAL|"&amp;AN28,Factors_ROT!$A$5:$A$200,0)),1)*IFERROR(INDEX(Factors_ROT!$F$5:$F$200,MATCH("SC_COMM|"&amp;AO28,Factors_ROT!$A$5:$A$200,0)),1)*IFERROR(INDEX(Factors_ROT!$F$5:$F$200,MATCH("SC_2Y|"&amp;AP28,Factors_ROT!$A$5:$A$200,0)),1)*IFERROR(INDEX(Factors_ROT!$F$5:$F$200,MATCH("SC_TPI|"&amp;AQ28,Factors_ROT!$A$5:$A$200,0)),1)*IFERROR(INDEX(Factors_ROT!$F$5:$F$200,MATCH("SC_FAT|"&amp;AR28,Factors_ROT!$A$5:$A$200,0)),1)</f>
        <v>0.98</v>
      </c>
      <c r="AX28" s="48" t="n">
        <f aca="false">AT28*AU28*AV28*AW28</f>
        <v>0.98</v>
      </c>
      <c r="AY28" s="47" t="n">
        <f aca="false">IF(ISNUMBER(AB28),AB28/AX28,"")</f>
        <v>438775.510204082</v>
      </c>
      <c r="AZ28" s="49" t="n">
        <f aca="false">IFERROR(IF(N(INDEX(Escalation_Index!$B$5:$B$25,MATCH(Y28,Escalation_Index!$A$5:$A$25,0)))&gt;0,INDEX(Escalation_Index!$B$5:$B$25,MATCH(Y28,Escalation_Index!$A$5:$A$25,0)),""),"")</f>
        <v>119.251</v>
      </c>
      <c r="BA28" s="49" t="n">
        <f aca="false">IF(ISNUMBER('Assumptions &amp; FX Reference'!$I$12),'Assumptions &amp; FX Reference'!$I$12,"")</f>
        <v>123.416</v>
      </c>
      <c r="BB28" s="45" t="str">
        <f aca="false">IF(AND(M28="API 610",LEFT(V28,11)="Centrifugal",OR(LEFT(G28,2)="S-",LEFT(G28,2)="D-")),"Y","N")</f>
        <v>N</v>
      </c>
      <c r="BC28" s="47" t="n">
        <f aca="false">IF(ISNUMBER(AG28),AG28/AX28,"")</f>
        <v>454100.329283167</v>
      </c>
      <c r="BD28" s="47" t="n">
        <f aca="false">IF(AND(ISNUMBER(BC28),ISNUMBER(K28)),IF(K28&gt;0,BC28/K28^'Assumptions &amp; FX Reference'!$I$16,""),"")</f>
        <v>34436.9855380083</v>
      </c>
      <c r="BE28" s="42" t="s">
        <v>403</v>
      </c>
      <c r="BF28" s="42" t="s">
        <v>404</v>
      </c>
      <c r="BG28" s="42" t="s">
        <v>369</v>
      </c>
      <c r="BH28" s="45" t="s">
        <v>313</v>
      </c>
      <c r="BI28" s="45" t="str">
        <f aca="false">"PMP-"&amp;TEXT(A28,"0000")</f>
        <v>PMP-0024</v>
      </c>
    </row>
    <row r="29" customFormat="false" ht="24" hidden="false" customHeight="true" outlineLevel="0" collapsed="false">
      <c r="A29" s="42" t="n">
        <v>25</v>
      </c>
      <c r="B29" s="42" t="s">
        <v>405</v>
      </c>
      <c r="C29" s="42" t="s">
        <v>361</v>
      </c>
      <c r="D29" s="42" t="s">
        <v>406</v>
      </c>
      <c r="E29" s="42" t="s">
        <v>51</v>
      </c>
      <c r="F29" s="42" t="s">
        <v>123</v>
      </c>
      <c r="G29" s="42" t="s">
        <v>123</v>
      </c>
      <c r="H29" s="43" t="n">
        <v>36.5</v>
      </c>
      <c r="I29" s="43"/>
      <c r="J29" s="43" t="n">
        <v>36.5</v>
      </c>
      <c r="K29" s="44" t="n">
        <f aca="false">IF(ISNUMBER(J29),J29,IF(AND(ISNUMBER(H29),ISNUMBER(I29)),H29*I29/(367*'Assumptions &amp; FX Reference'!$I$17),""))</f>
        <v>36.5</v>
      </c>
      <c r="L29" s="45" t="str">
        <f aca="false">IF(IF(OR(M29="Not stated",M29=""),""," + "&amp;M29)&amp;IF(OR(N29="None",N29=""),""," + "&amp;N29)&amp;IF(O29="Y"," + NACE MR0175","")="","Not stated",MID(IF(OR(M29="Not stated",M29=""),""," + "&amp;M29)&amp;IF(OR(N29="None",N29=""),""," + "&amp;N29)&amp;IF(O29="Y"," + NACE MR0175",""),4,300))</f>
        <v>Not stated</v>
      </c>
      <c r="M29" s="42" t="s">
        <v>123</v>
      </c>
      <c r="N29" s="42" t="s">
        <v>303</v>
      </c>
      <c r="O29" s="42" t="s">
        <v>123</v>
      </c>
      <c r="P29" s="42" t="s">
        <v>123</v>
      </c>
      <c r="Q29" s="42" t="s">
        <v>123</v>
      </c>
      <c r="R29" s="42" t="s">
        <v>123</v>
      </c>
      <c r="S29" s="50" t="s">
        <v>304</v>
      </c>
      <c r="T29" s="42" t="s">
        <v>334</v>
      </c>
      <c r="U29" s="42" t="n">
        <v>3</v>
      </c>
      <c r="V29" s="50" t="s">
        <v>306</v>
      </c>
      <c r="W29" s="43" t="n">
        <v>36.3</v>
      </c>
      <c r="X29" s="42" t="s">
        <v>123</v>
      </c>
      <c r="Y29" s="50" t="n">
        <v>1402</v>
      </c>
      <c r="Z29" s="42" t="s">
        <v>363</v>
      </c>
      <c r="AA29" s="46" t="n">
        <v>285000</v>
      </c>
      <c r="AB29" s="47" t="n">
        <f aca="false">IF(NOT(ISNUMBER(AA29)),"",IF(NOT(ISNUMBER(Y29)),"",IFERROR(IF(Z29="EUR",AA29,IF(Z29="IRR",AA29/INDEX('Assumptions &amp; FX Reference'!$C$5:$C$25,MATCH(Y29,'Assumptions &amp; FX Reference'!$A$5:$A$25,0)),IF(Z29="USD",AA29*INDEX('Assumptions &amp; FX Reference'!$B$5:$B$25,MATCH(Y29,'Assumptions &amp; FX Reference'!$A$5:$A$25,0))/INDEX('Assumptions &amp; FX Reference'!$C$5:$C$25,MATCH(Y29,'Assumptions &amp; FX Reference'!$A$5:$A$25,0)),""))),"")))</f>
        <v>285000</v>
      </c>
      <c r="AC29" s="47" t="n">
        <f aca="false">IF(NOT(ISNUMBER(AA29)),"",IF(NOT(ISNUMBER(Y29)),"",IFERROR(IF(Z29="USD",AA29,IF(Z29="IRR",AA29/INDEX('Assumptions &amp; FX Reference'!$B$5:$B$25,MATCH(Y29,'Assumptions &amp; FX Reference'!$A$5:$A$25,0)),IF(Z29="EUR",AA29*INDEX('Assumptions &amp; FX Reference'!$C$5:$C$25,MATCH(Y29,'Assumptions &amp; FX Reference'!$A$5:$A$25,0))/INDEX('Assumptions &amp; FX Reference'!$B$5:$B$25,MATCH(Y29,'Assumptions &amp; FX Reference'!$A$5:$A$25,0)),""))),"")))</f>
        <v>359303.571428571</v>
      </c>
      <c r="AD29" s="51" t="n">
        <f aca="false">IF(NOT(ISNUMBER(AA29)),"",IF(NOT(ISNUMBER(Y29)),"",IFERROR(IF(Z29="IRR",AA29,IF(Z29="USD",AA29*INDEX('Assumptions &amp; FX Reference'!$B$5:$B$25,MATCH(Y29,'Assumptions &amp; FX Reference'!$A$5:$A$25,0)),IF(Z29="EUR",AA29*INDEX('Assumptions &amp; FX Reference'!$C$5:$C$25,MATCH(Y29,'Assumptions &amp; FX Reference'!$A$5:$A$25,0)),""))),"")))</f>
        <v>150907500000</v>
      </c>
      <c r="AE29" s="42" t="s">
        <v>364</v>
      </c>
      <c r="AF29" s="50" t="s">
        <v>201</v>
      </c>
      <c r="AG29" s="47" t="n">
        <f aca="false">IF(AND(Z29="EUR",N(AA29)&gt;5000000),"",IF(AND(ISNUMBER(AB29),ISNUMBER(AZ29),ISNUMBER(BA29)),IF(AND(BB29="Y",ISNUMBER('Assumptions &amp; FX Reference'!$I$15)),MAX(AB29*BA29/AZ29,'Assumptions &amp; FX Reference'!$I$13*BA29/'Assumptions &amp; FX Reference'!$I$15),AB29*BA29/AZ29),""))</f>
        <v>294954.004578578</v>
      </c>
      <c r="AH29" s="47" t="n">
        <f aca="false">IF(AND(ISNUMBER(AG29),ISNUMBER('Assumptions &amp; FX Reference'!$I$8),ISNUMBER('Assumptions &amp; FX Reference'!$I$11)),AG29*'Assumptions &amp; FX Reference'!$I$8/'Assumptions &amp; FX Reference'!$I$11,"")</f>
        <v>311407.447850508</v>
      </c>
      <c r="AI29" s="47" t="n">
        <f aca="false">IF(AND(ISNUMBER(AG29),ISNUMBER('Assumptions &amp; FX Reference'!$I$8)),AG29*'Assumptions &amp; FX Reference'!$I$8,"")</f>
        <v>205072080855.339</v>
      </c>
      <c r="AJ29" s="42" t="s">
        <v>365</v>
      </c>
      <c r="AK29" s="42" t="s">
        <v>366</v>
      </c>
      <c r="AL29" s="42" t="s">
        <v>123</v>
      </c>
      <c r="AM29" s="42" t="s">
        <v>123</v>
      </c>
      <c r="AN29" s="42" t="s">
        <v>123</v>
      </c>
      <c r="AO29" s="50" t="s">
        <v>312</v>
      </c>
      <c r="AP29" s="50" t="s">
        <v>312</v>
      </c>
      <c r="AQ29" s="50" t="s">
        <v>312</v>
      </c>
      <c r="AR29" s="42" t="s">
        <v>123</v>
      </c>
      <c r="AS29" s="45" t="str">
        <f aca="false">IF(AND(Z29="EUR",N(AA29)&gt;5000000),"Check currency (EUR&gt;5M); ","")&amp;IF(NOT(ISNUMBER(AA29)),"No price; ","")&amp;IF(G29="Not stated","Material missing; ","")&amp;IF(P29="Not stated","Seal missing; ","")&amp;IF(K29="","Size driver missing; ","")&amp;IF(NOT(ISNUMBER(AZ29)),"Base-year PPI missing; ","")</f>
        <v>Material missing; Seal missing; </v>
      </c>
      <c r="AT29" s="48" t="n">
        <f aca="false">IFERROR(INDEX(Factors_ROT!$F$5:$F$200,MATCH("MAT|"&amp;G29,Factors_ROT!$A$5:$A$200,0)),1)</f>
        <v>1</v>
      </c>
      <c r="AU29" s="48" t="n">
        <f aca="false">IFERROR(INDEX(Factors_ROT!$F$5:$F$200,MATCH("SEAL_ARR|"&amp;P29,Factors_ROT!$A$5:$A$200,0)),1)*IFERROR(INDEX(Factors_ROT!$F$5:$F$200,MATCH("SEAL_CAT|"&amp;Q29,Factors_ROT!$A$5:$A$200,0)),1)*IFERROR(INDEX(Factors_ROT!$F$5:$F$200,MATCH("SEAL_PLAN|"&amp;R29,Factors_ROT!$A$5:$A$200,0)),1)</f>
        <v>1</v>
      </c>
      <c r="AV29" s="48" t="n">
        <f aca="false">IFERROR(INDEX(Factors_ROT!$F$5:$F$200,MATCH("DRV|"&amp;S29,Factors_ROT!$A$5:$A$200,0)),1)*IFERROR(INDEX(Factors_ROT!$F$5:$F$200,MATCH("NACE|"&amp;O29,Factors_ROT!$A$5:$A$200,0)),1)</f>
        <v>1</v>
      </c>
      <c r="AW29" s="48" t="n">
        <f aca="false">IFERROR(INDEX(Factors_ROT!$F$5:$F$200,MATCH("SC_DRV|"&amp;AL29,Factors_ROT!$A$5:$A$200,0)),1)*IFERROR(INDEX(Factors_ROT!$F$5:$F$200,MATCH("SC_BSP|"&amp;AM29,Factors_ROT!$A$5:$A$200,0)),1)*IFERROR(INDEX(Factors_ROT!$F$5:$F$200,MATCH("SC_SEAL|"&amp;AN29,Factors_ROT!$A$5:$A$200,0)),1)*IFERROR(INDEX(Factors_ROT!$F$5:$F$200,MATCH("SC_COMM|"&amp;AO29,Factors_ROT!$A$5:$A$200,0)),1)*IFERROR(INDEX(Factors_ROT!$F$5:$F$200,MATCH("SC_2Y|"&amp;AP29,Factors_ROT!$A$5:$A$200,0)),1)*IFERROR(INDEX(Factors_ROT!$F$5:$F$200,MATCH("SC_TPI|"&amp;AQ29,Factors_ROT!$A$5:$A$200,0)),1)*IFERROR(INDEX(Factors_ROT!$F$5:$F$200,MATCH("SC_FAT|"&amp;AR29,Factors_ROT!$A$5:$A$200,0)),1)</f>
        <v>0.98</v>
      </c>
      <c r="AX29" s="48" t="n">
        <f aca="false">AT29*AU29*AV29*AW29</f>
        <v>0.98</v>
      </c>
      <c r="AY29" s="47" t="n">
        <f aca="false">IF(ISNUMBER(AB29),AB29/AX29,"")</f>
        <v>290816.326530612</v>
      </c>
      <c r="AZ29" s="49" t="n">
        <f aca="false">IFERROR(IF(N(INDEX(Escalation_Index!$B$5:$B$25,MATCH(Y29,Escalation_Index!$A$5:$A$25,0)))&gt;0,INDEX(Escalation_Index!$B$5:$B$25,MATCH(Y29,Escalation_Index!$A$5:$A$25,0)),""),"")</f>
        <v>119.251</v>
      </c>
      <c r="BA29" s="49" t="n">
        <f aca="false">IF(ISNUMBER('Assumptions &amp; FX Reference'!$I$12),'Assumptions &amp; FX Reference'!$I$12,"")</f>
        <v>123.416</v>
      </c>
      <c r="BB29" s="45" t="str">
        <f aca="false">IF(AND(M29="API 610",LEFT(V29,11)="Centrifugal",OR(LEFT(G29,2)="S-",LEFT(G29,2)="D-")),"Y","N")</f>
        <v>N</v>
      </c>
      <c r="BC29" s="47" t="n">
        <f aca="false">IF(ISNUMBER(AG29),AG29/AX29,"")</f>
        <v>300973.474059773</v>
      </c>
      <c r="BD29" s="47" t="n">
        <f aca="false">IF(AND(ISNUMBER(BC29),ISNUMBER(K29)),IF(K29&gt;0,BC29/K29^'Assumptions &amp; FX Reference'!$I$16,""),"")</f>
        <v>34765.8220251617</v>
      </c>
      <c r="BE29" s="42" t="s">
        <v>407</v>
      </c>
      <c r="BF29" s="42" t="s">
        <v>408</v>
      </c>
      <c r="BG29" s="42" t="s">
        <v>369</v>
      </c>
      <c r="BH29" s="45" t="s">
        <v>313</v>
      </c>
      <c r="BI29" s="45" t="str">
        <f aca="false">"PMP-"&amp;TEXT(A29,"0000")</f>
        <v>PMP-0025</v>
      </c>
    </row>
    <row r="30" customFormat="false" ht="24" hidden="false" customHeight="true" outlineLevel="0" collapsed="false">
      <c r="A30" s="42" t="n">
        <v>26</v>
      </c>
      <c r="B30" s="42" t="s">
        <v>409</v>
      </c>
      <c r="C30" s="42" t="s">
        <v>361</v>
      </c>
      <c r="D30" s="42" t="s">
        <v>410</v>
      </c>
      <c r="E30" s="42" t="s">
        <v>57</v>
      </c>
      <c r="F30" s="42" t="s">
        <v>123</v>
      </c>
      <c r="G30" s="42" t="s">
        <v>123</v>
      </c>
      <c r="H30" s="43"/>
      <c r="I30" s="43"/>
      <c r="J30" s="43" t="n">
        <v>0.45</v>
      </c>
      <c r="K30" s="44" t="n">
        <f aca="false">IF(ISNUMBER(J30),J30,IF(AND(ISNUMBER(H30),ISNUMBER(I30)),H30*I30/(367*'Assumptions &amp; FX Reference'!$I$17),""))</f>
        <v>0.45</v>
      </c>
      <c r="L30" s="45" t="str">
        <f aca="false">IF(IF(OR(M30="Not stated",M30=""),""," + "&amp;M30)&amp;IF(OR(N30="None",N30=""),""," + "&amp;N30)&amp;IF(O30="Y"," + NACE MR0175","")="","Not stated",MID(IF(OR(M30="Not stated",M30=""),""," + "&amp;M30)&amp;IF(OR(N30="None",N30=""),""," + "&amp;N30)&amp;IF(O30="Y"," + NACE MR0175",""),4,300))</f>
        <v>Not stated</v>
      </c>
      <c r="M30" s="42" t="s">
        <v>123</v>
      </c>
      <c r="N30" s="42" t="s">
        <v>303</v>
      </c>
      <c r="O30" s="42" t="s">
        <v>123</v>
      </c>
      <c r="P30" s="42" t="s">
        <v>123</v>
      </c>
      <c r="Q30" s="42" t="s">
        <v>123</v>
      </c>
      <c r="R30" s="42" t="s">
        <v>123</v>
      </c>
      <c r="S30" s="50" t="s">
        <v>304</v>
      </c>
      <c r="T30" s="42" t="s">
        <v>411</v>
      </c>
      <c r="U30" s="42" t="n">
        <v>3</v>
      </c>
      <c r="V30" s="50" t="s">
        <v>306</v>
      </c>
      <c r="W30" s="43" t="n">
        <v>2</v>
      </c>
      <c r="X30" s="42" t="s">
        <v>123</v>
      </c>
      <c r="Y30" s="50" t="n">
        <v>1402</v>
      </c>
      <c r="Z30" s="42" t="s">
        <v>363</v>
      </c>
      <c r="AA30" s="46" t="n">
        <v>9000</v>
      </c>
      <c r="AB30" s="47" t="n">
        <f aca="false">IF(NOT(ISNUMBER(AA30)),"",IF(NOT(ISNUMBER(Y30)),"",IFERROR(IF(Z30="EUR",AA30,IF(Z30="IRR",AA30/INDEX('Assumptions &amp; FX Reference'!$C$5:$C$25,MATCH(Y30,'Assumptions &amp; FX Reference'!$A$5:$A$25,0)),IF(Z30="USD",AA30*INDEX('Assumptions &amp; FX Reference'!$B$5:$B$25,MATCH(Y30,'Assumptions &amp; FX Reference'!$A$5:$A$25,0))/INDEX('Assumptions &amp; FX Reference'!$C$5:$C$25,MATCH(Y30,'Assumptions &amp; FX Reference'!$A$5:$A$25,0)),""))),"")))</f>
        <v>9000</v>
      </c>
      <c r="AC30" s="47" t="n">
        <f aca="false">IF(NOT(ISNUMBER(AA30)),"",IF(NOT(ISNUMBER(Y30)),"",IFERROR(IF(Z30="USD",AA30,IF(Z30="IRR",AA30/INDEX('Assumptions &amp; FX Reference'!$B$5:$B$25,MATCH(Y30,'Assumptions &amp; FX Reference'!$A$5:$A$25,0)),IF(Z30="EUR",AA30*INDEX('Assumptions &amp; FX Reference'!$C$5:$C$25,MATCH(Y30,'Assumptions &amp; FX Reference'!$A$5:$A$25,0))/INDEX('Assumptions &amp; FX Reference'!$B$5:$B$25,MATCH(Y30,'Assumptions &amp; FX Reference'!$A$5:$A$25,0)),""))),"")))</f>
        <v>11346.4285714286</v>
      </c>
      <c r="AD30" s="51" t="n">
        <f aca="false">IF(NOT(ISNUMBER(AA30)),"",IF(NOT(ISNUMBER(Y30)),"",IFERROR(IF(Z30="IRR",AA30,IF(Z30="USD",AA30*INDEX('Assumptions &amp; FX Reference'!$B$5:$B$25,MATCH(Y30,'Assumptions &amp; FX Reference'!$A$5:$A$25,0)),IF(Z30="EUR",AA30*INDEX('Assumptions &amp; FX Reference'!$C$5:$C$25,MATCH(Y30,'Assumptions &amp; FX Reference'!$A$5:$A$25,0)),""))),"")))</f>
        <v>4765500000</v>
      </c>
      <c r="AE30" s="42" t="s">
        <v>364</v>
      </c>
      <c r="AF30" s="50" t="s">
        <v>201</v>
      </c>
      <c r="AG30" s="47" t="n">
        <f aca="false">IF(AND(Z30="EUR",N(AA30)&gt;5000000),"",IF(AND(ISNUMBER(AB30),ISNUMBER(AZ30),ISNUMBER(BA30)),IF(AND(BB30="Y",ISNUMBER('Assumptions &amp; FX Reference'!$I$15)),MAX(AB30*BA30/AZ30,'Assumptions &amp; FX Reference'!$I$13*BA30/'Assumptions &amp; FX Reference'!$I$15),AB30*BA30/AZ30),""))</f>
        <v>9314.33698669194</v>
      </c>
      <c r="AH30" s="47" t="n">
        <f aca="false">IF(AND(ISNUMBER(AG30),ISNUMBER('Assumptions &amp; FX Reference'!$I$8),ISNUMBER('Assumptions &amp; FX Reference'!$I$11)),AG30*'Assumptions &amp; FX Reference'!$I$8/'Assumptions &amp; FX Reference'!$I$11,"")</f>
        <v>9833.91940580552</v>
      </c>
      <c r="AI30" s="47" t="n">
        <f aca="false">IF(AND(ISNUMBER(AG30),ISNUMBER('Assumptions &amp; FX Reference'!$I$8)),AG30*'Assumptions &amp; FX Reference'!$I$8,"")</f>
        <v>6475960448.06333</v>
      </c>
      <c r="AJ30" s="42" t="s">
        <v>365</v>
      </c>
      <c r="AK30" s="42" t="s">
        <v>366</v>
      </c>
      <c r="AL30" s="42" t="s">
        <v>123</v>
      </c>
      <c r="AM30" s="42" t="s">
        <v>123</v>
      </c>
      <c r="AN30" s="42" t="s">
        <v>123</v>
      </c>
      <c r="AO30" s="50" t="s">
        <v>312</v>
      </c>
      <c r="AP30" s="50" t="s">
        <v>312</v>
      </c>
      <c r="AQ30" s="50" t="s">
        <v>312</v>
      </c>
      <c r="AR30" s="42" t="s">
        <v>123</v>
      </c>
      <c r="AS30" s="45" t="str">
        <f aca="false">IF(AND(Z30="EUR",N(AA30)&gt;5000000),"Check currency (EUR&gt;5M); ","")&amp;IF(NOT(ISNUMBER(AA30)),"No price; ","")&amp;IF(G30="Not stated","Material missing; ","")&amp;IF(P30="Not stated","Seal missing; ","")&amp;IF(K30="","Size driver missing; ","")&amp;IF(NOT(ISNUMBER(AZ30)),"Base-year PPI missing; ","")</f>
        <v>Material missing; Seal missing; </v>
      </c>
      <c r="AT30" s="48" t="n">
        <f aca="false">IFERROR(INDEX(Factors_ROT!$F$5:$F$200,MATCH("MAT|"&amp;G30,Factors_ROT!$A$5:$A$200,0)),1)</f>
        <v>1</v>
      </c>
      <c r="AU30" s="48" t="n">
        <f aca="false">IFERROR(INDEX(Factors_ROT!$F$5:$F$200,MATCH("SEAL_ARR|"&amp;P30,Factors_ROT!$A$5:$A$200,0)),1)*IFERROR(INDEX(Factors_ROT!$F$5:$F$200,MATCH("SEAL_CAT|"&amp;Q30,Factors_ROT!$A$5:$A$200,0)),1)*IFERROR(INDEX(Factors_ROT!$F$5:$F$200,MATCH("SEAL_PLAN|"&amp;R30,Factors_ROT!$A$5:$A$200,0)),1)</f>
        <v>1</v>
      </c>
      <c r="AV30" s="48" t="n">
        <f aca="false">IFERROR(INDEX(Factors_ROT!$F$5:$F$200,MATCH("DRV|"&amp;S30,Factors_ROT!$A$5:$A$200,0)),1)*IFERROR(INDEX(Factors_ROT!$F$5:$F$200,MATCH("NACE|"&amp;O30,Factors_ROT!$A$5:$A$200,0)),1)</f>
        <v>1</v>
      </c>
      <c r="AW30" s="48" t="n">
        <f aca="false">IFERROR(INDEX(Factors_ROT!$F$5:$F$200,MATCH("SC_DRV|"&amp;AL30,Factors_ROT!$A$5:$A$200,0)),1)*IFERROR(INDEX(Factors_ROT!$F$5:$F$200,MATCH("SC_BSP|"&amp;AM30,Factors_ROT!$A$5:$A$200,0)),1)*IFERROR(INDEX(Factors_ROT!$F$5:$F$200,MATCH("SC_SEAL|"&amp;AN30,Factors_ROT!$A$5:$A$200,0)),1)*IFERROR(INDEX(Factors_ROT!$F$5:$F$200,MATCH("SC_COMM|"&amp;AO30,Factors_ROT!$A$5:$A$200,0)),1)*IFERROR(INDEX(Factors_ROT!$F$5:$F$200,MATCH("SC_2Y|"&amp;AP30,Factors_ROT!$A$5:$A$200,0)),1)*IFERROR(INDEX(Factors_ROT!$F$5:$F$200,MATCH("SC_TPI|"&amp;AQ30,Factors_ROT!$A$5:$A$200,0)),1)*IFERROR(INDEX(Factors_ROT!$F$5:$F$200,MATCH("SC_FAT|"&amp;AR30,Factors_ROT!$A$5:$A$200,0)),1)</f>
        <v>0.98</v>
      </c>
      <c r="AX30" s="48" t="n">
        <f aca="false">AT30*AU30*AV30*AW30</f>
        <v>0.98</v>
      </c>
      <c r="AY30" s="47" t="n">
        <f aca="false">IF(ISNUMBER(AB30),AB30/AX30,"")</f>
        <v>9183.67346938776</v>
      </c>
      <c r="AZ30" s="49" t="n">
        <f aca="false">IFERROR(IF(N(INDEX(Escalation_Index!$B$5:$B$25,MATCH(Y30,Escalation_Index!$A$5:$A$25,0)))&gt;0,INDEX(Escalation_Index!$B$5:$B$25,MATCH(Y30,Escalation_Index!$A$5:$A$25,0)),""),"")</f>
        <v>119.251</v>
      </c>
      <c r="BA30" s="49" t="n">
        <f aca="false">IF(ISNUMBER('Assumptions &amp; FX Reference'!$I$12),'Assumptions &amp; FX Reference'!$I$12,"")</f>
        <v>123.416</v>
      </c>
      <c r="BB30" s="45" t="str">
        <f aca="false">IF(AND(M30="API 610",LEFT(V30,11)="Centrifugal",OR(LEFT(G30,2)="S-",LEFT(G30,2)="D-")),"Y","N")</f>
        <v>N</v>
      </c>
      <c r="BC30" s="47" t="n">
        <f aca="false">IF(ISNUMBER(AG30),AG30/AX30,"")</f>
        <v>9504.42549662442</v>
      </c>
      <c r="BD30" s="47" t="n">
        <f aca="false">IF(AND(ISNUMBER(BC30),ISNUMBER(K30)),IF(K30&gt;0,BC30/K30^'Assumptions &amp; FX Reference'!$I$16,""),"")</f>
        <v>15346.111962692</v>
      </c>
      <c r="BE30" s="42" t="s">
        <v>412</v>
      </c>
      <c r="BF30" s="42" t="s">
        <v>413</v>
      </c>
      <c r="BG30" s="42" t="s">
        <v>369</v>
      </c>
      <c r="BH30" s="45" t="s">
        <v>313</v>
      </c>
      <c r="BI30" s="45" t="str">
        <f aca="false">"PMP-"&amp;TEXT(A30,"0000")</f>
        <v>PMP-0026</v>
      </c>
    </row>
    <row r="31" customFormat="false" ht="24" hidden="false" customHeight="true" outlineLevel="0" collapsed="false">
      <c r="A31" s="42" t="n">
        <v>27</v>
      </c>
      <c r="B31" s="42" t="s">
        <v>414</v>
      </c>
      <c r="C31" s="42" t="s">
        <v>361</v>
      </c>
      <c r="D31" s="42" t="s">
        <v>415</v>
      </c>
      <c r="E31" s="42" t="s">
        <v>54</v>
      </c>
      <c r="F31" s="42" t="s">
        <v>123</v>
      </c>
      <c r="G31" s="42" t="s">
        <v>123</v>
      </c>
      <c r="H31" s="43" t="n">
        <v>15</v>
      </c>
      <c r="I31" s="43"/>
      <c r="J31" s="43" t="n">
        <v>0.33</v>
      </c>
      <c r="K31" s="44" t="n">
        <f aca="false">IF(ISNUMBER(J31),J31,IF(AND(ISNUMBER(H31),ISNUMBER(I31)),H31*I31/(367*'Assumptions &amp; FX Reference'!$I$17),""))</f>
        <v>0.33</v>
      </c>
      <c r="L31" s="45" t="str">
        <f aca="false">IF(IF(OR(M31="Not stated",M31=""),""," + "&amp;M31)&amp;IF(OR(N31="None",N31=""),""," + "&amp;N31)&amp;IF(O31="Y"," + NACE MR0175","")="","Not stated",MID(IF(OR(M31="Not stated",M31=""),""," + "&amp;M31)&amp;IF(OR(N31="None",N31=""),""," + "&amp;N31)&amp;IF(O31="Y"," + NACE MR0175",""),4,300))</f>
        <v>Not stated</v>
      </c>
      <c r="M31" s="42" t="s">
        <v>123</v>
      </c>
      <c r="N31" s="42" t="s">
        <v>303</v>
      </c>
      <c r="O31" s="42" t="s">
        <v>123</v>
      </c>
      <c r="P31" s="42" t="s">
        <v>123</v>
      </c>
      <c r="Q31" s="42" t="s">
        <v>123</v>
      </c>
      <c r="R31" s="42" t="s">
        <v>123</v>
      </c>
      <c r="S31" s="50" t="s">
        <v>304</v>
      </c>
      <c r="T31" s="42" t="s">
        <v>342</v>
      </c>
      <c r="U31" s="42" t="n">
        <v>2</v>
      </c>
      <c r="V31" s="50" t="s">
        <v>306</v>
      </c>
      <c r="W31" s="43" t="n">
        <v>0.8</v>
      </c>
      <c r="X31" s="42" t="s">
        <v>123</v>
      </c>
      <c r="Y31" s="50" t="n">
        <v>1402</v>
      </c>
      <c r="Z31" s="42" t="s">
        <v>363</v>
      </c>
      <c r="AA31" s="46" t="n">
        <v>28000</v>
      </c>
      <c r="AB31" s="47" t="n">
        <f aca="false">IF(NOT(ISNUMBER(AA31)),"",IF(NOT(ISNUMBER(Y31)),"",IFERROR(IF(Z31="EUR",AA31,IF(Z31="IRR",AA31/INDEX('Assumptions &amp; FX Reference'!$C$5:$C$25,MATCH(Y31,'Assumptions &amp; FX Reference'!$A$5:$A$25,0)),IF(Z31="USD",AA31*INDEX('Assumptions &amp; FX Reference'!$B$5:$B$25,MATCH(Y31,'Assumptions &amp; FX Reference'!$A$5:$A$25,0))/INDEX('Assumptions &amp; FX Reference'!$C$5:$C$25,MATCH(Y31,'Assumptions &amp; FX Reference'!$A$5:$A$25,0)),""))),"")))</f>
        <v>28000</v>
      </c>
      <c r="AC31" s="47" t="n">
        <f aca="false">IF(NOT(ISNUMBER(AA31)),"",IF(NOT(ISNUMBER(Y31)),"",IFERROR(IF(Z31="USD",AA31,IF(Z31="IRR",AA31/INDEX('Assumptions &amp; FX Reference'!$B$5:$B$25,MATCH(Y31,'Assumptions &amp; FX Reference'!$A$5:$A$25,0)),IF(Z31="EUR",AA31*INDEX('Assumptions &amp; FX Reference'!$C$5:$C$25,MATCH(Y31,'Assumptions &amp; FX Reference'!$A$5:$A$25,0))/INDEX('Assumptions &amp; FX Reference'!$B$5:$B$25,MATCH(Y31,'Assumptions &amp; FX Reference'!$A$5:$A$25,0)),""))),"")))</f>
        <v>35300</v>
      </c>
      <c r="AD31" s="51" t="n">
        <f aca="false">IF(NOT(ISNUMBER(AA31)),"",IF(NOT(ISNUMBER(Y31)),"",IFERROR(IF(Z31="IRR",AA31,IF(Z31="USD",AA31*INDEX('Assumptions &amp; FX Reference'!$B$5:$B$25,MATCH(Y31,'Assumptions &amp; FX Reference'!$A$5:$A$25,0)),IF(Z31="EUR",AA31*INDEX('Assumptions &amp; FX Reference'!$C$5:$C$25,MATCH(Y31,'Assumptions &amp; FX Reference'!$A$5:$A$25,0)),""))),"")))</f>
        <v>14826000000</v>
      </c>
      <c r="AE31" s="42" t="s">
        <v>364</v>
      </c>
      <c r="AF31" s="50" t="s">
        <v>201</v>
      </c>
      <c r="AG31" s="47" t="n">
        <f aca="false">IF(AND(Z31="EUR",N(AA31)&gt;5000000),"",IF(AND(ISNUMBER(AB31),ISNUMBER(AZ31),ISNUMBER(BA31)),IF(AND(BB31="Y",ISNUMBER('Assumptions &amp; FX Reference'!$I$15)),MAX(AB31*BA31/AZ31,'Assumptions &amp; FX Reference'!$I$13*BA31/'Assumptions &amp; FX Reference'!$I$15),AB31*BA31/AZ31),""))</f>
        <v>28977.9372919305</v>
      </c>
      <c r="AH31" s="47" t="n">
        <f aca="false">IF(AND(ISNUMBER(AG31),ISNUMBER('Assumptions &amp; FX Reference'!$I$8),ISNUMBER('Assumptions &amp; FX Reference'!$I$11)),AG31*'Assumptions &amp; FX Reference'!$I$8/'Assumptions &amp; FX Reference'!$I$11,"")</f>
        <v>30594.4159291727</v>
      </c>
      <c r="AI31" s="47" t="n">
        <f aca="false">IF(AND(ISNUMBER(AG31),ISNUMBER('Assumptions &amp; FX Reference'!$I$8)),AG31*'Assumptions &amp; FX Reference'!$I$8,"")</f>
        <v>20147432505.0859</v>
      </c>
      <c r="AJ31" s="42" t="s">
        <v>365</v>
      </c>
      <c r="AK31" s="42" t="s">
        <v>366</v>
      </c>
      <c r="AL31" s="42" t="s">
        <v>123</v>
      </c>
      <c r="AM31" s="42" t="s">
        <v>123</v>
      </c>
      <c r="AN31" s="42" t="s">
        <v>123</v>
      </c>
      <c r="AO31" s="50" t="s">
        <v>312</v>
      </c>
      <c r="AP31" s="50" t="s">
        <v>312</v>
      </c>
      <c r="AQ31" s="50" t="s">
        <v>312</v>
      </c>
      <c r="AR31" s="42" t="s">
        <v>123</v>
      </c>
      <c r="AS31" s="45" t="str">
        <f aca="false">IF(AND(Z31="EUR",N(AA31)&gt;5000000),"Check currency (EUR&gt;5M); ","")&amp;IF(NOT(ISNUMBER(AA31)),"No price; ","")&amp;IF(G31="Not stated","Material missing; ","")&amp;IF(P31="Not stated","Seal missing; ","")&amp;IF(K31="","Size driver missing; ","")&amp;IF(NOT(ISNUMBER(AZ31)),"Base-year PPI missing; ","")</f>
        <v>Material missing; Seal missing; </v>
      </c>
      <c r="AT31" s="48" t="n">
        <f aca="false">IFERROR(INDEX(Factors_ROT!$F$5:$F$200,MATCH("MAT|"&amp;G31,Factors_ROT!$A$5:$A$200,0)),1)</f>
        <v>1</v>
      </c>
      <c r="AU31" s="48" t="n">
        <f aca="false">IFERROR(INDEX(Factors_ROT!$F$5:$F$200,MATCH("SEAL_ARR|"&amp;P31,Factors_ROT!$A$5:$A$200,0)),1)*IFERROR(INDEX(Factors_ROT!$F$5:$F$200,MATCH("SEAL_CAT|"&amp;Q31,Factors_ROT!$A$5:$A$200,0)),1)*IFERROR(INDEX(Factors_ROT!$F$5:$F$200,MATCH("SEAL_PLAN|"&amp;R31,Factors_ROT!$A$5:$A$200,0)),1)</f>
        <v>1</v>
      </c>
      <c r="AV31" s="48" t="n">
        <f aca="false">IFERROR(INDEX(Factors_ROT!$F$5:$F$200,MATCH("DRV|"&amp;S31,Factors_ROT!$A$5:$A$200,0)),1)*IFERROR(INDEX(Factors_ROT!$F$5:$F$200,MATCH("NACE|"&amp;O31,Factors_ROT!$A$5:$A$200,0)),1)</f>
        <v>1</v>
      </c>
      <c r="AW31" s="48" t="n">
        <f aca="false">IFERROR(INDEX(Factors_ROT!$F$5:$F$200,MATCH("SC_DRV|"&amp;AL31,Factors_ROT!$A$5:$A$200,0)),1)*IFERROR(INDEX(Factors_ROT!$F$5:$F$200,MATCH("SC_BSP|"&amp;AM31,Factors_ROT!$A$5:$A$200,0)),1)*IFERROR(INDEX(Factors_ROT!$F$5:$F$200,MATCH("SC_SEAL|"&amp;AN31,Factors_ROT!$A$5:$A$200,0)),1)*IFERROR(INDEX(Factors_ROT!$F$5:$F$200,MATCH("SC_COMM|"&amp;AO31,Factors_ROT!$A$5:$A$200,0)),1)*IFERROR(INDEX(Factors_ROT!$F$5:$F$200,MATCH("SC_2Y|"&amp;AP31,Factors_ROT!$A$5:$A$200,0)),1)*IFERROR(INDEX(Factors_ROT!$F$5:$F$200,MATCH("SC_TPI|"&amp;AQ31,Factors_ROT!$A$5:$A$200,0)),1)*IFERROR(INDEX(Factors_ROT!$F$5:$F$200,MATCH("SC_FAT|"&amp;AR31,Factors_ROT!$A$5:$A$200,0)),1)</f>
        <v>0.98</v>
      </c>
      <c r="AX31" s="48" t="n">
        <f aca="false">AT31*AU31*AV31*AW31</f>
        <v>0.98</v>
      </c>
      <c r="AY31" s="47" t="n">
        <f aca="false">IF(ISNUMBER(AB31),AB31/AX31,"")</f>
        <v>28571.4285714286</v>
      </c>
      <c r="AZ31" s="49" t="n">
        <f aca="false">IFERROR(IF(N(INDEX(Escalation_Index!$B$5:$B$25,MATCH(Y31,Escalation_Index!$A$5:$A$25,0)))&gt;0,INDEX(Escalation_Index!$B$5:$B$25,MATCH(Y31,Escalation_Index!$A$5:$A$25,0)),""),"")</f>
        <v>119.251</v>
      </c>
      <c r="BA31" s="49" t="n">
        <f aca="false">IF(ISNUMBER('Assumptions &amp; FX Reference'!$I$12),'Assumptions &amp; FX Reference'!$I$12,"")</f>
        <v>123.416</v>
      </c>
      <c r="BB31" s="45" t="str">
        <f aca="false">IF(AND(M31="API 610",LEFT(V31,11)="Centrifugal",OR(LEFT(G31,2)="S-",LEFT(G31,2)="D-")),"Y","N")</f>
        <v>N</v>
      </c>
      <c r="BC31" s="47" t="n">
        <f aca="false">IF(ISNUMBER(AG31),AG31/AX31,"")</f>
        <v>29569.323767276</v>
      </c>
      <c r="BD31" s="47" t="n">
        <f aca="false">IF(AND(ISNUMBER(BC31),ISNUMBER(K31)),IF(K31&gt;0,BC31/K31^'Assumptions &amp; FX Reference'!$I$16,""),"")</f>
        <v>57508.6309166817</v>
      </c>
      <c r="BE31" s="42" t="s">
        <v>416</v>
      </c>
      <c r="BF31" s="42" t="s">
        <v>417</v>
      </c>
      <c r="BG31" s="42" t="s">
        <v>369</v>
      </c>
      <c r="BH31" s="45" t="s">
        <v>313</v>
      </c>
      <c r="BI31" s="45" t="str">
        <f aca="false">"PMP-"&amp;TEXT(A31,"0000")</f>
        <v>PMP-0027</v>
      </c>
    </row>
    <row r="32" customFormat="false" ht="24" hidden="false" customHeight="true" outlineLevel="0" collapsed="false">
      <c r="A32" s="42" t="n">
        <v>28</v>
      </c>
      <c r="B32" s="42" t="s">
        <v>418</v>
      </c>
      <c r="C32" s="42" t="s">
        <v>361</v>
      </c>
      <c r="D32" s="42" t="s">
        <v>419</v>
      </c>
      <c r="E32" s="42" t="s">
        <v>54</v>
      </c>
      <c r="F32" s="42" t="s">
        <v>123</v>
      </c>
      <c r="G32" s="42" t="s">
        <v>123</v>
      </c>
      <c r="H32" s="43" t="n">
        <v>27.5</v>
      </c>
      <c r="I32" s="43"/>
      <c r="J32" s="43" t="n">
        <v>3.3</v>
      </c>
      <c r="K32" s="44" t="n">
        <f aca="false">IF(ISNUMBER(J32),J32,IF(AND(ISNUMBER(H32),ISNUMBER(I32)),H32*I32/(367*'Assumptions &amp; FX Reference'!$I$17),""))</f>
        <v>3.3</v>
      </c>
      <c r="L32" s="45" t="str">
        <f aca="false">IF(IF(OR(M32="Not stated",M32=""),""," + "&amp;M32)&amp;IF(OR(N32="None",N32=""),""," + "&amp;N32)&amp;IF(O32="Y"," + NACE MR0175","")="","Not stated",MID(IF(OR(M32="Not stated",M32=""),""," + "&amp;M32)&amp;IF(OR(N32="None",N32=""),""," + "&amp;N32)&amp;IF(O32="Y"," + NACE MR0175",""),4,300))</f>
        <v>Not stated</v>
      </c>
      <c r="M32" s="42" t="s">
        <v>123</v>
      </c>
      <c r="N32" s="42" t="s">
        <v>303</v>
      </c>
      <c r="O32" s="42" t="s">
        <v>123</v>
      </c>
      <c r="P32" s="42" t="s">
        <v>123</v>
      </c>
      <c r="Q32" s="42" t="s">
        <v>123</v>
      </c>
      <c r="R32" s="42" t="s">
        <v>123</v>
      </c>
      <c r="S32" s="50" t="s">
        <v>304</v>
      </c>
      <c r="T32" s="42" t="s">
        <v>342</v>
      </c>
      <c r="U32" s="42" t="n">
        <v>2</v>
      </c>
      <c r="V32" s="50" t="s">
        <v>306</v>
      </c>
      <c r="W32" s="43" t="n">
        <v>4.3</v>
      </c>
      <c r="X32" s="42" t="s">
        <v>123</v>
      </c>
      <c r="Y32" s="50" t="n">
        <v>1402</v>
      </c>
      <c r="Z32" s="42" t="s">
        <v>363</v>
      </c>
      <c r="AA32" s="46" t="n">
        <v>53000</v>
      </c>
      <c r="AB32" s="47" t="n">
        <f aca="false">IF(NOT(ISNUMBER(AA32)),"",IF(NOT(ISNUMBER(Y32)),"",IFERROR(IF(Z32="EUR",AA32,IF(Z32="IRR",AA32/INDEX('Assumptions &amp; FX Reference'!$C$5:$C$25,MATCH(Y32,'Assumptions &amp; FX Reference'!$A$5:$A$25,0)),IF(Z32="USD",AA32*INDEX('Assumptions &amp; FX Reference'!$B$5:$B$25,MATCH(Y32,'Assumptions &amp; FX Reference'!$A$5:$A$25,0))/INDEX('Assumptions &amp; FX Reference'!$C$5:$C$25,MATCH(Y32,'Assumptions &amp; FX Reference'!$A$5:$A$25,0)),""))),"")))</f>
        <v>53000</v>
      </c>
      <c r="AC32" s="47" t="n">
        <f aca="false">IF(NOT(ISNUMBER(AA32)),"",IF(NOT(ISNUMBER(Y32)),"",IFERROR(IF(Z32="USD",AA32,IF(Z32="IRR",AA32/INDEX('Assumptions &amp; FX Reference'!$B$5:$B$25,MATCH(Y32,'Assumptions &amp; FX Reference'!$A$5:$A$25,0)),IF(Z32="EUR",AA32*INDEX('Assumptions &amp; FX Reference'!$C$5:$C$25,MATCH(Y32,'Assumptions &amp; FX Reference'!$A$5:$A$25,0))/INDEX('Assumptions &amp; FX Reference'!$B$5:$B$25,MATCH(Y32,'Assumptions &amp; FX Reference'!$A$5:$A$25,0)),""))),"")))</f>
        <v>66817.8571428571</v>
      </c>
      <c r="AD32" s="51" t="n">
        <f aca="false">IF(NOT(ISNUMBER(AA32)),"",IF(NOT(ISNUMBER(Y32)),"",IFERROR(IF(Z32="IRR",AA32,IF(Z32="USD",AA32*INDEX('Assumptions &amp; FX Reference'!$B$5:$B$25,MATCH(Y32,'Assumptions &amp; FX Reference'!$A$5:$A$25,0)),IF(Z32="EUR",AA32*INDEX('Assumptions &amp; FX Reference'!$C$5:$C$25,MATCH(Y32,'Assumptions &amp; FX Reference'!$A$5:$A$25,0)),""))),"")))</f>
        <v>28063500000</v>
      </c>
      <c r="AE32" s="42" t="s">
        <v>364</v>
      </c>
      <c r="AF32" s="50" t="s">
        <v>201</v>
      </c>
      <c r="AG32" s="47" t="n">
        <f aca="false">IF(AND(Z32="EUR",N(AA32)&gt;5000000),"",IF(AND(ISNUMBER(AB32),ISNUMBER(AZ32),ISNUMBER(BA32)),IF(AND(BB32="Y",ISNUMBER('Assumptions &amp; FX Reference'!$I$15)),MAX(AB32*BA32/AZ32,'Assumptions &amp; FX Reference'!$I$13*BA32/'Assumptions &amp; FX Reference'!$I$15),AB32*BA32/AZ32),""))</f>
        <v>54851.095588297</v>
      </c>
      <c r="AH32" s="47" t="n">
        <f aca="false">IF(AND(ISNUMBER(AG32),ISNUMBER('Assumptions &amp; FX Reference'!$I$8),ISNUMBER('Assumptions &amp; FX Reference'!$I$11)),AG32*'Assumptions &amp; FX Reference'!$I$8/'Assumptions &amp; FX Reference'!$I$11,"")</f>
        <v>57910.858723077</v>
      </c>
      <c r="AI32" s="47" t="n">
        <f aca="false">IF(AND(ISNUMBER(AG32),ISNUMBER('Assumptions &amp; FX Reference'!$I$8)),AG32*'Assumptions &amp; FX Reference'!$I$8,"")</f>
        <v>38136211527.4841</v>
      </c>
      <c r="AJ32" s="42" t="s">
        <v>365</v>
      </c>
      <c r="AK32" s="42" t="s">
        <v>366</v>
      </c>
      <c r="AL32" s="42" t="s">
        <v>123</v>
      </c>
      <c r="AM32" s="42" t="s">
        <v>123</v>
      </c>
      <c r="AN32" s="42" t="s">
        <v>123</v>
      </c>
      <c r="AO32" s="50" t="s">
        <v>312</v>
      </c>
      <c r="AP32" s="50" t="s">
        <v>312</v>
      </c>
      <c r="AQ32" s="50" t="s">
        <v>312</v>
      </c>
      <c r="AR32" s="42" t="s">
        <v>123</v>
      </c>
      <c r="AS32" s="45" t="str">
        <f aca="false">IF(AND(Z32="EUR",N(AA32)&gt;5000000),"Check currency (EUR&gt;5M); ","")&amp;IF(NOT(ISNUMBER(AA32)),"No price; ","")&amp;IF(G32="Not stated","Material missing; ","")&amp;IF(P32="Not stated","Seal missing; ","")&amp;IF(K32="","Size driver missing; ","")&amp;IF(NOT(ISNUMBER(AZ32)),"Base-year PPI missing; ","")</f>
        <v>Material missing; Seal missing; </v>
      </c>
      <c r="AT32" s="48" t="n">
        <f aca="false">IFERROR(INDEX(Factors_ROT!$F$5:$F$200,MATCH("MAT|"&amp;G32,Factors_ROT!$A$5:$A$200,0)),1)</f>
        <v>1</v>
      </c>
      <c r="AU32" s="48" t="n">
        <f aca="false">IFERROR(INDEX(Factors_ROT!$F$5:$F$200,MATCH("SEAL_ARR|"&amp;P32,Factors_ROT!$A$5:$A$200,0)),1)*IFERROR(INDEX(Factors_ROT!$F$5:$F$200,MATCH("SEAL_CAT|"&amp;Q32,Factors_ROT!$A$5:$A$200,0)),1)*IFERROR(INDEX(Factors_ROT!$F$5:$F$200,MATCH("SEAL_PLAN|"&amp;R32,Factors_ROT!$A$5:$A$200,0)),1)</f>
        <v>1</v>
      </c>
      <c r="AV32" s="48" t="n">
        <f aca="false">IFERROR(INDEX(Factors_ROT!$F$5:$F$200,MATCH("DRV|"&amp;S32,Factors_ROT!$A$5:$A$200,0)),1)*IFERROR(INDEX(Factors_ROT!$F$5:$F$200,MATCH("NACE|"&amp;O32,Factors_ROT!$A$5:$A$200,0)),1)</f>
        <v>1</v>
      </c>
      <c r="AW32" s="48" t="n">
        <f aca="false">IFERROR(INDEX(Factors_ROT!$F$5:$F$200,MATCH("SC_DRV|"&amp;AL32,Factors_ROT!$A$5:$A$200,0)),1)*IFERROR(INDEX(Factors_ROT!$F$5:$F$200,MATCH("SC_BSP|"&amp;AM32,Factors_ROT!$A$5:$A$200,0)),1)*IFERROR(INDEX(Factors_ROT!$F$5:$F$200,MATCH("SC_SEAL|"&amp;AN32,Factors_ROT!$A$5:$A$200,0)),1)*IFERROR(INDEX(Factors_ROT!$F$5:$F$200,MATCH("SC_COMM|"&amp;AO32,Factors_ROT!$A$5:$A$200,0)),1)*IFERROR(INDEX(Factors_ROT!$F$5:$F$200,MATCH("SC_2Y|"&amp;AP32,Factors_ROT!$A$5:$A$200,0)),1)*IFERROR(INDEX(Factors_ROT!$F$5:$F$200,MATCH("SC_TPI|"&amp;AQ32,Factors_ROT!$A$5:$A$200,0)),1)*IFERROR(INDEX(Factors_ROT!$F$5:$F$200,MATCH("SC_FAT|"&amp;AR32,Factors_ROT!$A$5:$A$200,0)),1)</f>
        <v>0.98</v>
      </c>
      <c r="AX32" s="48" t="n">
        <f aca="false">AT32*AU32*AV32*AW32</f>
        <v>0.98</v>
      </c>
      <c r="AY32" s="47" t="n">
        <f aca="false">IF(ISNUMBER(AB32),AB32/AX32,"")</f>
        <v>54081.6326530612</v>
      </c>
      <c r="AZ32" s="49" t="n">
        <f aca="false">IFERROR(IF(N(INDEX(Escalation_Index!$B$5:$B$25,MATCH(Y32,Escalation_Index!$A$5:$A$25,0)))&gt;0,INDEX(Escalation_Index!$B$5:$B$25,MATCH(Y32,Escalation_Index!$A$5:$A$25,0)),""),"")</f>
        <v>119.251</v>
      </c>
      <c r="BA32" s="49" t="n">
        <f aca="false">IF(ISNUMBER('Assumptions &amp; FX Reference'!$I$12),'Assumptions &amp; FX Reference'!$I$12,"")</f>
        <v>123.416</v>
      </c>
      <c r="BB32" s="45" t="str">
        <f aca="false">IF(AND(M32="API 610",LEFT(V32,11)="Centrifugal",OR(LEFT(G32,2)="S-",LEFT(G32,2)="D-")),"Y","N")</f>
        <v>N</v>
      </c>
      <c r="BC32" s="47" t="n">
        <f aca="false">IF(ISNUMBER(AG32),AG32/AX32,"")</f>
        <v>55970.5057023438</v>
      </c>
      <c r="BD32" s="47" t="n">
        <f aca="false">IF(AND(ISNUMBER(BC32),ISNUMBER(K32)),IF(K32&gt;0,BC32/K32^'Assumptions &amp; FX Reference'!$I$16,""),"")</f>
        <v>27343.2961921363</v>
      </c>
      <c r="BE32" s="42" t="s">
        <v>420</v>
      </c>
      <c r="BF32" s="42" t="s">
        <v>421</v>
      </c>
      <c r="BG32" s="42" t="s">
        <v>369</v>
      </c>
      <c r="BH32" s="45" t="s">
        <v>313</v>
      </c>
      <c r="BI32" s="45" t="str">
        <f aca="false">"PMP-"&amp;TEXT(A32,"0000")</f>
        <v>PMP-0028</v>
      </c>
    </row>
    <row r="33" customFormat="false" ht="24" hidden="false" customHeight="true" outlineLevel="0" collapsed="false">
      <c r="A33" s="42" t="n">
        <v>29</v>
      </c>
      <c r="B33" s="42" t="s">
        <v>422</v>
      </c>
      <c r="C33" s="42" t="s">
        <v>361</v>
      </c>
      <c r="D33" s="42" t="s">
        <v>423</v>
      </c>
      <c r="E33" s="42" t="s">
        <v>54</v>
      </c>
      <c r="F33" s="42" t="s">
        <v>123</v>
      </c>
      <c r="G33" s="42" t="s">
        <v>123</v>
      </c>
      <c r="H33" s="43" t="n">
        <v>5.5</v>
      </c>
      <c r="I33" s="43"/>
      <c r="J33" s="43" t="n">
        <v>0.11</v>
      </c>
      <c r="K33" s="44" t="n">
        <f aca="false">IF(ISNUMBER(J33),J33,IF(AND(ISNUMBER(H33),ISNUMBER(I33)),H33*I33/(367*'Assumptions &amp; FX Reference'!$I$17),""))</f>
        <v>0.11</v>
      </c>
      <c r="L33" s="45" t="str">
        <f aca="false">IF(IF(OR(M33="Not stated",M33=""),""," + "&amp;M33)&amp;IF(OR(N33="None",N33=""),""," + "&amp;N33)&amp;IF(O33="Y"," + NACE MR0175","")="","Not stated",MID(IF(OR(M33="Not stated",M33=""),""," + "&amp;M33)&amp;IF(OR(N33="None",N33=""),""," + "&amp;N33)&amp;IF(O33="Y"," + NACE MR0175",""),4,300))</f>
        <v>Not stated</v>
      </c>
      <c r="M33" s="42" t="s">
        <v>123</v>
      </c>
      <c r="N33" s="42" t="s">
        <v>303</v>
      </c>
      <c r="O33" s="42" t="s">
        <v>123</v>
      </c>
      <c r="P33" s="42" t="s">
        <v>123</v>
      </c>
      <c r="Q33" s="42" t="s">
        <v>123</v>
      </c>
      <c r="R33" s="42" t="s">
        <v>123</v>
      </c>
      <c r="S33" s="50" t="s">
        <v>304</v>
      </c>
      <c r="T33" s="42" t="s">
        <v>342</v>
      </c>
      <c r="U33" s="42" t="n">
        <v>2</v>
      </c>
      <c r="V33" s="50" t="s">
        <v>306</v>
      </c>
      <c r="W33" s="43" t="n">
        <v>7</v>
      </c>
      <c r="X33" s="42" t="s">
        <v>123</v>
      </c>
      <c r="Y33" s="50" t="n">
        <v>1402</v>
      </c>
      <c r="Z33" s="42" t="s">
        <v>363</v>
      </c>
      <c r="AA33" s="46" t="n">
        <v>53000</v>
      </c>
      <c r="AB33" s="47" t="n">
        <f aca="false">IF(NOT(ISNUMBER(AA33)),"",IF(NOT(ISNUMBER(Y33)),"",IFERROR(IF(Z33="EUR",AA33,IF(Z33="IRR",AA33/INDEX('Assumptions &amp; FX Reference'!$C$5:$C$25,MATCH(Y33,'Assumptions &amp; FX Reference'!$A$5:$A$25,0)),IF(Z33="USD",AA33*INDEX('Assumptions &amp; FX Reference'!$B$5:$B$25,MATCH(Y33,'Assumptions &amp; FX Reference'!$A$5:$A$25,0))/INDEX('Assumptions &amp; FX Reference'!$C$5:$C$25,MATCH(Y33,'Assumptions &amp; FX Reference'!$A$5:$A$25,0)),""))),"")))</f>
        <v>53000</v>
      </c>
      <c r="AC33" s="47" t="n">
        <f aca="false">IF(NOT(ISNUMBER(AA33)),"",IF(NOT(ISNUMBER(Y33)),"",IFERROR(IF(Z33="USD",AA33,IF(Z33="IRR",AA33/INDEX('Assumptions &amp; FX Reference'!$B$5:$B$25,MATCH(Y33,'Assumptions &amp; FX Reference'!$A$5:$A$25,0)),IF(Z33="EUR",AA33*INDEX('Assumptions &amp; FX Reference'!$C$5:$C$25,MATCH(Y33,'Assumptions &amp; FX Reference'!$A$5:$A$25,0))/INDEX('Assumptions &amp; FX Reference'!$B$5:$B$25,MATCH(Y33,'Assumptions &amp; FX Reference'!$A$5:$A$25,0)),""))),"")))</f>
        <v>66817.8571428571</v>
      </c>
      <c r="AD33" s="51" t="n">
        <f aca="false">IF(NOT(ISNUMBER(AA33)),"",IF(NOT(ISNUMBER(Y33)),"",IFERROR(IF(Z33="IRR",AA33,IF(Z33="USD",AA33*INDEX('Assumptions &amp; FX Reference'!$B$5:$B$25,MATCH(Y33,'Assumptions &amp; FX Reference'!$A$5:$A$25,0)),IF(Z33="EUR",AA33*INDEX('Assumptions &amp; FX Reference'!$C$5:$C$25,MATCH(Y33,'Assumptions &amp; FX Reference'!$A$5:$A$25,0)),""))),"")))</f>
        <v>28063500000</v>
      </c>
      <c r="AE33" s="42" t="s">
        <v>364</v>
      </c>
      <c r="AF33" s="50" t="s">
        <v>201</v>
      </c>
      <c r="AG33" s="47" t="n">
        <f aca="false">IF(AND(Z33="EUR",N(AA33)&gt;5000000),"",IF(AND(ISNUMBER(AB33),ISNUMBER(AZ33),ISNUMBER(BA33)),IF(AND(BB33="Y",ISNUMBER('Assumptions &amp; FX Reference'!$I$15)),MAX(AB33*BA33/AZ33,'Assumptions &amp; FX Reference'!$I$13*BA33/'Assumptions &amp; FX Reference'!$I$15),AB33*BA33/AZ33),""))</f>
        <v>54851.095588297</v>
      </c>
      <c r="AH33" s="47" t="n">
        <f aca="false">IF(AND(ISNUMBER(AG33),ISNUMBER('Assumptions &amp; FX Reference'!$I$8),ISNUMBER('Assumptions &amp; FX Reference'!$I$11)),AG33*'Assumptions &amp; FX Reference'!$I$8/'Assumptions &amp; FX Reference'!$I$11,"")</f>
        <v>57910.858723077</v>
      </c>
      <c r="AI33" s="47" t="n">
        <f aca="false">IF(AND(ISNUMBER(AG33),ISNUMBER('Assumptions &amp; FX Reference'!$I$8)),AG33*'Assumptions &amp; FX Reference'!$I$8,"")</f>
        <v>38136211527.4841</v>
      </c>
      <c r="AJ33" s="42" t="s">
        <v>365</v>
      </c>
      <c r="AK33" s="42" t="s">
        <v>366</v>
      </c>
      <c r="AL33" s="42" t="s">
        <v>123</v>
      </c>
      <c r="AM33" s="42" t="s">
        <v>123</v>
      </c>
      <c r="AN33" s="42" t="s">
        <v>123</v>
      </c>
      <c r="AO33" s="50" t="s">
        <v>312</v>
      </c>
      <c r="AP33" s="50" t="s">
        <v>312</v>
      </c>
      <c r="AQ33" s="50" t="s">
        <v>312</v>
      </c>
      <c r="AR33" s="42" t="s">
        <v>123</v>
      </c>
      <c r="AS33" s="45" t="str">
        <f aca="false">IF(AND(Z33="EUR",N(AA33)&gt;5000000),"Check currency (EUR&gt;5M); ","")&amp;IF(NOT(ISNUMBER(AA33)),"No price; ","")&amp;IF(G33="Not stated","Material missing; ","")&amp;IF(P33="Not stated","Seal missing; ","")&amp;IF(K33="","Size driver missing; ","")&amp;IF(NOT(ISNUMBER(AZ33)),"Base-year PPI missing; ","")</f>
        <v>Material missing; Seal missing; </v>
      </c>
      <c r="AT33" s="48" t="n">
        <f aca="false">IFERROR(INDEX(Factors_ROT!$F$5:$F$200,MATCH("MAT|"&amp;G33,Factors_ROT!$A$5:$A$200,0)),1)</f>
        <v>1</v>
      </c>
      <c r="AU33" s="48" t="n">
        <f aca="false">IFERROR(INDEX(Factors_ROT!$F$5:$F$200,MATCH("SEAL_ARR|"&amp;P33,Factors_ROT!$A$5:$A$200,0)),1)*IFERROR(INDEX(Factors_ROT!$F$5:$F$200,MATCH("SEAL_CAT|"&amp;Q33,Factors_ROT!$A$5:$A$200,0)),1)*IFERROR(INDEX(Factors_ROT!$F$5:$F$200,MATCH("SEAL_PLAN|"&amp;R33,Factors_ROT!$A$5:$A$200,0)),1)</f>
        <v>1</v>
      </c>
      <c r="AV33" s="48" t="n">
        <f aca="false">IFERROR(INDEX(Factors_ROT!$F$5:$F$200,MATCH("DRV|"&amp;S33,Factors_ROT!$A$5:$A$200,0)),1)*IFERROR(INDEX(Factors_ROT!$F$5:$F$200,MATCH("NACE|"&amp;O33,Factors_ROT!$A$5:$A$200,0)),1)</f>
        <v>1</v>
      </c>
      <c r="AW33" s="48" t="n">
        <f aca="false">IFERROR(INDEX(Factors_ROT!$F$5:$F$200,MATCH("SC_DRV|"&amp;AL33,Factors_ROT!$A$5:$A$200,0)),1)*IFERROR(INDEX(Factors_ROT!$F$5:$F$200,MATCH("SC_BSP|"&amp;AM33,Factors_ROT!$A$5:$A$200,0)),1)*IFERROR(INDEX(Factors_ROT!$F$5:$F$200,MATCH("SC_SEAL|"&amp;AN33,Factors_ROT!$A$5:$A$200,0)),1)*IFERROR(INDEX(Factors_ROT!$F$5:$F$200,MATCH("SC_COMM|"&amp;AO33,Factors_ROT!$A$5:$A$200,0)),1)*IFERROR(INDEX(Factors_ROT!$F$5:$F$200,MATCH("SC_2Y|"&amp;AP33,Factors_ROT!$A$5:$A$200,0)),1)*IFERROR(INDEX(Factors_ROT!$F$5:$F$200,MATCH("SC_TPI|"&amp;AQ33,Factors_ROT!$A$5:$A$200,0)),1)*IFERROR(INDEX(Factors_ROT!$F$5:$F$200,MATCH("SC_FAT|"&amp;AR33,Factors_ROT!$A$5:$A$200,0)),1)</f>
        <v>0.98</v>
      </c>
      <c r="AX33" s="48" t="n">
        <f aca="false">AT33*AU33*AV33*AW33</f>
        <v>0.98</v>
      </c>
      <c r="AY33" s="47" t="n">
        <f aca="false">IF(ISNUMBER(AB33),AB33/AX33,"")</f>
        <v>54081.6326530612</v>
      </c>
      <c r="AZ33" s="49" t="n">
        <f aca="false">IFERROR(IF(N(INDEX(Escalation_Index!$B$5:$B$25,MATCH(Y33,Escalation_Index!$A$5:$A$25,0)))&gt;0,INDEX(Escalation_Index!$B$5:$B$25,MATCH(Y33,Escalation_Index!$A$5:$A$25,0)),""),"")</f>
        <v>119.251</v>
      </c>
      <c r="BA33" s="49" t="n">
        <f aca="false">IF(ISNUMBER('Assumptions &amp; FX Reference'!$I$12),'Assumptions &amp; FX Reference'!$I$12,"")</f>
        <v>123.416</v>
      </c>
      <c r="BB33" s="45" t="str">
        <f aca="false">IF(AND(M33="API 610",LEFT(V33,11)="Centrifugal",OR(LEFT(G33,2)="S-",LEFT(G33,2)="D-")),"Y","N")</f>
        <v>N</v>
      </c>
      <c r="BC33" s="47" t="n">
        <f aca="false">IF(ISNUMBER(AG33),AG33/AX33,"")</f>
        <v>55970.5057023438</v>
      </c>
      <c r="BD33" s="47" t="n">
        <f aca="false">IF(AND(ISNUMBER(BC33),ISNUMBER(K33)),IF(K33&gt;0,BC33/K33^'Assumptions &amp; FX Reference'!$I$16,""),"")</f>
        <v>210437.735499537</v>
      </c>
      <c r="BE33" s="42" t="s">
        <v>424</v>
      </c>
      <c r="BF33" s="42" t="s">
        <v>425</v>
      </c>
      <c r="BG33" s="42" t="s">
        <v>369</v>
      </c>
      <c r="BH33" s="45" t="s">
        <v>313</v>
      </c>
      <c r="BI33" s="45" t="str">
        <f aca="false">"PMP-"&amp;TEXT(A33,"0000")</f>
        <v>PMP-0029</v>
      </c>
    </row>
    <row r="34" customFormat="false" ht="24" hidden="false" customHeight="true" outlineLevel="0" collapsed="false">
      <c r="A34" s="42" t="n">
        <v>30</v>
      </c>
      <c r="B34" s="42" t="s">
        <v>426</v>
      </c>
      <c r="C34" s="42" t="s">
        <v>361</v>
      </c>
      <c r="D34" s="42" t="s">
        <v>427</v>
      </c>
      <c r="E34" s="42" t="s">
        <v>48</v>
      </c>
      <c r="F34" s="42" t="s">
        <v>123</v>
      </c>
      <c r="G34" s="42" t="s">
        <v>123</v>
      </c>
      <c r="H34" s="43" t="n">
        <v>11</v>
      </c>
      <c r="I34" s="43"/>
      <c r="J34" s="43" t="n">
        <v>0.54</v>
      </c>
      <c r="K34" s="44" t="n">
        <f aca="false">IF(ISNUMBER(J34),J34,IF(AND(ISNUMBER(H34),ISNUMBER(I34)),H34*I34/(367*'Assumptions &amp; FX Reference'!$I$17),""))</f>
        <v>0.54</v>
      </c>
      <c r="L34" s="45" t="str">
        <f aca="false">IF(IF(OR(M34="Not stated",M34=""),""," + "&amp;M34)&amp;IF(OR(N34="None",N34=""),""," + "&amp;N34)&amp;IF(O34="Y"," + NACE MR0175","")="","Not stated",MID(IF(OR(M34="Not stated",M34=""),""," + "&amp;M34)&amp;IF(OR(N34="None",N34=""),""," + "&amp;N34)&amp;IF(O34="Y"," + NACE MR0175",""),4,300))</f>
        <v>Not stated</v>
      </c>
      <c r="M34" s="42" t="s">
        <v>123</v>
      </c>
      <c r="N34" s="42" t="s">
        <v>303</v>
      </c>
      <c r="O34" s="42" t="s">
        <v>123</v>
      </c>
      <c r="P34" s="42" t="s">
        <v>123</v>
      </c>
      <c r="Q34" s="42" t="s">
        <v>123</v>
      </c>
      <c r="R34" s="42" t="s">
        <v>123</v>
      </c>
      <c r="S34" s="50" t="s">
        <v>304</v>
      </c>
      <c r="T34" s="42" t="s">
        <v>327</v>
      </c>
      <c r="U34" s="42" t="n">
        <v>2</v>
      </c>
      <c r="V34" s="50" t="s">
        <v>306</v>
      </c>
      <c r="W34" s="43" t="n">
        <v>1.8</v>
      </c>
      <c r="X34" s="42" t="s">
        <v>123</v>
      </c>
      <c r="Y34" s="50" t="n">
        <v>1402</v>
      </c>
      <c r="Z34" s="42" t="s">
        <v>363</v>
      </c>
      <c r="AA34" s="46" t="n">
        <v>29000</v>
      </c>
      <c r="AB34" s="47" t="n">
        <f aca="false">IF(NOT(ISNUMBER(AA34)),"",IF(NOT(ISNUMBER(Y34)),"",IFERROR(IF(Z34="EUR",AA34,IF(Z34="IRR",AA34/INDEX('Assumptions &amp; FX Reference'!$C$5:$C$25,MATCH(Y34,'Assumptions &amp; FX Reference'!$A$5:$A$25,0)),IF(Z34="USD",AA34*INDEX('Assumptions &amp; FX Reference'!$B$5:$B$25,MATCH(Y34,'Assumptions &amp; FX Reference'!$A$5:$A$25,0))/INDEX('Assumptions &amp; FX Reference'!$C$5:$C$25,MATCH(Y34,'Assumptions &amp; FX Reference'!$A$5:$A$25,0)),""))),"")))</f>
        <v>29000</v>
      </c>
      <c r="AC34" s="47" t="n">
        <f aca="false">IF(NOT(ISNUMBER(AA34)),"",IF(NOT(ISNUMBER(Y34)),"",IFERROR(IF(Z34="USD",AA34,IF(Z34="IRR",AA34/INDEX('Assumptions &amp; FX Reference'!$B$5:$B$25,MATCH(Y34,'Assumptions &amp; FX Reference'!$A$5:$A$25,0)),IF(Z34="EUR",AA34*INDEX('Assumptions &amp; FX Reference'!$C$5:$C$25,MATCH(Y34,'Assumptions &amp; FX Reference'!$A$5:$A$25,0))/INDEX('Assumptions &amp; FX Reference'!$B$5:$B$25,MATCH(Y34,'Assumptions &amp; FX Reference'!$A$5:$A$25,0)),""))),"")))</f>
        <v>36560.7142857143</v>
      </c>
      <c r="AD34" s="51" t="n">
        <f aca="false">IF(NOT(ISNUMBER(AA34)),"",IF(NOT(ISNUMBER(Y34)),"",IFERROR(IF(Z34="IRR",AA34,IF(Z34="USD",AA34*INDEX('Assumptions &amp; FX Reference'!$B$5:$B$25,MATCH(Y34,'Assumptions &amp; FX Reference'!$A$5:$A$25,0)),IF(Z34="EUR",AA34*INDEX('Assumptions &amp; FX Reference'!$C$5:$C$25,MATCH(Y34,'Assumptions &amp; FX Reference'!$A$5:$A$25,0)),""))),"")))</f>
        <v>15355500000</v>
      </c>
      <c r="AE34" s="42" t="s">
        <v>364</v>
      </c>
      <c r="AF34" s="50" t="s">
        <v>201</v>
      </c>
      <c r="AG34" s="47" t="n">
        <f aca="false">IF(AND(Z34="EUR",N(AA34)&gt;5000000),"",IF(AND(ISNUMBER(AB34),ISNUMBER(AZ34),ISNUMBER(BA34)),IF(AND(BB34="Y",ISNUMBER('Assumptions &amp; FX Reference'!$I$15)),MAX(AB34*BA34/AZ34,'Assumptions &amp; FX Reference'!$I$13*BA34/'Assumptions &amp; FX Reference'!$I$15),AB34*BA34/AZ34),""))</f>
        <v>30012.8636237851</v>
      </c>
      <c r="AH34" s="47" t="n">
        <f aca="false">IF(AND(ISNUMBER(AG34),ISNUMBER('Assumptions &amp; FX Reference'!$I$8),ISNUMBER('Assumptions &amp; FX Reference'!$I$11)),AG34*'Assumptions &amp; FX Reference'!$I$8/'Assumptions &amp; FX Reference'!$I$11,"")</f>
        <v>31687.0736409289</v>
      </c>
      <c r="AI34" s="47" t="n">
        <f aca="false">IF(AND(ISNUMBER(AG34),ISNUMBER('Assumptions &amp; FX Reference'!$I$8)),AG34*'Assumptions &amp; FX Reference'!$I$8,"")</f>
        <v>20866983665.9818</v>
      </c>
      <c r="AJ34" s="42" t="s">
        <v>365</v>
      </c>
      <c r="AK34" s="42" t="s">
        <v>366</v>
      </c>
      <c r="AL34" s="42" t="s">
        <v>123</v>
      </c>
      <c r="AM34" s="42" t="s">
        <v>123</v>
      </c>
      <c r="AN34" s="42" t="s">
        <v>123</v>
      </c>
      <c r="AO34" s="50" t="s">
        <v>312</v>
      </c>
      <c r="AP34" s="50" t="s">
        <v>312</v>
      </c>
      <c r="AQ34" s="50" t="s">
        <v>312</v>
      </c>
      <c r="AR34" s="42" t="s">
        <v>123</v>
      </c>
      <c r="AS34" s="45" t="str">
        <f aca="false">IF(AND(Z34="EUR",N(AA34)&gt;5000000),"Check currency (EUR&gt;5M); ","")&amp;IF(NOT(ISNUMBER(AA34)),"No price; ","")&amp;IF(G34="Not stated","Material missing; ","")&amp;IF(P34="Not stated","Seal missing; ","")&amp;IF(K34="","Size driver missing; ","")&amp;IF(NOT(ISNUMBER(AZ34)),"Base-year PPI missing; ","")</f>
        <v>Material missing; Seal missing; </v>
      </c>
      <c r="AT34" s="48" t="n">
        <f aca="false">IFERROR(INDEX(Factors_ROT!$F$5:$F$200,MATCH("MAT|"&amp;G34,Factors_ROT!$A$5:$A$200,0)),1)</f>
        <v>1</v>
      </c>
      <c r="AU34" s="48" t="n">
        <f aca="false">IFERROR(INDEX(Factors_ROT!$F$5:$F$200,MATCH("SEAL_ARR|"&amp;P34,Factors_ROT!$A$5:$A$200,0)),1)*IFERROR(INDEX(Factors_ROT!$F$5:$F$200,MATCH("SEAL_CAT|"&amp;Q34,Factors_ROT!$A$5:$A$200,0)),1)*IFERROR(INDEX(Factors_ROT!$F$5:$F$200,MATCH("SEAL_PLAN|"&amp;R34,Factors_ROT!$A$5:$A$200,0)),1)</f>
        <v>1</v>
      </c>
      <c r="AV34" s="48" t="n">
        <f aca="false">IFERROR(INDEX(Factors_ROT!$F$5:$F$200,MATCH("DRV|"&amp;S34,Factors_ROT!$A$5:$A$200,0)),1)*IFERROR(INDEX(Factors_ROT!$F$5:$F$200,MATCH("NACE|"&amp;O34,Factors_ROT!$A$5:$A$200,0)),1)</f>
        <v>1</v>
      </c>
      <c r="AW34" s="48" t="n">
        <f aca="false">IFERROR(INDEX(Factors_ROT!$F$5:$F$200,MATCH("SC_DRV|"&amp;AL34,Factors_ROT!$A$5:$A$200,0)),1)*IFERROR(INDEX(Factors_ROT!$F$5:$F$200,MATCH("SC_BSP|"&amp;AM34,Factors_ROT!$A$5:$A$200,0)),1)*IFERROR(INDEX(Factors_ROT!$F$5:$F$200,MATCH("SC_SEAL|"&amp;AN34,Factors_ROT!$A$5:$A$200,0)),1)*IFERROR(INDEX(Factors_ROT!$F$5:$F$200,MATCH("SC_COMM|"&amp;AO34,Factors_ROT!$A$5:$A$200,0)),1)*IFERROR(INDEX(Factors_ROT!$F$5:$F$200,MATCH("SC_2Y|"&amp;AP34,Factors_ROT!$A$5:$A$200,0)),1)*IFERROR(INDEX(Factors_ROT!$F$5:$F$200,MATCH("SC_TPI|"&amp;AQ34,Factors_ROT!$A$5:$A$200,0)),1)*IFERROR(INDEX(Factors_ROT!$F$5:$F$200,MATCH("SC_FAT|"&amp;AR34,Factors_ROT!$A$5:$A$200,0)),1)</f>
        <v>0.98</v>
      </c>
      <c r="AX34" s="48" t="n">
        <f aca="false">AT34*AU34*AV34*AW34</f>
        <v>0.98</v>
      </c>
      <c r="AY34" s="47" t="n">
        <f aca="false">IF(ISNUMBER(AB34),AB34/AX34,"")</f>
        <v>29591.8367346939</v>
      </c>
      <c r="AZ34" s="49" t="n">
        <f aca="false">IFERROR(IF(N(INDEX(Escalation_Index!$B$5:$B$25,MATCH(Y34,Escalation_Index!$A$5:$A$25,0)))&gt;0,INDEX(Escalation_Index!$B$5:$B$25,MATCH(Y34,Escalation_Index!$A$5:$A$25,0)),""),"")</f>
        <v>119.251</v>
      </c>
      <c r="BA34" s="49" t="n">
        <f aca="false">IF(ISNUMBER('Assumptions &amp; FX Reference'!$I$12),'Assumptions &amp; FX Reference'!$I$12,"")</f>
        <v>123.416</v>
      </c>
      <c r="BB34" s="45" t="str">
        <f aca="false">IF(AND(M34="API 610",LEFT(V34,11)="Centrifugal",OR(LEFT(G34,2)="S-",LEFT(G34,2)="D-")),"Y","N")</f>
        <v>N</v>
      </c>
      <c r="BC34" s="47" t="n">
        <f aca="false">IF(ISNUMBER(AG34),AG34/AX34,"")</f>
        <v>30625.3710446787</v>
      </c>
      <c r="BD34" s="47" t="n">
        <f aca="false">IF(AND(ISNUMBER(BC34),ISNUMBER(K34)),IF(K34&gt;0,BC34/K34^'Assumptions &amp; FX Reference'!$I$16,""),"")</f>
        <v>44324.628390958</v>
      </c>
      <c r="BE34" s="42" t="s">
        <v>428</v>
      </c>
      <c r="BF34" s="42" t="s">
        <v>429</v>
      </c>
      <c r="BG34" s="42" t="s">
        <v>369</v>
      </c>
      <c r="BH34" s="45" t="s">
        <v>313</v>
      </c>
      <c r="BI34" s="45" t="str">
        <f aca="false">"PMP-"&amp;TEXT(A34,"0000")</f>
        <v>PMP-0030</v>
      </c>
    </row>
    <row r="35" customFormat="false" ht="24" hidden="false" customHeight="true" outlineLevel="0" collapsed="false">
      <c r="A35" s="42" t="n">
        <v>31</v>
      </c>
      <c r="B35" s="42" t="s">
        <v>430</v>
      </c>
      <c r="C35" s="42" t="s">
        <v>361</v>
      </c>
      <c r="D35" s="42" t="s">
        <v>431</v>
      </c>
      <c r="E35" s="42" t="s">
        <v>54</v>
      </c>
      <c r="F35" s="42" t="s">
        <v>123</v>
      </c>
      <c r="G35" s="42" t="s">
        <v>123</v>
      </c>
      <c r="H35" s="43" t="n">
        <v>11</v>
      </c>
      <c r="I35" s="43"/>
      <c r="J35" s="43" t="n">
        <v>0.8</v>
      </c>
      <c r="K35" s="44" t="n">
        <f aca="false">IF(ISNUMBER(J35),J35,IF(AND(ISNUMBER(H35),ISNUMBER(I35)),H35*I35/(367*'Assumptions &amp; FX Reference'!$I$17),""))</f>
        <v>0.8</v>
      </c>
      <c r="L35" s="45" t="str">
        <f aca="false">IF(IF(OR(M35="Not stated",M35=""),""," + "&amp;M35)&amp;IF(OR(N35="None",N35=""),""," + "&amp;N35)&amp;IF(O35="Y"," + NACE MR0175","")="","Not stated",MID(IF(OR(M35="Not stated",M35=""),""," + "&amp;M35)&amp;IF(OR(N35="None",N35=""),""," + "&amp;N35)&amp;IF(O35="Y"," + NACE MR0175",""),4,300))</f>
        <v>Not stated</v>
      </c>
      <c r="M35" s="42" t="s">
        <v>123</v>
      </c>
      <c r="N35" s="42" t="s">
        <v>303</v>
      </c>
      <c r="O35" s="42" t="s">
        <v>123</v>
      </c>
      <c r="P35" s="42" t="s">
        <v>123</v>
      </c>
      <c r="Q35" s="42" t="s">
        <v>123</v>
      </c>
      <c r="R35" s="42" t="s">
        <v>123</v>
      </c>
      <c r="S35" s="50" t="s">
        <v>304</v>
      </c>
      <c r="T35" s="42" t="s">
        <v>432</v>
      </c>
      <c r="U35" s="42" t="n">
        <v>2</v>
      </c>
      <c r="V35" s="50" t="s">
        <v>306</v>
      </c>
      <c r="W35" s="43" t="n">
        <v>2.7</v>
      </c>
      <c r="X35" s="42" t="s">
        <v>123</v>
      </c>
      <c r="Y35" s="50" t="n">
        <v>1402</v>
      </c>
      <c r="Z35" s="42" t="s">
        <v>363</v>
      </c>
      <c r="AA35" s="46" t="n">
        <v>35000</v>
      </c>
      <c r="AB35" s="47" t="n">
        <f aca="false">IF(NOT(ISNUMBER(AA35)),"",IF(NOT(ISNUMBER(Y35)),"",IFERROR(IF(Z35="EUR",AA35,IF(Z35="IRR",AA35/INDEX('Assumptions &amp; FX Reference'!$C$5:$C$25,MATCH(Y35,'Assumptions &amp; FX Reference'!$A$5:$A$25,0)),IF(Z35="USD",AA35*INDEX('Assumptions &amp; FX Reference'!$B$5:$B$25,MATCH(Y35,'Assumptions &amp; FX Reference'!$A$5:$A$25,0))/INDEX('Assumptions &amp; FX Reference'!$C$5:$C$25,MATCH(Y35,'Assumptions &amp; FX Reference'!$A$5:$A$25,0)),""))),"")))</f>
        <v>35000</v>
      </c>
      <c r="AC35" s="47" t="n">
        <f aca="false">IF(NOT(ISNUMBER(AA35)),"",IF(NOT(ISNUMBER(Y35)),"",IFERROR(IF(Z35="USD",AA35,IF(Z35="IRR",AA35/INDEX('Assumptions &amp; FX Reference'!$B$5:$B$25,MATCH(Y35,'Assumptions &amp; FX Reference'!$A$5:$A$25,0)),IF(Z35="EUR",AA35*INDEX('Assumptions &amp; FX Reference'!$C$5:$C$25,MATCH(Y35,'Assumptions &amp; FX Reference'!$A$5:$A$25,0))/INDEX('Assumptions &amp; FX Reference'!$B$5:$B$25,MATCH(Y35,'Assumptions &amp; FX Reference'!$A$5:$A$25,0)),""))),"")))</f>
        <v>44125</v>
      </c>
      <c r="AD35" s="51" t="n">
        <f aca="false">IF(NOT(ISNUMBER(AA35)),"",IF(NOT(ISNUMBER(Y35)),"",IFERROR(IF(Z35="IRR",AA35,IF(Z35="USD",AA35*INDEX('Assumptions &amp; FX Reference'!$B$5:$B$25,MATCH(Y35,'Assumptions &amp; FX Reference'!$A$5:$A$25,0)),IF(Z35="EUR",AA35*INDEX('Assumptions &amp; FX Reference'!$C$5:$C$25,MATCH(Y35,'Assumptions &amp; FX Reference'!$A$5:$A$25,0)),""))),"")))</f>
        <v>18532500000</v>
      </c>
      <c r="AE35" s="42" t="s">
        <v>364</v>
      </c>
      <c r="AF35" s="50" t="s">
        <v>201</v>
      </c>
      <c r="AG35" s="47" t="n">
        <f aca="false">IF(AND(Z35="EUR",N(AA35)&gt;5000000),"",IF(AND(ISNUMBER(AB35),ISNUMBER(AZ35),ISNUMBER(BA35)),IF(AND(BB35="Y",ISNUMBER('Assumptions &amp; FX Reference'!$I$15)),MAX(AB35*BA35/AZ35,'Assumptions &amp; FX Reference'!$I$13*BA35/'Assumptions &amp; FX Reference'!$I$15),AB35*BA35/AZ35),""))</f>
        <v>36222.4216149131</v>
      </c>
      <c r="AH35" s="47" t="n">
        <f aca="false">IF(AND(ISNUMBER(AG35),ISNUMBER('Assumptions &amp; FX Reference'!$I$8),ISNUMBER('Assumptions &amp; FX Reference'!$I$11)),AG35*'Assumptions &amp; FX Reference'!$I$8/'Assumptions &amp; FX Reference'!$I$11,"")</f>
        <v>38243.0199114659</v>
      </c>
      <c r="AI35" s="47" t="n">
        <f aca="false">IF(AND(ISNUMBER(AG35),ISNUMBER('Assumptions &amp; FX Reference'!$I$8)),AG35*'Assumptions &amp; FX Reference'!$I$8,"")</f>
        <v>25184290631.3574</v>
      </c>
      <c r="AJ35" s="42" t="s">
        <v>365</v>
      </c>
      <c r="AK35" s="42" t="s">
        <v>366</v>
      </c>
      <c r="AL35" s="42" t="s">
        <v>123</v>
      </c>
      <c r="AM35" s="42" t="s">
        <v>123</v>
      </c>
      <c r="AN35" s="42" t="s">
        <v>123</v>
      </c>
      <c r="AO35" s="50" t="s">
        <v>312</v>
      </c>
      <c r="AP35" s="50" t="s">
        <v>312</v>
      </c>
      <c r="AQ35" s="50" t="s">
        <v>312</v>
      </c>
      <c r="AR35" s="42" t="s">
        <v>123</v>
      </c>
      <c r="AS35" s="45" t="str">
        <f aca="false">IF(AND(Z35="EUR",N(AA35)&gt;5000000),"Check currency (EUR&gt;5M); ","")&amp;IF(NOT(ISNUMBER(AA35)),"No price; ","")&amp;IF(G35="Not stated","Material missing; ","")&amp;IF(P35="Not stated","Seal missing; ","")&amp;IF(K35="","Size driver missing; ","")&amp;IF(NOT(ISNUMBER(AZ35)),"Base-year PPI missing; ","")</f>
        <v>Material missing; Seal missing; </v>
      </c>
      <c r="AT35" s="48" t="n">
        <f aca="false">IFERROR(INDEX(Factors_ROT!$F$5:$F$200,MATCH("MAT|"&amp;G35,Factors_ROT!$A$5:$A$200,0)),1)</f>
        <v>1</v>
      </c>
      <c r="AU35" s="48" t="n">
        <f aca="false">IFERROR(INDEX(Factors_ROT!$F$5:$F$200,MATCH("SEAL_ARR|"&amp;P35,Factors_ROT!$A$5:$A$200,0)),1)*IFERROR(INDEX(Factors_ROT!$F$5:$F$200,MATCH("SEAL_CAT|"&amp;Q35,Factors_ROT!$A$5:$A$200,0)),1)*IFERROR(INDEX(Factors_ROT!$F$5:$F$200,MATCH("SEAL_PLAN|"&amp;R35,Factors_ROT!$A$5:$A$200,0)),1)</f>
        <v>1</v>
      </c>
      <c r="AV35" s="48" t="n">
        <f aca="false">IFERROR(INDEX(Factors_ROT!$F$5:$F$200,MATCH("DRV|"&amp;S35,Factors_ROT!$A$5:$A$200,0)),1)*IFERROR(INDEX(Factors_ROT!$F$5:$F$200,MATCH("NACE|"&amp;O35,Factors_ROT!$A$5:$A$200,0)),1)</f>
        <v>1</v>
      </c>
      <c r="AW35" s="48" t="n">
        <f aca="false">IFERROR(INDEX(Factors_ROT!$F$5:$F$200,MATCH("SC_DRV|"&amp;AL35,Factors_ROT!$A$5:$A$200,0)),1)*IFERROR(INDEX(Factors_ROT!$F$5:$F$200,MATCH("SC_BSP|"&amp;AM35,Factors_ROT!$A$5:$A$200,0)),1)*IFERROR(INDEX(Factors_ROT!$F$5:$F$200,MATCH("SC_SEAL|"&amp;AN35,Factors_ROT!$A$5:$A$200,0)),1)*IFERROR(INDEX(Factors_ROT!$F$5:$F$200,MATCH("SC_COMM|"&amp;AO35,Factors_ROT!$A$5:$A$200,0)),1)*IFERROR(INDEX(Factors_ROT!$F$5:$F$200,MATCH("SC_2Y|"&amp;AP35,Factors_ROT!$A$5:$A$200,0)),1)*IFERROR(INDEX(Factors_ROT!$F$5:$F$200,MATCH("SC_TPI|"&amp;AQ35,Factors_ROT!$A$5:$A$200,0)),1)*IFERROR(INDEX(Factors_ROT!$F$5:$F$200,MATCH("SC_FAT|"&amp;AR35,Factors_ROT!$A$5:$A$200,0)),1)</f>
        <v>0.98</v>
      </c>
      <c r="AX35" s="48" t="n">
        <f aca="false">AT35*AU35*AV35*AW35</f>
        <v>0.98</v>
      </c>
      <c r="AY35" s="47" t="n">
        <f aca="false">IF(ISNUMBER(AB35),AB35/AX35,"")</f>
        <v>35714.2857142857</v>
      </c>
      <c r="AZ35" s="49" t="n">
        <f aca="false">IFERROR(IF(N(INDEX(Escalation_Index!$B$5:$B$25,MATCH(Y35,Escalation_Index!$A$5:$A$25,0)))&gt;0,INDEX(Escalation_Index!$B$5:$B$25,MATCH(Y35,Escalation_Index!$A$5:$A$25,0)),""),"")</f>
        <v>119.251</v>
      </c>
      <c r="BA35" s="49" t="n">
        <f aca="false">IF(ISNUMBER('Assumptions &amp; FX Reference'!$I$12),'Assumptions &amp; FX Reference'!$I$12,"")</f>
        <v>123.416</v>
      </c>
      <c r="BB35" s="45" t="str">
        <f aca="false">IF(AND(M35="API 610",LEFT(V35,11)="Centrifugal",OR(LEFT(G35,2)="S-",LEFT(G35,2)="D-")),"Y","N")</f>
        <v>N</v>
      </c>
      <c r="BC35" s="47" t="n">
        <f aca="false">IF(ISNUMBER(AG35),AG35/AX35,"")</f>
        <v>36961.654709095</v>
      </c>
      <c r="BD35" s="47" t="n">
        <f aca="false">IF(AND(ISNUMBER(BC35),ISNUMBER(K35)),IF(K35&gt;0,BC35/K35^'Assumptions &amp; FX Reference'!$I$16,""),"")</f>
        <v>42256.8785651565</v>
      </c>
      <c r="BE35" s="42" t="s">
        <v>433</v>
      </c>
      <c r="BF35" s="42" t="s">
        <v>434</v>
      </c>
      <c r="BG35" s="42" t="s">
        <v>369</v>
      </c>
      <c r="BH35" s="45" t="s">
        <v>313</v>
      </c>
      <c r="BI35" s="45" t="str">
        <f aca="false">"PMP-"&amp;TEXT(A35,"0000")</f>
        <v>PMP-0031</v>
      </c>
    </row>
    <row r="36" customFormat="false" ht="24" hidden="false" customHeight="true" outlineLevel="0" collapsed="false">
      <c r="A36" s="42" t="n">
        <v>32</v>
      </c>
      <c r="B36" s="42" t="s">
        <v>435</v>
      </c>
      <c r="C36" s="42" t="s">
        <v>361</v>
      </c>
      <c r="D36" s="42" t="s">
        <v>436</v>
      </c>
      <c r="E36" s="42" t="s">
        <v>54</v>
      </c>
      <c r="F36" s="42" t="s">
        <v>123</v>
      </c>
      <c r="G36" s="42" t="s">
        <v>123</v>
      </c>
      <c r="H36" s="43" t="n">
        <v>1</v>
      </c>
      <c r="I36" s="43"/>
      <c r="J36" s="43" t="n">
        <v>0.02</v>
      </c>
      <c r="K36" s="44" t="n">
        <f aca="false">IF(ISNUMBER(J36),J36,IF(AND(ISNUMBER(H36),ISNUMBER(I36)),H36*I36/(367*'Assumptions &amp; FX Reference'!$I$17),""))</f>
        <v>0.02</v>
      </c>
      <c r="L36" s="45" t="str">
        <f aca="false">IF(IF(OR(M36="Not stated",M36=""),""," + "&amp;M36)&amp;IF(OR(N36="None",N36=""),""," + "&amp;N36)&amp;IF(O36="Y"," + NACE MR0175","")="","Not stated",MID(IF(OR(M36="Not stated",M36=""),""," + "&amp;M36)&amp;IF(OR(N36="None",N36=""),""," + "&amp;N36)&amp;IF(O36="Y"," + NACE MR0175",""),4,300))</f>
        <v>Not stated</v>
      </c>
      <c r="M36" s="42" t="s">
        <v>123</v>
      </c>
      <c r="N36" s="42" t="s">
        <v>303</v>
      </c>
      <c r="O36" s="42" t="s">
        <v>123</v>
      </c>
      <c r="P36" s="42" t="s">
        <v>123</v>
      </c>
      <c r="Q36" s="42" t="s">
        <v>123</v>
      </c>
      <c r="R36" s="42" t="s">
        <v>123</v>
      </c>
      <c r="S36" s="50" t="s">
        <v>304</v>
      </c>
      <c r="T36" s="42" t="s">
        <v>342</v>
      </c>
      <c r="U36" s="42" t="n">
        <v>1</v>
      </c>
      <c r="V36" s="50" t="s">
        <v>306</v>
      </c>
      <c r="W36" s="43" t="n">
        <v>0.84</v>
      </c>
      <c r="X36" s="42" t="s">
        <v>123</v>
      </c>
      <c r="Y36" s="50" t="n">
        <v>1402</v>
      </c>
      <c r="Z36" s="42" t="s">
        <v>363</v>
      </c>
      <c r="AA36" s="46" t="n">
        <v>13350</v>
      </c>
      <c r="AB36" s="47" t="n">
        <f aca="false">IF(NOT(ISNUMBER(AA36)),"",IF(NOT(ISNUMBER(Y36)),"",IFERROR(IF(Z36="EUR",AA36,IF(Z36="IRR",AA36/INDEX('Assumptions &amp; FX Reference'!$C$5:$C$25,MATCH(Y36,'Assumptions &amp; FX Reference'!$A$5:$A$25,0)),IF(Z36="USD",AA36*INDEX('Assumptions &amp; FX Reference'!$B$5:$B$25,MATCH(Y36,'Assumptions &amp; FX Reference'!$A$5:$A$25,0))/INDEX('Assumptions &amp; FX Reference'!$C$5:$C$25,MATCH(Y36,'Assumptions &amp; FX Reference'!$A$5:$A$25,0)),""))),"")))</f>
        <v>13350</v>
      </c>
      <c r="AC36" s="47" t="n">
        <f aca="false">IF(NOT(ISNUMBER(AA36)),"",IF(NOT(ISNUMBER(Y36)),"",IFERROR(IF(Z36="USD",AA36,IF(Z36="IRR",AA36/INDEX('Assumptions &amp; FX Reference'!$B$5:$B$25,MATCH(Y36,'Assumptions &amp; FX Reference'!$A$5:$A$25,0)),IF(Z36="EUR",AA36*INDEX('Assumptions &amp; FX Reference'!$C$5:$C$25,MATCH(Y36,'Assumptions &amp; FX Reference'!$A$5:$A$25,0))/INDEX('Assumptions &amp; FX Reference'!$B$5:$B$25,MATCH(Y36,'Assumptions &amp; FX Reference'!$A$5:$A$25,0)),""))),"")))</f>
        <v>16830.5357142857</v>
      </c>
      <c r="AD36" s="51" t="n">
        <f aca="false">IF(NOT(ISNUMBER(AA36)),"",IF(NOT(ISNUMBER(Y36)),"",IFERROR(IF(Z36="IRR",AA36,IF(Z36="USD",AA36*INDEX('Assumptions &amp; FX Reference'!$B$5:$B$25,MATCH(Y36,'Assumptions &amp; FX Reference'!$A$5:$A$25,0)),IF(Z36="EUR",AA36*INDEX('Assumptions &amp; FX Reference'!$C$5:$C$25,MATCH(Y36,'Assumptions &amp; FX Reference'!$A$5:$A$25,0)),""))),"")))</f>
        <v>7068825000</v>
      </c>
      <c r="AE36" s="42" t="s">
        <v>364</v>
      </c>
      <c r="AF36" s="50" t="s">
        <v>201</v>
      </c>
      <c r="AG36" s="47" t="n">
        <f aca="false">IF(AND(Z36="EUR",N(AA36)&gt;5000000),"",IF(AND(ISNUMBER(AB36),ISNUMBER(AZ36),ISNUMBER(BA36)),IF(AND(BB36="Y",ISNUMBER('Assumptions &amp; FX Reference'!$I$15)),MAX(AB36*BA36/AZ36,'Assumptions &amp; FX Reference'!$I$13*BA36/'Assumptions &amp; FX Reference'!$I$15),AB36*BA36/AZ36),""))</f>
        <v>13816.2665302597</v>
      </c>
      <c r="AH36" s="47" t="n">
        <f aca="false">IF(AND(ISNUMBER(AG36),ISNUMBER('Assumptions &amp; FX Reference'!$I$8),ISNUMBER('Assumptions &amp; FX Reference'!$I$11)),AG36*'Assumptions &amp; FX Reference'!$I$8/'Assumptions &amp; FX Reference'!$I$11,"")</f>
        <v>14586.9804519449</v>
      </c>
      <c r="AI36" s="47" t="n">
        <f aca="false">IF(AND(ISNUMBER(AG36),ISNUMBER('Assumptions &amp; FX Reference'!$I$8)),AG36*'Assumptions &amp; FX Reference'!$I$8,"")</f>
        <v>9606007997.9606</v>
      </c>
      <c r="AJ36" s="42" t="s">
        <v>365</v>
      </c>
      <c r="AK36" s="42" t="s">
        <v>366</v>
      </c>
      <c r="AL36" s="42" t="s">
        <v>123</v>
      </c>
      <c r="AM36" s="42" t="s">
        <v>123</v>
      </c>
      <c r="AN36" s="42" t="s">
        <v>123</v>
      </c>
      <c r="AO36" s="50" t="s">
        <v>312</v>
      </c>
      <c r="AP36" s="50" t="s">
        <v>312</v>
      </c>
      <c r="AQ36" s="50" t="s">
        <v>312</v>
      </c>
      <c r="AR36" s="42" t="s">
        <v>123</v>
      </c>
      <c r="AS36" s="45" t="str">
        <f aca="false">IF(AND(Z36="EUR",N(AA36)&gt;5000000),"Check currency (EUR&gt;5M); ","")&amp;IF(NOT(ISNUMBER(AA36)),"No price; ","")&amp;IF(G36="Not stated","Material missing; ","")&amp;IF(P36="Not stated","Seal missing; ","")&amp;IF(K36="","Size driver missing; ","")&amp;IF(NOT(ISNUMBER(AZ36)),"Base-year PPI missing; ","")</f>
        <v>Material missing; Seal missing; </v>
      </c>
      <c r="AT36" s="48" t="n">
        <f aca="false">IFERROR(INDEX(Factors_ROT!$F$5:$F$200,MATCH("MAT|"&amp;G36,Factors_ROT!$A$5:$A$200,0)),1)</f>
        <v>1</v>
      </c>
      <c r="AU36" s="48" t="n">
        <f aca="false">IFERROR(INDEX(Factors_ROT!$F$5:$F$200,MATCH("SEAL_ARR|"&amp;P36,Factors_ROT!$A$5:$A$200,0)),1)*IFERROR(INDEX(Factors_ROT!$F$5:$F$200,MATCH("SEAL_CAT|"&amp;Q36,Factors_ROT!$A$5:$A$200,0)),1)*IFERROR(INDEX(Factors_ROT!$F$5:$F$200,MATCH("SEAL_PLAN|"&amp;R36,Factors_ROT!$A$5:$A$200,0)),1)</f>
        <v>1</v>
      </c>
      <c r="AV36" s="48" t="n">
        <f aca="false">IFERROR(INDEX(Factors_ROT!$F$5:$F$200,MATCH("DRV|"&amp;S36,Factors_ROT!$A$5:$A$200,0)),1)*IFERROR(INDEX(Factors_ROT!$F$5:$F$200,MATCH("NACE|"&amp;O36,Factors_ROT!$A$5:$A$200,0)),1)</f>
        <v>1</v>
      </c>
      <c r="AW36" s="48" t="n">
        <f aca="false">IFERROR(INDEX(Factors_ROT!$F$5:$F$200,MATCH("SC_DRV|"&amp;AL36,Factors_ROT!$A$5:$A$200,0)),1)*IFERROR(INDEX(Factors_ROT!$F$5:$F$200,MATCH("SC_BSP|"&amp;AM36,Factors_ROT!$A$5:$A$200,0)),1)*IFERROR(INDEX(Factors_ROT!$F$5:$F$200,MATCH("SC_SEAL|"&amp;AN36,Factors_ROT!$A$5:$A$200,0)),1)*IFERROR(INDEX(Factors_ROT!$F$5:$F$200,MATCH("SC_COMM|"&amp;AO36,Factors_ROT!$A$5:$A$200,0)),1)*IFERROR(INDEX(Factors_ROT!$F$5:$F$200,MATCH("SC_2Y|"&amp;AP36,Factors_ROT!$A$5:$A$200,0)),1)*IFERROR(INDEX(Factors_ROT!$F$5:$F$200,MATCH("SC_TPI|"&amp;AQ36,Factors_ROT!$A$5:$A$200,0)),1)*IFERROR(INDEX(Factors_ROT!$F$5:$F$200,MATCH("SC_FAT|"&amp;AR36,Factors_ROT!$A$5:$A$200,0)),1)</f>
        <v>0.98</v>
      </c>
      <c r="AX36" s="48" t="n">
        <f aca="false">AT36*AU36*AV36*AW36</f>
        <v>0.98</v>
      </c>
      <c r="AY36" s="47" t="n">
        <f aca="false">IF(ISNUMBER(AB36),AB36/AX36,"")</f>
        <v>13622.4489795918</v>
      </c>
      <c r="AZ36" s="49" t="n">
        <f aca="false">IFERROR(IF(N(INDEX(Escalation_Index!$B$5:$B$25,MATCH(Y36,Escalation_Index!$A$5:$A$25,0)))&gt;0,INDEX(Escalation_Index!$B$5:$B$25,MATCH(Y36,Escalation_Index!$A$5:$A$25,0)),""),"")</f>
        <v>119.251</v>
      </c>
      <c r="BA36" s="49" t="n">
        <f aca="false">IF(ISNUMBER('Assumptions &amp; FX Reference'!$I$12),'Assumptions &amp; FX Reference'!$I$12,"")</f>
        <v>123.416</v>
      </c>
      <c r="BB36" s="45" t="str">
        <f aca="false">IF(AND(M36="API 610",LEFT(V36,11)="Centrifugal",OR(LEFT(G36,2)="S-",LEFT(G36,2)="D-")),"Y","N")</f>
        <v>N</v>
      </c>
      <c r="BC36" s="47" t="n">
        <f aca="false">IF(ISNUMBER(AG36),AG36/AX36,"")</f>
        <v>14098.2311533262</v>
      </c>
      <c r="BD36" s="47" t="n">
        <f aca="false">IF(AND(ISNUMBER(BC36),ISNUMBER(K36)),IF(K36&gt;0,BC36/K36^'Assumptions &amp; FX Reference'!$I$16,""),"")</f>
        <v>147416.681154924</v>
      </c>
      <c r="BE36" s="42" t="s">
        <v>437</v>
      </c>
      <c r="BF36" s="42" t="s">
        <v>438</v>
      </c>
      <c r="BG36" s="42" t="s">
        <v>369</v>
      </c>
      <c r="BH36" s="45" t="s">
        <v>313</v>
      </c>
      <c r="BI36" s="45" t="str">
        <f aca="false">"PMP-"&amp;TEXT(A36,"0000")</f>
        <v>PMP-0032</v>
      </c>
    </row>
    <row r="37" customFormat="false" ht="24" hidden="false" customHeight="true" outlineLevel="0" collapsed="false">
      <c r="A37" s="42" t="n">
        <v>33</v>
      </c>
      <c r="B37" s="42" t="s">
        <v>439</v>
      </c>
      <c r="C37" s="42" t="s">
        <v>361</v>
      </c>
      <c r="D37" s="42" t="s">
        <v>440</v>
      </c>
      <c r="E37" s="42" t="s">
        <v>54</v>
      </c>
      <c r="F37" s="42" t="s">
        <v>123</v>
      </c>
      <c r="G37" s="42" t="s">
        <v>123</v>
      </c>
      <c r="H37" s="43" t="n">
        <v>5</v>
      </c>
      <c r="I37" s="43"/>
      <c r="J37" s="43" t="n">
        <v>0.3</v>
      </c>
      <c r="K37" s="44" t="n">
        <f aca="false">IF(ISNUMBER(J37),J37,IF(AND(ISNUMBER(H37),ISNUMBER(I37)),H37*I37/(367*'Assumptions &amp; FX Reference'!$I$17),""))</f>
        <v>0.3</v>
      </c>
      <c r="L37" s="45" t="str">
        <f aca="false">IF(IF(OR(M37="Not stated",M37=""),""," + "&amp;M37)&amp;IF(OR(N37="None",N37=""),""," + "&amp;N37)&amp;IF(O37="Y"," + NACE MR0175","")="","Not stated",MID(IF(OR(M37="Not stated",M37=""),""," + "&amp;M37)&amp;IF(OR(N37="None",N37=""),""," + "&amp;N37)&amp;IF(O37="Y"," + NACE MR0175",""),4,300))</f>
        <v>Not stated</v>
      </c>
      <c r="M37" s="42" t="s">
        <v>123</v>
      </c>
      <c r="N37" s="42" t="s">
        <v>303</v>
      </c>
      <c r="O37" s="42" t="s">
        <v>123</v>
      </c>
      <c r="P37" s="42" t="s">
        <v>123</v>
      </c>
      <c r="Q37" s="42" t="s">
        <v>123</v>
      </c>
      <c r="R37" s="42" t="s">
        <v>123</v>
      </c>
      <c r="S37" s="50" t="s">
        <v>304</v>
      </c>
      <c r="T37" s="42" t="s">
        <v>432</v>
      </c>
      <c r="U37" s="42" t="n">
        <v>2</v>
      </c>
      <c r="V37" s="50" t="s">
        <v>306</v>
      </c>
      <c r="W37" s="43" t="n">
        <v>2</v>
      </c>
      <c r="X37" s="42" t="s">
        <v>123</v>
      </c>
      <c r="Y37" s="50" t="n">
        <v>1402</v>
      </c>
      <c r="Z37" s="42" t="s">
        <v>363</v>
      </c>
      <c r="AA37" s="46" t="n">
        <v>31000</v>
      </c>
      <c r="AB37" s="47" t="n">
        <f aca="false">IF(NOT(ISNUMBER(AA37)),"",IF(NOT(ISNUMBER(Y37)),"",IFERROR(IF(Z37="EUR",AA37,IF(Z37="IRR",AA37/INDEX('Assumptions &amp; FX Reference'!$C$5:$C$25,MATCH(Y37,'Assumptions &amp; FX Reference'!$A$5:$A$25,0)),IF(Z37="USD",AA37*INDEX('Assumptions &amp; FX Reference'!$B$5:$B$25,MATCH(Y37,'Assumptions &amp; FX Reference'!$A$5:$A$25,0))/INDEX('Assumptions &amp; FX Reference'!$C$5:$C$25,MATCH(Y37,'Assumptions &amp; FX Reference'!$A$5:$A$25,0)),""))),"")))</f>
        <v>31000</v>
      </c>
      <c r="AC37" s="47" t="n">
        <f aca="false">IF(NOT(ISNUMBER(AA37)),"",IF(NOT(ISNUMBER(Y37)),"",IFERROR(IF(Z37="USD",AA37,IF(Z37="IRR",AA37/INDEX('Assumptions &amp; FX Reference'!$B$5:$B$25,MATCH(Y37,'Assumptions &amp; FX Reference'!$A$5:$A$25,0)),IF(Z37="EUR",AA37*INDEX('Assumptions &amp; FX Reference'!$C$5:$C$25,MATCH(Y37,'Assumptions &amp; FX Reference'!$A$5:$A$25,0))/INDEX('Assumptions &amp; FX Reference'!$B$5:$B$25,MATCH(Y37,'Assumptions &amp; FX Reference'!$A$5:$A$25,0)),""))),"")))</f>
        <v>39082.1428571429</v>
      </c>
      <c r="AD37" s="51" t="n">
        <f aca="false">IF(NOT(ISNUMBER(AA37)),"",IF(NOT(ISNUMBER(Y37)),"",IFERROR(IF(Z37="IRR",AA37,IF(Z37="USD",AA37*INDEX('Assumptions &amp; FX Reference'!$B$5:$B$25,MATCH(Y37,'Assumptions &amp; FX Reference'!$A$5:$A$25,0)),IF(Z37="EUR",AA37*INDEX('Assumptions &amp; FX Reference'!$C$5:$C$25,MATCH(Y37,'Assumptions &amp; FX Reference'!$A$5:$A$25,0)),""))),"")))</f>
        <v>16414500000</v>
      </c>
      <c r="AE37" s="42" t="s">
        <v>364</v>
      </c>
      <c r="AF37" s="50" t="s">
        <v>201</v>
      </c>
      <c r="AG37" s="47" t="n">
        <f aca="false">IF(AND(Z37="EUR",N(AA37)&gt;5000000),"",IF(AND(ISNUMBER(AB37),ISNUMBER(AZ37),ISNUMBER(BA37)),IF(AND(BB37="Y",ISNUMBER('Assumptions &amp; FX Reference'!$I$15)),MAX(AB37*BA37/AZ37,'Assumptions &amp; FX Reference'!$I$13*BA37/'Assumptions &amp; FX Reference'!$I$15),AB37*BA37/AZ37),""))</f>
        <v>32082.7162874944</v>
      </c>
      <c r="AH37" s="47" t="n">
        <f aca="false">IF(AND(ISNUMBER(AG37),ISNUMBER('Assumptions &amp; FX Reference'!$I$8),ISNUMBER('Assumptions &amp; FX Reference'!$I$11)),AG37*'Assumptions &amp; FX Reference'!$I$8/'Assumptions &amp; FX Reference'!$I$11,"")</f>
        <v>33872.3890644412</v>
      </c>
      <c r="AI37" s="47" t="n">
        <f aca="false">IF(AND(ISNUMBER(AG37),ISNUMBER('Assumptions &amp; FX Reference'!$I$8)),AG37*'Assumptions &amp; FX Reference'!$I$8,"")</f>
        <v>22306085987.7737</v>
      </c>
      <c r="AJ37" s="42" t="s">
        <v>365</v>
      </c>
      <c r="AK37" s="42" t="s">
        <v>366</v>
      </c>
      <c r="AL37" s="42" t="s">
        <v>123</v>
      </c>
      <c r="AM37" s="42" t="s">
        <v>123</v>
      </c>
      <c r="AN37" s="42" t="s">
        <v>123</v>
      </c>
      <c r="AO37" s="50" t="s">
        <v>312</v>
      </c>
      <c r="AP37" s="50" t="s">
        <v>312</v>
      </c>
      <c r="AQ37" s="50" t="s">
        <v>312</v>
      </c>
      <c r="AR37" s="42" t="s">
        <v>123</v>
      </c>
      <c r="AS37" s="45" t="str">
        <f aca="false">IF(AND(Z37="EUR",N(AA37)&gt;5000000),"Check currency (EUR&gt;5M); ","")&amp;IF(NOT(ISNUMBER(AA37)),"No price; ","")&amp;IF(G37="Not stated","Material missing; ","")&amp;IF(P37="Not stated","Seal missing; ","")&amp;IF(K37="","Size driver missing; ","")&amp;IF(NOT(ISNUMBER(AZ37)),"Base-year PPI missing; ","")</f>
        <v>Material missing; Seal missing; </v>
      </c>
      <c r="AT37" s="48" t="n">
        <f aca="false">IFERROR(INDEX(Factors_ROT!$F$5:$F$200,MATCH("MAT|"&amp;G37,Factors_ROT!$A$5:$A$200,0)),1)</f>
        <v>1</v>
      </c>
      <c r="AU37" s="48" t="n">
        <f aca="false">IFERROR(INDEX(Factors_ROT!$F$5:$F$200,MATCH("SEAL_ARR|"&amp;P37,Factors_ROT!$A$5:$A$200,0)),1)*IFERROR(INDEX(Factors_ROT!$F$5:$F$200,MATCH("SEAL_CAT|"&amp;Q37,Factors_ROT!$A$5:$A$200,0)),1)*IFERROR(INDEX(Factors_ROT!$F$5:$F$200,MATCH("SEAL_PLAN|"&amp;R37,Factors_ROT!$A$5:$A$200,0)),1)</f>
        <v>1</v>
      </c>
      <c r="AV37" s="48" t="n">
        <f aca="false">IFERROR(INDEX(Factors_ROT!$F$5:$F$200,MATCH("DRV|"&amp;S37,Factors_ROT!$A$5:$A$200,0)),1)*IFERROR(INDEX(Factors_ROT!$F$5:$F$200,MATCH("NACE|"&amp;O37,Factors_ROT!$A$5:$A$200,0)),1)</f>
        <v>1</v>
      </c>
      <c r="AW37" s="48" t="n">
        <f aca="false">IFERROR(INDEX(Factors_ROT!$F$5:$F$200,MATCH("SC_DRV|"&amp;AL37,Factors_ROT!$A$5:$A$200,0)),1)*IFERROR(INDEX(Factors_ROT!$F$5:$F$200,MATCH("SC_BSP|"&amp;AM37,Factors_ROT!$A$5:$A$200,0)),1)*IFERROR(INDEX(Factors_ROT!$F$5:$F$200,MATCH("SC_SEAL|"&amp;AN37,Factors_ROT!$A$5:$A$200,0)),1)*IFERROR(INDEX(Factors_ROT!$F$5:$F$200,MATCH("SC_COMM|"&amp;AO37,Factors_ROT!$A$5:$A$200,0)),1)*IFERROR(INDEX(Factors_ROT!$F$5:$F$200,MATCH("SC_2Y|"&amp;AP37,Factors_ROT!$A$5:$A$200,0)),1)*IFERROR(INDEX(Factors_ROT!$F$5:$F$200,MATCH("SC_TPI|"&amp;AQ37,Factors_ROT!$A$5:$A$200,0)),1)*IFERROR(INDEX(Factors_ROT!$F$5:$F$200,MATCH("SC_FAT|"&amp;AR37,Factors_ROT!$A$5:$A$200,0)),1)</f>
        <v>0.98</v>
      </c>
      <c r="AX37" s="48" t="n">
        <f aca="false">AT37*AU37*AV37*AW37</f>
        <v>0.98</v>
      </c>
      <c r="AY37" s="47" t="n">
        <f aca="false">IF(ISNUMBER(AB37),AB37/AX37,"")</f>
        <v>31632.6530612245</v>
      </c>
      <c r="AZ37" s="49" t="n">
        <f aca="false">IFERROR(IF(N(INDEX(Escalation_Index!$B$5:$B$25,MATCH(Y37,Escalation_Index!$A$5:$A$25,0)))&gt;0,INDEX(Escalation_Index!$B$5:$B$25,MATCH(Y37,Escalation_Index!$A$5:$A$25,0)),""),"")</f>
        <v>119.251</v>
      </c>
      <c r="BA37" s="49" t="n">
        <f aca="false">IF(ISNUMBER('Assumptions &amp; FX Reference'!$I$12),'Assumptions &amp; FX Reference'!$I$12,"")</f>
        <v>123.416</v>
      </c>
      <c r="BB37" s="45" t="str">
        <f aca="false">IF(AND(M37="API 610",LEFT(V37,11)="Centrifugal",OR(LEFT(G37,2)="S-",LEFT(G37,2)="D-")),"Y","N")</f>
        <v>N</v>
      </c>
      <c r="BC37" s="47" t="n">
        <f aca="false">IF(ISNUMBER(AG37),AG37/AX37,"")</f>
        <v>32737.4655994841</v>
      </c>
      <c r="BD37" s="47" t="n">
        <f aca="false">IF(AND(ISNUMBER(BC37),ISNUMBER(K37)),IF(K37&gt;0,BC37/K37^'Assumptions &amp; FX Reference'!$I$16,""),"")</f>
        <v>67417.4469759423</v>
      </c>
      <c r="BE37" s="42" t="s">
        <v>441</v>
      </c>
      <c r="BF37" s="42" t="s">
        <v>442</v>
      </c>
      <c r="BG37" s="42" t="s">
        <v>369</v>
      </c>
      <c r="BH37" s="45" t="s">
        <v>313</v>
      </c>
      <c r="BI37" s="45" t="str">
        <f aca="false">"PMP-"&amp;TEXT(A37,"0000")</f>
        <v>PMP-0033</v>
      </c>
    </row>
    <row r="38" customFormat="false" ht="24" hidden="false" customHeight="true" outlineLevel="0" collapsed="false">
      <c r="A38" s="42" t="n">
        <v>34</v>
      </c>
      <c r="B38" s="42" t="s">
        <v>443</v>
      </c>
      <c r="C38" s="42" t="s">
        <v>361</v>
      </c>
      <c r="D38" s="42" t="s">
        <v>444</v>
      </c>
      <c r="E38" s="42" t="s">
        <v>51</v>
      </c>
      <c r="F38" s="42" t="s">
        <v>123</v>
      </c>
      <c r="G38" s="42" t="s">
        <v>123</v>
      </c>
      <c r="H38" s="43" t="n">
        <v>33</v>
      </c>
      <c r="I38" s="43"/>
      <c r="J38" s="43" t="n">
        <v>1.35</v>
      </c>
      <c r="K38" s="44" t="n">
        <f aca="false">IF(ISNUMBER(J38),J38,IF(AND(ISNUMBER(H38),ISNUMBER(I38)),H38*I38/(367*'Assumptions &amp; FX Reference'!$I$17),""))</f>
        <v>1.35</v>
      </c>
      <c r="L38" s="45" t="str">
        <f aca="false">IF(IF(OR(M38="Not stated",M38=""),""," + "&amp;M38)&amp;IF(OR(N38="None",N38=""),""," + "&amp;N38)&amp;IF(O38="Y"," + NACE MR0175","")="","Not stated",MID(IF(OR(M38="Not stated",M38=""),""," + "&amp;M38)&amp;IF(OR(N38="None",N38=""),""," + "&amp;N38)&amp;IF(O38="Y"," + NACE MR0175",""),4,300))</f>
        <v>Not stated</v>
      </c>
      <c r="M38" s="42" t="s">
        <v>123</v>
      </c>
      <c r="N38" s="42" t="s">
        <v>303</v>
      </c>
      <c r="O38" s="42" t="s">
        <v>123</v>
      </c>
      <c r="P38" s="42" t="s">
        <v>123</v>
      </c>
      <c r="Q38" s="42" t="s">
        <v>123</v>
      </c>
      <c r="R38" s="42" t="s">
        <v>123</v>
      </c>
      <c r="S38" s="50" t="s">
        <v>304</v>
      </c>
      <c r="T38" s="42" t="s">
        <v>334</v>
      </c>
      <c r="U38" s="42" t="n">
        <v>2</v>
      </c>
      <c r="V38" s="50" t="s">
        <v>306</v>
      </c>
      <c r="W38" s="43" t="n">
        <v>1.5</v>
      </c>
      <c r="X38" s="42" t="s">
        <v>123</v>
      </c>
      <c r="Y38" s="50" t="n">
        <v>1402</v>
      </c>
      <c r="Z38" s="42" t="s">
        <v>363</v>
      </c>
      <c r="AA38" s="46" t="n">
        <v>28000</v>
      </c>
      <c r="AB38" s="47" t="n">
        <f aca="false">IF(NOT(ISNUMBER(AA38)),"",IF(NOT(ISNUMBER(Y38)),"",IFERROR(IF(Z38="EUR",AA38,IF(Z38="IRR",AA38/INDEX('Assumptions &amp; FX Reference'!$C$5:$C$25,MATCH(Y38,'Assumptions &amp; FX Reference'!$A$5:$A$25,0)),IF(Z38="USD",AA38*INDEX('Assumptions &amp; FX Reference'!$B$5:$B$25,MATCH(Y38,'Assumptions &amp; FX Reference'!$A$5:$A$25,0))/INDEX('Assumptions &amp; FX Reference'!$C$5:$C$25,MATCH(Y38,'Assumptions &amp; FX Reference'!$A$5:$A$25,0)),""))),"")))</f>
        <v>28000</v>
      </c>
      <c r="AC38" s="47" t="n">
        <f aca="false">IF(NOT(ISNUMBER(AA38)),"",IF(NOT(ISNUMBER(Y38)),"",IFERROR(IF(Z38="USD",AA38,IF(Z38="IRR",AA38/INDEX('Assumptions &amp; FX Reference'!$B$5:$B$25,MATCH(Y38,'Assumptions &amp; FX Reference'!$A$5:$A$25,0)),IF(Z38="EUR",AA38*INDEX('Assumptions &amp; FX Reference'!$C$5:$C$25,MATCH(Y38,'Assumptions &amp; FX Reference'!$A$5:$A$25,0))/INDEX('Assumptions &amp; FX Reference'!$B$5:$B$25,MATCH(Y38,'Assumptions &amp; FX Reference'!$A$5:$A$25,0)),""))),"")))</f>
        <v>35300</v>
      </c>
      <c r="AD38" s="51" t="n">
        <f aca="false">IF(NOT(ISNUMBER(AA38)),"",IF(NOT(ISNUMBER(Y38)),"",IFERROR(IF(Z38="IRR",AA38,IF(Z38="USD",AA38*INDEX('Assumptions &amp; FX Reference'!$B$5:$B$25,MATCH(Y38,'Assumptions &amp; FX Reference'!$A$5:$A$25,0)),IF(Z38="EUR",AA38*INDEX('Assumptions &amp; FX Reference'!$C$5:$C$25,MATCH(Y38,'Assumptions &amp; FX Reference'!$A$5:$A$25,0)),""))),"")))</f>
        <v>14826000000</v>
      </c>
      <c r="AE38" s="42" t="s">
        <v>364</v>
      </c>
      <c r="AF38" s="50" t="s">
        <v>201</v>
      </c>
      <c r="AG38" s="47" t="n">
        <f aca="false">IF(AND(Z38="EUR",N(AA38)&gt;5000000),"",IF(AND(ISNUMBER(AB38),ISNUMBER(AZ38),ISNUMBER(BA38)),IF(AND(BB38="Y",ISNUMBER('Assumptions &amp; FX Reference'!$I$15)),MAX(AB38*BA38/AZ38,'Assumptions &amp; FX Reference'!$I$13*BA38/'Assumptions &amp; FX Reference'!$I$15),AB38*BA38/AZ38),""))</f>
        <v>28977.9372919305</v>
      </c>
      <c r="AH38" s="47" t="n">
        <f aca="false">IF(AND(ISNUMBER(AG38),ISNUMBER('Assumptions &amp; FX Reference'!$I$8),ISNUMBER('Assumptions &amp; FX Reference'!$I$11)),AG38*'Assumptions &amp; FX Reference'!$I$8/'Assumptions &amp; FX Reference'!$I$11,"")</f>
        <v>30594.4159291727</v>
      </c>
      <c r="AI38" s="47" t="n">
        <f aca="false">IF(AND(ISNUMBER(AG38),ISNUMBER('Assumptions &amp; FX Reference'!$I$8)),AG38*'Assumptions &amp; FX Reference'!$I$8,"")</f>
        <v>20147432505.0859</v>
      </c>
      <c r="AJ38" s="42" t="s">
        <v>365</v>
      </c>
      <c r="AK38" s="42" t="s">
        <v>366</v>
      </c>
      <c r="AL38" s="42" t="s">
        <v>123</v>
      </c>
      <c r="AM38" s="42" t="s">
        <v>123</v>
      </c>
      <c r="AN38" s="42" t="s">
        <v>123</v>
      </c>
      <c r="AO38" s="50" t="s">
        <v>312</v>
      </c>
      <c r="AP38" s="50" t="s">
        <v>312</v>
      </c>
      <c r="AQ38" s="50" t="s">
        <v>312</v>
      </c>
      <c r="AR38" s="42" t="s">
        <v>123</v>
      </c>
      <c r="AS38" s="45" t="str">
        <f aca="false">IF(AND(Z38="EUR",N(AA38)&gt;5000000),"Check currency (EUR&gt;5M); ","")&amp;IF(NOT(ISNUMBER(AA38)),"No price; ","")&amp;IF(G38="Not stated","Material missing; ","")&amp;IF(P38="Not stated","Seal missing; ","")&amp;IF(K38="","Size driver missing; ","")&amp;IF(NOT(ISNUMBER(AZ38)),"Base-year PPI missing; ","")</f>
        <v>Material missing; Seal missing; </v>
      </c>
      <c r="AT38" s="48" t="n">
        <f aca="false">IFERROR(INDEX(Factors_ROT!$F$5:$F$200,MATCH("MAT|"&amp;G38,Factors_ROT!$A$5:$A$200,0)),1)</f>
        <v>1</v>
      </c>
      <c r="AU38" s="48" t="n">
        <f aca="false">IFERROR(INDEX(Factors_ROT!$F$5:$F$200,MATCH("SEAL_ARR|"&amp;P38,Factors_ROT!$A$5:$A$200,0)),1)*IFERROR(INDEX(Factors_ROT!$F$5:$F$200,MATCH("SEAL_CAT|"&amp;Q38,Factors_ROT!$A$5:$A$200,0)),1)*IFERROR(INDEX(Factors_ROT!$F$5:$F$200,MATCH("SEAL_PLAN|"&amp;R38,Factors_ROT!$A$5:$A$200,0)),1)</f>
        <v>1</v>
      </c>
      <c r="AV38" s="48" t="n">
        <f aca="false">IFERROR(INDEX(Factors_ROT!$F$5:$F$200,MATCH("DRV|"&amp;S38,Factors_ROT!$A$5:$A$200,0)),1)*IFERROR(INDEX(Factors_ROT!$F$5:$F$200,MATCH("NACE|"&amp;O38,Factors_ROT!$A$5:$A$200,0)),1)</f>
        <v>1</v>
      </c>
      <c r="AW38" s="48" t="n">
        <f aca="false">IFERROR(INDEX(Factors_ROT!$F$5:$F$200,MATCH("SC_DRV|"&amp;AL38,Factors_ROT!$A$5:$A$200,0)),1)*IFERROR(INDEX(Factors_ROT!$F$5:$F$200,MATCH("SC_BSP|"&amp;AM38,Factors_ROT!$A$5:$A$200,0)),1)*IFERROR(INDEX(Factors_ROT!$F$5:$F$200,MATCH("SC_SEAL|"&amp;AN38,Factors_ROT!$A$5:$A$200,0)),1)*IFERROR(INDEX(Factors_ROT!$F$5:$F$200,MATCH("SC_COMM|"&amp;AO38,Factors_ROT!$A$5:$A$200,0)),1)*IFERROR(INDEX(Factors_ROT!$F$5:$F$200,MATCH("SC_2Y|"&amp;AP38,Factors_ROT!$A$5:$A$200,0)),1)*IFERROR(INDEX(Factors_ROT!$F$5:$F$200,MATCH("SC_TPI|"&amp;AQ38,Factors_ROT!$A$5:$A$200,0)),1)*IFERROR(INDEX(Factors_ROT!$F$5:$F$200,MATCH("SC_FAT|"&amp;AR38,Factors_ROT!$A$5:$A$200,0)),1)</f>
        <v>0.98</v>
      </c>
      <c r="AX38" s="48" t="n">
        <f aca="false">AT38*AU38*AV38*AW38</f>
        <v>0.98</v>
      </c>
      <c r="AY38" s="47" t="n">
        <f aca="false">IF(ISNUMBER(AB38),AB38/AX38,"")</f>
        <v>28571.4285714286</v>
      </c>
      <c r="AZ38" s="49" t="n">
        <f aca="false">IFERROR(IF(N(INDEX(Escalation_Index!$B$5:$B$25,MATCH(Y38,Escalation_Index!$A$5:$A$25,0)))&gt;0,INDEX(Escalation_Index!$B$5:$B$25,MATCH(Y38,Escalation_Index!$A$5:$A$25,0)),""),"")</f>
        <v>119.251</v>
      </c>
      <c r="BA38" s="49" t="n">
        <f aca="false">IF(ISNUMBER('Assumptions &amp; FX Reference'!$I$12),'Assumptions &amp; FX Reference'!$I$12,"")</f>
        <v>123.416</v>
      </c>
      <c r="BB38" s="45" t="str">
        <f aca="false">IF(AND(M38="API 610",LEFT(V38,11)="Centrifugal",OR(LEFT(G38,2)="S-",LEFT(G38,2)="D-")),"Y","N")</f>
        <v>N</v>
      </c>
      <c r="BC38" s="47" t="n">
        <f aca="false">IF(ISNUMBER(AG38),AG38/AX38,"")</f>
        <v>29569.323767276</v>
      </c>
      <c r="BD38" s="47" t="n">
        <f aca="false">IF(AND(ISNUMBER(BC38),ISNUMBER(K38)),IF(K38&gt;0,BC38/K38^'Assumptions &amp; FX Reference'!$I$16,""),"")</f>
        <v>24696.825404858</v>
      </c>
      <c r="BE38" s="42" t="s">
        <v>445</v>
      </c>
      <c r="BF38" s="42" t="s">
        <v>446</v>
      </c>
      <c r="BG38" s="42" t="s">
        <v>369</v>
      </c>
      <c r="BH38" s="45" t="s">
        <v>313</v>
      </c>
      <c r="BI38" s="45" t="str">
        <f aca="false">"PMP-"&amp;TEXT(A38,"0000")</f>
        <v>PMP-0034</v>
      </c>
    </row>
    <row r="39" customFormat="false" ht="24" hidden="false" customHeight="true" outlineLevel="0" collapsed="false">
      <c r="A39" s="42" t="n">
        <v>35</v>
      </c>
      <c r="B39" s="42" t="s">
        <v>447</v>
      </c>
      <c r="C39" s="42" t="s">
        <v>361</v>
      </c>
      <c r="D39" s="42" t="s">
        <v>448</v>
      </c>
      <c r="E39" s="42" t="s">
        <v>57</v>
      </c>
      <c r="F39" s="42" t="s">
        <v>123</v>
      </c>
      <c r="G39" s="42" t="s">
        <v>123</v>
      </c>
      <c r="H39" s="43" t="n">
        <v>10</v>
      </c>
      <c r="I39" s="43"/>
      <c r="J39" s="43" t="n">
        <v>0.16</v>
      </c>
      <c r="K39" s="44" t="n">
        <f aca="false">IF(ISNUMBER(J39),J39,IF(AND(ISNUMBER(H39),ISNUMBER(I39)),H39*I39/(367*'Assumptions &amp; FX Reference'!$I$17),""))</f>
        <v>0.16</v>
      </c>
      <c r="L39" s="45" t="str">
        <f aca="false">IF(IF(OR(M39="Not stated",M39=""),""," + "&amp;M39)&amp;IF(OR(N39="None",N39=""),""," + "&amp;N39)&amp;IF(O39="Y"," + NACE MR0175","")="","Not stated",MID(IF(OR(M39="Not stated",M39=""),""," + "&amp;M39)&amp;IF(OR(N39="None",N39=""),""," + "&amp;N39)&amp;IF(O39="Y"," + NACE MR0175",""),4,300))</f>
        <v>Not stated</v>
      </c>
      <c r="M39" s="42" t="s">
        <v>123</v>
      </c>
      <c r="N39" s="42" t="s">
        <v>303</v>
      </c>
      <c r="O39" s="42" t="s">
        <v>123</v>
      </c>
      <c r="P39" s="42" t="s">
        <v>123</v>
      </c>
      <c r="Q39" s="42" t="s">
        <v>123</v>
      </c>
      <c r="R39" s="42" t="s">
        <v>123</v>
      </c>
      <c r="S39" s="50" t="s">
        <v>304</v>
      </c>
      <c r="T39" s="42" t="s">
        <v>346</v>
      </c>
      <c r="U39" s="42" t="n">
        <v>1</v>
      </c>
      <c r="V39" s="50" t="s">
        <v>306</v>
      </c>
      <c r="W39" s="43" t="n">
        <v>0.6</v>
      </c>
      <c r="X39" s="42" t="s">
        <v>123</v>
      </c>
      <c r="Y39" s="50" t="n">
        <v>1402</v>
      </c>
      <c r="Z39" s="42" t="s">
        <v>363</v>
      </c>
      <c r="AA39" s="46" t="n">
        <v>13500</v>
      </c>
      <c r="AB39" s="47" t="n">
        <f aca="false">IF(NOT(ISNUMBER(AA39)),"",IF(NOT(ISNUMBER(Y39)),"",IFERROR(IF(Z39="EUR",AA39,IF(Z39="IRR",AA39/INDEX('Assumptions &amp; FX Reference'!$C$5:$C$25,MATCH(Y39,'Assumptions &amp; FX Reference'!$A$5:$A$25,0)),IF(Z39="USD",AA39*INDEX('Assumptions &amp; FX Reference'!$B$5:$B$25,MATCH(Y39,'Assumptions &amp; FX Reference'!$A$5:$A$25,0))/INDEX('Assumptions &amp; FX Reference'!$C$5:$C$25,MATCH(Y39,'Assumptions &amp; FX Reference'!$A$5:$A$25,0)),""))),"")))</f>
        <v>13500</v>
      </c>
      <c r="AC39" s="47" t="n">
        <f aca="false">IF(NOT(ISNUMBER(AA39)),"",IF(NOT(ISNUMBER(Y39)),"",IFERROR(IF(Z39="USD",AA39,IF(Z39="IRR",AA39/INDEX('Assumptions &amp; FX Reference'!$B$5:$B$25,MATCH(Y39,'Assumptions &amp; FX Reference'!$A$5:$A$25,0)),IF(Z39="EUR",AA39*INDEX('Assumptions &amp; FX Reference'!$C$5:$C$25,MATCH(Y39,'Assumptions &amp; FX Reference'!$A$5:$A$25,0))/INDEX('Assumptions &amp; FX Reference'!$B$5:$B$25,MATCH(Y39,'Assumptions &amp; FX Reference'!$A$5:$A$25,0)),""))),"")))</f>
        <v>17019.6428571429</v>
      </c>
      <c r="AD39" s="51" t="n">
        <f aca="false">IF(NOT(ISNUMBER(AA39)),"",IF(NOT(ISNUMBER(Y39)),"",IFERROR(IF(Z39="IRR",AA39,IF(Z39="USD",AA39*INDEX('Assumptions &amp; FX Reference'!$B$5:$B$25,MATCH(Y39,'Assumptions &amp; FX Reference'!$A$5:$A$25,0)),IF(Z39="EUR",AA39*INDEX('Assumptions &amp; FX Reference'!$C$5:$C$25,MATCH(Y39,'Assumptions &amp; FX Reference'!$A$5:$A$25,0)),""))),"")))</f>
        <v>7148250000</v>
      </c>
      <c r="AE39" s="42" t="s">
        <v>364</v>
      </c>
      <c r="AF39" s="50" t="s">
        <v>201</v>
      </c>
      <c r="AG39" s="47" t="n">
        <f aca="false">IF(AND(Z39="EUR",N(AA39)&gt;5000000),"",IF(AND(ISNUMBER(AB39),ISNUMBER(AZ39),ISNUMBER(BA39)),IF(AND(BB39="Y",ISNUMBER('Assumptions &amp; FX Reference'!$I$15)),MAX(AB39*BA39/AZ39,'Assumptions &amp; FX Reference'!$I$13*BA39/'Assumptions &amp; FX Reference'!$I$15),AB39*BA39/AZ39),""))</f>
        <v>13971.5054800379</v>
      </c>
      <c r="AH39" s="47" t="n">
        <f aca="false">IF(AND(ISNUMBER(AG39),ISNUMBER('Assumptions &amp; FX Reference'!$I$8),ISNUMBER('Assumptions &amp; FX Reference'!$I$11)),AG39*'Assumptions &amp; FX Reference'!$I$8/'Assumptions &amp; FX Reference'!$I$11,"")</f>
        <v>14750.8791087083</v>
      </c>
      <c r="AI39" s="47" t="n">
        <f aca="false">IF(AND(ISNUMBER(AG39),ISNUMBER('Assumptions &amp; FX Reference'!$I$8)),AG39*'Assumptions &amp; FX Reference'!$I$8,"")</f>
        <v>9713940672.09499</v>
      </c>
      <c r="AJ39" s="42" t="s">
        <v>365</v>
      </c>
      <c r="AK39" s="42" t="s">
        <v>366</v>
      </c>
      <c r="AL39" s="42" t="s">
        <v>123</v>
      </c>
      <c r="AM39" s="42" t="s">
        <v>123</v>
      </c>
      <c r="AN39" s="42" t="s">
        <v>123</v>
      </c>
      <c r="AO39" s="50" t="s">
        <v>312</v>
      </c>
      <c r="AP39" s="50" t="s">
        <v>312</v>
      </c>
      <c r="AQ39" s="50" t="s">
        <v>312</v>
      </c>
      <c r="AR39" s="42" t="s">
        <v>123</v>
      </c>
      <c r="AS39" s="45" t="str">
        <f aca="false">IF(AND(Z39="EUR",N(AA39)&gt;5000000),"Check currency (EUR&gt;5M); ","")&amp;IF(NOT(ISNUMBER(AA39)),"No price; ","")&amp;IF(G39="Not stated","Material missing; ","")&amp;IF(P39="Not stated","Seal missing; ","")&amp;IF(K39="","Size driver missing; ","")&amp;IF(NOT(ISNUMBER(AZ39)),"Base-year PPI missing; ","")</f>
        <v>Material missing; Seal missing; </v>
      </c>
      <c r="AT39" s="48" t="n">
        <f aca="false">IFERROR(INDEX(Factors_ROT!$F$5:$F$200,MATCH("MAT|"&amp;G39,Factors_ROT!$A$5:$A$200,0)),1)</f>
        <v>1</v>
      </c>
      <c r="AU39" s="48" t="n">
        <f aca="false">IFERROR(INDEX(Factors_ROT!$F$5:$F$200,MATCH("SEAL_ARR|"&amp;P39,Factors_ROT!$A$5:$A$200,0)),1)*IFERROR(INDEX(Factors_ROT!$F$5:$F$200,MATCH("SEAL_CAT|"&amp;Q39,Factors_ROT!$A$5:$A$200,0)),1)*IFERROR(INDEX(Factors_ROT!$F$5:$F$200,MATCH("SEAL_PLAN|"&amp;R39,Factors_ROT!$A$5:$A$200,0)),1)</f>
        <v>1</v>
      </c>
      <c r="AV39" s="48" t="n">
        <f aca="false">IFERROR(INDEX(Factors_ROT!$F$5:$F$200,MATCH("DRV|"&amp;S39,Factors_ROT!$A$5:$A$200,0)),1)*IFERROR(INDEX(Factors_ROT!$F$5:$F$200,MATCH("NACE|"&amp;O39,Factors_ROT!$A$5:$A$200,0)),1)</f>
        <v>1</v>
      </c>
      <c r="AW39" s="48" t="n">
        <f aca="false">IFERROR(INDEX(Factors_ROT!$F$5:$F$200,MATCH("SC_DRV|"&amp;AL39,Factors_ROT!$A$5:$A$200,0)),1)*IFERROR(INDEX(Factors_ROT!$F$5:$F$200,MATCH("SC_BSP|"&amp;AM39,Factors_ROT!$A$5:$A$200,0)),1)*IFERROR(INDEX(Factors_ROT!$F$5:$F$200,MATCH("SC_SEAL|"&amp;AN39,Factors_ROT!$A$5:$A$200,0)),1)*IFERROR(INDEX(Factors_ROT!$F$5:$F$200,MATCH("SC_COMM|"&amp;AO39,Factors_ROT!$A$5:$A$200,0)),1)*IFERROR(INDEX(Factors_ROT!$F$5:$F$200,MATCH("SC_2Y|"&amp;AP39,Factors_ROT!$A$5:$A$200,0)),1)*IFERROR(INDEX(Factors_ROT!$F$5:$F$200,MATCH("SC_TPI|"&amp;AQ39,Factors_ROT!$A$5:$A$200,0)),1)*IFERROR(INDEX(Factors_ROT!$F$5:$F$200,MATCH("SC_FAT|"&amp;AR39,Factors_ROT!$A$5:$A$200,0)),1)</f>
        <v>0.98</v>
      </c>
      <c r="AX39" s="48" t="n">
        <f aca="false">AT39*AU39*AV39*AW39</f>
        <v>0.98</v>
      </c>
      <c r="AY39" s="47" t="n">
        <f aca="false">IF(ISNUMBER(AB39),AB39/AX39,"")</f>
        <v>13775.5102040816</v>
      </c>
      <c r="AZ39" s="49" t="n">
        <f aca="false">IFERROR(IF(N(INDEX(Escalation_Index!$B$5:$B$25,MATCH(Y39,Escalation_Index!$A$5:$A$25,0)))&gt;0,INDEX(Escalation_Index!$B$5:$B$25,MATCH(Y39,Escalation_Index!$A$5:$A$25,0)),""),"")</f>
        <v>119.251</v>
      </c>
      <c r="BA39" s="49" t="n">
        <f aca="false">IF(ISNUMBER('Assumptions &amp; FX Reference'!$I$12),'Assumptions &amp; FX Reference'!$I$12,"")</f>
        <v>123.416</v>
      </c>
      <c r="BB39" s="45" t="str">
        <f aca="false">IF(AND(M39="API 610",LEFT(V39,11)="Centrifugal",OR(LEFT(G39,2)="S-",LEFT(G39,2)="D-")),"Y","N")</f>
        <v>N</v>
      </c>
      <c r="BC39" s="47" t="n">
        <f aca="false">IF(ISNUMBER(AG39),AG39/AX39,"")</f>
        <v>14256.6382449366</v>
      </c>
      <c r="BD39" s="47" t="n">
        <f aca="false">IF(AND(ISNUMBER(BC39),ISNUMBER(K39)),IF(K39&gt;0,BC39/K39^'Assumptions &amp; FX Reference'!$I$16,""),"")</f>
        <v>42809.9913560689</v>
      </c>
      <c r="BE39" s="42" t="s">
        <v>449</v>
      </c>
      <c r="BF39" s="42" t="s">
        <v>450</v>
      </c>
      <c r="BG39" s="42" t="s">
        <v>369</v>
      </c>
      <c r="BH39" s="45" t="s">
        <v>313</v>
      </c>
      <c r="BI39" s="45" t="str">
        <f aca="false">"PMP-"&amp;TEXT(A39,"0000")</f>
        <v>PMP-0035</v>
      </c>
    </row>
    <row r="40" customFormat="false" ht="24" hidden="false" customHeight="true" outlineLevel="0" collapsed="false">
      <c r="A40" s="42" t="n">
        <v>36</v>
      </c>
      <c r="B40" s="42" t="s">
        <v>451</v>
      </c>
      <c r="C40" s="42" t="s">
        <v>361</v>
      </c>
      <c r="D40" s="42" t="s">
        <v>452</v>
      </c>
      <c r="E40" s="42" t="s">
        <v>60</v>
      </c>
      <c r="F40" s="42" t="s">
        <v>123</v>
      </c>
      <c r="G40" s="42" t="s">
        <v>123</v>
      </c>
      <c r="H40" s="43" t="n">
        <v>480</v>
      </c>
      <c r="I40" s="43"/>
      <c r="J40" s="43" t="n">
        <v>133</v>
      </c>
      <c r="K40" s="44" t="n">
        <f aca="false">IF(ISNUMBER(J40),J40,IF(AND(ISNUMBER(H40),ISNUMBER(I40)),H40*I40/(367*'Assumptions &amp; FX Reference'!$I$17),""))</f>
        <v>133</v>
      </c>
      <c r="L40" s="45" t="str">
        <f aca="false">IF(IF(OR(M40="Not stated",M40=""),""," + "&amp;M40)&amp;IF(OR(N40="None",N40=""),""," + "&amp;N40)&amp;IF(O40="Y"," + NACE MR0175","")="","Not stated",MID(IF(OR(M40="Not stated",M40=""),""," + "&amp;M40)&amp;IF(OR(N40="None",N40=""),""," + "&amp;N40)&amp;IF(O40="Y"," + NACE MR0175",""),4,300))</f>
        <v>Not stated</v>
      </c>
      <c r="M40" s="42" t="s">
        <v>123</v>
      </c>
      <c r="N40" s="42" t="s">
        <v>303</v>
      </c>
      <c r="O40" s="42" t="s">
        <v>123</v>
      </c>
      <c r="P40" s="42" t="s">
        <v>123</v>
      </c>
      <c r="Q40" s="42" t="s">
        <v>123</v>
      </c>
      <c r="R40" s="42" t="s">
        <v>123</v>
      </c>
      <c r="S40" s="42" t="s">
        <v>304</v>
      </c>
      <c r="T40" s="42" t="s">
        <v>453</v>
      </c>
      <c r="U40" s="42" t="n">
        <v>2</v>
      </c>
      <c r="V40" s="50" t="s">
        <v>306</v>
      </c>
      <c r="W40" s="43" t="n">
        <v>10</v>
      </c>
      <c r="X40" s="42" t="s">
        <v>123</v>
      </c>
      <c r="Y40" s="50" t="n">
        <v>1402</v>
      </c>
      <c r="Z40" s="42" t="s">
        <v>454</v>
      </c>
      <c r="AA40" s="46" t="n">
        <v>37500000000</v>
      </c>
      <c r="AB40" s="47" t="n">
        <f aca="false">IF(NOT(ISNUMBER(AA40)),"",IF(NOT(ISNUMBER(Y40)),"",IFERROR(IF(Z40="EUR",AA40,IF(Z40="IRR",AA40/INDEX('Assumptions &amp; FX Reference'!$C$5:$C$25,MATCH(Y40,'Assumptions &amp; FX Reference'!$A$5:$A$25,0)),IF(Z40="USD",AA40*INDEX('Assumptions &amp; FX Reference'!$B$5:$B$25,MATCH(Y40,'Assumptions &amp; FX Reference'!$A$5:$A$25,0))/INDEX('Assumptions &amp; FX Reference'!$C$5:$C$25,MATCH(Y40,'Assumptions &amp; FX Reference'!$A$5:$A$25,0)),""))),"")))</f>
        <v>70821.5297450425</v>
      </c>
      <c r="AC40" s="47" t="n">
        <f aca="false">IF(NOT(ISNUMBER(AA40)),"",IF(NOT(ISNUMBER(Y40)),"",IFERROR(IF(Z40="USD",AA40,IF(Z40="IRR",AA40/INDEX('Assumptions &amp; FX Reference'!$B$5:$B$25,MATCH(Y40,'Assumptions &amp; FX Reference'!$A$5:$A$25,0)),IF(Z40="EUR",AA40*INDEX('Assumptions &amp; FX Reference'!$C$5:$C$25,MATCH(Y40,'Assumptions &amp; FX Reference'!$A$5:$A$25,0))/INDEX('Assumptions &amp; FX Reference'!$B$5:$B$25,MATCH(Y40,'Assumptions &amp; FX Reference'!$A$5:$A$25,0)),""))),"")))</f>
        <v>89285.7142857143</v>
      </c>
      <c r="AD40" s="47" t="n">
        <f aca="false">IF(NOT(ISNUMBER(AA40)),"",IF(NOT(ISNUMBER(Y40)),"",IFERROR(IF(Z40="IRR",AA40,IF(Z40="USD",AA40*INDEX('Assumptions &amp; FX Reference'!$B$5:$B$25,MATCH(Y40,'Assumptions &amp; FX Reference'!$A$5:$A$25,0)),IF(Z40="EUR",AA40*INDEX('Assumptions &amp; FX Reference'!$C$5:$C$25,MATCH(Y40,'Assumptions &amp; FX Reference'!$A$5:$A$25,0)),""))),"")))</f>
        <v>37500000000</v>
      </c>
      <c r="AE40" s="42" t="s">
        <v>455</v>
      </c>
      <c r="AF40" s="50" t="s">
        <v>201</v>
      </c>
      <c r="AG40" s="47" t="n">
        <f aca="false">IF(AND(Z40="EUR",N(AA40)&gt;5000000),"",IF(AND(ISNUMBER(AB40),ISNUMBER(AZ40),ISNUMBER(BA40)),IF(AND(BB40="Y",ISNUMBER('Assumptions &amp; FX Reference'!$I$15)),MAX(AB40*BA40/AZ40,'Assumptions &amp; FX Reference'!$I$13*BA40/'Assumptions &amp; FX Reference'!$I$15),AB40*BA40/AZ40),""))</f>
        <v>73295.0659953725</v>
      </c>
      <c r="AH40" s="47" t="n">
        <f aca="false">IF(AND(ISNUMBER(AG40),ISNUMBER('Assumptions &amp; FX Reference'!$I$8),ISNUMBER('Assumptions &amp; FX Reference'!$I$11)),AG40*'Assumptions &amp; FX Reference'!$I$8/'Assumptions &amp; FX Reference'!$I$11,"")</f>
        <v>77383.6906342896</v>
      </c>
      <c r="AI40" s="47" t="n">
        <f aca="false">IF(AND(ISNUMBER(AG40),ISNUMBER('Assumptions &amp; FX Reference'!$I$8)),AG40*'Assumptions &amp; FX Reference'!$I$8,"")</f>
        <v>50959713944.4706</v>
      </c>
      <c r="AJ40" s="42" t="s">
        <v>365</v>
      </c>
      <c r="AK40" s="42" t="s">
        <v>366</v>
      </c>
      <c r="AL40" s="42" t="s">
        <v>123</v>
      </c>
      <c r="AM40" s="42" t="s">
        <v>123</v>
      </c>
      <c r="AN40" s="42" t="s">
        <v>123</v>
      </c>
      <c r="AO40" s="50" t="s">
        <v>312</v>
      </c>
      <c r="AP40" s="50" t="s">
        <v>312</v>
      </c>
      <c r="AQ40" s="50" t="s">
        <v>312</v>
      </c>
      <c r="AR40" s="42" t="s">
        <v>123</v>
      </c>
      <c r="AS40" s="45" t="str">
        <f aca="false">IF(AND(Z40="EUR",N(AA40)&gt;5000000),"Check currency (EUR&gt;5M); ","")&amp;IF(NOT(ISNUMBER(AA40)),"No price; ","")&amp;IF(G40="Not stated","Material missing; ","")&amp;IF(P40="Not stated","Seal missing; ","")&amp;IF(K40="","Size driver missing; ","")&amp;IF(NOT(ISNUMBER(AZ40)),"Base-year PPI missing; ","")</f>
        <v>Material missing; Seal missing; </v>
      </c>
      <c r="AT40" s="48" t="n">
        <f aca="false">IFERROR(INDEX(Factors_ROT!$F$5:$F$200,MATCH("MAT|"&amp;G40,Factors_ROT!$A$5:$A$200,0)),1)</f>
        <v>1</v>
      </c>
      <c r="AU40" s="48" t="n">
        <f aca="false">IFERROR(INDEX(Factors_ROT!$F$5:$F$200,MATCH("SEAL_ARR|"&amp;P40,Factors_ROT!$A$5:$A$200,0)),1)*IFERROR(INDEX(Factors_ROT!$F$5:$F$200,MATCH("SEAL_CAT|"&amp;Q40,Factors_ROT!$A$5:$A$200,0)),1)*IFERROR(INDEX(Factors_ROT!$F$5:$F$200,MATCH("SEAL_PLAN|"&amp;R40,Factors_ROT!$A$5:$A$200,0)),1)</f>
        <v>1</v>
      </c>
      <c r="AV40" s="48" t="n">
        <f aca="false">IFERROR(INDEX(Factors_ROT!$F$5:$F$200,MATCH("DRV|"&amp;S40,Factors_ROT!$A$5:$A$200,0)),1)*IFERROR(INDEX(Factors_ROT!$F$5:$F$200,MATCH("NACE|"&amp;O40,Factors_ROT!$A$5:$A$200,0)),1)</f>
        <v>1</v>
      </c>
      <c r="AW40" s="48" t="n">
        <f aca="false">IFERROR(INDEX(Factors_ROT!$F$5:$F$200,MATCH("SC_DRV|"&amp;AL40,Factors_ROT!$A$5:$A$200,0)),1)*IFERROR(INDEX(Factors_ROT!$F$5:$F$200,MATCH("SC_BSP|"&amp;AM40,Factors_ROT!$A$5:$A$200,0)),1)*IFERROR(INDEX(Factors_ROT!$F$5:$F$200,MATCH("SC_SEAL|"&amp;AN40,Factors_ROT!$A$5:$A$200,0)),1)*IFERROR(INDEX(Factors_ROT!$F$5:$F$200,MATCH("SC_COMM|"&amp;AO40,Factors_ROT!$A$5:$A$200,0)),1)*IFERROR(INDEX(Factors_ROT!$F$5:$F$200,MATCH("SC_2Y|"&amp;AP40,Factors_ROT!$A$5:$A$200,0)),1)*IFERROR(INDEX(Factors_ROT!$F$5:$F$200,MATCH("SC_TPI|"&amp;AQ40,Factors_ROT!$A$5:$A$200,0)),1)*IFERROR(INDEX(Factors_ROT!$F$5:$F$200,MATCH("SC_FAT|"&amp;AR40,Factors_ROT!$A$5:$A$200,0)),1)</f>
        <v>0.98</v>
      </c>
      <c r="AX40" s="48" t="n">
        <f aca="false">AT40*AU40*AV40*AW40</f>
        <v>0.98</v>
      </c>
      <c r="AY40" s="47" t="n">
        <f aca="false">IF(ISNUMBER(AB40),AB40/AX40,"")</f>
        <v>72266.8670867781</v>
      </c>
      <c r="AZ40" s="49" t="n">
        <f aca="false">IFERROR(IF(N(INDEX(Escalation_Index!$B$5:$B$25,MATCH(Y40,Escalation_Index!$A$5:$A$25,0)))&gt;0,INDEX(Escalation_Index!$B$5:$B$25,MATCH(Y40,Escalation_Index!$A$5:$A$25,0)),""),"")</f>
        <v>119.251</v>
      </c>
      <c r="BA40" s="49" t="n">
        <f aca="false">IF(ISNUMBER('Assumptions &amp; FX Reference'!$I$12),'Assumptions &amp; FX Reference'!$I$12,"")</f>
        <v>123.416</v>
      </c>
      <c r="BB40" s="45" t="str">
        <f aca="false">IF(AND(M40="API 610",LEFT(V40,11)="Centrifugal",OR(LEFT(G40,2)="S-",LEFT(G40,2)="D-")),"Y","N")</f>
        <v>N</v>
      </c>
      <c r="BC40" s="47" t="n">
        <f aca="false">IF(ISNUMBER(AG40),AG40/AX40,"")</f>
        <v>74790.8836687474</v>
      </c>
      <c r="BD40" s="47" t="n">
        <f aca="false">IF(AND(ISNUMBER(BC40),ISNUMBER(K40)),IF(K40&gt;0,BC40/K40^'Assumptions &amp; FX Reference'!$I$16,""),"")</f>
        <v>3976.83598517333</v>
      </c>
      <c r="BE40" s="42" t="s">
        <v>456</v>
      </c>
      <c r="BF40" s="42" t="s">
        <v>457</v>
      </c>
      <c r="BG40" s="42" t="s">
        <v>369</v>
      </c>
      <c r="BH40" s="45" t="s">
        <v>313</v>
      </c>
      <c r="BI40" s="45" t="str">
        <f aca="false">"PMP-"&amp;TEXT(A40,"0000")</f>
        <v>PMP-0036</v>
      </c>
    </row>
    <row r="41" customFormat="false" ht="24" hidden="false" customHeight="true" outlineLevel="0" collapsed="false">
      <c r="A41" s="42" t="n">
        <v>37</v>
      </c>
      <c r="B41" s="42" t="s">
        <v>458</v>
      </c>
      <c r="C41" s="42" t="s">
        <v>361</v>
      </c>
      <c r="D41" s="42" t="s">
        <v>459</v>
      </c>
      <c r="E41" s="42" t="s">
        <v>60</v>
      </c>
      <c r="F41" s="42" t="s">
        <v>123</v>
      </c>
      <c r="G41" s="42" t="s">
        <v>123</v>
      </c>
      <c r="H41" s="43" t="n">
        <v>480</v>
      </c>
      <c r="I41" s="43"/>
      <c r="J41" s="43" t="n">
        <v>133</v>
      </c>
      <c r="K41" s="44" t="n">
        <f aca="false">IF(ISNUMBER(J41),J41,IF(AND(ISNUMBER(H41),ISNUMBER(I41)),H41*I41/(367*'Assumptions &amp; FX Reference'!$I$17),""))</f>
        <v>133</v>
      </c>
      <c r="L41" s="45" t="str">
        <f aca="false">IF(IF(OR(M41="Not stated",M41=""),""," + "&amp;M41)&amp;IF(OR(N41="None",N41=""),""," + "&amp;N41)&amp;IF(O41="Y"," + NACE MR0175","")="","Not stated",MID(IF(OR(M41="Not stated",M41=""),""," + "&amp;M41)&amp;IF(OR(N41="None",N41=""),""," + "&amp;N41)&amp;IF(O41="Y"," + NACE MR0175",""),4,300))</f>
        <v>Not stated</v>
      </c>
      <c r="M41" s="42" t="s">
        <v>123</v>
      </c>
      <c r="N41" s="42" t="s">
        <v>303</v>
      </c>
      <c r="O41" s="42" t="s">
        <v>123</v>
      </c>
      <c r="P41" s="42" t="s">
        <v>123</v>
      </c>
      <c r="Q41" s="42" t="s">
        <v>123</v>
      </c>
      <c r="R41" s="42" t="s">
        <v>123</v>
      </c>
      <c r="S41" s="42" t="s">
        <v>460</v>
      </c>
      <c r="T41" s="42" t="s">
        <v>453</v>
      </c>
      <c r="U41" s="42" t="n">
        <v>1</v>
      </c>
      <c r="V41" s="50" t="s">
        <v>306</v>
      </c>
      <c r="W41" s="43" t="n">
        <v>10</v>
      </c>
      <c r="X41" s="42" t="s">
        <v>123</v>
      </c>
      <c r="Y41" s="50" t="n">
        <v>1402</v>
      </c>
      <c r="Z41" s="42" t="s">
        <v>454</v>
      </c>
      <c r="AA41" s="46" t="n">
        <v>45000000000</v>
      </c>
      <c r="AB41" s="47" t="n">
        <f aca="false">IF(NOT(ISNUMBER(AA41)),"",IF(NOT(ISNUMBER(Y41)),"",IFERROR(IF(Z41="EUR",AA41,IF(Z41="IRR",AA41/INDEX('Assumptions &amp; FX Reference'!$C$5:$C$25,MATCH(Y41,'Assumptions &amp; FX Reference'!$A$5:$A$25,0)),IF(Z41="USD",AA41*INDEX('Assumptions &amp; FX Reference'!$B$5:$B$25,MATCH(Y41,'Assumptions &amp; FX Reference'!$A$5:$A$25,0))/INDEX('Assumptions &amp; FX Reference'!$C$5:$C$25,MATCH(Y41,'Assumptions &amp; FX Reference'!$A$5:$A$25,0)),""))),"")))</f>
        <v>84985.835694051</v>
      </c>
      <c r="AC41" s="47" t="n">
        <f aca="false">IF(NOT(ISNUMBER(AA41)),"",IF(NOT(ISNUMBER(Y41)),"",IFERROR(IF(Z41="USD",AA41,IF(Z41="IRR",AA41/INDEX('Assumptions &amp; FX Reference'!$B$5:$B$25,MATCH(Y41,'Assumptions &amp; FX Reference'!$A$5:$A$25,0)),IF(Z41="EUR",AA41*INDEX('Assumptions &amp; FX Reference'!$C$5:$C$25,MATCH(Y41,'Assumptions &amp; FX Reference'!$A$5:$A$25,0))/INDEX('Assumptions &amp; FX Reference'!$B$5:$B$25,MATCH(Y41,'Assumptions &amp; FX Reference'!$A$5:$A$25,0)),""))),"")))</f>
        <v>107142.857142857</v>
      </c>
      <c r="AD41" s="47" t="n">
        <f aca="false">IF(NOT(ISNUMBER(AA41)),"",IF(NOT(ISNUMBER(Y41)),"",IFERROR(IF(Z41="IRR",AA41,IF(Z41="USD",AA41*INDEX('Assumptions &amp; FX Reference'!$B$5:$B$25,MATCH(Y41,'Assumptions &amp; FX Reference'!$A$5:$A$25,0)),IF(Z41="EUR",AA41*INDEX('Assumptions &amp; FX Reference'!$C$5:$C$25,MATCH(Y41,'Assumptions &amp; FX Reference'!$A$5:$A$25,0)),""))),"")))</f>
        <v>45000000000</v>
      </c>
      <c r="AE41" s="42" t="s">
        <v>455</v>
      </c>
      <c r="AF41" s="50" t="s">
        <v>201</v>
      </c>
      <c r="AG41" s="47" t="n">
        <f aca="false">IF(AND(Z41="EUR",N(AA41)&gt;5000000),"",IF(AND(ISNUMBER(AB41),ISNUMBER(AZ41),ISNUMBER(BA41)),IF(AND(BB41="Y",ISNUMBER('Assumptions &amp; FX Reference'!$I$15)),MAX(AB41*BA41/AZ41,'Assumptions &amp; FX Reference'!$I$13*BA41/'Assumptions &amp; FX Reference'!$I$15),AB41*BA41/AZ41),""))</f>
        <v>87954.079194447</v>
      </c>
      <c r="AH41" s="47" t="n">
        <f aca="false">IF(AND(ISNUMBER(AG41),ISNUMBER('Assumptions &amp; FX Reference'!$I$8),ISNUMBER('Assumptions &amp; FX Reference'!$I$11)),AG41*'Assumptions &amp; FX Reference'!$I$8/'Assumptions &amp; FX Reference'!$I$11,"")</f>
        <v>92860.4287611475</v>
      </c>
      <c r="AI41" s="47" t="n">
        <f aca="false">IF(AND(ISNUMBER(AG41),ISNUMBER('Assumptions &amp; FX Reference'!$I$8)),AG41*'Assumptions &amp; FX Reference'!$I$8,"")</f>
        <v>61151656733.3648</v>
      </c>
      <c r="AJ41" s="42" t="s">
        <v>365</v>
      </c>
      <c r="AK41" s="42" t="s">
        <v>366</v>
      </c>
      <c r="AL41" s="42" t="s">
        <v>123</v>
      </c>
      <c r="AM41" s="42" t="s">
        <v>123</v>
      </c>
      <c r="AN41" s="42" t="s">
        <v>123</v>
      </c>
      <c r="AO41" s="50" t="s">
        <v>312</v>
      </c>
      <c r="AP41" s="50" t="s">
        <v>312</v>
      </c>
      <c r="AQ41" s="50" t="s">
        <v>312</v>
      </c>
      <c r="AR41" s="42" t="s">
        <v>123</v>
      </c>
      <c r="AS41" s="45" t="str">
        <f aca="false">IF(AND(Z41="EUR",N(AA41)&gt;5000000),"Check currency (EUR&gt;5M); ","")&amp;IF(NOT(ISNUMBER(AA41)),"No price; ","")&amp;IF(G41="Not stated","Material missing; ","")&amp;IF(P41="Not stated","Seal missing; ","")&amp;IF(K41="","Size driver missing; ","")&amp;IF(NOT(ISNUMBER(AZ41)),"Base-year PPI missing; ","")</f>
        <v>Material missing; Seal missing; </v>
      </c>
      <c r="AT41" s="48" t="n">
        <f aca="false">IFERROR(INDEX(Factors_ROT!$F$5:$F$200,MATCH("MAT|"&amp;G41,Factors_ROT!$A$5:$A$200,0)),1)</f>
        <v>1</v>
      </c>
      <c r="AU41" s="48" t="n">
        <f aca="false">IFERROR(INDEX(Factors_ROT!$F$5:$F$200,MATCH("SEAL_ARR|"&amp;P41,Factors_ROT!$A$5:$A$200,0)),1)*IFERROR(INDEX(Factors_ROT!$F$5:$F$200,MATCH("SEAL_CAT|"&amp;Q41,Factors_ROT!$A$5:$A$200,0)),1)*IFERROR(INDEX(Factors_ROT!$F$5:$F$200,MATCH("SEAL_PLAN|"&amp;R41,Factors_ROT!$A$5:$A$200,0)),1)</f>
        <v>1</v>
      </c>
      <c r="AV41" s="48" t="n">
        <f aca="false">IFERROR(INDEX(Factors_ROT!$F$5:$F$200,MATCH("DRV|"&amp;S41,Factors_ROT!$A$5:$A$200,0)),1)*IFERROR(INDEX(Factors_ROT!$F$5:$F$200,MATCH("NACE|"&amp;O41,Factors_ROT!$A$5:$A$200,0)),1)</f>
        <v>1.35</v>
      </c>
      <c r="AW41" s="48" t="n">
        <f aca="false">IFERROR(INDEX(Factors_ROT!$F$5:$F$200,MATCH("SC_DRV|"&amp;AL41,Factors_ROT!$A$5:$A$200,0)),1)*IFERROR(INDEX(Factors_ROT!$F$5:$F$200,MATCH("SC_BSP|"&amp;AM41,Factors_ROT!$A$5:$A$200,0)),1)*IFERROR(INDEX(Factors_ROT!$F$5:$F$200,MATCH("SC_SEAL|"&amp;AN41,Factors_ROT!$A$5:$A$200,0)),1)*IFERROR(INDEX(Factors_ROT!$F$5:$F$200,MATCH("SC_COMM|"&amp;AO41,Factors_ROT!$A$5:$A$200,0)),1)*IFERROR(INDEX(Factors_ROT!$F$5:$F$200,MATCH("SC_2Y|"&amp;AP41,Factors_ROT!$A$5:$A$200,0)),1)*IFERROR(INDEX(Factors_ROT!$F$5:$F$200,MATCH("SC_TPI|"&amp;AQ41,Factors_ROT!$A$5:$A$200,0)),1)*IFERROR(INDEX(Factors_ROT!$F$5:$F$200,MATCH("SC_FAT|"&amp;AR41,Factors_ROT!$A$5:$A$200,0)),1)</f>
        <v>0.98</v>
      </c>
      <c r="AX41" s="48" t="n">
        <f aca="false">AT41*AU41*AV41*AW41</f>
        <v>1.323</v>
      </c>
      <c r="AY41" s="47" t="n">
        <f aca="false">IF(ISNUMBER(AB41),AB41/AX41,"")</f>
        <v>64237.2151882472</v>
      </c>
      <c r="AZ41" s="49" t="n">
        <f aca="false">IFERROR(IF(N(INDEX(Escalation_Index!$B$5:$B$25,MATCH(Y41,Escalation_Index!$A$5:$A$25,0)))&gt;0,INDEX(Escalation_Index!$B$5:$B$25,MATCH(Y41,Escalation_Index!$A$5:$A$25,0)),""),"")</f>
        <v>119.251</v>
      </c>
      <c r="BA41" s="49" t="n">
        <f aca="false">IF(ISNUMBER('Assumptions &amp; FX Reference'!$I$12),'Assumptions &amp; FX Reference'!$I$12,"")</f>
        <v>123.416</v>
      </c>
      <c r="BB41" s="45" t="str">
        <f aca="false">IF(AND(M41="API 610",LEFT(V41,11)="Centrifugal",OR(LEFT(G41,2)="S-",LEFT(G41,2)="D-")),"Y","N")</f>
        <v>N</v>
      </c>
      <c r="BC41" s="47" t="n">
        <f aca="false">IF(ISNUMBER(AG41),AG41/AX41,"")</f>
        <v>66480.7854833311</v>
      </c>
      <c r="BD41" s="47" t="n">
        <f aca="false">IF(AND(ISNUMBER(BC41),ISNUMBER(K41)),IF(K41&gt;0,BC41/K41^'Assumptions &amp; FX Reference'!$I$16,""),"")</f>
        <v>3534.96532015408</v>
      </c>
      <c r="BE41" s="42" t="s">
        <v>461</v>
      </c>
      <c r="BF41" s="42" t="s">
        <v>462</v>
      </c>
      <c r="BG41" s="42" t="s">
        <v>369</v>
      </c>
      <c r="BH41" s="45" t="s">
        <v>313</v>
      </c>
      <c r="BI41" s="45" t="str">
        <f aca="false">"PMP-"&amp;TEXT(A41,"0000")</f>
        <v>PMP-0037</v>
      </c>
    </row>
    <row r="42" customFormat="false" ht="24" hidden="false" customHeight="true" outlineLevel="0" collapsed="false">
      <c r="A42" s="42" t="n">
        <v>38</v>
      </c>
      <c r="B42" s="42" t="s">
        <v>463</v>
      </c>
      <c r="C42" s="42" t="s">
        <v>361</v>
      </c>
      <c r="D42" s="42" t="s">
        <v>464</v>
      </c>
      <c r="E42" s="42" t="s">
        <v>60</v>
      </c>
      <c r="F42" s="42" t="s">
        <v>123</v>
      </c>
      <c r="G42" s="42" t="s">
        <v>123</v>
      </c>
      <c r="H42" s="43" t="n">
        <v>15</v>
      </c>
      <c r="I42" s="43"/>
      <c r="J42" s="43" t="n">
        <v>2.5</v>
      </c>
      <c r="K42" s="44" t="n">
        <f aca="false">IF(ISNUMBER(J42),J42,IF(AND(ISNUMBER(H42),ISNUMBER(I42)),H42*I42/(367*'Assumptions &amp; FX Reference'!$I$17),""))</f>
        <v>2.5</v>
      </c>
      <c r="L42" s="45" t="str">
        <f aca="false">IF(IF(OR(M42="Not stated",M42=""),""," + "&amp;M42)&amp;IF(OR(N42="None",N42=""),""," + "&amp;N42)&amp;IF(O42="Y"," + NACE MR0175","")="","Not stated",MID(IF(OR(M42="Not stated",M42=""),""," + "&amp;M42)&amp;IF(OR(N42="None",N42=""),""," + "&amp;N42)&amp;IF(O42="Y"," + NACE MR0175",""),4,300))</f>
        <v>Not stated</v>
      </c>
      <c r="M42" s="42" t="s">
        <v>123</v>
      </c>
      <c r="N42" s="42" t="s">
        <v>303</v>
      </c>
      <c r="O42" s="42" t="s">
        <v>123</v>
      </c>
      <c r="P42" s="42" t="s">
        <v>123</v>
      </c>
      <c r="Q42" s="42" t="s">
        <v>123</v>
      </c>
      <c r="R42" s="42" t="s">
        <v>123</v>
      </c>
      <c r="S42" s="50" t="s">
        <v>304</v>
      </c>
      <c r="T42" s="42" t="s">
        <v>453</v>
      </c>
      <c r="U42" s="42" t="n">
        <v>2</v>
      </c>
      <c r="V42" s="50" t="s">
        <v>306</v>
      </c>
      <c r="W42" s="43" t="n">
        <v>6</v>
      </c>
      <c r="X42" s="42" t="s">
        <v>123</v>
      </c>
      <c r="Y42" s="50" t="n">
        <v>1402</v>
      </c>
      <c r="Z42" s="42" t="s">
        <v>454</v>
      </c>
      <c r="AA42" s="46" t="n">
        <v>2000000000</v>
      </c>
      <c r="AB42" s="47" t="n">
        <f aca="false">IF(NOT(ISNUMBER(AA42)),"",IF(NOT(ISNUMBER(Y42)),"",IFERROR(IF(Z42="EUR",AA42,IF(Z42="IRR",AA42/INDEX('Assumptions &amp; FX Reference'!$C$5:$C$25,MATCH(Y42,'Assumptions &amp; FX Reference'!$A$5:$A$25,0)),IF(Z42="USD",AA42*INDEX('Assumptions &amp; FX Reference'!$B$5:$B$25,MATCH(Y42,'Assumptions &amp; FX Reference'!$A$5:$A$25,0))/INDEX('Assumptions &amp; FX Reference'!$C$5:$C$25,MATCH(Y42,'Assumptions &amp; FX Reference'!$A$5:$A$25,0)),""))),"")))</f>
        <v>3777.14825306893</v>
      </c>
      <c r="AC42" s="47" t="n">
        <f aca="false">IF(NOT(ISNUMBER(AA42)),"",IF(NOT(ISNUMBER(Y42)),"",IFERROR(IF(Z42="USD",AA42,IF(Z42="IRR",AA42/INDEX('Assumptions &amp; FX Reference'!$B$5:$B$25,MATCH(Y42,'Assumptions &amp; FX Reference'!$A$5:$A$25,0)),IF(Z42="EUR",AA42*INDEX('Assumptions &amp; FX Reference'!$C$5:$C$25,MATCH(Y42,'Assumptions &amp; FX Reference'!$A$5:$A$25,0))/INDEX('Assumptions &amp; FX Reference'!$B$5:$B$25,MATCH(Y42,'Assumptions &amp; FX Reference'!$A$5:$A$25,0)),""))),"")))</f>
        <v>4761.90476190476</v>
      </c>
      <c r="AD42" s="47" t="n">
        <f aca="false">IF(NOT(ISNUMBER(AA42)),"",IF(NOT(ISNUMBER(Y42)),"",IFERROR(IF(Z42="IRR",AA42,IF(Z42="USD",AA42*INDEX('Assumptions &amp; FX Reference'!$B$5:$B$25,MATCH(Y42,'Assumptions &amp; FX Reference'!$A$5:$A$25,0)),IF(Z42="EUR",AA42*INDEX('Assumptions &amp; FX Reference'!$C$5:$C$25,MATCH(Y42,'Assumptions &amp; FX Reference'!$A$5:$A$25,0)),""))),"")))</f>
        <v>2000000000</v>
      </c>
      <c r="AE42" s="42" t="s">
        <v>455</v>
      </c>
      <c r="AF42" s="50" t="s">
        <v>201</v>
      </c>
      <c r="AG42" s="47" t="n">
        <f aca="false">IF(AND(Z42="EUR",N(AA42)&gt;5000000),"",IF(AND(ISNUMBER(AB42),ISNUMBER(AZ42),ISNUMBER(BA42)),IF(AND(BB42="Y",ISNUMBER('Assumptions &amp; FX Reference'!$I$15)),MAX(AB42*BA42/AZ42,'Assumptions &amp; FX Reference'!$I$13*BA42/'Assumptions &amp; FX Reference'!$I$15),AB42*BA42/AZ42),""))</f>
        <v>3909.07018641987</v>
      </c>
      <c r="AH42" s="47" t="n">
        <f aca="false">IF(AND(ISNUMBER(AG42),ISNUMBER('Assumptions &amp; FX Reference'!$I$8),ISNUMBER('Assumptions &amp; FX Reference'!$I$11)),AG42*'Assumptions &amp; FX Reference'!$I$8/'Assumptions &amp; FX Reference'!$I$11,"")</f>
        <v>4127.13016716211</v>
      </c>
      <c r="AI42" s="47" t="n">
        <f aca="false">IF(AND(ISNUMBER(AG42),ISNUMBER('Assumptions &amp; FX Reference'!$I$8)),AG42*'Assumptions &amp; FX Reference'!$I$8,"")</f>
        <v>2717851410.37177</v>
      </c>
      <c r="AJ42" s="42" t="s">
        <v>365</v>
      </c>
      <c r="AK42" s="42" t="s">
        <v>366</v>
      </c>
      <c r="AL42" s="42" t="s">
        <v>123</v>
      </c>
      <c r="AM42" s="42" t="s">
        <v>123</v>
      </c>
      <c r="AN42" s="42" t="s">
        <v>123</v>
      </c>
      <c r="AO42" s="50" t="s">
        <v>312</v>
      </c>
      <c r="AP42" s="50" t="s">
        <v>312</v>
      </c>
      <c r="AQ42" s="50" t="s">
        <v>312</v>
      </c>
      <c r="AR42" s="42" t="s">
        <v>123</v>
      </c>
      <c r="AS42" s="45" t="str">
        <f aca="false">IF(AND(Z42="EUR",N(AA42)&gt;5000000),"Check currency (EUR&gt;5M); ","")&amp;IF(NOT(ISNUMBER(AA42)),"No price; ","")&amp;IF(G42="Not stated","Material missing; ","")&amp;IF(P42="Not stated","Seal missing; ","")&amp;IF(K42="","Size driver missing; ","")&amp;IF(NOT(ISNUMBER(AZ42)),"Base-year PPI missing; ","")</f>
        <v>Material missing; Seal missing; </v>
      </c>
      <c r="AT42" s="48" t="n">
        <f aca="false">IFERROR(INDEX(Factors_ROT!$F$5:$F$200,MATCH("MAT|"&amp;G42,Factors_ROT!$A$5:$A$200,0)),1)</f>
        <v>1</v>
      </c>
      <c r="AU42" s="48" t="n">
        <f aca="false">IFERROR(INDEX(Factors_ROT!$F$5:$F$200,MATCH("SEAL_ARR|"&amp;P42,Factors_ROT!$A$5:$A$200,0)),1)*IFERROR(INDEX(Factors_ROT!$F$5:$F$200,MATCH("SEAL_CAT|"&amp;Q42,Factors_ROT!$A$5:$A$200,0)),1)*IFERROR(INDEX(Factors_ROT!$F$5:$F$200,MATCH("SEAL_PLAN|"&amp;R42,Factors_ROT!$A$5:$A$200,0)),1)</f>
        <v>1</v>
      </c>
      <c r="AV42" s="48" t="n">
        <f aca="false">IFERROR(INDEX(Factors_ROT!$F$5:$F$200,MATCH("DRV|"&amp;S42,Factors_ROT!$A$5:$A$200,0)),1)*IFERROR(INDEX(Factors_ROT!$F$5:$F$200,MATCH("NACE|"&amp;O42,Factors_ROT!$A$5:$A$200,0)),1)</f>
        <v>1</v>
      </c>
      <c r="AW42" s="48" t="n">
        <f aca="false">IFERROR(INDEX(Factors_ROT!$F$5:$F$200,MATCH("SC_DRV|"&amp;AL42,Factors_ROT!$A$5:$A$200,0)),1)*IFERROR(INDEX(Factors_ROT!$F$5:$F$200,MATCH("SC_BSP|"&amp;AM42,Factors_ROT!$A$5:$A$200,0)),1)*IFERROR(INDEX(Factors_ROT!$F$5:$F$200,MATCH("SC_SEAL|"&amp;AN42,Factors_ROT!$A$5:$A$200,0)),1)*IFERROR(INDEX(Factors_ROT!$F$5:$F$200,MATCH("SC_COMM|"&amp;AO42,Factors_ROT!$A$5:$A$200,0)),1)*IFERROR(INDEX(Factors_ROT!$F$5:$F$200,MATCH("SC_2Y|"&amp;AP42,Factors_ROT!$A$5:$A$200,0)),1)*IFERROR(INDEX(Factors_ROT!$F$5:$F$200,MATCH("SC_TPI|"&amp;AQ42,Factors_ROT!$A$5:$A$200,0)),1)*IFERROR(INDEX(Factors_ROT!$F$5:$F$200,MATCH("SC_FAT|"&amp;AR42,Factors_ROT!$A$5:$A$200,0)),1)</f>
        <v>0.98</v>
      </c>
      <c r="AX42" s="48" t="n">
        <f aca="false">AT42*AU42*AV42*AW42</f>
        <v>0.98</v>
      </c>
      <c r="AY42" s="47" t="n">
        <f aca="false">IF(ISNUMBER(AB42),AB42/AX42,"")</f>
        <v>3854.23291129483</v>
      </c>
      <c r="AZ42" s="49" t="n">
        <f aca="false">IFERROR(IF(N(INDEX(Escalation_Index!$B$5:$B$25,MATCH(Y42,Escalation_Index!$A$5:$A$25,0)))&gt;0,INDEX(Escalation_Index!$B$5:$B$25,MATCH(Y42,Escalation_Index!$A$5:$A$25,0)),""),"")</f>
        <v>119.251</v>
      </c>
      <c r="BA42" s="49" t="n">
        <f aca="false">IF(ISNUMBER('Assumptions &amp; FX Reference'!$I$12),'Assumptions &amp; FX Reference'!$I$12,"")</f>
        <v>123.416</v>
      </c>
      <c r="BB42" s="45" t="str">
        <f aca="false">IF(AND(M42="API 610",LEFT(V42,11)="Centrifugal",OR(LEFT(G42,2)="S-",LEFT(G42,2)="D-")),"Y","N")</f>
        <v>N</v>
      </c>
      <c r="BC42" s="47" t="n">
        <f aca="false">IF(ISNUMBER(AG42),AG42/AX42,"")</f>
        <v>3988.84712899986</v>
      </c>
      <c r="BD42" s="47" t="n">
        <f aca="false">IF(AND(ISNUMBER(BC42),ISNUMBER(K42)),IF(K42&gt;0,BC42/K42^'Assumptions &amp; FX Reference'!$I$16,""),"")</f>
        <v>2301.88375107454</v>
      </c>
      <c r="BE42" s="42" t="s">
        <v>465</v>
      </c>
      <c r="BF42" s="42" t="s">
        <v>466</v>
      </c>
      <c r="BG42" s="42" t="s">
        <v>369</v>
      </c>
      <c r="BH42" s="45" t="s">
        <v>313</v>
      </c>
      <c r="BI42" s="45" t="str">
        <f aca="false">"PMP-"&amp;TEXT(A42,"0000")</f>
        <v>PMP-0038</v>
      </c>
    </row>
    <row r="43" customFormat="false" ht="24" hidden="false" customHeight="true" outlineLevel="0" collapsed="false">
      <c r="A43" s="42" t="n">
        <v>39</v>
      </c>
      <c r="B43" s="42" t="s">
        <v>467</v>
      </c>
      <c r="C43" s="42" t="s">
        <v>361</v>
      </c>
      <c r="D43" s="42" t="s">
        <v>468</v>
      </c>
      <c r="E43" s="42" t="s">
        <v>48</v>
      </c>
      <c r="F43" s="42" t="s">
        <v>123</v>
      </c>
      <c r="G43" s="42" t="s">
        <v>123</v>
      </c>
      <c r="H43" s="43" t="n">
        <v>15</v>
      </c>
      <c r="I43" s="43"/>
      <c r="J43" s="43" t="n">
        <v>2.5</v>
      </c>
      <c r="K43" s="44" t="n">
        <f aca="false">IF(ISNUMBER(J43),J43,IF(AND(ISNUMBER(H43),ISNUMBER(I43)),H43*I43/(367*'Assumptions &amp; FX Reference'!$I$17),""))</f>
        <v>2.5</v>
      </c>
      <c r="L43" s="45" t="str">
        <f aca="false">IF(IF(OR(M43="Not stated",M43=""),""," + "&amp;M43)&amp;IF(OR(N43="None",N43=""),""," + "&amp;N43)&amp;IF(O43="Y"," + NACE MR0175","")="","Not stated",MID(IF(OR(M43="Not stated",M43=""),""," + "&amp;M43)&amp;IF(OR(N43="None",N43=""),""," + "&amp;N43)&amp;IF(O43="Y"," + NACE MR0175",""),4,300))</f>
        <v>Not stated</v>
      </c>
      <c r="M43" s="42" t="s">
        <v>123</v>
      </c>
      <c r="N43" s="42" t="s">
        <v>303</v>
      </c>
      <c r="O43" s="42" t="s">
        <v>123</v>
      </c>
      <c r="P43" s="42" t="s">
        <v>123</v>
      </c>
      <c r="Q43" s="42" t="s">
        <v>123</v>
      </c>
      <c r="R43" s="42" t="s">
        <v>123</v>
      </c>
      <c r="S43" s="50" t="s">
        <v>304</v>
      </c>
      <c r="T43" s="42" t="s">
        <v>338</v>
      </c>
      <c r="U43" s="42" t="n">
        <v>2</v>
      </c>
      <c r="V43" s="50" t="s">
        <v>306</v>
      </c>
      <c r="W43" s="43" t="n">
        <v>6</v>
      </c>
      <c r="X43" s="42" t="s">
        <v>123</v>
      </c>
      <c r="Y43" s="50" t="n">
        <v>1402</v>
      </c>
      <c r="Z43" s="42" t="s">
        <v>363</v>
      </c>
      <c r="AA43" s="46" t="n">
        <v>17500</v>
      </c>
      <c r="AB43" s="47" t="n">
        <f aca="false">IF(NOT(ISNUMBER(AA43)),"",IF(NOT(ISNUMBER(Y43)),"",IFERROR(IF(Z43="EUR",AA43,IF(Z43="IRR",AA43/INDEX('Assumptions &amp; FX Reference'!$C$5:$C$25,MATCH(Y43,'Assumptions &amp; FX Reference'!$A$5:$A$25,0)),IF(Z43="USD",AA43*INDEX('Assumptions &amp; FX Reference'!$B$5:$B$25,MATCH(Y43,'Assumptions &amp; FX Reference'!$A$5:$A$25,0))/INDEX('Assumptions &amp; FX Reference'!$C$5:$C$25,MATCH(Y43,'Assumptions &amp; FX Reference'!$A$5:$A$25,0)),""))),"")))</f>
        <v>17500</v>
      </c>
      <c r="AC43" s="47" t="n">
        <f aca="false">IF(NOT(ISNUMBER(AA43)),"",IF(NOT(ISNUMBER(Y43)),"",IFERROR(IF(Z43="USD",AA43,IF(Z43="IRR",AA43/INDEX('Assumptions &amp; FX Reference'!$B$5:$B$25,MATCH(Y43,'Assumptions &amp; FX Reference'!$A$5:$A$25,0)),IF(Z43="EUR",AA43*INDEX('Assumptions &amp; FX Reference'!$C$5:$C$25,MATCH(Y43,'Assumptions &amp; FX Reference'!$A$5:$A$25,0))/INDEX('Assumptions &amp; FX Reference'!$B$5:$B$25,MATCH(Y43,'Assumptions &amp; FX Reference'!$A$5:$A$25,0)),""))),"")))</f>
        <v>22062.5</v>
      </c>
      <c r="AD43" s="51" t="n">
        <f aca="false">IF(NOT(ISNUMBER(AA43)),"",IF(NOT(ISNUMBER(Y43)),"",IFERROR(IF(Z43="IRR",AA43,IF(Z43="USD",AA43*INDEX('Assumptions &amp; FX Reference'!$B$5:$B$25,MATCH(Y43,'Assumptions &amp; FX Reference'!$A$5:$A$25,0)),IF(Z43="EUR",AA43*INDEX('Assumptions &amp; FX Reference'!$C$5:$C$25,MATCH(Y43,'Assumptions &amp; FX Reference'!$A$5:$A$25,0)),""))),"")))</f>
        <v>9266250000</v>
      </c>
      <c r="AE43" s="42" t="s">
        <v>364</v>
      </c>
      <c r="AF43" s="50" t="s">
        <v>201</v>
      </c>
      <c r="AG43" s="47" t="n">
        <f aca="false">IF(AND(Z43="EUR",N(AA43)&gt;5000000),"",IF(AND(ISNUMBER(AB43),ISNUMBER(AZ43),ISNUMBER(BA43)),IF(AND(BB43="Y",ISNUMBER('Assumptions &amp; FX Reference'!$I$15)),MAX(AB43*BA43/AZ43,'Assumptions &amp; FX Reference'!$I$13*BA43/'Assumptions &amp; FX Reference'!$I$15),AB43*BA43/AZ43),""))</f>
        <v>18111.2108074565</v>
      </c>
      <c r="AH43" s="47" t="n">
        <f aca="false">IF(AND(ISNUMBER(AG43),ISNUMBER('Assumptions &amp; FX Reference'!$I$8),ISNUMBER('Assumptions &amp; FX Reference'!$I$11)),AG43*'Assumptions &amp; FX Reference'!$I$8/'Assumptions &amp; FX Reference'!$I$11,"")</f>
        <v>19121.509955733</v>
      </c>
      <c r="AI43" s="47" t="n">
        <f aca="false">IF(AND(ISNUMBER(AG43),ISNUMBER('Assumptions &amp; FX Reference'!$I$8)),AG43*'Assumptions &amp; FX Reference'!$I$8,"")</f>
        <v>12592145315.6787</v>
      </c>
      <c r="AJ43" s="42" t="s">
        <v>365</v>
      </c>
      <c r="AK43" s="42" t="s">
        <v>366</v>
      </c>
      <c r="AL43" s="42" t="s">
        <v>123</v>
      </c>
      <c r="AM43" s="42" t="s">
        <v>123</v>
      </c>
      <c r="AN43" s="42" t="s">
        <v>123</v>
      </c>
      <c r="AO43" s="50" t="s">
        <v>312</v>
      </c>
      <c r="AP43" s="50" t="s">
        <v>312</v>
      </c>
      <c r="AQ43" s="50" t="s">
        <v>312</v>
      </c>
      <c r="AR43" s="42" t="s">
        <v>123</v>
      </c>
      <c r="AS43" s="45" t="str">
        <f aca="false">IF(AND(Z43="EUR",N(AA43)&gt;5000000),"Check currency (EUR&gt;5M); ","")&amp;IF(NOT(ISNUMBER(AA43)),"No price; ","")&amp;IF(G43="Not stated","Material missing; ","")&amp;IF(P43="Not stated","Seal missing; ","")&amp;IF(K43="","Size driver missing; ","")&amp;IF(NOT(ISNUMBER(AZ43)),"Base-year PPI missing; ","")</f>
        <v>Material missing; Seal missing; </v>
      </c>
      <c r="AT43" s="48" t="n">
        <f aca="false">IFERROR(INDEX(Factors_ROT!$F$5:$F$200,MATCH("MAT|"&amp;G43,Factors_ROT!$A$5:$A$200,0)),1)</f>
        <v>1</v>
      </c>
      <c r="AU43" s="48" t="n">
        <f aca="false">IFERROR(INDEX(Factors_ROT!$F$5:$F$200,MATCH("SEAL_ARR|"&amp;P43,Factors_ROT!$A$5:$A$200,0)),1)*IFERROR(INDEX(Factors_ROT!$F$5:$F$200,MATCH("SEAL_CAT|"&amp;Q43,Factors_ROT!$A$5:$A$200,0)),1)*IFERROR(INDEX(Factors_ROT!$F$5:$F$200,MATCH("SEAL_PLAN|"&amp;R43,Factors_ROT!$A$5:$A$200,0)),1)</f>
        <v>1</v>
      </c>
      <c r="AV43" s="48" t="n">
        <f aca="false">IFERROR(INDEX(Factors_ROT!$F$5:$F$200,MATCH("DRV|"&amp;S43,Factors_ROT!$A$5:$A$200,0)),1)*IFERROR(INDEX(Factors_ROT!$F$5:$F$200,MATCH("NACE|"&amp;O43,Factors_ROT!$A$5:$A$200,0)),1)</f>
        <v>1</v>
      </c>
      <c r="AW43" s="48" t="n">
        <f aca="false">IFERROR(INDEX(Factors_ROT!$F$5:$F$200,MATCH("SC_DRV|"&amp;AL43,Factors_ROT!$A$5:$A$200,0)),1)*IFERROR(INDEX(Factors_ROT!$F$5:$F$200,MATCH("SC_BSP|"&amp;AM43,Factors_ROT!$A$5:$A$200,0)),1)*IFERROR(INDEX(Factors_ROT!$F$5:$F$200,MATCH("SC_SEAL|"&amp;AN43,Factors_ROT!$A$5:$A$200,0)),1)*IFERROR(INDEX(Factors_ROT!$F$5:$F$200,MATCH("SC_COMM|"&amp;AO43,Factors_ROT!$A$5:$A$200,0)),1)*IFERROR(INDEX(Factors_ROT!$F$5:$F$200,MATCH("SC_2Y|"&amp;AP43,Factors_ROT!$A$5:$A$200,0)),1)*IFERROR(INDEX(Factors_ROT!$F$5:$F$200,MATCH("SC_TPI|"&amp;AQ43,Factors_ROT!$A$5:$A$200,0)),1)*IFERROR(INDEX(Factors_ROT!$F$5:$F$200,MATCH("SC_FAT|"&amp;AR43,Factors_ROT!$A$5:$A$200,0)),1)</f>
        <v>0.98</v>
      </c>
      <c r="AX43" s="48" t="n">
        <f aca="false">AT43*AU43*AV43*AW43</f>
        <v>0.98</v>
      </c>
      <c r="AY43" s="47" t="n">
        <f aca="false">IF(ISNUMBER(AB43),AB43/AX43,"")</f>
        <v>17857.1428571429</v>
      </c>
      <c r="AZ43" s="49" t="n">
        <f aca="false">IFERROR(IF(N(INDEX(Escalation_Index!$B$5:$B$25,MATCH(Y43,Escalation_Index!$A$5:$A$25,0)))&gt;0,INDEX(Escalation_Index!$B$5:$B$25,MATCH(Y43,Escalation_Index!$A$5:$A$25,0)),""),"")</f>
        <v>119.251</v>
      </c>
      <c r="BA43" s="49" t="n">
        <f aca="false">IF(ISNUMBER('Assumptions &amp; FX Reference'!$I$12),'Assumptions &amp; FX Reference'!$I$12,"")</f>
        <v>123.416</v>
      </c>
      <c r="BB43" s="45" t="str">
        <f aca="false">IF(AND(M43="API 610",LEFT(V43,11)="Centrifugal",OR(LEFT(G43,2)="S-",LEFT(G43,2)="D-")),"Y","N")</f>
        <v>N</v>
      </c>
      <c r="BC43" s="47" t="n">
        <f aca="false">IF(ISNUMBER(AG43),AG43/AX43,"")</f>
        <v>18480.8273545475</v>
      </c>
      <c r="BD43" s="47" t="n">
        <f aca="false">IF(AND(ISNUMBER(BC43),ISNUMBER(K43)),IF(K43&gt;0,BC43/K43^'Assumptions &amp; FX Reference'!$I$16,""),"")</f>
        <v>10664.9151541973</v>
      </c>
      <c r="BE43" s="42" t="s">
        <v>469</v>
      </c>
      <c r="BF43" s="42" t="s">
        <v>470</v>
      </c>
      <c r="BG43" s="42" t="s">
        <v>369</v>
      </c>
      <c r="BH43" s="45" t="s">
        <v>313</v>
      </c>
      <c r="BI43" s="45" t="str">
        <f aca="false">"PMP-"&amp;TEXT(A43,"0000")</f>
        <v>PMP-0039</v>
      </c>
    </row>
    <row r="44" customFormat="false" ht="24" hidden="false" customHeight="true" outlineLevel="0" collapsed="false">
      <c r="A44" s="42" t="n">
        <v>40</v>
      </c>
      <c r="B44" s="42" t="s">
        <v>471</v>
      </c>
      <c r="C44" s="42" t="s">
        <v>361</v>
      </c>
      <c r="D44" s="42" t="s">
        <v>472</v>
      </c>
      <c r="E44" s="42" t="s">
        <v>60</v>
      </c>
      <c r="F44" s="42" t="s">
        <v>123</v>
      </c>
      <c r="G44" s="42" t="s">
        <v>123</v>
      </c>
      <c r="H44" s="43" t="n">
        <v>30</v>
      </c>
      <c r="I44" s="43"/>
      <c r="J44" s="43" t="n">
        <v>2.5</v>
      </c>
      <c r="K44" s="44" t="n">
        <f aca="false">IF(ISNUMBER(J44),J44,IF(AND(ISNUMBER(H44),ISNUMBER(I44)),H44*I44/(367*'Assumptions &amp; FX Reference'!$I$17),""))</f>
        <v>2.5</v>
      </c>
      <c r="L44" s="45" t="str">
        <f aca="false">IF(IF(OR(M44="Not stated",M44=""),""," + "&amp;M44)&amp;IF(OR(N44="None",N44=""),""," + "&amp;N44)&amp;IF(O44="Y"," + NACE MR0175","")="","Not stated",MID(IF(OR(M44="Not stated",M44=""),""," + "&amp;M44)&amp;IF(OR(N44="None",N44=""),""," + "&amp;N44)&amp;IF(O44="Y"," + NACE MR0175",""),4,300))</f>
        <v>Not stated</v>
      </c>
      <c r="M44" s="42" t="s">
        <v>123</v>
      </c>
      <c r="N44" s="42" t="s">
        <v>303</v>
      </c>
      <c r="O44" s="42" t="s">
        <v>123</v>
      </c>
      <c r="P44" s="42" t="s">
        <v>123</v>
      </c>
      <c r="Q44" s="42" t="s">
        <v>123</v>
      </c>
      <c r="R44" s="42" t="s">
        <v>123</v>
      </c>
      <c r="S44" s="50" t="s">
        <v>304</v>
      </c>
      <c r="T44" s="42" t="s">
        <v>453</v>
      </c>
      <c r="U44" s="42" t="n">
        <v>1</v>
      </c>
      <c r="V44" s="50" t="s">
        <v>306</v>
      </c>
      <c r="W44" s="43" t="n">
        <v>3</v>
      </c>
      <c r="X44" s="42" t="s">
        <v>123</v>
      </c>
      <c r="Y44" s="50" t="n">
        <v>1402</v>
      </c>
      <c r="Z44" s="42" t="s">
        <v>363</v>
      </c>
      <c r="AA44" s="46" t="n">
        <v>19500</v>
      </c>
      <c r="AB44" s="47" t="n">
        <f aca="false">IF(NOT(ISNUMBER(AA44)),"",IF(NOT(ISNUMBER(Y44)),"",IFERROR(IF(Z44="EUR",AA44,IF(Z44="IRR",AA44/INDEX('Assumptions &amp; FX Reference'!$C$5:$C$25,MATCH(Y44,'Assumptions &amp; FX Reference'!$A$5:$A$25,0)),IF(Z44="USD",AA44*INDEX('Assumptions &amp; FX Reference'!$B$5:$B$25,MATCH(Y44,'Assumptions &amp; FX Reference'!$A$5:$A$25,0))/INDEX('Assumptions &amp; FX Reference'!$C$5:$C$25,MATCH(Y44,'Assumptions &amp; FX Reference'!$A$5:$A$25,0)),""))),"")))</f>
        <v>19500</v>
      </c>
      <c r="AC44" s="47" t="n">
        <f aca="false">IF(NOT(ISNUMBER(AA44)),"",IF(NOT(ISNUMBER(Y44)),"",IFERROR(IF(Z44="USD",AA44,IF(Z44="IRR",AA44/INDEX('Assumptions &amp; FX Reference'!$B$5:$B$25,MATCH(Y44,'Assumptions &amp; FX Reference'!$A$5:$A$25,0)),IF(Z44="EUR",AA44*INDEX('Assumptions &amp; FX Reference'!$C$5:$C$25,MATCH(Y44,'Assumptions &amp; FX Reference'!$A$5:$A$25,0))/INDEX('Assumptions &amp; FX Reference'!$B$5:$B$25,MATCH(Y44,'Assumptions &amp; FX Reference'!$A$5:$A$25,0)),""))),"")))</f>
        <v>24583.9285714286</v>
      </c>
      <c r="AD44" s="51" t="n">
        <f aca="false">IF(NOT(ISNUMBER(AA44)),"",IF(NOT(ISNUMBER(Y44)),"",IFERROR(IF(Z44="IRR",AA44,IF(Z44="USD",AA44*INDEX('Assumptions &amp; FX Reference'!$B$5:$B$25,MATCH(Y44,'Assumptions &amp; FX Reference'!$A$5:$A$25,0)),IF(Z44="EUR",AA44*INDEX('Assumptions &amp; FX Reference'!$C$5:$C$25,MATCH(Y44,'Assumptions &amp; FX Reference'!$A$5:$A$25,0)),""))),"")))</f>
        <v>10325250000</v>
      </c>
      <c r="AE44" s="42" t="s">
        <v>364</v>
      </c>
      <c r="AF44" s="50" t="s">
        <v>201</v>
      </c>
      <c r="AG44" s="47" t="n">
        <f aca="false">IF(AND(Z44="EUR",N(AA44)&gt;5000000),"",IF(AND(ISNUMBER(AB44),ISNUMBER(AZ44),ISNUMBER(BA44)),IF(AND(BB44="Y",ISNUMBER('Assumptions &amp; FX Reference'!$I$15)),MAX(AB44*BA44/AZ44,'Assumptions &amp; FX Reference'!$I$13*BA44/'Assumptions &amp; FX Reference'!$I$15),AB44*BA44/AZ44),""))</f>
        <v>20181.0634711659</v>
      </c>
      <c r="AH44" s="47" t="n">
        <f aca="false">IF(AND(ISNUMBER(AG44),ISNUMBER('Assumptions &amp; FX Reference'!$I$8),ISNUMBER('Assumptions &amp; FX Reference'!$I$11)),AG44*'Assumptions &amp; FX Reference'!$I$8/'Assumptions &amp; FX Reference'!$I$11,"")</f>
        <v>21306.8253792453</v>
      </c>
      <c r="AI44" s="47" t="n">
        <f aca="false">IF(AND(ISNUMBER(AG44),ISNUMBER('Assumptions &amp; FX Reference'!$I$8)),AG44*'Assumptions &amp; FX Reference'!$I$8,"")</f>
        <v>14031247637.4705</v>
      </c>
      <c r="AJ44" s="42" t="s">
        <v>365</v>
      </c>
      <c r="AK44" s="42" t="s">
        <v>366</v>
      </c>
      <c r="AL44" s="42" t="s">
        <v>123</v>
      </c>
      <c r="AM44" s="42" t="s">
        <v>123</v>
      </c>
      <c r="AN44" s="42" t="s">
        <v>123</v>
      </c>
      <c r="AO44" s="50" t="s">
        <v>312</v>
      </c>
      <c r="AP44" s="50" t="s">
        <v>312</v>
      </c>
      <c r="AQ44" s="50" t="s">
        <v>312</v>
      </c>
      <c r="AR44" s="42" t="s">
        <v>123</v>
      </c>
      <c r="AS44" s="45" t="str">
        <f aca="false">IF(AND(Z44="EUR",N(AA44)&gt;5000000),"Check currency (EUR&gt;5M); ","")&amp;IF(NOT(ISNUMBER(AA44)),"No price; ","")&amp;IF(G44="Not stated","Material missing; ","")&amp;IF(P44="Not stated","Seal missing; ","")&amp;IF(K44="","Size driver missing; ","")&amp;IF(NOT(ISNUMBER(AZ44)),"Base-year PPI missing; ","")</f>
        <v>Material missing; Seal missing; </v>
      </c>
      <c r="AT44" s="48" t="n">
        <f aca="false">IFERROR(INDEX(Factors_ROT!$F$5:$F$200,MATCH("MAT|"&amp;G44,Factors_ROT!$A$5:$A$200,0)),1)</f>
        <v>1</v>
      </c>
      <c r="AU44" s="48" t="n">
        <f aca="false">IFERROR(INDEX(Factors_ROT!$F$5:$F$200,MATCH("SEAL_ARR|"&amp;P44,Factors_ROT!$A$5:$A$200,0)),1)*IFERROR(INDEX(Factors_ROT!$F$5:$F$200,MATCH("SEAL_CAT|"&amp;Q44,Factors_ROT!$A$5:$A$200,0)),1)*IFERROR(INDEX(Factors_ROT!$F$5:$F$200,MATCH("SEAL_PLAN|"&amp;R44,Factors_ROT!$A$5:$A$200,0)),1)</f>
        <v>1</v>
      </c>
      <c r="AV44" s="48" t="n">
        <f aca="false">IFERROR(INDEX(Factors_ROT!$F$5:$F$200,MATCH("DRV|"&amp;S44,Factors_ROT!$A$5:$A$200,0)),1)*IFERROR(INDEX(Factors_ROT!$F$5:$F$200,MATCH("NACE|"&amp;O44,Factors_ROT!$A$5:$A$200,0)),1)</f>
        <v>1</v>
      </c>
      <c r="AW44" s="48" t="n">
        <f aca="false">IFERROR(INDEX(Factors_ROT!$F$5:$F$200,MATCH("SC_DRV|"&amp;AL44,Factors_ROT!$A$5:$A$200,0)),1)*IFERROR(INDEX(Factors_ROT!$F$5:$F$200,MATCH("SC_BSP|"&amp;AM44,Factors_ROT!$A$5:$A$200,0)),1)*IFERROR(INDEX(Factors_ROT!$F$5:$F$200,MATCH("SC_SEAL|"&amp;AN44,Factors_ROT!$A$5:$A$200,0)),1)*IFERROR(INDEX(Factors_ROT!$F$5:$F$200,MATCH("SC_COMM|"&amp;AO44,Factors_ROT!$A$5:$A$200,0)),1)*IFERROR(INDEX(Factors_ROT!$F$5:$F$200,MATCH("SC_2Y|"&amp;AP44,Factors_ROT!$A$5:$A$200,0)),1)*IFERROR(INDEX(Factors_ROT!$F$5:$F$200,MATCH("SC_TPI|"&amp;AQ44,Factors_ROT!$A$5:$A$200,0)),1)*IFERROR(INDEX(Factors_ROT!$F$5:$F$200,MATCH("SC_FAT|"&amp;AR44,Factors_ROT!$A$5:$A$200,0)),1)</f>
        <v>0.98</v>
      </c>
      <c r="AX44" s="48" t="n">
        <f aca="false">AT44*AU44*AV44*AW44</f>
        <v>0.98</v>
      </c>
      <c r="AY44" s="47" t="n">
        <f aca="false">IF(ISNUMBER(AB44),AB44/AX44,"")</f>
        <v>19897.9591836735</v>
      </c>
      <c r="AZ44" s="49" t="n">
        <f aca="false">IFERROR(IF(N(INDEX(Escalation_Index!$B$5:$B$25,MATCH(Y44,Escalation_Index!$A$5:$A$25,0)))&gt;0,INDEX(Escalation_Index!$B$5:$B$25,MATCH(Y44,Escalation_Index!$A$5:$A$25,0)),""),"")</f>
        <v>119.251</v>
      </c>
      <c r="BA44" s="49" t="n">
        <f aca="false">IF(ISNUMBER('Assumptions &amp; FX Reference'!$I$12),'Assumptions &amp; FX Reference'!$I$12,"")</f>
        <v>123.416</v>
      </c>
      <c r="BB44" s="45" t="str">
        <f aca="false">IF(AND(M44="API 610",LEFT(V44,11)="Centrifugal",OR(LEFT(G44,2)="S-",LEFT(G44,2)="D-")),"Y","N")</f>
        <v>N</v>
      </c>
      <c r="BC44" s="47" t="n">
        <f aca="false">IF(ISNUMBER(AG44),AG44/AX44,"")</f>
        <v>20592.9219093529</v>
      </c>
      <c r="BD44" s="47" t="n">
        <f aca="false">IF(AND(ISNUMBER(BC44),ISNUMBER(K44)),IF(K44&gt;0,BC44/K44^'Assumptions &amp; FX Reference'!$I$16,""),"")</f>
        <v>11883.7626003912</v>
      </c>
      <c r="BE44" s="42" t="s">
        <v>473</v>
      </c>
      <c r="BF44" s="42" t="s">
        <v>474</v>
      </c>
      <c r="BG44" s="42" t="s">
        <v>369</v>
      </c>
      <c r="BH44" s="45" t="s">
        <v>313</v>
      </c>
      <c r="BI44" s="45" t="str">
        <f aca="false">"PMP-"&amp;TEXT(A44,"0000")</f>
        <v>PMP-0040</v>
      </c>
    </row>
    <row r="45" customFormat="false" ht="24" hidden="false" customHeight="true" outlineLevel="0" collapsed="false">
      <c r="A45" s="42" t="n">
        <v>41</v>
      </c>
      <c r="B45" s="42" t="s">
        <v>475</v>
      </c>
      <c r="C45" s="42" t="s">
        <v>476</v>
      </c>
      <c r="D45" s="42" t="s">
        <v>477</v>
      </c>
      <c r="E45" s="42" t="s">
        <v>45</v>
      </c>
      <c r="F45" s="42" t="s">
        <v>132</v>
      </c>
      <c r="G45" s="42" t="s">
        <v>111</v>
      </c>
      <c r="H45" s="43" t="n">
        <v>354</v>
      </c>
      <c r="I45" s="43" t="n">
        <v>31.2</v>
      </c>
      <c r="J45" s="43"/>
      <c r="K45" s="44" t="n">
        <f aca="false">IF(ISNUMBER(J45),J45,IF(AND(ISNUMBER(H45),ISNUMBER(I45)),H45*I45/(367*'Assumptions &amp; FX Reference'!$I$17),""))</f>
        <v>50.158038147139</v>
      </c>
      <c r="L45" s="45" t="str">
        <f aca="false">IF(IF(OR(M45="Not stated",M45=""),""," + "&amp;M45)&amp;IF(OR(N45="None",N45=""),""," + "&amp;N45)&amp;IF(O45="Y"," + NACE MR0175","")="","Not stated",MID(IF(OR(M45="Not stated",M45=""),""," + "&amp;M45)&amp;IF(OR(N45="None",N45=""),""," + "&amp;N45)&amp;IF(O45="Y"," + NACE MR0175",""),4,300))</f>
        <v>API 610 + IPS-G-PM-105</v>
      </c>
      <c r="M45" s="42" t="s">
        <v>478</v>
      </c>
      <c r="N45" s="42" t="s">
        <v>479</v>
      </c>
      <c r="O45" s="50" t="s">
        <v>312</v>
      </c>
      <c r="P45" s="42" t="s">
        <v>123</v>
      </c>
      <c r="Q45" s="42" t="s">
        <v>123</v>
      </c>
      <c r="R45" s="42" t="s">
        <v>123</v>
      </c>
      <c r="S45" s="50" t="s">
        <v>304</v>
      </c>
      <c r="T45" s="42" t="s">
        <v>305</v>
      </c>
      <c r="U45" s="42" t="n">
        <v>3</v>
      </c>
      <c r="V45" s="42" t="s">
        <v>306</v>
      </c>
      <c r="W45" s="43" t="n">
        <v>4</v>
      </c>
      <c r="X45" s="42" t="s">
        <v>123</v>
      </c>
      <c r="Y45" s="50" t="n">
        <v>1393</v>
      </c>
      <c r="Z45" s="42" t="s">
        <v>363</v>
      </c>
      <c r="AA45" s="46" t="n">
        <v>55000</v>
      </c>
      <c r="AB45" s="47" t="n">
        <f aca="false">IF(NOT(ISNUMBER(AA45)),"",IF(NOT(ISNUMBER(Y45)),"",IFERROR(IF(Z45="EUR",AA45,IF(Z45="IRR",AA45/INDEX('Assumptions &amp; FX Reference'!$C$5:$C$25,MATCH(Y45,'Assumptions &amp; FX Reference'!$A$5:$A$25,0)),IF(Z45="USD",AA45*INDEX('Assumptions &amp; FX Reference'!$B$5:$B$25,MATCH(Y45,'Assumptions &amp; FX Reference'!$A$5:$A$25,0))/INDEX('Assumptions &amp; FX Reference'!$C$5:$C$25,MATCH(Y45,'Assumptions &amp; FX Reference'!$A$5:$A$25,0)),""))),"")))</f>
        <v>55000</v>
      </c>
      <c r="AC45" s="47" t="n">
        <f aca="false">IF(NOT(ISNUMBER(AA45)),"",IF(NOT(ISNUMBER(Y45)),"",IFERROR(IF(Z45="USD",AA45,IF(Z45="IRR",AA45/INDEX('Assumptions &amp; FX Reference'!$B$5:$B$25,MATCH(Y45,'Assumptions &amp; FX Reference'!$A$5:$A$25,0)),IF(Z45="EUR",AA45*INDEX('Assumptions &amp; FX Reference'!$C$5:$C$25,MATCH(Y45,'Assumptions &amp; FX Reference'!$A$5:$A$25,0))/INDEX('Assumptions &amp; FX Reference'!$B$5:$B$25,MATCH(Y45,'Assumptions &amp; FX Reference'!$A$5:$A$25,0)),""))),"")))</f>
        <v>71909.4838709677</v>
      </c>
      <c r="AD45" s="47" t="n">
        <f aca="false">IF(NOT(ISNUMBER(AA45)),"",IF(NOT(ISNUMBER(Y45)),"",IFERROR(IF(Z45="IRR",AA45,IF(Z45="USD",AA45*INDEX('Assumptions &amp; FX Reference'!$B$5:$B$25,MATCH(Y45,'Assumptions &amp; FX Reference'!$A$5:$A$25,0)),IF(Z45="EUR",AA45*INDEX('Assumptions &amp; FX Reference'!$C$5:$C$25,MATCH(Y45,'Assumptions &amp; FX Reference'!$A$5:$A$25,0)),""))),"")))</f>
        <v>2229194000</v>
      </c>
      <c r="AE45" s="42" t="s">
        <v>480</v>
      </c>
      <c r="AF45" s="50" t="s">
        <v>208</v>
      </c>
      <c r="AG45" s="47" t="n">
        <f aca="false">IF(AND(Z45="EUR",N(AA45)&gt;5000000),"",IF(AND(ISNUMBER(AB45),ISNUMBER(AZ45),ISNUMBER(BA45)),IF(AND(BB45="Y",ISNUMBER('Assumptions &amp; FX Reference'!$I$15)),MAX(AB45*BA45/AZ45,'Assumptions &amp; FX Reference'!$I$13*BA45/'Assumptions &amp; FX Reference'!$I$15),AB45*BA45/AZ45),""))</f>
        <v>74308.7348243511</v>
      </c>
      <c r="AH45" s="47" t="n">
        <f aca="false">IF(AND(ISNUMBER(AG45),ISNUMBER('Assumptions &amp; FX Reference'!$I$8),ISNUMBER('Assumptions &amp; FX Reference'!$I$11)),AG45*'Assumptions &amp; FX Reference'!$I$8/'Assumptions &amp; FX Reference'!$I$11,"")</f>
        <v>78453.9050341546</v>
      </c>
      <c r="AI45" s="47" t="n">
        <f aca="false">IF(AND(ISNUMBER(AG45),ISNUMBER('Assumptions &amp; FX Reference'!$I$8)),AG45*'Assumptions &amp; FX Reference'!$I$8,"")</f>
        <v>51664485443.857</v>
      </c>
      <c r="AJ45" s="42" t="s">
        <v>481</v>
      </c>
      <c r="AK45" s="42" t="s">
        <v>482</v>
      </c>
      <c r="AL45" s="42" t="s">
        <v>123</v>
      </c>
      <c r="AM45" s="42" t="s">
        <v>123</v>
      </c>
      <c r="AN45" s="42" t="s">
        <v>123</v>
      </c>
      <c r="AO45" s="42" t="s">
        <v>123</v>
      </c>
      <c r="AP45" s="42" t="s">
        <v>123</v>
      </c>
      <c r="AQ45" s="50" t="s">
        <v>312</v>
      </c>
      <c r="AR45" s="42" t="s">
        <v>123</v>
      </c>
      <c r="AS45" s="45" t="str">
        <f aca="false">IF(AND(Z45="EUR",N(AA45)&gt;5000000),"Check currency (EUR&gt;5M); ","")&amp;IF(NOT(ISNUMBER(AA45)),"No price; ","")&amp;IF(G45="Not stated","Material missing; ","")&amp;IF(P45="Not stated","Seal missing; ","")&amp;IF(K45="","Size driver missing; ","")&amp;IF(NOT(ISNUMBER(AZ45)),"Base-year PPI missing; ","")</f>
        <v>Seal missing; </v>
      </c>
      <c r="AT45" s="48" t="n">
        <f aca="false">IFERROR(INDEX(Factors_ROT!$F$5:$F$200,MATCH("MAT|"&amp;G45,Factors_ROT!$A$5:$A$200,0)),1)</f>
        <v>1.7</v>
      </c>
      <c r="AU45" s="48" t="n">
        <f aca="false">IFERROR(INDEX(Factors_ROT!$F$5:$F$200,MATCH("SEAL_ARR|"&amp;P45,Factors_ROT!$A$5:$A$200,0)),1)*IFERROR(INDEX(Factors_ROT!$F$5:$F$200,MATCH("SEAL_CAT|"&amp;Q45,Factors_ROT!$A$5:$A$200,0)),1)*IFERROR(INDEX(Factors_ROT!$F$5:$F$200,MATCH("SEAL_PLAN|"&amp;R45,Factors_ROT!$A$5:$A$200,0)),1)</f>
        <v>1</v>
      </c>
      <c r="AV45" s="48" t="n">
        <f aca="false">IFERROR(INDEX(Factors_ROT!$F$5:$F$200,MATCH("DRV|"&amp;S45,Factors_ROT!$A$5:$A$200,0)),1)*IFERROR(INDEX(Factors_ROT!$F$5:$F$200,MATCH("NACE|"&amp;O45,Factors_ROT!$A$5:$A$200,0)),1)</f>
        <v>1</v>
      </c>
      <c r="AW45" s="48" t="n">
        <f aca="false">IFERROR(INDEX(Factors_ROT!$F$5:$F$200,MATCH("SC_DRV|"&amp;AL45,Factors_ROT!$A$5:$A$200,0)),1)*IFERROR(INDEX(Factors_ROT!$F$5:$F$200,MATCH("SC_BSP|"&amp;AM45,Factors_ROT!$A$5:$A$200,0)),1)*IFERROR(INDEX(Factors_ROT!$F$5:$F$200,MATCH("SC_SEAL|"&amp;AN45,Factors_ROT!$A$5:$A$200,0)),1)*IFERROR(INDEX(Factors_ROT!$F$5:$F$200,MATCH("SC_COMM|"&amp;AO45,Factors_ROT!$A$5:$A$200,0)),1)*IFERROR(INDEX(Factors_ROT!$F$5:$F$200,MATCH("SC_2Y|"&amp;AP45,Factors_ROT!$A$5:$A$200,0)),1)*IFERROR(INDEX(Factors_ROT!$F$5:$F$200,MATCH("SC_TPI|"&amp;AQ45,Factors_ROT!$A$5:$A$200,0)),1)*IFERROR(INDEX(Factors_ROT!$F$5:$F$200,MATCH("SC_FAT|"&amp;AR45,Factors_ROT!$A$5:$A$200,0)),1)</f>
        <v>1</v>
      </c>
      <c r="AX45" s="48" t="n">
        <f aca="false">AT45*AU45*AV45*AW45</f>
        <v>1.7</v>
      </c>
      <c r="AY45" s="47" t="n">
        <f aca="false">IF(ISNUMBER(AB45),AB45/AX45,"")</f>
        <v>32352.9411764706</v>
      </c>
      <c r="AZ45" s="49" t="n">
        <f aca="false">IFERROR(IF(N(INDEX(Escalation_Index!$B$5:$B$25,MATCH(Y45,Escalation_Index!$A$5:$A$25,0)))&gt;0,INDEX(Escalation_Index!$B$5:$B$25,MATCH(Y45,Escalation_Index!$A$5:$A$25,0)),""),"")</f>
        <v>91.347</v>
      </c>
      <c r="BA45" s="49" t="n">
        <f aca="false">IF(ISNUMBER('Assumptions &amp; FX Reference'!$I$12),'Assumptions &amp; FX Reference'!$I$12,"")</f>
        <v>123.416</v>
      </c>
      <c r="BB45" s="45" t="str">
        <f aca="false">IF(AND(M45="API 610",LEFT(V45,11)="Centrifugal",OR(LEFT(G45,2)="S-",LEFT(G45,2)="D-")),"Y","N")</f>
        <v>Y</v>
      </c>
      <c r="BC45" s="47" t="n">
        <f aca="false">IF(ISNUMBER(AG45),AG45/AX45,"")</f>
        <v>43711.0204849124</v>
      </c>
      <c r="BD45" s="47" t="n">
        <f aca="false">IF(AND(ISNUMBER(BC45),ISNUMBER(K45)),IF(K45&gt;0,BC45/K45^'Assumptions &amp; FX Reference'!$I$16,""),"")</f>
        <v>4172.4065727937</v>
      </c>
      <c r="BE45" s="42" t="s">
        <v>483</v>
      </c>
      <c r="BF45" s="42" t="s">
        <v>484</v>
      </c>
      <c r="BG45" s="42" t="s">
        <v>369</v>
      </c>
      <c r="BH45" s="45" t="s">
        <v>313</v>
      </c>
      <c r="BI45" s="45" t="str">
        <f aca="false">"PMP-"&amp;TEXT(A45,"0000")</f>
        <v>PMP-0041</v>
      </c>
    </row>
    <row r="46" customFormat="false" ht="24" hidden="false" customHeight="true" outlineLevel="0" collapsed="false">
      <c r="A46" s="42" t="n">
        <v>42</v>
      </c>
      <c r="B46" s="42" t="s">
        <v>485</v>
      </c>
      <c r="C46" s="42" t="s">
        <v>476</v>
      </c>
      <c r="D46" s="42" t="s">
        <v>486</v>
      </c>
      <c r="E46" s="42" t="s">
        <v>45</v>
      </c>
      <c r="F46" s="42" t="s">
        <v>132</v>
      </c>
      <c r="G46" s="42" t="s">
        <v>111</v>
      </c>
      <c r="H46" s="43" t="n">
        <v>255</v>
      </c>
      <c r="I46" s="43" t="n">
        <v>170</v>
      </c>
      <c r="J46" s="43"/>
      <c r="K46" s="44" t="n">
        <f aca="false">IF(ISNUMBER(J46),J46,IF(AND(ISNUMBER(H46),ISNUMBER(I46)),H46*I46/(367*'Assumptions &amp; FX Reference'!$I$17),""))</f>
        <v>196.866485013624</v>
      </c>
      <c r="L46" s="45" t="str">
        <f aca="false">IF(IF(OR(M46="Not stated",M46=""),""," + "&amp;M46)&amp;IF(OR(N46="None",N46=""),""," + "&amp;N46)&amp;IF(O46="Y"," + NACE MR0175","")="","Not stated",MID(IF(OR(M46="Not stated",M46=""),""," + "&amp;M46)&amp;IF(OR(N46="None",N46=""),""," + "&amp;N46)&amp;IF(O46="Y"," + NACE MR0175",""),4,300))</f>
        <v>API 610 + IPS-G-PM-105</v>
      </c>
      <c r="M46" s="42" t="s">
        <v>478</v>
      </c>
      <c r="N46" s="42" t="s">
        <v>479</v>
      </c>
      <c r="O46" s="50" t="s">
        <v>312</v>
      </c>
      <c r="P46" s="42" t="s">
        <v>123</v>
      </c>
      <c r="Q46" s="42" t="s">
        <v>123</v>
      </c>
      <c r="R46" s="42" t="s">
        <v>123</v>
      </c>
      <c r="S46" s="50" t="s">
        <v>304</v>
      </c>
      <c r="T46" s="42" t="s">
        <v>305</v>
      </c>
      <c r="U46" s="42" t="n">
        <v>3</v>
      </c>
      <c r="V46" s="42" t="s">
        <v>306</v>
      </c>
      <c r="W46" s="43" t="n">
        <v>17.2</v>
      </c>
      <c r="X46" s="42" t="s">
        <v>123</v>
      </c>
      <c r="Y46" s="50" t="n">
        <v>1393</v>
      </c>
      <c r="Z46" s="42" t="s">
        <v>363</v>
      </c>
      <c r="AA46" s="46" t="n">
        <v>60000</v>
      </c>
      <c r="AB46" s="47" t="n">
        <f aca="false">IF(NOT(ISNUMBER(AA46)),"",IF(NOT(ISNUMBER(Y46)),"",IFERROR(IF(Z46="EUR",AA46,IF(Z46="IRR",AA46/INDEX('Assumptions &amp; FX Reference'!$C$5:$C$25,MATCH(Y46,'Assumptions &amp; FX Reference'!$A$5:$A$25,0)),IF(Z46="USD",AA46*INDEX('Assumptions &amp; FX Reference'!$B$5:$B$25,MATCH(Y46,'Assumptions &amp; FX Reference'!$A$5:$A$25,0))/INDEX('Assumptions &amp; FX Reference'!$C$5:$C$25,MATCH(Y46,'Assumptions &amp; FX Reference'!$A$5:$A$25,0)),""))),"")))</f>
        <v>60000</v>
      </c>
      <c r="AC46" s="47" t="n">
        <f aca="false">IF(NOT(ISNUMBER(AA46)),"",IF(NOT(ISNUMBER(Y46)),"",IFERROR(IF(Z46="USD",AA46,IF(Z46="IRR",AA46/INDEX('Assumptions &amp; FX Reference'!$B$5:$B$25,MATCH(Y46,'Assumptions &amp; FX Reference'!$A$5:$A$25,0)),IF(Z46="EUR",AA46*INDEX('Assumptions &amp; FX Reference'!$C$5:$C$25,MATCH(Y46,'Assumptions &amp; FX Reference'!$A$5:$A$25,0))/INDEX('Assumptions &amp; FX Reference'!$B$5:$B$25,MATCH(Y46,'Assumptions &amp; FX Reference'!$A$5:$A$25,0)),""))),"")))</f>
        <v>78446.7096774194</v>
      </c>
      <c r="AD46" s="47" t="n">
        <f aca="false">IF(NOT(ISNUMBER(AA46)),"",IF(NOT(ISNUMBER(Y46)),"",IFERROR(IF(Z46="IRR",AA46,IF(Z46="USD",AA46*INDEX('Assumptions &amp; FX Reference'!$B$5:$B$25,MATCH(Y46,'Assumptions &amp; FX Reference'!$A$5:$A$25,0)),IF(Z46="EUR",AA46*INDEX('Assumptions &amp; FX Reference'!$C$5:$C$25,MATCH(Y46,'Assumptions &amp; FX Reference'!$A$5:$A$25,0)),""))),"")))</f>
        <v>2431848000</v>
      </c>
      <c r="AE46" s="42" t="s">
        <v>480</v>
      </c>
      <c r="AF46" s="50" t="s">
        <v>208</v>
      </c>
      <c r="AG46" s="47" t="n">
        <f aca="false">IF(AND(Z46="EUR",N(AA46)&gt;5000000),"",IF(AND(ISNUMBER(AB46),ISNUMBER(AZ46),ISNUMBER(BA46)),IF(AND(BB46="Y",ISNUMBER('Assumptions &amp; FX Reference'!$I$15)),MAX(AB46*BA46/AZ46,'Assumptions &amp; FX Reference'!$I$13*BA46/'Assumptions &amp; FX Reference'!$I$15),AB46*BA46/AZ46),""))</f>
        <v>81064.0743538376</v>
      </c>
      <c r="AH46" s="47" t="n">
        <f aca="false">IF(AND(ISNUMBER(AG46),ISNUMBER('Assumptions &amp; FX Reference'!$I$8),ISNUMBER('Assumptions &amp; FX Reference'!$I$11)),AG46*'Assumptions &amp; FX Reference'!$I$8/'Assumptions &amp; FX Reference'!$I$11,"")</f>
        <v>85586.0782190778</v>
      </c>
      <c r="AI46" s="47" t="n">
        <f aca="false">IF(AND(ISNUMBER(AG46),ISNUMBER('Assumptions &amp; FX Reference'!$I$8)),AG46*'Assumptions &amp; FX Reference'!$I$8,"")</f>
        <v>56361256847.8439</v>
      </c>
      <c r="AJ46" s="42" t="s">
        <v>481</v>
      </c>
      <c r="AK46" s="42" t="s">
        <v>482</v>
      </c>
      <c r="AL46" s="42" t="s">
        <v>123</v>
      </c>
      <c r="AM46" s="42" t="s">
        <v>123</v>
      </c>
      <c r="AN46" s="42" t="s">
        <v>123</v>
      </c>
      <c r="AO46" s="42" t="s">
        <v>123</v>
      </c>
      <c r="AP46" s="42" t="s">
        <v>123</v>
      </c>
      <c r="AQ46" s="50" t="s">
        <v>312</v>
      </c>
      <c r="AR46" s="42" t="s">
        <v>123</v>
      </c>
      <c r="AS46" s="45" t="str">
        <f aca="false">IF(AND(Z46="EUR",N(AA46)&gt;5000000),"Check currency (EUR&gt;5M); ","")&amp;IF(NOT(ISNUMBER(AA46)),"No price; ","")&amp;IF(G46="Not stated","Material missing; ","")&amp;IF(P46="Not stated","Seal missing; ","")&amp;IF(K46="","Size driver missing; ","")&amp;IF(NOT(ISNUMBER(AZ46)),"Base-year PPI missing; ","")</f>
        <v>Seal missing; </v>
      </c>
      <c r="AT46" s="48" t="n">
        <f aca="false">IFERROR(INDEX(Factors_ROT!$F$5:$F$200,MATCH("MAT|"&amp;G46,Factors_ROT!$A$5:$A$200,0)),1)</f>
        <v>1.7</v>
      </c>
      <c r="AU46" s="48" t="n">
        <f aca="false">IFERROR(INDEX(Factors_ROT!$F$5:$F$200,MATCH("SEAL_ARR|"&amp;P46,Factors_ROT!$A$5:$A$200,0)),1)*IFERROR(INDEX(Factors_ROT!$F$5:$F$200,MATCH("SEAL_CAT|"&amp;Q46,Factors_ROT!$A$5:$A$200,0)),1)*IFERROR(INDEX(Factors_ROT!$F$5:$F$200,MATCH("SEAL_PLAN|"&amp;R46,Factors_ROT!$A$5:$A$200,0)),1)</f>
        <v>1</v>
      </c>
      <c r="AV46" s="48" t="n">
        <f aca="false">IFERROR(INDEX(Factors_ROT!$F$5:$F$200,MATCH("DRV|"&amp;S46,Factors_ROT!$A$5:$A$200,0)),1)*IFERROR(INDEX(Factors_ROT!$F$5:$F$200,MATCH("NACE|"&amp;O46,Factors_ROT!$A$5:$A$200,0)),1)</f>
        <v>1</v>
      </c>
      <c r="AW46" s="48" t="n">
        <f aca="false">IFERROR(INDEX(Factors_ROT!$F$5:$F$200,MATCH("SC_DRV|"&amp;AL46,Factors_ROT!$A$5:$A$200,0)),1)*IFERROR(INDEX(Factors_ROT!$F$5:$F$200,MATCH("SC_BSP|"&amp;AM46,Factors_ROT!$A$5:$A$200,0)),1)*IFERROR(INDEX(Factors_ROT!$F$5:$F$200,MATCH("SC_SEAL|"&amp;AN46,Factors_ROT!$A$5:$A$200,0)),1)*IFERROR(INDEX(Factors_ROT!$F$5:$F$200,MATCH("SC_COMM|"&amp;AO46,Factors_ROT!$A$5:$A$200,0)),1)*IFERROR(INDEX(Factors_ROT!$F$5:$F$200,MATCH("SC_2Y|"&amp;AP46,Factors_ROT!$A$5:$A$200,0)),1)*IFERROR(INDEX(Factors_ROT!$F$5:$F$200,MATCH("SC_TPI|"&amp;AQ46,Factors_ROT!$A$5:$A$200,0)),1)*IFERROR(INDEX(Factors_ROT!$F$5:$F$200,MATCH("SC_FAT|"&amp;AR46,Factors_ROT!$A$5:$A$200,0)),1)</f>
        <v>1</v>
      </c>
      <c r="AX46" s="48" t="n">
        <f aca="false">AT46*AU46*AV46*AW46</f>
        <v>1.7</v>
      </c>
      <c r="AY46" s="47" t="n">
        <f aca="false">IF(ISNUMBER(AB46),AB46/AX46,"")</f>
        <v>35294.1176470588</v>
      </c>
      <c r="AZ46" s="49" t="n">
        <f aca="false">IFERROR(IF(N(INDEX(Escalation_Index!$B$5:$B$25,MATCH(Y46,Escalation_Index!$A$5:$A$25,0)))&gt;0,INDEX(Escalation_Index!$B$5:$B$25,MATCH(Y46,Escalation_Index!$A$5:$A$25,0)),""),"")</f>
        <v>91.347</v>
      </c>
      <c r="BA46" s="49" t="n">
        <f aca="false">IF(ISNUMBER('Assumptions &amp; FX Reference'!$I$12),'Assumptions &amp; FX Reference'!$I$12,"")</f>
        <v>123.416</v>
      </c>
      <c r="BB46" s="45" t="str">
        <f aca="false">IF(AND(M46="API 610",LEFT(V46,11)="Centrifugal",OR(LEFT(G46,2)="S-",LEFT(G46,2)="D-")),"Y","N")</f>
        <v>Y</v>
      </c>
      <c r="BC46" s="47" t="n">
        <f aca="false">IF(ISNUMBER(AG46),AG46/AX46,"")</f>
        <v>47684.7496199045</v>
      </c>
      <c r="BD46" s="47" t="n">
        <f aca="false">IF(AND(ISNUMBER(BC46),ISNUMBER(K46)),IF(K46&gt;0,BC46/K46^'Assumptions &amp; FX Reference'!$I$16,""),"")</f>
        <v>2003.90179504892</v>
      </c>
      <c r="BE46" s="42" t="s">
        <v>487</v>
      </c>
      <c r="BF46" s="42" t="s">
        <v>488</v>
      </c>
      <c r="BG46" s="42" t="s">
        <v>369</v>
      </c>
      <c r="BH46" s="45" t="s">
        <v>313</v>
      </c>
      <c r="BI46" s="45" t="str">
        <f aca="false">"PMP-"&amp;TEXT(A46,"0000")</f>
        <v>PMP-0042</v>
      </c>
    </row>
    <row r="47" customFormat="false" ht="24" hidden="false" customHeight="true" outlineLevel="0" collapsed="false">
      <c r="A47" s="42" t="n">
        <v>43</v>
      </c>
      <c r="B47" s="42" t="s">
        <v>489</v>
      </c>
      <c r="C47" s="42" t="s">
        <v>476</v>
      </c>
      <c r="D47" s="42" t="s">
        <v>490</v>
      </c>
      <c r="E47" s="42" t="s">
        <v>54</v>
      </c>
      <c r="F47" s="42" t="s">
        <v>192</v>
      </c>
      <c r="G47" s="42" t="s">
        <v>111</v>
      </c>
      <c r="H47" s="43" t="n">
        <v>5</v>
      </c>
      <c r="I47" s="43"/>
      <c r="J47" s="43"/>
      <c r="K47" s="44" t="str">
        <f aca="false">IF(ISNUMBER(J47),J47,IF(AND(ISNUMBER(H47),ISNUMBER(I47)),H47*I47/(367*'Assumptions &amp; FX Reference'!$I$17),""))</f>
        <v/>
      </c>
      <c r="L47" s="45" t="str">
        <f aca="false">IF(IF(OR(M47="Not stated",M47=""),""," + "&amp;M47)&amp;IF(OR(N47="None",N47=""),""," + "&amp;N47)&amp;IF(O47="Y"," + NACE MR0175","")="","Not stated",MID(IF(OR(M47="Not stated",M47=""),""," + "&amp;M47)&amp;IF(OR(N47="None",N47=""),""," + "&amp;N47)&amp;IF(O47="Y"," + NACE MR0175",""),4,300))</f>
        <v>API 676 + IPS-M-PM-140</v>
      </c>
      <c r="M47" s="42" t="s">
        <v>491</v>
      </c>
      <c r="N47" s="42" t="s">
        <v>492</v>
      </c>
      <c r="O47" s="50" t="s">
        <v>312</v>
      </c>
      <c r="P47" s="42" t="s">
        <v>123</v>
      </c>
      <c r="Q47" s="42" t="s">
        <v>123</v>
      </c>
      <c r="R47" s="42" t="s">
        <v>123</v>
      </c>
      <c r="S47" s="50" t="s">
        <v>304</v>
      </c>
      <c r="T47" s="42" t="s">
        <v>432</v>
      </c>
      <c r="U47" s="42" t="n">
        <v>2</v>
      </c>
      <c r="V47" s="42" t="s">
        <v>493</v>
      </c>
      <c r="W47" s="43" t="n">
        <v>5.3</v>
      </c>
      <c r="X47" s="42" t="s">
        <v>123</v>
      </c>
      <c r="Y47" s="50" t="n">
        <v>1393</v>
      </c>
      <c r="Z47" s="42" t="s">
        <v>363</v>
      </c>
      <c r="AA47" s="46" t="n">
        <v>10000</v>
      </c>
      <c r="AB47" s="47" t="n">
        <f aca="false">IF(NOT(ISNUMBER(AA47)),"",IF(NOT(ISNUMBER(Y47)),"",IFERROR(IF(Z47="EUR",AA47,IF(Z47="IRR",AA47/INDEX('Assumptions &amp; FX Reference'!$C$5:$C$25,MATCH(Y47,'Assumptions &amp; FX Reference'!$A$5:$A$25,0)),IF(Z47="USD",AA47*INDEX('Assumptions &amp; FX Reference'!$B$5:$B$25,MATCH(Y47,'Assumptions &amp; FX Reference'!$A$5:$A$25,0))/INDEX('Assumptions &amp; FX Reference'!$C$5:$C$25,MATCH(Y47,'Assumptions &amp; FX Reference'!$A$5:$A$25,0)),""))),"")))</f>
        <v>10000</v>
      </c>
      <c r="AC47" s="47" t="n">
        <f aca="false">IF(NOT(ISNUMBER(AA47)),"",IF(NOT(ISNUMBER(Y47)),"",IFERROR(IF(Z47="USD",AA47,IF(Z47="IRR",AA47/INDEX('Assumptions &amp; FX Reference'!$B$5:$B$25,MATCH(Y47,'Assumptions &amp; FX Reference'!$A$5:$A$25,0)),IF(Z47="EUR",AA47*INDEX('Assumptions &amp; FX Reference'!$C$5:$C$25,MATCH(Y47,'Assumptions &amp; FX Reference'!$A$5:$A$25,0))/INDEX('Assumptions &amp; FX Reference'!$B$5:$B$25,MATCH(Y47,'Assumptions &amp; FX Reference'!$A$5:$A$25,0)),""))),"")))</f>
        <v>13074.4516129032</v>
      </c>
      <c r="AD47" s="47" t="n">
        <f aca="false">IF(NOT(ISNUMBER(AA47)),"",IF(NOT(ISNUMBER(Y47)),"",IFERROR(IF(Z47="IRR",AA47,IF(Z47="USD",AA47*INDEX('Assumptions &amp; FX Reference'!$B$5:$B$25,MATCH(Y47,'Assumptions &amp; FX Reference'!$A$5:$A$25,0)),IF(Z47="EUR",AA47*INDEX('Assumptions &amp; FX Reference'!$C$5:$C$25,MATCH(Y47,'Assumptions &amp; FX Reference'!$A$5:$A$25,0)),""))),"")))</f>
        <v>405308000</v>
      </c>
      <c r="AE47" s="42" t="s">
        <v>480</v>
      </c>
      <c r="AF47" s="50" t="s">
        <v>208</v>
      </c>
      <c r="AG47" s="47" t="n">
        <f aca="false">IF(AND(Z47="EUR",N(AA47)&gt;5000000),"",IF(AND(ISNUMBER(AB47),ISNUMBER(AZ47),ISNUMBER(BA47)),IF(AND(BB47="Y",ISNUMBER('Assumptions &amp; FX Reference'!$I$15)),MAX(AB47*BA47/AZ47,'Assumptions &amp; FX Reference'!$I$13*BA47/'Assumptions &amp; FX Reference'!$I$15),AB47*BA47/AZ47),""))</f>
        <v>13510.6790589729</v>
      </c>
      <c r="AH47" s="47" t="n">
        <f aca="false">IF(AND(ISNUMBER(AG47),ISNUMBER('Assumptions &amp; FX Reference'!$I$8),ISNUMBER('Assumptions &amp; FX Reference'!$I$11)),AG47*'Assumptions &amp; FX Reference'!$I$8/'Assumptions &amp; FX Reference'!$I$11,"")</f>
        <v>14264.3463698463</v>
      </c>
      <c r="AI47" s="47" t="n">
        <f aca="false">IF(AND(ISNUMBER(AG47),ISNUMBER('Assumptions &amp; FX Reference'!$I$8)),AG47*'Assumptions &amp; FX Reference'!$I$8,"")</f>
        <v>9393542807.97399</v>
      </c>
      <c r="AJ47" s="42" t="s">
        <v>481</v>
      </c>
      <c r="AK47" s="42" t="s">
        <v>482</v>
      </c>
      <c r="AL47" s="42" t="s">
        <v>123</v>
      </c>
      <c r="AM47" s="42" t="s">
        <v>123</v>
      </c>
      <c r="AN47" s="42" t="s">
        <v>123</v>
      </c>
      <c r="AO47" s="42" t="s">
        <v>123</v>
      </c>
      <c r="AP47" s="42" t="s">
        <v>123</v>
      </c>
      <c r="AQ47" s="50" t="s">
        <v>312</v>
      </c>
      <c r="AR47" s="42" t="s">
        <v>123</v>
      </c>
      <c r="AS47" s="45" t="str">
        <f aca="false">IF(AND(Z47="EUR",N(AA47)&gt;5000000),"Check currency (EUR&gt;5M); ","")&amp;IF(NOT(ISNUMBER(AA47)),"No price; ","")&amp;IF(G47="Not stated","Material missing; ","")&amp;IF(P47="Not stated","Seal missing; ","")&amp;IF(K47="","Size driver missing; ","")&amp;IF(NOT(ISNUMBER(AZ47)),"Base-year PPI missing; ","")</f>
        <v>Seal missing; Size driver missing; </v>
      </c>
      <c r="AT47" s="48" t="n">
        <f aca="false">IFERROR(INDEX(Factors_ROT!$F$5:$F$200,MATCH("MAT|"&amp;G47,Factors_ROT!$A$5:$A$200,0)),1)</f>
        <v>1.7</v>
      </c>
      <c r="AU47" s="48" t="n">
        <f aca="false">IFERROR(INDEX(Factors_ROT!$F$5:$F$200,MATCH("SEAL_ARR|"&amp;P47,Factors_ROT!$A$5:$A$200,0)),1)*IFERROR(INDEX(Factors_ROT!$F$5:$F$200,MATCH("SEAL_CAT|"&amp;Q47,Factors_ROT!$A$5:$A$200,0)),1)*IFERROR(INDEX(Factors_ROT!$F$5:$F$200,MATCH("SEAL_PLAN|"&amp;R47,Factors_ROT!$A$5:$A$200,0)),1)</f>
        <v>1</v>
      </c>
      <c r="AV47" s="48" t="n">
        <f aca="false">IFERROR(INDEX(Factors_ROT!$F$5:$F$200,MATCH("DRV|"&amp;S47,Factors_ROT!$A$5:$A$200,0)),1)*IFERROR(INDEX(Factors_ROT!$F$5:$F$200,MATCH("NACE|"&amp;O47,Factors_ROT!$A$5:$A$200,0)),1)</f>
        <v>1</v>
      </c>
      <c r="AW47" s="48" t="n">
        <f aca="false">IFERROR(INDEX(Factors_ROT!$F$5:$F$200,MATCH("SC_DRV|"&amp;AL47,Factors_ROT!$A$5:$A$200,0)),1)*IFERROR(INDEX(Factors_ROT!$F$5:$F$200,MATCH("SC_BSP|"&amp;AM47,Factors_ROT!$A$5:$A$200,0)),1)*IFERROR(INDEX(Factors_ROT!$F$5:$F$200,MATCH("SC_SEAL|"&amp;AN47,Factors_ROT!$A$5:$A$200,0)),1)*IFERROR(INDEX(Factors_ROT!$F$5:$F$200,MATCH("SC_COMM|"&amp;AO47,Factors_ROT!$A$5:$A$200,0)),1)*IFERROR(INDEX(Factors_ROT!$F$5:$F$200,MATCH("SC_2Y|"&amp;AP47,Factors_ROT!$A$5:$A$200,0)),1)*IFERROR(INDEX(Factors_ROT!$F$5:$F$200,MATCH("SC_TPI|"&amp;AQ47,Factors_ROT!$A$5:$A$200,0)),1)*IFERROR(INDEX(Factors_ROT!$F$5:$F$200,MATCH("SC_FAT|"&amp;AR47,Factors_ROT!$A$5:$A$200,0)),1)</f>
        <v>1</v>
      </c>
      <c r="AX47" s="48" t="n">
        <f aca="false">AT47*AU47*AV47*AW47</f>
        <v>1.7</v>
      </c>
      <c r="AY47" s="47" t="n">
        <f aca="false">IF(ISNUMBER(AB47),AB47/AX47,"")</f>
        <v>5882.35294117647</v>
      </c>
      <c r="AZ47" s="49" t="n">
        <f aca="false">IFERROR(IF(N(INDEX(Escalation_Index!$B$5:$B$25,MATCH(Y47,Escalation_Index!$A$5:$A$25,0)))&gt;0,INDEX(Escalation_Index!$B$5:$B$25,MATCH(Y47,Escalation_Index!$A$5:$A$25,0)),""),"")</f>
        <v>91.347</v>
      </c>
      <c r="BA47" s="49" t="n">
        <f aca="false">IF(ISNUMBER('Assumptions &amp; FX Reference'!$I$12),'Assumptions &amp; FX Reference'!$I$12,"")</f>
        <v>123.416</v>
      </c>
      <c r="BB47" s="45" t="str">
        <f aca="false">IF(AND(M47="API 610",LEFT(V47,11)="Centrifugal",OR(LEFT(G47,2)="S-",LEFT(G47,2)="D-")),"Y","N")</f>
        <v>N</v>
      </c>
      <c r="BC47" s="47" t="n">
        <f aca="false">IF(ISNUMBER(AG47),AG47/AX47,"")</f>
        <v>7947.45826998408</v>
      </c>
      <c r="BD47" s="47" t="str">
        <f aca="false">IF(AND(ISNUMBER(BC47),ISNUMBER(K47)),IF(K47&gt;0,BC47/K47^'Assumptions &amp; FX Reference'!$I$16,""),"")</f>
        <v/>
      </c>
      <c r="BE47" s="42" t="s">
        <v>494</v>
      </c>
      <c r="BF47" s="42" t="s">
        <v>495</v>
      </c>
      <c r="BG47" s="42" t="s">
        <v>369</v>
      </c>
      <c r="BH47" s="45" t="s">
        <v>313</v>
      </c>
      <c r="BI47" s="45" t="str">
        <f aca="false">"PMP-"&amp;TEXT(A47,"0000")</f>
        <v>PMP-0043</v>
      </c>
    </row>
    <row r="48" customFormat="false" ht="24" hidden="false" customHeight="true" outlineLevel="0" collapsed="false">
      <c r="A48" s="42" t="n">
        <v>44</v>
      </c>
      <c r="B48" s="42" t="s">
        <v>496</v>
      </c>
      <c r="C48" s="42" t="s">
        <v>476</v>
      </c>
      <c r="D48" s="42" t="s">
        <v>497</v>
      </c>
      <c r="E48" s="42" t="s">
        <v>48</v>
      </c>
      <c r="F48" s="42" t="s">
        <v>132</v>
      </c>
      <c r="G48" s="42" t="s">
        <v>115</v>
      </c>
      <c r="H48" s="43" t="n">
        <v>21</v>
      </c>
      <c r="I48" s="43" t="n">
        <v>27.6</v>
      </c>
      <c r="J48" s="43"/>
      <c r="K48" s="44" t="n">
        <f aca="false">IF(ISNUMBER(J48),J48,IF(AND(ISNUMBER(H48),ISNUMBER(I48)),H48*I48/(367*'Assumptions &amp; FX Reference'!$I$17),""))</f>
        <v>2.63215258855586</v>
      </c>
      <c r="L48" s="45" t="str">
        <f aca="false">IF(IF(OR(M48="Not stated",M48=""),""," + "&amp;M48)&amp;IF(OR(N48="None",N48=""),""," + "&amp;N48)&amp;IF(O48="Y"," + NACE MR0175","")="","Not stated",MID(IF(OR(M48="Not stated",M48=""),""," + "&amp;M48)&amp;IF(OR(N48="None",N48=""),""," + "&amp;N48)&amp;IF(O48="Y"," + NACE MR0175",""),4,300))</f>
        <v>API 610 + IPS-G-PM-105</v>
      </c>
      <c r="M48" s="42" t="s">
        <v>478</v>
      </c>
      <c r="N48" s="42" t="s">
        <v>479</v>
      </c>
      <c r="O48" s="50" t="s">
        <v>312</v>
      </c>
      <c r="P48" s="42" t="s">
        <v>123</v>
      </c>
      <c r="Q48" s="42" t="s">
        <v>123</v>
      </c>
      <c r="R48" s="42" t="s">
        <v>123</v>
      </c>
      <c r="S48" s="50" t="s">
        <v>304</v>
      </c>
      <c r="T48" s="42" t="s">
        <v>327</v>
      </c>
      <c r="U48" s="42" t="n">
        <v>2</v>
      </c>
      <c r="V48" s="42" t="s">
        <v>306</v>
      </c>
      <c r="W48" s="43" t="n">
        <v>4</v>
      </c>
      <c r="X48" s="42" t="s">
        <v>123</v>
      </c>
      <c r="Y48" s="50" t="n">
        <v>1393</v>
      </c>
      <c r="Z48" s="42" t="s">
        <v>363</v>
      </c>
      <c r="AA48" s="46" t="n">
        <v>30000</v>
      </c>
      <c r="AB48" s="47" t="n">
        <f aca="false">IF(NOT(ISNUMBER(AA48)),"",IF(NOT(ISNUMBER(Y48)),"",IFERROR(IF(Z48="EUR",AA48,IF(Z48="IRR",AA48/INDEX('Assumptions &amp; FX Reference'!$C$5:$C$25,MATCH(Y48,'Assumptions &amp; FX Reference'!$A$5:$A$25,0)),IF(Z48="USD",AA48*INDEX('Assumptions &amp; FX Reference'!$B$5:$B$25,MATCH(Y48,'Assumptions &amp; FX Reference'!$A$5:$A$25,0))/INDEX('Assumptions &amp; FX Reference'!$C$5:$C$25,MATCH(Y48,'Assumptions &amp; FX Reference'!$A$5:$A$25,0)),""))),"")))</f>
        <v>30000</v>
      </c>
      <c r="AC48" s="47" t="n">
        <f aca="false">IF(NOT(ISNUMBER(AA48)),"",IF(NOT(ISNUMBER(Y48)),"",IFERROR(IF(Z48="USD",AA48,IF(Z48="IRR",AA48/INDEX('Assumptions &amp; FX Reference'!$B$5:$B$25,MATCH(Y48,'Assumptions &amp; FX Reference'!$A$5:$A$25,0)),IF(Z48="EUR",AA48*INDEX('Assumptions &amp; FX Reference'!$C$5:$C$25,MATCH(Y48,'Assumptions &amp; FX Reference'!$A$5:$A$25,0))/INDEX('Assumptions &amp; FX Reference'!$B$5:$B$25,MATCH(Y48,'Assumptions &amp; FX Reference'!$A$5:$A$25,0)),""))),"")))</f>
        <v>39223.3548387097</v>
      </c>
      <c r="AD48" s="47" t="n">
        <f aca="false">IF(NOT(ISNUMBER(AA48)),"",IF(NOT(ISNUMBER(Y48)),"",IFERROR(IF(Z48="IRR",AA48,IF(Z48="USD",AA48*INDEX('Assumptions &amp; FX Reference'!$B$5:$B$25,MATCH(Y48,'Assumptions &amp; FX Reference'!$A$5:$A$25,0)),IF(Z48="EUR",AA48*INDEX('Assumptions &amp; FX Reference'!$C$5:$C$25,MATCH(Y48,'Assumptions &amp; FX Reference'!$A$5:$A$25,0)),""))),"")))</f>
        <v>1215924000</v>
      </c>
      <c r="AE48" s="42" t="s">
        <v>480</v>
      </c>
      <c r="AF48" s="50" t="s">
        <v>208</v>
      </c>
      <c r="AG48" s="47" t="n">
        <f aca="false">IF(AND(Z48="EUR",N(AA48)&gt;5000000),"",IF(AND(ISNUMBER(AB48),ISNUMBER(AZ48),ISNUMBER(BA48)),IF(AND(BB48="Y",ISNUMBER('Assumptions &amp; FX Reference'!$I$15)),MAX(AB48*BA48/AZ48,'Assumptions &amp; FX Reference'!$I$13*BA48/'Assumptions &amp; FX Reference'!$I$15),AB48*BA48/AZ48),""))</f>
        <v>40532.0371769188</v>
      </c>
      <c r="AH48" s="47" t="n">
        <f aca="false">IF(AND(ISNUMBER(AG48),ISNUMBER('Assumptions &amp; FX Reference'!$I$8),ISNUMBER('Assumptions &amp; FX Reference'!$I$11)),AG48*'Assumptions &amp; FX Reference'!$I$8/'Assumptions &amp; FX Reference'!$I$11,"")</f>
        <v>42793.0391095389</v>
      </c>
      <c r="AI48" s="47" t="n">
        <f aca="false">IF(AND(ISNUMBER(AG48),ISNUMBER('Assumptions &amp; FX Reference'!$I$8)),AG48*'Assumptions &amp; FX Reference'!$I$8,"")</f>
        <v>28180628423.922</v>
      </c>
      <c r="AJ48" s="42" t="s">
        <v>481</v>
      </c>
      <c r="AK48" s="42" t="s">
        <v>482</v>
      </c>
      <c r="AL48" s="42" t="s">
        <v>123</v>
      </c>
      <c r="AM48" s="42" t="s">
        <v>123</v>
      </c>
      <c r="AN48" s="42" t="s">
        <v>123</v>
      </c>
      <c r="AO48" s="42" t="s">
        <v>123</v>
      </c>
      <c r="AP48" s="42" t="s">
        <v>123</v>
      </c>
      <c r="AQ48" s="50" t="s">
        <v>312</v>
      </c>
      <c r="AR48" s="42" t="s">
        <v>123</v>
      </c>
      <c r="AS48" s="45" t="str">
        <f aca="false">IF(AND(Z48="EUR",N(AA48)&gt;5000000),"Check currency (EUR&gt;5M); ","")&amp;IF(NOT(ISNUMBER(AA48)),"No price; ","")&amp;IF(G48="Not stated","Material missing; ","")&amp;IF(P48="Not stated","Seal missing; ","")&amp;IF(K48="","Size driver missing; ","")&amp;IF(NOT(ISNUMBER(AZ48)),"Base-year PPI missing; ","")</f>
        <v>Seal missing; </v>
      </c>
      <c r="AT48" s="48" t="n">
        <f aca="false">IFERROR(INDEX(Factors_ROT!$F$5:$F$200,MATCH("MAT|"&amp;G48,Factors_ROT!$A$5:$A$200,0)),1)</f>
        <v>1.9</v>
      </c>
      <c r="AU48" s="48" t="n">
        <f aca="false">IFERROR(INDEX(Factors_ROT!$F$5:$F$200,MATCH("SEAL_ARR|"&amp;P48,Factors_ROT!$A$5:$A$200,0)),1)*IFERROR(INDEX(Factors_ROT!$F$5:$F$200,MATCH("SEAL_CAT|"&amp;Q48,Factors_ROT!$A$5:$A$200,0)),1)*IFERROR(INDEX(Factors_ROT!$F$5:$F$200,MATCH("SEAL_PLAN|"&amp;R48,Factors_ROT!$A$5:$A$200,0)),1)</f>
        <v>1</v>
      </c>
      <c r="AV48" s="48" t="n">
        <f aca="false">IFERROR(INDEX(Factors_ROT!$F$5:$F$200,MATCH("DRV|"&amp;S48,Factors_ROT!$A$5:$A$200,0)),1)*IFERROR(INDEX(Factors_ROT!$F$5:$F$200,MATCH("NACE|"&amp;O48,Factors_ROT!$A$5:$A$200,0)),1)</f>
        <v>1</v>
      </c>
      <c r="AW48" s="48" t="n">
        <f aca="false">IFERROR(INDEX(Factors_ROT!$F$5:$F$200,MATCH("SC_DRV|"&amp;AL48,Factors_ROT!$A$5:$A$200,0)),1)*IFERROR(INDEX(Factors_ROT!$F$5:$F$200,MATCH("SC_BSP|"&amp;AM48,Factors_ROT!$A$5:$A$200,0)),1)*IFERROR(INDEX(Factors_ROT!$F$5:$F$200,MATCH("SC_SEAL|"&amp;AN48,Factors_ROT!$A$5:$A$200,0)),1)*IFERROR(INDEX(Factors_ROT!$F$5:$F$200,MATCH("SC_COMM|"&amp;AO48,Factors_ROT!$A$5:$A$200,0)),1)*IFERROR(INDEX(Factors_ROT!$F$5:$F$200,MATCH("SC_2Y|"&amp;AP48,Factors_ROT!$A$5:$A$200,0)),1)*IFERROR(INDEX(Factors_ROT!$F$5:$F$200,MATCH("SC_TPI|"&amp;AQ48,Factors_ROT!$A$5:$A$200,0)),1)*IFERROR(INDEX(Factors_ROT!$F$5:$F$200,MATCH("SC_FAT|"&amp;AR48,Factors_ROT!$A$5:$A$200,0)),1)</f>
        <v>1</v>
      </c>
      <c r="AX48" s="48" t="n">
        <f aca="false">AT48*AU48*AV48*AW48</f>
        <v>1.9</v>
      </c>
      <c r="AY48" s="47" t="n">
        <f aca="false">IF(ISNUMBER(AB48),AB48/AX48,"")</f>
        <v>15789.4736842105</v>
      </c>
      <c r="AZ48" s="49" t="n">
        <f aca="false">IFERROR(IF(N(INDEX(Escalation_Index!$B$5:$B$25,MATCH(Y48,Escalation_Index!$A$5:$A$25,0)))&gt;0,INDEX(Escalation_Index!$B$5:$B$25,MATCH(Y48,Escalation_Index!$A$5:$A$25,0)),""),"")</f>
        <v>91.347</v>
      </c>
      <c r="BA48" s="49" t="n">
        <f aca="false">IF(ISNUMBER('Assumptions &amp; FX Reference'!$I$12),'Assumptions &amp; FX Reference'!$I$12,"")</f>
        <v>123.416</v>
      </c>
      <c r="BB48" s="45" t="str">
        <f aca="false">IF(AND(M48="API 610",LEFT(V48,11)="Centrifugal",OR(LEFT(G48,2)="S-",LEFT(G48,2)="D-")),"Y","N")</f>
        <v>Y</v>
      </c>
      <c r="BC48" s="47" t="n">
        <f aca="false">IF(ISNUMBER(AG48),AG48/AX48,"")</f>
        <v>21332.6511457467</v>
      </c>
      <c r="BD48" s="47" t="n">
        <f aca="false">IF(AND(ISNUMBER(BC48),ISNUMBER(K48)),IF(K48&gt;0,BC48/K48^'Assumptions &amp; FX Reference'!$I$16,""),"")</f>
        <v>11935.9830685689</v>
      </c>
      <c r="BE48" s="42" t="s">
        <v>498</v>
      </c>
      <c r="BF48" s="42" t="s">
        <v>499</v>
      </c>
      <c r="BG48" s="42" t="s">
        <v>369</v>
      </c>
      <c r="BH48" s="45" t="s">
        <v>313</v>
      </c>
      <c r="BI48" s="45" t="str">
        <f aca="false">"PMP-"&amp;TEXT(A48,"0000")</f>
        <v>PMP-0044</v>
      </c>
    </row>
    <row r="49" customFormat="false" ht="24" hidden="false" customHeight="true" outlineLevel="0" collapsed="false">
      <c r="A49" s="42" t="n">
        <v>45</v>
      </c>
      <c r="B49" s="42" t="s">
        <v>500</v>
      </c>
      <c r="C49" s="42" t="s">
        <v>476</v>
      </c>
      <c r="D49" s="42" t="s">
        <v>501</v>
      </c>
      <c r="E49" s="42" t="s">
        <v>51</v>
      </c>
      <c r="F49" s="42" t="s">
        <v>153</v>
      </c>
      <c r="G49" s="42" t="s">
        <v>115</v>
      </c>
      <c r="H49" s="43" t="n">
        <v>73</v>
      </c>
      <c r="I49" s="43" t="n">
        <v>607.4</v>
      </c>
      <c r="J49" s="43"/>
      <c r="K49" s="44" t="n">
        <f aca="false">IF(ISNUMBER(J49),J49,IF(AND(ISNUMBER(H49),ISNUMBER(I49)),H49*I49/(367*'Assumptions &amp; FX Reference'!$I$17),""))</f>
        <v>201.363306085377</v>
      </c>
      <c r="L49" s="45" t="str">
        <f aca="false">IF(IF(OR(M49="Not stated",M49=""),""," + "&amp;M49)&amp;IF(OR(N49="None",N49=""),""," + "&amp;N49)&amp;IF(O49="Y"," + NACE MR0175","")="","Not stated",MID(IF(OR(M49="Not stated",M49=""),""," + "&amp;M49)&amp;IF(OR(N49="None",N49=""),""," + "&amp;N49)&amp;IF(O49="Y"," + NACE MR0175",""),4,300))</f>
        <v>API 610 + IPS-G-PM-105</v>
      </c>
      <c r="M49" s="42" t="s">
        <v>478</v>
      </c>
      <c r="N49" s="42" t="s">
        <v>479</v>
      </c>
      <c r="O49" s="50" t="s">
        <v>312</v>
      </c>
      <c r="P49" s="42" t="s">
        <v>123</v>
      </c>
      <c r="Q49" s="42" t="s">
        <v>123</v>
      </c>
      <c r="R49" s="42" t="s">
        <v>123</v>
      </c>
      <c r="S49" s="50" t="s">
        <v>304</v>
      </c>
      <c r="T49" s="42" t="s">
        <v>334</v>
      </c>
      <c r="U49" s="42" t="n">
        <v>2</v>
      </c>
      <c r="V49" s="42" t="s">
        <v>306</v>
      </c>
      <c r="W49" s="43" t="n">
        <v>74.4</v>
      </c>
      <c r="X49" s="42" t="s">
        <v>123</v>
      </c>
      <c r="Y49" s="50" t="n">
        <v>1393</v>
      </c>
      <c r="Z49" s="42" t="s">
        <v>363</v>
      </c>
      <c r="AA49" s="46" t="n">
        <v>210000</v>
      </c>
      <c r="AB49" s="47" t="n">
        <f aca="false">IF(NOT(ISNUMBER(AA49)),"",IF(NOT(ISNUMBER(Y49)),"",IFERROR(IF(Z49="EUR",AA49,IF(Z49="IRR",AA49/INDEX('Assumptions &amp; FX Reference'!$C$5:$C$25,MATCH(Y49,'Assumptions &amp; FX Reference'!$A$5:$A$25,0)),IF(Z49="USD",AA49*INDEX('Assumptions &amp; FX Reference'!$B$5:$B$25,MATCH(Y49,'Assumptions &amp; FX Reference'!$A$5:$A$25,0))/INDEX('Assumptions &amp; FX Reference'!$C$5:$C$25,MATCH(Y49,'Assumptions &amp; FX Reference'!$A$5:$A$25,0)),""))),"")))</f>
        <v>210000</v>
      </c>
      <c r="AC49" s="47" t="n">
        <f aca="false">IF(NOT(ISNUMBER(AA49)),"",IF(NOT(ISNUMBER(Y49)),"",IFERROR(IF(Z49="USD",AA49,IF(Z49="IRR",AA49/INDEX('Assumptions &amp; FX Reference'!$B$5:$B$25,MATCH(Y49,'Assumptions &amp; FX Reference'!$A$5:$A$25,0)),IF(Z49="EUR",AA49*INDEX('Assumptions &amp; FX Reference'!$C$5:$C$25,MATCH(Y49,'Assumptions &amp; FX Reference'!$A$5:$A$25,0))/INDEX('Assumptions &amp; FX Reference'!$B$5:$B$25,MATCH(Y49,'Assumptions &amp; FX Reference'!$A$5:$A$25,0)),""))),"")))</f>
        <v>274563.483870968</v>
      </c>
      <c r="AD49" s="47" t="n">
        <f aca="false">IF(NOT(ISNUMBER(AA49)),"",IF(NOT(ISNUMBER(Y49)),"",IFERROR(IF(Z49="IRR",AA49,IF(Z49="USD",AA49*INDEX('Assumptions &amp; FX Reference'!$B$5:$B$25,MATCH(Y49,'Assumptions &amp; FX Reference'!$A$5:$A$25,0)),IF(Z49="EUR",AA49*INDEX('Assumptions &amp; FX Reference'!$C$5:$C$25,MATCH(Y49,'Assumptions &amp; FX Reference'!$A$5:$A$25,0)),""))),"")))</f>
        <v>8511468000</v>
      </c>
      <c r="AE49" s="42" t="s">
        <v>480</v>
      </c>
      <c r="AF49" s="50" t="s">
        <v>208</v>
      </c>
      <c r="AG49" s="47" t="n">
        <f aca="false">IF(AND(Z49="EUR",N(AA49)&gt;5000000),"",IF(AND(ISNUMBER(AB49),ISNUMBER(AZ49),ISNUMBER(BA49)),IF(AND(BB49="Y",ISNUMBER('Assumptions &amp; FX Reference'!$I$15)),MAX(AB49*BA49/AZ49,'Assumptions &amp; FX Reference'!$I$13*BA49/'Assumptions &amp; FX Reference'!$I$15),AB49*BA49/AZ49),""))</f>
        <v>283724.260238432</v>
      </c>
      <c r="AH49" s="47" t="n">
        <f aca="false">IF(AND(ISNUMBER(AG49),ISNUMBER('Assumptions &amp; FX Reference'!$I$8),ISNUMBER('Assumptions &amp; FX Reference'!$I$11)),AG49*'Assumptions &amp; FX Reference'!$I$8/'Assumptions &amp; FX Reference'!$I$11,"")</f>
        <v>299551.273766772</v>
      </c>
      <c r="AI49" s="47" t="n">
        <f aca="false">IF(AND(ISNUMBER(AG49),ISNUMBER('Assumptions &amp; FX Reference'!$I$8)),AG49*'Assumptions &amp; FX Reference'!$I$8,"")</f>
        <v>197264398967.454</v>
      </c>
      <c r="AJ49" s="42" t="s">
        <v>481</v>
      </c>
      <c r="AK49" s="42" t="s">
        <v>482</v>
      </c>
      <c r="AL49" s="42" t="s">
        <v>123</v>
      </c>
      <c r="AM49" s="42" t="s">
        <v>123</v>
      </c>
      <c r="AN49" s="42" t="s">
        <v>123</v>
      </c>
      <c r="AO49" s="42" t="s">
        <v>123</v>
      </c>
      <c r="AP49" s="42" t="s">
        <v>123</v>
      </c>
      <c r="AQ49" s="50" t="s">
        <v>312</v>
      </c>
      <c r="AR49" s="42" t="s">
        <v>123</v>
      </c>
      <c r="AS49" s="45" t="str">
        <f aca="false">IF(AND(Z49="EUR",N(AA49)&gt;5000000),"Check currency (EUR&gt;5M); ","")&amp;IF(NOT(ISNUMBER(AA49)),"No price; ","")&amp;IF(G49="Not stated","Material missing; ","")&amp;IF(P49="Not stated","Seal missing; ","")&amp;IF(K49="","Size driver missing; ","")&amp;IF(NOT(ISNUMBER(AZ49)),"Base-year PPI missing; ","")</f>
        <v>Seal missing; </v>
      </c>
      <c r="AT49" s="48" t="n">
        <f aca="false">IFERROR(INDEX(Factors_ROT!$F$5:$F$200,MATCH("MAT|"&amp;G49,Factors_ROT!$A$5:$A$200,0)),1)</f>
        <v>1.9</v>
      </c>
      <c r="AU49" s="48" t="n">
        <f aca="false">IFERROR(INDEX(Factors_ROT!$F$5:$F$200,MATCH("SEAL_ARR|"&amp;P49,Factors_ROT!$A$5:$A$200,0)),1)*IFERROR(INDEX(Factors_ROT!$F$5:$F$200,MATCH("SEAL_CAT|"&amp;Q49,Factors_ROT!$A$5:$A$200,0)),1)*IFERROR(INDEX(Factors_ROT!$F$5:$F$200,MATCH("SEAL_PLAN|"&amp;R49,Factors_ROT!$A$5:$A$200,0)),1)</f>
        <v>1</v>
      </c>
      <c r="AV49" s="48" t="n">
        <f aca="false">IFERROR(INDEX(Factors_ROT!$F$5:$F$200,MATCH("DRV|"&amp;S49,Factors_ROT!$A$5:$A$200,0)),1)*IFERROR(INDEX(Factors_ROT!$F$5:$F$200,MATCH("NACE|"&amp;O49,Factors_ROT!$A$5:$A$200,0)),1)</f>
        <v>1</v>
      </c>
      <c r="AW49" s="48" t="n">
        <f aca="false">IFERROR(INDEX(Factors_ROT!$F$5:$F$200,MATCH("SC_DRV|"&amp;AL49,Factors_ROT!$A$5:$A$200,0)),1)*IFERROR(INDEX(Factors_ROT!$F$5:$F$200,MATCH("SC_BSP|"&amp;AM49,Factors_ROT!$A$5:$A$200,0)),1)*IFERROR(INDEX(Factors_ROT!$F$5:$F$200,MATCH("SC_SEAL|"&amp;AN49,Factors_ROT!$A$5:$A$200,0)),1)*IFERROR(INDEX(Factors_ROT!$F$5:$F$200,MATCH("SC_COMM|"&amp;AO49,Factors_ROT!$A$5:$A$200,0)),1)*IFERROR(INDEX(Factors_ROT!$F$5:$F$200,MATCH("SC_2Y|"&amp;AP49,Factors_ROT!$A$5:$A$200,0)),1)*IFERROR(INDEX(Factors_ROT!$F$5:$F$200,MATCH("SC_TPI|"&amp;AQ49,Factors_ROT!$A$5:$A$200,0)),1)*IFERROR(INDEX(Factors_ROT!$F$5:$F$200,MATCH("SC_FAT|"&amp;AR49,Factors_ROT!$A$5:$A$200,0)),1)</f>
        <v>1</v>
      </c>
      <c r="AX49" s="48" t="n">
        <f aca="false">AT49*AU49*AV49*AW49</f>
        <v>1.9</v>
      </c>
      <c r="AY49" s="47" t="n">
        <f aca="false">IF(ISNUMBER(AB49),AB49/AX49,"")</f>
        <v>110526.315789474</v>
      </c>
      <c r="AZ49" s="49" t="n">
        <f aca="false">IFERROR(IF(N(INDEX(Escalation_Index!$B$5:$B$25,MATCH(Y49,Escalation_Index!$A$5:$A$25,0)))&gt;0,INDEX(Escalation_Index!$B$5:$B$25,MATCH(Y49,Escalation_Index!$A$5:$A$25,0)),""),"")</f>
        <v>91.347</v>
      </c>
      <c r="BA49" s="49" t="n">
        <f aca="false">IF(ISNUMBER('Assumptions &amp; FX Reference'!$I$12),'Assumptions &amp; FX Reference'!$I$12,"")</f>
        <v>123.416</v>
      </c>
      <c r="BB49" s="45" t="str">
        <f aca="false">IF(AND(M49="API 610",LEFT(V49,11)="Centrifugal",OR(LEFT(G49,2)="S-",LEFT(G49,2)="D-")),"Y","N")</f>
        <v>Y</v>
      </c>
      <c r="BC49" s="47" t="n">
        <f aca="false">IF(ISNUMBER(AG49),AG49/AX49,"")</f>
        <v>149328.558020227</v>
      </c>
      <c r="BD49" s="47" t="n">
        <f aca="false">IF(AND(ISNUMBER(BC49),ISNUMBER(K49)),IF(K49&gt;0,BC49/K49^'Assumptions &amp; FX Reference'!$I$16,""),"")</f>
        <v>6190.91258043139</v>
      </c>
      <c r="BE49" s="42" t="s">
        <v>502</v>
      </c>
      <c r="BF49" s="42" t="s">
        <v>503</v>
      </c>
      <c r="BG49" s="42" t="s">
        <v>369</v>
      </c>
      <c r="BH49" s="45" t="s">
        <v>313</v>
      </c>
      <c r="BI49" s="45" t="str">
        <f aca="false">"PMP-"&amp;TEXT(A49,"0000")</f>
        <v>PMP-0045</v>
      </c>
    </row>
    <row r="50" customFormat="false" ht="24" hidden="false" customHeight="true" outlineLevel="0" collapsed="false">
      <c r="A50" s="42" t="n">
        <v>46</v>
      </c>
      <c r="B50" s="42" t="s">
        <v>504</v>
      </c>
      <c r="C50" s="42" t="s">
        <v>476</v>
      </c>
      <c r="D50" s="42" t="s">
        <v>505</v>
      </c>
      <c r="E50" s="42" t="s">
        <v>51</v>
      </c>
      <c r="F50" s="42" t="s">
        <v>153</v>
      </c>
      <c r="G50" s="42" t="s">
        <v>115</v>
      </c>
      <c r="H50" s="43" t="n">
        <v>36</v>
      </c>
      <c r="I50" s="43" t="n">
        <v>331</v>
      </c>
      <c r="J50" s="43"/>
      <c r="K50" s="44" t="n">
        <f aca="false">IF(ISNUMBER(J50),J50,IF(AND(ISNUMBER(H50),ISNUMBER(I50)),H50*I50/(367*'Assumptions &amp; FX Reference'!$I$17),""))</f>
        <v>54.1144414168937</v>
      </c>
      <c r="L50" s="45" t="str">
        <f aca="false">IF(IF(OR(M50="Not stated",M50=""),""," + "&amp;M50)&amp;IF(OR(N50="None",N50=""),""," + "&amp;N50)&amp;IF(O50="Y"," + NACE MR0175","")="","Not stated",MID(IF(OR(M50="Not stated",M50=""),""," + "&amp;M50)&amp;IF(OR(N50="None",N50=""),""," + "&amp;N50)&amp;IF(O50="Y"," + NACE MR0175",""),4,300))</f>
        <v>API 610 + IPS-G-PM-105</v>
      </c>
      <c r="M50" s="42" t="s">
        <v>478</v>
      </c>
      <c r="N50" s="42" t="s">
        <v>479</v>
      </c>
      <c r="O50" s="50" t="s">
        <v>312</v>
      </c>
      <c r="P50" s="42" t="s">
        <v>123</v>
      </c>
      <c r="Q50" s="42" t="s">
        <v>123</v>
      </c>
      <c r="R50" s="42" t="s">
        <v>123</v>
      </c>
      <c r="S50" s="50" t="s">
        <v>304</v>
      </c>
      <c r="T50" s="42" t="s">
        <v>334</v>
      </c>
      <c r="U50" s="42" t="n">
        <v>2</v>
      </c>
      <c r="V50" s="42" t="s">
        <v>306</v>
      </c>
      <c r="W50" s="43" t="n">
        <v>37.4</v>
      </c>
      <c r="X50" s="42" t="s">
        <v>123</v>
      </c>
      <c r="Y50" s="50" t="n">
        <v>1393</v>
      </c>
      <c r="Z50" s="42" t="s">
        <v>363</v>
      </c>
      <c r="AA50" s="46" t="n">
        <v>150000</v>
      </c>
      <c r="AB50" s="47" t="n">
        <f aca="false">IF(NOT(ISNUMBER(AA50)),"",IF(NOT(ISNUMBER(Y50)),"",IFERROR(IF(Z50="EUR",AA50,IF(Z50="IRR",AA50/INDEX('Assumptions &amp; FX Reference'!$C$5:$C$25,MATCH(Y50,'Assumptions &amp; FX Reference'!$A$5:$A$25,0)),IF(Z50="USD",AA50*INDEX('Assumptions &amp; FX Reference'!$B$5:$B$25,MATCH(Y50,'Assumptions &amp; FX Reference'!$A$5:$A$25,0))/INDEX('Assumptions &amp; FX Reference'!$C$5:$C$25,MATCH(Y50,'Assumptions &amp; FX Reference'!$A$5:$A$25,0)),""))),"")))</f>
        <v>150000</v>
      </c>
      <c r="AC50" s="47" t="n">
        <f aca="false">IF(NOT(ISNUMBER(AA50)),"",IF(NOT(ISNUMBER(Y50)),"",IFERROR(IF(Z50="USD",AA50,IF(Z50="IRR",AA50/INDEX('Assumptions &amp; FX Reference'!$B$5:$B$25,MATCH(Y50,'Assumptions &amp; FX Reference'!$A$5:$A$25,0)),IF(Z50="EUR",AA50*INDEX('Assumptions &amp; FX Reference'!$C$5:$C$25,MATCH(Y50,'Assumptions &amp; FX Reference'!$A$5:$A$25,0))/INDEX('Assumptions &amp; FX Reference'!$B$5:$B$25,MATCH(Y50,'Assumptions &amp; FX Reference'!$A$5:$A$25,0)),""))),"")))</f>
        <v>196116.774193548</v>
      </c>
      <c r="AD50" s="47" t="n">
        <f aca="false">IF(NOT(ISNUMBER(AA50)),"",IF(NOT(ISNUMBER(Y50)),"",IFERROR(IF(Z50="IRR",AA50,IF(Z50="USD",AA50*INDEX('Assumptions &amp; FX Reference'!$B$5:$B$25,MATCH(Y50,'Assumptions &amp; FX Reference'!$A$5:$A$25,0)),IF(Z50="EUR",AA50*INDEX('Assumptions &amp; FX Reference'!$C$5:$C$25,MATCH(Y50,'Assumptions &amp; FX Reference'!$A$5:$A$25,0)),""))),"")))</f>
        <v>6079620000</v>
      </c>
      <c r="AE50" s="42" t="s">
        <v>480</v>
      </c>
      <c r="AF50" s="50" t="s">
        <v>208</v>
      </c>
      <c r="AG50" s="47" t="n">
        <f aca="false">IF(AND(Z50="EUR",N(AA50)&gt;5000000),"",IF(AND(ISNUMBER(AB50),ISNUMBER(AZ50),ISNUMBER(BA50)),IF(AND(BB50="Y",ISNUMBER('Assumptions &amp; FX Reference'!$I$15)),MAX(AB50*BA50/AZ50,'Assumptions &amp; FX Reference'!$I$13*BA50/'Assumptions &amp; FX Reference'!$I$15),AB50*BA50/AZ50),""))</f>
        <v>202660.185884594</v>
      </c>
      <c r="AH50" s="47" t="n">
        <f aca="false">IF(AND(ISNUMBER(AG50),ISNUMBER('Assumptions &amp; FX Reference'!$I$8),ISNUMBER('Assumptions &amp; FX Reference'!$I$11)),AG50*'Assumptions &amp; FX Reference'!$I$8/'Assumptions &amp; FX Reference'!$I$11,"")</f>
        <v>213965.195547694</v>
      </c>
      <c r="AI50" s="47" t="n">
        <f aca="false">IF(AND(ISNUMBER(AG50),ISNUMBER('Assumptions &amp; FX Reference'!$I$8)),AG50*'Assumptions &amp; FX Reference'!$I$8,"")</f>
        <v>140903142119.61</v>
      </c>
      <c r="AJ50" s="42" t="s">
        <v>481</v>
      </c>
      <c r="AK50" s="42" t="s">
        <v>482</v>
      </c>
      <c r="AL50" s="42" t="s">
        <v>123</v>
      </c>
      <c r="AM50" s="42" t="s">
        <v>123</v>
      </c>
      <c r="AN50" s="42" t="s">
        <v>123</v>
      </c>
      <c r="AO50" s="42" t="s">
        <v>123</v>
      </c>
      <c r="AP50" s="42" t="s">
        <v>123</v>
      </c>
      <c r="AQ50" s="50" t="s">
        <v>312</v>
      </c>
      <c r="AR50" s="42" t="s">
        <v>123</v>
      </c>
      <c r="AS50" s="45" t="str">
        <f aca="false">IF(AND(Z50="EUR",N(AA50)&gt;5000000),"Check currency (EUR&gt;5M); ","")&amp;IF(NOT(ISNUMBER(AA50)),"No price; ","")&amp;IF(G50="Not stated","Material missing; ","")&amp;IF(P50="Not stated","Seal missing; ","")&amp;IF(K50="","Size driver missing; ","")&amp;IF(NOT(ISNUMBER(AZ50)),"Base-year PPI missing; ","")</f>
        <v>Seal missing; </v>
      </c>
      <c r="AT50" s="48" t="n">
        <f aca="false">IFERROR(INDEX(Factors_ROT!$F$5:$F$200,MATCH("MAT|"&amp;G50,Factors_ROT!$A$5:$A$200,0)),1)</f>
        <v>1.9</v>
      </c>
      <c r="AU50" s="48" t="n">
        <f aca="false">IFERROR(INDEX(Factors_ROT!$F$5:$F$200,MATCH("SEAL_ARR|"&amp;P50,Factors_ROT!$A$5:$A$200,0)),1)*IFERROR(INDEX(Factors_ROT!$F$5:$F$200,MATCH("SEAL_CAT|"&amp;Q50,Factors_ROT!$A$5:$A$200,0)),1)*IFERROR(INDEX(Factors_ROT!$F$5:$F$200,MATCH("SEAL_PLAN|"&amp;R50,Factors_ROT!$A$5:$A$200,0)),1)</f>
        <v>1</v>
      </c>
      <c r="AV50" s="48" t="n">
        <f aca="false">IFERROR(INDEX(Factors_ROT!$F$5:$F$200,MATCH("DRV|"&amp;S50,Factors_ROT!$A$5:$A$200,0)),1)*IFERROR(INDEX(Factors_ROT!$F$5:$F$200,MATCH("NACE|"&amp;O50,Factors_ROT!$A$5:$A$200,0)),1)</f>
        <v>1</v>
      </c>
      <c r="AW50" s="48" t="n">
        <f aca="false">IFERROR(INDEX(Factors_ROT!$F$5:$F$200,MATCH("SC_DRV|"&amp;AL50,Factors_ROT!$A$5:$A$200,0)),1)*IFERROR(INDEX(Factors_ROT!$F$5:$F$200,MATCH("SC_BSP|"&amp;AM50,Factors_ROT!$A$5:$A$200,0)),1)*IFERROR(INDEX(Factors_ROT!$F$5:$F$200,MATCH("SC_SEAL|"&amp;AN50,Factors_ROT!$A$5:$A$200,0)),1)*IFERROR(INDEX(Factors_ROT!$F$5:$F$200,MATCH("SC_COMM|"&amp;AO50,Factors_ROT!$A$5:$A$200,0)),1)*IFERROR(INDEX(Factors_ROT!$F$5:$F$200,MATCH("SC_2Y|"&amp;AP50,Factors_ROT!$A$5:$A$200,0)),1)*IFERROR(INDEX(Factors_ROT!$F$5:$F$200,MATCH("SC_TPI|"&amp;AQ50,Factors_ROT!$A$5:$A$200,0)),1)*IFERROR(INDEX(Factors_ROT!$F$5:$F$200,MATCH("SC_FAT|"&amp;AR50,Factors_ROT!$A$5:$A$200,0)),1)</f>
        <v>1</v>
      </c>
      <c r="AX50" s="48" t="n">
        <f aca="false">AT50*AU50*AV50*AW50</f>
        <v>1.9</v>
      </c>
      <c r="AY50" s="47" t="n">
        <f aca="false">IF(ISNUMBER(AB50),AB50/AX50,"")</f>
        <v>78947.3684210526</v>
      </c>
      <c r="AZ50" s="49" t="n">
        <f aca="false">IFERROR(IF(N(INDEX(Escalation_Index!$B$5:$B$25,MATCH(Y50,Escalation_Index!$A$5:$A$25,0)))&gt;0,INDEX(Escalation_Index!$B$5:$B$25,MATCH(Y50,Escalation_Index!$A$5:$A$25,0)),""),"")</f>
        <v>91.347</v>
      </c>
      <c r="BA50" s="49" t="n">
        <f aca="false">IF(ISNUMBER('Assumptions &amp; FX Reference'!$I$12),'Assumptions &amp; FX Reference'!$I$12,"")</f>
        <v>123.416</v>
      </c>
      <c r="BB50" s="45" t="str">
        <f aca="false">IF(AND(M50="API 610",LEFT(V50,11)="Centrifugal",OR(LEFT(G50,2)="S-",LEFT(G50,2)="D-")),"Y","N")</f>
        <v>Y</v>
      </c>
      <c r="BC50" s="47" t="n">
        <f aca="false">IF(ISNUMBER(AG50),AG50/AX50,"")</f>
        <v>106663.255728734</v>
      </c>
      <c r="BD50" s="47" t="n">
        <f aca="false">IF(AND(ISNUMBER(BC50),ISNUMBER(K50)),IF(K50&gt;0,BC50/K50^'Assumptions &amp; FX Reference'!$I$16,""),"")</f>
        <v>9728.07539346614</v>
      </c>
      <c r="BE50" s="42" t="s">
        <v>506</v>
      </c>
      <c r="BF50" s="42" t="s">
        <v>507</v>
      </c>
      <c r="BG50" s="42" t="s">
        <v>369</v>
      </c>
      <c r="BH50" s="45" t="s">
        <v>313</v>
      </c>
      <c r="BI50" s="45" t="str">
        <f aca="false">"PMP-"&amp;TEXT(A50,"0000")</f>
        <v>PMP-0046</v>
      </c>
    </row>
    <row r="51" customFormat="false" ht="24" hidden="false" customHeight="true" outlineLevel="0" collapsed="false">
      <c r="A51" s="42" t="n">
        <v>47</v>
      </c>
      <c r="B51" s="42" t="s">
        <v>508</v>
      </c>
      <c r="C51" s="42" t="s">
        <v>476</v>
      </c>
      <c r="D51" s="42" t="s">
        <v>509</v>
      </c>
      <c r="E51" s="42" t="s">
        <v>48</v>
      </c>
      <c r="F51" s="42" t="s">
        <v>132</v>
      </c>
      <c r="G51" s="42" t="s">
        <v>87</v>
      </c>
      <c r="H51" s="43" t="n">
        <v>23</v>
      </c>
      <c r="I51" s="43" t="n">
        <v>158</v>
      </c>
      <c r="J51" s="43"/>
      <c r="K51" s="44" t="n">
        <f aca="false">IF(ISNUMBER(J51),J51,IF(AND(ISNUMBER(H51),ISNUMBER(I51)),H51*I51/(367*'Assumptions &amp; FX Reference'!$I$17),""))</f>
        <v>16.5031789282471</v>
      </c>
      <c r="L51" s="45" t="str">
        <f aca="false">IF(IF(OR(M51="Not stated",M51=""),""," + "&amp;M51)&amp;IF(OR(N51="None",N51=""),""," + "&amp;N51)&amp;IF(O51="Y"," + NACE MR0175","")="","Not stated",MID(IF(OR(M51="Not stated",M51=""),""," + "&amp;M51)&amp;IF(OR(N51="None",N51=""),""," + "&amp;N51)&amp;IF(O51="Y"," + NACE MR0175",""),4,300))</f>
        <v>API 610 + IPS-G-PM-105</v>
      </c>
      <c r="M51" s="42" t="s">
        <v>478</v>
      </c>
      <c r="N51" s="42" t="s">
        <v>479</v>
      </c>
      <c r="O51" s="50" t="s">
        <v>312</v>
      </c>
      <c r="P51" s="42" t="s">
        <v>123</v>
      </c>
      <c r="Q51" s="42" t="s">
        <v>123</v>
      </c>
      <c r="R51" s="42" t="s">
        <v>123</v>
      </c>
      <c r="S51" s="50" t="s">
        <v>304</v>
      </c>
      <c r="T51" s="42" t="s">
        <v>327</v>
      </c>
      <c r="U51" s="42" t="n">
        <v>2</v>
      </c>
      <c r="V51" s="42" t="s">
        <v>306</v>
      </c>
      <c r="W51" s="43" t="n">
        <v>16.7</v>
      </c>
      <c r="X51" s="42" t="s">
        <v>123</v>
      </c>
      <c r="Y51" s="50" t="n">
        <v>1393</v>
      </c>
      <c r="Z51" s="42" t="s">
        <v>363</v>
      </c>
      <c r="AA51" s="46" t="n">
        <v>16500</v>
      </c>
      <c r="AB51" s="47" t="n">
        <f aca="false">IF(NOT(ISNUMBER(AA51)),"",IF(NOT(ISNUMBER(Y51)),"",IFERROR(IF(Z51="EUR",AA51,IF(Z51="IRR",AA51/INDEX('Assumptions &amp; FX Reference'!$C$5:$C$25,MATCH(Y51,'Assumptions &amp; FX Reference'!$A$5:$A$25,0)),IF(Z51="USD",AA51*INDEX('Assumptions &amp; FX Reference'!$B$5:$B$25,MATCH(Y51,'Assumptions &amp; FX Reference'!$A$5:$A$25,0))/INDEX('Assumptions &amp; FX Reference'!$C$5:$C$25,MATCH(Y51,'Assumptions &amp; FX Reference'!$A$5:$A$25,0)),""))),"")))</f>
        <v>16500</v>
      </c>
      <c r="AC51" s="47" t="n">
        <f aca="false">IF(NOT(ISNUMBER(AA51)),"",IF(NOT(ISNUMBER(Y51)),"",IFERROR(IF(Z51="USD",AA51,IF(Z51="IRR",AA51/INDEX('Assumptions &amp; FX Reference'!$B$5:$B$25,MATCH(Y51,'Assumptions &amp; FX Reference'!$A$5:$A$25,0)),IF(Z51="EUR",AA51*INDEX('Assumptions &amp; FX Reference'!$C$5:$C$25,MATCH(Y51,'Assumptions &amp; FX Reference'!$A$5:$A$25,0))/INDEX('Assumptions &amp; FX Reference'!$B$5:$B$25,MATCH(Y51,'Assumptions &amp; FX Reference'!$A$5:$A$25,0)),""))),"")))</f>
        <v>21572.8451612903</v>
      </c>
      <c r="AD51" s="47" t="n">
        <f aca="false">IF(NOT(ISNUMBER(AA51)),"",IF(NOT(ISNUMBER(Y51)),"",IFERROR(IF(Z51="IRR",AA51,IF(Z51="USD",AA51*INDEX('Assumptions &amp; FX Reference'!$B$5:$B$25,MATCH(Y51,'Assumptions &amp; FX Reference'!$A$5:$A$25,0)),IF(Z51="EUR",AA51*INDEX('Assumptions &amp; FX Reference'!$C$5:$C$25,MATCH(Y51,'Assumptions &amp; FX Reference'!$A$5:$A$25,0)),""))),"")))</f>
        <v>668758200</v>
      </c>
      <c r="AE51" s="42" t="s">
        <v>480</v>
      </c>
      <c r="AF51" s="50" t="s">
        <v>208</v>
      </c>
      <c r="AG51" s="47" t="n">
        <f aca="false">IF(AND(Z51="EUR",N(AA51)&gt;5000000),"",IF(AND(ISNUMBER(AB51),ISNUMBER(AZ51),ISNUMBER(BA51)),IF(AND(BB51="Y",ISNUMBER('Assumptions &amp; FX Reference'!$I$15)),MAX(AB51*BA51/AZ51,'Assumptions &amp; FX Reference'!$I$13*BA51/'Assumptions &amp; FX Reference'!$I$15),AB51*BA51/AZ51),""))</f>
        <v>25000</v>
      </c>
      <c r="AH51" s="47" t="n">
        <f aca="false">IF(AND(ISNUMBER(AG51),ISNUMBER('Assumptions &amp; FX Reference'!$I$8),ISNUMBER('Assumptions &amp; FX Reference'!$I$11)),AG51*'Assumptions &amp; FX Reference'!$I$8/'Assumptions &amp; FX Reference'!$I$11,"")</f>
        <v>26394.5770371416</v>
      </c>
      <c r="AI51" s="47" t="n">
        <f aca="false">IF(AND(ISNUMBER(AG51),ISNUMBER('Assumptions &amp; FX Reference'!$I$8)),AG51*'Assumptions &amp; FX Reference'!$I$8,"")</f>
        <v>17381700000</v>
      </c>
      <c r="AJ51" s="42" t="s">
        <v>481</v>
      </c>
      <c r="AK51" s="42" t="s">
        <v>482</v>
      </c>
      <c r="AL51" s="42" t="s">
        <v>123</v>
      </c>
      <c r="AM51" s="42" t="s">
        <v>123</v>
      </c>
      <c r="AN51" s="42" t="s">
        <v>123</v>
      </c>
      <c r="AO51" s="42" t="s">
        <v>123</v>
      </c>
      <c r="AP51" s="42" t="s">
        <v>123</v>
      </c>
      <c r="AQ51" s="50" t="s">
        <v>312</v>
      </c>
      <c r="AR51" s="42" t="s">
        <v>123</v>
      </c>
      <c r="AS51" s="45" t="str">
        <f aca="false">IF(AND(Z51="EUR",N(AA51)&gt;5000000),"Check currency (EUR&gt;5M); ","")&amp;IF(NOT(ISNUMBER(AA51)),"No price; ","")&amp;IF(G51="Not stated","Material missing; ","")&amp;IF(P51="Not stated","Seal missing; ","")&amp;IF(K51="","Size driver missing; ","")&amp;IF(NOT(ISNUMBER(AZ51)),"Base-year PPI missing; ","")</f>
        <v>Seal missing; </v>
      </c>
      <c r="AT51" s="48" t="n">
        <f aca="false">IFERROR(INDEX(Factors_ROT!$F$5:$F$200,MATCH("MAT|"&amp;G51,Factors_ROT!$A$5:$A$200,0)),1)</f>
        <v>1</v>
      </c>
      <c r="AU51" s="48" t="n">
        <f aca="false">IFERROR(INDEX(Factors_ROT!$F$5:$F$200,MATCH("SEAL_ARR|"&amp;P51,Factors_ROT!$A$5:$A$200,0)),1)*IFERROR(INDEX(Factors_ROT!$F$5:$F$200,MATCH("SEAL_CAT|"&amp;Q51,Factors_ROT!$A$5:$A$200,0)),1)*IFERROR(INDEX(Factors_ROT!$F$5:$F$200,MATCH("SEAL_PLAN|"&amp;R51,Factors_ROT!$A$5:$A$200,0)),1)</f>
        <v>1</v>
      </c>
      <c r="AV51" s="48" t="n">
        <f aca="false">IFERROR(INDEX(Factors_ROT!$F$5:$F$200,MATCH("DRV|"&amp;S51,Factors_ROT!$A$5:$A$200,0)),1)*IFERROR(INDEX(Factors_ROT!$F$5:$F$200,MATCH("NACE|"&amp;O51,Factors_ROT!$A$5:$A$200,0)),1)</f>
        <v>1</v>
      </c>
      <c r="AW51" s="48" t="n">
        <f aca="false">IFERROR(INDEX(Factors_ROT!$F$5:$F$200,MATCH("SC_DRV|"&amp;AL51,Factors_ROT!$A$5:$A$200,0)),1)*IFERROR(INDEX(Factors_ROT!$F$5:$F$200,MATCH("SC_BSP|"&amp;AM51,Factors_ROT!$A$5:$A$200,0)),1)*IFERROR(INDEX(Factors_ROT!$F$5:$F$200,MATCH("SC_SEAL|"&amp;AN51,Factors_ROT!$A$5:$A$200,0)),1)*IFERROR(INDEX(Factors_ROT!$F$5:$F$200,MATCH("SC_COMM|"&amp;AO51,Factors_ROT!$A$5:$A$200,0)),1)*IFERROR(INDEX(Factors_ROT!$F$5:$F$200,MATCH("SC_2Y|"&amp;AP51,Factors_ROT!$A$5:$A$200,0)),1)*IFERROR(INDEX(Factors_ROT!$F$5:$F$200,MATCH("SC_TPI|"&amp;AQ51,Factors_ROT!$A$5:$A$200,0)),1)*IFERROR(INDEX(Factors_ROT!$F$5:$F$200,MATCH("SC_FAT|"&amp;AR51,Factors_ROT!$A$5:$A$200,0)),1)</f>
        <v>1</v>
      </c>
      <c r="AX51" s="48" t="n">
        <f aca="false">AT51*AU51*AV51*AW51</f>
        <v>1</v>
      </c>
      <c r="AY51" s="47" t="n">
        <f aca="false">IF(ISNUMBER(AB51),AB51/AX51,"")</f>
        <v>16500</v>
      </c>
      <c r="AZ51" s="49" t="n">
        <f aca="false">IFERROR(IF(N(INDEX(Escalation_Index!$B$5:$B$25,MATCH(Y51,Escalation_Index!$A$5:$A$25,0)))&gt;0,INDEX(Escalation_Index!$B$5:$B$25,MATCH(Y51,Escalation_Index!$A$5:$A$25,0)),""),"")</f>
        <v>91.347</v>
      </c>
      <c r="BA51" s="49" t="n">
        <f aca="false">IF(ISNUMBER('Assumptions &amp; FX Reference'!$I$12),'Assumptions &amp; FX Reference'!$I$12,"")</f>
        <v>123.416</v>
      </c>
      <c r="BB51" s="45" t="str">
        <f aca="false">IF(AND(M51="API 610",LEFT(V51,11)="Centrifugal",OR(LEFT(G51,2)="S-",LEFT(G51,2)="D-")),"Y","N")</f>
        <v>Y</v>
      </c>
      <c r="BC51" s="47" t="n">
        <f aca="false">IF(ISNUMBER(AG51),AG51/AX51,"")</f>
        <v>25000</v>
      </c>
      <c r="BD51" s="47" t="n">
        <f aca="false">IF(AND(ISNUMBER(BC51),ISNUMBER(K51)),IF(K51&gt;0,BC51/K51^'Assumptions &amp; FX Reference'!$I$16,""),"")</f>
        <v>4649.42711097154</v>
      </c>
      <c r="BE51" s="42" t="s">
        <v>510</v>
      </c>
      <c r="BF51" s="42" t="s">
        <v>511</v>
      </c>
      <c r="BG51" s="42" t="s">
        <v>369</v>
      </c>
      <c r="BH51" s="45" t="s">
        <v>313</v>
      </c>
      <c r="BI51" s="45" t="str">
        <f aca="false">"PMP-"&amp;TEXT(A51,"0000")</f>
        <v>PMP-0047</v>
      </c>
    </row>
    <row r="52" customFormat="false" ht="24" hidden="false" customHeight="true" outlineLevel="0" collapsed="false">
      <c r="A52" s="42" t="n">
        <v>48</v>
      </c>
      <c r="B52" s="42" t="s">
        <v>512</v>
      </c>
      <c r="C52" s="42" t="s">
        <v>476</v>
      </c>
      <c r="D52" s="42" t="s">
        <v>513</v>
      </c>
      <c r="E52" s="42" t="s">
        <v>48</v>
      </c>
      <c r="F52" s="42" t="s">
        <v>132</v>
      </c>
      <c r="G52" s="42" t="s">
        <v>87</v>
      </c>
      <c r="H52" s="43" t="n">
        <v>43</v>
      </c>
      <c r="I52" s="43" t="n">
        <v>158</v>
      </c>
      <c r="J52" s="43"/>
      <c r="K52" s="44" t="n">
        <f aca="false">IF(ISNUMBER(J52),J52,IF(AND(ISNUMBER(H52),ISNUMBER(I52)),H52*I52/(367*'Assumptions &amp; FX Reference'!$I$17),""))</f>
        <v>30.8537693006358</v>
      </c>
      <c r="L52" s="45" t="str">
        <f aca="false">IF(IF(OR(M52="Not stated",M52=""),""," + "&amp;M52)&amp;IF(OR(N52="None",N52=""),""," + "&amp;N52)&amp;IF(O52="Y"," + NACE MR0175","")="","Not stated",MID(IF(OR(M52="Not stated",M52=""),""," + "&amp;M52)&amp;IF(OR(N52="None",N52=""),""," + "&amp;N52)&amp;IF(O52="Y"," + NACE MR0175",""),4,300))</f>
        <v>API 610 + IPS-G-PM-105</v>
      </c>
      <c r="M52" s="42" t="s">
        <v>478</v>
      </c>
      <c r="N52" s="42" t="s">
        <v>479</v>
      </c>
      <c r="O52" s="50" t="s">
        <v>312</v>
      </c>
      <c r="P52" s="42" t="s">
        <v>123</v>
      </c>
      <c r="Q52" s="42" t="s">
        <v>123</v>
      </c>
      <c r="R52" s="42" t="s">
        <v>123</v>
      </c>
      <c r="S52" s="50" t="s">
        <v>304</v>
      </c>
      <c r="T52" s="42" t="s">
        <v>327</v>
      </c>
      <c r="U52" s="42" t="n">
        <v>1</v>
      </c>
      <c r="V52" s="42" t="s">
        <v>306</v>
      </c>
      <c r="W52" s="43" t="n">
        <v>16.7</v>
      </c>
      <c r="X52" s="42" t="s">
        <v>123</v>
      </c>
      <c r="Y52" s="50" t="n">
        <v>1393</v>
      </c>
      <c r="Z52" s="42" t="s">
        <v>363</v>
      </c>
      <c r="AA52" s="46" t="n">
        <v>17500</v>
      </c>
      <c r="AB52" s="47" t="n">
        <f aca="false">IF(NOT(ISNUMBER(AA52)),"",IF(NOT(ISNUMBER(Y52)),"",IFERROR(IF(Z52="EUR",AA52,IF(Z52="IRR",AA52/INDEX('Assumptions &amp; FX Reference'!$C$5:$C$25,MATCH(Y52,'Assumptions &amp; FX Reference'!$A$5:$A$25,0)),IF(Z52="USD",AA52*INDEX('Assumptions &amp; FX Reference'!$B$5:$B$25,MATCH(Y52,'Assumptions &amp; FX Reference'!$A$5:$A$25,0))/INDEX('Assumptions &amp; FX Reference'!$C$5:$C$25,MATCH(Y52,'Assumptions &amp; FX Reference'!$A$5:$A$25,0)),""))),"")))</f>
        <v>17500</v>
      </c>
      <c r="AC52" s="47" t="n">
        <f aca="false">IF(NOT(ISNUMBER(AA52)),"",IF(NOT(ISNUMBER(Y52)),"",IFERROR(IF(Z52="USD",AA52,IF(Z52="IRR",AA52/INDEX('Assumptions &amp; FX Reference'!$B$5:$B$25,MATCH(Y52,'Assumptions &amp; FX Reference'!$A$5:$A$25,0)),IF(Z52="EUR",AA52*INDEX('Assumptions &amp; FX Reference'!$C$5:$C$25,MATCH(Y52,'Assumptions &amp; FX Reference'!$A$5:$A$25,0))/INDEX('Assumptions &amp; FX Reference'!$B$5:$B$25,MATCH(Y52,'Assumptions &amp; FX Reference'!$A$5:$A$25,0)),""))),"")))</f>
        <v>22880.2903225806</v>
      </c>
      <c r="AD52" s="47" t="n">
        <f aca="false">IF(NOT(ISNUMBER(AA52)),"",IF(NOT(ISNUMBER(Y52)),"",IFERROR(IF(Z52="IRR",AA52,IF(Z52="USD",AA52*INDEX('Assumptions &amp; FX Reference'!$B$5:$B$25,MATCH(Y52,'Assumptions &amp; FX Reference'!$A$5:$A$25,0)),IF(Z52="EUR",AA52*INDEX('Assumptions &amp; FX Reference'!$C$5:$C$25,MATCH(Y52,'Assumptions &amp; FX Reference'!$A$5:$A$25,0)),""))),"")))</f>
        <v>709289000</v>
      </c>
      <c r="AE52" s="42" t="s">
        <v>480</v>
      </c>
      <c r="AF52" s="50" t="s">
        <v>208</v>
      </c>
      <c r="AG52" s="47" t="n">
        <f aca="false">IF(AND(Z52="EUR",N(AA52)&gt;5000000),"",IF(AND(ISNUMBER(AB52),ISNUMBER(AZ52),ISNUMBER(BA52)),IF(AND(BB52="Y",ISNUMBER('Assumptions &amp; FX Reference'!$I$15)),MAX(AB52*BA52/AZ52,'Assumptions &amp; FX Reference'!$I$13*BA52/'Assumptions &amp; FX Reference'!$I$15),AB52*BA52/AZ52),""))</f>
        <v>25000</v>
      </c>
      <c r="AH52" s="47" t="n">
        <f aca="false">IF(AND(ISNUMBER(AG52),ISNUMBER('Assumptions &amp; FX Reference'!$I$8),ISNUMBER('Assumptions &amp; FX Reference'!$I$11)),AG52*'Assumptions &amp; FX Reference'!$I$8/'Assumptions &amp; FX Reference'!$I$11,"")</f>
        <v>26394.5770371416</v>
      </c>
      <c r="AI52" s="47" t="n">
        <f aca="false">IF(AND(ISNUMBER(AG52),ISNUMBER('Assumptions &amp; FX Reference'!$I$8)),AG52*'Assumptions &amp; FX Reference'!$I$8,"")</f>
        <v>17381700000</v>
      </c>
      <c r="AJ52" s="42" t="s">
        <v>481</v>
      </c>
      <c r="AK52" s="42" t="s">
        <v>482</v>
      </c>
      <c r="AL52" s="42" t="s">
        <v>123</v>
      </c>
      <c r="AM52" s="42" t="s">
        <v>123</v>
      </c>
      <c r="AN52" s="42" t="s">
        <v>123</v>
      </c>
      <c r="AO52" s="42" t="s">
        <v>123</v>
      </c>
      <c r="AP52" s="42" t="s">
        <v>123</v>
      </c>
      <c r="AQ52" s="50" t="s">
        <v>312</v>
      </c>
      <c r="AR52" s="42" t="s">
        <v>123</v>
      </c>
      <c r="AS52" s="45" t="str">
        <f aca="false">IF(AND(Z52="EUR",N(AA52)&gt;5000000),"Check currency (EUR&gt;5M); ","")&amp;IF(NOT(ISNUMBER(AA52)),"No price; ","")&amp;IF(G52="Not stated","Material missing; ","")&amp;IF(P52="Not stated","Seal missing; ","")&amp;IF(K52="","Size driver missing; ","")&amp;IF(NOT(ISNUMBER(AZ52)),"Base-year PPI missing; ","")</f>
        <v>Seal missing; </v>
      </c>
      <c r="AT52" s="48" t="n">
        <f aca="false">IFERROR(INDEX(Factors_ROT!$F$5:$F$200,MATCH("MAT|"&amp;G52,Factors_ROT!$A$5:$A$200,0)),1)</f>
        <v>1</v>
      </c>
      <c r="AU52" s="48" t="n">
        <f aca="false">IFERROR(INDEX(Factors_ROT!$F$5:$F$200,MATCH("SEAL_ARR|"&amp;P52,Factors_ROT!$A$5:$A$200,0)),1)*IFERROR(INDEX(Factors_ROT!$F$5:$F$200,MATCH("SEAL_CAT|"&amp;Q52,Factors_ROT!$A$5:$A$200,0)),1)*IFERROR(INDEX(Factors_ROT!$F$5:$F$200,MATCH("SEAL_PLAN|"&amp;R52,Factors_ROT!$A$5:$A$200,0)),1)</f>
        <v>1</v>
      </c>
      <c r="AV52" s="48" t="n">
        <f aca="false">IFERROR(INDEX(Factors_ROT!$F$5:$F$200,MATCH("DRV|"&amp;S52,Factors_ROT!$A$5:$A$200,0)),1)*IFERROR(INDEX(Factors_ROT!$F$5:$F$200,MATCH("NACE|"&amp;O52,Factors_ROT!$A$5:$A$200,0)),1)</f>
        <v>1</v>
      </c>
      <c r="AW52" s="48" t="n">
        <f aca="false">IFERROR(INDEX(Factors_ROT!$F$5:$F$200,MATCH("SC_DRV|"&amp;AL52,Factors_ROT!$A$5:$A$200,0)),1)*IFERROR(INDEX(Factors_ROT!$F$5:$F$200,MATCH("SC_BSP|"&amp;AM52,Factors_ROT!$A$5:$A$200,0)),1)*IFERROR(INDEX(Factors_ROT!$F$5:$F$200,MATCH("SC_SEAL|"&amp;AN52,Factors_ROT!$A$5:$A$200,0)),1)*IFERROR(INDEX(Factors_ROT!$F$5:$F$200,MATCH("SC_COMM|"&amp;AO52,Factors_ROT!$A$5:$A$200,0)),1)*IFERROR(INDEX(Factors_ROT!$F$5:$F$200,MATCH("SC_2Y|"&amp;AP52,Factors_ROT!$A$5:$A$200,0)),1)*IFERROR(INDEX(Factors_ROT!$F$5:$F$200,MATCH("SC_TPI|"&amp;AQ52,Factors_ROT!$A$5:$A$200,0)),1)*IFERROR(INDEX(Factors_ROT!$F$5:$F$200,MATCH("SC_FAT|"&amp;AR52,Factors_ROT!$A$5:$A$200,0)),1)</f>
        <v>1</v>
      </c>
      <c r="AX52" s="48" t="n">
        <f aca="false">AT52*AU52*AV52*AW52</f>
        <v>1</v>
      </c>
      <c r="AY52" s="47" t="n">
        <f aca="false">IF(ISNUMBER(AB52),AB52/AX52,"")</f>
        <v>17500</v>
      </c>
      <c r="AZ52" s="49" t="n">
        <f aca="false">IFERROR(IF(N(INDEX(Escalation_Index!$B$5:$B$25,MATCH(Y52,Escalation_Index!$A$5:$A$25,0)))&gt;0,INDEX(Escalation_Index!$B$5:$B$25,MATCH(Y52,Escalation_Index!$A$5:$A$25,0)),""),"")</f>
        <v>91.347</v>
      </c>
      <c r="BA52" s="49" t="n">
        <f aca="false">IF(ISNUMBER('Assumptions &amp; FX Reference'!$I$12),'Assumptions &amp; FX Reference'!$I$12,"")</f>
        <v>123.416</v>
      </c>
      <c r="BB52" s="45" t="str">
        <f aca="false">IF(AND(M52="API 610",LEFT(V52,11)="Centrifugal",OR(LEFT(G52,2)="S-",LEFT(G52,2)="D-")),"Y","N")</f>
        <v>Y</v>
      </c>
      <c r="BC52" s="47" t="n">
        <f aca="false">IF(ISNUMBER(AG52),AG52/AX52,"")</f>
        <v>25000</v>
      </c>
      <c r="BD52" s="47" t="n">
        <f aca="false">IF(AND(ISNUMBER(BC52),ISNUMBER(K52)),IF(K52&gt;0,BC52/K52^'Assumptions &amp; FX Reference'!$I$16,""),"")</f>
        <v>3194.14827025073</v>
      </c>
      <c r="BE52" s="42" t="s">
        <v>514</v>
      </c>
      <c r="BF52" s="42" t="s">
        <v>515</v>
      </c>
      <c r="BG52" s="42" t="s">
        <v>369</v>
      </c>
      <c r="BH52" s="45" t="s">
        <v>313</v>
      </c>
      <c r="BI52" s="45" t="str">
        <f aca="false">"PMP-"&amp;TEXT(A52,"0000")</f>
        <v>PMP-0048</v>
      </c>
    </row>
    <row r="53" customFormat="false" ht="24" hidden="false" customHeight="true" outlineLevel="0" collapsed="false">
      <c r="A53" s="42" t="n">
        <v>49</v>
      </c>
      <c r="B53" s="42" t="s">
        <v>516</v>
      </c>
      <c r="C53" s="42" t="s">
        <v>476</v>
      </c>
      <c r="D53" s="42" t="s">
        <v>517</v>
      </c>
      <c r="E53" s="42" t="s">
        <v>54</v>
      </c>
      <c r="F53" s="42" t="s">
        <v>132</v>
      </c>
      <c r="G53" s="42" t="s">
        <v>90</v>
      </c>
      <c r="H53" s="43" t="n">
        <v>15</v>
      </c>
      <c r="I53" s="43" t="n">
        <v>50</v>
      </c>
      <c r="J53" s="43"/>
      <c r="K53" s="44" t="n">
        <f aca="false">IF(ISNUMBER(J53),J53,IF(AND(ISNUMBER(H53),ISNUMBER(I53)),H53*I53/(367*'Assumptions &amp; FX Reference'!$I$17),""))</f>
        <v>3.40599455040872</v>
      </c>
      <c r="L53" s="45" t="str">
        <f aca="false">IF(IF(OR(M53="Not stated",M53=""),""," + "&amp;M53)&amp;IF(OR(N53="None",N53=""),""," + "&amp;N53)&amp;IF(O53="Y"," + NACE MR0175","")="","Not stated",MID(IF(OR(M53="Not stated",M53=""),""," + "&amp;M53)&amp;IF(OR(N53="None",N53=""),""," + "&amp;N53)&amp;IF(O53="Y"," + NACE MR0175",""),4,300))</f>
        <v>API 610 + IPS-G-PM-105</v>
      </c>
      <c r="M53" s="42" t="s">
        <v>478</v>
      </c>
      <c r="N53" s="42" t="s">
        <v>479</v>
      </c>
      <c r="O53" s="50" t="s">
        <v>312</v>
      </c>
      <c r="P53" s="42" t="s">
        <v>123</v>
      </c>
      <c r="Q53" s="42" t="s">
        <v>123</v>
      </c>
      <c r="R53" s="42" t="s">
        <v>123</v>
      </c>
      <c r="S53" s="50" t="s">
        <v>304</v>
      </c>
      <c r="T53" s="42" t="s">
        <v>342</v>
      </c>
      <c r="U53" s="42" t="n">
        <v>2</v>
      </c>
      <c r="V53" s="42" t="s">
        <v>306</v>
      </c>
      <c r="W53" s="43" t="n">
        <v>7.4</v>
      </c>
      <c r="X53" s="42" t="s">
        <v>123</v>
      </c>
      <c r="Y53" s="50" t="n">
        <v>1393</v>
      </c>
      <c r="Z53" s="42" t="s">
        <v>363</v>
      </c>
      <c r="AA53" s="46" t="n">
        <v>10000</v>
      </c>
      <c r="AB53" s="47" t="n">
        <f aca="false">IF(NOT(ISNUMBER(AA53)),"",IF(NOT(ISNUMBER(Y53)),"",IFERROR(IF(Z53="EUR",AA53,IF(Z53="IRR",AA53/INDEX('Assumptions &amp; FX Reference'!$C$5:$C$25,MATCH(Y53,'Assumptions &amp; FX Reference'!$A$5:$A$25,0)),IF(Z53="USD",AA53*INDEX('Assumptions &amp; FX Reference'!$B$5:$B$25,MATCH(Y53,'Assumptions &amp; FX Reference'!$A$5:$A$25,0))/INDEX('Assumptions &amp; FX Reference'!$C$5:$C$25,MATCH(Y53,'Assumptions &amp; FX Reference'!$A$5:$A$25,0)),""))),"")))</f>
        <v>10000</v>
      </c>
      <c r="AC53" s="47" t="n">
        <f aca="false">IF(NOT(ISNUMBER(AA53)),"",IF(NOT(ISNUMBER(Y53)),"",IFERROR(IF(Z53="USD",AA53,IF(Z53="IRR",AA53/INDEX('Assumptions &amp; FX Reference'!$B$5:$B$25,MATCH(Y53,'Assumptions &amp; FX Reference'!$A$5:$A$25,0)),IF(Z53="EUR",AA53*INDEX('Assumptions &amp; FX Reference'!$C$5:$C$25,MATCH(Y53,'Assumptions &amp; FX Reference'!$A$5:$A$25,0))/INDEX('Assumptions &amp; FX Reference'!$B$5:$B$25,MATCH(Y53,'Assumptions &amp; FX Reference'!$A$5:$A$25,0)),""))),"")))</f>
        <v>13074.4516129032</v>
      </c>
      <c r="AD53" s="47" t="n">
        <f aca="false">IF(NOT(ISNUMBER(AA53)),"",IF(NOT(ISNUMBER(Y53)),"",IFERROR(IF(Z53="IRR",AA53,IF(Z53="USD",AA53*INDEX('Assumptions &amp; FX Reference'!$B$5:$B$25,MATCH(Y53,'Assumptions &amp; FX Reference'!$A$5:$A$25,0)),IF(Z53="EUR",AA53*INDEX('Assumptions &amp; FX Reference'!$C$5:$C$25,MATCH(Y53,'Assumptions &amp; FX Reference'!$A$5:$A$25,0)),""))),"")))</f>
        <v>405308000</v>
      </c>
      <c r="AE53" s="42" t="s">
        <v>480</v>
      </c>
      <c r="AF53" s="50" t="s">
        <v>208</v>
      </c>
      <c r="AG53" s="47" t="n">
        <f aca="false">IF(AND(Z53="EUR",N(AA53)&gt;5000000),"",IF(AND(ISNUMBER(AB53),ISNUMBER(AZ53),ISNUMBER(BA53)),IF(AND(BB53="Y",ISNUMBER('Assumptions &amp; FX Reference'!$I$15)),MAX(AB53*BA53/AZ53,'Assumptions &amp; FX Reference'!$I$13*BA53/'Assumptions &amp; FX Reference'!$I$15),AB53*BA53/AZ53),""))</f>
        <v>25000</v>
      </c>
      <c r="AH53" s="47" t="n">
        <f aca="false">IF(AND(ISNUMBER(AG53),ISNUMBER('Assumptions &amp; FX Reference'!$I$8),ISNUMBER('Assumptions &amp; FX Reference'!$I$11)),AG53*'Assumptions &amp; FX Reference'!$I$8/'Assumptions &amp; FX Reference'!$I$11,"")</f>
        <v>26394.5770371416</v>
      </c>
      <c r="AI53" s="47" t="n">
        <f aca="false">IF(AND(ISNUMBER(AG53),ISNUMBER('Assumptions &amp; FX Reference'!$I$8)),AG53*'Assumptions &amp; FX Reference'!$I$8,"")</f>
        <v>17381700000</v>
      </c>
      <c r="AJ53" s="42" t="s">
        <v>481</v>
      </c>
      <c r="AK53" s="42" t="s">
        <v>482</v>
      </c>
      <c r="AL53" s="42" t="s">
        <v>123</v>
      </c>
      <c r="AM53" s="42" t="s">
        <v>123</v>
      </c>
      <c r="AN53" s="42" t="s">
        <v>123</v>
      </c>
      <c r="AO53" s="42" t="s">
        <v>123</v>
      </c>
      <c r="AP53" s="42" t="s">
        <v>123</v>
      </c>
      <c r="AQ53" s="50" t="s">
        <v>312</v>
      </c>
      <c r="AR53" s="42" t="s">
        <v>123</v>
      </c>
      <c r="AS53" s="45" t="str">
        <f aca="false">IF(AND(Z53="EUR",N(AA53)&gt;5000000),"Check currency (EUR&gt;5M); ","")&amp;IF(NOT(ISNUMBER(AA53)),"No price; ","")&amp;IF(G53="Not stated","Material missing; ","")&amp;IF(P53="Not stated","Seal missing; ","")&amp;IF(K53="","Size driver missing; ","")&amp;IF(NOT(ISNUMBER(AZ53)),"Base-year PPI missing; ","")</f>
        <v>Seal missing; </v>
      </c>
      <c r="AT53" s="48" t="n">
        <f aca="false">IFERROR(INDEX(Factors_ROT!$F$5:$F$200,MATCH("MAT|"&amp;G53,Factors_ROT!$A$5:$A$200,0)),1)</f>
        <v>1.1</v>
      </c>
      <c r="AU53" s="48" t="n">
        <f aca="false">IFERROR(INDEX(Factors_ROT!$F$5:$F$200,MATCH("SEAL_ARR|"&amp;P53,Factors_ROT!$A$5:$A$200,0)),1)*IFERROR(INDEX(Factors_ROT!$F$5:$F$200,MATCH("SEAL_CAT|"&amp;Q53,Factors_ROT!$A$5:$A$200,0)),1)*IFERROR(INDEX(Factors_ROT!$F$5:$F$200,MATCH("SEAL_PLAN|"&amp;R53,Factors_ROT!$A$5:$A$200,0)),1)</f>
        <v>1</v>
      </c>
      <c r="AV53" s="48" t="n">
        <f aca="false">IFERROR(INDEX(Factors_ROT!$F$5:$F$200,MATCH("DRV|"&amp;S53,Factors_ROT!$A$5:$A$200,0)),1)*IFERROR(INDEX(Factors_ROT!$F$5:$F$200,MATCH("NACE|"&amp;O53,Factors_ROT!$A$5:$A$200,0)),1)</f>
        <v>1</v>
      </c>
      <c r="AW53" s="48" t="n">
        <f aca="false">IFERROR(INDEX(Factors_ROT!$F$5:$F$200,MATCH("SC_DRV|"&amp;AL53,Factors_ROT!$A$5:$A$200,0)),1)*IFERROR(INDEX(Factors_ROT!$F$5:$F$200,MATCH("SC_BSP|"&amp;AM53,Factors_ROT!$A$5:$A$200,0)),1)*IFERROR(INDEX(Factors_ROT!$F$5:$F$200,MATCH("SC_SEAL|"&amp;AN53,Factors_ROT!$A$5:$A$200,0)),1)*IFERROR(INDEX(Factors_ROT!$F$5:$F$200,MATCH("SC_COMM|"&amp;AO53,Factors_ROT!$A$5:$A$200,0)),1)*IFERROR(INDEX(Factors_ROT!$F$5:$F$200,MATCH("SC_2Y|"&amp;AP53,Factors_ROT!$A$5:$A$200,0)),1)*IFERROR(INDEX(Factors_ROT!$F$5:$F$200,MATCH("SC_TPI|"&amp;AQ53,Factors_ROT!$A$5:$A$200,0)),1)*IFERROR(INDEX(Factors_ROT!$F$5:$F$200,MATCH("SC_FAT|"&amp;AR53,Factors_ROT!$A$5:$A$200,0)),1)</f>
        <v>1</v>
      </c>
      <c r="AX53" s="48" t="n">
        <f aca="false">AT53*AU53*AV53*AW53</f>
        <v>1.1</v>
      </c>
      <c r="AY53" s="47" t="n">
        <f aca="false">IF(ISNUMBER(AB53),AB53/AX53,"")</f>
        <v>9090.90909090909</v>
      </c>
      <c r="AZ53" s="49" t="n">
        <f aca="false">IFERROR(IF(N(INDEX(Escalation_Index!$B$5:$B$25,MATCH(Y53,Escalation_Index!$A$5:$A$25,0)))&gt;0,INDEX(Escalation_Index!$B$5:$B$25,MATCH(Y53,Escalation_Index!$A$5:$A$25,0)),""),"")</f>
        <v>91.347</v>
      </c>
      <c r="BA53" s="49" t="n">
        <f aca="false">IF(ISNUMBER('Assumptions &amp; FX Reference'!$I$12),'Assumptions &amp; FX Reference'!$I$12,"")</f>
        <v>123.416</v>
      </c>
      <c r="BB53" s="45" t="str">
        <f aca="false">IF(AND(M53="API 610",LEFT(V53,11)="Centrifugal",OR(LEFT(G53,2)="S-",LEFT(G53,2)="D-")),"Y","N")</f>
        <v>Y</v>
      </c>
      <c r="BC53" s="47" t="n">
        <f aca="false">IF(ISNUMBER(AG53),AG53/AX53,"")</f>
        <v>22727.2727272727</v>
      </c>
      <c r="BD53" s="47" t="n">
        <f aca="false">IF(AND(ISNUMBER(BC53),ISNUMBER(K53)),IF(K53&gt;0,BC53/K53^'Assumptions &amp; FX Reference'!$I$16,""),"")</f>
        <v>10894.3407343228</v>
      </c>
      <c r="BE53" s="42" t="s">
        <v>518</v>
      </c>
      <c r="BF53" s="42" t="s">
        <v>519</v>
      </c>
      <c r="BG53" s="42" t="s">
        <v>369</v>
      </c>
      <c r="BH53" s="45" t="s">
        <v>313</v>
      </c>
      <c r="BI53" s="45" t="str">
        <f aca="false">"PMP-"&amp;TEXT(A53,"0000")</f>
        <v>PMP-0049</v>
      </c>
    </row>
    <row r="54" customFormat="false" ht="24" hidden="false" customHeight="true" outlineLevel="0" collapsed="false">
      <c r="A54" s="42" t="n">
        <v>50</v>
      </c>
      <c r="B54" s="42" t="s">
        <v>520</v>
      </c>
      <c r="C54" s="42" t="s">
        <v>476</v>
      </c>
      <c r="D54" s="42" t="s">
        <v>521</v>
      </c>
      <c r="E54" s="42" t="s">
        <v>54</v>
      </c>
      <c r="F54" s="42" t="s">
        <v>192</v>
      </c>
      <c r="G54" s="42" t="s">
        <v>111</v>
      </c>
      <c r="H54" s="43" t="n">
        <v>6</v>
      </c>
      <c r="I54" s="43"/>
      <c r="J54" s="43"/>
      <c r="K54" s="44" t="str">
        <f aca="false">IF(ISNUMBER(J54),J54,IF(AND(ISNUMBER(H54),ISNUMBER(I54)),H54*I54/(367*'Assumptions &amp; FX Reference'!$I$17),""))</f>
        <v/>
      </c>
      <c r="L54" s="45" t="str">
        <f aca="false">IF(IF(OR(M54="Not stated",M54=""),""," + "&amp;M54)&amp;IF(OR(N54="None",N54=""),""," + "&amp;N54)&amp;IF(O54="Y"," + NACE MR0175","")="","Not stated",MID(IF(OR(M54="Not stated",M54=""),""," + "&amp;M54)&amp;IF(OR(N54="None",N54=""),""," + "&amp;N54)&amp;IF(O54="Y"," + NACE MR0175",""),4,300))</f>
        <v>API 676 + IPS-M-PM-140</v>
      </c>
      <c r="M54" s="42" t="s">
        <v>491</v>
      </c>
      <c r="N54" s="42" t="s">
        <v>492</v>
      </c>
      <c r="O54" s="50" t="s">
        <v>312</v>
      </c>
      <c r="P54" s="42" t="s">
        <v>123</v>
      </c>
      <c r="Q54" s="42" t="s">
        <v>123</v>
      </c>
      <c r="R54" s="42" t="s">
        <v>123</v>
      </c>
      <c r="S54" s="50" t="s">
        <v>304</v>
      </c>
      <c r="T54" s="42" t="s">
        <v>432</v>
      </c>
      <c r="U54" s="42" t="n">
        <v>2</v>
      </c>
      <c r="V54" s="42" t="s">
        <v>522</v>
      </c>
      <c r="W54" s="43" t="n">
        <v>3.6</v>
      </c>
      <c r="X54" s="42" t="s">
        <v>123</v>
      </c>
      <c r="Y54" s="50" t="n">
        <v>1393</v>
      </c>
      <c r="Z54" s="42" t="s">
        <v>363</v>
      </c>
      <c r="AA54" s="46" t="n">
        <v>25000</v>
      </c>
      <c r="AB54" s="47" t="n">
        <f aca="false">IF(NOT(ISNUMBER(AA54)),"",IF(NOT(ISNUMBER(Y54)),"",IFERROR(IF(Z54="EUR",AA54,IF(Z54="IRR",AA54/INDEX('Assumptions &amp; FX Reference'!$C$5:$C$25,MATCH(Y54,'Assumptions &amp; FX Reference'!$A$5:$A$25,0)),IF(Z54="USD",AA54*INDEX('Assumptions &amp; FX Reference'!$B$5:$B$25,MATCH(Y54,'Assumptions &amp; FX Reference'!$A$5:$A$25,0))/INDEX('Assumptions &amp; FX Reference'!$C$5:$C$25,MATCH(Y54,'Assumptions &amp; FX Reference'!$A$5:$A$25,0)),""))),"")))</f>
        <v>25000</v>
      </c>
      <c r="AC54" s="47" t="n">
        <f aca="false">IF(NOT(ISNUMBER(AA54)),"",IF(NOT(ISNUMBER(Y54)),"",IFERROR(IF(Z54="USD",AA54,IF(Z54="IRR",AA54/INDEX('Assumptions &amp; FX Reference'!$B$5:$B$25,MATCH(Y54,'Assumptions &amp; FX Reference'!$A$5:$A$25,0)),IF(Z54="EUR",AA54*INDEX('Assumptions &amp; FX Reference'!$C$5:$C$25,MATCH(Y54,'Assumptions &amp; FX Reference'!$A$5:$A$25,0))/INDEX('Assumptions &amp; FX Reference'!$B$5:$B$25,MATCH(Y54,'Assumptions &amp; FX Reference'!$A$5:$A$25,0)),""))),"")))</f>
        <v>32686.1290322581</v>
      </c>
      <c r="AD54" s="47" t="n">
        <f aca="false">IF(NOT(ISNUMBER(AA54)),"",IF(NOT(ISNUMBER(Y54)),"",IFERROR(IF(Z54="IRR",AA54,IF(Z54="USD",AA54*INDEX('Assumptions &amp; FX Reference'!$B$5:$B$25,MATCH(Y54,'Assumptions &amp; FX Reference'!$A$5:$A$25,0)),IF(Z54="EUR",AA54*INDEX('Assumptions &amp; FX Reference'!$C$5:$C$25,MATCH(Y54,'Assumptions &amp; FX Reference'!$A$5:$A$25,0)),""))),"")))</f>
        <v>1013270000</v>
      </c>
      <c r="AE54" s="42" t="s">
        <v>480</v>
      </c>
      <c r="AF54" s="50" t="s">
        <v>208</v>
      </c>
      <c r="AG54" s="47" t="n">
        <f aca="false">IF(AND(Z54="EUR",N(AA54)&gt;5000000),"",IF(AND(ISNUMBER(AB54),ISNUMBER(AZ54),ISNUMBER(BA54)),IF(AND(BB54="Y",ISNUMBER('Assumptions &amp; FX Reference'!$I$15)),MAX(AB54*BA54/AZ54,'Assumptions &amp; FX Reference'!$I$13*BA54/'Assumptions &amp; FX Reference'!$I$15),AB54*BA54/AZ54),""))</f>
        <v>33776.6976474323</v>
      </c>
      <c r="AH54" s="47" t="n">
        <f aca="false">IF(AND(ISNUMBER(AG54),ISNUMBER('Assumptions &amp; FX Reference'!$I$8),ISNUMBER('Assumptions &amp; FX Reference'!$I$11)),AG54*'Assumptions &amp; FX Reference'!$I$8/'Assumptions &amp; FX Reference'!$I$11,"")</f>
        <v>35660.8659246157</v>
      </c>
      <c r="AI54" s="47" t="n">
        <f aca="false">IF(AND(ISNUMBER(AG54),ISNUMBER('Assumptions &amp; FX Reference'!$I$8)),AG54*'Assumptions &amp; FX Reference'!$I$8,"")</f>
        <v>23483857019.935</v>
      </c>
      <c r="AJ54" s="42" t="s">
        <v>481</v>
      </c>
      <c r="AK54" s="42" t="s">
        <v>482</v>
      </c>
      <c r="AL54" s="42" t="s">
        <v>123</v>
      </c>
      <c r="AM54" s="42" t="s">
        <v>123</v>
      </c>
      <c r="AN54" s="42" t="s">
        <v>123</v>
      </c>
      <c r="AO54" s="42" t="s">
        <v>123</v>
      </c>
      <c r="AP54" s="42" t="s">
        <v>123</v>
      </c>
      <c r="AQ54" s="50" t="s">
        <v>312</v>
      </c>
      <c r="AR54" s="42" t="s">
        <v>123</v>
      </c>
      <c r="AS54" s="45" t="str">
        <f aca="false">IF(AND(Z54="EUR",N(AA54)&gt;5000000),"Check currency (EUR&gt;5M); ","")&amp;IF(NOT(ISNUMBER(AA54)),"No price; ","")&amp;IF(G54="Not stated","Material missing; ","")&amp;IF(P54="Not stated","Seal missing; ","")&amp;IF(K54="","Size driver missing; ","")&amp;IF(NOT(ISNUMBER(AZ54)),"Base-year PPI missing; ","")</f>
        <v>Seal missing; Size driver missing; </v>
      </c>
      <c r="AT54" s="48" t="n">
        <f aca="false">IFERROR(INDEX(Factors_ROT!$F$5:$F$200,MATCH("MAT|"&amp;G54,Factors_ROT!$A$5:$A$200,0)),1)</f>
        <v>1.7</v>
      </c>
      <c r="AU54" s="48" t="n">
        <f aca="false">IFERROR(INDEX(Factors_ROT!$F$5:$F$200,MATCH("SEAL_ARR|"&amp;P54,Factors_ROT!$A$5:$A$200,0)),1)*IFERROR(INDEX(Factors_ROT!$F$5:$F$200,MATCH("SEAL_CAT|"&amp;Q54,Factors_ROT!$A$5:$A$200,0)),1)*IFERROR(INDEX(Factors_ROT!$F$5:$F$200,MATCH("SEAL_PLAN|"&amp;R54,Factors_ROT!$A$5:$A$200,0)),1)</f>
        <v>1</v>
      </c>
      <c r="AV54" s="48" t="n">
        <f aca="false">IFERROR(INDEX(Factors_ROT!$F$5:$F$200,MATCH("DRV|"&amp;S54,Factors_ROT!$A$5:$A$200,0)),1)*IFERROR(INDEX(Factors_ROT!$F$5:$F$200,MATCH("NACE|"&amp;O54,Factors_ROT!$A$5:$A$200,0)),1)</f>
        <v>1</v>
      </c>
      <c r="AW54" s="48" t="n">
        <f aca="false">IFERROR(INDEX(Factors_ROT!$F$5:$F$200,MATCH("SC_DRV|"&amp;AL54,Factors_ROT!$A$5:$A$200,0)),1)*IFERROR(INDEX(Factors_ROT!$F$5:$F$200,MATCH("SC_BSP|"&amp;AM54,Factors_ROT!$A$5:$A$200,0)),1)*IFERROR(INDEX(Factors_ROT!$F$5:$F$200,MATCH("SC_SEAL|"&amp;AN54,Factors_ROT!$A$5:$A$200,0)),1)*IFERROR(INDEX(Factors_ROT!$F$5:$F$200,MATCH("SC_COMM|"&amp;AO54,Factors_ROT!$A$5:$A$200,0)),1)*IFERROR(INDEX(Factors_ROT!$F$5:$F$200,MATCH("SC_2Y|"&amp;AP54,Factors_ROT!$A$5:$A$200,0)),1)*IFERROR(INDEX(Factors_ROT!$F$5:$F$200,MATCH("SC_TPI|"&amp;AQ54,Factors_ROT!$A$5:$A$200,0)),1)*IFERROR(INDEX(Factors_ROT!$F$5:$F$200,MATCH("SC_FAT|"&amp;AR54,Factors_ROT!$A$5:$A$200,0)),1)</f>
        <v>1</v>
      </c>
      <c r="AX54" s="48" t="n">
        <f aca="false">AT54*AU54*AV54*AW54</f>
        <v>1.7</v>
      </c>
      <c r="AY54" s="47" t="n">
        <f aca="false">IF(ISNUMBER(AB54),AB54/AX54,"")</f>
        <v>14705.8823529412</v>
      </c>
      <c r="AZ54" s="49" t="n">
        <f aca="false">IFERROR(IF(N(INDEX(Escalation_Index!$B$5:$B$25,MATCH(Y54,Escalation_Index!$A$5:$A$25,0)))&gt;0,INDEX(Escalation_Index!$B$5:$B$25,MATCH(Y54,Escalation_Index!$A$5:$A$25,0)),""),"")</f>
        <v>91.347</v>
      </c>
      <c r="BA54" s="49" t="n">
        <f aca="false">IF(ISNUMBER('Assumptions &amp; FX Reference'!$I$12),'Assumptions &amp; FX Reference'!$I$12,"")</f>
        <v>123.416</v>
      </c>
      <c r="BB54" s="45" t="str">
        <f aca="false">IF(AND(M54="API 610",LEFT(V54,11)="Centrifugal",OR(LEFT(G54,2)="S-",LEFT(G54,2)="D-")),"Y","N")</f>
        <v>N</v>
      </c>
      <c r="BC54" s="47" t="n">
        <f aca="false">IF(ISNUMBER(AG54),AG54/AX54,"")</f>
        <v>19868.6456749602</v>
      </c>
      <c r="BD54" s="47" t="str">
        <f aca="false">IF(AND(ISNUMBER(BC54),ISNUMBER(K54)),IF(K54&gt;0,BC54/K54^'Assumptions &amp; FX Reference'!$I$16,""),"")</f>
        <v/>
      </c>
      <c r="BE54" s="42" t="s">
        <v>523</v>
      </c>
      <c r="BF54" s="42" t="s">
        <v>524</v>
      </c>
      <c r="BG54" s="42" t="s">
        <v>369</v>
      </c>
      <c r="BH54" s="45" t="s">
        <v>313</v>
      </c>
      <c r="BI54" s="45" t="str">
        <f aca="false">"PMP-"&amp;TEXT(A54,"0000")</f>
        <v>PMP-0050</v>
      </c>
    </row>
    <row r="55" customFormat="false" ht="24" hidden="false" customHeight="true" outlineLevel="0" collapsed="false">
      <c r="A55" s="42" t="n">
        <v>51</v>
      </c>
      <c r="B55" s="42" t="s">
        <v>525</v>
      </c>
      <c r="C55" s="42" t="s">
        <v>476</v>
      </c>
      <c r="D55" s="42" t="s">
        <v>526</v>
      </c>
      <c r="E55" s="42" t="s">
        <v>48</v>
      </c>
      <c r="F55" s="42" t="s">
        <v>132</v>
      </c>
      <c r="G55" s="42" t="s">
        <v>115</v>
      </c>
      <c r="H55" s="43" t="n">
        <v>11</v>
      </c>
      <c r="I55" s="43" t="n">
        <v>27.6</v>
      </c>
      <c r="J55" s="43"/>
      <c r="K55" s="44" t="n">
        <f aca="false">IF(ISNUMBER(J55),J55,IF(AND(ISNUMBER(H55),ISNUMBER(I55)),H55*I55/(367*'Assumptions &amp; FX Reference'!$I$17),""))</f>
        <v>1.37874659400545</v>
      </c>
      <c r="L55" s="45" t="str">
        <f aca="false">IF(IF(OR(M55="Not stated",M55=""),""," + "&amp;M55)&amp;IF(OR(N55="None",N55=""),""," + "&amp;N55)&amp;IF(O55="Y"," + NACE MR0175","")="","Not stated",MID(IF(OR(M55="Not stated",M55=""),""," + "&amp;M55)&amp;IF(OR(N55="None",N55=""),""," + "&amp;N55)&amp;IF(O55="Y"," + NACE MR0175",""),4,300))</f>
        <v>API 610 + IPS-G-PM-105</v>
      </c>
      <c r="M55" s="42" t="s">
        <v>478</v>
      </c>
      <c r="N55" s="42" t="s">
        <v>479</v>
      </c>
      <c r="O55" s="50" t="s">
        <v>312</v>
      </c>
      <c r="P55" s="42" t="s">
        <v>123</v>
      </c>
      <c r="Q55" s="42" t="s">
        <v>123</v>
      </c>
      <c r="R55" s="42" t="s">
        <v>123</v>
      </c>
      <c r="S55" s="50" t="s">
        <v>304</v>
      </c>
      <c r="T55" s="42" t="s">
        <v>342</v>
      </c>
      <c r="U55" s="42" t="n">
        <v>2</v>
      </c>
      <c r="V55" s="42" t="s">
        <v>306</v>
      </c>
      <c r="W55" s="43" t="n">
        <v>3</v>
      </c>
      <c r="X55" s="42" t="s">
        <v>123</v>
      </c>
      <c r="Y55" s="50" t="n">
        <v>1393</v>
      </c>
      <c r="Z55" s="42" t="s">
        <v>363</v>
      </c>
      <c r="AA55" s="46" t="n">
        <v>20000</v>
      </c>
      <c r="AB55" s="47" t="n">
        <f aca="false">IF(NOT(ISNUMBER(AA55)),"",IF(NOT(ISNUMBER(Y55)),"",IFERROR(IF(Z55="EUR",AA55,IF(Z55="IRR",AA55/INDEX('Assumptions &amp; FX Reference'!$C$5:$C$25,MATCH(Y55,'Assumptions &amp; FX Reference'!$A$5:$A$25,0)),IF(Z55="USD",AA55*INDEX('Assumptions &amp; FX Reference'!$B$5:$B$25,MATCH(Y55,'Assumptions &amp; FX Reference'!$A$5:$A$25,0))/INDEX('Assumptions &amp; FX Reference'!$C$5:$C$25,MATCH(Y55,'Assumptions &amp; FX Reference'!$A$5:$A$25,0)),""))),"")))</f>
        <v>20000</v>
      </c>
      <c r="AC55" s="47" t="n">
        <f aca="false">IF(NOT(ISNUMBER(AA55)),"",IF(NOT(ISNUMBER(Y55)),"",IFERROR(IF(Z55="USD",AA55,IF(Z55="IRR",AA55/INDEX('Assumptions &amp; FX Reference'!$B$5:$B$25,MATCH(Y55,'Assumptions &amp; FX Reference'!$A$5:$A$25,0)),IF(Z55="EUR",AA55*INDEX('Assumptions &amp; FX Reference'!$C$5:$C$25,MATCH(Y55,'Assumptions &amp; FX Reference'!$A$5:$A$25,0))/INDEX('Assumptions &amp; FX Reference'!$B$5:$B$25,MATCH(Y55,'Assumptions &amp; FX Reference'!$A$5:$A$25,0)),""))),"")))</f>
        <v>26148.9032258065</v>
      </c>
      <c r="AD55" s="47" t="n">
        <f aca="false">IF(NOT(ISNUMBER(AA55)),"",IF(NOT(ISNUMBER(Y55)),"",IFERROR(IF(Z55="IRR",AA55,IF(Z55="USD",AA55*INDEX('Assumptions &amp; FX Reference'!$B$5:$B$25,MATCH(Y55,'Assumptions &amp; FX Reference'!$A$5:$A$25,0)),IF(Z55="EUR",AA55*INDEX('Assumptions &amp; FX Reference'!$C$5:$C$25,MATCH(Y55,'Assumptions &amp; FX Reference'!$A$5:$A$25,0)),""))),"")))</f>
        <v>810616000</v>
      </c>
      <c r="AE55" s="42" t="s">
        <v>480</v>
      </c>
      <c r="AF55" s="50" t="s">
        <v>208</v>
      </c>
      <c r="AG55" s="47" t="n">
        <f aca="false">IF(AND(Z55="EUR",N(AA55)&gt;5000000),"",IF(AND(ISNUMBER(AB55),ISNUMBER(AZ55),ISNUMBER(BA55)),IF(AND(BB55="Y",ISNUMBER('Assumptions &amp; FX Reference'!$I$15)),MAX(AB55*BA55/AZ55,'Assumptions &amp; FX Reference'!$I$13*BA55/'Assumptions &amp; FX Reference'!$I$15),AB55*BA55/AZ55),""))</f>
        <v>27021.3581179459</v>
      </c>
      <c r="AH55" s="47" t="n">
        <f aca="false">IF(AND(ISNUMBER(AG55),ISNUMBER('Assumptions &amp; FX Reference'!$I$8),ISNUMBER('Assumptions &amp; FX Reference'!$I$11)),AG55*'Assumptions &amp; FX Reference'!$I$8/'Assumptions &amp; FX Reference'!$I$11,"")</f>
        <v>28528.6927396926</v>
      </c>
      <c r="AI55" s="47" t="n">
        <f aca="false">IF(AND(ISNUMBER(AG55),ISNUMBER('Assumptions &amp; FX Reference'!$I$8)),AG55*'Assumptions &amp; FX Reference'!$I$8,"")</f>
        <v>18787085615.948</v>
      </c>
      <c r="AJ55" s="42" t="s">
        <v>481</v>
      </c>
      <c r="AK55" s="42" t="s">
        <v>482</v>
      </c>
      <c r="AL55" s="42" t="s">
        <v>123</v>
      </c>
      <c r="AM55" s="42" t="s">
        <v>123</v>
      </c>
      <c r="AN55" s="42" t="s">
        <v>123</v>
      </c>
      <c r="AO55" s="42" t="s">
        <v>123</v>
      </c>
      <c r="AP55" s="42" t="s">
        <v>123</v>
      </c>
      <c r="AQ55" s="50" t="s">
        <v>312</v>
      </c>
      <c r="AR55" s="42" t="s">
        <v>123</v>
      </c>
      <c r="AS55" s="45" t="str">
        <f aca="false">IF(AND(Z55="EUR",N(AA55)&gt;5000000),"Check currency (EUR&gt;5M); ","")&amp;IF(NOT(ISNUMBER(AA55)),"No price; ","")&amp;IF(G55="Not stated","Material missing; ","")&amp;IF(P55="Not stated","Seal missing; ","")&amp;IF(K55="","Size driver missing; ","")&amp;IF(NOT(ISNUMBER(AZ55)),"Base-year PPI missing; ","")</f>
        <v>Seal missing; </v>
      </c>
      <c r="AT55" s="48" t="n">
        <f aca="false">IFERROR(INDEX(Factors_ROT!$F$5:$F$200,MATCH("MAT|"&amp;G55,Factors_ROT!$A$5:$A$200,0)),1)</f>
        <v>1.9</v>
      </c>
      <c r="AU55" s="48" t="n">
        <f aca="false">IFERROR(INDEX(Factors_ROT!$F$5:$F$200,MATCH("SEAL_ARR|"&amp;P55,Factors_ROT!$A$5:$A$200,0)),1)*IFERROR(INDEX(Factors_ROT!$F$5:$F$200,MATCH("SEAL_CAT|"&amp;Q55,Factors_ROT!$A$5:$A$200,0)),1)*IFERROR(INDEX(Factors_ROT!$F$5:$F$200,MATCH("SEAL_PLAN|"&amp;R55,Factors_ROT!$A$5:$A$200,0)),1)</f>
        <v>1</v>
      </c>
      <c r="AV55" s="48" t="n">
        <f aca="false">IFERROR(INDEX(Factors_ROT!$F$5:$F$200,MATCH("DRV|"&amp;S55,Factors_ROT!$A$5:$A$200,0)),1)*IFERROR(INDEX(Factors_ROT!$F$5:$F$200,MATCH("NACE|"&amp;O55,Factors_ROT!$A$5:$A$200,0)),1)</f>
        <v>1</v>
      </c>
      <c r="AW55" s="48" t="n">
        <f aca="false">IFERROR(INDEX(Factors_ROT!$F$5:$F$200,MATCH("SC_DRV|"&amp;AL55,Factors_ROT!$A$5:$A$200,0)),1)*IFERROR(INDEX(Factors_ROT!$F$5:$F$200,MATCH("SC_BSP|"&amp;AM55,Factors_ROT!$A$5:$A$200,0)),1)*IFERROR(INDEX(Factors_ROT!$F$5:$F$200,MATCH("SC_SEAL|"&amp;AN55,Factors_ROT!$A$5:$A$200,0)),1)*IFERROR(INDEX(Factors_ROT!$F$5:$F$200,MATCH("SC_COMM|"&amp;AO55,Factors_ROT!$A$5:$A$200,0)),1)*IFERROR(INDEX(Factors_ROT!$F$5:$F$200,MATCH("SC_2Y|"&amp;AP55,Factors_ROT!$A$5:$A$200,0)),1)*IFERROR(INDEX(Factors_ROT!$F$5:$F$200,MATCH("SC_TPI|"&amp;AQ55,Factors_ROT!$A$5:$A$200,0)),1)*IFERROR(INDEX(Factors_ROT!$F$5:$F$200,MATCH("SC_FAT|"&amp;AR55,Factors_ROT!$A$5:$A$200,0)),1)</f>
        <v>1</v>
      </c>
      <c r="AX55" s="48" t="n">
        <f aca="false">AT55*AU55*AV55*AW55</f>
        <v>1.9</v>
      </c>
      <c r="AY55" s="47" t="n">
        <f aca="false">IF(ISNUMBER(AB55),AB55/AX55,"")</f>
        <v>10526.3157894737</v>
      </c>
      <c r="AZ55" s="49" t="n">
        <f aca="false">IFERROR(IF(N(INDEX(Escalation_Index!$B$5:$B$25,MATCH(Y55,Escalation_Index!$A$5:$A$25,0)))&gt;0,INDEX(Escalation_Index!$B$5:$B$25,MATCH(Y55,Escalation_Index!$A$5:$A$25,0)),""),"")</f>
        <v>91.347</v>
      </c>
      <c r="BA55" s="49" t="n">
        <f aca="false">IF(ISNUMBER('Assumptions &amp; FX Reference'!$I$12),'Assumptions &amp; FX Reference'!$I$12,"")</f>
        <v>123.416</v>
      </c>
      <c r="BB55" s="45" t="str">
        <f aca="false">IF(AND(M55="API 610",LEFT(V55,11)="Centrifugal",OR(LEFT(G55,2)="S-",LEFT(G55,2)="D-")),"Y","N")</f>
        <v>Y</v>
      </c>
      <c r="BC55" s="47" t="n">
        <f aca="false">IF(ISNUMBER(AG55),AG55/AX55,"")</f>
        <v>14221.7674304978</v>
      </c>
      <c r="BD55" s="47" t="n">
        <f aca="false">IF(AND(ISNUMBER(BC55),ISNUMBER(K55)),IF(K55&gt;0,BC55/K55^'Assumptions &amp; FX Reference'!$I$16,""),"")</f>
        <v>11729.0517044768</v>
      </c>
      <c r="BE55" s="42" t="s">
        <v>527</v>
      </c>
      <c r="BF55" s="42" t="s">
        <v>528</v>
      </c>
      <c r="BG55" s="42" t="s">
        <v>369</v>
      </c>
      <c r="BH55" s="45" t="s">
        <v>313</v>
      </c>
      <c r="BI55" s="45" t="str">
        <f aca="false">"PMP-"&amp;TEXT(A55,"0000")</f>
        <v>PMP-0051</v>
      </c>
    </row>
    <row r="56" customFormat="false" ht="24" hidden="false" customHeight="true" outlineLevel="0" collapsed="false">
      <c r="A56" s="42" t="n">
        <v>52</v>
      </c>
      <c r="B56" s="42" t="s">
        <v>529</v>
      </c>
      <c r="C56" s="42" t="s">
        <v>476</v>
      </c>
      <c r="D56" s="42" t="s">
        <v>530</v>
      </c>
      <c r="E56" s="42" t="s">
        <v>54</v>
      </c>
      <c r="F56" s="42" t="s">
        <v>132</v>
      </c>
      <c r="G56" s="42" t="s">
        <v>115</v>
      </c>
      <c r="H56" s="43" t="n">
        <v>15</v>
      </c>
      <c r="I56" s="43" t="n">
        <v>46.81</v>
      </c>
      <c r="J56" s="43"/>
      <c r="K56" s="44" t="n">
        <f aca="false">IF(ISNUMBER(J56),J56,IF(AND(ISNUMBER(H56),ISNUMBER(I56)),H56*I56/(367*'Assumptions &amp; FX Reference'!$I$17),""))</f>
        <v>3.18869209809264</v>
      </c>
      <c r="L56" s="45" t="str">
        <f aca="false">IF(IF(OR(M56="Not stated",M56=""),""," + "&amp;M56)&amp;IF(OR(N56="None",N56=""),""," + "&amp;N56)&amp;IF(O56="Y"," + NACE MR0175","")="","Not stated",MID(IF(OR(M56="Not stated",M56=""),""," + "&amp;M56)&amp;IF(OR(N56="None",N56=""),""," + "&amp;N56)&amp;IF(O56="Y"," + NACE MR0175",""),4,300))</f>
        <v>API 610 + IPS-G-PM-105</v>
      </c>
      <c r="M56" s="42" t="s">
        <v>478</v>
      </c>
      <c r="N56" s="42" t="s">
        <v>479</v>
      </c>
      <c r="O56" s="50" t="s">
        <v>312</v>
      </c>
      <c r="P56" s="42" t="s">
        <v>123</v>
      </c>
      <c r="Q56" s="42" t="s">
        <v>123</v>
      </c>
      <c r="R56" s="42" t="s">
        <v>123</v>
      </c>
      <c r="S56" s="50" t="s">
        <v>304</v>
      </c>
      <c r="T56" s="42" t="s">
        <v>342</v>
      </c>
      <c r="U56" s="42" t="n">
        <v>2</v>
      </c>
      <c r="V56" s="42" t="s">
        <v>306</v>
      </c>
      <c r="W56" s="43" t="n">
        <v>8.5</v>
      </c>
      <c r="X56" s="42" t="s">
        <v>123</v>
      </c>
      <c r="Y56" s="50" t="n">
        <v>1393</v>
      </c>
      <c r="Z56" s="42" t="s">
        <v>363</v>
      </c>
      <c r="AA56" s="46" t="n">
        <v>15000</v>
      </c>
      <c r="AB56" s="47" t="n">
        <f aca="false">IF(NOT(ISNUMBER(AA56)),"",IF(NOT(ISNUMBER(Y56)),"",IFERROR(IF(Z56="EUR",AA56,IF(Z56="IRR",AA56/INDEX('Assumptions &amp; FX Reference'!$C$5:$C$25,MATCH(Y56,'Assumptions &amp; FX Reference'!$A$5:$A$25,0)),IF(Z56="USD",AA56*INDEX('Assumptions &amp; FX Reference'!$B$5:$B$25,MATCH(Y56,'Assumptions &amp; FX Reference'!$A$5:$A$25,0))/INDEX('Assumptions &amp; FX Reference'!$C$5:$C$25,MATCH(Y56,'Assumptions &amp; FX Reference'!$A$5:$A$25,0)),""))),"")))</f>
        <v>15000</v>
      </c>
      <c r="AC56" s="47" t="n">
        <f aca="false">IF(NOT(ISNUMBER(AA56)),"",IF(NOT(ISNUMBER(Y56)),"",IFERROR(IF(Z56="USD",AA56,IF(Z56="IRR",AA56/INDEX('Assumptions &amp; FX Reference'!$B$5:$B$25,MATCH(Y56,'Assumptions &amp; FX Reference'!$A$5:$A$25,0)),IF(Z56="EUR",AA56*INDEX('Assumptions &amp; FX Reference'!$C$5:$C$25,MATCH(Y56,'Assumptions &amp; FX Reference'!$A$5:$A$25,0))/INDEX('Assumptions &amp; FX Reference'!$B$5:$B$25,MATCH(Y56,'Assumptions &amp; FX Reference'!$A$5:$A$25,0)),""))),"")))</f>
        <v>19611.6774193548</v>
      </c>
      <c r="AD56" s="47" t="n">
        <f aca="false">IF(NOT(ISNUMBER(AA56)),"",IF(NOT(ISNUMBER(Y56)),"",IFERROR(IF(Z56="IRR",AA56,IF(Z56="USD",AA56*INDEX('Assumptions &amp; FX Reference'!$B$5:$B$25,MATCH(Y56,'Assumptions &amp; FX Reference'!$A$5:$A$25,0)),IF(Z56="EUR",AA56*INDEX('Assumptions &amp; FX Reference'!$C$5:$C$25,MATCH(Y56,'Assumptions &amp; FX Reference'!$A$5:$A$25,0)),""))),"")))</f>
        <v>607962000</v>
      </c>
      <c r="AE56" s="42" t="s">
        <v>480</v>
      </c>
      <c r="AF56" s="50" t="s">
        <v>208</v>
      </c>
      <c r="AG56" s="47" t="n">
        <f aca="false">IF(AND(Z56="EUR",N(AA56)&gt;5000000),"",IF(AND(ISNUMBER(AB56),ISNUMBER(AZ56),ISNUMBER(BA56)),IF(AND(BB56="Y",ISNUMBER('Assumptions &amp; FX Reference'!$I$15)),MAX(AB56*BA56/AZ56,'Assumptions &amp; FX Reference'!$I$13*BA56/'Assumptions &amp; FX Reference'!$I$15),AB56*BA56/AZ56),""))</f>
        <v>25000</v>
      </c>
      <c r="AH56" s="47" t="n">
        <f aca="false">IF(AND(ISNUMBER(AG56),ISNUMBER('Assumptions &amp; FX Reference'!$I$8),ISNUMBER('Assumptions &amp; FX Reference'!$I$11)),AG56*'Assumptions &amp; FX Reference'!$I$8/'Assumptions &amp; FX Reference'!$I$11,"")</f>
        <v>26394.5770371416</v>
      </c>
      <c r="AI56" s="47" t="n">
        <f aca="false">IF(AND(ISNUMBER(AG56),ISNUMBER('Assumptions &amp; FX Reference'!$I$8)),AG56*'Assumptions &amp; FX Reference'!$I$8,"")</f>
        <v>17381700000</v>
      </c>
      <c r="AJ56" s="42" t="s">
        <v>481</v>
      </c>
      <c r="AK56" s="42" t="s">
        <v>482</v>
      </c>
      <c r="AL56" s="42" t="s">
        <v>123</v>
      </c>
      <c r="AM56" s="42" t="s">
        <v>123</v>
      </c>
      <c r="AN56" s="42" t="s">
        <v>123</v>
      </c>
      <c r="AO56" s="42" t="s">
        <v>123</v>
      </c>
      <c r="AP56" s="42" t="s">
        <v>123</v>
      </c>
      <c r="AQ56" s="50" t="s">
        <v>312</v>
      </c>
      <c r="AR56" s="42" t="s">
        <v>123</v>
      </c>
      <c r="AS56" s="45" t="str">
        <f aca="false">IF(AND(Z56="EUR",N(AA56)&gt;5000000),"Check currency (EUR&gt;5M); ","")&amp;IF(NOT(ISNUMBER(AA56)),"No price; ","")&amp;IF(G56="Not stated","Material missing; ","")&amp;IF(P56="Not stated","Seal missing; ","")&amp;IF(K56="","Size driver missing; ","")&amp;IF(NOT(ISNUMBER(AZ56)),"Base-year PPI missing; ","")</f>
        <v>Seal missing; </v>
      </c>
      <c r="AT56" s="48" t="n">
        <f aca="false">IFERROR(INDEX(Factors_ROT!$F$5:$F$200,MATCH("MAT|"&amp;G56,Factors_ROT!$A$5:$A$200,0)),1)</f>
        <v>1.9</v>
      </c>
      <c r="AU56" s="48" t="n">
        <f aca="false">IFERROR(INDEX(Factors_ROT!$F$5:$F$200,MATCH("SEAL_ARR|"&amp;P56,Factors_ROT!$A$5:$A$200,0)),1)*IFERROR(INDEX(Factors_ROT!$F$5:$F$200,MATCH("SEAL_CAT|"&amp;Q56,Factors_ROT!$A$5:$A$200,0)),1)*IFERROR(INDEX(Factors_ROT!$F$5:$F$200,MATCH("SEAL_PLAN|"&amp;R56,Factors_ROT!$A$5:$A$200,0)),1)</f>
        <v>1</v>
      </c>
      <c r="AV56" s="48" t="n">
        <f aca="false">IFERROR(INDEX(Factors_ROT!$F$5:$F$200,MATCH("DRV|"&amp;S56,Factors_ROT!$A$5:$A$200,0)),1)*IFERROR(INDEX(Factors_ROT!$F$5:$F$200,MATCH("NACE|"&amp;O56,Factors_ROT!$A$5:$A$200,0)),1)</f>
        <v>1</v>
      </c>
      <c r="AW56" s="48" t="n">
        <f aca="false">IFERROR(INDEX(Factors_ROT!$F$5:$F$200,MATCH("SC_DRV|"&amp;AL56,Factors_ROT!$A$5:$A$200,0)),1)*IFERROR(INDEX(Factors_ROT!$F$5:$F$200,MATCH("SC_BSP|"&amp;AM56,Factors_ROT!$A$5:$A$200,0)),1)*IFERROR(INDEX(Factors_ROT!$F$5:$F$200,MATCH("SC_SEAL|"&amp;AN56,Factors_ROT!$A$5:$A$200,0)),1)*IFERROR(INDEX(Factors_ROT!$F$5:$F$200,MATCH("SC_COMM|"&amp;AO56,Factors_ROT!$A$5:$A$200,0)),1)*IFERROR(INDEX(Factors_ROT!$F$5:$F$200,MATCH("SC_2Y|"&amp;AP56,Factors_ROT!$A$5:$A$200,0)),1)*IFERROR(INDEX(Factors_ROT!$F$5:$F$200,MATCH("SC_TPI|"&amp;AQ56,Factors_ROT!$A$5:$A$200,0)),1)*IFERROR(INDEX(Factors_ROT!$F$5:$F$200,MATCH("SC_FAT|"&amp;AR56,Factors_ROT!$A$5:$A$200,0)),1)</f>
        <v>1</v>
      </c>
      <c r="AX56" s="48" t="n">
        <f aca="false">AT56*AU56*AV56*AW56</f>
        <v>1.9</v>
      </c>
      <c r="AY56" s="47" t="n">
        <f aca="false">IF(ISNUMBER(AB56),AB56/AX56,"")</f>
        <v>7894.73684210526</v>
      </c>
      <c r="AZ56" s="49" t="n">
        <f aca="false">IFERROR(IF(N(INDEX(Escalation_Index!$B$5:$B$25,MATCH(Y56,Escalation_Index!$A$5:$A$25,0)))&gt;0,INDEX(Escalation_Index!$B$5:$B$25,MATCH(Y56,Escalation_Index!$A$5:$A$25,0)),""),"")</f>
        <v>91.347</v>
      </c>
      <c r="BA56" s="49" t="n">
        <f aca="false">IF(ISNUMBER('Assumptions &amp; FX Reference'!$I$12),'Assumptions &amp; FX Reference'!$I$12,"")</f>
        <v>123.416</v>
      </c>
      <c r="BB56" s="45" t="str">
        <f aca="false">IF(AND(M56="API 610",LEFT(V56,11)="Centrifugal",OR(LEFT(G56,2)="S-",LEFT(G56,2)="D-")),"Y","N")</f>
        <v>Y</v>
      </c>
      <c r="BC56" s="47" t="n">
        <f aca="false">IF(ISNUMBER(AG56),AG56/AX56,"")</f>
        <v>13157.8947368421</v>
      </c>
      <c r="BD56" s="47" t="n">
        <f aca="false">IF(AND(ISNUMBER(BC56),ISNUMBER(K56)),IF(K56&gt;0,BC56/K56^'Assumptions &amp; FX Reference'!$I$16,""),"")</f>
        <v>6561.73755728085</v>
      </c>
      <c r="BE56" s="42" t="s">
        <v>531</v>
      </c>
      <c r="BF56" s="42" t="s">
        <v>532</v>
      </c>
      <c r="BG56" s="42" t="s">
        <v>369</v>
      </c>
      <c r="BH56" s="45" t="s">
        <v>313</v>
      </c>
      <c r="BI56" s="45" t="str">
        <f aca="false">"PMP-"&amp;TEXT(A56,"0000")</f>
        <v>PMP-0052</v>
      </c>
    </row>
    <row r="57" customFormat="false" ht="24" hidden="false" customHeight="true" outlineLevel="0" collapsed="false">
      <c r="A57" s="42" t="n">
        <v>53</v>
      </c>
      <c r="B57" s="42" t="s">
        <v>533</v>
      </c>
      <c r="C57" s="42" t="s">
        <v>476</v>
      </c>
      <c r="D57" s="42" t="s">
        <v>534</v>
      </c>
      <c r="E57" s="42" t="s">
        <v>48</v>
      </c>
      <c r="F57" s="42" t="s">
        <v>132</v>
      </c>
      <c r="G57" s="42" t="s">
        <v>115</v>
      </c>
      <c r="H57" s="43" t="n">
        <v>21</v>
      </c>
      <c r="I57" s="52" t="n">
        <v>44.9</v>
      </c>
      <c r="J57" s="43"/>
      <c r="K57" s="44" t="n">
        <f aca="false">IF(ISNUMBER(J57),J57,IF(AND(ISNUMBER(H57),ISNUMBER(I57)),H57*I57/(367*'Assumptions &amp; FX Reference'!$I$17),""))</f>
        <v>4.28201634877384</v>
      </c>
      <c r="L57" s="45" t="str">
        <f aca="false">IF(IF(OR(M57="Not stated",M57=""),""," + "&amp;M57)&amp;IF(OR(N57="None",N57=""),""," + "&amp;N57)&amp;IF(O57="Y"," + NACE MR0175","")="","Not stated",MID(IF(OR(M57="Not stated",M57=""),""," + "&amp;M57)&amp;IF(OR(N57="None",N57=""),""," + "&amp;N57)&amp;IF(O57="Y"," + NACE MR0175",""),4,300))</f>
        <v>API 610 + IPS-G-PM-105</v>
      </c>
      <c r="M57" s="42" t="s">
        <v>478</v>
      </c>
      <c r="N57" s="42" t="s">
        <v>479</v>
      </c>
      <c r="O57" s="50" t="s">
        <v>312</v>
      </c>
      <c r="P57" s="42" t="s">
        <v>123</v>
      </c>
      <c r="Q57" s="42" t="s">
        <v>123</v>
      </c>
      <c r="R57" s="42" t="s">
        <v>123</v>
      </c>
      <c r="S57" s="50" t="s">
        <v>304</v>
      </c>
      <c r="T57" s="42" t="s">
        <v>327</v>
      </c>
      <c r="U57" s="42" t="n">
        <v>1</v>
      </c>
      <c r="V57" s="42" t="s">
        <v>306</v>
      </c>
      <c r="W57" s="43"/>
      <c r="X57" s="42" t="s">
        <v>123</v>
      </c>
      <c r="Y57" s="50" t="n">
        <v>1393</v>
      </c>
      <c r="Z57" s="42" t="s">
        <v>454</v>
      </c>
      <c r="AA57" s="46"/>
      <c r="AB57" s="47" t="str">
        <f aca="false">IF(NOT(ISNUMBER(AA57)),"",IF(NOT(ISNUMBER(Y57)),"",IFERROR(IF(Z57="EUR",AA57,IF(Z57="IRR",AA57/INDEX('Assumptions &amp; FX Reference'!$C$5:$C$25,MATCH(Y57,'Assumptions &amp; FX Reference'!$A$5:$A$25,0)),IF(Z57="USD",AA57*INDEX('Assumptions &amp; FX Reference'!$B$5:$B$25,MATCH(Y57,'Assumptions &amp; FX Reference'!$A$5:$A$25,0))/INDEX('Assumptions &amp; FX Reference'!$C$5:$C$25,MATCH(Y57,'Assumptions &amp; FX Reference'!$A$5:$A$25,0)),""))),"")))</f>
        <v/>
      </c>
      <c r="AC57" s="47" t="str">
        <f aca="false">IF(NOT(ISNUMBER(AA57)),"",IF(NOT(ISNUMBER(Y57)),"",IFERROR(IF(Z57="USD",AA57,IF(Z57="IRR",AA57/INDEX('Assumptions &amp; FX Reference'!$B$5:$B$25,MATCH(Y57,'Assumptions &amp; FX Reference'!$A$5:$A$25,0)),IF(Z57="EUR",AA57*INDEX('Assumptions &amp; FX Reference'!$C$5:$C$25,MATCH(Y57,'Assumptions &amp; FX Reference'!$A$5:$A$25,0))/INDEX('Assumptions &amp; FX Reference'!$B$5:$B$25,MATCH(Y57,'Assumptions &amp; FX Reference'!$A$5:$A$25,0)),""))),"")))</f>
        <v/>
      </c>
      <c r="AD57" s="47" t="str">
        <f aca="false">IF(NOT(ISNUMBER(AA57)),"",IF(NOT(ISNUMBER(Y57)),"",IFERROR(IF(Z57="IRR",AA57,IF(Z57="USD",AA57*INDEX('Assumptions &amp; FX Reference'!$B$5:$B$25,MATCH(Y57,'Assumptions &amp; FX Reference'!$A$5:$A$25,0)),IF(Z57="EUR",AA57*INDEX('Assumptions &amp; FX Reference'!$C$5:$C$25,MATCH(Y57,'Assumptions &amp; FX Reference'!$A$5:$A$25,0)),""))),"")))</f>
        <v/>
      </c>
      <c r="AE57" s="42" t="s">
        <v>535</v>
      </c>
      <c r="AF57" s="42" t="s">
        <v>123</v>
      </c>
      <c r="AG57" s="47" t="str">
        <f aca="false">IF(AND(Z57="EUR",N(AA57)&gt;5000000),"",IF(AND(ISNUMBER(AB57),ISNUMBER(AZ57),ISNUMBER(BA57)),IF(AND(BB57="Y",ISNUMBER('Assumptions &amp; FX Reference'!$I$15)),MAX(AB57*BA57/AZ57,'Assumptions &amp; FX Reference'!$I$13*BA57/'Assumptions &amp; FX Reference'!$I$15),AB57*BA57/AZ57),""))</f>
        <v/>
      </c>
      <c r="AH57" s="47" t="str">
        <f aca="false">IF(AND(ISNUMBER(AG57),ISNUMBER('Assumptions &amp; FX Reference'!$I$8),ISNUMBER('Assumptions &amp; FX Reference'!$I$11)),AG57*'Assumptions &amp; FX Reference'!$I$8/'Assumptions &amp; FX Reference'!$I$11,"")</f>
        <v/>
      </c>
      <c r="AI57" s="47" t="str">
        <f aca="false">IF(AND(ISNUMBER(AG57),ISNUMBER('Assumptions &amp; FX Reference'!$I$8)),AG57*'Assumptions &amp; FX Reference'!$I$8,"")</f>
        <v/>
      </c>
      <c r="AJ57" s="42" t="s">
        <v>481</v>
      </c>
      <c r="AK57" s="42" t="s">
        <v>482</v>
      </c>
      <c r="AL57" s="42" t="s">
        <v>123</v>
      </c>
      <c r="AM57" s="42" t="s">
        <v>123</v>
      </c>
      <c r="AN57" s="42" t="s">
        <v>123</v>
      </c>
      <c r="AO57" s="42" t="s">
        <v>123</v>
      </c>
      <c r="AP57" s="42" t="s">
        <v>123</v>
      </c>
      <c r="AQ57" s="42" t="s">
        <v>123</v>
      </c>
      <c r="AR57" s="42" t="s">
        <v>123</v>
      </c>
      <c r="AS57" s="45" t="str">
        <f aca="false">IF(AND(Z57="EUR",N(AA57)&gt;5000000),"Check currency (EUR&gt;5M); ","")&amp;IF(NOT(ISNUMBER(AA57)),"No price; ","")&amp;IF(G57="Not stated","Material missing; ","")&amp;IF(P57="Not stated","Seal missing; ","")&amp;IF(K57="","Size driver missing; ","")&amp;IF(NOT(ISNUMBER(AZ57)),"Base-year PPI missing; ","")</f>
        <v>No price; Seal missing; </v>
      </c>
      <c r="AT57" s="48" t="n">
        <f aca="false">IFERROR(INDEX(Factors_ROT!$F$5:$F$200,MATCH("MAT|"&amp;G57,Factors_ROT!$A$5:$A$200,0)),1)</f>
        <v>1.9</v>
      </c>
      <c r="AU57" s="48" t="n">
        <f aca="false">IFERROR(INDEX(Factors_ROT!$F$5:$F$200,MATCH("SEAL_ARR|"&amp;P57,Factors_ROT!$A$5:$A$200,0)),1)*IFERROR(INDEX(Factors_ROT!$F$5:$F$200,MATCH("SEAL_CAT|"&amp;Q57,Factors_ROT!$A$5:$A$200,0)),1)*IFERROR(INDEX(Factors_ROT!$F$5:$F$200,MATCH("SEAL_PLAN|"&amp;R57,Factors_ROT!$A$5:$A$200,0)),1)</f>
        <v>1</v>
      </c>
      <c r="AV57" s="48" t="n">
        <f aca="false">IFERROR(INDEX(Factors_ROT!$F$5:$F$200,MATCH("DRV|"&amp;S57,Factors_ROT!$A$5:$A$200,0)),1)*IFERROR(INDEX(Factors_ROT!$F$5:$F$200,MATCH("NACE|"&amp;O57,Factors_ROT!$A$5:$A$200,0)),1)</f>
        <v>1</v>
      </c>
      <c r="AW57" s="48" t="n">
        <f aca="false">IFERROR(INDEX(Factors_ROT!$F$5:$F$200,MATCH("SC_DRV|"&amp;AL57,Factors_ROT!$A$5:$A$200,0)),1)*IFERROR(INDEX(Factors_ROT!$F$5:$F$200,MATCH("SC_BSP|"&amp;AM57,Factors_ROT!$A$5:$A$200,0)),1)*IFERROR(INDEX(Factors_ROT!$F$5:$F$200,MATCH("SC_SEAL|"&amp;AN57,Factors_ROT!$A$5:$A$200,0)),1)*IFERROR(INDEX(Factors_ROT!$F$5:$F$200,MATCH("SC_COMM|"&amp;AO57,Factors_ROT!$A$5:$A$200,0)),1)*IFERROR(INDEX(Factors_ROT!$F$5:$F$200,MATCH("SC_2Y|"&amp;AP57,Factors_ROT!$A$5:$A$200,0)),1)*IFERROR(INDEX(Factors_ROT!$F$5:$F$200,MATCH("SC_TPI|"&amp;AQ57,Factors_ROT!$A$5:$A$200,0)),1)*IFERROR(INDEX(Factors_ROT!$F$5:$F$200,MATCH("SC_FAT|"&amp;AR57,Factors_ROT!$A$5:$A$200,0)),1)</f>
        <v>1</v>
      </c>
      <c r="AX57" s="48" t="n">
        <f aca="false">AT57*AU57*AV57*AW57</f>
        <v>1.9</v>
      </c>
      <c r="AY57" s="47" t="str">
        <f aca="false">IF(ISNUMBER(AB57),AB57/AX57,"")</f>
        <v/>
      </c>
      <c r="AZ57" s="49" t="n">
        <f aca="false">IFERROR(IF(N(INDEX(Escalation_Index!$B$5:$B$25,MATCH(Y57,Escalation_Index!$A$5:$A$25,0)))&gt;0,INDEX(Escalation_Index!$B$5:$B$25,MATCH(Y57,Escalation_Index!$A$5:$A$25,0)),""),"")</f>
        <v>91.347</v>
      </c>
      <c r="BA57" s="49" t="n">
        <f aca="false">IF(ISNUMBER('Assumptions &amp; FX Reference'!$I$12),'Assumptions &amp; FX Reference'!$I$12,"")</f>
        <v>123.416</v>
      </c>
      <c r="BB57" s="45" t="str">
        <f aca="false">IF(AND(M57="API 610",LEFT(V57,11)="Centrifugal",OR(LEFT(G57,2)="S-",LEFT(G57,2)="D-")),"Y","N")</f>
        <v>Y</v>
      </c>
      <c r="BC57" s="47" t="str">
        <f aca="false">IF(ISNUMBER(AG57),AG57/AX57,"")</f>
        <v/>
      </c>
      <c r="BD57" s="47" t="str">
        <f aca="false">IF(AND(ISNUMBER(BC57),ISNUMBER(K57)),IF(K57&gt;0,BC57/K57^'Assumptions &amp; FX Reference'!$I$16,""),"")</f>
        <v/>
      </c>
      <c r="BE57" s="42" t="s">
        <v>536</v>
      </c>
      <c r="BF57" s="42" t="s">
        <v>537</v>
      </c>
      <c r="BG57" s="42" t="s">
        <v>369</v>
      </c>
      <c r="BH57" s="45" t="s">
        <v>313</v>
      </c>
      <c r="BI57" s="45" t="str">
        <f aca="false">"PMP-"&amp;TEXT(A57,"0000")</f>
        <v>PMP-0053</v>
      </c>
    </row>
    <row r="58" customFormat="false" ht="24" hidden="false" customHeight="true" outlineLevel="0" collapsed="false">
      <c r="A58" s="42" t="n">
        <v>54</v>
      </c>
      <c r="B58" s="42" t="s">
        <v>538</v>
      </c>
      <c r="C58" s="42" t="s">
        <v>476</v>
      </c>
      <c r="D58" s="42" t="s">
        <v>539</v>
      </c>
      <c r="E58" s="42" t="s">
        <v>48</v>
      </c>
      <c r="F58" s="42" t="s">
        <v>132</v>
      </c>
      <c r="G58" s="42" t="s">
        <v>115</v>
      </c>
      <c r="H58" s="43"/>
      <c r="I58" s="43"/>
      <c r="J58" s="43"/>
      <c r="K58" s="44" t="str">
        <f aca="false">IF(ISNUMBER(J58),J58,IF(AND(ISNUMBER(H58),ISNUMBER(I58)),H58*I58/(367*'Assumptions &amp; FX Reference'!$I$17),""))</f>
        <v/>
      </c>
      <c r="L58" s="45" t="str">
        <f aca="false">IF(IF(OR(M58="Not stated",M58=""),""," + "&amp;M58)&amp;IF(OR(N58="None",N58=""),""," + "&amp;N58)&amp;IF(O58="Y"," + NACE MR0175","")="","Not stated",MID(IF(OR(M58="Not stated",M58=""),""," + "&amp;M58)&amp;IF(OR(N58="None",N58=""),""," + "&amp;N58)&amp;IF(O58="Y"," + NACE MR0175",""),4,300))</f>
        <v>API 610 + IPS-G-PM-105</v>
      </c>
      <c r="M58" s="42" t="s">
        <v>478</v>
      </c>
      <c r="N58" s="42" t="s">
        <v>479</v>
      </c>
      <c r="O58" s="50" t="s">
        <v>312</v>
      </c>
      <c r="P58" s="42" t="s">
        <v>123</v>
      </c>
      <c r="Q58" s="42" t="s">
        <v>123</v>
      </c>
      <c r="R58" s="42" t="s">
        <v>123</v>
      </c>
      <c r="S58" s="50" t="s">
        <v>304</v>
      </c>
      <c r="T58" s="42" t="s">
        <v>327</v>
      </c>
      <c r="U58" s="42" t="n">
        <v>1</v>
      </c>
      <c r="V58" s="42" t="s">
        <v>306</v>
      </c>
      <c r="W58" s="43"/>
      <c r="X58" s="42" t="s">
        <v>123</v>
      </c>
      <c r="Y58" s="50" t="n">
        <v>1393</v>
      </c>
      <c r="Z58" s="42" t="s">
        <v>454</v>
      </c>
      <c r="AA58" s="46"/>
      <c r="AB58" s="47" t="str">
        <f aca="false">IF(NOT(ISNUMBER(AA58)),"",IF(NOT(ISNUMBER(Y58)),"",IFERROR(IF(Z58="EUR",AA58,IF(Z58="IRR",AA58/INDEX('Assumptions &amp; FX Reference'!$C$5:$C$25,MATCH(Y58,'Assumptions &amp; FX Reference'!$A$5:$A$25,0)),IF(Z58="USD",AA58*INDEX('Assumptions &amp; FX Reference'!$B$5:$B$25,MATCH(Y58,'Assumptions &amp; FX Reference'!$A$5:$A$25,0))/INDEX('Assumptions &amp; FX Reference'!$C$5:$C$25,MATCH(Y58,'Assumptions &amp; FX Reference'!$A$5:$A$25,0)),""))),"")))</f>
        <v/>
      </c>
      <c r="AC58" s="47" t="str">
        <f aca="false">IF(NOT(ISNUMBER(AA58)),"",IF(NOT(ISNUMBER(Y58)),"",IFERROR(IF(Z58="USD",AA58,IF(Z58="IRR",AA58/INDEX('Assumptions &amp; FX Reference'!$B$5:$B$25,MATCH(Y58,'Assumptions &amp; FX Reference'!$A$5:$A$25,0)),IF(Z58="EUR",AA58*INDEX('Assumptions &amp; FX Reference'!$C$5:$C$25,MATCH(Y58,'Assumptions &amp; FX Reference'!$A$5:$A$25,0))/INDEX('Assumptions &amp; FX Reference'!$B$5:$B$25,MATCH(Y58,'Assumptions &amp; FX Reference'!$A$5:$A$25,0)),""))),"")))</f>
        <v/>
      </c>
      <c r="AD58" s="47" t="str">
        <f aca="false">IF(NOT(ISNUMBER(AA58)),"",IF(NOT(ISNUMBER(Y58)),"",IFERROR(IF(Z58="IRR",AA58,IF(Z58="USD",AA58*INDEX('Assumptions &amp; FX Reference'!$B$5:$B$25,MATCH(Y58,'Assumptions &amp; FX Reference'!$A$5:$A$25,0)),IF(Z58="EUR",AA58*INDEX('Assumptions &amp; FX Reference'!$C$5:$C$25,MATCH(Y58,'Assumptions &amp; FX Reference'!$A$5:$A$25,0)),""))),"")))</f>
        <v/>
      </c>
      <c r="AE58" s="42" t="s">
        <v>535</v>
      </c>
      <c r="AF58" s="42" t="s">
        <v>123</v>
      </c>
      <c r="AG58" s="47" t="str">
        <f aca="false">IF(AND(Z58="EUR",N(AA58)&gt;5000000),"",IF(AND(ISNUMBER(AB58),ISNUMBER(AZ58),ISNUMBER(BA58)),IF(AND(BB58="Y",ISNUMBER('Assumptions &amp; FX Reference'!$I$15)),MAX(AB58*BA58/AZ58,'Assumptions &amp; FX Reference'!$I$13*BA58/'Assumptions &amp; FX Reference'!$I$15),AB58*BA58/AZ58),""))</f>
        <v/>
      </c>
      <c r="AH58" s="47" t="str">
        <f aca="false">IF(AND(ISNUMBER(AG58),ISNUMBER('Assumptions &amp; FX Reference'!$I$8),ISNUMBER('Assumptions &amp; FX Reference'!$I$11)),AG58*'Assumptions &amp; FX Reference'!$I$8/'Assumptions &amp; FX Reference'!$I$11,"")</f>
        <v/>
      </c>
      <c r="AI58" s="47" t="str">
        <f aca="false">IF(AND(ISNUMBER(AG58),ISNUMBER('Assumptions &amp; FX Reference'!$I$8)),AG58*'Assumptions &amp; FX Reference'!$I$8,"")</f>
        <v/>
      </c>
      <c r="AJ58" s="42" t="s">
        <v>481</v>
      </c>
      <c r="AK58" s="42" t="s">
        <v>482</v>
      </c>
      <c r="AL58" s="42" t="s">
        <v>123</v>
      </c>
      <c r="AM58" s="42" t="s">
        <v>123</v>
      </c>
      <c r="AN58" s="42" t="s">
        <v>123</v>
      </c>
      <c r="AO58" s="42" t="s">
        <v>123</v>
      </c>
      <c r="AP58" s="42" t="s">
        <v>123</v>
      </c>
      <c r="AQ58" s="42" t="s">
        <v>123</v>
      </c>
      <c r="AR58" s="42" t="s">
        <v>123</v>
      </c>
      <c r="AS58" s="45" t="str">
        <f aca="false">IF(AND(Z58="EUR",N(AA58)&gt;5000000),"Check currency (EUR&gt;5M); ","")&amp;IF(NOT(ISNUMBER(AA58)),"No price; ","")&amp;IF(G58="Not stated","Material missing; ","")&amp;IF(P58="Not stated","Seal missing; ","")&amp;IF(K58="","Size driver missing; ","")&amp;IF(NOT(ISNUMBER(AZ58)),"Base-year PPI missing; ","")</f>
        <v>No price; Seal missing; Size driver missing; </v>
      </c>
      <c r="AT58" s="48" t="n">
        <f aca="false">IFERROR(INDEX(Factors_ROT!$F$5:$F$200,MATCH("MAT|"&amp;G58,Factors_ROT!$A$5:$A$200,0)),1)</f>
        <v>1.9</v>
      </c>
      <c r="AU58" s="48" t="n">
        <f aca="false">IFERROR(INDEX(Factors_ROT!$F$5:$F$200,MATCH("SEAL_ARR|"&amp;P58,Factors_ROT!$A$5:$A$200,0)),1)*IFERROR(INDEX(Factors_ROT!$F$5:$F$200,MATCH("SEAL_CAT|"&amp;Q58,Factors_ROT!$A$5:$A$200,0)),1)*IFERROR(INDEX(Factors_ROT!$F$5:$F$200,MATCH("SEAL_PLAN|"&amp;R58,Factors_ROT!$A$5:$A$200,0)),1)</f>
        <v>1</v>
      </c>
      <c r="AV58" s="48" t="n">
        <f aca="false">IFERROR(INDEX(Factors_ROT!$F$5:$F$200,MATCH("DRV|"&amp;S58,Factors_ROT!$A$5:$A$200,0)),1)*IFERROR(INDEX(Factors_ROT!$F$5:$F$200,MATCH("NACE|"&amp;O58,Factors_ROT!$A$5:$A$200,0)),1)</f>
        <v>1</v>
      </c>
      <c r="AW58" s="48" t="n">
        <f aca="false">IFERROR(INDEX(Factors_ROT!$F$5:$F$200,MATCH("SC_DRV|"&amp;AL58,Factors_ROT!$A$5:$A$200,0)),1)*IFERROR(INDEX(Factors_ROT!$F$5:$F$200,MATCH("SC_BSP|"&amp;AM58,Factors_ROT!$A$5:$A$200,0)),1)*IFERROR(INDEX(Factors_ROT!$F$5:$F$200,MATCH("SC_SEAL|"&amp;AN58,Factors_ROT!$A$5:$A$200,0)),1)*IFERROR(INDEX(Factors_ROT!$F$5:$F$200,MATCH("SC_COMM|"&amp;AO58,Factors_ROT!$A$5:$A$200,0)),1)*IFERROR(INDEX(Factors_ROT!$F$5:$F$200,MATCH("SC_2Y|"&amp;AP58,Factors_ROT!$A$5:$A$200,0)),1)*IFERROR(INDEX(Factors_ROT!$F$5:$F$200,MATCH("SC_TPI|"&amp;AQ58,Factors_ROT!$A$5:$A$200,0)),1)*IFERROR(INDEX(Factors_ROT!$F$5:$F$200,MATCH("SC_FAT|"&amp;AR58,Factors_ROT!$A$5:$A$200,0)),1)</f>
        <v>1</v>
      </c>
      <c r="AX58" s="48" t="n">
        <f aca="false">AT58*AU58*AV58*AW58</f>
        <v>1.9</v>
      </c>
      <c r="AY58" s="47" t="str">
        <f aca="false">IF(ISNUMBER(AB58),AB58/AX58,"")</f>
        <v/>
      </c>
      <c r="AZ58" s="49" t="n">
        <f aca="false">IFERROR(IF(N(INDEX(Escalation_Index!$B$5:$B$25,MATCH(Y58,Escalation_Index!$A$5:$A$25,0)))&gt;0,INDEX(Escalation_Index!$B$5:$B$25,MATCH(Y58,Escalation_Index!$A$5:$A$25,0)),""),"")</f>
        <v>91.347</v>
      </c>
      <c r="BA58" s="49" t="n">
        <f aca="false">IF(ISNUMBER('Assumptions &amp; FX Reference'!$I$12),'Assumptions &amp; FX Reference'!$I$12,"")</f>
        <v>123.416</v>
      </c>
      <c r="BB58" s="45" t="str">
        <f aca="false">IF(AND(M58="API 610",LEFT(V58,11)="Centrifugal",OR(LEFT(G58,2)="S-",LEFT(G58,2)="D-")),"Y","N")</f>
        <v>Y</v>
      </c>
      <c r="BC58" s="47" t="str">
        <f aca="false">IF(ISNUMBER(AG58),AG58/AX58,"")</f>
        <v/>
      </c>
      <c r="BD58" s="47" t="str">
        <f aca="false">IF(AND(ISNUMBER(BC58),ISNUMBER(K58)),IF(K58&gt;0,BC58/K58^'Assumptions &amp; FX Reference'!$I$16,""),"")</f>
        <v/>
      </c>
      <c r="BE58" s="42" t="s">
        <v>540</v>
      </c>
      <c r="BF58" s="42" t="s">
        <v>541</v>
      </c>
      <c r="BG58" s="42" t="s">
        <v>369</v>
      </c>
      <c r="BH58" s="45" t="s">
        <v>313</v>
      </c>
      <c r="BI58" s="45" t="str">
        <f aca="false">"PMP-"&amp;TEXT(A58,"0000")</f>
        <v>PMP-0054</v>
      </c>
    </row>
    <row r="59" customFormat="false" ht="24" hidden="false" customHeight="true" outlineLevel="0" collapsed="false">
      <c r="A59" s="42" t="n">
        <v>55</v>
      </c>
      <c r="B59" s="42" t="s">
        <v>542</v>
      </c>
      <c r="C59" s="42" t="s">
        <v>476</v>
      </c>
      <c r="D59" s="42" t="s">
        <v>543</v>
      </c>
      <c r="E59" s="42" t="s">
        <v>51</v>
      </c>
      <c r="F59" s="42" t="s">
        <v>132</v>
      </c>
      <c r="G59" s="42" t="s">
        <v>115</v>
      </c>
      <c r="H59" s="43"/>
      <c r="I59" s="43"/>
      <c r="J59" s="43"/>
      <c r="K59" s="44" t="str">
        <f aca="false">IF(ISNUMBER(J59),J59,IF(AND(ISNUMBER(H59),ISNUMBER(I59)),H59*I59/(367*'Assumptions &amp; FX Reference'!$I$17),""))</f>
        <v/>
      </c>
      <c r="L59" s="45" t="str">
        <f aca="false">IF(IF(OR(M59="Not stated",M59=""),""," + "&amp;M59)&amp;IF(OR(N59="None",N59=""),""," + "&amp;N59)&amp;IF(O59="Y"," + NACE MR0175","")="","Not stated",MID(IF(OR(M59="Not stated",M59=""),""," + "&amp;M59)&amp;IF(OR(N59="None",N59=""),""," + "&amp;N59)&amp;IF(O59="Y"," + NACE MR0175",""),4,300))</f>
        <v>API 610 + IPS-G-PM-105</v>
      </c>
      <c r="M59" s="42" t="s">
        <v>478</v>
      </c>
      <c r="N59" s="42" t="s">
        <v>479</v>
      </c>
      <c r="O59" s="50" t="s">
        <v>312</v>
      </c>
      <c r="P59" s="42" t="s">
        <v>123</v>
      </c>
      <c r="Q59" s="42" t="s">
        <v>123</v>
      </c>
      <c r="R59" s="42" t="s">
        <v>123</v>
      </c>
      <c r="S59" s="50" t="s">
        <v>304</v>
      </c>
      <c r="T59" s="42" t="s">
        <v>334</v>
      </c>
      <c r="U59" s="42" t="n">
        <v>1</v>
      </c>
      <c r="V59" s="42" t="s">
        <v>306</v>
      </c>
      <c r="W59" s="43"/>
      <c r="X59" s="42" t="s">
        <v>123</v>
      </c>
      <c r="Y59" s="50" t="n">
        <v>1393</v>
      </c>
      <c r="Z59" s="42" t="s">
        <v>454</v>
      </c>
      <c r="AA59" s="46"/>
      <c r="AB59" s="47" t="str">
        <f aca="false">IF(NOT(ISNUMBER(AA59)),"",IF(NOT(ISNUMBER(Y59)),"",IFERROR(IF(Z59="EUR",AA59,IF(Z59="IRR",AA59/INDEX('Assumptions &amp; FX Reference'!$C$5:$C$25,MATCH(Y59,'Assumptions &amp; FX Reference'!$A$5:$A$25,0)),IF(Z59="USD",AA59*INDEX('Assumptions &amp; FX Reference'!$B$5:$B$25,MATCH(Y59,'Assumptions &amp; FX Reference'!$A$5:$A$25,0))/INDEX('Assumptions &amp; FX Reference'!$C$5:$C$25,MATCH(Y59,'Assumptions &amp; FX Reference'!$A$5:$A$25,0)),""))),"")))</f>
        <v/>
      </c>
      <c r="AC59" s="47" t="str">
        <f aca="false">IF(NOT(ISNUMBER(AA59)),"",IF(NOT(ISNUMBER(Y59)),"",IFERROR(IF(Z59="USD",AA59,IF(Z59="IRR",AA59/INDEX('Assumptions &amp; FX Reference'!$B$5:$B$25,MATCH(Y59,'Assumptions &amp; FX Reference'!$A$5:$A$25,0)),IF(Z59="EUR",AA59*INDEX('Assumptions &amp; FX Reference'!$C$5:$C$25,MATCH(Y59,'Assumptions &amp; FX Reference'!$A$5:$A$25,0))/INDEX('Assumptions &amp; FX Reference'!$B$5:$B$25,MATCH(Y59,'Assumptions &amp; FX Reference'!$A$5:$A$25,0)),""))),"")))</f>
        <v/>
      </c>
      <c r="AD59" s="47" t="str">
        <f aca="false">IF(NOT(ISNUMBER(AA59)),"",IF(NOT(ISNUMBER(Y59)),"",IFERROR(IF(Z59="IRR",AA59,IF(Z59="USD",AA59*INDEX('Assumptions &amp; FX Reference'!$B$5:$B$25,MATCH(Y59,'Assumptions &amp; FX Reference'!$A$5:$A$25,0)),IF(Z59="EUR",AA59*INDEX('Assumptions &amp; FX Reference'!$C$5:$C$25,MATCH(Y59,'Assumptions &amp; FX Reference'!$A$5:$A$25,0)),""))),"")))</f>
        <v/>
      </c>
      <c r="AE59" s="42" t="s">
        <v>535</v>
      </c>
      <c r="AF59" s="42" t="s">
        <v>123</v>
      </c>
      <c r="AG59" s="47" t="str">
        <f aca="false">IF(AND(Z59="EUR",N(AA59)&gt;5000000),"",IF(AND(ISNUMBER(AB59),ISNUMBER(AZ59),ISNUMBER(BA59)),IF(AND(BB59="Y",ISNUMBER('Assumptions &amp; FX Reference'!$I$15)),MAX(AB59*BA59/AZ59,'Assumptions &amp; FX Reference'!$I$13*BA59/'Assumptions &amp; FX Reference'!$I$15),AB59*BA59/AZ59),""))</f>
        <v/>
      </c>
      <c r="AH59" s="47" t="str">
        <f aca="false">IF(AND(ISNUMBER(AG59),ISNUMBER('Assumptions &amp; FX Reference'!$I$8),ISNUMBER('Assumptions &amp; FX Reference'!$I$11)),AG59*'Assumptions &amp; FX Reference'!$I$8/'Assumptions &amp; FX Reference'!$I$11,"")</f>
        <v/>
      </c>
      <c r="AI59" s="47" t="str">
        <f aca="false">IF(AND(ISNUMBER(AG59),ISNUMBER('Assumptions &amp; FX Reference'!$I$8)),AG59*'Assumptions &amp; FX Reference'!$I$8,"")</f>
        <v/>
      </c>
      <c r="AJ59" s="42" t="s">
        <v>481</v>
      </c>
      <c r="AK59" s="42" t="s">
        <v>482</v>
      </c>
      <c r="AL59" s="42" t="s">
        <v>123</v>
      </c>
      <c r="AM59" s="42" t="s">
        <v>123</v>
      </c>
      <c r="AN59" s="42" t="s">
        <v>123</v>
      </c>
      <c r="AO59" s="42" t="s">
        <v>123</v>
      </c>
      <c r="AP59" s="42" t="s">
        <v>123</v>
      </c>
      <c r="AQ59" s="42" t="s">
        <v>123</v>
      </c>
      <c r="AR59" s="42" t="s">
        <v>123</v>
      </c>
      <c r="AS59" s="45" t="str">
        <f aca="false">IF(AND(Z59="EUR",N(AA59)&gt;5000000),"Check currency (EUR&gt;5M); ","")&amp;IF(NOT(ISNUMBER(AA59)),"No price; ","")&amp;IF(G59="Not stated","Material missing; ","")&amp;IF(P59="Not stated","Seal missing; ","")&amp;IF(K59="","Size driver missing; ","")&amp;IF(NOT(ISNUMBER(AZ59)),"Base-year PPI missing; ","")</f>
        <v>No price; Seal missing; Size driver missing; </v>
      </c>
      <c r="AT59" s="48" t="n">
        <f aca="false">IFERROR(INDEX(Factors_ROT!$F$5:$F$200,MATCH("MAT|"&amp;G59,Factors_ROT!$A$5:$A$200,0)),1)</f>
        <v>1.9</v>
      </c>
      <c r="AU59" s="48" t="n">
        <f aca="false">IFERROR(INDEX(Factors_ROT!$F$5:$F$200,MATCH("SEAL_ARR|"&amp;P59,Factors_ROT!$A$5:$A$200,0)),1)*IFERROR(INDEX(Factors_ROT!$F$5:$F$200,MATCH("SEAL_CAT|"&amp;Q59,Factors_ROT!$A$5:$A$200,0)),1)*IFERROR(INDEX(Factors_ROT!$F$5:$F$200,MATCH("SEAL_PLAN|"&amp;R59,Factors_ROT!$A$5:$A$200,0)),1)</f>
        <v>1</v>
      </c>
      <c r="AV59" s="48" t="n">
        <f aca="false">IFERROR(INDEX(Factors_ROT!$F$5:$F$200,MATCH("DRV|"&amp;S59,Factors_ROT!$A$5:$A$200,0)),1)*IFERROR(INDEX(Factors_ROT!$F$5:$F$200,MATCH("NACE|"&amp;O59,Factors_ROT!$A$5:$A$200,0)),1)</f>
        <v>1</v>
      </c>
      <c r="AW59" s="48" t="n">
        <f aca="false">IFERROR(INDEX(Factors_ROT!$F$5:$F$200,MATCH("SC_DRV|"&amp;AL59,Factors_ROT!$A$5:$A$200,0)),1)*IFERROR(INDEX(Factors_ROT!$F$5:$F$200,MATCH("SC_BSP|"&amp;AM59,Factors_ROT!$A$5:$A$200,0)),1)*IFERROR(INDEX(Factors_ROT!$F$5:$F$200,MATCH("SC_SEAL|"&amp;AN59,Factors_ROT!$A$5:$A$200,0)),1)*IFERROR(INDEX(Factors_ROT!$F$5:$F$200,MATCH("SC_COMM|"&amp;AO59,Factors_ROT!$A$5:$A$200,0)),1)*IFERROR(INDEX(Factors_ROT!$F$5:$F$200,MATCH("SC_2Y|"&amp;AP59,Factors_ROT!$A$5:$A$200,0)),1)*IFERROR(INDEX(Factors_ROT!$F$5:$F$200,MATCH("SC_TPI|"&amp;AQ59,Factors_ROT!$A$5:$A$200,0)),1)*IFERROR(INDEX(Factors_ROT!$F$5:$F$200,MATCH("SC_FAT|"&amp;AR59,Factors_ROT!$A$5:$A$200,0)),1)</f>
        <v>1</v>
      </c>
      <c r="AX59" s="48" t="n">
        <f aca="false">AT59*AU59*AV59*AW59</f>
        <v>1.9</v>
      </c>
      <c r="AY59" s="47" t="str">
        <f aca="false">IF(ISNUMBER(AB59),AB59/AX59,"")</f>
        <v/>
      </c>
      <c r="AZ59" s="49" t="n">
        <f aca="false">IFERROR(IF(N(INDEX(Escalation_Index!$B$5:$B$25,MATCH(Y59,Escalation_Index!$A$5:$A$25,0)))&gt;0,INDEX(Escalation_Index!$B$5:$B$25,MATCH(Y59,Escalation_Index!$A$5:$A$25,0)),""),"")</f>
        <v>91.347</v>
      </c>
      <c r="BA59" s="49" t="n">
        <f aca="false">IF(ISNUMBER('Assumptions &amp; FX Reference'!$I$12),'Assumptions &amp; FX Reference'!$I$12,"")</f>
        <v>123.416</v>
      </c>
      <c r="BB59" s="45" t="str">
        <f aca="false">IF(AND(M59="API 610",LEFT(V59,11)="Centrifugal",OR(LEFT(G59,2)="S-",LEFT(G59,2)="D-")),"Y","N")</f>
        <v>Y</v>
      </c>
      <c r="BC59" s="47" t="str">
        <f aca="false">IF(ISNUMBER(AG59),AG59/AX59,"")</f>
        <v/>
      </c>
      <c r="BD59" s="47" t="str">
        <f aca="false">IF(AND(ISNUMBER(BC59),ISNUMBER(K59)),IF(K59&gt;0,BC59/K59^'Assumptions &amp; FX Reference'!$I$16,""),"")</f>
        <v/>
      </c>
      <c r="BE59" s="42" t="s">
        <v>544</v>
      </c>
      <c r="BF59" s="42" t="s">
        <v>545</v>
      </c>
      <c r="BG59" s="42" t="s">
        <v>369</v>
      </c>
      <c r="BH59" s="45" t="s">
        <v>313</v>
      </c>
      <c r="BI59" s="45" t="str">
        <f aca="false">"PMP-"&amp;TEXT(A59,"0000")</f>
        <v>PMP-0055</v>
      </c>
    </row>
    <row r="60" customFormat="false" ht="24" hidden="false" customHeight="true" outlineLevel="0" collapsed="false">
      <c r="A60" s="42" t="n">
        <v>56</v>
      </c>
      <c r="B60" s="42" t="s">
        <v>542</v>
      </c>
      <c r="C60" s="42" t="s">
        <v>476</v>
      </c>
      <c r="D60" s="42" t="s">
        <v>546</v>
      </c>
      <c r="E60" s="42" t="s">
        <v>51</v>
      </c>
      <c r="F60" s="42" t="s">
        <v>132</v>
      </c>
      <c r="G60" s="42" t="s">
        <v>115</v>
      </c>
      <c r="H60" s="43"/>
      <c r="I60" s="43"/>
      <c r="J60" s="43"/>
      <c r="K60" s="44" t="str">
        <f aca="false">IF(ISNUMBER(J60),J60,IF(AND(ISNUMBER(H60),ISNUMBER(I60)),H60*I60/(367*'Assumptions &amp; FX Reference'!$I$17),""))</f>
        <v/>
      </c>
      <c r="L60" s="45" t="str">
        <f aca="false">IF(IF(OR(M60="Not stated",M60=""),""," + "&amp;M60)&amp;IF(OR(N60="None",N60=""),""," + "&amp;N60)&amp;IF(O60="Y"," + NACE MR0175","")="","Not stated",MID(IF(OR(M60="Not stated",M60=""),""," + "&amp;M60)&amp;IF(OR(N60="None",N60=""),""," + "&amp;N60)&amp;IF(O60="Y"," + NACE MR0175",""),4,300))</f>
        <v>API 610 + IPS-G-PM-105</v>
      </c>
      <c r="M60" s="42" t="s">
        <v>478</v>
      </c>
      <c r="N60" s="42" t="s">
        <v>479</v>
      </c>
      <c r="O60" s="50" t="s">
        <v>312</v>
      </c>
      <c r="P60" s="42" t="s">
        <v>123</v>
      </c>
      <c r="Q60" s="42" t="s">
        <v>123</v>
      </c>
      <c r="R60" s="42" t="s">
        <v>123</v>
      </c>
      <c r="S60" s="50" t="s">
        <v>304</v>
      </c>
      <c r="T60" s="42" t="s">
        <v>334</v>
      </c>
      <c r="U60" s="42" t="n">
        <v>1</v>
      </c>
      <c r="V60" s="42" t="s">
        <v>306</v>
      </c>
      <c r="W60" s="43"/>
      <c r="X60" s="42" t="s">
        <v>123</v>
      </c>
      <c r="Y60" s="50" t="n">
        <v>1393</v>
      </c>
      <c r="Z60" s="42" t="s">
        <v>454</v>
      </c>
      <c r="AA60" s="46"/>
      <c r="AB60" s="47" t="str">
        <f aca="false">IF(NOT(ISNUMBER(AA60)),"",IF(NOT(ISNUMBER(Y60)),"",IFERROR(IF(Z60="EUR",AA60,IF(Z60="IRR",AA60/INDEX('Assumptions &amp; FX Reference'!$C$5:$C$25,MATCH(Y60,'Assumptions &amp; FX Reference'!$A$5:$A$25,0)),IF(Z60="USD",AA60*INDEX('Assumptions &amp; FX Reference'!$B$5:$B$25,MATCH(Y60,'Assumptions &amp; FX Reference'!$A$5:$A$25,0))/INDEX('Assumptions &amp; FX Reference'!$C$5:$C$25,MATCH(Y60,'Assumptions &amp; FX Reference'!$A$5:$A$25,0)),""))),"")))</f>
        <v/>
      </c>
      <c r="AC60" s="47" t="str">
        <f aca="false">IF(NOT(ISNUMBER(AA60)),"",IF(NOT(ISNUMBER(Y60)),"",IFERROR(IF(Z60="USD",AA60,IF(Z60="IRR",AA60/INDEX('Assumptions &amp; FX Reference'!$B$5:$B$25,MATCH(Y60,'Assumptions &amp; FX Reference'!$A$5:$A$25,0)),IF(Z60="EUR",AA60*INDEX('Assumptions &amp; FX Reference'!$C$5:$C$25,MATCH(Y60,'Assumptions &amp; FX Reference'!$A$5:$A$25,0))/INDEX('Assumptions &amp; FX Reference'!$B$5:$B$25,MATCH(Y60,'Assumptions &amp; FX Reference'!$A$5:$A$25,0)),""))),"")))</f>
        <v/>
      </c>
      <c r="AD60" s="47" t="str">
        <f aca="false">IF(NOT(ISNUMBER(AA60)),"",IF(NOT(ISNUMBER(Y60)),"",IFERROR(IF(Z60="IRR",AA60,IF(Z60="USD",AA60*INDEX('Assumptions &amp; FX Reference'!$B$5:$B$25,MATCH(Y60,'Assumptions &amp; FX Reference'!$A$5:$A$25,0)),IF(Z60="EUR",AA60*INDEX('Assumptions &amp; FX Reference'!$C$5:$C$25,MATCH(Y60,'Assumptions &amp; FX Reference'!$A$5:$A$25,0)),""))),"")))</f>
        <v/>
      </c>
      <c r="AE60" s="42" t="s">
        <v>535</v>
      </c>
      <c r="AF60" s="42" t="s">
        <v>123</v>
      </c>
      <c r="AG60" s="47" t="str">
        <f aca="false">IF(AND(Z60="EUR",N(AA60)&gt;5000000),"",IF(AND(ISNUMBER(AB60),ISNUMBER(AZ60),ISNUMBER(BA60)),IF(AND(BB60="Y",ISNUMBER('Assumptions &amp; FX Reference'!$I$15)),MAX(AB60*BA60/AZ60,'Assumptions &amp; FX Reference'!$I$13*BA60/'Assumptions &amp; FX Reference'!$I$15),AB60*BA60/AZ60),""))</f>
        <v/>
      </c>
      <c r="AH60" s="47" t="str">
        <f aca="false">IF(AND(ISNUMBER(AG60),ISNUMBER('Assumptions &amp; FX Reference'!$I$8),ISNUMBER('Assumptions &amp; FX Reference'!$I$11)),AG60*'Assumptions &amp; FX Reference'!$I$8/'Assumptions &amp; FX Reference'!$I$11,"")</f>
        <v/>
      </c>
      <c r="AI60" s="47" t="str">
        <f aca="false">IF(AND(ISNUMBER(AG60),ISNUMBER('Assumptions &amp; FX Reference'!$I$8)),AG60*'Assumptions &amp; FX Reference'!$I$8,"")</f>
        <v/>
      </c>
      <c r="AJ60" s="42" t="s">
        <v>481</v>
      </c>
      <c r="AK60" s="42" t="s">
        <v>482</v>
      </c>
      <c r="AL60" s="42" t="s">
        <v>123</v>
      </c>
      <c r="AM60" s="42" t="s">
        <v>123</v>
      </c>
      <c r="AN60" s="42" t="s">
        <v>123</v>
      </c>
      <c r="AO60" s="42" t="s">
        <v>123</v>
      </c>
      <c r="AP60" s="42" t="s">
        <v>123</v>
      </c>
      <c r="AQ60" s="42" t="s">
        <v>123</v>
      </c>
      <c r="AR60" s="42" t="s">
        <v>123</v>
      </c>
      <c r="AS60" s="45" t="str">
        <f aca="false">IF(AND(Z60="EUR",N(AA60)&gt;5000000),"Check currency (EUR&gt;5M); ","")&amp;IF(NOT(ISNUMBER(AA60)),"No price; ","")&amp;IF(G60="Not stated","Material missing; ","")&amp;IF(P60="Not stated","Seal missing; ","")&amp;IF(K60="","Size driver missing; ","")&amp;IF(NOT(ISNUMBER(AZ60)),"Base-year PPI missing; ","")</f>
        <v>No price; Seal missing; Size driver missing; </v>
      </c>
      <c r="AT60" s="48" t="n">
        <f aca="false">IFERROR(INDEX(Factors_ROT!$F$5:$F$200,MATCH("MAT|"&amp;G60,Factors_ROT!$A$5:$A$200,0)),1)</f>
        <v>1.9</v>
      </c>
      <c r="AU60" s="48" t="n">
        <f aca="false">IFERROR(INDEX(Factors_ROT!$F$5:$F$200,MATCH("SEAL_ARR|"&amp;P60,Factors_ROT!$A$5:$A$200,0)),1)*IFERROR(INDEX(Factors_ROT!$F$5:$F$200,MATCH("SEAL_CAT|"&amp;Q60,Factors_ROT!$A$5:$A$200,0)),1)*IFERROR(INDEX(Factors_ROT!$F$5:$F$200,MATCH("SEAL_PLAN|"&amp;R60,Factors_ROT!$A$5:$A$200,0)),1)</f>
        <v>1</v>
      </c>
      <c r="AV60" s="48" t="n">
        <f aca="false">IFERROR(INDEX(Factors_ROT!$F$5:$F$200,MATCH("DRV|"&amp;S60,Factors_ROT!$A$5:$A$200,0)),1)*IFERROR(INDEX(Factors_ROT!$F$5:$F$200,MATCH("NACE|"&amp;O60,Factors_ROT!$A$5:$A$200,0)),1)</f>
        <v>1</v>
      </c>
      <c r="AW60" s="48" t="n">
        <f aca="false">IFERROR(INDEX(Factors_ROT!$F$5:$F$200,MATCH("SC_DRV|"&amp;AL60,Factors_ROT!$A$5:$A$200,0)),1)*IFERROR(INDEX(Factors_ROT!$F$5:$F$200,MATCH("SC_BSP|"&amp;AM60,Factors_ROT!$A$5:$A$200,0)),1)*IFERROR(INDEX(Factors_ROT!$F$5:$F$200,MATCH("SC_SEAL|"&amp;AN60,Factors_ROT!$A$5:$A$200,0)),1)*IFERROR(INDEX(Factors_ROT!$F$5:$F$200,MATCH("SC_COMM|"&amp;AO60,Factors_ROT!$A$5:$A$200,0)),1)*IFERROR(INDEX(Factors_ROT!$F$5:$F$200,MATCH("SC_2Y|"&amp;AP60,Factors_ROT!$A$5:$A$200,0)),1)*IFERROR(INDEX(Factors_ROT!$F$5:$F$200,MATCH("SC_TPI|"&amp;AQ60,Factors_ROT!$A$5:$A$200,0)),1)*IFERROR(INDEX(Factors_ROT!$F$5:$F$200,MATCH("SC_FAT|"&amp;AR60,Factors_ROT!$A$5:$A$200,0)),1)</f>
        <v>1</v>
      </c>
      <c r="AX60" s="48" t="n">
        <f aca="false">AT60*AU60*AV60*AW60</f>
        <v>1.9</v>
      </c>
      <c r="AY60" s="47" t="str">
        <f aca="false">IF(ISNUMBER(AB60),AB60/AX60,"")</f>
        <v/>
      </c>
      <c r="AZ60" s="49" t="n">
        <f aca="false">IFERROR(IF(N(INDEX(Escalation_Index!$B$5:$B$25,MATCH(Y60,Escalation_Index!$A$5:$A$25,0)))&gt;0,INDEX(Escalation_Index!$B$5:$B$25,MATCH(Y60,Escalation_Index!$A$5:$A$25,0)),""),"")</f>
        <v>91.347</v>
      </c>
      <c r="BA60" s="49" t="n">
        <f aca="false">IF(ISNUMBER('Assumptions &amp; FX Reference'!$I$12),'Assumptions &amp; FX Reference'!$I$12,"")</f>
        <v>123.416</v>
      </c>
      <c r="BB60" s="45" t="str">
        <f aca="false">IF(AND(M60="API 610",LEFT(V60,11)="Centrifugal",OR(LEFT(G60,2)="S-",LEFT(G60,2)="D-")),"Y","N")</f>
        <v>Y</v>
      </c>
      <c r="BC60" s="47" t="str">
        <f aca="false">IF(ISNUMBER(AG60),AG60/AX60,"")</f>
        <v/>
      </c>
      <c r="BD60" s="47" t="str">
        <f aca="false">IF(AND(ISNUMBER(BC60),ISNUMBER(K60)),IF(K60&gt;0,BC60/K60^'Assumptions &amp; FX Reference'!$I$16,""),"")</f>
        <v/>
      </c>
      <c r="BE60" s="42" t="s">
        <v>547</v>
      </c>
      <c r="BF60" s="42" t="s">
        <v>548</v>
      </c>
      <c r="BG60" s="42" t="s">
        <v>369</v>
      </c>
      <c r="BH60" s="45" t="s">
        <v>313</v>
      </c>
      <c r="BI60" s="45" t="str">
        <f aca="false">"PMP-"&amp;TEXT(A60,"0000")</f>
        <v>PMP-0056</v>
      </c>
    </row>
    <row r="61" customFormat="false" ht="24" hidden="false" customHeight="true" outlineLevel="0" collapsed="false">
      <c r="A61" s="42" t="n">
        <v>57</v>
      </c>
      <c r="B61" s="42" t="s">
        <v>549</v>
      </c>
      <c r="C61" s="42" t="s">
        <v>476</v>
      </c>
      <c r="D61" s="42" t="s">
        <v>550</v>
      </c>
      <c r="E61" s="42" t="s">
        <v>54</v>
      </c>
      <c r="F61" s="42" t="s">
        <v>192</v>
      </c>
      <c r="G61" s="42" t="s">
        <v>111</v>
      </c>
      <c r="H61" s="43"/>
      <c r="I61" s="43"/>
      <c r="J61" s="43"/>
      <c r="K61" s="44" t="str">
        <f aca="false">IF(ISNUMBER(J61),J61,IF(AND(ISNUMBER(H61),ISNUMBER(I61)),H61*I61/(367*'Assumptions &amp; FX Reference'!$I$17),""))</f>
        <v/>
      </c>
      <c r="L61" s="45" t="str">
        <f aca="false">IF(IF(OR(M61="Not stated",M61=""),""," + "&amp;M61)&amp;IF(OR(N61="None",N61=""),""," + "&amp;N61)&amp;IF(O61="Y"," + NACE MR0175","")="","Not stated",MID(IF(OR(M61="Not stated",M61=""),""," + "&amp;M61)&amp;IF(OR(N61="None",N61=""),""," + "&amp;N61)&amp;IF(O61="Y"," + NACE MR0175",""),4,300))</f>
        <v>API 676 + IPS-M-PM-140</v>
      </c>
      <c r="M61" s="42" t="s">
        <v>491</v>
      </c>
      <c r="N61" s="42" t="s">
        <v>492</v>
      </c>
      <c r="O61" s="50" t="s">
        <v>312</v>
      </c>
      <c r="P61" s="42" t="s">
        <v>123</v>
      </c>
      <c r="Q61" s="42" t="s">
        <v>123</v>
      </c>
      <c r="R61" s="42" t="s">
        <v>123</v>
      </c>
      <c r="S61" s="50" t="s">
        <v>304</v>
      </c>
      <c r="T61" s="42" t="s">
        <v>432</v>
      </c>
      <c r="U61" s="42" t="n">
        <v>1</v>
      </c>
      <c r="V61" s="42" t="s">
        <v>493</v>
      </c>
      <c r="W61" s="43"/>
      <c r="X61" s="42" t="s">
        <v>123</v>
      </c>
      <c r="Y61" s="50" t="n">
        <v>1393</v>
      </c>
      <c r="Z61" s="42" t="s">
        <v>454</v>
      </c>
      <c r="AA61" s="46"/>
      <c r="AB61" s="47" t="str">
        <f aca="false">IF(NOT(ISNUMBER(AA61)),"",IF(NOT(ISNUMBER(Y61)),"",IFERROR(IF(Z61="EUR",AA61,IF(Z61="IRR",AA61/INDEX('Assumptions &amp; FX Reference'!$C$5:$C$25,MATCH(Y61,'Assumptions &amp; FX Reference'!$A$5:$A$25,0)),IF(Z61="USD",AA61*INDEX('Assumptions &amp; FX Reference'!$B$5:$B$25,MATCH(Y61,'Assumptions &amp; FX Reference'!$A$5:$A$25,0))/INDEX('Assumptions &amp; FX Reference'!$C$5:$C$25,MATCH(Y61,'Assumptions &amp; FX Reference'!$A$5:$A$25,0)),""))),"")))</f>
        <v/>
      </c>
      <c r="AC61" s="47" t="str">
        <f aca="false">IF(NOT(ISNUMBER(AA61)),"",IF(NOT(ISNUMBER(Y61)),"",IFERROR(IF(Z61="USD",AA61,IF(Z61="IRR",AA61/INDEX('Assumptions &amp; FX Reference'!$B$5:$B$25,MATCH(Y61,'Assumptions &amp; FX Reference'!$A$5:$A$25,0)),IF(Z61="EUR",AA61*INDEX('Assumptions &amp; FX Reference'!$C$5:$C$25,MATCH(Y61,'Assumptions &amp; FX Reference'!$A$5:$A$25,0))/INDEX('Assumptions &amp; FX Reference'!$B$5:$B$25,MATCH(Y61,'Assumptions &amp; FX Reference'!$A$5:$A$25,0)),""))),"")))</f>
        <v/>
      </c>
      <c r="AD61" s="47" t="str">
        <f aca="false">IF(NOT(ISNUMBER(AA61)),"",IF(NOT(ISNUMBER(Y61)),"",IFERROR(IF(Z61="IRR",AA61,IF(Z61="USD",AA61*INDEX('Assumptions &amp; FX Reference'!$B$5:$B$25,MATCH(Y61,'Assumptions &amp; FX Reference'!$A$5:$A$25,0)),IF(Z61="EUR",AA61*INDEX('Assumptions &amp; FX Reference'!$C$5:$C$25,MATCH(Y61,'Assumptions &amp; FX Reference'!$A$5:$A$25,0)),""))),"")))</f>
        <v/>
      </c>
      <c r="AE61" s="42" t="s">
        <v>535</v>
      </c>
      <c r="AF61" s="42" t="s">
        <v>123</v>
      </c>
      <c r="AG61" s="47" t="str">
        <f aca="false">IF(AND(Z61="EUR",N(AA61)&gt;5000000),"",IF(AND(ISNUMBER(AB61),ISNUMBER(AZ61),ISNUMBER(BA61)),IF(AND(BB61="Y",ISNUMBER('Assumptions &amp; FX Reference'!$I$15)),MAX(AB61*BA61/AZ61,'Assumptions &amp; FX Reference'!$I$13*BA61/'Assumptions &amp; FX Reference'!$I$15),AB61*BA61/AZ61),""))</f>
        <v/>
      </c>
      <c r="AH61" s="47" t="str">
        <f aca="false">IF(AND(ISNUMBER(AG61),ISNUMBER('Assumptions &amp; FX Reference'!$I$8),ISNUMBER('Assumptions &amp; FX Reference'!$I$11)),AG61*'Assumptions &amp; FX Reference'!$I$8/'Assumptions &amp; FX Reference'!$I$11,"")</f>
        <v/>
      </c>
      <c r="AI61" s="47" t="str">
        <f aca="false">IF(AND(ISNUMBER(AG61),ISNUMBER('Assumptions &amp; FX Reference'!$I$8)),AG61*'Assumptions &amp; FX Reference'!$I$8,"")</f>
        <v/>
      </c>
      <c r="AJ61" s="42" t="s">
        <v>481</v>
      </c>
      <c r="AK61" s="42" t="s">
        <v>482</v>
      </c>
      <c r="AL61" s="42" t="s">
        <v>123</v>
      </c>
      <c r="AM61" s="42" t="s">
        <v>123</v>
      </c>
      <c r="AN61" s="42" t="s">
        <v>123</v>
      </c>
      <c r="AO61" s="42" t="s">
        <v>123</v>
      </c>
      <c r="AP61" s="42" t="s">
        <v>123</v>
      </c>
      <c r="AQ61" s="42" t="s">
        <v>123</v>
      </c>
      <c r="AR61" s="42" t="s">
        <v>123</v>
      </c>
      <c r="AS61" s="45" t="str">
        <f aca="false">IF(AND(Z61="EUR",N(AA61)&gt;5000000),"Check currency (EUR&gt;5M); ","")&amp;IF(NOT(ISNUMBER(AA61)),"No price; ","")&amp;IF(G61="Not stated","Material missing; ","")&amp;IF(P61="Not stated","Seal missing; ","")&amp;IF(K61="","Size driver missing; ","")&amp;IF(NOT(ISNUMBER(AZ61)),"Base-year PPI missing; ","")</f>
        <v>No price; Seal missing; Size driver missing; </v>
      </c>
      <c r="AT61" s="48" t="n">
        <f aca="false">IFERROR(INDEX(Factors_ROT!$F$5:$F$200,MATCH("MAT|"&amp;G61,Factors_ROT!$A$5:$A$200,0)),1)</f>
        <v>1.7</v>
      </c>
      <c r="AU61" s="48" t="n">
        <f aca="false">IFERROR(INDEX(Factors_ROT!$F$5:$F$200,MATCH("SEAL_ARR|"&amp;P61,Factors_ROT!$A$5:$A$200,0)),1)*IFERROR(INDEX(Factors_ROT!$F$5:$F$200,MATCH("SEAL_CAT|"&amp;Q61,Factors_ROT!$A$5:$A$200,0)),1)*IFERROR(INDEX(Factors_ROT!$F$5:$F$200,MATCH("SEAL_PLAN|"&amp;R61,Factors_ROT!$A$5:$A$200,0)),1)</f>
        <v>1</v>
      </c>
      <c r="AV61" s="48" t="n">
        <f aca="false">IFERROR(INDEX(Factors_ROT!$F$5:$F$200,MATCH("DRV|"&amp;S61,Factors_ROT!$A$5:$A$200,0)),1)*IFERROR(INDEX(Factors_ROT!$F$5:$F$200,MATCH("NACE|"&amp;O61,Factors_ROT!$A$5:$A$200,0)),1)</f>
        <v>1</v>
      </c>
      <c r="AW61" s="48" t="n">
        <f aca="false">IFERROR(INDEX(Factors_ROT!$F$5:$F$200,MATCH("SC_DRV|"&amp;AL61,Factors_ROT!$A$5:$A$200,0)),1)*IFERROR(INDEX(Factors_ROT!$F$5:$F$200,MATCH("SC_BSP|"&amp;AM61,Factors_ROT!$A$5:$A$200,0)),1)*IFERROR(INDEX(Factors_ROT!$F$5:$F$200,MATCH("SC_SEAL|"&amp;AN61,Factors_ROT!$A$5:$A$200,0)),1)*IFERROR(INDEX(Factors_ROT!$F$5:$F$200,MATCH("SC_COMM|"&amp;AO61,Factors_ROT!$A$5:$A$200,0)),1)*IFERROR(INDEX(Factors_ROT!$F$5:$F$200,MATCH("SC_2Y|"&amp;AP61,Factors_ROT!$A$5:$A$200,0)),1)*IFERROR(INDEX(Factors_ROT!$F$5:$F$200,MATCH("SC_TPI|"&amp;AQ61,Factors_ROT!$A$5:$A$200,0)),1)*IFERROR(INDEX(Factors_ROT!$F$5:$F$200,MATCH("SC_FAT|"&amp;AR61,Factors_ROT!$A$5:$A$200,0)),1)</f>
        <v>1</v>
      </c>
      <c r="AX61" s="48" t="n">
        <f aca="false">AT61*AU61*AV61*AW61</f>
        <v>1.7</v>
      </c>
      <c r="AY61" s="47" t="str">
        <f aca="false">IF(ISNUMBER(AB61),AB61/AX61,"")</f>
        <v/>
      </c>
      <c r="AZ61" s="49" t="n">
        <f aca="false">IFERROR(IF(N(INDEX(Escalation_Index!$B$5:$B$25,MATCH(Y61,Escalation_Index!$A$5:$A$25,0)))&gt;0,INDEX(Escalation_Index!$B$5:$B$25,MATCH(Y61,Escalation_Index!$A$5:$A$25,0)),""),"")</f>
        <v>91.347</v>
      </c>
      <c r="BA61" s="49" t="n">
        <f aca="false">IF(ISNUMBER('Assumptions &amp; FX Reference'!$I$12),'Assumptions &amp; FX Reference'!$I$12,"")</f>
        <v>123.416</v>
      </c>
      <c r="BB61" s="45" t="str">
        <f aca="false">IF(AND(M61="API 610",LEFT(V61,11)="Centrifugal",OR(LEFT(G61,2)="S-",LEFT(G61,2)="D-")),"Y","N")</f>
        <v>N</v>
      </c>
      <c r="BC61" s="47" t="str">
        <f aca="false">IF(ISNUMBER(AG61),AG61/AX61,"")</f>
        <v/>
      </c>
      <c r="BD61" s="47" t="str">
        <f aca="false">IF(AND(ISNUMBER(BC61),ISNUMBER(K61)),IF(K61&gt;0,BC61/K61^'Assumptions &amp; FX Reference'!$I$16,""),"")</f>
        <v/>
      </c>
      <c r="BE61" s="42" t="s">
        <v>551</v>
      </c>
      <c r="BF61" s="42" t="s">
        <v>552</v>
      </c>
      <c r="BG61" s="42" t="s">
        <v>369</v>
      </c>
      <c r="BH61" s="45" t="s">
        <v>313</v>
      </c>
      <c r="BI61" s="45" t="str">
        <f aca="false">"PMP-"&amp;TEXT(A61,"0000")</f>
        <v>PMP-0057</v>
      </c>
    </row>
    <row r="62" customFormat="false" ht="24" hidden="false" customHeight="true" outlineLevel="0" collapsed="false">
      <c r="A62" s="42" t="n">
        <v>58</v>
      </c>
      <c r="B62" s="42" t="s">
        <v>553</v>
      </c>
      <c r="C62" s="42" t="s">
        <v>476</v>
      </c>
      <c r="D62" s="42" t="s">
        <v>554</v>
      </c>
      <c r="E62" s="42" t="s">
        <v>54</v>
      </c>
      <c r="F62" s="42" t="s">
        <v>192</v>
      </c>
      <c r="G62" s="42" t="s">
        <v>115</v>
      </c>
      <c r="H62" s="43"/>
      <c r="I62" s="43"/>
      <c r="J62" s="43"/>
      <c r="K62" s="44" t="str">
        <f aca="false">IF(ISNUMBER(J62),J62,IF(AND(ISNUMBER(H62),ISNUMBER(I62)),H62*I62/(367*'Assumptions &amp; FX Reference'!$I$17),""))</f>
        <v/>
      </c>
      <c r="L62" s="45" t="str">
        <f aca="false">IF(IF(OR(M62="Not stated",M62=""),""," + "&amp;M62)&amp;IF(OR(N62="None",N62=""),""," + "&amp;N62)&amp;IF(O62="Y"," + NACE MR0175","")="","Not stated",MID(IF(OR(M62="Not stated",M62=""),""," + "&amp;M62)&amp;IF(OR(N62="None",N62=""),""," + "&amp;N62)&amp;IF(O62="Y"," + NACE MR0175",""),4,300))</f>
        <v>API 610 + IPS-G-PM-105</v>
      </c>
      <c r="M62" s="42" t="s">
        <v>478</v>
      </c>
      <c r="N62" s="42" t="s">
        <v>479</v>
      </c>
      <c r="O62" s="50" t="s">
        <v>312</v>
      </c>
      <c r="P62" s="42" t="s">
        <v>123</v>
      </c>
      <c r="Q62" s="42" t="s">
        <v>123</v>
      </c>
      <c r="R62" s="42" t="s">
        <v>123</v>
      </c>
      <c r="S62" s="50" t="s">
        <v>304</v>
      </c>
      <c r="T62" s="42" t="s">
        <v>555</v>
      </c>
      <c r="U62" s="42" t="n">
        <v>1</v>
      </c>
      <c r="V62" s="42" t="s">
        <v>351</v>
      </c>
      <c r="W62" s="43"/>
      <c r="X62" s="42" t="s">
        <v>123</v>
      </c>
      <c r="Y62" s="50" t="n">
        <v>1393</v>
      </c>
      <c r="Z62" s="42" t="s">
        <v>454</v>
      </c>
      <c r="AA62" s="46"/>
      <c r="AB62" s="47" t="str">
        <f aca="false">IF(NOT(ISNUMBER(AA62)),"",IF(NOT(ISNUMBER(Y62)),"",IFERROR(IF(Z62="EUR",AA62,IF(Z62="IRR",AA62/INDEX('Assumptions &amp; FX Reference'!$C$5:$C$25,MATCH(Y62,'Assumptions &amp; FX Reference'!$A$5:$A$25,0)),IF(Z62="USD",AA62*INDEX('Assumptions &amp; FX Reference'!$B$5:$B$25,MATCH(Y62,'Assumptions &amp; FX Reference'!$A$5:$A$25,0))/INDEX('Assumptions &amp; FX Reference'!$C$5:$C$25,MATCH(Y62,'Assumptions &amp; FX Reference'!$A$5:$A$25,0)),""))),"")))</f>
        <v/>
      </c>
      <c r="AC62" s="47" t="str">
        <f aca="false">IF(NOT(ISNUMBER(AA62)),"",IF(NOT(ISNUMBER(Y62)),"",IFERROR(IF(Z62="USD",AA62,IF(Z62="IRR",AA62/INDEX('Assumptions &amp; FX Reference'!$B$5:$B$25,MATCH(Y62,'Assumptions &amp; FX Reference'!$A$5:$A$25,0)),IF(Z62="EUR",AA62*INDEX('Assumptions &amp; FX Reference'!$C$5:$C$25,MATCH(Y62,'Assumptions &amp; FX Reference'!$A$5:$A$25,0))/INDEX('Assumptions &amp; FX Reference'!$B$5:$B$25,MATCH(Y62,'Assumptions &amp; FX Reference'!$A$5:$A$25,0)),""))),"")))</f>
        <v/>
      </c>
      <c r="AD62" s="47" t="str">
        <f aca="false">IF(NOT(ISNUMBER(AA62)),"",IF(NOT(ISNUMBER(Y62)),"",IFERROR(IF(Z62="IRR",AA62,IF(Z62="USD",AA62*INDEX('Assumptions &amp; FX Reference'!$B$5:$B$25,MATCH(Y62,'Assumptions &amp; FX Reference'!$A$5:$A$25,0)),IF(Z62="EUR",AA62*INDEX('Assumptions &amp; FX Reference'!$C$5:$C$25,MATCH(Y62,'Assumptions &amp; FX Reference'!$A$5:$A$25,0)),""))),"")))</f>
        <v/>
      </c>
      <c r="AE62" s="42" t="s">
        <v>535</v>
      </c>
      <c r="AF62" s="42" t="s">
        <v>123</v>
      </c>
      <c r="AG62" s="47" t="str">
        <f aca="false">IF(AND(Z62="EUR",N(AA62)&gt;5000000),"",IF(AND(ISNUMBER(AB62),ISNUMBER(AZ62),ISNUMBER(BA62)),IF(AND(BB62="Y",ISNUMBER('Assumptions &amp; FX Reference'!$I$15)),MAX(AB62*BA62/AZ62,'Assumptions &amp; FX Reference'!$I$13*BA62/'Assumptions &amp; FX Reference'!$I$15),AB62*BA62/AZ62),""))</f>
        <v/>
      </c>
      <c r="AH62" s="47" t="str">
        <f aca="false">IF(AND(ISNUMBER(AG62),ISNUMBER('Assumptions &amp; FX Reference'!$I$8),ISNUMBER('Assumptions &amp; FX Reference'!$I$11)),AG62*'Assumptions &amp; FX Reference'!$I$8/'Assumptions &amp; FX Reference'!$I$11,"")</f>
        <v/>
      </c>
      <c r="AI62" s="47" t="str">
        <f aca="false">IF(AND(ISNUMBER(AG62),ISNUMBER('Assumptions &amp; FX Reference'!$I$8)),AG62*'Assumptions &amp; FX Reference'!$I$8,"")</f>
        <v/>
      </c>
      <c r="AJ62" s="42" t="s">
        <v>481</v>
      </c>
      <c r="AK62" s="42" t="s">
        <v>482</v>
      </c>
      <c r="AL62" s="42" t="s">
        <v>123</v>
      </c>
      <c r="AM62" s="42" t="s">
        <v>123</v>
      </c>
      <c r="AN62" s="42" t="s">
        <v>123</v>
      </c>
      <c r="AO62" s="42" t="s">
        <v>123</v>
      </c>
      <c r="AP62" s="42" t="s">
        <v>123</v>
      </c>
      <c r="AQ62" s="42" t="s">
        <v>123</v>
      </c>
      <c r="AR62" s="42" t="s">
        <v>123</v>
      </c>
      <c r="AS62" s="45" t="str">
        <f aca="false">IF(AND(Z62="EUR",N(AA62)&gt;5000000),"Check currency (EUR&gt;5M); ","")&amp;IF(NOT(ISNUMBER(AA62)),"No price; ","")&amp;IF(G62="Not stated","Material missing; ","")&amp;IF(P62="Not stated","Seal missing; ","")&amp;IF(K62="","Size driver missing; ","")&amp;IF(NOT(ISNUMBER(AZ62)),"Base-year PPI missing; ","")</f>
        <v>No price; Seal missing; Size driver missing; </v>
      </c>
      <c r="AT62" s="48" t="n">
        <f aca="false">IFERROR(INDEX(Factors_ROT!$F$5:$F$200,MATCH("MAT|"&amp;G62,Factors_ROT!$A$5:$A$200,0)),1)</f>
        <v>1.9</v>
      </c>
      <c r="AU62" s="48" t="n">
        <f aca="false">IFERROR(INDEX(Factors_ROT!$F$5:$F$200,MATCH("SEAL_ARR|"&amp;P62,Factors_ROT!$A$5:$A$200,0)),1)*IFERROR(INDEX(Factors_ROT!$F$5:$F$200,MATCH("SEAL_CAT|"&amp;Q62,Factors_ROT!$A$5:$A$200,0)),1)*IFERROR(INDEX(Factors_ROT!$F$5:$F$200,MATCH("SEAL_PLAN|"&amp;R62,Factors_ROT!$A$5:$A$200,0)),1)</f>
        <v>1</v>
      </c>
      <c r="AV62" s="48" t="n">
        <f aca="false">IFERROR(INDEX(Factors_ROT!$F$5:$F$200,MATCH("DRV|"&amp;S62,Factors_ROT!$A$5:$A$200,0)),1)*IFERROR(INDEX(Factors_ROT!$F$5:$F$200,MATCH("NACE|"&amp;O62,Factors_ROT!$A$5:$A$200,0)),1)</f>
        <v>1</v>
      </c>
      <c r="AW62" s="48" t="n">
        <f aca="false">IFERROR(INDEX(Factors_ROT!$F$5:$F$200,MATCH("SC_DRV|"&amp;AL62,Factors_ROT!$A$5:$A$200,0)),1)*IFERROR(INDEX(Factors_ROT!$F$5:$F$200,MATCH("SC_BSP|"&amp;AM62,Factors_ROT!$A$5:$A$200,0)),1)*IFERROR(INDEX(Factors_ROT!$F$5:$F$200,MATCH("SC_SEAL|"&amp;AN62,Factors_ROT!$A$5:$A$200,0)),1)*IFERROR(INDEX(Factors_ROT!$F$5:$F$200,MATCH("SC_COMM|"&amp;AO62,Factors_ROT!$A$5:$A$200,0)),1)*IFERROR(INDEX(Factors_ROT!$F$5:$F$200,MATCH("SC_2Y|"&amp;AP62,Factors_ROT!$A$5:$A$200,0)),1)*IFERROR(INDEX(Factors_ROT!$F$5:$F$200,MATCH("SC_TPI|"&amp;AQ62,Factors_ROT!$A$5:$A$200,0)),1)*IFERROR(INDEX(Factors_ROT!$F$5:$F$200,MATCH("SC_FAT|"&amp;AR62,Factors_ROT!$A$5:$A$200,0)),1)</f>
        <v>1</v>
      </c>
      <c r="AX62" s="48" t="n">
        <f aca="false">AT62*AU62*AV62*AW62</f>
        <v>1.9</v>
      </c>
      <c r="AY62" s="47" t="str">
        <f aca="false">IF(ISNUMBER(AB62),AB62/AX62,"")</f>
        <v/>
      </c>
      <c r="AZ62" s="49" t="n">
        <f aca="false">IFERROR(IF(N(INDEX(Escalation_Index!$B$5:$B$25,MATCH(Y62,Escalation_Index!$A$5:$A$25,0)))&gt;0,INDEX(Escalation_Index!$B$5:$B$25,MATCH(Y62,Escalation_Index!$A$5:$A$25,0)),""),"")</f>
        <v>91.347</v>
      </c>
      <c r="BA62" s="49" t="n">
        <f aca="false">IF(ISNUMBER('Assumptions &amp; FX Reference'!$I$12),'Assumptions &amp; FX Reference'!$I$12,"")</f>
        <v>123.416</v>
      </c>
      <c r="BB62" s="45" t="str">
        <f aca="false">IF(AND(M62="API 610",LEFT(V62,11)="Centrifugal",OR(LEFT(G62,2)="S-",LEFT(G62,2)="D-")),"Y","N")</f>
        <v>N</v>
      </c>
      <c r="BC62" s="47" t="str">
        <f aca="false">IF(ISNUMBER(AG62),AG62/AX62,"")</f>
        <v/>
      </c>
      <c r="BD62" s="47" t="str">
        <f aca="false">IF(AND(ISNUMBER(BC62),ISNUMBER(K62)),IF(K62&gt;0,BC62/K62^'Assumptions &amp; FX Reference'!$I$16,""),"")</f>
        <v/>
      </c>
      <c r="BE62" s="42" t="s">
        <v>556</v>
      </c>
      <c r="BF62" s="42" t="s">
        <v>557</v>
      </c>
      <c r="BG62" s="42" t="s">
        <v>369</v>
      </c>
      <c r="BH62" s="45" t="s">
        <v>313</v>
      </c>
      <c r="BI62" s="45" t="str">
        <f aca="false">"PMP-"&amp;TEXT(A62,"0000")</f>
        <v>PMP-0058</v>
      </c>
    </row>
    <row r="63" customFormat="false" ht="24" hidden="false" customHeight="true" outlineLevel="0" collapsed="false">
      <c r="A63" s="42" t="n">
        <v>59</v>
      </c>
      <c r="B63" s="42" t="s">
        <v>475</v>
      </c>
      <c r="C63" s="42" t="s">
        <v>558</v>
      </c>
      <c r="D63" s="42" t="s">
        <v>559</v>
      </c>
      <c r="E63" s="42" t="s">
        <v>45</v>
      </c>
      <c r="F63" s="42" t="s">
        <v>132</v>
      </c>
      <c r="G63" s="42" t="s">
        <v>111</v>
      </c>
      <c r="H63" s="43" t="n">
        <v>186</v>
      </c>
      <c r="I63" s="43" t="n">
        <v>33.4</v>
      </c>
      <c r="J63" s="43"/>
      <c r="K63" s="44" t="n">
        <f aca="false">IF(ISNUMBER(J63),J63,IF(AND(ISNUMBER(H63),ISNUMBER(I63)),H63*I63/(367*'Assumptions &amp; FX Reference'!$I$17),""))</f>
        <v>28.2125340599455</v>
      </c>
      <c r="L63" s="45" t="str">
        <f aca="false">IF(IF(OR(M63="Not stated",M63=""),""," + "&amp;M63)&amp;IF(OR(N63="None",N63=""),""," + "&amp;N63)&amp;IF(O63="Y"," + NACE MR0175","")="","Not stated",MID(IF(OR(M63="Not stated",M63=""),""," + "&amp;M63)&amp;IF(OR(N63="None",N63=""),""," + "&amp;N63)&amp;IF(O63="Y"," + NACE MR0175",""),4,300))</f>
        <v>API 610 + IPS-G-PM-105 + NACE MR0175</v>
      </c>
      <c r="M63" s="42" t="s">
        <v>478</v>
      </c>
      <c r="N63" s="42" t="s">
        <v>479</v>
      </c>
      <c r="O63" s="42" t="s">
        <v>369</v>
      </c>
      <c r="P63" s="42" t="s">
        <v>123</v>
      </c>
      <c r="Q63" s="42" t="s">
        <v>123</v>
      </c>
      <c r="R63" s="42" t="s">
        <v>123</v>
      </c>
      <c r="S63" s="50" t="s">
        <v>304</v>
      </c>
      <c r="T63" s="42" t="s">
        <v>305</v>
      </c>
      <c r="U63" s="42" t="n">
        <v>3</v>
      </c>
      <c r="V63" s="42" t="s">
        <v>306</v>
      </c>
      <c r="W63" s="43" t="n">
        <v>3.9</v>
      </c>
      <c r="X63" s="42" t="s">
        <v>123</v>
      </c>
      <c r="Y63" s="50" t="n">
        <v>1393</v>
      </c>
      <c r="Z63" s="42" t="s">
        <v>363</v>
      </c>
      <c r="AA63" s="46" t="n">
        <v>55000</v>
      </c>
      <c r="AB63" s="47" t="n">
        <f aca="false">IF(NOT(ISNUMBER(AA63)),"",IF(NOT(ISNUMBER(Y63)),"",IFERROR(IF(Z63="EUR",AA63,IF(Z63="IRR",AA63/INDEX('Assumptions &amp; FX Reference'!$C$5:$C$25,MATCH(Y63,'Assumptions &amp; FX Reference'!$A$5:$A$25,0)),IF(Z63="USD",AA63*INDEX('Assumptions &amp; FX Reference'!$B$5:$B$25,MATCH(Y63,'Assumptions &amp; FX Reference'!$A$5:$A$25,0))/INDEX('Assumptions &amp; FX Reference'!$C$5:$C$25,MATCH(Y63,'Assumptions &amp; FX Reference'!$A$5:$A$25,0)),""))),"")))</f>
        <v>55000</v>
      </c>
      <c r="AC63" s="47" t="n">
        <f aca="false">IF(NOT(ISNUMBER(AA63)),"",IF(NOT(ISNUMBER(Y63)),"",IFERROR(IF(Z63="USD",AA63,IF(Z63="IRR",AA63/INDEX('Assumptions &amp; FX Reference'!$B$5:$B$25,MATCH(Y63,'Assumptions &amp; FX Reference'!$A$5:$A$25,0)),IF(Z63="EUR",AA63*INDEX('Assumptions &amp; FX Reference'!$C$5:$C$25,MATCH(Y63,'Assumptions &amp; FX Reference'!$A$5:$A$25,0))/INDEX('Assumptions &amp; FX Reference'!$B$5:$B$25,MATCH(Y63,'Assumptions &amp; FX Reference'!$A$5:$A$25,0)),""))),"")))</f>
        <v>71909.4838709677</v>
      </c>
      <c r="AD63" s="47" t="n">
        <f aca="false">IF(NOT(ISNUMBER(AA63)),"",IF(NOT(ISNUMBER(Y63)),"",IFERROR(IF(Z63="IRR",AA63,IF(Z63="USD",AA63*INDEX('Assumptions &amp; FX Reference'!$B$5:$B$25,MATCH(Y63,'Assumptions &amp; FX Reference'!$A$5:$A$25,0)),IF(Z63="EUR",AA63*INDEX('Assumptions &amp; FX Reference'!$C$5:$C$25,MATCH(Y63,'Assumptions &amp; FX Reference'!$A$5:$A$25,0)),""))),"")))</f>
        <v>2229194000</v>
      </c>
      <c r="AE63" s="42" t="s">
        <v>480</v>
      </c>
      <c r="AF63" s="50" t="s">
        <v>208</v>
      </c>
      <c r="AG63" s="47" t="n">
        <f aca="false">IF(AND(Z63="EUR",N(AA63)&gt;5000000),"",IF(AND(ISNUMBER(AB63),ISNUMBER(AZ63),ISNUMBER(BA63)),IF(AND(BB63="Y",ISNUMBER('Assumptions &amp; FX Reference'!$I$15)),MAX(AB63*BA63/AZ63,'Assumptions &amp; FX Reference'!$I$13*BA63/'Assumptions &amp; FX Reference'!$I$15),AB63*BA63/AZ63),""))</f>
        <v>74308.7348243511</v>
      </c>
      <c r="AH63" s="47" t="n">
        <f aca="false">IF(AND(ISNUMBER(AG63),ISNUMBER('Assumptions &amp; FX Reference'!$I$8),ISNUMBER('Assumptions &amp; FX Reference'!$I$11)),AG63*'Assumptions &amp; FX Reference'!$I$8/'Assumptions &amp; FX Reference'!$I$11,"")</f>
        <v>78453.9050341546</v>
      </c>
      <c r="AI63" s="47" t="n">
        <f aca="false">IF(AND(ISNUMBER(AG63),ISNUMBER('Assumptions &amp; FX Reference'!$I$8)),AG63*'Assumptions &amp; FX Reference'!$I$8,"")</f>
        <v>51664485443.857</v>
      </c>
      <c r="AJ63" s="42" t="s">
        <v>481</v>
      </c>
      <c r="AK63" s="42" t="s">
        <v>482</v>
      </c>
      <c r="AL63" s="42" t="s">
        <v>123</v>
      </c>
      <c r="AM63" s="42" t="s">
        <v>123</v>
      </c>
      <c r="AN63" s="42" t="s">
        <v>123</v>
      </c>
      <c r="AO63" s="42" t="s">
        <v>123</v>
      </c>
      <c r="AP63" s="42" t="s">
        <v>123</v>
      </c>
      <c r="AQ63" s="50" t="s">
        <v>312</v>
      </c>
      <c r="AR63" s="42" t="s">
        <v>123</v>
      </c>
      <c r="AS63" s="45" t="str">
        <f aca="false">IF(AND(Z63="EUR",N(AA63)&gt;5000000),"Check currency (EUR&gt;5M); ","")&amp;IF(NOT(ISNUMBER(AA63)),"No price; ","")&amp;IF(G63="Not stated","Material missing; ","")&amp;IF(P63="Not stated","Seal missing; ","")&amp;IF(K63="","Size driver missing; ","")&amp;IF(NOT(ISNUMBER(AZ63)),"Base-year PPI missing; ","")</f>
        <v>Seal missing; </v>
      </c>
      <c r="AT63" s="48" t="n">
        <f aca="false">IFERROR(INDEX(Factors_ROT!$F$5:$F$200,MATCH("MAT|"&amp;G63,Factors_ROT!$A$5:$A$200,0)),1)</f>
        <v>1.7</v>
      </c>
      <c r="AU63" s="48" t="n">
        <f aca="false">IFERROR(INDEX(Factors_ROT!$F$5:$F$200,MATCH("SEAL_ARR|"&amp;P63,Factors_ROT!$A$5:$A$200,0)),1)*IFERROR(INDEX(Factors_ROT!$F$5:$F$200,MATCH("SEAL_CAT|"&amp;Q63,Factors_ROT!$A$5:$A$200,0)),1)*IFERROR(INDEX(Factors_ROT!$F$5:$F$200,MATCH("SEAL_PLAN|"&amp;R63,Factors_ROT!$A$5:$A$200,0)),1)</f>
        <v>1</v>
      </c>
      <c r="AV63" s="48" t="n">
        <f aca="false">IFERROR(INDEX(Factors_ROT!$F$5:$F$200,MATCH("DRV|"&amp;S63,Factors_ROT!$A$5:$A$200,0)),1)*IFERROR(INDEX(Factors_ROT!$F$5:$F$200,MATCH("NACE|"&amp;O63,Factors_ROT!$A$5:$A$200,0)),1)</f>
        <v>1.05</v>
      </c>
      <c r="AW63" s="48" t="n">
        <f aca="false">IFERROR(INDEX(Factors_ROT!$F$5:$F$200,MATCH("SC_DRV|"&amp;AL63,Factors_ROT!$A$5:$A$200,0)),1)*IFERROR(INDEX(Factors_ROT!$F$5:$F$200,MATCH("SC_BSP|"&amp;AM63,Factors_ROT!$A$5:$A$200,0)),1)*IFERROR(INDEX(Factors_ROT!$F$5:$F$200,MATCH("SC_SEAL|"&amp;AN63,Factors_ROT!$A$5:$A$200,0)),1)*IFERROR(INDEX(Factors_ROT!$F$5:$F$200,MATCH("SC_COMM|"&amp;AO63,Factors_ROT!$A$5:$A$200,0)),1)*IFERROR(INDEX(Factors_ROT!$F$5:$F$200,MATCH("SC_2Y|"&amp;AP63,Factors_ROT!$A$5:$A$200,0)),1)*IFERROR(INDEX(Factors_ROT!$F$5:$F$200,MATCH("SC_TPI|"&amp;AQ63,Factors_ROT!$A$5:$A$200,0)),1)*IFERROR(INDEX(Factors_ROT!$F$5:$F$200,MATCH("SC_FAT|"&amp;AR63,Factors_ROT!$A$5:$A$200,0)),1)</f>
        <v>1</v>
      </c>
      <c r="AX63" s="48" t="n">
        <f aca="false">AT63*AU63*AV63*AW63</f>
        <v>1.785</v>
      </c>
      <c r="AY63" s="47" t="n">
        <f aca="false">IF(ISNUMBER(AB63),AB63/AX63,"")</f>
        <v>30812.324929972</v>
      </c>
      <c r="AZ63" s="49" t="n">
        <f aca="false">IFERROR(IF(N(INDEX(Escalation_Index!$B$5:$B$25,MATCH(Y63,Escalation_Index!$A$5:$A$25,0)))&gt;0,INDEX(Escalation_Index!$B$5:$B$25,MATCH(Y63,Escalation_Index!$A$5:$A$25,0)),""),"")</f>
        <v>91.347</v>
      </c>
      <c r="BA63" s="49" t="n">
        <f aca="false">IF(ISNUMBER('Assumptions &amp; FX Reference'!$I$12),'Assumptions &amp; FX Reference'!$I$12,"")</f>
        <v>123.416</v>
      </c>
      <c r="BB63" s="45" t="str">
        <f aca="false">IF(AND(M63="API 610",LEFT(V63,11)="Centrifugal",OR(LEFT(G63,2)="S-",LEFT(G63,2)="D-")),"Y","N")</f>
        <v>Y</v>
      </c>
      <c r="BC63" s="47" t="n">
        <f aca="false">IF(ISNUMBER(AG63),AG63/AX63,"")</f>
        <v>41629.5433189642</v>
      </c>
      <c r="BD63" s="47" t="n">
        <f aca="false">IF(AND(ISNUMBER(BC63),ISNUMBER(K63)),IF(K63&gt;0,BC63/K63^'Assumptions &amp; FX Reference'!$I$16,""),"")</f>
        <v>5612.24199052493</v>
      </c>
      <c r="BE63" s="42" t="s">
        <v>560</v>
      </c>
      <c r="BF63" s="42" t="s">
        <v>561</v>
      </c>
      <c r="BG63" s="42" t="s">
        <v>369</v>
      </c>
      <c r="BH63" s="45" t="s">
        <v>313</v>
      </c>
      <c r="BI63" s="45" t="str">
        <f aca="false">"PMP-"&amp;TEXT(A63,"0000")</f>
        <v>PMP-0059</v>
      </c>
    </row>
    <row r="64" customFormat="false" ht="24" hidden="false" customHeight="true" outlineLevel="0" collapsed="false">
      <c r="A64" s="42" t="n">
        <v>60</v>
      </c>
      <c r="B64" s="42" t="s">
        <v>562</v>
      </c>
      <c r="C64" s="42" t="s">
        <v>558</v>
      </c>
      <c r="D64" s="42" t="s">
        <v>563</v>
      </c>
      <c r="E64" s="42" t="s">
        <v>45</v>
      </c>
      <c r="F64" s="42" t="s">
        <v>132</v>
      </c>
      <c r="G64" s="42" t="s">
        <v>111</v>
      </c>
      <c r="H64" s="43" t="n">
        <v>37</v>
      </c>
      <c r="I64" s="43" t="n">
        <v>39</v>
      </c>
      <c r="J64" s="43"/>
      <c r="K64" s="44" t="n">
        <f aca="false">IF(ISNUMBER(J64),J64,IF(AND(ISNUMBER(H64),ISNUMBER(I64)),H64*I64/(367*'Assumptions &amp; FX Reference'!$I$17),""))</f>
        <v>6.55313351498638</v>
      </c>
      <c r="L64" s="45" t="str">
        <f aca="false">IF(IF(OR(M64="Not stated",M64=""),""," + "&amp;M64)&amp;IF(OR(N64="None",N64=""),""," + "&amp;N64)&amp;IF(O64="Y"," + NACE MR0175","")="","Not stated",MID(IF(OR(M64="Not stated",M64=""),""," + "&amp;M64)&amp;IF(OR(N64="None",N64=""),""," + "&amp;N64)&amp;IF(O64="Y"," + NACE MR0175",""),4,300))</f>
        <v>API 610 + IPS-G-PM-105 + NACE MR0175</v>
      </c>
      <c r="M64" s="42" t="s">
        <v>478</v>
      </c>
      <c r="N64" s="42" t="s">
        <v>479</v>
      </c>
      <c r="O64" s="42" t="s">
        <v>369</v>
      </c>
      <c r="P64" s="42" t="s">
        <v>123</v>
      </c>
      <c r="Q64" s="42" t="s">
        <v>123</v>
      </c>
      <c r="R64" s="42" t="s">
        <v>123</v>
      </c>
      <c r="S64" s="50" t="s">
        <v>304</v>
      </c>
      <c r="T64" s="42" t="s">
        <v>305</v>
      </c>
      <c r="U64" s="42" t="n">
        <v>2</v>
      </c>
      <c r="V64" s="42" t="s">
        <v>306</v>
      </c>
      <c r="W64" s="43" t="n">
        <v>5.4</v>
      </c>
      <c r="X64" s="42" t="s">
        <v>123</v>
      </c>
      <c r="Y64" s="50" t="n">
        <v>1393</v>
      </c>
      <c r="Z64" s="42" t="s">
        <v>363</v>
      </c>
      <c r="AA64" s="46" t="n">
        <v>15000</v>
      </c>
      <c r="AB64" s="47" t="n">
        <f aca="false">IF(NOT(ISNUMBER(AA64)),"",IF(NOT(ISNUMBER(Y64)),"",IFERROR(IF(Z64="EUR",AA64,IF(Z64="IRR",AA64/INDEX('Assumptions &amp; FX Reference'!$C$5:$C$25,MATCH(Y64,'Assumptions &amp; FX Reference'!$A$5:$A$25,0)),IF(Z64="USD",AA64*INDEX('Assumptions &amp; FX Reference'!$B$5:$B$25,MATCH(Y64,'Assumptions &amp; FX Reference'!$A$5:$A$25,0))/INDEX('Assumptions &amp; FX Reference'!$C$5:$C$25,MATCH(Y64,'Assumptions &amp; FX Reference'!$A$5:$A$25,0)),""))),"")))</f>
        <v>15000</v>
      </c>
      <c r="AC64" s="47" t="n">
        <f aca="false">IF(NOT(ISNUMBER(AA64)),"",IF(NOT(ISNUMBER(Y64)),"",IFERROR(IF(Z64="USD",AA64,IF(Z64="IRR",AA64/INDEX('Assumptions &amp; FX Reference'!$B$5:$B$25,MATCH(Y64,'Assumptions &amp; FX Reference'!$A$5:$A$25,0)),IF(Z64="EUR",AA64*INDEX('Assumptions &amp; FX Reference'!$C$5:$C$25,MATCH(Y64,'Assumptions &amp; FX Reference'!$A$5:$A$25,0))/INDEX('Assumptions &amp; FX Reference'!$B$5:$B$25,MATCH(Y64,'Assumptions &amp; FX Reference'!$A$5:$A$25,0)),""))),"")))</f>
        <v>19611.6774193548</v>
      </c>
      <c r="AD64" s="47" t="n">
        <f aca="false">IF(NOT(ISNUMBER(AA64)),"",IF(NOT(ISNUMBER(Y64)),"",IFERROR(IF(Z64="IRR",AA64,IF(Z64="USD",AA64*INDEX('Assumptions &amp; FX Reference'!$B$5:$B$25,MATCH(Y64,'Assumptions &amp; FX Reference'!$A$5:$A$25,0)),IF(Z64="EUR",AA64*INDEX('Assumptions &amp; FX Reference'!$C$5:$C$25,MATCH(Y64,'Assumptions &amp; FX Reference'!$A$5:$A$25,0)),""))),"")))</f>
        <v>607962000</v>
      </c>
      <c r="AE64" s="42" t="s">
        <v>480</v>
      </c>
      <c r="AF64" s="50" t="s">
        <v>208</v>
      </c>
      <c r="AG64" s="47" t="n">
        <f aca="false">IF(AND(Z64="EUR",N(AA64)&gt;5000000),"",IF(AND(ISNUMBER(AB64),ISNUMBER(AZ64),ISNUMBER(BA64)),IF(AND(BB64="Y",ISNUMBER('Assumptions &amp; FX Reference'!$I$15)),MAX(AB64*BA64/AZ64,'Assumptions &amp; FX Reference'!$I$13*BA64/'Assumptions &amp; FX Reference'!$I$15),AB64*BA64/AZ64),""))</f>
        <v>25000</v>
      </c>
      <c r="AH64" s="47" t="n">
        <f aca="false">IF(AND(ISNUMBER(AG64),ISNUMBER('Assumptions &amp; FX Reference'!$I$8),ISNUMBER('Assumptions &amp; FX Reference'!$I$11)),AG64*'Assumptions &amp; FX Reference'!$I$8/'Assumptions &amp; FX Reference'!$I$11,"")</f>
        <v>26394.5770371416</v>
      </c>
      <c r="AI64" s="47" t="n">
        <f aca="false">IF(AND(ISNUMBER(AG64),ISNUMBER('Assumptions &amp; FX Reference'!$I$8)),AG64*'Assumptions &amp; FX Reference'!$I$8,"")</f>
        <v>17381700000</v>
      </c>
      <c r="AJ64" s="42" t="s">
        <v>481</v>
      </c>
      <c r="AK64" s="42" t="s">
        <v>482</v>
      </c>
      <c r="AL64" s="42" t="s">
        <v>123</v>
      </c>
      <c r="AM64" s="42" t="s">
        <v>123</v>
      </c>
      <c r="AN64" s="42" t="s">
        <v>123</v>
      </c>
      <c r="AO64" s="42" t="s">
        <v>123</v>
      </c>
      <c r="AP64" s="42" t="s">
        <v>123</v>
      </c>
      <c r="AQ64" s="50" t="s">
        <v>312</v>
      </c>
      <c r="AR64" s="42" t="s">
        <v>123</v>
      </c>
      <c r="AS64" s="45" t="str">
        <f aca="false">IF(AND(Z64="EUR",N(AA64)&gt;5000000),"Check currency (EUR&gt;5M); ","")&amp;IF(NOT(ISNUMBER(AA64)),"No price; ","")&amp;IF(G64="Not stated","Material missing; ","")&amp;IF(P64="Not stated","Seal missing; ","")&amp;IF(K64="","Size driver missing; ","")&amp;IF(NOT(ISNUMBER(AZ64)),"Base-year PPI missing; ","")</f>
        <v>Seal missing; </v>
      </c>
      <c r="AT64" s="48" t="n">
        <f aca="false">IFERROR(INDEX(Factors_ROT!$F$5:$F$200,MATCH("MAT|"&amp;G64,Factors_ROT!$A$5:$A$200,0)),1)</f>
        <v>1.7</v>
      </c>
      <c r="AU64" s="48" t="n">
        <f aca="false">IFERROR(INDEX(Factors_ROT!$F$5:$F$200,MATCH("SEAL_ARR|"&amp;P64,Factors_ROT!$A$5:$A$200,0)),1)*IFERROR(INDEX(Factors_ROT!$F$5:$F$200,MATCH("SEAL_CAT|"&amp;Q64,Factors_ROT!$A$5:$A$200,0)),1)*IFERROR(INDEX(Factors_ROT!$F$5:$F$200,MATCH("SEAL_PLAN|"&amp;R64,Factors_ROT!$A$5:$A$200,0)),1)</f>
        <v>1</v>
      </c>
      <c r="AV64" s="48" t="n">
        <f aca="false">IFERROR(INDEX(Factors_ROT!$F$5:$F$200,MATCH("DRV|"&amp;S64,Factors_ROT!$A$5:$A$200,0)),1)*IFERROR(INDEX(Factors_ROT!$F$5:$F$200,MATCH("NACE|"&amp;O64,Factors_ROT!$A$5:$A$200,0)),1)</f>
        <v>1.05</v>
      </c>
      <c r="AW64" s="48" t="n">
        <f aca="false">IFERROR(INDEX(Factors_ROT!$F$5:$F$200,MATCH("SC_DRV|"&amp;AL64,Factors_ROT!$A$5:$A$200,0)),1)*IFERROR(INDEX(Factors_ROT!$F$5:$F$200,MATCH("SC_BSP|"&amp;AM64,Factors_ROT!$A$5:$A$200,0)),1)*IFERROR(INDEX(Factors_ROT!$F$5:$F$200,MATCH("SC_SEAL|"&amp;AN64,Factors_ROT!$A$5:$A$200,0)),1)*IFERROR(INDEX(Factors_ROT!$F$5:$F$200,MATCH("SC_COMM|"&amp;AO64,Factors_ROT!$A$5:$A$200,0)),1)*IFERROR(INDEX(Factors_ROT!$F$5:$F$200,MATCH("SC_2Y|"&amp;AP64,Factors_ROT!$A$5:$A$200,0)),1)*IFERROR(INDEX(Factors_ROT!$F$5:$F$200,MATCH("SC_TPI|"&amp;AQ64,Factors_ROT!$A$5:$A$200,0)),1)*IFERROR(INDEX(Factors_ROT!$F$5:$F$200,MATCH("SC_FAT|"&amp;AR64,Factors_ROT!$A$5:$A$200,0)),1)</f>
        <v>1</v>
      </c>
      <c r="AX64" s="48" t="n">
        <f aca="false">AT64*AU64*AV64*AW64</f>
        <v>1.785</v>
      </c>
      <c r="AY64" s="47" t="n">
        <f aca="false">IF(ISNUMBER(AB64),AB64/AX64,"")</f>
        <v>8403.36134453782</v>
      </c>
      <c r="AZ64" s="49" t="n">
        <f aca="false">IFERROR(IF(N(INDEX(Escalation_Index!$B$5:$B$25,MATCH(Y64,Escalation_Index!$A$5:$A$25,0)))&gt;0,INDEX(Escalation_Index!$B$5:$B$25,MATCH(Y64,Escalation_Index!$A$5:$A$25,0)),""),"")</f>
        <v>91.347</v>
      </c>
      <c r="BA64" s="49" t="n">
        <f aca="false">IF(ISNUMBER('Assumptions &amp; FX Reference'!$I$12),'Assumptions &amp; FX Reference'!$I$12,"")</f>
        <v>123.416</v>
      </c>
      <c r="BB64" s="45" t="str">
        <f aca="false">IF(AND(M64="API 610",LEFT(V64,11)="Centrifugal",OR(LEFT(G64,2)="S-",LEFT(G64,2)="D-")),"Y","N")</f>
        <v>Y</v>
      </c>
      <c r="BC64" s="47" t="n">
        <f aca="false">IF(ISNUMBER(AG64),AG64/AX64,"")</f>
        <v>14005.6022408964</v>
      </c>
      <c r="BD64" s="47" t="n">
        <f aca="false">IF(AND(ISNUMBER(BC64),ISNUMBER(K64)),IF(K64&gt;0,BC64/K64^'Assumptions &amp; FX Reference'!$I$16,""),"")</f>
        <v>4533.48703802324</v>
      </c>
      <c r="BE64" s="42" t="s">
        <v>564</v>
      </c>
      <c r="BF64" s="42" t="s">
        <v>565</v>
      </c>
      <c r="BG64" s="42" t="s">
        <v>369</v>
      </c>
      <c r="BH64" s="45" t="s">
        <v>313</v>
      </c>
      <c r="BI64" s="45" t="str">
        <f aca="false">"PMP-"&amp;TEXT(A64,"0000")</f>
        <v>PMP-0060</v>
      </c>
    </row>
    <row r="65" customFormat="false" ht="24" hidden="false" customHeight="true" outlineLevel="0" collapsed="false">
      <c r="A65" s="42" t="n">
        <v>61</v>
      </c>
      <c r="B65" s="42" t="s">
        <v>485</v>
      </c>
      <c r="C65" s="42" t="s">
        <v>558</v>
      </c>
      <c r="D65" s="42" t="s">
        <v>566</v>
      </c>
      <c r="E65" s="42" t="s">
        <v>45</v>
      </c>
      <c r="F65" s="42" t="s">
        <v>132</v>
      </c>
      <c r="G65" s="42" t="s">
        <v>111</v>
      </c>
      <c r="H65" s="43" t="n">
        <v>173</v>
      </c>
      <c r="I65" s="43" t="n">
        <v>186.3</v>
      </c>
      <c r="J65" s="43"/>
      <c r="K65" s="44" t="n">
        <f aca="false">IF(ISNUMBER(J65),J65,IF(AND(ISNUMBER(H65),ISNUMBER(I65)),H65*I65/(367*'Assumptions &amp; FX Reference'!$I$17),""))</f>
        <v>146.366485013624</v>
      </c>
      <c r="L65" s="45" t="str">
        <f aca="false">IF(IF(OR(M65="Not stated",M65=""),""," + "&amp;M65)&amp;IF(OR(N65="None",N65=""),""," + "&amp;N65)&amp;IF(O65="Y"," + NACE MR0175","")="","Not stated",MID(IF(OR(M65="Not stated",M65=""),""," + "&amp;M65)&amp;IF(OR(N65="None",N65=""),""," + "&amp;N65)&amp;IF(O65="Y"," + NACE MR0175",""),4,300))</f>
        <v>API 610 + IPS-G-PM-105 + NACE MR0175</v>
      </c>
      <c r="M65" s="42" t="s">
        <v>478</v>
      </c>
      <c r="N65" s="42" t="s">
        <v>479</v>
      </c>
      <c r="O65" s="42" t="s">
        <v>369</v>
      </c>
      <c r="P65" s="42" t="s">
        <v>123</v>
      </c>
      <c r="Q65" s="42" t="s">
        <v>123</v>
      </c>
      <c r="R65" s="42" t="s">
        <v>123</v>
      </c>
      <c r="S65" s="50" t="s">
        <v>304</v>
      </c>
      <c r="T65" s="42" t="s">
        <v>305</v>
      </c>
      <c r="U65" s="42" t="n">
        <v>3</v>
      </c>
      <c r="V65" s="42" t="s">
        <v>306</v>
      </c>
      <c r="W65" s="43" t="n">
        <v>18</v>
      </c>
      <c r="X65" s="42" t="s">
        <v>123</v>
      </c>
      <c r="Y65" s="50" t="n">
        <v>1393</v>
      </c>
      <c r="Z65" s="42" t="s">
        <v>363</v>
      </c>
      <c r="AA65" s="46" t="n">
        <v>60000</v>
      </c>
      <c r="AB65" s="47" t="n">
        <f aca="false">IF(NOT(ISNUMBER(AA65)),"",IF(NOT(ISNUMBER(Y65)),"",IFERROR(IF(Z65="EUR",AA65,IF(Z65="IRR",AA65/INDEX('Assumptions &amp; FX Reference'!$C$5:$C$25,MATCH(Y65,'Assumptions &amp; FX Reference'!$A$5:$A$25,0)),IF(Z65="USD",AA65*INDEX('Assumptions &amp; FX Reference'!$B$5:$B$25,MATCH(Y65,'Assumptions &amp; FX Reference'!$A$5:$A$25,0))/INDEX('Assumptions &amp; FX Reference'!$C$5:$C$25,MATCH(Y65,'Assumptions &amp; FX Reference'!$A$5:$A$25,0)),""))),"")))</f>
        <v>60000</v>
      </c>
      <c r="AC65" s="47" t="n">
        <f aca="false">IF(NOT(ISNUMBER(AA65)),"",IF(NOT(ISNUMBER(Y65)),"",IFERROR(IF(Z65="USD",AA65,IF(Z65="IRR",AA65/INDEX('Assumptions &amp; FX Reference'!$B$5:$B$25,MATCH(Y65,'Assumptions &amp; FX Reference'!$A$5:$A$25,0)),IF(Z65="EUR",AA65*INDEX('Assumptions &amp; FX Reference'!$C$5:$C$25,MATCH(Y65,'Assumptions &amp; FX Reference'!$A$5:$A$25,0))/INDEX('Assumptions &amp; FX Reference'!$B$5:$B$25,MATCH(Y65,'Assumptions &amp; FX Reference'!$A$5:$A$25,0)),""))),"")))</f>
        <v>78446.7096774194</v>
      </c>
      <c r="AD65" s="47" t="n">
        <f aca="false">IF(NOT(ISNUMBER(AA65)),"",IF(NOT(ISNUMBER(Y65)),"",IFERROR(IF(Z65="IRR",AA65,IF(Z65="USD",AA65*INDEX('Assumptions &amp; FX Reference'!$B$5:$B$25,MATCH(Y65,'Assumptions &amp; FX Reference'!$A$5:$A$25,0)),IF(Z65="EUR",AA65*INDEX('Assumptions &amp; FX Reference'!$C$5:$C$25,MATCH(Y65,'Assumptions &amp; FX Reference'!$A$5:$A$25,0)),""))),"")))</f>
        <v>2431848000</v>
      </c>
      <c r="AE65" s="42" t="s">
        <v>480</v>
      </c>
      <c r="AF65" s="50" t="s">
        <v>208</v>
      </c>
      <c r="AG65" s="47" t="n">
        <f aca="false">IF(AND(Z65="EUR",N(AA65)&gt;5000000),"",IF(AND(ISNUMBER(AB65),ISNUMBER(AZ65),ISNUMBER(BA65)),IF(AND(BB65="Y",ISNUMBER('Assumptions &amp; FX Reference'!$I$15)),MAX(AB65*BA65/AZ65,'Assumptions &amp; FX Reference'!$I$13*BA65/'Assumptions &amp; FX Reference'!$I$15),AB65*BA65/AZ65),""))</f>
        <v>81064.0743538376</v>
      </c>
      <c r="AH65" s="47" t="n">
        <f aca="false">IF(AND(ISNUMBER(AG65),ISNUMBER('Assumptions &amp; FX Reference'!$I$8),ISNUMBER('Assumptions &amp; FX Reference'!$I$11)),AG65*'Assumptions &amp; FX Reference'!$I$8/'Assumptions &amp; FX Reference'!$I$11,"")</f>
        <v>85586.0782190778</v>
      </c>
      <c r="AI65" s="47" t="n">
        <f aca="false">IF(AND(ISNUMBER(AG65),ISNUMBER('Assumptions &amp; FX Reference'!$I$8)),AG65*'Assumptions &amp; FX Reference'!$I$8,"")</f>
        <v>56361256847.8439</v>
      </c>
      <c r="AJ65" s="42" t="s">
        <v>481</v>
      </c>
      <c r="AK65" s="42" t="s">
        <v>482</v>
      </c>
      <c r="AL65" s="42" t="s">
        <v>123</v>
      </c>
      <c r="AM65" s="42" t="s">
        <v>123</v>
      </c>
      <c r="AN65" s="42" t="s">
        <v>123</v>
      </c>
      <c r="AO65" s="42" t="s">
        <v>123</v>
      </c>
      <c r="AP65" s="42" t="s">
        <v>123</v>
      </c>
      <c r="AQ65" s="50" t="s">
        <v>312</v>
      </c>
      <c r="AR65" s="42" t="s">
        <v>123</v>
      </c>
      <c r="AS65" s="45" t="str">
        <f aca="false">IF(AND(Z65="EUR",N(AA65)&gt;5000000),"Check currency (EUR&gt;5M); ","")&amp;IF(NOT(ISNUMBER(AA65)),"No price; ","")&amp;IF(G65="Not stated","Material missing; ","")&amp;IF(P65="Not stated","Seal missing; ","")&amp;IF(K65="","Size driver missing; ","")&amp;IF(NOT(ISNUMBER(AZ65)),"Base-year PPI missing; ","")</f>
        <v>Seal missing; </v>
      </c>
      <c r="AT65" s="48" t="n">
        <f aca="false">IFERROR(INDEX(Factors_ROT!$F$5:$F$200,MATCH("MAT|"&amp;G65,Factors_ROT!$A$5:$A$200,0)),1)</f>
        <v>1.7</v>
      </c>
      <c r="AU65" s="48" t="n">
        <f aca="false">IFERROR(INDEX(Factors_ROT!$F$5:$F$200,MATCH("SEAL_ARR|"&amp;P65,Factors_ROT!$A$5:$A$200,0)),1)*IFERROR(INDEX(Factors_ROT!$F$5:$F$200,MATCH("SEAL_CAT|"&amp;Q65,Factors_ROT!$A$5:$A$200,0)),1)*IFERROR(INDEX(Factors_ROT!$F$5:$F$200,MATCH("SEAL_PLAN|"&amp;R65,Factors_ROT!$A$5:$A$200,0)),1)</f>
        <v>1</v>
      </c>
      <c r="AV65" s="48" t="n">
        <f aca="false">IFERROR(INDEX(Factors_ROT!$F$5:$F$200,MATCH("DRV|"&amp;S65,Factors_ROT!$A$5:$A$200,0)),1)*IFERROR(INDEX(Factors_ROT!$F$5:$F$200,MATCH("NACE|"&amp;O65,Factors_ROT!$A$5:$A$200,0)),1)</f>
        <v>1.05</v>
      </c>
      <c r="AW65" s="48" t="n">
        <f aca="false">IFERROR(INDEX(Factors_ROT!$F$5:$F$200,MATCH("SC_DRV|"&amp;AL65,Factors_ROT!$A$5:$A$200,0)),1)*IFERROR(INDEX(Factors_ROT!$F$5:$F$200,MATCH("SC_BSP|"&amp;AM65,Factors_ROT!$A$5:$A$200,0)),1)*IFERROR(INDEX(Factors_ROT!$F$5:$F$200,MATCH("SC_SEAL|"&amp;AN65,Factors_ROT!$A$5:$A$200,0)),1)*IFERROR(INDEX(Factors_ROT!$F$5:$F$200,MATCH("SC_COMM|"&amp;AO65,Factors_ROT!$A$5:$A$200,0)),1)*IFERROR(INDEX(Factors_ROT!$F$5:$F$200,MATCH("SC_2Y|"&amp;AP65,Factors_ROT!$A$5:$A$200,0)),1)*IFERROR(INDEX(Factors_ROT!$F$5:$F$200,MATCH("SC_TPI|"&amp;AQ65,Factors_ROT!$A$5:$A$200,0)),1)*IFERROR(INDEX(Factors_ROT!$F$5:$F$200,MATCH("SC_FAT|"&amp;AR65,Factors_ROT!$A$5:$A$200,0)),1)</f>
        <v>1</v>
      </c>
      <c r="AX65" s="48" t="n">
        <f aca="false">AT65*AU65*AV65*AW65</f>
        <v>1.785</v>
      </c>
      <c r="AY65" s="47" t="n">
        <f aca="false">IF(ISNUMBER(AB65),AB65/AX65,"")</f>
        <v>33613.4453781513</v>
      </c>
      <c r="AZ65" s="49" t="n">
        <f aca="false">IFERROR(IF(N(INDEX(Escalation_Index!$B$5:$B$25,MATCH(Y65,Escalation_Index!$A$5:$A$25,0)))&gt;0,INDEX(Escalation_Index!$B$5:$B$25,MATCH(Y65,Escalation_Index!$A$5:$A$25,0)),""),"")</f>
        <v>91.347</v>
      </c>
      <c r="BA65" s="49" t="n">
        <f aca="false">IF(ISNUMBER('Assumptions &amp; FX Reference'!$I$12),'Assumptions &amp; FX Reference'!$I$12,"")</f>
        <v>123.416</v>
      </c>
      <c r="BB65" s="45" t="str">
        <f aca="false">IF(AND(M65="API 610",LEFT(V65,11)="Centrifugal",OR(LEFT(G65,2)="S-",LEFT(G65,2)="D-")),"Y","N")</f>
        <v>Y</v>
      </c>
      <c r="BC65" s="47" t="n">
        <f aca="false">IF(ISNUMBER(AG65),AG65/AX65,"")</f>
        <v>45414.0472570519</v>
      </c>
      <c r="BD65" s="47" t="n">
        <f aca="false">IF(AND(ISNUMBER(BC65),ISNUMBER(K65)),IF(K65&gt;0,BC65/K65^'Assumptions &amp; FX Reference'!$I$16,""),"")</f>
        <v>2279.94946773779</v>
      </c>
      <c r="BE65" s="42" t="s">
        <v>567</v>
      </c>
      <c r="BF65" s="42" t="s">
        <v>568</v>
      </c>
      <c r="BG65" s="42" t="s">
        <v>369</v>
      </c>
      <c r="BH65" s="45" t="s">
        <v>313</v>
      </c>
      <c r="BI65" s="45" t="str">
        <f aca="false">"PMP-"&amp;TEXT(A65,"0000")</f>
        <v>PMP-0061</v>
      </c>
    </row>
    <row r="66" customFormat="false" ht="24" hidden="false" customHeight="true" outlineLevel="0" collapsed="false">
      <c r="A66" s="42" t="n">
        <v>62</v>
      </c>
      <c r="B66" s="42" t="s">
        <v>489</v>
      </c>
      <c r="C66" s="42" t="s">
        <v>558</v>
      </c>
      <c r="D66" s="42" t="s">
        <v>569</v>
      </c>
      <c r="E66" s="42" t="s">
        <v>54</v>
      </c>
      <c r="F66" s="42" t="s">
        <v>192</v>
      </c>
      <c r="G66" s="42" t="s">
        <v>111</v>
      </c>
      <c r="H66" s="43" t="n">
        <v>5</v>
      </c>
      <c r="I66" s="43"/>
      <c r="J66" s="43"/>
      <c r="K66" s="44" t="str">
        <f aca="false">IF(ISNUMBER(J66),J66,IF(AND(ISNUMBER(H66),ISNUMBER(I66)),H66*I66/(367*'Assumptions &amp; FX Reference'!$I$17),""))</f>
        <v/>
      </c>
      <c r="L66" s="45" t="str">
        <f aca="false">IF(IF(OR(M66="Not stated",M66=""),""," + "&amp;M66)&amp;IF(OR(N66="None",N66=""),""," + "&amp;N66)&amp;IF(O66="Y"," + NACE MR0175","")="","Not stated",MID(IF(OR(M66="Not stated",M66=""),""," + "&amp;M66)&amp;IF(OR(N66="None",N66=""),""," + "&amp;N66)&amp;IF(O66="Y"," + NACE MR0175",""),4,300))</f>
        <v>API 676 + IPS-M-PM-140 + NACE MR0175</v>
      </c>
      <c r="M66" s="42" t="s">
        <v>491</v>
      </c>
      <c r="N66" s="42" t="s">
        <v>492</v>
      </c>
      <c r="O66" s="42" t="s">
        <v>369</v>
      </c>
      <c r="P66" s="42" t="s">
        <v>123</v>
      </c>
      <c r="Q66" s="42" t="s">
        <v>123</v>
      </c>
      <c r="R66" s="42" t="s">
        <v>123</v>
      </c>
      <c r="S66" s="50" t="s">
        <v>304</v>
      </c>
      <c r="T66" s="42" t="s">
        <v>432</v>
      </c>
      <c r="U66" s="42" t="n">
        <v>2</v>
      </c>
      <c r="V66" s="42" t="s">
        <v>493</v>
      </c>
      <c r="W66" s="43" t="n">
        <v>6.5</v>
      </c>
      <c r="X66" s="42" t="s">
        <v>123</v>
      </c>
      <c r="Y66" s="50" t="n">
        <v>1393</v>
      </c>
      <c r="Z66" s="42" t="s">
        <v>363</v>
      </c>
      <c r="AA66" s="46" t="n">
        <v>10000</v>
      </c>
      <c r="AB66" s="47" t="n">
        <f aca="false">IF(NOT(ISNUMBER(AA66)),"",IF(NOT(ISNUMBER(Y66)),"",IFERROR(IF(Z66="EUR",AA66,IF(Z66="IRR",AA66/INDEX('Assumptions &amp; FX Reference'!$C$5:$C$25,MATCH(Y66,'Assumptions &amp; FX Reference'!$A$5:$A$25,0)),IF(Z66="USD",AA66*INDEX('Assumptions &amp; FX Reference'!$B$5:$B$25,MATCH(Y66,'Assumptions &amp; FX Reference'!$A$5:$A$25,0))/INDEX('Assumptions &amp; FX Reference'!$C$5:$C$25,MATCH(Y66,'Assumptions &amp; FX Reference'!$A$5:$A$25,0)),""))),"")))</f>
        <v>10000</v>
      </c>
      <c r="AC66" s="47" t="n">
        <f aca="false">IF(NOT(ISNUMBER(AA66)),"",IF(NOT(ISNUMBER(Y66)),"",IFERROR(IF(Z66="USD",AA66,IF(Z66="IRR",AA66/INDEX('Assumptions &amp; FX Reference'!$B$5:$B$25,MATCH(Y66,'Assumptions &amp; FX Reference'!$A$5:$A$25,0)),IF(Z66="EUR",AA66*INDEX('Assumptions &amp; FX Reference'!$C$5:$C$25,MATCH(Y66,'Assumptions &amp; FX Reference'!$A$5:$A$25,0))/INDEX('Assumptions &amp; FX Reference'!$B$5:$B$25,MATCH(Y66,'Assumptions &amp; FX Reference'!$A$5:$A$25,0)),""))),"")))</f>
        <v>13074.4516129032</v>
      </c>
      <c r="AD66" s="47" t="n">
        <f aca="false">IF(NOT(ISNUMBER(AA66)),"",IF(NOT(ISNUMBER(Y66)),"",IFERROR(IF(Z66="IRR",AA66,IF(Z66="USD",AA66*INDEX('Assumptions &amp; FX Reference'!$B$5:$B$25,MATCH(Y66,'Assumptions &amp; FX Reference'!$A$5:$A$25,0)),IF(Z66="EUR",AA66*INDEX('Assumptions &amp; FX Reference'!$C$5:$C$25,MATCH(Y66,'Assumptions &amp; FX Reference'!$A$5:$A$25,0)),""))),"")))</f>
        <v>405308000</v>
      </c>
      <c r="AE66" s="42" t="s">
        <v>480</v>
      </c>
      <c r="AF66" s="50" t="s">
        <v>208</v>
      </c>
      <c r="AG66" s="47" t="n">
        <f aca="false">IF(AND(Z66="EUR",N(AA66)&gt;5000000),"",IF(AND(ISNUMBER(AB66),ISNUMBER(AZ66),ISNUMBER(BA66)),IF(AND(BB66="Y",ISNUMBER('Assumptions &amp; FX Reference'!$I$15)),MAX(AB66*BA66/AZ66,'Assumptions &amp; FX Reference'!$I$13*BA66/'Assumptions &amp; FX Reference'!$I$15),AB66*BA66/AZ66),""))</f>
        <v>13510.6790589729</v>
      </c>
      <c r="AH66" s="47" t="n">
        <f aca="false">IF(AND(ISNUMBER(AG66),ISNUMBER('Assumptions &amp; FX Reference'!$I$8),ISNUMBER('Assumptions &amp; FX Reference'!$I$11)),AG66*'Assumptions &amp; FX Reference'!$I$8/'Assumptions &amp; FX Reference'!$I$11,"")</f>
        <v>14264.3463698463</v>
      </c>
      <c r="AI66" s="47" t="n">
        <f aca="false">IF(AND(ISNUMBER(AG66),ISNUMBER('Assumptions &amp; FX Reference'!$I$8)),AG66*'Assumptions &amp; FX Reference'!$I$8,"")</f>
        <v>9393542807.97399</v>
      </c>
      <c r="AJ66" s="42" t="s">
        <v>481</v>
      </c>
      <c r="AK66" s="42" t="s">
        <v>482</v>
      </c>
      <c r="AL66" s="42" t="s">
        <v>123</v>
      </c>
      <c r="AM66" s="42" t="s">
        <v>123</v>
      </c>
      <c r="AN66" s="42" t="s">
        <v>123</v>
      </c>
      <c r="AO66" s="42" t="s">
        <v>123</v>
      </c>
      <c r="AP66" s="42" t="s">
        <v>123</v>
      </c>
      <c r="AQ66" s="50" t="s">
        <v>312</v>
      </c>
      <c r="AR66" s="42" t="s">
        <v>123</v>
      </c>
      <c r="AS66" s="45" t="str">
        <f aca="false">IF(AND(Z66="EUR",N(AA66)&gt;5000000),"Check currency (EUR&gt;5M); ","")&amp;IF(NOT(ISNUMBER(AA66)),"No price; ","")&amp;IF(G66="Not stated","Material missing; ","")&amp;IF(P66="Not stated","Seal missing; ","")&amp;IF(K66="","Size driver missing; ","")&amp;IF(NOT(ISNUMBER(AZ66)),"Base-year PPI missing; ","")</f>
        <v>Seal missing; Size driver missing; </v>
      </c>
      <c r="AT66" s="48" t="n">
        <f aca="false">IFERROR(INDEX(Factors_ROT!$F$5:$F$200,MATCH("MAT|"&amp;G66,Factors_ROT!$A$5:$A$200,0)),1)</f>
        <v>1.7</v>
      </c>
      <c r="AU66" s="48" t="n">
        <f aca="false">IFERROR(INDEX(Factors_ROT!$F$5:$F$200,MATCH("SEAL_ARR|"&amp;P66,Factors_ROT!$A$5:$A$200,0)),1)*IFERROR(INDEX(Factors_ROT!$F$5:$F$200,MATCH("SEAL_CAT|"&amp;Q66,Factors_ROT!$A$5:$A$200,0)),1)*IFERROR(INDEX(Factors_ROT!$F$5:$F$200,MATCH("SEAL_PLAN|"&amp;R66,Factors_ROT!$A$5:$A$200,0)),1)</f>
        <v>1</v>
      </c>
      <c r="AV66" s="48" t="n">
        <f aca="false">IFERROR(INDEX(Factors_ROT!$F$5:$F$200,MATCH("DRV|"&amp;S66,Factors_ROT!$A$5:$A$200,0)),1)*IFERROR(INDEX(Factors_ROT!$F$5:$F$200,MATCH("NACE|"&amp;O66,Factors_ROT!$A$5:$A$200,0)),1)</f>
        <v>1.05</v>
      </c>
      <c r="AW66" s="48" t="n">
        <f aca="false">IFERROR(INDEX(Factors_ROT!$F$5:$F$200,MATCH("SC_DRV|"&amp;AL66,Factors_ROT!$A$5:$A$200,0)),1)*IFERROR(INDEX(Factors_ROT!$F$5:$F$200,MATCH("SC_BSP|"&amp;AM66,Factors_ROT!$A$5:$A$200,0)),1)*IFERROR(INDEX(Factors_ROT!$F$5:$F$200,MATCH("SC_SEAL|"&amp;AN66,Factors_ROT!$A$5:$A$200,0)),1)*IFERROR(INDEX(Factors_ROT!$F$5:$F$200,MATCH("SC_COMM|"&amp;AO66,Factors_ROT!$A$5:$A$200,0)),1)*IFERROR(INDEX(Factors_ROT!$F$5:$F$200,MATCH("SC_2Y|"&amp;AP66,Factors_ROT!$A$5:$A$200,0)),1)*IFERROR(INDEX(Factors_ROT!$F$5:$F$200,MATCH("SC_TPI|"&amp;AQ66,Factors_ROT!$A$5:$A$200,0)),1)*IFERROR(INDEX(Factors_ROT!$F$5:$F$200,MATCH("SC_FAT|"&amp;AR66,Factors_ROT!$A$5:$A$200,0)),1)</f>
        <v>1</v>
      </c>
      <c r="AX66" s="48" t="n">
        <f aca="false">AT66*AU66*AV66*AW66</f>
        <v>1.785</v>
      </c>
      <c r="AY66" s="47" t="n">
        <f aca="false">IF(ISNUMBER(AB66),AB66/AX66,"")</f>
        <v>5602.24089635854</v>
      </c>
      <c r="AZ66" s="49" t="n">
        <f aca="false">IFERROR(IF(N(INDEX(Escalation_Index!$B$5:$B$25,MATCH(Y66,Escalation_Index!$A$5:$A$25,0)))&gt;0,INDEX(Escalation_Index!$B$5:$B$25,MATCH(Y66,Escalation_Index!$A$5:$A$25,0)),""),"")</f>
        <v>91.347</v>
      </c>
      <c r="BA66" s="49" t="n">
        <f aca="false">IF(ISNUMBER('Assumptions &amp; FX Reference'!$I$12),'Assumptions &amp; FX Reference'!$I$12,"")</f>
        <v>123.416</v>
      </c>
      <c r="BB66" s="45" t="str">
        <f aca="false">IF(AND(M66="API 610",LEFT(V66,11)="Centrifugal",OR(LEFT(G66,2)="S-",LEFT(G66,2)="D-")),"Y","N")</f>
        <v>N</v>
      </c>
      <c r="BC66" s="47" t="n">
        <f aca="false">IF(ISNUMBER(AG66),AG66/AX66,"")</f>
        <v>7569.00787617531</v>
      </c>
      <c r="BD66" s="47" t="str">
        <f aca="false">IF(AND(ISNUMBER(BC66),ISNUMBER(K66)),IF(K66&gt;0,BC66/K66^'Assumptions &amp; FX Reference'!$I$16,""),"")</f>
        <v/>
      </c>
      <c r="BE66" s="42" t="s">
        <v>570</v>
      </c>
      <c r="BF66" s="42" t="s">
        <v>571</v>
      </c>
      <c r="BG66" s="42" t="s">
        <v>369</v>
      </c>
      <c r="BH66" s="45" t="s">
        <v>313</v>
      </c>
      <c r="BI66" s="45" t="str">
        <f aca="false">"PMP-"&amp;TEXT(A66,"0000")</f>
        <v>PMP-0062</v>
      </c>
    </row>
    <row r="67" customFormat="false" ht="24" hidden="false" customHeight="true" outlineLevel="0" collapsed="false">
      <c r="A67" s="42" t="n">
        <v>63</v>
      </c>
      <c r="B67" s="42" t="s">
        <v>496</v>
      </c>
      <c r="C67" s="42" t="s">
        <v>558</v>
      </c>
      <c r="D67" s="42" t="s">
        <v>572</v>
      </c>
      <c r="E67" s="42" t="s">
        <v>48</v>
      </c>
      <c r="F67" s="42" t="s">
        <v>132</v>
      </c>
      <c r="G67" s="42" t="s">
        <v>115</v>
      </c>
      <c r="H67" s="43" t="n">
        <v>14.5</v>
      </c>
      <c r="I67" s="43" t="n">
        <v>27.6</v>
      </c>
      <c r="J67" s="43"/>
      <c r="K67" s="44" t="n">
        <f aca="false">IF(ISNUMBER(J67),J67,IF(AND(ISNUMBER(H67),ISNUMBER(I67)),H67*I67/(367*'Assumptions &amp; FX Reference'!$I$17),""))</f>
        <v>1.81743869209809</v>
      </c>
      <c r="L67" s="45" t="str">
        <f aca="false">IF(IF(OR(M67="Not stated",M67=""),""," + "&amp;M67)&amp;IF(OR(N67="None",N67=""),""," + "&amp;N67)&amp;IF(O67="Y"," + NACE MR0175","")="","Not stated",MID(IF(OR(M67="Not stated",M67=""),""," + "&amp;M67)&amp;IF(OR(N67="None",N67=""),""," + "&amp;N67)&amp;IF(O67="Y"," + NACE MR0175",""),4,300))</f>
        <v>API 610 + IPS-G-PM-105 + NACE MR0175</v>
      </c>
      <c r="M67" s="42" t="s">
        <v>478</v>
      </c>
      <c r="N67" s="42" t="s">
        <v>479</v>
      </c>
      <c r="O67" s="42" t="s">
        <v>369</v>
      </c>
      <c r="P67" s="42" t="s">
        <v>123</v>
      </c>
      <c r="Q67" s="42" t="s">
        <v>123</v>
      </c>
      <c r="R67" s="42" t="s">
        <v>123</v>
      </c>
      <c r="S67" s="50" t="s">
        <v>304</v>
      </c>
      <c r="T67" s="42" t="s">
        <v>327</v>
      </c>
      <c r="U67" s="42" t="n">
        <v>2</v>
      </c>
      <c r="V67" s="42" t="s">
        <v>306</v>
      </c>
      <c r="W67" s="43" t="n">
        <v>4</v>
      </c>
      <c r="X67" s="42" t="s">
        <v>123</v>
      </c>
      <c r="Y67" s="50" t="n">
        <v>1393</v>
      </c>
      <c r="Z67" s="42" t="s">
        <v>363</v>
      </c>
      <c r="AA67" s="46" t="n">
        <v>35000</v>
      </c>
      <c r="AB67" s="47" t="n">
        <f aca="false">IF(NOT(ISNUMBER(AA67)),"",IF(NOT(ISNUMBER(Y67)),"",IFERROR(IF(Z67="EUR",AA67,IF(Z67="IRR",AA67/INDEX('Assumptions &amp; FX Reference'!$C$5:$C$25,MATCH(Y67,'Assumptions &amp; FX Reference'!$A$5:$A$25,0)),IF(Z67="USD",AA67*INDEX('Assumptions &amp; FX Reference'!$B$5:$B$25,MATCH(Y67,'Assumptions &amp; FX Reference'!$A$5:$A$25,0))/INDEX('Assumptions &amp; FX Reference'!$C$5:$C$25,MATCH(Y67,'Assumptions &amp; FX Reference'!$A$5:$A$25,0)),""))),"")))</f>
        <v>35000</v>
      </c>
      <c r="AC67" s="47" t="n">
        <f aca="false">IF(NOT(ISNUMBER(AA67)),"",IF(NOT(ISNUMBER(Y67)),"",IFERROR(IF(Z67="USD",AA67,IF(Z67="IRR",AA67/INDEX('Assumptions &amp; FX Reference'!$B$5:$B$25,MATCH(Y67,'Assumptions &amp; FX Reference'!$A$5:$A$25,0)),IF(Z67="EUR",AA67*INDEX('Assumptions &amp; FX Reference'!$C$5:$C$25,MATCH(Y67,'Assumptions &amp; FX Reference'!$A$5:$A$25,0))/INDEX('Assumptions &amp; FX Reference'!$B$5:$B$25,MATCH(Y67,'Assumptions &amp; FX Reference'!$A$5:$A$25,0)),""))),"")))</f>
        <v>45760.5806451613</v>
      </c>
      <c r="AD67" s="47" t="n">
        <f aca="false">IF(NOT(ISNUMBER(AA67)),"",IF(NOT(ISNUMBER(Y67)),"",IFERROR(IF(Z67="IRR",AA67,IF(Z67="USD",AA67*INDEX('Assumptions &amp; FX Reference'!$B$5:$B$25,MATCH(Y67,'Assumptions &amp; FX Reference'!$A$5:$A$25,0)),IF(Z67="EUR",AA67*INDEX('Assumptions &amp; FX Reference'!$C$5:$C$25,MATCH(Y67,'Assumptions &amp; FX Reference'!$A$5:$A$25,0)),""))),"")))</f>
        <v>1418578000</v>
      </c>
      <c r="AE67" s="42" t="s">
        <v>480</v>
      </c>
      <c r="AF67" s="50" t="s">
        <v>208</v>
      </c>
      <c r="AG67" s="47" t="n">
        <f aca="false">IF(AND(Z67="EUR",N(AA67)&gt;5000000),"",IF(AND(ISNUMBER(AB67),ISNUMBER(AZ67),ISNUMBER(BA67)),IF(AND(BB67="Y",ISNUMBER('Assumptions &amp; FX Reference'!$I$15)),MAX(AB67*BA67/AZ67,'Assumptions &amp; FX Reference'!$I$13*BA67/'Assumptions &amp; FX Reference'!$I$15),AB67*BA67/AZ67),""))</f>
        <v>47287.3767064053</v>
      </c>
      <c r="AH67" s="47" t="n">
        <f aca="false">IF(AND(ISNUMBER(AG67),ISNUMBER('Assumptions &amp; FX Reference'!$I$8),ISNUMBER('Assumptions &amp; FX Reference'!$I$11)),AG67*'Assumptions &amp; FX Reference'!$I$8/'Assumptions &amp; FX Reference'!$I$11,"")</f>
        <v>49925.212294462</v>
      </c>
      <c r="AI67" s="47" t="n">
        <f aca="false">IF(AND(ISNUMBER(AG67),ISNUMBER('Assumptions &amp; FX Reference'!$I$8)),AG67*'Assumptions &amp; FX Reference'!$I$8,"")</f>
        <v>32877399827.909</v>
      </c>
      <c r="AJ67" s="42" t="s">
        <v>481</v>
      </c>
      <c r="AK67" s="42" t="s">
        <v>482</v>
      </c>
      <c r="AL67" s="42" t="s">
        <v>123</v>
      </c>
      <c r="AM67" s="42" t="s">
        <v>123</v>
      </c>
      <c r="AN67" s="42" t="s">
        <v>123</v>
      </c>
      <c r="AO67" s="42" t="s">
        <v>123</v>
      </c>
      <c r="AP67" s="42" t="s">
        <v>123</v>
      </c>
      <c r="AQ67" s="50" t="s">
        <v>312</v>
      </c>
      <c r="AR67" s="42" t="s">
        <v>123</v>
      </c>
      <c r="AS67" s="45" t="str">
        <f aca="false">IF(AND(Z67="EUR",N(AA67)&gt;5000000),"Check currency (EUR&gt;5M); ","")&amp;IF(NOT(ISNUMBER(AA67)),"No price; ","")&amp;IF(G67="Not stated","Material missing; ","")&amp;IF(P67="Not stated","Seal missing; ","")&amp;IF(K67="","Size driver missing; ","")&amp;IF(NOT(ISNUMBER(AZ67)),"Base-year PPI missing; ","")</f>
        <v>Seal missing; </v>
      </c>
      <c r="AT67" s="48" t="n">
        <f aca="false">IFERROR(INDEX(Factors_ROT!$F$5:$F$200,MATCH("MAT|"&amp;G67,Factors_ROT!$A$5:$A$200,0)),1)</f>
        <v>1.9</v>
      </c>
      <c r="AU67" s="48" t="n">
        <f aca="false">IFERROR(INDEX(Factors_ROT!$F$5:$F$200,MATCH("SEAL_ARR|"&amp;P67,Factors_ROT!$A$5:$A$200,0)),1)*IFERROR(INDEX(Factors_ROT!$F$5:$F$200,MATCH("SEAL_CAT|"&amp;Q67,Factors_ROT!$A$5:$A$200,0)),1)*IFERROR(INDEX(Factors_ROT!$F$5:$F$200,MATCH("SEAL_PLAN|"&amp;R67,Factors_ROT!$A$5:$A$200,0)),1)</f>
        <v>1</v>
      </c>
      <c r="AV67" s="48" t="n">
        <f aca="false">IFERROR(INDEX(Factors_ROT!$F$5:$F$200,MATCH("DRV|"&amp;S67,Factors_ROT!$A$5:$A$200,0)),1)*IFERROR(INDEX(Factors_ROT!$F$5:$F$200,MATCH("NACE|"&amp;O67,Factors_ROT!$A$5:$A$200,0)),1)</f>
        <v>1.05</v>
      </c>
      <c r="AW67" s="48" t="n">
        <f aca="false">IFERROR(INDEX(Factors_ROT!$F$5:$F$200,MATCH("SC_DRV|"&amp;AL67,Factors_ROT!$A$5:$A$200,0)),1)*IFERROR(INDEX(Factors_ROT!$F$5:$F$200,MATCH("SC_BSP|"&amp;AM67,Factors_ROT!$A$5:$A$200,0)),1)*IFERROR(INDEX(Factors_ROT!$F$5:$F$200,MATCH("SC_SEAL|"&amp;AN67,Factors_ROT!$A$5:$A$200,0)),1)*IFERROR(INDEX(Factors_ROT!$F$5:$F$200,MATCH("SC_COMM|"&amp;AO67,Factors_ROT!$A$5:$A$200,0)),1)*IFERROR(INDEX(Factors_ROT!$F$5:$F$200,MATCH("SC_2Y|"&amp;AP67,Factors_ROT!$A$5:$A$200,0)),1)*IFERROR(INDEX(Factors_ROT!$F$5:$F$200,MATCH("SC_TPI|"&amp;AQ67,Factors_ROT!$A$5:$A$200,0)),1)*IFERROR(INDEX(Factors_ROT!$F$5:$F$200,MATCH("SC_FAT|"&amp;AR67,Factors_ROT!$A$5:$A$200,0)),1)</f>
        <v>1</v>
      </c>
      <c r="AX67" s="48" t="n">
        <f aca="false">AT67*AU67*AV67*AW67</f>
        <v>1.995</v>
      </c>
      <c r="AY67" s="47" t="n">
        <f aca="false">IF(ISNUMBER(AB67),AB67/AX67,"")</f>
        <v>17543.8596491228</v>
      </c>
      <c r="AZ67" s="49" t="n">
        <f aca="false">IFERROR(IF(N(INDEX(Escalation_Index!$B$5:$B$25,MATCH(Y67,Escalation_Index!$A$5:$A$25,0)))&gt;0,INDEX(Escalation_Index!$B$5:$B$25,MATCH(Y67,Escalation_Index!$A$5:$A$25,0)),""),"")</f>
        <v>91.347</v>
      </c>
      <c r="BA67" s="49" t="n">
        <f aca="false">IF(ISNUMBER('Assumptions &amp; FX Reference'!$I$12),'Assumptions &amp; FX Reference'!$I$12,"")</f>
        <v>123.416</v>
      </c>
      <c r="BB67" s="45" t="str">
        <f aca="false">IF(AND(M67="API 610",LEFT(V67,11)="Centrifugal",OR(LEFT(G67,2)="S-",LEFT(G67,2)="D-")),"Y","N")</f>
        <v>Y</v>
      </c>
      <c r="BC67" s="47" t="n">
        <f aca="false">IF(ISNUMBER(AG67),AG67/AX67,"")</f>
        <v>23702.9457174964</v>
      </c>
      <c r="BD67" s="47" t="n">
        <f aca="false">IF(AND(ISNUMBER(BC67),ISNUMBER(K67)),IF(K67&gt;0,BC67/K67^'Assumptions &amp; FX Reference'!$I$16,""),"")</f>
        <v>16562.5216941051</v>
      </c>
      <c r="BE67" s="42" t="s">
        <v>573</v>
      </c>
      <c r="BF67" s="42" t="s">
        <v>574</v>
      </c>
      <c r="BG67" s="42" t="s">
        <v>369</v>
      </c>
      <c r="BH67" s="45" t="s">
        <v>313</v>
      </c>
      <c r="BI67" s="45" t="str">
        <f aca="false">"PMP-"&amp;TEXT(A67,"0000")</f>
        <v>PMP-0063</v>
      </c>
    </row>
    <row r="68" customFormat="false" ht="24" hidden="false" customHeight="true" outlineLevel="0" collapsed="false">
      <c r="A68" s="42" t="n">
        <v>64</v>
      </c>
      <c r="B68" s="42" t="s">
        <v>500</v>
      </c>
      <c r="C68" s="42" t="s">
        <v>558</v>
      </c>
      <c r="D68" s="42" t="s">
        <v>575</v>
      </c>
      <c r="E68" s="42" t="s">
        <v>51</v>
      </c>
      <c r="F68" s="42" t="s">
        <v>153</v>
      </c>
      <c r="G68" s="42" t="s">
        <v>115</v>
      </c>
      <c r="H68" s="43" t="n">
        <v>44</v>
      </c>
      <c r="I68" s="43" t="n">
        <v>670</v>
      </c>
      <c r="J68" s="43"/>
      <c r="K68" s="44" t="n">
        <f aca="false">IF(ISNUMBER(J68),J68,IF(AND(ISNUMBER(H68),ISNUMBER(I68)),H68*I68/(367*'Assumptions &amp; FX Reference'!$I$17),""))</f>
        <v>133.878292461399</v>
      </c>
      <c r="L68" s="45" t="str">
        <f aca="false">IF(IF(OR(M68="Not stated",M68=""),""," + "&amp;M68)&amp;IF(OR(N68="None",N68=""),""," + "&amp;N68)&amp;IF(O68="Y"," + NACE MR0175","")="","Not stated",MID(IF(OR(M68="Not stated",M68=""),""," + "&amp;M68)&amp;IF(OR(N68="None",N68=""),""," + "&amp;N68)&amp;IF(O68="Y"," + NACE MR0175",""),4,300))</f>
        <v>API 610 + IPS-G-PM-105 + NACE MR0175</v>
      </c>
      <c r="M68" s="42" t="s">
        <v>478</v>
      </c>
      <c r="N68" s="42" t="s">
        <v>479</v>
      </c>
      <c r="O68" s="42" t="s">
        <v>369</v>
      </c>
      <c r="P68" s="42" t="s">
        <v>123</v>
      </c>
      <c r="Q68" s="42" t="s">
        <v>123</v>
      </c>
      <c r="R68" s="42" t="s">
        <v>123</v>
      </c>
      <c r="S68" s="50" t="s">
        <v>304</v>
      </c>
      <c r="T68" s="42" t="s">
        <v>334</v>
      </c>
      <c r="U68" s="42" t="n">
        <v>2</v>
      </c>
      <c r="V68" s="42" t="s">
        <v>306</v>
      </c>
      <c r="W68" s="43" t="n">
        <v>74.4</v>
      </c>
      <c r="X68" s="42" t="s">
        <v>123</v>
      </c>
      <c r="Y68" s="50" t="n">
        <v>1393</v>
      </c>
      <c r="Z68" s="42" t="s">
        <v>363</v>
      </c>
      <c r="AA68" s="46" t="n">
        <v>230000</v>
      </c>
      <c r="AB68" s="47" t="n">
        <f aca="false">IF(NOT(ISNUMBER(AA68)),"",IF(NOT(ISNUMBER(Y68)),"",IFERROR(IF(Z68="EUR",AA68,IF(Z68="IRR",AA68/INDEX('Assumptions &amp; FX Reference'!$C$5:$C$25,MATCH(Y68,'Assumptions &amp; FX Reference'!$A$5:$A$25,0)),IF(Z68="USD",AA68*INDEX('Assumptions &amp; FX Reference'!$B$5:$B$25,MATCH(Y68,'Assumptions &amp; FX Reference'!$A$5:$A$25,0))/INDEX('Assumptions &amp; FX Reference'!$C$5:$C$25,MATCH(Y68,'Assumptions &amp; FX Reference'!$A$5:$A$25,0)),""))),"")))</f>
        <v>230000</v>
      </c>
      <c r="AC68" s="47" t="n">
        <f aca="false">IF(NOT(ISNUMBER(AA68)),"",IF(NOT(ISNUMBER(Y68)),"",IFERROR(IF(Z68="USD",AA68,IF(Z68="IRR",AA68/INDEX('Assumptions &amp; FX Reference'!$B$5:$B$25,MATCH(Y68,'Assumptions &amp; FX Reference'!$A$5:$A$25,0)),IF(Z68="EUR",AA68*INDEX('Assumptions &amp; FX Reference'!$C$5:$C$25,MATCH(Y68,'Assumptions &amp; FX Reference'!$A$5:$A$25,0))/INDEX('Assumptions &amp; FX Reference'!$B$5:$B$25,MATCH(Y68,'Assumptions &amp; FX Reference'!$A$5:$A$25,0)),""))),"")))</f>
        <v>300712.387096774</v>
      </c>
      <c r="AD68" s="47" t="n">
        <f aca="false">IF(NOT(ISNUMBER(AA68)),"",IF(NOT(ISNUMBER(Y68)),"",IFERROR(IF(Z68="IRR",AA68,IF(Z68="USD",AA68*INDEX('Assumptions &amp; FX Reference'!$B$5:$B$25,MATCH(Y68,'Assumptions &amp; FX Reference'!$A$5:$A$25,0)),IF(Z68="EUR",AA68*INDEX('Assumptions &amp; FX Reference'!$C$5:$C$25,MATCH(Y68,'Assumptions &amp; FX Reference'!$A$5:$A$25,0)),""))),"")))</f>
        <v>9322084000</v>
      </c>
      <c r="AE68" s="42" t="s">
        <v>480</v>
      </c>
      <c r="AF68" s="50" t="s">
        <v>208</v>
      </c>
      <c r="AG68" s="47" t="n">
        <f aca="false">IF(AND(Z68="EUR",N(AA68)&gt;5000000),"",IF(AND(ISNUMBER(AB68),ISNUMBER(AZ68),ISNUMBER(BA68)),IF(AND(BB68="Y",ISNUMBER('Assumptions &amp; FX Reference'!$I$15)),MAX(AB68*BA68/AZ68,'Assumptions &amp; FX Reference'!$I$13*BA68/'Assumptions &amp; FX Reference'!$I$15),AB68*BA68/AZ68),""))</f>
        <v>310745.618356377</v>
      </c>
      <c r="AH68" s="47" t="n">
        <f aca="false">IF(AND(ISNUMBER(AG68),ISNUMBER('Assumptions &amp; FX Reference'!$I$8),ISNUMBER('Assumptions &amp; FX Reference'!$I$11)),AG68*'Assumptions &amp; FX Reference'!$I$8/'Assumptions &amp; FX Reference'!$I$11,"")</f>
        <v>328079.966506465</v>
      </c>
      <c r="AI68" s="47" t="n">
        <f aca="false">IF(AND(ISNUMBER(AG68),ISNUMBER('Assumptions &amp; FX Reference'!$I$8)),AG68*'Assumptions &amp; FX Reference'!$I$8,"")</f>
        <v>216051484583.402</v>
      </c>
      <c r="AJ68" s="42" t="s">
        <v>481</v>
      </c>
      <c r="AK68" s="42" t="s">
        <v>482</v>
      </c>
      <c r="AL68" s="42" t="s">
        <v>123</v>
      </c>
      <c r="AM68" s="42" t="s">
        <v>123</v>
      </c>
      <c r="AN68" s="42" t="s">
        <v>123</v>
      </c>
      <c r="AO68" s="42" t="s">
        <v>123</v>
      </c>
      <c r="AP68" s="42" t="s">
        <v>123</v>
      </c>
      <c r="AQ68" s="50" t="s">
        <v>312</v>
      </c>
      <c r="AR68" s="42" t="s">
        <v>123</v>
      </c>
      <c r="AS68" s="45" t="str">
        <f aca="false">IF(AND(Z68="EUR",N(AA68)&gt;5000000),"Check currency (EUR&gt;5M); ","")&amp;IF(NOT(ISNUMBER(AA68)),"No price; ","")&amp;IF(G68="Not stated","Material missing; ","")&amp;IF(P68="Not stated","Seal missing; ","")&amp;IF(K68="","Size driver missing; ","")&amp;IF(NOT(ISNUMBER(AZ68)),"Base-year PPI missing; ","")</f>
        <v>Seal missing; </v>
      </c>
      <c r="AT68" s="48" t="n">
        <f aca="false">IFERROR(INDEX(Factors_ROT!$F$5:$F$200,MATCH("MAT|"&amp;G68,Factors_ROT!$A$5:$A$200,0)),1)</f>
        <v>1.9</v>
      </c>
      <c r="AU68" s="48" t="n">
        <f aca="false">IFERROR(INDEX(Factors_ROT!$F$5:$F$200,MATCH("SEAL_ARR|"&amp;P68,Factors_ROT!$A$5:$A$200,0)),1)*IFERROR(INDEX(Factors_ROT!$F$5:$F$200,MATCH("SEAL_CAT|"&amp;Q68,Factors_ROT!$A$5:$A$200,0)),1)*IFERROR(INDEX(Factors_ROT!$F$5:$F$200,MATCH("SEAL_PLAN|"&amp;R68,Factors_ROT!$A$5:$A$200,0)),1)</f>
        <v>1</v>
      </c>
      <c r="AV68" s="48" t="n">
        <f aca="false">IFERROR(INDEX(Factors_ROT!$F$5:$F$200,MATCH("DRV|"&amp;S68,Factors_ROT!$A$5:$A$200,0)),1)*IFERROR(INDEX(Factors_ROT!$F$5:$F$200,MATCH("NACE|"&amp;O68,Factors_ROT!$A$5:$A$200,0)),1)</f>
        <v>1.05</v>
      </c>
      <c r="AW68" s="48" t="n">
        <f aca="false">IFERROR(INDEX(Factors_ROT!$F$5:$F$200,MATCH("SC_DRV|"&amp;AL68,Factors_ROT!$A$5:$A$200,0)),1)*IFERROR(INDEX(Factors_ROT!$F$5:$F$200,MATCH("SC_BSP|"&amp;AM68,Factors_ROT!$A$5:$A$200,0)),1)*IFERROR(INDEX(Factors_ROT!$F$5:$F$200,MATCH("SC_SEAL|"&amp;AN68,Factors_ROT!$A$5:$A$200,0)),1)*IFERROR(INDEX(Factors_ROT!$F$5:$F$200,MATCH("SC_COMM|"&amp;AO68,Factors_ROT!$A$5:$A$200,0)),1)*IFERROR(INDEX(Factors_ROT!$F$5:$F$200,MATCH("SC_2Y|"&amp;AP68,Factors_ROT!$A$5:$A$200,0)),1)*IFERROR(INDEX(Factors_ROT!$F$5:$F$200,MATCH("SC_TPI|"&amp;AQ68,Factors_ROT!$A$5:$A$200,0)),1)*IFERROR(INDEX(Factors_ROT!$F$5:$F$200,MATCH("SC_FAT|"&amp;AR68,Factors_ROT!$A$5:$A$200,0)),1)</f>
        <v>1</v>
      </c>
      <c r="AX68" s="48" t="n">
        <f aca="false">AT68*AU68*AV68*AW68</f>
        <v>1.995</v>
      </c>
      <c r="AY68" s="47" t="n">
        <f aca="false">IF(ISNUMBER(AB68),AB68/AX68,"")</f>
        <v>115288.220551378</v>
      </c>
      <c r="AZ68" s="49" t="n">
        <f aca="false">IFERROR(IF(N(INDEX(Escalation_Index!$B$5:$B$25,MATCH(Y68,Escalation_Index!$A$5:$A$25,0)))&gt;0,INDEX(Escalation_Index!$B$5:$B$25,MATCH(Y68,Escalation_Index!$A$5:$A$25,0)),""),"")</f>
        <v>91.347</v>
      </c>
      <c r="BA68" s="49" t="n">
        <f aca="false">IF(ISNUMBER('Assumptions &amp; FX Reference'!$I$12),'Assumptions &amp; FX Reference'!$I$12,"")</f>
        <v>123.416</v>
      </c>
      <c r="BB68" s="45" t="str">
        <f aca="false">IF(AND(M68="API 610",LEFT(V68,11)="Centrifugal",OR(LEFT(G68,2)="S-",LEFT(G68,2)="D-")),"Y","N")</f>
        <v>Y</v>
      </c>
      <c r="BC68" s="47" t="n">
        <f aca="false">IF(ISNUMBER(AG68),AG68/AX68,"")</f>
        <v>155762.214714976</v>
      </c>
      <c r="BD68" s="47" t="n">
        <f aca="false">IF(AND(ISNUMBER(BC68),ISNUMBER(K68)),IF(K68&gt;0,BC68/K68^'Assumptions &amp; FX Reference'!$I$16,""),"")</f>
        <v>8249.65933296391</v>
      </c>
      <c r="BE68" s="42" t="s">
        <v>576</v>
      </c>
      <c r="BF68" s="42" t="s">
        <v>577</v>
      </c>
      <c r="BG68" s="42" t="s">
        <v>369</v>
      </c>
      <c r="BH68" s="45" t="s">
        <v>313</v>
      </c>
      <c r="BI68" s="45" t="str">
        <f aca="false">"PMP-"&amp;TEXT(A68,"0000")</f>
        <v>PMP-0064</v>
      </c>
    </row>
    <row r="69" customFormat="false" ht="24" hidden="false" customHeight="true" outlineLevel="0" collapsed="false">
      <c r="A69" s="42" t="n">
        <v>65</v>
      </c>
      <c r="B69" s="42" t="s">
        <v>504</v>
      </c>
      <c r="C69" s="42" t="s">
        <v>558</v>
      </c>
      <c r="D69" s="42" t="s">
        <v>578</v>
      </c>
      <c r="E69" s="42" t="s">
        <v>51</v>
      </c>
      <c r="F69" s="42" t="s">
        <v>153</v>
      </c>
      <c r="G69" s="42" t="s">
        <v>115</v>
      </c>
      <c r="H69" s="43" t="n">
        <v>22</v>
      </c>
      <c r="I69" s="43" t="n">
        <v>331</v>
      </c>
      <c r="J69" s="43"/>
      <c r="K69" s="44" t="n">
        <f aca="false">IF(ISNUMBER(J69),J69,IF(AND(ISNUMBER(H69),ISNUMBER(I69)),H69*I69/(367*'Assumptions &amp; FX Reference'!$I$17),""))</f>
        <v>33.0699364214351</v>
      </c>
      <c r="L69" s="45" t="str">
        <f aca="false">IF(IF(OR(M69="Not stated",M69=""),""," + "&amp;M69)&amp;IF(OR(N69="None",N69=""),""," + "&amp;N69)&amp;IF(O69="Y"," + NACE MR0175","")="","Not stated",MID(IF(OR(M69="Not stated",M69=""),""," + "&amp;M69)&amp;IF(OR(N69="None",N69=""),""," + "&amp;N69)&amp;IF(O69="Y"," + NACE MR0175",""),4,300))</f>
        <v>API 610 + IPS-G-PM-105 + NACE MR0175</v>
      </c>
      <c r="M69" s="42" t="s">
        <v>478</v>
      </c>
      <c r="N69" s="42" t="s">
        <v>479</v>
      </c>
      <c r="O69" s="42" t="s">
        <v>369</v>
      </c>
      <c r="P69" s="42" t="s">
        <v>123</v>
      </c>
      <c r="Q69" s="42" t="s">
        <v>123</v>
      </c>
      <c r="R69" s="42" t="s">
        <v>123</v>
      </c>
      <c r="S69" s="50" t="s">
        <v>304</v>
      </c>
      <c r="T69" s="42" t="s">
        <v>334</v>
      </c>
      <c r="U69" s="42" t="n">
        <v>2</v>
      </c>
      <c r="V69" s="42" t="s">
        <v>306</v>
      </c>
      <c r="W69" s="43" t="n">
        <v>37.4</v>
      </c>
      <c r="X69" s="42" t="s">
        <v>123</v>
      </c>
      <c r="Y69" s="50" t="n">
        <v>1393</v>
      </c>
      <c r="Z69" s="42" t="s">
        <v>363</v>
      </c>
      <c r="AA69" s="46" t="n">
        <v>160000</v>
      </c>
      <c r="AB69" s="47" t="n">
        <f aca="false">IF(NOT(ISNUMBER(AA69)),"",IF(NOT(ISNUMBER(Y69)),"",IFERROR(IF(Z69="EUR",AA69,IF(Z69="IRR",AA69/INDEX('Assumptions &amp; FX Reference'!$C$5:$C$25,MATCH(Y69,'Assumptions &amp; FX Reference'!$A$5:$A$25,0)),IF(Z69="USD",AA69*INDEX('Assumptions &amp; FX Reference'!$B$5:$B$25,MATCH(Y69,'Assumptions &amp; FX Reference'!$A$5:$A$25,0))/INDEX('Assumptions &amp; FX Reference'!$C$5:$C$25,MATCH(Y69,'Assumptions &amp; FX Reference'!$A$5:$A$25,0)),""))),"")))</f>
        <v>160000</v>
      </c>
      <c r="AC69" s="47" t="n">
        <f aca="false">IF(NOT(ISNUMBER(AA69)),"",IF(NOT(ISNUMBER(Y69)),"",IFERROR(IF(Z69="USD",AA69,IF(Z69="IRR",AA69/INDEX('Assumptions &amp; FX Reference'!$B$5:$B$25,MATCH(Y69,'Assumptions &amp; FX Reference'!$A$5:$A$25,0)),IF(Z69="EUR",AA69*INDEX('Assumptions &amp; FX Reference'!$C$5:$C$25,MATCH(Y69,'Assumptions &amp; FX Reference'!$A$5:$A$25,0))/INDEX('Assumptions &amp; FX Reference'!$B$5:$B$25,MATCH(Y69,'Assumptions &amp; FX Reference'!$A$5:$A$25,0)),""))),"")))</f>
        <v>209191.225806452</v>
      </c>
      <c r="AD69" s="47" t="n">
        <f aca="false">IF(NOT(ISNUMBER(AA69)),"",IF(NOT(ISNUMBER(Y69)),"",IFERROR(IF(Z69="IRR",AA69,IF(Z69="USD",AA69*INDEX('Assumptions &amp; FX Reference'!$B$5:$B$25,MATCH(Y69,'Assumptions &amp; FX Reference'!$A$5:$A$25,0)),IF(Z69="EUR",AA69*INDEX('Assumptions &amp; FX Reference'!$C$5:$C$25,MATCH(Y69,'Assumptions &amp; FX Reference'!$A$5:$A$25,0)),""))),"")))</f>
        <v>6484928000</v>
      </c>
      <c r="AE69" s="42" t="s">
        <v>480</v>
      </c>
      <c r="AF69" s="50" t="s">
        <v>208</v>
      </c>
      <c r="AG69" s="47" t="n">
        <f aca="false">IF(AND(Z69="EUR",N(AA69)&gt;5000000),"",IF(AND(ISNUMBER(AB69),ISNUMBER(AZ69),ISNUMBER(BA69)),IF(AND(BB69="Y",ISNUMBER('Assumptions &amp; FX Reference'!$I$15)),MAX(AB69*BA69/AZ69,'Assumptions &amp; FX Reference'!$I$13*BA69/'Assumptions &amp; FX Reference'!$I$15),AB69*BA69/AZ69),""))</f>
        <v>216170.864943567</v>
      </c>
      <c r="AH69" s="47" t="n">
        <f aca="false">IF(AND(ISNUMBER(AG69),ISNUMBER('Assumptions &amp; FX Reference'!$I$8),ISNUMBER('Assumptions &amp; FX Reference'!$I$11)),AG69*'Assumptions &amp; FX Reference'!$I$8/'Assumptions &amp; FX Reference'!$I$11,"")</f>
        <v>228229.541917541</v>
      </c>
      <c r="AI69" s="47" t="n">
        <f aca="false">IF(AND(ISNUMBER(AG69),ISNUMBER('Assumptions &amp; FX Reference'!$I$8)),AG69*'Assumptions &amp; FX Reference'!$I$8,"")</f>
        <v>150296684927.584</v>
      </c>
      <c r="AJ69" s="42" t="s">
        <v>481</v>
      </c>
      <c r="AK69" s="42" t="s">
        <v>482</v>
      </c>
      <c r="AL69" s="42" t="s">
        <v>123</v>
      </c>
      <c r="AM69" s="42" t="s">
        <v>123</v>
      </c>
      <c r="AN69" s="42" t="s">
        <v>123</v>
      </c>
      <c r="AO69" s="42" t="s">
        <v>123</v>
      </c>
      <c r="AP69" s="42" t="s">
        <v>123</v>
      </c>
      <c r="AQ69" s="50" t="s">
        <v>312</v>
      </c>
      <c r="AR69" s="42" t="s">
        <v>123</v>
      </c>
      <c r="AS69" s="45" t="str">
        <f aca="false">IF(AND(Z69="EUR",N(AA69)&gt;5000000),"Check currency (EUR&gt;5M); ","")&amp;IF(NOT(ISNUMBER(AA69)),"No price; ","")&amp;IF(G69="Not stated","Material missing; ","")&amp;IF(P69="Not stated","Seal missing; ","")&amp;IF(K69="","Size driver missing; ","")&amp;IF(NOT(ISNUMBER(AZ69)),"Base-year PPI missing; ","")</f>
        <v>Seal missing; </v>
      </c>
      <c r="AT69" s="48" t="n">
        <f aca="false">IFERROR(INDEX(Factors_ROT!$F$5:$F$200,MATCH("MAT|"&amp;G69,Factors_ROT!$A$5:$A$200,0)),1)</f>
        <v>1.9</v>
      </c>
      <c r="AU69" s="48" t="n">
        <f aca="false">IFERROR(INDEX(Factors_ROT!$F$5:$F$200,MATCH("SEAL_ARR|"&amp;P69,Factors_ROT!$A$5:$A$200,0)),1)*IFERROR(INDEX(Factors_ROT!$F$5:$F$200,MATCH("SEAL_CAT|"&amp;Q69,Factors_ROT!$A$5:$A$200,0)),1)*IFERROR(INDEX(Factors_ROT!$F$5:$F$200,MATCH("SEAL_PLAN|"&amp;R69,Factors_ROT!$A$5:$A$200,0)),1)</f>
        <v>1</v>
      </c>
      <c r="AV69" s="48" t="n">
        <f aca="false">IFERROR(INDEX(Factors_ROT!$F$5:$F$200,MATCH("DRV|"&amp;S69,Factors_ROT!$A$5:$A$200,0)),1)*IFERROR(INDEX(Factors_ROT!$F$5:$F$200,MATCH("NACE|"&amp;O69,Factors_ROT!$A$5:$A$200,0)),1)</f>
        <v>1.05</v>
      </c>
      <c r="AW69" s="48" t="n">
        <f aca="false">IFERROR(INDEX(Factors_ROT!$F$5:$F$200,MATCH("SC_DRV|"&amp;AL69,Factors_ROT!$A$5:$A$200,0)),1)*IFERROR(INDEX(Factors_ROT!$F$5:$F$200,MATCH("SC_BSP|"&amp;AM69,Factors_ROT!$A$5:$A$200,0)),1)*IFERROR(INDEX(Factors_ROT!$F$5:$F$200,MATCH("SC_SEAL|"&amp;AN69,Factors_ROT!$A$5:$A$200,0)),1)*IFERROR(INDEX(Factors_ROT!$F$5:$F$200,MATCH("SC_COMM|"&amp;AO69,Factors_ROT!$A$5:$A$200,0)),1)*IFERROR(INDEX(Factors_ROT!$F$5:$F$200,MATCH("SC_2Y|"&amp;AP69,Factors_ROT!$A$5:$A$200,0)),1)*IFERROR(INDEX(Factors_ROT!$F$5:$F$200,MATCH("SC_TPI|"&amp;AQ69,Factors_ROT!$A$5:$A$200,0)),1)*IFERROR(INDEX(Factors_ROT!$F$5:$F$200,MATCH("SC_FAT|"&amp;AR69,Factors_ROT!$A$5:$A$200,0)),1)</f>
        <v>1</v>
      </c>
      <c r="AX69" s="48" t="n">
        <f aca="false">AT69*AU69*AV69*AW69</f>
        <v>1.995</v>
      </c>
      <c r="AY69" s="47" t="n">
        <f aca="false">IF(ISNUMBER(AB69),AB69/AX69,"")</f>
        <v>80200.5012531328</v>
      </c>
      <c r="AZ69" s="49" t="n">
        <f aca="false">IFERROR(IF(N(INDEX(Escalation_Index!$B$5:$B$25,MATCH(Y69,Escalation_Index!$A$5:$A$25,0)))&gt;0,INDEX(Escalation_Index!$B$5:$B$25,MATCH(Y69,Escalation_Index!$A$5:$A$25,0)),""),"")</f>
        <v>91.347</v>
      </c>
      <c r="BA69" s="49" t="n">
        <f aca="false">IF(ISNUMBER('Assumptions &amp; FX Reference'!$I$12),'Assumptions &amp; FX Reference'!$I$12,"")</f>
        <v>123.416</v>
      </c>
      <c r="BB69" s="45" t="str">
        <f aca="false">IF(AND(M69="API 610",LEFT(V69,11)="Centrifugal",OR(LEFT(G69,2)="S-",LEFT(G69,2)="D-")),"Y","N")</f>
        <v>Y</v>
      </c>
      <c r="BC69" s="47" t="n">
        <f aca="false">IF(ISNUMBER(AG69),AG69/AX69,"")</f>
        <v>108356.323279983</v>
      </c>
      <c r="BD69" s="47" t="n">
        <f aca="false">IF(AND(ISNUMBER(BC69),ISNUMBER(K69)),IF(K69&gt;0,BC69/K69^'Assumptions &amp; FX Reference'!$I$16,""),"")</f>
        <v>13279.8828619263</v>
      </c>
      <c r="BE69" s="42" t="s">
        <v>579</v>
      </c>
      <c r="BF69" s="42" t="s">
        <v>580</v>
      </c>
      <c r="BG69" s="42" t="s">
        <v>369</v>
      </c>
      <c r="BH69" s="45" t="s">
        <v>313</v>
      </c>
      <c r="BI69" s="45" t="str">
        <f aca="false">"PMP-"&amp;TEXT(A69,"0000")</f>
        <v>PMP-0065</v>
      </c>
    </row>
    <row r="70" customFormat="false" ht="24" hidden="false" customHeight="true" outlineLevel="0" collapsed="false">
      <c r="A70" s="42" t="n">
        <v>66</v>
      </c>
      <c r="B70" s="42" t="s">
        <v>508</v>
      </c>
      <c r="C70" s="42" t="s">
        <v>558</v>
      </c>
      <c r="D70" s="42" t="s">
        <v>581</v>
      </c>
      <c r="E70" s="42" t="s">
        <v>48</v>
      </c>
      <c r="F70" s="42" t="s">
        <v>132</v>
      </c>
      <c r="G70" s="42" t="s">
        <v>87</v>
      </c>
      <c r="H70" s="43" t="n">
        <v>19</v>
      </c>
      <c r="I70" s="43" t="n">
        <v>168</v>
      </c>
      <c r="J70" s="43"/>
      <c r="K70" s="44" t="n">
        <f aca="false">IF(ISNUMBER(J70),J70,IF(AND(ISNUMBER(H70),ISNUMBER(I70)),H70*I70/(367*'Assumptions &amp; FX Reference'!$I$17),""))</f>
        <v>14.4959128065395</v>
      </c>
      <c r="L70" s="45" t="str">
        <f aca="false">IF(IF(OR(M70="Not stated",M70=""),""," + "&amp;M70)&amp;IF(OR(N70="None",N70=""),""," + "&amp;N70)&amp;IF(O70="Y"," + NACE MR0175","")="","Not stated",MID(IF(OR(M70="Not stated",M70=""),""," + "&amp;M70)&amp;IF(OR(N70="None",N70=""),""," + "&amp;N70)&amp;IF(O70="Y"," + NACE MR0175",""),4,300))</f>
        <v>API 610 + IPS-G-PM-105</v>
      </c>
      <c r="M70" s="42" t="s">
        <v>478</v>
      </c>
      <c r="N70" s="42" t="s">
        <v>479</v>
      </c>
      <c r="O70" s="50" t="s">
        <v>312</v>
      </c>
      <c r="P70" s="42" t="s">
        <v>123</v>
      </c>
      <c r="Q70" s="42" t="s">
        <v>123</v>
      </c>
      <c r="R70" s="42" t="s">
        <v>123</v>
      </c>
      <c r="S70" s="50" t="s">
        <v>304</v>
      </c>
      <c r="T70" s="42" t="s">
        <v>327</v>
      </c>
      <c r="U70" s="42" t="n">
        <v>2</v>
      </c>
      <c r="V70" s="42" t="s">
        <v>306</v>
      </c>
      <c r="W70" s="43" t="n">
        <v>17.8</v>
      </c>
      <c r="X70" s="42" t="s">
        <v>123</v>
      </c>
      <c r="Y70" s="50" t="n">
        <v>1393</v>
      </c>
      <c r="Z70" s="42" t="s">
        <v>363</v>
      </c>
      <c r="AA70" s="46" t="n">
        <v>16500</v>
      </c>
      <c r="AB70" s="47" t="n">
        <f aca="false">IF(NOT(ISNUMBER(AA70)),"",IF(NOT(ISNUMBER(Y70)),"",IFERROR(IF(Z70="EUR",AA70,IF(Z70="IRR",AA70/INDEX('Assumptions &amp; FX Reference'!$C$5:$C$25,MATCH(Y70,'Assumptions &amp; FX Reference'!$A$5:$A$25,0)),IF(Z70="USD",AA70*INDEX('Assumptions &amp; FX Reference'!$B$5:$B$25,MATCH(Y70,'Assumptions &amp; FX Reference'!$A$5:$A$25,0))/INDEX('Assumptions &amp; FX Reference'!$C$5:$C$25,MATCH(Y70,'Assumptions &amp; FX Reference'!$A$5:$A$25,0)),""))),"")))</f>
        <v>16500</v>
      </c>
      <c r="AC70" s="47" t="n">
        <f aca="false">IF(NOT(ISNUMBER(AA70)),"",IF(NOT(ISNUMBER(Y70)),"",IFERROR(IF(Z70="USD",AA70,IF(Z70="IRR",AA70/INDEX('Assumptions &amp; FX Reference'!$B$5:$B$25,MATCH(Y70,'Assumptions &amp; FX Reference'!$A$5:$A$25,0)),IF(Z70="EUR",AA70*INDEX('Assumptions &amp; FX Reference'!$C$5:$C$25,MATCH(Y70,'Assumptions &amp; FX Reference'!$A$5:$A$25,0))/INDEX('Assumptions &amp; FX Reference'!$B$5:$B$25,MATCH(Y70,'Assumptions &amp; FX Reference'!$A$5:$A$25,0)),""))),"")))</f>
        <v>21572.8451612903</v>
      </c>
      <c r="AD70" s="47" t="n">
        <f aca="false">IF(NOT(ISNUMBER(AA70)),"",IF(NOT(ISNUMBER(Y70)),"",IFERROR(IF(Z70="IRR",AA70,IF(Z70="USD",AA70*INDEX('Assumptions &amp; FX Reference'!$B$5:$B$25,MATCH(Y70,'Assumptions &amp; FX Reference'!$A$5:$A$25,0)),IF(Z70="EUR",AA70*INDEX('Assumptions &amp; FX Reference'!$C$5:$C$25,MATCH(Y70,'Assumptions &amp; FX Reference'!$A$5:$A$25,0)),""))),"")))</f>
        <v>668758200</v>
      </c>
      <c r="AE70" s="42" t="s">
        <v>480</v>
      </c>
      <c r="AF70" s="50" t="s">
        <v>208</v>
      </c>
      <c r="AG70" s="47" t="n">
        <f aca="false">IF(AND(Z70="EUR",N(AA70)&gt;5000000),"",IF(AND(ISNUMBER(AB70),ISNUMBER(AZ70),ISNUMBER(BA70)),IF(AND(BB70="Y",ISNUMBER('Assumptions &amp; FX Reference'!$I$15)),MAX(AB70*BA70/AZ70,'Assumptions &amp; FX Reference'!$I$13*BA70/'Assumptions &amp; FX Reference'!$I$15),AB70*BA70/AZ70),""))</f>
        <v>25000</v>
      </c>
      <c r="AH70" s="47" t="n">
        <f aca="false">IF(AND(ISNUMBER(AG70),ISNUMBER('Assumptions &amp; FX Reference'!$I$8),ISNUMBER('Assumptions &amp; FX Reference'!$I$11)),AG70*'Assumptions &amp; FX Reference'!$I$8/'Assumptions &amp; FX Reference'!$I$11,"")</f>
        <v>26394.5770371416</v>
      </c>
      <c r="AI70" s="47" t="n">
        <f aca="false">IF(AND(ISNUMBER(AG70),ISNUMBER('Assumptions &amp; FX Reference'!$I$8)),AG70*'Assumptions &amp; FX Reference'!$I$8,"")</f>
        <v>17381700000</v>
      </c>
      <c r="AJ70" s="42" t="s">
        <v>481</v>
      </c>
      <c r="AK70" s="42" t="s">
        <v>482</v>
      </c>
      <c r="AL70" s="42" t="s">
        <v>123</v>
      </c>
      <c r="AM70" s="42" t="s">
        <v>123</v>
      </c>
      <c r="AN70" s="42" t="s">
        <v>123</v>
      </c>
      <c r="AO70" s="42" t="s">
        <v>123</v>
      </c>
      <c r="AP70" s="42" t="s">
        <v>123</v>
      </c>
      <c r="AQ70" s="50" t="s">
        <v>312</v>
      </c>
      <c r="AR70" s="42" t="s">
        <v>123</v>
      </c>
      <c r="AS70" s="45" t="str">
        <f aca="false">IF(AND(Z70="EUR",N(AA70)&gt;5000000),"Check currency (EUR&gt;5M); ","")&amp;IF(NOT(ISNUMBER(AA70)),"No price; ","")&amp;IF(G70="Not stated","Material missing; ","")&amp;IF(P70="Not stated","Seal missing; ","")&amp;IF(K70="","Size driver missing; ","")&amp;IF(NOT(ISNUMBER(AZ70)),"Base-year PPI missing; ","")</f>
        <v>Seal missing; </v>
      </c>
      <c r="AT70" s="48" t="n">
        <f aca="false">IFERROR(INDEX(Factors_ROT!$F$5:$F$200,MATCH("MAT|"&amp;G70,Factors_ROT!$A$5:$A$200,0)),1)</f>
        <v>1</v>
      </c>
      <c r="AU70" s="48" t="n">
        <f aca="false">IFERROR(INDEX(Factors_ROT!$F$5:$F$200,MATCH("SEAL_ARR|"&amp;P70,Factors_ROT!$A$5:$A$200,0)),1)*IFERROR(INDEX(Factors_ROT!$F$5:$F$200,MATCH("SEAL_CAT|"&amp;Q70,Factors_ROT!$A$5:$A$200,0)),1)*IFERROR(INDEX(Factors_ROT!$F$5:$F$200,MATCH("SEAL_PLAN|"&amp;R70,Factors_ROT!$A$5:$A$200,0)),1)</f>
        <v>1</v>
      </c>
      <c r="AV70" s="48" t="n">
        <f aca="false">IFERROR(INDEX(Factors_ROT!$F$5:$F$200,MATCH("DRV|"&amp;S70,Factors_ROT!$A$5:$A$200,0)),1)*IFERROR(INDEX(Factors_ROT!$F$5:$F$200,MATCH("NACE|"&amp;O70,Factors_ROT!$A$5:$A$200,0)),1)</f>
        <v>1</v>
      </c>
      <c r="AW70" s="48" t="n">
        <f aca="false">IFERROR(INDEX(Factors_ROT!$F$5:$F$200,MATCH("SC_DRV|"&amp;AL70,Factors_ROT!$A$5:$A$200,0)),1)*IFERROR(INDEX(Factors_ROT!$F$5:$F$200,MATCH("SC_BSP|"&amp;AM70,Factors_ROT!$A$5:$A$200,0)),1)*IFERROR(INDEX(Factors_ROT!$F$5:$F$200,MATCH("SC_SEAL|"&amp;AN70,Factors_ROT!$A$5:$A$200,0)),1)*IFERROR(INDEX(Factors_ROT!$F$5:$F$200,MATCH("SC_COMM|"&amp;AO70,Factors_ROT!$A$5:$A$200,0)),1)*IFERROR(INDEX(Factors_ROT!$F$5:$F$200,MATCH("SC_2Y|"&amp;AP70,Factors_ROT!$A$5:$A$200,0)),1)*IFERROR(INDEX(Factors_ROT!$F$5:$F$200,MATCH("SC_TPI|"&amp;AQ70,Factors_ROT!$A$5:$A$200,0)),1)*IFERROR(INDEX(Factors_ROT!$F$5:$F$200,MATCH("SC_FAT|"&amp;AR70,Factors_ROT!$A$5:$A$200,0)),1)</f>
        <v>1</v>
      </c>
      <c r="AX70" s="48" t="n">
        <f aca="false">AT70*AU70*AV70*AW70</f>
        <v>1</v>
      </c>
      <c r="AY70" s="47" t="n">
        <f aca="false">IF(ISNUMBER(AB70),AB70/AX70,"")</f>
        <v>16500</v>
      </c>
      <c r="AZ70" s="49" t="n">
        <f aca="false">IFERROR(IF(N(INDEX(Escalation_Index!$B$5:$B$25,MATCH(Y70,Escalation_Index!$A$5:$A$25,0)))&gt;0,INDEX(Escalation_Index!$B$5:$B$25,MATCH(Y70,Escalation_Index!$A$5:$A$25,0)),""),"")</f>
        <v>91.347</v>
      </c>
      <c r="BA70" s="49" t="n">
        <f aca="false">IF(ISNUMBER('Assumptions &amp; FX Reference'!$I$12),'Assumptions &amp; FX Reference'!$I$12,"")</f>
        <v>123.416</v>
      </c>
      <c r="BB70" s="45" t="str">
        <f aca="false">IF(AND(M70="API 610",LEFT(V70,11)="Centrifugal",OR(LEFT(G70,2)="S-",LEFT(G70,2)="D-")),"Y","N")</f>
        <v>Y</v>
      </c>
      <c r="BC70" s="47" t="n">
        <f aca="false">IF(ISNUMBER(AG70),AG70/AX70,"")</f>
        <v>25000</v>
      </c>
      <c r="BD70" s="47" t="n">
        <f aca="false">IF(AND(ISNUMBER(BC70),ISNUMBER(K70)),IF(K70&gt;0,BC70/K70^'Assumptions &amp; FX Reference'!$I$16,""),"")</f>
        <v>5025.65495270999</v>
      </c>
      <c r="BE70" s="42" t="s">
        <v>582</v>
      </c>
      <c r="BF70" s="42" t="s">
        <v>583</v>
      </c>
      <c r="BG70" s="42" t="s">
        <v>369</v>
      </c>
      <c r="BH70" s="45" t="s">
        <v>313</v>
      </c>
      <c r="BI70" s="45" t="str">
        <f aca="false">"PMP-"&amp;TEXT(A70,"0000")</f>
        <v>PMP-0066</v>
      </c>
    </row>
    <row r="71" customFormat="false" ht="24" hidden="false" customHeight="true" outlineLevel="0" collapsed="false">
      <c r="A71" s="42" t="n">
        <v>67</v>
      </c>
      <c r="B71" s="42" t="s">
        <v>512</v>
      </c>
      <c r="C71" s="42" t="s">
        <v>558</v>
      </c>
      <c r="D71" s="42" t="s">
        <v>584</v>
      </c>
      <c r="E71" s="42" t="s">
        <v>48</v>
      </c>
      <c r="F71" s="42" t="s">
        <v>132</v>
      </c>
      <c r="G71" s="42" t="s">
        <v>87</v>
      </c>
      <c r="H71" s="43" t="n">
        <v>33</v>
      </c>
      <c r="I71" s="43" t="n">
        <v>168</v>
      </c>
      <c r="J71" s="43"/>
      <c r="K71" s="44" t="n">
        <f aca="false">IF(ISNUMBER(J71),J71,IF(AND(ISNUMBER(H71),ISNUMBER(I71)),H71*I71/(367*'Assumptions &amp; FX Reference'!$I$17),""))</f>
        <v>25.1771117166213</v>
      </c>
      <c r="L71" s="45" t="str">
        <f aca="false">IF(IF(OR(M71="Not stated",M71=""),""," + "&amp;M71)&amp;IF(OR(N71="None",N71=""),""," + "&amp;N71)&amp;IF(O71="Y"," + NACE MR0175","")="","Not stated",MID(IF(OR(M71="Not stated",M71=""),""," + "&amp;M71)&amp;IF(OR(N71="None",N71=""),""," + "&amp;N71)&amp;IF(O71="Y"," + NACE MR0175",""),4,300))</f>
        <v>API 610 + IPS-G-PM-105</v>
      </c>
      <c r="M71" s="42" t="s">
        <v>478</v>
      </c>
      <c r="N71" s="42" t="s">
        <v>479</v>
      </c>
      <c r="O71" s="50" t="s">
        <v>312</v>
      </c>
      <c r="P71" s="42" t="s">
        <v>123</v>
      </c>
      <c r="Q71" s="42" t="s">
        <v>123</v>
      </c>
      <c r="R71" s="42" t="s">
        <v>123</v>
      </c>
      <c r="S71" s="50" t="s">
        <v>304</v>
      </c>
      <c r="T71" s="42" t="s">
        <v>327</v>
      </c>
      <c r="U71" s="42" t="n">
        <v>1</v>
      </c>
      <c r="V71" s="42" t="s">
        <v>306</v>
      </c>
      <c r="W71" s="43" t="n">
        <v>17.8</v>
      </c>
      <c r="X71" s="42" t="s">
        <v>123</v>
      </c>
      <c r="Y71" s="50" t="n">
        <v>1393</v>
      </c>
      <c r="Z71" s="42" t="s">
        <v>363</v>
      </c>
      <c r="AA71" s="46" t="n">
        <v>17500</v>
      </c>
      <c r="AB71" s="47" t="n">
        <f aca="false">IF(NOT(ISNUMBER(AA71)),"",IF(NOT(ISNUMBER(Y71)),"",IFERROR(IF(Z71="EUR",AA71,IF(Z71="IRR",AA71/INDEX('Assumptions &amp; FX Reference'!$C$5:$C$25,MATCH(Y71,'Assumptions &amp; FX Reference'!$A$5:$A$25,0)),IF(Z71="USD",AA71*INDEX('Assumptions &amp; FX Reference'!$B$5:$B$25,MATCH(Y71,'Assumptions &amp; FX Reference'!$A$5:$A$25,0))/INDEX('Assumptions &amp; FX Reference'!$C$5:$C$25,MATCH(Y71,'Assumptions &amp; FX Reference'!$A$5:$A$25,0)),""))),"")))</f>
        <v>17500</v>
      </c>
      <c r="AC71" s="47" t="n">
        <f aca="false">IF(NOT(ISNUMBER(AA71)),"",IF(NOT(ISNUMBER(Y71)),"",IFERROR(IF(Z71="USD",AA71,IF(Z71="IRR",AA71/INDEX('Assumptions &amp; FX Reference'!$B$5:$B$25,MATCH(Y71,'Assumptions &amp; FX Reference'!$A$5:$A$25,0)),IF(Z71="EUR",AA71*INDEX('Assumptions &amp; FX Reference'!$C$5:$C$25,MATCH(Y71,'Assumptions &amp; FX Reference'!$A$5:$A$25,0))/INDEX('Assumptions &amp; FX Reference'!$B$5:$B$25,MATCH(Y71,'Assumptions &amp; FX Reference'!$A$5:$A$25,0)),""))),"")))</f>
        <v>22880.2903225806</v>
      </c>
      <c r="AD71" s="47" t="n">
        <f aca="false">IF(NOT(ISNUMBER(AA71)),"",IF(NOT(ISNUMBER(Y71)),"",IFERROR(IF(Z71="IRR",AA71,IF(Z71="USD",AA71*INDEX('Assumptions &amp; FX Reference'!$B$5:$B$25,MATCH(Y71,'Assumptions &amp; FX Reference'!$A$5:$A$25,0)),IF(Z71="EUR",AA71*INDEX('Assumptions &amp; FX Reference'!$C$5:$C$25,MATCH(Y71,'Assumptions &amp; FX Reference'!$A$5:$A$25,0)),""))),"")))</f>
        <v>709289000</v>
      </c>
      <c r="AE71" s="42" t="s">
        <v>480</v>
      </c>
      <c r="AF71" s="50" t="s">
        <v>208</v>
      </c>
      <c r="AG71" s="47" t="n">
        <f aca="false">IF(AND(Z71="EUR",N(AA71)&gt;5000000),"",IF(AND(ISNUMBER(AB71),ISNUMBER(AZ71),ISNUMBER(BA71)),IF(AND(BB71="Y",ISNUMBER('Assumptions &amp; FX Reference'!$I$15)),MAX(AB71*BA71/AZ71,'Assumptions &amp; FX Reference'!$I$13*BA71/'Assumptions &amp; FX Reference'!$I$15),AB71*BA71/AZ71),""))</f>
        <v>25000</v>
      </c>
      <c r="AH71" s="47" t="n">
        <f aca="false">IF(AND(ISNUMBER(AG71),ISNUMBER('Assumptions &amp; FX Reference'!$I$8),ISNUMBER('Assumptions &amp; FX Reference'!$I$11)),AG71*'Assumptions &amp; FX Reference'!$I$8/'Assumptions &amp; FX Reference'!$I$11,"")</f>
        <v>26394.5770371416</v>
      </c>
      <c r="AI71" s="47" t="n">
        <f aca="false">IF(AND(ISNUMBER(AG71),ISNUMBER('Assumptions &amp; FX Reference'!$I$8)),AG71*'Assumptions &amp; FX Reference'!$I$8,"")</f>
        <v>17381700000</v>
      </c>
      <c r="AJ71" s="42" t="s">
        <v>481</v>
      </c>
      <c r="AK71" s="42" t="s">
        <v>482</v>
      </c>
      <c r="AL71" s="42" t="s">
        <v>123</v>
      </c>
      <c r="AM71" s="42" t="s">
        <v>123</v>
      </c>
      <c r="AN71" s="42" t="s">
        <v>123</v>
      </c>
      <c r="AO71" s="42" t="s">
        <v>123</v>
      </c>
      <c r="AP71" s="42" t="s">
        <v>123</v>
      </c>
      <c r="AQ71" s="50" t="s">
        <v>312</v>
      </c>
      <c r="AR71" s="42" t="s">
        <v>123</v>
      </c>
      <c r="AS71" s="45" t="str">
        <f aca="false">IF(AND(Z71="EUR",N(AA71)&gt;5000000),"Check currency (EUR&gt;5M); ","")&amp;IF(NOT(ISNUMBER(AA71)),"No price; ","")&amp;IF(G71="Not stated","Material missing; ","")&amp;IF(P71="Not stated","Seal missing; ","")&amp;IF(K71="","Size driver missing; ","")&amp;IF(NOT(ISNUMBER(AZ71)),"Base-year PPI missing; ","")</f>
        <v>Seal missing; </v>
      </c>
      <c r="AT71" s="48" t="n">
        <f aca="false">IFERROR(INDEX(Factors_ROT!$F$5:$F$200,MATCH("MAT|"&amp;G71,Factors_ROT!$A$5:$A$200,0)),1)</f>
        <v>1</v>
      </c>
      <c r="AU71" s="48" t="n">
        <f aca="false">IFERROR(INDEX(Factors_ROT!$F$5:$F$200,MATCH("SEAL_ARR|"&amp;P71,Factors_ROT!$A$5:$A$200,0)),1)*IFERROR(INDEX(Factors_ROT!$F$5:$F$200,MATCH("SEAL_CAT|"&amp;Q71,Factors_ROT!$A$5:$A$200,0)),1)*IFERROR(INDEX(Factors_ROT!$F$5:$F$200,MATCH("SEAL_PLAN|"&amp;R71,Factors_ROT!$A$5:$A$200,0)),1)</f>
        <v>1</v>
      </c>
      <c r="AV71" s="48" t="n">
        <f aca="false">IFERROR(INDEX(Factors_ROT!$F$5:$F$200,MATCH("DRV|"&amp;S71,Factors_ROT!$A$5:$A$200,0)),1)*IFERROR(INDEX(Factors_ROT!$F$5:$F$200,MATCH("NACE|"&amp;O71,Factors_ROT!$A$5:$A$200,0)),1)</f>
        <v>1</v>
      </c>
      <c r="AW71" s="48" t="n">
        <f aca="false">IFERROR(INDEX(Factors_ROT!$F$5:$F$200,MATCH("SC_DRV|"&amp;AL71,Factors_ROT!$A$5:$A$200,0)),1)*IFERROR(INDEX(Factors_ROT!$F$5:$F$200,MATCH("SC_BSP|"&amp;AM71,Factors_ROT!$A$5:$A$200,0)),1)*IFERROR(INDEX(Factors_ROT!$F$5:$F$200,MATCH("SC_SEAL|"&amp;AN71,Factors_ROT!$A$5:$A$200,0)),1)*IFERROR(INDEX(Factors_ROT!$F$5:$F$200,MATCH("SC_COMM|"&amp;AO71,Factors_ROT!$A$5:$A$200,0)),1)*IFERROR(INDEX(Factors_ROT!$F$5:$F$200,MATCH("SC_2Y|"&amp;AP71,Factors_ROT!$A$5:$A$200,0)),1)*IFERROR(INDEX(Factors_ROT!$F$5:$F$200,MATCH("SC_TPI|"&amp;AQ71,Factors_ROT!$A$5:$A$200,0)),1)*IFERROR(INDEX(Factors_ROT!$F$5:$F$200,MATCH("SC_FAT|"&amp;AR71,Factors_ROT!$A$5:$A$200,0)),1)</f>
        <v>1</v>
      </c>
      <c r="AX71" s="48" t="n">
        <f aca="false">AT71*AU71*AV71*AW71</f>
        <v>1</v>
      </c>
      <c r="AY71" s="47" t="n">
        <f aca="false">IF(ISNUMBER(AB71),AB71/AX71,"")</f>
        <v>17500</v>
      </c>
      <c r="AZ71" s="49" t="n">
        <f aca="false">IFERROR(IF(N(INDEX(Escalation_Index!$B$5:$B$25,MATCH(Y71,Escalation_Index!$A$5:$A$25,0)))&gt;0,INDEX(Escalation_Index!$B$5:$B$25,MATCH(Y71,Escalation_Index!$A$5:$A$25,0)),""),"")</f>
        <v>91.347</v>
      </c>
      <c r="BA71" s="49" t="n">
        <f aca="false">IF(ISNUMBER('Assumptions &amp; FX Reference'!$I$12),'Assumptions &amp; FX Reference'!$I$12,"")</f>
        <v>123.416</v>
      </c>
      <c r="BB71" s="45" t="str">
        <f aca="false">IF(AND(M71="API 610",LEFT(V71,11)="Centrifugal",OR(LEFT(G71,2)="S-",LEFT(G71,2)="D-")),"Y","N")</f>
        <v>Y</v>
      </c>
      <c r="BC71" s="47" t="n">
        <f aca="false">IF(ISNUMBER(AG71),AG71/AX71,"")</f>
        <v>25000</v>
      </c>
      <c r="BD71" s="47" t="n">
        <f aca="false">IF(AND(ISNUMBER(BC71),ISNUMBER(K71)),IF(K71&gt;0,BC71/K71^'Assumptions &amp; FX Reference'!$I$16,""),"")</f>
        <v>3608.58105283362</v>
      </c>
      <c r="BE71" s="42" t="s">
        <v>585</v>
      </c>
      <c r="BF71" s="42" t="s">
        <v>586</v>
      </c>
      <c r="BG71" s="42" t="s">
        <v>369</v>
      </c>
      <c r="BH71" s="45" t="s">
        <v>313</v>
      </c>
      <c r="BI71" s="45" t="str">
        <f aca="false">"PMP-"&amp;TEXT(A71,"0000")</f>
        <v>PMP-0067</v>
      </c>
    </row>
    <row r="72" customFormat="false" ht="24" hidden="false" customHeight="true" outlineLevel="0" collapsed="false">
      <c r="A72" s="42" t="n">
        <v>68</v>
      </c>
      <c r="B72" s="42" t="s">
        <v>516</v>
      </c>
      <c r="C72" s="42" t="s">
        <v>558</v>
      </c>
      <c r="D72" s="42" t="s">
        <v>587</v>
      </c>
      <c r="E72" s="42" t="s">
        <v>54</v>
      </c>
      <c r="F72" s="42" t="s">
        <v>132</v>
      </c>
      <c r="G72" s="42" t="s">
        <v>90</v>
      </c>
      <c r="H72" s="43" t="n">
        <v>15</v>
      </c>
      <c r="I72" s="43" t="n">
        <v>52</v>
      </c>
      <c r="J72" s="43"/>
      <c r="K72" s="44" t="n">
        <f aca="false">IF(ISNUMBER(J72),J72,IF(AND(ISNUMBER(H72),ISNUMBER(I72)),H72*I72/(367*'Assumptions &amp; FX Reference'!$I$17),""))</f>
        <v>3.54223433242507</v>
      </c>
      <c r="L72" s="45" t="str">
        <f aca="false">IF(IF(OR(M72="Not stated",M72=""),""," + "&amp;M72)&amp;IF(OR(N72="None",N72=""),""," + "&amp;N72)&amp;IF(O72="Y"," + NACE MR0175","")="","Not stated",MID(IF(OR(M72="Not stated",M72=""),""," + "&amp;M72)&amp;IF(OR(N72="None",N72=""),""," + "&amp;N72)&amp;IF(O72="Y"," + NACE MR0175",""),4,300))</f>
        <v>API 610 + IPS-G-PM-105</v>
      </c>
      <c r="M72" s="42" t="s">
        <v>478</v>
      </c>
      <c r="N72" s="42" t="s">
        <v>479</v>
      </c>
      <c r="O72" s="50" t="s">
        <v>312</v>
      </c>
      <c r="P72" s="42" t="s">
        <v>123</v>
      </c>
      <c r="Q72" s="42" t="s">
        <v>123</v>
      </c>
      <c r="R72" s="42" t="s">
        <v>123</v>
      </c>
      <c r="S72" s="50" t="s">
        <v>304</v>
      </c>
      <c r="T72" s="42" t="s">
        <v>342</v>
      </c>
      <c r="U72" s="42" t="n">
        <v>2</v>
      </c>
      <c r="V72" s="42" t="s">
        <v>306</v>
      </c>
      <c r="W72" s="43" t="n">
        <v>7.3</v>
      </c>
      <c r="X72" s="42" t="s">
        <v>123</v>
      </c>
      <c r="Y72" s="50" t="n">
        <v>1393</v>
      </c>
      <c r="Z72" s="42" t="s">
        <v>363</v>
      </c>
      <c r="AA72" s="46" t="n">
        <v>10000</v>
      </c>
      <c r="AB72" s="47" t="n">
        <f aca="false">IF(NOT(ISNUMBER(AA72)),"",IF(NOT(ISNUMBER(Y72)),"",IFERROR(IF(Z72="EUR",AA72,IF(Z72="IRR",AA72/INDEX('Assumptions &amp; FX Reference'!$C$5:$C$25,MATCH(Y72,'Assumptions &amp; FX Reference'!$A$5:$A$25,0)),IF(Z72="USD",AA72*INDEX('Assumptions &amp; FX Reference'!$B$5:$B$25,MATCH(Y72,'Assumptions &amp; FX Reference'!$A$5:$A$25,0))/INDEX('Assumptions &amp; FX Reference'!$C$5:$C$25,MATCH(Y72,'Assumptions &amp; FX Reference'!$A$5:$A$25,0)),""))),"")))</f>
        <v>10000</v>
      </c>
      <c r="AC72" s="47" t="n">
        <f aca="false">IF(NOT(ISNUMBER(AA72)),"",IF(NOT(ISNUMBER(Y72)),"",IFERROR(IF(Z72="USD",AA72,IF(Z72="IRR",AA72/INDEX('Assumptions &amp; FX Reference'!$B$5:$B$25,MATCH(Y72,'Assumptions &amp; FX Reference'!$A$5:$A$25,0)),IF(Z72="EUR",AA72*INDEX('Assumptions &amp; FX Reference'!$C$5:$C$25,MATCH(Y72,'Assumptions &amp; FX Reference'!$A$5:$A$25,0))/INDEX('Assumptions &amp; FX Reference'!$B$5:$B$25,MATCH(Y72,'Assumptions &amp; FX Reference'!$A$5:$A$25,0)),""))),"")))</f>
        <v>13074.4516129032</v>
      </c>
      <c r="AD72" s="47" t="n">
        <f aca="false">IF(NOT(ISNUMBER(AA72)),"",IF(NOT(ISNUMBER(Y72)),"",IFERROR(IF(Z72="IRR",AA72,IF(Z72="USD",AA72*INDEX('Assumptions &amp; FX Reference'!$B$5:$B$25,MATCH(Y72,'Assumptions &amp; FX Reference'!$A$5:$A$25,0)),IF(Z72="EUR",AA72*INDEX('Assumptions &amp; FX Reference'!$C$5:$C$25,MATCH(Y72,'Assumptions &amp; FX Reference'!$A$5:$A$25,0)),""))),"")))</f>
        <v>405308000</v>
      </c>
      <c r="AE72" s="42" t="s">
        <v>480</v>
      </c>
      <c r="AF72" s="50" t="s">
        <v>208</v>
      </c>
      <c r="AG72" s="47" t="n">
        <f aca="false">IF(AND(Z72="EUR",N(AA72)&gt;5000000),"",IF(AND(ISNUMBER(AB72),ISNUMBER(AZ72),ISNUMBER(BA72)),IF(AND(BB72="Y",ISNUMBER('Assumptions &amp; FX Reference'!$I$15)),MAX(AB72*BA72/AZ72,'Assumptions &amp; FX Reference'!$I$13*BA72/'Assumptions &amp; FX Reference'!$I$15),AB72*BA72/AZ72),""))</f>
        <v>25000</v>
      </c>
      <c r="AH72" s="47" t="n">
        <f aca="false">IF(AND(ISNUMBER(AG72),ISNUMBER('Assumptions &amp; FX Reference'!$I$8),ISNUMBER('Assumptions &amp; FX Reference'!$I$11)),AG72*'Assumptions &amp; FX Reference'!$I$8/'Assumptions &amp; FX Reference'!$I$11,"")</f>
        <v>26394.5770371416</v>
      </c>
      <c r="AI72" s="47" t="n">
        <f aca="false">IF(AND(ISNUMBER(AG72),ISNUMBER('Assumptions &amp; FX Reference'!$I$8)),AG72*'Assumptions &amp; FX Reference'!$I$8,"")</f>
        <v>17381700000</v>
      </c>
      <c r="AJ72" s="42" t="s">
        <v>481</v>
      </c>
      <c r="AK72" s="42" t="s">
        <v>482</v>
      </c>
      <c r="AL72" s="42" t="s">
        <v>123</v>
      </c>
      <c r="AM72" s="42" t="s">
        <v>123</v>
      </c>
      <c r="AN72" s="42" t="s">
        <v>123</v>
      </c>
      <c r="AO72" s="42" t="s">
        <v>123</v>
      </c>
      <c r="AP72" s="42" t="s">
        <v>123</v>
      </c>
      <c r="AQ72" s="50" t="s">
        <v>312</v>
      </c>
      <c r="AR72" s="42" t="s">
        <v>123</v>
      </c>
      <c r="AS72" s="45" t="str">
        <f aca="false">IF(AND(Z72="EUR",N(AA72)&gt;5000000),"Check currency (EUR&gt;5M); ","")&amp;IF(NOT(ISNUMBER(AA72)),"No price; ","")&amp;IF(G72="Not stated","Material missing; ","")&amp;IF(P72="Not stated","Seal missing; ","")&amp;IF(K72="","Size driver missing; ","")&amp;IF(NOT(ISNUMBER(AZ72)),"Base-year PPI missing; ","")</f>
        <v>Seal missing; </v>
      </c>
      <c r="AT72" s="48" t="n">
        <f aca="false">IFERROR(INDEX(Factors_ROT!$F$5:$F$200,MATCH("MAT|"&amp;G72,Factors_ROT!$A$5:$A$200,0)),1)</f>
        <v>1.1</v>
      </c>
      <c r="AU72" s="48" t="n">
        <f aca="false">IFERROR(INDEX(Factors_ROT!$F$5:$F$200,MATCH("SEAL_ARR|"&amp;P72,Factors_ROT!$A$5:$A$200,0)),1)*IFERROR(INDEX(Factors_ROT!$F$5:$F$200,MATCH("SEAL_CAT|"&amp;Q72,Factors_ROT!$A$5:$A$200,0)),1)*IFERROR(INDEX(Factors_ROT!$F$5:$F$200,MATCH("SEAL_PLAN|"&amp;R72,Factors_ROT!$A$5:$A$200,0)),1)</f>
        <v>1</v>
      </c>
      <c r="AV72" s="48" t="n">
        <f aca="false">IFERROR(INDEX(Factors_ROT!$F$5:$F$200,MATCH("DRV|"&amp;S72,Factors_ROT!$A$5:$A$200,0)),1)*IFERROR(INDEX(Factors_ROT!$F$5:$F$200,MATCH("NACE|"&amp;O72,Factors_ROT!$A$5:$A$200,0)),1)</f>
        <v>1</v>
      </c>
      <c r="AW72" s="48" t="n">
        <f aca="false">IFERROR(INDEX(Factors_ROT!$F$5:$F$200,MATCH("SC_DRV|"&amp;AL72,Factors_ROT!$A$5:$A$200,0)),1)*IFERROR(INDEX(Factors_ROT!$F$5:$F$200,MATCH("SC_BSP|"&amp;AM72,Factors_ROT!$A$5:$A$200,0)),1)*IFERROR(INDEX(Factors_ROT!$F$5:$F$200,MATCH("SC_SEAL|"&amp;AN72,Factors_ROT!$A$5:$A$200,0)),1)*IFERROR(INDEX(Factors_ROT!$F$5:$F$200,MATCH("SC_COMM|"&amp;AO72,Factors_ROT!$A$5:$A$200,0)),1)*IFERROR(INDEX(Factors_ROT!$F$5:$F$200,MATCH("SC_2Y|"&amp;AP72,Factors_ROT!$A$5:$A$200,0)),1)*IFERROR(INDEX(Factors_ROT!$F$5:$F$200,MATCH("SC_TPI|"&amp;AQ72,Factors_ROT!$A$5:$A$200,0)),1)*IFERROR(INDEX(Factors_ROT!$F$5:$F$200,MATCH("SC_FAT|"&amp;AR72,Factors_ROT!$A$5:$A$200,0)),1)</f>
        <v>1</v>
      </c>
      <c r="AX72" s="48" t="n">
        <f aca="false">AT72*AU72*AV72*AW72</f>
        <v>1.1</v>
      </c>
      <c r="AY72" s="47" t="n">
        <f aca="false">IF(ISNUMBER(AB72),AB72/AX72,"")</f>
        <v>9090.90909090909</v>
      </c>
      <c r="AZ72" s="49" t="n">
        <f aca="false">IFERROR(IF(N(INDEX(Escalation_Index!$B$5:$B$25,MATCH(Y72,Escalation_Index!$A$5:$A$25,0)))&gt;0,INDEX(Escalation_Index!$B$5:$B$25,MATCH(Y72,Escalation_Index!$A$5:$A$25,0)),""),"")</f>
        <v>91.347</v>
      </c>
      <c r="BA72" s="49" t="n">
        <f aca="false">IF(ISNUMBER('Assumptions &amp; FX Reference'!$I$12),'Assumptions &amp; FX Reference'!$I$12,"")</f>
        <v>123.416</v>
      </c>
      <c r="BB72" s="45" t="str">
        <f aca="false">IF(AND(M72="API 610",LEFT(V72,11)="Centrifugal",OR(LEFT(G72,2)="S-",LEFT(G72,2)="D-")),"Y","N")</f>
        <v>Y</v>
      </c>
      <c r="BC72" s="47" t="n">
        <f aca="false">IF(ISNUMBER(AG72),AG72/AX72,"")</f>
        <v>22727.2727272727</v>
      </c>
      <c r="BD72" s="47" t="n">
        <f aca="false">IF(AND(ISNUMBER(BC72),ISNUMBER(K72)),IF(K72&gt;0,BC72/K72^'Assumptions &amp; FX Reference'!$I$16,""),"")</f>
        <v>10640.9634308537</v>
      </c>
      <c r="BE72" s="42" t="s">
        <v>588</v>
      </c>
      <c r="BF72" s="42" t="s">
        <v>589</v>
      </c>
      <c r="BG72" s="42" t="s">
        <v>369</v>
      </c>
      <c r="BH72" s="45" t="s">
        <v>313</v>
      </c>
      <c r="BI72" s="45" t="str">
        <f aca="false">"PMP-"&amp;TEXT(A72,"0000")</f>
        <v>PMP-0068</v>
      </c>
    </row>
    <row r="73" customFormat="false" ht="24" hidden="false" customHeight="true" outlineLevel="0" collapsed="false">
      <c r="A73" s="42" t="n">
        <v>69</v>
      </c>
      <c r="B73" s="42" t="s">
        <v>520</v>
      </c>
      <c r="C73" s="42" t="s">
        <v>558</v>
      </c>
      <c r="D73" s="42" t="s">
        <v>590</v>
      </c>
      <c r="E73" s="42" t="s">
        <v>54</v>
      </c>
      <c r="F73" s="42" t="s">
        <v>192</v>
      </c>
      <c r="G73" s="42" t="s">
        <v>111</v>
      </c>
      <c r="H73" s="43" t="n">
        <v>5.5</v>
      </c>
      <c r="I73" s="43"/>
      <c r="J73" s="43"/>
      <c r="K73" s="44" t="str">
        <f aca="false">IF(ISNUMBER(J73),J73,IF(AND(ISNUMBER(H73),ISNUMBER(I73)),H73*I73/(367*'Assumptions &amp; FX Reference'!$I$17),""))</f>
        <v/>
      </c>
      <c r="L73" s="45" t="str">
        <f aca="false">IF(IF(OR(M73="Not stated",M73=""),""," + "&amp;M73)&amp;IF(OR(N73="None",N73=""),""," + "&amp;N73)&amp;IF(O73="Y"," + NACE MR0175","")="","Not stated",MID(IF(OR(M73="Not stated",M73=""),""," + "&amp;M73)&amp;IF(OR(N73="None",N73=""),""," + "&amp;N73)&amp;IF(O73="Y"," + NACE MR0175",""),4,300))</f>
        <v>API 676 + IPS-M-PM-140 + NACE MR0175</v>
      </c>
      <c r="M73" s="42" t="s">
        <v>491</v>
      </c>
      <c r="N73" s="42" t="s">
        <v>492</v>
      </c>
      <c r="O73" s="42" t="s">
        <v>369</v>
      </c>
      <c r="P73" s="42" t="s">
        <v>123</v>
      </c>
      <c r="Q73" s="42" t="s">
        <v>123</v>
      </c>
      <c r="R73" s="42" t="s">
        <v>123</v>
      </c>
      <c r="S73" s="50" t="s">
        <v>304</v>
      </c>
      <c r="T73" s="42" t="s">
        <v>432</v>
      </c>
      <c r="U73" s="42" t="n">
        <v>2</v>
      </c>
      <c r="V73" s="42" t="s">
        <v>522</v>
      </c>
      <c r="W73" s="43" t="n">
        <v>3.6</v>
      </c>
      <c r="X73" s="42" t="s">
        <v>123</v>
      </c>
      <c r="Y73" s="50" t="n">
        <v>1393</v>
      </c>
      <c r="Z73" s="42" t="s">
        <v>363</v>
      </c>
      <c r="AA73" s="46" t="n">
        <v>25000</v>
      </c>
      <c r="AB73" s="47" t="n">
        <f aca="false">IF(NOT(ISNUMBER(AA73)),"",IF(NOT(ISNUMBER(Y73)),"",IFERROR(IF(Z73="EUR",AA73,IF(Z73="IRR",AA73/INDEX('Assumptions &amp; FX Reference'!$C$5:$C$25,MATCH(Y73,'Assumptions &amp; FX Reference'!$A$5:$A$25,0)),IF(Z73="USD",AA73*INDEX('Assumptions &amp; FX Reference'!$B$5:$B$25,MATCH(Y73,'Assumptions &amp; FX Reference'!$A$5:$A$25,0))/INDEX('Assumptions &amp; FX Reference'!$C$5:$C$25,MATCH(Y73,'Assumptions &amp; FX Reference'!$A$5:$A$25,0)),""))),"")))</f>
        <v>25000</v>
      </c>
      <c r="AC73" s="47" t="n">
        <f aca="false">IF(NOT(ISNUMBER(AA73)),"",IF(NOT(ISNUMBER(Y73)),"",IFERROR(IF(Z73="USD",AA73,IF(Z73="IRR",AA73/INDEX('Assumptions &amp; FX Reference'!$B$5:$B$25,MATCH(Y73,'Assumptions &amp; FX Reference'!$A$5:$A$25,0)),IF(Z73="EUR",AA73*INDEX('Assumptions &amp; FX Reference'!$C$5:$C$25,MATCH(Y73,'Assumptions &amp; FX Reference'!$A$5:$A$25,0))/INDEX('Assumptions &amp; FX Reference'!$B$5:$B$25,MATCH(Y73,'Assumptions &amp; FX Reference'!$A$5:$A$25,0)),""))),"")))</f>
        <v>32686.1290322581</v>
      </c>
      <c r="AD73" s="47" t="n">
        <f aca="false">IF(NOT(ISNUMBER(AA73)),"",IF(NOT(ISNUMBER(Y73)),"",IFERROR(IF(Z73="IRR",AA73,IF(Z73="USD",AA73*INDEX('Assumptions &amp; FX Reference'!$B$5:$B$25,MATCH(Y73,'Assumptions &amp; FX Reference'!$A$5:$A$25,0)),IF(Z73="EUR",AA73*INDEX('Assumptions &amp; FX Reference'!$C$5:$C$25,MATCH(Y73,'Assumptions &amp; FX Reference'!$A$5:$A$25,0)),""))),"")))</f>
        <v>1013270000</v>
      </c>
      <c r="AE73" s="42" t="s">
        <v>480</v>
      </c>
      <c r="AF73" s="50" t="s">
        <v>208</v>
      </c>
      <c r="AG73" s="47" t="n">
        <f aca="false">IF(AND(Z73="EUR",N(AA73)&gt;5000000),"",IF(AND(ISNUMBER(AB73),ISNUMBER(AZ73),ISNUMBER(BA73)),IF(AND(BB73="Y",ISNUMBER('Assumptions &amp; FX Reference'!$I$15)),MAX(AB73*BA73/AZ73,'Assumptions &amp; FX Reference'!$I$13*BA73/'Assumptions &amp; FX Reference'!$I$15),AB73*BA73/AZ73),""))</f>
        <v>33776.6976474323</v>
      </c>
      <c r="AH73" s="47" t="n">
        <f aca="false">IF(AND(ISNUMBER(AG73),ISNUMBER('Assumptions &amp; FX Reference'!$I$8),ISNUMBER('Assumptions &amp; FX Reference'!$I$11)),AG73*'Assumptions &amp; FX Reference'!$I$8/'Assumptions &amp; FX Reference'!$I$11,"")</f>
        <v>35660.8659246157</v>
      </c>
      <c r="AI73" s="47" t="n">
        <f aca="false">IF(AND(ISNUMBER(AG73),ISNUMBER('Assumptions &amp; FX Reference'!$I$8)),AG73*'Assumptions &amp; FX Reference'!$I$8,"")</f>
        <v>23483857019.935</v>
      </c>
      <c r="AJ73" s="42" t="s">
        <v>481</v>
      </c>
      <c r="AK73" s="42" t="s">
        <v>482</v>
      </c>
      <c r="AL73" s="42" t="s">
        <v>123</v>
      </c>
      <c r="AM73" s="42" t="s">
        <v>123</v>
      </c>
      <c r="AN73" s="42" t="s">
        <v>123</v>
      </c>
      <c r="AO73" s="42" t="s">
        <v>123</v>
      </c>
      <c r="AP73" s="42" t="s">
        <v>123</v>
      </c>
      <c r="AQ73" s="50" t="s">
        <v>312</v>
      </c>
      <c r="AR73" s="42" t="s">
        <v>123</v>
      </c>
      <c r="AS73" s="45" t="str">
        <f aca="false">IF(AND(Z73="EUR",N(AA73)&gt;5000000),"Check currency (EUR&gt;5M); ","")&amp;IF(NOT(ISNUMBER(AA73)),"No price; ","")&amp;IF(G73="Not stated","Material missing; ","")&amp;IF(P73="Not stated","Seal missing; ","")&amp;IF(K73="","Size driver missing; ","")&amp;IF(NOT(ISNUMBER(AZ73)),"Base-year PPI missing; ","")</f>
        <v>Seal missing; Size driver missing; </v>
      </c>
      <c r="AT73" s="48" t="n">
        <f aca="false">IFERROR(INDEX(Factors_ROT!$F$5:$F$200,MATCH("MAT|"&amp;G73,Factors_ROT!$A$5:$A$200,0)),1)</f>
        <v>1.7</v>
      </c>
      <c r="AU73" s="48" t="n">
        <f aca="false">IFERROR(INDEX(Factors_ROT!$F$5:$F$200,MATCH("SEAL_ARR|"&amp;P73,Factors_ROT!$A$5:$A$200,0)),1)*IFERROR(INDEX(Factors_ROT!$F$5:$F$200,MATCH("SEAL_CAT|"&amp;Q73,Factors_ROT!$A$5:$A$200,0)),1)*IFERROR(INDEX(Factors_ROT!$F$5:$F$200,MATCH("SEAL_PLAN|"&amp;R73,Factors_ROT!$A$5:$A$200,0)),1)</f>
        <v>1</v>
      </c>
      <c r="AV73" s="48" t="n">
        <f aca="false">IFERROR(INDEX(Factors_ROT!$F$5:$F$200,MATCH("DRV|"&amp;S73,Factors_ROT!$A$5:$A$200,0)),1)*IFERROR(INDEX(Factors_ROT!$F$5:$F$200,MATCH("NACE|"&amp;O73,Factors_ROT!$A$5:$A$200,0)),1)</f>
        <v>1.05</v>
      </c>
      <c r="AW73" s="48" t="n">
        <f aca="false">IFERROR(INDEX(Factors_ROT!$F$5:$F$200,MATCH("SC_DRV|"&amp;AL73,Factors_ROT!$A$5:$A$200,0)),1)*IFERROR(INDEX(Factors_ROT!$F$5:$F$200,MATCH("SC_BSP|"&amp;AM73,Factors_ROT!$A$5:$A$200,0)),1)*IFERROR(INDEX(Factors_ROT!$F$5:$F$200,MATCH("SC_SEAL|"&amp;AN73,Factors_ROT!$A$5:$A$200,0)),1)*IFERROR(INDEX(Factors_ROT!$F$5:$F$200,MATCH("SC_COMM|"&amp;AO73,Factors_ROT!$A$5:$A$200,0)),1)*IFERROR(INDEX(Factors_ROT!$F$5:$F$200,MATCH("SC_2Y|"&amp;AP73,Factors_ROT!$A$5:$A$200,0)),1)*IFERROR(INDEX(Factors_ROT!$F$5:$F$200,MATCH("SC_TPI|"&amp;AQ73,Factors_ROT!$A$5:$A$200,0)),1)*IFERROR(INDEX(Factors_ROT!$F$5:$F$200,MATCH("SC_FAT|"&amp;AR73,Factors_ROT!$A$5:$A$200,0)),1)</f>
        <v>1</v>
      </c>
      <c r="AX73" s="48" t="n">
        <f aca="false">AT73*AU73*AV73*AW73</f>
        <v>1.785</v>
      </c>
      <c r="AY73" s="47" t="n">
        <f aca="false">IF(ISNUMBER(AB73),AB73/AX73,"")</f>
        <v>14005.6022408964</v>
      </c>
      <c r="AZ73" s="49" t="n">
        <f aca="false">IFERROR(IF(N(INDEX(Escalation_Index!$B$5:$B$25,MATCH(Y73,Escalation_Index!$A$5:$A$25,0)))&gt;0,INDEX(Escalation_Index!$B$5:$B$25,MATCH(Y73,Escalation_Index!$A$5:$A$25,0)),""),"")</f>
        <v>91.347</v>
      </c>
      <c r="BA73" s="49" t="n">
        <f aca="false">IF(ISNUMBER('Assumptions &amp; FX Reference'!$I$12),'Assumptions &amp; FX Reference'!$I$12,"")</f>
        <v>123.416</v>
      </c>
      <c r="BB73" s="45" t="str">
        <f aca="false">IF(AND(M73="API 610",LEFT(V73,11)="Centrifugal",OR(LEFT(G73,2)="S-",LEFT(G73,2)="D-")),"Y","N")</f>
        <v>N</v>
      </c>
      <c r="BC73" s="47" t="n">
        <f aca="false">IF(ISNUMBER(AG73),AG73/AX73,"")</f>
        <v>18922.5196904383</v>
      </c>
      <c r="BD73" s="47" t="str">
        <f aca="false">IF(AND(ISNUMBER(BC73),ISNUMBER(K73)),IF(K73&gt;0,BC73/K73^'Assumptions &amp; FX Reference'!$I$16,""),"")</f>
        <v/>
      </c>
      <c r="BE73" s="42" t="s">
        <v>591</v>
      </c>
      <c r="BF73" s="42" t="s">
        <v>592</v>
      </c>
      <c r="BG73" s="42" t="s">
        <v>369</v>
      </c>
      <c r="BH73" s="45" t="s">
        <v>313</v>
      </c>
      <c r="BI73" s="45" t="str">
        <f aca="false">"PMP-"&amp;TEXT(A73,"0000")</f>
        <v>PMP-0069</v>
      </c>
    </row>
    <row r="74" customFormat="false" ht="24" hidden="false" customHeight="true" outlineLevel="0" collapsed="false">
      <c r="A74" s="42" t="n">
        <v>70</v>
      </c>
      <c r="B74" s="42" t="s">
        <v>525</v>
      </c>
      <c r="C74" s="42" t="s">
        <v>558</v>
      </c>
      <c r="D74" s="42" t="s">
        <v>593</v>
      </c>
      <c r="E74" s="42" t="s">
        <v>48</v>
      </c>
      <c r="F74" s="42" t="s">
        <v>132</v>
      </c>
      <c r="G74" s="42" t="s">
        <v>115</v>
      </c>
      <c r="H74" s="43" t="n">
        <v>11</v>
      </c>
      <c r="I74" s="43" t="n">
        <v>28</v>
      </c>
      <c r="J74" s="43"/>
      <c r="K74" s="44" t="n">
        <f aca="false">IF(ISNUMBER(J74),J74,IF(AND(ISNUMBER(H74),ISNUMBER(I74)),H74*I74/(367*'Assumptions &amp; FX Reference'!$I$17),""))</f>
        <v>1.39872842870118</v>
      </c>
      <c r="L74" s="45" t="str">
        <f aca="false">IF(IF(OR(M74="Not stated",M74=""),""," + "&amp;M74)&amp;IF(OR(N74="None",N74=""),""," + "&amp;N74)&amp;IF(O74="Y"," + NACE MR0175","")="","Not stated",MID(IF(OR(M74="Not stated",M74=""),""," + "&amp;M74)&amp;IF(OR(N74="None",N74=""),""," + "&amp;N74)&amp;IF(O74="Y"," + NACE MR0175",""),4,300))</f>
        <v>API 610 + IPS-G-PM-105 + NACE MR0175</v>
      </c>
      <c r="M74" s="42" t="s">
        <v>478</v>
      </c>
      <c r="N74" s="42" t="s">
        <v>479</v>
      </c>
      <c r="O74" s="42" t="s">
        <v>369</v>
      </c>
      <c r="P74" s="42" t="s">
        <v>123</v>
      </c>
      <c r="Q74" s="42" t="s">
        <v>123</v>
      </c>
      <c r="R74" s="42" t="s">
        <v>123</v>
      </c>
      <c r="S74" s="50" t="s">
        <v>304</v>
      </c>
      <c r="T74" s="42" t="s">
        <v>342</v>
      </c>
      <c r="U74" s="42" t="n">
        <v>2</v>
      </c>
      <c r="V74" s="42" t="s">
        <v>306</v>
      </c>
      <c r="W74" s="43" t="n">
        <v>3</v>
      </c>
      <c r="X74" s="42" t="s">
        <v>123</v>
      </c>
      <c r="Y74" s="50" t="n">
        <v>1393</v>
      </c>
      <c r="Z74" s="42" t="s">
        <v>363</v>
      </c>
      <c r="AA74" s="46" t="n">
        <v>20000</v>
      </c>
      <c r="AB74" s="47" t="n">
        <f aca="false">IF(NOT(ISNUMBER(AA74)),"",IF(NOT(ISNUMBER(Y74)),"",IFERROR(IF(Z74="EUR",AA74,IF(Z74="IRR",AA74/INDEX('Assumptions &amp; FX Reference'!$C$5:$C$25,MATCH(Y74,'Assumptions &amp; FX Reference'!$A$5:$A$25,0)),IF(Z74="USD",AA74*INDEX('Assumptions &amp; FX Reference'!$B$5:$B$25,MATCH(Y74,'Assumptions &amp; FX Reference'!$A$5:$A$25,0))/INDEX('Assumptions &amp; FX Reference'!$C$5:$C$25,MATCH(Y74,'Assumptions &amp; FX Reference'!$A$5:$A$25,0)),""))),"")))</f>
        <v>20000</v>
      </c>
      <c r="AC74" s="47" t="n">
        <f aca="false">IF(NOT(ISNUMBER(AA74)),"",IF(NOT(ISNUMBER(Y74)),"",IFERROR(IF(Z74="USD",AA74,IF(Z74="IRR",AA74/INDEX('Assumptions &amp; FX Reference'!$B$5:$B$25,MATCH(Y74,'Assumptions &amp; FX Reference'!$A$5:$A$25,0)),IF(Z74="EUR",AA74*INDEX('Assumptions &amp; FX Reference'!$C$5:$C$25,MATCH(Y74,'Assumptions &amp; FX Reference'!$A$5:$A$25,0))/INDEX('Assumptions &amp; FX Reference'!$B$5:$B$25,MATCH(Y74,'Assumptions &amp; FX Reference'!$A$5:$A$25,0)),""))),"")))</f>
        <v>26148.9032258065</v>
      </c>
      <c r="AD74" s="47" t="n">
        <f aca="false">IF(NOT(ISNUMBER(AA74)),"",IF(NOT(ISNUMBER(Y74)),"",IFERROR(IF(Z74="IRR",AA74,IF(Z74="USD",AA74*INDEX('Assumptions &amp; FX Reference'!$B$5:$B$25,MATCH(Y74,'Assumptions &amp; FX Reference'!$A$5:$A$25,0)),IF(Z74="EUR",AA74*INDEX('Assumptions &amp; FX Reference'!$C$5:$C$25,MATCH(Y74,'Assumptions &amp; FX Reference'!$A$5:$A$25,0)),""))),"")))</f>
        <v>810616000</v>
      </c>
      <c r="AE74" s="42" t="s">
        <v>480</v>
      </c>
      <c r="AF74" s="50" t="s">
        <v>208</v>
      </c>
      <c r="AG74" s="47" t="n">
        <f aca="false">IF(AND(Z74="EUR",N(AA74)&gt;5000000),"",IF(AND(ISNUMBER(AB74),ISNUMBER(AZ74),ISNUMBER(BA74)),IF(AND(BB74="Y",ISNUMBER('Assumptions &amp; FX Reference'!$I$15)),MAX(AB74*BA74/AZ74,'Assumptions &amp; FX Reference'!$I$13*BA74/'Assumptions &amp; FX Reference'!$I$15),AB74*BA74/AZ74),""))</f>
        <v>27021.3581179459</v>
      </c>
      <c r="AH74" s="47" t="n">
        <f aca="false">IF(AND(ISNUMBER(AG74),ISNUMBER('Assumptions &amp; FX Reference'!$I$8),ISNUMBER('Assumptions &amp; FX Reference'!$I$11)),AG74*'Assumptions &amp; FX Reference'!$I$8/'Assumptions &amp; FX Reference'!$I$11,"")</f>
        <v>28528.6927396926</v>
      </c>
      <c r="AI74" s="47" t="n">
        <f aca="false">IF(AND(ISNUMBER(AG74),ISNUMBER('Assumptions &amp; FX Reference'!$I$8)),AG74*'Assumptions &amp; FX Reference'!$I$8,"")</f>
        <v>18787085615.948</v>
      </c>
      <c r="AJ74" s="42" t="s">
        <v>481</v>
      </c>
      <c r="AK74" s="42" t="s">
        <v>482</v>
      </c>
      <c r="AL74" s="42" t="s">
        <v>123</v>
      </c>
      <c r="AM74" s="42" t="s">
        <v>123</v>
      </c>
      <c r="AN74" s="42" t="s">
        <v>123</v>
      </c>
      <c r="AO74" s="42" t="s">
        <v>123</v>
      </c>
      <c r="AP74" s="42" t="s">
        <v>123</v>
      </c>
      <c r="AQ74" s="50" t="s">
        <v>312</v>
      </c>
      <c r="AR74" s="42" t="s">
        <v>123</v>
      </c>
      <c r="AS74" s="45" t="str">
        <f aca="false">IF(AND(Z74="EUR",N(AA74)&gt;5000000),"Check currency (EUR&gt;5M); ","")&amp;IF(NOT(ISNUMBER(AA74)),"No price; ","")&amp;IF(G74="Not stated","Material missing; ","")&amp;IF(P74="Not stated","Seal missing; ","")&amp;IF(K74="","Size driver missing; ","")&amp;IF(NOT(ISNUMBER(AZ74)),"Base-year PPI missing; ","")</f>
        <v>Seal missing; </v>
      </c>
      <c r="AT74" s="48" t="n">
        <f aca="false">IFERROR(INDEX(Factors_ROT!$F$5:$F$200,MATCH("MAT|"&amp;G74,Factors_ROT!$A$5:$A$200,0)),1)</f>
        <v>1.9</v>
      </c>
      <c r="AU74" s="48" t="n">
        <f aca="false">IFERROR(INDEX(Factors_ROT!$F$5:$F$200,MATCH("SEAL_ARR|"&amp;P74,Factors_ROT!$A$5:$A$200,0)),1)*IFERROR(INDEX(Factors_ROT!$F$5:$F$200,MATCH("SEAL_CAT|"&amp;Q74,Factors_ROT!$A$5:$A$200,0)),1)*IFERROR(INDEX(Factors_ROT!$F$5:$F$200,MATCH("SEAL_PLAN|"&amp;R74,Factors_ROT!$A$5:$A$200,0)),1)</f>
        <v>1</v>
      </c>
      <c r="AV74" s="48" t="n">
        <f aca="false">IFERROR(INDEX(Factors_ROT!$F$5:$F$200,MATCH("DRV|"&amp;S74,Factors_ROT!$A$5:$A$200,0)),1)*IFERROR(INDEX(Factors_ROT!$F$5:$F$200,MATCH("NACE|"&amp;O74,Factors_ROT!$A$5:$A$200,0)),1)</f>
        <v>1.05</v>
      </c>
      <c r="AW74" s="48" t="n">
        <f aca="false">IFERROR(INDEX(Factors_ROT!$F$5:$F$200,MATCH("SC_DRV|"&amp;AL74,Factors_ROT!$A$5:$A$200,0)),1)*IFERROR(INDEX(Factors_ROT!$F$5:$F$200,MATCH("SC_BSP|"&amp;AM74,Factors_ROT!$A$5:$A$200,0)),1)*IFERROR(INDEX(Factors_ROT!$F$5:$F$200,MATCH("SC_SEAL|"&amp;AN74,Factors_ROT!$A$5:$A$200,0)),1)*IFERROR(INDEX(Factors_ROT!$F$5:$F$200,MATCH("SC_COMM|"&amp;AO74,Factors_ROT!$A$5:$A$200,0)),1)*IFERROR(INDEX(Factors_ROT!$F$5:$F$200,MATCH("SC_2Y|"&amp;AP74,Factors_ROT!$A$5:$A$200,0)),1)*IFERROR(INDEX(Factors_ROT!$F$5:$F$200,MATCH("SC_TPI|"&amp;AQ74,Factors_ROT!$A$5:$A$200,0)),1)*IFERROR(INDEX(Factors_ROT!$F$5:$F$200,MATCH("SC_FAT|"&amp;AR74,Factors_ROT!$A$5:$A$200,0)),1)</f>
        <v>1</v>
      </c>
      <c r="AX74" s="48" t="n">
        <f aca="false">AT74*AU74*AV74*AW74</f>
        <v>1.995</v>
      </c>
      <c r="AY74" s="47" t="n">
        <f aca="false">IF(ISNUMBER(AB74),AB74/AX74,"")</f>
        <v>10025.0626566416</v>
      </c>
      <c r="AZ74" s="49" t="n">
        <f aca="false">IFERROR(IF(N(INDEX(Escalation_Index!$B$5:$B$25,MATCH(Y74,Escalation_Index!$A$5:$A$25,0)))&gt;0,INDEX(Escalation_Index!$B$5:$B$25,MATCH(Y74,Escalation_Index!$A$5:$A$25,0)),""),"")</f>
        <v>91.347</v>
      </c>
      <c r="BA74" s="49" t="n">
        <f aca="false">IF(ISNUMBER('Assumptions &amp; FX Reference'!$I$12),'Assumptions &amp; FX Reference'!$I$12,"")</f>
        <v>123.416</v>
      </c>
      <c r="BB74" s="45" t="str">
        <f aca="false">IF(AND(M74="API 610",LEFT(V74,11)="Centrifugal",OR(LEFT(G74,2)="S-",LEFT(G74,2)="D-")),"Y","N")</f>
        <v>Y</v>
      </c>
      <c r="BC74" s="47" t="n">
        <f aca="false">IF(ISNUMBER(AG74),AG74/AX74,"")</f>
        <v>13544.5404099979</v>
      </c>
      <c r="BD74" s="47" t="n">
        <f aca="false">IF(AND(ISNUMBER(BC74),ISNUMBER(K74)),IF(K74&gt;0,BC74/K74^'Assumptions &amp; FX Reference'!$I$16,""),"")</f>
        <v>11074.5026685491</v>
      </c>
      <c r="BE74" s="42" t="s">
        <v>594</v>
      </c>
      <c r="BF74" s="42" t="s">
        <v>595</v>
      </c>
      <c r="BG74" s="42" t="s">
        <v>369</v>
      </c>
      <c r="BH74" s="45" t="s">
        <v>313</v>
      </c>
      <c r="BI74" s="45" t="str">
        <f aca="false">"PMP-"&amp;TEXT(A74,"0000")</f>
        <v>PMP-0070</v>
      </c>
    </row>
    <row r="75" customFormat="false" ht="24" hidden="false" customHeight="true" outlineLevel="0" collapsed="false">
      <c r="A75" s="42" t="n">
        <v>71</v>
      </c>
      <c r="B75" s="42" t="s">
        <v>529</v>
      </c>
      <c r="C75" s="42" t="s">
        <v>558</v>
      </c>
      <c r="D75" s="42" t="s">
        <v>596</v>
      </c>
      <c r="E75" s="42" t="s">
        <v>54</v>
      </c>
      <c r="F75" s="42" t="s">
        <v>132</v>
      </c>
      <c r="G75" s="42" t="s">
        <v>115</v>
      </c>
      <c r="H75" s="43" t="n">
        <v>15</v>
      </c>
      <c r="I75" s="43" t="n">
        <v>61</v>
      </c>
      <c r="J75" s="43"/>
      <c r="K75" s="44" t="n">
        <f aca="false">IF(ISNUMBER(J75),J75,IF(AND(ISNUMBER(H75),ISNUMBER(I75)),H75*I75/(367*'Assumptions &amp; FX Reference'!$I$17),""))</f>
        <v>4.15531335149864</v>
      </c>
      <c r="L75" s="45" t="str">
        <f aca="false">IF(IF(OR(M75="Not stated",M75=""),""," + "&amp;M75)&amp;IF(OR(N75="None",N75=""),""," + "&amp;N75)&amp;IF(O75="Y"," + NACE MR0175","")="","Not stated",MID(IF(OR(M75="Not stated",M75=""),""," + "&amp;M75)&amp;IF(OR(N75="None",N75=""),""," + "&amp;N75)&amp;IF(O75="Y"," + NACE MR0175",""),4,300))</f>
        <v>API 610 + IPS-G-PM-105 + NACE MR0175</v>
      </c>
      <c r="M75" s="42" t="s">
        <v>478</v>
      </c>
      <c r="N75" s="42" t="s">
        <v>479</v>
      </c>
      <c r="O75" s="42" t="s">
        <v>369</v>
      </c>
      <c r="P75" s="42" t="s">
        <v>123</v>
      </c>
      <c r="Q75" s="42" t="s">
        <v>123</v>
      </c>
      <c r="R75" s="42" t="s">
        <v>123</v>
      </c>
      <c r="S75" s="50" t="s">
        <v>304</v>
      </c>
      <c r="T75" s="42" t="s">
        <v>342</v>
      </c>
      <c r="U75" s="42" t="n">
        <v>2</v>
      </c>
      <c r="V75" s="42" t="s">
        <v>306</v>
      </c>
      <c r="W75" s="43" t="n">
        <v>9</v>
      </c>
      <c r="X75" s="42" t="s">
        <v>123</v>
      </c>
      <c r="Y75" s="50" t="n">
        <v>1393</v>
      </c>
      <c r="Z75" s="42" t="s">
        <v>363</v>
      </c>
      <c r="AA75" s="46" t="n">
        <v>17500</v>
      </c>
      <c r="AB75" s="47" t="n">
        <f aca="false">IF(NOT(ISNUMBER(AA75)),"",IF(NOT(ISNUMBER(Y75)),"",IFERROR(IF(Z75="EUR",AA75,IF(Z75="IRR",AA75/INDEX('Assumptions &amp; FX Reference'!$C$5:$C$25,MATCH(Y75,'Assumptions &amp; FX Reference'!$A$5:$A$25,0)),IF(Z75="USD",AA75*INDEX('Assumptions &amp; FX Reference'!$B$5:$B$25,MATCH(Y75,'Assumptions &amp; FX Reference'!$A$5:$A$25,0))/INDEX('Assumptions &amp; FX Reference'!$C$5:$C$25,MATCH(Y75,'Assumptions &amp; FX Reference'!$A$5:$A$25,0)),""))),"")))</f>
        <v>17500</v>
      </c>
      <c r="AC75" s="47" t="n">
        <f aca="false">IF(NOT(ISNUMBER(AA75)),"",IF(NOT(ISNUMBER(Y75)),"",IFERROR(IF(Z75="USD",AA75,IF(Z75="IRR",AA75/INDEX('Assumptions &amp; FX Reference'!$B$5:$B$25,MATCH(Y75,'Assumptions &amp; FX Reference'!$A$5:$A$25,0)),IF(Z75="EUR",AA75*INDEX('Assumptions &amp; FX Reference'!$C$5:$C$25,MATCH(Y75,'Assumptions &amp; FX Reference'!$A$5:$A$25,0))/INDEX('Assumptions &amp; FX Reference'!$B$5:$B$25,MATCH(Y75,'Assumptions &amp; FX Reference'!$A$5:$A$25,0)),""))),"")))</f>
        <v>22880.2903225806</v>
      </c>
      <c r="AD75" s="47" t="n">
        <f aca="false">IF(NOT(ISNUMBER(AA75)),"",IF(NOT(ISNUMBER(Y75)),"",IFERROR(IF(Z75="IRR",AA75,IF(Z75="USD",AA75*INDEX('Assumptions &amp; FX Reference'!$B$5:$B$25,MATCH(Y75,'Assumptions &amp; FX Reference'!$A$5:$A$25,0)),IF(Z75="EUR",AA75*INDEX('Assumptions &amp; FX Reference'!$C$5:$C$25,MATCH(Y75,'Assumptions &amp; FX Reference'!$A$5:$A$25,0)),""))),"")))</f>
        <v>709289000</v>
      </c>
      <c r="AE75" s="42" t="s">
        <v>480</v>
      </c>
      <c r="AF75" s="50" t="s">
        <v>208</v>
      </c>
      <c r="AG75" s="47" t="n">
        <f aca="false">IF(AND(Z75="EUR",N(AA75)&gt;5000000),"",IF(AND(ISNUMBER(AB75),ISNUMBER(AZ75),ISNUMBER(BA75)),IF(AND(BB75="Y",ISNUMBER('Assumptions &amp; FX Reference'!$I$15)),MAX(AB75*BA75/AZ75,'Assumptions &amp; FX Reference'!$I$13*BA75/'Assumptions &amp; FX Reference'!$I$15),AB75*BA75/AZ75),""))</f>
        <v>25000</v>
      </c>
      <c r="AH75" s="47" t="n">
        <f aca="false">IF(AND(ISNUMBER(AG75),ISNUMBER('Assumptions &amp; FX Reference'!$I$8),ISNUMBER('Assumptions &amp; FX Reference'!$I$11)),AG75*'Assumptions &amp; FX Reference'!$I$8/'Assumptions &amp; FX Reference'!$I$11,"")</f>
        <v>26394.5770371416</v>
      </c>
      <c r="AI75" s="47" t="n">
        <f aca="false">IF(AND(ISNUMBER(AG75),ISNUMBER('Assumptions &amp; FX Reference'!$I$8)),AG75*'Assumptions &amp; FX Reference'!$I$8,"")</f>
        <v>17381700000</v>
      </c>
      <c r="AJ75" s="42" t="s">
        <v>481</v>
      </c>
      <c r="AK75" s="42" t="s">
        <v>482</v>
      </c>
      <c r="AL75" s="42" t="s">
        <v>123</v>
      </c>
      <c r="AM75" s="42" t="s">
        <v>123</v>
      </c>
      <c r="AN75" s="42" t="s">
        <v>123</v>
      </c>
      <c r="AO75" s="42" t="s">
        <v>123</v>
      </c>
      <c r="AP75" s="42" t="s">
        <v>123</v>
      </c>
      <c r="AQ75" s="50" t="s">
        <v>312</v>
      </c>
      <c r="AR75" s="42" t="s">
        <v>123</v>
      </c>
      <c r="AS75" s="45" t="str">
        <f aca="false">IF(AND(Z75="EUR",N(AA75)&gt;5000000),"Check currency (EUR&gt;5M); ","")&amp;IF(NOT(ISNUMBER(AA75)),"No price; ","")&amp;IF(G75="Not stated","Material missing; ","")&amp;IF(P75="Not stated","Seal missing; ","")&amp;IF(K75="","Size driver missing; ","")&amp;IF(NOT(ISNUMBER(AZ75)),"Base-year PPI missing; ","")</f>
        <v>Seal missing; </v>
      </c>
      <c r="AT75" s="48" t="n">
        <f aca="false">IFERROR(INDEX(Factors_ROT!$F$5:$F$200,MATCH("MAT|"&amp;G75,Factors_ROT!$A$5:$A$200,0)),1)</f>
        <v>1.9</v>
      </c>
      <c r="AU75" s="48" t="n">
        <f aca="false">IFERROR(INDEX(Factors_ROT!$F$5:$F$200,MATCH("SEAL_ARR|"&amp;P75,Factors_ROT!$A$5:$A$200,0)),1)*IFERROR(INDEX(Factors_ROT!$F$5:$F$200,MATCH("SEAL_CAT|"&amp;Q75,Factors_ROT!$A$5:$A$200,0)),1)*IFERROR(INDEX(Factors_ROT!$F$5:$F$200,MATCH("SEAL_PLAN|"&amp;R75,Factors_ROT!$A$5:$A$200,0)),1)</f>
        <v>1</v>
      </c>
      <c r="AV75" s="48" t="n">
        <f aca="false">IFERROR(INDEX(Factors_ROT!$F$5:$F$200,MATCH("DRV|"&amp;S75,Factors_ROT!$A$5:$A$200,0)),1)*IFERROR(INDEX(Factors_ROT!$F$5:$F$200,MATCH("NACE|"&amp;O75,Factors_ROT!$A$5:$A$200,0)),1)</f>
        <v>1.05</v>
      </c>
      <c r="AW75" s="48" t="n">
        <f aca="false">IFERROR(INDEX(Factors_ROT!$F$5:$F$200,MATCH("SC_DRV|"&amp;AL75,Factors_ROT!$A$5:$A$200,0)),1)*IFERROR(INDEX(Factors_ROT!$F$5:$F$200,MATCH("SC_BSP|"&amp;AM75,Factors_ROT!$A$5:$A$200,0)),1)*IFERROR(INDEX(Factors_ROT!$F$5:$F$200,MATCH("SC_SEAL|"&amp;AN75,Factors_ROT!$A$5:$A$200,0)),1)*IFERROR(INDEX(Factors_ROT!$F$5:$F$200,MATCH("SC_COMM|"&amp;AO75,Factors_ROT!$A$5:$A$200,0)),1)*IFERROR(INDEX(Factors_ROT!$F$5:$F$200,MATCH("SC_2Y|"&amp;AP75,Factors_ROT!$A$5:$A$200,0)),1)*IFERROR(INDEX(Factors_ROT!$F$5:$F$200,MATCH("SC_TPI|"&amp;AQ75,Factors_ROT!$A$5:$A$200,0)),1)*IFERROR(INDEX(Factors_ROT!$F$5:$F$200,MATCH("SC_FAT|"&amp;AR75,Factors_ROT!$A$5:$A$200,0)),1)</f>
        <v>1</v>
      </c>
      <c r="AX75" s="48" t="n">
        <f aca="false">AT75*AU75*AV75*AW75</f>
        <v>1.995</v>
      </c>
      <c r="AY75" s="47" t="n">
        <f aca="false">IF(ISNUMBER(AB75),AB75/AX75,"")</f>
        <v>8771.92982456141</v>
      </c>
      <c r="AZ75" s="49" t="n">
        <f aca="false">IFERROR(IF(N(INDEX(Escalation_Index!$B$5:$B$25,MATCH(Y75,Escalation_Index!$A$5:$A$25,0)))&gt;0,INDEX(Escalation_Index!$B$5:$B$25,MATCH(Y75,Escalation_Index!$A$5:$A$25,0)),""),"")</f>
        <v>91.347</v>
      </c>
      <c r="BA75" s="49" t="n">
        <f aca="false">IF(ISNUMBER('Assumptions &amp; FX Reference'!$I$12),'Assumptions &amp; FX Reference'!$I$12,"")</f>
        <v>123.416</v>
      </c>
      <c r="BB75" s="45" t="str">
        <f aca="false">IF(AND(M75="API 610",LEFT(V75,11)="Centrifugal",OR(LEFT(G75,2)="S-",LEFT(G75,2)="D-")),"Y","N")</f>
        <v>Y</v>
      </c>
      <c r="BC75" s="47" t="n">
        <f aca="false">IF(ISNUMBER(AG75),AG75/AX75,"")</f>
        <v>12531.328320802</v>
      </c>
      <c r="BD75" s="47" t="n">
        <f aca="false">IF(AND(ISNUMBER(BC75),ISNUMBER(K75)),IF(K75&gt;0,BC75/K75^'Assumptions &amp; FX Reference'!$I$16,""),"")</f>
        <v>5331.32110696128</v>
      </c>
      <c r="BE75" s="42" t="s">
        <v>597</v>
      </c>
      <c r="BF75" s="42" t="s">
        <v>598</v>
      </c>
      <c r="BG75" s="42" t="s">
        <v>369</v>
      </c>
      <c r="BH75" s="45" t="s">
        <v>313</v>
      </c>
      <c r="BI75" s="45" t="str">
        <f aca="false">"PMP-"&amp;TEXT(A75,"0000")</f>
        <v>PMP-0071</v>
      </c>
    </row>
    <row r="76" customFormat="false" ht="24" hidden="false" customHeight="true" outlineLevel="0" collapsed="false">
      <c r="A76" s="42" t="n">
        <v>72</v>
      </c>
      <c r="B76" s="42" t="s">
        <v>533</v>
      </c>
      <c r="C76" s="42" t="s">
        <v>558</v>
      </c>
      <c r="D76" s="42" t="s">
        <v>599</v>
      </c>
      <c r="E76" s="42" t="s">
        <v>48</v>
      </c>
      <c r="F76" s="42" t="s">
        <v>132</v>
      </c>
      <c r="G76" s="42" t="s">
        <v>115</v>
      </c>
      <c r="H76" s="43" t="n">
        <v>15</v>
      </c>
      <c r="I76" s="52" t="n">
        <v>44.9</v>
      </c>
      <c r="J76" s="43"/>
      <c r="K76" s="44" t="n">
        <f aca="false">IF(ISNUMBER(J76),J76,IF(AND(ISNUMBER(H76),ISNUMBER(I76)),H76*I76/(367*'Assumptions &amp; FX Reference'!$I$17),""))</f>
        <v>3.05858310626703</v>
      </c>
      <c r="L76" s="45" t="str">
        <f aca="false">IF(IF(OR(M76="Not stated",M76=""),""," + "&amp;M76)&amp;IF(OR(N76="None",N76=""),""," + "&amp;N76)&amp;IF(O76="Y"," + NACE MR0175","")="","Not stated",MID(IF(OR(M76="Not stated",M76=""),""," + "&amp;M76)&amp;IF(OR(N76="None",N76=""),""," + "&amp;N76)&amp;IF(O76="Y"," + NACE MR0175",""),4,300))</f>
        <v>API 610 + IPS-G-PM-105 + NACE MR0175</v>
      </c>
      <c r="M76" s="42" t="s">
        <v>478</v>
      </c>
      <c r="N76" s="42" t="s">
        <v>479</v>
      </c>
      <c r="O76" s="42" t="s">
        <v>369</v>
      </c>
      <c r="P76" s="42" t="s">
        <v>123</v>
      </c>
      <c r="Q76" s="42" t="s">
        <v>123</v>
      </c>
      <c r="R76" s="42" t="s">
        <v>123</v>
      </c>
      <c r="S76" s="50" t="s">
        <v>304</v>
      </c>
      <c r="T76" s="42" t="s">
        <v>327</v>
      </c>
      <c r="U76" s="42" t="n">
        <v>1</v>
      </c>
      <c r="V76" s="42" t="s">
        <v>306</v>
      </c>
      <c r="W76" s="43"/>
      <c r="X76" s="42" t="s">
        <v>123</v>
      </c>
      <c r="Y76" s="50" t="n">
        <v>1393</v>
      </c>
      <c r="Z76" s="42" t="s">
        <v>454</v>
      </c>
      <c r="AA76" s="46"/>
      <c r="AB76" s="47" t="str">
        <f aca="false">IF(NOT(ISNUMBER(AA76)),"",IF(NOT(ISNUMBER(Y76)),"",IFERROR(IF(Z76="EUR",AA76,IF(Z76="IRR",AA76/INDEX('Assumptions &amp; FX Reference'!$C$5:$C$25,MATCH(Y76,'Assumptions &amp; FX Reference'!$A$5:$A$25,0)),IF(Z76="USD",AA76*INDEX('Assumptions &amp; FX Reference'!$B$5:$B$25,MATCH(Y76,'Assumptions &amp; FX Reference'!$A$5:$A$25,0))/INDEX('Assumptions &amp; FX Reference'!$C$5:$C$25,MATCH(Y76,'Assumptions &amp; FX Reference'!$A$5:$A$25,0)),""))),"")))</f>
        <v/>
      </c>
      <c r="AC76" s="47" t="str">
        <f aca="false">IF(NOT(ISNUMBER(AA76)),"",IF(NOT(ISNUMBER(Y76)),"",IFERROR(IF(Z76="USD",AA76,IF(Z76="IRR",AA76/INDEX('Assumptions &amp; FX Reference'!$B$5:$B$25,MATCH(Y76,'Assumptions &amp; FX Reference'!$A$5:$A$25,0)),IF(Z76="EUR",AA76*INDEX('Assumptions &amp; FX Reference'!$C$5:$C$25,MATCH(Y76,'Assumptions &amp; FX Reference'!$A$5:$A$25,0))/INDEX('Assumptions &amp; FX Reference'!$B$5:$B$25,MATCH(Y76,'Assumptions &amp; FX Reference'!$A$5:$A$25,0)),""))),"")))</f>
        <v/>
      </c>
      <c r="AD76" s="47" t="str">
        <f aca="false">IF(NOT(ISNUMBER(AA76)),"",IF(NOT(ISNUMBER(Y76)),"",IFERROR(IF(Z76="IRR",AA76,IF(Z76="USD",AA76*INDEX('Assumptions &amp; FX Reference'!$B$5:$B$25,MATCH(Y76,'Assumptions &amp; FX Reference'!$A$5:$A$25,0)),IF(Z76="EUR",AA76*INDEX('Assumptions &amp; FX Reference'!$C$5:$C$25,MATCH(Y76,'Assumptions &amp; FX Reference'!$A$5:$A$25,0)),""))),"")))</f>
        <v/>
      </c>
      <c r="AE76" s="42" t="s">
        <v>535</v>
      </c>
      <c r="AF76" s="42" t="s">
        <v>123</v>
      </c>
      <c r="AG76" s="47" t="str">
        <f aca="false">IF(AND(Z76="EUR",N(AA76)&gt;5000000),"",IF(AND(ISNUMBER(AB76),ISNUMBER(AZ76),ISNUMBER(BA76)),IF(AND(BB76="Y",ISNUMBER('Assumptions &amp; FX Reference'!$I$15)),MAX(AB76*BA76/AZ76,'Assumptions &amp; FX Reference'!$I$13*BA76/'Assumptions &amp; FX Reference'!$I$15),AB76*BA76/AZ76),""))</f>
        <v/>
      </c>
      <c r="AH76" s="47" t="str">
        <f aca="false">IF(AND(ISNUMBER(AG76),ISNUMBER('Assumptions &amp; FX Reference'!$I$8),ISNUMBER('Assumptions &amp; FX Reference'!$I$11)),AG76*'Assumptions &amp; FX Reference'!$I$8/'Assumptions &amp; FX Reference'!$I$11,"")</f>
        <v/>
      </c>
      <c r="AI76" s="47" t="str">
        <f aca="false">IF(AND(ISNUMBER(AG76),ISNUMBER('Assumptions &amp; FX Reference'!$I$8)),AG76*'Assumptions &amp; FX Reference'!$I$8,"")</f>
        <v/>
      </c>
      <c r="AJ76" s="42" t="s">
        <v>481</v>
      </c>
      <c r="AK76" s="42" t="s">
        <v>482</v>
      </c>
      <c r="AL76" s="42" t="s">
        <v>123</v>
      </c>
      <c r="AM76" s="42" t="s">
        <v>123</v>
      </c>
      <c r="AN76" s="42" t="s">
        <v>123</v>
      </c>
      <c r="AO76" s="42" t="s">
        <v>123</v>
      </c>
      <c r="AP76" s="42" t="s">
        <v>123</v>
      </c>
      <c r="AQ76" s="42" t="s">
        <v>123</v>
      </c>
      <c r="AR76" s="42" t="s">
        <v>123</v>
      </c>
      <c r="AS76" s="45" t="str">
        <f aca="false">IF(AND(Z76="EUR",N(AA76)&gt;5000000),"Check currency (EUR&gt;5M); ","")&amp;IF(NOT(ISNUMBER(AA76)),"No price; ","")&amp;IF(G76="Not stated","Material missing; ","")&amp;IF(P76="Not stated","Seal missing; ","")&amp;IF(K76="","Size driver missing; ","")&amp;IF(NOT(ISNUMBER(AZ76)),"Base-year PPI missing; ","")</f>
        <v>No price; Seal missing; </v>
      </c>
      <c r="AT76" s="48" t="n">
        <f aca="false">IFERROR(INDEX(Factors_ROT!$F$5:$F$200,MATCH("MAT|"&amp;G76,Factors_ROT!$A$5:$A$200,0)),1)</f>
        <v>1.9</v>
      </c>
      <c r="AU76" s="48" t="n">
        <f aca="false">IFERROR(INDEX(Factors_ROT!$F$5:$F$200,MATCH("SEAL_ARR|"&amp;P76,Factors_ROT!$A$5:$A$200,0)),1)*IFERROR(INDEX(Factors_ROT!$F$5:$F$200,MATCH("SEAL_CAT|"&amp;Q76,Factors_ROT!$A$5:$A$200,0)),1)*IFERROR(INDEX(Factors_ROT!$F$5:$F$200,MATCH("SEAL_PLAN|"&amp;R76,Factors_ROT!$A$5:$A$200,0)),1)</f>
        <v>1</v>
      </c>
      <c r="AV76" s="48" t="n">
        <f aca="false">IFERROR(INDEX(Factors_ROT!$F$5:$F$200,MATCH("DRV|"&amp;S76,Factors_ROT!$A$5:$A$200,0)),1)*IFERROR(INDEX(Factors_ROT!$F$5:$F$200,MATCH("NACE|"&amp;O76,Factors_ROT!$A$5:$A$200,0)),1)</f>
        <v>1.05</v>
      </c>
      <c r="AW76" s="48" t="n">
        <f aca="false">IFERROR(INDEX(Factors_ROT!$F$5:$F$200,MATCH("SC_DRV|"&amp;AL76,Factors_ROT!$A$5:$A$200,0)),1)*IFERROR(INDEX(Factors_ROT!$F$5:$F$200,MATCH("SC_BSP|"&amp;AM76,Factors_ROT!$A$5:$A$200,0)),1)*IFERROR(INDEX(Factors_ROT!$F$5:$F$200,MATCH("SC_SEAL|"&amp;AN76,Factors_ROT!$A$5:$A$200,0)),1)*IFERROR(INDEX(Factors_ROT!$F$5:$F$200,MATCH("SC_COMM|"&amp;AO76,Factors_ROT!$A$5:$A$200,0)),1)*IFERROR(INDEX(Factors_ROT!$F$5:$F$200,MATCH("SC_2Y|"&amp;AP76,Factors_ROT!$A$5:$A$200,0)),1)*IFERROR(INDEX(Factors_ROT!$F$5:$F$200,MATCH("SC_TPI|"&amp;AQ76,Factors_ROT!$A$5:$A$200,0)),1)*IFERROR(INDEX(Factors_ROT!$F$5:$F$200,MATCH("SC_FAT|"&amp;AR76,Factors_ROT!$A$5:$A$200,0)),1)</f>
        <v>1</v>
      </c>
      <c r="AX76" s="48" t="n">
        <f aca="false">AT76*AU76*AV76*AW76</f>
        <v>1.995</v>
      </c>
      <c r="AY76" s="47" t="str">
        <f aca="false">IF(ISNUMBER(AB76),AB76/AX76,"")</f>
        <v/>
      </c>
      <c r="AZ76" s="49" t="n">
        <f aca="false">IFERROR(IF(N(INDEX(Escalation_Index!$B$5:$B$25,MATCH(Y76,Escalation_Index!$A$5:$A$25,0)))&gt;0,INDEX(Escalation_Index!$B$5:$B$25,MATCH(Y76,Escalation_Index!$A$5:$A$25,0)),""),"")</f>
        <v>91.347</v>
      </c>
      <c r="BA76" s="49" t="n">
        <f aca="false">IF(ISNUMBER('Assumptions &amp; FX Reference'!$I$12),'Assumptions &amp; FX Reference'!$I$12,"")</f>
        <v>123.416</v>
      </c>
      <c r="BB76" s="45" t="str">
        <f aca="false">IF(AND(M76="API 610",LEFT(V76,11)="Centrifugal",OR(LEFT(G76,2)="S-",LEFT(G76,2)="D-")),"Y","N")</f>
        <v>Y</v>
      </c>
      <c r="BC76" s="47" t="str">
        <f aca="false">IF(ISNUMBER(AG76),AG76/AX76,"")</f>
        <v/>
      </c>
      <c r="BD76" s="47" t="str">
        <f aca="false">IF(AND(ISNUMBER(BC76),ISNUMBER(K76)),IF(K76&gt;0,BC76/K76^'Assumptions &amp; FX Reference'!$I$16,""),"")</f>
        <v/>
      </c>
      <c r="BE76" s="42" t="s">
        <v>600</v>
      </c>
      <c r="BF76" s="42" t="s">
        <v>601</v>
      </c>
      <c r="BG76" s="42" t="s">
        <v>369</v>
      </c>
      <c r="BH76" s="45" t="s">
        <v>313</v>
      </c>
      <c r="BI76" s="45" t="str">
        <f aca="false">"PMP-"&amp;TEXT(A76,"0000")</f>
        <v>PMP-0072</v>
      </c>
    </row>
    <row r="77" customFormat="false" ht="24" hidden="false" customHeight="true" outlineLevel="0" collapsed="false">
      <c r="A77" s="42" t="n">
        <v>73</v>
      </c>
      <c r="B77" s="42" t="s">
        <v>538</v>
      </c>
      <c r="C77" s="42" t="s">
        <v>558</v>
      </c>
      <c r="D77" s="42" t="s">
        <v>602</v>
      </c>
      <c r="E77" s="42" t="s">
        <v>48</v>
      </c>
      <c r="F77" s="42" t="s">
        <v>132</v>
      </c>
      <c r="G77" s="42" t="s">
        <v>115</v>
      </c>
      <c r="H77" s="43"/>
      <c r="I77" s="43"/>
      <c r="J77" s="43"/>
      <c r="K77" s="44" t="str">
        <f aca="false">IF(ISNUMBER(J77),J77,IF(AND(ISNUMBER(H77),ISNUMBER(I77)),H77*I77/(367*'Assumptions &amp; FX Reference'!$I$17),""))</f>
        <v/>
      </c>
      <c r="L77" s="45" t="str">
        <f aca="false">IF(IF(OR(M77="Not stated",M77=""),""," + "&amp;M77)&amp;IF(OR(N77="None",N77=""),""," + "&amp;N77)&amp;IF(O77="Y"," + NACE MR0175","")="","Not stated",MID(IF(OR(M77="Not stated",M77=""),""," + "&amp;M77)&amp;IF(OR(N77="None",N77=""),""," + "&amp;N77)&amp;IF(O77="Y"," + NACE MR0175",""),4,300))</f>
        <v>API 610 + IPS-G-PM-105</v>
      </c>
      <c r="M77" s="42" t="s">
        <v>478</v>
      </c>
      <c r="N77" s="42" t="s">
        <v>479</v>
      </c>
      <c r="O77" s="50" t="s">
        <v>312</v>
      </c>
      <c r="P77" s="42" t="s">
        <v>123</v>
      </c>
      <c r="Q77" s="42" t="s">
        <v>123</v>
      </c>
      <c r="R77" s="42" t="s">
        <v>123</v>
      </c>
      <c r="S77" s="50" t="s">
        <v>304</v>
      </c>
      <c r="T77" s="42" t="s">
        <v>327</v>
      </c>
      <c r="U77" s="42" t="n">
        <v>1</v>
      </c>
      <c r="V77" s="42" t="s">
        <v>306</v>
      </c>
      <c r="W77" s="43"/>
      <c r="X77" s="42" t="s">
        <v>123</v>
      </c>
      <c r="Y77" s="50" t="n">
        <v>1393</v>
      </c>
      <c r="Z77" s="42" t="s">
        <v>454</v>
      </c>
      <c r="AA77" s="46"/>
      <c r="AB77" s="47" t="str">
        <f aca="false">IF(NOT(ISNUMBER(AA77)),"",IF(NOT(ISNUMBER(Y77)),"",IFERROR(IF(Z77="EUR",AA77,IF(Z77="IRR",AA77/INDEX('Assumptions &amp; FX Reference'!$C$5:$C$25,MATCH(Y77,'Assumptions &amp; FX Reference'!$A$5:$A$25,0)),IF(Z77="USD",AA77*INDEX('Assumptions &amp; FX Reference'!$B$5:$B$25,MATCH(Y77,'Assumptions &amp; FX Reference'!$A$5:$A$25,0))/INDEX('Assumptions &amp; FX Reference'!$C$5:$C$25,MATCH(Y77,'Assumptions &amp; FX Reference'!$A$5:$A$25,0)),""))),"")))</f>
        <v/>
      </c>
      <c r="AC77" s="47" t="str">
        <f aca="false">IF(NOT(ISNUMBER(AA77)),"",IF(NOT(ISNUMBER(Y77)),"",IFERROR(IF(Z77="USD",AA77,IF(Z77="IRR",AA77/INDEX('Assumptions &amp; FX Reference'!$B$5:$B$25,MATCH(Y77,'Assumptions &amp; FX Reference'!$A$5:$A$25,0)),IF(Z77="EUR",AA77*INDEX('Assumptions &amp; FX Reference'!$C$5:$C$25,MATCH(Y77,'Assumptions &amp; FX Reference'!$A$5:$A$25,0))/INDEX('Assumptions &amp; FX Reference'!$B$5:$B$25,MATCH(Y77,'Assumptions &amp; FX Reference'!$A$5:$A$25,0)),""))),"")))</f>
        <v/>
      </c>
      <c r="AD77" s="47" t="str">
        <f aca="false">IF(NOT(ISNUMBER(AA77)),"",IF(NOT(ISNUMBER(Y77)),"",IFERROR(IF(Z77="IRR",AA77,IF(Z77="USD",AA77*INDEX('Assumptions &amp; FX Reference'!$B$5:$B$25,MATCH(Y77,'Assumptions &amp; FX Reference'!$A$5:$A$25,0)),IF(Z77="EUR",AA77*INDEX('Assumptions &amp; FX Reference'!$C$5:$C$25,MATCH(Y77,'Assumptions &amp; FX Reference'!$A$5:$A$25,0)),""))),"")))</f>
        <v/>
      </c>
      <c r="AE77" s="42" t="s">
        <v>535</v>
      </c>
      <c r="AF77" s="42" t="s">
        <v>123</v>
      </c>
      <c r="AG77" s="47" t="str">
        <f aca="false">IF(AND(Z77="EUR",N(AA77)&gt;5000000),"",IF(AND(ISNUMBER(AB77),ISNUMBER(AZ77),ISNUMBER(BA77)),IF(AND(BB77="Y",ISNUMBER('Assumptions &amp; FX Reference'!$I$15)),MAX(AB77*BA77/AZ77,'Assumptions &amp; FX Reference'!$I$13*BA77/'Assumptions &amp; FX Reference'!$I$15),AB77*BA77/AZ77),""))</f>
        <v/>
      </c>
      <c r="AH77" s="47" t="str">
        <f aca="false">IF(AND(ISNUMBER(AG77),ISNUMBER('Assumptions &amp; FX Reference'!$I$8),ISNUMBER('Assumptions &amp; FX Reference'!$I$11)),AG77*'Assumptions &amp; FX Reference'!$I$8/'Assumptions &amp; FX Reference'!$I$11,"")</f>
        <v/>
      </c>
      <c r="AI77" s="47" t="str">
        <f aca="false">IF(AND(ISNUMBER(AG77),ISNUMBER('Assumptions &amp; FX Reference'!$I$8)),AG77*'Assumptions &amp; FX Reference'!$I$8,"")</f>
        <v/>
      </c>
      <c r="AJ77" s="42" t="s">
        <v>481</v>
      </c>
      <c r="AK77" s="42" t="s">
        <v>482</v>
      </c>
      <c r="AL77" s="42" t="s">
        <v>123</v>
      </c>
      <c r="AM77" s="42" t="s">
        <v>123</v>
      </c>
      <c r="AN77" s="42" t="s">
        <v>123</v>
      </c>
      <c r="AO77" s="42" t="s">
        <v>123</v>
      </c>
      <c r="AP77" s="42" t="s">
        <v>123</v>
      </c>
      <c r="AQ77" s="42" t="s">
        <v>123</v>
      </c>
      <c r="AR77" s="42" t="s">
        <v>123</v>
      </c>
      <c r="AS77" s="45" t="str">
        <f aca="false">IF(AND(Z77="EUR",N(AA77)&gt;5000000),"Check currency (EUR&gt;5M); ","")&amp;IF(NOT(ISNUMBER(AA77)),"No price; ","")&amp;IF(G77="Not stated","Material missing; ","")&amp;IF(P77="Not stated","Seal missing; ","")&amp;IF(K77="","Size driver missing; ","")&amp;IF(NOT(ISNUMBER(AZ77)),"Base-year PPI missing; ","")</f>
        <v>No price; Seal missing; Size driver missing; </v>
      </c>
      <c r="AT77" s="48" t="n">
        <f aca="false">IFERROR(INDEX(Factors_ROT!$F$5:$F$200,MATCH("MAT|"&amp;G77,Factors_ROT!$A$5:$A$200,0)),1)</f>
        <v>1.9</v>
      </c>
      <c r="AU77" s="48" t="n">
        <f aca="false">IFERROR(INDEX(Factors_ROT!$F$5:$F$200,MATCH("SEAL_ARR|"&amp;P77,Factors_ROT!$A$5:$A$200,0)),1)*IFERROR(INDEX(Factors_ROT!$F$5:$F$200,MATCH("SEAL_CAT|"&amp;Q77,Factors_ROT!$A$5:$A$200,0)),1)*IFERROR(INDEX(Factors_ROT!$F$5:$F$200,MATCH("SEAL_PLAN|"&amp;R77,Factors_ROT!$A$5:$A$200,0)),1)</f>
        <v>1</v>
      </c>
      <c r="AV77" s="48" t="n">
        <f aca="false">IFERROR(INDEX(Factors_ROT!$F$5:$F$200,MATCH("DRV|"&amp;S77,Factors_ROT!$A$5:$A$200,0)),1)*IFERROR(INDEX(Factors_ROT!$F$5:$F$200,MATCH("NACE|"&amp;O77,Factors_ROT!$A$5:$A$200,0)),1)</f>
        <v>1</v>
      </c>
      <c r="AW77" s="48" t="n">
        <f aca="false">IFERROR(INDEX(Factors_ROT!$F$5:$F$200,MATCH("SC_DRV|"&amp;AL77,Factors_ROT!$A$5:$A$200,0)),1)*IFERROR(INDEX(Factors_ROT!$F$5:$F$200,MATCH("SC_BSP|"&amp;AM77,Factors_ROT!$A$5:$A$200,0)),1)*IFERROR(INDEX(Factors_ROT!$F$5:$F$200,MATCH("SC_SEAL|"&amp;AN77,Factors_ROT!$A$5:$A$200,0)),1)*IFERROR(INDEX(Factors_ROT!$F$5:$F$200,MATCH("SC_COMM|"&amp;AO77,Factors_ROT!$A$5:$A$200,0)),1)*IFERROR(INDEX(Factors_ROT!$F$5:$F$200,MATCH("SC_2Y|"&amp;AP77,Factors_ROT!$A$5:$A$200,0)),1)*IFERROR(INDEX(Factors_ROT!$F$5:$F$200,MATCH("SC_TPI|"&amp;AQ77,Factors_ROT!$A$5:$A$200,0)),1)*IFERROR(INDEX(Factors_ROT!$F$5:$F$200,MATCH("SC_FAT|"&amp;AR77,Factors_ROT!$A$5:$A$200,0)),1)</f>
        <v>1</v>
      </c>
      <c r="AX77" s="48" t="n">
        <f aca="false">AT77*AU77*AV77*AW77</f>
        <v>1.9</v>
      </c>
      <c r="AY77" s="47" t="str">
        <f aca="false">IF(ISNUMBER(AB77),AB77/AX77,"")</f>
        <v/>
      </c>
      <c r="AZ77" s="49" t="n">
        <f aca="false">IFERROR(IF(N(INDEX(Escalation_Index!$B$5:$B$25,MATCH(Y77,Escalation_Index!$A$5:$A$25,0)))&gt;0,INDEX(Escalation_Index!$B$5:$B$25,MATCH(Y77,Escalation_Index!$A$5:$A$25,0)),""),"")</f>
        <v>91.347</v>
      </c>
      <c r="BA77" s="49" t="n">
        <f aca="false">IF(ISNUMBER('Assumptions &amp; FX Reference'!$I$12),'Assumptions &amp; FX Reference'!$I$12,"")</f>
        <v>123.416</v>
      </c>
      <c r="BB77" s="45" t="str">
        <f aca="false">IF(AND(M77="API 610",LEFT(V77,11)="Centrifugal",OR(LEFT(G77,2)="S-",LEFT(G77,2)="D-")),"Y","N")</f>
        <v>Y</v>
      </c>
      <c r="BC77" s="47" t="str">
        <f aca="false">IF(ISNUMBER(AG77),AG77/AX77,"")</f>
        <v/>
      </c>
      <c r="BD77" s="47" t="str">
        <f aca="false">IF(AND(ISNUMBER(BC77),ISNUMBER(K77)),IF(K77&gt;0,BC77/K77^'Assumptions &amp; FX Reference'!$I$16,""),"")</f>
        <v/>
      </c>
      <c r="BE77" s="42" t="s">
        <v>603</v>
      </c>
      <c r="BF77" s="42" t="s">
        <v>604</v>
      </c>
      <c r="BG77" s="42" t="s">
        <v>369</v>
      </c>
      <c r="BH77" s="45" t="s">
        <v>313</v>
      </c>
      <c r="BI77" s="45" t="str">
        <f aca="false">"PMP-"&amp;TEXT(A77,"0000")</f>
        <v>PMP-0073</v>
      </c>
    </row>
    <row r="78" customFormat="false" ht="24" hidden="false" customHeight="true" outlineLevel="0" collapsed="false">
      <c r="A78" s="42" t="n">
        <v>74</v>
      </c>
      <c r="B78" s="42" t="s">
        <v>542</v>
      </c>
      <c r="C78" s="42" t="s">
        <v>558</v>
      </c>
      <c r="D78" s="42" t="s">
        <v>605</v>
      </c>
      <c r="E78" s="42" t="s">
        <v>51</v>
      </c>
      <c r="F78" s="42" t="s">
        <v>132</v>
      </c>
      <c r="G78" s="42" t="s">
        <v>115</v>
      </c>
      <c r="H78" s="43"/>
      <c r="I78" s="43"/>
      <c r="J78" s="43"/>
      <c r="K78" s="44" t="str">
        <f aca="false">IF(ISNUMBER(J78),J78,IF(AND(ISNUMBER(H78),ISNUMBER(I78)),H78*I78/(367*'Assumptions &amp; FX Reference'!$I$17),""))</f>
        <v/>
      </c>
      <c r="L78" s="45" t="str">
        <f aca="false">IF(IF(OR(M78="Not stated",M78=""),""," + "&amp;M78)&amp;IF(OR(N78="None",N78=""),""," + "&amp;N78)&amp;IF(O78="Y"," + NACE MR0175","")="","Not stated",MID(IF(OR(M78="Not stated",M78=""),""," + "&amp;M78)&amp;IF(OR(N78="None",N78=""),""," + "&amp;N78)&amp;IF(O78="Y"," + NACE MR0175",""),4,300))</f>
        <v>API 610 + IPS-G-PM-105 + NACE MR0175</v>
      </c>
      <c r="M78" s="42" t="s">
        <v>478</v>
      </c>
      <c r="N78" s="42" t="s">
        <v>479</v>
      </c>
      <c r="O78" s="42" t="s">
        <v>369</v>
      </c>
      <c r="P78" s="42" t="s">
        <v>123</v>
      </c>
      <c r="Q78" s="42" t="s">
        <v>123</v>
      </c>
      <c r="R78" s="42" t="s">
        <v>123</v>
      </c>
      <c r="S78" s="50" t="s">
        <v>304</v>
      </c>
      <c r="T78" s="42" t="s">
        <v>334</v>
      </c>
      <c r="U78" s="42" t="n">
        <v>1</v>
      </c>
      <c r="V78" s="42" t="s">
        <v>306</v>
      </c>
      <c r="W78" s="43"/>
      <c r="X78" s="42" t="s">
        <v>123</v>
      </c>
      <c r="Y78" s="50" t="n">
        <v>1393</v>
      </c>
      <c r="Z78" s="42" t="s">
        <v>454</v>
      </c>
      <c r="AA78" s="46"/>
      <c r="AB78" s="47" t="str">
        <f aca="false">IF(NOT(ISNUMBER(AA78)),"",IF(NOT(ISNUMBER(Y78)),"",IFERROR(IF(Z78="EUR",AA78,IF(Z78="IRR",AA78/INDEX('Assumptions &amp; FX Reference'!$C$5:$C$25,MATCH(Y78,'Assumptions &amp; FX Reference'!$A$5:$A$25,0)),IF(Z78="USD",AA78*INDEX('Assumptions &amp; FX Reference'!$B$5:$B$25,MATCH(Y78,'Assumptions &amp; FX Reference'!$A$5:$A$25,0))/INDEX('Assumptions &amp; FX Reference'!$C$5:$C$25,MATCH(Y78,'Assumptions &amp; FX Reference'!$A$5:$A$25,0)),""))),"")))</f>
        <v/>
      </c>
      <c r="AC78" s="47" t="str">
        <f aca="false">IF(NOT(ISNUMBER(AA78)),"",IF(NOT(ISNUMBER(Y78)),"",IFERROR(IF(Z78="USD",AA78,IF(Z78="IRR",AA78/INDEX('Assumptions &amp; FX Reference'!$B$5:$B$25,MATCH(Y78,'Assumptions &amp; FX Reference'!$A$5:$A$25,0)),IF(Z78="EUR",AA78*INDEX('Assumptions &amp; FX Reference'!$C$5:$C$25,MATCH(Y78,'Assumptions &amp; FX Reference'!$A$5:$A$25,0))/INDEX('Assumptions &amp; FX Reference'!$B$5:$B$25,MATCH(Y78,'Assumptions &amp; FX Reference'!$A$5:$A$25,0)),""))),"")))</f>
        <v/>
      </c>
      <c r="AD78" s="47" t="str">
        <f aca="false">IF(NOT(ISNUMBER(AA78)),"",IF(NOT(ISNUMBER(Y78)),"",IFERROR(IF(Z78="IRR",AA78,IF(Z78="USD",AA78*INDEX('Assumptions &amp; FX Reference'!$B$5:$B$25,MATCH(Y78,'Assumptions &amp; FX Reference'!$A$5:$A$25,0)),IF(Z78="EUR",AA78*INDEX('Assumptions &amp; FX Reference'!$C$5:$C$25,MATCH(Y78,'Assumptions &amp; FX Reference'!$A$5:$A$25,0)),""))),"")))</f>
        <v/>
      </c>
      <c r="AE78" s="42" t="s">
        <v>535</v>
      </c>
      <c r="AF78" s="42" t="s">
        <v>123</v>
      </c>
      <c r="AG78" s="47" t="str">
        <f aca="false">IF(AND(Z78="EUR",N(AA78)&gt;5000000),"",IF(AND(ISNUMBER(AB78),ISNUMBER(AZ78),ISNUMBER(BA78)),IF(AND(BB78="Y",ISNUMBER('Assumptions &amp; FX Reference'!$I$15)),MAX(AB78*BA78/AZ78,'Assumptions &amp; FX Reference'!$I$13*BA78/'Assumptions &amp; FX Reference'!$I$15),AB78*BA78/AZ78),""))</f>
        <v/>
      </c>
      <c r="AH78" s="47" t="str">
        <f aca="false">IF(AND(ISNUMBER(AG78),ISNUMBER('Assumptions &amp; FX Reference'!$I$8),ISNUMBER('Assumptions &amp; FX Reference'!$I$11)),AG78*'Assumptions &amp; FX Reference'!$I$8/'Assumptions &amp; FX Reference'!$I$11,"")</f>
        <v/>
      </c>
      <c r="AI78" s="47" t="str">
        <f aca="false">IF(AND(ISNUMBER(AG78),ISNUMBER('Assumptions &amp; FX Reference'!$I$8)),AG78*'Assumptions &amp; FX Reference'!$I$8,"")</f>
        <v/>
      </c>
      <c r="AJ78" s="42" t="s">
        <v>481</v>
      </c>
      <c r="AK78" s="42" t="s">
        <v>482</v>
      </c>
      <c r="AL78" s="42" t="s">
        <v>123</v>
      </c>
      <c r="AM78" s="42" t="s">
        <v>123</v>
      </c>
      <c r="AN78" s="42" t="s">
        <v>123</v>
      </c>
      <c r="AO78" s="42" t="s">
        <v>123</v>
      </c>
      <c r="AP78" s="42" t="s">
        <v>123</v>
      </c>
      <c r="AQ78" s="42" t="s">
        <v>123</v>
      </c>
      <c r="AR78" s="42" t="s">
        <v>123</v>
      </c>
      <c r="AS78" s="45" t="str">
        <f aca="false">IF(AND(Z78="EUR",N(AA78)&gt;5000000),"Check currency (EUR&gt;5M); ","")&amp;IF(NOT(ISNUMBER(AA78)),"No price; ","")&amp;IF(G78="Not stated","Material missing; ","")&amp;IF(P78="Not stated","Seal missing; ","")&amp;IF(K78="","Size driver missing; ","")&amp;IF(NOT(ISNUMBER(AZ78)),"Base-year PPI missing; ","")</f>
        <v>No price; Seal missing; Size driver missing; </v>
      </c>
      <c r="AT78" s="48" t="n">
        <f aca="false">IFERROR(INDEX(Factors_ROT!$F$5:$F$200,MATCH("MAT|"&amp;G78,Factors_ROT!$A$5:$A$200,0)),1)</f>
        <v>1.9</v>
      </c>
      <c r="AU78" s="48" t="n">
        <f aca="false">IFERROR(INDEX(Factors_ROT!$F$5:$F$200,MATCH("SEAL_ARR|"&amp;P78,Factors_ROT!$A$5:$A$200,0)),1)*IFERROR(INDEX(Factors_ROT!$F$5:$F$200,MATCH("SEAL_CAT|"&amp;Q78,Factors_ROT!$A$5:$A$200,0)),1)*IFERROR(INDEX(Factors_ROT!$F$5:$F$200,MATCH("SEAL_PLAN|"&amp;R78,Factors_ROT!$A$5:$A$200,0)),1)</f>
        <v>1</v>
      </c>
      <c r="AV78" s="48" t="n">
        <f aca="false">IFERROR(INDEX(Factors_ROT!$F$5:$F$200,MATCH("DRV|"&amp;S78,Factors_ROT!$A$5:$A$200,0)),1)*IFERROR(INDEX(Factors_ROT!$F$5:$F$200,MATCH("NACE|"&amp;O78,Factors_ROT!$A$5:$A$200,0)),1)</f>
        <v>1.05</v>
      </c>
      <c r="AW78" s="48" t="n">
        <f aca="false">IFERROR(INDEX(Factors_ROT!$F$5:$F$200,MATCH("SC_DRV|"&amp;AL78,Factors_ROT!$A$5:$A$200,0)),1)*IFERROR(INDEX(Factors_ROT!$F$5:$F$200,MATCH("SC_BSP|"&amp;AM78,Factors_ROT!$A$5:$A$200,0)),1)*IFERROR(INDEX(Factors_ROT!$F$5:$F$200,MATCH("SC_SEAL|"&amp;AN78,Factors_ROT!$A$5:$A$200,0)),1)*IFERROR(INDEX(Factors_ROT!$F$5:$F$200,MATCH("SC_COMM|"&amp;AO78,Factors_ROT!$A$5:$A$200,0)),1)*IFERROR(INDEX(Factors_ROT!$F$5:$F$200,MATCH("SC_2Y|"&amp;AP78,Factors_ROT!$A$5:$A$200,0)),1)*IFERROR(INDEX(Factors_ROT!$F$5:$F$200,MATCH("SC_TPI|"&amp;AQ78,Factors_ROT!$A$5:$A$200,0)),1)*IFERROR(INDEX(Factors_ROT!$F$5:$F$200,MATCH("SC_FAT|"&amp;AR78,Factors_ROT!$A$5:$A$200,0)),1)</f>
        <v>1</v>
      </c>
      <c r="AX78" s="48" t="n">
        <f aca="false">AT78*AU78*AV78*AW78</f>
        <v>1.995</v>
      </c>
      <c r="AY78" s="47" t="str">
        <f aca="false">IF(ISNUMBER(AB78),AB78/AX78,"")</f>
        <v/>
      </c>
      <c r="AZ78" s="49" t="n">
        <f aca="false">IFERROR(IF(N(INDEX(Escalation_Index!$B$5:$B$25,MATCH(Y78,Escalation_Index!$A$5:$A$25,0)))&gt;0,INDEX(Escalation_Index!$B$5:$B$25,MATCH(Y78,Escalation_Index!$A$5:$A$25,0)),""),"")</f>
        <v>91.347</v>
      </c>
      <c r="BA78" s="49" t="n">
        <f aca="false">IF(ISNUMBER('Assumptions &amp; FX Reference'!$I$12),'Assumptions &amp; FX Reference'!$I$12,"")</f>
        <v>123.416</v>
      </c>
      <c r="BB78" s="45" t="str">
        <f aca="false">IF(AND(M78="API 610",LEFT(V78,11)="Centrifugal",OR(LEFT(G78,2)="S-",LEFT(G78,2)="D-")),"Y","N")</f>
        <v>Y</v>
      </c>
      <c r="BC78" s="47" t="str">
        <f aca="false">IF(ISNUMBER(AG78),AG78/AX78,"")</f>
        <v/>
      </c>
      <c r="BD78" s="47" t="str">
        <f aca="false">IF(AND(ISNUMBER(BC78),ISNUMBER(K78)),IF(K78&gt;0,BC78/K78^'Assumptions &amp; FX Reference'!$I$16,""),"")</f>
        <v/>
      </c>
      <c r="BE78" s="42" t="s">
        <v>606</v>
      </c>
      <c r="BF78" s="42" t="s">
        <v>607</v>
      </c>
      <c r="BG78" s="42" t="s">
        <v>369</v>
      </c>
      <c r="BH78" s="45" t="s">
        <v>313</v>
      </c>
      <c r="BI78" s="45" t="str">
        <f aca="false">"PMP-"&amp;TEXT(A78,"0000")</f>
        <v>PMP-0074</v>
      </c>
    </row>
    <row r="79" customFormat="false" ht="24" hidden="false" customHeight="true" outlineLevel="0" collapsed="false">
      <c r="A79" s="42" t="n">
        <v>75</v>
      </c>
      <c r="B79" s="42" t="s">
        <v>542</v>
      </c>
      <c r="C79" s="42" t="s">
        <v>558</v>
      </c>
      <c r="D79" s="42" t="s">
        <v>608</v>
      </c>
      <c r="E79" s="42" t="s">
        <v>51</v>
      </c>
      <c r="F79" s="42" t="s">
        <v>132</v>
      </c>
      <c r="G79" s="42" t="s">
        <v>115</v>
      </c>
      <c r="H79" s="43"/>
      <c r="I79" s="43"/>
      <c r="J79" s="43"/>
      <c r="K79" s="44" t="str">
        <f aca="false">IF(ISNUMBER(J79),J79,IF(AND(ISNUMBER(H79),ISNUMBER(I79)),H79*I79/(367*'Assumptions &amp; FX Reference'!$I$17),""))</f>
        <v/>
      </c>
      <c r="L79" s="45" t="str">
        <f aca="false">IF(IF(OR(M79="Not stated",M79=""),""," + "&amp;M79)&amp;IF(OR(N79="None",N79=""),""," + "&amp;N79)&amp;IF(O79="Y"," + NACE MR0175","")="","Not stated",MID(IF(OR(M79="Not stated",M79=""),""," + "&amp;M79)&amp;IF(OR(N79="None",N79=""),""," + "&amp;N79)&amp;IF(O79="Y"," + NACE MR0175",""),4,300))</f>
        <v>API 610 + IPS-G-PM-105 + NACE MR0175</v>
      </c>
      <c r="M79" s="42" t="s">
        <v>478</v>
      </c>
      <c r="N79" s="42" t="s">
        <v>479</v>
      </c>
      <c r="O79" s="42" t="s">
        <v>369</v>
      </c>
      <c r="P79" s="42" t="s">
        <v>123</v>
      </c>
      <c r="Q79" s="42" t="s">
        <v>123</v>
      </c>
      <c r="R79" s="42" t="s">
        <v>123</v>
      </c>
      <c r="S79" s="50" t="s">
        <v>304</v>
      </c>
      <c r="T79" s="42" t="s">
        <v>334</v>
      </c>
      <c r="U79" s="42" t="n">
        <v>1</v>
      </c>
      <c r="V79" s="42" t="s">
        <v>306</v>
      </c>
      <c r="W79" s="43"/>
      <c r="X79" s="42" t="s">
        <v>123</v>
      </c>
      <c r="Y79" s="50" t="n">
        <v>1393</v>
      </c>
      <c r="Z79" s="42" t="s">
        <v>454</v>
      </c>
      <c r="AA79" s="46"/>
      <c r="AB79" s="47" t="str">
        <f aca="false">IF(NOT(ISNUMBER(AA79)),"",IF(NOT(ISNUMBER(Y79)),"",IFERROR(IF(Z79="EUR",AA79,IF(Z79="IRR",AA79/INDEX('Assumptions &amp; FX Reference'!$C$5:$C$25,MATCH(Y79,'Assumptions &amp; FX Reference'!$A$5:$A$25,0)),IF(Z79="USD",AA79*INDEX('Assumptions &amp; FX Reference'!$B$5:$B$25,MATCH(Y79,'Assumptions &amp; FX Reference'!$A$5:$A$25,0))/INDEX('Assumptions &amp; FX Reference'!$C$5:$C$25,MATCH(Y79,'Assumptions &amp; FX Reference'!$A$5:$A$25,0)),""))),"")))</f>
        <v/>
      </c>
      <c r="AC79" s="47" t="str">
        <f aca="false">IF(NOT(ISNUMBER(AA79)),"",IF(NOT(ISNUMBER(Y79)),"",IFERROR(IF(Z79="USD",AA79,IF(Z79="IRR",AA79/INDEX('Assumptions &amp; FX Reference'!$B$5:$B$25,MATCH(Y79,'Assumptions &amp; FX Reference'!$A$5:$A$25,0)),IF(Z79="EUR",AA79*INDEX('Assumptions &amp; FX Reference'!$C$5:$C$25,MATCH(Y79,'Assumptions &amp; FX Reference'!$A$5:$A$25,0))/INDEX('Assumptions &amp; FX Reference'!$B$5:$B$25,MATCH(Y79,'Assumptions &amp; FX Reference'!$A$5:$A$25,0)),""))),"")))</f>
        <v/>
      </c>
      <c r="AD79" s="47" t="str">
        <f aca="false">IF(NOT(ISNUMBER(AA79)),"",IF(NOT(ISNUMBER(Y79)),"",IFERROR(IF(Z79="IRR",AA79,IF(Z79="USD",AA79*INDEX('Assumptions &amp; FX Reference'!$B$5:$B$25,MATCH(Y79,'Assumptions &amp; FX Reference'!$A$5:$A$25,0)),IF(Z79="EUR",AA79*INDEX('Assumptions &amp; FX Reference'!$C$5:$C$25,MATCH(Y79,'Assumptions &amp; FX Reference'!$A$5:$A$25,0)),""))),"")))</f>
        <v/>
      </c>
      <c r="AE79" s="42" t="s">
        <v>535</v>
      </c>
      <c r="AF79" s="42" t="s">
        <v>123</v>
      </c>
      <c r="AG79" s="47" t="str">
        <f aca="false">IF(AND(Z79="EUR",N(AA79)&gt;5000000),"",IF(AND(ISNUMBER(AB79),ISNUMBER(AZ79),ISNUMBER(BA79)),IF(AND(BB79="Y",ISNUMBER('Assumptions &amp; FX Reference'!$I$15)),MAX(AB79*BA79/AZ79,'Assumptions &amp; FX Reference'!$I$13*BA79/'Assumptions &amp; FX Reference'!$I$15),AB79*BA79/AZ79),""))</f>
        <v/>
      </c>
      <c r="AH79" s="47" t="str">
        <f aca="false">IF(AND(ISNUMBER(AG79),ISNUMBER('Assumptions &amp; FX Reference'!$I$8),ISNUMBER('Assumptions &amp; FX Reference'!$I$11)),AG79*'Assumptions &amp; FX Reference'!$I$8/'Assumptions &amp; FX Reference'!$I$11,"")</f>
        <v/>
      </c>
      <c r="AI79" s="47" t="str">
        <f aca="false">IF(AND(ISNUMBER(AG79),ISNUMBER('Assumptions &amp; FX Reference'!$I$8)),AG79*'Assumptions &amp; FX Reference'!$I$8,"")</f>
        <v/>
      </c>
      <c r="AJ79" s="42" t="s">
        <v>481</v>
      </c>
      <c r="AK79" s="42" t="s">
        <v>482</v>
      </c>
      <c r="AL79" s="42" t="s">
        <v>123</v>
      </c>
      <c r="AM79" s="42" t="s">
        <v>123</v>
      </c>
      <c r="AN79" s="42" t="s">
        <v>123</v>
      </c>
      <c r="AO79" s="42" t="s">
        <v>123</v>
      </c>
      <c r="AP79" s="42" t="s">
        <v>123</v>
      </c>
      <c r="AQ79" s="42" t="s">
        <v>123</v>
      </c>
      <c r="AR79" s="42" t="s">
        <v>123</v>
      </c>
      <c r="AS79" s="45" t="str">
        <f aca="false">IF(AND(Z79="EUR",N(AA79)&gt;5000000),"Check currency (EUR&gt;5M); ","")&amp;IF(NOT(ISNUMBER(AA79)),"No price; ","")&amp;IF(G79="Not stated","Material missing; ","")&amp;IF(P79="Not stated","Seal missing; ","")&amp;IF(K79="","Size driver missing; ","")&amp;IF(NOT(ISNUMBER(AZ79)),"Base-year PPI missing; ","")</f>
        <v>No price; Seal missing; Size driver missing; </v>
      </c>
      <c r="AT79" s="48" t="n">
        <f aca="false">IFERROR(INDEX(Factors_ROT!$F$5:$F$200,MATCH("MAT|"&amp;G79,Factors_ROT!$A$5:$A$200,0)),1)</f>
        <v>1.9</v>
      </c>
      <c r="AU79" s="48" t="n">
        <f aca="false">IFERROR(INDEX(Factors_ROT!$F$5:$F$200,MATCH("SEAL_ARR|"&amp;P79,Factors_ROT!$A$5:$A$200,0)),1)*IFERROR(INDEX(Factors_ROT!$F$5:$F$200,MATCH("SEAL_CAT|"&amp;Q79,Factors_ROT!$A$5:$A$200,0)),1)*IFERROR(INDEX(Factors_ROT!$F$5:$F$200,MATCH("SEAL_PLAN|"&amp;R79,Factors_ROT!$A$5:$A$200,0)),1)</f>
        <v>1</v>
      </c>
      <c r="AV79" s="48" t="n">
        <f aca="false">IFERROR(INDEX(Factors_ROT!$F$5:$F$200,MATCH("DRV|"&amp;S79,Factors_ROT!$A$5:$A$200,0)),1)*IFERROR(INDEX(Factors_ROT!$F$5:$F$200,MATCH("NACE|"&amp;O79,Factors_ROT!$A$5:$A$200,0)),1)</f>
        <v>1.05</v>
      </c>
      <c r="AW79" s="48" t="n">
        <f aca="false">IFERROR(INDEX(Factors_ROT!$F$5:$F$200,MATCH("SC_DRV|"&amp;AL79,Factors_ROT!$A$5:$A$200,0)),1)*IFERROR(INDEX(Factors_ROT!$F$5:$F$200,MATCH("SC_BSP|"&amp;AM79,Factors_ROT!$A$5:$A$200,0)),1)*IFERROR(INDEX(Factors_ROT!$F$5:$F$200,MATCH("SC_SEAL|"&amp;AN79,Factors_ROT!$A$5:$A$200,0)),1)*IFERROR(INDEX(Factors_ROT!$F$5:$F$200,MATCH("SC_COMM|"&amp;AO79,Factors_ROT!$A$5:$A$200,0)),1)*IFERROR(INDEX(Factors_ROT!$F$5:$F$200,MATCH("SC_2Y|"&amp;AP79,Factors_ROT!$A$5:$A$200,0)),1)*IFERROR(INDEX(Factors_ROT!$F$5:$F$200,MATCH("SC_TPI|"&amp;AQ79,Factors_ROT!$A$5:$A$200,0)),1)*IFERROR(INDEX(Factors_ROT!$F$5:$F$200,MATCH("SC_FAT|"&amp;AR79,Factors_ROT!$A$5:$A$200,0)),1)</f>
        <v>1</v>
      </c>
      <c r="AX79" s="48" t="n">
        <f aca="false">AT79*AU79*AV79*AW79</f>
        <v>1.995</v>
      </c>
      <c r="AY79" s="47" t="str">
        <f aca="false">IF(ISNUMBER(AB79),AB79/AX79,"")</f>
        <v/>
      </c>
      <c r="AZ79" s="49" t="n">
        <f aca="false">IFERROR(IF(N(INDEX(Escalation_Index!$B$5:$B$25,MATCH(Y79,Escalation_Index!$A$5:$A$25,0)))&gt;0,INDEX(Escalation_Index!$B$5:$B$25,MATCH(Y79,Escalation_Index!$A$5:$A$25,0)),""),"")</f>
        <v>91.347</v>
      </c>
      <c r="BA79" s="49" t="n">
        <f aca="false">IF(ISNUMBER('Assumptions &amp; FX Reference'!$I$12),'Assumptions &amp; FX Reference'!$I$12,"")</f>
        <v>123.416</v>
      </c>
      <c r="BB79" s="45" t="str">
        <f aca="false">IF(AND(M79="API 610",LEFT(V79,11)="Centrifugal",OR(LEFT(G79,2)="S-",LEFT(G79,2)="D-")),"Y","N")</f>
        <v>Y</v>
      </c>
      <c r="BC79" s="47" t="str">
        <f aca="false">IF(ISNUMBER(AG79),AG79/AX79,"")</f>
        <v/>
      </c>
      <c r="BD79" s="47" t="str">
        <f aca="false">IF(AND(ISNUMBER(BC79),ISNUMBER(K79)),IF(K79&gt;0,BC79/K79^'Assumptions &amp; FX Reference'!$I$16,""),"")</f>
        <v/>
      </c>
      <c r="BE79" s="42" t="s">
        <v>609</v>
      </c>
      <c r="BF79" s="42" t="s">
        <v>610</v>
      </c>
      <c r="BG79" s="42" t="s">
        <v>369</v>
      </c>
      <c r="BH79" s="45" t="s">
        <v>313</v>
      </c>
      <c r="BI79" s="45" t="str">
        <f aca="false">"PMP-"&amp;TEXT(A79,"0000")</f>
        <v>PMP-0075</v>
      </c>
    </row>
    <row r="80" customFormat="false" ht="24" hidden="false" customHeight="true" outlineLevel="0" collapsed="false">
      <c r="A80" s="42" t="n">
        <v>76</v>
      </c>
      <c r="B80" s="42" t="s">
        <v>549</v>
      </c>
      <c r="C80" s="42" t="s">
        <v>558</v>
      </c>
      <c r="D80" s="42" t="s">
        <v>611</v>
      </c>
      <c r="E80" s="42" t="s">
        <v>54</v>
      </c>
      <c r="F80" s="42" t="s">
        <v>192</v>
      </c>
      <c r="G80" s="42" t="s">
        <v>111</v>
      </c>
      <c r="H80" s="43"/>
      <c r="I80" s="43"/>
      <c r="J80" s="43"/>
      <c r="K80" s="44" t="str">
        <f aca="false">IF(ISNUMBER(J80),J80,IF(AND(ISNUMBER(H80),ISNUMBER(I80)),H80*I80/(367*'Assumptions &amp; FX Reference'!$I$17),""))</f>
        <v/>
      </c>
      <c r="L80" s="45" t="str">
        <f aca="false">IF(IF(OR(M80="Not stated",M80=""),""," + "&amp;M80)&amp;IF(OR(N80="None",N80=""),""," + "&amp;N80)&amp;IF(O80="Y"," + NACE MR0175","")="","Not stated",MID(IF(OR(M80="Not stated",M80=""),""," + "&amp;M80)&amp;IF(OR(N80="None",N80=""),""," + "&amp;N80)&amp;IF(O80="Y"," + NACE MR0175",""),4,300))</f>
        <v>API 676 + IPS-M-PM-140</v>
      </c>
      <c r="M80" s="42" t="s">
        <v>491</v>
      </c>
      <c r="N80" s="42" t="s">
        <v>492</v>
      </c>
      <c r="O80" s="50" t="s">
        <v>312</v>
      </c>
      <c r="P80" s="42" t="s">
        <v>123</v>
      </c>
      <c r="Q80" s="42" t="s">
        <v>123</v>
      </c>
      <c r="R80" s="42" t="s">
        <v>123</v>
      </c>
      <c r="S80" s="50" t="s">
        <v>304</v>
      </c>
      <c r="T80" s="42" t="s">
        <v>432</v>
      </c>
      <c r="U80" s="42" t="n">
        <v>1</v>
      </c>
      <c r="V80" s="42" t="s">
        <v>493</v>
      </c>
      <c r="W80" s="43"/>
      <c r="X80" s="42" t="s">
        <v>123</v>
      </c>
      <c r="Y80" s="50" t="n">
        <v>1393</v>
      </c>
      <c r="Z80" s="42" t="s">
        <v>454</v>
      </c>
      <c r="AA80" s="46"/>
      <c r="AB80" s="47" t="str">
        <f aca="false">IF(NOT(ISNUMBER(AA80)),"",IF(NOT(ISNUMBER(Y80)),"",IFERROR(IF(Z80="EUR",AA80,IF(Z80="IRR",AA80/INDEX('Assumptions &amp; FX Reference'!$C$5:$C$25,MATCH(Y80,'Assumptions &amp; FX Reference'!$A$5:$A$25,0)),IF(Z80="USD",AA80*INDEX('Assumptions &amp; FX Reference'!$B$5:$B$25,MATCH(Y80,'Assumptions &amp; FX Reference'!$A$5:$A$25,0))/INDEX('Assumptions &amp; FX Reference'!$C$5:$C$25,MATCH(Y80,'Assumptions &amp; FX Reference'!$A$5:$A$25,0)),""))),"")))</f>
        <v/>
      </c>
      <c r="AC80" s="47" t="str">
        <f aca="false">IF(NOT(ISNUMBER(AA80)),"",IF(NOT(ISNUMBER(Y80)),"",IFERROR(IF(Z80="USD",AA80,IF(Z80="IRR",AA80/INDEX('Assumptions &amp; FX Reference'!$B$5:$B$25,MATCH(Y80,'Assumptions &amp; FX Reference'!$A$5:$A$25,0)),IF(Z80="EUR",AA80*INDEX('Assumptions &amp; FX Reference'!$C$5:$C$25,MATCH(Y80,'Assumptions &amp; FX Reference'!$A$5:$A$25,0))/INDEX('Assumptions &amp; FX Reference'!$B$5:$B$25,MATCH(Y80,'Assumptions &amp; FX Reference'!$A$5:$A$25,0)),""))),"")))</f>
        <v/>
      </c>
      <c r="AD80" s="47" t="str">
        <f aca="false">IF(NOT(ISNUMBER(AA80)),"",IF(NOT(ISNUMBER(Y80)),"",IFERROR(IF(Z80="IRR",AA80,IF(Z80="USD",AA80*INDEX('Assumptions &amp; FX Reference'!$B$5:$B$25,MATCH(Y80,'Assumptions &amp; FX Reference'!$A$5:$A$25,0)),IF(Z80="EUR",AA80*INDEX('Assumptions &amp; FX Reference'!$C$5:$C$25,MATCH(Y80,'Assumptions &amp; FX Reference'!$A$5:$A$25,0)),""))),"")))</f>
        <v/>
      </c>
      <c r="AE80" s="42" t="s">
        <v>535</v>
      </c>
      <c r="AF80" s="42" t="s">
        <v>123</v>
      </c>
      <c r="AG80" s="47" t="str">
        <f aca="false">IF(AND(Z80="EUR",N(AA80)&gt;5000000),"",IF(AND(ISNUMBER(AB80),ISNUMBER(AZ80),ISNUMBER(BA80)),IF(AND(BB80="Y",ISNUMBER('Assumptions &amp; FX Reference'!$I$15)),MAX(AB80*BA80/AZ80,'Assumptions &amp; FX Reference'!$I$13*BA80/'Assumptions &amp; FX Reference'!$I$15),AB80*BA80/AZ80),""))</f>
        <v/>
      </c>
      <c r="AH80" s="47" t="str">
        <f aca="false">IF(AND(ISNUMBER(AG80),ISNUMBER('Assumptions &amp; FX Reference'!$I$8),ISNUMBER('Assumptions &amp; FX Reference'!$I$11)),AG80*'Assumptions &amp; FX Reference'!$I$8/'Assumptions &amp; FX Reference'!$I$11,"")</f>
        <v/>
      </c>
      <c r="AI80" s="47" t="str">
        <f aca="false">IF(AND(ISNUMBER(AG80),ISNUMBER('Assumptions &amp; FX Reference'!$I$8)),AG80*'Assumptions &amp; FX Reference'!$I$8,"")</f>
        <v/>
      </c>
      <c r="AJ80" s="42" t="s">
        <v>481</v>
      </c>
      <c r="AK80" s="42" t="s">
        <v>482</v>
      </c>
      <c r="AL80" s="42" t="s">
        <v>123</v>
      </c>
      <c r="AM80" s="42" t="s">
        <v>123</v>
      </c>
      <c r="AN80" s="42" t="s">
        <v>123</v>
      </c>
      <c r="AO80" s="42" t="s">
        <v>123</v>
      </c>
      <c r="AP80" s="42" t="s">
        <v>123</v>
      </c>
      <c r="AQ80" s="42" t="s">
        <v>123</v>
      </c>
      <c r="AR80" s="42" t="s">
        <v>123</v>
      </c>
      <c r="AS80" s="45" t="str">
        <f aca="false">IF(AND(Z80="EUR",N(AA80)&gt;5000000),"Check currency (EUR&gt;5M); ","")&amp;IF(NOT(ISNUMBER(AA80)),"No price; ","")&amp;IF(G80="Not stated","Material missing; ","")&amp;IF(P80="Not stated","Seal missing; ","")&amp;IF(K80="","Size driver missing; ","")&amp;IF(NOT(ISNUMBER(AZ80)),"Base-year PPI missing; ","")</f>
        <v>No price; Seal missing; Size driver missing; </v>
      </c>
      <c r="AT80" s="48" t="n">
        <f aca="false">IFERROR(INDEX(Factors_ROT!$F$5:$F$200,MATCH("MAT|"&amp;G80,Factors_ROT!$A$5:$A$200,0)),1)</f>
        <v>1.7</v>
      </c>
      <c r="AU80" s="48" t="n">
        <f aca="false">IFERROR(INDEX(Factors_ROT!$F$5:$F$200,MATCH("SEAL_ARR|"&amp;P80,Factors_ROT!$A$5:$A$200,0)),1)*IFERROR(INDEX(Factors_ROT!$F$5:$F$200,MATCH("SEAL_CAT|"&amp;Q80,Factors_ROT!$A$5:$A$200,0)),1)*IFERROR(INDEX(Factors_ROT!$F$5:$F$200,MATCH("SEAL_PLAN|"&amp;R80,Factors_ROT!$A$5:$A$200,0)),1)</f>
        <v>1</v>
      </c>
      <c r="AV80" s="48" t="n">
        <f aca="false">IFERROR(INDEX(Factors_ROT!$F$5:$F$200,MATCH("DRV|"&amp;S80,Factors_ROT!$A$5:$A$200,0)),1)*IFERROR(INDEX(Factors_ROT!$F$5:$F$200,MATCH("NACE|"&amp;O80,Factors_ROT!$A$5:$A$200,0)),1)</f>
        <v>1</v>
      </c>
      <c r="AW80" s="48" t="n">
        <f aca="false">IFERROR(INDEX(Factors_ROT!$F$5:$F$200,MATCH("SC_DRV|"&amp;AL80,Factors_ROT!$A$5:$A$200,0)),1)*IFERROR(INDEX(Factors_ROT!$F$5:$F$200,MATCH("SC_BSP|"&amp;AM80,Factors_ROT!$A$5:$A$200,0)),1)*IFERROR(INDEX(Factors_ROT!$F$5:$F$200,MATCH("SC_SEAL|"&amp;AN80,Factors_ROT!$A$5:$A$200,0)),1)*IFERROR(INDEX(Factors_ROT!$F$5:$F$200,MATCH("SC_COMM|"&amp;AO80,Factors_ROT!$A$5:$A$200,0)),1)*IFERROR(INDEX(Factors_ROT!$F$5:$F$200,MATCH("SC_2Y|"&amp;AP80,Factors_ROT!$A$5:$A$200,0)),1)*IFERROR(INDEX(Factors_ROT!$F$5:$F$200,MATCH("SC_TPI|"&amp;AQ80,Factors_ROT!$A$5:$A$200,0)),1)*IFERROR(INDEX(Factors_ROT!$F$5:$F$200,MATCH("SC_FAT|"&amp;AR80,Factors_ROT!$A$5:$A$200,0)),1)</f>
        <v>1</v>
      </c>
      <c r="AX80" s="48" t="n">
        <f aca="false">AT80*AU80*AV80*AW80</f>
        <v>1.7</v>
      </c>
      <c r="AY80" s="47" t="str">
        <f aca="false">IF(ISNUMBER(AB80),AB80/AX80,"")</f>
        <v/>
      </c>
      <c r="AZ80" s="49" t="n">
        <f aca="false">IFERROR(IF(N(INDEX(Escalation_Index!$B$5:$B$25,MATCH(Y80,Escalation_Index!$A$5:$A$25,0)))&gt;0,INDEX(Escalation_Index!$B$5:$B$25,MATCH(Y80,Escalation_Index!$A$5:$A$25,0)),""),"")</f>
        <v>91.347</v>
      </c>
      <c r="BA80" s="49" t="n">
        <f aca="false">IF(ISNUMBER('Assumptions &amp; FX Reference'!$I$12),'Assumptions &amp; FX Reference'!$I$12,"")</f>
        <v>123.416</v>
      </c>
      <c r="BB80" s="45" t="str">
        <f aca="false">IF(AND(M80="API 610",LEFT(V80,11)="Centrifugal",OR(LEFT(G80,2)="S-",LEFT(G80,2)="D-")),"Y","N")</f>
        <v>N</v>
      </c>
      <c r="BC80" s="47" t="str">
        <f aca="false">IF(ISNUMBER(AG80),AG80/AX80,"")</f>
        <v/>
      </c>
      <c r="BD80" s="47" t="str">
        <f aca="false">IF(AND(ISNUMBER(BC80),ISNUMBER(K80)),IF(K80&gt;0,BC80/K80^'Assumptions &amp; FX Reference'!$I$16,""),"")</f>
        <v/>
      </c>
      <c r="BE80" s="42" t="s">
        <v>612</v>
      </c>
      <c r="BF80" s="42" t="s">
        <v>613</v>
      </c>
      <c r="BG80" s="42" t="s">
        <v>369</v>
      </c>
      <c r="BH80" s="45" t="s">
        <v>313</v>
      </c>
      <c r="BI80" s="45" t="str">
        <f aca="false">"PMP-"&amp;TEXT(A80,"0000")</f>
        <v>PMP-0076</v>
      </c>
    </row>
    <row r="81" customFormat="false" ht="24" hidden="false" customHeight="true" outlineLevel="0" collapsed="false">
      <c r="A81" s="42" t="n">
        <v>77</v>
      </c>
      <c r="B81" s="42" t="s">
        <v>553</v>
      </c>
      <c r="C81" s="42" t="s">
        <v>558</v>
      </c>
      <c r="D81" s="42" t="s">
        <v>614</v>
      </c>
      <c r="E81" s="42" t="s">
        <v>54</v>
      </c>
      <c r="F81" s="42" t="s">
        <v>192</v>
      </c>
      <c r="G81" s="42" t="s">
        <v>115</v>
      </c>
      <c r="H81" s="43"/>
      <c r="I81" s="43"/>
      <c r="J81" s="43"/>
      <c r="K81" s="44" t="str">
        <f aca="false">IF(ISNUMBER(J81),J81,IF(AND(ISNUMBER(H81),ISNUMBER(I81)),H81*I81/(367*'Assumptions &amp; FX Reference'!$I$17),""))</f>
        <v/>
      </c>
      <c r="L81" s="45" t="str">
        <f aca="false">IF(IF(OR(M81="Not stated",M81=""),""," + "&amp;M81)&amp;IF(OR(N81="None",N81=""),""," + "&amp;N81)&amp;IF(O81="Y"," + NACE MR0175","")="","Not stated",MID(IF(OR(M81="Not stated",M81=""),""," + "&amp;M81)&amp;IF(OR(N81="None",N81=""),""," + "&amp;N81)&amp;IF(O81="Y"," + NACE MR0175",""),4,300))</f>
        <v>API 610 + IPS-G-PM-105 + NACE MR0175</v>
      </c>
      <c r="M81" s="42" t="s">
        <v>478</v>
      </c>
      <c r="N81" s="42" t="s">
        <v>479</v>
      </c>
      <c r="O81" s="42" t="s">
        <v>369</v>
      </c>
      <c r="P81" s="42" t="s">
        <v>123</v>
      </c>
      <c r="Q81" s="42" t="s">
        <v>123</v>
      </c>
      <c r="R81" s="42" t="s">
        <v>123</v>
      </c>
      <c r="S81" s="50" t="s">
        <v>304</v>
      </c>
      <c r="T81" s="42" t="s">
        <v>555</v>
      </c>
      <c r="U81" s="42" t="n">
        <v>1</v>
      </c>
      <c r="V81" s="42" t="s">
        <v>351</v>
      </c>
      <c r="W81" s="43"/>
      <c r="X81" s="42" t="s">
        <v>123</v>
      </c>
      <c r="Y81" s="50" t="n">
        <v>1393</v>
      </c>
      <c r="Z81" s="42" t="s">
        <v>454</v>
      </c>
      <c r="AA81" s="46"/>
      <c r="AB81" s="47" t="str">
        <f aca="false">IF(NOT(ISNUMBER(AA81)),"",IF(NOT(ISNUMBER(Y81)),"",IFERROR(IF(Z81="EUR",AA81,IF(Z81="IRR",AA81/INDEX('Assumptions &amp; FX Reference'!$C$5:$C$25,MATCH(Y81,'Assumptions &amp; FX Reference'!$A$5:$A$25,0)),IF(Z81="USD",AA81*INDEX('Assumptions &amp; FX Reference'!$B$5:$B$25,MATCH(Y81,'Assumptions &amp; FX Reference'!$A$5:$A$25,0))/INDEX('Assumptions &amp; FX Reference'!$C$5:$C$25,MATCH(Y81,'Assumptions &amp; FX Reference'!$A$5:$A$25,0)),""))),"")))</f>
        <v/>
      </c>
      <c r="AC81" s="47" t="str">
        <f aca="false">IF(NOT(ISNUMBER(AA81)),"",IF(NOT(ISNUMBER(Y81)),"",IFERROR(IF(Z81="USD",AA81,IF(Z81="IRR",AA81/INDEX('Assumptions &amp; FX Reference'!$B$5:$B$25,MATCH(Y81,'Assumptions &amp; FX Reference'!$A$5:$A$25,0)),IF(Z81="EUR",AA81*INDEX('Assumptions &amp; FX Reference'!$C$5:$C$25,MATCH(Y81,'Assumptions &amp; FX Reference'!$A$5:$A$25,0))/INDEX('Assumptions &amp; FX Reference'!$B$5:$B$25,MATCH(Y81,'Assumptions &amp; FX Reference'!$A$5:$A$25,0)),""))),"")))</f>
        <v/>
      </c>
      <c r="AD81" s="47" t="str">
        <f aca="false">IF(NOT(ISNUMBER(AA81)),"",IF(NOT(ISNUMBER(Y81)),"",IFERROR(IF(Z81="IRR",AA81,IF(Z81="USD",AA81*INDEX('Assumptions &amp; FX Reference'!$B$5:$B$25,MATCH(Y81,'Assumptions &amp; FX Reference'!$A$5:$A$25,0)),IF(Z81="EUR",AA81*INDEX('Assumptions &amp; FX Reference'!$C$5:$C$25,MATCH(Y81,'Assumptions &amp; FX Reference'!$A$5:$A$25,0)),""))),"")))</f>
        <v/>
      </c>
      <c r="AE81" s="42" t="s">
        <v>535</v>
      </c>
      <c r="AF81" s="42" t="s">
        <v>123</v>
      </c>
      <c r="AG81" s="47" t="str">
        <f aca="false">IF(AND(Z81="EUR",N(AA81)&gt;5000000),"",IF(AND(ISNUMBER(AB81),ISNUMBER(AZ81),ISNUMBER(BA81)),IF(AND(BB81="Y",ISNUMBER('Assumptions &amp; FX Reference'!$I$15)),MAX(AB81*BA81/AZ81,'Assumptions &amp; FX Reference'!$I$13*BA81/'Assumptions &amp; FX Reference'!$I$15),AB81*BA81/AZ81),""))</f>
        <v/>
      </c>
      <c r="AH81" s="47" t="str">
        <f aca="false">IF(AND(ISNUMBER(AG81),ISNUMBER('Assumptions &amp; FX Reference'!$I$8),ISNUMBER('Assumptions &amp; FX Reference'!$I$11)),AG81*'Assumptions &amp; FX Reference'!$I$8/'Assumptions &amp; FX Reference'!$I$11,"")</f>
        <v/>
      </c>
      <c r="AI81" s="47" t="str">
        <f aca="false">IF(AND(ISNUMBER(AG81),ISNUMBER('Assumptions &amp; FX Reference'!$I$8)),AG81*'Assumptions &amp; FX Reference'!$I$8,"")</f>
        <v/>
      </c>
      <c r="AJ81" s="42" t="s">
        <v>481</v>
      </c>
      <c r="AK81" s="42" t="s">
        <v>482</v>
      </c>
      <c r="AL81" s="42" t="s">
        <v>123</v>
      </c>
      <c r="AM81" s="42" t="s">
        <v>123</v>
      </c>
      <c r="AN81" s="42" t="s">
        <v>123</v>
      </c>
      <c r="AO81" s="42" t="s">
        <v>123</v>
      </c>
      <c r="AP81" s="42" t="s">
        <v>123</v>
      </c>
      <c r="AQ81" s="42" t="s">
        <v>123</v>
      </c>
      <c r="AR81" s="42" t="s">
        <v>123</v>
      </c>
      <c r="AS81" s="45" t="str">
        <f aca="false">IF(AND(Z81="EUR",N(AA81)&gt;5000000),"Check currency (EUR&gt;5M); ","")&amp;IF(NOT(ISNUMBER(AA81)),"No price; ","")&amp;IF(G81="Not stated","Material missing; ","")&amp;IF(P81="Not stated","Seal missing; ","")&amp;IF(K81="","Size driver missing; ","")&amp;IF(NOT(ISNUMBER(AZ81)),"Base-year PPI missing; ","")</f>
        <v>No price; Seal missing; Size driver missing; </v>
      </c>
      <c r="AT81" s="48" t="n">
        <f aca="false">IFERROR(INDEX(Factors_ROT!$F$5:$F$200,MATCH("MAT|"&amp;G81,Factors_ROT!$A$5:$A$200,0)),1)</f>
        <v>1.9</v>
      </c>
      <c r="AU81" s="48" t="n">
        <f aca="false">IFERROR(INDEX(Factors_ROT!$F$5:$F$200,MATCH("SEAL_ARR|"&amp;P81,Factors_ROT!$A$5:$A$200,0)),1)*IFERROR(INDEX(Factors_ROT!$F$5:$F$200,MATCH("SEAL_CAT|"&amp;Q81,Factors_ROT!$A$5:$A$200,0)),1)*IFERROR(INDEX(Factors_ROT!$F$5:$F$200,MATCH("SEAL_PLAN|"&amp;R81,Factors_ROT!$A$5:$A$200,0)),1)</f>
        <v>1</v>
      </c>
      <c r="AV81" s="48" t="n">
        <f aca="false">IFERROR(INDEX(Factors_ROT!$F$5:$F$200,MATCH("DRV|"&amp;S81,Factors_ROT!$A$5:$A$200,0)),1)*IFERROR(INDEX(Factors_ROT!$F$5:$F$200,MATCH("NACE|"&amp;O81,Factors_ROT!$A$5:$A$200,0)),1)</f>
        <v>1.05</v>
      </c>
      <c r="AW81" s="48" t="n">
        <f aca="false">IFERROR(INDEX(Factors_ROT!$F$5:$F$200,MATCH("SC_DRV|"&amp;AL81,Factors_ROT!$A$5:$A$200,0)),1)*IFERROR(INDEX(Factors_ROT!$F$5:$F$200,MATCH("SC_BSP|"&amp;AM81,Factors_ROT!$A$5:$A$200,0)),1)*IFERROR(INDEX(Factors_ROT!$F$5:$F$200,MATCH("SC_SEAL|"&amp;AN81,Factors_ROT!$A$5:$A$200,0)),1)*IFERROR(INDEX(Factors_ROT!$F$5:$F$200,MATCH("SC_COMM|"&amp;AO81,Factors_ROT!$A$5:$A$200,0)),1)*IFERROR(INDEX(Factors_ROT!$F$5:$F$200,MATCH("SC_2Y|"&amp;AP81,Factors_ROT!$A$5:$A$200,0)),1)*IFERROR(INDEX(Factors_ROT!$F$5:$F$200,MATCH("SC_TPI|"&amp;AQ81,Factors_ROT!$A$5:$A$200,0)),1)*IFERROR(INDEX(Factors_ROT!$F$5:$F$200,MATCH("SC_FAT|"&amp;AR81,Factors_ROT!$A$5:$A$200,0)),1)</f>
        <v>1</v>
      </c>
      <c r="AX81" s="48" t="n">
        <f aca="false">AT81*AU81*AV81*AW81</f>
        <v>1.995</v>
      </c>
      <c r="AY81" s="47" t="str">
        <f aca="false">IF(ISNUMBER(AB81),AB81/AX81,"")</f>
        <v/>
      </c>
      <c r="AZ81" s="49" t="n">
        <f aca="false">IFERROR(IF(N(INDEX(Escalation_Index!$B$5:$B$25,MATCH(Y81,Escalation_Index!$A$5:$A$25,0)))&gt;0,INDEX(Escalation_Index!$B$5:$B$25,MATCH(Y81,Escalation_Index!$A$5:$A$25,0)),""),"")</f>
        <v>91.347</v>
      </c>
      <c r="BA81" s="49" t="n">
        <f aca="false">IF(ISNUMBER('Assumptions &amp; FX Reference'!$I$12),'Assumptions &amp; FX Reference'!$I$12,"")</f>
        <v>123.416</v>
      </c>
      <c r="BB81" s="45" t="str">
        <f aca="false">IF(AND(M81="API 610",LEFT(V81,11)="Centrifugal",OR(LEFT(G81,2)="S-",LEFT(G81,2)="D-")),"Y","N")</f>
        <v>N</v>
      </c>
      <c r="BC81" s="47" t="str">
        <f aca="false">IF(ISNUMBER(AG81),AG81/AX81,"")</f>
        <v/>
      </c>
      <c r="BD81" s="47" t="str">
        <f aca="false">IF(AND(ISNUMBER(BC81),ISNUMBER(K81)),IF(K81&gt;0,BC81/K81^'Assumptions &amp; FX Reference'!$I$16,""),"")</f>
        <v/>
      </c>
      <c r="BE81" s="42" t="s">
        <v>615</v>
      </c>
      <c r="BF81" s="42" t="s">
        <v>616</v>
      </c>
      <c r="BG81" s="42" t="s">
        <v>369</v>
      </c>
      <c r="BH81" s="45" t="s">
        <v>313</v>
      </c>
      <c r="BI81" s="45" t="str">
        <f aca="false">"PMP-"&amp;TEXT(A81,"0000")</f>
        <v>PMP-0077</v>
      </c>
    </row>
    <row r="82" customFormat="false" ht="24" hidden="false" customHeight="true" outlineLevel="0" collapsed="false">
      <c r="A82" s="42" t="n">
        <v>78</v>
      </c>
      <c r="B82" s="42" t="s">
        <v>617</v>
      </c>
      <c r="C82" s="42" t="s">
        <v>558</v>
      </c>
      <c r="D82" s="42" t="s">
        <v>618</v>
      </c>
      <c r="E82" s="42" t="s">
        <v>51</v>
      </c>
      <c r="F82" s="42" t="s">
        <v>132</v>
      </c>
      <c r="G82" s="42" t="s">
        <v>115</v>
      </c>
      <c r="H82" s="43" t="n">
        <v>50</v>
      </c>
      <c r="I82" s="52" t="n">
        <v>30.6</v>
      </c>
      <c r="J82" s="43"/>
      <c r="K82" s="44" t="n">
        <f aca="false">IF(ISNUMBER(J82),J82,IF(AND(ISNUMBER(H82),ISNUMBER(I82)),H82*I82/(367*'Assumptions &amp; FX Reference'!$I$17),""))</f>
        <v>6.94822888283379</v>
      </c>
      <c r="L82" s="45" t="str">
        <f aca="false">IF(IF(OR(M82="Not stated",M82=""),""," + "&amp;M82)&amp;IF(OR(N82="None",N82=""),""," + "&amp;N82)&amp;IF(O82="Y"," + NACE MR0175","")="","Not stated",MID(IF(OR(M82="Not stated",M82=""),""," + "&amp;M82)&amp;IF(OR(N82="None",N82=""),""," + "&amp;N82)&amp;IF(O82="Y"," + NACE MR0175",""),4,300))</f>
        <v>API 610 + IPS-G-PM-105</v>
      </c>
      <c r="M82" s="42" t="s">
        <v>478</v>
      </c>
      <c r="N82" s="42" t="s">
        <v>479</v>
      </c>
      <c r="O82" s="50" t="s">
        <v>312</v>
      </c>
      <c r="P82" s="42" t="s">
        <v>123</v>
      </c>
      <c r="Q82" s="42" t="s">
        <v>123</v>
      </c>
      <c r="R82" s="42" t="s">
        <v>123</v>
      </c>
      <c r="S82" s="50" t="s">
        <v>304</v>
      </c>
      <c r="T82" s="42" t="s">
        <v>334</v>
      </c>
      <c r="U82" s="42" t="n">
        <v>1</v>
      </c>
      <c r="V82" s="42" t="s">
        <v>306</v>
      </c>
      <c r="W82" s="43"/>
      <c r="X82" s="42" t="s">
        <v>123</v>
      </c>
      <c r="Y82" s="50" t="n">
        <v>1393</v>
      </c>
      <c r="Z82" s="42" t="s">
        <v>454</v>
      </c>
      <c r="AA82" s="46"/>
      <c r="AB82" s="47" t="str">
        <f aca="false">IF(NOT(ISNUMBER(AA82)),"",IF(NOT(ISNUMBER(Y82)),"",IFERROR(IF(Z82="EUR",AA82,IF(Z82="IRR",AA82/INDEX('Assumptions &amp; FX Reference'!$C$5:$C$25,MATCH(Y82,'Assumptions &amp; FX Reference'!$A$5:$A$25,0)),IF(Z82="USD",AA82*INDEX('Assumptions &amp; FX Reference'!$B$5:$B$25,MATCH(Y82,'Assumptions &amp; FX Reference'!$A$5:$A$25,0))/INDEX('Assumptions &amp; FX Reference'!$C$5:$C$25,MATCH(Y82,'Assumptions &amp; FX Reference'!$A$5:$A$25,0)),""))),"")))</f>
        <v/>
      </c>
      <c r="AC82" s="47" t="str">
        <f aca="false">IF(NOT(ISNUMBER(AA82)),"",IF(NOT(ISNUMBER(Y82)),"",IFERROR(IF(Z82="USD",AA82,IF(Z82="IRR",AA82/INDEX('Assumptions &amp; FX Reference'!$B$5:$B$25,MATCH(Y82,'Assumptions &amp; FX Reference'!$A$5:$A$25,0)),IF(Z82="EUR",AA82*INDEX('Assumptions &amp; FX Reference'!$C$5:$C$25,MATCH(Y82,'Assumptions &amp; FX Reference'!$A$5:$A$25,0))/INDEX('Assumptions &amp; FX Reference'!$B$5:$B$25,MATCH(Y82,'Assumptions &amp; FX Reference'!$A$5:$A$25,0)),""))),"")))</f>
        <v/>
      </c>
      <c r="AD82" s="47" t="str">
        <f aca="false">IF(NOT(ISNUMBER(AA82)),"",IF(NOT(ISNUMBER(Y82)),"",IFERROR(IF(Z82="IRR",AA82,IF(Z82="USD",AA82*INDEX('Assumptions &amp; FX Reference'!$B$5:$B$25,MATCH(Y82,'Assumptions &amp; FX Reference'!$A$5:$A$25,0)),IF(Z82="EUR",AA82*INDEX('Assumptions &amp; FX Reference'!$C$5:$C$25,MATCH(Y82,'Assumptions &amp; FX Reference'!$A$5:$A$25,0)),""))),"")))</f>
        <v/>
      </c>
      <c r="AE82" s="42" t="s">
        <v>535</v>
      </c>
      <c r="AF82" s="42" t="s">
        <v>123</v>
      </c>
      <c r="AG82" s="47" t="str">
        <f aca="false">IF(AND(Z82="EUR",N(AA82)&gt;5000000),"",IF(AND(ISNUMBER(AB82),ISNUMBER(AZ82),ISNUMBER(BA82)),IF(AND(BB82="Y",ISNUMBER('Assumptions &amp; FX Reference'!$I$15)),MAX(AB82*BA82/AZ82,'Assumptions &amp; FX Reference'!$I$13*BA82/'Assumptions &amp; FX Reference'!$I$15),AB82*BA82/AZ82),""))</f>
        <v/>
      </c>
      <c r="AH82" s="47" t="str">
        <f aca="false">IF(AND(ISNUMBER(AG82),ISNUMBER('Assumptions &amp; FX Reference'!$I$8),ISNUMBER('Assumptions &amp; FX Reference'!$I$11)),AG82*'Assumptions &amp; FX Reference'!$I$8/'Assumptions &amp; FX Reference'!$I$11,"")</f>
        <v/>
      </c>
      <c r="AI82" s="47" t="str">
        <f aca="false">IF(AND(ISNUMBER(AG82),ISNUMBER('Assumptions &amp; FX Reference'!$I$8)),AG82*'Assumptions &amp; FX Reference'!$I$8,"")</f>
        <v/>
      </c>
      <c r="AJ82" s="42" t="s">
        <v>481</v>
      </c>
      <c r="AK82" s="42" t="s">
        <v>482</v>
      </c>
      <c r="AL82" s="42" t="s">
        <v>123</v>
      </c>
      <c r="AM82" s="42" t="s">
        <v>123</v>
      </c>
      <c r="AN82" s="42" t="s">
        <v>123</v>
      </c>
      <c r="AO82" s="42" t="s">
        <v>123</v>
      </c>
      <c r="AP82" s="42" t="s">
        <v>123</v>
      </c>
      <c r="AQ82" s="42" t="s">
        <v>123</v>
      </c>
      <c r="AR82" s="42" t="s">
        <v>123</v>
      </c>
      <c r="AS82" s="45" t="str">
        <f aca="false">IF(AND(Z82="EUR",N(AA82)&gt;5000000),"Check currency (EUR&gt;5M); ","")&amp;IF(NOT(ISNUMBER(AA82)),"No price; ","")&amp;IF(G82="Not stated","Material missing; ","")&amp;IF(P82="Not stated","Seal missing; ","")&amp;IF(K82="","Size driver missing; ","")&amp;IF(NOT(ISNUMBER(AZ82)),"Base-year PPI missing; ","")</f>
        <v>No price; Seal missing; </v>
      </c>
      <c r="AT82" s="48" t="n">
        <f aca="false">IFERROR(INDEX(Factors_ROT!$F$5:$F$200,MATCH("MAT|"&amp;G82,Factors_ROT!$A$5:$A$200,0)),1)</f>
        <v>1.9</v>
      </c>
      <c r="AU82" s="48" t="n">
        <f aca="false">IFERROR(INDEX(Factors_ROT!$F$5:$F$200,MATCH("SEAL_ARR|"&amp;P82,Factors_ROT!$A$5:$A$200,0)),1)*IFERROR(INDEX(Factors_ROT!$F$5:$F$200,MATCH("SEAL_CAT|"&amp;Q82,Factors_ROT!$A$5:$A$200,0)),1)*IFERROR(INDEX(Factors_ROT!$F$5:$F$200,MATCH("SEAL_PLAN|"&amp;R82,Factors_ROT!$A$5:$A$200,0)),1)</f>
        <v>1</v>
      </c>
      <c r="AV82" s="48" t="n">
        <f aca="false">IFERROR(INDEX(Factors_ROT!$F$5:$F$200,MATCH("DRV|"&amp;S82,Factors_ROT!$A$5:$A$200,0)),1)*IFERROR(INDEX(Factors_ROT!$F$5:$F$200,MATCH("NACE|"&amp;O82,Factors_ROT!$A$5:$A$200,0)),1)</f>
        <v>1</v>
      </c>
      <c r="AW82" s="48" t="n">
        <f aca="false">IFERROR(INDEX(Factors_ROT!$F$5:$F$200,MATCH("SC_DRV|"&amp;AL82,Factors_ROT!$A$5:$A$200,0)),1)*IFERROR(INDEX(Factors_ROT!$F$5:$F$200,MATCH("SC_BSP|"&amp;AM82,Factors_ROT!$A$5:$A$200,0)),1)*IFERROR(INDEX(Factors_ROT!$F$5:$F$200,MATCH("SC_SEAL|"&amp;AN82,Factors_ROT!$A$5:$A$200,0)),1)*IFERROR(INDEX(Factors_ROT!$F$5:$F$200,MATCH("SC_COMM|"&amp;AO82,Factors_ROT!$A$5:$A$200,0)),1)*IFERROR(INDEX(Factors_ROT!$F$5:$F$200,MATCH("SC_2Y|"&amp;AP82,Factors_ROT!$A$5:$A$200,0)),1)*IFERROR(INDEX(Factors_ROT!$F$5:$F$200,MATCH("SC_TPI|"&amp;AQ82,Factors_ROT!$A$5:$A$200,0)),1)*IFERROR(INDEX(Factors_ROT!$F$5:$F$200,MATCH("SC_FAT|"&amp;AR82,Factors_ROT!$A$5:$A$200,0)),1)</f>
        <v>1</v>
      </c>
      <c r="AX82" s="48" t="n">
        <f aca="false">AT82*AU82*AV82*AW82</f>
        <v>1.9</v>
      </c>
      <c r="AY82" s="47" t="str">
        <f aca="false">IF(ISNUMBER(AB82),AB82/AX82,"")</f>
        <v/>
      </c>
      <c r="AZ82" s="49" t="n">
        <f aca="false">IFERROR(IF(N(INDEX(Escalation_Index!$B$5:$B$25,MATCH(Y82,Escalation_Index!$A$5:$A$25,0)))&gt;0,INDEX(Escalation_Index!$B$5:$B$25,MATCH(Y82,Escalation_Index!$A$5:$A$25,0)),""),"")</f>
        <v>91.347</v>
      </c>
      <c r="BA82" s="49" t="n">
        <f aca="false">IF(ISNUMBER('Assumptions &amp; FX Reference'!$I$12),'Assumptions &amp; FX Reference'!$I$12,"")</f>
        <v>123.416</v>
      </c>
      <c r="BB82" s="45" t="str">
        <f aca="false">IF(AND(M82="API 610",LEFT(V82,11)="Centrifugal",OR(LEFT(G82,2)="S-",LEFT(G82,2)="D-")),"Y","N")</f>
        <v>Y</v>
      </c>
      <c r="BC82" s="47" t="str">
        <f aca="false">IF(ISNUMBER(AG82),AG82/AX82,"")</f>
        <v/>
      </c>
      <c r="BD82" s="47" t="str">
        <f aca="false">IF(AND(ISNUMBER(BC82),ISNUMBER(K82)),IF(K82&gt;0,BC82/K82^'Assumptions &amp; FX Reference'!$I$16,""),"")</f>
        <v/>
      </c>
      <c r="BE82" s="42" t="s">
        <v>619</v>
      </c>
      <c r="BF82" s="42" t="s">
        <v>620</v>
      </c>
      <c r="BG82" s="42" t="s">
        <v>369</v>
      </c>
      <c r="BH82" s="45" t="s">
        <v>313</v>
      </c>
      <c r="BI82" s="45" t="str">
        <f aca="false">"PMP-"&amp;TEXT(A82,"0000")</f>
        <v>PMP-0078</v>
      </c>
    </row>
    <row r="83" customFormat="false" ht="24" hidden="false" customHeight="true" outlineLevel="0" collapsed="false">
      <c r="A83" s="42" t="n">
        <v>79</v>
      </c>
      <c r="B83" s="42" t="s">
        <v>621</v>
      </c>
      <c r="C83" s="42" t="s">
        <v>476</v>
      </c>
      <c r="D83" s="42" t="s">
        <v>622</v>
      </c>
      <c r="E83" s="42" t="s">
        <v>48</v>
      </c>
      <c r="F83" s="42" t="s">
        <v>192</v>
      </c>
      <c r="G83" s="42" t="s">
        <v>74</v>
      </c>
      <c r="H83" s="43" t="n">
        <v>48</v>
      </c>
      <c r="I83" s="43" t="n">
        <v>36</v>
      </c>
      <c r="J83" s="43"/>
      <c r="K83" s="44" t="n">
        <f aca="false">IF(ISNUMBER(J83),J83,IF(AND(ISNUMBER(H83),ISNUMBER(I83)),H83*I83/(367*'Assumptions &amp; FX Reference'!$I$17),""))</f>
        <v>7.84741144414169</v>
      </c>
      <c r="L83" s="45" t="str">
        <f aca="false">IF(IF(OR(M83="Not stated",M83=""),""," + "&amp;M83)&amp;IF(OR(N83="None",N83=""),""," + "&amp;N83)&amp;IF(O83="Y"," + NACE MR0175","")="","Not stated",MID(IF(OR(M83="Not stated",M83=""),""," + "&amp;M83)&amp;IF(OR(N83="None",N83=""),""," + "&amp;N83)&amp;IF(O83="Y"," + NACE MR0175",""),4,300))</f>
        <v>ISO 5199 + IPS-M-PM-115</v>
      </c>
      <c r="M83" s="42" t="s">
        <v>623</v>
      </c>
      <c r="N83" s="42" t="s">
        <v>624</v>
      </c>
      <c r="O83" s="50" t="s">
        <v>312</v>
      </c>
      <c r="P83" s="42" t="s">
        <v>123</v>
      </c>
      <c r="Q83" s="42" t="s">
        <v>123</v>
      </c>
      <c r="R83" s="42" t="s">
        <v>123</v>
      </c>
      <c r="S83" s="50" t="s">
        <v>304</v>
      </c>
      <c r="T83" s="42" t="s">
        <v>391</v>
      </c>
      <c r="U83" s="42" t="n">
        <v>2</v>
      </c>
      <c r="V83" s="42" t="s">
        <v>306</v>
      </c>
      <c r="W83" s="43" t="n">
        <v>3</v>
      </c>
      <c r="X83" s="42" t="s">
        <v>123</v>
      </c>
      <c r="Y83" s="50" t="n">
        <v>1393</v>
      </c>
      <c r="Z83" s="42" t="s">
        <v>363</v>
      </c>
      <c r="AA83" s="46" t="n">
        <v>6500</v>
      </c>
      <c r="AB83" s="47" t="n">
        <f aca="false">IF(NOT(ISNUMBER(AA83)),"",IF(NOT(ISNUMBER(Y83)),"",IFERROR(IF(Z83="EUR",AA83,IF(Z83="IRR",AA83/INDEX('Assumptions &amp; FX Reference'!$C$5:$C$25,MATCH(Y83,'Assumptions &amp; FX Reference'!$A$5:$A$25,0)),IF(Z83="USD",AA83*INDEX('Assumptions &amp; FX Reference'!$B$5:$B$25,MATCH(Y83,'Assumptions &amp; FX Reference'!$A$5:$A$25,0))/INDEX('Assumptions &amp; FX Reference'!$C$5:$C$25,MATCH(Y83,'Assumptions &amp; FX Reference'!$A$5:$A$25,0)),""))),"")))</f>
        <v>6500</v>
      </c>
      <c r="AC83" s="47" t="n">
        <f aca="false">IF(NOT(ISNUMBER(AA83)),"",IF(NOT(ISNUMBER(Y83)),"",IFERROR(IF(Z83="USD",AA83,IF(Z83="IRR",AA83/INDEX('Assumptions &amp; FX Reference'!$B$5:$B$25,MATCH(Y83,'Assumptions &amp; FX Reference'!$A$5:$A$25,0)),IF(Z83="EUR",AA83*INDEX('Assumptions &amp; FX Reference'!$C$5:$C$25,MATCH(Y83,'Assumptions &amp; FX Reference'!$A$5:$A$25,0))/INDEX('Assumptions &amp; FX Reference'!$B$5:$B$25,MATCH(Y83,'Assumptions &amp; FX Reference'!$A$5:$A$25,0)),""))),"")))</f>
        <v>8498.3935483871</v>
      </c>
      <c r="AD83" s="47" t="n">
        <f aca="false">IF(NOT(ISNUMBER(AA83)),"",IF(NOT(ISNUMBER(Y83)),"",IFERROR(IF(Z83="IRR",AA83,IF(Z83="USD",AA83*INDEX('Assumptions &amp; FX Reference'!$B$5:$B$25,MATCH(Y83,'Assumptions &amp; FX Reference'!$A$5:$A$25,0)),IF(Z83="EUR",AA83*INDEX('Assumptions &amp; FX Reference'!$C$5:$C$25,MATCH(Y83,'Assumptions &amp; FX Reference'!$A$5:$A$25,0)),""))),"")))</f>
        <v>263450200</v>
      </c>
      <c r="AE83" s="42" t="s">
        <v>480</v>
      </c>
      <c r="AF83" s="50" t="s">
        <v>208</v>
      </c>
      <c r="AG83" s="47" t="n">
        <f aca="false">IF(AND(Z83="EUR",N(AA83)&gt;5000000),"",IF(AND(ISNUMBER(AB83),ISNUMBER(AZ83),ISNUMBER(BA83)),IF(AND(BB83="Y",ISNUMBER('Assumptions &amp; FX Reference'!$I$15)),MAX(AB83*BA83/AZ83,'Assumptions &amp; FX Reference'!$I$13*BA83/'Assumptions &amp; FX Reference'!$I$15),AB83*BA83/AZ83),""))</f>
        <v>8781.9413883324</v>
      </c>
      <c r="AH83" s="47" t="n">
        <f aca="false">IF(AND(ISNUMBER(AG83),ISNUMBER('Assumptions &amp; FX Reference'!$I$8),ISNUMBER('Assumptions &amp; FX Reference'!$I$11)),AG83*'Assumptions &amp; FX Reference'!$I$8/'Assumptions &amp; FX Reference'!$I$11,"")</f>
        <v>9271.82514040009</v>
      </c>
      <c r="AI83" s="47" t="n">
        <f aca="false">IF(AND(ISNUMBER(AG83),ISNUMBER('Assumptions &amp; FX Reference'!$I$8)),AG83*'Assumptions &amp; FX Reference'!$I$8,"")</f>
        <v>6105802825.18309</v>
      </c>
      <c r="AJ83" s="42" t="s">
        <v>481</v>
      </c>
      <c r="AK83" s="42" t="s">
        <v>482</v>
      </c>
      <c r="AL83" s="42" t="s">
        <v>123</v>
      </c>
      <c r="AM83" s="42" t="s">
        <v>123</v>
      </c>
      <c r="AN83" s="42" t="s">
        <v>123</v>
      </c>
      <c r="AO83" s="42" t="s">
        <v>123</v>
      </c>
      <c r="AP83" s="42" t="s">
        <v>123</v>
      </c>
      <c r="AQ83" s="50" t="s">
        <v>312</v>
      </c>
      <c r="AR83" s="42" t="s">
        <v>123</v>
      </c>
      <c r="AS83" s="45" t="str">
        <f aca="false">IF(AND(Z83="EUR",N(AA83)&gt;5000000),"Check currency (EUR&gt;5M); ","")&amp;IF(NOT(ISNUMBER(AA83)),"No price; ","")&amp;IF(G83="Not stated","Material missing; ","")&amp;IF(P83="Not stated","Seal missing; ","")&amp;IF(K83="","Size driver missing; ","")&amp;IF(NOT(ISNUMBER(AZ83)),"Base-year PPI missing; ","")</f>
        <v>Seal missing; </v>
      </c>
      <c r="AT83" s="48" t="n">
        <f aca="false">IFERROR(INDEX(Factors_ROT!$F$5:$F$200,MATCH("MAT|"&amp;G83,Factors_ROT!$A$5:$A$200,0)),1)</f>
        <v>0.8</v>
      </c>
      <c r="AU83" s="48" t="n">
        <f aca="false">IFERROR(INDEX(Factors_ROT!$F$5:$F$200,MATCH("SEAL_ARR|"&amp;P83,Factors_ROT!$A$5:$A$200,0)),1)*IFERROR(INDEX(Factors_ROT!$F$5:$F$200,MATCH("SEAL_CAT|"&amp;Q83,Factors_ROT!$A$5:$A$200,0)),1)*IFERROR(INDEX(Factors_ROT!$F$5:$F$200,MATCH("SEAL_PLAN|"&amp;R83,Factors_ROT!$A$5:$A$200,0)),1)</f>
        <v>1</v>
      </c>
      <c r="AV83" s="48" t="n">
        <f aca="false">IFERROR(INDEX(Factors_ROT!$F$5:$F$200,MATCH("DRV|"&amp;S83,Factors_ROT!$A$5:$A$200,0)),1)*IFERROR(INDEX(Factors_ROT!$F$5:$F$200,MATCH("NACE|"&amp;O83,Factors_ROT!$A$5:$A$200,0)),1)</f>
        <v>1</v>
      </c>
      <c r="AW83" s="48" t="n">
        <f aca="false">IFERROR(INDEX(Factors_ROT!$F$5:$F$200,MATCH("SC_DRV|"&amp;AL83,Factors_ROT!$A$5:$A$200,0)),1)*IFERROR(INDEX(Factors_ROT!$F$5:$F$200,MATCH("SC_BSP|"&amp;AM83,Factors_ROT!$A$5:$A$200,0)),1)*IFERROR(INDEX(Factors_ROT!$F$5:$F$200,MATCH("SC_SEAL|"&amp;AN83,Factors_ROT!$A$5:$A$200,0)),1)*IFERROR(INDEX(Factors_ROT!$F$5:$F$200,MATCH("SC_COMM|"&amp;AO83,Factors_ROT!$A$5:$A$200,0)),1)*IFERROR(INDEX(Factors_ROT!$F$5:$F$200,MATCH("SC_2Y|"&amp;AP83,Factors_ROT!$A$5:$A$200,0)),1)*IFERROR(INDEX(Factors_ROT!$F$5:$F$200,MATCH("SC_TPI|"&amp;AQ83,Factors_ROT!$A$5:$A$200,0)),1)*IFERROR(INDEX(Factors_ROT!$F$5:$F$200,MATCH("SC_FAT|"&amp;AR83,Factors_ROT!$A$5:$A$200,0)),1)</f>
        <v>1</v>
      </c>
      <c r="AX83" s="48" t="n">
        <f aca="false">AT83*AU83*AV83*AW83</f>
        <v>0.8</v>
      </c>
      <c r="AY83" s="47" t="n">
        <f aca="false">IF(ISNUMBER(AB83),AB83/AX83,"")</f>
        <v>8125</v>
      </c>
      <c r="AZ83" s="49" t="n">
        <f aca="false">IFERROR(IF(N(INDEX(Escalation_Index!$B$5:$B$25,MATCH(Y83,Escalation_Index!$A$5:$A$25,0)))&gt;0,INDEX(Escalation_Index!$B$5:$B$25,MATCH(Y83,Escalation_Index!$A$5:$A$25,0)),""),"")</f>
        <v>91.347</v>
      </c>
      <c r="BA83" s="49" t="n">
        <f aca="false">IF(ISNUMBER('Assumptions &amp; FX Reference'!$I$12),'Assumptions &amp; FX Reference'!$I$12,"")</f>
        <v>123.416</v>
      </c>
      <c r="BB83" s="45" t="str">
        <f aca="false">IF(AND(M83="API 610",LEFT(V83,11)="Centrifugal",OR(LEFT(G83,2)="S-",LEFT(G83,2)="D-")),"Y","N")</f>
        <v>N</v>
      </c>
      <c r="BC83" s="47" t="n">
        <f aca="false">IF(ISNUMBER(AG83),AG83/AX83,"")</f>
        <v>10977.4267354155</v>
      </c>
      <c r="BD83" s="47" t="n">
        <f aca="false">IF(AND(ISNUMBER(BC83),ISNUMBER(K83)),IF(K83&gt;0,BC83/K83^'Assumptions &amp; FX Reference'!$I$16,""),"")</f>
        <v>3189.07470731391</v>
      </c>
      <c r="BE83" s="42" t="s">
        <v>625</v>
      </c>
      <c r="BF83" s="42" t="s">
        <v>626</v>
      </c>
      <c r="BG83" s="42" t="s">
        <v>369</v>
      </c>
      <c r="BH83" s="45" t="s">
        <v>313</v>
      </c>
      <c r="BI83" s="45" t="str">
        <f aca="false">"PMP-"&amp;TEXT(A83,"0000")</f>
        <v>PMP-0079</v>
      </c>
    </row>
    <row r="84" customFormat="false" ht="24" hidden="false" customHeight="true" outlineLevel="0" collapsed="false">
      <c r="A84" s="42" t="n">
        <v>80</v>
      </c>
      <c r="B84" s="42" t="s">
        <v>627</v>
      </c>
      <c r="C84" s="42" t="s">
        <v>476</v>
      </c>
      <c r="D84" s="42" t="s">
        <v>628</v>
      </c>
      <c r="E84" s="42" t="s">
        <v>48</v>
      </c>
      <c r="F84" s="42" t="s">
        <v>192</v>
      </c>
      <c r="G84" s="42" t="s">
        <v>74</v>
      </c>
      <c r="H84" s="43" t="n">
        <v>33</v>
      </c>
      <c r="I84" s="43" t="n">
        <v>31</v>
      </c>
      <c r="J84" s="43"/>
      <c r="K84" s="44" t="n">
        <f aca="false">IF(ISNUMBER(J84),J84,IF(AND(ISNUMBER(H84),ISNUMBER(I84)),H84*I84/(367*'Assumptions &amp; FX Reference'!$I$17),""))</f>
        <v>4.64577656675749</v>
      </c>
      <c r="L84" s="45" t="str">
        <f aca="false">IF(IF(OR(M84="Not stated",M84=""),""," + "&amp;M84)&amp;IF(OR(N84="None",N84=""),""," + "&amp;N84)&amp;IF(O84="Y"," + NACE MR0175","")="","Not stated",MID(IF(OR(M84="Not stated",M84=""),""," + "&amp;M84)&amp;IF(OR(N84="None",N84=""),""," + "&amp;N84)&amp;IF(O84="Y"," + NACE MR0175",""),4,300))</f>
        <v>ISO 5199 + IPS-M-PM-115</v>
      </c>
      <c r="M84" s="42" t="s">
        <v>623</v>
      </c>
      <c r="N84" s="42" t="s">
        <v>624</v>
      </c>
      <c r="O84" s="50" t="s">
        <v>312</v>
      </c>
      <c r="P84" s="42" t="s">
        <v>123</v>
      </c>
      <c r="Q84" s="42" t="s">
        <v>123</v>
      </c>
      <c r="R84" s="42" t="s">
        <v>123</v>
      </c>
      <c r="S84" s="50" t="s">
        <v>304</v>
      </c>
      <c r="T84" s="42" t="s">
        <v>338</v>
      </c>
      <c r="U84" s="42" t="n">
        <v>1</v>
      </c>
      <c r="V84" s="42" t="s">
        <v>306</v>
      </c>
      <c r="W84" s="43" t="n">
        <v>2.9</v>
      </c>
      <c r="X84" s="42" t="s">
        <v>123</v>
      </c>
      <c r="Y84" s="50" t="n">
        <v>1393</v>
      </c>
      <c r="Z84" s="42" t="s">
        <v>363</v>
      </c>
      <c r="AA84" s="46" t="n">
        <v>6500</v>
      </c>
      <c r="AB84" s="47" t="n">
        <f aca="false">IF(NOT(ISNUMBER(AA84)),"",IF(NOT(ISNUMBER(Y84)),"",IFERROR(IF(Z84="EUR",AA84,IF(Z84="IRR",AA84/INDEX('Assumptions &amp; FX Reference'!$C$5:$C$25,MATCH(Y84,'Assumptions &amp; FX Reference'!$A$5:$A$25,0)),IF(Z84="USD",AA84*INDEX('Assumptions &amp; FX Reference'!$B$5:$B$25,MATCH(Y84,'Assumptions &amp; FX Reference'!$A$5:$A$25,0))/INDEX('Assumptions &amp; FX Reference'!$C$5:$C$25,MATCH(Y84,'Assumptions &amp; FX Reference'!$A$5:$A$25,0)),""))),"")))</f>
        <v>6500</v>
      </c>
      <c r="AC84" s="47" t="n">
        <f aca="false">IF(NOT(ISNUMBER(AA84)),"",IF(NOT(ISNUMBER(Y84)),"",IFERROR(IF(Z84="USD",AA84,IF(Z84="IRR",AA84/INDEX('Assumptions &amp; FX Reference'!$B$5:$B$25,MATCH(Y84,'Assumptions &amp; FX Reference'!$A$5:$A$25,0)),IF(Z84="EUR",AA84*INDEX('Assumptions &amp; FX Reference'!$C$5:$C$25,MATCH(Y84,'Assumptions &amp; FX Reference'!$A$5:$A$25,0))/INDEX('Assumptions &amp; FX Reference'!$B$5:$B$25,MATCH(Y84,'Assumptions &amp; FX Reference'!$A$5:$A$25,0)),""))),"")))</f>
        <v>8498.3935483871</v>
      </c>
      <c r="AD84" s="47" t="n">
        <f aca="false">IF(NOT(ISNUMBER(AA84)),"",IF(NOT(ISNUMBER(Y84)),"",IFERROR(IF(Z84="IRR",AA84,IF(Z84="USD",AA84*INDEX('Assumptions &amp; FX Reference'!$B$5:$B$25,MATCH(Y84,'Assumptions &amp; FX Reference'!$A$5:$A$25,0)),IF(Z84="EUR",AA84*INDEX('Assumptions &amp; FX Reference'!$C$5:$C$25,MATCH(Y84,'Assumptions &amp; FX Reference'!$A$5:$A$25,0)),""))),"")))</f>
        <v>263450200</v>
      </c>
      <c r="AE84" s="42" t="s">
        <v>480</v>
      </c>
      <c r="AF84" s="50" t="s">
        <v>208</v>
      </c>
      <c r="AG84" s="47" t="n">
        <f aca="false">IF(AND(Z84="EUR",N(AA84)&gt;5000000),"",IF(AND(ISNUMBER(AB84),ISNUMBER(AZ84),ISNUMBER(BA84)),IF(AND(BB84="Y",ISNUMBER('Assumptions &amp; FX Reference'!$I$15)),MAX(AB84*BA84/AZ84,'Assumptions &amp; FX Reference'!$I$13*BA84/'Assumptions &amp; FX Reference'!$I$15),AB84*BA84/AZ84),""))</f>
        <v>8781.9413883324</v>
      </c>
      <c r="AH84" s="47" t="n">
        <f aca="false">IF(AND(ISNUMBER(AG84),ISNUMBER('Assumptions &amp; FX Reference'!$I$8),ISNUMBER('Assumptions &amp; FX Reference'!$I$11)),AG84*'Assumptions &amp; FX Reference'!$I$8/'Assumptions &amp; FX Reference'!$I$11,"")</f>
        <v>9271.82514040009</v>
      </c>
      <c r="AI84" s="47" t="n">
        <f aca="false">IF(AND(ISNUMBER(AG84),ISNUMBER('Assumptions &amp; FX Reference'!$I$8)),AG84*'Assumptions &amp; FX Reference'!$I$8,"")</f>
        <v>6105802825.18309</v>
      </c>
      <c r="AJ84" s="42" t="s">
        <v>481</v>
      </c>
      <c r="AK84" s="42" t="s">
        <v>482</v>
      </c>
      <c r="AL84" s="42" t="s">
        <v>123</v>
      </c>
      <c r="AM84" s="42" t="s">
        <v>123</v>
      </c>
      <c r="AN84" s="42" t="s">
        <v>123</v>
      </c>
      <c r="AO84" s="42" t="s">
        <v>123</v>
      </c>
      <c r="AP84" s="42" t="s">
        <v>123</v>
      </c>
      <c r="AQ84" s="50" t="s">
        <v>312</v>
      </c>
      <c r="AR84" s="42" t="s">
        <v>123</v>
      </c>
      <c r="AS84" s="45" t="str">
        <f aca="false">IF(AND(Z84="EUR",N(AA84)&gt;5000000),"Check currency (EUR&gt;5M); ","")&amp;IF(NOT(ISNUMBER(AA84)),"No price; ","")&amp;IF(G84="Not stated","Material missing; ","")&amp;IF(P84="Not stated","Seal missing; ","")&amp;IF(K84="","Size driver missing; ","")&amp;IF(NOT(ISNUMBER(AZ84)),"Base-year PPI missing; ","")</f>
        <v>Seal missing; </v>
      </c>
      <c r="AT84" s="48" t="n">
        <f aca="false">IFERROR(INDEX(Factors_ROT!$F$5:$F$200,MATCH("MAT|"&amp;G84,Factors_ROT!$A$5:$A$200,0)),1)</f>
        <v>0.8</v>
      </c>
      <c r="AU84" s="48" t="n">
        <f aca="false">IFERROR(INDEX(Factors_ROT!$F$5:$F$200,MATCH("SEAL_ARR|"&amp;P84,Factors_ROT!$A$5:$A$200,0)),1)*IFERROR(INDEX(Factors_ROT!$F$5:$F$200,MATCH("SEAL_CAT|"&amp;Q84,Factors_ROT!$A$5:$A$200,0)),1)*IFERROR(INDEX(Factors_ROT!$F$5:$F$200,MATCH("SEAL_PLAN|"&amp;R84,Factors_ROT!$A$5:$A$200,0)),1)</f>
        <v>1</v>
      </c>
      <c r="AV84" s="48" t="n">
        <f aca="false">IFERROR(INDEX(Factors_ROT!$F$5:$F$200,MATCH("DRV|"&amp;S84,Factors_ROT!$A$5:$A$200,0)),1)*IFERROR(INDEX(Factors_ROT!$F$5:$F$200,MATCH("NACE|"&amp;O84,Factors_ROT!$A$5:$A$200,0)),1)</f>
        <v>1</v>
      </c>
      <c r="AW84" s="48" t="n">
        <f aca="false">IFERROR(INDEX(Factors_ROT!$F$5:$F$200,MATCH("SC_DRV|"&amp;AL84,Factors_ROT!$A$5:$A$200,0)),1)*IFERROR(INDEX(Factors_ROT!$F$5:$F$200,MATCH("SC_BSP|"&amp;AM84,Factors_ROT!$A$5:$A$200,0)),1)*IFERROR(INDEX(Factors_ROT!$F$5:$F$200,MATCH("SC_SEAL|"&amp;AN84,Factors_ROT!$A$5:$A$200,0)),1)*IFERROR(INDEX(Factors_ROT!$F$5:$F$200,MATCH("SC_COMM|"&amp;AO84,Factors_ROT!$A$5:$A$200,0)),1)*IFERROR(INDEX(Factors_ROT!$F$5:$F$200,MATCH("SC_2Y|"&amp;AP84,Factors_ROT!$A$5:$A$200,0)),1)*IFERROR(INDEX(Factors_ROT!$F$5:$F$200,MATCH("SC_TPI|"&amp;AQ84,Factors_ROT!$A$5:$A$200,0)),1)*IFERROR(INDEX(Factors_ROT!$F$5:$F$200,MATCH("SC_FAT|"&amp;AR84,Factors_ROT!$A$5:$A$200,0)),1)</f>
        <v>1</v>
      </c>
      <c r="AX84" s="48" t="n">
        <f aca="false">AT84*AU84*AV84*AW84</f>
        <v>0.8</v>
      </c>
      <c r="AY84" s="47" t="n">
        <f aca="false">IF(ISNUMBER(AB84),AB84/AX84,"")</f>
        <v>8125</v>
      </c>
      <c r="AZ84" s="49" t="n">
        <f aca="false">IFERROR(IF(N(INDEX(Escalation_Index!$B$5:$B$25,MATCH(Y84,Escalation_Index!$A$5:$A$25,0)))&gt;0,INDEX(Escalation_Index!$B$5:$B$25,MATCH(Y84,Escalation_Index!$A$5:$A$25,0)),""),"")</f>
        <v>91.347</v>
      </c>
      <c r="BA84" s="49" t="n">
        <f aca="false">IF(ISNUMBER('Assumptions &amp; FX Reference'!$I$12),'Assumptions &amp; FX Reference'!$I$12,"")</f>
        <v>123.416</v>
      </c>
      <c r="BB84" s="45" t="str">
        <f aca="false">IF(AND(M84="API 610",LEFT(V84,11)="Centrifugal",OR(LEFT(G84,2)="S-",LEFT(G84,2)="D-")),"Y","N")</f>
        <v>N</v>
      </c>
      <c r="BC84" s="47" t="n">
        <f aca="false">IF(ISNUMBER(AG84),AG84/AX84,"")</f>
        <v>10977.4267354155</v>
      </c>
      <c r="BD84" s="47" t="n">
        <f aca="false">IF(AND(ISNUMBER(BC84),ISNUMBER(K84)),IF(K84&gt;0,BC84/K84^'Assumptions &amp; FX Reference'!$I$16,""),"")</f>
        <v>4367.82827948614</v>
      </c>
      <c r="BE84" s="42" t="s">
        <v>629</v>
      </c>
      <c r="BF84" s="42" t="s">
        <v>630</v>
      </c>
      <c r="BG84" s="42" t="s">
        <v>369</v>
      </c>
      <c r="BH84" s="45" t="s">
        <v>313</v>
      </c>
      <c r="BI84" s="45" t="str">
        <f aca="false">"PMP-"&amp;TEXT(A84,"0000")</f>
        <v>PMP-0080</v>
      </c>
    </row>
    <row r="85" customFormat="false" ht="24" hidden="false" customHeight="true" outlineLevel="0" collapsed="false">
      <c r="A85" s="42" t="n">
        <v>81</v>
      </c>
      <c r="B85" s="42" t="s">
        <v>631</v>
      </c>
      <c r="C85" s="42" t="s">
        <v>476</v>
      </c>
      <c r="D85" s="42" t="s">
        <v>632</v>
      </c>
      <c r="E85" s="42" t="s">
        <v>54</v>
      </c>
      <c r="F85" s="42" t="s">
        <v>171</v>
      </c>
      <c r="G85" s="42" t="s">
        <v>90</v>
      </c>
      <c r="H85" s="43" t="n">
        <v>5.5</v>
      </c>
      <c r="I85" s="43" t="n">
        <v>43</v>
      </c>
      <c r="J85" s="43"/>
      <c r="K85" s="44" t="n">
        <f aca="false">IF(ISNUMBER(J85),J85,IF(AND(ISNUMBER(H85),ISNUMBER(I85)),H85*I85/(367*'Assumptions &amp; FX Reference'!$I$17),""))</f>
        <v>1.07402361489555</v>
      </c>
      <c r="L85" s="45" t="str">
        <f aca="false">IF(IF(OR(M85="Not stated",M85=""),""," + "&amp;M85)&amp;IF(OR(N85="None",N85=""),""," + "&amp;N85)&amp;IF(O85="Y"," + NACE MR0175","")="","Not stated",MID(IF(OR(M85="Not stated",M85=""),""," + "&amp;M85)&amp;IF(OR(N85="None",N85=""),""," + "&amp;N85)&amp;IF(O85="Y"," + NACE MR0175",""),4,300))</f>
        <v>API 610 + IPS-G-PM-105</v>
      </c>
      <c r="M85" s="42" t="s">
        <v>478</v>
      </c>
      <c r="N85" s="42" t="s">
        <v>479</v>
      </c>
      <c r="O85" s="50" t="s">
        <v>312</v>
      </c>
      <c r="P85" s="42" t="s">
        <v>123</v>
      </c>
      <c r="Q85" s="42" t="s">
        <v>123</v>
      </c>
      <c r="R85" s="42" t="s">
        <v>123</v>
      </c>
      <c r="S85" s="50" t="s">
        <v>304</v>
      </c>
      <c r="T85" s="42" t="s">
        <v>342</v>
      </c>
      <c r="U85" s="42" t="n">
        <v>1</v>
      </c>
      <c r="V85" s="42" t="s">
        <v>306</v>
      </c>
      <c r="W85" s="43" t="n">
        <v>3.03</v>
      </c>
      <c r="X85" s="42" t="s">
        <v>123</v>
      </c>
      <c r="Y85" s="50" t="n">
        <v>1393</v>
      </c>
      <c r="Z85" s="42" t="s">
        <v>363</v>
      </c>
      <c r="AA85" s="46" t="n">
        <v>10000</v>
      </c>
      <c r="AB85" s="47" t="n">
        <f aca="false">IF(NOT(ISNUMBER(AA85)),"",IF(NOT(ISNUMBER(Y85)),"",IFERROR(IF(Z85="EUR",AA85,IF(Z85="IRR",AA85/INDEX('Assumptions &amp; FX Reference'!$C$5:$C$25,MATCH(Y85,'Assumptions &amp; FX Reference'!$A$5:$A$25,0)),IF(Z85="USD",AA85*INDEX('Assumptions &amp; FX Reference'!$B$5:$B$25,MATCH(Y85,'Assumptions &amp; FX Reference'!$A$5:$A$25,0))/INDEX('Assumptions &amp; FX Reference'!$C$5:$C$25,MATCH(Y85,'Assumptions &amp; FX Reference'!$A$5:$A$25,0)),""))),"")))</f>
        <v>10000</v>
      </c>
      <c r="AC85" s="47" t="n">
        <f aca="false">IF(NOT(ISNUMBER(AA85)),"",IF(NOT(ISNUMBER(Y85)),"",IFERROR(IF(Z85="USD",AA85,IF(Z85="IRR",AA85/INDEX('Assumptions &amp; FX Reference'!$B$5:$B$25,MATCH(Y85,'Assumptions &amp; FX Reference'!$A$5:$A$25,0)),IF(Z85="EUR",AA85*INDEX('Assumptions &amp; FX Reference'!$C$5:$C$25,MATCH(Y85,'Assumptions &amp; FX Reference'!$A$5:$A$25,0))/INDEX('Assumptions &amp; FX Reference'!$B$5:$B$25,MATCH(Y85,'Assumptions &amp; FX Reference'!$A$5:$A$25,0)),""))),"")))</f>
        <v>13074.4516129032</v>
      </c>
      <c r="AD85" s="47" t="n">
        <f aca="false">IF(NOT(ISNUMBER(AA85)),"",IF(NOT(ISNUMBER(Y85)),"",IFERROR(IF(Z85="IRR",AA85,IF(Z85="USD",AA85*INDEX('Assumptions &amp; FX Reference'!$B$5:$B$25,MATCH(Y85,'Assumptions &amp; FX Reference'!$A$5:$A$25,0)),IF(Z85="EUR",AA85*INDEX('Assumptions &amp; FX Reference'!$C$5:$C$25,MATCH(Y85,'Assumptions &amp; FX Reference'!$A$5:$A$25,0)),""))),"")))</f>
        <v>405308000</v>
      </c>
      <c r="AE85" s="42" t="s">
        <v>480</v>
      </c>
      <c r="AF85" s="50" t="s">
        <v>208</v>
      </c>
      <c r="AG85" s="47" t="n">
        <f aca="false">IF(AND(Z85="EUR",N(AA85)&gt;5000000),"",IF(AND(ISNUMBER(AB85),ISNUMBER(AZ85),ISNUMBER(BA85)),IF(AND(BB85="Y",ISNUMBER('Assumptions &amp; FX Reference'!$I$15)),MAX(AB85*BA85/AZ85,'Assumptions &amp; FX Reference'!$I$13*BA85/'Assumptions &amp; FX Reference'!$I$15),AB85*BA85/AZ85),""))</f>
        <v>25000</v>
      </c>
      <c r="AH85" s="47" t="n">
        <f aca="false">IF(AND(ISNUMBER(AG85),ISNUMBER('Assumptions &amp; FX Reference'!$I$8),ISNUMBER('Assumptions &amp; FX Reference'!$I$11)),AG85*'Assumptions &amp; FX Reference'!$I$8/'Assumptions &amp; FX Reference'!$I$11,"")</f>
        <v>26394.5770371416</v>
      </c>
      <c r="AI85" s="47" t="n">
        <f aca="false">IF(AND(ISNUMBER(AG85),ISNUMBER('Assumptions &amp; FX Reference'!$I$8)),AG85*'Assumptions &amp; FX Reference'!$I$8,"")</f>
        <v>17381700000</v>
      </c>
      <c r="AJ85" s="42" t="s">
        <v>481</v>
      </c>
      <c r="AK85" s="42" t="s">
        <v>482</v>
      </c>
      <c r="AL85" s="42" t="s">
        <v>123</v>
      </c>
      <c r="AM85" s="42" t="s">
        <v>123</v>
      </c>
      <c r="AN85" s="42" t="s">
        <v>123</v>
      </c>
      <c r="AO85" s="42" t="s">
        <v>123</v>
      </c>
      <c r="AP85" s="42" t="s">
        <v>123</v>
      </c>
      <c r="AQ85" s="50" t="s">
        <v>312</v>
      </c>
      <c r="AR85" s="42" t="s">
        <v>123</v>
      </c>
      <c r="AS85" s="45" t="str">
        <f aca="false">IF(AND(Z85="EUR",N(AA85)&gt;5000000),"Check currency (EUR&gt;5M); ","")&amp;IF(NOT(ISNUMBER(AA85)),"No price; ","")&amp;IF(G85="Not stated","Material missing; ","")&amp;IF(P85="Not stated","Seal missing; ","")&amp;IF(K85="","Size driver missing; ","")&amp;IF(NOT(ISNUMBER(AZ85)),"Base-year PPI missing; ","")</f>
        <v>Seal missing; </v>
      </c>
      <c r="AT85" s="48" t="n">
        <f aca="false">IFERROR(INDEX(Factors_ROT!$F$5:$F$200,MATCH("MAT|"&amp;G85,Factors_ROT!$A$5:$A$200,0)),1)</f>
        <v>1.1</v>
      </c>
      <c r="AU85" s="48" t="n">
        <f aca="false">IFERROR(INDEX(Factors_ROT!$F$5:$F$200,MATCH("SEAL_ARR|"&amp;P85,Factors_ROT!$A$5:$A$200,0)),1)*IFERROR(INDEX(Factors_ROT!$F$5:$F$200,MATCH("SEAL_CAT|"&amp;Q85,Factors_ROT!$A$5:$A$200,0)),1)*IFERROR(INDEX(Factors_ROT!$F$5:$F$200,MATCH("SEAL_PLAN|"&amp;R85,Factors_ROT!$A$5:$A$200,0)),1)</f>
        <v>1</v>
      </c>
      <c r="AV85" s="48" t="n">
        <f aca="false">IFERROR(INDEX(Factors_ROT!$F$5:$F$200,MATCH("DRV|"&amp;S85,Factors_ROT!$A$5:$A$200,0)),1)*IFERROR(INDEX(Factors_ROT!$F$5:$F$200,MATCH("NACE|"&amp;O85,Factors_ROT!$A$5:$A$200,0)),1)</f>
        <v>1</v>
      </c>
      <c r="AW85" s="48" t="n">
        <f aca="false">IFERROR(INDEX(Factors_ROT!$F$5:$F$200,MATCH("SC_DRV|"&amp;AL85,Factors_ROT!$A$5:$A$200,0)),1)*IFERROR(INDEX(Factors_ROT!$F$5:$F$200,MATCH("SC_BSP|"&amp;AM85,Factors_ROT!$A$5:$A$200,0)),1)*IFERROR(INDEX(Factors_ROT!$F$5:$F$200,MATCH("SC_SEAL|"&amp;AN85,Factors_ROT!$A$5:$A$200,0)),1)*IFERROR(INDEX(Factors_ROT!$F$5:$F$200,MATCH("SC_COMM|"&amp;AO85,Factors_ROT!$A$5:$A$200,0)),1)*IFERROR(INDEX(Factors_ROT!$F$5:$F$200,MATCH("SC_2Y|"&amp;AP85,Factors_ROT!$A$5:$A$200,0)),1)*IFERROR(INDEX(Factors_ROT!$F$5:$F$200,MATCH("SC_TPI|"&amp;AQ85,Factors_ROT!$A$5:$A$200,0)),1)*IFERROR(INDEX(Factors_ROT!$F$5:$F$200,MATCH("SC_FAT|"&amp;AR85,Factors_ROT!$A$5:$A$200,0)),1)</f>
        <v>1</v>
      </c>
      <c r="AX85" s="48" t="n">
        <f aca="false">AT85*AU85*AV85*AW85</f>
        <v>1.1</v>
      </c>
      <c r="AY85" s="47" t="n">
        <f aca="false">IF(ISNUMBER(AB85),AB85/AX85,"")</f>
        <v>9090.90909090909</v>
      </c>
      <c r="AZ85" s="49" t="n">
        <f aca="false">IFERROR(IF(N(INDEX(Escalation_Index!$B$5:$B$25,MATCH(Y85,Escalation_Index!$A$5:$A$25,0)))&gt;0,INDEX(Escalation_Index!$B$5:$B$25,MATCH(Y85,Escalation_Index!$A$5:$A$25,0)),""),"")</f>
        <v>91.347</v>
      </c>
      <c r="BA85" s="49" t="n">
        <f aca="false">IF(ISNUMBER('Assumptions &amp; FX Reference'!$I$12),'Assumptions &amp; FX Reference'!$I$12,"")</f>
        <v>123.416</v>
      </c>
      <c r="BB85" s="45" t="str">
        <f aca="false">IF(AND(M85="API 610",LEFT(V85,11)="Centrifugal",OR(LEFT(G85,2)="S-",LEFT(G85,2)="D-")),"Y","N")</f>
        <v>Y</v>
      </c>
      <c r="BC85" s="47" t="n">
        <f aca="false">IF(ISNUMBER(AG85),AG85/AX85,"")</f>
        <v>22727.2727272727</v>
      </c>
      <c r="BD85" s="47" t="n">
        <f aca="false">IF(AND(ISNUMBER(BC85),ISNUMBER(K85)),IF(K85&gt;0,BC85/K85^'Assumptions &amp; FX Reference'!$I$16,""),"")</f>
        <v>21774.0404434754</v>
      </c>
      <c r="BE85" s="42" t="s">
        <v>633</v>
      </c>
      <c r="BF85" s="42" t="s">
        <v>634</v>
      </c>
      <c r="BG85" s="42" t="s">
        <v>369</v>
      </c>
      <c r="BH85" s="45" t="s">
        <v>313</v>
      </c>
      <c r="BI85" s="45" t="str">
        <f aca="false">"PMP-"&amp;TEXT(A85,"0000")</f>
        <v>PMP-0081</v>
      </c>
    </row>
    <row r="86" customFormat="false" ht="24" hidden="false" customHeight="true" outlineLevel="0" collapsed="false">
      <c r="A86" s="42" t="n">
        <v>82</v>
      </c>
      <c r="B86" s="42" t="s">
        <v>635</v>
      </c>
      <c r="C86" s="42" t="s">
        <v>476</v>
      </c>
      <c r="D86" s="42" t="s">
        <v>636</v>
      </c>
      <c r="E86" s="42" t="s">
        <v>57</v>
      </c>
      <c r="F86" s="42" t="s">
        <v>192</v>
      </c>
      <c r="G86" s="42" t="s">
        <v>78</v>
      </c>
      <c r="H86" s="43" t="n">
        <v>10</v>
      </c>
      <c r="I86" s="43" t="n">
        <v>41</v>
      </c>
      <c r="J86" s="43"/>
      <c r="K86" s="44" t="n">
        <f aca="false">IF(ISNUMBER(J86),J86,IF(AND(ISNUMBER(H86),ISNUMBER(I86)),H86*I86/(367*'Assumptions &amp; FX Reference'!$I$17),""))</f>
        <v>1.86194368755677</v>
      </c>
      <c r="L86" s="45" t="str">
        <f aca="false">IF(IF(OR(M86="Not stated",M86=""),""," + "&amp;M86)&amp;IF(OR(N86="None",N86=""),""," + "&amp;N86)&amp;IF(O86="Y"," + NACE MR0175","")="","Not stated",MID(IF(OR(M86="Not stated",M86=""),""," + "&amp;M86)&amp;IF(OR(N86="None",N86=""),""," + "&amp;N86)&amp;IF(O86="Y"," + NACE MR0175",""),4,300))</f>
        <v>ISO 5199 + IPS-M-PM-115</v>
      </c>
      <c r="M86" s="42" t="s">
        <v>623</v>
      </c>
      <c r="N86" s="42" t="s">
        <v>624</v>
      </c>
      <c r="O86" s="50" t="s">
        <v>312</v>
      </c>
      <c r="P86" s="42" t="s">
        <v>123</v>
      </c>
      <c r="Q86" s="42" t="s">
        <v>123</v>
      </c>
      <c r="R86" s="42" t="s">
        <v>123</v>
      </c>
      <c r="S86" s="50" t="s">
        <v>304</v>
      </c>
      <c r="T86" s="42" t="s">
        <v>346</v>
      </c>
      <c r="U86" s="42" t="n">
        <v>1</v>
      </c>
      <c r="V86" s="42" t="s">
        <v>306</v>
      </c>
      <c r="W86" s="43" t="n">
        <v>3.1</v>
      </c>
      <c r="X86" s="42" t="s">
        <v>123</v>
      </c>
      <c r="Y86" s="50" t="n">
        <v>1393</v>
      </c>
      <c r="Z86" s="42" t="s">
        <v>363</v>
      </c>
      <c r="AA86" s="46" t="n">
        <v>7000</v>
      </c>
      <c r="AB86" s="47" t="n">
        <f aca="false">IF(NOT(ISNUMBER(AA86)),"",IF(NOT(ISNUMBER(Y86)),"",IFERROR(IF(Z86="EUR",AA86,IF(Z86="IRR",AA86/INDEX('Assumptions &amp; FX Reference'!$C$5:$C$25,MATCH(Y86,'Assumptions &amp; FX Reference'!$A$5:$A$25,0)),IF(Z86="USD",AA86*INDEX('Assumptions &amp; FX Reference'!$B$5:$B$25,MATCH(Y86,'Assumptions &amp; FX Reference'!$A$5:$A$25,0))/INDEX('Assumptions &amp; FX Reference'!$C$5:$C$25,MATCH(Y86,'Assumptions &amp; FX Reference'!$A$5:$A$25,0)),""))),"")))</f>
        <v>7000</v>
      </c>
      <c r="AC86" s="47" t="n">
        <f aca="false">IF(NOT(ISNUMBER(AA86)),"",IF(NOT(ISNUMBER(Y86)),"",IFERROR(IF(Z86="USD",AA86,IF(Z86="IRR",AA86/INDEX('Assumptions &amp; FX Reference'!$B$5:$B$25,MATCH(Y86,'Assumptions &amp; FX Reference'!$A$5:$A$25,0)),IF(Z86="EUR",AA86*INDEX('Assumptions &amp; FX Reference'!$C$5:$C$25,MATCH(Y86,'Assumptions &amp; FX Reference'!$A$5:$A$25,0))/INDEX('Assumptions &amp; FX Reference'!$B$5:$B$25,MATCH(Y86,'Assumptions &amp; FX Reference'!$A$5:$A$25,0)),""))),"")))</f>
        <v>9152.11612903226</v>
      </c>
      <c r="AD86" s="47" t="n">
        <f aca="false">IF(NOT(ISNUMBER(AA86)),"",IF(NOT(ISNUMBER(Y86)),"",IFERROR(IF(Z86="IRR",AA86,IF(Z86="USD",AA86*INDEX('Assumptions &amp; FX Reference'!$B$5:$B$25,MATCH(Y86,'Assumptions &amp; FX Reference'!$A$5:$A$25,0)),IF(Z86="EUR",AA86*INDEX('Assumptions &amp; FX Reference'!$C$5:$C$25,MATCH(Y86,'Assumptions &amp; FX Reference'!$A$5:$A$25,0)),""))),"")))</f>
        <v>283715600</v>
      </c>
      <c r="AE86" s="42" t="s">
        <v>480</v>
      </c>
      <c r="AF86" s="50" t="s">
        <v>208</v>
      </c>
      <c r="AG86" s="47" t="n">
        <f aca="false">IF(AND(Z86="EUR",N(AA86)&gt;5000000),"",IF(AND(ISNUMBER(AB86),ISNUMBER(AZ86),ISNUMBER(BA86)),IF(AND(BB86="Y",ISNUMBER('Assumptions &amp; FX Reference'!$I$15)),MAX(AB86*BA86/AZ86,'Assumptions &amp; FX Reference'!$I$13*BA86/'Assumptions &amp; FX Reference'!$I$15),AB86*BA86/AZ86),""))</f>
        <v>9457.47534128105</v>
      </c>
      <c r="AH86" s="47" t="n">
        <f aca="false">IF(AND(ISNUMBER(AG86),ISNUMBER('Assumptions &amp; FX Reference'!$I$8),ISNUMBER('Assumptions &amp; FX Reference'!$I$11)),AG86*'Assumptions &amp; FX Reference'!$I$8/'Assumptions &amp; FX Reference'!$I$11,"")</f>
        <v>9985.04245889241</v>
      </c>
      <c r="AI86" s="47" t="n">
        <f aca="false">IF(AND(ISNUMBER(AG86),ISNUMBER('Assumptions &amp; FX Reference'!$I$8)),AG86*'Assumptions &amp; FX Reference'!$I$8,"")</f>
        <v>6575479965.58179</v>
      </c>
      <c r="AJ86" s="42" t="s">
        <v>481</v>
      </c>
      <c r="AK86" s="42" t="s">
        <v>482</v>
      </c>
      <c r="AL86" s="42" t="s">
        <v>123</v>
      </c>
      <c r="AM86" s="42" t="s">
        <v>123</v>
      </c>
      <c r="AN86" s="42" t="s">
        <v>123</v>
      </c>
      <c r="AO86" s="42" t="s">
        <v>123</v>
      </c>
      <c r="AP86" s="42" t="s">
        <v>123</v>
      </c>
      <c r="AQ86" s="50" t="s">
        <v>312</v>
      </c>
      <c r="AR86" s="42" t="s">
        <v>123</v>
      </c>
      <c r="AS86" s="45" t="str">
        <f aca="false">IF(AND(Z86="EUR",N(AA86)&gt;5000000),"Check currency (EUR&gt;5M); ","")&amp;IF(NOT(ISNUMBER(AA86)),"No price; ","")&amp;IF(G86="Not stated","Material missing; ","")&amp;IF(P86="Not stated","Seal missing; ","")&amp;IF(K86="","Size driver missing; ","")&amp;IF(NOT(ISNUMBER(AZ86)),"Base-year PPI missing; ","")</f>
        <v>Seal missing; </v>
      </c>
      <c r="AT86" s="48" t="n">
        <f aca="false">IFERROR(INDEX(Factors_ROT!$F$5:$F$200,MATCH("MAT|"&amp;G86,Factors_ROT!$A$5:$A$200,0)),1)</f>
        <v>0.9</v>
      </c>
      <c r="AU86" s="48" t="n">
        <f aca="false">IFERROR(INDEX(Factors_ROT!$F$5:$F$200,MATCH("SEAL_ARR|"&amp;P86,Factors_ROT!$A$5:$A$200,0)),1)*IFERROR(INDEX(Factors_ROT!$F$5:$F$200,MATCH("SEAL_CAT|"&amp;Q86,Factors_ROT!$A$5:$A$200,0)),1)*IFERROR(INDEX(Factors_ROT!$F$5:$F$200,MATCH("SEAL_PLAN|"&amp;R86,Factors_ROT!$A$5:$A$200,0)),1)</f>
        <v>1</v>
      </c>
      <c r="AV86" s="48" t="n">
        <f aca="false">IFERROR(INDEX(Factors_ROT!$F$5:$F$200,MATCH("DRV|"&amp;S86,Factors_ROT!$A$5:$A$200,0)),1)*IFERROR(INDEX(Factors_ROT!$F$5:$F$200,MATCH("NACE|"&amp;O86,Factors_ROT!$A$5:$A$200,0)),1)</f>
        <v>1</v>
      </c>
      <c r="AW86" s="48" t="n">
        <f aca="false">IFERROR(INDEX(Factors_ROT!$F$5:$F$200,MATCH("SC_DRV|"&amp;AL86,Factors_ROT!$A$5:$A$200,0)),1)*IFERROR(INDEX(Factors_ROT!$F$5:$F$200,MATCH("SC_BSP|"&amp;AM86,Factors_ROT!$A$5:$A$200,0)),1)*IFERROR(INDEX(Factors_ROT!$F$5:$F$200,MATCH("SC_SEAL|"&amp;AN86,Factors_ROT!$A$5:$A$200,0)),1)*IFERROR(INDEX(Factors_ROT!$F$5:$F$200,MATCH("SC_COMM|"&amp;AO86,Factors_ROT!$A$5:$A$200,0)),1)*IFERROR(INDEX(Factors_ROT!$F$5:$F$200,MATCH("SC_2Y|"&amp;AP86,Factors_ROT!$A$5:$A$200,0)),1)*IFERROR(INDEX(Factors_ROT!$F$5:$F$200,MATCH("SC_TPI|"&amp;AQ86,Factors_ROT!$A$5:$A$200,0)),1)*IFERROR(INDEX(Factors_ROT!$F$5:$F$200,MATCH("SC_FAT|"&amp;AR86,Factors_ROT!$A$5:$A$200,0)),1)</f>
        <v>1</v>
      </c>
      <c r="AX86" s="48" t="n">
        <f aca="false">AT86*AU86*AV86*AW86</f>
        <v>0.9</v>
      </c>
      <c r="AY86" s="47" t="n">
        <f aca="false">IF(ISNUMBER(AB86),AB86/AX86,"")</f>
        <v>7777.77777777778</v>
      </c>
      <c r="AZ86" s="49" t="n">
        <f aca="false">IFERROR(IF(N(INDEX(Escalation_Index!$B$5:$B$25,MATCH(Y86,Escalation_Index!$A$5:$A$25,0)))&gt;0,INDEX(Escalation_Index!$B$5:$B$25,MATCH(Y86,Escalation_Index!$A$5:$A$25,0)),""),"")</f>
        <v>91.347</v>
      </c>
      <c r="BA86" s="49" t="n">
        <f aca="false">IF(ISNUMBER('Assumptions &amp; FX Reference'!$I$12),'Assumptions &amp; FX Reference'!$I$12,"")</f>
        <v>123.416</v>
      </c>
      <c r="BB86" s="45" t="str">
        <f aca="false">IF(AND(M86="API 610",LEFT(V86,11)="Centrifugal",OR(LEFT(G86,2)="S-",LEFT(G86,2)="D-")),"Y","N")</f>
        <v>N</v>
      </c>
      <c r="BC86" s="47" t="n">
        <f aca="false">IF(ISNUMBER(AG86),AG86/AX86,"")</f>
        <v>10508.3059347567</v>
      </c>
      <c r="BD86" s="47" t="n">
        <f aca="false">IF(AND(ISNUMBER(BC86),ISNUMBER(K86)),IF(K86&gt;0,BC86/K86^'Assumptions &amp; FX Reference'!$I$16,""),"")</f>
        <v>7236.90352224696</v>
      </c>
      <c r="BE86" s="42" t="s">
        <v>637</v>
      </c>
      <c r="BF86" s="42" t="s">
        <v>638</v>
      </c>
      <c r="BG86" s="42" t="s">
        <v>369</v>
      </c>
      <c r="BH86" s="45" t="s">
        <v>313</v>
      </c>
      <c r="BI86" s="45" t="str">
        <f aca="false">"PMP-"&amp;TEXT(A86,"0000")</f>
        <v>PMP-0082</v>
      </c>
    </row>
    <row r="87" customFormat="false" ht="24" hidden="false" customHeight="true" outlineLevel="0" collapsed="false">
      <c r="A87" s="42" t="n">
        <v>83</v>
      </c>
      <c r="B87" s="42" t="s">
        <v>639</v>
      </c>
      <c r="C87" s="42" t="s">
        <v>476</v>
      </c>
      <c r="D87" s="42" t="s">
        <v>640</v>
      </c>
      <c r="E87" s="42" t="s">
        <v>54</v>
      </c>
      <c r="F87" s="42" t="s">
        <v>171</v>
      </c>
      <c r="G87" s="42" t="s">
        <v>90</v>
      </c>
      <c r="H87" s="43" t="n">
        <v>5.5</v>
      </c>
      <c r="I87" s="43" t="n">
        <v>31</v>
      </c>
      <c r="J87" s="43"/>
      <c r="K87" s="44" t="n">
        <f aca="false">IF(ISNUMBER(J87),J87,IF(AND(ISNUMBER(H87),ISNUMBER(I87)),H87*I87/(367*'Assumptions &amp; FX Reference'!$I$17),""))</f>
        <v>0.774296094459582</v>
      </c>
      <c r="L87" s="45" t="str">
        <f aca="false">IF(IF(OR(M87="Not stated",M87=""),""," + "&amp;M87)&amp;IF(OR(N87="None",N87=""),""," + "&amp;N87)&amp;IF(O87="Y"," + NACE MR0175","")="","Not stated",MID(IF(OR(M87="Not stated",M87=""),""," + "&amp;M87)&amp;IF(OR(N87="None",N87=""),""," + "&amp;N87)&amp;IF(O87="Y"," + NACE MR0175",""),4,300))</f>
        <v>API 610 + IPS-G-PM-105</v>
      </c>
      <c r="M87" s="42" t="s">
        <v>478</v>
      </c>
      <c r="N87" s="42" t="s">
        <v>479</v>
      </c>
      <c r="O87" s="50" t="s">
        <v>312</v>
      </c>
      <c r="P87" s="42" t="s">
        <v>123</v>
      </c>
      <c r="Q87" s="42" t="s">
        <v>123</v>
      </c>
      <c r="R87" s="42" t="s">
        <v>123</v>
      </c>
      <c r="S87" s="50" t="s">
        <v>304</v>
      </c>
      <c r="T87" s="42" t="s">
        <v>342</v>
      </c>
      <c r="U87" s="42" t="n">
        <v>1</v>
      </c>
      <c r="V87" s="42" t="s">
        <v>306</v>
      </c>
      <c r="W87" s="43" t="n">
        <v>3.4</v>
      </c>
      <c r="X87" s="42" t="s">
        <v>123</v>
      </c>
      <c r="Y87" s="50" t="n">
        <v>1393</v>
      </c>
      <c r="Z87" s="42" t="s">
        <v>363</v>
      </c>
      <c r="AA87" s="46" t="n">
        <v>10000</v>
      </c>
      <c r="AB87" s="47" t="n">
        <f aca="false">IF(NOT(ISNUMBER(AA87)),"",IF(NOT(ISNUMBER(Y87)),"",IFERROR(IF(Z87="EUR",AA87,IF(Z87="IRR",AA87/INDEX('Assumptions &amp; FX Reference'!$C$5:$C$25,MATCH(Y87,'Assumptions &amp; FX Reference'!$A$5:$A$25,0)),IF(Z87="USD",AA87*INDEX('Assumptions &amp; FX Reference'!$B$5:$B$25,MATCH(Y87,'Assumptions &amp; FX Reference'!$A$5:$A$25,0))/INDEX('Assumptions &amp; FX Reference'!$C$5:$C$25,MATCH(Y87,'Assumptions &amp; FX Reference'!$A$5:$A$25,0)),""))),"")))</f>
        <v>10000</v>
      </c>
      <c r="AC87" s="47" t="n">
        <f aca="false">IF(NOT(ISNUMBER(AA87)),"",IF(NOT(ISNUMBER(Y87)),"",IFERROR(IF(Z87="USD",AA87,IF(Z87="IRR",AA87/INDEX('Assumptions &amp; FX Reference'!$B$5:$B$25,MATCH(Y87,'Assumptions &amp; FX Reference'!$A$5:$A$25,0)),IF(Z87="EUR",AA87*INDEX('Assumptions &amp; FX Reference'!$C$5:$C$25,MATCH(Y87,'Assumptions &amp; FX Reference'!$A$5:$A$25,0))/INDEX('Assumptions &amp; FX Reference'!$B$5:$B$25,MATCH(Y87,'Assumptions &amp; FX Reference'!$A$5:$A$25,0)),""))),"")))</f>
        <v>13074.4516129032</v>
      </c>
      <c r="AD87" s="47" t="n">
        <f aca="false">IF(NOT(ISNUMBER(AA87)),"",IF(NOT(ISNUMBER(Y87)),"",IFERROR(IF(Z87="IRR",AA87,IF(Z87="USD",AA87*INDEX('Assumptions &amp; FX Reference'!$B$5:$B$25,MATCH(Y87,'Assumptions &amp; FX Reference'!$A$5:$A$25,0)),IF(Z87="EUR",AA87*INDEX('Assumptions &amp; FX Reference'!$C$5:$C$25,MATCH(Y87,'Assumptions &amp; FX Reference'!$A$5:$A$25,0)),""))),"")))</f>
        <v>405308000</v>
      </c>
      <c r="AE87" s="42" t="s">
        <v>480</v>
      </c>
      <c r="AF87" s="50" t="s">
        <v>208</v>
      </c>
      <c r="AG87" s="47" t="n">
        <f aca="false">IF(AND(Z87="EUR",N(AA87)&gt;5000000),"",IF(AND(ISNUMBER(AB87),ISNUMBER(AZ87),ISNUMBER(BA87)),IF(AND(BB87="Y",ISNUMBER('Assumptions &amp; FX Reference'!$I$15)),MAX(AB87*BA87/AZ87,'Assumptions &amp; FX Reference'!$I$13*BA87/'Assumptions &amp; FX Reference'!$I$15),AB87*BA87/AZ87),""))</f>
        <v>25000</v>
      </c>
      <c r="AH87" s="47" t="n">
        <f aca="false">IF(AND(ISNUMBER(AG87),ISNUMBER('Assumptions &amp; FX Reference'!$I$8),ISNUMBER('Assumptions &amp; FX Reference'!$I$11)),AG87*'Assumptions &amp; FX Reference'!$I$8/'Assumptions &amp; FX Reference'!$I$11,"")</f>
        <v>26394.5770371416</v>
      </c>
      <c r="AI87" s="47" t="n">
        <f aca="false">IF(AND(ISNUMBER(AG87),ISNUMBER('Assumptions &amp; FX Reference'!$I$8)),AG87*'Assumptions &amp; FX Reference'!$I$8,"")</f>
        <v>17381700000</v>
      </c>
      <c r="AJ87" s="42" t="s">
        <v>481</v>
      </c>
      <c r="AK87" s="42" t="s">
        <v>482</v>
      </c>
      <c r="AL87" s="42" t="s">
        <v>123</v>
      </c>
      <c r="AM87" s="42" t="s">
        <v>123</v>
      </c>
      <c r="AN87" s="42" t="s">
        <v>123</v>
      </c>
      <c r="AO87" s="42" t="s">
        <v>123</v>
      </c>
      <c r="AP87" s="42" t="s">
        <v>123</v>
      </c>
      <c r="AQ87" s="50" t="s">
        <v>312</v>
      </c>
      <c r="AR87" s="42" t="s">
        <v>123</v>
      </c>
      <c r="AS87" s="45" t="str">
        <f aca="false">IF(AND(Z87="EUR",N(AA87)&gt;5000000),"Check currency (EUR&gt;5M); ","")&amp;IF(NOT(ISNUMBER(AA87)),"No price; ","")&amp;IF(G87="Not stated","Material missing; ","")&amp;IF(P87="Not stated","Seal missing; ","")&amp;IF(K87="","Size driver missing; ","")&amp;IF(NOT(ISNUMBER(AZ87)),"Base-year PPI missing; ","")</f>
        <v>Seal missing; </v>
      </c>
      <c r="AT87" s="48" t="n">
        <f aca="false">IFERROR(INDEX(Factors_ROT!$F$5:$F$200,MATCH("MAT|"&amp;G87,Factors_ROT!$A$5:$A$200,0)),1)</f>
        <v>1.1</v>
      </c>
      <c r="AU87" s="48" t="n">
        <f aca="false">IFERROR(INDEX(Factors_ROT!$F$5:$F$200,MATCH("SEAL_ARR|"&amp;P87,Factors_ROT!$A$5:$A$200,0)),1)*IFERROR(INDEX(Factors_ROT!$F$5:$F$200,MATCH("SEAL_CAT|"&amp;Q87,Factors_ROT!$A$5:$A$200,0)),1)*IFERROR(INDEX(Factors_ROT!$F$5:$F$200,MATCH("SEAL_PLAN|"&amp;R87,Factors_ROT!$A$5:$A$200,0)),1)</f>
        <v>1</v>
      </c>
      <c r="AV87" s="48" t="n">
        <f aca="false">IFERROR(INDEX(Factors_ROT!$F$5:$F$200,MATCH("DRV|"&amp;S87,Factors_ROT!$A$5:$A$200,0)),1)*IFERROR(INDEX(Factors_ROT!$F$5:$F$200,MATCH("NACE|"&amp;O87,Factors_ROT!$A$5:$A$200,0)),1)</f>
        <v>1</v>
      </c>
      <c r="AW87" s="48" t="n">
        <f aca="false">IFERROR(INDEX(Factors_ROT!$F$5:$F$200,MATCH("SC_DRV|"&amp;AL87,Factors_ROT!$A$5:$A$200,0)),1)*IFERROR(INDEX(Factors_ROT!$F$5:$F$200,MATCH("SC_BSP|"&amp;AM87,Factors_ROT!$A$5:$A$200,0)),1)*IFERROR(INDEX(Factors_ROT!$F$5:$F$200,MATCH("SC_SEAL|"&amp;AN87,Factors_ROT!$A$5:$A$200,0)),1)*IFERROR(INDEX(Factors_ROT!$F$5:$F$200,MATCH("SC_COMM|"&amp;AO87,Factors_ROT!$A$5:$A$200,0)),1)*IFERROR(INDEX(Factors_ROT!$F$5:$F$200,MATCH("SC_2Y|"&amp;AP87,Factors_ROT!$A$5:$A$200,0)),1)*IFERROR(INDEX(Factors_ROT!$F$5:$F$200,MATCH("SC_TPI|"&amp;AQ87,Factors_ROT!$A$5:$A$200,0)),1)*IFERROR(INDEX(Factors_ROT!$F$5:$F$200,MATCH("SC_FAT|"&amp;AR87,Factors_ROT!$A$5:$A$200,0)),1)</f>
        <v>1</v>
      </c>
      <c r="AX87" s="48" t="n">
        <f aca="false">AT87*AU87*AV87*AW87</f>
        <v>1.1</v>
      </c>
      <c r="AY87" s="47" t="n">
        <f aca="false">IF(ISNUMBER(AB87),AB87/AX87,"")</f>
        <v>9090.90909090909</v>
      </c>
      <c r="AZ87" s="49" t="n">
        <f aca="false">IFERROR(IF(N(INDEX(Escalation_Index!$B$5:$B$25,MATCH(Y87,Escalation_Index!$A$5:$A$25,0)))&gt;0,INDEX(Escalation_Index!$B$5:$B$25,MATCH(Y87,Escalation_Index!$A$5:$A$25,0)),""),"")</f>
        <v>91.347</v>
      </c>
      <c r="BA87" s="49" t="n">
        <f aca="false">IF(ISNUMBER('Assumptions &amp; FX Reference'!$I$12),'Assumptions &amp; FX Reference'!$I$12,"")</f>
        <v>123.416</v>
      </c>
      <c r="BB87" s="45" t="str">
        <f aca="false">IF(AND(M87="API 610",LEFT(V87,11)="Centrifugal",OR(LEFT(G87,2)="S-",LEFT(G87,2)="D-")),"Y","N")</f>
        <v>Y</v>
      </c>
      <c r="BC87" s="47" t="n">
        <f aca="false">IF(ISNUMBER(AG87),AG87/AX87,"")</f>
        <v>22727.2727272727</v>
      </c>
      <c r="BD87" s="47" t="n">
        <f aca="false">IF(AND(ISNUMBER(BC87),ISNUMBER(K87)),IF(K87&gt;0,BC87/K87^'Assumptions &amp; FX Reference'!$I$16,""),"")</f>
        <v>26497.3890468162</v>
      </c>
      <c r="BE87" s="42" t="s">
        <v>641</v>
      </c>
      <c r="BF87" s="42" t="s">
        <v>642</v>
      </c>
      <c r="BG87" s="42" t="s">
        <v>369</v>
      </c>
      <c r="BH87" s="45" t="s">
        <v>313</v>
      </c>
      <c r="BI87" s="45" t="str">
        <f aca="false">"PMP-"&amp;TEXT(A87,"0000")</f>
        <v>PMP-0083</v>
      </c>
    </row>
    <row r="88" customFormat="false" ht="24" hidden="false" customHeight="true" outlineLevel="0" collapsed="false">
      <c r="A88" s="42" t="n">
        <v>84</v>
      </c>
      <c r="B88" s="42" t="s">
        <v>643</v>
      </c>
      <c r="C88" s="42" t="s">
        <v>476</v>
      </c>
      <c r="D88" s="42" t="s">
        <v>644</v>
      </c>
      <c r="E88" s="42" t="s">
        <v>60</v>
      </c>
      <c r="F88" s="42" t="s">
        <v>186</v>
      </c>
      <c r="G88" s="42" t="s">
        <v>74</v>
      </c>
      <c r="H88" s="43" t="n">
        <v>770</v>
      </c>
      <c r="I88" s="43" t="n">
        <v>107</v>
      </c>
      <c r="J88" s="43"/>
      <c r="K88" s="44" t="n">
        <f aca="false">IF(ISNUMBER(J88),J88,IF(AND(ISNUMBER(H88),ISNUMBER(I88)),H88*I88/(367*'Assumptions &amp; FX Reference'!$I$17),""))</f>
        <v>374.159854677566</v>
      </c>
      <c r="L88" s="45" t="str">
        <f aca="false">IF(IF(OR(M88="Not stated",M88=""),""," + "&amp;M88)&amp;IF(OR(N88="None",N88=""),""," + "&amp;N88)&amp;IF(O88="Y"," + NACE MR0175","")="","Not stated",MID(IF(OR(M88="Not stated",M88=""),""," + "&amp;M88)&amp;IF(OR(N88="None",N88=""),""," + "&amp;N88)&amp;IF(O88="Y"," + NACE MR0175",""),4,300))</f>
        <v>NFPA 20 + IPS-M-PM-125</v>
      </c>
      <c r="M88" s="42" t="s">
        <v>645</v>
      </c>
      <c r="N88" s="42" t="s">
        <v>646</v>
      </c>
      <c r="O88" s="50" t="s">
        <v>312</v>
      </c>
      <c r="P88" s="42" t="s">
        <v>123</v>
      </c>
      <c r="Q88" s="42" t="s">
        <v>123</v>
      </c>
      <c r="R88" s="42" t="s">
        <v>123</v>
      </c>
      <c r="S88" s="42" t="s">
        <v>304</v>
      </c>
      <c r="T88" s="42" t="s">
        <v>453</v>
      </c>
      <c r="U88" s="42" t="n">
        <v>1</v>
      </c>
      <c r="V88" s="42" t="s">
        <v>306</v>
      </c>
      <c r="W88" s="43" t="n">
        <v>11.3</v>
      </c>
      <c r="X88" s="42" t="s">
        <v>123</v>
      </c>
      <c r="Y88" s="50" t="n">
        <v>1393</v>
      </c>
      <c r="Z88" s="42" t="s">
        <v>363</v>
      </c>
      <c r="AA88" s="46" t="n">
        <v>70000</v>
      </c>
      <c r="AB88" s="47" t="n">
        <f aca="false">IF(NOT(ISNUMBER(AA88)),"",IF(NOT(ISNUMBER(Y88)),"",IFERROR(IF(Z88="EUR",AA88,IF(Z88="IRR",AA88/INDEX('Assumptions &amp; FX Reference'!$C$5:$C$25,MATCH(Y88,'Assumptions &amp; FX Reference'!$A$5:$A$25,0)),IF(Z88="USD",AA88*INDEX('Assumptions &amp; FX Reference'!$B$5:$B$25,MATCH(Y88,'Assumptions &amp; FX Reference'!$A$5:$A$25,0))/INDEX('Assumptions &amp; FX Reference'!$C$5:$C$25,MATCH(Y88,'Assumptions &amp; FX Reference'!$A$5:$A$25,0)),""))),"")))</f>
        <v>70000</v>
      </c>
      <c r="AC88" s="47" t="n">
        <f aca="false">IF(NOT(ISNUMBER(AA88)),"",IF(NOT(ISNUMBER(Y88)),"",IFERROR(IF(Z88="USD",AA88,IF(Z88="IRR",AA88/INDEX('Assumptions &amp; FX Reference'!$B$5:$B$25,MATCH(Y88,'Assumptions &amp; FX Reference'!$A$5:$A$25,0)),IF(Z88="EUR",AA88*INDEX('Assumptions &amp; FX Reference'!$C$5:$C$25,MATCH(Y88,'Assumptions &amp; FX Reference'!$A$5:$A$25,0))/INDEX('Assumptions &amp; FX Reference'!$B$5:$B$25,MATCH(Y88,'Assumptions &amp; FX Reference'!$A$5:$A$25,0)),""))),"")))</f>
        <v>91521.1612903226</v>
      </c>
      <c r="AD88" s="47" t="n">
        <f aca="false">IF(NOT(ISNUMBER(AA88)),"",IF(NOT(ISNUMBER(Y88)),"",IFERROR(IF(Z88="IRR",AA88,IF(Z88="USD",AA88*INDEX('Assumptions &amp; FX Reference'!$B$5:$B$25,MATCH(Y88,'Assumptions &amp; FX Reference'!$A$5:$A$25,0)),IF(Z88="EUR",AA88*INDEX('Assumptions &amp; FX Reference'!$C$5:$C$25,MATCH(Y88,'Assumptions &amp; FX Reference'!$A$5:$A$25,0)),""))),"")))</f>
        <v>2837156000</v>
      </c>
      <c r="AE88" s="42" t="s">
        <v>480</v>
      </c>
      <c r="AF88" s="50" t="s">
        <v>208</v>
      </c>
      <c r="AG88" s="47" t="n">
        <f aca="false">IF(AND(Z88="EUR",N(AA88)&gt;5000000),"",IF(AND(ISNUMBER(AB88),ISNUMBER(AZ88),ISNUMBER(BA88)),IF(AND(BB88="Y",ISNUMBER('Assumptions &amp; FX Reference'!$I$15)),MAX(AB88*BA88/AZ88,'Assumptions &amp; FX Reference'!$I$13*BA88/'Assumptions &amp; FX Reference'!$I$15),AB88*BA88/AZ88),""))</f>
        <v>94574.7534128105</v>
      </c>
      <c r="AH88" s="47" t="n">
        <f aca="false">IF(AND(ISNUMBER(AG88),ISNUMBER('Assumptions &amp; FX Reference'!$I$8),ISNUMBER('Assumptions &amp; FX Reference'!$I$11)),AG88*'Assumptions &amp; FX Reference'!$I$8/'Assumptions &amp; FX Reference'!$I$11,"")</f>
        <v>99850.4245889241</v>
      </c>
      <c r="AI88" s="47" t="n">
        <f aca="false">IF(AND(ISNUMBER(AG88),ISNUMBER('Assumptions &amp; FX Reference'!$I$8)),AG88*'Assumptions &amp; FX Reference'!$I$8,"")</f>
        <v>65754799655.8179</v>
      </c>
      <c r="AJ88" s="42" t="s">
        <v>481</v>
      </c>
      <c r="AK88" s="42" t="s">
        <v>482</v>
      </c>
      <c r="AL88" s="42" t="s">
        <v>123</v>
      </c>
      <c r="AM88" s="42" t="s">
        <v>123</v>
      </c>
      <c r="AN88" s="42" t="s">
        <v>123</v>
      </c>
      <c r="AO88" s="42" t="s">
        <v>123</v>
      </c>
      <c r="AP88" s="42" t="s">
        <v>123</v>
      </c>
      <c r="AQ88" s="50" t="s">
        <v>312</v>
      </c>
      <c r="AR88" s="42" t="s">
        <v>123</v>
      </c>
      <c r="AS88" s="45" t="str">
        <f aca="false">IF(AND(Z88="EUR",N(AA88)&gt;5000000),"Check currency (EUR&gt;5M); ","")&amp;IF(NOT(ISNUMBER(AA88)),"No price; ","")&amp;IF(G88="Not stated","Material missing; ","")&amp;IF(P88="Not stated","Seal missing; ","")&amp;IF(K88="","Size driver missing; ","")&amp;IF(NOT(ISNUMBER(AZ88)),"Base-year PPI missing; ","")</f>
        <v>Seal missing; </v>
      </c>
      <c r="AT88" s="48" t="n">
        <f aca="false">IFERROR(INDEX(Factors_ROT!$F$5:$F$200,MATCH("MAT|"&amp;G88,Factors_ROT!$A$5:$A$200,0)),1)</f>
        <v>0.8</v>
      </c>
      <c r="AU88" s="48" t="n">
        <f aca="false">IFERROR(INDEX(Factors_ROT!$F$5:$F$200,MATCH("SEAL_ARR|"&amp;P88,Factors_ROT!$A$5:$A$200,0)),1)*IFERROR(INDEX(Factors_ROT!$F$5:$F$200,MATCH("SEAL_CAT|"&amp;Q88,Factors_ROT!$A$5:$A$200,0)),1)*IFERROR(INDEX(Factors_ROT!$F$5:$F$200,MATCH("SEAL_PLAN|"&amp;R88,Factors_ROT!$A$5:$A$200,0)),1)</f>
        <v>1</v>
      </c>
      <c r="AV88" s="48" t="n">
        <f aca="false">IFERROR(INDEX(Factors_ROT!$F$5:$F$200,MATCH("DRV|"&amp;S88,Factors_ROT!$A$5:$A$200,0)),1)*IFERROR(INDEX(Factors_ROT!$F$5:$F$200,MATCH("NACE|"&amp;O88,Factors_ROT!$A$5:$A$200,0)),1)</f>
        <v>1</v>
      </c>
      <c r="AW88" s="48" t="n">
        <f aca="false">IFERROR(INDEX(Factors_ROT!$F$5:$F$200,MATCH("SC_DRV|"&amp;AL88,Factors_ROT!$A$5:$A$200,0)),1)*IFERROR(INDEX(Factors_ROT!$F$5:$F$200,MATCH("SC_BSP|"&amp;AM88,Factors_ROT!$A$5:$A$200,0)),1)*IFERROR(INDEX(Factors_ROT!$F$5:$F$200,MATCH("SC_SEAL|"&amp;AN88,Factors_ROT!$A$5:$A$200,0)),1)*IFERROR(INDEX(Factors_ROT!$F$5:$F$200,MATCH("SC_COMM|"&amp;AO88,Factors_ROT!$A$5:$A$200,0)),1)*IFERROR(INDEX(Factors_ROT!$F$5:$F$200,MATCH("SC_2Y|"&amp;AP88,Factors_ROT!$A$5:$A$200,0)),1)*IFERROR(INDEX(Factors_ROT!$F$5:$F$200,MATCH("SC_TPI|"&amp;AQ88,Factors_ROT!$A$5:$A$200,0)),1)*IFERROR(INDEX(Factors_ROT!$F$5:$F$200,MATCH("SC_FAT|"&amp;AR88,Factors_ROT!$A$5:$A$200,0)),1)</f>
        <v>1</v>
      </c>
      <c r="AX88" s="48" t="n">
        <f aca="false">AT88*AU88*AV88*AW88</f>
        <v>0.8</v>
      </c>
      <c r="AY88" s="47" t="n">
        <f aca="false">IF(ISNUMBER(AB88),AB88/AX88,"")</f>
        <v>87500</v>
      </c>
      <c r="AZ88" s="49" t="n">
        <f aca="false">IFERROR(IF(N(INDEX(Escalation_Index!$B$5:$B$25,MATCH(Y88,Escalation_Index!$A$5:$A$25,0)))&gt;0,INDEX(Escalation_Index!$B$5:$B$25,MATCH(Y88,Escalation_Index!$A$5:$A$25,0)),""),"")</f>
        <v>91.347</v>
      </c>
      <c r="BA88" s="49" t="n">
        <f aca="false">IF(ISNUMBER('Assumptions &amp; FX Reference'!$I$12),'Assumptions &amp; FX Reference'!$I$12,"")</f>
        <v>123.416</v>
      </c>
      <c r="BB88" s="45" t="str">
        <f aca="false">IF(AND(M88="API 610",LEFT(V88,11)="Centrifugal",OR(LEFT(G88,2)="S-",LEFT(G88,2)="D-")),"Y","N")</f>
        <v>N</v>
      </c>
      <c r="BC88" s="47" t="n">
        <f aca="false">IF(ISNUMBER(AG88),AG88/AX88,"")</f>
        <v>118218.441766013</v>
      </c>
      <c r="BD88" s="47" t="n">
        <f aca="false">IF(AND(ISNUMBER(BC88),ISNUMBER(K88)),IF(K88&gt;0,BC88/K88^'Assumptions &amp; FX Reference'!$I$16,""),"")</f>
        <v>3379.48807018346</v>
      </c>
      <c r="BE88" s="42" t="s">
        <v>647</v>
      </c>
      <c r="BF88" s="42" t="s">
        <v>648</v>
      </c>
      <c r="BG88" s="42" t="s">
        <v>369</v>
      </c>
      <c r="BH88" s="45" t="s">
        <v>313</v>
      </c>
      <c r="BI88" s="45" t="str">
        <f aca="false">"PMP-"&amp;TEXT(A88,"0000")</f>
        <v>PMP-0084</v>
      </c>
    </row>
    <row r="89" customFormat="false" ht="24" hidden="false" customHeight="true" outlineLevel="0" collapsed="false">
      <c r="A89" s="42" t="n">
        <v>85</v>
      </c>
      <c r="B89" s="42" t="s">
        <v>649</v>
      </c>
      <c r="C89" s="42" t="s">
        <v>476</v>
      </c>
      <c r="D89" s="42" t="s">
        <v>650</v>
      </c>
      <c r="E89" s="42" t="s">
        <v>60</v>
      </c>
      <c r="F89" s="42" t="s">
        <v>186</v>
      </c>
      <c r="G89" s="42" t="s">
        <v>74</v>
      </c>
      <c r="H89" s="43" t="n">
        <v>770</v>
      </c>
      <c r="I89" s="43" t="n">
        <v>88.7</v>
      </c>
      <c r="J89" s="43"/>
      <c r="K89" s="44" t="n">
        <f aca="false">IF(ISNUMBER(J89),J89,IF(AND(ISNUMBER(H89),ISNUMBER(I89)),H89*I89/(367*'Assumptions &amp; FX Reference'!$I$17),""))</f>
        <v>310.168029064487</v>
      </c>
      <c r="L89" s="45" t="str">
        <f aca="false">IF(IF(OR(M89="Not stated",M89=""),""," + "&amp;M89)&amp;IF(OR(N89="None",N89=""),""," + "&amp;N89)&amp;IF(O89="Y"," + NACE MR0175","")="","Not stated",MID(IF(OR(M89="Not stated",M89=""),""," + "&amp;M89)&amp;IF(OR(N89="None",N89=""),""," + "&amp;N89)&amp;IF(O89="Y"," + NACE MR0175",""),4,300))</f>
        <v>NFPA 20 + IPS-M-PM-125</v>
      </c>
      <c r="M89" s="42" t="s">
        <v>645</v>
      </c>
      <c r="N89" s="42" t="s">
        <v>646</v>
      </c>
      <c r="O89" s="50" t="s">
        <v>312</v>
      </c>
      <c r="P89" s="42" t="s">
        <v>123</v>
      </c>
      <c r="Q89" s="42" t="s">
        <v>123</v>
      </c>
      <c r="R89" s="42" t="s">
        <v>123</v>
      </c>
      <c r="S89" s="42" t="s">
        <v>460</v>
      </c>
      <c r="T89" s="42" t="s">
        <v>453</v>
      </c>
      <c r="U89" s="42" t="n">
        <v>1</v>
      </c>
      <c r="V89" s="42" t="s">
        <v>306</v>
      </c>
      <c r="W89" s="43" t="n">
        <v>9.5</v>
      </c>
      <c r="X89" s="42" t="s">
        <v>123</v>
      </c>
      <c r="Y89" s="50" t="n">
        <v>1393</v>
      </c>
      <c r="Z89" s="42" t="s">
        <v>363</v>
      </c>
      <c r="AA89" s="46" t="n">
        <v>90000</v>
      </c>
      <c r="AB89" s="47" t="n">
        <f aca="false">IF(NOT(ISNUMBER(AA89)),"",IF(NOT(ISNUMBER(Y89)),"",IFERROR(IF(Z89="EUR",AA89,IF(Z89="IRR",AA89/INDEX('Assumptions &amp; FX Reference'!$C$5:$C$25,MATCH(Y89,'Assumptions &amp; FX Reference'!$A$5:$A$25,0)),IF(Z89="USD",AA89*INDEX('Assumptions &amp; FX Reference'!$B$5:$B$25,MATCH(Y89,'Assumptions &amp; FX Reference'!$A$5:$A$25,0))/INDEX('Assumptions &amp; FX Reference'!$C$5:$C$25,MATCH(Y89,'Assumptions &amp; FX Reference'!$A$5:$A$25,0)),""))),"")))</f>
        <v>90000</v>
      </c>
      <c r="AC89" s="47" t="n">
        <f aca="false">IF(NOT(ISNUMBER(AA89)),"",IF(NOT(ISNUMBER(Y89)),"",IFERROR(IF(Z89="USD",AA89,IF(Z89="IRR",AA89/INDEX('Assumptions &amp; FX Reference'!$B$5:$B$25,MATCH(Y89,'Assumptions &amp; FX Reference'!$A$5:$A$25,0)),IF(Z89="EUR",AA89*INDEX('Assumptions &amp; FX Reference'!$C$5:$C$25,MATCH(Y89,'Assumptions &amp; FX Reference'!$A$5:$A$25,0))/INDEX('Assumptions &amp; FX Reference'!$B$5:$B$25,MATCH(Y89,'Assumptions &amp; FX Reference'!$A$5:$A$25,0)),""))),"")))</f>
        <v>117670.064516129</v>
      </c>
      <c r="AD89" s="47" t="n">
        <f aca="false">IF(NOT(ISNUMBER(AA89)),"",IF(NOT(ISNUMBER(Y89)),"",IFERROR(IF(Z89="IRR",AA89,IF(Z89="USD",AA89*INDEX('Assumptions &amp; FX Reference'!$B$5:$B$25,MATCH(Y89,'Assumptions &amp; FX Reference'!$A$5:$A$25,0)),IF(Z89="EUR",AA89*INDEX('Assumptions &amp; FX Reference'!$C$5:$C$25,MATCH(Y89,'Assumptions &amp; FX Reference'!$A$5:$A$25,0)),""))),"")))</f>
        <v>3647772000</v>
      </c>
      <c r="AE89" s="42" t="s">
        <v>480</v>
      </c>
      <c r="AF89" s="50" t="s">
        <v>208</v>
      </c>
      <c r="AG89" s="47" t="n">
        <f aca="false">IF(AND(Z89="EUR",N(AA89)&gt;5000000),"",IF(AND(ISNUMBER(AB89),ISNUMBER(AZ89),ISNUMBER(BA89)),IF(AND(BB89="Y",ISNUMBER('Assumptions &amp; FX Reference'!$I$15)),MAX(AB89*BA89/AZ89,'Assumptions &amp; FX Reference'!$I$13*BA89/'Assumptions &amp; FX Reference'!$I$15),AB89*BA89/AZ89),""))</f>
        <v>121596.111530756</v>
      </c>
      <c r="AH89" s="47" t="n">
        <f aca="false">IF(AND(ISNUMBER(AG89),ISNUMBER('Assumptions &amp; FX Reference'!$I$8),ISNUMBER('Assumptions &amp; FX Reference'!$I$11)),AG89*'Assumptions &amp; FX Reference'!$I$8/'Assumptions &amp; FX Reference'!$I$11,"")</f>
        <v>128379.117328617</v>
      </c>
      <c r="AI89" s="47" t="n">
        <f aca="false">IF(AND(ISNUMBER(AG89),ISNUMBER('Assumptions &amp; FX Reference'!$I$8)),AG89*'Assumptions &amp; FX Reference'!$I$8,"")</f>
        <v>84541885271.7659</v>
      </c>
      <c r="AJ89" s="42" t="s">
        <v>481</v>
      </c>
      <c r="AK89" s="42" t="s">
        <v>482</v>
      </c>
      <c r="AL89" s="42" t="s">
        <v>123</v>
      </c>
      <c r="AM89" s="42" t="s">
        <v>123</v>
      </c>
      <c r="AN89" s="42" t="s">
        <v>123</v>
      </c>
      <c r="AO89" s="42" t="s">
        <v>123</v>
      </c>
      <c r="AP89" s="42" t="s">
        <v>123</v>
      </c>
      <c r="AQ89" s="50" t="s">
        <v>312</v>
      </c>
      <c r="AR89" s="42" t="s">
        <v>123</v>
      </c>
      <c r="AS89" s="45" t="str">
        <f aca="false">IF(AND(Z89="EUR",N(AA89)&gt;5000000),"Check currency (EUR&gt;5M); ","")&amp;IF(NOT(ISNUMBER(AA89)),"No price; ","")&amp;IF(G89="Not stated","Material missing; ","")&amp;IF(P89="Not stated","Seal missing; ","")&amp;IF(K89="","Size driver missing; ","")&amp;IF(NOT(ISNUMBER(AZ89)),"Base-year PPI missing; ","")</f>
        <v>Seal missing; </v>
      </c>
      <c r="AT89" s="48" t="n">
        <f aca="false">IFERROR(INDEX(Factors_ROT!$F$5:$F$200,MATCH("MAT|"&amp;G89,Factors_ROT!$A$5:$A$200,0)),1)</f>
        <v>0.8</v>
      </c>
      <c r="AU89" s="48" t="n">
        <f aca="false">IFERROR(INDEX(Factors_ROT!$F$5:$F$200,MATCH("SEAL_ARR|"&amp;P89,Factors_ROT!$A$5:$A$200,0)),1)*IFERROR(INDEX(Factors_ROT!$F$5:$F$200,MATCH("SEAL_CAT|"&amp;Q89,Factors_ROT!$A$5:$A$200,0)),1)*IFERROR(INDEX(Factors_ROT!$F$5:$F$200,MATCH("SEAL_PLAN|"&amp;R89,Factors_ROT!$A$5:$A$200,0)),1)</f>
        <v>1</v>
      </c>
      <c r="AV89" s="48" t="n">
        <f aca="false">IFERROR(INDEX(Factors_ROT!$F$5:$F$200,MATCH("DRV|"&amp;S89,Factors_ROT!$A$5:$A$200,0)),1)*IFERROR(INDEX(Factors_ROT!$F$5:$F$200,MATCH("NACE|"&amp;O89,Factors_ROT!$A$5:$A$200,0)),1)</f>
        <v>1.35</v>
      </c>
      <c r="AW89" s="48" t="n">
        <f aca="false">IFERROR(INDEX(Factors_ROT!$F$5:$F$200,MATCH("SC_DRV|"&amp;AL89,Factors_ROT!$A$5:$A$200,0)),1)*IFERROR(INDEX(Factors_ROT!$F$5:$F$200,MATCH("SC_BSP|"&amp;AM89,Factors_ROT!$A$5:$A$200,0)),1)*IFERROR(INDEX(Factors_ROT!$F$5:$F$200,MATCH("SC_SEAL|"&amp;AN89,Factors_ROT!$A$5:$A$200,0)),1)*IFERROR(INDEX(Factors_ROT!$F$5:$F$200,MATCH("SC_COMM|"&amp;AO89,Factors_ROT!$A$5:$A$200,0)),1)*IFERROR(INDEX(Factors_ROT!$F$5:$F$200,MATCH("SC_2Y|"&amp;AP89,Factors_ROT!$A$5:$A$200,0)),1)*IFERROR(INDEX(Factors_ROT!$F$5:$F$200,MATCH("SC_TPI|"&amp;AQ89,Factors_ROT!$A$5:$A$200,0)),1)*IFERROR(INDEX(Factors_ROT!$F$5:$F$200,MATCH("SC_FAT|"&amp;AR89,Factors_ROT!$A$5:$A$200,0)),1)</f>
        <v>1</v>
      </c>
      <c r="AX89" s="48" t="n">
        <f aca="false">AT89*AU89*AV89*AW89</f>
        <v>1.08</v>
      </c>
      <c r="AY89" s="47" t="n">
        <f aca="false">IF(ISNUMBER(AB89),AB89/AX89,"")</f>
        <v>83333.3333333333</v>
      </c>
      <c r="AZ89" s="49" t="n">
        <f aca="false">IFERROR(IF(N(INDEX(Escalation_Index!$B$5:$B$25,MATCH(Y89,Escalation_Index!$A$5:$A$25,0)))&gt;0,INDEX(Escalation_Index!$B$5:$B$25,MATCH(Y89,Escalation_Index!$A$5:$A$25,0)),""),"")</f>
        <v>91.347</v>
      </c>
      <c r="BA89" s="49" t="n">
        <f aca="false">IF(ISNUMBER('Assumptions &amp; FX Reference'!$I$12),'Assumptions &amp; FX Reference'!$I$12,"")</f>
        <v>123.416</v>
      </c>
      <c r="BB89" s="45" t="str">
        <f aca="false">IF(AND(M89="API 610",LEFT(V89,11)="Centrifugal",OR(LEFT(G89,2)="S-",LEFT(G89,2)="D-")),"Y","N")</f>
        <v>N</v>
      </c>
      <c r="BC89" s="47" t="n">
        <f aca="false">IF(ISNUMBER(AG89),AG89/AX89,"")</f>
        <v>112588.992158108</v>
      </c>
      <c r="BD89" s="47" t="n">
        <f aca="false">IF(AND(ISNUMBER(BC89),ISNUMBER(K89)),IF(K89&gt;0,BC89/K89^'Assumptions &amp; FX Reference'!$I$16,""),"")</f>
        <v>3601.95027712114</v>
      </c>
      <c r="BE89" s="42" t="s">
        <v>651</v>
      </c>
      <c r="BF89" s="42" t="s">
        <v>652</v>
      </c>
      <c r="BG89" s="42" t="s">
        <v>369</v>
      </c>
      <c r="BH89" s="45" t="s">
        <v>313</v>
      </c>
      <c r="BI89" s="45" t="str">
        <f aca="false">"PMP-"&amp;TEXT(A89,"0000")</f>
        <v>PMP-0085</v>
      </c>
    </row>
    <row r="90" customFormat="false" ht="24" hidden="false" customHeight="true" outlineLevel="0" collapsed="false">
      <c r="A90" s="42" t="n">
        <v>86</v>
      </c>
      <c r="B90" s="42" t="s">
        <v>653</v>
      </c>
      <c r="C90" s="42" t="s">
        <v>476</v>
      </c>
      <c r="D90" s="42" t="s">
        <v>654</v>
      </c>
      <c r="E90" s="42" t="s">
        <v>60</v>
      </c>
      <c r="F90" s="42" t="s">
        <v>183</v>
      </c>
      <c r="G90" s="42" t="s">
        <v>74</v>
      </c>
      <c r="H90" s="43" t="n">
        <v>16.5</v>
      </c>
      <c r="I90" s="43" t="n">
        <v>107</v>
      </c>
      <c r="J90" s="43"/>
      <c r="K90" s="44" t="n">
        <f aca="false">IF(ISNUMBER(J90),J90,IF(AND(ISNUMBER(H90),ISNUMBER(I90)),H90*I90/(367*'Assumptions &amp; FX Reference'!$I$17),""))</f>
        <v>8.01771117166213</v>
      </c>
      <c r="L90" s="45" t="str">
        <f aca="false">IF(IF(OR(M90="Not stated",M90=""),""," + "&amp;M90)&amp;IF(OR(N90="None",N90=""),""," + "&amp;N90)&amp;IF(O90="Y"," + NACE MR0175","")="","Not stated",MID(IF(OR(M90="Not stated",M90=""),""," + "&amp;M90)&amp;IF(OR(N90="None",N90=""),""," + "&amp;N90)&amp;IF(O90="Y"," + NACE MR0175",""),4,300))</f>
        <v>NFPA 20 + IPS-M-PM-125</v>
      </c>
      <c r="M90" s="42" t="s">
        <v>645</v>
      </c>
      <c r="N90" s="42" t="s">
        <v>646</v>
      </c>
      <c r="O90" s="50" t="s">
        <v>312</v>
      </c>
      <c r="P90" s="42" t="s">
        <v>123</v>
      </c>
      <c r="Q90" s="42" t="s">
        <v>123</v>
      </c>
      <c r="R90" s="42" t="s">
        <v>123</v>
      </c>
      <c r="S90" s="50" t="s">
        <v>304</v>
      </c>
      <c r="T90" s="42" t="s">
        <v>453</v>
      </c>
      <c r="U90" s="42" t="n">
        <v>2</v>
      </c>
      <c r="V90" s="42" t="s">
        <v>306</v>
      </c>
      <c r="W90" s="43" t="n">
        <v>11.3</v>
      </c>
      <c r="X90" s="42" t="s">
        <v>123</v>
      </c>
      <c r="Y90" s="50" t="n">
        <v>1393</v>
      </c>
      <c r="Z90" s="42" t="s">
        <v>363</v>
      </c>
      <c r="AA90" s="46" t="n">
        <v>15000</v>
      </c>
      <c r="AB90" s="47" t="n">
        <f aca="false">IF(NOT(ISNUMBER(AA90)),"",IF(NOT(ISNUMBER(Y90)),"",IFERROR(IF(Z90="EUR",AA90,IF(Z90="IRR",AA90/INDEX('Assumptions &amp; FX Reference'!$C$5:$C$25,MATCH(Y90,'Assumptions &amp; FX Reference'!$A$5:$A$25,0)),IF(Z90="USD",AA90*INDEX('Assumptions &amp; FX Reference'!$B$5:$B$25,MATCH(Y90,'Assumptions &amp; FX Reference'!$A$5:$A$25,0))/INDEX('Assumptions &amp; FX Reference'!$C$5:$C$25,MATCH(Y90,'Assumptions &amp; FX Reference'!$A$5:$A$25,0)),""))),"")))</f>
        <v>15000</v>
      </c>
      <c r="AC90" s="47" t="n">
        <f aca="false">IF(NOT(ISNUMBER(AA90)),"",IF(NOT(ISNUMBER(Y90)),"",IFERROR(IF(Z90="USD",AA90,IF(Z90="IRR",AA90/INDEX('Assumptions &amp; FX Reference'!$B$5:$B$25,MATCH(Y90,'Assumptions &amp; FX Reference'!$A$5:$A$25,0)),IF(Z90="EUR",AA90*INDEX('Assumptions &amp; FX Reference'!$C$5:$C$25,MATCH(Y90,'Assumptions &amp; FX Reference'!$A$5:$A$25,0))/INDEX('Assumptions &amp; FX Reference'!$B$5:$B$25,MATCH(Y90,'Assumptions &amp; FX Reference'!$A$5:$A$25,0)),""))),"")))</f>
        <v>19611.6774193548</v>
      </c>
      <c r="AD90" s="47" t="n">
        <f aca="false">IF(NOT(ISNUMBER(AA90)),"",IF(NOT(ISNUMBER(Y90)),"",IFERROR(IF(Z90="IRR",AA90,IF(Z90="USD",AA90*INDEX('Assumptions &amp; FX Reference'!$B$5:$B$25,MATCH(Y90,'Assumptions &amp; FX Reference'!$A$5:$A$25,0)),IF(Z90="EUR",AA90*INDEX('Assumptions &amp; FX Reference'!$C$5:$C$25,MATCH(Y90,'Assumptions &amp; FX Reference'!$A$5:$A$25,0)),""))),"")))</f>
        <v>607962000</v>
      </c>
      <c r="AE90" s="42" t="s">
        <v>480</v>
      </c>
      <c r="AF90" s="50" t="s">
        <v>208</v>
      </c>
      <c r="AG90" s="47" t="n">
        <f aca="false">IF(AND(Z90="EUR",N(AA90)&gt;5000000),"",IF(AND(ISNUMBER(AB90),ISNUMBER(AZ90),ISNUMBER(BA90)),IF(AND(BB90="Y",ISNUMBER('Assumptions &amp; FX Reference'!$I$15)),MAX(AB90*BA90/AZ90,'Assumptions &amp; FX Reference'!$I$13*BA90/'Assumptions &amp; FX Reference'!$I$15),AB90*BA90/AZ90),""))</f>
        <v>20266.0185884594</v>
      </c>
      <c r="AH90" s="47" t="n">
        <f aca="false">IF(AND(ISNUMBER(AG90),ISNUMBER('Assumptions &amp; FX Reference'!$I$8),ISNUMBER('Assumptions &amp; FX Reference'!$I$11)),AG90*'Assumptions &amp; FX Reference'!$I$8/'Assumptions &amp; FX Reference'!$I$11,"")</f>
        <v>21396.5195547694</v>
      </c>
      <c r="AI90" s="47" t="n">
        <f aca="false">IF(AND(ISNUMBER(AG90),ISNUMBER('Assumptions &amp; FX Reference'!$I$8)),AG90*'Assumptions &amp; FX Reference'!$I$8,"")</f>
        <v>14090314211.961</v>
      </c>
      <c r="AJ90" s="42" t="s">
        <v>481</v>
      </c>
      <c r="AK90" s="42" t="s">
        <v>482</v>
      </c>
      <c r="AL90" s="42" t="s">
        <v>123</v>
      </c>
      <c r="AM90" s="42" t="s">
        <v>123</v>
      </c>
      <c r="AN90" s="42" t="s">
        <v>123</v>
      </c>
      <c r="AO90" s="42" t="s">
        <v>123</v>
      </c>
      <c r="AP90" s="42" t="s">
        <v>123</v>
      </c>
      <c r="AQ90" s="50" t="s">
        <v>312</v>
      </c>
      <c r="AR90" s="42" t="s">
        <v>123</v>
      </c>
      <c r="AS90" s="45" t="str">
        <f aca="false">IF(AND(Z90="EUR",N(AA90)&gt;5000000),"Check currency (EUR&gt;5M); ","")&amp;IF(NOT(ISNUMBER(AA90)),"No price; ","")&amp;IF(G90="Not stated","Material missing; ","")&amp;IF(P90="Not stated","Seal missing; ","")&amp;IF(K90="","Size driver missing; ","")&amp;IF(NOT(ISNUMBER(AZ90)),"Base-year PPI missing; ","")</f>
        <v>Seal missing; </v>
      </c>
      <c r="AT90" s="48" t="n">
        <f aca="false">IFERROR(INDEX(Factors_ROT!$F$5:$F$200,MATCH("MAT|"&amp;G90,Factors_ROT!$A$5:$A$200,0)),1)</f>
        <v>0.8</v>
      </c>
      <c r="AU90" s="48" t="n">
        <f aca="false">IFERROR(INDEX(Factors_ROT!$F$5:$F$200,MATCH("SEAL_ARR|"&amp;P90,Factors_ROT!$A$5:$A$200,0)),1)*IFERROR(INDEX(Factors_ROT!$F$5:$F$200,MATCH("SEAL_CAT|"&amp;Q90,Factors_ROT!$A$5:$A$200,0)),1)*IFERROR(INDEX(Factors_ROT!$F$5:$F$200,MATCH("SEAL_PLAN|"&amp;R90,Factors_ROT!$A$5:$A$200,0)),1)</f>
        <v>1</v>
      </c>
      <c r="AV90" s="48" t="n">
        <f aca="false">IFERROR(INDEX(Factors_ROT!$F$5:$F$200,MATCH("DRV|"&amp;S90,Factors_ROT!$A$5:$A$200,0)),1)*IFERROR(INDEX(Factors_ROT!$F$5:$F$200,MATCH("NACE|"&amp;O90,Factors_ROT!$A$5:$A$200,0)),1)</f>
        <v>1</v>
      </c>
      <c r="AW90" s="48" t="n">
        <f aca="false">IFERROR(INDEX(Factors_ROT!$F$5:$F$200,MATCH("SC_DRV|"&amp;AL90,Factors_ROT!$A$5:$A$200,0)),1)*IFERROR(INDEX(Factors_ROT!$F$5:$F$200,MATCH("SC_BSP|"&amp;AM90,Factors_ROT!$A$5:$A$200,0)),1)*IFERROR(INDEX(Factors_ROT!$F$5:$F$200,MATCH("SC_SEAL|"&amp;AN90,Factors_ROT!$A$5:$A$200,0)),1)*IFERROR(INDEX(Factors_ROT!$F$5:$F$200,MATCH("SC_COMM|"&amp;AO90,Factors_ROT!$A$5:$A$200,0)),1)*IFERROR(INDEX(Factors_ROT!$F$5:$F$200,MATCH("SC_2Y|"&amp;AP90,Factors_ROT!$A$5:$A$200,0)),1)*IFERROR(INDEX(Factors_ROT!$F$5:$F$200,MATCH("SC_TPI|"&amp;AQ90,Factors_ROT!$A$5:$A$200,0)),1)*IFERROR(INDEX(Factors_ROT!$F$5:$F$200,MATCH("SC_FAT|"&amp;AR90,Factors_ROT!$A$5:$A$200,0)),1)</f>
        <v>1</v>
      </c>
      <c r="AX90" s="48" t="n">
        <f aca="false">AT90*AU90*AV90*AW90</f>
        <v>0.8</v>
      </c>
      <c r="AY90" s="47" t="n">
        <f aca="false">IF(ISNUMBER(AB90),AB90/AX90,"")</f>
        <v>18750</v>
      </c>
      <c r="AZ90" s="49" t="n">
        <f aca="false">IFERROR(IF(N(INDEX(Escalation_Index!$B$5:$B$25,MATCH(Y90,Escalation_Index!$A$5:$A$25,0)))&gt;0,INDEX(Escalation_Index!$B$5:$B$25,MATCH(Y90,Escalation_Index!$A$5:$A$25,0)),""),"")</f>
        <v>91.347</v>
      </c>
      <c r="BA90" s="49" t="n">
        <f aca="false">IF(ISNUMBER('Assumptions &amp; FX Reference'!$I$12),'Assumptions &amp; FX Reference'!$I$12,"")</f>
        <v>123.416</v>
      </c>
      <c r="BB90" s="45" t="str">
        <f aca="false">IF(AND(M90="API 610",LEFT(V90,11)="Centrifugal",OR(LEFT(G90,2)="S-",LEFT(G90,2)="D-")),"Y","N")</f>
        <v>N</v>
      </c>
      <c r="BC90" s="47" t="n">
        <f aca="false">IF(ISNUMBER(AG90),AG90/AX90,"")</f>
        <v>25332.5232355742</v>
      </c>
      <c r="BD90" s="47" t="n">
        <f aca="false">IF(AND(ISNUMBER(BC90),ISNUMBER(K90)),IF(K90&gt;0,BC90/K90^'Assumptions &amp; FX Reference'!$I$16,""),"")</f>
        <v>7265.21055650847</v>
      </c>
      <c r="BE90" s="42" t="s">
        <v>655</v>
      </c>
      <c r="BF90" s="42" t="s">
        <v>656</v>
      </c>
      <c r="BG90" s="42" t="s">
        <v>369</v>
      </c>
      <c r="BH90" s="45" t="s">
        <v>313</v>
      </c>
      <c r="BI90" s="45" t="str">
        <f aca="false">"PMP-"&amp;TEXT(A90,"0000")</f>
        <v>PMP-0086</v>
      </c>
    </row>
    <row r="91" customFormat="false" ht="24" hidden="false" customHeight="true" outlineLevel="0" collapsed="false">
      <c r="A91" s="42" t="n">
        <v>87</v>
      </c>
      <c r="B91" s="42" t="s">
        <v>657</v>
      </c>
      <c r="C91" s="42" t="s">
        <v>476</v>
      </c>
      <c r="D91" s="42" t="s">
        <v>658</v>
      </c>
      <c r="E91" s="42" t="s">
        <v>60</v>
      </c>
      <c r="F91" s="42" t="s">
        <v>192</v>
      </c>
      <c r="G91" s="42" t="s">
        <v>74</v>
      </c>
      <c r="H91" s="43" t="n">
        <v>33</v>
      </c>
      <c r="I91" s="43" t="n">
        <v>30.6</v>
      </c>
      <c r="J91" s="43"/>
      <c r="K91" s="44" t="n">
        <f aca="false">IF(ISNUMBER(J91),J91,IF(AND(ISNUMBER(H91),ISNUMBER(I91)),H91*I91/(367*'Assumptions &amp; FX Reference'!$I$17),""))</f>
        <v>4.5858310626703</v>
      </c>
      <c r="L91" s="45" t="str">
        <f aca="false">IF(IF(OR(M91="Not stated",M91=""),""," + "&amp;M91)&amp;IF(OR(N91="None",N91=""),""," + "&amp;N91)&amp;IF(O91="Y"," + NACE MR0175","")="","Not stated",MID(IF(OR(M91="Not stated",M91=""),""," + "&amp;M91)&amp;IF(OR(N91="None",N91=""),""," + "&amp;N91)&amp;IF(O91="Y"," + NACE MR0175",""),4,300))</f>
        <v>ISO 5199 + IPS-M-PM-115</v>
      </c>
      <c r="M91" s="42" t="s">
        <v>623</v>
      </c>
      <c r="N91" s="42" t="s">
        <v>624</v>
      </c>
      <c r="O91" s="50" t="s">
        <v>312</v>
      </c>
      <c r="P91" s="42" t="s">
        <v>123</v>
      </c>
      <c r="Q91" s="42" t="s">
        <v>123</v>
      </c>
      <c r="R91" s="42" t="s">
        <v>123</v>
      </c>
      <c r="S91" s="50" t="s">
        <v>304</v>
      </c>
      <c r="T91" s="42" t="s">
        <v>453</v>
      </c>
      <c r="U91" s="42" t="n">
        <v>1</v>
      </c>
      <c r="V91" s="42" t="s">
        <v>306</v>
      </c>
      <c r="W91" s="43" t="n">
        <v>2.9</v>
      </c>
      <c r="X91" s="42" t="s">
        <v>123</v>
      </c>
      <c r="Y91" s="50" t="n">
        <v>1393</v>
      </c>
      <c r="Z91" s="42" t="s">
        <v>363</v>
      </c>
      <c r="AA91" s="46" t="n">
        <v>6500</v>
      </c>
      <c r="AB91" s="47" t="n">
        <f aca="false">IF(NOT(ISNUMBER(AA91)),"",IF(NOT(ISNUMBER(Y91)),"",IFERROR(IF(Z91="EUR",AA91,IF(Z91="IRR",AA91/INDEX('Assumptions &amp; FX Reference'!$C$5:$C$25,MATCH(Y91,'Assumptions &amp; FX Reference'!$A$5:$A$25,0)),IF(Z91="USD",AA91*INDEX('Assumptions &amp; FX Reference'!$B$5:$B$25,MATCH(Y91,'Assumptions &amp; FX Reference'!$A$5:$A$25,0))/INDEX('Assumptions &amp; FX Reference'!$C$5:$C$25,MATCH(Y91,'Assumptions &amp; FX Reference'!$A$5:$A$25,0)),""))),"")))</f>
        <v>6500</v>
      </c>
      <c r="AC91" s="47" t="n">
        <f aca="false">IF(NOT(ISNUMBER(AA91)),"",IF(NOT(ISNUMBER(Y91)),"",IFERROR(IF(Z91="USD",AA91,IF(Z91="IRR",AA91/INDEX('Assumptions &amp; FX Reference'!$B$5:$B$25,MATCH(Y91,'Assumptions &amp; FX Reference'!$A$5:$A$25,0)),IF(Z91="EUR",AA91*INDEX('Assumptions &amp; FX Reference'!$C$5:$C$25,MATCH(Y91,'Assumptions &amp; FX Reference'!$A$5:$A$25,0))/INDEX('Assumptions &amp; FX Reference'!$B$5:$B$25,MATCH(Y91,'Assumptions &amp; FX Reference'!$A$5:$A$25,0)),""))),"")))</f>
        <v>8498.3935483871</v>
      </c>
      <c r="AD91" s="47" t="n">
        <f aca="false">IF(NOT(ISNUMBER(AA91)),"",IF(NOT(ISNUMBER(Y91)),"",IFERROR(IF(Z91="IRR",AA91,IF(Z91="USD",AA91*INDEX('Assumptions &amp; FX Reference'!$B$5:$B$25,MATCH(Y91,'Assumptions &amp; FX Reference'!$A$5:$A$25,0)),IF(Z91="EUR",AA91*INDEX('Assumptions &amp; FX Reference'!$C$5:$C$25,MATCH(Y91,'Assumptions &amp; FX Reference'!$A$5:$A$25,0)),""))),"")))</f>
        <v>263450200</v>
      </c>
      <c r="AE91" s="42" t="s">
        <v>480</v>
      </c>
      <c r="AF91" s="50" t="s">
        <v>208</v>
      </c>
      <c r="AG91" s="47" t="n">
        <f aca="false">IF(AND(Z91="EUR",N(AA91)&gt;5000000),"",IF(AND(ISNUMBER(AB91),ISNUMBER(AZ91),ISNUMBER(BA91)),IF(AND(BB91="Y",ISNUMBER('Assumptions &amp; FX Reference'!$I$15)),MAX(AB91*BA91/AZ91,'Assumptions &amp; FX Reference'!$I$13*BA91/'Assumptions &amp; FX Reference'!$I$15),AB91*BA91/AZ91),""))</f>
        <v>8781.9413883324</v>
      </c>
      <c r="AH91" s="47" t="n">
        <f aca="false">IF(AND(ISNUMBER(AG91),ISNUMBER('Assumptions &amp; FX Reference'!$I$8),ISNUMBER('Assumptions &amp; FX Reference'!$I$11)),AG91*'Assumptions &amp; FX Reference'!$I$8/'Assumptions &amp; FX Reference'!$I$11,"")</f>
        <v>9271.82514040009</v>
      </c>
      <c r="AI91" s="47" t="n">
        <f aca="false">IF(AND(ISNUMBER(AG91),ISNUMBER('Assumptions &amp; FX Reference'!$I$8)),AG91*'Assumptions &amp; FX Reference'!$I$8,"")</f>
        <v>6105802825.18309</v>
      </c>
      <c r="AJ91" s="42" t="s">
        <v>481</v>
      </c>
      <c r="AK91" s="42" t="s">
        <v>482</v>
      </c>
      <c r="AL91" s="42" t="s">
        <v>123</v>
      </c>
      <c r="AM91" s="42" t="s">
        <v>123</v>
      </c>
      <c r="AN91" s="42" t="s">
        <v>123</v>
      </c>
      <c r="AO91" s="42" t="s">
        <v>123</v>
      </c>
      <c r="AP91" s="42" t="s">
        <v>123</v>
      </c>
      <c r="AQ91" s="50" t="s">
        <v>312</v>
      </c>
      <c r="AR91" s="42" t="s">
        <v>123</v>
      </c>
      <c r="AS91" s="45" t="str">
        <f aca="false">IF(AND(Z91="EUR",N(AA91)&gt;5000000),"Check currency (EUR&gt;5M); ","")&amp;IF(NOT(ISNUMBER(AA91)),"No price; ","")&amp;IF(G91="Not stated","Material missing; ","")&amp;IF(P91="Not stated","Seal missing; ","")&amp;IF(K91="","Size driver missing; ","")&amp;IF(NOT(ISNUMBER(AZ91)),"Base-year PPI missing; ","")</f>
        <v>Seal missing; </v>
      </c>
      <c r="AT91" s="48" t="n">
        <f aca="false">IFERROR(INDEX(Factors_ROT!$F$5:$F$200,MATCH("MAT|"&amp;G91,Factors_ROT!$A$5:$A$200,0)),1)</f>
        <v>0.8</v>
      </c>
      <c r="AU91" s="48" t="n">
        <f aca="false">IFERROR(INDEX(Factors_ROT!$F$5:$F$200,MATCH("SEAL_ARR|"&amp;P91,Factors_ROT!$A$5:$A$200,0)),1)*IFERROR(INDEX(Factors_ROT!$F$5:$F$200,MATCH("SEAL_CAT|"&amp;Q91,Factors_ROT!$A$5:$A$200,0)),1)*IFERROR(INDEX(Factors_ROT!$F$5:$F$200,MATCH("SEAL_PLAN|"&amp;R91,Factors_ROT!$A$5:$A$200,0)),1)</f>
        <v>1</v>
      </c>
      <c r="AV91" s="48" t="n">
        <f aca="false">IFERROR(INDEX(Factors_ROT!$F$5:$F$200,MATCH("DRV|"&amp;S91,Factors_ROT!$A$5:$A$200,0)),1)*IFERROR(INDEX(Factors_ROT!$F$5:$F$200,MATCH("NACE|"&amp;O91,Factors_ROT!$A$5:$A$200,0)),1)</f>
        <v>1</v>
      </c>
      <c r="AW91" s="48" t="n">
        <f aca="false">IFERROR(INDEX(Factors_ROT!$F$5:$F$200,MATCH("SC_DRV|"&amp;AL91,Factors_ROT!$A$5:$A$200,0)),1)*IFERROR(INDEX(Factors_ROT!$F$5:$F$200,MATCH("SC_BSP|"&amp;AM91,Factors_ROT!$A$5:$A$200,0)),1)*IFERROR(INDEX(Factors_ROT!$F$5:$F$200,MATCH("SC_SEAL|"&amp;AN91,Factors_ROT!$A$5:$A$200,0)),1)*IFERROR(INDEX(Factors_ROT!$F$5:$F$200,MATCH("SC_COMM|"&amp;AO91,Factors_ROT!$A$5:$A$200,0)),1)*IFERROR(INDEX(Factors_ROT!$F$5:$F$200,MATCH("SC_2Y|"&amp;AP91,Factors_ROT!$A$5:$A$200,0)),1)*IFERROR(INDEX(Factors_ROT!$F$5:$F$200,MATCH("SC_TPI|"&amp;AQ91,Factors_ROT!$A$5:$A$200,0)),1)*IFERROR(INDEX(Factors_ROT!$F$5:$F$200,MATCH("SC_FAT|"&amp;AR91,Factors_ROT!$A$5:$A$200,0)),1)</f>
        <v>1</v>
      </c>
      <c r="AX91" s="48" t="n">
        <f aca="false">AT91*AU91*AV91*AW91</f>
        <v>0.8</v>
      </c>
      <c r="AY91" s="47" t="n">
        <f aca="false">IF(ISNUMBER(AB91),AB91/AX91,"")</f>
        <v>8125</v>
      </c>
      <c r="AZ91" s="49" t="n">
        <f aca="false">IFERROR(IF(N(INDEX(Escalation_Index!$B$5:$B$25,MATCH(Y91,Escalation_Index!$A$5:$A$25,0)))&gt;0,INDEX(Escalation_Index!$B$5:$B$25,MATCH(Y91,Escalation_Index!$A$5:$A$25,0)),""),"")</f>
        <v>91.347</v>
      </c>
      <c r="BA91" s="49" t="n">
        <f aca="false">IF(ISNUMBER('Assumptions &amp; FX Reference'!$I$12),'Assumptions &amp; FX Reference'!$I$12,"")</f>
        <v>123.416</v>
      </c>
      <c r="BB91" s="45" t="str">
        <f aca="false">IF(AND(M91="API 610",LEFT(V91,11)="Centrifugal",OR(LEFT(G91,2)="S-",LEFT(G91,2)="D-")),"Y","N")</f>
        <v>N</v>
      </c>
      <c r="BC91" s="47" t="n">
        <f aca="false">IF(ISNUMBER(AG91),AG91/AX91,"")</f>
        <v>10977.4267354155</v>
      </c>
      <c r="BD91" s="47" t="n">
        <f aca="false">IF(AND(ISNUMBER(BC91),ISNUMBER(K91)),IF(K91&gt;0,BC91/K91^'Assumptions &amp; FX Reference'!$I$16,""),"")</f>
        <v>4401.99673625794</v>
      </c>
      <c r="BE91" s="42" t="s">
        <v>659</v>
      </c>
      <c r="BF91" s="42" t="s">
        <v>660</v>
      </c>
      <c r="BG91" s="42" t="s">
        <v>369</v>
      </c>
      <c r="BH91" s="45" t="s">
        <v>313</v>
      </c>
      <c r="BI91" s="45" t="str">
        <f aca="false">"PMP-"&amp;TEXT(A91,"0000")</f>
        <v>PMP-0087</v>
      </c>
    </row>
    <row r="92" customFormat="false" ht="24" hidden="false" customHeight="true" outlineLevel="0" collapsed="false">
      <c r="A92" s="42" t="n">
        <v>88</v>
      </c>
      <c r="B92" s="42" t="s">
        <v>661</v>
      </c>
      <c r="C92" s="42" t="s">
        <v>476</v>
      </c>
      <c r="D92" s="42" t="s">
        <v>662</v>
      </c>
      <c r="E92" s="42" t="s">
        <v>48</v>
      </c>
      <c r="F92" s="42" t="s">
        <v>192</v>
      </c>
      <c r="G92" s="42" t="s">
        <v>74</v>
      </c>
      <c r="H92" s="43" t="n">
        <v>3</v>
      </c>
      <c r="I92" s="52" t="n">
        <v>30.6</v>
      </c>
      <c r="J92" s="43"/>
      <c r="K92" s="44" t="n">
        <f aca="false">IF(ISNUMBER(J92),J92,IF(AND(ISNUMBER(H92),ISNUMBER(I92)),H92*I92/(367*'Assumptions &amp; FX Reference'!$I$17),""))</f>
        <v>0.416893732970027</v>
      </c>
      <c r="L92" s="45" t="str">
        <f aca="false">IF(IF(OR(M92="Not stated",M92=""),""," + "&amp;M92)&amp;IF(OR(N92="None",N92=""),""," + "&amp;N92)&amp;IF(O92="Y"," + NACE MR0175","")="","Not stated",MID(IF(OR(M92="Not stated",M92=""),""," + "&amp;M92)&amp;IF(OR(N92="None",N92=""),""," + "&amp;N92)&amp;IF(O92="Y"," + NACE MR0175",""),4,300))</f>
        <v>ISO 5199 + IPS-M-PM-115</v>
      </c>
      <c r="M92" s="42" t="s">
        <v>623</v>
      </c>
      <c r="N92" s="42" t="s">
        <v>624</v>
      </c>
      <c r="O92" s="50" t="s">
        <v>312</v>
      </c>
      <c r="P92" s="42" t="s">
        <v>123</v>
      </c>
      <c r="Q92" s="42" t="s">
        <v>123</v>
      </c>
      <c r="R92" s="42" t="s">
        <v>123</v>
      </c>
      <c r="S92" s="50" t="s">
        <v>304</v>
      </c>
      <c r="T92" s="42" t="s">
        <v>663</v>
      </c>
      <c r="U92" s="42" t="n">
        <v>2</v>
      </c>
      <c r="V92" s="42" t="s">
        <v>306</v>
      </c>
      <c r="W92" s="43"/>
      <c r="X92" s="42" t="s">
        <v>123</v>
      </c>
      <c r="Y92" s="50" t="n">
        <v>1393</v>
      </c>
      <c r="Z92" s="42" t="s">
        <v>454</v>
      </c>
      <c r="AA92" s="46" t="n">
        <v>300000000</v>
      </c>
      <c r="AB92" s="47" t="n">
        <f aca="false">IF(NOT(ISNUMBER(AA92)),"",IF(NOT(ISNUMBER(Y92)),"",IFERROR(IF(Z92="EUR",AA92,IF(Z92="IRR",AA92/INDEX('Assumptions &amp; FX Reference'!$C$5:$C$25,MATCH(Y92,'Assumptions &amp; FX Reference'!$A$5:$A$25,0)),IF(Z92="USD",AA92*INDEX('Assumptions &amp; FX Reference'!$B$5:$B$25,MATCH(Y92,'Assumptions &amp; FX Reference'!$A$5:$A$25,0))/INDEX('Assumptions &amp; FX Reference'!$C$5:$C$25,MATCH(Y92,'Assumptions &amp; FX Reference'!$A$5:$A$25,0)),""))),"")))</f>
        <v>7401.77840062372</v>
      </c>
      <c r="AC92" s="47" t="n">
        <f aca="false">IF(NOT(ISNUMBER(AA92)),"",IF(NOT(ISNUMBER(Y92)),"",IFERROR(IF(Z92="USD",AA92,IF(Z92="IRR",AA92/INDEX('Assumptions &amp; FX Reference'!$B$5:$B$25,MATCH(Y92,'Assumptions &amp; FX Reference'!$A$5:$A$25,0)),IF(Z92="EUR",AA92*INDEX('Assumptions &amp; FX Reference'!$C$5:$C$25,MATCH(Y92,'Assumptions &amp; FX Reference'!$A$5:$A$25,0))/INDEX('Assumptions &amp; FX Reference'!$B$5:$B$25,MATCH(Y92,'Assumptions &amp; FX Reference'!$A$5:$A$25,0)),""))),"")))</f>
        <v>9677.41935483871</v>
      </c>
      <c r="AD92" s="47" t="n">
        <f aca="false">IF(NOT(ISNUMBER(AA92)),"",IF(NOT(ISNUMBER(Y92)),"",IFERROR(IF(Z92="IRR",AA92,IF(Z92="USD",AA92*INDEX('Assumptions &amp; FX Reference'!$B$5:$B$25,MATCH(Y92,'Assumptions &amp; FX Reference'!$A$5:$A$25,0)),IF(Z92="EUR",AA92*INDEX('Assumptions &amp; FX Reference'!$C$5:$C$25,MATCH(Y92,'Assumptions &amp; FX Reference'!$A$5:$A$25,0)),""))),"")))</f>
        <v>300000000</v>
      </c>
      <c r="AE92" s="42" t="s">
        <v>664</v>
      </c>
      <c r="AF92" s="50" t="s">
        <v>201</v>
      </c>
      <c r="AG92" s="47" t="n">
        <f aca="false">IF(AND(Z92="EUR",N(AA92)&gt;5000000),"",IF(AND(ISNUMBER(AB92),ISNUMBER(AZ92),ISNUMBER(BA92)),IF(AND(BB92="Y",ISNUMBER('Assumptions &amp; FX Reference'!$I$15)),MAX(AB92*BA92/AZ92,'Assumptions &amp; FX Reference'!$I$13*BA92/'Assumptions &amp; FX Reference'!$I$15),AB92*BA92/AZ92),""))</f>
        <v>10000.3052436465</v>
      </c>
      <c r="AH92" s="47" t="n">
        <f aca="false">IF(AND(ISNUMBER(AG92),ISNUMBER('Assumptions &amp; FX Reference'!$I$8),ISNUMBER('Assumptions &amp; FX Reference'!$I$11)),AG92*'Assumptions &amp; FX Reference'!$I$8/'Assumptions &amp; FX Reference'!$I$11,"")</f>
        <v>10558.1530859344</v>
      </c>
      <c r="AI92" s="47" t="n">
        <f aca="false">IF(AND(ISNUMBER(AG92),ISNUMBER('Assumptions &amp; FX Reference'!$I$8)),AG92*'Assumptions &amp; FX Reference'!$I$8,"")</f>
        <v>6952892226.13962</v>
      </c>
      <c r="AJ92" s="42" t="s">
        <v>481</v>
      </c>
      <c r="AK92" s="42" t="s">
        <v>482</v>
      </c>
      <c r="AL92" s="42" t="s">
        <v>123</v>
      </c>
      <c r="AM92" s="42" t="s">
        <v>123</v>
      </c>
      <c r="AN92" s="42" t="s">
        <v>123</v>
      </c>
      <c r="AO92" s="42" t="s">
        <v>123</v>
      </c>
      <c r="AP92" s="42" t="s">
        <v>123</v>
      </c>
      <c r="AQ92" s="50" t="s">
        <v>312</v>
      </c>
      <c r="AR92" s="42" t="s">
        <v>123</v>
      </c>
      <c r="AS92" s="45" t="str">
        <f aca="false">IF(AND(Z92="EUR",N(AA92)&gt;5000000),"Check currency (EUR&gt;5M); ","")&amp;IF(NOT(ISNUMBER(AA92)),"No price; ","")&amp;IF(G92="Not stated","Material missing; ","")&amp;IF(P92="Not stated","Seal missing; ","")&amp;IF(K92="","Size driver missing; ","")&amp;IF(NOT(ISNUMBER(AZ92)),"Base-year PPI missing; ","")</f>
        <v>Seal missing; </v>
      </c>
      <c r="AT92" s="48" t="n">
        <f aca="false">IFERROR(INDEX(Factors_ROT!$F$5:$F$200,MATCH("MAT|"&amp;G92,Factors_ROT!$A$5:$A$200,0)),1)</f>
        <v>0.8</v>
      </c>
      <c r="AU92" s="48" t="n">
        <f aca="false">IFERROR(INDEX(Factors_ROT!$F$5:$F$200,MATCH("SEAL_ARR|"&amp;P92,Factors_ROT!$A$5:$A$200,0)),1)*IFERROR(INDEX(Factors_ROT!$F$5:$F$200,MATCH("SEAL_CAT|"&amp;Q92,Factors_ROT!$A$5:$A$200,0)),1)*IFERROR(INDEX(Factors_ROT!$F$5:$F$200,MATCH("SEAL_PLAN|"&amp;R92,Factors_ROT!$A$5:$A$200,0)),1)</f>
        <v>1</v>
      </c>
      <c r="AV92" s="48" t="n">
        <f aca="false">IFERROR(INDEX(Factors_ROT!$F$5:$F$200,MATCH("DRV|"&amp;S92,Factors_ROT!$A$5:$A$200,0)),1)*IFERROR(INDEX(Factors_ROT!$F$5:$F$200,MATCH("NACE|"&amp;O92,Factors_ROT!$A$5:$A$200,0)),1)</f>
        <v>1</v>
      </c>
      <c r="AW92" s="48" t="n">
        <f aca="false">IFERROR(INDEX(Factors_ROT!$F$5:$F$200,MATCH("SC_DRV|"&amp;AL92,Factors_ROT!$A$5:$A$200,0)),1)*IFERROR(INDEX(Factors_ROT!$F$5:$F$200,MATCH("SC_BSP|"&amp;AM92,Factors_ROT!$A$5:$A$200,0)),1)*IFERROR(INDEX(Factors_ROT!$F$5:$F$200,MATCH("SC_SEAL|"&amp;AN92,Factors_ROT!$A$5:$A$200,0)),1)*IFERROR(INDEX(Factors_ROT!$F$5:$F$200,MATCH("SC_COMM|"&amp;AO92,Factors_ROT!$A$5:$A$200,0)),1)*IFERROR(INDEX(Factors_ROT!$F$5:$F$200,MATCH("SC_2Y|"&amp;AP92,Factors_ROT!$A$5:$A$200,0)),1)*IFERROR(INDEX(Factors_ROT!$F$5:$F$200,MATCH("SC_TPI|"&amp;AQ92,Factors_ROT!$A$5:$A$200,0)),1)*IFERROR(INDEX(Factors_ROT!$F$5:$F$200,MATCH("SC_FAT|"&amp;AR92,Factors_ROT!$A$5:$A$200,0)),1)</f>
        <v>1</v>
      </c>
      <c r="AX92" s="48" t="n">
        <f aca="false">AT92*AU92*AV92*AW92</f>
        <v>0.8</v>
      </c>
      <c r="AY92" s="47" t="n">
        <f aca="false">IF(ISNUMBER(AB92),AB92/AX92,"")</f>
        <v>9252.22300077965</v>
      </c>
      <c r="AZ92" s="49" t="n">
        <f aca="false">IFERROR(IF(N(INDEX(Escalation_Index!$B$5:$B$25,MATCH(Y92,Escalation_Index!$A$5:$A$25,0)))&gt;0,INDEX(Escalation_Index!$B$5:$B$25,MATCH(Y92,Escalation_Index!$A$5:$A$25,0)),""),"")</f>
        <v>91.347</v>
      </c>
      <c r="BA92" s="49" t="n">
        <f aca="false">IF(ISNUMBER('Assumptions &amp; FX Reference'!$I$12),'Assumptions &amp; FX Reference'!$I$12,"")</f>
        <v>123.416</v>
      </c>
      <c r="BB92" s="45" t="str">
        <f aca="false">IF(AND(M92="API 610",LEFT(V92,11)="Centrifugal",OR(LEFT(G92,2)="S-",LEFT(G92,2)="D-")),"Y","N")</f>
        <v>N</v>
      </c>
      <c r="BC92" s="47" t="n">
        <f aca="false">IF(ISNUMBER(AG92),AG92/AX92,"")</f>
        <v>12500.3815545581</v>
      </c>
      <c r="BD92" s="47" t="n">
        <f aca="false">IF(AND(ISNUMBER(BC92),ISNUMBER(K92)),IF(K92&gt;0,BC92/K92^'Assumptions &amp; FX Reference'!$I$16,""),"")</f>
        <v>21130.4161082356</v>
      </c>
      <c r="BE92" s="42" t="s">
        <v>665</v>
      </c>
      <c r="BF92" s="42" t="s">
        <v>666</v>
      </c>
      <c r="BG92" s="42" t="s">
        <v>369</v>
      </c>
      <c r="BH92" s="45" t="s">
        <v>313</v>
      </c>
      <c r="BI92" s="45" t="str">
        <f aca="false">"PMP-"&amp;TEXT(A92,"0000")</f>
        <v>PMP-0088</v>
      </c>
    </row>
    <row r="93" customFormat="false" ht="24" hidden="false" customHeight="true" outlineLevel="0" collapsed="false">
      <c r="A93" s="42" t="n">
        <v>89</v>
      </c>
      <c r="B93" s="42" t="s">
        <v>667</v>
      </c>
      <c r="C93" s="42" t="s">
        <v>476</v>
      </c>
      <c r="D93" s="42" t="s">
        <v>668</v>
      </c>
      <c r="E93" s="42" t="s">
        <v>48</v>
      </c>
      <c r="F93" s="42" t="s">
        <v>192</v>
      </c>
      <c r="G93" s="42" t="s">
        <v>74</v>
      </c>
      <c r="H93" s="43" t="n">
        <v>2</v>
      </c>
      <c r="I93" s="52" t="n">
        <v>30.6</v>
      </c>
      <c r="J93" s="43"/>
      <c r="K93" s="44" t="n">
        <f aca="false">IF(ISNUMBER(J93),J93,IF(AND(ISNUMBER(H93),ISNUMBER(I93)),H93*I93/(367*'Assumptions &amp; FX Reference'!$I$17),""))</f>
        <v>0.277929155313352</v>
      </c>
      <c r="L93" s="45" t="str">
        <f aca="false">IF(IF(OR(M93="Not stated",M93=""),""," + "&amp;M93)&amp;IF(OR(N93="None",N93=""),""," + "&amp;N93)&amp;IF(O93="Y"," + NACE MR0175","")="","Not stated",MID(IF(OR(M93="Not stated",M93=""),""," + "&amp;M93)&amp;IF(OR(N93="None",N93=""),""," + "&amp;N93)&amp;IF(O93="Y"," + NACE MR0175",""),4,300))</f>
        <v>ISO 5199 + IPS-M-PM-115</v>
      </c>
      <c r="M93" s="42" t="s">
        <v>623</v>
      </c>
      <c r="N93" s="42" t="s">
        <v>624</v>
      </c>
      <c r="O93" s="50" t="s">
        <v>312</v>
      </c>
      <c r="P93" s="42" t="s">
        <v>123</v>
      </c>
      <c r="Q93" s="42" t="s">
        <v>123</v>
      </c>
      <c r="R93" s="42" t="s">
        <v>123</v>
      </c>
      <c r="S93" s="50" t="s">
        <v>304</v>
      </c>
      <c r="T93" s="42" t="s">
        <v>663</v>
      </c>
      <c r="U93" s="42" t="n">
        <v>2</v>
      </c>
      <c r="V93" s="42" t="s">
        <v>306</v>
      </c>
      <c r="W93" s="43"/>
      <c r="X93" s="42" t="s">
        <v>123</v>
      </c>
      <c r="Y93" s="50" t="n">
        <v>1393</v>
      </c>
      <c r="Z93" s="42" t="s">
        <v>454</v>
      </c>
      <c r="AA93" s="46" t="n">
        <v>250000000</v>
      </c>
      <c r="AB93" s="47" t="n">
        <f aca="false">IF(NOT(ISNUMBER(AA93)),"",IF(NOT(ISNUMBER(Y93)),"",IFERROR(IF(Z93="EUR",AA93,IF(Z93="IRR",AA93/INDEX('Assumptions &amp; FX Reference'!$C$5:$C$25,MATCH(Y93,'Assumptions &amp; FX Reference'!$A$5:$A$25,0)),IF(Z93="USD",AA93*INDEX('Assumptions &amp; FX Reference'!$B$5:$B$25,MATCH(Y93,'Assumptions &amp; FX Reference'!$A$5:$A$25,0))/INDEX('Assumptions &amp; FX Reference'!$C$5:$C$25,MATCH(Y93,'Assumptions &amp; FX Reference'!$A$5:$A$25,0)),""))),"")))</f>
        <v>6168.14866718644</v>
      </c>
      <c r="AC93" s="47" t="n">
        <f aca="false">IF(NOT(ISNUMBER(AA93)),"",IF(NOT(ISNUMBER(Y93)),"",IFERROR(IF(Z93="USD",AA93,IF(Z93="IRR",AA93/INDEX('Assumptions &amp; FX Reference'!$B$5:$B$25,MATCH(Y93,'Assumptions &amp; FX Reference'!$A$5:$A$25,0)),IF(Z93="EUR",AA93*INDEX('Assumptions &amp; FX Reference'!$C$5:$C$25,MATCH(Y93,'Assumptions &amp; FX Reference'!$A$5:$A$25,0))/INDEX('Assumptions &amp; FX Reference'!$B$5:$B$25,MATCH(Y93,'Assumptions &amp; FX Reference'!$A$5:$A$25,0)),""))),"")))</f>
        <v>8064.51612903226</v>
      </c>
      <c r="AD93" s="47" t="n">
        <f aca="false">IF(NOT(ISNUMBER(AA93)),"",IF(NOT(ISNUMBER(Y93)),"",IFERROR(IF(Z93="IRR",AA93,IF(Z93="USD",AA93*INDEX('Assumptions &amp; FX Reference'!$B$5:$B$25,MATCH(Y93,'Assumptions &amp; FX Reference'!$A$5:$A$25,0)),IF(Z93="EUR",AA93*INDEX('Assumptions &amp; FX Reference'!$C$5:$C$25,MATCH(Y93,'Assumptions &amp; FX Reference'!$A$5:$A$25,0)),""))),"")))</f>
        <v>250000000</v>
      </c>
      <c r="AE93" s="42" t="s">
        <v>664</v>
      </c>
      <c r="AF93" s="50" t="s">
        <v>201</v>
      </c>
      <c r="AG93" s="47" t="n">
        <f aca="false">IF(AND(Z93="EUR",N(AA93)&gt;5000000),"",IF(AND(ISNUMBER(AB93),ISNUMBER(AZ93),ISNUMBER(BA93)),IF(AND(BB93="Y",ISNUMBER('Assumptions &amp; FX Reference'!$I$15)),MAX(AB93*BA93/AZ93,'Assumptions &amp; FX Reference'!$I$13*BA93/'Assumptions &amp; FX Reference'!$I$15),AB93*BA93/AZ93),""))</f>
        <v>8333.58770303876</v>
      </c>
      <c r="AH93" s="47" t="n">
        <f aca="false">IF(AND(ISNUMBER(AG93),ISNUMBER('Assumptions &amp; FX Reference'!$I$8),ISNUMBER('Assumptions &amp; FX Reference'!$I$11)),AG93*'Assumptions &amp; FX Reference'!$I$8/'Assumptions &amp; FX Reference'!$I$11,"")</f>
        <v>8798.46090494531</v>
      </c>
      <c r="AI93" s="47" t="n">
        <f aca="false">IF(AND(ISNUMBER(AG93),ISNUMBER('Assumptions &amp; FX Reference'!$I$8)),AG93*'Assumptions &amp; FX Reference'!$I$8,"")</f>
        <v>5794076855.11635</v>
      </c>
      <c r="AJ93" s="42" t="s">
        <v>481</v>
      </c>
      <c r="AK93" s="42" t="s">
        <v>482</v>
      </c>
      <c r="AL93" s="42" t="s">
        <v>123</v>
      </c>
      <c r="AM93" s="42" t="s">
        <v>123</v>
      </c>
      <c r="AN93" s="42" t="s">
        <v>123</v>
      </c>
      <c r="AO93" s="42" t="s">
        <v>123</v>
      </c>
      <c r="AP93" s="42" t="s">
        <v>123</v>
      </c>
      <c r="AQ93" s="50" t="s">
        <v>312</v>
      </c>
      <c r="AR93" s="42" t="s">
        <v>123</v>
      </c>
      <c r="AS93" s="45" t="str">
        <f aca="false">IF(AND(Z93="EUR",N(AA93)&gt;5000000),"Check currency (EUR&gt;5M); ","")&amp;IF(NOT(ISNUMBER(AA93)),"No price; ","")&amp;IF(G93="Not stated","Material missing; ","")&amp;IF(P93="Not stated","Seal missing; ","")&amp;IF(K93="","Size driver missing; ","")&amp;IF(NOT(ISNUMBER(AZ93)),"Base-year PPI missing; ","")</f>
        <v>Seal missing; </v>
      </c>
      <c r="AT93" s="48" t="n">
        <f aca="false">IFERROR(INDEX(Factors_ROT!$F$5:$F$200,MATCH("MAT|"&amp;G93,Factors_ROT!$A$5:$A$200,0)),1)</f>
        <v>0.8</v>
      </c>
      <c r="AU93" s="48" t="n">
        <f aca="false">IFERROR(INDEX(Factors_ROT!$F$5:$F$200,MATCH("SEAL_ARR|"&amp;P93,Factors_ROT!$A$5:$A$200,0)),1)*IFERROR(INDEX(Factors_ROT!$F$5:$F$200,MATCH("SEAL_CAT|"&amp;Q93,Factors_ROT!$A$5:$A$200,0)),1)*IFERROR(INDEX(Factors_ROT!$F$5:$F$200,MATCH("SEAL_PLAN|"&amp;R93,Factors_ROT!$A$5:$A$200,0)),1)</f>
        <v>1</v>
      </c>
      <c r="AV93" s="48" t="n">
        <f aca="false">IFERROR(INDEX(Factors_ROT!$F$5:$F$200,MATCH("DRV|"&amp;S93,Factors_ROT!$A$5:$A$200,0)),1)*IFERROR(INDEX(Factors_ROT!$F$5:$F$200,MATCH("NACE|"&amp;O93,Factors_ROT!$A$5:$A$200,0)),1)</f>
        <v>1</v>
      </c>
      <c r="AW93" s="48" t="n">
        <f aca="false">IFERROR(INDEX(Factors_ROT!$F$5:$F$200,MATCH("SC_DRV|"&amp;AL93,Factors_ROT!$A$5:$A$200,0)),1)*IFERROR(INDEX(Factors_ROT!$F$5:$F$200,MATCH("SC_BSP|"&amp;AM93,Factors_ROT!$A$5:$A$200,0)),1)*IFERROR(INDEX(Factors_ROT!$F$5:$F$200,MATCH("SC_SEAL|"&amp;AN93,Factors_ROT!$A$5:$A$200,0)),1)*IFERROR(INDEX(Factors_ROT!$F$5:$F$200,MATCH("SC_COMM|"&amp;AO93,Factors_ROT!$A$5:$A$200,0)),1)*IFERROR(INDEX(Factors_ROT!$F$5:$F$200,MATCH("SC_2Y|"&amp;AP93,Factors_ROT!$A$5:$A$200,0)),1)*IFERROR(INDEX(Factors_ROT!$F$5:$F$200,MATCH("SC_TPI|"&amp;AQ93,Factors_ROT!$A$5:$A$200,0)),1)*IFERROR(INDEX(Factors_ROT!$F$5:$F$200,MATCH("SC_FAT|"&amp;AR93,Factors_ROT!$A$5:$A$200,0)),1)</f>
        <v>1</v>
      </c>
      <c r="AX93" s="48" t="n">
        <f aca="false">AT93*AU93*AV93*AW93</f>
        <v>0.8</v>
      </c>
      <c r="AY93" s="47" t="n">
        <f aca="false">IF(ISNUMBER(AB93),AB93/AX93,"")</f>
        <v>7710.18583398304</v>
      </c>
      <c r="AZ93" s="49" t="n">
        <f aca="false">IFERROR(IF(N(INDEX(Escalation_Index!$B$5:$B$25,MATCH(Y93,Escalation_Index!$A$5:$A$25,0)))&gt;0,INDEX(Escalation_Index!$B$5:$B$25,MATCH(Y93,Escalation_Index!$A$5:$A$25,0)),""),"")</f>
        <v>91.347</v>
      </c>
      <c r="BA93" s="49" t="n">
        <f aca="false">IF(ISNUMBER('Assumptions &amp; FX Reference'!$I$12),'Assumptions &amp; FX Reference'!$I$12,"")</f>
        <v>123.416</v>
      </c>
      <c r="BB93" s="45" t="str">
        <f aca="false">IF(AND(M93="API 610",LEFT(V93,11)="Centrifugal",OR(LEFT(G93,2)="S-",LEFT(G93,2)="D-")),"Y","N")</f>
        <v>N</v>
      </c>
      <c r="BC93" s="47" t="n">
        <f aca="false">IF(ISNUMBER(AG93),AG93/AX93,"")</f>
        <v>10416.9846287984</v>
      </c>
      <c r="BD93" s="47" t="n">
        <f aca="false">IF(AND(ISNUMBER(BC93),ISNUMBER(K93)),IF(K93&gt;0,BC93/K93^'Assumptions &amp; FX Reference'!$I$16,""),"")</f>
        <v>22458.542010718</v>
      </c>
      <c r="BE93" s="42" t="s">
        <v>669</v>
      </c>
      <c r="BF93" s="42" t="s">
        <v>670</v>
      </c>
      <c r="BG93" s="42" t="s">
        <v>369</v>
      </c>
      <c r="BH93" s="45" t="s">
        <v>313</v>
      </c>
      <c r="BI93" s="45" t="str">
        <f aca="false">"PMP-"&amp;TEXT(A93,"0000")</f>
        <v>PMP-0089</v>
      </c>
    </row>
    <row r="94" customFormat="false" ht="24" hidden="false" customHeight="true" outlineLevel="0" collapsed="false">
      <c r="A94" s="42" t="n">
        <v>90</v>
      </c>
      <c r="B94" s="42" t="s">
        <v>671</v>
      </c>
      <c r="C94" s="42" t="s">
        <v>476</v>
      </c>
      <c r="D94" s="42" t="s">
        <v>672</v>
      </c>
      <c r="E94" s="42" t="s">
        <v>51</v>
      </c>
      <c r="F94" s="42" t="s">
        <v>192</v>
      </c>
      <c r="G94" s="42" t="s">
        <v>115</v>
      </c>
      <c r="H94" s="43" t="n">
        <v>6</v>
      </c>
      <c r="I94" s="52" t="n">
        <v>20.4</v>
      </c>
      <c r="J94" s="43"/>
      <c r="K94" s="44" t="n">
        <f aca="false">IF(ISNUMBER(J94),J94,IF(AND(ISNUMBER(H94),ISNUMBER(I94)),H94*I94/(367*'Assumptions &amp; FX Reference'!$I$17),""))</f>
        <v>0.555858310626703</v>
      </c>
      <c r="L94" s="45" t="str">
        <f aca="false">IF(IF(OR(M94="Not stated",M94=""),""," + "&amp;M94)&amp;IF(OR(N94="None",N94=""),""," + "&amp;N94)&amp;IF(O94="Y"," + NACE MR0175","")="","Not stated",MID(IF(OR(M94="Not stated",M94=""),""," + "&amp;M94)&amp;IF(OR(N94="None",N94=""),""," + "&amp;N94)&amp;IF(O94="Y"," + NACE MR0175",""),4,300))</f>
        <v>JIS B 8325</v>
      </c>
      <c r="M94" s="42" t="s">
        <v>673</v>
      </c>
      <c r="N94" s="42" t="s">
        <v>303</v>
      </c>
      <c r="O94" s="50" t="s">
        <v>312</v>
      </c>
      <c r="P94" s="42" t="s">
        <v>123</v>
      </c>
      <c r="Q94" s="42" t="s">
        <v>123</v>
      </c>
      <c r="R94" s="42" t="s">
        <v>123</v>
      </c>
      <c r="S94" s="42" t="s">
        <v>304</v>
      </c>
      <c r="T94" s="42" t="s">
        <v>334</v>
      </c>
      <c r="U94" s="42" t="n">
        <v>1</v>
      </c>
      <c r="V94" s="42" t="s">
        <v>674</v>
      </c>
      <c r="W94" s="43"/>
      <c r="X94" s="42" t="s">
        <v>123</v>
      </c>
      <c r="Y94" s="50" t="n">
        <v>1393</v>
      </c>
      <c r="Z94" s="42" t="s">
        <v>363</v>
      </c>
      <c r="AA94" s="46" t="n">
        <v>20000</v>
      </c>
      <c r="AB94" s="47" t="n">
        <f aca="false">IF(NOT(ISNUMBER(AA94)),"",IF(NOT(ISNUMBER(Y94)),"",IFERROR(IF(Z94="EUR",AA94,IF(Z94="IRR",AA94/INDEX('Assumptions &amp; FX Reference'!$C$5:$C$25,MATCH(Y94,'Assumptions &amp; FX Reference'!$A$5:$A$25,0)),IF(Z94="USD",AA94*INDEX('Assumptions &amp; FX Reference'!$B$5:$B$25,MATCH(Y94,'Assumptions &amp; FX Reference'!$A$5:$A$25,0))/INDEX('Assumptions &amp; FX Reference'!$C$5:$C$25,MATCH(Y94,'Assumptions &amp; FX Reference'!$A$5:$A$25,0)),""))),"")))</f>
        <v>20000</v>
      </c>
      <c r="AC94" s="47" t="n">
        <f aca="false">IF(NOT(ISNUMBER(AA94)),"",IF(NOT(ISNUMBER(Y94)),"",IFERROR(IF(Z94="USD",AA94,IF(Z94="IRR",AA94/INDEX('Assumptions &amp; FX Reference'!$B$5:$B$25,MATCH(Y94,'Assumptions &amp; FX Reference'!$A$5:$A$25,0)),IF(Z94="EUR",AA94*INDEX('Assumptions &amp; FX Reference'!$C$5:$C$25,MATCH(Y94,'Assumptions &amp; FX Reference'!$A$5:$A$25,0))/INDEX('Assumptions &amp; FX Reference'!$B$5:$B$25,MATCH(Y94,'Assumptions &amp; FX Reference'!$A$5:$A$25,0)),""))),"")))</f>
        <v>26148.9032258065</v>
      </c>
      <c r="AD94" s="47" t="n">
        <f aca="false">IF(NOT(ISNUMBER(AA94)),"",IF(NOT(ISNUMBER(Y94)),"",IFERROR(IF(Z94="IRR",AA94,IF(Z94="USD",AA94*INDEX('Assumptions &amp; FX Reference'!$B$5:$B$25,MATCH(Y94,'Assumptions &amp; FX Reference'!$A$5:$A$25,0)),IF(Z94="EUR",AA94*INDEX('Assumptions &amp; FX Reference'!$C$5:$C$25,MATCH(Y94,'Assumptions &amp; FX Reference'!$A$5:$A$25,0)),""))),"")))</f>
        <v>810616000</v>
      </c>
      <c r="AE94" s="42" t="s">
        <v>480</v>
      </c>
      <c r="AF94" s="50" t="s">
        <v>208</v>
      </c>
      <c r="AG94" s="47" t="n">
        <f aca="false">IF(AND(Z94="EUR",N(AA94)&gt;5000000),"",IF(AND(ISNUMBER(AB94),ISNUMBER(AZ94),ISNUMBER(BA94)),IF(AND(BB94="Y",ISNUMBER('Assumptions &amp; FX Reference'!$I$15)),MAX(AB94*BA94/AZ94,'Assumptions &amp; FX Reference'!$I$13*BA94/'Assumptions &amp; FX Reference'!$I$15),AB94*BA94/AZ94),""))</f>
        <v>27021.3581179459</v>
      </c>
      <c r="AH94" s="47" t="n">
        <f aca="false">IF(AND(ISNUMBER(AG94),ISNUMBER('Assumptions &amp; FX Reference'!$I$8),ISNUMBER('Assumptions &amp; FX Reference'!$I$11)),AG94*'Assumptions &amp; FX Reference'!$I$8/'Assumptions &amp; FX Reference'!$I$11,"")</f>
        <v>28528.6927396926</v>
      </c>
      <c r="AI94" s="47" t="n">
        <f aca="false">IF(AND(ISNUMBER(AG94),ISNUMBER('Assumptions &amp; FX Reference'!$I$8)),AG94*'Assumptions &amp; FX Reference'!$I$8,"")</f>
        <v>18787085615.948</v>
      </c>
      <c r="AJ94" s="42" t="s">
        <v>481</v>
      </c>
      <c r="AK94" s="42" t="s">
        <v>482</v>
      </c>
      <c r="AL94" s="42" t="s">
        <v>123</v>
      </c>
      <c r="AM94" s="42" t="s">
        <v>123</v>
      </c>
      <c r="AN94" s="42" t="s">
        <v>123</v>
      </c>
      <c r="AO94" s="42" t="s">
        <v>123</v>
      </c>
      <c r="AP94" s="42" t="s">
        <v>123</v>
      </c>
      <c r="AQ94" s="50" t="s">
        <v>312</v>
      </c>
      <c r="AR94" s="42" t="s">
        <v>123</v>
      </c>
      <c r="AS94" s="45" t="str">
        <f aca="false">IF(AND(Z94="EUR",N(AA94)&gt;5000000),"Check currency (EUR&gt;5M); ","")&amp;IF(NOT(ISNUMBER(AA94)),"No price; ","")&amp;IF(G94="Not stated","Material missing; ","")&amp;IF(P94="Not stated","Seal missing; ","")&amp;IF(K94="","Size driver missing; ","")&amp;IF(NOT(ISNUMBER(AZ94)),"Base-year PPI missing; ","")</f>
        <v>Seal missing; </v>
      </c>
      <c r="AT94" s="48" t="n">
        <f aca="false">IFERROR(INDEX(Factors_ROT!$F$5:$F$200,MATCH("MAT|"&amp;G94,Factors_ROT!$A$5:$A$200,0)),1)</f>
        <v>1.9</v>
      </c>
      <c r="AU94" s="48" t="n">
        <f aca="false">IFERROR(INDEX(Factors_ROT!$F$5:$F$200,MATCH("SEAL_ARR|"&amp;P94,Factors_ROT!$A$5:$A$200,0)),1)*IFERROR(INDEX(Factors_ROT!$F$5:$F$200,MATCH("SEAL_CAT|"&amp;Q94,Factors_ROT!$A$5:$A$200,0)),1)*IFERROR(INDEX(Factors_ROT!$F$5:$F$200,MATCH("SEAL_PLAN|"&amp;R94,Factors_ROT!$A$5:$A$200,0)),1)</f>
        <v>1</v>
      </c>
      <c r="AV94" s="48" t="n">
        <f aca="false">IFERROR(INDEX(Factors_ROT!$F$5:$F$200,MATCH("DRV|"&amp;S94,Factors_ROT!$A$5:$A$200,0)),1)*IFERROR(INDEX(Factors_ROT!$F$5:$F$200,MATCH("NACE|"&amp;O94,Factors_ROT!$A$5:$A$200,0)),1)</f>
        <v>1</v>
      </c>
      <c r="AW94" s="48" t="n">
        <f aca="false">IFERROR(INDEX(Factors_ROT!$F$5:$F$200,MATCH("SC_DRV|"&amp;AL94,Factors_ROT!$A$5:$A$200,0)),1)*IFERROR(INDEX(Factors_ROT!$F$5:$F$200,MATCH("SC_BSP|"&amp;AM94,Factors_ROT!$A$5:$A$200,0)),1)*IFERROR(INDEX(Factors_ROT!$F$5:$F$200,MATCH("SC_SEAL|"&amp;AN94,Factors_ROT!$A$5:$A$200,0)),1)*IFERROR(INDEX(Factors_ROT!$F$5:$F$200,MATCH("SC_COMM|"&amp;AO94,Factors_ROT!$A$5:$A$200,0)),1)*IFERROR(INDEX(Factors_ROT!$F$5:$F$200,MATCH("SC_2Y|"&amp;AP94,Factors_ROT!$A$5:$A$200,0)),1)*IFERROR(INDEX(Factors_ROT!$F$5:$F$200,MATCH("SC_TPI|"&amp;AQ94,Factors_ROT!$A$5:$A$200,0)),1)*IFERROR(INDEX(Factors_ROT!$F$5:$F$200,MATCH("SC_FAT|"&amp;AR94,Factors_ROT!$A$5:$A$200,0)),1)</f>
        <v>1</v>
      </c>
      <c r="AX94" s="48" t="n">
        <f aca="false">AT94*AU94*AV94*AW94</f>
        <v>1.9</v>
      </c>
      <c r="AY94" s="47" t="n">
        <f aca="false">IF(ISNUMBER(AB94),AB94/AX94,"")</f>
        <v>10526.3157894737</v>
      </c>
      <c r="AZ94" s="49" t="n">
        <f aca="false">IFERROR(IF(N(INDEX(Escalation_Index!$B$5:$B$25,MATCH(Y94,Escalation_Index!$A$5:$A$25,0)))&gt;0,INDEX(Escalation_Index!$B$5:$B$25,MATCH(Y94,Escalation_Index!$A$5:$A$25,0)),""),"")</f>
        <v>91.347</v>
      </c>
      <c r="BA94" s="49" t="n">
        <f aca="false">IF(ISNUMBER('Assumptions &amp; FX Reference'!$I$12),'Assumptions &amp; FX Reference'!$I$12,"")</f>
        <v>123.416</v>
      </c>
      <c r="BB94" s="45" t="str">
        <f aca="false">IF(AND(M94="API 610",LEFT(V94,11)="Centrifugal",OR(LEFT(G94,2)="S-",LEFT(G94,2)="D-")),"Y","N")</f>
        <v>N</v>
      </c>
      <c r="BC94" s="47" t="n">
        <f aca="false">IF(ISNUMBER(AG94),AG94/AX94,"")</f>
        <v>14221.7674304978</v>
      </c>
      <c r="BD94" s="47" t="n">
        <f aca="false">IF(AND(ISNUMBER(BC94),ISNUMBER(K94)),IF(K94&gt;0,BC94/K94^'Assumptions &amp; FX Reference'!$I$16,""),"")</f>
        <v>20229.0324197221</v>
      </c>
      <c r="BE94" s="42" t="s">
        <v>675</v>
      </c>
      <c r="BF94" s="42" t="s">
        <v>676</v>
      </c>
      <c r="BG94" s="42" t="s">
        <v>369</v>
      </c>
      <c r="BH94" s="45" t="s">
        <v>313</v>
      </c>
      <c r="BI94" s="45" t="str">
        <f aca="false">"PMP-"&amp;TEXT(A94,"0000")</f>
        <v>PMP-0090</v>
      </c>
    </row>
    <row r="95" customFormat="false" ht="24" hidden="false" customHeight="true" outlineLevel="0" collapsed="false">
      <c r="A95" s="42" t="n">
        <v>91</v>
      </c>
      <c r="B95" s="42" t="s">
        <v>671</v>
      </c>
      <c r="C95" s="42" t="s">
        <v>558</v>
      </c>
      <c r="D95" s="42" t="s">
        <v>677</v>
      </c>
      <c r="E95" s="42" t="s">
        <v>51</v>
      </c>
      <c r="F95" s="42" t="s">
        <v>192</v>
      </c>
      <c r="G95" s="42" t="s">
        <v>115</v>
      </c>
      <c r="H95" s="43" t="n">
        <v>6</v>
      </c>
      <c r="I95" s="52" t="n">
        <v>20.4</v>
      </c>
      <c r="J95" s="43"/>
      <c r="K95" s="44" t="n">
        <f aca="false">IF(ISNUMBER(J95),J95,IF(AND(ISNUMBER(H95),ISNUMBER(I95)),H95*I95/(367*'Assumptions &amp; FX Reference'!$I$17),""))</f>
        <v>0.555858310626703</v>
      </c>
      <c r="L95" s="45" t="str">
        <f aca="false">IF(IF(OR(M95="Not stated",M95=""),""," + "&amp;M95)&amp;IF(OR(N95="None",N95=""),""," + "&amp;N95)&amp;IF(O95="Y"," + NACE MR0175","")="","Not stated",MID(IF(OR(M95="Not stated",M95=""),""," + "&amp;M95)&amp;IF(OR(N95="None",N95=""),""," + "&amp;N95)&amp;IF(O95="Y"," + NACE MR0175",""),4,300))</f>
        <v>JIS B 8325</v>
      </c>
      <c r="M95" s="42" t="s">
        <v>673</v>
      </c>
      <c r="N95" s="42" t="s">
        <v>303</v>
      </c>
      <c r="O95" s="50" t="s">
        <v>312</v>
      </c>
      <c r="P95" s="42" t="s">
        <v>123</v>
      </c>
      <c r="Q95" s="42" t="s">
        <v>123</v>
      </c>
      <c r="R95" s="42" t="s">
        <v>123</v>
      </c>
      <c r="S95" s="42" t="s">
        <v>304</v>
      </c>
      <c r="T95" s="42" t="s">
        <v>334</v>
      </c>
      <c r="U95" s="42" t="n">
        <v>1</v>
      </c>
      <c r="V95" s="42" t="s">
        <v>674</v>
      </c>
      <c r="W95" s="43"/>
      <c r="X95" s="42" t="s">
        <v>123</v>
      </c>
      <c r="Y95" s="50" t="n">
        <v>1393</v>
      </c>
      <c r="Z95" s="42" t="s">
        <v>363</v>
      </c>
      <c r="AA95" s="46" t="n">
        <v>20000</v>
      </c>
      <c r="AB95" s="47" t="n">
        <f aca="false">IF(NOT(ISNUMBER(AA95)),"",IF(NOT(ISNUMBER(Y95)),"",IFERROR(IF(Z95="EUR",AA95,IF(Z95="IRR",AA95/INDEX('Assumptions &amp; FX Reference'!$C$5:$C$25,MATCH(Y95,'Assumptions &amp; FX Reference'!$A$5:$A$25,0)),IF(Z95="USD",AA95*INDEX('Assumptions &amp; FX Reference'!$B$5:$B$25,MATCH(Y95,'Assumptions &amp; FX Reference'!$A$5:$A$25,0))/INDEX('Assumptions &amp; FX Reference'!$C$5:$C$25,MATCH(Y95,'Assumptions &amp; FX Reference'!$A$5:$A$25,0)),""))),"")))</f>
        <v>20000</v>
      </c>
      <c r="AC95" s="47" t="n">
        <f aca="false">IF(NOT(ISNUMBER(AA95)),"",IF(NOT(ISNUMBER(Y95)),"",IFERROR(IF(Z95="USD",AA95,IF(Z95="IRR",AA95/INDEX('Assumptions &amp; FX Reference'!$B$5:$B$25,MATCH(Y95,'Assumptions &amp; FX Reference'!$A$5:$A$25,0)),IF(Z95="EUR",AA95*INDEX('Assumptions &amp; FX Reference'!$C$5:$C$25,MATCH(Y95,'Assumptions &amp; FX Reference'!$A$5:$A$25,0))/INDEX('Assumptions &amp; FX Reference'!$B$5:$B$25,MATCH(Y95,'Assumptions &amp; FX Reference'!$A$5:$A$25,0)),""))),"")))</f>
        <v>26148.9032258065</v>
      </c>
      <c r="AD95" s="47" t="n">
        <f aca="false">IF(NOT(ISNUMBER(AA95)),"",IF(NOT(ISNUMBER(Y95)),"",IFERROR(IF(Z95="IRR",AA95,IF(Z95="USD",AA95*INDEX('Assumptions &amp; FX Reference'!$B$5:$B$25,MATCH(Y95,'Assumptions &amp; FX Reference'!$A$5:$A$25,0)),IF(Z95="EUR",AA95*INDEX('Assumptions &amp; FX Reference'!$C$5:$C$25,MATCH(Y95,'Assumptions &amp; FX Reference'!$A$5:$A$25,0)),""))),"")))</f>
        <v>810616000</v>
      </c>
      <c r="AE95" s="42" t="s">
        <v>480</v>
      </c>
      <c r="AF95" s="50" t="s">
        <v>208</v>
      </c>
      <c r="AG95" s="47" t="n">
        <f aca="false">IF(AND(Z95="EUR",N(AA95)&gt;5000000),"",IF(AND(ISNUMBER(AB95),ISNUMBER(AZ95),ISNUMBER(BA95)),IF(AND(BB95="Y",ISNUMBER('Assumptions &amp; FX Reference'!$I$15)),MAX(AB95*BA95/AZ95,'Assumptions &amp; FX Reference'!$I$13*BA95/'Assumptions &amp; FX Reference'!$I$15),AB95*BA95/AZ95),""))</f>
        <v>27021.3581179459</v>
      </c>
      <c r="AH95" s="47" t="n">
        <f aca="false">IF(AND(ISNUMBER(AG95),ISNUMBER('Assumptions &amp; FX Reference'!$I$8),ISNUMBER('Assumptions &amp; FX Reference'!$I$11)),AG95*'Assumptions &amp; FX Reference'!$I$8/'Assumptions &amp; FX Reference'!$I$11,"")</f>
        <v>28528.6927396926</v>
      </c>
      <c r="AI95" s="47" t="n">
        <f aca="false">IF(AND(ISNUMBER(AG95),ISNUMBER('Assumptions &amp; FX Reference'!$I$8)),AG95*'Assumptions &amp; FX Reference'!$I$8,"")</f>
        <v>18787085615.948</v>
      </c>
      <c r="AJ95" s="42" t="s">
        <v>481</v>
      </c>
      <c r="AK95" s="42" t="s">
        <v>482</v>
      </c>
      <c r="AL95" s="42" t="s">
        <v>123</v>
      </c>
      <c r="AM95" s="42" t="s">
        <v>123</v>
      </c>
      <c r="AN95" s="42" t="s">
        <v>123</v>
      </c>
      <c r="AO95" s="42" t="s">
        <v>123</v>
      </c>
      <c r="AP95" s="42" t="s">
        <v>123</v>
      </c>
      <c r="AQ95" s="50" t="s">
        <v>312</v>
      </c>
      <c r="AR95" s="42" t="s">
        <v>123</v>
      </c>
      <c r="AS95" s="45" t="str">
        <f aca="false">IF(AND(Z95="EUR",N(AA95)&gt;5000000),"Check currency (EUR&gt;5M); ","")&amp;IF(NOT(ISNUMBER(AA95)),"No price; ","")&amp;IF(G95="Not stated","Material missing; ","")&amp;IF(P95="Not stated","Seal missing; ","")&amp;IF(K95="","Size driver missing; ","")&amp;IF(NOT(ISNUMBER(AZ95)),"Base-year PPI missing; ","")</f>
        <v>Seal missing; </v>
      </c>
      <c r="AT95" s="48" t="n">
        <f aca="false">IFERROR(INDEX(Factors_ROT!$F$5:$F$200,MATCH("MAT|"&amp;G95,Factors_ROT!$A$5:$A$200,0)),1)</f>
        <v>1.9</v>
      </c>
      <c r="AU95" s="48" t="n">
        <f aca="false">IFERROR(INDEX(Factors_ROT!$F$5:$F$200,MATCH("SEAL_ARR|"&amp;P95,Factors_ROT!$A$5:$A$200,0)),1)*IFERROR(INDEX(Factors_ROT!$F$5:$F$200,MATCH("SEAL_CAT|"&amp;Q95,Factors_ROT!$A$5:$A$200,0)),1)*IFERROR(INDEX(Factors_ROT!$F$5:$F$200,MATCH("SEAL_PLAN|"&amp;R95,Factors_ROT!$A$5:$A$200,0)),1)</f>
        <v>1</v>
      </c>
      <c r="AV95" s="48" t="n">
        <f aca="false">IFERROR(INDEX(Factors_ROT!$F$5:$F$200,MATCH("DRV|"&amp;S95,Factors_ROT!$A$5:$A$200,0)),1)*IFERROR(INDEX(Factors_ROT!$F$5:$F$200,MATCH("NACE|"&amp;O95,Factors_ROT!$A$5:$A$200,0)),1)</f>
        <v>1</v>
      </c>
      <c r="AW95" s="48" t="n">
        <f aca="false">IFERROR(INDEX(Factors_ROT!$F$5:$F$200,MATCH("SC_DRV|"&amp;AL95,Factors_ROT!$A$5:$A$200,0)),1)*IFERROR(INDEX(Factors_ROT!$F$5:$F$200,MATCH("SC_BSP|"&amp;AM95,Factors_ROT!$A$5:$A$200,0)),1)*IFERROR(INDEX(Factors_ROT!$F$5:$F$200,MATCH("SC_SEAL|"&amp;AN95,Factors_ROT!$A$5:$A$200,0)),1)*IFERROR(INDEX(Factors_ROT!$F$5:$F$200,MATCH("SC_COMM|"&amp;AO95,Factors_ROT!$A$5:$A$200,0)),1)*IFERROR(INDEX(Factors_ROT!$F$5:$F$200,MATCH("SC_2Y|"&amp;AP95,Factors_ROT!$A$5:$A$200,0)),1)*IFERROR(INDEX(Factors_ROT!$F$5:$F$200,MATCH("SC_TPI|"&amp;AQ95,Factors_ROT!$A$5:$A$200,0)),1)*IFERROR(INDEX(Factors_ROT!$F$5:$F$200,MATCH("SC_FAT|"&amp;AR95,Factors_ROT!$A$5:$A$200,0)),1)</f>
        <v>1</v>
      </c>
      <c r="AX95" s="48" t="n">
        <f aca="false">AT95*AU95*AV95*AW95</f>
        <v>1.9</v>
      </c>
      <c r="AY95" s="47" t="n">
        <f aca="false">IF(ISNUMBER(AB95),AB95/AX95,"")</f>
        <v>10526.3157894737</v>
      </c>
      <c r="AZ95" s="49" t="n">
        <f aca="false">IFERROR(IF(N(INDEX(Escalation_Index!$B$5:$B$25,MATCH(Y95,Escalation_Index!$A$5:$A$25,0)))&gt;0,INDEX(Escalation_Index!$B$5:$B$25,MATCH(Y95,Escalation_Index!$A$5:$A$25,0)),""),"")</f>
        <v>91.347</v>
      </c>
      <c r="BA95" s="49" t="n">
        <f aca="false">IF(ISNUMBER('Assumptions &amp; FX Reference'!$I$12),'Assumptions &amp; FX Reference'!$I$12,"")</f>
        <v>123.416</v>
      </c>
      <c r="BB95" s="45" t="str">
        <f aca="false">IF(AND(M95="API 610",LEFT(V95,11)="Centrifugal",OR(LEFT(G95,2)="S-",LEFT(G95,2)="D-")),"Y","N")</f>
        <v>N</v>
      </c>
      <c r="BC95" s="47" t="n">
        <f aca="false">IF(ISNUMBER(AG95),AG95/AX95,"")</f>
        <v>14221.7674304978</v>
      </c>
      <c r="BD95" s="47" t="n">
        <f aca="false">IF(AND(ISNUMBER(BC95),ISNUMBER(K95)),IF(K95&gt;0,BC95/K95^'Assumptions &amp; FX Reference'!$I$16,""),"")</f>
        <v>20229.0324197221</v>
      </c>
      <c r="BE95" s="42" t="s">
        <v>678</v>
      </c>
      <c r="BF95" s="42" t="s">
        <v>679</v>
      </c>
      <c r="BG95" s="42" t="s">
        <v>369</v>
      </c>
      <c r="BH95" s="45" t="s">
        <v>313</v>
      </c>
      <c r="BI95" s="45" t="str">
        <f aca="false">"PMP-"&amp;TEXT(A95,"0000")</f>
        <v>PMP-0091</v>
      </c>
    </row>
    <row r="96" customFormat="false" ht="24" hidden="false" customHeight="true" outlineLevel="0" collapsed="false">
      <c r="A96" s="42" t="n">
        <v>92</v>
      </c>
      <c r="B96" s="42" t="s">
        <v>680</v>
      </c>
      <c r="C96" s="42" t="s">
        <v>476</v>
      </c>
      <c r="D96" s="42" t="s">
        <v>681</v>
      </c>
      <c r="E96" s="42" t="s">
        <v>57</v>
      </c>
      <c r="F96" s="42" t="s">
        <v>192</v>
      </c>
      <c r="G96" s="42" t="s">
        <v>119</v>
      </c>
      <c r="H96" s="43" t="n">
        <v>9.6</v>
      </c>
      <c r="I96" s="43"/>
      <c r="J96" s="43"/>
      <c r="K96" s="44" t="str">
        <f aca="false">IF(ISNUMBER(J96),J96,IF(AND(ISNUMBER(H96),ISNUMBER(I96)),H96*I96/(367*'Assumptions &amp; FX Reference'!$I$17),""))</f>
        <v/>
      </c>
      <c r="L96" s="45" t="str">
        <f aca="false">IF(IF(OR(M96="Not stated",M96=""),""," + "&amp;M96)&amp;IF(OR(N96="None",N96=""),""," + "&amp;N96)&amp;IF(O96="Y"," + NACE MR0175","")="","Not stated",MID(IF(OR(M96="Not stated",M96=""),""," + "&amp;M96)&amp;IF(OR(N96="None",N96=""),""," + "&amp;N96)&amp;IF(O96="Y"," + NACE MR0175",""),4,300))</f>
        <v>Not stated</v>
      </c>
      <c r="M96" s="42" t="s">
        <v>123</v>
      </c>
      <c r="N96" s="42" t="s">
        <v>303</v>
      </c>
      <c r="O96" s="50" t="s">
        <v>312</v>
      </c>
      <c r="P96" s="42" t="s">
        <v>123</v>
      </c>
      <c r="Q96" s="42" t="s">
        <v>123</v>
      </c>
      <c r="R96" s="42" t="s">
        <v>123</v>
      </c>
      <c r="S96" s="50" t="s">
        <v>304</v>
      </c>
      <c r="T96" s="42" t="s">
        <v>411</v>
      </c>
      <c r="U96" s="42" t="n">
        <v>5</v>
      </c>
      <c r="V96" s="42" t="s">
        <v>682</v>
      </c>
      <c r="W96" s="43"/>
      <c r="X96" s="42" t="s">
        <v>123</v>
      </c>
      <c r="Y96" s="50" t="n">
        <v>1393</v>
      </c>
      <c r="Z96" s="42" t="s">
        <v>454</v>
      </c>
      <c r="AA96" s="46" t="n">
        <v>100000000</v>
      </c>
      <c r="AB96" s="47" t="n">
        <f aca="false">IF(NOT(ISNUMBER(AA96)),"",IF(NOT(ISNUMBER(Y96)),"",IFERROR(IF(Z96="EUR",AA96,IF(Z96="IRR",AA96/INDEX('Assumptions &amp; FX Reference'!$C$5:$C$25,MATCH(Y96,'Assumptions &amp; FX Reference'!$A$5:$A$25,0)),IF(Z96="USD",AA96*INDEX('Assumptions &amp; FX Reference'!$B$5:$B$25,MATCH(Y96,'Assumptions &amp; FX Reference'!$A$5:$A$25,0))/INDEX('Assumptions &amp; FX Reference'!$C$5:$C$25,MATCH(Y96,'Assumptions &amp; FX Reference'!$A$5:$A$25,0)),""))),"")))</f>
        <v>2467.25946687457</v>
      </c>
      <c r="AC96" s="47" t="n">
        <f aca="false">IF(NOT(ISNUMBER(AA96)),"",IF(NOT(ISNUMBER(Y96)),"",IFERROR(IF(Z96="USD",AA96,IF(Z96="IRR",AA96/INDEX('Assumptions &amp; FX Reference'!$B$5:$B$25,MATCH(Y96,'Assumptions &amp; FX Reference'!$A$5:$A$25,0)),IF(Z96="EUR",AA96*INDEX('Assumptions &amp; FX Reference'!$C$5:$C$25,MATCH(Y96,'Assumptions &amp; FX Reference'!$A$5:$A$25,0))/INDEX('Assumptions &amp; FX Reference'!$B$5:$B$25,MATCH(Y96,'Assumptions &amp; FX Reference'!$A$5:$A$25,0)),""))),"")))</f>
        <v>3225.8064516129</v>
      </c>
      <c r="AD96" s="47" t="n">
        <f aca="false">IF(NOT(ISNUMBER(AA96)),"",IF(NOT(ISNUMBER(Y96)),"",IFERROR(IF(Z96="IRR",AA96,IF(Z96="USD",AA96*INDEX('Assumptions &amp; FX Reference'!$B$5:$B$25,MATCH(Y96,'Assumptions &amp; FX Reference'!$A$5:$A$25,0)),IF(Z96="EUR",AA96*INDEX('Assumptions &amp; FX Reference'!$C$5:$C$25,MATCH(Y96,'Assumptions &amp; FX Reference'!$A$5:$A$25,0)),""))),"")))</f>
        <v>100000000</v>
      </c>
      <c r="AE96" s="42" t="s">
        <v>664</v>
      </c>
      <c r="AF96" s="50" t="s">
        <v>201</v>
      </c>
      <c r="AG96" s="47" t="n">
        <f aca="false">IF(AND(Z96="EUR",N(AA96)&gt;5000000),"",IF(AND(ISNUMBER(AB96),ISNUMBER(AZ96),ISNUMBER(BA96)),IF(AND(BB96="Y",ISNUMBER('Assumptions &amp; FX Reference'!$I$15)),MAX(AB96*BA96/AZ96,'Assumptions &amp; FX Reference'!$I$13*BA96/'Assumptions &amp; FX Reference'!$I$15),AB96*BA96/AZ96),""))</f>
        <v>3333.4350812155</v>
      </c>
      <c r="AH96" s="47" t="n">
        <f aca="false">IF(AND(ISNUMBER(AG96),ISNUMBER('Assumptions &amp; FX Reference'!$I$8),ISNUMBER('Assumptions &amp; FX Reference'!$I$11)),AG96*'Assumptions &amp; FX Reference'!$I$8/'Assumptions &amp; FX Reference'!$I$11,"")</f>
        <v>3519.38436197812</v>
      </c>
      <c r="AI96" s="47" t="n">
        <f aca="false">IF(AND(ISNUMBER(AG96),ISNUMBER('Assumptions &amp; FX Reference'!$I$8)),AG96*'Assumptions &amp; FX Reference'!$I$8,"")</f>
        <v>2317630742.04654</v>
      </c>
      <c r="AJ96" s="42" t="s">
        <v>481</v>
      </c>
      <c r="AK96" s="42" t="s">
        <v>482</v>
      </c>
      <c r="AL96" s="42" t="s">
        <v>123</v>
      </c>
      <c r="AM96" s="42" t="s">
        <v>123</v>
      </c>
      <c r="AN96" s="42" t="s">
        <v>123</v>
      </c>
      <c r="AO96" s="42" t="s">
        <v>123</v>
      </c>
      <c r="AP96" s="42" t="s">
        <v>123</v>
      </c>
      <c r="AQ96" s="50" t="s">
        <v>312</v>
      </c>
      <c r="AR96" s="42" t="s">
        <v>123</v>
      </c>
      <c r="AS96" s="45" t="str">
        <f aca="false">IF(AND(Z96="EUR",N(AA96)&gt;5000000),"Check currency (EUR&gt;5M); ","")&amp;IF(NOT(ISNUMBER(AA96)),"No price; ","")&amp;IF(G96="Not stated","Material missing; ","")&amp;IF(P96="Not stated","Seal missing; ","")&amp;IF(K96="","Size driver missing; ","")&amp;IF(NOT(ISNUMBER(AZ96)),"Base-year PPI missing; ","")</f>
        <v>Seal missing; Size driver missing; </v>
      </c>
      <c r="AT96" s="48" t="n">
        <f aca="false">IFERROR(INDEX(Factors_ROT!$F$5:$F$200,MATCH("MAT|"&amp;G96,Factors_ROT!$A$5:$A$200,0)),1)</f>
        <v>1.35</v>
      </c>
      <c r="AU96" s="48" t="n">
        <f aca="false">IFERROR(INDEX(Factors_ROT!$F$5:$F$200,MATCH("SEAL_ARR|"&amp;P96,Factors_ROT!$A$5:$A$200,0)),1)*IFERROR(INDEX(Factors_ROT!$F$5:$F$200,MATCH("SEAL_CAT|"&amp;Q96,Factors_ROT!$A$5:$A$200,0)),1)*IFERROR(INDEX(Factors_ROT!$F$5:$F$200,MATCH("SEAL_PLAN|"&amp;R96,Factors_ROT!$A$5:$A$200,0)),1)</f>
        <v>1</v>
      </c>
      <c r="AV96" s="48" t="n">
        <f aca="false">IFERROR(INDEX(Factors_ROT!$F$5:$F$200,MATCH("DRV|"&amp;S96,Factors_ROT!$A$5:$A$200,0)),1)*IFERROR(INDEX(Factors_ROT!$F$5:$F$200,MATCH("NACE|"&amp;O96,Factors_ROT!$A$5:$A$200,0)),1)</f>
        <v>1</v>
      </c>
      <c r="AW96" s="48" t="n">
        <f aca="false">IFERROR(INDEX(Factors_ROT!$F$5:$F$200,MATCH("SC_DRV|"&amp;AL96,Factors_ROT!$A$5:$A$200,0)),1)*IFERROR(INDEX(Factors_ROT!$F$5:$F$200,MATCH("SC_BSP|"&amp;AM96,Factors_ROT!$A$5:$A$200,0)),1)*IFERROR(INDEX(Factors_ROT!$F$5:$F$200,MATCH("SC_SEAL|"&amp;AN96,Factors_ROT!$A$5:$A$200,0)),1)*IFERROR(INDEX(Factors_ROT!$F$5:$F$200,MATCH("SC_COMM|"&amp;AO96,Factors_ROT!$A$5:$A$200,0)),1)*IFERROR(INDEX(Factors_ROT!$F$5:$F$200,MATCH("SC_2Y|"&amp;AP96,Factors_ROT!$A$5:$A$200,0)),1)*IFERROR(INDEX(Factors_ROT!$F$5:$F$200,MATCH("SC_TPI|"&amp;AQ96,Factors_ROT!$A$5:$A$200,0)),1)*IFERROR(INDEX(Factors_ROT!$F$5:$F$200,MATCH("SC_FAT|"&amp;AR96,Factors_ROT!$A$5:$A$200,0)),1)</f>
        <v>1</v>
      </c>
      <c r="AX96" s="48" t="n">
        <f aca="false">AT96*AU96*AV96*AW96</f>
        <v>1.35</v>
      </c>
      <c r="AY96" s="47" t="n">
        <f aca="false">IF(ISNUMBER(AB96),AB96/AX96,"")</f>
        <v>1827.59960509228</v>
      </c>
      <c r="AZ96" s="49" t="n">
        <f aca="false">IFERROR(IF(N(INDEX(Escalation_Index!$B$5:$B$25,MATCH(Y96,Escalation_Index!$A$5:$A$25,0)))&gt;0,INDEX(Escalation_Index!$B$5:$B$25,MATCH(Y96,Escalation_Index!$A$5:$A$25,0)),""),"")</f>
        <v>91.347</v>
      </c>
      <c r="BA96" s="49" t="n">
        <f aca="false">IF(ISNUMBER('Assumptions &amp; FX Reference'!$I$12),'Assumptions &amp; FX Reference'!$I$12,"")</f>
        <v>123.416</v>
      </c>
      <c r="BB96" s="45" t="str">
        <f aca="false">IF(AND(M96="API 610",LEFT(V96,11)="Centrifugal",OR(LEFT(G96,2)="S-",LEFT(G96,2)="D-")),"Y","N")</f>
        <v>N</v>
      </c>
      <c r="BC96" s="47" t="n">
        <f aca="false">IF(ISNUMBER(AG96),AG96/AX96,"")</f>
        <v>2469.21117127074</v>
      </c>
      <c r="BD96" s="47" t="str">
        <f aca="false">IF(AND(ISNUMBER(BC96),ISNUMBER(K96)),IF(K96&gt;0,BC96/K96^'Assumptions &amp; FX Reference'!$I$16,""),"")</f>
        <v/>
      </c>
      <c r="BE96" s="42" t="s">
        <v>683</v>
      </c>
      <c r="BF96" s="42" t="s">
        <v>684</v>
      </c>
      <c r="BG96" s="42" t="s">
        <v>369</v>
      </c>
      <c r="BH96" s="45" t="s">
        <v>313</v>
      </c>
      <c r="BI96" s="45" t="str">
        <f aca="false">"PMP-"&amp;TEXT(A96,"0000")</f>
        <v>PMP-0092</v>
      </c>
    </row>
    <row r="97" customFormat="false" ht="24" hidden="false" customHeight="true" outlineLevel="0" collapsed="false">
      <c r="A97" s="42" t="n">
        <v>93</v>
      </c>
      <c r="B97" s="42" t="s">
        <v>685</v>
      </c>
      <c r="C97" s="42" t="s">
        <v>476</v>
      </c>
      <c r="D97" s="42" t="s">
        <v>686</v>
      </c>
      <c r="E97" s="42" t="s">
        <v>57</v>
      </c>
      <c r="F97" s="42" t="s">
        <v>192</v>
      </c>
      <c r="G97" s="42" t="s">
        <v>119</v>
      </c>
      <c r="H97" s="43" t="n">
        <v>9.6</v>
      </c>
      <c r="I97" s="43"/>
      <c r="J97" s="43"/>
      <c r="K97" s="44" t="str">
        <f aca="false">IF(ISNUMBER(J97),J97,IF(AND(ISNUMBER(H97),ISNUMBER(I97)),H97*I97/(367*'Assumptions &amp; FX Reference'!$I$17),""))</f>
        <v/>
      </c>
      <c r="L97" s="45" t="str">
        <f aca="false">IF(IF(OR(M97="Not stated",M97=""),""," + "&amp;M97)&amp;IF(OR(N97="None",N97=""),""," + "&amp;N97)&amp;IF(O97="Y"," + NACE MR0175","")="","Not stated",MID(IF(OR(M97="Not stated",M97=""),""," + "&amp;M97)&amp;IF(OR(N97="None",N97=""),""," + "&amp;N97)&amp;IF(O97="Y"," + NACE MR0175",""),4,300))</f>
        <v>Not stated</v>
      </c>
      <c r="M97" s="42" t="s">
        <v>123</v>
      </c>
      <c r="N97" s="42" t="s">
        <v>303</v>
      </c>
      <c r="O97" s="50" t="s">
        <v>312</v>
      </c>
      <c r="P97" s="42" t="s">
        <v>123</v>
      </c>
      <c r="Q97" s="42" t="s">
        <v>123</v>
      </c>
      <c r="R97" s="42" t="s">
        <v>123</v>
      </c>
      <c r="S97" s="50" t="s">
        <v>304</v>
      </c>
      <c r="T97" s="42" t="s">
        <v>411</v>
      </c>
      <c r="U97" s="42" t="n">
        <v>1</v>
      </c>
      <c r="V97" s="42" t="s">
        <v>682</v>
      </c>
      <c r="W97" s="43"/>
      <c r="X97" s="42" t="s">
        <v>123</v>
      </c>
      <c r="Y97" s="50" t="n">
        <v>1393</v>
      </c>
      <c r="Z97" s="42" t="s">
        <v>454</v>
      </c>
      <c r="AA97" s="46" t="n">
        <v>100000000</v>
      </c>
      <c r="AB97" s="47" t="n">
        <f aca="false">IF(NOT(ISNUMBER(AA97)),"",IF(NOT(ISNUMBER(Y97)),"",IFERROR(IF(Z97="EUR",AA97,IF(Z97="IRR",AA97/INDEX('Assumptions &amp; FX Reference'!$C$5:$C$25,MATCH(Y97,'Assumptions &amp; FX Reference'!$A$5:$A$25,0)),IF(Z97="USD",AA97*INDEX('Assumptions &amp; FX Reference'!$B$5:$B$25,MATCH(Y97,'Assumptions &amp; FX Reference'!$A$5:$A$25,0))/INDEX('Assumptions &amp; FX Reference'!$C$5:$C$25,MATCH(Y97,'Assumptions &amp; FX Reference'!$A$5:$A$25,0)),""))),"")))</f>
        <v>2467.25946687457</v>
      </c>
      <c r="AC97" s="47" t="n">
        <f aca="false">IF(NOT(ISNUMBER(AA97)),"",IF(NOT(ISNUMBER(Y97)),"",IFERROR(IF(Z97="USD",AA97,IF(Z97="IRR",AA97/INDEX('Assumptions &amp; FX Reference'!$B$5:$B$25,MATCH(Y97,'Assumptions &amp; FX Reference'!$A$5:$A$25,0)),IF(Z97="EUR",AA97*INDEX('Assumptions &amp; FX Reference'!$C$5:$C$25,MATCH(Y97,'Assumptions &amp; FX Reference'!$A$5:$A$25,0))/INDEX('Assumptions &amp; FX Reference'!$B$5:$B$25,MATCH(Y97,'Assumptions &amp; FX Reference'!$A$5:$A$25,0)),""))),"")))</f>
        <v>3225.8064516129</v>
      </c>
      <c r="AD97" s="47" t="n">
        <f aca="false">IF(NOT(ISNUMBER(AA97)),"",IF(NOT(ISNUMBER(Y97)),"",IFERROR(IF(Z97="IRR",AA97,IF(Z97="USD",AA97*INDEX('Assumptions &amp; FX Reference'!$B$5:$B$25,MATCH(Y97,'Assumptions &amp; FX Reference'!$A$5:$A$25,0)),IF(Z97="EUR",AA97*INDEX('Assumptions &amp; FX Reference'!$C$5:$C$25,MATCH(Y97,'Assumptions &amp; FX Reference'!$A$5:$A$25,0)),""))),"")))</f>
        <v>100000000</v>
      </c>
      <c r="AE97" s="42" t="s">
        <v>664</v>
      </c>
      <c r="AF97" s="50" t="s">
        <v>201</v>
      </c>
      <c r="AG97" s="47" t="n">
        <f aca="false">IF(AND(Z97="EUR",N(AA97)&gt;5000000),"",IF(AND(ISNUMBER(AB97),ISNUMBER(AZ97),ISNUMBER(BA97)),IF(AND(BB97="Y",ISNUMBER('Assumptions &amp; FX Reference'!$I$15)),MAX(AB97*BA97/AZ97,'Assumptions &amp; FX Reference'!$I$13*BA97/'Assumptions &amp; FX Reference'!$I$15),AB97*BA97/AZ97),""))</f>
        <v>3333.4350812155</v>
      </c>
      <c r="AH97" s="47" t="n">
        <f aca="false">IF(AND(ISNUMBER(AG97),ISNUMBER('Assumptions &amp; FX Reference'!$I$8),ISNUMBER('Assumptions &amp; FX Reference'!$I$11)),AG97*'Assumptions &amp; FX Reference'!$I$8/'Assumptions &amp; FX Reference'!$I$11,"")</f>
        <v>3519.38436197812</v>
      </c>
      <c r="AI97" s="47" t="n">
        <f aca="false">IF(AND(ISNUMBER(AG97),ISNUMBER('Assumptions &amp; FX Reference'!$I$8)),AG97*'Assumptions &amp; FX Reference'!$I$8,"")</f>
        <v>2317630742.04654</v>
      </c>
      <c r="AJ97" s="42" t="s">
        <v>481</v>
      </c>
      <c r="AK97" s="42" t="s">
        <v>482</v>
      </c>
      <c r="AL97" s="42" t="s">
        <v>123</v>
      </c>
      <c r="AM97" s="42" t="s">
        <v>123</v>
      </c>
      <c r="AN97" s="42" t="s">
        <v>123</v>
      </c>
      <c r="AO97" s="42" t="s">
        <v>123</v>
      </c>
      <c r="AP97" s="42" t="s">
        <v>123</v>
      </c>
      <c r="AQ97" s="50" t="s">
        <v>312</v>
      </c>
      <c r="AR97" s="42" t="s">
        <v>123</v>
      </c>
      <c r="AS97" s="45" t="str">
        <f aca="false">IF(AND(Z97="EUR",N(AA97)&gt;5000000),"Check currency (EUR&gt;5M); ","")&amp;IF(NOT(ISNUMBER(AA97)),"No price; ","")&amp;IF(G97="Not stated","Material missing; ","")&amp;IF(P97="Not stated","Seal missing; ","")&amp;IF(K97="","Size driver missing; ","")&amp;IF(NOT(ISNUMBER(AZ97)),"Base-year PPI missing; ","")</f>
        <v>Seal missing; Size driver missing; </v>
      </c>
      <c r="AT97" s="48" t="n">
        <f aca="false">IFERROR(INDEX(Factors_ROT!$F$5:$F$200,MATCH("MAT|"&amp;G97,Factors_ROT!$A$5:$A$200,0)),1)</f>
        <v>1.35</v>
      </c>
      <c r="AU97" s="48" t="n">
        <f aca="false">IFERROR(INDEX(Factors_ROT!$F$5:$F$200,MATCH("SEAL_ARR|"&amp;P97,Factors_ROT!$A$5:$A$200,0)),1)*IFERROR(INDEX(Factors_ROT!$F$5:$F$200,MATCH("SEAL_CAT|"&amp;Q97,Factors_ROT!$A$5:$A$200,0)),1)*IFERROR(INDEX(Factors_ROT!$F$5:$F$200,MATCH("SEAL_PLAN|"&amp;R97,Factors_ROT!$A$5:$A$200,0)),1)</f>
        <v>1</v>
      </c>
      <c r="AV97" s="48" t="n">
        <f aca="false">IFERROR(INDEX(Factors_ROT!$F$5:$F$200,MATCH("DRV|"&amp;S97,Factors_ROT!$A$5:$A$200,0)),1)*IFERROR(INDEX(Factors_ROT!$F$5:$F$200,MATCH("NACE|"&amp;O97,Factors_ROT!$A$5:$A$200,0)),1)</f>
        <v>1</v>
      </c>
      <c r="AW97" s="48" t="n">
        <f aca="false">IFERROR(INDEX(Factors_ROT!$F$5:$F$200,MATCH("SC_DRV|"&amp;AL97,Factors_ROT!$A$5:$A$200,0)),1)*IFERROR(INDEX(Factors_ROT!$F$5:$F$200,MATCH("SC_BSP|"&amp;AM97,Factors_ROT!$A$5:$A$200,0)),1)*IFERROR(INDEX(Factors_ROT!$F$5:$F$200,MATCH("SC_SEAL|"&amp;AN97,Factors_ROT!$A$5:$A$200,0)),1)*IFERROR(INDEX(Factors_ROT!$F$5:$F$200,MATCH("SC_COMM|"&amp;AO97,Factors_ROT!$A$5:$A$200,0)),1)*IFERROR(INDEX(Factors_ROT!$F$5:$F$200,MATCH("SC_2Y|"&amp;AP97,Factors_ROT!$A$5:$A$200,0)),1)*IFERROR(INDEX(Factors_ROT!$F$5:$F$200,MATCH("SC_TPI|"&amp;AQ97,Factors_ROT!$A$5:$A$200,0)),1)*IFERROR(INDEX(Factors_ROT!$F$5:$F$200,MATCH("SC_FAT|"&amp;AR97,Factors_ROT!$A$5:$A$200,0)),1)</f>
        <v>1</v>
      </c>
      <c r="AX97" s="48" t="n">
        <f aca="false">AT97*AU97*AV97*AW97</f>
        <v>1.35</v>
      </c>
      <c r="AY97" s="47" t="n">
        <f aca="false">IF(ISNUMBER(AB97),AB97/AX97,"")</f>
        <v>1827.59960509228</v>
      </c>
      <c r="AZ97" s="49" t="n">
        <f aca="false">IFERROR(IF(N(INDEX(Escalation_Index!$B$5:$B$25,MATCH(Y97,Escalation_Index!$A$5:$A$25,0)))&gt;0,INDEX(Escalation_Index!$B$5:$B$25,MATCH(Y97,Escalation_Index!$A$5:$A$25,0)),""),"")</f>
        <v>91.347</v>
      </c>
      <c r="BA97" s="49" t="n">
        <f aca="false">IF(ISNUMBER('Assumptions &amp; FX Reference'!$I$12),'Assumptions &amp; FX Reference'!$I$12,"")</f>
        <v>123.416</v>
      </c>
      <c r="BB97" s="45" t="str">
        <f aca="false">IF(AND(M97="API 610",LEFT(V97,11)="Centrifugal",OR(LEFT(G97,2)="S-",LEFT(G97,2)="D-")),"Y","N")</f>
        <v>N</v>
      </c>
      <c r="BC97" s="47" t="n">
        <f aca="false">IF(ISNUMBER(AG97),AG97/AX97,"")</f>
        <v>2469.21117127074</v>
      </c>
      <c r="BD97" s="47" t="str">
        <f aca="false">IF(AND(ISNUMBER(BC97),ISNUMBER(K97)),IF(K97&gt;0,BC97/K97^'Assumptions &amp; FX Reference'!$I$16,""),"")</f>
        <v/>
      </c>
      <c r="BE97" s="42" t="s">
        <v>687</v>
      </c>
      <c r="BF97" s="42" t="s">
        <v>688</v>
      </c>
      <c r="BG97" s="42" t="s">
        <v>369</v>
      </c>
      <c r="BH97" s="45" t="s">
        <v>313</v>
      </c>
      <c r="BI97" s="45" t="str">
        <f aca="false">"PMP-"&amp;TEXT(A97,"0000")</f>
        <v>PMP-0093</v>
      </c>
    </row>
    <row r="98" customFormat="false" ht="24" hidden="false" customHeight="true" outlineLevel="0" collapsed="false">
      <c r="A98" s="42" t="n">
        <v>94</v>
      </c>
      <c r="B98" s="42" t="s">
        <v>689</v>
      </c>
      <c r="C98" s="42" t="s">
        <v>690</v>
      </c>
      <c r="D98" s="42" t="s">
        <v>691</v>
      </c>
      <c r="E98" s="42" t="s">
        <v>45</v>
      </c>
      <c r="F98" s="42" t="s">
        <v>177</v>
      </c>
      <c r="G98" s="42" t="s">
        <v>111</v>
      </c>
      <c r="H98" s="43" t="n">
        <v>45</v>
      </c>
      <c r="I98" s="43" t="n">
        <v>139.1</v>
      </c>
      <c r="J98" s="43"/>
      <c r="K98" s="44" t="n">
        <f aca="false">IF(ISNUMBER(J98),J98,IF(AND(ISNUMBER(H98),ISNUMBER(I98)),H98*I98/(367*'Assumptions &amp; FX Reference'!$I$17),""))</f>
        <v>28.4264305177112</v>
      </c>
      <c r="L98" s="45" t="str">
        <f aca="false">IF(IF(OR(M98="Not stated",M98=""),""," + "&amp;M98)&amp;IF(OR(N98="None",N98=""),""," + "&amp;N98)&amp;IF(O98="Y"," + NACE MR0175","")="","Not stated",MID(IF(OR(M98="Not stated",M98=""),""," + "&amp;M98)&amp;IF(OR(N98="None",N98=""),""," + "&amp;N98)&amp;IF(O98="Y"," + NACE MR0175",""),4,300))</f>
        <v>API 610 + IPS-G-PM-105 + NACE MR0175</v>
      </c>
      <c r="M98" s="42" t="s">
        <v>478</v>
      </c>
      <c r="N98" s="42" t="s">
        <v>479</v>
      </c>
      <c r="O98" s="42" t="s">
        <v>369</v>
      </c>
      <c r="P98" s="42" t="s">
        <v>123</v>
      </c>
      <c r="Q98" s="42" t="s">
        <v>123</v>
      </c>
      <c r="R98" s="42" t="s">
        <v>123</v>
      </c>
      <c r="S98" s="50" t="s">
        <v>304</v>
      </c>
      <c r="T98" s="42" t="s">
        <v>305</v>
      </c>
      <c r="U98" s="42" t="n">
        <v>2</v>
      </c>
      <c r="V98" s="42" t="s">
        <v>306</v>
      </c>
      <c r="W98" s="43" t="n">
        <v>14.5</v>
      </c>
      <c r="X98" s="42" t="s">
        <v>123</v>
      </c>
      <c r="Y98" s="42" t="n">
        <v>1404</v>
      </c>
      <c r="Z98" s="42" t="s">
        <v>363</v>
      </c>
      <c r="AA98" s="46" t="n">
        <v>111500</v>
      </c>
      <c r="AB98" s="47" t="n">
        <f aca="false">IF(NOT(ISNUMBER(AA98)),"",IF(NOT(ISNUMBER(Y98)),"",IFERROR(IF(Z98="EUR",AA98,IF(Z98="IRR",AA98/INDEX('Assumptions &amp; FX Reference'!$C$5:$C$25,MATCH(Y98,'Assumptions &amp; FX Reference'!$A$5:$A$25,0)),IF(Z98="USD",AA98*INDEX('Assumptions &amp; FX Reference'!$B$5:$B$25,MATCH(Y98,'Assumptions &amp; FX Reference'!$A$5:$A$25,0))/INDEX('Assumptions &amp; FX Reference'!$C$5:$C$25,MATCH(Y98,'Assumptions &amp; FX Reference'!$A$5:$A$25,0)),""))),"")))</f>
        <v>111500</v>
      </c>
      <c r="AC98" s="47" t="n">
        <f aca="false">IF(NOT(ISNUMBER(AA98)),"",IF(NOT(ISNUMBER(Y98)),"",IFERROR(IF(Z98="USD",AA98,IF(Z98="IRR",AA98/INDEX('Assumptions &amp; FX Reference'!$B$5:$B$25,MATCH(Y98,'Assumptions &amp; FX Reference'!$A$5:$A$25,0)),IF(Z98="EUR",AA98*INDEX('Assumptions &amp; FX Reference'!$C$5:$C$25,MATCH(Y98,'Assumptions &amp; FX Reference'!$A$5:$A$25,0))/INDEX('Assumptions &amp; FX Reference'!$B$5:$B$25,MATCH(Y98,'Assumptions &amp; FX Reference'!$A$5:$A$25,0)),""))),"")))</f>
        <v>117719.813585652</v>
      </c>
      <c r="AD98" s="47" t="n">
        <f aca="false">IF(NOT(ISNUMBER(AA98)),"",IF(NOT(ISNUMBER(Y98)),"",IFERROR(IF(Z98="IRR",AA98,IF(Z98="USD",AA98*INDEX('Assumptions &amp; FX Reference'!$B$5:$B$25,MATCH(Y98,'Assumptions &amp; FX Reference'!$A$5:$A$25,0)),IF(Z98="EUR",AA98*INDEX('Assumptions &amp; FX Reference'!$C$5:$C$25,MATCH(Y98,'Assumptions &amp; FX Reference'!$A$5:$A$25,0)),""))),"")))</f>
        <v>77522382000</v>
      </c>
      <c r="AE98" s="42" t="s">
        <v>692</v>
      </c>
      <c r="AF98" s="42" t="s">
        <v>208</v>
      </c>
      <c r="AG98" s="47" t="n">
        <f aca="false">IF(AND(Z98="EUR",N(AA98)&gt;5000000),"",IF(AND(ISNUMBER(AB98),ISNUMBER(AZ98),ISNUMBER(BA98)),IF(AND(BB98="Y",ISNUMBER('Assumptions &amp; FX Reference'!$I$15)),MAX(AB98*BA98/AZ98,'Assumptions &amp; FX Reference'!$I$13*BA98/'Assumptions &amp; FX Reference'!$I$15),AB98*BA98/AZ98),""))</f>
        <v>111500</v>
      </c>
      <c r="AH98" s="47" t="n">
        <f aca="false">IF(AND(ISNUMBER(AG98),ISNUMBER('Assumptions &amp; FX Reference'!$I$8),ISNUMBER('Assumptions &amp; FX Reference'!$I$11)),AG98*'Assumptions &amp; FX Reference'!$I$8/'Assumptions &amp; FX Reference'!$I$11,"")</f>
        <v>117719.813585652</v>
      </c>
      <c r="AI98" s="47" t="n">
        <f aca="false">IF(AND(ISNUMBER(AG98),ISNUMBER('Assumptions &amp; FX Reference'!$I$8)),AG98*'Assumptions &amp; FX Reference'!$I$8,"")</f>
        <v>77522382000</v>
      </c>
      <c r="AJ98" s="42" t="s">
        <v>693</v>
      </c>
      <c r="AK98" s="42" t="s">
        <v>366</v>
      </c>
      <c r="AL98" s="42" t="s">
        <v>123</v>
      </c>
      <c r="AM98" s="42" t="s">
        <v>123</v>
      </c>
      <c r="AN98" s="42" t="s">
        <v>123</v>
      </c>
      <c r="AO98" s="42" t="s">
        <v>123</v>
      </c>
      <c r="AP98" s="42" t="s">
        <v>123</v>
      </c>
      <c r="AQ98" s="42" t="s">
        <v>123</v>
      </c>
      <c r="AR98" s="42" t="s">
        <v>123</v>
      </c>
      <c r="AS98" s="45" t="str">
        <f aca="false">IF(AND(Z98="EUR",N(AA98)&gt;5000000),"Check currency (EUR&gt;5M); ","")&amp;IF(NOT(ISNUMBER(AA98)),"No price; ","")&amp;IF(G98="Not stated","Material missing; ","")&amp;IF(P98="Not stated","Seal missing; ","")&amp;IF(K98="","Size driver missing; ","")&amp;IF(NOT(ISNUMBER(AZ98)),"Base-year PPI missing; ","")</f>
        <v>Seal missing; </v>
      </c>
      <c r="AT98" s="48" t="n">
        <f aca="false">IFERROR(INDEX(Factors_ROT!$F$5:$F$200,MATCH("MAT|"&amp;G98,Factors_ROT!$A$5:$A$200,0)),1)</f>
        <v>1.7</v>
      </c>
      <c r="AU98" s="48" t="n">
        <f aca="false">IFERROR(INDEX(Factors_ROT!$F$5:$F$200,MATCH("SEAL_ARR|"&amp;P98,Factors_ROT!$A$5:$A$200,0)),1)*IFERROR(INDEX(Factors_ROT!$F$5:$F$200,MATCH("SEAL_CAT|"&amp;Q98,Factors_ROT!$A$5:$A$200,0)),1)*IFERROR(INDEX(Factors_ROT!$F$5:$F$200,MATCH("SEAL_PLAN|"&amp;R98,Factors_ROT!$A$5:$A$200,0)),1)</f>
        <v>1</v>
      </c>
      <c r="AV98" s="48" t="n">
        <f aca="false">IFERROR(INDEX(Factors_ROT!$F$5:$F$200,MATCH("DRV|"&amp;S98,Factors_ROT!$A$5:$A$200,0)),1)*IFERROR(INDEX(Factors_ROT!$F$5:$F$200,MATCH("NACE|"&amp;O98,Factors_ROT!$A$5:$A$200,0)),1)</f>
        <v>1.05</v>
      </c>
      <c r="AW98" s="48" t="n">
        <f aca="false">IFERROR(INDEX(Factors_ROT!$F$5:$F$200,MATCH("SC_DRV|"&amp;AL98,Factors_ROT!$A$5:$A$200,0)),1)*IFERROR(INDEX(Factors_ROT!$F$5:$F$200,MATCH("SC_BSP|"&amp;AM98,Factors_ROT!$A$5:$A$200,0)),1)*IFERROR(INDEX(Factors_ROT!$F$5:$F$200,MATCH("SC_SEAL|"&amp;AN98,Factors_ROT!$A$5:$A$200,0)),1)*IFERROR(INDEX(Factors_ROT!$F$5:$F$200,MATCH("SC_COMM|"&amp;AO98,Factors_ROT!$A$5:$A$200,0)),1)*IFERROR(INDEX(Factors_ROT!$F$5:$F$200,MATCH("SC_2Y|"&amp;AP98,Factors_ROT!$A$5:$A$200,0)),1)*IFERROR(INDEX(Factors_ROT!$F$5:$F$200,MATCH("SC_TPI|"&amp;AQ98,Factors_ROT!$A$5:$A$200,0)),1)*IFERROR(INDEX(Factors_ROT!$F$5:$F$200,MATCH("SC_FAT|"&amp;AR98,Factors_ROT!$A$5:$A$200,0)),1)</f>
        <v>1</v>
      </c>
      <c r="AX98" s="48" t="n">
        <f aca="false">AT98*AU98*AV98*AW98</f>
        <v>1.785</v>
      </c>
      <c r="AY98" s="47" t="n">
        <f aca="false">IF(ISNUMBER(AB98),AB98/AX98,"")</f>
        <v>62464.9859943978</v>
      </c>
      <c r="AZ98" s="49" t="n">
        <f aca="false">IFERROR(IF(N(INDEX(Escalation_Index!$B$5:$B$25,MATCH(Y98,Escalation_Index!$A$5:$A$25,0)))&gt;0,INDEX(Escalation_Index!$B$5:$B$25,MATCH(Y98,Escalation_Index!$A$5:$A$25,0)),""),"")</f>
        <v>123.416</v>
      </c>
      <c r="BA98" s="49" t="n">
        <f aca="false">IF(ISNUMBER('Assumptions &amp; FX Reference'!$I$12),'Assumptions &amp; FX Reference'!$I$12,"")</f>
        <v>123.416</v>
      </c>
      <c r="BB98" s="45" t="str">
        <f aca="false">IF(AND(M98="API 610",LEFT(V98,11)="Centrifugal",OR(LEFT(G98,2)="S-",LEFT(G98,2)="D-")),"Y","N")</f>
        <v>Y</v>
      </c>
      <c r="BC98" s="47" t="n">
        <f aca="false">IF(ISNUMBER(AG98),AG98/AX98,"")</f>
        <v>62464.9859943978</v>
      </c>
      <c r="BD98" s="47" t="n">
        <f aca="false">IF(AND(ISNUMBER(BC98),ISNUMBER(K98)),IF(K98&gt;0,BC98/K98^'Assumptions &amp; FX Reference'!$I$16,""),"")</f>
        <v>8383.07302770068</v>
      </c>
      <c r="BE98" s="42" t="s">
        <v>694</v>
      </c>
      <c r="BF98" s="42" t="s">
        <v>695</v>
      </c>
      <c r="BG98" s="42" t="s">
        <v>369</v>
      </c>
      <c r="BH98" s="45" t="s">
        <v>313</v>
      </c>
      <c r="BI98" s="45" t="str">
        <f aca="false">"PMP-"&amp;TEXT(A98,"0000")</f>
        <v>PMP-0094</v>
      </c>
    </row>
    <row r="99" customFormat="false" ht="24" hidden="false" customHeight="true" outlineLevel="0" collapsed="false">
      <c r="A99" s="42" t="n">
        <v>95</v>
      </c>
      <c r="B99" s="42" t="s">
        <v>621</v>
      </c>
      <c r="C99" s="42" t="s">
        <v>690</v>
      </c>
      <c r="D99" s="42" t="s">
        <v>563</v>
      </c>
      <c r="E99" s="42" t="s">
        <v>48</v>
      </c>
      <c r="F99" s="42" t="s">
        <v>192</v>
      </c>
      <c r="G99" s="42" t="s">
        <v>74</v>
      </c>
      <c r="H99" s="43" t="n">
        <v>53</v>
      </c>
      <c r="I99" s="43" t="n">
        <v>35.7</v>
      </c>
      <c r="J99" s="43"/>
      <c r="K99" s="44" t="n">
        <f aca="false">IF(ISNUMBER(J99),J99,IF(AND(ISNUMBER(H99),ISNUMBER(I99)),H99*I99/(367*'Assumptions &amp; FX Reference'!$I$17),""))</f>
        <v>8.59264305177112</v>
      </c>
      <c r="L99" s="45" t="str">
        <f aca="false">IF(IF(OR(M99="Not stated",M99=""),""," + "&amp;M99)&amp;IF(OR(N99="None",N99=""),""," + "&amp;N99)&amp;IF(O99="Y"," + NACE MR0175","")="","Not stated",MID(IF(OR(M99="Not stated",M99=""),""," + "&amp;M99)&amp;IF(OR(N99="None",N99=""),""," + "&amp;N99)&amp;IF(O99="Y"," + NACE MR0175",""),4,300))</f>
        <v>ISO 5199 + IPS-M-PM-115</v>
      </c>
      <c r="M99" s="42" t="s">
        <v>623</v>
      </c>
      <c r="N99" s="42" t="s">
        <v>624</v>
      </c>
      <c r="O99" s="50" t="s">
        <v>312</v>
      </c>
      <c r="P99" s="42" t="s">
        <v>123</v>
      </c>
      <c r="Q99" s="42" t="s">
        <v>123</v>
      </c>
      <c r="R99" s="42" t="s">
        <v>123</v>
      </c>
      <c r="S99" s="50" t="s">
        <v>304</v>
      </c>
      <c r="T99" s="42" t="s">
        <v>391</v>
      </c>
      <c r="U99" s="42" t="n">
        <v>2</v>
      </c>
      <c r="V99" s="42" t="s">
        <v>306</v>
      </c>
      <c r="W99" s="43" t="n">
        <v>2.9</v>
      </c>
      <c r="X99" s="42" t="s">
        <v>123</v>
      </c>
      <c r="Y99" s="42" t="n">
        <v>1404</v>
      </c>
      <c r="Z99" s="42" t="s">
        <v>363</v>
      </c>
      <c r="AA99" s="46" t="n">
        <v>15050</v>
      </c>
      <c r="AB99" s="47" t="n">
        <f aca="false">IF(NOT(ISNUMBER(AA99)),"",IF(NOT(ISNUMBER(Y99)),"",IFERROR(IF(Z99="EUR",AA99,IF(Z99="IRR",AA99/INDEX('Assumptions &amp; FX Reference'!$C$5:$C$25,MATCH(Y99,'Assumptions &amp; FX Reference'!$A$5:$A$25,0)),IF(Z99="USD",AA99*INDEX('Assumptions &amp; FX Reference'!$B$5:$B$25,MATCH(Y99,'Assumptions &amp; FX Reference'!$A$5:$A$25,0))/INDEX('Assumptions &amp; FX Reference'!$C$5:$C$25,MATCH(Y99,'Assumptions &amp; FX Reference'!$A$5:$A$25,0)),""))),"")))</f>
        <v>15050</v>
      </c>
      <c r="AC99" s="47" t="n">
        <f aca="false">IF(NOT(ISNUMBER(AA99)),"",IF(NOT(ISNUMBER(Y99)),"",IFERROR(IF(Z99="USD",AA99,IF(Z99="IRR",AA99/INDEX('Assumptions &amp; FX Reference'!$B$5:$B$25,MATCH(Y99,'Assumptions &amp; FX Reference'!$A$5:$A$25,0)),IF(Z99="EUR",AA99*INDEX('Assumptions &amp; FX Reference'!$C$5:$C$25,MATCH(Y99,'Assumptions &amp; FX Reference'!$A$5:$A$25,0))/INDEX('Assumptions &amp; FX Reference'!$B$5:$B$25,MATCH(Y99,'Assumptions &amp; FX Reference'!$A$5:$A$25,0)),""))),"")))</f>
        <v>15889.5353763593</v>
      </c>
      <c r="AD99" s="47" t="n">
        <f aca="false">IF(NOT(ISNUMBER(AA99)),"",IF(NOT(ISNUMBER(Y99)),"",IFERROR(IF(Z99="IRR",AA99,IF(Z99="USD",AA99*INDEX('Assumptions &amp; FX Reference'!$B$5:$B$25,MATCH(Y99,'Assumptions &amp; FX Reference'!$A$5:$A$25,0)),IF(Z99="EUR",AA99*INDEX('Assumptions &amp; FX Reference'!$C$5:$C$25,MATCH(Y99,'Assumptions &amp; FX Reference'!$A$5:$A$25,0)),""))),"")))</f>
        <v>10463783400</v>
      </c>
      <c r="AE99" s="42" t="s">
        <v>692</v>
      </c>
      <c r="AF99" s="42" t="s">
        <v>208</v>
      </c>
      <c r="AG99" s="47" t="n">
        <f aca="false">IF(AND(Z99="EUR",N(AA99)&gt;5000000),"",IF(AND(ISNUMBER(AB99),ISNUMBER(AZ99),ISNUMBER(BA99)),IF(AND(BB99="Y",ISNUMBER('Assumptions &amp; FX Reference'!$I$15)),MAX(AB99*BA99/AZ99,'Assumptions &amp; FX Reference'!$I$13*BA99/'Assumptions &amp; FX Reference'!$I$15),AB99*BA99/AZ99),""))</f>
        <v>15050</v>
      </c>
      <c r="AH99" s="47" t="n">
        <f aca="false">IF(AND(ISNUMBER(AG99),ISNUMBER('Assumptions &amp; FX Reference'!$I$8),ISNUMBER('Assumptions &amp; FX Reference'!$I$11)),AG99*'Assumptions &amp; FX Reference'!$I$8/'Assumptions &amp; FX Reference'!$I$11,"")</f>
        <v>15889.5353763593</v>
      </c>
      <c r="AI99" s="47" t="n">
        <f aca="false">IF(AND(ISNUMBER(AG99),ISNUMBER('Assumptions &amp; FX Reference'!$I$8)),AG99*'Assumptions &amp; FX Reference'!$I$8,"")</f>
        <v>10463783400</v>
      </c>
      <c r="AJ99" s="42" t="s">
        <v>693</v>
      </c>
      <c r="AK99" s="42" t="s">
        <v>366</v>
      </c>
      <c r="AL99" s="42" t="s">
        <v>123</v>
      </c>
      <c r="AM99" s="42" t="s">
        <v>123</v>
      </c>
      <c r="AN99" s="42" t="s">
        <v>123</v>
      </c>
      <c r="AO99" s="42" t="s">
        <v>123</v>
      </c>
      <c r="AP99" s="42" t="s">
        <v>123</v>
      </c>
      <c r="AQ99" s="42" t="s">
        <v>123</v>
      </c>
      <c r="AR99" s="42" t="s">
        <v>123</v>
      </c>
      <c r="AS99" s="45" t="str">
        <f aca="false">IF(AND(Z99="EUR",N(AA99)&gt;5000000),"Check currency (EUR&gt;5M); ","")&amp;IF(NOT(ISNUMBER(AA99)),"No price; ","")&amp;IF(G99="Not stated","Material missing; ","")&amp;IF(P99="Not stated","Seal missing; ","")&amp;IF(K99="","Size driver missing; ","")&amp;IF(NOT(ISNUMBER(AZ99)),"Base-year PPI missing; ","")</f>
        <v>Seal missing; </v>
      </c>
      <c r="AT99" s="48" t="n">
        <f aca="false">IFERROR(INDEX(Factors_ROT!$F$5:$F$200,MATCH("MAT|"&amp;G99,Factors_ROT!$A$5:$A$200,0)),1)</f>
        <v>0.8</v>
      </c>
      <c r="AU99" s="48" t="n">
        <f aca="false">IFERROR(INDEX(Factors_ROT!$F$5:$F$200,MATCH("SEAL_ARR|"&amp;P99,Factors_ROT!$A$5:$A$200,0)),1)*IFERROR(INDEX(Factors_ROT!$F$5:$F$200,MATCH("SEAL_CAT|"&amp;Q99,Factors_ROT!$A$5:$A$200,0)),1)*IFERROR(INDEX(Factors_ROT!$F$5:$F$200,MATCH("SEAL_PLAN|"&amp;R99,Factors_ROT!$A$5:$A$200,0)),1)</f>
        <v>1</v>
      </c>
      <c r="AV99" s="48" t="n">
        <f aca="false">IFERROR(INDEX(Factors_ROT!$F$5:$F$200,MATCH("DRV|"&amp;S99,Factors_ROT!$A$5:$A$200,0)),1)*IFERROR(INDEX(Factors_ROT!$F$5:$F$200,MATCH("NACE|"&amp;O99,Factors_ROT!$A$5:$A$200,0)),1)</f>
        <v>1</v>
      </c>
      <c r="AW99" s="48" t="n">
        <f aca="false">IFERROR(INDEX(Factors_ROT!$F$5:$F$200,MATCH("SC_DRV|"&amp;AL99,Factors_ROT!$A$5:$A$200,0)),1)*IFERROR(INDEX(Factors_ROT!$F$5:$F$200,MATCH("SC_BSP|"&amp;AM99,Factors_ROT!$A$5:$A$200,0)),1)*IFERROR(INDEX(Factors_ROT!$F$5:$F$200,MATCH("SC_SEAL|"&amp;AN99,Factors_ROT!$A$5:$A$200,0)),1)*IFERROR(INDEX(Factors_ROT!$F$5:$F$200,MATCH("SC_COMM|"&amp;AO99,Factors_ROT!$A$5:$A$200,0)),1)*IFERROR(INDEX(Factors_ROT!$F$5:$F$200,MATCH("SC_2Y|"&amp;AP99,Factors_ROT!$A$5:$A$200,0)),1)*IFERROR(INDEX(Factors_ROT!$F$5:$F$200,MATCH("SC_TPI|"&amp;AQ99,Factors_ROT!$A$5:$A$200,0)),1)*IFERROR(INDEX(Factors_ROT!$F$5:$F$200,MATCH("SC_FAT|"&amp;AR99,Factors_ROT!$A$5:$A$200,0)),1)</f>
        <v>1</v>
      </c>
      <c r="AX99" s="48" t="n">
        <f aca="false">AT99*AU99*AV99*AW99</f>
        <v>0.8</v>
      </c>
      <c r="AY99" s="47" t="n">
        <f aca="false">IF(ISNUMBER(AB99),AB99/AX99,"")</f>
        <v>18812.5</v>
      </c>
      <c r="AZ99" s="49" t="n">
        <f aca="false">IFERROR(IF(N(INDEX(Escalation_Index!$B$5:$B$25,MATCH(Y99,Escalation_Index!$A$5:$A$25,0)))&gt;0,INDEX(Escalation_Index!$B$5:$B$25,MATCH(Y99,Escalation_Index!$A$5:$A$25,0)),""),"")</f>
        <v>123.416</v>
      </c>
      <c r="BA99" s="49" t="n">
        <f aca="false">IF(ISNUMBER('Assumptions &amp; FX Reference'!$I$12),'Assumptions &amp; FX Reference'!$I$12,"")</f>
        <v>123.416</v>
      </c>
      <c r="BB99" s="45" t="str">
        <f aca="false">IF(AND(M99="API 610",LEFT(V99,11)="Centrifugal",OR(LEFT(G99,2)="S-",LEFT(G99,2)="D-")),"Y","N")</f>
        <v>N</v>
      </c>
      <c r="BC99" s="47" t="n">
        <f aca="false">IF(ISNUMBER(AG99),AG99/AX99,"")</f>
        <v>18812.5</v>
      </c>
      <c r="BD99" s="47" t="n">
        <f aca="false">IF(AND(ISNUMBER(BC99),ISNUMBER(K99)),IF(K99&gt;0,BC99/K99^'Assumptions &amp; FX Reference'!$I$16,""),"")</f>
        <v>5175.71614808123</v>
      </c>
      <c r="BE99" s="42" t="s">
        <v>696</v>
      </c>
      <c r="BF99" s="42" t="s">
        <v>697</v>
      </c>
      <c r="BG99" s="42" t="s">
        <v>369</v>
      </c>
      <c r="BH99" s="45" t="s">
        <v>313</v>
      </c>
      <c r="BI99" s="45" t="str">
        <f aca="false">"PMP-"&amp;TEXT(A99,"0000")</f>
        <v>PMP-0095</v>
      </c>
    </row>
    <row r="100" customFormat="false" ht="24" hidden="false" customHeight="true" outlineLevel="0" collapsed="false">
      <c r="A100" s="42" t="n">
        <v>96</v>
      </c>
      <c r="B100" s="42" t="s">
        <v>512</v>
      </c>
      <c r="C100" s="42" t="s">
        <v>690</v>
      </c>
      <c r="D100" s="42" t="s">
        <v>698</v>
      </c>
      <c r="E100" s="42" t="s">
        <v>48</v>
      </c>
      <c r="F100" s="42" t="s">
        <v>132</v>
      </c>
      <c r="G100" s="42" t="s">
        <v>74</v>
      </c>
      <c r="H100" s="43" t="n">
        <v>53</v>
      </c>
      <c r="I100" s="43" t="n">
        <v>122.3</v>
      </c>
      <c r="J100" s="43"/>
      <c r="K100" s="44" t="n">
        <f aca="false">IF(ISNUMBER(J100),J100,IF(AND(ISNUMBER(H100),ISNUMBER(I100)),H100*I100/(367*'Assumptions &amp; FX Reference'!$I$17),""))</f>
        <v>29.436421435059</v>
      </c>
      <c r="L100" s="45" t="str">
        <f aca="false">IF(IF(OR(M100="Not stated",M100=""),""," + "&amp;M100)&amp;IF(OR(N100="None",N100=""),""," + "&amp;N100)&amp;IF(O100="Y"," + NACE MR0175","")="","Not stated",MID(IF(OR(M100="Not stated",M100=""),""," + "&amp;M100)&amp;IF(OR(N100="None",N100=""),""," + "&amp;N100)&amp;IF(O100="Y"," + NACE MR0175",""),4,300))</f>
        <v>API 610 + IPS-G-PM-105</v>
      </c>
      <c r="M100" s="42" t="s">
        <v>478</v>
      </c>
      <c r="N100" s="42" t="s">
        <v>479</v>
      </c>
      <c r="O100" s="50" t="s">
        <v>312</v>
      </c>
      <c r="P100" s="42" t="s">
        <v>123</v>
      </c>
      <c r="Q100" s="42" t="s">
        <v>123</v>
      </c>
      <c r="R100" s="42" t="s">
        <v>123</v>
      </c>
      <c r="S100" s="50" t="s">
        <v>304</v>
      </c>
      <c r="T100" s="42" t="s">
        <v>327</v>
      </c>
      <c r="U100" s="42" t="n">
        <v>1</v>
      </c>
      <c r="V100" s="42" t="s">
        <v>306</v>
      </c>
      <c r="W100" s="43" t="n">
        <v>12</v>
      </c>
      <c r="X100" s="42" t="s">
        <v>123</v>
      </c>
      <c r="Y100" s="42" t="n">
        <v>1404</v>
      </c>
      <c r="Z100" s="42" t="s">
        <v>363</v>
      </c>
      <c r="AA100" s="46" t="n">
        <v>22250</v>
      </c>
      <c r="AB100" s="47" t="n">
        <f aca="false">IF(NOT(ISNUMBER(AA100)),"",IF(NOT(ISNUMBER(Y100)),"",IFERROR(IF(Z100="EUR",AA100,IF(Z100="IRR",AA100/INDEX('Assumptions &amp; FX Reference'!$C$5:$C$25,MATCH(Y100,'Assumptions &amp; FX Reference'!$A$5:$A$25,0)),IF(Z100="USD",AA100*INDEX('Assumptions &amp; FX Reference'!$B$5:$B$25,MATCH(Y100,'Assumptions &amp; FX Reference'!$A$5:$A$25,0))/INDEX('Assumptions &amp; FX Reference'!$C$5:$C$25,MATCH(Y100,'Assumptions &amp; FX Reference'!$A$5:$A$25,0)),""))),"")))</f>
        <v>22250</v>
      </c>
      <c r="AC100" s="47" t="n">
        <f aca="false">IF(NOT(ISNUMBER(AA100)),"",IF(NOT(ISNUMBER(Y100)),"",IFERROR(IF(Z100="USD",AA100,IF(Z100="IRR",AA100/INDEX('Assumptions &amp; FX Reference'!$B$5:$B$25,MATCH(Y100,'Assumptions &amp; FX Reference'!$A$5:$A$25,0)),IF(Z100="EUR",AA100*INDEX('Assumptions &amp; FX Reference'!$C$5:$C$25,MATCH(Y100,'Assumptions &amp; FX Reference'!$A$5:$A$25,0))/INDEX('Assumptions &amp; FX Reference'!$B$5:$B$25,MATCH(Y100,'Assumptions &amp; FX Reference'!$A$5:$A$25,0)),""))),"")))</f>
        <v>23491.1735630561</v>
      </c>
      <c r="AD100" s="47" t="n">
        <f aca="false">IF(NOT(ISNUMBER(AA100)),"",IF(NOT(ISNUMBER(Y100)),"",IFERROR(IF(Z100="IRR",AA100,IF(Z100="USD",AA100*INDEX('Assumptions &amp; FX Reference'!$B$5:$B$25,MATCH(Y100,'Assumptions &amp; FX Reference'!$A$5:$A$25,0)),IF(Z100="EUR",AA100*INDEX('Assumptions &amp; FX Reference'!$C$5:$C$25,MATCH(Y100,'Assumptions &amp; FX Reference'!$A$5:$A$25,0)),""))),"")))</f>
        <v>15469713000</v>
      </c>
      <c r="AE100" s="42" t="s">
        <v>692</v>
      </c>
      <c r="AF100" s="42" t="s">
        <v>208</v>
      </c>
      <c r="AG100" s="47" t="n">
        <f aca="false">IF(AND(Z100="EUR",N(AA100)&gt;5000000),"",IF(AND(ISNUMBER(AB100),ISNUMBER(AZ100),ISNUMBER(BA100)),IF(AND(BB100="Y",ISNUMBER('Assumptions &amp; FX Reference'!$I$15)),MAX(AB100*BA100/AZ100,'Assumptions &amp; FX Reference'!$I$13*BA100/'Assumptions &amp; FX Reference'!$I$15),AB100*BA100/AZ100),""))</f>
        <v>22250</v>
      </c>
      <c r="AH100" s="47" t="n">
        <f aca="false">IF(AND(ISNUMBER(AG100),ISNUMBER('Assumptions &amp; FX Reference'!$I$8),ISNUMBER('Assumptions &amp; FX Reference'!$I$11)),AG100*'Assumptions &amp; FX Reference'!$I$8/'Assumptions &amp; FX Reference'!$I$11,"")</f>
        <v>23491.1735630561</v>
      </c>
      <c r="AI100" s="47" t="n">
        <f aca="false">IF(AND(ISNUMBER(AG100),ISNUMBER('Assumptions &amp; FX Reference'!$I$8)),AG100*'Assumptions &amp; FX Reference'!$I$8,"")</f>
        <v>15469713000</v>
      </c>
      <c r="AJ100" s="42" t="s">
        <v>693</v>
      </c>
      <c r="AK100" s="42" t="s">
        <v>366</v>
      </c>
      <c r="AL100" s="42" t="s">
        <v>123</v>
      </c>
      <c r="AM100" s="42" t="s">
        <v>123</v>
      </c>
      <c r="AN100" s="42" t="s">
        <v>123</v>
      </c>
      <c r="AO100" s="42" t="s">
        <v>123</v>
      </c>
      <c r="AP100" s="42" t="s">
        <v>123</v>
      </c>
      <c r="AQ100" s="42" t="s">
        <v>123</v>
      </c>
      <c r="AR100" s="42" t="s">
        <v>123</v>
      </c>
      <c r="AS100" s="45" t="str">
        <f aca="false">IF(AND(Z100="EUR",N(AA100)&gt;5000000),"Check currency (EUR&gt;5M); ","")&amp;IF(NOT(ISNUMBER(AA100)),"No price; ","")&amp;IF(G100="Not stated","Material missing; ","")&amp;IF(P100="Not stated","Seal missing; ","")&amp;IF(K100="","Size driver missing; ","")&amp;IF(NOT(ISNUMBER(AZ100)),"Base-year PPI missing; ","")</f>
        <v>Seal missing; </v>
      </c>
      <c r="AT100" s="48" t="n">
        <f aca="false">IFERROR(INDEX(Factors_ROT!$F$5:$F$200,MATCH("MAT|"&amp;G100,Factors_ROT!$A$5:$A$200,0)),1)</f>
        <v>0.8</v>
      </c>
      <c r="AU100" s="48" t="n">
        <f aca="false">IFERROR(INDEX(Factors_ROT!$F$5:$F$200,MATCH("SEAL_ARR|"&amp;P100,Factors_ROT!$A$5:$A$200,0)),1)*IFERROR(INDEX(Factors_ROT!$F$5:$F$200,MATCH("SEAL_CAT|"&amp;Q100,Factors_ROT!$A$5:$A$200,0)),1)*IFERROR(INDEX(Factors_ROT!$F$5:$F$200,MATCH("SEAL_PLAN|"&amp;R100,Factors_ROT!$A$5:$A$200,0)),1)</f>
        <v>1</v>
      </c>
      <c r="AV100" s="48" t="n">
        <f aca="false">IFERROR(INDEX(Factors_ROT!$F$5:$F$200,MATCH("DRV|"&amp;S100,Factors_ROT!$A$5:$A$200,0)),1)*IFERROR(INDEX(Factors_ROT!$F$5:$F$200,MATCH("NACE|"&amp;O100,Factors_ROT!$A$5:$A$200,0)),1)</f>
        <v>1</v>
      </c>
      <c r="AW100" s="48" t="n">
        <f aca="false">IFERROR(INDEX(Factors_ROT!$F$5:$F$200,MATCH("SC_DRV|"&amp;AL100,Factors_ROT!$A$5:$A$200,0)),1)*IFERROR(INDEX(Factors_ROT!$F$5:$F$200,MATCH("SC_BSP|"&amp;AM100,Factors_ROT!$A$5:$A$200,0)),1)*IFERROR(INDEX(Factors_ROT!$F$5:$F$200,MATCH("SC_SEAL|"&amp;AN100,Factors_ROT!$A$5:$A$200,0)),1)*IFERROR(INDEX(Factors_ROT!$F$5:$F$200,MATCH("SC_COMM|"&amp;AO100,Factors_ROT!$A$5:$A$200,0)),1)*IFERROR(INDEX(Factors_ROT!$F$5:$F$200,MATCH("SC_2Y|"&amp;AP100,Factors_ROT!$A$5:$A$200,0)),1)*IFERROR(INDEX(Factors_ROT!$F$5:$F$200,MATCH("SC_TPI|"&amp;AQ100,Factors_ROT!$A$5:$A$200,0)),1)*IFERROR(INDEX(Factors_ROT!$F$5:$F$200,MATCH("SC_FAT|"&amp;AR100,Factors_ROT!$A$5:$A$200,0)),1)</f>
        <v>1</v>
      </c>
      <c r="AX100" s="48" t="n">
        <f aca="false">AT100*AU100*AV100*AW100</f>
        <v>0.8</v>
      </c>
      <c r="AY100" s="47" t="n">
        <f aca="false">IF(ISNUMBER(AB100),AB100/AX100,"")</f>
        <v>27812.5</v>
      </c>
      <c r="AZ100" s="49" t="n">
        <f aca="false">IFERROR(IF(N(INDEX(Escalation_Index!$B$5:$B$25,MATCH(Y100,Escalation_Index!$A$5:$A$25,0)))&gt;0,INDEX(Escalation_Index!$B$5:$B$25,MATCH(Y100,Escalation_Index!$A$5:$A$25,0)),""),"")</f>
        <v>123.416</v>
      </c>
      <c r="BA100" s="49" t="n">
        <f aca="false">IF(ISNUMBER('Assumptions &amp; FX Reference'!$I$12),'Assumptions &amp; FX Reference'!$I$12,"")</f>
        <v>123.416</v>
      </c>
      <c r="BB100" s="45" t="str">
        <f aca="false">IF(AND(M100="API 610",LEFT(V100,11)="Centrifugal",OR(LEFT(G100,2)="S-",LEFT(G100,2)="D-")),"Y","N")</f>
        <v>N</v>
      </c>
      <c r="BC100" s="47" t="n">
        <f aca="false">IF(ISNUMBER(AG100),AG100/AX100,"")</f>
        <v>27812.5</v>
      </c>
      <c r="BD100" s="47" t="n">
        <f aca="false">IF(AND(ISNUMBER(BC100),ISNUMBER(K100)),IF(K100&gt;0,BC100/K100^'Assumptions &amp; FX Reference'!$I$16,""),"")</f>
        <v>3655.18212423523</v>
      </c>
      <c r="BE100" s="42" t="s">
        <v>699</v>
      </c>
      <c r="BF100" s="42" t="s">
        <v>700</v>
      </c>
      <c r="BG100" s="42" t="s">
        <v>369</v>
      </c>
      <c r="BH100" s="45" t="s">
        <v>313</v>
      </c>
      <c r="BI100" s="45" t="str">
        <f aca="false">"PMP-"&amp;TEXT(A100,"0000")</f>
        <v>PMP-0096</v>
      </c>
    </row>
    <row r="101" customFormat="false" ht="24" hidden="false" customHeight="true" outlineLevel="0" collapsed="false">
      <c r="A101" s="42" t="n">
        <v>97</v>
      </c>
      <c r="B101" s="42" t="s">
        <v>508</v>
      </c>
      <c r="C101" s="42" t="s">
        <v>690</v>
      </c>
      <c r="D101" s="42" t="s">
        <v>701</v>
      </c>
      <c r="E101" s="42" t="s">
        <v>48</v>
      </c>
      <c r="F101" s="42" t="s">
        <v>132</v>
      </c>
      <c r="G101" s="42" t="s">
        <v>74</v>
      </c>
      <c r="H101" s="43" t="n">
        <v>31</v>
      </c>
      <c r="I101" s="43" t="n">
        <v>122</v>
      </c>
      <c r="J101" s="43"/>
      <c r="K101" s="44" t="n">
        <f aca="false">IF(ISNUMBER(J101),J101,IF(AND(ISNUMBER(H101),ISNUMBER(I101)),H101*I101/(367*'Assumptions &amp; FX Reference'!$I$17),""))</f>
        <v>17.1752951861944</v>
      </c>
      <c r="L101" s="45" t="str">
        <f aca="false">IF(IF(OR(M101="Not stated",M101=""),""," + "&amp;M101)&amp;IF(OR(N101="None",N101=""),""," + "&amp;N101)&amp;IF(O101="Y"," + NACE MR0175","")="","Not stated",MID(IF(OR(M101="Not stated",M101=""),""," + "&amp;M101)&amp;IF(OR(N101="None",N101=""),""," + "&amp;N101)&amp;IF(O101="Y"," + NACE MR0175",""),4,300))</f>
        <v>API 610 + IPS-G-PM-105</v>
      </c>
      <c r="M101" s="42" t="s">
        <v>478</v>
      </c>
      <c r="N101" s="42" t="s">
        <v>479</v>
      </c>
      <c r="O101" s="50" t="s">
        <v>312</v>
      </c>
      <c r="P101" s="42" t="s">
        <v>123</v>
      </c>
      <c r="Q101" s="42" t="s">
        <v>123</v>
      </c>
      <c r="R101" s="42" t="s">
        <v>123</v>
      </c>
      <c r="S101" s="50" t="s">
        <v>304</v>
      </c>
      <c r="T101" s="42" t="s">
        <v>327</v>
      </c>
      <c r="U101" s="42" t="n">
        <v>2</v>
      </c>
      <c r="V101" s="42" t="s">
        <v>306</v>
      </c>
      <c r="W101" s="43" t="n">
        <v>13</v>
      </c>
      <c r="X101" s="42" t="s">
        <v>123</v>
      </c>
      <c r="Y101" s="42" t="n">
        <v>1404</v>
      </c>
      <c r="Z101" s="42" t="s">
        <v>363</v>
      </c>
      <c r="AA101" s="46" t="n">
        <v>21500</v>
      </c>
      <c r="AB101" s="47" t="n">
        <f aca="false">IF(NOT(ISNUMBER(AA101)),"",IF(NOT(ISNUMBER(Y101)),"",IFERROR(IF(Z101="EUR",AA101,IF(Z101="IRR",AA101/INDEX('Assumptions &amp; FX Reference'!$C$5:$C$25,MATCH(Y101,'Assumptions &amp; FX Reference'!$A$5:$A$25,0)),IF(Z101="USD",AA101*INDEX('Assumptions &amp; FX Reference'!$B$5:$B$25,MATCH(Y101,'Assumptions &amp; FX Reference'!$A$5:$A$25,0))/INDEX('Assumptions &amp; FX Reference'!$C$5:$C$25,MATCH(Y101,'Assumptions &amp; FX Reference'!$A$5:$A$25,0)),""))),"")))</f>
        <v>21500</v>
      </c>
      <c r="AC101" s="47" t="n">
        <f aca="false">IF(NOT(ISNUMBER(AA101)),"",IF(NOT(ISNUMBER(Y101)),"",IFERROR(IF(Z101="USD",AA101,IF(Z101="IRR",AA101/INDEX('Assumptions &amp; FX Reference'!$B$5:$B$25,MATCH(Y101,'Assumptions &amp; FX Reference'!$A$5:$A$25,0)),IF(Z101="EUR",AA101*INDEX('Assumptions &amp; FX Reference'!$C$5:$C$25,MATCH(Y101,'Assumptions &amp; FX Reference'!$A$5:$A$25,0))/INDEX('Assumptions &amp; FX Reference'!$B$5:$B$25,MATCH(Y101,'Assumptions &amp; FX Reference'!$A$5:$A$25,0)),""))),"")))</f>
        <v>22699.3362519418</v>
      </c>
      <c r="AD101" s="47" t="n">
        <f aca="false">IF(NOT(ISNUMBER(AA101)),"",IF(NOT(ISNUMBER(Y101)),"",IFERROR(IF(Z101="IRR",AA101,IF(Z101="USD",AA101*INDEX('Assumptions &amp; FX Reference'!$B$5:$B$25,MATCH(Y101,'Assumptions &amp; FX Reference'!$A$5:$A$25,0)),IF(Z101="EUR",AA101*INDEX('Assumptions &amp; FX Reference'!$C$5:$C$25,MATCH(Y101,'Assumptions &amp; FX Reference'!$A$5:$A$25,0)),""))),"")))</f>
        <v>14948262000</v>
      </c>
      <c r="AE101" s="42" t="s">
        <v>692</v>
      </c>
      <c r="AF101" s="42" t="s">
        <v>208</v>
      </c>
      <c r="AG101" s="47" t="n">
        <f aca="false">IF(AND(Z101="EUR",N(AA101)&gt;5000000),"",IF(AND(ISNUMBER(AB101),ISNUMBER(AZ101),ISNUMBER(BA101)),IF(AND(BB101="Y",ISNUMBER('Assumptions &amp; FX Reference'!$I$15)),MAX(AB101*BA101/AZ101,'Assumptions &amp; FX Reference'!$I$13*BA101/'Assumptions &amp; FX Reference'!$I$15),AB101*BA101/AZ101),""))</f>
        <v>21500</v>
      </c>
      <c r="AH101" s="47" t="n">
        <f aca="false">IF(AND(ISNUMBER(AG101),ISNUMBER('Assumptions &amp; FX Reference'!$I$8),ISNUMBER('Assumptions &amp; FX Reference'!$I$11)),AG101*'Assumptions &amp; FX Reference'!$I$8/'Assumptions &amp; FX Reference'!$I$11,"")</f>
        <v>22699.3362519418</v>
      </c>
      <c r="AI101" s="47" t="n">
        <f aca="false">IF(AND(ISNUMBER(AG101),ISNUMBER('Assumptions &amp; FX Reference'!$I$8)),AG101*'Assumptions &amp; FX Reference'!$I$8,"")</f>
        <v>14948262000</v>
      </c>
      <c r="AJ101" s="42" t="s">
        <v>693</v>
      </c>
      <c r="AK101" s="42" t="s">
        <v>366</v>
      </c>
      <c r="AL101" s="42" t="s">
        <v>123</v>
      </c>
      <c r="AM101" s="42" t="s">
        <v>123</v>
      </c>
      <c r="AN101" s="42" t="s">
        <v>123</v>
      </c>
      <c r="AO101" s="42" t="s">
        <v>123</v>
      </c>
      <c r="AP101" s="42" t="s">
        <v>123</v>
      </c>
      <c r="AQ101" s="42" t="s">
        <v>123</v>
      </c>
      <c r="AR101" s="42" t="s">
        <v>123</v>
      </c>
      <c r="AS101" s="45" t="str">
        <f aca="false">IF(AND(Z101="EUR",N(AA101)&gt;5000000),"Check currency (EUR&gt;5M); ","")&amp;IF(NOT(ISNUMBER(AA101)),"No price; ","")&amp;IF(G101="Not stated","Material missing; ","")&amp;IF(P101="Not stated","Seal missing; ","")&amp;IF(K101="","Size driver missing; ","")&amp;IF(NOT(ISNUMBER(AZ101)),"Base-year PPI missing; ","")</f>
        <v>Seal missing; </v>
      </c>
      <c r="AT101" s="48" t="n">
        <f aca="false">IFERROR(INDEX(Factors_ROT!$F$5:$F$200,MATCH("MAT|"&amp;G101,Factors_ROT!$A$5:$A$200,0)),1)</f>
        <v>0.8</v>
      </c>
      <c r="AU101" s="48" t="n">
        <f aca="false">IFERROR(INDEX(Factors_ROT!$F$5:$F$200,MATCH("SEAL_ARR|"&amp;P101,Factors_ROT!$A$5:$A$200,0)),1)*IFERROR(INDEX(Factors_ROT!$F$5:$F$200,MATCH("SEAL_CAT|"&amp;Q101,Factors_ROT!$A$5:$A$200,0)),1)*IFERROR(INDEX(Factors_ROT!$F$5:$F$200,MATCH("SEAL_PLAN|"&amp;R101,Factors_ROT!$A$5:$A$200,0)),1)</f>
        <v>1</v>
      </c>
      <c r="AV101" s="48" t="n">
        <f aca="false">IFERROR(INDEX(Factors_ROT!$F$5:$F$200,MATCH("DRV|"&amp;S101,Factors_ROT!$A$5:$A$200,0)),1)*IFERROR(INDEX(Factors_ROT!$F$5:$F$200,MATCH("NACE|"&amp;O101,Factors_ROT!$A$5:$A$200,0)),1)</f>
        <v>1</v>
      </c>
      <c r="AW101" s="48" t="n">
        <f aca="false">IFERROR(INDEX(Factors_ROT!$F$5:$F$200,MATCH("SC_DRV|"&amp;AL101,Factors_ROT!$A$5:$A$200,0)),1)*IFERROR(INDEX(Factors_ROT!$F$5:$F$200,MATCH("SC_BSP|"&amp;AM101,Factors_ROT!$A$5:$A$200,0)),1)*IFERROR(INDEX(Factors_ROT!$F$5:$F$200,MATCH("SC_SEAL|"&amp;AN101,Factors_ROT!$A$5:$A$200,0)),1)*IFERROR(INDEX(Factors_ROT!$F$5:$F$200,MATCH("SC_COMM|"&amp;AO101,Factors_ROT!$A$5:$A$200,0)),1)*IFERROR(INDEX(Factors_ROT!$F$5:$F$200,MATCH("SC_2Y|"&amp;AP101,Factors_ROT!$A$5:$A$200,0)),1)*IFERROR(INDEX(Factors_ROT!$F$5:$F$200,MATCH("SC_TPI|"&amp;AQ101,Factors_ROT!$A$5:$A$200,0)),1)*IFERROR(INDEX(Factors_ROT!$F$5:$F$200,MATCH("SC_FAT|"&amp;AR101,Factors_ROT!$A$5:$A$200,0)),1)</f>
        <v>1</v>
      </c>
      <c r="AX101" s="48" t="n">
        <f aca="false">AT101*AU101*AV101*AW101</f>
        <v>0.8</v>
      </c>
      <c r="AY101" s="47" t="n">
        <f aca="false">IF(ISNUMBER(AB101),AB101/AX101,"")</f>
        <v>26875</v>
      </c>
      <c r="AZ101" s="49" t="n">
        <f aca="false">IFERROR(IF(N(INDEX(Escalation_Index!$B$5:$B$25,MATCH(Y101,Escalation_Index!$A$5:$A$25,0)))&gt;0,INDEX(Escalation_Index!$B$5:$B$25,MATCH(Y101,Escalation_Index!$A$5:$A$25,0)),""),"")</f>
        <v>123.416</v>
      </c>
      <c r="BA101" s="49" t="n">
        <f aca="false">IF(ISNUMBER('Assumptions &amp; FX Reference'!$I$12),'Assumptions &amp; FX Reference'!$I$12,"")</f>
        <v>123.416</v>
      </c>
      <c r="BB101" s="45" t="str">
        <f aca="false">IF(AND(M101="API 610",LEFT(V101,11)="Centrifugal",OR(LEFT(G101,2)="S-",LEFT(G101,2)="D-")),"Y","N")</f>
        <v>N</v>
      </c>
      <c r="BC101" s="47" t="n">
        <f aca="false">IF(ISNUMBER(AG101),AG101/AX101,"")</f>
        <v>26875</v>
      </c>
      <c r="BD101" s="47" t="n">
        <f aca="false">IF(AND(ISNUMBER(BC101),ISNUMBER(K101)),IF(K101&gt;0,BC101/K101^'Assumptions &amp; FX Reference'!$I$16,""),"")</f>
        <v>4879.84409441988</v>
      </c>
      <c r="BE101" s="42" t="s">
        <v>702</v>
      </c>
      <c r="BF101" s="42" t="s">
        <v>703</v>
      </c>
      <c r="BG101" s="42" t="s">
        <v>369</v>
      </c>
      <c r="BH101" s="45" t="s">
        <v>313</v>
      </c>
      <c r="BI101" s="45" t="str">
        <f aca="false">"PMP-"&amp;TEXT(A101,"0000")</f>
        <v>PMP-0097</v>
      </c>
    </row>
    <row r="102" customFormat="false" ht="24" hidden="false" customHeight="true" outlineLevel="0" collapsed="false">
      <c r="A102" s="42" t="n">
        <v>98</v>
      </c>
      <c r="B102" s="42" t="s">
        <v>704</v>
      </c>
      <c r="C102" s="42" t="s">
        <v>690</v>
      </c>
      <c r="D102" s="42" t="s">
        <v>497</v>
      </c>
      <c r="E102" s="42" t="s">
        <v>51</v>
      </c>
      <c r="F102" s="42" t="s">
        <v>153</v>
      </c>
      <c r="G102" s="42" t="s">
        <v>115</v>
      </c>
      <c r="H102" s="43" t="n">
        <v>91</v>
      </c>
      <c r="I102" s="43" t="n">
        <v>650</v>
      </c>
      <c r="J102" s="43"/>
      <c r="K102" s="44" t="n">
        <f aca="false">IF(ISNUMBER(J102),J102,IF(AND(ISNUMBER(H102),ISNUMBER(I102)),H102*I102/(367*'Assumptions &amp; FX Reference'!$I$17),""))</f>
        <v>268.619436875568</v>
      </c>
      <c r="L102" s="45" t="str">
        <f aca="false">IF(IF(OR(M102="Not stated",M102=""),""," + "&amp;M102)&amp;IF(OR(N102="None",N102=""),""," + "&amp;N102)&amp;IF(O102="Y"," + NACE MR0175","")="","Not stated",MID(IF(OR(M102="Not stated",M102=""),""," + "&amp;M102)&amp;IF(OR(N102="None",N102=""),""," + "&amp;N102)&amp;IF(O102="Y"," + NACE MR0175",""),4,300))</f>
        <v>API 610 + IPS-G-PM-105 + NACE MR0175</v>
      </c>
      <c r="M102" s="42" t="s">
        <v>478</v>
      </c>
      <c r="N102" s="42" t="s">
        <v>479</v>
      </c>
      <c r="O102" s="42" t="s">
        <v>369</v>
      </c>
      <c r="P102" s="42" t="s">
        <v>123</v>
      </c>
      <c r="Q102" s="42" t="s">
        <v>123</v>
      </c>
      <c r="R102" s="42" t="s">
        <v>123</v>
      </c>
      <c r="S102" s="50" t="s">
        <v>304</v>
      </c>
      <c r="T102" s="42" t="s">
        <v>334</v>
      </c>
      <c r="U102" s="42" t="n">
        <v>2</v>
      </c>
      <c r="V102" s="42" t="s">
        <v>306</v>
      </c>
      <c r="W102" s="43" t="n">
        <v>72.8</v>
      </c>
      <c r="X102" s="42" t="s">
        <v>123</v>
      </c>
      <c r="Y102" s="42" t="n">
        <v>1404</v>
      </c>
      <c r="Z102" s="42" t="s">
        <v>363</v>
      </c>
      <c r="AA102" s="46" t="n">
        <v>317500</v>
      </c>
      <c r="AB102" s="47" t="n">
        <f aca="false">IF(NOT(ISNUMBER(AA102)),"",IF(NOT(ISNUMBER(Y102)),"",IFERROR(IF(Z102="EUR",AA102,IF(Z102="IRR",AA102/INDEX('Assumptions &amp; FX Reference'!$C$5:$C$25,MATCH(Y102,'Assumptions &amp; FX Reference'!$A$5:$A$25,0)),IF(Z102="USD",AA102*INDEX('Assumptions &amp; FX Reference'!$B$5:$B$25,MATCH(Y102,'Assumptions &amp; FX Reference'!$A$5:$A$25,0))/INDEX('Assumptions &amp; FX Reference'!$C$5:$C$25,MATCH(Y102,'Assumptions &amp; FX Reference'!$A$5:$A$25,0)),""))),"")))</f>
        <v>317500</v>
      </c>
      <c r="AC102" s="47" t="n">
        <f aca="false">IF(NOT(ISNUMBER(AA102)),"",IF(NOT(ISNUMBER(Y102)),"",IFERROR(IF(Z102="USD",AA102,IF(Z102="IRR",AA102/INDEX('Assumptions &amp; FX Reference'!$B$5:$B$25,MATCH(Y102,'Assumptions &amp; FX Reference'!$A$5:$A$25,0)),IF(Z102="EUR",AA102*INDEX('Assumptions &amp; FX Reference'!$C$5:$C$25,MATCH(Y102,'Assumptions &amp; FX Reference'!$A$5:$A$25,0))/INDEX('Assumptions &amp; FX Reference'!$B$5:$B$25,MATCH(Y102,'Assumptions &amp; FX Reference'!$A$5:$A$25,0)),""))),"")))</f>
        <v>335211.128371699</v>
      </c>
      <c r="AD102" s="47" t="n">
        <f aca="false">IF(NOT(ISNUMBER(AA102)),"",IF(NOT(ISNUMBER(Y102)),"",IFERROR(IF(Z102="IRR",AA102,IF(Z102="USD",AA102*INDEX('Assumptions &amp; FX Reference'!$B$5:$B$25,MATCH(Y102,'Assumptions &amp; FX Reference'!$A$5:$A$25,0)),IF(Z102="EUR",AA102*INDEX('Assumptions &amp; FX Reference'!$C$5:$C$25,MATCH(Y102,'Assumptions &amp; FX Reference'!$A$5:$A$25,0)),""))),"")))</f>
        <v>220747590000</v>
      </c>
      <c r="AE102" s="42" t="s">
        <v>692</v>
      </c>
      <c r="AF102" s="42" t="s">
        <v>208</v>
      </c>
      <c r="AG102" s="47" t="n">
        <f aca="false">IF(AND(Z102="EUR",N(AA102)&gt;5000000),"",IF(AND(ISNUMBER(AB102),ISNUMBER(AZ102),ISNUMBER(BA102)),IF(AND(BB102="Y",ISNUMBER('Assumptions &amp; FX Reference'!$I$15)),MAX(AB102*BA102/AZ102,'Assumptions &amp; FX Reference'!$I$13*BA102/'Assumptions &amp; FX Reference'!$I$15),AB102*BA102/AZ102),""))</f>
        <v>317500</v>
      </c>
      <c r="AH102" s="47" t="n">
        <f aca="false">IF(AND(ISNUMBER(AG102),ISNUMBER('Assumptions &amp; FX Reference'!$I$8),ISNUMBER('Assumptions &amp; FX Reference'!$I$11)),AG102*'Assumptions &amp; FX Reference'!$I$8/'Assumptions &amp; FX Reference'!$I$11,"")</f>
        <v>335211.128371699</v>
      </c>
      <c r="AI102" s="47" t="n">
        <f aca="false">IF(AND(ISNUMBER(AG102),ISNUMBER('Assumptions &amp; FX Reference'!$I$8)),AG102*'Assumptions &amp; FX Reference'!$I$8,"")</f>
        <v>220747590000</v>
      </c>
      <c r="AJ102" s="42" t="s">
        <v>693</v>
      </c>
      <c r="AK102" s="42" t="s">
        <v>366</v>
      </c>
      <c r="AL102" s="42" t="s">
        <v>123</v>
      </c>
      <c r="AM102" s="42" t="s">
        <v>123</v>
      </c>
      <c r="AN102" s="42" t="s">
        <v>123</v>
      </c>
      <c r="AO102" s="42" t="s">
        <v>123</v>
      </c>
      <c r="AP102" s="42" t="s">
        <v>123</v>
      </c>
      <c r="AQ102" s="42" t="s">
        <v>123</v>
      </c>
      <c r="AR102" s="42" t="s">
        <v>123</v>
      </c>
      <c r="AS102" s="45" t="str">
        <f aca="false">IF(AND(Z102="EUR",N(AA102)&gt;5000000),"Check currency (EUR&gt;5M); ","")&amp;IF(NOT(ISNUMBER(AA102)),"No price; ","")&amp;IF(G102="Not stated","Material missing; ","")&amp;IF(P102="Not stated","Seal missing; ","")&amp;IF(K102="","Size driver missing; ","")&amp;IF(NOT(ISNUMBER(AZ102)),"Base-year PPI missing; ","")</f>
        <v>Seal missing; </v>
      </c>
      <c r="AT102" s="48" t="n">
        <f aca="false">IFERROR(INDEX(Factors_ROT!$F$5:$F$200,MATCH("MAT|"&amp;G102,Factors_ROT!$A$5:$A$200,0)),1)</f>
        <v>1.9</v>
      </c>
      <c r="AU102" s="48" t="n">
        <f aca="false">IFERROR(INDEX(Factors_ROT!$F$5:$F$200,MATCH("SEAL_ARR|"&amp;P102,Factors_ROT!$A$5:$A$200,0)),1)*IFERROR(INDEX(Factors_ROT!$F$5:$F$200,MATCH("SEAL_CAT|"&amp;Q102,Factors_ROT!$A$5:$A$200,0)),1)*IFERROR(INDEX(Factors_ROT!$F$5:$F$200,MATCH("SEAL_PLAN|"&amp;R102,Factors_ROT!$A$5:$A$200,0)),1)</f>
        <v>1</v>
      </c>
      <c r="AV102" s="48" t="n">
        <f aca="false">IFERROR(INDEX(Factors_ROT!$F$5:$F$200,MATCH("DRV|"&amp;S102,Factors_ROT!$A$5:$A$200,0)),1)*IFERROR(INDEX(Factors_ROT!$F$5:$F$200,MATCH("NACE|"&amp;O102,Factors_ROT!$A$5:$A$200,0)),1)</f>
        <v>1.05</v>
      </c>
      <c r="AW102" s="48" t="n">
        <f aca="false">IFERROR(INDEX(Factors_ROT!$F$5:$F$200,MATCH("SC_DRV|"&amp;AL102,Factors_ROT!$A$5:$A$200,0)),1)*IFERROR(INDEX(Factors_ROT!$F$5:$F$200,MATCH("SC_BSP|"&amp;AM102,Factors_ROT!$A$5:$A$200,0)),1)*IFERROR(INDEX(Factors_ROT!$F$5:$F$200,MATCH("SC_SEAL|"&amp;AN102,Factors_ROT!$A$5:$A$200,0)),1)*IFERROR(INDEX(Factors_ROT!$F$5:$F$200,MATCH("SC_COMM|"&amp;AO102,Factors_ROT!$A$5:$A$200,0)),1)*IFERROR(INDEX(Factors_ROT!$F$5:$F$200,MATCH("SC_2Y|"&amp;AP102,Factors_ROT!$A$5:$A$200,0)),1)*IFERROR(INDEX(Factors_ROT!$F$5:$F$200,MATCH("SC_TPI|"&amp;AQ102,Factors_ROT!$A$5:$A$200,0)),1)*IFERROR(INDEX(Factors_ROT!$F$5:$F$200,MATCH("SC_FAT|"&amp;AR102,Factors_ROT!$A$5:$A$200,0)),1)</f>
        <v>1</v>
      </c>
      <c r="AX102" s="48" t="n">
        <f aca="false">AT102*AU102*AV102*AW102</f>
        <v>1.995</v>
      </c>
      <c r="AY102" s="47" t="n">
        <f aca="false">IF(ISNUMBER(AB102),AB102/AX102,"")</f>
        <v>159147.869674185</v>
      </c>
      <c r="AZ102" s="49" t="n">
        <f aca="false">IFERROR(IF(N(INDEX(Escalation_Index!$B$5:$B$25,MATCH(Y102,Escalation_Index!$A$5:$A$25,0)))&gt;0,INDEX(Escalation_Index!$B$5:$B$25,MATCH(Y102,Escalation_Index!$A$5:$A$25,0)),""),"")</f>
        <v>123.416</v>
      </c>
      <c r="BA102" s="49" t="n">
        <f aca="false">IF(ISNUMBER('Assumptions &amp; FX Reference'!$I$12),'Assumptions &amp; FX Reference'!$I$12,"")</f>
        <v>123.416</v>
      </c>
      <c r="BB102" s="45" t="str">
        <f aca="false">IF(AND(M102="API 610",LEFT(V102,11)="Centrifugal",OR(LEFT(G102,2)="S-",LEFT(G102,2)="D-")),"Y","N")</f>
        <v>Y</v>
      </c>
      <c r="BC102" s="47" t="n">
        <f aca="false">IF(ISNUMBER(AG102),AG102/AX102,"")</f>
        <v>159147.869674185</v>
      </c>
      <c r="BD102" s="47" t="n">
        <f aca="false">IF(AND(ISNUMBER(BC102),ISNUMBER(K102)),IF(K102&gt;0,BC102/K102^'Assumptions &amp; FX Reference'!$I$16,""),"")</f>
        <v>5550.32442452974</v>
      </c>
      <c r="BE102" s="42" t="s">
        <v>705</v>
      </c>
      <c r="BF102" s="42" t="s">
        <v>706</v>
      </c>
      <c r="BG102" s="42" t="s">
        <v>369</v>
      </c>
      <c r="BH102" s="45" t="s">
        <v>313</v>
      </c>
      <c r="BI102" s="45" t="str">
        <f aca="false">"PMP-"&amp;TEXT(A102,"0000")</f>
        <v>PMP-0098</v>
      </c>
    </row>
    <row r="103" customFormat="false" ht="24" hidden="false" customHeight="true" outlineLevel="0" collapsed="false">
      <c r="A103" s="42" t="n">
        <v>99</v>
      </c>
      <c r="B103" s="42" t="s">
        <v>489</v>
      </c>
      <c r="C103" s="42" t="s">
        <v>690</v>
      </c>
      <c r="D103" s="42" t="s">
        <v>501</v>
      </c>
      <c r="E103" s="42" t="s">
        <v>54</v>
      </c>
      <c r="F103" s="42" t="s">
        <v>192</v>
      </c>
      <c r="G103" s="42" t="s">
        <v>111</v>
      </c>
      <c r="H103" s="43" t="n">
        <v>5</v>
      </c>
      <c r="I103" s="43"/>
      <c r="J103" s="43"/>
      <c r="K103" s="44" t="str">
        <f aca="false">IF(ISNUMBER(J103),J103,IF(AND(ISNUMBER(H103),ISNUMBER(I103)),H103*I103/(367*'Assumptions &amp; FX Reference'!$I$17),""))</f>
        <v/>
      </c>
      <c r="L103" s="45" t="str">
        <f aca="false">IF(IF(OR(M103="Not stated",M103=""),""," + "&amp;M103)&amp;IF(OR(N103="None",N103=""),""," + "&amp;N103)&amp;IF(O103="Y"," + NACE MR0175","")="","Not stated",MID(IF(OR(M103="Not stated",M103=""),""," + "&amp;M103)&amp;IF(OR(N103="None",N103=""),""," + "&amp;N103)&amp;IF(O103="Y"," + NACE MR0175",""),4,300))</f>
        <v>API 676 + IPS-M-PM-140 + NACE MR0175</v>
      </c>
      <c r="M103" s="42" t="s">
        <v>491</v>
      </c>
      <c r="N103" s="42" t="s">
        <v>492</v>
      </c>
      <c r="O103" s="42" t="s">
        <v>369</v>
      </c>
      <c r="P103" s="42" t="s">
        <v>123</v>
      </c>
      <c r="Q103" s="42" t="s">
        <v>123</v>
      </c>
      <c r="R103" s="42" t="s">
        <v>123</v>
      </c>
      <c r="S103" s="50" t="s">
        <v>304</v>
      </c>
      <c r="T103" s="42" t="s">
        <v>432</v>
      </c>
      <c r="U103" s="42" t="n">
        <v>2</v>
      </c>
      <c r="V103" s="42" t="s">
        <v>493</v>
      </c>
      <c r="W103" s="43" t="n">
        <v>8</v>
      </c>
      <c r="X103" s="42" t="s">
        <v>123</v>
      </c>
      <c r="Y103" s="42" t="n">
        <v>1404</v>
      </c>
      <c r="Z103" s="42" t="s">
        <v>363</v>
      </c>
      <c r="AA103" s="46" t="n">
        <v>30000</v>
      </c>
      <c r="AB103" s="47" t="n">
        <f aca="false">IF(NOT(ISNUMBER(AA103)),"",IF(NOT(ISNUMBER(Y103)),"",IFERROR(IF(Z103="EUR",AA103,IF(Z103="IRR",AA103/INDEX('Assumptions &amp; FX Reference'!$C$5:$C$25,MATCH(Y103,'Assumptions &amp; FX Reference'!$A$5:$A$25,0)),IF(Z103="USD",AA103*INDEX('Assumptions &amp; FX Reference'!$B$5:$B$25,MATCH(Y103,'Assumptions &amp; FX Reference'!$A$5:$A$25,0))/INDEX('Assumptions &amp; FX Reference'!$C$5:$C$25,MATCH(Y103,'Assumptions &amp; FX Reference'!$A$5:$A$25,0)),""))),"")))</f>
        <v>30000</v>
      </c>
      <c r="AC103" s="47" t="n">
        <f aca="false">IF(NOT(ISNUMBER(AA103)),"",IF(NOT(ISNUMBER(Y103)),"",IFERROR(IF(Z103="USD",AA103,IF(Z103="IRR",AA103/INDEX('Assumptions &amp; FX Reference'!$B$5:$B$25,MATCH(Y103,'Assumptions &amp; FX Reference'!$A$5:$A$25,0)),IF(Z103="EUR",AA103*INDEX('Assumptions &amp; FX Reference'!$C$5:$C$25,MATCH(Y103,'Assumptions &amp; FX Reference'!$A$5:$A$25,0))/INDEX('Assumptions &amp; FX Reference'!$B$5:$B$25,MATCH(Y103,'Assumptions &amp; FX Reference'!$A$5:$A$25,0)),""))),"")))</f>
        <v>31673.49244457</v>
      </c>
      <c r="AD103" s="47" t="n">
        <f aca="false">IF(NOT(ISNUMBER(AA103)),"",IF(NOT(ISNUMBER(Y103)),"",IFERROR(IF(Z103="IRR",AA103,IF(Z103="USD",AA103*INDEX('Assumptions &amp; FX Reference'!$B$5:$B$25,MATCH(Y103,'Assumptions &amp; FX Reference'!$A$5:$A$25,0)),IF(Z103="EUR",AA103*INDEX('Assumptions &amp; FX Reference'!$C$5:$C$25,MATCH(Y103,'Assumptions &amp; FX Reference'!$A$5:$A$25,0)),""))),"")))</f>
        <v>20858040000</v>
      </c>
      <c r="AE103" s="42" t="s">
        <v>707</v>
      </c>
      <c r="AF103" s="42" t="s">
        <v>208</v>
      </c>
      <c r="AG103" s="47" t="n">
        <f aca="false">IF(AND(Z103="EUR",N(AA103)&gt;5000000),"",IF(AND(ISNUMBER(AB103),ISNUMBER(AZ103),ISNUMBER(BA103)),IF(AND(BB103="Y",ISNUMBER('Assumptions &amp; FX Reference'!$I$15)),MAX(AB103*BA103/AZ103,'Assumptions &amp; FX Reference'!$I$13*BA103/'Assumptions &amp; FX Reference'!$I$15),AB103*BA103/AZ103),""))</f>
        <v>30000</v>
      </c>
      <c r="AH103" s="47" t="n">
        <f aca="false">IF(AND(ISNUMBER(AG103),ISNUMBER('Assumptions &amp; FX Reference'!$I$8),ISNUMBER('Assumptions &amp; FX Reference'!$I$11)),AG103*'Assumptions &amp; FX Reference'!$I$8/'Assumptions &amp; FX Reference'!$I$11,"")</f>
        <v>31673.49244457</v>
      </c>
      <c r="AI103" s="47" t="n">
        <f aca="false">IF(AND(ISNUMBER(AG103),ISNUMBER('Assumptions &amp; FX Reference'!$I$8)),AG103*'Assumptions &amp; FX Reference'!$I$8,"")</f>
        <v>20858040000</v>
      </c>
      <c r="AJ103" s="42" t="s">
        <v>693</v>
      </c>
      <c r="AK103" s="42" t="s">
        <v>366</v>
      </c>
      <c r="AL103" s="42" t="s">
        <v>123</v>
      </c>
      <c r="AM103" s="42" t="s">
        <v>123</v>
      </c>
      <c r="AN103" s="42" t="s">
        <v>123</v>
      </c>
      <c r="AO103" s="42" t="s">
        <v>123</v>
      </c>
      <c r="AP103" s="42" t="s">
        <v>123</v>
      </c>
      <c r="AQ103" s="42" t="s">
        <v>123</v>
      </c>
      <c r="AR103" s="42" t="s">
        <v>123</v>
      </c>
      <c r="AS103" s="45" t="str">
        <f aca="false">IF(AND(Z103="EUR",N(AA103)&gt;5000000),"Check currency (EUR&gt;5M); ","")&amp;IF(NOT(ISNUMBER(AA103)),"No price; ","")&amp;IF(G103="Not stated","Material missing; ","")&amp;IF(P103="Not stated","Seal missing; ","")&amp;IF(K103="","Size driver missing; ","")&amp;IF(NOT(ISNUMBER(AZ103)),"Base-year PPI missing; ","")</f>
        <v>Seal missing; Size driver missing; </v>
      </c>
      <c r="AT103" s="48" t="n">
        <f aca="false">IFERROR(INDEX(Factors_ROT!$F$5:$F$200,MATCH("MAT|"&amp;G103,Factors_ROT!$A$5:$A$200,0)),1)</f>
        <v>1.7</v>
      </c>
      <c r="AU103" s="48" t="n">
        <f aca="false">IFERROR(INDEX(Factors_ROT!$F$5:$F$200,MATCH("SEAL_ARR|"&amp;P103,Factors_ROT!$A$5:$A$200,0)),1)*IFERROR(INDEX(Factors_ROT!$F$5:$F$200,MATCH("SEAL_CAT|"&amp;Q103,Factors_ROT!$A$5:$A$200,0)),1)*IFERROR(INDEX(Factors_ROT!$F$5:$F$200,MATCH("SEAL_PLAN|"&amp;R103,Factors_ROT!$A$5:$A$200,0)),1)</f>
        <v>1</v>
      </c>
      <c r="AV103" s="48" t="n">
        <f aca="false">IFERROR(INDEX(Factors_ROT!$F$5:$F$200,MATCH("DRV|"&amp;S103,Factors_ROT!$A$5:$A$200,0)),1)*IFERROR(INDEX(Factors_ROT!$F$5:$F$200,MATCH("NACE|"&amp;O103,Factors_ROT!$A$5:$A$200,0)),1)</f>
        <v>1.05</v>
      </c>
      <c r="AW103" s="48" t="n">
        <f aca="false">IFERROR(INDEX(Factors_ROT!$F$5:$F$200,MATCH("SC_DRV|"&amp;AL103,Factors_ROT!$A$5:$A$200,0)),1)*IFERROR(INDEX(Factors_ROT!$F$5:$F$200,MATCH("SC_BSP|"&amp;AM103,Factors_ROT!$A$5:$A$200,0)),1)*IFERROR(INDEX(Factors_ROT!$F$5:$F$200,MATCH("SC_SEAL|"&amp;AN103,Factors_ROT!$A$5:$A$200,0)),1)*IFERROR(INDEX(Factors_ROT!$F$5:$F$200,MATCH("SC_COMM|"&amp;AO103,Factors_ROT!$A$5:$A$200,0)),1)*IFERROR(INDEX(Factors_ROT!$F$5:$F$200,MATCH("SC_2Y|"&amp;AP103,Factors_ROT!$A$5:$A$200,0)),1)*IFERROR(INDEX(Factors_ROT!$F$5:$F$200,MATCH("SC_TPI|"&amp;AQ103,Factors_ROT!$A$5:$A$200,0)),1)*IFERROR(INDEX(Factors_ROT!$F$5:$F$200,MATCH("SC_FAT|"&amp;AR103,Factors_ROT!$A$5:$A$200,0)),1)</f>
        <v>1</v>
      </c>
      <c r="AX103" s="48" t="n">
        <f aca="false">AT103*AU103*AV103*AW103</f>
        <v>1.785</v>
      </c>
      <c r="AY103" s="47" t="n">
        <f aca="false">IF(ISNUMBER(AB103),AB103/AX103,"")</f>
        <v>16806.7226890756</v>
      </c>
      <c r="AZ103" s="49" t="n">
        <f aca="false">IFERROR(IF(N(INDEX(Escalation_Index!$B$5:$B$25,MATCH(Y103,Escalation_Index!$A$5:$A$25,0)))&gt;0,INDEX(Escalation_Index!$B$5:$B$25,MATCH(Y103,Escalation_Index!$A$5:$A$25,0)),""),"")</f>
        <v>123.416</v>
      </c>
      <c r="BA103" s="49" t="n">
        <f aca="false">IF(ISNUMBER('Assumptions &amp; FX Reference'!$I$12),'Assumptions &amp; FX Reference'!$I$12,"")</f>
        <v>123.416</v>
      </c>
      <c r="BB103" s="45" t="str">
        <f aca="false">IF(AND(M103="API 610",LEFT(V103,11)="Centrifugal",OR(LEFT(G103,2)="S-",LEFT(G103,2)="D-")),"Y","N")</f>
        <v>N</v>
      </c>
      <c r="BC103" s="47" t="n">
        <f aca="false">IF(ISNUMBER(AG103),AG103/AX103,"")</f>
        <v>16806.7226890756</v>
      </c>
      <c r="BD103" s="47" t="str">
        <f aca="false">IF(AND(ISNUMBER(BC103),ISNUMBER(K103)),IF(K103&gt;0,BC103/K103^'Assumptions &amp; FX Reference'!$I$16,""),"")</f>
        <v/>
      </c>
      <c r="BE103" s="42" t="s">
        <v>708</v>
      </c>
      <c r="BF103" s="42" t="s">
        <v>709</v>
      </c>
      <c r="BG103" s="42" t="s">
        <v>369</v>
      </c>
      <c r="BH103" s="45" t="s">
        <v>313</v>
      </c>
      <c r="BI103" s="45" t="str">
        <f aca="false">"PMP-"&amp;TEXT(A103,"0000")</f>
        <v>PMP-0099</v>
      </c>
    </row>
    <row r="104" customFormat="false" ht="24" hidden="false" customHeight="true" outlineLevel="0" collapsed="false">
      <c r="A104" s="42" t="n">
        <v>100</v>
      </c>
      <c r="B104" s="42" t="s">
        <v>710</v>
      </c>
      <c r="C104" s="42" t="s">
        <v>690</v>
      </c>
      <c r="D104" s="42" t="s">
        <v>711</v>
      </c>
      <c r="E104" s="42" t="s">
        <v>51</v>
      </c>
      <c r="F104" s="42" t="s">
        <v>132</v>
      </c>
      <c r="G104" s="42" t="s">
        <v>115</v>
      </c>
      <c r="H104" s="43" t="n">
        <v>15</v>
      </c>
      <c r="I104" s="43" t="n">
        <v>27</v>
      </c>
      <c r="J104" s="43"/>
      <c r="K104" s="44" t="n">
        <f aca="false">IF(ISNUMBER(J104),J104,IF(AND(ISNUMBER(H104),ISNUMBER(I104)),H104*I104/(367*'Assumptions &amp; FX Reference'!$I$17),""))</f>
        <v>1.83923705722071</v>
      </c>
      <c r="L104" s="45" t="str">
        <f aca="false">IF(IF(OR(M104="Not stated",M104=""),""," + "&amp;M104)&amp;IF(OR(N104="None",N104=""),""," + "&amp;N104)&amp;IF(O104="Y"," + NACE MR0175","")="","Not stated",MID(IF(OR(M104="Not stated",M104=""),""," + "&amp;M104)&amp;IF(OR(N104="None",N104=""),""," + "&amp;N104)&amp;IF(O104="Y"," + NACE MR0175",""),4,300))</f>
        <v>API 610 + IPS-G-PM-105</v>
      </c>
      <c r="M104" s="42" t="s">
        <v>478</v>
      </c>
      <c r="N104" s="42" t="s">
        <v>479</v>
      </c>
      <c r="O104" s="50" t="s">
        <v>312</v>
      </c>
      <c r="P104" s="42" t="s">
        <v>123</v>
      </c>
      <c r="Q104" s="42" t="s">
        <v>123</v>
      </c>
      <c r="R104" s="42" t="s">
        <v>123</v>
      </c>
      <c r="S104" s="50" t="s">
        <v>304</v>
      </c>
      <c r="T104" s="42" t="s">
        <v>334</v>
      </c>
      <c r="U104" s="42" t="n">
        <v>2</v>
      </c>
      <c r="V104" s="42" t="s">
        <v>306</v>
      </c>
      <c r="W104" s="43" t="n">
        <v>3.2</v>
      </c>
      <c r="X104" s="42" t="s">
        <v>123</v>
      </c>
      <c r="Y104" s="42" t="n">
        <v>1404</v>
      </c>
      <c r="Z104" s="42" t="s">
        <v>363</v>
      </c>
      <c r="AA104" s="46" t="n">
        <v>29000</v>
      </c>
      <c r="AB104" s="47" t="n">
        <f aca="false">IF(NOT(ISNUMBER(AA104)),"",IF(NOT(ISNUMBER(Y104)),"",IFERROR(IF(Z104="EUR",AA104,IF(Z104="IRR",AA104/INDEX('Assumptions &amp; FX Reference'!$C$5:$C$25,MATCH(Y104,'Assumptions &amp; FX Reference'!$A$5:$A$25,0)),IF(Z104="USD",AA104*INDEX('Assumptions &amp; FX Reference'!$B$5:$B$25,MATCH(Y104,'Assumptions &amp; FX Reference'!$A$5:$A$25,0))/INDEX('Assumptions &amp; FX Reference'!$C$5:$C$25,MATCH(Y104,'Assumptions &amp; FX Reference'!$A$5:$A$25,0)),""))),"")))</f>
        <v>29000</v>
      </c>
      <c r="AC104" s="47" t="n">
        <f aca="false">IF(NOT(ISNUMBER(AA104)),"",IF(NOT(ISNUMBER(Y104)),"",IFERROR(IF(Z104="USD",AA104,IF(Z104="IRR",AA104/INDEX('Assumptions &amp; FX Reference'!$B$5:$B$25,MATCH(Y104,'Assumptions &amp; FX Reference'!$A$5:$A$25,0)),IF(Z104="EUR",AA104*INDEX('Assumptions &amp; FX Reference'!$C$5:$C$25,MATCH(Y104,'Assumptions &amp; FX Reference'!$A$5:$A$25,0))/INDEX('Assumptions &amp; FX Reference'!$B$5:$B$25,MATCH(Y104,'Assumptions &amp; FX Reference'!$A$5:$A$25,0)),""))),"")))</f>
        <v>30617.7093630843</v>
      </c>
      <c r="AD104" s="47" t="n">
        <f aca="false">IF(NOT(ISNUMBER(AA104)),"",IF(NOT(ISNUMBER(Y104)),"",IFERROR(IF(Z104="IRR",AA104,IF(Z104="USD",AA104*INDEX('Assumptions &amp; FX Reference'!$B$5:$B$25,MATCH(Y104,'Assumptions &amp; FX Reference'!$A$5:$A$25,0)),IF(Z104="EUR",AA104*INDEX('Assumptions &amp; FX Reference'!$C$5:$C$25,MATCH(Y104,'Assumptions &amp; FX Reference'!$A$5:$A$25,0)),""))),"")))</f>
        <v>20162772000</v>
      </c>
      <c r="AE104" s="42" t="s">
        <v>692</v>
      </c>
      <c r="AF104" s="42" t="s">
        <v>208</v>
      </c>
      <c r="AG104" s="47" t="n">
        <f aca="false">IF(AND(Z104="EUR",N(AA104)&gt;5000000),"",IF(AND(ISNUMBER(AB104),ISNUMBER(AZ104),ISNUMBER(BA104)),IF(AND(BB104="Y",ISNUMBER('Assumptions &amp; FX Reference'!$I$15)),MAX(AB104*BA104/AZ104,'Assumptions &amp; FX Reference'!$I$13*BA104/'Assumptions &amp; FX Reference'!$I$15),AB104*BA104/AZ104),""))</f>
        <v>29000</v>
      </c>
      <c r="AH104" s="47" t="n">
        <f aca="false">IF(AND(ISNUMBER(AG104),ISNUMBER('Assumptions &amp; FX Reference'!$I$8),ISNUMBER('Assumptions &amp; FX Reference'!$I$11)),AG104*'Assumptions &amp; FX Reference'!$I$8/'Assumptions &amp; FX Reference'!$I$11,"")</f>
        <v>30617.7093630843</v>
      </c>
      <c r="AI104" s="47" t="n">
        <f aca="false">IF(AND(ISNUMBER(AG104),ISNUMBER('Assumptions &amp; FX Reference'!$I$8)),AG104*'Assumptions &amp; FX Reference'!$I$8,"")</f>
        <v>20162772000</v>
      </c>
      <c r="AJ104" s="42" t="s">
        <v>693</v>
      </c>
      <c r="AK104" s="42" t="s">
        <v>366</v>
      </c>
      <c r="AL104" s="42" t="s">
        <v>123</v>
      </c>
      <c r="AM104" s="42" t="s">
        <v>123</v>
      </c>
      <c r="AN104" s="42" t="s">
        <v>123</v>
      </c>
      <c r="AO104" s="42" t="s">
        <v>123</v>
      </c>
      <c r="AP104" s="42" t="s">
        <v>123</v>
      </c>
      <c r="AQ104" s="42" t="s">
        <v>123</v>
      </c>
      <c r="AR104" s="42" t="s">
        <v>123</v>
      </c>
      <c r="AS104" s="45" t="str">
        <f aca="false">IF(AND(Z104="EUR",N(AA104)&gt;5000000),"Check currency (EUR&gt;5M); ","")&amp;IF(NOT(ISNUMBER(AA104)),"No price; ","")&amp;IF(G104="Not stated","Material missing; ","")&amp;IF(P104="Not stated","Seal missing; ","")&amp;IF(K104="","Size driver missing; ","")&amp;IF(NOT(ISNUMBER(AZ104)),"Base-year PPI missing; ","")</f>
        <v>Seal missing; </v>
      </c>
      <c r="AT104" s="48" t="n">
        <f aca="false">IFERROR(INDEX(Factors_ROT!$F$5:$F$200,MATCH("MAT|"&amp;G104,Factors_ROT!$A$5:$A$200,0)),1)</f>
        <v>1.9</v>
      </c>
      <c r="AU104" s="48" t="n">
        <f aca="false">IFERROR(INDEX(Factors_ROT!$F$5:$F$200,MATCH("SEAL_ARR|"&amp;P104,Factors_ROT!$A$5:$A$200,0)),1)*IFERROR(INDEX(Factors_ROT!$F$5:$F$200,MATCH("SEAL_CAT|"&amp;Q104,Factors_ROT!$A$5:$A$200,0)),1)*IFERROR(INDEX(Factors_ROT!$F$5:$F$200,MATCH("SEAL_PLAN|"&amp;R104,Factors_ROT!$A$5:$A$200,0)),1)</f>
        <v>1</v>
      </c>
      <c r="AV104" s="48" t="n">
        <f aca="false">IFERROR(INDEX(Factors_ROT!$F$5:$F$200,MATCH("DRV|"&amp;S104,Factors_ROT!$A$5:$A$200,0)),1)*IFERROR(INDEX(Factors_ROT!$F$5:$F$200,MATCH("NACE|"&amp;O104,Factors_ROT!$A$5:$A$200,0)),1)</f>
        <v>1</v>
      </c>
      <c r="AW104" s="48" t="n">
        <f aca="false">IFERROR(INDEX(Factors_ROT!$F$5:$F$200,MATCH("SC_DRV|"&amp;AL104,Factors_ROT!$A$5:$A$200,0)),1)*IFERROR(INDEX(Factors_ROT!$F$5:$F$200,MATCH("SC_BSP|"&amp;AM104,Factors_ROT!$A$5:$A$200,0)),1)*IFERROR(INDEX(Factors_ROT!$F$5:$F$200,MATCH("SC_SEAL|"&amp;AN104,Factors_ROT!$A$5:$A$200,0)),1)*IFERROR(INDEX(Factors_ROT!$F$5:$F$200,MATCH("SC_COMM|"&amp;AO104,Factors_ROT!$A$5:$A$200,0)),1)*IFERROR(INDEX(Factors_ROT!$F$5:$F$200,MATCH("SC_2Y|"&amp;AP104,Factors_ROT!$A$5:$A$200,0)),1)*IFERROR(INDEX(Factors_ROT!$F$5:$F$200,MATCH("SC_TPI|"&amp;AQ104,Factors_ROT!$A$5:$A$200,0)),1)*IFERROR(INDEX(Factors_ROT!$F$5:$F$200,MATCH("SC_FAT|"&amp;AR104,Factors_ROT!$A$5:$A$200,0)),1)</f>
        <v>1</v>
      </c>
      <c r="AX104" s="48" t="n">
        <f aca="false">AT104*AU104*AV104*AW104</f>
        <v>1.9</v>
      </c>
      <c r="AY104" s="47" t="n">
        <f aca="false">IF(ISNUMBER(AB104),AB104/AX104,"")</f>
        <v>15263.1578947368</v>
      </c>
      <c r="AZ104" s="49" t="n">
        <f aca="false">IFERROR(IF(N(INDEX(Escalation_Index!$B$5:$B$25,MATCH(Y104,Escalation_Index!$A$5:$A$25,0)))&gt;0,INDEX(Escalation_Index!$B$5:$B$25,MATCH(Y104,Escalation_Index!$A$5:$A$25,0)),""),"")</f>
        <v>123.416</v>
      </c>
      <c r="BA104" s="49" t="n">
        <f aca="false">IF(ISNUMBER('Assumptions &amp; FX Reference'!$I$12),'Assumptions &amp; FX Reference'!$I$12,"")</f>
        <v>123.416</v>
      </c>
      <c r="BB104" s="45" t="str">
        <f aca="false">IF(AND(M104="API 610",LEFT(V104,11)="Centrifugal",OR(LEFT(G104,2)="S-",LEFT(G104,2)="D-")),"Y","N")</f>
        <v>Y</v>
      </c>
      <c r="BC104" s="47" t="n">
        <f aca="false">IF(ISNUMBER(AG104),AG104/AX104,"")</f>
        <v>15263.1578947368</v>
      </c>
      <c r="BD104" s="47" t="n">
        <f aca="false">IF(AND(ISNUMBER(BC104),ISNUMBER(K104)),IF(K104&gt;0,BC104/K104^'Assumptions &amp; FX Reference'!$I$16,""),"")</f>
        <v>10589.1663722334</v>
      </c>
      <c r="BE104" s="42" t="s">
        <v>712</v>
      </c>
      <c r="BF104" s="42" t="s">
        <v>713</v>
      </c>
      <c r="BG104" s="42" t="s">
        <v>369</v>
      </c>
      <c r="BH104" s="45" t="s">
        <v>313</v>
      </c>
      <c r="BI104" s="45" t="str">
        <f aca="false">"PMP-"&amp;TEXT(A104,"0000")</f>
        <v>PMP-0100</v>
      </c>
    </row>
    <row r="105" customFormat="false" ht="24" hidden="false" customHeight="true" outlineLevel="0" collapsed="false">
      <c r="A105" s="42" t="n">
        <v>101</v>
      </c>
      <c r="B105" s="42" t="s">
        <v>704</v>
      </c>
      <c r="C105" s="42" t="s">
        <v>690</v>
      </c>
      <c r="D105" s="42" t="s">
        <v>714</v>
      </c>
      <c r="E105" s="42" t="s">
        <v>51</v>
      </c>
      <c r="F105" s="42" t="s">
        <v>153</v>
      </c>
      <c r="G105" s="42" t="s">
        <v>115</v>
      </c>
      <c r="H105" s="43" t="n">
        <v>44</v>
      </c>
      <c r="I105" s="43" t="n">
        <v>385</v>
      </c>
      <c r="J105" s="43"/>
      <c r="K105" s="44" t="n">
        <f aca="false">IF(ISNUMBER(J105),J105,IF(AND(ISNUMBER(H105),ISNUMBER(I105)),H105*I105/(367*'Assumptions &amp; FX Reference'!$I$17),""))</f>
        <v>76.9300635785649</v>
      </c>
      <c r="L105" s="45" t="str">
        <f aca="false">IF(IF(OR(M105="Not stated",M105=""),""," + "&amp;M105)&amp;IF(OR(N105="None",N105=""),""," + "&amp;N105)&amp;IF(O105="Y"," + NACE MR0175","")="","Not stated",MID(IF(OR(M105="Not stated",M105=""),""," + "&amp;M105)&amp;IF(OR(N105="None",N105=""),""," + "&amp;N105)&amp;IF(O105="Y"," + NACE MR0175",""),4,300))</f>
        <v>API 610 + IPS-G-PM-105 + NACE MR0175</v>
      </c>
      <c r="M105" s="42" t="s">
        <v>478</v>
      </c>
      <c r="N105" s="42" t="s">
        <v>479</v>
      </c>
      <c r="O105" s="42" t="s">
        <v>369</v>
      </c>
      <c r="P105" s="42" t="s">
        <v>123</v>
      </c>
      <c r="Q105" s="42" t="s">
        <v>123</v>
      </c>
      <c r="R105" s="42" t="s">
        <v>123</v>
      </c>
      <c r="S105" s="50" t="s">
        <v>304</v>
      </c>
      <c r="T105" s="42" t="s">
        <v>334</v>
      </c>
      <c r="U105" s="42" t="n">
        <v>3</v>
      </c>
      <c r="V105" s="42" t="s">
        <v>306</v>
      </c>
      <c r="W105" s="43" t="n">
        <v>48.2</v>
      </c>
      <c r="X105" s="42" t="s">
        <v>123</v>
      </c>
      <c r="Y105" s="42" t="n">
        <v>1404</v>
      </c>
      <c r="Z105" s="42" t="s">
        <v>363</v>
      </c>
      <c r="AA105" s="46" t="n">
        <v>247500</v>
      </c>
      <c r="AB105" s="47" t="n">
        <f aca="false">IF(NOT(ISNUMBER(AA105)),"",IF(NOT(ISNUMBER(Y105)),"",IFERROR(IF(Z105="EUR",AA105,IF(Z105="IRR",AA105/INDEX('Assumptions &amp; FX Reference'!$C$5:$C$25,MATCH(Y105,'Assumptions &amp; FX Reference'!$A$5:$A$25,0)),IF(Z105="USD",AA105*INDEX('Assumptions &amp; FX Reference'!$B$5:$B$25,MATCH(Y105,'Assumptions &amp; FX Reference'!$A$5:$A$25,0))/INDEX('Assumptions &amp; FX Reference'!$C$5:$C$25,MATCH(Y105,'Assumptions &amp; FX Reference'!$A$5:$A$25,0)),""))),"")))</f>
        <v>247500</v>
      </c>
      <c r="AC105" s="47" t="n">
        <f aca="false">IF(NOT(ISNUMBER(AA105)),"",IF(NOT(ISNUMBER(Y105)),"",IFERROR(IF(Z105="USD",AA105,IF(Z105="IRR",AA105/INDEX('Assumptions &amp; FX Reference'!$B$5:$B$25,MATCH(Y105,'Assumptions &amp; FX Reference'!$A$5:$A$25,0)),IF(Z105="EUR",AA105*INDEX('Assumptions &amp; FX Reference'!$C$5:$C$25,MATCH(Y105,'Assumptions &amp; FX Reference'!$A$5:$A$25,0))/INDEX('Assumptions &amp; FX Reference'!$B$5:$B$25,MATCH(Y105,'Assumptions &amp; FX Reference'!$A$5:$A$25,0)),""))),"")))</f>
        <v>261306.312667702</v>
      </c>
      <c r="AD105" s="47" t="n">
        <f aca="false">IF(NOT(ISNUMBER(AA105)),"",IF(NOT(ISNUMBER(Y105)),"",IFERROR(IF(Z105="IRR",AA105,IF(Z105="USD",AA105*INDEX('Assumptions &amp; FX Reference'!$B$5:$B$25,MATCH(Y105,'Assumptions &amp; FX Reference'!$A$5:$A$25,0)),IF(Z105="EUR",AA105*INDEX('Assumptions &amp; FX Reference'!$C$5:$C$25,MATCH(Y105,'Assumptions &amp; FX Reference'!$A$5:$A$25,0)),""))),"")))</f>
        <v>172078830000</v>
      </c>
      <c r="AE105" s="42" t="s">
        <v>692</v>
      </c>
      <c r="AF105" s="42" t="s">
        <v>208</v>
      </c>
      <c r="AG105" s="47" t="n">
        <f aca="false">IF(AND(Z105="EUR",N(AA105)&gt;5000000),"",IF(AND(ISNUMBER(AB105),ISNUMBER(AZ105),ISNUMBER(BA105)),IF(AND(BB105="Y",ISNUMBER('Assumptions &amp; FX Reference'!$I$15)),MAX(AB105*BA105/AZ105,'Assumptions &amp; FX Reference'!$I$13*BA105/'Assumptions &amp; FX Reference'!$I$15),AB105*BA105/AZ105),""))</f>
        <v>247500</v>
      </c>
      <c r="AH105" s="47" t="n">
        <f aca="false">IF(AND(ISNUMBER(AG105),ISNUMBER('Assumptions &amp; FX Reference'!$I$8),ISNUMBER('Assumptions &amp; FX Reference'!$I$11)),AG105*'Assumptions &amp; FX Reference'!$I$8/'Assumptions &amp; FX Reference'!$I$11,"")</f>
        <v>261306.312667702</v>
      </c>
      <c r="AI105" s="47" t="n">
        <f aca="false">IF(AND(ISNUMBER(AG105),ISNUMBER('Assumptions &amp; FX Reference'!$I$8)),AG105*'Assumptions &amp; FX Reference'!$I$8,"")</f>
        <v>172078830000</v>
      </c>
      <c r="AJ105" s="42" t="s">
        <v>693</v>
      </c>
      <c r="AK105" s="42" t="s">
        <v>366</v>
      </c>
      <c r="AL105" s="42" t="s">
        <v>123</v>
      </c>
      <c r="AM105" s="42" t="s">
        <v>123</v>
      </c>
      <c r="AN105" s="42" t="s">
        <v>123</v>
      </c>
      <c r="AO105" s="42" t="s">
        <v>123</v>
      </c>
      <c r="AP105" s="42" t="s">
        <v>123</v>
      </c>
      <c r="AQ105" s="42" t="s">
        <v>123</v>
      </c>
      <c r="AR105" s="42" t="s">
        <v>123</v>
      </c>
      <c r="AS105" s="45" t="str">
        <f aca="false">IF(AND(Z105="EUR",N(AA105)&gt;5000000),"Check currency (EUR&gt;5M); ","")&amp;IF(NOT(ISNUMBER(AA105)),"No price; ","")&amp;IF(G105="Not stated","Material missing; ","")&amp;IF(P105="Not stated","Seal missing; ","")&amp;IF(K105="","Size driver missing; ","")&amp;IF(NOT(ISNUMBER(AZ105)),"Base-year PPI missing; ","")</f>
        <v>Seal missing; </v>
      </c>
      <c r="AT105" s="48" t="n">
        <f aca="false">IFERROR(INDEX(Factors_ROT!$F$5:$F$200,MATCH("MAT|"&amp;G105,Factors_ROT!$A$5:$A$200,0)),1)</f>
        <v>1.9</v>
      </c>
      <c r="AU105" s="48" t="n">
        <f aca="false">IFERROR(INDEX(Factors_ROT!$F$5:$F$200,MATCH("SEAL_ARR|"&amp;P105,Factors_ROT!$A$5:$A$200,0)),1)*IFERROR(INDEX(Factors_ROT!$F$5:$F$200,MATCH("SEAL_CAT|"&amp;Q105,Factors_ROT!$A$5:$A$200,0)),1)*IFERROR(INDEX(Factors_ROT!$F$5:$F$200,MATCH("SEAL_PLAN|"&amp;R105,Factors_ROT!$A$5:$A$200,0)),1)</f>
        <v>1</v>
      </c>
      <c r="AV105" s="48" t="n">
        <f aca="false">IFERROR(INDEX(Factors_ROT!$F$5:$F$200,MATCH("DRV|"&amp;S105,Factors_ROT!$A$5:$A$200,0)),1)*IFERROR(INDEX(Factors_ROT!$F$5:$F$200,MATCH("NACE|"&amp;O105,Factors_ROT!$A$5:$A$200,0)),1)</f>
        <v>1.05</v>
      </c>
      <c r="AW105" s="48" t="n">
        <f aca="false">IFERROR(INDEX(Factors_ROT!$F$5:$F$200,MATCH("SC_DRV|"&amp;AL105,Factors_ROT!$A$5:$A$200,0)),1)*IFERROR(INDEX(Factors_ROT!$F$5:$F$200,MATCH("SC_BSP|"&amp;AM105,Factors_ROT!$A$5:$A$200,0)),1)*IFERROR(INDEX(Factors_ROT!$F$5:$F$200,MATCH("SC_SEAL|"&amp;AN105,Factors_ROT!$A$5:$A$200,0)),1)*IFERROR(INDEX(Factors_ROT!$F$5:$F$200,MATCH("SC_COMM|"&amp;AO105,Factors_ROT!$A$5:$A$200,0)),1)*IFERROR(INDEX(Factors_ROT!$F$5:$F$200,MATCH("SC_2Y|"&amp;AP105,Factors_ROT!$A$5:$A$200,0)),1)*IFERROR(INDEX(Factors_ROT!$F$5:$F$200,MATCH("SC_TPI|"&amp;AQ105,Factors_ROT!$A$5:$A$200,0)),1)*IFERROR(INDEX(Factors_ROT!$F$5:$F$200,MATCH("SC_FAT|"&amp;AR105,Factors_ROT!$A$5:$A$200,0)),1)</f>
        <v>1</v>
      </c>
      <c r="AX105" s="48" t="n">
        <f aca="false">AT105*AU105*AV105*AW105</f>
        <v>1.995</v>
      </c>
      <c r="AY105" s="47" t="n">
        <f aca="false">IF(ISNUMBER(AB105),AB105/AX105,"")</f>
        <v>124060.15037594</v>
      </c>
      <c r="AZ105" s="49" t="n">
        <f aca="false">IFERROR(IF(N(INDEX(Escalation_Index!$B$5:$B$25,MATCH(Y105,Escalation_Index!$A$5:$A$25,0)))&gt;0,INDEX(Escalation_Index!$B$5:$B$25,MATCH(Y105,Escalation_Index!$A$5:$A$25,0)),""),"")</f>
        <v>123.416</v>
      </c>
      <c r="BA105" s="49" t="n">
        <f aca="false">IF(ISNUMBER('Assumptions &amp; FX Reference'!$I$12),'Assumptions &amp; FX Reference'!$I$12,"")</f>
        <v>123.416</v>
      </c>
      <c r="BB105" s="45" t="str">
        <f aca="false">IF(AND(M105="API 610",LEFT(V105,11)="Centrifugal",OR(LEFT(G105,2)="S-",LEFT(G105,2)="D-")),"Y","N")</f>
        <v>Y</v>
      </c>
      <c r="BC105" s="47" t="n">
        <f aca="false">IF(ISNUMBER(AG105),AG105/AX105,"")</f>
        <v>124060.15037594</v>
      </c>
      <c r="BD105" s="47" t="n">
        <f aca="false">IF(AND(ISNUMBER(BC105),ISNUMBER(K105)),IF(K105&gt;0,BC105/K105^'Assumptions &amp; FX Reference'!$I$16,""),"")</f>
        <v>9161.67008096326</v>
      </c>
      <c r="BE105" s="42" t="s">
        <v>715</v>
      </c>
      <c r="BF105" s="42" t="s">
        <v>716</v>
      </c>
      <c r="BG105" s="42" t="s">
        <v>369</v>
      </c>
      <c r="BH105" s="45" t="s">
        <v>313</v>
      </c>
      <c r="BI105" s="45" t="str">
        <f aca="false">"PMP-"&amp;TEXT(A105,"0000")</f>
        <v>PMP-0101</v>
      </c>
    </row>
    <row r="106" customFormat="false" ht="24" hidden="false" customHeight="true" outlineLevel="0" collapsed="false">
      <c r="A106" s="42" t="n">
        <v>102</v>
      </c>
      <c r="B106" s="42" t="s">
        <v>516</v>
      </c>
      <c r="C106" s="42" t="s">
        <v>690</v>
      </c>
      <c r="D106" s="42" t="s">
        <v>509</v>
      </c>
      <c r="E106" s="42" t="s">
        <v>54</v>
      </c>
      <c r="F106" s="42" t="s">
        <v>132</v>
      </c>
      <c r="G106" s="42" t="s">
        <v>90</v>
      </c>
      <c r="H106" s="43" t="n">
        <v>10</v>
      </c>
      <c r="I106" s="43" t="n">
        <v>40</v>
      </c>
      <c r="J106" s="43"/>
      <c r="K106" s="44" t="n">
        <f aca="false">IF(ISNUMBER(J106),J106,IF(AND(ISNUMBER(H106),ISNUMBER(I106)),H106*I106/(367*'Assumptions &amp; FX Reference'!$I$17),""))</f>
        <v>1.81653042688465</v>
      </c>
      <c r="L106" s="45" t="str">
        <f aca="false">IF(IF(OR(M106="Not stated",M106=""),""," + "&amp;M106)&amp;IF(OR(N106="None",N106=""),""," + "&amp;N106)&amp;IF(O106="Y"," + NACE MR0175","")="","Not stated",MID(IF(OR(M106="Not stated",M106=""),""," + "&amp;M106)&amp;IF(OR(N106="None",N106=""),""," + "&amp;N106)&amp;IF(O106="Y"," + NACE MR0175",""),4,300))</f>
        <v>API 610 + IPS-G-PM-105</v>
      </c>
      <c r="M106" s="42" t="s">
        <v>478</v>
      </c>
      <c r="N106" s="42" t="s">
        <v>479</v>
      </c>
      <c r="O106" s="50" t="s">
        <v>312</v>
      </c>
      <c r="P106" s="42" t="s">
        <v>123</v>
      </c>
      <c r="Q106" s="42" t="s">
        <v>123</v>
      </c>
      <c r="R106" s="42" t="s">
        <v>123</v>
      </c>
      <c r="S106" s="50" t="s">
        <v>304</v>
      </c>
      <c r="T106" s="42" t="s">
        <v>342</v>
      </c>
      <c r="U106" s="42" t="n">
        <v>2</v>
      </c>
      <c r="V106" s="42" t="s">
        <v>306</v>
      </c>
      <c r="W106" s="43" t="n">
        <v>6.8</v>
      </c>
      <c r="X106" s="42" t="s">
        <v>123</v>
      </c>
      <c r="Y106" s="42" t="n">
        <v>1404</v>
      </c>
      <c r="Z106" s="42" t="s">
        <v>363</v>
      </c>
      <c r="AA106" s="46" t="n">
        <v>25500</v>
      </c>
      <c r="AB106" s="47" t="n">
        <f aca="false">IF(NOT(ISNUMBER(AA106)),"",IF(NOT(ISNUMBER(Y106)),"",IFERROR(IF(Z106="EUR",AA106,IF(Z106="IRR",AA106/INDEX('Assumptions &amp; FX Reference'!$C$5:$C$25,MATCH(Y106,'Assumptions &amp; FX Reference'!$A$5:$A$25,0)),IF(Z106="USD",AA106*INDEX('Assumptions &amp; FX Reference'!$B$5:$B$25,MATCH(Y106,'Assumptions &amp; FX Reference'!$A$5:$A$25,0))/INDEX('Assumptions &amp; FX Reference'!$C$5:$C$25,MATCH(Y106,'Assumptions &amp; FX Reference'!$A$5:$A$25,0)),""))),"")))</f>
        <v>25500</v>
      </c>
      <c r="AC106" s="47" t="n">
        <f aca="false">IF(NOT(ISNUMBER(AA106)),"",IF(NOT(ISNUMBER(Y106)),"",IFERROR(IF(Z106="USD",AA106,IF(Z106="IRR",AA106/INDEX('Assumptions &amp; FX Reference'!$B$5:$B$25,MATCH(Y106,'Assumptions &amp; FX Reference'!$A$5:$A$25,0)),IF(Z106="EUR",AA106*INDEX('Assumptions &amp; FX Reference'!$C$5:$C$25,MATCH(Y106,'Assumptions &amp; FX Reference'!$A$5:$A$25,0))/INDEX('Assumptions &amp; FX Reference'!$B$5:$B$25,MATCH(Y106,'Assumptions &amp; FX Reference'!$A$5:$A$25,0)),""))),"")))</f>
        <v>26922.4685778845</v>
      </c>
      <c r="AD106" s="47" t="n">
        <f aca="false">IF(NOT(ISNUMBER(AA106)),"",IF(NOT(ISNUMBER(Y106)),"",IFERROR(IF(Z106="IRR",AA106,IF(Z106="USD",AA106*INDEX('Assumptions &amp; FX Reference'!$B$5:$B$25,MATCH(Y106,'Assumptions &amp; FX Reference'!$A$5:$A$25,0)),IF(Z106="EUR",AA106*INDEX('Assumptions &amp; FX Reference'!$C$5:$C$25,MATCH(Y106,'Assumptions &amp; FX Reference'!$A$5:$A$25,0)),""))),"")))</f>
        <v>17729334000</v>
      </c>
      <c r="AE106" s="42" t="s">
        <v>692</v>
      </c>
      <c r="AF106" s="42" t="s">
        <v>208</v>
      </c>
      <c r="AG106" s="47" t="n">
        <f aca="false">IF(AND(Z106="EUR",N(AA106)&gt;5000000),"",IF(AND(ISNUMBER(AB106),ISNUMBER(AZ106),ISNUMBER(BA106)),IF(AND(BB106="Y",ISNUMBER('Assumptions &amp; FX Reference'!$I$15)),MAX(AB106*BA106/AZ106,'Assumptions &amp; FX Reference'!$I$13*BA106/'Assumptions &amp; FX Reference'!$I$15),AB106*BA106/AZ106),""))</f>
        <v>25500</v>
      </c>
      <c r="AH106" s="47" t="n">
        <f aca="false">IF(AND(ISNUMBER(AG106),ISNUMBER('Assumptions &amp; FX Reference'!$I$8),ISNUMBER('Assumptions &amp; FX Reference'!$I$11)),AG106*'Assumptions &amp; FX Reference'!$I$8/'Assumptions &amp; FX Reference'!$I$11,"")</f>
        <v>26922.4685778845</v>
      </c>
      <c r="AI106" s="47" t="n">
        <f aca="false">IF(AND(ISNUMBER(AG106),ISNUMBER('Assumptions &amp; FX Reference'!$I$8)),AG106*'Assumptions &amp; FX Reference'!$I$8,"")</f>
        <v>17729334000</v>
      </c>
      <c r="AJ106" s="42" t="s">
        <v>693</v>
      </c>
      <c r="AK106" s="42" t="s">
        <v>366</v>
      </c>
      <c r="AL106" s="42" t="s">
        <v>123</v>
      </c>
      <c r="AM106" s="42" t="s">
        <v>123</v>
      </c>
      <c r="AN106" s="42" t="s">
        <v>123</v>
      </c>
      <c r="AO106" s="42" t="s">
        <v>123</v>
      </c>
      <c r="AP106" s="42" t="s">
        <v>123</v>
      </c>
      <c r="AQ106" s="42" t="s">
        <v>123</v>
      </c>
      <c r="AR106" s="42" t="s">
        <v>123</v>
      </c>
      <c r="AS106" s="45" t="str">
        <f aca="false">IF(AND(Z106="EUR",N(AA106)&gt;5000000),"Check currency (EUR&gt;5M); ","")&amp;IF(NOT(ISNUMBER(AA106)),"No price; ","")&amp;IF(G106="Not stated","Material missing; ","")&amp;IF(P106="Not stated","Seal missing; ","")&amp;IF(K106="","Size driver missing; ","")&amp;IF(NOT(ISNUMBER(AZ106)),"Base-year PPI missing; ","")</f>
        <v>Seal missing; </v>
      </c>
      <c r="AT106" s="48" t="n">
        <f aca="false">IFERROR(INDEX(Factors_ROT!$F$5:$F$200,MATCH("MAT|"&amp;G106,Factors_ROT!$A$5:$A$200,0)),1)</f>
        <v>1.1</v>
      </c>
      <c r="AU106" s="48" t="n">
        <f aca="false">IFERROR(INDEX(Factors_ROT!$F$5:$F$200,MATCH("SEAL_ARR|"&amp;P106,Factors_ROT!$A$5:$A$200,0)),1)*IFERROR(INDEX(Factors_ROT!$F$5:$F$200,MATCH("SEAL_CAT|"&amp;Q106,Factors_ROT!$A$5:$A$200,0)),1)*IFERROR(INDEX(Factors_ROT!$F$5:$F$200,MATCH("SEAL_PLAN|"&amp;R106,Factors_ROT!$A$5:$A$200,0)),1)</f>
        <v>1</v>
      </c>
      <c r="AV106" s="48" t="n">
        <f aca="false">IFERROR(INDEX(Factors_ROT!$F$5:$F$200,MATCH("DRV|"&amp;S106,Factors_ROT!$A$5:$A$200,0)),1)*IFERROR(INDEX(Factors_ROT!$F$5:$F$200,MATCH("NACE|"&amp;O106,Factors_ROT!$A$5:$A$200,0)),1)</f>
        <v>1</v>
      </c>
      <c r="AW106" s="48" t="n">
        <f aca="false">IFERROR(INDEX(Factors_ROT!$F$5:$F$200,MATCH("SC_DRV|"&amp;AL106,Factors_ROT!$A$5:$A$200,0)),1)*IFERROR(INDEX(Factors_ROT!$F$5:$F$200,MATCH("SC_BSP|"&amp;AM106,Factors_ROT!$A$5:$A$200,0)),1)*IFERROR(INDEX(Factors_ROT!$F$5:$F$200,MATCH("SC_SEAL|"&amp;AN106,Factors_ROT!$A$5:$A$200,0)),1)*IFERROR(INDEX(Factors_ROT!$F$5:$F$200,MATCH("SC_COMM|"&amp;AO106,Factors_ROT!$A$5:$A$200,0)),1)*IFERROR(INDEX(Factors_ROT!$F$5:$F$200,MATCH("SC_2Y|"&amp;AP106,Factors_ROT!$A$5:$A$200,0)),1)*IFERROR(INDEX(Factors_ROT!$F$5:$F$200,MATCH("SC_TPI|"&amp;AQ106,Factors_ROT!$A$5:$A$200,0)),1)*IFERROR(INDEX(Factors_ROT!$F$5:$F$200,MATCH("SC_FAT|"&amp;AR106,Factors_ROT!$A$5:$A$200,0)),1)</f>
        <v>1</v>
      </c>
      <c r="AX106" s="48" t="n">
        <f aca="false">AT106*AU106*AV106*AW106</f>
        <v>1.1</v>
      </c>
      <c r="AY106" s="47" t="n">
        <f aca="false">IF(ISNUMBER(AB106),AB106/AX106,"")</f>
        <v>23181.8181818182</v>
      </c>
      <c r="AZ106" s="49" t="n">
        <f aca="false">IFERROR(IF(N(INDEX(Escalation_Index!$B$5:$B$25,MATCH(Y106,Escalation_Index!$A$5:$A$25,0)))&gt;0,INDEX(Escalation_Index!$B$5:$B$25,MATCH(Y106,Escalation_Index!$A$5:$A$25,0)),""),"")</f>
        <v>123.416</v>
      </c>
      <c r="BA106" s="49" t="n">
        <f aca="false">IF(ISNUMBER('Assumptions &amp; FX Reference'!$I$12),'Assumptions &amp; FX Reference'!$I$12,"")</f>
        <v>123.416</v>
      </c>
      <c r="BB106" s="45" t="str">
        <f aca="false">IF(AND(M106="API 610",LEFT(V106,11)="Centrifugal",OR(LEFT(G106,2)="S-",LEFT(G106,2)="D-")),"Y","N")</f>
        <v>Y</v>
      </c>
      <c r="BC106" s="47" t="n">
        <f aca="false">IF(ISNUMBER(AG106),AG106/AX106,"")</f>
        <v>23181.8181818182</v>
      </c>
      <c r="BD106" s="47" t="n">
        <f aca="false">IF(AND(ISNUMBER(BC106),ISNUMBER(K106)),IF(K106&gt;0,BC106/K106^'Assumptions &amp; FX Reference'!$I$16,""),"")</f>
        <v>16203.2409143069</v>
      </c>
      <c r="BE106" s="42" t="s">
        <v>717</v>
      </c>
      <c r="BF106" s="42" t="s">
        <v>718</v>
      </c>
      <c r="BG106" s="42" t="s">
        <v>369</v>
      </c>
      <c r="BH106" s="45" t="s">
        <v>313</v>
      </c>
      <c r="BI106" s="45" t="str">
        <f aca="false">"PMP-"&amp;TEXT(A106,"0000")</f>
        <v>PMP-0102</v>
      </c>
    </row>
    <row r="107" customFormat="false" ht="24" hidden="false" customHeight="true" outlineLevel="0" collapsed="false">
      <c r="A107" s="42" t="n">
        <v>103</v>
      </c>
      <c r="B107" s="42" t="s">
        <v>529</v>
      </c>
      <c r="C107" s="42" t="s">
        <v>690</v>
      </c>
      <c r="D107" s="42" t="s">
        <v>581</v>
      </c>
      <c r="E107" s="42" t="s">
        <v>54</v>
      </c>
      <c r="F107" s="42" t="s">
        <v>132</v>
      </c>
      <c r="G107" s="42" t="s">
        <v>115</v>
      </c>
      <c r="H107" s="43" t="n">
        <v>25</v>
      </c>
      <c r="I107" s="43" t="n">
        <v>55</v>
      </c>
      <c r="J107" s="43"/>
      <c r="K107" s="44" t="n">
        <f aca="false">IF(ISNUMBER(J107),J107,IF(AND(ISNUMBER(H107),ISNUMBER(I107)),H107*I107/(367*'Assumptions &amp; FX Reference'!$I$17),""))</f>
        <v>6.24432334241599</v>
      </c>
      <c r="L107" s="45" t="str">
        <f aca="false">IF(IF(OR(M107="Not stated",M107=""),""," + "&amp;M107)&amp;IF(OR(N107="None",N107=""),""," + "&amp;N107)&amp;IF(O107="Y"," + NACE MR0175","")="","Not stated",MID(IF(OR(M107="Not stated",M107=""),""," + "&amp;M107)&amp;IF(OR(N107="None",N107=""),""," + "&amp;N107)&amp;IF(O107="Y"," + NACE MR0175",""),4,300))</f>
        <v>API 610 + IPS-G-PM-105 + NACE MR0175</v>
      </c>
      <c r="M107" s="42" t="s">
        <v>478</v>
      </c>
      <c r="N107" s="42" t="s">
        <v>479</v>
      </c>
      <c r="O107" s="42" t="s">
        <v>369</v>
      </c>
      <c r="P107" s="42" t="s">
        <v>123</v>
      </c>
      <c r="Q107" s="42" t="s">
        <v>123</v>
      </c>
      <c r="R107" s="42" t="s">
        <v>123</v>
      </c>
      <c r="S107" s="50" t="s">
        <v>304</v>
      </c>
      <c r="T107" s="42" t="s">
        <v>342</v>
      </c>
      <c r="U107" s="42" t="n">
        <v>2</v>
      </c>
      <c r="V107" s="42" t="s">
        <v>306</v>
      </c>
      <c r="W107" s="43" t="n">
        <v>5</v>
      </c>
      <c r="X107" s="42" t="s">
        <v>123</v>
      </c>
      <c r="Y107" s="42" t="n">
        <v>1404</v>
      </c>
      <c r="Z107" s="42" t="s">
        <v>363</v>
      </c>
      <c r="AA107" s="46" t="n">
        <v>31000</v>
      </c>
      <c r="AB107" s="47" t="n">
        <f aca="false">IF(NOT(ISNUMBER(AA107)),"",IF(NOT(ISNUMBER(Y107)),"",IFERROR(IF(Z107="EUR",AA107,IF(Z107="IRR",AA107/INDEX('Assumptions &amp; FX Reference'!$C$5:$C$25,MATCH(Y107,'Assumptions &amp; FX Reference'!$A$5:$A$25,0)),IF(Z107="USD",AA107*INDEX('Assumptions &amp; FX Reference'!$B$5:$B$25,MATCH(Y107,'Assumptions &amp; FX Reference'!$A$5:$A$25,0))/INDEX('Assumptions &amp; FX Reference'!$C$5:$C$25,MATCH(Y107,'Assumptions &amp; FX Reference'!$A$5:$A$25,0)),""))),"")))</f>
        <v>31000</v>
      </c>
      <c r="AC107" s="47" t="n">
        <f aca="false">IF(NOT(ISNUMBER(AA107)),"",IF(NOT(ISNUMBER(Y107)),"",IFERROR(IF(Z107="USD",AA107,IF(Z107="IRR",AA107/INDEX('Assumptions &amp; FX Reference'!$B$5:$B$25,MATCH(Y107,'Assumptions &amp; FX Reference'!$A$5:$A$25,0)),IF(Z107="EUR",AA107*INDEX('Assumptions &amp; FX Reference'!$C$5:$C$25,MATCH(Y107,'Assumptions &amp; FX Reference'!$A$5:$A$25,0))/INDEX('Assumptions &amp; FX Reference'!$B$5:$B$25,MATCH(Y107,'Assumptions &amp; FX Reference'!$A$5:$A$25,0)),""))),"")))</f>
        <v>32729.2755260556</v>
      </c>
      <c r="AD107" s="47" t="n">
        <f aca="false">IF(NOT(ISNUMBER(AA107)),"",IF(NOT(ISNUMBER(Y107)),"",IFERROR(IF(Z107="IRR",AA107,IF(Z107="USD",AA107*INDEX('Assumptions &amp; FX Reference'!$B$5:$B$25,MATCH(Y107,'Assumptions &amp; FX Reference'!$A$5:$A$25,0)),IF(Z107="EUR",AA107*INDEX('Assumptions &amp; FX Reference'!$C$5:$C$25,MATCH(Y107,'Assumptions &amp; FX Reference'!$A$5:$A$25,0)),""))),"")))</f>
        <v>21553308000</v>
      </c>
      <c r="AE107" s="42" t="s">
        <v>692</v>
      </c>
      <c r="AF107" s="42" t="s">
        <v>208</v>
      </c>
      <c r="AG107" s="47" t="n">
        <f aca="false">IF(AND(Z107="EUR",N(AA107)&gt;5000000),"",IF(AND(ISNUMBER(AB107),ISNUMBER(AZ107),ISNUMBER(BA107)),IF(AND(BB107="Y",ISNUMBER('Assumptions &amp; FX Reference'!$I$15)),MAX(AB107*BA107/AZ107,'Assumptions &amp; FX Reference'!$I$13*BA107/'Assumptions &amp; FX Reference'!$I$15),AB107*BA107/AZ107),""))</f>
        <v>31000</v>
      </c>
      <c r="AH107" s="47" t="n">
        <f aca="false">IF(AND(ISNUMBER(AG107),ISNUMBER('Assumptions &amp; FX Reference'!$I$8),ISNUMBER('Assumptions &amp; FX Reference'!$I$11)),AG107*'Assumptions &amp; FX Reference'!$I$8/'Assumptions &amp; FX Reference'!$I$11,"")</f>
        <v>32729.2755260556</v>
      </c>
      <c r="AI107" s="47" t="n">
        <f aca="false">IF(AND(ISNUMBER(AG107),ISNUMBER('Assumptions &amp; FX Reference'!$I$8)),AG107*'Assumptions &amp; FX Reference'!$I$8,"")</f>
        <v>21553308000</v>
      </c>
      <c r="AJ107" s="42" t="s">
        <v>693</v>
      </c>
      <c r="AK107" s="42" t="s">
        <v>366</v>
      </c>
      <c r="AL107" s="42" t="s">
        <v>123</v>
      </c>
      <c r="AM107" s="42" t="s">
        <v>123</v>
      </c>
      <c r="AN107" s="42" t="s">
        <v>123</v>
      </c>
      <c r="AO107" s="42" t="s">
        <v>123</v>
      </c>
      <c r="AP107" s="42" t="s">
        <v>123</v>
      </c>
      <c r="AQ107" s="42" t="s">
        <v>123</v>
      </c>
      <c r="AR107" s="42" t="s">
        <v>123</v>
      </c>
      <c r="AS107" s="45" t="str">
        <f aca="false">IF(AND(Z107="EUR",N(AA107)&gt;5000000),"Check currency (EUR&gt;5M); ","")&amp;IF(NOT(ISNUMBER(AA107)),"No price; ","")&amp;IF(G107="Not stated","Material missing; ","")&amp;IF(P107="Not stated","Seal missing; ","")&amp;IF(K107="","Size driver missing; ","")&amp;IF(NOT(ISNUMBER(AZ107)),"Base-year PPI missing; ","")</f>
        <v>Seal missing; </v>
      </c>
      <c r="AT107" s="48" t="n">
        <f aca="false">IFERROR(INDEX(Factors_ROT!$F$5:$F$200,MATCH("MAT|"&amp;G107,Factors_ROT!$A$5:$A$200,0)),1)</f>
        <v>1.9</v>
      </c>
      <c r="AU107" s="48" t="n">
        <f aca="false">IFERROR(INDEX(Factors_ROT!$F$5:$F$200,MATCH("SEAL_ARR|"&amp;P107,Factors_ROT!$A$5:$A$200,0)),1)*IFERROR(INDEX(Factors_ROT!$F$5:$F$200,MATCH("SEAL_CAT|"&amp;Q107,Factors_ROT!$A$5:$A$200,0)),1)*IFERROR(INDEX(Factors_ROT!$F$5:$F$200,MATCH("SEAL_PLAN|"&amp;R107,Factors_ROT!$A$5:$A$200,0)),1)</f>
        <v>1</v>
      </c>
      <c r="AV107" s="48" t="n">
        <f aca="false">IFERROR(INDEX(Factors_ROT!$F$5:$F$200,MATCH("DRV|"&amp;S107,Factors_ROT!$A$5:$A$200,0)),1)*IFERROR(INDEX(Factors_ROT!$F$5:$F$200,MATCH("NACE|"&amp;O107,Factors_ROT!$A$5:$A$200,0)),1)</f>
        <v>1.05</v>
      </c>
      <c r="AW107" s="48" t="n">
        <f aca="false">IFERROR(INDEX(Factors_ROT!$F$5:$F$200,MATCH("SC_DRV|"&amp;AL107,Factors_ROT!$A$5:$A$200,0)),1)*IFERROR(INDEX(Factors_ROT!$F$5:$F$200,MATCH("SC_BSP|"&amp;AM107,Factors_ROT!$A$5:$A$200,0)),1)*IFERROR(INDEX(Factors_ROT!$F$5:$F$200,MATCH("SC_SEAL|"&amp;AN107,Factors_ROT!$A$5:$A$200,0)),1)*IFERROR(INDEX(Factors_ROT!$F$5:$F$200,MATCH("SC_COMM|"&amp;AO107,Factors_ROT!$A$5:$A$200,0)),1)*IFERROR(INDEX(Factors_ROT!$F$5:$F$200,MATCH("SC_2Y|"&amp;AP107,Factors_ROT!$A$5:$A$200,0)),1)*IFERROR(INDEX(Factors_ROT!$F$5:$F$200,MATCH("SC_TPI|"&amp;AQ107,Factors_ROT!$A$5:$A$200,0)),1)*IFERROR(INDEX(Factors_ROT!$F$5:$F$200,MATCH("SC_FAT|"&amp;AR107,Factors_ROT!$A$5:$A$200,0)),1)</f>
        <v>1</v>
      </c>
      <c r="AX107" s="48" t="n">
        <f aca="false">AT107*AU107*AV107*AW107</f>
        <v>1.995</v>
      </c>
      <c r="AY107" s="47" t="n">
        <f aca="false">IF(ISNUMBER(AB107),AB107/AX107,"")</f>
        <v>15538.8471177945</v>
      </c>
      <c r="AZ107" s="49" t="n">
        <f aca="false">IFERROR(IF(N(INDEX(Escalation_Index!$B$5:$B$25,MATCH(Y107,Escalation_Index!$A$5:$A$25,0)))&gt;0,INDEX(Escalation_Index!$B$5:$B$25,MATCH(Y107,Escalation_Index!$A$5:$A$25,0)),""),"")</f>
        <v>123.416</v>
      </c>
      <c r="BA107" s="49" t="n">
        <f aca="false">IF(ISNUMBER('Assumptions &amp; FX Reference'!$I$12),'Assumptions &amp; FX Reference'!$I$12,"")</f>
        <v>123.416</v>
      </c>
      <c r="BB107" s="45" t="str">
        <f aca="false">IF(AND(M107="API 610",LEFT(V107,11)="Centrifugal",OR(LEFT(G107,2)="S-",LEFT(G107,2)="D-")),"Y","N")</f>
        <v>Y</v>
      </c>
      <c r="BC107" s="47" t="n">
        <f aca="false">IF(ISNUMBER(AG107),AG107/AX107,"")</f>
        <v>15538.8471177945</v>
      </c>
      <c r="BD107" s="47" t="n">
        <f aca="false">IF(AND(ISNUMBER(BC107),ISNUMBER(K107)),IF(K107&gt;0,BC107/K107^'Assumptions &amp; FX Reference'!$I$16,""),"")</f>
        <v>5177.58888999076</v>
      </c>
      <c r="BE107" s="42" t="s">
        <v>719</v>
      </c>
      <c r="BF107" s="42" t="s">
        <v>720</v>
      </c>
      <c r="BG107" s="42" t="s">
        <v>369</v>
      </c>
      <c r="BH107" s="45" t="s">
        <v>313</v>
      </c>
      <c r="BI107" s="45" t="str">
        <f aca="false">"PMP-"&amp;TEXT(A107,"0000")</f>
        <v>PMP-0103</v>
      </c>
    </row>
    <row r="108" customFormat="false" ht="24" hidden="false" customHeight="true" outlineLevel="0" collapsed="false">
      <c r="A108" s="42" t="n">
        <v>104</v>
      </c>
      <c r="B108" s="42" t="s">
        <v>721</v>
      </c>
      <c r="C108" s="42" t="s">
        <v>690</v>
      </c>
      <c r="D108" s="42" t="s">
        <v>584</v>
      </c>
      <c r="E108" s="42" t="s">
        <v>54</v>
      </c>
      <c r="F108" s="42" t="s">
        <v>171</v>
      </c>
      <c r="G108" s="42" t="s">
        <v>90</v>
      </c>
      <c r="H108" s="43" t="n">
        <v>5</v>
      </c>
      <c r="I108" s="43" t="n">
        <v>21.4</v>
      </c>
      <c r="J108" s="43"/>
      <c r="K108" s="44" t="n">
        <f aca="false">IF(ISNUMBER(J108),J108,IF(AND(ISNUMBER(H108),ISNUMBER(I108)),H108*I108/(367*'Assumptions &amp; FX Reference'!$I$17),""))</f>
        <v>0.485921889191644</v>
      </c>
      <c r="L108" s="45" t="str">
        <f aca="false">IF(IF(OR(M108="Not stated",M108=""),""," + "&amp;M108)&amp;IF(OR(N108="None",N108=""),""," + "&amp;N108)&amp;IF(O108="Y"," + NACE MR0175","")="","Not stated",MID(IF(OR(M108="Not stated",M108=""),""," + "&amp;M108)&amp;IF(OR(N108="None",N108=""),""," + "&amp;N108)&amp;IF(O108="Y"," + NACE MR0175",""),4,300))</f>
        <v>API 610 + IPS-G-PM-105</v>
      </c>
      <c r="M108" s="42" t="s">
        <v>478</v>
      </c>
      <c r="N108" s="42" t="s">
        <v>479</v>
      </c>
      <c r="O108" s="50" t="s">
        <v>312</v>
      </c>
      <c r="P108" s="42" t="s">
        <v>123</v>
      </c>
      <c r="Q108" s="42" t="s">
        <v>123</v>
      </c>
      <c r="R108" s="42" t="s">
        <v>123</v>
      </c>
      <c r="S108" s="50" t="s">
        <v>304</v>
      </c>
      <c r="T108" s="42" t="s">
        <v>342</v>
      </c>
      <c r="U108" s="42" t="n">
        <v>1</v>
      </c>
      <c r="V108" s="42" t="s">
        <v>306</v>
      </c>
      <c r="W108" s="43" t="n">
        <v>2</v>
      </c>
      <c r="X108" s="42" t="s">
        <v>123</v>
      </c>
      <c r="Y108" s="42" t="n">
        <v>1404</v>
      </c>
      <c r="Z108" s="42" t="s">
        <v>363</v>
      </c>
      <c r="AA108" s="46" t="n">
        <v>34500</v>
      </c>
      <c r="AB108" s="47" t="n">
        <f aca="false">IF(NOT(ISNUMBER(AA108)),"",IF(NOT(ISNUMBER(Y108)),"",IFERROR(IF(Z108="EUR",AA108,IF(Z108="IRR",AA108/INDEX('Assumptions &amp; FX Reference'!$C$5:$C$25,MATCH(Y108,'Assumptions &amp; FX Reference'!$A$5:$A$25,0)),IF(Z108="USD",AA108*INDEX('Assumptions &amp; FX Reference'!$B$5:$B$25,MATCH(Y108,'Assumptions &amp; FX Reference'!$A$5:$A$25,0))/INDEX('Assumptions &amp; FX Reference'!$C$5:$C$25,MATCH(Y108,'Assumptions &amp; FX Reference'!$A$5:$A$25,0)),""))),"")))</f>
        <v>34500</v>
      </c>
      <c r="AC108" s="47" t="n">
        <f aca="false">IF(NOT(ISNUMBER(AA108)),"",IF(NOT(ISNUMBER(Y108)),"",IFERROR(IF(Z108="USD",AA108,IF(Z108="IRR",AA108/INDEX('Assumptions &amp; FX Reference'!$B$5:$B$25,MATCH(Y108,'Assumptions &amp; FX Reference'!$A$5:$A$25,0)),IF(Z108="EUR",AA108*INDEX('Assumptions &amp; FX Reference'!$C$5:$C$25,MATCH(Y108,'Assumptions &amp; FX Reference'!$A$5:$A$25,0))/INDEX('Assumptions &amp; FX Reference'!$B$5:$B$25,MATCH(Y108,'Assumptions &amp; FX Reference'!$A$5:$A$25,0)),""))),"")))</f>
        <v>36424.5163112555</v>
      </c>
      <c r="AD108" s="47" t="n">
        <f aca="false">IF(NOT(ISNUMBER(AA108)),"",IF(NOT(ISNUMBER(Y108)),"",IFERROR(IF(Z108="IRR",AA108,IF(Z108="USD",AA108*INDEX('Assumptions &amp; FX Reference'!$B$5:$B$25,MATCH(Y108,'Assumptions &amp; FX Reference'!$A$5:$A$25,0)),IF(Z108="EUR",AA108*INDEX('Assumptions &amp; FX Reference'!$C$5:$C$25,MATCH(Y108,'Assumptions &amp; FX Reference'!$A$5:$A$25,0)),""))),"")))</f>
        <v>23986746000</v>
      </c>
      <c r="AE108" s="42" t="s">
        <v>692</v>
      </c>
      <c r="AF108" s="42" t="s">
        <v>208</v>
      </c>
      <c r="AG108" s="47" t="n">
        <f aca="false">IF(AND(Z108="EUR",N(AA108)&gt;5000000),"",IF(AND(ISNUMBER(AB108),ISNUMBER(AZ108),ISNUMBER(BA108)),IF(AND(BB108="Y",ISNUMBER('Assumptions &amp; FX Reference'!$I$15)),MAX(AB108*BA108/AZ108,'Assumptions &amp; FX Reference'!$I$13*BA108/'Assumptions &amp; FX Reference'!$I$15),AB108*BA108/AZ108),""))</f>
        <v>34500</v>
      </c>
      <c r="AH108" s="47" t="n">
        <f aca="false">IF(AND(ISNUMBER(AG108),ISNUMBER('Assumptions &amp; FX Reference'!$I$8),ISNUMBER('Assumptions &amp; FX Reference'!$I$11)),AG108*'Assumptions &amp; FX Reference'!$I$8/'Assumptions &amp; FX Reference'!$I$11,"")</f>
        <v>36424.5163112555</v>
      </c>
      <c r="AI108" s="47" t="n">
        <f aca="false">IF(AND(ISNUMBER(AG108),ISNUMBER('Assumptions &amp; FX Reference'!$I$8)),AG108*'Assumptions &amp; FX Reference'!$I$8,"")</f>
        <v>23986746000</v>
      </c>
      <c r="AJ108" s="42" t="s">
        <v>693</v>
      </c>
      <c r="AK108" s="42" t="s">
        <v>366</v>
      </c>
      <c r="AL108" s="42" t="s">
        <v>123</v>
      </c>
      <c r="AM108" s="42" t="s">
        <v>123</v>
      </c>
      <c r="AN108" s="42" t="s">
        <v>123</v>
      </c>
      <c r="AO108" s="42" t="s">
        <v>123</v>
      </c>
      <c r="AP108" s="42" t="s">
        <v>123</v>
      </c>
      <c r="AQ108" s="42" t="s">
        <v>123</v>
      </c>
      <c r="AR108" s="42" t="s">
        <v>123</v>
      </c>
      <c r="AS108" s="45" t="str">
        <f aca="false">IF(AND(Z108="EUR",N(AA108)&gt;5000000),"Check currency (EUR&gt;5M); ","")&amp;IF(NOT(ISNUMBER(AA108)),"No price; ","")&amp;IF(G108="Not stated","Material missing; ","")&amp;IF(P108="Not stated","Seal missing; ","")&amp;IF(K108="","Size driver missing; ","")&amp;IF(NOT(ISNUMBER(AZ108)),"Base-year PPI missing; ","")</f>
        <v>Seal missing; </v>
      </c>
      <c r="AT108" s="48" t="n">
        <f aca="false">IFERROR(INDEX(Factors_ROT!$F$5:$F$200,MATCH("MAT|"&amp;G108,Factors_ROT!$A$5:$A$200,0)),1)</f>
        <v>1.1</v>
      </c>
      <c r="AU108" s="48" t="n">
        <f aca="false">IFERROR(INDEX(Factors_ROT!$F$5:$F$200,MATCH("SEAL_ARR|"&amp;P108,Factors_ROT!$A$5:$A$200,0)),1)*IFERROR(INDEX(Factors_ROT!$F$5:$F$200,MATCH("SEAL_CAT|"&amp;Q108,Factors_ROT!$A$5:$A$200,0)),1)*IFERROR(INDEX(Factors_ROT!$F$5:$F$200,MATCH("SEAL_PLAN|"&amp;R108,Factors_ROT!$A$5:$A$200,0)),1)</f>
        <v>1</v>
      </c>
      <c r="AV108" s="48" t="n">
        <f aca="false">IFERROR(INDEX(Factors_ROT!$F$5:$F$200,MATCH("DRV|"&amp;S108,Factors_ROT!$A$5:$A$200,0)),1)*IFERROR(INDEX(Factors_ROT!$F$5:$F$200,MATCH("NACE|"&amp;O108,Factors_ROT!$A$5:$A$200,0)),1)</f>
        <v>1</v>
      </c>
      <c r="AW108" s="48" t="n">
        <f aca="false">IFERROR(INDEX(Factors_ROT!$F$5:$F$200,MATCH("SC_DRV|"&amp;AL108,Factors_ROT!$A$5:$A$200,0)),1)*IFERROR(INDEX(Factors_ROT!$F$5:$F$200,MATCH("SC_BSP|"&amp;AM108,Factors_ROT!$A$5:$A$200,0)),1)*IFERROR(INDEX(Factors_ROT!$F$5:$F$200,MATCH("SC_SEAL|"&amp;AN108,Factors_ROT!$A$5:$A$200,0)),1)*IFERROR(INDEX(Factors_ROT!$F$5:$F$200,MATCH("SC_COMM|"&amp;AO108,Factors_ROT!$A$5:$A$200,0)),1)*IFERROR(INDEX(Factors_ROT!$F$5:$F$200,MATCH("SC_2Y|"&amp;AP108,Factors_ROT!$A$5:$A$200,0)),1)*IFERROR(INDEX(Factors_ROT!$F$5:$F$200,MATCH("SC_TPI|"&amp;AQ108,Factors_ROT!$A$5:$A$200,0)),1)*IFERROR(INDEX(Factors_ROT!$F$5:$F$200,MATCH("SC_FAT|"&amp;AR108,Factors_ROT!$A$5:$A$200,0)),1)</f>
        <v>1</v>
      </c>
      <c r="AX108" s="48" t="n">
        <f aca="false">AT108*AU108*AV108*AW108</f>
        <v>1.1</v>
      </c>
      <c r="AY108" s="47" t="n">
        <f aca="false">IF(ISNUMBER(AB108),AB108/AX108,"")</f>
        <v>31363.6363636364</v>
      </c>
      <c r="AZ108" s="49" t="n">
        <f aca="false">IFERROR(IF(N(INDEX(Escalation_Index!$B$5:$B$25,MATCH(Y108,Escalation_Index!$A$5:$A$25,0)))&gt;0,INDEX(Escalation_Index!$B$5:$B$25,MATCH(Y108,Escalation_Index!$A$5:$A$25,0)),""),"")</f>
        <v>123.416</v>
      </c>
      <c r="BA108" s="49" t="n">
        <f aca="false">IF(ISNUMBER('Assumptions &amp; FX Reference'!$I$12),'Assumptions &amp; FX Reference'!$I$12,"")</f>
        <v>123.416</v>
      </c>
      <c r="BB108" s="45" t="str">
        <f aca="false">IF(AND(M108="API 610",LEFT(V108,11)="Centrifugal",OR(LEFT(G108,2)="S-",LEFT(G108,2)="D-")),"Y","N")</f>
        <v>Y</v>
      </c>
      <c r="BC108" s="47" t="n">
        <f aca="false">IF(ISNUMBER(AG108),AG108/AX108,"")</f>
        <v>31363.6363636364</v>
      </c>
      <c r="BD108" s="47" t="n">
        <f aca="false">IF(AND(ISNUMBER(BC108),ISNUMBER(K108)),IF(K108&gt;0,BC108/K108^'Assumptions &amp; FX Reference'!$I$16,""),"")</f>
        <v>48360.0267132203</v>
      </c>
      <c r="BE108" s="42" t="s">
        <v>722</v>
      </c>
      <c r="BF108" s="42" t="s">
        <v>723</v>
      </c>
      <c r="BG108" s="42" t="s">
        <v>369</v>
      </c>
      <c r="BH108" s="45" t="s">
        <v>313</v>
      </c>
      <c r="BI108" s="45" t="str">
        <f aca="false">"PMP-"&amp;TEXT(A108,"0000")</f>
        <v>PMP-0104</v>
      </c>
    </row>
    <row r="109" customFormat="false" ht="24" hidden="false" customHeight="true" outlineLevel="0" collapsed="false">
      <c r="A109" s="42" t="n">
        <v>105</v>
      </c>
      <c r="B109" s="42" t="s">
        <v>520</v>
      </c>
      <c r="C109" s="42" t="s">
        <v>690</v>
      </c>
      <c r="D109" s="42" t="s">
        <v>724</v>
      </c>
      <c r="E109" s="42" t="s">
        <v>54</v>
      </c>
      <c r="F109" s="42" t="s">
        <v>192</v>
      </c>
      <c r="G109" s="42" t="s">
        <v>111</v>
      </c>
      <c r="H109" s="43" t="n">
        <v>5</v>
      </c>
      <c r="I109" s="43"/>
      <c r="J109" s="43"/>
      <c r="K109" s="44" t="str">
        <f aca="false">IF(ISNUMBER(J109),J109,IF(AND(ISNUMBER(H109),ISNUMBER(I109)),H109*I109/(367*'Assumptions &amp; FX Reference'!$I$17),""))</f>
        <v/>
      </c>
      <c r="L109" s="45" t="str">
        <f aca="false">IF(IF(OR(M109="Not stated",M109=""),""," + "&amp;M109)&amp;IF(OR(N109="None",N109=""),""," + "&amp;N109)&amp;IF(O109="Y"," + NACE MR0175","")="","Not stated",MID(IF(OR(M109="Not stated",M109=""),""," + "&amp;M109)&amp;IF(OR(N109="None",N109=""),""," + "&amp;N109)&amp;IF(O109="Y"," + NACE MR0175",""),4,300))</f>
        <v>API 676 + IPS-M-PM-140 + NACE MR0175</v>
      </c>
      <c r="M109" s="42" t="s">
        <v>491</v>
      </c>
      <c r="N109" s="42" t="s">
        <v>492</v>
      </c>
      <c r="O109" s="42" t="s">
        <v>369</v>
      </c>
      <c r="P109" s="42" t="s">
        <v>123</v>
      </c>
      <c r="Q109" s="42" t="s">
        <v>123</v>
      </c>
      <c r="R109" s="42" t="s">
        <v>123</v>
      </c>
      <c r="S109" s="50" t="s">
        <v>304</v>
      </c>
      <c r="T109" s="42" t="s">
        <v>432</v>
      </c>
      <c r="U109" s="42" t="n">
        <v>2</v>
      </c>
      <c r="V109" s="42" t="s">
        <v>522</v>
      </c>
      <c r="W109" s="43" t="n">
        <v>6.4</v>
      </c>
      <c r="X109" s="42" t="s">
        <v>123</v>
      </c>
      <c r="Y109" s="42" t="n">
        <v>1393</v>
      </c>
      <c r="Z109" s="42" t="s">
        <v>363</v>
      </c>
      <c r="AA109" s="46" t="n">
        <v>25000</v>
      </c>
      <c r="AB109" s="47" t="n">
        <f aca="false">IF(NOT(ISNUMBER(AA109)),"",IF(NOT(ISNUMBER(Y109)),"",IFERROR(IF(Z109="EUR",AA109,IF(Z109="IRR",AA109/INDEX('Assumptions &amp; FX Reference'!$C$5:$C$25,MATCH(Y109,'Assumptions &amp; FX Reference'!$A$5:$A$25,0)),IF(Z109="USD",AA109*INDEX('Assumptions &amp; FX Reference'!$B$5:$B$25,MATCH(Y109,'Assumptions &amp; FX Reference'!$A$5:$A$25,0))/INDEX('Assumptions &amp; FX Reference'!$C$5:$C$25,MATCH(Y109,'Assumptions &amp; FX Reference'!$A$5:$A$25,0)),""))),"")))</f>
        <v>25000</v>
      </c>
      <c r="AC109" s="47" t="n">
        <f aca="false">IF(NOT(ISNUMBER(AA109)),"",IF(NOT(ISNUMBER(Y109)),"",IFERROR(IF(Z109="USD",AA109,IF(Z109="IRR",AA109/INDEX('Assumptions &amp; FX Reference'!$B$5:$B$25,MATCH(Y109,'Assumptions &amp; FX Reference'!$A$5:$A$25,0)),IF(Z109="EUR",AA109*INDEX('Assumptions &amp; FX Reference'!$C$5:$C$25,MATCH(Y109,'Assumptions &amp; FX Reference'!$A$5:$A$25,0))/INDEX('Assumptions &amp; FX Reference'!$B$5:$B$25,MATCH(Y109,'Assumptions &amp; FX Reference'!$A$5:$A$25,0)),""))),"")))</f>
        <v>32686.1290322581</v>
      </c>
      <c r="AD109" s="47" t="n">
        <f aca="false">IF(NOT(ISNUMBER(AA109)),"",IF(NOT(ISNUMBER(Y109)),"",IFERROR(IF(Z109="IRR",AA109,IF(Z109="USD",AA109*INDEX('Assumptions &amp; FX Reference'!$B$5:$B$25,MATCH(Y109,'Assumptions &amp; FX Reference'!$A$5:$A$25,0)),IF(Z109="EUR",AA109*INDEX('Assumptions &amp; FX Reference'!$C$5:$C$25,MATCH(Y109,'Assumptions &amp; FX Reference'!$A$5:$A$25,0)),""))),"")))</f>
        <v>1013270000</v>
      </c>
      <c r="AE109" s="42" t="s">
        <v>725</v>
      </c>
      <c r="AF109" s="42" t="s">
        <v>208</v>
      </c>
      <c r="AG109" s="47" t="n">
        <f aca="false">IF(AND(Z109="EUR",N(AA109)&gt;5000000),"",IF(AND(ISNUMBER(AB109),ISNUMBER(AZ109),ISNUMBER(BA109)),IF(AND(BB109="Y",ISNUMBER('Assumptions &amp; FX Reference'!$I$15)),MAX(AB109*BA109/AZ109,'Assumptions &amp; FX Reference'!$I$13*BA109/'Assumptions &amp; FX Reference'!$I$15),AB109*BA109/AZ109),""))</f>
        <v>33776.6976474323</v>
      </c>
      <c r="AH109" s="47" t="n">
        <f aca="false">IF(AND(ISNUMBER(AG109),ISNUMBER('Assumptions &amp; FX Reference'!$I$8),ISNUMBER('Assumptions &amp; FX Reference'!$I$11)),AG109*'Assumptions &amp; FX Reference'!$I$8/'Assumptions &amp; FX Reference'!$I$11,"")</f>
        <v>35660.8659246157</v>
      </c>
      <c r="AI109" s="47" t="n">
        <f aca="false">IF(AND(ISNUMBER(AG109),ISNUMBER('Assumptions &amp; FX Reference'!$I$8)),AG109*'Assumptions &amp; FX Reference'!$I$8,"")</f>
        <v>23483857019.935</v>
      </c>
      <c r="AJ109" s="42" t="s">
        <v>693</v>
      </c>
      <c r="AK109" s="42" t="s">
        <v>366</v>
      </c>
      <c r="AL109" s="42" t="s">
        <v>123</v>
      </c>
      <c r="AM109" s="42" t="s">
        <v>123</v>
      </c>
      <c r="AN109" s="42" t="s">
        <v>123</v>
      </c>
      <c r="AO109" s="42" t="s">
        <v>123</v>
      </c>
      <c r="AP109" s="42" t="s">
        <v>123</v>
      </c>
      <c r="AQ109" s="42" t="s">
        <v>123</v>
      </c>
      <c r="AR109" s="42" t="s">
        <v>123</v>
      </c>
      <c r="AS109" s="45" t="str">
        <f aca="false">IF(AND(Z109="EUR",N(AA109)&gt;5000000),"Check currency (EUR&gt;5M); ","")&amp;IF(NOT(ISNUMBER(AA109)),"No price; ","")&amp;IF(G109="Not stated","Material missing; ","")&amp;IF(P109="Not stated","Seal missing; ","")&amp;IF(K109="","Size driver missing; ","")&amp;IF(NOT(ISNUMBER(AZ109)),"Base-year PPI missing; ","")</f>
        <v>Seal missing; Size driver missing; </v>
      </c>
      <c r="AT109" s="48" t="n">
        <f aca="false">IFERROR(INDEX(Factors_ROT!$F$5:$F$200,MATCH("MAT|"&amp;G109,Factors_ROT!$A$5:$A$200,0)),1)</f>
        <v>1.7</v>
      </c>
      <c r="AU109" s="48" t="n">
        <f aca="false">IFERROR(INDEX(Factors_ROT!$F$5:$F$200,MATCH("SEAL_ARR|"&amp;P109,Factors_ROT!$A$5:$A$200,0)),1)*IFERROR(INDEX(Factors_ROT!$F$5:$F$200,MATCH("SEAL_CAT|"&amp;Q109,Factors_ROT!$A$5:$A$200,0)),1)*IFERROR(INDEX(Factors_ROT!$F$5:$F$200,MATCH("SEAL_PLAN|"&amp;R109,Factors_ROT!$A$5:$A$200,0)),1)</f>
        <v>1</v>
      </c>
      <c r="AV109" s="48" t="n">
        <f aca="false">IFERROR(INDEX(Factors_ROT!$F$5:$F$200,MATCH("DRV|"&amp;S109,Factors_ROT!$A$5:$A$200,0)),1)*IFERROR(INDEX(Factors_ROT!$F$5:$F$200,MATCH("NACE|"&amp;O109,Factors_ROT!$A$5:$A$200,0)),1)</f>
        <v>1.05</v>
      </c>
      <c r="AW109" s="48" t="n">
        <f aca="false">IFERROR(INDEX(Factors_ROT!$F$5:$F$200,MATCH("SC_DRV|"&amp;AL109,Factors_ROT!$A$5:$A$200,0)),1)*IFERROR(INDEX(Factors_ROT!$F$5:$F$200,MATCH("SC_BSP|"&amp;AM109,Factors_ROT!$A$5:$A$200,0)),1)*IFERROR(INDEX(Factors_ROT!$F$5:$F$200,MATCH("SC_SEAL|"&amp;AN109,Factors_ROT!$A$5:$A$200,0)),1)*IFERROR(INDEX(Factors_ROT!$F$5:$F$200,MATCH("SC_COMM|"&amp;AO109,Factors_ROT!$A$5:$A$200,0)),1)*IFERROR(INDEX(Factors_ROT!$F$5:$F$200,MATCH("SC_2Y|"&amp;AP109,Factors_ROT!$A$5:$A$200,0)),1)*IFERROR(INDEX(Factors_ROT!$F$5:$F$200,MATCH("SC_TPI|"&amp;AQ109,Factors_ROT!$A$5:$A$200,0)),1)*IFERROR(INDEX(Factors_ROT!$F$5:$F$200,MATCH("SC_FAT|"&amp;AR109,Factors_ROT!$A$5:$A$200,0)),1)</f>
        <v>1</v>
      </c>
      <c r="AX109" s="48" t="n">
        <f aca="false">AT109*AU109*AV109*AW109</f>
        <v>1.785</v>
      </c>
      <c r="AY109" s="47" t="n">
        <f aca="false">IF(ISNUMBER(AB109),AB109/AX109,"")</f>
        <v>14005.6022408964</v>
      </c>
      <c r="AZ109" s="49" t="n">
        <f aca="false">IFERROR(IF(N(INDEX(Escalation_Index!$B$5:$B$25,MATCH(Y109,Escalation_Index!$A$5:$A$25,0)))&gt;0,INDEX(Escalation_Index!$B$5:$B$25,MATCH(Y109,Escalation_Index!$A$5:$A$25,0)),""),"")</f>
        <v>91.347</v>
      </c>
      <c r="BA109" s="49" t="n">
        <f aca="false">IF(ISNUMBER('Assumptions &amp; FX Reference'!$I$12),'Assumptions &amp; FX Reference'!$I$12,"")</f>
        <v>123.416</v>
      </c>
      <c r="BB109" s="45" t="str">
        <f aca="false">IF(AND(M109="API 610",LEFT(V109,11)="Centrifugal",OR(LEFT(G109,2)="S-",LEFT(G109,2)="D-")),"Y","N")</f>
        <v>N</v>
      </c>
      <c r="BC109" s="47" t="n">
        <f aca="false">IF(ISNUMBER(AG109),AG109/AX109,"")</f>
        <v>18922.5196904383</v>
      </c>
      <c r="BD109" s="47" t="str">
        <f aca="false">IF(AND(ISNUMBER(BC109),ISNUMBER(K109)),IF(K109&gt;0,BC109/K109^'Assumptions &amp; FX Reference'!$I$16,""),"")</f>
        <v/>
      </c>
      <c r="BE109" s="42" t="s">
        <v>726</v>
      </c>
      <c r="BF109" s="42" t="s">
        <v>727</v>
      </c>
      <c r="BG109" s="42" t="s">
        <v>369</v>
      </c>
      <c r="BH109" s="45" t="s">
        <v>313</v>
      </c>
      <c r="BI109" s="45" t="str">
        <f aca="false">"PMP-"&amp;TEXT(A109,"0000")</f>
        <v>PMP-0105</v>
      </c>
    </row>
    <row r="110" customFormat="false" ht="24" hidden="false" customHeight="true" outlineLevel="0" collapsed="false">
      <c r="A110" s="42" t="n">
        <v>106</v>
      </c>
      <c r="B110" s="42" t="s">
        <v>525</v>
      </c>
      <c r="C110" s="42" t="s">
        <v>690</v>
      </c>
      <c r="D110" s="42" t="s">
        <v>728</v>
      </c>
      <c r="E110" s="42" t="s">
        <v>48</v>
      </c>
      <c r="F110" s="42" t="s">
        <v>132</v>
      </c>
      <c r="G110" s="42" t="s">
        <v>115</v>
      </c>
      <c r="H110" s="43" t="n">
        <v>15</v>
      </c>
      <c r="I110" s="43" t="n">
        <v>50</v>
      </c>
      <c r="J110" s="43"/>
      <c r="K110" s="44" t="n">
        <f aca="false">IF(ISNUMBER(J110),J110,IF(AND(ISNUMBER(H110),ISNUMBER(I110)),H110*I110/(367*'Assumptions &amp; FX Reference'!$I$17),""))</f>
        <v>3.40599455040872</v>
      </c>
      <c r="L110" s="45" t="str">
        <f aca="false">IF(IF(OR(M110="Not stated",M110=""),""," + "&amp;M110)&amp;IF(OR(N110="None",N110=""),""," + "&amp;N110)&amp;IF(O110="Y"," + NACE MR0175","")="","Not stated",MID(IF(OR(M110="Not stated",M110=""),""," + "&amp;M110)&amp;IF(OR(N110="None",N110=""),""," + "&amp;N110)&amp;IF(O110="Y"," + NACE MR0175",""),4,300))</f>
        <v>API 610 + IPS-G-PM-105 + NACE MR0175</v>
      </c>
      <c r="M110" s="42" t="s">
        <v>478</v>
      </c>
      <c r="N110" s="42" t="s">
        <v>479</v>
      </c>
      <c r="O110" s="42" t="s">
        <v>369</v>
      </c>
      <c r="P110" s="42" t="s">
        <v>123</v>
      </c>
      <c r="Q110" s="42" t="s">
        <v>123</v>
      </c>
      <c r="R110" s="42" t="s">
        <v>123</v>
      </c>
      <c r="S110" s="50" t="s">
        <v>304</v>
      </c>
      <c r="T110" s="42" t="s">
        <v>342</v>
      </c>
      <c r="U110" s="42" t="n">
        <v>2</v>
      </c>
      <c r="V110" s="42" t="s">
        <v>306</v>
      </c>
      <c r="W110" s="43" t="n">
        <v>5.7</v>
      </c>
      <c r="X110" s="42" t="s">
        <v>123</v>
      </c>
      <c r="Y110" s="42" t="n">
        <v>1404</v>
      </c>
      <c r="Z110" s="42" t="s">
        <v>363</v>
      </c>
      <c r="AA110" s="46" t="n">
        <v>29600</v>
      </c>
      <c r="AB110" s="47" t="n">
        <f aca="false">IF(NOT(ISNUMBER(AA110)),"",IF(NOT(ISNUMBER(Y110)),"",IFERROR(IF(Z110="EUR",AA110,IF(Z110="IRR",AA110/INDEX('Assumptions &amp; FX Reference'!$C$5:$C$25,MATCH(Y110,'Assumptions &amp; FX Reference'!$A$5:$A$25,0)),IF(Z110="USD",AA110*INDEX('Assumptions &amp; FX Reference'!$B$5:$B$25,MATCH(Y110,'Assumptions &amp; FX Reference'!$A$5:$A$25,0))/INDEX('Assumptions &amp; FX Reference'!$C$5:$C$25,MATCH(Y110,'Assumptions &amp; FX Reference'!$A$5:$A$25,0)),""))),"")))</f>
        <v>29600</v>
      </c>
      <c r="AC110" s="47" t="n">
        <f aca="false">IF(NOT(ISNUMBER(AA110)),"",IF(NOT(ISNUMBER(Y110)),"",IFERROR(IF(Z110="USD",AA110,IF(Z110="IRR",AA110/INDEX('Assumptions &amp; FX Reference'!$B$5:$B$25,MATCH(Y110,'Assumptions &amp; FX Reference'!$A$5:$A$25,0)),IF(Z110="EUR",AA110*INDEX('Assumptions &amp; FX Reference'!$C$5:$C$25,MATCH(Y110,'Assumptions &amp; FX Reference'!$A$5:$A$25,0))/INDEX('Assumptions &amp; FX Reference'!$B$5:$B$25,MATCH(Y110,'Assumptions &amp; FX Reference'!$A$5:$A$25,0)),""))),"")))</f>
        <v>31251.1792119757</v>
      </c>
      <c r="AD110" s="47" t="n">
        <f aca="false">IF(NOT(ISNUMBER(AA110)),"",IF(NOT(ISNUMBER(Y110)),"",IFERROR(IF(Z110="IRR",AA110,IF(Z110="USD",AA110*INDEX('Assumptions &amp; FX Reference'!$B$5:$B$25,MATCH(Y110,'Assumptions &amp; FX Reference'!$A$5:$A$25,0)),IF(Z110="EUR",AA110*INDEX('Assumptions &amp; FX Reference'!$C$5:$C$25,MATCH(Y110,'Assumptions &amp; FX Reference'!$A$5:$A$25,0)),""))),"")))</f>
        <v>20579932800</v>
      </c>
      <c r="AE110" s="42" t="s">
        <v>692</v>
      </c>
      <c r="AF110" s="42" t="s">
        <v>208</v>
      </c>
      <c r="AG110" s="47" t="n">
        <f aca="false">IF(AND(Z110="EUR",N(AA110)&gt;5000000),"",IF(AND(ISNUMBER(AB110),ISNUMBER(AZ110),ISNUMBER(BA110)),IF(AND(BB110="Y",ISNUMBER('Assumptions &amp; FX Reference'!$I$15)),MAX(AB110*BA110/AZ110,'Assumptions &amp; FX Reference'!$I$13*BA110/'Assumptions &amp; FX Reference'!$I$15),AB110*BA110/AZ110),""))</f>
        <v>29600</v>
      </c>
      <c r="AH110" s="47" t="n">
        <f aca="false">IF(AND(ISNUMBER(AG110),ISNUMBER('Assumptions &amp; FX Reference'!$I$8),ISNUMBER('Assumptions &amp; FX Reference'!$I$11)),AG110*'Assumptions &amp; FX Reference'!$I$8/'Assumptions &amp; FX Reference'!$I$11,"")</f>
        <v>31251.1792119757</v>
      </c>
      <c r="AI110" s="47" t="n">
        <f aca="false">IF(AND(ISNUMBER(AG110),ISNUMBER('Assumptions &amp; FX Reference'!$I$8)),AG110*'Assumptions &amp; FX Reference'!$I$8,"")</f>
        <v>20579932800</v>
      </c>
      <c r="AJ110" s="42" t="s">
        <v>693</v>
      </c>
      <c r="AK110" s="42" t="s">
        <v>366</v>
      </c>
      <c r="AL110" s="42" t="s">
        <v>123</v>
      </c>
      <c r="AM110" s="42" t="s">
        <v>123</v>
      </c>
      <c r="AN110" s="42" t="s">
        <v>123</v>
      </c>
      <c r="AO110" s="42" t="s">
        <v>123</v>
      </c>
      <c r="AP110" s="42" t="s">
        <v>123</v>
      </c>
      <c r="AQ110" s="42" t="s">
        <v>123</v>
      </c>
      <c r="AR110" s="42" t="s">
        <v>123</v>
      </c>
      <c r="AS110" s="45" t="str">
        <f aca="false">IF(AND(Z110="EUR",N(AA110)&gt;5000000),"Check currency (EUR&gt;5M); ","")&amp;IF(NOT(ISNUMBER(AA110)),"No price; ","")&amp;IF(G110="Not stated","Material missing; ","")&amp;IF(P110="Not stated","Seal missing; ","")&amp;IF(K110="","Size driver missing; ","")&amp;IF(NOT(ISNUMBER(AZ110)),"Base-year PPI missing; ","")</f>
        <v>Seal missing; </v>
      </c>
      <c r="AT110" s="48" t="n">
        <f aca="false">IFERROR(INDEX(Factors_ROT!$F$5:$F$200,MATCH("MAT|"&amp;G110,Factors_ROT!$A$5:$A$200,0)),1)</f>
        <v>1.9</v>
      </c>
      <c r="AU110" s="48" t="n">
        <f aca="false">IFERROR(INDEX(Factors_ROT!$F$5:$F$200,MATCH("SEAL_ARR|"&amp;P110,Factors_ROT!$A$5:$A$200,0)),1)*IFERROR(INDEX(Factors_ROT!$F$5:$F$200,MATCH("SEAL_CAT|"&amp;Q110,Factors_ROT!$A$5:$A$200,0)),1)*IFERROR(INDEX(Factors_ROT!$F$5:$F$200,MATCH("SEAL_PLAN|"&amp;R110,Factors_ROT!$A$5:$A$200,0)),1)</f>
        <v>1</v>
      </c>
      <c r="AV110" s="48" t="n">
        <f aca="false">IFERROR(INDEX(Factors_ROT!$F$5:$F$200,MATCH("DRV|"&amp;S110,Factors_ROT!$A$5:$A$200,0)),1)*IFERROR(INDEX(Factors_ROT!$F$5:$F$200,MATCH("NACE|"&amp;O110,Factors_ROT!$A$5:$A$200,0)),1)</f>
        <v>1.05</v>
      </c>
      <c r="AW110" s="48" t="n">
        <f aca="false">IFERROR(INDEX(Factors_ROT!$F$5:$F$200,MATCH("SC_DRV|"&amp;AL110,Factors_ROT!$A$5:$A$200,0)),1)*IFERROR(INDEX(Factors_ROT!$F$5:$F$200,MATCH("SC_BSP|"&amp;AM110,Factors_ROT!$A$5:$A$200,0)),1)*IFERROR(INDEX(Factors_ROT!$F$5:$F$200,MATCH("SC_SEAL|"&amp;AN110,Factors_ROT!$A$5:$A$200,0)),1)*IFERROR(INDEX(Factors_ROT!$F$5:$F$200,MATCH("SC_COMM|"&amp;AO110,Factors_ROT!$A$5:$A$200,0)),1)*IFERROR(INDEX(Factors_ROT!$F$5:$F$200,MATCH("SC_2Y|"&amp;AP110,Factors_ROT!$A$5:$A$200,0)),1)*IFERROR(INDEX(Factors_ROT!$F$5:$F$200,MATCH("SC_TPI|"&amp;AQ110,Factors_ROT!$A$5:$A$200,0)),1)*IFERROR(INDEX(Factors_ROT!$F$5:$F$200,MATCH("SC_FAT|"&amp;AR110,Factors_ROT!$A$5:$A$200,0)),1)</f>
        <v>1</v>
      </c>
      <c r="AX110" s="48" t="n">
        <f aca="false">AT110*AU110*AV110*AW110</f>
        <v>1.995</v>
      </c>
      <c r="AY110" s="47" t="n">
        <f aca="false">IF(ISNUMBER(AB110),AB110/AX110,"")</f>
        <v>14837.0927318296</v>
      </c>
      <c r="AZ110" s="49" t="n">
        <f aca="false">IFERROR(IF(N(INDEX(Escalation_Index!$B$5:$B$25,MATCH(Y110,Escalation_Index!$A$5:$A$25,0)))&gt;0,INDEX(Escalation_Index!$B$5:$B$25,MATCH(Y110,Escalation_Index!$A$5:$A$25,0)),""),"")</f>
        <v>123.416</v>
      </c>
      <c r="BA110" s="49" t="n">
        <f aca="false">IF(ISNUMBER('Assumptions &amp; FX Reference'!$I$12),'Assumptions &amp; FX Reference'!$I$12,"")</f>
        <v>123.416</v>
      </c>
      <c r="BB110" s="45" t="str">
        <f aca="false">IF(AND(M110="API 610",LEFT(V110,11)="Centrifugal",OR(LEFT(G110,2)="S-",LEFT(G110,2)="D-")),"Y","N")</f>
        <v>Y</v>
      </c>
      <c r="BC110" s="47" t="n">
        <f aca="false">IF(ISNUMBER(AG110),AG110/AX110,"")</f>
        <v>14837.0927318296</v>
      </c>
      <c r="BD110" s="47" t="n">
        <f aca="false">IF(AND(ISNUMBER(BC110),ISNUMBER(K110)),IF(K110&gt;0,BC110/K110^'Assumptions &amp; FX Reference'!$I$16,""),"")</f>
        <v>7112.17512400103</v>
      </c>
      <c r="BE110" s="42" t="s">
        <v>729</v>
      </c>
      <c r="BF110" s="42" t="s">
        <v>730</v>
      </c>
      <c r="BG110" s="42" t="s">
        <v>369</v>
      </c>
      <c r="BH110" s="45" t="s">
        <v>313</v>
      </c>
      <c r="BI110" s="45" t="str">
        <f aca="false">"PMP-"&amp;TEXT(A110,"0000")</f>
        <v>PMP-0106</v>
      </c>
    </row>
    <row r="111" customFormat="false" ht="24" hidden="false" customHeight="true" outlineLevel="0" collapsed="false">
      <c r="A111" s="42" t="n">
        <v>107</v>
      </c>
      <c r="B111" s="42" t="s">
        <v>731</v>
      </c>
      <c r="C111" s="42" t="s">
        <v>690</v>
      </c>
      <c r="D111" s="42" t="s">
        <v>732</v>
      </c>
      <c r="E111" s="42" t="s">
        <v>54</v>
      </c>
      <c r="F111" s="42" t="s">
        <v>132</v>
      </c>
      <c r="G111" s="42" t="s">
        <v>90</v>
      </c>
      <c r="H111" s="43" t="n">
        <v>15</v>
      </c>
      <c r="I111" s="43" t="n">
        <v>20</v>
      </c>
      <c r="J111" s="43"/>
      <c r="K111" s="44" t="n">
        <f aca="false">IF(ISNUMBER(J111),J111,IF(AND(ISNUMBER(H111),ISNUMBER(I111)),H111*I111/(367*'Assumptions &amp; FX Reference'!$I$17),""))</f>
        <v>1.36239782016349</v>
      </c>
      <c r="L111" s="45" t="str">
        <f aca="false">IF(IF(OR(M111="Not stated",M111=""),""," + "&amp;M111)&amp;IF(OR(N111="None",N111=""),""," + "&amp;N111)&amp;IF(O111="Y"," + NACE MR0175","")="","Not stated",MID(IF(OR(M111="Not stated",M111=""),""," + "&amp;M111)&amp;IF(OR(N111="None",N111=""),""," + "&amp;N111)&amp;IF(O111="Y"," + NACE MR0175",""),4,300))</f>
        <v>API 610 + IPS-G-PM-105</v>
      </c>
      <c r="M111" s="42" t="s">
        <v>478</v>
      </c>
      <c r="N111" s="42" t="s">
        <v>479</v>
      </c>
      <c r="O111" s="50" t="s">
        <v>312</v>
      </c>
      <c r="P111" s="42" t="s">
        <v>123</v>
      </c>
      <c r="Q111" s="42" t="s">
        <v>123</v>
      </c>
      <c r="R111" s="42" t="s">
        <v>123</v>
      </c>
      <c r="S111" s="50" t="s">
        <v>304</v>
      </c>
      <c r="T111" s="42" t="s">
        <v>342</v>
      </c>
      <c r="U111" s="42" t="n">
        <v>2</v>
      </c>
      <c r="V111" s="42" t="s">
        <v>306</v>
      </c>
      <c r="W111" s="43" t="n">
        <v>2.5</v>
      </c>
      <c r="X111" s="42" t="s">
        <v>123</v>
      </c>
      <c r="Y111" s="42" t="n">
        <v>1404</v>
      </c>
      <c r="Z111" s="42" t="s">
        <v>363</v>
      </c>
      <c r="AA111" s="46" t="n">
        <v>26250</v>
      </c>
      <c r="AB111" s="47" t="n">
        <f aca="false">IF(NOT(ISNUMBER(AA111)),"",IF(NOT(ISNUMBER(Y111)),"",IFERROR(IF(Z111="EUR",AA111,IF(Z111="IRR",AA111/INDEX('Assumptions &amp; FX Reference'!$C$5:$C$25,MATCH(Y111,'Assumptions &amp; FX Reference'!$A$5:$A$25,0)),IF(Z111="USD",AA111*INDEX('Assumptions &amp; FX Reference'!$B$5:$B$25,MATCH(Y111,'Assumptions &amp; FX Reference'!$A$5:$A$25,0))/INDEX('Assumptions &amp; FX Reference'!$C$5:$C$25,MATCH(Y111,'Assumptions &amp; FX Reference'!$A$5:$A$25,0)),""))),"")))</f>
        <v>26250</v>
      </c>
      <c r="AC111" s="47" t="n">
        <f aca="false">IF(NOT(ISNUMBER(AA111)),"",IF(NOT(ISNUMBER(Y111)),"",IFERROR(IF(Z111="USD",AA111,IF(Z111="IRR",AA111/INDEX('Assumptions &amp; FX Reference'!$B$5:$B$25,MATCH(Y111,'Assumptions &amp; FX Reference'!$A$5:$A$25,0)),IF(Z111="EUR",AA111*INDEX('Assumptions &amp; FX Reference'!$C$5:$C$25,MATCH(Y111,'Assumptions &amp; FX Reference'!$A$5:$A$25,0))/INDEX('Assumptions &amp; FX Reference'!$B$5:$B$25,MATCH(Y111,'Assumptions &amp; FX Reference'!$A$5:$A$25,0)),""))),"")))</f>
        <v>27714.3058889987</v>
      </c>
      <c r="AD111" s="47" t="n">
        <f aca="false">IF(NOT(ISNUMBER(AA111)),"",IF(NOT(ISNUMBER(Y111)),"",IFERROR(IF(Z111="IRR",AA111,IF(Z111="USD",AA111*INDEX('Assumptions &amp; FX Reference'!$B$5:$B$25,MATCH(Y111,'Assumptions &amp; FX Reference'!$A$5:$A$25,0)),IF(Z111="EUR",AA111*INDEX('Assumptions &amp; FX Reference'!$C$5:$C$25,MATCH(Y111,'Assumptions &amp; FX Reference'!$A$5:$A$25,0)),""))),"")))</f>
        <v>18250785000</v>
      </c>
      <c r="AE111" s="42" t="s">
        <v>692</v>
      </c>
      <c r="AF111" s="42" t="s">
        <v>208</v>
      </c>
      <c r="AG111" s="47" t="n">
        <f aca="false">IF(AND(Z111="EUR",N(AA111)&gt;5000000),"",IF(AND(ISNUMBER(AB111),ISNUMBER(AZ111),ISNUMBER(BA111)),IF(AND(BB111="Y",ISNUMBER('Assumptions &amp; FX Reference'!$I$15)),MAX(AB111*BA111/AZ111,'Assumptions &amp; FX Reference'!$I$13*BA111/'Assumptions &amp; FX Reference'!$I$15),AB111*BA111/AZ111),""))</f>
        <v>26250</v>
      </c>
      <c r="AH111" s="47" t="n">
        <f aca="false">IF(AND(ISNUMBER(AG111),ISNUMBER('Assumptions &amp; FX Reference'!$I$8),ISNUMBER('Assumptions &amp; FX Reference'!$I$11)),AG111*'Assumptions &amp; FX Reference'!$I$8/'Assumptions &amp; FX Reference'!$I$11,"")</f>
        <v>27714.3058889987</v>
      </c>
      <c r="AI111" s="47" t="n">
        <f aca="false">IF(AND(ISNUMBER(AG111),ISNUMBER('Assumptions &amp; FX Reference'!$I$8)),AG111*'Assumptions &amp; FX Reference'!$I$8,"")</f>
        <v>18250785000</v>
      </c>
      <c r="AJ111" s="42" t="s">
        <v>693</v>
      </c>
      <c r="AK111" s="42" t="s">
        <v>366</v>
      </c>
      <c r="AL111" s="42" t="s">
        <v>123</v>
      </c>
      <c r="AM111" s="42" t="s">
        <v>123</v>
      </c>
      <c r="AN111" s="42" t="s">
        <v>123</v>
      </c>
      <c r="AO111" s="42" t="s">
        <v>123</v>
      </c>
      <c r="AP111" s="42" t="s">
        <v>123</v>
      </c>
      <c r="AQ111" s="42" t="s">
        <v>123</v>
      </c>
      <c r="AR111" s="42" t="s">
        <v>123</v>
      </c>
      <c r="AS111" s="45" t="str">
        <f aca="false">IF(AND(Z111="EUR",N(AA111)&gt;5000000),"Check currency (EUR&gt;5M); ","")&amp;IF(NOT(ISNUMBER(AA111)),"No price; ","")&amp;IF(G111="Not stated","Material missing; ","")&amp;IF(P111="Not stated","Seal missing; ","")&amp;IF(K111="","Size driver missing; ","")&amp;IF(NOT(ISNUMBER(AZ111)),"Base-year PPI missing; ","")</f>
        <v>Seal missing; </v>
      </c>
      <c r="AT111" s="48" t="n">
        <f aca="false">IFERROR(INDEX(Factors_ROT!$F$5:$F$200,MATCH("MAT|"&amp;G111,Factors_ROT!$A$5:$A$200,0)),1)</f>
        <v>1.1</v>
      </c>
      <c r="AU111" s="48" t="n">
        <f aca="false">IFERROR(INDEX(Factors_ROT!$F$5:$F$200,MATCH("SEAL_ARR|"&amp;P111,Factors_ROT!$A$5:$A$200,0)),1)*IFERROR(INDEX(Factors_ROT!$F$5:$F$200,MATCH("SEAL_CAT|"&amp;Q111,Factors_ROT!$A$5:$A$200,0)),1)*IFERROR(INDEX(Factors_ROT!$F$5:$F$200,MATCH("SEAL_PLAN|"&amp;R111,Factors_ROT!$A$5:$A$200,0)),1)</f>
        <v>1</v>
      </c>
      <c r="AV111" s="48" t="n">
        <f aca="false">IFERROR(INDEX(Factors_ROT!$F$5:$F$200,MATCH("DRV|"&amp;S111,Factors_ROT!$A$5:$A$200,0)),1)*IFERROR(INDEX(Factors_ROT!$F$5:$F$200,MATCH("NACE|"&amp;O111,Factors_ROT!$A$5:$A$200,0)),1)</f>
        <v>1</v>
      </c>
      <c r="AW111" s="48" t="n">
        <f aca="false">IFERROR(INDEX(Factors_ROT!$F$5:$F$200,MATCH("SC_DRV|"&amp;AL111,Factors_ROT!$A$5:$A$200,0)),1)*IFERROR(INDEX(Factors_ROT!$F$5:$F$200,MATCH("SC_BSP|"&amp;AM111,Factors_ROT!$A$5:$A$200,0)),1)*IFERROR(INDEX(Factors_ROT!$F$5:$F$200,MATCH("SC_SEAL|"&amp;AN111,Factors_ROT!$A$5:$A$200,0)),1)*IFERROR(INDEX(Factors_ROT!$F$5:$F$200,MATCH("SC_COMM|"&amp;AO111,Factors_ROT!$A$5:$A$200,0)),1)*IFERROR(INDEX(Factors_ROT!$F$5:$F$200,MATCH("SC_2Y|"&amp;AP111,Factors_ROT!$A$5:$A$200,0)),1)*IFERROR(INDEX(Factors_ROT!$F$5:$F$200,MATCH("SC_TPI|"&amp;AQ111,Factors_ROT!$A$5:$A$200,0)),1)*IFERROR(INDEX(Factors_ROT!$F$5:$F$200,MATCH("SC_FAT|"&amp;AR111,Factors_ROT!$A$5:$A$200,0)),1)</f>
        <v>1</v>
      </c>
      <c r="AX111" s="48" t="n">
        <f aca="false">AT111*AU111*AV111*AW111</f>
        <v>1.1</v>
      </c>
      <c r="AY111" s="47" t="n">
        <f aca="false">IF(ISNUMBER(AB111),AB111/AX111,"")</f>
        <v>23863.6363636364</v>
      </c>
      <c r="AZ111" s="49" t="n">
        <f aca="false">IFERROR(IF(N(INDEX(Escalation_Index!$B$5:$B$25,MATCH(Y111,Escalation_Index!$A$5:$A$25,0)))&gt;0,INDEX(Escalation_Index!$B$5:$B$25,MATCH(Y111,Escalation_Index!$A$5:$A$25,0)),""),"")</f>
        <v>123.416</v>
      </c>
      <c r="BA111" s="49" t="n">
        <f aca="false">IF(ISNUMBER('Assumptions &amp; FX Reference'!$I$12),'Assumptions &amp; FX Reference'!$I$12,"")</f>
        <v>123.416</v>
      </c>
      <c r="BB111" s="45" t="str">
        <f aca="false">IF(AND(M111="API 610",LEFT(V111,11)="Centrifugal",OR(LEFT(G111,2)="S-",LEFT(G111,2)="D-")),"Y","N")</f>
        <v>Y</v>
      </c>
      <c r="BC111" s="47" t="n">
        <f aca="false">IF(ISNUMBER(AG111),AG111/AX111,"")</f>
        <v>23863.6363636364</v>
      </c>
      <c r="BD111" s="47" t="n">
        <f aca="false">IF(AND(ISNUMBER(BC111),ISNUMBER(K111)),IF(K111&gt;0,BC111/K111^'Assumptions &amp; FX Reference'!$I$16,""),"")</f>
        <v>19822.3097613737</v>
      </c>
      <c r="BE111" s="42" t="s">
        <v>733</v>
      </c>
      <c r="BF111" s="42" t="s">
        <v>734</v>
      </c>
      <c r="BG111" s="42" t="s">
        <v>369</v>
      </c>
      <c r="BH111" s="45" t="s">
        <v>313</v>
      </c>
      <c r="BI111" s="45" t="str">
        <f aca="false">"PMP-"&amp;TEXT(A111,"0000")</f>
        <v>PMP-0107</v>
      </c>
    </row>
    <row r="112" customFormat="false" ht="24" hidden="false" customHeight="true" outlineLevel="0" collapsed="false">
      <c r="A112" s="42" t="n">
        <v>108</v>
      </c>
      <c r="B112" s="42" t="s">
        <v>635</v>
      </c>
      <c r="C112" s="42" t="s">
        <v>690</v>
      </c>
      <c r="D112" s="42" t="s">
        <v>735</v>
      </c>
      <c r="E112" s="42" t="s">
        <v>57</v>
      </c>
      <c r="F112" s="42" t="s">
        <v>192</v>
      </c>
      <c r="G112" s="42" t="s">
        <v>78</v>
      </c>
      <c r="H112" s="43" t="n">
        <v>10</v>
      </c>
      <c r="I112" s="43" t="n">
        <v>21</v>
      </c>
      <c r="J112" s="43"/>
      <c r="K112" s="44" t="n">
        <f aca="false">IF(ISNUMBER(J112),J112,IF(AND(ISNUMBER(H112),ISNUMBER(I112)),H112*I112/(367*'Assumptions &amp; FX Reference'!$I$17),""))</f>
        <v>0.953678474114442</v>
      </c>
      <c r="L112" s="45" t="str">
        <f aca="false">IF(IF(OR(M112="Not stated",M112=""),""," + "&amp;M112)&amp;IF(OR(N112="None",N112=""),""," + "&amp;N112)&amp;IF(O112="Y"," + NACE MR0175","")="","Not stated",MID(IF(OR(M112="Not stated",M112=""),""," + "&amp;M112)&amp;IF(OR(N112="None",N112=""),""," + "&amp;N112)&amp;IF(O112="Y"," + NACE MR0175",""),4,300))</f>
        <v>ISO 5199 + IPS-M-PM-115</v>
      </c>
      <c r="M112" s="42" t="s">
        <v>623</v>
      </c>
      <c r="N112" s="42" t="s">
        <v>624</v>
      </c>
      <c r="O112" s="50" t="s">
        <v>312</v>
      </c>
      <c r="P112" s="42" t="s">
        <v>123</v>
      </c>
      <c r="Q112" s="42" t="s">
        <v>123</v>
      </c>
      <c r="R112" s="42" t="s">
        <v>123</v>
      </c>
      <c r="S112" s="50" t="s">
        <v>304</v>
      </c>
      <c r="T112" s="42" t="s">
        <v>346</v>
      </c>
      <c r="U112" s="42" t="n">
        <v>1</v>
      </c>
      <c r="V112" s="42" t="s">
        <v>306</v>
      </c>
      <c r="W112" s="43" t="n">
        <v>2</v>
      </c>
      <c r="X112" s="42" t="s">
        <v>123</v>
      </c>
      <c r="Y112" s="42" t="n">
        <v>1404</v>
      </c>
      <c r="Z112" s="42" t="s">
        <v>363</v>
      </c>
      <c r="AA112" s="46" t="n">
        <v>21000</v>
      </c>
      <c r="AB112" s="47" t="n">
        <f aca="false">IF(NOT(ISNUMBER(AA112)),"",IF(NOT(ISNUMBER(Y112)),"",IFERROR(IF(Z112="EUR",AA112,IF(Z112="IRR",AA112/INDEX('Assumptions &amp; FX Reference'!$C$5:$C$25,MATCH(Y112,'Assumptions &amp; FX Reference'!$A$5:$A$25,0)),IF(Z112="USD",AA112*INDEX('Assumptions &amp; FX Reference'!$B$5:$B$25,MATCH(Y112,'Assumptions &amp; FX Reference'!$A$5:$A$25,0))/INDEX('Assumptions &amp; FX Reference'!$C$5:$C$25,MATCH(Y112,'Assumptions &amp; FX Reference'!$A$5:$A$25,0)),""))),"")))</f>
        <v>21000</v>
      </c>
      <c r="AC112" s="47" t="n">
        <f aca="false">IF(NOT(ISNUMBER(AA112)),"",IF(NOT(ISNUMBER(Y112)),"",IFERROR(IF(Z112="USD",AA112,IF(Z112="IRR",AA112/INDEX('Assumptions &amp; FX Reference'!$B$5:$B$25,MATCH(Y112,'Assumptions &amp; FX Reference'!$A$5:$A$25,0)),IF(Z112="EUR",AA112*INDEX('Assumptions &amp; FX Reference'!$C$5:$C$25,MATCH(Y112,'Assumptions &amp; FX Reference'!$A$5:$A$25,0))/INDEX('Assumptions &amp; FX Reference'!$B$5:$B$25,MATCH(Y112,'Assumptions &amp; FX Reference'!$A$5:$A$25,0)),""))),"")))</f>
        <v>22171.444711199</v>
      </c>
      <c r="AD112" s="47" t="n">
        <f aca="false">IF(NOT(ISNUMBER(AA112)),"",IF(NOT(ISNUMBER(Y112)),"",IFERROR(IF(Z112="IRR",AA112,IF(Z112="USD",AA112*INDEX('Assumptions &amp; FX Reference'!$B$5:$B$25,MATCH(Y112,'Assumptions &amp; FX Reference'!$A$5:$A$25,0)),IF(Z112="EUR",AA112*INDEX('Assumptions &amp; FX Reference'!$C$5:$C$25,MATCH(Y112,'Assumptions &amp; FX Reference'!$A$5:$A$25,0)),""))),"")))</f>
        <v>14600628000</v>
      </c>
      <c r="AE112" s="42" t="s">
        <v>692</v>
      </c>
      <c r="AF112" s="42" t="s">
        <v>208</v>
      </c>
      <c r="AG112" s="47" t="n">
        <f aca="false">IF(AND(Z112="EUR",N(AA112)&gt;5000000),"",IF(AND(ISNUMBER(AB112),ISNUMBER(AZ112),ISNUMBER(BA112)),IF(AND(BB112="Y",ISNUMBER('Assumptions &amp; FX Reference'!$I$15)),MAX(AB112*BA112/AZ112,'Assumptions &amp; FX Reference'!$I$13*BA112/'Assumptions &amp; FX Reference'!$I$15),AB112*BA112/AZ112),""))</f>
        <v>21000</v>
      </c>
      <c r="AH112" s="47" t="n">
        <f aca="false">IF(AND(ISNUMBER(AG112),ISNUMBER('Assumptions &amp; FX Reference'!$I$8),ISNUMBER('Assumptions &amp; FX Reference'!$I$11)),AG112*'Assumptions &amp; FX Reference'!$I$8/'Assumptions &amp; FX Reference'!$I$11,"")</f>
        <v>22171.444711199</v>
      </c>
      <c r="AI112" s="47" t="n">
        <f aca="false">IF(AND(ISNUMBER(AG112),ISNUMBER('Assumptions &amp; FX Reference'!$I$8)),AG112*'Assumptions &amp; FX Reference'!$I$8,"")</f>
        <v>14600628000</v>
      </c>
      <c r="AJ112" s="42" t="s">
        <v>693</v>
      </c>
      <c r="AK112" s="42" t="s">
        <v>366</v>
      </c>
      <c r="AL112" s="42" t="s">
        <v>123</v>
      </c>
      <c r="AM112" s="42" t="s">
        <v>123</v>
      </c>
      <c r="AN112" s="42" t="s">
        <v>123</v>
      </c>
      <c r="AO112" s="42" t="s">
        <v>123</v>
      </c>
      <c r="AP112" s="42" t="s">
        <v>123</v>
      </c>
      <c r="AQ112" s="42" t="s">
        <v>123</v>
      </c>
      <c r="AR112" s="42" t="s">
        <v>123</v>
      </c>
      <c r="AS112" s="45" t="str">
        <f aca="false">IF(AND(Z112="EUR",N(AA112)&gt;5000000),"Check currency (EUR&gt;5M); ","")&amp;IF(NOT(ISNUMBER(AA112)),"No price; ","")&amp;IF(G112="Not stated","Material missing; ","")&amp;IF(P112="Not stated","Seal missing; ","")&amp;IF(K112="","Size driver missing; ","")&amp;IF(NOT(ISNUMBER(AZ112)),"Base-year PPI missing; ","")</f>
        <v>Seal missing; </v>
      </c>
      <c r="AT112" s="48" t="n">
        <f aca="false">IFERROR(INDEX(Factors_ROT!$F$5:$F$200,MATCH("MAT|"&amp;G112,Factors_ROT!$A$5:$A$200,0)),1)</f>
        <v>0.9</v>
      </c>
      <c r="AU112" s="48" t="n">
        <f aca="false">IFERROR(INDEX(Factors_ROT!$F$5:$F$200,MATCH("SEAL_ARR|"&amp;P112,Factors_ROT!$A$5:$A$200,0)),1)*IFERROR(INDEX(Factors_ROT!$F$5:$F$200,MATCH("SEAL_CAT|"&amp;Q112,Factors_ROT!$A$5:$A$200,0)),1)*IFERROR(INDEX(Factors_ROT!$F$5:$F$200,MATCH("SEAL_PLAN|"&amp;R112,Factors_ROT!$A$5:$A$200,0)),1)</f>
        <v>1</v>
      </c>
      <c r="AV112" s="48" t="n">
        <f aca="false">IFERROR(INDEX(Factors_ROT!$F$5:$F$200,MATCH("DRV|"&amp;S112,Factors_ROT!$A$5:$A$200,0)),1)*IFERROR(INDEX(Factors_ROT!$F$5:$F$200,MATCH("NACE|"&amp;O112,Factors_ROT!$A$5:$A$200,0)),1)</f>
        <v>1</v>
      </c>
      <c r="AW112" s="48" t="n">
        <f aca="false">IFERROR(INDEX(Factors_ROT!$F$5:$F$200,MATCH("SC_DRV|"&amp;AL112,Factors_ROT!$A$5:$A$200,0)),1)*IFERROR(INDEX(Factors_ROT!$F$5:$F$200,MATCH("SC_BSP|"&amp;AM112,Factors_ROT!$A$5:$A$200,0)),1)*IFERROR(INDEX(Factors_ROT!$F$5:$F$200,MATCH("SC_SEAL|"&amp;AN112,Factors_ROT!$A$5:$A$200,0)),1)*IFERROR(INDEX(Factors_ROT!$F$5:$F$200,MATCH("SC_COMM|"&amp;AO112,Factors_ROT!$A$5:$A$200,0)),1)*IFERROR(INDEX(Factors_ROT!$F$5:$F$200,MATCH("SC_2Y|"&amp;AP112,Factors_ROT!$A$5:$A$200,0)),1)*IFERROR(INDEX(Factors_ROT!$F$5:$F$200,MATCH("SC_TPI|"&amp;AQ112,Factors_ROT!$A$5:$A$200,0)),1)*IFERROR(INDEX(Factors_ROT!$F$5:$F$200,MATCH("SC_FAT|"&amp;AR112,Factors_ROT!$A$5:$A$200,0)),1)</f>
        <v>1</v>
      </c>
      <c r="AX112" s="48" t="n">
        <f aca="false">AT112*AU112*AV112*AW112</f>
        <v>0.9</v>
      </c>
      <c r="AY112" s="47" t="n">
        <f aca="false">IF(ISNUMBER(AB112),AB112/AX112,"")</f>
        <v>23333.3333333333</v>
      </c>
      <c r="AZ112" s="49" t="n">
        <f aca="false">IFERROR(IF(N(INDEX(Escalation_Index!$B$5:$B$25,MATCH(Y112,Escalation_Index!$A$5:$A$25,0)))&gt;0,INDEX(Escalation_Index!$B$5:$B$25,MATCH(Y112,Escalation_Index!$A$5:$A$25,0)),""),"")</f>
        <v>123.416</v>
      </c>
      <c r="BA112" s="49" t="n">
        <f aca="false">IF(ISNUMBER('Assumptions &amp; FX Reference'!$I$12),'Assumptions &amp; FX Reference'!$I$12,"")</f>
        <v>123.416</v>
      </c>
      <c r="BB112" s="45" t="str">
        <f aca="false">IF(AND(M112="API 610",LEFT(V112,11)="Centrifugal",OR(LEFT(G112,2)="S-",LEFT(G112,2)="D-")),"Y","N")</f>
        <v>N</v>
      </c>
      <c r="BC112" s="47" t="n">
        <f aca="false">IF(ISNUMBER(AG112),AG112/AX112,"")</f>
        <v>23333.3333333333</v>
      </c>
      <c r="BD112" s="47" t="n">
        <f aca="false">IF(AND(ISNUMBER(BC112),ISNUMBER(K112)),IF(K112&gt;0,BC112/K112^'Assumptions &amp; FX Reference'!$I$16,""),"")</f>
        <v>24006.8731241987</v>
      </c>
      <c r="BE112" s="42" t="s">
        <v>736</v>
      </c>
      <c r="BF112" s="42" t="s">
        <v>737</v>
      </c>
      <c r="BG112" s="42" t="s">
        <v>369</v>
      </c>
      <c r="BH112" s="45" t="s">
        <v>313</v>
      </c>
      <c r="BI112" s="45" t="str">
        <f aca="false">"PMP-"&amp;TEXT(A112,"0000")</f>
        <v>PMP-0108</v>
      </c>
    </row>
    <row r="113" customFormat="false" ht="24" hidden="false" customHeight="true" outlineLevel="0" collapsed="false">
      <c r="A113" s="42" t="n">
        <v>109</v>
      </c>
      <c r="B113" s="42" t="s">
        <v>657</v>
      </c>
      <c r="C113" s="42" t="s">
        <v>690</v>
      </c>
      <c r="D113" s="42" t="s">
        <v>738</v>
      </c>
      <c r="E113" s="42" t="s">
        <v>60</v>
      </c>
      <c r="F113" s="42" t="s">
        <v>192</v>
      </c>
      <c r="G113" s="42" t="s">
        <v>74</v>
      </c>
      <c r="H113" s="43" t="n">
        <v>33</v>
      </c>
      <c r="I113" s="43" t="n">
        <v>31</v>
      </c>
      <c r="J113" s="43"/>
      <c r="K113" s="44" t="n">
        <f aca="false">IF(ISNUMBER(J113),J113,IF(AND(ISNUMBER(H113),ISNUMBER(I113)),H113*I113/(367*'Assumptions &amp; FX Reference'!$I$17),""))</f>
        <v>4.64577656675749</v>
      </c>
      <c r="L113" s="45" t="str">
        <f aca="false">IF(IF(OR(M113="Not stated",M113=""),""," + "&amp;M113)&amp;IF(OR(N113="None",N113=""),""," + "&amp;N113)&amp;IF(O113="Y"," + NACE MR0175","")="","Not stated",MID(IF(OR(M113="Not stated",M113=""),""," + "&amp;M113)&amp;IF(OR(N113="None",N113=""),""," + "&amp;N113)&amp;IF(O113="Y"," + NACE MR0175",""),4,300))</f>
        <v>ISO 5199 + IPS-M-PM-115</v>
      </c>
      <c r="M113" s="42" t="s">
        <v>623</v>
      </c>
      <c r="N113" s="42" t="s">
        <v>624</v>
      </c>
      <c r="O113" s="50" t="s">
        <v>312</v>
      </c>
      <c r="P113" s="42" t="s">
        <v>123</v>
      </c>
      <c r="Q113" s="42" t="s">
        <v>123</v>
      </c>
      <c r="R113" s="42" t="s">
        <v>123</v>
      </c>
      <c r="S113" s="50" t="s">
        <v>304</v>
      </c>
      <c r="T113" s="42" t="s">
        <v>453</v>
      </c>
      <c r="U113" s="42" t="n">
        <v>1</v>
      </c>
      <c r="V113" s="42" t="s">
        <v>306</v>
      </c>
      <c r="W113" s="43" t="n">
        <v>2.9</v>
      </c>
      <c r="X113" s="42" t="s">
        <v>123</v>
      </c>
      <c r="Y113" s="42" t="n">
        <v>1404</v>
      </c>
      <c r="Z113" s="42" t="s">
        <v>363</v>
      </c>
      <c r="AA113" s="46" t="n">
        <v>16000</v>
      </c>
      <c r="AB113" s="47" t="n">
        <f aca="false">IF(NOT(ISNUMBER(AA113)),"",IF(NOT(ISNUMBER(Y113)),"",IFERROR(IF(Z113="EUR",AA113,IF(Z113="IRR",AA113/INDEX('Assumptions &amp; FX Reference'!$C$5:$C$25,MATCH(Y113,'Assumptions &amp; FX Reference'!$A$5:$A$25,0)),IF(Z113="USD",AA113*INDEX('Assumptions &amp; FX Reference'!$B$5:$B$25,MATCH(Y113,'Assumptions &amp; FX Reference'!$A$5:$A$25,0))/INDEX('Assumptions &amp; FX Reference'!$C$5:$C$25,MATCH(Y113,'Assumptions &amp; FX Reference'!$A$5:$A$25,0)),""))),"")))</f>
        <v>16000</v>
      </c>
      <c r="AC113" s="47" t="n">
        <f aca="false">IF(NOT(ISNUMBER(AA113)),"",IF(NOT(ISNUMBER(Y113)),"",IFERROR(IF(Z113="USD",AA113,IF(Z113="IRR",AA113/INDEX('Assumptions &amp; FX Reference'!$B$5:$B$25,MATCH(Y113,'Assumptions &amp; FX Reference'!$A$5:$A$25,0)),IF(Z113="EUR",AA113*INDEX('Assumptions &amp; FX Reference'!$C$5:$C$25,MATCH(Y113,'Assumptions &amp; FX Reference'!$A$5:$A$25,0))/INDEX('Assumptions &amp; FX Reference'!$B$5:$B$25,MATCH(Y113,'Assumptions &amp; FX Reference'!$A$5:$A$25,0)),""))),"")))</f>
        <v>16892.5293037707</v>
      </c>
      <c r="AD113" s="47" t="n">
        <f aca="false">IF(NOT(ISNUMBER(AA113)),"",IF(NOT(ISNUMBER(Y113)),"",IFERROR(IF(Z113="IRR",AA113,IF(Z113="USD",AA113*INDEX('Assumptions &amp; FX Reference'!$B$5:$B$25,MATCH(Y113,'Assumptions &amp; FX Reference'!$A$5:$A$25,0)),IF(Z113="EUR",AA113*INDEX('Assumptions &amp; FX Reference'!$C$5:$C$25,MATCH(Y113,'Assumptions &amp; FX Reference'!$A$5:$A$25,0)),""))),"")))</f>
        <v>11124288000</v>
      </c>
      <c r="AE113" s="42" t="s">
        <v>692</v>
      </c>
      <c r="AF113" s="42" t="s">
        <v>208</v>
      </c>
      <c r="AG113" s="47" t="n">
        <f aca="false">IF(AND(Z113="EUR",N(AA113)&gt;5000000),"",IF(AND(ISNUMBER(AB113),ISNUMBER(AZ113),ISNUMBER(BA113)),IF(AND(BB113="Y",ISNUMBER('Assumptions &amp; FX Reference'!$I$15)),MAX(AB113*BA113/AZ113,'Assumptions &amp; FX Reference'!$I$13*BA113/'Assumptions &amp; FX Reference'!$I$15),AB113*BA113/AZ113),""))</f>
        <v>16000</v>
      </c>
      <c r="AH113" s="47" t="n">
        <f aca="false">IF(AND(ISNUMBER(AG113),ISNUMBER('Assumptions &amp; FX Reference'!$I$8),ISNUMBER('Assumptions &amp; FX Reference'!$I$11)),AG113*'Assumptions &amp; FX Reference'!$I$8/'Assumptions &amp; FX Reference'!$I$11,"")</f>
        <v>16892.5293037707</v>
      </c>
      <c r="AI113" s="47" t="n">
        <f aca="false">IF(AND(ISNUMBER(AG113),ISNUMBER('Assumptions &amp; FX Reference'!$I$8)),AG113*'Assumptions &amp; FX Reference'!$I$8,"")</f>
        <v>11124288000</v>
      </c>
      <c r="AJ113" s="42" t="s">
        <v>693</v>
      </c>
      <c r="AK113" s="42" t="s">
        <v>366</v>
      </c>
      <c r="AL113" s="42" t="s">
        <v>123</v>
      </c>
      <c r="AM113" s="42" t="s">
        <v>123</v>
      </c>
      <c r="AN113" s="42" t="s">
        <v>123</v>
      </c>
      <c r="AO113" s="42" t="s">
        <v>123</v>
      </c>
      <c r="AP113" s="42" t="s">
        <v>123</v>
      </c>
      <c r="AQ113" s="42" t="s">
        <v>123</v>
      </c>
      <c r="AR113" s="42" t="s">
        <v>123</v>
      </c>
      <c r="AS113" s="45" t="str">
        <f aca="false">IF(AND(Z113="EUR",N(AA113)&gt;5000000),"Check currency (EUR&gt;5M); ","")&amp;IF(NOT(ISNUMBER(AA113)),"No price; ","")&amp;IF(G113="Not stated","Material missing; ","")&amp;IF(P113="Not stated","Seal missing; ","")&amp;IF(K113="","Size driver missing; ","")&amp;IF(NOT(ISNUMBER(AZ113)),"Base-year PPI missing; ","")</f>
        <v>Seal missing; </v>
      </c>
      <c r="AT113" s="48" t="n">
        <f aca="false">IFERROR(INDEX(Factors_ROT!$F$5:$F$200,MATCH("MAT|"&amp;G113,Factors_ROT!$A$5:$A$200,0)),1)</f>
        <v>0.8</v>
      </c>
      <c r="AU113" s="48" t="n">
        <f aca="false">IFERROR(INDEX(Factors_ROT!$F$5:$F$200,MATCH("SEAL_ARR|"&amp;P113,Factors_ROT!$A$5:$A$200,0)),1)*IFERROR(INDEX(Factors_ROT!$F$5:$F$200,MATCH("SEAL_CAT|"&amp;Q113,Factors_ROT!$A$5:$A$200,0)),1)*IFERROR(INDEX(Factors_ROT!$F$5:$F$200,MATCH("SEAL_PLAN|"&amp;R113,Factors_ROT!$A$5:$A$200,0)),1)</f>
        <v>1</v>
      </c>
      <c r="AV113" s="48" t="n">
        <f aca="false">IFERROR(INDEX(Factors_ROT!$F$5:$F$200,MATCH("DRV|"&amp;S113,Factors_ROT!$A$5:$A$200,0)),1)*IFERROR(INDEX(Factors_ROT!$F$5:$F$200,MATCH("NACE|"&amp;O113,Factors_ROT!$A$5:$A$200,0)),1)</f>
        <v>1</v>
      </c>
      <c r="AW113" s="48" t="n">
        <f aca="false">IFERROR(INDEX(Factors_ROT!$F$5:$F$200,MATCH("SC_DRV|"&amp;AL113,Factors_ROT!$A$5:$A$200,0)),1)*IFERROR(INDEX(Factors_ROT!$F$5:$F$200,MATCH("SC_BSP|"&amp;AM113,Factors_ROT!$A$5:$A$200,0)),1)*IFERROR(INDEX(Factors_ROT!$F$5:$F$200,MATCH("SC_SEAL|"&amp;AN113,Factors_ROT!$A$5:$A$200,0)),1)*IFERROR(INDEX(Factors_ROT!$F$5:$F$200,MATCH("SC_COMM|"&amp;AO113,Factors_ROT!$A$5:$A$200,0)),1)*IFERROR(INDEX(Factors_ROT!$F$5:$F$200,MATCH("SC_2Y|"&amp;AP113,Factors_ROT!$A$5:$A$200,0)),1)*IFERROR(INDEX(Factors_ROT!$F$5:$F$200,MATCH("SC_TPI|"&amp;AQ113,Factors_ROT!$A$5:$A$200,0)),1)*IFERROR(INDEX(Factors_ROT!$F$5:$F$200,MATCH("SC_FAT|"&amp;AR113,Factors_ROT!$A$5:$A$200,0)),1)</f>
        <v>1</v>
      </c>
      <c r="AX113" s="48" t="n">
        <f aca="false">AT113*AU113*AV113*AW113</f>
        <v>0.8</v>
      </c>
      <c r="AY113" s="47" t="n">
        <f aca="false">IF(ISNUMBER(AB113),AB113/AX113,"")</f>
        <v>20000</v>
      </c>
      <c r="AZ113" s="49" t="n">
        <f aca="false">IFERROR(IF(N(INDEX(Escalation_Index!$B$5:$B$25,MATCH(Y113,Escalation_Index!$A$5:$A$25,0)))&gt;0,INDEX(Escalation_Index!$B$5:$B$25,MATCH(Y113,Escalation_Index!$A$5:$A$25,0)),""),"")</f>
        <v>123.416</v>
      </c>
      <c r="BA113" s="49" t="n">
        <f aca="false">IF(ISNUMBER('Assumptions &amp; FX Reference'!$I$12),'Assumptions &amp; FX Reference'!$I$12,"")</f>
        <v>123.416</v>
      </c>
      <c r="BB113" s="45" t="str">
        <f aca="false">IF(AND(M113="API 610",LEFT(V113,11)="Centrifugal",OR(LEFT(G113,2)="S-",LEFT(G113,2)="D-")),"Y","N")</f>
        <v>N</v>
      </c>
      <c r="BC113" s="47" t="n">
        <f aca="false">IF(ISNUMBER(AG113),AG113/AX113,"")</f>
        <v>20000</v>
      </c>
      <c r="BD113" s="47" t="n">
        <f aca="false">IF(AND(ISNUMBER(BC113),ISNUMBER(K113)),IF(K113&gt;0,BC113/K113^'Assumptions &amp; FX Reference'!$I$16,""),"")</f>
        <v>7957.83635775878</v>
      </c>
      <c r="BE113" s="42" t="s">
        <v>739</v>
      </c>
      <c r="BF113" s="42" t="s">
        <v>740</v>
      </c>
      <c r="BG113" s="42" t="s">
        <v>369</v>
      </c>
      <c r="BH113" s="45" t="s">
        <v>313</v>
      </c>
      <c r="BI113" s="45" t="str">
        <f aca="false">"PMP-"&amp;TEXT(A113,"0000")</f>
        <v>PMP-0109</v>
      </c>
    </row>
    <row r="114" customFormat="false" ht="24" hidden="false" customHeight="true" outlineLevel="0" collapsed="false">
      <c r="A114" s="42" t="n">
        <v>110</v>
      </c>
      <c r="B114" s="42" t="s">
        <v>643</v>
      </c>
      <c r="C114" s="42" t="s">
        <v>690</v>
      </c>
      <c r="D114" s="42" t="s">
        <v>741</v>
      </c>
      <c r="E114" s="42" t="s">
        <v>60</v>
      </c>
      <c r="F114" s="42" t="s">
        <v>186</v>
      </c>
      <c r="G114" s="42" t="s">
        <v>74</v>
      </c>
      <c r="H114" s="43" t="n">
        <v>825</v>
      </c>
      <c r="I114" s="43" t="n">
        <v>107</v>
      </c>
      <c r="J114" s="43"/>
      <c r="K114" s="44" t="n">
        <f aca="false">IF(ISNUMBER(J114),J114,IF(AND(ISNUMBER(H114),ISNUMBER(I114)),H114*I114/(367*'Assumptions &amp; FX Reference'!$I$17),""))</f>
        <v>400.885558583106</v>
      </c>
      <c r="L114" s="45" t="str">
        <f aca="false">IF(IF(OR(M114="Not stated",M114=""),""," + "&amp;M114)&amp;IF(OR(N114="None",N114=""),""," + "&amp;N114)&amp;IF(O114="Y"," + NACE MR0175","")="","Not stated",MID(IF(OR(M114="Not stated",M114=""),""," + "&amp;M114)&amp;IF(OR(N114="None",N114=""),""," + "&amp;N114)&amp;IF(O114="Y"," + NACE MR0175",""),4,300))</f>
        <v>NFPA 20 + IPS-M-PM-125</v>
      </c>
      <c r="M114" s="42" t="s">
        <v>645</v>
      </c>
      <c r="N114" s="42" t="s">
        <v>646</v>
      </c>
      <c r="O114" s="50" t="s">
        <v>312</v>
      </c>
      <c r="P114" s="42" t="s">
        <v>123</v>
      </c>
      <c r="Q114" s="42" t="s">
        <v>123</v>
      </c>
      <c r="R114" s="42" t="s">
        <v>123</v>
      </c>
      <c r="S114" s="42" t="s">
        <v>304</v>
      </c>
      <c r="T114" s="42" t="s">
        <v>453</v>
      </c>
      <c r="U114" s="42" t="n">
        <v>1</v>
      </c>
      <c r="V114" s="42" t="s">
        <v>306</v>
      </c>
      <c r="W114" s="43" t="n">
        <v>11.3</v>
      </c>
      <c r="X114" s="42" t="s">
        <v>123</v>
      </c>
      <c r="Y114" s="42" t="n">
        <v>1404</v>
      </c>
      <c r="Z114" s="42" t="s">
        <v>363</v>
      </c>
      <c r="AA114" s="46" t="n">
        <v>309660.11</v>
      </c>
      <c r="AB114" s="47" t="n">
        <f aca="false">IF(NOT(ISNUMBER(AA114)),"",IF(NOT(ISNUMBER(Y114)),"",IFERROR(IF(Z114="EUR",AA114,IF(Z114="IRR",AA114/INDEX('Assumptions &amp; FX Reference'!$C$5:$C$25,MATCH(Y114,'Assumptions &amp; FX Reference'!$A$5:$A$25,0)),IF(Z114="USD",AA114*INDEX('Assumptions &amp; FX Reference'!$B$5:$B$25,MATCH(Y114,'Assumptions &amp; FX Reference'!$A$5:$A$25,0))/INDEX('Assumptions &amp; FX Reference'!$C$5:$C$25,MATCH(Y114,'Assumptions &amp; FX Reference'!$A$5:$A$25,0)),""))),"")))</f>
        <v>309660.11</v>
      </c>
      <c r="AC114" s="47" t="n">
        <f aca="false">IF(NOT(ISNUMBER(AA114)),"",IF(NOT(ISNUMBER(Y114)),"",IFERROR(IF(Z114="USD",AA114,IF(Z114="IRR",AA114/INDEX('Assumptions &amp; FX Reference'!$B$5:$B$25,MATCH(Y114,'Assumptions &amp; FX Reference'!$A$5:$A$25,0)),IF(Z114="EUR",AA114*INDEX('Assumptions &amp; FX Reference'!$C$5:$C$25,MATCH(Y114,'Assumptions &amp; FX Reference'!$A$5:$A$25,0))/INDEX('Assumptions &amp; FX Reference'!$B$5:$B$25,MATCH(Y114,'Assumptions &amp; FX Reference'!$A$5:$A$25,0)),""))),"")))</f>
        <v>326933.90514899</v>
      </c>
      <c r="AD114" s="47" t="n">
        <f aca="false">IF(NOT(ISNUMBER(AA114)),"",IF(NOT(ISNUMBER(Y114)),"",IFERROR(IF(Z114="IRR",AA114,IF(Z114="USD",AA114*INDEX('Assumptions &amp; FX Reference'!$B$5:$B$25,MATCH(Y114,'Assumptions &amp; FX Reference'!$A$5:$A$25,0)),IF(Z114="EUR",AA114*INDEX('Assumptions &amp; FX Reference'!$C$5:$C$25,MATCH(Y114,'Assumptions &amp; FX Reference'!$A$5:$A$25,0)),""))),"")))</f>
        <v>215296765359.48</v>
      </c>
      <c r="AE114" s="42" t="s">
        <v>742</v>
      </c>
      <c r="AF114" s="42" t="s">
        <v>208</v>
      </c>
      <c r="AG114" s="47" t="n">
        <f aca="false">IF(AND(Z114="EUR",N(AA114)&gt;5000000),"",IF(AND(ISNUMBER(AB114),ISNUMBER(AZ114),ISNUMBER(BA114)),IF(AND(BB114="Y",ISNUMBER('Assumptions &amp; FX Reference'!$I$15)),MAX(AB114*BA114/AZ114,'Assumptions &amp; FX Reference'!$I$13*BA114/'Assumptions &amp; FX Reference'!$I$15),AB114*BA114/AZ114),""))</f>
        <v>309660.11</v>
      </c>
      <c r="AH114" s="47" t="n">
        <f aca="false">IF(AND(ISNUMBER(AG114),ISNUMBER('Assumptions &amp; FX Reference'!$I$8),ISNUMBER('Assumptions &amp; FX Reference'!$I$11)),AG114*'Assumptions &amp; FX Reference'!$I$8/'Assumptions &amp; FX Reference'!$I$11,"")</f>
        <v>326933.90514899</v>
      </c>
      <c r="AI114" s="47" t="n">
        <f aca="false">IF(AND(ISNUMBER(AG114),ISNUMBER('Assumptions &amp; FX Reference'!$I$8)),AG114*'Assumptions &amp; FX Reference'!$I$8,"")</f>
        <v>215296765359.48</v>
      </c>
      <c r="AJ114" s="42" t="s">
        <v>693</v>
      </c>
      <c r="AK114" s="42" t="s">
        <v>366</v>
      </c>
      <c r="AL114" s="42" t="s">
        <v>123</v>
      </c>
      <c r="AM114" s="42" t="s">
        <v>123</v>
      </c>
      <c r="AN114" s="42" t="s">
        <v>123</v>
      </c>
      <c r="AO114" s="42" t="s">
        <v>123</v>
      </c>
      <c r="AP114" s="42" t="s">
        <v>123</v>
      </c>
      <c r="AQ114" s="42" t="s">
        <v>123</v>
      </c>
      <c r="AR114" s="42" t="s">
        <v>123</v>
      </c>
      <c r="AS114" s="45" t="str">
        <f aca="false">IF(AND(Z114="EUR",N(AA114)&gt;5000000),"Check currency (EUR&gt;5M); ","")&amp;IF(NOT(ISNUMBER(AA114)),"No price; ","")&amp;IF(G114="Not stated","Material missing; ","")&amp;IF(P114="Not stated","Seal missing; ","")&amp;IF(K114="","Size driver missing; ","")&amp;IF(NOT(ISNUMBER(AZ114)),"Base-year PPI missing; ","")</f>
        <v>Seal missing; </v>
      </c>
      <c r="AT114" s="48" t="n">
        <f aca="false">IFERROR(INDEX(Factors_ROT!$F$5:$F$200,MATCH("MAT|"&amp;G114,Factors_ROT!$A$5:$A$200,0)),1)</f>
        <v>0.8</v>
      </c>
      <c r="AU114" s="48" t="n">
        <f aca="false">IFERROR(INDEX(Factors_ROT!$F$5:$F$200,MATCH("SEAL_ARR|"&amp;P114,Factors_ROT!$A$5:$A$200,0)),1)*IFERROR(INDEX(Factors_ROT!$F$5:$F$200,MATCH("SEAL_CAT|"&amp;Q114,Factors_ROT!$A$5:$A$200,0)),1)*IFERROR(INDEX(Factors_ROT!$F$5:$F$200,MATCH("SEAL_PLAN|"&amp;R114,Factors_ROT!$A$5:$A$200,0)),1)</f>
        <v>1</v>
      </c>
      <c r="AV114" s="48" t="n">
        <f aca="false">IFERROR(INDEX(Factors_ROT!$F$5:$F$200,MATCH("DRV|"&amp;S114,Factors_ROT!$A$5:$A$200,0)),1)*IFERROR(INDEX(Factors_ROT!$F$5:$F$200,MATCH("NACE|"&amp;O114,Factors_ROT!$A$5:$A$200,0)),1)</f>
        <v>1</v>
      </c>
      <c r="AW114" s="48" t="n">
        <f aca="false">IFERROR(INDEX(Factors_ROT!$F$5:$F$200,MATCH("SC_DRV|"&amp;AL114,Factors_ROT!$A$5:$A$200,0)),1)*IFERROR(INDEX(Factors_ROT!$F$5:$F$200,MATCH("SC_BSP|"&amp;AM114,Factors_ROT!$A$5:$A$200,0)),1)*IFERROR(INDEX(Factors_ROT!$F$5:$F$200,MATCH("SC_SEAL|"&amp;AN114,Factors_ROT!$A$5:$A$200,0)),1)*IFERROR(INDEX(Factors_ROT!$F$5:$F$200,MATCH("SC_COMM|"&amp;AO114,Factors_ROT!$A$5:$A$200,0)),1)*IFERROR(INDEX(Factors_ROT!$F$5:$F$200,MATCH("SC_2Y|"&amp;AP114,Factors_ROT!$A$5:$A$200,0)),1)*IFERROR(INDEX(Factors_ROT!$F$5:$F$200,MATCH("SC_TPI|"&amp;AQ114,Factors_ROT!$A$5:$A$200,0)),1)*IFERROR(INDEX(Factors_ROT!$F$5:$F$200,MATCH("SC_FAT|"&amp;AR114,Factors_ROT!$A$5:$A$200,0)),1)</f>
        <v>1</v>
      </c>
      <c r="AX114" s="48" t="n">
        <f aca="false">AT114*AU114*AV114*AW114</f>
        <v>0.8</v>
      </c>
      <c r="AY114" s="47" t="n">
        <f aca="false">IF(ISNUMBER(AB114),AB114/AX114,"")</f>
        <v>387075.1375</v>
      </c>
      <c r="AZ114" s="49" t="n">
        <f aca="false">IFERROR(IF(N(INDEX(Escalation_Index!$B$5:$B$25,MATCH(Y114,Escalation_Index!$A$5:$A$25,0)))&gt;0,INDEX(Escalation_Index!$B$5:$B$25,MATCH(Y114,Escalation_Index!$A$5:$A$25,0)),""),"")</f>
        <v>123.416</v>
      </c>
      <c r="BA114" s="49" t="n">
        <f aca="false">IF(ISNUMBER('Assumptions &amp; FX Reference'!$I$12),'Assumptions &amp; FX Reference'!$I$12,"")</f>
        <v>123.416</v>
      </c>
      <c r="BB114" s="45" t="str">
        <f aca="false">IF(AND(M114="API 610",LEFT(V114,11)="Centrifugal",OR(LEFT(G114,2)="S-",LEFT(G114,2)="D-")),"Y","N")</f>
        <v>N</v>
      </c>
      <c r="BC114" s="47" t="n">
        <f aca="false">IF(ISNUMBER(AG114),AG114/AX114,"")</f>
        <v>387075.1375</v>
      </c>
      <c r="BD114" s="47" t="n">
        <f aca="false">IF(AND(ISNUMBER(BC114),ISNUMBER(K114)),IF(K114&gt;0,BC114/K114^'Assumptions &amp; FX Reference'!$I$16,""),"")</f>
        <v>10616.5407184603</v>
      </c>
      <c r="BE114" s="42" t="s">
        <v>743</v>
      </c>
      <c r="BF114" s="42" t="s">
        <v>744</v>
      </c>
      <c r="BG114" s="42" t="s">
        <v>369</v>
      </c>
      <c r="BH114" s="45" t="s">
        <v>313</v>
      </c>
      <c r="BI114" s="45" t="str">
        <f aca="false">"PMP-"&amp;TEXT(A114,"0000")</f>
        <v>PMP-0110</v>
      </c>
    </row>
    <row r="115" customFormat="false" ht="24" hidden="false" customHeight="true" outlineLevel="0" collapsed="false">
      <c r="A115" s="42" t="n">
        <v>111</v>
      </c>
      <c r="B115" s="42" t="s">
        <v>649</v>
      </c>
      <c r="C115" s="42" t="s">
        <v>690</v>
      </c>
      <c r="D115" s="42" t="s">
        <v>745</v>
      </c>
      <c r="E115" s="42" t="s">
        <v>60</v>
      </c>
      <c r="F115" s="42" t="s">
        <v>186</v>
      </c>
      <c r="G115" s="42" t="s">
        <v>74</v>
      </c>
      <c r="H115" s="43" t="n">
        <v>825</v>
      </c>
      <c r="I115" s="43" t="n">
        <v>107</v>
      </c>
      <c r="J115" s="43"/>
      <c r="K115" s="44" t="n">
        <f aca="false">IF(ISNUMBER(J115),J115,IF(AND(ISNUMBER(H115),ISNUMBER(I115)),H115*I115/(367*'Assumptions &amp; FX Reference'!$I$17),""))</f>
        <v>400.885558583106</v>
      </c>
      <c r="L115" s="45" t="str">
        <f aca="false">IF(IF(OR(M115="Not stated",M115=""),""," + "&amp;M115)&amp;IF(OR(N115="None",N115=""),""," + "&amp;N115)&amp;IF(O115="Y"," + NACE MR0175","")="","Not stated",MID(IF(OR(M115="Not stated",M115=""),""," + "&amp;M115)&amp;IF(OR(N115="None",N115=""),""," + "&amp;N115)&amp;IF(O115="Y"," + NACE MR0175",""),4,300))</f>
        <v>NFPA 20 + IPS-M-PM-125</v>
      </c>
      <c r="M115" s="42" t="s">
        <v>645</v>
      </c>
      <c r="N115" s="42" t="s">
        <v>646</v>
      </c>
      <c r="O115" s="50" t="s">
        <v>312</v>
      </c>
      <c r="P115" s="42" t="s">
        <v>123</v>
      </c>
      <c r="Q115" s="42" t="s">
        <v>123</v>
      </c>
      <c r="R115" s="42" t="s">
        <v>123</v>
      </c>
      <c r="S115" s="42" t="s">
        <v>460</v>
      </c>
      <c r="T115" s="42" t="s">
        <v>453</v>
      </c>
      <c r="U115" s="42" t="n">
        <v>1</v>
      </c>
      <c r="V115" s="42" t="s">
        <v>306</v>
      </c>
      <c r="W115" s="43" t="n">
        <v>11.3</v>
      </c>
      <c r="X115" s="42" t="s">
        <v>123</v>
      </c>
      <c r="Y115" s="42" t="n">
        <v>1404</v>
      </c>
      <c r="Z115" s="42" t="s">
        <v>363</v>
      </c>
      <c r="AA115" s="46" t="n">
        <v>202973.76</v>
      </c>
      <c r="AB115" s="47" t="n">
        <f aca="false">IF(NOT(ISNUMBER(AA115)),"",IF(NOT(ISNUMBER(Y115)),"",IFERROR(IF(Z115="EUR",AA115,IF(Z115="IRR",AA115/INDEX('Assumptions &amp; FX Reference'!$C$5:$C$25,MATCH(Y115,'Assumptions &amp; FX Reference'!$A$5:$A$25,0)),IF(Z115="USD",AA115*INDEX('Assumptions &amp; FX Reference'!$B$5:$B$25,MATCH(Y115,'Assumptions &amp; FX Reference'!$A$5:$A$25,0))/INDEX('Assumptions &amp; FX Reference'!$C$5:$C$25,MATCH(Y115,'Assumptions &amp; FX Reference'!$A$5:$A$25,0)),""))),"")))</f>
        <v>202973.76</v>
      </c>
      <c r="AC115" s="47" t="n">
        <f aca="false">IF(NOT(ISNUMBER(AA115)),"",IF(NOT(ISNUMBER(Y115)),"",IFERROR(IF(Z115="USD",AA115,IF(Z115="IRR",AA115/INDEX('Assumptions &amp; FX Reference'!$B$5:$B$25,MATCH(Y115,'Assumptions &amp; FX Reference'!$A$5:$A$25,0)),IF(Z115="EUR",AA115*INDEX('Assumptions &amp; FX Reference'!$C$5:$C$25,MATCH(Y115,'Assumptions &amp; FX Reference'!$A$5:$A$25,0))/INDEX('Assumptions &amp; FX Reference'!$B$5:$B$25,MATCH(Y115,'Assumptions &amp; FX Reference'!$A$5:$A$25,0)),""))),"")))</f>
        <v>214296.261793532</v>
      </c>
      <c r="AD115" s="47" t="n">
        <f aca="false">IF(NOT(ISNUMBER(AA115)),"",IF(NOT(ISNUMBER(Y115)),"",IFERROR(IF(Z115="IRR",AA115,IF(Z115="USD",AA115*INDEX('Assumptions &amp; FX Reference'!$B$5:$B$25,MATCH(Y115,'Assumptions &amp; FX Reference'!$A$5:$A$25,0)),IF(Z115="EUR",AA115*INDEX('Assumptions &amp; FX Reference'!$C$5:$C$25,MATCH(Y115,'Assumptions &amp; FX Reference'!$A$5:$A$25,0)),""))),"")))</f>
        <v>141121160167.68</v>
      </c>
      <c r="AE115" s="42" t="s">
        <v>742</v>
      </c>
      <c r="AF115" s="42" t="s">
        <v>208</v>
      </c>
      <c r="AG115" s="47" t="n">
        <f aca="false">IF(AND(Z115="EUR",N(AA115)&gt;5000000),"",IF(AND(ISNUMBER(AB115),ISNUMBER(AZ115),ISNUMBER(BA115)),IF(AND(BB115="Y",ISNUMBER('Assumptions &amp; FX Reference'!$I$15)),MAX(AB115*BA115/AZ115,'Assumptions &amp; FX Reference'!$I$13*BA115/'Assumptions &amp; FX Reference'!$I$15),AB115*BA115/AZ115),""))</f>
        <v>202973.76</v>
      </c>
      <c r="AH115" s="47" t="n">
        <f aca="false">IF(AND(ISNUMBER(AG115),ISNUMBER('Assumptions &amp; FX Reference'!$I$8),ISNUMBER('Assumptions &amp; FX Reference'!$I$11)),AG115*'Assumptions &amp; FX Reference'!$I$8/'Assumptions &amp; FX Reference'!$I$11,"")</f>
        <v>214296.261793532</v>
      </c>
      <c r="AI115" s="47" t="n">
        <f aca="false">IF(AND(ISNUMBER(AG115),ISNUMBER('Assumptions &amp; FX Reference'!$I$8)),AG115*'Assumptions &amp; FX Reference'!$I$8,"")</f>
        <v>141121160167.68</v>
      </c>
      <c r="AJ115" s="42" t="s">
        <v>693</v>
      </c>
      <c r="AK115" s="42" t="s">
        <v>366</v>
      </c>
      <c r="AL115" s="42" t="s">
        <v>123</v>
      </c>
      <c r="AM115" s="42" t="s">
        <v>123</v>
      </c>
      <c r="AN115" s="42" t="s">
        <v>123</v>
      </c>
      <c r="AO115" s="42" t="s">
        <v>123</v>
      </c>
      <c r="AP115" s="42" t="s">
        <v>123</v>
      </c>
      <c r="AQ115" s="42" t="s">
        <v>123</v>
      </c>
      <c r="AR115" s="42" t="s">
        <v>123</v>
      </c>
      <c r="AS115" s="45" t="str">
        <f aca="false">IF(AND(Z115="EUR",N(AA115)&gt;5000000),"Check currency (EUR&gt;5M); ","")&amp;IF(NOT(ISNUMBER(AA115)),"No price; ","")&amp;IF(G115="Not stated","Material missing; ","")&amp;IF(P115="Not stated","Seal missing; ","")&amp;IF(K115="","Size driver missing; ","")&amp;IF(NOT(ISNUMBER(AZ115)),"Base-year PPI missing; ","")</f>
        <v>Seal missing; </v>
      </c>
      <c r="AT115" s="48" t="n">
        <f aca="false">IFERROR(INDEX(Factors_ROT!$F$5:$F$200,MATCH("MAT|"&amp;G115,Factors_ROT!$A$5:$A$200,0)),1)</f>
        <v>0.8</v>
      </c>
      <c r="AU115" s="48" t="n">
        <f aca="false">IFERROR(INDEX(Factors_ROT!$F$5:$F$200,MATCH("SEAL_ARR|"&amp;P115,Factors_ROT!$A$5:$A$200,0)),1)*IFERROR(INDEX(Factors_ROT!$F$5:$F$200,MATCH("SEAL_CAT|"&amp;Q115,Factors_ROT!$A$5:$A$200,0)),1)*IFERROR(INDEX(Factors_ROT!$F$5:$F$200,MATCH("SEAL_PLAN|"&amp;R115,Factors_ROT!$A$5:$A$200,0)),1)</f>
        <v>1</v>
      </c>
      <c r="AV115" s="48" t="n">
        <f aca="false">IFERROR(INDEX(Factors_ROT!$F$5:$F$200,MATCH("DRV|"&amp;S115,Factors_ROT!$A$5:$A$200,0)),1)*IFERROR(INDEX(Factors_ROT!$F$5:$F$200,MATCH("NACE|"&amp;O115,Factors_ROT!$A$5:$A$200,0)),1)</f>
        <v>1.35</v>
      </c>
      <c r="AW115" s="48" t="n">
        <f aca="false">IFERROR(INDEX(Factors_ROT!$F$5:$F$200,MATCH("SC_DRV|"&amp;AL115,Factors_ROT!$A$5:$A$200,0)),1)*IFERROR(INDEX(Factors_ROT!$F$5:$F$200,MATCH("SC_BSP|"&amp;AM115,Factors_ROT!$A$5:$A$200,0)),1)*IFERROR(INDEX(Factors_ROT!$F$5:$F$200,MATCH("SC_SEAL|"&amp;AN115,Factors_ROT!$A$5:$A$200,0)),1)*IFERROR(INDEX(Factors_ROT!$F$5:$F$200,MATCH("SC_COMM|"&amp;AO115,Factors_ROT!$A$5:$A$200,0)),1)*IFERROR(INDEX(Factors_ROT!$F$5:$F$200,MATCH("SC_2Y|"&amp;AP115,Factors_ROT!$A$5:$A$200,0)),1)*IFERROR(INDEX(Factors_ROT!$F$5:$F$200,MATCH("SC_TPI|"&amp;AQ115,Factors_ROT!$A$5:$A$200,0)),1)*IFERROR(INDEX(Factors_ROT!$F$5:$F$200,MATCH("SC_FAT|"&amp;AR115,Factors_ROT!$A$5:$A$200,0)),1)</f>
        <v>1</v>
      </c>
      <c r="AX115" s="48" t="n">
        <f aca="false">AT115*AU115*AV115*AW115</f>
        <v>1.08</v>
      </c>
      <c r="AY115" s="47" t="n">
        <f aca="false">IF(ISNUMBER(AB115),AB115/AX115,"")</f>
        <v>187938.666666667</v>
      </c>
      <c r="AZ115" s="49" t="n">
        <f aca="false">IFERROR(IF(N(INDEX(Escalation_Index!$B$5:$B$25,MATCH(Y115,Escalation_Index!$A$5:$A$25,0)))&gt;0,INDEX(Escalation_Index!$B$5:$B$25,MATCH(Y115,Escalation_Index!$A$5:$A$25,0)),""),"")</f>
        <v>123.416</v>
      </c>
      <c r="BA115" s="49" t="n">
        <f aca="false">IF(ISNUMBER('Assumptions &amp; FX Reference'!$I$12),'Assumptions &amp; FX Reference'!$I$12,"")</f>
        <v>123.416</v>
      </c>
      <c r="BB115" s="45" t="str">
        <f aca="false">IF(AND(M115="API 610",LEFT(V115,11)="Centrifugal",OR(LEFT(G115,2)="S-",LEFT(G115,2)="D-")),"Y","N")</f>
        <v>N</v>
      </c>
      <c r="BC115" s="47" t="n">
        <f aca="false">IF(ISNUMBER(AG115),AG115/AX115,"")</f>
        <v>187938.666666667</v>
      </c>
      <c r="BD115" s="47" t="n">
        <f aca="false">IF(AND(ISNUMBER(BC115),ISNUMBER(K115)),IF(K115&gt;0,BC115/K115^'Assumptions &amp; FX Reference'!$I$16,""),"")</f>
        <v>5154.70593158365</v>
      </c>
      <c r="BE115" s="42" t="s">
        <v>746</v>
      </c>
      <c r="BF115" s="42" t="s">
        <v>747</v>
      </c>
      <c r="BG115" s="42" t="s">
        <v>369</v>
      </c>
      <c r="BH115" s="45" t="s">
        <v>313</v>
      </c>
      <c r="BI115" s="45" t="str">
        <f aca="false">"PMP-"&amp;TEXT(A115,"0000")</f>
        <v>PMP-0111</v>
      </c>
    </row>
    <row r="116" customFormat="false" ht="24" hidden="false" customHeight="true" outlineLevel="0" collapsed="false">
      <c r="A116" s="42" t="n">
        <v>112</v>
      </c>
      <c r="B116" s="42" t="s">
        <v>653</v>
      </c>
      <c r="C116" s="42" t="s">
        <v>690</v>
      </c>
      <c r="D116" s="42" t="s">
        <v>748</v>
      </c>
      <c r="E116" s="42" t="s">
        <v>60</v>
      </c>
      <c r="F116" s="42" t="s">
        <v>183</v>
      </c>
      <c r="G116" s="42" t="s">
        <v>74</v>
      </c>
      <c r="H116" s="43" t="n">
        <v>16.5</v>
      </c>
      <c r="I116" s="43" t="n">
        <v>107</v>
      </c>
      <c r="J116" s="43"/>
      <c r="K116" s="44" t="n">
        <f aca="false">IF(ISNUMBER(J116),J116,IF(AND(ISNUMBER(H116),ISNUMBER(I116)),H116*I116/(367*'Assumptions &amp; FX Reference'!$I$17),""))</f>
        <v>8.01771117166213</v>
      </c>
      <c r="L116" s="45" t="str">
        <f aca="false">IF(IF(OR(M116="Not stated",M116=""),""," + "&amp;M116)&amp;IF(OR(N116="None",N116=""),""," + "&amp;N116)&amp;IF(O116="Y"," + NACE MR0175","")="","Not stated",MID(IF(OR(M116="Not stated",M116=""),""," + "&amp;M116)&amp;IF(OR(N116="None",N116=""),""," + "&amp;N116)&amp;IF(O116="Y"," + NACE MR0175",""),4,300))</f>
        <v>NFPA 20 + IPS-M-PM-125</v>
      </c>
      <c r="M116" s="42" t="s">
        <v>645</v>
      </c>
      <c r="N116" s="42" t="s">
        <v>646</v>
      </c>
      <c r="O116" s="50" t="s">
        <v>312</v>
      </c>
      <c r="P116" s="42" t="s">
        <v>123</v>
      </c>
      <c r="Q116" s="42" t="s">
        <v>123</v>
      </c>
      <c r="R116" s="42" t="s">
        <v>123</v>
      </c>
      <c r="S116" s="50" t="s">
        <v>304</v>
      </c>
      <c r="T116" s="42" t="s">
        <v>453</v>
      </c>
      <c r="U116" s="42" t="n">
        <v>2</v>
      </c>
      <c r="V116" s="42" t="s">
        <v>306</v>
      </c>
      <c r="W116" s="43" t="n">
        <v>11.3</v>
      </c>
      <c r="X116" s="42" t="s">
        <v>123</v>
      </c>
      <c r="Y116" s="42" t="n">
        <v>1404</v>
      </c>
      <c r="Z116" s="42" t="s">
        <v>363</v>
      </c>
      <c r="AA116" s="46" t="n">
        <v>26808.07</v>
      </c>
      <c r="AB116" s="47" t="n">
        <f aca="false">IF(NOT(ISNUMBER(AA116)),"",IF(NOT(ISNUMBER(Y116)),"",IFERROR(IF(Z116="EUR",AA116,IF(Z116="IRR",AA116/INDEX('Assumptions &amp; FX Reference'!$C$5:$C$25,MATCH(Y116,'Assumptions &amp; FX Reference'!$A$5:$A$25,0)),IF(Z116="USD",AA116*INDEX('Assumptions &amp; FX Reference'!$B$5:$B$25,MATCH(Y116,'Assumptions &amp; FX Reference'!$A$5:$A$25,0))/INDEX('Assumptions &amp; FX Reference'!$C$5:$C$25,MATCH(Y116,'Assumptions &amp; FX Reference'!$A$5:$A$25,0)),""))),"")))</f>
        <v>26808.07</v>
      </c>
      <c r="AC116" s="47" t="n">
        <f aca="false">IF(NOT(ISNUMBER(AA116)),"",IF(NOT(ISNUMBER(Y116)),"",IFERROR(IF(Z116="USD",AA116,IF(Z116="IRR",AA116/INDEX('Assumptions &amp; FX Reference'!$B$5:$B$25,MATCH(Y116,'Assumptions &amp; FX Reference'!$A$5:$A$25,0)),IF(Z116="EUR",AA116*INDEX('Assumptions &amp; FX Reference'!$C$5:$C$25,MATCH(Y116,'Assumptions &amp; FX Reference'!$A$5:$A$25,0))/INDEX('Assumptions &amp; FX Reference'!$B$5:$B$25,MATCH(Y116,'Assumptions &amp; FX Reference'!$A$5:$A$25,0)),""))),"")))</f>
        <v>28303.5067532834</v>
      </c>
      <c r="AD116" s="47" t="n">
        <f aca="false">IF(NOT(ISNUMBER(AA116)),"",IF(NOT(ISNUMBER(Y116)),"",IFERROR(IF(Z116="IRR",AA116,IF(Z116="USD",AA116*INDEX('Assumptions &amp; FX Reference'!$B$5:$B$25,MATCH(Y116,'Assumptions &amp; FX Reference'!$A$5:$A$25,0)),IF(Z116="EUR",AA116*INDEX('Assumptions &amp; FX Reference'!$C$5:$C$25,MATCH(Y116,'Assumptions &amp; FX Reference'!$A$5:$A$25,0)),""))),"")))</f>
        <v>18638793212.76</v>
      </c>
      <c r="AE116" s="42" t="s">
        <v>742</v>
      </c>
      <c r="AF116" s="42" t="s">
        <v>208</v>
      </c>
      <c r="AG116" s="47" t="n">
        <f aca="false">IF(AND(Z116="EUR",N(AA116)&gt;5000000),"",IF(AND(ISNUMBER(AB116),ISNUMBER(AZ116),ISNUMBER(BA116)),IF(AND(BB116="Y",ISNUMBER('Assumptions &amp; FX Reference'!$I$15)),MAX(AB116*BA116/AZ116,'Assumptions &amp; FX Reference'!$I$13*BA116/'Assumptions &amp; FX Reference'!$I$15),AB116*BA116/AZ116),""))</f>
        <v>26808.07</v>
      </c>
      <c r="AH116" s="47" t="n">
        <f aca="false">IF(AND(ISNUMBER(AG116),ISNUMBER('Assumptions &amp; FX Reference'!$I$8),ISNUMBER('Assumptions &amp; FX Reference'!$I$11)),AG116*'Assumptions &amp; FX Reference'!$I$8/'Assumptions &amp; FX Reference'!$I$11,"")</f>
        <v>28303.5067532834</v>
      </c>
      <c r="AI116" s="47" t="n">
        <f aca="false">IF(AND(ISNUMBER(AG116),ISNUMBER('Assumptions &amp; FX Reference'!$I$8)),AG116*'Assumptions &amp; FX Reference'!$I$8,"")</f>
        <v>18638793212.76</v>
      </c>
      <c r="AJ116" s="42" t="s">
        <v>693</v>
      </c>
      <c r="AK116" s="42" t="s">
        <v>366</v>
      </c>
      <c r="AL116" s="42" t="s">
        <v>123</v>
      </c>
      <c r="AM116" s="42" t="s">
        <v>123</v>
      </c>
      <c r="AN116" s="42" t="s">
        <v>123</v>
      </c>
      <c r="AO116" s="42" t="s">
        <v>123</v>
      </c>
      <c r="AP116" s="42" t="s">
        <v>123</v>
      </c>
      <c r="AQ116" s="42" t="s">
        <v>123</v>
      </c>
      <c r="AR116" s="42" t="s">
        <v>123</v>
      </c>
      <c r="AS116" s="45" t="str">
        <f aca="false">IF(AND(Z116="EUR",N(AA116)&gt;5000000),"Check currency (EUR&gt;5M); ","")&amp;IF(NOT(ISNUMBER(AA116)),"No price; ","")&amp;IF(G116="Not stated","Material missing; ","")&amp;IF(P116="Not stated","Seal missing; ","")&amp;IF(K116="","Size driver missing; ","")&amp;IF(NOT(ISNUMBER(AZ116)),"Base-year PPI missing; ","")</f>
        <v>Seal missing; </v>
      </c>
      <c r="AT116" s="48" t="n">
        <f aca="false">IFERROR(INDEX(Factors_ROT!$F$5:$F$200,MATCH("MAT|"&amp;G116,Factors_ROT!$A$5:$A$200,0)),1)</f>
        <v>0.8</v>
      </c>
      <c r="AU116" s="48" t="n">
        <f aca="false">IFERROR(INDEX(Factors_ROT!$F$5:$F$200,MATCH("SEAL_ARR|"&amp;P116,Factors_ROT!$A$5:$A$200,0)),1)*IFERROR(INDEX(Factors_ROT!$F$5:$F$200,MATCH("SEAL_CAT|"&amp;Q116,Factors_ROT!$A$5:$A$200,0)),1)*IFERROR(INDEX(Factors_ROT!$F$5:$F$200,MATCH("SEAL_PLAN|"&amp;R116,Factors_ROT!$A$5:$A$200,0)),1)</f>
        <v>1</v>
      </c>
      <c r="AV116" s="48" t="n">
        <f aca="false">IFERROR(INDEX(Factors_ROT!$F$5:$F$200,MATCH("DRV|"&amp;S116,Factors_ROT!$A$5:$A$200,0)),1)*IFERROR(INDEX(Factors_ROT!$F$5:$F$200,MATCH("NACE|"&amp;O116,Factors_ROT!$A$5:$A$200,0)),1)</f>
        <v>1</v>
      </c>
      <c r="AW116" s="48" t="n">
        <f aca="false">IFERROR(INDEX(Factors_ROT!$F$5:$F$200,MATCH("SC_DRV|"&amp;AL116,Factors_ROT!$A$5:$A$200,0)),1)*IFERROR(INDEX(Factors_ROT!$F$5:$F$200,MATCH("SC_BSP|"&amp;AM116,Factors_ROT!$A$5:$A$200,0)),1)*IFERROR(INDEX(Factors_ROT!$F$5:$F$200,MATCH("SC_SEAL|"&amp;AN116,Factors_ROT!$A$5:$A$200,0)),1)*IFERROR(INDEX(Factors_ROT!$F$5:$F$200,MATCH("SC_COMM|"&amp;AO116,Factors_ROT!$A$5:$A$200,0)),1)*IFERROR(INDEX(Factors_ROT!$F$5:$F$200,MATCH("SC_2Y|"&amp;AP116,Factors_ROT!$A$5:$A$200,0)),1)*IFERROR(INDEX(Factors_ROT!$F$5:$F$200,MATCH("SC_TPI|"&amp;AQ116,Factors_ROT!$A$5:$A$200,0)),1)*IFERROR(INDEX(Factors_ROT!$F$5:$F$200,MATCH("SC_FAT|"&amp;AR116,Factors_ROT!$A$5:$A$200,0)),1)</f>
        <v>1</v>
      </c>
      <c r="AX116" s="48" t="n">
        <f aca="false">AT116*AU116*AV116*AW116</f>
        <v>0.8</v>
      </c>
      <c r="AY116" s="47" t="n">
        <f aca="false">IF(ISNUMBER(AB116),AB116/AX116,"")</f>
        <v>33510.0875</v>
      </c>
      <c r="AZ116" s="49" t="n">
        <f aca="false">IFERROR(IF(N(INDEX(Escalation_Index!$B$5:$B$25,MATCH(Y116,Escalation_Index!$A$5:$A$25,0)))&gt;0,INDEX(Escalation_Index!$B$5:$B$25,MATCH(Y116,Escalation_Index!$A$5:$A$25,0)),""),"")</f>
        <v>123.416</v>
      </c>
      <c r="BA116" s="49" t="n">
        <f aca="false">IF(ISNUMBER('Assumptions &amp; FX Reference'!$I$12),'Assumptions &amp; FX Reference'!$I$12,"")</f>
        <v>123.416</v>
      </c>
      <c r="BB116" s="45" t="str">
        <f aca="false">IF(AND(M116="API 610",LEFT(V116,11)="Centrifugal",OR(LEFT(G116,2)="S-",LEFT(G116,2)="D-")),"Y","N")</f>
        <v>N</v>
      </c>
      <c r="BC116" s="47" t="n">
        <f aca="false">IF(ISNUMBER(AG116),AG116/AX116,"")</f>
        <v>33510.0875</v>
      </c>
      <c r="BD116" s="47" t="n">
        <f aca="false">IF(AND(ISNUMBER(BC116),ISNUMBER(K116)),IF(K116&gt;0,BC116/K116^'Assumptions &amp; FX Reference'!$I$16,""),"")</f>
        <v>9610.48527185941</v>
      </c>
      <c r="BE116" s="42" t="s">
        <v>749</v>
      </c>
      <c r="BF116" s="42" t="s">
        <v>750</v>
      </c>
      <c r="BG116" s="42" t="s">
        <v>369</v>
      </c>
      <c r="BH116" s="45" t="s">
        <v>313</v>
      </c>
      <c r="BI116" s="45" t="str">
        <f aca="false">"PMP-"&amp;TEXT(A116,"0000")</f>
        <v>PMP-0112</v>
      </c>
    </row>
    <row r="117" customFormat="false" ht="24" hidden="false" customHeight="true" outlineLevel="0" collapsed="false">
      <c r="A117" s="42" t="n">
        <v>113</v>
      </c>
      <c r="B117" s="42" t="s">
        <v>680</v>
      </c>
      <c r="C117" s="42" t="s">
        <v>690</v>
      </c>
      <c r="D117" s="42" t="s">
        <v>751</v>
      </c>
      <c r="E117" s="42" t="s">
        <v>57</v>
      </c>
      <c r="F117" s="42" t="s">
        <v>192</v>
      </c>
      <c r="G117" s="42" t="s">
        <v>119</v>
      </c>
      <c r="H117" s="43" t="n">
        <v>9.6</v>
      </c>
      <c r="I117" s="43"/>
      <c r="J117" s="43"/>
      <c r="K117" s="44" t="str">
        <f aca="false">IF(ISNUMBER(J117),J117,IF(AND(ISNUMBER(H117),ISNUMBER(I117)),H117*I117/(367*'Assumptions &amp; FX Reference'!$I$17),""))</f>
        <v/>
      </c>
      <c r="L117" s="45" t="str">
        <f aca="false">IF(IF(OR(M117="Not stated",M117=""),""," + "&amp;M117)&amp;IF(OR(N117="None",N117=""),""," + "&amp;N117)&amp;IF(O117="Y"," + NACE MR0175","")="","Not stated",MID(IF(OR(M117="Not stated",M117=""),""," + "&amp;M117)&amp;IF(OR(N117="None",N117=""),""," + "&amp;N117)&amp;IF(O117="Y"," + NACE MR0175",""),4,300))</f>
        <v>Not stated</v>
      </c>
      <c r="M117" s="42" t="s">
        <v>123</v>
      </c>
      <c r="N117" s="42" t="s">
        <v>303</v>
      </c>
      <c r="O117" s="50" t="s">
        <v>312</v>
      </c>
      <c r="P117" s="42" t="s">
        <v>123</v>
      </c>
      <c r="Q117" s="42" t="s">
        <v>123</v>
      </c>
      <c r="R117" s="42" t="s">
        <v>123</v>
      </c>
      <c r="S117" s="50" t="s">
        <v>752</v>
      </c>
      <c r="T117" s="42" t="s">
        <v>411</v>
      </c>
      <c r="U117" s="42" t="n">
        <v>2</v>
      </c>
      <c r="V117" s="42" t="s">
        <v>682</v>
      </c>
      <c r="W117" s="43"/>
      <c r="X117" s="42" t="s">
        <v>123</v>
      </c>
      <c r="Y117" s="42" t="n">
        <v>1393</v>
      </c>
      <c r="Z117" s="42" t="s">
        <v>454</v>
      </c>
      <c r="AA117" s="46" t="n">
        <v>100000000</v>
      </c>
      <c r="AB117" s="47" t="n">
        <f aca="false">IF(NOT(ISNUMBER(AA117)),"",IF(NOT(ISNUMBER(Y117)),"",IFERROR(IF(Z117="EUR",AA117,IF(Z117="IRR",AA117/INDEX('Assumptions &amp; FX Reference'!$C$5:$C$25,MATCH(Y117,'Assumptions &amp; FX Reference'!$A$5:$A$25,0)),IF(Z117="USD",AA117*INDEX('Assumptions &amp; FX Reference'!$B$5:$B$25,MATCH(Y117,'Assumptions &amp; FX Reference'!$A$5:$A$25,0))/INDEX('Assumptions &amp; FX Reference'!$C$5:$C$25,MATCH(Y117,'Assumptions &amp; FX Reference'!$A$5:$A$25,0)),""))),"")))</f>
        <v>2467.25946687457</v>
      </c>
      <c r="AC117" s="47" t="n">
        <f aca="false">IF(NOT(ISNUMBER(AA117)),"",IF(NOT(ISNUMBER(Y117)),"",IFERROR(IF(Z117="USD",AA117,IF(Z117="IRR",AA117/INDEX('Assumptions &amp; FX Reference'!$B$5:$B$25,MATCH(Y117,'Assumptions &amp; FX Reference'!$A$5:$A$25,0)),IF(Z117="EUR",AA117*INDEX('Assumptions &amp; FX Reference'!$C$5:$C$25,MATCH(Y117,'Assumptions &amp; FX Reference'!$A$5:$A$25,0))/INDEX('Assumptions &amp; FX Reference'!$B$5:$B$25,MATCH(Y117,'Assumptions &amp; FX Reference'!$A$5:$A$25,0)),""))),"")))</f>
        <v>3225.8064516129</v>
      </c>
      <c r="AD117" s="47" t="n">
        <f aca="false">IF(NOT(ISNUMBER(AA117)),"",IF(NOT(ISNUMBER(Y117)),"",IFERROR(IF(Z117="IRR",AA117,IF(Z117="USD",AA117*INDEX('Assumptions &amp; FX Reference'!$B$5:$B$25,MATCH(Y117,'Assumptions &amp; FX Reference'!$A$5:$A$25,0)),IF(Z117="EUR",AA117*INDEX('Assumptions &amp; FX Reference'!$C$5:$C$25,MATCH(Y117,'Assumptions &amp; FX Reference'!$A$5:$A$25,0)),""))),"")))</f>
        <v>100000000</v>
      </c>
      <c r="AE117" s="42" t="s">
        <v>753</v>
      </c>
      <c r="AF117" s="42" t="s">
        <v>123</v>
      </c>
      <c r="AG117" s="47" t="n">
        <f aca="false">IF(AND(Z117="EUR",N(AA117)&gt;5000000),"",IF(AND(ISNUMBER(AB117),ISNUMBER(AZ117),ISNUMBER(BA117)),IF(AND(BB117="Y",ISNUMBER('Assumptions &amp; FX Reference'!$I$15)),MAX(AB117*BA117/AZ117,'Assumptions &amp; FX Reference'!$I$13*BA117/'Assumptions &amp; FX Reference'!$I$15),AB117*BA117/AZ117),""))</f>
        <v>3333.4350812155</v>
      </c>
      <c r="AH117" s="47" t="n">
        <f aca="false">IF(AND(ISNUMBER(AG117),ISNUMBER('Assumptions &amp; FX Reference'!$I$8),ISNUMBER('Assumptions &amp; FX Reference'!$I$11)),AG117*'Assumptions &amp; FX Reference'!$I$8/'Assumptions &amp; FX Reference'!$I$11,"")</f>
        <v>3519.38436197812</v>
      </c>
      <c r="AI117" s="47" t="n">
        <f aca="false">IF(AND(ISNUMBER(AG117),ISNUMBER('Assumptions &amp; FX Reference'!$I$8)),AG117*'Assumptions &amp; FX Reference'!$I$8,"")</f>
        <v>2317630742.04654</v>
      </c>
      <c r="AJ117" s="42" t="s">
        <v>693</v>
      </c>
      <c r="AK117" s="42" t="s">
        <v>366</v>
      </c>
      <c r="AL117" s="42" t="s">
        <v>123</v>
      </c>
      <c r="AM117" s="42" t="s">
        <v>123</v>
      </c>
      <c r="AN117" s="42" t="s">
        <v>123</v>
      </c>
      <c r="AO117" s="42" t="s">
        <v>123</v>
      </c>
      <c r="AP117" s="42" t="s">
        <v>123</v>
      </c>
      <c r="AQ117" s="42" t="s">
        <v>123</v>
      </c>
      <c r="AR117" s="42" t="s">
        <v>123</v>
      </c>
      <c r="AS117" s="45" t="str">
        <f aca="false">IF(AND(Z117="EUR",N(AA117)&gt;5000000),"Check currency (EUR&gt;5M); ","")&amp;IF(NOT(ISNUMBER(AA117)),"No price; ","")&amp;IF(G117="Not stated","Material missing; ","")&amp;IF(P117="Not stated","Seal missing; ","")&amp;IF(K117="","Size driver missing; ","")&amp;IF(NOT(ISNUMBER(AZ117)),"Base-year PPI missing; ","")</f>
        <v>Seal missing; Size driver missing; </v>
      </c>
      <c r="AT117" s="48" t="n">
        <f aca="false">IFERROR(INDEX(Factors_ROT!$F$5:$F$200,MATCH("MAT|"&amp;G117,Factors_ROT!$A$5:$A$200,0)),1)</f>
        <v>1.35</v>
      </c>
      <c r="AU117" s="48" t="n">
        <f aca="false">IFERROR(INDEX(Factors_ROT!$F$5:$F$200,MATCH("SEAL_ARR|"&amp;P117,Factors_ROT!$A$5:$A$200,0)),1)*IFERROR(INDEX(Factors_ROT!$F$5:$F$200,MATCH("SEAL_CAT|"&amp;Q117,Factors_ROT!$A$5:$A$200,0)),1)*IFERROR(INDEX(Factors_ROT!$F$5:$F$200,MATCH("SEAL_PLAN|"&amp;R117,Factors_ROT!$A$5:$A$200,0)),1)</f>
        <v>1</v>
      </c>
      <c r="AV117" s="48" t="n">
        <f aca="false">IFERROR(INDEX(Factors_ROT!$F$5:$F$200,MATCH("DRV|"&amp;S117,Factors_ROT!$A$5:$A$200,0)),1)*IFERROR(INDEX(Factors_ROT!$F$5:$F$200,MATCH("NACE|"&amp;O117,Factors_ROT!$A$5:$A$200,0)),1)</f>
        <v>1</v>
      </c>
      <c r="AW117" s="48" t="n">
        <f aca="false">IFERROR(INDEX(Factors_ROT!$F$5:$F$200,MATCH("SC_DRV|"&amp;AL117,Factors_ROT!$A$5:$A$200,0)),1)*IFERROR(INDEX(Factors_ROT!$F$5:$F$200,MATCH("SC_BSP|"&amp;AM117,Factors_ROT!$A$5:$A$200,0)),1)*IFERROR(INDEX(Factors_ROT!$F$5:$F$200,MATCH("SC_SEAL|"&amp;AN117,Factors_ROT!$A$5:$A$200,0)),1)*IFERROR(INDEX(Factors_ROT!$F$5:$F$200,MATCH("SC_COMM|"&amp;AO117,Factors_ROT!$A$5:$A$200,0)),1)*IFERROR(INDEX(Factors_ROT!$F$5:$F$200,MATCH("SC_2Y|"&amp;AP117,Factors_ROT!$A$5:$A$200,0)),1)*IFERROR(INDEX(Factors_ROT!$F$5:$F$200,MATCH("SC_TPI|"&amp;AQ117,Factors_ROT!$A$5:$A$200,0)),1)*IFERROR(INDEX(Factors_ROT!$F$5:$F$200,MATCH("SC_FAT|"&amp;AR117,Factors_ROT!$A$5:$A$200,0)),1)</f>
        <v>1</v>
      </c>
      <c r="AX117" s="48" t="n">
        <f aca="false">AT117*AU117*AV117*AW117</f>
        <v>1.35</v>
      </c>
      <c r="AY117" s="47" t="n">
        <f aca="false">IF(ISNUMBER(AB117),AB117/AX117,"")</f>
        <v>1827.59960509228</v>
      </c>
      <c r="AZ117" s="49" t="n">
        <f aca="false">IFERROR(IF(N(INDEX(Escalation_Index!$B$5:$B$25,MATCH(Y117,Escalation_Index!$A$5:$A$25,0)))&gt;0,INDEX(Escalation_Index!$B$5:$B$25,MATCH(Y117,Escalation_Index!$A$5:$A$25,0)),""),"")</f>
        <v>91.347</v>
      </c>
      <c r="BA117" s="49" t="n">
        <f aca="false">IF(ISNUMBER('Assumptions &amp; FX Reference'!$I$12),'Assumptions &amp; FX Reference'!$I$12,"")</f>
        <v>123.416</v>
      </c>
      <c r="BB117" s="45" t="str">
        <f aca="false">IF(AND(M117="API 610",LEFT(V117,11)="Centrifugal",OR(LEFT(G117,2)="S-",LEFT(G117,2)="D-")),"Y","N")</f>
        <v>N</v>
      </c>
      <c r="BC117" s="47" t="n">
        <f aca="false">IF(ISNUMBER(AG117),AG117/AX117,"")</f>
        <v>2469.21117127074</v>
      </c>
      <c r="BD117" s="47" t="str">
        <f aca="false">IF(AND(ISNUMBER(BC117),ISNUMBER(K117)),IF(K117&gt;0,BC117/K117^'Assumptions &amp; FX Reference'!$I$16,""),"")</f>
        <v/>
      </c>
      <c r="BE117" s="42" t="s">
        <v>754</v>
      </c>
      <c r="BF117" s="42" t="s">
        <v>755</v>
      </c>
      <c r="BG117" s="42" t="s">
        <v>369</v>
      </c>
      <c r="BH117" s="45" t="s">
        <v>313</v>
      </c>
      <c r="BI117" s="45" t="str">
        <f aca="false">"PMP-"&amp;TEXT(A117,"0000")</f>
        <v>PMP-0113</v>
      </c>
    </row>
    <row r="118" customFormat="false" ht="24" hidden="false" customHeight="true" outlineLevel="0" collapsed="false">
      <c r="A118" s="42" t="n">
        <v>114</v>
      </c>
      <c r="B118" s="42" t="s">
        <v>680</v>
      </c>
      <c r="C118" s="42" t="s">
        <v>690</v>
      </c>
      <c r="D118" s="42" t="s">
        <v>756</v>
      </c>
      <c r="E118" s="42" t="s">
        <v>57</v>
      </c>
      <c r="F118" s="42" t="s">
        <v>192</v>
      </c>
      <c r="G118" s="42" t="s">
        <v>119</v>
      </c>
      <c r="H118" s="43" t="n">
        <v>9.6</v>
      </c>
      <c r="I118" s="43"/>
      <c r="J118" s="43"/>
      <c r="K118" s="44" t="str">
        <f aca="false">IF(ISNUMBER(J118),J118,IF(AND(ISNUMBER(H118),ISNUMBER(I118)),H118*I118/(367*'Assumptions &amp; FX Reference'!$I$17),""))</f>
        <v/>
      </c>
      <c r="L118" s="45" t="str">
        <f aca="false">IF(IF(OR(M118="Not stated",M118=""),""," + "&amp;M118)&amp;IF(OR(N118="None",N118=""),""," + "&amp;N118)&amp;IF(O118="Y"," + NACE MR0175","")="","Not stated",MID(IF(OR(M118="Not stated",M118=""),""," + "&amp;M118)&amp;IF(OR(N118="None",N118=""),""," + "&amp;N118)&amp;IF(O118="Y"," + NACE MR0175",""),4,300))</f>
        <v>Not stated</v>
      </c>
      <c r="M118" s="42" t="s">
        <v>123</v>
      </c>
      <c r="N118" s="42" t="s">
        <v>303</v>
      </c>
      <c r="O118" s="50" t="s">
        <v>312</v>
      </c>
      <c r="P118" s="42" t="s">
        <v>123</v>
      </c>
      <c r="Q118" s="42" t="s">
        <v>123</v>
      </c>
      <c r="R118" s="42" t="s">
        <v>123</v>
      </c>
      <c r="S118" s="50" t="s">
        <v>752</v>
      </c>
      <c r="T118" s="42" t="s">
        <v>411</v>
      </c>
      <c r="U118" s="42" t="n">
        <v>1</v>
      </c>
      <c r="V118" s="42" t="s">
        <v>682</v>
      </c>
      <c r="W118" s="43"/>
      <c r="X118" s="42" t="s">
        <v>123</v>
      </c>
      <c r="Y118" s="42" t="n">
        <v>1393</v>
      </c>
      <c r="Z118" s="42" t="s">
        <v>454</v>
      </c>
      <c r="AA118" s="46" t="n">
        <v>100000000</v>
      </c>
      <c r="AB118" s="47" t="n">
        <f aca="false">IF(NOT(ISNUMBER(AA118)),"",IF(NOT(ISNUMBER(Y118)),"",IFERROR(IF(Z118="EUR",AA118,IF(Z118="IRR",AA118/INDEX('Assumptions &amp; FX Reference'!$C$5:$C$25,MATCH(Y118,'Assumptions &amp; FX Reference'!$A$5:$A$25,0)),IF(Z118="USD",AA118*INDEX('Assumptions &amp; FX Reference'!$B$5:$B$25,MATCH(Y118,'Assumptions &amp; FX Reference'!$A$5:$A$25,0))/INDEX('Assumptions &amp; FX Reference'!$C$5:$C$25,MATCH(Y118,'Assumptions &amp; FX Reference'!$A$5:$A$25,0)),""))),"")))</f>
        <v>2467.25946687457</v>
      </c>
      <c r="AC118" s="47" t="n">
        <f aca="false">IF(NOT(ISNUMBER(AA118)),"",IF(NOT(ISNUMBER(Y118)),"",IFERROR(IF(Z118="USD",AA118,IF(Z118="IRR",AA118/INDEX('Assumptions &amp; FX Reference'!$B$5:$B$25,MATCH(Y118,'Assumptions &amp; FX Reference'!$A$5:$A$25,0)),IF(Z118="EUR",AA118*INDEX('Assumptions &amp; FX Reference'!$C$5:$C$25,MATCH(Y118,'Assumptions &amp; FX Reference'!$A$5:$A$25,0))/INDEX('Assumptions &amp; FX Reference'!$B$5:$B$25,MATCH(Y118,'Assumptions &amp; FX Reference'!$A$5:$A$25,0)),""))),"")))</f>
        <v>3225.8064516129</v>
      </c>
      <c r="AD118" s="47" t="n">
        <f aca="false">IF(NOT(ISNUMBER(AA118)),"",IF(NOT(ISNUMBER(Y118)),"",IFERROR(IF(Z118="IRR",AA118,IF(Z118="USD",AA118*INDEX('Assumptions &amp; FX Reference'!$B$5:$B$25,MATCH(Y118,'Assumptions &amp; FX Reference'!$A$5:$A$25,0)),IF(Z118="EUR",AA118*INDEX('Assumptions &amp; FX Reference'!$C$5:$C$25,MATCH(Y118,'Assumptions &amp; FX Reference'!$A$5:$A$25,0)),""))),"")))</f>
        <v>100000000</v>
      </c>
      <c r="AE118" s="42" t="s">
        <v>753</v>
      </c>
      <c r="AF118" s="42" t="s">
        <v>123</v>
      </c>
      <c r="AG118" s="47" t="n">
        <f aca="false">IF(AND(Z118="EUR",N(AA118)&gt;5000000),"",IF(AND(ISNUMBER(AB118),ISNUMBER(AZ118),ISNUMBER(BA118)),IF(AND(BB118="Y",ISNUMBER('Assumptions &amp; FX Reference'!$I$15)),MAX(AB118*BA118/AZ118,'Assumptions &amp; FX Reference'!$I$13*BA118/'Assumptions &amp; FX Reference'!$I$15),AB118*BA118/AZ118),""))</f>
        <v>3333.4350812155</v>
      </c>
      <c r="AH118" s="47" t="n">
        <f aca="false">IF(AND(ISNUMBER(AG118),ISNUMBER('Assumptions &amp; FX Reference'!$I$8),ISNUMBER('Assumptions &amp; FX Reference'!$I$11)),AG118*'Assumptions &amp; FX Reference'!$I$8/'Assumptions &amp; FX Reference'!$I$11,"")</f>
        <v>3519.38436197812</v>
      </c>
      <c r="AI118" s="47" t="n">
        <f aca="false">IF(AND(ISNUMBER(AG118),ISNUMBER('Assumptions &amp; FX Reference'!$I$8)),AG118*'Assumptions &amp; FX Reference'!$I$8,"")</f>
        <v>2317630742.04654</v>
      </c>
      <c r="AJ118" s="42" t="s">
        <v>693</v>
      </c>
      <c r="AK118" s="42" t="s">
        <v>366</v>
      </c>
      <c r="AL118" s="42" t="s">
        <v>123</v>
      </c>
      <c r="AM118" s="42" t="s">
        <v>123</v>
      </c>
      <c r="AN118" s="42" t="s">
        <v>123</v>
      </c>
      <c r="AO118" s="42" t="s">
        <v>123</v>
      </c>
      <c r="AP118" s="42" t="s">
        <v>123</v>
      </c>
      <c r="AQ118" s="42" t="s">
        <v>123</v>
      </c>
      <c r="AR118" s="42" t="s">
        <v>123</v>
      </c>
      <c r="AS118" s="45" t="str">
        <f aca="false">IF(AND(Z118="EUR",N(AA118)&gt;5000000),"Check currency (EUR&gt;5M); ","")&amp;IF(NOT(ISNUMBER(AA118)),"No price; ","")&amp;IF(G118="Not stated","Material missing; ","")&amp;IF(P118="Not stated","Seal missing; ","")&amp;IF(K118="","Size driver missing; ","")&amp;IF(NOT(ISNUMBER(AZ118)),"Base-year PPI missing; ","")</f>
        <v>Seal missing; Size driver missing; </v>
      </c>
      <c r="AT118" s="48" t="n">
        <f aca="false">IFERROR(INDEX(Factors_ROT!$F$5:$F$200,MATCH("MAT|"&amp;G118,Factors_ROT!$A$5:$A$200,0)),1)</f>
        <v>1.35</v>
      </c>
      <c r="AU118" s="48" t="n">
        <f aca="false">IFERROR(INDEX(Factors_ROT!$F$5:$F$200,MATCH("SEAL_ARR|"&amp;P118,Factors_ROT!$A$5:$A$200,0)),1)*IFERROR(INDEX(Factors_ROT!$F$5:$F$200,MATCH("SEAL_CAT|"&amp;Q118,Factors_ROT!$A$5:$A$200,0)),1)*IFERROR(INDEX(Factors_ROT!$F$5:$F$200,MATCH("SEAL_PLAN|"&amp;R118,Factors_ROT!$A$5:$A$200,0)),1)</f>
        <v>1</v>
      </c>
      <c r="AV118" s="48" t="n">
        <f aca="false">IFERROR(INDEX(Factors_ROT!$F$5:$F$200,MATCH("DRV|"&amp;S118,Factors_ROT!$A$5:$A$200,0)),1)*IFERROR(INDEX(Factors_ROT!$F$5:$F$200,MATCH("NACE|"&amp;O118,Factors_ROT!$A$5:$A$200,0)),1)</f>
        <v>1</v>
      </c>
      <c r="AW118" s="48" t="n">
        <f aca="false">IFERROR(INDEX(Factors_ROT!$F$5:$F$200,MATCH("SC_DRV|"&amp;AL118,Factors_ROT!$A$5:$A$200,0)),1)*IFERROR(INDEX(Factors_ROT!$F$5:$F$200,MATCH("SC_BSP|"&amp;AM118,Factors_ROT!$A$5:$A$200,0)),1)*IFERROR(INDEX(Factors_ROT!$F$5:$F$200,MATCH("SC_SEAL|"&amp;AN118,Factors_ROT!$A$5:$A$200,0)),1)*IFERROR(INDEX(Factors_ROT!$F$5:$F$200,MATCH("SC_COMM|"&amp;AO118,Factors_ROT!$A$5:$A$200,0)),1)*IFERROR(INDEX(Factors_ROT!$F$5:$F$200,MATCH("SC_2Y|"&amp;AP118,Factors_ROT!$A$5:$A$200,0)),1)*IFERROR(INDEX(Factors_ROT!$F$5:$F$200,MATCH("SC_TPI|"&amp;AQ118,Factors_ROT!$A$5:$A$200,0)),1)*IFERROR(INDEX(Factors_ROT!$F$5:$F$200,MATCH("SC_FAT|"&amp;AR118,Factors_ROT!$A$5:$A$200,0)),1)</f>
        <v>1</v>
      </c>
      <c r="AX118" s="48" t="n">
        <f aca="false">AT118*AU118*AV118*AW118</f>
        <v>1.35</v>
      </c>
      <c r="AY118" s="47" t="n">
        <f aca="false">IF(ISNUMBER(AB118),AB118/AX118,"")</f>
        <v>1827.59960509228</v>
      </c>
      <c r="AZ118" s="49" t="n">
        <f aca="false">IFERROR(IF(N(INDEX(Escalation_Index!$B$5:$B$25,MATCH(Y118,Escalation_Index!$A$5:$A$25,0)))&gt;0,INDEX(Escalation_Index!$B$5:$B$25,MATCH(Y118,Escalation_Index!$A$5:$A$25,0)),""),"")</f>
        <v>91.347</v>
      </c>
      <c r="BA118" s="49" t="n">
        <f aca="false">IF(ISNUMBER('Assumptions &amp; FX Reference'!$I$12),'Assumptions &amp; FX Reference'!$I$12,"")</f>
        <v>123.416</v>
      </c>
      <c r="BB118" s="45" t="str">
        <f aca="false">IF(AND(M118="API 610",LEFT(V118,11)="Centrifugal",OR(LEFT(G118,2)="S-",LEFT(G118,2)="D-")),"Y","N")</f>
        <v>N</v>
      </c>
      <c r="BC118" s="47" t="n">
        <f aca="false">IF(ISNUMBER(AG118),AG118/AX118,"")</f>
        <v>2469.21117127074</v>
      </c>
      <c r="BD118" s="47" t="str">
        <f aca="false">IF(AND(ISNUMBER(BC118),ISNUMBER(K118)),IF(K118&gt;0,BC118/K118^'Assumptions &amp; FX Reference'!$I$16,""),"")</f>
        <v/>
      </c>
      <c r="BE118" s="42" t="s">
        <v>757</v>
      </c>
      <c r="BF118" s="42" t="s">
        <v>755</v>
      </c>
      <c r="BG118" s="42" t="s">
        <v>369</v>
      </c>
      <c r="BH118" s="45" t="s">
        <v>313</v>
      </c>
      <c r="BI118" s="45" t="str">
        <f aca="false">"PMP-"&amp;TEXT(A118,"0000")</f>
        <v>PMP-0114</v>
      </c>
    </row>
    <row r="119" customFormat="false" ht="24" hidden="false" customHeight="true" outlineLevel="0" collapsed="false">
      <c r="A119" s="42" t="n">
        <v>115</v>
      </c>
      <c r="B119" s="42" t="s">
        <v>300</v>
      </c>
      <c r="C119" s="42" t="s">
        <v>758</v>
      </c>
      <c r="D119" s="42" t="s">
        <v>302</v>
      </c>
      <c r="E119" s="42" t="s">
        <v>45</v>
      </c>
      <c r="F119" s="42" t="s">
        <v>123</v>
      </c>
      <c r="G119" s="42" t="s">
        <v>123</v>
      </c>
      <c r="H119" s="43"/>
      <c r="I119" s="43" t="n">
        <v>95.8</v>
      </c>
      <c r="J119" s="43" t="n">
        <v>54.3</v>
      </c>
      <c r="K119" s="44" t="n">
        <f aca="false">IF(ISNUMBER(J119),J119,IF(AND(ISNUMBER(H119),ISNUMBER(I119)),H119*I119/(367*'Assumptions &amp; FX Reference'!$I$17),""))</f>
        <v>54.3</v>
      </c>
      <c r="L119" s="45" t="str">
        <f aca="false">IF(IF(OR(M119="Not stated",M119=""),""," + "&amp;M119)&amp;IF(OR(N119="None",N119=""),""," + "&amp;N119)&amp;IF(O119="Y"," + NACE MR0175","")="","Not stated",MID(IF(OR(M119="Not stated",M119=""),""," + "&amp;M119)&amp;IF(OR(N119="None",N119=""),""," + "&amp;N119)&amp;IF(O119="Y"," + NACE MR0175",""),4,300))</f>
        <v>Not stated</v>
      </c>
      <c r="M119" s="42" t="s">
        <v>123</v>
      </c>
      <c r="N119" s="42" t="s">
        <v>303</v>
      </c>
      <c r="O119" s="42" t="s">
        <v>123</v>
      </c>
      <c r="P119" s="42" t="s">
        <v>123</v>
      </c>
      <c r="Q119" s="42" t="s">
        <v>123</v>
      </c>
      <c r="R119" s="42" t="s">
        <v>123</v>
      </c>
      <c r="S119" s="42" t="s">
        <v>304</v>
      </c>
      <c r="T119" s="42" t="s">
        <v>305</v>
      </c>
      <c r="U119" s="42" t="n">
        <v>1</v>
      </c>
      <c r="V119" s="42" t="s">
        <v>306</v>
      </c>
      <c r="W119" s="43"/>
      <c r="X119" s="42" t="s">
        <v>759</v>
      </c>
      <c r="Y119" s="42" t="s">
        <v>307</v>
      </c>
      <c r="Z119" s="42" t="s">
        <v>308</v>
      </c>
      <c r="AA119" s="46" t="n">
        <v>580000</v>
      </c>
      <c r="AB119" s="47" t="str">
        <f aca="false">IF(NOT(ISNUMBER(AA119)),"",IF(NOT(ISNUMBER(Y119)),"",IFERROR(IF(Z119="EUR",AA119,IF(Z119="IRR",AA119/INDEX('Assumptions &amp; FX Reference'!$C$5:$C$25,MATCH(Y119,'Assumptions &amp; FX Reference'!$A$5:$A$25,0)),IF(Z119="USD",AA119*INDEX('Assumptions &amp; FX Reference'!$B$5:$B$25,MATCH(Y119,'Assumptions &amp; FX Reference'!$A$5:$A$25,0))/INDEX('Assumptions &amp; FX Reference'!$C$5:$C$25,MATCH(Y119,'Assumptions &amp; FX Reference'!$A$5:$A$25,0)),""))),"")))</f>
        <v/>
      </c>
      <c r="AC119" s="47" t="str">
        <f aca="false">IF(NOT(ISNUMBER(AA119)),"",IF(NOT(ISNUMBER(Y119)),"",IFERROR(IF(Z119="USD",AA119,IF(Z119="IRR",AA119/INDEX('Assumptions &amp; FX Reference'!$B$5:$B$25,MATCH(Y119,'Assumptions &amp; FX Reference'!$A$5:$A$25,0)),IF(Z119="EUR",AA119*INDEX('Assumptions &amp; FX Reference'!$C$5:$C$25,MATCH(Y119,'Assumptions &amp; FX Reference'!$A$5:$A$25,0))/INDEX('Assumptions &amp; FX Reference'!$B$5:$B$25,MATCH(Y119,'Assumptions &amp; FX Reference'!$A$5:$A$25,0)),""))),"")))</f>
        <v/>
      </c>
      <c r="AD119" s="47" t="str">
        <f aca="false">IF(NOT(ISNUMBER(AA119)),"",IF(NOT(ISNUMBER(Y119)),"",IFERROR(IF(Z119="IRR",AA119,IF(Z119="USD",AA119*INDEX('Assumptions &amp; FX Reference'!$B$5:$B$25,MATCH(Y119,'Assumptions &amp; FX Reference'!$A$5:$A$25,0)),IF(Z119="EUR",AA119*INDEX('Assumptions &amp; FX Reference'!$C$5:$C$25,MATCH(Y119,'Assumptions &amp; FX Reference'!$A$5:$A$25,0)),""))),"")))</f>
        <v/>
      </c>
      <c r="AE119" s="42" t="s">
        <v>760</v>
      </c>
      <c r="AF119" s="42" t="s">
        <v>123</v>
      </c>
      <c r="AG119" s="47" t="str">
        <f aca="false">IF(AND(Z119="EUR",N(AA119)&gt;5000000),"",IF(AND(ISNUMBER(AB119),ISNUMBER(AZ119),ISNUMBER(BA119)),IF(AND(BB119="Y",ISNUMBER('Assumptions &amp; FX Reference'!$I$15)),MAX(AB119*BA119/AZ119,'Assumptions &amp; FX Reference'!$I$13*BA119/'Assumptions &amp; FX Reference'!$I$15),AB119*BA119/AZ119),""))</f>
        <v/>
      </c>
      <c r="AH119" s="47" t="str">
        <f aca="false">IF(AND(ISNUMBER(AG119),ISNUMBER('Assumptions &amp; FX Reference'!$I$8),ISNUMBER('Assumptions &amp; FX Reference'!$I$11)),AG119*'Assumptions &amp; FX Reference'!$I$8/'Assumptions &amp; FX Reference'!$I$11,"")</f>
        <v/>
      </c>
      <c r="AI119" s="47" t="str">
        <f aca="false">IF(AND(ISNUMBER(AG119),ISNUMBER('Assumptions &amp; FX Reference'!$I$8)),AG119*'Assumptions &amp; FX Reference'!$I$8,"")</f>
        <v/>
      </c>
      <c r="AJ119" s="42" t="s">
        <v>302</v>
      </c>
      <c r="AK119" s="42" t="s">
        <v>123</v>
      </c>
      <c r="AL119" s="42" t="s">
        <v>123</v>
      </c>
      <c r="AM119" s="42" t="s">
        <v>123</v>
      </c>
      <c r="AN119" s="42" t="s">
        <v>123</v>
      </c>
      <c r="AO119" s="42" t="s">
        <v>123</v>
      </c>
      <c r="AP119" s="42" t="s">
        <v>123</v>
      </c>
      <c r="AQ119" s="42" t="s">
        <v>123</v>
      </c>
      <c r="AR119" s="42" t="s">
        <v>123</v>
      </c>
      <c r="AS119" s="45" t="str">
        <f aca="false">IF(AND(Z119="EUR",N(AA119)&gt;5000000),"Check currency (EUR&gt;5M); ","")&amp;IF(NOT(ISNUMBER(AA119)),"No price; ","")&amp;IF(G119="Not stated","Material missing; ","")&amp;IF(P119="Not stated","Seal missing; ","")&amp;IF(K119="","Size driver missing; ","")&amp;IF(NOT(ISNUMBER(AZ119)),"Base-year PPI missing; ","")</f>
        <v>Material missing; Seal missing; Base-year PPI missing; </v>
      </c>
      <c r="AT119" s="48" t="n">
        <f aca="false">IFERROR(INDEX(Factors_ROT!$F$5:$F$200,MATCH("MAT|"&amp;G119,Factors_ROT!$A$5:$A$200,0)),1)</f>
        <v>1</v>
      </c>
      <c r="AU119" s="48" t="n">
        <f aca="false">IFERROR(INDEX(Factors_ROT!$F$5:$F$200,MATCH("SEAL_ARR|"&amp;P119,Factors_ROT!$A$5:$A$200,0)),1)*IFERROR(INDEX(Factors_ROT!$F$5:$F$200,MATCH("SEAL_CAT|"&amp;Q119,Factors_ROT!$A$5:$A$200,0)),1)*IFERROR(INDEX(Factors_ROT!$F$5:$F$200,MATCH("SEAL_PLAN|"&amp;R119,Factors_ROT!$A$5:$A$200,0)),1)</f>
        <v>1</v>
      </c>
      <c r="AV119" s="48" t="n">
        <f aca="false">IFERROR(INDEX(Factors_ROT!$F$5:$F$200,MATCH("DRV|"&amp;S119,Factors_ROT!$A$5:$A$200,0)),1)*IFERROR(INDEX(Factors_ROT!$F$5:$F$200,MATCH("NACE|"&amp;O119,Factors_ROT!$A$5:$A$200,0)),1)</f>
        <v>1</v>
      </c>
      <c r="AW119" s="48" t="n">
        <f aca="false">IFERROR(INDEX(Factors_ROT!$F$5:$F$200,MATCH("SC_DRV|"&amp;AL119,Factors_ROT!$A$5:$A$200,0)),1)*IFERROR(INDEX(Factors_ROT!$F$5:$F$200,MATCH("SC_BSP|"&amp;AM119,Factors_ROT!$A$5:$A$200,0)),1)*IFERROR(INDEX(Factors_ROT!$F$5:$F$200,MATCH("SC_SEAL|"&amp;AN119,Factors_ROT!$A$5:$A$200,0)),1)*IFERROR(INDEX(Factors_ROT!$F$5:$F$200,MATCH("SC_COMM|"&amp;AO119,Factors_ROT!$A$5:$A$200,0)),1)*IFERROR(INDEX(Factors_ROT!$F$5:$F$200,MATCH("SC_2Y|"&amp;AP119,Factors_ROT!$A$5:$A$200,0)),1)*IFERROR(INDEX(Factors_ROT!$F$5:$F$200,MATCH("SC_TPI|"&amp;AQ119,Factors_ROT!$A$5:$A$200,0)),1)*IFERROR(INDEX(Factors_ROT!$F$5:$F$200,MATCH("SC_FAT|"&amp;AR119,Factors_ROT!$A$5:$A$200,0)),1)</f>
        <v>1</v>
      </c>
      <c r="AX119" s="48" t="n">
        <f aca="false">AT119*AU119*AV119*AW119</f>
        <v>1</v>
      </c>
      <c r="AY119" s="47" t="str">
        <f aca="false">IF(ISNUMBER(AB119),AB119/AX119,"")</f>
        <v/>
      </c>
      <c r="AZ119" s="49" t="str">
        <f aca="false">IFERROR(IF(N(INDEX(Escalation_Index!$B$5:$B$25,MATCH(Y119,Escalation_Index!$A$5:$A$25,0)))&gt;0,INDEX(Escalation_Index!$B$5:$B$25,MATCH(Y119,Escalation_Index!$A$5:$A$25,0)),""),"")</f>
        <v/>
      </c>
      <c r="BA119" s="49" t="n">
        <f aca="false">IF(ISNUMBER('Assumptions &amp; FX Reference'!$I$12),'Assumptions &amp; FX Reference'!$I$12,"")</f>
        <v>123.416</v>
      </c>
      <c r="BB119" s="45" t="str">
        <f aca="false">IF(AND(M119="API 610",LEFT(V119,11)="Centrifugal",OR(LEFT(G119,2)="S-",LEFT(G119,2)="D-")),"Y","N")</f>
        <v>N</v>
      </c>
      <c r="BC119" s="47" t="str">
        <f aca="false">IF(ISNUMBER(AG119),AG119/AX119,"")</f>
        <v/>
      </c>
      <c r="BD119" s="47" t="str">
        <f aca="false">IF(AND(ISNUMBER(BC119),ISNUMBER(K119)),IF(K119&gt;0,BC119/K119^'Assumptions &amp; FX Reference'!$I$16,""),"")</f>
        <v/>
      </c>
      <c r="BE119" s="42" t="s">
        <v>761</v>
      </c>
      <c r="BF119" s="42" t="s">
        <v>762</v>
      </c>
      <c r="BG119" s="42" t="s">
        <v>369</v>
      </c>
      <c r="BH119" s="45" t="s">
        <v>313</v>
      </c>
      <c r="BI119" s="45" t="str">
        <f aca="false">"PMP-"&amp;TEXT(A119,"0000")</f>
        <v>PMP-0115</v>
      </c>
    </row>
    <row r="120" customFormat="false" ht="24" hidden="false" customHeight="true" outlineLevel="0" collapsed="false">
      <c r="A120" s="42" t="n">
        <v>116</v>
      </c>
      <c r="B120" s="42" t="s">
        <v>314</v>
      </c>
      <c r="C120" s="42" t="s">
        <v>758</v>
      </c>
      <c r="D120" s="42" t="s">
        <v>302</v>
      </c>
      <c r="E120" s="42" t="s">
        <v>45</v>
      </c>
      <c r="F120" s="42" t="s">
        <v>123</v>
      </c>
      <c r="G120" s="42" t="s">
        <v>123</v>
      </c>
      <c r="H120" s="43"/>
      <c r="I120" s="43" t="n">
        <v>59.85</v>
      </c>
      <c r="J120" s="43" t="n">
        <v>33.12</v>
      </c>
      <c r="K120" s="44" t="n">
        <f aca="false">IF(ISNUMBER(J120),J120,IF(AND(ISNUMBER(H120),ISNUMBER(I120)),H120*I120/(367*'Assumptions &amp; FX Reference'!$I$17),""))</f>
        <v>33.12</v>
      </c>
      <c r="L120" s="45" t="str">
        <f aca="false">IF(IF(OR(M120="Not stated",M120=""),""," + "&amp;M120)&amp;IF(OR(N120="None",N120=""),""," + "&amp;N120)&amp;IF(O120="Y"," + NACE MR0175","")="","Not stated",MID(IF(OR(M120="Not stated",M120=""),""," + "&amp;M120)&amp;IF(OR(N120="None",N120=""),""," + "&amp;N120)&amp;IF(O120="Y"," + NACE MR0175",""),4,300))</f>
        <v>Not stated</v>
      </c>
      <c r="M120" s="42" t="s">
        <v>123</v>
      </c>
      <c r="N120" s="42" t="s">
        <v>303</v>
      </c>
      <c r="O120" s="42" t="s">
        <v>123</v>
      </c>
      <c r="P120" s="42" t="s">
        <v>123</v>
      </c>
      <c r="Q120" s="42" t="s">
        <v>123</v>
      </c>
      <c r="R120" s="42" t="s">
        <v>123</v>
      </c>
      <c r="S120" s="42" t="s">
        <v>304</v>
      </c>
      <c r="T120" s="42" t="s">
        <v>305</v>
      </c>
      <c r="U120" s="42" t="n">
        <v>1</v>
      </c>
      <c r="V120" s="42" t="s">
        <v>306</v>
      </c>
      <c r="W120" s="43"/>
      <c r="X120" s="42" t="s">
        <v>759</v>
      </c>
      <c r="Y120" s="42" t="s">
        <v>307</v>
      </c>
      <c r="Z120" s="42" t="s">
        <v>308</v>
      </c>
      <c r="AA120" s="46" t="n">
        <v>380000</v>
      </c>
      <c r="AB120" s="47" t="str">
        <f aca="false">IF(NOT(ISNUMBER(AA120)),"",IF(NOT(ISNUMBER(Y120)),"",IFERROR(IF(Z120="EUR",AA120,IF(Z120="IRR",AA120/INDEX('Assumptions &amp; FX Reference'!$C$5:$C$25,MATCH(Y120,'Assumptions &amp; FX Reference'!$A$5:$A$25,0)),IF(Z120="USD",AA120*INDEX('Assumptions &amp; FX Reference'!$B$5:$B$25,MATCH(Y120,'Assumptions &amp; FX Reference'!$A$5:$A$25,0))/INDEX('Assumptions &amp; FX Reference'!$C$5:$C$25,MATCH(Y120,'Assumptions &amp; FX Reference'!$A$5:$A$25,0)),""))),"")))</f>
        <v/>
      </c>
      <c r="AC120" s="47" t="str">
        <f aca="false">IF(NOT(ISNUMBER(AA120)),"",IF(NOT(ISNUMBER(Y120)),"",IFERROR(IF(Z120="USD",AA120,IF(Z120="IRR",AA120/INDEX('Assumptions &amp; FX Reference'!$B$5:$B$25,MATCH(Y120,'Assumptions &amp; FX Reference'!$A$5:$A$25,0)),IF(Z120="EUR",AA120*INDEX('Assumptions &amp; FX Reference'!$C$5:$C$25,MATCH(Y120,'Assumptions &amp; FX Reference'!$A$5:$A$25,0))/INDEX('Assumptions &amp; FX Reference'!$B$5:$B$25,MATCH(Y120,'Assumptions &amp; FX Reference'!$A$5:$A$25,0)),""))),"")))</f>
        <v/>
      </c>
      <c r="AD120" s="47" t="str">
        <f aca="false">IF(NOT(ISNUMBER(AA120)),"",IF(NOT(ISNUMBER(Y120)),"",IFERROR(IF(Z120="IRR",AA120,IF(Z120="USD",AA120*INDEX('Assumptions &amp; FX Reference'!$B$5:$B$25,MATCH(Y120,'Assumptions &amp; FX Reference'!$A$5:$A$25,0)),IF(Z120="EUR",AA120*INDEX('Assumptions &amp; FX Reference'!$C$5:$C$25,MATCH(Y120,'Assumptions &amp; FX Reference'!$A$5:$A$25,0)),""))),"")))</f>
        <v/>
      </c>
      <c r="AE120" s="42" t="s">
        <v>760</v>
      </c>
      <c r="AF120" s="42" t="s">
        <v>123</v>
      </c>
      <c r="AG120" s="47" t="str">
        <f aca="false">IF(AND(Z120="EUR",N(AA120)&gt;5000000),"",IF(AND(ISNUMBER(AB120),ISNUMBER(AZ120),ISNUMBER(BA120)),IF(AND(BB120="Y",ISNUMBER('Assumptions &amp; FX Reference'!$I$15)),MAX(AB120*BA120/AZ120,'Assumptions &amp; FX Reference'!$I$13*BA120/'Assumptions &amp; FX Reference'!$I$15),AB120*BA120/AZ120),""))</f>
        <v/>
      </c>
      <c r="AH120" s="47" t="str">
        <f aca="false">IF(AND(ISNUMBER(AG120),ISNUMBER('Assumptions &amp; FX Reference'!$I$8),ISNUMBER('Assumptions &amp; FX Reference'!$I$11)),AG120*'Assumptions &amp; FX Reference'!$I$8/'Assumptions &amp; FX Reference'!$I$11,"")</f>
        <v/>
      </c>
      <c r="AI120" s="47" t="str">
        <f aca="false">IF(AND(ISNUMBER(AG120),ISNUMBER('Assumptions &amp; FX Reference'!$I$8)),AG120*'Assumptions &amp; FX Reference'!$I$8,"")</f>
        <v/>
      </c>
      <c r="AJ120" s="42" t="s">
        <v>302</v>
      </c>
      <c r="AK120" s="42" t="s">
        <v>123</v>
      </c>
      <c r="AL120" s="42" t="s">
        <v>123</v>
      </c>
      <c r="AM120" s="42" t="s">
        <v>123</v>
      </c>
      <c r="AN120" s="42" t="s">
        <v>123</v>
      </c>
      <c r="AO120" s="42" t="s">
        <v>123</v>
      </c>
      <c r="AP120" s="42" t="s">
        <v>123</v>
      </c>
      <c r="AQ120" s="42" t="s">
        <v>123</v>
      </c>
      <c r="AR120" s="42" t="s">
        <v>123</v>
      </c>
      <c r="AS120" s="45" t="str">
        <f aca="false">IF(AND(Z120="EUR",N(AA120)&gt;5000000),"Check currency (EUR&gt;5M); ","")&amp;IF(NOT(ISNUMBER(AA120)),"No price; ","")&amp;IF(G120="Not stated","Material missing; ","")&amp;IF(P120="Not stated","Seal missing; ","")&amp;IF(K120="","Size driver missing; ","")&amp;IF(NOT(ISNUMBER(AZ120)),"Base-year PPI missing; ","")</f>
        <v>Material missing; Seal missing; Base-year PPI missing; </v>
      </c>
      <c r="AT120" s="48" t="n">
        <f aca="false">IFERROR(INDEX(Factors_ROT!$F$5:$F$200,MATCH("MAT|"&amp;G120,Factors_ROT!$A$5:$A$200,0)),1)</f>
        <v>1</v>
      </c>
      <c r="AU120" s="48" t="n">
        <f aca="false">IFERROR(INDEX(Factors_ROT!$F$5:$F$200,MATCH("SEAL_ARR|"&amp;P120,Factors_ROT!$A$5:$A$200,0)),1)*IFERROR(INDEX(Factors_ROT!$F$5:$F$200,MATCH("SEAL_CAT|"&amp;Q120,Factors_ROT!$A$5:$A$200,0)),1)*IFERROR(INDEX(Factors_ROT!$F$5:$F$200,MATCH("SEAL_PLAN|"&amp;R120,Factors_ROT!$A$5:$A$200,0)),1)</f>
        <v>1</v>
      </c>
      <c r="AV120" s="48" t="n">
        <f aca="false">IFERROR(INDEX(Factors_ROT!$F$5:$F$200,MATCH("DRV|"&amp;S120,Factors_ROT!$A$5:$A$200,0)),1)*IFERROR(INDEX(Factors_ROT!$F$5:$F$200,MATCH("NACE|"&amp;O120,Factors_ROT!$A$5:$A$200,0)),1)</f>
        <v>1</v>
      </c>
      <c r="AW120" s="48" t="n">
        <f aca="false">IFERROR(INDEX(Factors_ROT!$F$5:$F$200,MATCH("SC_DRV|"&amp;AL120,Factors_ROT!$A$5:$A$200,0)),1)*IFERROR(INDEX(Factors_ROT!$F$5:$F$200,MATCH("SC_BSP|"&amp;AM120,Factors_ROT!$A$5:$A$200,0)),1)*IFERROR(INDEX(Factors_ROT!$F$5:$F$200,MATCH("SC_SEAL|"&amp;AN120,Factors_ROT!$A$5:$A$200,0)),1)*IFERROR(INDEX(Factors_ROT!$F$5:$F$200,MATCH("SC_COMM|"&amp;AO120,Factors_ROT!$A$5:$A$200,0)),1)*IFERROR(INDEX(Factors_ROT!$F$5:$F$200,MATCH("SC_2Y|"&amp;AP120,Factors_ROT!$A$5:$A$200,0)),1)*IFERROR(INDEX(Factors_ROT!$F$5:$F$200,MATCH("SC_TPI|"&amp;AQ120,Factors_ROT!$A$5:$A$200,0)),1)*IFERROR(INDEX(Factors_ROT!$F$5:$F$200,MATCH("SC_FAT|"&amp;AR120,Factors_ROT!$A$5:$A$200,0)),1)</f>
        <v>1</v>
      </c>
      <c r="AX120" s="48" t="n">
        <f aca="false">AT120*AU120*AV120*AW120</f>
        <v>1</v>
      </c>
      <c r="AY120" s="47" t="str">
        <f aca="false">IF(ISNUMBER(AB120),AB120/AX120,"")</f>
        <v/>
      </c>
      <c r="AZ120" s="49" t="str">
        <f aca="false">IFERROR(IF(N(INDEX(Escalation_Index!$B$5:$B$25,MATCH(Y120,Escalation_Index!$A$5:$A$25,0)))&gt;0,INDEX(Escalation_Index!$B$5:$B$25,MATCH(Y120,Escalation_Index!$A$5:$A$25,0)),""),"")</f>
        <v/>
      </c>
      <c r="BA120" s="49" t="n">
        <f aca="false">IF(ISNUMBER('Assumptions &amp; FX Reference'!$I$12),'Assumptions &amp; FX Reference'!$I$12,"")</f>
        <v>123.416</v>
      </c>
      <c r="BB120" s="45" t="str">
        <f aca="false">IF(AND(M120="API 610",LEFT(V120,11)="Centrifugal",OR(LEFT(G120,2)="S-",LEFT(G120,2)="D-")),"Y","N")</f>
        <v>N</v>
      </c>
      <c r="BC120" s="47" t="str">
        <f aca="false">IF(ISNUMBER(AG120),AG120/AX120,"")</f>
        <v/>
      </c>
      <c r="BD120" s="47" t="str">
        <f aca="false">IF(AND(ISNUMBER(BC120),ISNUMBER(K120)),IF(K120&gt;0,BC120/K120^'Assumptions &amp; FX Reference'!$I$16,""),"")</f>
        <v/>
      </c>
      <c r="BE120" s="42" t="s">
        <v>763</v>
      </c>
      <c r="BF120" s="42" t="s">
        <v>764</v>
      </c>
      <c r="BG120" s="42" t="s">
        <v>369</v>
      </c>
      <c r="BH120" s="45" t="s">
        <v>313</v>
      </c>
      <c r="BI120" s="45" t="str">
        <f aca="false">"PMP-"&amp;TEXT(A120,"0000")</f>
        <v>PMP-0116</v>
      </c>
    </row>
    <row r="121" customFormat="false" ht="24" hidden="false" customHeight="true" outlineLevel="0" collapsed="false">
      <c r="A121" s="42" t="n">
        <v>117</v>
      </c>
      <c r="B121" s="42" t="s">
        <v>317</v>
      </c>
      <c r="C121" s="42" t="s">
        <v>758</v>
      </c>
      <c r="D121" s="42" t="s">
        <v>302</v>
      </c>
      <c r="E121" s="42" t="s">
        <v>45</v>
      </c>
      <c r="F121" s="42" t="s">
        <v>123</v>
      </c>
      <c r="G121" s="42" t="s">
        <v>123</v>
      </c>
      <c r="H121" s="43"/>
      <c r="I121" s="43" t="n">
        <v>34.75</v>
      </c>
      <c r="J121" s="43" t="n">
        <v>57.35</v>
      </c>
      <c r="K121" s="44" t="n">
        <f aca="false">IF(ISNUMBER(J121),J121,IF(AND(ISNUMBER(H121),ISNUMBER(I121)),H121*I121/(367*'Assumptions &amp; FX Reference'!$I$17),""))</f>
        <v>57.35</v>
      </c>
      <c r="L121" s="45" t="str">
        <f aca="false">IF(IF(OR(M121="Not stated",M121=""),""," + "&amp;M121)&amp;IF(OR(N121="None",N121=""),""," + "&amp;N121)&amp;IF(O121="Y"," + NACE MR0175","")="","Not stated",MID(IF(OR(M121="Not stated",M121=""),""," + "&amp;M121)&amp;IF(OR(N121="None",N121=""),""," + "&amp;N121)&amp;IF(O121="Y"," + NACE MR0175",""),4,300))</f>
        <v>Not stated</v>
      </c>
      <c r="M121" s="42" t="s">
        <v>123</v>
      </c>
      <c r="N121" s="42" t="s">
        <v>303</v>
      </c>
      <c r="O121" s="42" t="s">
        <v>123</v>
      </c>
      <c r="P121" s="42" t="s">
        <v>123</v>
      </c>
      <c r="Q121" s="42" t="s">
        <v>123</v>
      </c>
      <c r="R121" s="42" t="s">
        <v>123</v>
      </c>
      <c r="S121" s="42" t="s">
        <v>304</v>
      </c>
      <c r="T121" s="42" t="s">
        <v>305</v>
      </c>
      <c r="U121" s="42" t="n">
        <v>1</v>
      </c>
      <c r="V121" s="42" t="s">
        <v>306</v>
      </c>
      <c r="W121" s="43"/>
      <c r="X121" s="42" t="s">
        <v>759</v>
      </c>
      <c r="Y121" s="42" t="s">
        <v>307</v>
      </c>
      <c r="Z121" s="42" t="s">
        <v>308</v>
      </c>
      <c r="AA121" s="46" t="n">
        <v>250000</v>
      </c>
      <c r="AB121" s="47" t="str">
        <f aca="false">IF(NOT(ISNUMBER(AA121)),"",IF(NOT(ISNUMBER(Y121)),"",IFERROR(IF(Z121="EUR",AA121,IF(Z121="IRR",AA121/INDEX('Assumptions &amp; FX Reference'!$C$5:$C$25,MATCH(Y121,'Assumptions &amp; FX Reference'!$A$5:$A$25,0)),IF(Z121="USD",AA121*INDEX('Assumptions &amp; FX Reference'!$B$5:$B$25,MATCH(Y121,'Assumptions &amp; FX Reference'!$A$5:$A$25,0))/INDEX('Assumptions &amp; FX Reference'!$C$5:$C$25,MATCH(Y121,'Assumptions &amp; FX Reference'!$A$5:$A$25,0)),""))),"")))</f>
        <v/>
      </c>
      <c r="AC121" s="47" t="str">
        <f aca="false">IF(NOT(ISNUMBER(AA121)),"",IF(NOT(ISNUMBER(Y121)),"",IFERROR(IF(Z121="USD",AA121,IF(Z121="IRR",AA121/INDEX('Assumptions &amp; FX Reference'!$B$5:$B$25,MATCH(Y121,'Assumptions &amp; FX Reference'!$A$5:$A$25,0)),IF(Z121="EUR",AA121*INDEX('Assumptions &amp; FX Reference'!$C$5:$C$25,MATCH(Y121,'Assumptions &amp; FX Reference'!$A$5:$A$25,0))/INDEX('Assumptions &amp; FX Reference'!$B$5:$B$25,MATCH(Y121,'Assumptions &amp; FX Reference'!$A$5:$A$25,0)),""))),"")))</f>
        <v/>
      </c>
      <c r="AD121" s="47" t="str">
        <f aca="false">IF(NOT(ISNUMBER(AA121)),"",IF(NOT(ISNUMBER(Y121)),"",IFERROR(IF(Z121="IRR",AA121,IF(Z121="USD",AA121*INDEX('Assumptions &amp; FX Reference'!$B$5:$B$25,MATCH(Y121,'Assumptions &amp; FX Reference'!$A$5:$A$25,0)),IF(Z121="EUR",AA121*INDEX('Assumptions &amp; FX Reference'!$C$5:$C$25,MATCH(Y121,'Assumptions &amp; FX Reference'!$A$5:$A$25,0)),""))),"")))</f>
        <v/>
      </c>
      <c r="AE121" s="42" t="s">
        <v>760</v>
      </c>
      <c r="AF121" s="42" t="s">
        <v>123</v>
      </c>
      <c r="AG121" s="47" t="str">
        <f aca="false">IF(AND(Z121="EUR",N(AA121)&gt;5000000),"",IF(AND(ISNUMBER(AB121),ISNUMBER(AZ121),ISNUMBER(BA121)),IF(AND(BB121="Y",ISNUMBER('Assumptions &amp; FX Reference'!$I$15)),MAX(AB121*BA121/AZ121,'Assumptions &amp; FX Reference'!$I$13*BA121/'Assumptions &amp; FX Reference'!$I$15),AB121*BA121/AZ121),""))</f>
        <v/>
      </c>
      <c r="AH121" s="47" t="str">
        <f aca="false">IF(AND(ISNUMBER(AG121),ISNUMBER('Assumptions &amp; FX Reference'!$I$8),ISNUMBER('Assumptions &amp; FX Reference'!$I$11)),AG121*'Assumptions &amp; FX Reference'!$I$8/'Assumptions &amp; FX Reference'!$I$11,"")</f>
        <v/>
      </c>
      <c r="AI121" s="47" t="str">
        <f aca="false">IF(AND(ISNUMBER(AG121),ISNUMBER('Assumptions &amp; FX Reference'!$I$8)),AG121*'Assumptions &amp; FX Reference'!$I$8,"")</f>
        <v/>
      </c>
      <c r="AJ121" s="42" t="s">
        <v>302</v>
      </c>
      <c r="AK121" s="42" t="s">
        <v>123</v>
      </c>
      <c r="AL121" s="42" t="s">
        <v>123</v>
      </c>
      <c r="AM121" s="42" t="s">
        <v>123</v>
      </c>
      <c r="AN121" s="42" t="s">
        <v>123</v>
      </c>
      <c r="AO121" s="42" t="s">
        <v>123</v>
      </c>
      <c r="AP121" s="42" t="s">
        <v>123</v>
      </c>
      <c r="AQ121" s="42" t="s">
        <v>123</v>
      </c>
      <c r="AR121" s="42" t="s">
        <v>123</v>
      </c>
      <c r="AS121" s="45" t="str">
        <f aca="false">IF(AND(Z121="EUR",N(AA121)&gt;5000000),"Check currency (EUR&gt;5M); ","")&amp;IF(NOT(ISNUMBER(AA121)),"No price; ","")&amp;IF(G121="Not stated","Material missing; ","")&amp;IF(P121="Not stated","Seal missing; ","")&amp;IF(K121="","Size driver missing; ","")&amp;IF(NOT(ISNUMBER(AZ121)),"Base-year PPI missing; ","")</f>
        <v>Material missing; Seal missing; Base-year PPI missing; </v>
      </c>
      <c r="AT121" s="48" t="n">
        <f aca="false">IFERROR(INDEX(Factors_ROT!$F$5:$F$200,MATCH("MAT|"&amp;G121,Factors_ROT!$A$5:$A$200,0)),1)</f>
        <v>1</v>
      </c>
      <c r="AU121" s="48" t="n">
        <f aca="false">IFERROR(INDEX(Factors_ROT!$F$5:$F$200,MATCH("SEAL_ARR|"&amp;P121,Factors_ROT!$A$5:$A$200,0)),1)*IFERROR(INDEX(Factors_ROT!$F$5:$F$200,MATCH("SEAL_CAT|"&amp;Q121,Factors_ROT!$A$5:$A$200,0)),1)*IFERROR(INDEX(Factors_ROT!$F$5:$F$200,MATCH("SEAL_PLAN|"&amp;R121,Factors_ROT!$A$5:$A$200,0)),1)</f>
        <v>1</v>
      </c>
      <c r="AV121" s="48" t="n">
        <f aca="false">IFERROR(INDEX(Factors_ROT!$F$5:$F$200,MATCH("DRV|"&amp;S121,Factors_ROT!$A$5:$A$200,0)),1)*IFERROR(INDEX(Factors_ROT!$F$5:$F$200,MATCH("NACE|"&amp;O121,Factors_ROT!$A$5:$A$200,0)),1)</f>
        <v>1</v>
      </c>
      <c r="AW121" s="48" t="n">
        <f aca="false">IFERROR(INDEX(Factors_ROT!$F$5:$F$200,MATCH("SC_DRV|"&amp;AL121,Factors_ROT!$A$5:$A$200,0)),1)*IFERROR(INDEX(Factors_ROT!$F$5:$F$200,MATCH("SC_BSP|"&amp;AM121,Factors_ROT!$A$5:$A$200,0)),1)*IFERROR(INDEX(Factors_ROT!$F$5:$F$200,MATCH("SC_SEAL|"&amp;AN121,Factors_ROT!$A$5:$A$200,0)),1)*IFERROR(INDEX(Factors_ROT!$F$5:$F$200,MATCH("SC_COMM|"&amp;AO121,Factors_ROT!$A$5:$A$200,0)),1)*IFERROR(INDEX(Factors_ROT!$F$5:$F$200,MATCH("SC_2Y|"&amp;AP121,Factors_ROT!$A$5:$A$200,0)),1)*IFERROR(INDEX(Factors_ROT!$F$5:$F$200,MATCH("SC_TPI|"&amp;AQ121,Factors_ROT!$A$5:$A$200,0)),1)*IFERROR(INDEX(Factors_ROT!$F$5:$F$200,MATCH("SC_FAT|"&amp;AR121,Factors_ROT!$A$5:$A$200,0)),1)</f>
        <v>1</v>
      </c>
      <c r="AX121" s="48" t="n">
        <f aca="false">AT121*AU121*AV121*AW121</f>
        <v>1</v>
      </c>
      <c r="AY121" s="47" t="str">
        <f aca="false">IF(ISNUMBER(AB121),AB121/AX121,"")</f>
        <v/>
      </c>
      <c r="AZ121" s="49" t="str">
        <f aca="false">IFERROR(IF(N(INDEX(Escalation_Index!$B$5:$B$25,MATCH(Y121,Escalation_Index!$A$5:$A$25,0)))&gt;0,INDEX(Escalation_Index!$B$5:$B$25,MATCH(Y121,Escalation_Index!$A$5:$A$25,0)),""),"")</f>
        <v/>
      </c>
      <c r="BA121" s="49" t="n">
        <f aca="false">IF(ISNUMBER('Assumptions &amp; FX Reference'!$I$12),'Assumptions &amp; FX Reference'!$I$12,"")</f>
        <v>123.416</v>
      </c>
      <c r="BB121" s="45" t="str">
        <f aca="false">IF(AND(M121="API 610",LEFT(V121,11)="Centrifugal",OR(LEFT(G121,2)="S-",LEFT(G121,2)="D-")),"Y","N")</f>
        <v>N</v>
      </c>
      <c r="BC121" s="47" t="str">
        <f aca="false">IF(ISNUMBER(AG121),AG121/AX121,"")</f>
        <v/>
      </c>
      <c r="BD121" s="47" t="str">
        <f aca="false">IF(AND(ISNUMBER(BC121),ISNUMBER(K121)),IF(K121&gt;0,BC121/K121^'Assumptions &amp; FX Reference'!$I$16,""),"")</f>
        <v/>
      </c>
      <c r="BE121" s="42" t="s">
        <v>765</v>
      </c>
      <c r="BF121" s="42" t="s">
        <v>766</v>
      </c>
      <c r="BG121" s="42" t="s">
        <v>369</v>
      </c>
      <c r="BH121" s="45" t="s">
        <v>313</v>
      </c>
      <c r="BI121" s="45" t="str">
        <f aca="false">"PMP-"&amp;TEXT(A121,"0000")</f>
        <v>PMP-0117</v>
      </c>
    </row>
    <row r="122" customFormat="false" ht="24" hidden="false" customHeight="true" outlineLevel="0" collapsed="false">
      <c r="A122" s="42" t="n">
        <v>118</v>
      </c>
      <c r="B122" s="42" t="s">
        <v>320</v>
      </c>
      <c r="C122" s="42" t="s">
        <v>758</v>
      </c>
      <c r="D122" s="42" t="s">
        <v>302</v>
      </c>
      <c r="E122" s="42" t="s">
        <v>45</v>
      </c>
      <c r="F122" s="42" t="s">
        <v>123</v>
      </c>
      <c r="G122" s="42" t="s">
        <v>123</v>
      </c>
      <c r="H122" s="43"/>
      <c r="I122" s="43"/>
      <c r="J122" s="43"/>
      <c r="K122" s="44" t="str">
        <f aca="false">IF(ISNUMBER(J122),J122,IF(AND(ISNUMBER(H122),ISNUMBER(I122)),H122*I122/(367*'Assumptions &amp; FX Reference'!$I$17),""))</f>
        <v/>
      </c>
      <c r="L122" s="45" t="str">
        <f aca="false">IF(IF(OR(M122="Not stated",M122=""),""," + "&amp;M122)&amp;IF(OR(N122="None",N122=""),""," + "&amp;N122)&amp;IF(O122="Y"," + NACE MR0175","")="","Not stated",MID(IF(OR(M122="Not stated",M122=""),""," + "&amp;M122)&amp;IF(OR(N122="None",N122=""),""," + "&amp;N122)&amp;IF(O122="Y"," + NACE MR0175",""),4,300))</f>
        <v>Not stated</v>
      </c>
      <c r="M122" s="42" t="s">
        <v>123</v>
      </c>
      <c r="N122" s="42" t="s">
        <v>303</v>
      </c>
      <c r="O122" s="42" t="s">
        <v>123</v>
      </c>
      <c r="P122" s="42" t="s">
        <v>123</v>
      </c>
      <c r="Q122" s="42" t="s">
        <v>123</v>
      </c>
      <c r="R122" s="42" t="s">
        <v>123</v>
      </c>
      <c r="S122" s="42" t="s">
        <v>304</v>
      </c>
      <c r="T122" s="42" t="s">
        <v>305</v>
      </c>
      <c r="U122" s="42" t="n">
        <v>1</v>
      </c>
      <c r="V122" s="42" t="s">
        <v>306</v>
      </c>
      <c r="W122" s="43"/>
      <c r="X122" s="42" t="s">
        <v>123</v>
      </c>
      <c r="Y122" s="42" t="s">
        <v>307</v>
      </c>
      <c r="Z122" s="42" t="s">
        <v>308</v>
      </c>
      <c r="AA122" s="46" t="n">
        <v>320000</v>
      </c>
      <c r="AB122" s="47" t="str">
        <f aca="false">IF(NOT(ISNUMBER(AA122)),"",IF(NOT(ISNUMBER(Y122)),"",IFERROR(IF(Z122="EUR",AA122,IF(Z122="IRR",AA122/INDEX('Assumptions &amp; FX Reference'!$C$5:$C$25,MATCH(Y122,'Assumptions &amp; FX Reference'!$A$5:$A$25,0)),IF(Z122="USD",AA122*INDEX('Assumptions &amp; FX Reference'!$B$5:$B$25,MATCH(Y122,'Assumptions &amp; FX Reference'!$A$5:$A$25,0))/INDEX('Assumptions &amp; FX Reference'!$C$5:$C$25,MATCH(Y122,'Assumptions &amp; FX Reference'!$A$5:$A$25,0)),""))),"")))</f>
        <v/>
      </c>
      <c r="AC122" s="47" t="str">
        <f aca="false">IF(NOT(ISNUMBER(AA122)),"",IF(NOT(ISNUMBER(Y122)),"",IFERROR(IF(Z122="USD",AA122,IF(Z122="IRR",AA122/INDEX('Assumptions &amp; FX Reference'!$B$5:$B$25,MATCH(Y122,'Assumptions &amp; FX Reference'!$A$5:$A$25,0)),IF(Z122="EUR",AA122*INDEX('Assumptions &amp; FX Reference'!$C$5:$C$25,MATCH(Y122,'Assumptions &amp; FX Reference'!$A$5:$A$25,0))/INDEX('Assumptions &amp; FX Reference'!$B$5:$B$25,MATCH(Y122,'Assumptions &amp; FX Reference'!$A$5:$A$25,0)),""))),"")))</f>
        <v/>
      </c>
      <c r="AD122" s="47" t="str">
        <f aca="false">IF(NOT(ISNUMBER(AA122)),"",IF(NOT(ISNUMBER(Y122)),"",IFERROR(IF(Z122="IRR",AA122,IF(Z122="USD",AA122*INDEX('Assumptions &amp; FX Reference'!$B$5:$B$25,MATCH(Y122,'Assumptions &amp; FX Reference'!$A$5:$A$25,0)),IF(Z122="EUR",AA122*INDEX('Assumptions &amp; FX Reference'!$C$5:$C$25,MATCH(Y122,'Assumptions &amp; FX Reference'!$A$5:$A$25,0)),""))),"")))</f>
        <v/>
      </c>
      <c r="AE122" s="42" t="s">
        <v>760</v>
      </c>
      <c r="AF122" s="42" t="s">
        <v>123</v>
      </c>
      <c r="AG122" s="47" t="str">
        <f aca="false">IF(AND(Z122="EUR",N(AA122)&gt;5000000),"",IF(AND(ISNUMBER(AB122),ISNUMBER(AZ122),ISNUMBER(BA122)),IF(AND(BB122="Y",ISNUMBER('Assumptions &amp; FX Reference'!$I$15)),MAX(AB122*BA122/AZ122,'Assumptions &amp; FX Reference'!$I$13*BA122/'Assumptions &amp; FX Reference'!$I$15),AB122*BA122/AZ122),""))</f>
        <v/>
      </c>
      <c r="AH122" s="47" t="str">
        <f aca="false">IF(AND(ISNUMBER(AG122),ISNUMBER('Assumptions &amp; FX Reference'!$I$8),ISNUMBER('Assumptions &amp; FX Reference'!$I$11)),AG122*'Assumptions &amp; FX Reference'!$I$8/'Assumptions &amp; FX Reference'!$I$11,"")</f>
        <v/>
      </c>
      <c r="AI122" s="47" t="str">
        <f aca="false">IF(AND(ISNUMBER(AG122),ISNUMBER('Assumptions &amp; FX Reference'!$I$8)),AG122*'Assumptions &amp; FX Reference'!$I$8,"")</f>
        <v/>
      </c>
      <c r="AJ122" s="42" t="s">
        <v>302</v>
      </c>
      <c r="AK122" s="42" t="s">
        <v>123</v>
      </c>
      <c r="AL122" s="42" t="s">
        <v>123</v>
      </c>
      <c r="AM122" s="42" t="s">
        <v>123</v>
      </c>
      <c r="AN122" s="42" t="s">
        <v>123</v>
      </c>
      <c r="AO122" s="42" t="s">
        <v>123</v>
      </c>
      <c r="AP122" s="42" t="s">
        <v>123</v>
      </c>
      <c r="AQ122" s="42" t="s">
        <v>123</v>
      </c>
      <c r="AR122" s="42" t="s">
        <v>123</v>
      </c>
      <c r="AS122" s="45" t="str">
        <f aca="false">IF(AND(Z122="EUR",N(AA122)&gt;5000000),"Check currency (EUR&gt;5M); ","")&amp;IF(NOT(ISNUMBER(AA122)),"No price; ","")&amp;IF(G122="Not stated","Material missing; ","")&amp;IF(P122="Not stated","Seal missing; ","")&amp;IF(K122="","Size driver missing; ","")&amp;IF(NOT(ISNUMBER(AZ122)),"Base-year PPI missing; ","")</f>
        <v>Material missing; Seal missing; Size driver missing; Base-year PPI missing; </v>
      </c>
      <c r="AT122" s="48" t="n">
        <f aca="false">IFERROR(INDEX(Factors_ROT!$F$5:$F$200,MATCH("MAT|"&amp;G122,Factors_ROT!$A$5:$A$200,0)),1)</f>
        <v>1</v>
      </c>
      <c r="AU122" s="48" t="n">
        <f aca="false">IFERROR(INDEX(Factors_ROT!$F$5:$F$200,MATCH("SEAL_ARR|"&amp;P122,Factors_ROT!$A$5:$A$200,0)),1)*IFERROR(INDEX(Factors_ROT!$F$5:$F$200,MATCH("SEAL_CAT|"&amp;Q122,Factors_ROT!$A$5:$A$200,0)),1)*IFERROR(INDEX(Factors_ROT!$F$5:$F$200,MATCH("SEAL_PLAN|"&amp;R122,Factors_ROT!$A$5:$A$200,0)),1)</f>
        <v>1</v>
      </c>
      <c r="AV122" s="48" t="n">
        <f aca="false">IFERROR(INDEX(Factors_ROT!$F$5:$F$200,MATCH("DRV|"&amp;S122,Factors_ROT!$A$5:$A$200,0)),1)*IFERROR(INDEX(Factors_ROT!$F$5:$F$200,MATCH("NACE|"&amp;O122,Factors_ROT!$A$5:$A$200,0)),1)</f>
        <v>1</v>
      </c>
      <c r="AW122" s="48" t="n">
        <f aca="false">IFERROR(INDEX(Factors_ROT!$F$5:$F$200,MATCH("SC_DRV|"&amp;AL122,Factors_ROT!$A$5:$A$200,0)),1)*IFERROR(INDEX(Factors_ROT!$F$5:$F$200,MATCH("SC_BSP|"&amp;AM122,Factors_ROT!$A$5:$A$200,0)),1)*IFERROR(INDEX(Factors_ROT!$F$5:$F$200,MATCH("SC_SEAL|"&amp;AN122,Factors_ROT!$A$5:$A$200,0)),1)*IFERROR(INDEX(Factors_ROT!$F$5:$F$200,MATCH("SC_COMM|"&amp;AO122,Factors_ROT!$A$5:$A$200,0)),1)*IFERROR(INDEX(Factors_ROT!$F$5:$F$200,MATCH("SC_2Y|"&amp;AP122,Factors_ROT!$A$5:$A$200,0)),1)*IFERROR(INDEX(Factors_ROT!$F$5:$F$200,MATCH("SC_TPI|"&amp;AQ122,Factors_ROT!$A$5:$A$200,0)),1)*IFERROR(INDEX(Factors_ROT!$F$5:$F$200,MATCH("SC_FAT|"&amp;AR122,Factors_ROT!$A$5:$A$200,0)),1)</f>
        <v>1</v>
      </c>
      <c r="AX122" s="48" t="n">
        <f aca="false">AT122*AU122*AV122*AW122</f>
        <v>1</v>
      </c>
      <c r="AY122" s="47" t="str">
        <f aca="false">IF(ISNUMBER(AB122),AB122/AX122,"")</f>
        <v/>
      </c>
      <c r="AZ122" s="49" t="str">
        <f aca="false">IFERROR(IF(N(INDEX(Escalation_Index!$B$5:$B$25,MATCH(Y122,Escalation_Index!$A$5:$A$25,0)))&gt;0,INDEX(Escalation_Index!$B$5:$B$25,MATCH(Y122,Escalation_Index!$A$5:$A$25,0)),""),"")</f>
        <v/>
      </c>
      <c r="BA122" s="49" t="n">
        <f aca="false">IF(ISNUMBER('Assumptions &amp; FX Reference'!$I$12),'Assumptions &amp; FX Reference'!$I$12,"")</f>
        <v>123.416</v>
      </c>
      <c r="BB122" s="45" t="str">
        <f aca="false">IF(AND(M122="API 610",LEFT(V122,11)="Centrifugal",OR(LEFT(G122,2)="S-",LEFT(G122,2)="D-")),"Y","N")</f>
        <v>N</v>
      </c>
      <c r="BC122" s="47" t="str">
        <f aca="false">IF(ISNUMBER(AG122),AG122/AX122,"")</f>
        <v/>
      </c>
      <c r="BD122" s="47" t="str">
        <f aca="false">IF(AND(ISNUMBER(BC122),ISNUMBER(K122)),IF(K122&gt;0,BC122/K122^'Assumptions &amp; FX Reference'!$I$16,""),"")</f>
        <v/>
      </c>
      <c r="BE122" s="42" t="s">
        <v>767</v>
      </c>
      <c r="BF122" s="42" t="s">
        <v>768</v>
      </c>
      <c r="BG122" s="42" t="s">
        <v>369</v>
      </c>
      <c r="BH122" s="45" t="s">
        <v>313</v>
      </c>
      <c r="BI122" s="45" t="str">
        <f aca="false">"PMP-"&amp;TEXT(A122,"0000")</f>
        <v>PMP-0118</v>
      </c>
    </row>
    <row r="123" customFormat="false" ht="24" hidden="false" customHeight="true" outlineLevel="0" collapsed="false">
      <c r="A123" s="42" t="n">
        <v>119</v>
      </c>
      <c r="B123" s="42" t="s">
        <v>323</v>
      </c>
      <c r="C123" s="42" t="s">
        <v>758</v>
      </c>
      <c r="D123" s="42" t="s">
        <v>302</v>
      </c>
      <c r="E123" s="42" t="s">
        <v>45</v>
      </c>
      <c r="F123" s="42" t="s">
        <v>123</v>
      </c>
      <c r="G123" s="42" t="s">
        <v>123</v>
      </c>
      <c r="H123" s="43"/>
      <c r="I123" s="43" t="n">
        <v>311.3</v>
      </c>
      <c r="J123" s="43" t="n">
        <v>48</v>
      </c>
      <c r="K123" s="44" t="n">
        <f aca="false">IF(ISNUMBER(J123),J123,IF(AND(ISNUMBER(H123),ISNUMBER(I123)),H123*I123/(367*'Assumptions &amp; FX Reference'!$I$17),""))</f>
        <v>48</v>
      </c>
      <c r="L123" s="45" t="str">
        <f aca="false">IF(IF(OR(M123="Not stated",M123=""),""," + "&amp;M123)&amp;IF(OR(N123="None",N123=""),""," + "&amp;N123)&amp;IF(O123="Y"," + NACE MR0175","")="","Not stated",MID(IF(OR(M123="Not stated",M123=""),""," + "&amp;M123)&amp;IF(OR(N123="None",N123=""),""," + "&amp;N123)&amp;IF(O123="Y"," + NACE MR0175",""),4,300))</f>
        <v>Not stated</v>
      </c>
      <c r="M123" s="42" t="s">
        <v>123</v>
      </c>
      <c r="N123" s="42" t="s">
        <v>303</v>
      </c>
      <c r="O123" s="42" t="s">
        <v>123</v>
      </c>
      <c r="P123" s="42" t="s">
        <v>123</v>
      </c>
      <c r="Q123" s="42" t="s">
        <v>123</v>
      </c>
      <c r="R123" s="42" t="s">
        <v>123</v>
      </c>
      <c r="S123" s="42" t="s">
        <v>304</v>
      </c>
      <c r="T123" s="42" t="s">
        <v>305</v>
      </c>
      <c r="U123" s="42" t="n">
        <v>1</v>
      </c>
      <c r="V123" s="42" t="s">
        <v>306</v>
      </c>
      <c r="W123" s="43"/>
      <c r="X123" s="42" t="s">
        <v>759</v>
      </c>
      <c r="Y123" s="42" t="s">
        <v>307</v>
      </c>
      <c r="Z123" s="42" t="s">
        <v>308</v>
      </c>
      <c r="AA123" s="46" t="n">
        <v>75000</v>
      </c>
      <c r="AB123" s="47" t="str">
        <f aca="false">IF(NOT(ISNUMBER(AA123)),"",IF(NOT(ISNUMBER(Y123)),"",IFERROR(IF(Z123="EUR",AA123,IF(Z123="IRR",AA123/INDEX('Assumptions &amp; FX Reference'!$C$5:$C$25,MATCH(Y123,'Assumptions &amp; FX Reference'!$A$5:$A$25,0)),IF(Z123="USD",AA123*INDEX('Assumptions &amp; FX Reference'!$B$5:$B$25,MATCH(Y123,'Assumptions &amp; FX Reference'!$A$5:$A$25,0))/INDEX('Assumptions &amp; FX Reference'!$C$5:$C$25,MATCH(Y123,'Assumptions &amp; FX Reference'!$A$5:$A$25,0)),""))),"")))</f>
        <v/>
      </c>
      <c r="AC123" s="47" t="str">
        <f aca="false">IF(NOT(ISNUMBER(AA123)),"",IF(NOT(ISNUMBER(Y123)),"",IFERROR(IF(Z123="USD",AA123,IF(Z123="IRR",AA123/INDEX('Assumptions &amp; FX Reference'!$B$5:$B$25,MATCH(Y123,'Assumptions &amp; FX Reference'!$A$5:$A$25,0)),IF(Z123="EUR",AA123*INDEX('Assumptions &amp; FX Reference'!$C$5:$C$25,MATCH(Y123,'Assumptions &amp; FX Reference'!$A$5:$A$25,0))/INDEX('Assumptions &amp; FX Reference'!$B$5:$B$25,MATCH(Y123,'Assumptions &amp; FX Reference'!$A$5:$A$25,0)),""))),"")))</f>
        <v/>
      </c>
      <c r="AD123" s="47" t="str">
        <f aca="false">IF(NOT(ISNUMBER(AA123)),"",IF(NOT(ISNUMBER(Y123)),"",IFERROR(IF(Z123="IRR",AA123,IF(Z123="USD",AA123*INDEX('Assumptions &amp; FX Reference'!$B$5:$B$25,MATCH(Y123,'Assumptions &amp; FX Reference'!$A$5:$A$25,0)),IF(Z123="EUR",AA123*INDEX('Assumptions &amp; FX Reference'!$C$5:$C$25,MATCH(Y123,'Assumptions &amp; FX Reference'!$A$5:$A$25,0)),""))),"")))</f>
        <v/>
      </c>
      <c r="AE123" s="42" t="s">
        <v>760</v>
      </c>
      <c r="AF123" s="42" t="s">
        <v>123</v>
      </c>
      <c r="AG123" s="47" t="str">
        <f aca="false">IF(AND(Z123="EUR",N(AA123)&gt;5000000),"",IF(AND(ISNUMBER(AB123),ISNUMBER(AZ123),ISNUMBER(BA123)),IF(AND(BB123="Y",ISNUMBER('Assumptions &amp; FX Reference'!$I$15)),MAX(AB123*BA123/AZ123,'Assumptions &amp; FX Reference'!$I$13*BA123/'Assumptions &amp; FX Reference'!$I$15),AB123*BA123/AZ123),""))</f>
        <v/>
      </c>
      <c r="AH123" s="47" t="str">
        <f aca="false">IF(AND(ISNUMBER(AG123),ISNUMBER('Assumptions &amp; FX Reference'!$I$8),ISNUMBER('Assumptions &amp; FX Reference'!$I$11)),AG123*'Assumptions &amp; FX Reference'!$I$8/'Assumptions &amp; FX Reference'!$I$11,"")</f>
        <v/>
      </c>
      <c r="AI123" s="47" t="str">
        <f aca="false">IF(AND(ISNUMBER(AG123),ISNUMBER('Assumptions &amp; FX Reference'!$I$8)),AG123*'Assumptions &amp; FX Reference'!$I$8,"")</f>
        <v/>
      </c>
      <c r="AJ123" s="42" t="s">
        <v>302</v>
      </c>
      <c r="AK123" s="42" t="s">
        <v>123</v>
      </c>
      <c r="AL123" s="42" t="s">
        <v>123</v>
      </c>
      <c r="AM123" s="42" t="s">
        <v>123</v>
      </c>
      <c r="AN123" s="42" t="s">
        <v>123</v>
      </c>
      <c r="AO123" s="42" t="s">
        <v>123</v>
      </c>
      <c r="AP123" s="42" t="s">
        <v>123</v>
      </c>
      <c r="AQ123" s="42" t="s">
        <v>123</v>
      </c>
      <c r="AR123" s="42" t="s">
        <v>123</v>
      </c>
      <c r="AS123" s="45" t="str">
        <f aca="false">IF(AND(Z123="EUR",N(AA123)&gt;5000000),"Check currency (EUR&gt;5M); ","")&amp;IF(NOT(ISNUMBER(AA123)),"No price; ","")&amp;IF(G123="Not stated","Material missing; ","")&amp;IF(P123="Not stated","Seal missing; ","")&amp;IF(K123="","Size driver missing; ","")&amp;IF(NOT(ISNUMBER(AZ123)),"Base-year PPI missing; ","")</f>
        <v>Material missing; Seal missing; Base-year PPI missing; </v>
      </c>
      <c r="AT123" s="48" t="n">
        <f aca="false">IFERROR(INDEX(Factors_ROT!$F$5:$F$200,MATCH("MAT|"&amp;G123,Factors_ROT!$A$5:$A$200,0)),1)</f>
        <v>1</v>
      </c>
      <c r="AU123" s="48" t="n">
        <f aca="false">IFERROR(INDEX(Factors_ROT!$F$5:$F$200,MATCH("SEAL_ARR|"&amp;P123,Factors_ROT!$A$5:$A$200,0)),1)*IFERROR(INDEX(Factors_ROT!$F$5:$F$200,MATCH("SEAL_CAT|"&amp;Q123,Factors_ROT!$A$5:$A$200,0)),1)*IFERROR(INDEX(Factors_ROT!$F$5:$F$200,MATCH("SEAL_PLAN|"&amp;R123,Factors_ROT!$A$5:$A$200,0)),1)</f>
        <v>1</v>
      </c>
      <c r="AV123" s="48" t="n">
        <f aca="false">IFERROR(INDEX(Factors_ROT!$F$5:$F$200,MATCH("DRV|"&amp;S123,Factors_ROT!$A$5:$A$200,0)),1)*IFERROR(INDEX(Factors_ROT!$F$5:$F$200,MATCH("NACE|"&amp;O123,Factors_ROT!$A$5:$A$200,0)),1)</f>
        <v>1</v>
      </c>
      <c r="AW123" s="48" t="n">
        <f aca="false">IFERROR(INDEX(Factors_ROT!$F$5:$F$200,MATCH("SC_DRV|"&amp;AL123,Factors_ROT!$A$5:$A$200,0)),1)*IFERROR(INDEX(Factors_ROT!$F$5:$F$200,MATCH("SC_BSP|"&amp;AM123,Factors_ROT!$A$5:$A$200,0)),1)*IFERROR(INDEX(Factors_ROT!$F$5:$F$200,MATCH("SC_SEAL|"&amp;AN123,Factors_ROT!$A$5:$A$200,0)),1)*IFERROR(INDEX(Factors_ROT!$F$5:$F$200,MATCH("SC_COMM|"&amp;AO123,Factors_ROT!$A$5:$A$200,0)),1)*IFERROR(INDEX(Factors_ROT!$F$5:$F$200,MATCH("SC_2Y|"&amp;AP123,Factors_ROT!$A$5:$A$200,0)),1)*IFERROR(INDEX(Factors_ROT!$F$5:$F$200,MATCH("SC_TPI|"&amp;AQ123,Factors_ROT!$A$5:$A$200,0)),1)*IFERROR(INDEX(Factors_ROT!$F$5:$F$200,MATCH("SC_FAT|"&amp;AR123,Factors_ROT!$A$5:$A$200,0)),1)</f>
        <v>1</v>
      </c>
      <c r="AX123" s="48" t="n">
        <f aca="false">AT123*AU123*AV123*AW123</f>
        <v>1</v>
      </c>
      <c r="AY123" s="47" t="str">
        <f aca="false">IF(ISNUMBER(AB123),AB123/AX123,"")</f>
        <v/>
      </c>
      <c r="AZ123" s="49" t="str">
        <f aca="false">IFERROR(IF(N(INDEX(Escalation_Index!$B$5:$B$25,MATCH(Y123,Escalation_Index!$A$5:$A$25,0)))&gt;0,INDEX(Escalation_Index!$B$5:$B$25,MATCH(Y123,Escalation_Index!$A$5:$A$25,0)),""),"")</f>
        <v/>
      </c>
      <c r="BA123" s="49" t="n">
        <f aca="false">IF(ISNUMBER('Assumptions &amp; FX Reference'!$I$12),'Assumptions &amp; FX Reference'!$I$12,"")</f>
        <v>123.416</v>
      </c>
      <c r="BB123" s="45" t="str">
        <f aca="false">IF(AND(M123="API 610",LEFT(V123,11)="Centrifugal",OR(LEFT(G123,2)="S-",LEFT(G123,2)="D-")),"Y","N")</f>
        <v>N</v>
      </c>
      <c r="BC123" s="47" t="str">
        <f aca="false">IF(ISNUMBER(AG123),AG123/AX123,"")</f>
        <v/>
      </c>
      <c r="BD123" s="47" t="str">
        <f aca="false">IF(AND(ISNUMBER(BC123),ISNUMBER(K123)),IF(K123&gt;0,BC123/K123^'Assumptions &amp; FX Reference'!$I$16,""),"")</f>
        <v/>
      </c>
      <c r="BE123" s="42" t="s">
        <v>769</v>
      </c>
      <c r="BF123" s="42" t="s">
        <v>770</v>
      </c>
      <c r="BG123" s="42" t="s">
        <v>369</v>
      </c>
      <c r="BH123" s="45" t="s">
        <v>313</v>
      </c>
      <c r="BI123" s="45" t="str">
        <f aca="false">"PMP-"&amp;TEXT(A123,"0000")</f>
        <v>PMP-0119</v>
      </c>
    </row>
    <row r="124" customFormat="false" ht="24" hidden="false" customHeight="true" outlineLevel="0" collapsed="false">
      <c r="A124" s="42" t="n">
        <v>120</v>
      </c>
      <c r="B124" s="42" t="s">
        <v>326</v>
      </c>
      <c r="C124" s="42" t="s">
        <v>758</v>
      </c>
      <c r="D124" s="42" t="s">
        <v>302</v>
      </c>
      <c r="E124" s="42" t="s">
        <v>48</v>
      </c>
      <c r="F124" s="42" t="s">
        <v>123</v>
      </c>
      <c r="G124" s="42" t="s">
        <v>123</v>
      </c>
      <c r="H124" s="43"/>
      <c r="I124" s="43" t="n">
        <v>32</v>
      </c>
      <c r="J124" s="43" t="n">
        <v>1</v>
      </c>
      <c r="K124" s="44" t="n">
        <f aca="false">IF(ISNUMBER(J124),J124,IF(AND(ISNUMBER(H124),ISNUMBER(I124)),H124*I124/(367*'Assumptions &amp; FX Reference'!$I$17),""))</f>
        <v>1</v>
      </c>
      <c r="L124" s="45" t="str">
        <f aca="false">IF(IF(OR(M124="Not stated",M124=""),""," + "&amp;M124)&amp;IF(OR(N124="None",N124=""),""," + "&amp;N124)&amp;IF(O124="Y"," + NACE MR0175","")="","Not stated",MID(IF(OR(M124="Not stated",M124=""),""," + "&amp;M124)&amp;IF(OR(N124="None",N124=""),""," + "&amp;N124)&amp;IF(O124="Y"," + NACE MR0175",""),4,300))</f>
        <v>Not stated</v>
      </c>
      <c r="M124" s="42" t="s">
        <v>123</v>
      </c>
      <c r="N124" s="42" t="s">
        <v>303</v>
      </c>
      <c r="O124" s="42" t="s">
        <v>123</v>
      </c>
      <c r="P124" s="42" t="s">
        <v>123</v>
      </c>
      <c r="Q124" s="42" t="s">
        <v>123</v>
      </c>
      <c r="R124" s="42" t="s">
        <v>123</v>
      </c>
      <c r="S124" s="42" t="s">
        <v>304</v>
      </c>
      <c r="T124" s="42" t="s">
        <v>327</v>
      </c>
      <c r="U124" s="42" t="n">
        <v>1</v>
      </c>
      <c r="V124" s="42" t="s">
        <v>306</v>
      </c>
      <c r="W124" s="43"/>
      <c r="X124" s="42" t="s">
        <v>759</v>
      </c>
      <c r="Y124" s="42" t="s">
        <v>307</v>
      </c>
      <c r="Z124" s="42" t="s">
        <v>308</v>
      </c>
      <c r="AA124" s="46" t="n">
        <v>60000</v>
      </c>
      <c r="AB124" s="47" t="str">
        <f aca="false">IF(NOT(ISNUMBER(AA124)),"",IF(NOT(ISNUMBER(Y124)),"",IFERROR(IF(Z124="EUR",AA124,IF(Z124="IRR",AA124/INDEX('Assumptions &amp; FX Reference'!$C$5:$C$25,MATCH(Y124,'Assumptions &amp; FX Reference'!$A$5:$A$25,0)),IF(Z124="USD",AA124*INDEX('Assumptions &amp; FX Reference'!$B$5:$B$25,MATCH(Y124,'Assumptions &amp; FX Reference'!$A$5:$A$25,0))/INDEX('Assumptions &amp; FX Reference'!$C$5:$C$25,MATCH(Y124,'Assumptions &amp; FX Reference'!$A$5:$A$25,0)),""))),"")))</f>
        <v/>
      </c>
      <c r="AC124" s="47" t="str">
        <f aca="false">IF(NOT(ISNUMBER(AA124)),"",IF(NOT(ISNUMBER(Y124)),"",IFERROR(IF(Z124="USD",AA124,IF(Z124="IRR",AA124/INDEX('Assumptions &amp; FX Reference'!$B$5:$B$25,MATCH(Y124,'Assumptions &amp; FX Reference'!$A$5:$A$25,0)),IF(Z124="EUR",AA124*INDEX('Assumptions &amp; FX Reference'!$C$5:$C$25,MATCH(Y124,'Assumptions &amp; FX Reference'!$A$5:$A$25,0))/INDEX('Assumptions &amp; FX Reference'!$B$5:$B$25,MATCH(Y124,'Assumptions &amp; FX Reference'!$A$5:$A$25,0)),""))),"")))</f>
        <v/>
      </c>
      <c r="AD124" s="47" t="str">
        <f aca="false">IF(NOT(ISNUMBER(AA124)),"",IF(NOT(ISNUMBER(Y124)),"",IFERROR(IF(Z124="IRR",AA124,IF(Z124="USD",AA124*INDEX('Assumptions &amp; FX Reference'!$B$5:$B$25,MATCH(Y124,'Assumptions &amp; FX Reference'!$A$5:$A$25,0)),IF(Z124="EUR",AA124*INDEX('Assumptions &amp; FX Reference'!$C$5:$C$25,MATCH(Y124,'Assumptions &amp; FX Reference'!$A$5:$A$25,0)),""))),"")))</f>
        <v/>
      </c>
      <c r="AE124" s="42" t="s">
        <v>760</v>
      </c>
      <c r="AF124" s="42" t="s">
        <v>123</v>
      </c>
      <c r="AG124" s="47" t="str">
        <f aca="false">IF(AND(Z124="EUR",N(AA124)&gt;5000000),"",IF(AND(ISNUMBER(AB124),ISNUMBER(AZ124),ISNUMBER(BA124)),IF(AND(BB124="Y",ISNUMBER('Assumptions &amp; FX Reference'!$I$15)),MAX(AB124*BA124/AZ124,'Assumptions &amp; FX Reference'!$I$13*BA124/'Assumptions &amp; FX Reference'!$I$15),AB124*BA124/AZ124),""))</f>
        <v/>
      </c>
      <c r="AH124" s="47" t="str">
        <f aca="false">IF(AND(ISNUMBER(AG124),ISNUMBER('Assumptions &amp; FX Reference'!$I$8),ISNUMBER('Assumptions &amp; FX Reference'!$I$11)),AG124*'Assumptions &amp; FX Reference'!$I$8/'Assumptions &amp; FX Reference'!$I$11,"")</f>
        <v/>
      </c>
      <c r="AI124" s="47" t="str">
        <f aca="false">IF(AND(ISNUMBER(AG124),ISNUMBER('Assumptions &amp; FX Reference'!$I$8)),AG124*'Assumptions &amp; FX Reference'!$I$8,"")</f>
        <v/>
      </c>
      <c r="AJ124" s="42" t="s">
        <v>302</v>
      </c>
      <c r="AK124" s="42" t="s">
        <v>123</v>
      </c>
      <c r="AL124" s="42" t="s">
        <v>123</v>
      </c>
      <c r="AM124" s="42" t="s">
        <v>123</v>
      </c>
      <c r="AN124" s="42" t="s">
        <v>123</v>
      </c>
      <c r="AO124" s="42" t="s">
        <v>123</v>
      </c>
      <c r="AP124" s="42" t="s">
        <v>123</v>
      </c>
      <c r="AQ124" s="42" t="s">
        <v>123</v>
      </c>
      <c r="AR124" s="42" t="s">
        <v>123</v>
      </c>
      <c r="AS124" s="45" t="str">
        <f aca="false">IF(AND(Z124="EUR",N(AA124)&gt;5000000),"Check currency (EUR&gt;5M); ","")&amp;IF(NOT(ISNUMBER(AA124)),"No price; ","")&amp;IF(G124="Not stated","Material missing; ","")&amp;IF(P124="Not stated","Seal missing; ","")&amp;IF(K124="","Size driver missing; ","")&amp;IF(NOT(ISNUMBER(AZ124)),"Base-year PPI missing; ","")</f>
        <v>Material missing; Seal missing; Base-year PPI missing; </v>
      </c>
      <c r="AT124" s="48" t="n">
        <f aca="false">IFERROR(INDEX(Factors_ROT!$F$5:$F$200,MATCH("MAT|"&amp;G124,Factors_ROT!$A$5:$A$200,0)),1)</f>
        <v>1</v>
      </c>
      <c r="AU124" s="48" t="n">
        <f aca="false">IFERROR(INDEX(Factors_ROT!$F$5:$F$200,MATCH("SEAL_ARR|"&amp;P124,Factors_ROT!$A$5:$A$200,0)),1)*IFERROR(INDEX(Factors_ROT!$F$5:$F$200,MATCH("SEAL_CAT|"&amp;Q124,Factors_ROT!$A$5:$A$200,0)),1)*IFERROR(INDEX(Factors_ROT!$F$5:$F$200,MATCH("SEAL_PLAN|"&amp;R124,Factors_ROT!$A$5:$A$200,0)),1)</f>
        <v>1</v>
      </c>
      <c r="AV124" s="48" t="n">
        <f aca="false">IFERROR(INDEX(Factors_ROT!$F$5:$F$200,MATCH("DRV|"&amp;S124,Factors_ROT!$A$5:$A$200,0)),1)*IFERROR(INDEX(Factors_ROT!$F$5:$F$200,MATCH("NACE|"&amp;O124,Factors_ROT!$A$5:$A$200,0)),1)</f>
        <v>1</v>
      </c>
      <c r="AW124" s="48" t="n">
        <f aca="false">IFERROR(INDEX(Factors_ROT!$F$5:$F$200,MATCH("SC_DRV|"&amp;AL124,Factors_ROT!$A$5:$A$200,0)),1)*IFERROR(INDEX(Factors_ROT!$F$5:$F$200,MATCH("SC_BSP|"&amp;AM124,Factors_ROT!$A$5:$A$200,0)),1)*IFERROR(INDEX(Factors_ROT!$F$5:$F$200,MATCH("SC_SEAL|"&amp;AN124,Factors_ROT!$A$5:$A$200,0)),1)*IFERROR(INDEX(Factors_ROT!$F$5:$F$200,MATCH("SC_COMM|"&amp;AO124,Factors_ROT!$A$5:$A$200,0)),1)*IFERROR(INDEX(Factors_ROT!$F$5:$F$200,MATCH("SC_2Y|"&amp;AP124,Factors_ROT!$A$5:$A$200,0)),1)*IFERROR(INDEX(Factors_ROT!$F$5:$F$200,MATCH("SC_TPI|"&amp;AQ124,Factors_ROT!$A$5:$A$200,0)),1)*IFERROR(INDEX(Factors_ROT!$F$5:$F$200,MATCH("SC_FAT|"&amp;AR124,Factors_ROT!$A$5:$A$200,0)),1)</f>
        <v>1</v>
      </c>
      <c r="AX124" s="48" t="n">
        <f aca="false">AT124*AU124*AV124*AW124</f>
        <v>1</v>
      </c>
      <c r="AY124" s="47" t="str">
        <f aca="false">IF(ISNUMBER(AB124),AB124/AX124,"")</f>
        <v/>
      </c>
      <c r="AZ124" s="49" t="str">
        <f aca="false">IFERROR(IF(N(INDEX(Escalation_Index!$B$5:$B$25,MATCH(Y124,Escalation_Index!$A$5:$A$25,0)))&gt;0,INDEX(Escalation_Index!$B$5:$B$25,MATCH(Y124,Escalation_Index!$A$5:$A$25,0)),""),"")</f>
        <v/>
      </c>
      <c r="BA124" s="49" t="n">
        <f aca="false">IF(ISNUMBER('Assumptions &amp; FX Reference'!$I$12),'Assumptions &amp; FX Reference'!$I$12,"")</f>
        <v>123.416</v>
      </c>
      <c r="BB124" s="45" t="str">
        <f aca="false">IF(AND(M124="API 610",LEFT(V124,11)="Centrifugal",OR(LEFT(G124,2)="S-",LEFT(G124,2)="D-")),"Y","N")</f>
        <v>N</v>
      </c>
      <c r="BC124" s="47" t="str">
        <f aca="false">IF(ISNUMBER(AG124),AG124/AX124,"")</f>
        <v/>
      </c>
      <c r="BD124" s="47" t="str">
        <f aca="false">IF(AND(ISNUMBER(BC124),ISNUMBER(K124)),IF(K124&gt;0,BC124/K124^'Assumptions &amp; FX Reference'!$I$16,""),"")</f>
        <v/>
      </c>
      <c r="BE124" s="42" t="s">
        <v>771</v>
      </c>
      <c r="BF124" s="42" t="s">
        <v>772</v>
      </c>
      <c r="BG124" s="42" t="s">
        <v>369</v>
      </c>
      <c r="BH124" s="45" t="s">
        <v>313</v>
      </c>
      <c r="BI124" s="45" t="str">
        <f aca="false">"PMP-"&amp;TEXT(A124,"0000")</f>
        <v>PMP-0120</v>
      </c>
    </row>
    <row r="125" customFormat="false" ht="24" hidden="false" customHeight="true" outlineLevel="0" collapsed="false">
      <c r="A125" s="42" t="n">
        <v>121</v>
      </c>
      <c r="B125" s="42" t="s">
        <v>330</v>
      </c>
      <c r="C125" s="42" t="s">
        <v>758</v>
      </c>
      <c r="D125" s="42" t="s">
        <v>302</v>
      </c>
      <c r="E125" s="42" t="s">
        <v>48</v>
      </c>
      <c r="F125" s="42" t="s">
        <v>123</v>
      </c>
      <c r="G125" s="42" t="s">
        <v>123</v>
      </c>
      <c r="H125" s="43"/>
      <c r="I125" s="43" t="n">
        <v>36.15</v>
      </c>
      <c r="J125" s="43" t="n">
        <v>13.1</v>
      </c>
      <c r="K125" s="44" t="n">
        <f aca="false">IF(ISNUMBER(J125),J125,IF(AND(ISNUMBER(H125),ISNUMBER(I125)),H125*I125/(367*'Assumptions &amp; FX Reference'!$I$17),""))</f>
        <v>13.1</v>
      </c>
      <c r="L125" s="45" t="str">
        <f aca="false">IF(IF(OR(M125="Not stated",M125=""),""," + "&amp;M125)&amp;IF(OR(N125="None",N125=""),""," + "&amp;N125)&amp;IF(O125="Y"," + NACE MR0175","")="","Not stated",MID(IF(OR(M125="Not stated",M125=""),""," + "&amp;M125)&amp;IF(OR(N125="None",N125=""),""," + "&amp;N125)&amp;IF(O125="Y"," + NACE MR0175",""),4,300))</f>
        <v>Not stated</v>
      </c>
      <c r="M125" s="42" t="s">
        <v>123</v>
      </c>
      <c r="N125" s="42" t="s">
        <v>303</v>
      </c>
      <c r="O125" s="42" t="s">
        <v>123</v>
      </c>
      <c r="P125" s="42" t="s">
        <v>123</v>
      </c>
      <c r="Q125" s="42" t="s">
        <v>123</v>
      </c>
      <c r="R125" s="42" t="s">
        <v>123</v>
      </c>
      <c r="S125" s="42" t="s">
        <v>304</v>
      </c>
      <c r="T125" s="42" t="s">
        <v>327</v>
      </c>
      <c r="U125" s="42" t="n">
        <v>1</v>
      </c>
      <c r="V125" s="42" t="s">
        <v>306</v>
      </c>
      <c r="W125" s="43"/>
      <c r="X125" s="42" t="s">
        <v>759</v>
      </c>
      <c r="Y125" s="42" t="s">
        <v>307</v>
      </c>
      <c r="Z125" s="42" t="s">
        <v>308</v>
      </c>
      <c r="AA125" s="46" t="n">
        <v>60000</v>
      </c>
      <c r="AB125" s="47" t="str">
        <f aca="false">IF(NOT(ISNUMBER(AA125)),"",IF(NOT(ISNUMBER(Y125)),"",IFERROR(IF(Z125="EUR",AA125,IF(Z125="IRR",AA125/INDEX('Assumptions &amp; FX Reference'!$C$5:$C$25,MATCH(Y125,'Assumptions &amp; FX Reference'!$A$5:$A$25,0)),IF(Z125="USD",AA125*INDEX('Assumptions &amp; FX Reference'!$B$5:$B$25,MATCH(Y125,'Assumptions &amp; FX Reference'!$A$5:$A$25,0))/INDEX('Assumptions &amp; FX Reference'!$C$5:$C$25,MATCH(Y125,'Assumptions &amp; FX Reference'!$A$5:$A$25,0)),""))),"")))</f>
        <v/>
      </c>
      <c r="AC125" s="47" t="str">
        <f aca="false">IF(NOT(ISNUMBER(AA125)),"",IF(NOT(ISNUMBER(Y125)),"",IFERROR(IF(Z125="USD",AA125,IF(Z125="IRR",AA125/INDEX('Assumptions &amp; FX Reference'!$B$5:$B$25,MATCH(Y125,'Assumptions &amp; FX Reference'!$A$5:$A$25,0)),IF(Z125="EUR",AA125*INDEX('Assumptions &amp; FX Reference'!$C$5:$C$25,MATCH(Y125,'Assumptions &amp; FX Reference'!$A$5:$A$25,0))/INDEX('Assumptions &amp; FX Reference'!$B$5:$B$25,MATCH(Y125,'Assumptions &amp; FX Reference'!$A$5:$A$25,0)),""))),"")))</f>
        <v/>
      </c>
      <c r="AD125" s="47" t="str">
        <f aca="false">IF(NOT(ISNUMBER(AA125)),"",IF(NOT(ISNUMBER(Y125)),"",IFERROR(IF(Z125="IRR",AA125,IF(Z125="USD",AA125*INDEX('Assumptions &amp; FX Reference'!$B$5:$B$25,MATCH(Y125,'Assumptions &amp; FX Reference'!$A$5:$A$25,0)),IF(Z125="EUR",AA125*INDEX('Assumptions &amp; FX Reference'!$C$5:$C$25,MATCH(Y125,'Assumptions &amp; FX Reference'!$A$5:$A$25,0)),""))),"")))</f>
        <v/>
      </c>
      <c r="AE125" s="42" t="s">
        <v>760</v>
      </c>
      <c r="AF125" s="42" t="s">
        <v>123</v>
      </c>
      <c r="AG125" s="47" t="str">
        <f aca="false">IF(AND(Z125="EUR",N(AA125)&gt;5000000),"",IF(AND(ISNUMBER(AB125),ISNUMBER(AZ125),ISNUMBER(BA125)),IF(AND(BB125="Y",ISNUMBER('Assumptions &amp; FX Reference'!$I$15)),MAX(AB125*BA125/AZ125,'Assumptions &amp; FX Reference'!$I$13*BA125/'Assumptions &amp; FX Reference'!$I$15),AB125*BA125/AZ125),""))</f>
        <v/>
      </c>
      <c r="AH125" s="47" t="str">
        <f aca="false">IF(AND(ISNUMBER(AG125),ISNUMBER('Assumptions &amp; FX Reference'!$I$8),ISNUMBER('Assumptions &amp; FX Reference'!$I$11)),AG125*'Assumptions &amp; FX Reference'!$I$8/'Assumptions &amp; FX Reference'!$I$11,"")</f>
        <v/>
      </c>
      <c r="AI125" s="47" t="str">
        <f aca="false">IF(AND(ISNUMBER(AG125),ISNUMBER('Assumptions &amp; FX Reference'!$I$8)),AG125*'Assumptions &amp; FX Reference'!$I$8,"")</f>
        <v/>
      </c>
      <c r="AJ125" s="42" t="s">
        <v>302</v>
      </c>
      <c r="AK125" s="42" t="s">
        <v>123</v>
      </c>
      <c r="AL125" s="42" t="s">
        <v>123</v>
      </c>
      <c r="AM125" s="42" t="s">
        <v>123</v>
      </c>
      <c r="AN125" s="42" t="s">
        <v>123</v>
      </c>
      <c r="AO125" s="42" t="s">
        <v>123</v>
      </c>
      <c r="AP125" s="42" t="s">
        <v>123</v>
      </c>
      <c r="AQ125" s="42" t="s">
        <v>123</v>
      </c>
      <c r="AR125" s="42" t="s">
        <v>123</v>
      </c>
      <c r="AS125" s="45" t="str">
        <f aca="false">IF(AND(Z125="EUR",N(AA125)&gt;5000000),"Check currency (EUR&gt;5M); ","")&amp;IF(NOT(ISNUMBER(AA125)),"No price; ","")&amp;IF(G125="Not stated","Material missing; ","")&amp;IF(P125="Not stated","Seal missing; ","")&amp;IF(K125="","Size driver missing; ","")&amp;IF(NOT(ISNUMBER(AZ125)),"Base-year PPI missing; ","")</f>
        <v>Material missing; Seal missing; Base-year PPI missing; </v>
      </c>
      <c r="AT125" s="48" t="n">
        <f aca="false">IFERROR(INDEX(Factors_ROT!$F$5:$F$200,MATCH("MAT|"&amp;G125,Factors_ROT!$A$5:$A$200,0)),1)</f>
        <v>1</v>
      </c>
      <c r="AU125" s="48" t="n">
        <f aca="false">IFERROR(INDEX(Factors_ROT!$F$5:$F$200,MATCH("SEAL_ARR|"&amp;P125,Factors_ROT!$A$5:$A$200,0)),1)*IFERROR(INDEX(Factors_ROT!$F$5:$F$200,MATCH("SEAL_CAT|"&amp;Q125,Factors_ROT!$A$5:$A$200,0)),1)*IFERROR(INDEX(Factors_ROT!$F$5:$F$200,MATCH("SEAL_PLAN|"&amp;R125,Factors_ROT!$A$5:$A$200,0)),1)</f>
        <v>1</v>
      </c>
      <c r="AV125" s="48" t="n">
        <f aca="false">IFERROR(INDEX(Factors_ROT!$F$5:$F$200,MATCH("DRV|"&amp;S125,Factors_ROT!$A$5:$A$200,0)),1)*IFERROR(INDEX(Factors_ROT!$F$5:$F$200,MATCH("NACE|"&amp;O125,Factors_ROT!$A$5:$A$200,0)),1)</f>
        <v>1</v>
      </c>
      <c r="AW125" s="48" t="n">
        <f aca="false">IFERROR(INDEX(Factors_ROT!$F$5:$F$200,MATCH("SC_DRV|"&amp;AL125,Factors_ROT!$A$5:$A$200,0)),1)*IFERROR(INDEX(Factors_ROT!$F$5:$F$200,MATCH("SC_BSP|"&amp;AM125,Factors_ROT!$A$5:$A$200,0)),1)*IFERROR(INDEX(Factors_ROT!$F$5:$F$200,MATCH("SC_SEAL|"&amp;AN125,Factors_ROT!$A$5:$A$200,0)),1)*IFERROR(INDEX(Factors_ROT!$F$5:$F$200,MATCH("SC_COMM|"&amp;AO125,Factors_ROT!$A$5:$A$200,0)),1)*IFERROR(INDEX(Factors_ROT!$F$5:$F$200,MATCH("SC_2Y|"&amp;AP125,Factors_ROT!$A$5:$A$200,0)),1)*IFERROR(INDEX(Factors_ROT!$F$5:$F$200,MATCH("SC_TPI|"&amp;AQ125,Factors_ROT!$A$5:$A$200,0)),1)*IFERROR(INDEX(Factors_ROT!$F$5:$F$200,MATCH("SC_FAT|"&amp;AR125,Factors_ROT!$A$5:$A$200,0)),1)</f>
        <v>1</v>
      </c>
      <c r="AX125" s="48" t="n">
        <f aca="false">AT125*AU125*AV125*AW125</f>
        <v>1</v>
      </c>
      <c r="AY125" s="47" t="str">
        <f aca="false">IF(ISNUMBER(AB125),AB125/AX125,"")</f>
        <v/>
      </c>
      <c r="AZ125" s="49" t="str">
        <f aca="false">IFERROR(IF(N(INDEX(Escalation_Index!$B$5:$B$25,MATCH(Y125,Escalation_Index!$A$5:$A$25,0)))&gt;0,INDEX(Escalation_Index!$B$5:$B$25,MATCH(Y125,Escalation_Index!$A$5:$A$25,0)),""),"")</f>
        <v/>
      </c>
      <c r="BA125" s="49" t="n">
        <f aca="false">IF(ISNUMBER('Assumptions &amp; FX Reference'!$I$12),'Assumptions &amp; FX Reference'!$I$12,"")</f>
        <v>123.416</v>
      </c>
      <c r="BB125" s="45" t="str">
        <f aca="false">IF(AND(M125="API 610",LEFT(V125,11)="Centrifugal",OR(LEFT(G125,2)="S-",LEFT(G125,2)="D-")),"Y","N")</f>
        <v>N</v>
      </c>
      <c r="BC125" s="47" t="str">
        <f aca="false">IF(ISNUMBER(AG125),AG125/AX125,"")</f>
        <v/>
      </c>
      <c r="BD125" s="47" t="str">
        <f aca="false">IF(AND(ISNUMBER(BC125),ISNUMBER(K125)),IF(K125&gt;0,BC125/K125^'Assumptions &amp; FX Reference'!$I$16,""),"")</f>
        <v/>
      </c>
      <c r="BE125" s="42" t="s">
        <v>773</v>
      </c>
      <c r="BF125" s="42" t="s">
        <v>774</v>
      </c>
      <c r="BG125" s="42" t="s">
        <v>369</v>
      </c>
      <c r="BH125" s="45" t="s">
        <v>313</v>
      </c>
      <c r="BI125" s="45" t="str">
        <f aca="false">"PMP-"&amp;TEXT(A125,"0000")</f>
        <v>PMP-0121</v>
      </c>
    </row>
    <row r="126" customFormat="false" ht="24" hidden="false" customHeight="true" outlineLevel="0" collapsed="false">
      <c r="A126" s="42" t="n">
        <v>122</v>
      </c>
      <c r="B126" s="42" t="s">
        <v>333</v>
      </c>
      <c r="C126" s="42" t="s">
        <v>758</v>
      </c>
      <c r="D126" s="42" t="s">
        <v>302</v>
      </c>
      <c r="E126" s="42" t="s">
        <v>51</v>
      </c>
      <c r="F126" s="42" t="s">
        <v>123</v>
      </c>
      <c r="G126" s="42" t="s">
        <v>123</v>
      </c>
      <c r="H126" s="43"/>
      <c r="I126" s="43" t="n">
        <v>51.5</v>
      </c>
      <c r="J126" s="43"/>
      <c r="K126" s="44" t="str">
        <f aca="false">IF(ISNUMBER(J126),J126,IF(AND(ISNUMBER(H126),ISNUMBER(I126)),H126*I126/(367*'Assumptions &amp; FX Reference'!$I$17),""))</f>
        <v/>
      </c>
      <c r="L126" s="45" t="str">
        <f aca="false">IF(IF(OR(M126="Not stated",M126=""),""," + "&amp;M126)&amp;IF(OR(N126="None",N126=""),""," + "&amp;N126)&amp;IF(O126="Y"," + NACE MR0175","")="","Not stated",MID(IF(OR(M126="Not stated",M126=""),""," + "&amp;M126)&amp;IF(OR(N126="None",N126=""),""," + "&amp;N126)&amp;IF(O126="Y"," + NACE MR0175",""),4,300))</f>
        <v>Not stated</v>
      </c>
      <c r="M126" s="42" t="s">
        <v>123</v>
      </c>
      <c r="N126" s="42" t="s">
        <v>303</v>
      </c>
      <c r="O126" s="42" t="s">
        <v>123</v>
      </c>
      <c r="P126" s="42" t="s">
        <v>123</v>
      </c>
      <c r="Q126" s="42" t="s">
        <v>123</v>
      </c>
      <c r="R126" s="42" t="s">
        <v>123</v>
      </c>
      <c r="S126" s="42" t="s">
        <v>304</v>
      </c>
      <c r="T126" s="42" t="s">
        <v>334</v>
      </c>
      <c r="U126" s="42" t="n">
        <v>1</v>
      </c>
      <c r="V126" s="42" t="s">
        <v>306</v>
      </c>
      <c r="W126" s="43"/>
      <c r="X126" s="42" t="s">
        <v>123</v>
      </c>
      <c r="Y126" s="42" t="s">
        <v>307</v>
      </c>
      <c r="Z126" s="42" t="s">
        <v>308</v>
      </c>
      <c r="AA126" s="46" t="n">
        <v>10000</v>
      </c>
      <c r="AB126" s="47" t="str">
        <f aca="false">IF(NOT(ISNUMBER(AA126)),"",IF(NOT(ISNUMBER(Y126)),"",IFERROR(IF(Z126="EUR",AA126,IF(Z126="IRR",AA126/INDEX('Assumptions &amp; FX Reference'!$C$5:$C$25,MATCH(Y126,'Assumptions &amp; FX Reference'!$A$5:$A$25,0)),IF(Z126="USD",AA126*INDEX('Assumptions &amp; FX Reference'!$B$5:$B$25,MATCH(Y126,'Assumptions &amp; FX Reference'!$A$5:$A$25,0))/INDEX('Assumptions &amp; FX Reference'!$C$5:$C$25,MATCH(Y126,'Assumptions &amp; FX Reference'!$A$5:$A$25,0)),""))),"")))</f>
        <v/>
      </c>
      <c r="AC126" s="47" t="str">
        <f aca="false">IF(NOT(ISNUMBER(AA126)),"",IF(NOT(ISNUMBER(Y126)),"",IFERROR(IF(Z126="USD",AA126,IF(Z126="IRR",AA126/INDEX('Assumptions &amp; FX Reference'!$B$5:$B$25,MATCH(Y126,'Assumptions &amp; FX Reference'!$A$5:$A$25,0)),IF(Z126="EUR",AA126*INDEX('Assumptions &amp; FX Reference'!$C$5:$C$25,MATCH(Y126,'Assumptions &amp; FX Reference'!$A$5:$A$25,0))/INDEX('Assumptions &amp; FX Reference'!$B$5:$B$25,MATCH(Y126,'Assumptions &amp; FX Reference'!$A$5:$A$25,0)),""))),"")))</f>
        <v/>
      </c>
      <c r="AD126" s="47" t="str">
        <f aca="false">IF(NOT(ISNUMBER(AA126)),"",IF(NOT(ISNUMBER(Y126)),"",IFERROR(IF(Z126="IRR",AA126,IF(Z126="USD",AA126*INDEX('Assumptions &amp; FX Reference'!$B$5:$B$25,MATCH(Y126,'Assumptions &amp; FX Reference'!$A$5:$A$25,0)),IF(Z126="EUR",AA126*INDEX('Assumptions &amp; FX Reference'!$C$5:$C$25,MATCH(Y126,'Assumptions &amp; FX Reference'!$A$5:$A$25,0)),""))),"")))</f>
        <v/>
      </c>
      <c r="AE126" s="42" t="s">
        <v>760</v>
      </c>
      <c r="AF126" s="42" t="s">
        <v>123</v>
      </c>
      <c r="AG126" s="47" t="str">
        <f aca="false">IF(AND(Z126="EUR",N(AA126)&gt;5000000),"",IF(AND(ISNUMBER(AB126),ISNUMBER(AZ126),ISNUMBER(BA126)),IF(AND(BB126="Y",ISNUMBER('Assumptions &amp; FX Reference'!$I$15)),MAX(AB126*BA126/AZ126,'Assumptions &amp; FX Reference'!$I$13*BA126/'Assumptions &amp; FX Reference'!$I$15),AB126*BA126/AZ126),""))</f>
        <v/>
      </c>
      <c r="AH126" s="47" t="str">
        <f aca="false">IF(AND(ISNUMBER(AG126),ISNUMBER('Assumptions &amp; FX Reference'!$I$8),ISNUMBER('Assumptions &amp; FX Reference'!$I$11)),AG126*'Assumptions &amp; FX Reference'!$I$8/'Assumptions &amp; FX Reference'!$I$11,"")</f>
        <v/>
      </c>
      <c r="AI126" s="47" t="str">
        <f aca="false">IF(AND(ISNUMBER(AG126),ISNUMBER('Assumptions &amp; FX Reference'!$I$8)),AG126*'Assumptions &amp; FX Reference'!$I$8,"")</f>
        <v/>
      </c>
      <c r="AJ126" s="42" t="s">
        <v>302</v>
      </c>
      <c r="AK126" s="42" t="s">
        <v>123</v>
      </c>
      <c r="AL126" s="42" t="s">
        <v>123</v>
      </c>
      <c r="AM126" s="42" t="s">
        <v>123</v>
      </c>
      <c r="AN126" s="42" t="s">
        <v>123</v>
      </c>
      <c r="AO126" s="42" t="s">
        <v>123</v>
      </c>
      <c r="AP126" s="42" t="s">
        <v>123</v>
      </c>
      <c r="AQ126" s="42" t="s">
        <v>123</v>
      </c>
      <c r="AR126" s="42" t="s">
        <v>123</v>
      </c>
      <c r="AS126" s="45" t="str">
        <f aca="false">IF(AND(Z126="EUR",N(AA126)&gt;5000000),"Check currency (EUR&gt;5M); ","")&amp;IF(NOT(ISNUMBER(AA126)),"No price; ","")&amp;IF(G126="Not stated","Material missing; ","")&amp;IF(P126="Not stated","Seal missing; ","")&amp;IF(K126="","Size driver missing; ","")&amp;IF(NOT(ISNUMBER(AZ126)),"Base-year PPI missing; ","")</f>
        <v>Material missing; Seal missing; Size driver missing; Base-year PPI missing; </v>
      </c>
      <c r="AT126" s="48" t="n">
        <f aca="false">IFERROR(INDEX(Factors_ROT!$F$5:$F$200,MATCH("MAT|"&amp;G126,Factors_ROT!$A$5:$A$200,0)),1)</f>
        <v>1</v>
      </c>
      <c r="AU126" s="48" t="n">
        <f aca="false">IFERROR(INDEX(Factors_ROT!$F$5:$F$200,MATCH("SEAL_ARR|"&amp;P126,Factors_ROT!$A$5:$A$200,0)),1)*IFERROR(INDEX(Factors_ROT!$F$5:$F$200,MATCH("SEAL_CAT|"&amp;Q126,Factors_ROT!$A$5:$A$200,0)),1)*IFERROR(INDEX(Factors_ROT!$F$5:$F$200,MATCH("SEAL_PLAN|"&amp;R126,Factors_ROT!$A$5:$A$200,0)),1)</f>
        <v>1</v>
      </c>
      <c r="AV126" s="48" t="n">
        <f aca="false">IFERROR(INDEX(Factors_ROT!$F$5:$F$200,MATCH("DRV|"&amp;S126,Factors_ROT!$A$5:$A$200,0)),1)*IFERROR(INDEX(Factors_ROT!$F$5:$F$200,MATCH("NACE|"&amp;O126,Factors_ROT!$A$5:$A$200,0)),1)</f>
        <v>1</v>
      </c>
      <c r="AW126" s="48" t="n">
        <f aca="false">IFERROR(INDEX(Factors_ROT!$F$5:$F$200,MATCH("SC_DRV|"&amp;AL126,Factors_ROT!$A$5:$A$200,0)),1)*IFERROR(INDEX(Factors_ROT!$F$5:$F$200,MATCH("SC_BSP|"&amp;AM126,Factors_ROT!$A$5:$A$200,0)),1)*IFERROR(INDEX(Factors_ROT!$F$5:$F$200,MATCH("SC_SEAL|"&amp;AN126,Factors_ROT!$A$5:$A$200,0)),1)*IFERROR(INDEX(Factors_ROT!$F$5:$F$200,MATCH("SC_COMM|"&amp;AO126,Factors_ROT!$A$5:$A$200,0)),1)*IFERROR(INDEX(Factors_ROT!$F$5:$F$200,MATCH("SC_2Y|"&amp;AP126,Factors_ROT!$A$5:$A$200,0)),1)*IFERROR(INDEX(Factors_ROT!$F$5:$F$200,MATCH("SC_TPI|"&amp;AQ126,Factors_ROT!$A$5:$A$200,0)),1)*IFERROR(INDEX(Factors_ROT!$F$5:$F$200,MATCH("SC_FAT|"&amp;AR126,Factors_ROT!$A$5:$A$200,0)),1)</f>
        <v>1</v>
      </c>
      <c r="AX126" s="48" t="n">
        <f aca="false">AT126*AU126*AV126*AW126</f>
        <v>1</v>
      </c>
      <c r="AY126" s="47" t="str">
        <f aca="false">IF(ISNUMBER(AB126),AB126/AX126,"")</f>
        <v/>
      </c>
      <c r="AZ126" s="49" t="str">
        <f aca="false">IFERROR(IF(N(INDEX(Escalation_Index!$B$5:$B$25,MATCH(Y126,Escalation_Index!$A$5:$A$25,0)))&gt;0,INDEX(Escalation_Index!$B$5:$B$25,MATCH(Y126,Escalation_Index!$A$5:$A$25,0)),""),"")</f>
        <v/>
      </c>
      <c r="BA126" s="49" t="n">
        <f aca="false">IF(ISNUMBER('Assumptions &amp; FX Reference'!$I$12),'Assumptions &amp; FX Reference'!$I$12,"")</f>
        <v>123.416</v>
      </c>
      <c r="BB126" s="45" t="str">
        <f aca="false">IF(AND(M126="API 610",LEFT(V126,11)="Centrifugal",OR(LEFT(G126,2)="S-",LEFT(G126,2)="D-")),"Y","N")</f>
        <v>N</v>
      </c>
      <c r="BC126" s="47" t="str">
        <f aca="false">IF(ISNUMBER(AG126),AG126/AX126,"")</f>
        <v/>
      </c>
      <c r="BD126" s="47" t="str">
        <f aca="false">IF(AND(ISNUMBER(BC126),ISNUMBER(K126)),IF(K126&gt;0,BC126/K126^'Assumptions &amp; FX Reference'!$I$16,""),"")</f>
        <v/>
      </c>
      <c r="BE126" s="42" t="s">
        <v>775</v>
      </c>
      <c r="BF126" s="42" t="s">
        <v>776</v>
      </c>
      <c r="BG126" s="42" t="s">
        <v>369</v>
      </c>
      <c r="BH126" s="45" t="s">
        <v>313</v>
      </c>
      <c r="BI126" s="45" t="str">
        <f aca="false">"PMP-"&amp;TEXT(A126,"0000")</f>
        <v>PMP-0122</v>
      </c>
    </row>
    <row r="127" customFormat="false" ht="24" hidden="false" customHeight="true" outlineLevel="0" collapsed="false">
      <c r="A127" s="42" t="n">
        <v>123</v>
      </c>
      <c r="B127" s="42" t="s">
        <v>337</v>
      </c>
      <c r="C127" s="42" t="s">
        <v>758</v>
      </c>
      <c r="D127" s="42" t="s">
        <v>302</v>
      </c>
      <c r="E127" s="42" t="s">
        <v>48</v>
      </c>
      <c r="F127" s="42" t="s">
        <v>123</v>
      </c>
      <c r="G127" s="42" t="s">
        <v>123</v>
      </c>
      <c r="H127" s="43"/>
      <c r="I127" s="43" t="n">
        <v>41</v>
      </c>
      <c r="J127" s="43" t="n">
        <v>3.9</v>
      </c>
      <c r="K127" s="44" t="n">
        <f aca="false">IF(ISNUMBER(J127),J127,IF(AND(ISNUMBER(H127),ISNUMBER(I127)),H127*I127/(367*'Assumptions &amp; FX Reference'!$I$17),""))</f>
        <v>3.9</v>
      </c>
      <c r="L127" s="45" t="str">
        <f aca="false">IF(IF(OR(M127="Not stated",M127=""),""," + "&amp;M127)&amp;IF(OR(N127="None",N127=""),""," + "&amp;N127)&amp;IF(O127="Y"," + NACE MR0175","")="","Not stated",MID(IF(OR(M127="Not stated",M127=""),""," + "&amp;M127)&amp;IF(OR(N127="None",N127=""),""," + "&amp;N127)&amp;IF(O127="Y"," + NACE MR0175",""),4,300))</f>
        <v>Not stated</v>
      </c>
      <c r="M127" s="42" t="s">
        <v>123</v>
      </c>
      <c r="N127" s="42" t="s">
        <v>303</v>
      </c>
      <c r="O127" s="42" t="s">
        <v>123</v>
      </c>
      <c r="P127" s="42" t="s">
        <v>123</v>
      </c>
      <c r="Q127" s="42" t="s">
        <v>123</v>
      </c>
      <c r="R127" s="42" t="s">
        <v>123</v>
      </c>
      <c r="S127" s="42" t="s">
        <v>304</v>
      </c>
      <c r="T127" s="42" t="s">
        <v>338</v>
      </c>
      <c r="U127" s="42" t="n">
        <v>1</v>
      </c>
      <c r="V127" s="42" t="s">
        <v>306</v>
      </c>
      <c r="W127" s="43"/>
      <c r="X127" s="42" t="s">
        <v>759</v>
      </c>
      <c r="Y127" s="42" t="s">
        <v>307</v>
      </c>
      <c r="Z127" s="42" t="s">
        <v>308</v>
      </c>
      <c r="AA127" s="46" t="n">
        <v>8000</v>
      </c>
      <c r="AB127" s="47" t="str">
        <f aca="false">IF(NOT(ISNUMBER(AA127)),"",IF(NOT(ISNUMBER(Y127)),"",IFERROR(IF(Z127="EUR",AA127,IF(Z127="IRR",AA127/INDEX('Assumptions &amp; FX Reference'!$C$5:$C$25,MATCH(Y127,'Assumptions &amp; FX Reference'!$A$5:$A$25,0)),IF(Z127="USD",AA127*INDEX('Assumptions &amp; FX Reference'!$B$5:$B$25,MATCH(Y127,'Assumptions &amp; FX Reference'!$A$5:$A$25,0))/INDEX('Assumptions &amp; FX Reference'!$C$5:$C$25,MATCH(Y127,'Assumptions &amp; FX Reference'!$A$5:$A$25,0)),""))),"")))</f>
        <v/>
      </c>
      <c r="AC127" s="47" t="str">
        <f aca="false">IF(NOT(ISNUMBER(AA127)),"",IF(NOT(ISNUMBER(Y127)),"",IFERROR(IF(Z127="USD",AA127,IF(Z127="IRR",AA127/INDEX('Assumptions &amp; FX Reference'!$B$5:$B$25,MATCH(Y127,'Assumptions &amp; FX Reference'!$A$5:$A$25,0)),IF(Z127="EUR",AA127*INDEX('Assumptions &amp; FX Reference'!$C$5:$C$25,MATCH(Y127,'Assumptions &amp; FX Reference'!$A$5:$A$25,0))/INDEX('Assumptions &amp; FX Reference'!$B$5:$B$25,MATCH(Y127,'Assumptions &amp; FX Reference'!$A$5:$A$25,0)),""))),"")))</f>
        <v/>
      </c>
      <c r="AD127" s="47" t="str">
        <f aca="false">IF(NOT(ISNUMBER(AA127)),"",IF(NOT(ISNUMBER(Y127)),"",IFERROR(IF(Z127="IRR",AA127,IF(Z127="USD",AA127*INDEX('Assumptions &amp; FX Reference'!$B$5:$B$25,MATCH(Y127,'Assumptions &amp; FX Reference'!$A$5:$A$25,0)),IF(Z127="EUR",AA127*INDEX('Assumptions &amp; FX Reference'!$C$5:$C$25,MATCH(Y127,'Assumptions &amp; FX Reference'!$A$5:$A$25,0)),""))),"")))</f>
        <v/>
      </c>
      <c r="AE127" s="42" t="s">
        <v>760</v>
      </c>
      <c r="AF127" s="42" t="s">
        <v>123</v>
      </c>
      <c r="AG127" s="47" t="str">
        <f aca="false">IF(AND(Z127="EUR",N(AA127)&gt;5000000),"",IF(AND(ISNUMBER(AB127),ISNUMBER(AZ127),ISNUMBER(BA127)),IF(AND(BB127="Y",ISNUMBER('Assumptions &amp; FX Reference'!$I$15)),MAX(AB127*BA127/AZ127,'Assumptions &amp; FX Reference'!$I$13*BA127/'Assumptions &amp; FX Reference'!$I$15),AB127*BA127/AZ127),""))</f>
        <v/>
      </c>
      <c r="AH127" s="47" t="str">
        <f aca="false">IF(AND(ISNUMBER(AG127),ISNUMBER('Assumptions &amp; FX Reference'!$I$8),ISNUMBER('Assumptions &amp; FX Reference'!$I$11)),AG127*'Assumptions &amp; FX Reference'!$I$8/'Assumptions &amp; FX Reference'!$I$11,"")</f>
        <v/>
      </c>
      <c r="AI127" s="47" t="str">
        <f aca="false">IF(AND(ISNUMBER(AG127),ISNUMBER('Assumptions &amp; FX Reference'!$I$8)),AG127*'Assumptions &amp; FX Reference'!$I$8,"")</f>
        <v/>
      </c>
      <c r="AJ127" s="42" t="s">
        <v>302</v>
      </c>
      <c r="AK127" s="42" t="s">
        <v>123</v>
      </c>
      <c r="AL127" s="42" t="s">
        <v>123</v>
      </c>
      <c r="AM127" s="42" t="s">
        <v>123</v>
      </c>
      <c r="AN127" s="42" t="s">
        <v>123</v>
      </c>
      <c r="AO127" s="42" t="s">
        <v>123</v>
      </c>
      <c r="AP127" s="42" t="s">
        <v>123</v>
      </c>
      <c r="AQ127" s="42" t="s">
        <v>123</v>
      </c>
      <c r="AR127" s="42" t="s">
        <v>123</v>
      </c>
      <c r="AS127" s="45" t="str">
        <f aca="false">IF(AND(Z127="EUR",N(AA127)&gt;5000000),"Check currency (EUR&gt;5M); ","")&amp;IF(NOT(ISNUMBER(AA127)),"No price; ","")&amp;IF(G127="Not stated","Material missing; ","")&amp;IF(P127="Not stated","Seal missing; ","")&amp;IF(K127="","Size driver missing; ","")&amp;IF(NOT(ISNUMBER(AZ127)),"Base-year PPI missing; ","")</f>
        <v>Material missing; Seal missing; Base-year PPI missing; </v>
      </c>
      <c r="AT127" s="48" t="n">
        <f aca="false">IFERROR(INDEX(Factors_ROT!$F$5:$F$200,MATCH("MAT|"&amp;G127,Factors_ROT!$A$5:$A$200,0)),1)</f>
        <v>1</v>
      </c>
      <c r="AU127" s="48" t="n">
        <f aca="false">IFERROR(INDEX(Factors_ROT!$F$5:$F$200,MATCH("SEAL_ARR|"&amp;P127,Factors_ROT!$A$5:$A$200,0)),1)*IFERROR(INDEX(Factors_ROT!$F$5:$F$200,MATCH("SEAL_CAT|"&amp;Q127,Factors_ROT!$A$5:$A$200,0)),1)*IFERROR(INDEX(Factors_ROT!$F$5:$F$200,MATCH("SEAL_PLAN|"&amp;R127,Factors_ROT!$A$5:$A$200,0)),1)</f>
        <v>1</v>
      </c>
      <c r="AV127" s="48" t="n">
        <f aca="false">IFERROR(INDEX(Factors_ROT!$F$5:$F$200,MATCH("DRV|"&amp;S127,Factors_ROT!$A$5:$A$200,0)),1)*IFERROR(INDEX(Factors_ROT!$F$5:$F$200,MATCH("NACE|"&amp;O127,Factors_ROT!$A$5:$A$200,0)),1)</f>
        <v>1</v>
      </c>
      <c r="AW127" s="48" t="n">
        <f aca="false">IFERROR(INDEX(Factors_ROT!$F$5:$F$200,MATCH("SC_DRV|"&amp;AL127,Factors_ROT!$A$5:$A$200,0)),1)*IFERROR(INDEX(Factors_ROT!$F$5:$F$200,MATCH("SC_BSP|"&amp;AM127,Factors_ROT!$A$5:$A$200,0)),1)*IFERROR(INDEX(Factors_ROT!$F$5:$F$200,MATCH("SC_SEAL|"&amp;AN127,Factors_ROT!$A$5:$A$200,0)),1)*IFERROR(INDEX(Factors_ROT!$F$5:$F$200,MATCH("SC_COMM|"&amp;AO127,Factors_ROT!$A$5:$A$200,0)),1)*IFERROR(INDEX(Factors_ROT!$F$5:$F$200,MATCH("SC_2Y|"&amp;AP127,Factors_ROT!$A$5:$A$200,0)),1)*IFERROR(INDEX(Factors_ROT!$F$5:$F$200,MATCH("SC_TPI|"&amp;AQ127,Factors_ROT!$A$5:$A$200,0)),1)*IFERROR(INDEX(Factors_ROT!$F$5:$F$200,MATCH("SC_FAT|"&amp;AR127,Factors_ROT!$A$5:$A$200,0)),1)</f>
        <v>1</v>
      </c>
      <c r="AX127" s="48" t="n">
        <f aca="false">AT127*AU127*AV127*AW127</f>
        <v>1</v>
      </c>
      <c r="AY127" s="47" t="str">
        <f aca="false">IF(ISNUMBER(AB127),AB127/AX127,"")</f>
        <v/>
      </c>
      <c r="AZ127" s="49" t="str">
        <f aca="false">IFERROR(IF(N(INDEX(Escalation_Index!$B$5:$B$25,MATCH(Y127,Escalation_Index!$A$5:$A$25,0)))&gt;0,INDEX(Escalation_Index!$B$5:$B$25,MATCH(Y127,Escalation_Index!$A$5:$A$25,0)),""),"")</f>
        <v/>
      </c>
      <c r="BA127" s="49" t="n">
        <f aca="false">IF(ISNUMBER('Assumptions &amp; FX Reference'!$I$12),'Assumptions &amp; FX Reference'!$I$12,"")</f>
        <v>123.416</v>
      </c>
      <c r="BB127" s="45" t="str">
        <f aca="false">IF(AND(M127="API 610",LEFT(V127,11)="Centrifugal",OR(LEFT(G127,2)="S-",LEFT(G127,2)="D-")),"Y","N")</f>
        <v>N</v>
      </c>
      <c r="BC127" s="47" t="str">
        <f aca="false">IF(ISNUMBER(AG127),AG127/AX127,"")</f>
        <v/>
      </c>
      <c r="BD127" s="47" t="str">
        <f aca="false">IF(AND(ISNUMBER(BC127),ISNUMBER(K127)),IF(K127&gt;0,BC127/K127^'Assumptions &amp; FX Reference'!$I$16,""),"")</f>
        <v/>
      </c>
      <c r="BE127" s="42" t="s">
        <v>777</v>
      </c>
      <c r="BF127" s="42" t="s">
        <v>778</v>
      </c>
      <c r="BG127" s="42" t="s">
        <v>369</v>
      </c>
      <c r="BH127" s="45" t="s">
        <v>313</v>
      </c>
      <c r="BI127" s="45" t="str">
        <f aca="false">"PMP-"&amp;TEXT(A127,"0000")</f>
        <v>PMP-0123</v>
      </c>
    </row>
    <row r="128" customFormat="false" ht="24" hidden="false" customHeight="true" outlineLevel="0" collapsed="false">
      <c r="A128" s="42" t="n">
        <v>124</v>
      </c>
      <c r="B128" s="42" t="s">
        <v>341</v>
      </c>
      <c r="C128" s="42" t="s">
        <v>758</v>
      </c>
      <c r="D128" s="42" t="s">
        <v>302</v>
      </c>
      <c r="E128" s="42" t="s">
        <v>54</v>
      </c>
      <c r="F128" s="42" t="s">
        <v>123</v>
      </c>
      <c r="G128" s="42" t="s">
        <v>123</v>
      </c>
      <c r="H128" s="43"/>
      <c r="I128" s="43" t="n">
        <v>120</v>
      </c>
      <c r="J128" s="43" t="n">
        <v>13.7</v>
      </c>
      <c r="K128" s="44" t="n">
        <f aca="false">IF(ISNUMBER(J128),J128,IF(AND(ISNUMBER(H128),ISNUMBER(I128)),H128*I128/(367*'Assumptions &amp; FX Reference'!$I$17),""))</f>
        <v>13.7</v>
      </c>
      <c r="L128" s="45" t="str">
        <f aca="false">IF(IF(OR(M128="Not stated",M128=""),""," + "&amp;M128)&amp;IF(OR(N128="None",N128=""),""," + "&amp;N128)&amp;IF(O128="Y"," + NACE MR0175","")="","Not stated",MID(IF(OR(M128="Not stated",M128=""),""," + "&amp;M128)&amp;IF(OR(N128="None",N128=""),""," + "&amp;N128)&amp;IF(O128="Y"," + NACE MR0175",""),4,300))</f>
        <v>Not stated</v>
      </c>
      <c r="M128" s="42" t="s">
        <v>123</v>
      </c>
      <c r="N128" s="42" t="s">
        <v>303</v>
      </c>
      <c r="O128" s="42" t="s">
        <v>123</v>
      </c>
      <c r="P128" s="42" t="s">
        <v>123</v>
      </c>
      <c r="Q128" s="42" t="s">
        <v>123</v>
      </c>
      <c r="R128" s="42" t="s">
        <v>123</v>
      </c>
      <c r="S128" s="42" t="s">
        <v>304</v>
      </c>
      <c r="T128" s="42" t="s">
        <v>342</v>
      </c>
      <c r="U128" s="42" t="n">
        <v>1</v>
      </c>
      <c r="V128" s="50" t="s">
        <v>306</v>
      </c>
      <c r="W128" s="43"/>
      <c r="X128" s="42" t="s">
        <v>123</v>
      </c>
      <c r="Y128" s="42" t="s">
        <v>307</v>
      </c>
      <c r="Z128" s="42" t="s">
        <v>308</v>
      </c>
      <c r="AA128" s="46" t="n">
        <v>40000</v>
      </c>
      <c r="AB128" s="47" t="str">
        <f aca="false">IF(NOT(ISNUMBER(AA128)),"",IF(NOT(ISNUMBER(Y128)),"",IFERROR(IF(Z128="EUR",AA128,IF(Z128="IRR",AA128/INDEX('Assumptions &amp; FX Reference'!$C$5:$C$25,MATCH(Y128,'Assumptions &amp; FX Reference'!$A$5:$A$25,0)),IF(Z128="USD",AA128*INDEX('Assumptions &amp; FX Reference'!$B$5:$B$25,MATCH(Y128,'Assumptions &amp; FX Reference'!$A$5:$A$25,0))/INDEX('Assumptions &amp; FX Reference'!$C$5:$C$25,MATCH(Y128,'Assumptions &amp; FX Reference'!$A$5:$A$25,0)),""))),"")))</f>
        <v/>
      </c>
      <c r="AC128" s="47" t="str">
        <f aca="false">IF(NOT(ISNUMBER(AA128)),"",IF(NOT(ISNUMBER(Y128)),"",IFERROR(IF(Z128="USD",AA128,IF(Z128="IRR",AA128/INDEX('Assumptions &amp; FX Reference'!$B$5:$B$25,MATCH(Y128,'Assumptions &amp; FX Reference'!$A$5:$A$25,0)),IF(Z128="EUR",AA128*INDEX('Assumptions &amp; FX Reference'!$C$5:$C$25,MATCH(Y128,'Assumptions &amp; FX Reference'!$A$5:$A$25,0))/INDEX('Assumptions &amp; FX Reference'!$B$5:$B$25,MATCH(Y128,'Assumptions &amp; FX Reference'!$A$5:$A$25,0)),""))),"")))</f>
        <v/>
      </c>
      <c r="AD128" s="47" t="str">
        <f aca="false">IF(NOT(ISNUMBER(AA128)),"",IF(NOT(ISNUMBER(Y128)),"",IFERROR(IF(Z128="IRR",AA128,IF(Z128="USD",AA128*INDEX('Assumptions &amp; FX Reference'!$B$5:$B$25,MATCH(Y128,'Assumptions &amp; FX Reference'!$A$5:$A$25,0)),IF(Z128="EUR",AA128*INDEX('Assumptions &amp; FX Reference'!$C$5:$C$25,MATCH(Y128,'Assumptions &amp; FX Reference'!$A$5:$A$25,0)),""))),"")))</f>
        <v/>
      </c>
      <c r="AE128" s="42" t="s">
        <v>760</v>
      </c>
      <c r="AF128" s="42" t="s">
        <v>123</v>
      </c>
      <c r="AG128" s="47" t="str">
        <f aca="false">IF(AND(Z128="EUR",N(AA128)&gt;5000000),"",IF(AND(ISNUMBER(AB128),ISNUMBER(AZ128),ISNUMBER(BA128)),IF(AND(BB128="Y",ISNUMBER('Assumptions &amp; FX Reference'!$I$15)),MAX(AB128*BA128/AZ128,'Assumptions &amp; FX Reference'!$I$13*BA128/'Assumptions &amp; FX Reference'!$I$15),AB128*BA128/AZ128),""))</f>
        <v/>
      </c>
      <c r="AH128" s="47" t="str">
        <f aca="false">IF(AND(ISNUMBER(AG128),ISNUMBER('Assumptions &amp; FX Reference'!$I$8),ISNUMBER('Assumptions &amp; FX Reference'!$I$11)),AG128*'Assumptions &amp; FX Reference'!$I$8/'Assumptions &amp; FX Reference'!$I$11,"")</f>
        <v/>
      </c>
      <c r="AI128" s="47" t="str">
        <f aca="false">IF(AND(ISNUMBER(AG128),ISNUMBER('Assumptions &amp; FX Reference'!$I$8)),AG128*'Assumptions &amp; FX Reference'!$I$8,"")</f>
        <v/>
      </c>
      <c r="AJ128" s="42" t="s">
        <v>302</v>
      </c>
      <c r="AK128" s="42" t="s">
        <v>123</v>
      </c>
      <c r="AL128" s="42" t="s">
        <v>123</v>
      </c>
      <c r="AM128" s="42" t="s">
        <v>123</v>
      </c>
      <c r="AN128" s="42" t="s">
        <v>123</v>
      </c>
      <c r="AO128" s="42" t="s">
        <v>123</v>
      </c>
      <c r="AP128" s="42" t="s">
        <v>123</v>
      </c>
      <c r="AQ128" s="42" t="s">
        <v>123</v>
      </c>
      <c r="AR128" s="42" t="s">
        <v>123</v>
      </c>
      <c r="AS128" s="45" t="str">
        <f aca="false">IF(AND(Z128="EUR",N(AA128)&gt;5000000),"Check currency (EUR&gt;5M); ","")&amp;IF(NOT(ISNUMBER(AA128)),"No price; ","")&amp;IF(G128="Not stated","Material missing; ","")&amp;IF(P128="Not stated","Seal missing; ","")&amp;IF(K128="","Size driver missing; ","")&amp;IF(NOT(ISNUMBER(AZ128)),"Base-year PPI missing; ","")</f>
        <v>Material missing; Seal missing; Base-year PPI missing; </v>
      </c>
      <c r="AT128" s="48" t="n">
        <f aca="false">IFERROR(INDEX(Factors_ROT!$F$5:$F$200,MATCH("MAT|"&amp;G128,Factors_ROT!$A$5:$A$200,0)),1)</f>
        <v>1</v>
      </c>
      <c r="AU128" s="48" t="n">
        <f aca="false">IFERROR(INDEX(Factors_ROT!$F$5:$F$200,MATCH("SEAL_ARR|"&amp;P128,Factors_ROT!$A$5:$A$200,0)),1)*IFERROR(INDEX(Factors_ROT!$F$5:$F$200,MATCH("SEAL_CAT|"&amp;Q128,Factors_ROT!$A$5:$A$200,0)),1)*IFERROR(INDEX(Factors_ROT!$F$5:$F$200,MATCH("SEAL_PLAN|"&amp;R128,Factors_ROT!$A$5:$A$200,0)),1)</f>
        <v>1</v>
      </c>
      <c r="AV128" s="48" t="n">
        <f aca="false">IFERROR(INDEX(Factors_ROT!$F$5:$F$200,MATCH("DRV|"&amp;S128,Factors_ROT!$A$5:$A$200,0)),1)*IFERROR(INDEX(Factors_ROT!$F$5:$F$200,MATCH("NACE|"&amp;O128,Factors_ROT!$A$5:$A$200,0)),1)</f>
        <v>1</v>
      </c>
      <c r="AW128" s="48" t="n">
        <f aca="false">IFERROR(INDEX(Factors_ROT!$F$5:$F$200,MATCH("SC_DRV|"&amp;AL128,Factors_ROT!$A$5:$A$200,0)),1)*IFERROR(INDEX(Factors_ROT!$F$5:$F$200,MATCH("SC_BSP|"&amp;AM128,Factors_ROT!$A$5:$A$200,0)),1)*IFERROR(INDEX(Factors_ROT!$F$5:$F$200,MATCH("SC_SEAL|"&amp;AN128,Factors_ROT!$A$5:$A$200,0)),1)*IFERROR(INDEX(Factors_ROT!$F$5:$F$200,MATCH("SC_COMM|"&amp;AO128,Factors_ROT!$A$5:$A$200,0)),1)*IFERROR(INDEX(Factors_ROT!$F$5:$F$200,MATCH("SC_2Y|"&amp;AP128,Factors_ROT!$A$5:$A$200,0)),1)*IFERROR(INDEX(Factors_ROT!$F$5:$F$200,MATCH("SC_TPI|"&amp;AQ128,Factors_ROT!$A$5:$A$200,0)),1)*IFERROR(INDEX(Factors_ROT!$F$5:$F$200,MATCH("SC_FAT|"&amp;AR128,Factors_ROT!$A$5:$A$200,0)),1)</f>
        <v>1</v>
      </c>
      <c r="AX128" s="48" t="n">
        <f aca="false">AT128*AU128*AV128*AW128</f>
        <v>1</v>
      </c>
      <c r="AY128" s="47" t="str">
        <f aca="false">IF(ISNUMBER(AB128),AB128/AX128,"")</f>
        <v/>
      </c>
      <c r="AZ128" s="49" t="str">
        <f aca="false">IFERROR(IF(N(INDEX(Escalation_Index!$B$5:$B$25,MATCH(Y128,Escalation_Index!$A$5:$A$25,0)))&gt;0,INDEX(Escalation_Index!$B$5:$B$25,MATCH(Y128,Escalation_Index!$A$5:$A$25,0)),""),"")</f>
        <v/>
      </c>
      <c r="BA128" s="49" t="n">
        <f aca="false">IF(ISNUMBER('Assumptions &amp; FX Reference'!$I$12),'Assumptions &amp; FX Reference'!$I$12,"")</f>
        <v>123.416</v>
      </c>
      <c r="BB128" s="45" t="str">
        <f aca="false">IF(AND(M128="API 610",LEFT(V128,11)="Centrifugal",OR(LEFT(G128,2)="S-",LEFT(G128,2)="D-")),"Y","N")</f>
        <v>N</v>
      </c>
      <c r="BC128" s="47" t="str">
        <f aca="false">IF(ISNUMBER(AG128),AG128/AX128,"")</f>
        <v/>
      </c>
      <c r="BD128" s="47" t="str">
        <f aca="false">IF(AND(ISNUMBER(BC128),ISNUMBER(K128)),IF(K128&gt;0,BC128/K128^'Assumptions &amp; FX Reference'!$I$16,""),"")</f>
        <v/>
      </c>
      <c r="BE128" s="42" t="s">
        <v>779</v>
      </c>
      <c r="BF128" s="42" t="s">
        <v>780</v>
      </c>
      <c r="BG128" s="42" t="s">
        <v>369</v>
      </c>
      <c r="BH128" s="45" t="s">
        <v>313</v>
      </c>
      <c r="BI128" s="45" t="str">
        <f aca="false">"PMP-"&amp;TEXT(A128,"0000")</f>
        <v>PMP-0124</v>
      </c>
    </row>
    <row r="129" customFormat="false" ht="24" hidden="false" customHeight="true" outlineLevel="0" collapsed="false">
      <c r="A129" s="42" t="n">
        <v>125</v>
      </c>
      <c r="B129" s="42" t="s">
        <v>345</v>
      </c>
      <c r="C129" s="42" t="s">
        <v>758</v>
      </c>
      <c r="D129" s="42" t="s">
        <v>302</v>
      </c>
      <c r="E129" s="42" t="s">
        <v>57</v>
      </c>
      <c r="F129" s="42" t="s">
        <v>192</v>
      </c>
      <c r="G129" s="42" t="s">
        <v>123</v>
      </c>
      <c r="H129" s="43"/>
      <c r="I129" s="43" t="n">
        <v>27.2</v>
      </c>
      <c r="J129" s="43"/>
      <c r="K129" s="44" t="str">
        <f aca="false">IF(ISNUMBER(J129),J129,IF(AND(ISNUMBER(H129),ISNUMBER(I129)),H129*I129/(367*'Assumptions &amp; FX Reference'!$I$17),""))</f>
        <v/>
      </c>
      <c r="L129" s="45" t="str">
        <f aca="false">IF(IF(OR(M129="Not stated",M129=""),""," + "&amp;M129)&amp;IF(OR(N129="None",N129=""),""," + "&amp;N129)&amp;IF(O129="Y"," + NACE MR0175","")="","Not stated",MID(IF(OR(M129="Not stated",M129=""),""," + "&amp;M129)&amp;IF(OR(N129="None",N129=""),""," + "&amp;N129)&amp;IF(O129="Y"," + NACE MR0175",""),4,300))</f>
        <v>Not stated</v>
      </c>
      <c r="M129" s="42" t="s">
        <v>123</v>
      </c>
      <c r="N129" s="42" t="s">
        <v>303</v>
      </c>
      <c r="O129" s="42" t="s">
        <v>123</v>
      </c>
      <c r="P129" s="42" t="s">
        <v>123</v>
      </c>
      <c r="Q129" s="42" t="s">
        <v>123</v>
      </c>
      <c r="R129" s="42" t="s">
        <v>123</v>
      </c>
      <c r="S129" s="42" t="s">
        <v>123</v>
      </c>
      <c r="T129" s="42" t="s">
        <v>346</v>
      </c>
      <c r="U129" s="42" t="n">
        <v>1</v>
      </c>
      <c r="V129" s="42" t="s">
        <v>347</v>
      </c>
      <c r="W129" s="43"/>
      <c r="X129" s="42" t="s">
        <v>123</v>
      </c>
      <c r="Y129" s="42" t="s">
        <v>307</v>
      </c>
      <c r="Z129" s="42" t="s">
        <v>308</v>
      </c>
      <c r="AA129" s="46" t="n">
        <v>5000</v>
      </c>
      <c r="AB129" s="47" t="str">
        <f aca="false">IF(NOT(ISNUMBER(AA129)),"",IF(NOT(ISNUMBER(Y129)),"",IFERROR(IF(Z129="EUR",AA129,IF(Z129="IRR",AA129/INDEX('Assumptions &amp; FX Reference'!$C$5:$C$25,MATCH(Y129,'Assumptions &amp; FX Reference'!$A$5:$A$25,0)),IF(Z129="USD",AA129*INDEX('Assumptions &amp; FX Reference'!$B$5:$B$25,MATCH(Y129,'Assumptions &amp; FX Reference'!$A$5:$A$25,0))/INDEX('Assumptions &amp; FX Reference'!$C$5:$C$25,MATCH(Y129,'Assumptions &amp; FX Reference'!$A$5:$A$25,0)),""))),"")))</f>
        <v/>
      </c>
      <c r="AC129" s="47" t="str">
        <f aca="false">IF(NOT(ISNUMBER(AA129)),"",IF(NOT(ISNUMBER(Y129)),"",IFERROR(IF(Z129="USD",AA129,IF(Z129="IRR",AA129/INDEX('Assumptions &amp; FX Reference'!$B$5:$B$25,MATCH(Y129,'Assumptions &amp; FX Reference'!$A$5:$A$25,0)),IF(Z129="EUR",AA129*INDEX('Assumptions &amp; FX Reference'!$C$5:$C$25,MATCH(Y129,'Assumptions &amp; FX Reference'!$A$5:$A$25,0))/INDEX('Assumptions &amp; FX Reference'!$B$5:$B$25,MATCH(Y129,'Assumptions &amp; FX Reference'!$A$5:$A$25,0)),""))),"")))</f>
        <v/>
      </c>
      <c r="AD129" s="47" t="str">
        <f aca="false">IF(NOT(ISNUMBER(AA129)),"",IF(NOT(ISNUMBER(Y129)),"",IFERROR(IF(Z129="IRR",AA129,IF(Z129="USD",AA129*INDEX('Assumptions &amp; FX Reference'!$B$5:$B$25,MATCH(Y129,'Assumptions &amp; FX Reference'!$A$5:$A$25,0)),IF(Z129="EUR",AA129*INDEX('Assumptions &amp; FX Reference'!$C$5:$C$25,MATCH(Y129,'Assumptions &amp; FX Reference'!$A$5:$A$25,0)),""))),"")))</f>
        <v/>
      </c>
      <c r="AE129" s="42" t="s">
        <v>760</v>
      </c>
      <c r="AF129" s="42" t="s">
        <v>123</v>
      </c>
      <c r="AG129" s="47" t="str">
        <f aca="false">IF(AND(Z129="EUR",N(AA129)&gt;5000000),"",IF(AND(ISNUMBER(AB129),ISNUMBER(AZ129),ISNUMBER(BA129)),IF(AND(BB129="Y",ISNUMBER('Assumptions &amp; FX Reference'!$I$15)),MAX(AB129*BA129/AZ129,'Assumptions &amp; FX Reference'!$I$13*BA129/'Assumptions &amp; FX Reference'!$I$15),AB129*BA129/AZ129),""))</f>
        <v/>
      </c>
      <c r="AH129" s="47" t="str">
        <f aca="false">IF(AND(ISNUMBER(AG129),ISNUMBER('Assumptions &amp; FX Reference'!$I$8),ISNUMBER('Assumptions &amp; FX Reference'!$I$11)),AG129*'Assumptions &amp; FX Reference'!$I$8/'Assumptions &amp; FX Reference'!$I$11,"")</f>
        <v/>
      </c>
      <c r="AI129" s="47" t="str">
        <f aca="false">IF(AND(ISNUMBER(AG129),ISNUMBER('Assumptions &amp; FX Reference'!$I$8)),AG129*'Assumptions &amp; FX Reference'!$I$8,"")</f>
        <v/>
      </c>
      <c r="AJ129" s="42" t="s">
        <v>302</v>
      </c>
      <c r="AK129" s="42" t="s">
        <v>123</v>
      </c>
      <c r="AL129" s="42" t="s">
        <v>123</v>
      </c>
      <c r="AM129" s="42" t="s">
        <v>123</v>
      </c>
      <c r="AN129" s="42" t="s">
        <v>123</v>
      </c>
      <c r="AO129" s="42" t="s">
        <v>123</v>
      </c>
      <c r="AP129" s="42" t="s">
        <v>123</v>
      </c>
      <c r="AQ129" s="42" t="s">
        <v>123</v>
      </c>
      <c r="AR129" s="42" t="s">
        <v>123</v>
      </c>
      <c r="AS129" s="45" t="str">
        <f aca="false">IF(AND(Z129="EUR",N(AA129)&gt;5000000),"Check currency (EUR&gt;5M); ","")&amp;IF(NOT(ISNUMBER(AA129)),"No price; ","")&amp;IF(G129="Not stated","Material missing; ","")&amp;IF(P129="Not stated","Seal missing; ","")&amp;IF(K129="","Size driver missing; ","")&amp;IF(NOT(ISNUMBER(AZ129)),"Base-year PPI missing; ","")</f>
        <v>Material missing; Seal missing; Size driver missing; Base-year PPI missing; </v>
      </c>
      <c r="AT129" s="48" t="n">
        <f aca="false">IFERROR(INDEX(Factors_ROT!$F$5:$F$200,MATCH("MAT|"&amp;G129,Factors_ROT!$A$5:$A$200,0)),1)</f>
        <v>1</v>
      </c>
      <c r="AU129" s="48" t="n">
        <f aca="false">IFERROR(INDEX(Factors_ROT!$F$5:$F$200,MATCH("SEAL_ARR|"&amp;P129,Factors_ROT!$A$5:$A$200,0)),1)*IFERROR(INDEX(Factors_ROT!$F$5:$F$200,MATCH("SEAL_CAT|"&amp;Q129,Factors_ROT!$A$5:$A$200,0)),1)*IFERROR(INDEX(Factors_ROT!$F$5:$F$200,MATCH("SEAL_PLAN|"&amp;R129,Factors_ROT!$A$5:$A$200,0)),1)</f>
        <v>1</v>
      </c>
      <c r="AV129" s="48" t="n">
        <f aca="false">IFERROR(INDEX(Factors_ROT!$F$5:$F$200,MATCH("DRV|"&amp;S129,Factors_ROT!$A$5:$A$200,0)),1)*IFERROR(INDEX(Factors_ROT!$F$5:$F$200,MATCH("NACE|"&amp;O129,Factors_ROT!$A$5:$A$200,0)),1)</f>
        <v>1</v>
      </c>
      <c r="AW129" s="48" t="n">
        <f aca="false">IFERROR(INDEX(Factors_ROT!$F$5:$F$200,MATCH("SC_DRV|"&amp;AL129,Factors_ROT!$A$5:$A$200,0)),1)*IFERROR(INDEX(Factors_ROT!$F$5:$F$200,MATCH("SC_BSP|"&amp;AM129,Factors_ROT!$A$5:$A$200,0)),1)*IFERROR(INDEX(Factors_ROT!$F$5:$F$200,MATCH("SC_SEAL|"&amp;AN129,Factors_ROT!$A$5:$A$200,0)),1)*IFERROR(INDEX(Factors_ROT!$F$5:$F$200,MATCH("SC_COMM|"&amp;AO129,Factors_ROT!$A$5:$A$200,0)),1)*IFERROR(INDEX(Factors_ROT!$F$5:$F$200,MATCH("SC_2Y|"&amp;AP129,Factors_ROT!$A$5:$A$200,0)),1)*IFERROR(INDEX(Factors_ROT!$F$5:$F$200,MATCH("SC_TPI|"&amp;AQ129,Factors_ROT!$A$5:$A$200,0)),1)*IFERROR(INDEX(Factors_ROT!$F$5:$F$200,MATCH("SC_FAT|"&amp;AR129,Factors_ROT!$A$5:$A$200,0)),1)</f>
        <v>1</v>
      </c>
      <c r="AX129" s="48" t="n">
        <f aca="false">AT129*AU129*AV129*AW129</f>
        <v>1</v>
      </c>
      <c r="AY129" s="47" t="str">
        <f aca="false">IF(ISNUMBER(AB129),AB129/AX129,"")</f>
        <v/>
      </c>
      <c r="AZ129" s="49" t="str">
        <f aca="false">IFERROR(IF(N(INDEX(Escalation_Index!$B$5:$B$25,MATCH(Y129,Escalation_Index!$A$5:$A$25,0)))&gt;0,INDEX(Escalation_Index!$B$5:$B$25,MATCH(Y129,Escalation_Index!$A$5:$A$25,0)),""),"")</f>
        <v/>
      </c>
      <c r="BA129" s="49" t="n">
        <f aca="false">IF(ISNUMBER('Assumptions &amp; FX Reference'!$I$12),'Assumptions &amp; FX Reference'!$I$12,"")</f>
        <v>123.416</v>
      </c>
      <c r="BB129" s="45" t="str">
        <f aca="false">IF(AND(M129="API 610",LEFT(V129,11)="Centrifugal",OR(LEFT(G129,2)="S-",LEFT(G129,2)="D-")),"Y","N")</f>
        <v>N</v>
      </c>
      <c r="BC129" s="47" t="str">
        <f aca="false">IF(ISNUMBER(AG129),AG129/AX129,"")</f>
        <v/>
      </c>
      <c r="BD129" s="47" t="str">
        <f aca="false">IF(AND(ISNUMBER(BC129),ISNUMBER(K129)),IF(K129&gt;0,BC129/K129^'Assumptions &amp; FX Reference'!$I$16,""),"")</f>
        <v/>
      </c>
      <c r="BE129" s="42" t="s">
        <v>781</v>
      </c>
      <c r="BF129" s="42" t="s">
        <v>782</v>
      </c>
      <c r="BG129" s="42" t="s">
        <v>369</v>
      </c>
      <c r="BH129" s="45" t="s">
        <v>313</v>
      </c>
      <c r="BI129" s="45" t="str">
        <f aca="false">"PMP-"&amp;TEXT(A129,"0000")</f>
        <v>PMP-0125</v>
      </c>
    </row>
    <row r="130" customFormat="false" ht="24" hidden="false" customHeight="true" outlineLevel="0" collapsed="false">
      <c r="A130" s="42" t="n">
        <v>126</v>
      </c>
      <c r="B130" s="42" t="s">
        <v>350</v>
      </c>
      <c r="C130" s="42" t="s">
        <v>758</v>
      </c>
      <c r="D130" s="42" t="s">
        <v>302</v>
      </c>
      <c r="E130" s="42" t="s">
        <v>57</v>
      </c>
      <c r="F130" s="42" t="s">
        <v>192</v>
      </c>
      <c r="G130" s="42" t="s">
        <v>123</v>
      </c>
      <c r="H130" s="43"/>
      <c r="I130" s="43" t="n">
        <v>40.8</v>
      </c>
      <c r="J130" s="43" t="n">
        <v>0.83</v>
      </c>
      <c r="K130" s="44" t="n">
        <f aca="false">IF(ISNUMBER(J130),J130,IF(AND(ISNUMBER(H130),ISNUMBER(I130)),H130*I130/(367*'Assumptions &amp; FX Reference'!$I$17),""))</f>
        <v>0.83</v>
      </c>
      <c r="L130" s="45" t="str">
        <f aca="false">IF(IF(OR(M130="Not stated",M130=""),""," + "&amp;M130)&amp;IF(OR(N130="None",N130=""),""," + "&amp;N130)&amp;IF(O130="Y"," + NACE MR0175","")="","Not stated",MID(IF(OR(M130="Not stated",M130=""),""," + "&amp;M130)&amp;IF(OR(N130="None",N130=""),""," + "&amp;N130)&amp;IF(O130="Y"," + NACE MR0175",""),4,300))</f>
        <v>Not stated</v>
      </c>
      <c r="M130" s="42" t="s">
        <v>123</v>
      </c>
      <c r="N130" s="42" t="s">
        <v>303</v>
      </c>
      <c r="O130" s="42" t="s">
        <v>123</v>
      </c>
      <c r="P130" s="42" t="s">
        <v>123</v>
      </c>
      <c r="Q130" s="42" t="s">
        <v>123</v>
      </c>
      <c r="R130" s="42" t="s">
        <v>123</v>
      </c>
      <c r="S130" s="42" t="s">
        <v>304</v>
      </c>
      <c r="T130" s="42" t="s">
        <v>346</v>
      </c>
      <c r="U130" s="42" t="n">
        <v>1</v>
      </c>
      <c r="V130" s="42" t="s">
        <v>351</v>
      </c>
      <c r="W130" s="43"/>
      <c r="X130" s="42" t="s">
        <v>123</v>
      </c>
      <c r="Y130" s="42" t="s">
        <v>307</v>
      </c>
      <c r="Z130" s="42" t="s">
        <v>308</v>
      </c>
      <c r="AA130" s="46" t="n">
        <v>3000</v>
      </c>
      <c r="AB130" s="47" t="str">
        <f aca="false">IF(NOT(ISNUMBER(AA130)),"",IF(NOT(ISNUMBER(Y130)),"",IFERROR(IF(Z130="EUR",AA130,IF(Z130="IRR",AA130/INDEX('Assumptions &amp; FX Reference'!$C$5:$C$25,MATCH(Y130,'Assumptions &amp; FX Reference'!$A$5:$A$25,0)),IF(Z130="USD",AA130*INDEX('Assumptions &amp; FX Reference'!$B$5:$B$25,MATCH(Y130,'Assumptions &amp; FX Reference'!$A$5:$A$25,0))/INDEX('Assumptions &amp; FX Reference'!$C$5:$C$25,MATCH(Y130,'Assumptions &amp; FX Reference'!$A$5:$A$25,0)),""))),"")))</f>
        <v/>
      </c>
      <c r="AC130" s="47" t="str">
        <f aca="false">IF(NOT(ISNUMBER(AA130)),"",IF(NOT(ISNUMBER(Y130)),"",IFERROR(IF(Z130="USD",AA130,IF(Z130="IRR",AA130/INDEX('Assumptions &amp; FX Reference'!$B$5:$B$25,MATCH(Y130,'Assumptions &amp; FX Reference'!$A$5:$A$25,0)),IF(Z130="EUR",AA130*INDEX('Assumptions &amp; FX Reference'!$C$5:$C$25,MATCH(Y130,'Assumptions &amp; FX Reference'!$A$5:$A$25,0))/INDEX('Assumptions &amp; FX Reference'!$B$5:$B$25,MATCH(Y130,'Assumptions &amp; FX Reference'!$A$5:$A$25,0)),""))),"")))</f>
        <v/>
      </c>
      <c r="AD130" s="47" t="str">
        <f aca="false">IF(NOT(ISNUMBER(AA130)),"",IF(NOT(ISNUMBER(Y130)),"",IFERROR(IF(Z130="IRR",AA130,IF(Z130="USD",AA130*INDEX('Assumptions &amp; FX Reference'!$B$5:$B$25,MATCH(Y130,'Assumptions &amp; FX Reference'!$A$5:$A$25,0)),IF(Z130="EUR",AA130*INDEX('Assumptions &amp; FX Reference'!$C$5:$C$25,MATCH(Y130,'Assumptions &amp; FX Reference'!$A$5:$A$25,0)),""))),"")))</f>
        <v/>
      </c>
      <c r="AE130" s="42" t="s">
        <v>760</v>
      </c>
      <c r="AF130" s="42" t="s">
        <v>123</v>
      </c>
      <c r="AG130" s="47" t="str">
        <f aca="false">IF(AND(Z130="EUR",N(AA130)&gt;5000000),"",IF(AND(ISNUMBER(AB130),ISNUMBER(AZ130),ISNUMBER(BA130)),IF(AND(BB130="Y",ISNUMBER('Assumptions &amp; FX Reference'!$I$15)),MAX(AB130*BA130/AZ130,'Assumptions &amp; FX Reference'!$I$13*BA130/'Assumptions &amp; FX Reference'!$I$15),AB130*BA130/AZ130),""))</f>
        <v/>
      </c>
      <c r="AH130" s="47" t="str">
        <f aca="false">IF(AND(ISNUMBER(AG130),ISNUMBER('Assumptions &amp; FX Reference'!$I$8),ISNUMBER('Assumptions &amp; FX Reference'!$I$11)),AG130*'Assumptions &amp; FX Reference'!$I$8/'Assumptions &amp; FX Reference'!$I$11,"")</f>
        <v/>
      </c>
      <c r="AI130" s="47" t="str">
        <f aca="false">IF(AND(ISNUMBER(AG130),ISNUMBER('Assumptions &amp; FX Reference'!$I$8)),AG130*'Assumptions &amp; FX Reference'!$I$8,"")</f>
        <v/>
      </c>
      <c r="AJ130" s="42" t="s">
        <v>302</v>
      </c>
      <c r="AK130" s="42" t="s">
        <v>123</v>
      </c>
      <c r="AL130" s="42" t="s">
        <v>123</v>
      </c>
      <c r="AM130" s="42" t="s">
        <v>123</v>
      </c>
      <c r="AN130" s="42" t="s">
        <v>123</v>
      </c>
      <c r="AO130" s="42" t="s">
        <v>123</v>
      </c>
      <c r="AP130" s="42" t="s">
        <v>123</v>
      </c>
      <c r="AQ130" s="42" t="s">
        <v>123</v>
      </c>
      <c r="AR130" s="42" t="s">
        <v>123</v>
      </c>
      <c r="AS130" s="45" t="str">
        <f aca="false">IF(AND(Z130="EUR",N(AA130)&gt;5000000),"Check currency (EUR&gt;5M); ","")&amp;IF(NOT(ISNUMBER(AA130)),"No price; ","")&amp;IF(G130="Not stated","Material missing; ","")&amp;IF(P130="Not stated","Seal missing; ","")&amp;IF(K130="","Size driver missing; ","")&amp;IF(NOT(ISNUMBER(AZ130)),"Base-year PPI missing; ","")</f>
        <v>Material missing; Seal missing; Base-year PPI missing; </v>
      </c>
      <c r="AT130" s="48" t="n">
        <f aca="false">IFERROR(INDEX(Factors_ROT!$F$5:$F$200,MATCH("MAT|"&amp;G130,Factors_ROT!$A$5:$A$200,0)),1)</f>
        <v>1</v>
      </c>
      <c r="AU130" s="48" t="n">
        <f aca="false">IFERROR(INDEX(Factors_ROT!$F$5:$F$200,MATCH("SEAL_ARR|"&amp;P130,Factors_ROT!$A$5:$A$200,0)),1)*IFERROR(INDEX(Factors_ROT!$F$5:$F$200,MATCH("SEAL_CAT|"&amp;Q130,Factors_ROT!$A$5:$A$200,0)),1)*IFERROR(INDEX(Factors_ROT!$F$5:$F$200,MATCH("SEAL_PLAN|"&amp;R130,Factors_ROT!$A$5:$A$200,0)),1)</f>
        <v>1</v>
      </c>
      <c r="AV130" s="48" t="n">
        <f aca="false">IFERROR(INDEX(Factors_ROT!$F$5:$F$200,MATCH("DRV|"&amp;S130,Factors_ROT!$A$5:$A$200,0)),1)*IFERROR(INDEX(Factors_ROT!$F$5:$F$200,MATCH("NACE|"&amp;O130,Factors_ROT!$A$5:$A$200,0)),1)</f>
        <v>1</v>
      </c>
      <c r="AW130" s="48" t="n">
        <f aca="false">IFERROR(INDEX(Factors_ROT!$F$5:$F$200,MATCH("SC_DRV|"&amp;AL130,Factors_ROT!$A$5:$A$200,0)),1)*IFERROR(INDEX(Factors_ROT!$F$5:$F$200,MATCH("SC_BSP|"&amp;AM130,Factors_ROT!$A$5:$A$200,0)),1)*IFERROR(INDEX(Factors_ROT!$F$5:$F$200,MATCH("SC_SEAL|"&amp;AN130,Factors_ROT!$A$5:$A$200,0)),1)*IFERROR(INDEX(Factors_ROT!$F$5:$F$200,MATCH("SC_COMM|"&amp;AO130,Factors_ROT!$A$5:$A$200,0)),1)*IFERROR(INDEX(Factors_ROT!$F$5:$F$200,MATCH("SC_2Y|"&amp;AP130,Factors_ROT!$A$5:$A$200,0)),1)*IFERROR(INDEX(Factors_ROT!$F$5:$F$200,MATCH("SC_TPI|"&amp;AQ130,Factors_ROT!$A$5:$A$200,0)),1)*IFERROR(INDEX(Factors_ROT!$F$5:$F$200,MATCH("SC_FAT|"&amp;AR130,Factors_ROT!$A$5:$A$200,0)),1)</f>
        <v>1</v>
      </c>
      <c r="AX130" s="48" t="n">
        <f aca="false">AT130*AU130*AV130*AW130</f>
        <v>1</v>
      </c>
      <c r="AY130" s="47" t="str">
        <f aca="false">IF(ISNUMBER(AB130),AB130/AX130,"")</f>
        <v/>
      </c>
      <c r="AZ130" s="49" t="str">
        <f aca="false">IFERROR(IF(N(INDEX(Escalation_Index!$B$5:$B$25,MATCH(Y130,Escalation_Index!$A$5:$A$25,0)))&gt;0,INDEX(Escalation_Index!$B$5:$B$25,MATCH(Y130,Escalation_Index!$A$5:$A$25,0)),""),"")</f>
        <v/>
      </c>
      <c r="BA130" s="49" t="n">
        <f aca="false">IF(ISNUMBER('Assumptions &amp; FX Reference'!$I$12),'Assumptions &amp; FX Reference'!$I$12,"")</f>
        <v>123.416</v>
      </c>
      <c r="BB130" s="45" t="str">
        <f aca="false">IF(AND(M130="API 610",LEFT(V130,11)="Centrifugal",OR(LEFT(G130,2)="S-",LEFT(G130,2)="D-")),"Y","N")</f>
        <v>N</v>
      </c>
      <c r="BC130" s="47" t="str">
        <f aca="false">IF(ISNUMBER(AG130),AG130/AX130,"")</f>
        <v/>
      </c>
      <c r="BD130" s="47" t="str">
        <f aca="false">IF(AND(ISNUMBER(BC130),ISNUMBER(K130)),IF(K130&gt;0,BC130/K130^'Assumptions &amp; FX Reference'!$I$16,""),"")</f>
        <v/>
      </c>
      <c r="BE130" s="42" t="s">
        <v>783</v>
      </c>
      <c r="BF130" s="42" t="s">
        <v>784</v>
      </c>
      <c r="BG130" s="42" t="s">
        <v>369</v>
      </c>
      <c r="BH130" s="45" t="s">
        <v>313</v>
      </c>
      <c r="BI130" s="45" t="str">
        <f aca="false">"PMP-"&amp;TEXT(A130,"0000")</f>
        <v>PMP-0126</v>
      </c>
    </row>
    <row r="131" customFormat="false" ht="24" hidden="false" customHeight="true" outlineLevel="0" collapsed="false">
      <c r="A131" s="42" t="n">
        <v>127</v>
      </c>
      <c r="B131" s="42" t="s">
        <v>354</v>
      </c>
      <c r="C131" s="42" t="s">
        <v>758</v>
      </c>
      <c r="D131" s="42" t="s">
        <v>302</v>
      </c>
      <c r="E131" s="42" t="s">
        <v>48</v>
      </c>
      <c r="F131" s="42" t="s">
        <v>123</v>
      </c>
      <c r="G131" s="42" t="s">
        <v>123</v>
      </c>
      <c r="H131" s="43"/>
      <c r="I131" s="43"/>
      <c r="J131" s="43"/>
      <c r="K131" s="44" t="str">
        <f aca="false">IF(ISNUMBER(J131),J131,IF(AND(ISNUMBER(H131),ISNUMBER(I131)),H131*I131/(367*'Assumptions &amp; FX Reference'!$I$17),""))</f>
        <v/>
      </c>
      <c r="L131" s="45" t="str">
        <f aca="false">IF(IF(OR(M131="Not stated",M131=""),""," + "&amp;M131)&amp;IF(OR(N131="None",N131=""),""," + "&amp;N131)&amp;IF(O131="Y"," + NACE MR0175","")="","Not stated",MID(IF(OR(M131="Not stated",M131=""),""," + "&amp;M131)&amp;IF(OR(N131="None",N131=""),""," + "&amp;N131)&amp;IF(O131="Y"," + NACE MR0175",""),4,300))</f>
        <v>Not stated</v>
      </c>
      <c r="M131" s="42" t="s">
        <v>123</v>
      </c>
      <c r="N131" s="42" t="s">
        <v>303</v>
      </c>
      <c r="O131" s="42" t="s">
        <v>123</v>
      </c>
      <c r="P131" s="42" t="s">
        <v>123</v>
      </c>
      <c r="Q131" s="42" t="s">
        <v>123</v>
      </c>
      <c r="R131" s="42" t="s">
        <v>123</v>
      </c>
      <c r="S131" s="42" t="s">
        <v>304</v>
      </c>
      <c r="T131" s="42" t="s">
        <v>327</v>
      </c>
      <c r="U131" s="42" t="n">
        <v>1</v>
      </c>
      <c r="V131" s="42" t="s">
        <v>306</v>
      </c>
      <c r="W131" s="43"/>
      <c r="X131" s="42" t="s">
        <v>123</v>
      </c>
      <c r="Y131" s="42" t="s">
        <v>307</v>
      </c>
      <c r="Z131" s="42" t="s">
        <v>308</v>
      </c>
      <c r="AA131" s="46" t="n">
        <v>3000</v>
      </c>
      <c r="AB131" s="47" t="str">
        <f aca="false">IF(NOT(ISNUMBER(AA131)),"",IF(NOT(ISNUMBER(Y131)),"",IFERROR(IF(Z131="EUR",AA131,IF(Z131="IRR",AA131/INDEX('Assumptions &amp; FX Reference'!$C$5:$C$25,MATCH(Y131,'Assumptions &amp; FX Reference'!$A$5:$A$25,0)),IF(Z131="USD",AA131*INDEX('Assumptions &amp; FX Reference'!$B$5:$B$25,MATCH(Y131,'Assumptions &amp; FX Reference'!$A$5:$A$25,0))/INDEX('Assumptions &amp; FX Reference'!$C$5:$C$25,MATCH(Y131,'Assumptions &amp; FX Reference'!$A$5:$A$25,0)),""))),"")))</f>
        <v/>
      </c>
      <c r="AC131" s="47" t="str">
        <f aca="false">IF(NOT(ISNUMBER(AA131)),"",IF(NOT(ISNUMBER(Y131)),"",IFERROR(IF(Z131="USD",AA131,IF(Z131="IRR",AA131/INDEX('Assumptions &amp; FX Reference'!$B$5:$B$25,MATCH(Y131,'Assumptions &amp; FX Reference'!$A$5:$A$25,0)),IF(Z131="EUR",AA131*INDEX('Assumptions &amp; FX Reference'!$C$5:$C$25,MATCH(Y131,'Assumptions &amp; FX Reference'!$A$5:$A$25,0))/INDEX('Assumptions &amp; FX Reference'!$B$5:$B$25,MATCH(Y131,'Assumptions &amp; FX Reference'!$A$5:$A$25,0)),""))),"")))</f>
        <v/>
      </c>
      <c r="AD131" s="47" t="str">
        <f aca="false">IF(NOT(ISNUMBER(AA131)),"",IF(NOT(ISNUMBER(Y131)),"",IFERROR(IF(Z131="IRR",AA131,IF(Z131="USD",AA131*INDEX('Assumptions &amp; FX Reference'!$B$5:$B$25,MATCH(Y131,'Assumptions &amp; FX Reference'!$A$5:$A$25,0)),IF(Z131="EUR",AA131*INDEX('Assumptions &amp; FX Reference'!$C$5:$C$25,MATCH(Y131,'Assumptions &amp; FX Reference'!$A$5:$A$25,0)),""))),"")))</f>
        <v/>
      </c>
      <c r="AE131" s="42" t="s">
        <v>760</v>
      </c>
      <c r="AF131" s="42" t="s">
        <v>123</v>
      </c>
      <c r="AG131" s="47" t="str">
        <f aca="false">IF(AND(Z131="EUR",N(AA131)&gt;5000000),"",IF(AND(ISNUMBER(AB131),ISNUMBER(AZ131),ISNUMBER(BA131)),IF(AND(BB131="Y",ISNUMBER('Assumptions &amp; FX Reference'!$I$15)),MAX(AB131*BA131/AZ131,'Assumptions &amp; FX Reference'!$I$13*BA131/'Assumptions &amp; FX Reference'!$I$15),AB131*BA131/AZ131),""))</f>
        <v/>
      </c>
      <c r="AH131" s="47" t="str">
        <f aca="false">IF(AND(ISNUMBER(AG131),ISNUMBER('Assumptions &amp; FX Reference'!$I$8),ISNUMBER('Assumptions &amp; FX Reference'!$I$11)),AG131*'Assumptions &amp; FX Reference'!$I$8/'Assumptions &amp; FX Reference'!$I$11,"")</f>
        <v/>
      </c>
      <c r="AI131" s="47" t="str">
        <f aca="false">IF(AND(ISNUMBER(AG131),ISNUMBER('Assumptions &amp; FX Reference'!$I$8)),AG131*'Assumptions &amp; FX Reference'!$I$8,"")</f>
        <v/>
      </c>
      <c r="AJ131" s="42" t="s">
        <v>302</v>
      </c>
      <c r="AK131" s="42" t="s">
        <v>123</v>
      </c>
      <c r="AL131" s="42" t="s">
        <v>123</v>
      </c>
      <c r="AM131" s="42" t="s">
        <v>123</v>
      </c>
      <c r="AN131" s="42" t="s">
        <v>123</v>
      </c>
      <c r="AO131" s="42" t="s">
        <v>123</v>
      </c>
      <c r="AP131" s="42" t="s">
        <v>123</v>
      </c>
      <c r="AQ131" s="42" t="s">
        <v>123</v>
      </c>
      <c r="AR131" s="42" t="s">
        <v>123</v>
      </c>
      <c r="AS131" s="45" t="str">
        <f aca="false">IF(AND(Z131="EUR",N(AA131)&gt;5000000),"Check currency (EUR&gt;5M); ","")&amp;IF(NOT(ISNUMBER(AA131)),"No price; ","")&amp;IF(G131="Not stated","Material missing; ","")&amp;IF(P131="Not stated","Seal missing; ","")&amp;IF(K131="","Size driver missing; ","")&amp;IF(NOT(ISNUMBER(AZ131)),"Base-year PPI missing; ","")</f>
        <v>Material missing; Seal missing; Size driver missing; Base-year PPI missing; </v>
      </c>
      <c r="AT131" s="48" t="n">
        <f aca="false">IFERROR(INDEX(Factors_ROT!$F$5:$F$200,MATCH("MAT|"&amp;G131,Factors_ROT!$A$5:$A$200,0)),1)</f>
        <v>1</v>
      </c>
      <c r="AU131" s="48" t="n">
        <f aca="false">IFERROR(INDEX(Factors_ROT!$F$5:$F$200,MATCH("SEAL_ARR|"&amp;P131,Factors_ROT!$A$5:$A$200,0)),1)*IFERROR(INDEX(Factors_ROT!$F$5:$F$200,MATCH("SEAL_CAT|"&amp;Q131,Factors_ROT!$A$5:$A$200,0)),1)*IFERROR(INDEX(Factors_ROT!$F$5:$F$200,MATCH("SEAL_PLAN|"&amp;R131,Factors_ROT!$A$5:$A$200,0)),1)</f>
        <v>1</v>
      </c>
      <c r="AV131" s="48" t="n">
        <f aca="false">IFERROR(INDEX(Factors_ROT!$F$5:$F$200,MATCH("DRV|"&amp;S131,Factors_ROT!$A$5:$A$200,0)),1)*IFERROR(INDEX(Factors_ROT!$F$5:$F$200,MATCH("NACE|"&amp;O131,Factors_ROT!$A$5:$A$200,0)),1)</f>
        <v>1</v>
      </c>
      <c r="AW131" s="48" t="n">
        <f aca="false">IFERROR(INDEX(Factors_ROT!$F$5:$F$200,MATCH("SC_DRV|"&amp;AL131,Factors_ROT!$A$5:$A$200,0)),1)*IFERROR(INDEX(Factors_ROT!$F$5:$F$200,MATCH("SC_BSP|"&amp;AM131,Factors_ROT!$A$5:$A$200,0)),1)*IFERROR(INDEX(Factors_ROT!$F$5:$F$200,MATCH("SC_SEAL|"&amp;AN131,Factors_ROT!$A$5:$A$200,0)),1)*IFERROR(INDEX(Factors_ROT!$F$5:$F$200,MATCH("SC_COMM|"&amp;AO131,Factors_ROT!$A$5:$A$200,0)),1)*IFERROR(INDEX(Factors_ROT!$F$5:$F$200,MATCH("SC_2Y|"&amp;AP131,Factors_ROT!$A$5:$A$200,0)),1)*IFERROR(INDEX(Factors_ROT!$F$5:$F$200,MATCH("SC_TPI|"&amp;AQ131,Factors_ROT!$A$5:$A$200,0)),1)*IFERROR(INDEX(Factors_ROT!$F$5:$F$200,MATCH("SC_FAT|"&amp;AR131,Factors_ROT!$A$5:$A$200,0)),1)</f>
        <v>1</v>
      </c>
      <c r="AX131" s="48" t="n">
        <f aca="false">AT131*AU131*AV131*AW131</f>
        <v>1</v>
      </c>
      <c r="AY131" s="47" t="str">
        <f aca="false">IF(ISNUMBER(AB131),AB131/AX131,"")</f>
        <v/>
      </c>
      <c r="AZ131" s="49" t="str">
        <f aca="false">IFERROR(IF(N(INDEX(Escalation_Index!$B$5:$B$25,MATCH(Y131,Escalation_Index!$A$5:$A$25,0)))&gt;0,INDEX(Escalation_Index!$B$5:$B$25,MATCH(Y131,Escalation_Index!$A$5:$A$25,0)),""),"")</f>
        <v/>
      </c>
      <c r="BA131" s="49" t="n">
        <f aca="false">IF(ISNUMBER('Assumptions &amp; FX Reference'!$I$12),'Assumptions &amp; FX Reference'!$I$12,"")</f>
        <v>123.416</v>
      </c>
      <c r="BB131" s="45" t="str">
        <f aca="false">IF(AND(M131="API 610",LEFT(V131,11)="Centrifugal",OR(LEFT(G131,2)="S-",LEFT(G131,2)="D-")),"Y","N")</f>
        <v>N</v>
      </c>
      <c r="BC131" s="47" t="str">
        <f aca="false">IF(ISNUMBER(AG131),AG131/AX131,"")</f>
        <v/>
      </c>
      <c r="BD131" s="47" t="str">
        <f aca="false">IF(AND(ISNUMBER(BC131),ISNUMBER(K131)),IF(K131&gt;0,BC131/K131^'Assumptions &amp; FX Reference'!$I$16,""),"")</f>
        <v/>
      </c>
      <c r="BE131" s="42" t="s">
        <v>785</v>
      </c>
      <c r="BF131" s="42" t="s">
        <v>786</v>
      </c>
      <c r="BG131" s="42" t="s">
        <v>369</v>
      </c>
      <c r="BH131" s="45" t="s">
        <v>313</v>
      </c>
      <c r="BI131" s="45" t="str">
        <f aca="false">"PMP-"&amp;TEXT(A131,"0000")</f>
        <v>PMP-0127</v>
      </c>
    </row>
    <row r="132" customFormat="false" ht="24" hidden="false" customHeight="true" outlineLevel="0" collapsed="false">
      <c r="A132" s="42" t="n">
        <v>128</v>
      </c>
      <c r="B132" s="42" t="s">
        <v>357</v>
      </c>
      <c r="C132" s="42" t="s">
        <v>758</v>
      </c>
      <c r="D132" s="42" t="s">
        <v>302</v>
      </c>
      <c r="E132" s="42" t="s">
        <v>54</v>
      </c>
      <c r="F132" s="42" t="s">
        <v>123</v>
      </c>
      <c r="G132" s="42" t="s">
        <v>123</v>
      </c>
      <c r="H132" s="43"/>
      <c r="I132" s="43"/>
      <c r="J132" s="43"/>
      <c r="K132" s="44" t="str">
        <f aca="false">IF(ISNUMBER(J132),J132,IF(AND(ISNUMBER(H132),ISNUMBER(I132)),H132*I132/(367*'Assumptions &amp; FX Reference'!$I$17),""))</f>
        <v/>
      </c>
      <c r="L132" s="45" t="str">
        <f aca="false">IF(IF(OR(M132="Not stated",M132=""),""," + "&amp;M132)&amp;IF(OR(N132="None",N132=""),""," + "&amp;N132)&amp;IF(O132="Y"," + NACE MR0175","")="","Not stated",MID(IF(OR(M132="Not stated",M132=""),""," + "&amp;M132)&amp;IF(OR(N132="None",N132=""),""," + "&amp;N132)&amp;IF(O132="Y"," + NACE MR0175",""),4,300))</f>
        <v>Not stated</v>
      </c>
      <c r="M132" s="42" t="s">
        <v>123</v>
      </c>
      <c r="N132" s="42" t="s">
        <v>303</v>
      </c>
      <c r="O132" s="42" t="s">
        <v>123</v>
      </c>
      <c r="P132" s="42" t="s">
        <v>123</v>
      </c>
      <c r="Q132" s="42" t="s">
        <v>123</v>
      </c>
      <c r="R132" s="42" t="s">
        <v>123</v>
      </c>
      <c r="S132" s="42" t="s">
        <v>304</v>
      </c>
      <c r="T132" s="42" t="s">
        <v>342</v>
      </c>
      <c r="U132" s="42" t="n">
        <v>1</v>
      </c>
      <c r="V132" s="42" t="s">
        <v>306</v>
      </c>
      <c r="W132" s="43"/>
      <c r="X132" s="42" t="s">
        <v>123</v>
      </c>
      <c r="Y132" s="42" t="s">
        <v>307</v>
      </c>
      <c r="Z132" s="42" t="s">
        <v>308</v>
      </c>
      <c r="AA132" s="46" t="n">
        <v>40000</v>
      </c>
      <c r="AB132" s="47" t="str">
        <f aca="false">IF(NOT(ISNUMBER(AA132)),"",IF(NOT(ISNUMBER(Y132)),"",IFERROR(IF(Z132="EUR",AA132,IF(Z132="IRR",AA132/INDEX('Assumptions &amp; FX Reference'!$C$5:$C$25,MATCH(Y132,'Assumptions &amp; FX Reference'!$A$5:$A$25,0)),IF(Z132="USD",AA132*INDEX('Assumptions &amp; FX Reference'!$B$5:$B$25,MATCH(Y132,'Assumptions &amp; FX Reference'!$A$5:$A$25,0))/INDEX('Assumptions &amp; FX Reference'!$C$5:$C$25,MATCH(Y132,'Assumptions &amp; FX Reference'!$A$5:$A$25,0)),""))),"")))</f>
        <v/>
      </c>
      <c r="AC132" s="47" t="str">
        <f aca="false">IF(NOT(ISNUMBER(AA132)),"",IF(NOT(ISNUMBER(Y132)),"",IFERROR(IF(Z132="USD",AA132,IF(Z132="IRR",AA132/INDEX('Assumptions &amp; FX Reference'!$B$5:$B$25,MATCH(Y132,'Assumptions &amp; FX Reference'!$A$5:$A$25,0)),IF(Z132="EUR",AA132*INDEX('Assumptions &amp; FX Reference'!$C$5:$C$25,MATCH(Y132,'Assumptions &amp; FX Reference'!$A$5:$A$25,0))/INDEX('Assumptions &amp; FX Reference'!$B$5:$B$25,MATCH(Y132,'Assumptions &amp; FX Reference'!$A$5:$A$25,0)),""))),"")))</f>
        <v/>
      </c>
      <c r="AD132" s="47" t="str">
        <f aca="false">IF(NOT(ISNUMBER(AA132)),"",IF(NOT(ISNUMBER(Y132)),"",IFERROR(IF(Z132="IRR",AA132,IF(Z132="USD",AA132*INDEX('Assumptions &amp; FX Reference'!$B$5:$B$25,MATCH(Y132,'Assumptions &amp; FX Reference'!$A$5:$A$25,0)),IF(Z132="EUR",AA132*INDEX('Assumptions &amp; FX Reference'!$C$5:$C$25,MATCH(Y132,'Assumptions &amp; FX Reference'!$A$5:$A$25,0)),""))),"")))</f>
        <v/>
      </c>
      <c r="AE132" s="42" t="s">
        <v>760</v>
      </c>
      <c r="AF132" s="42" t="s">
        <v>123</v>
      </c>
      <c r="AG132" s="47" t="str">
        <f aca="false">IF(AND(Z132="EUR",N(AA132)&gt;5000000),"",IF(AND(ISNUMBER(AB132),ISNUMBER(AZ132),ISNUMBER(BA132)),IF(AND(BB132="Y",ISNUMBER('Assumptions &amp; FX Reference'!$I$15)),MAX(AB132*BA132/AZ132,'Assumptions &amp; FX Reference'!$I$13*BA132/'Assumptions &amp; FX Reference'!$I$15),AB132*BA132/AZ132),""))</f>
        <v/>
      </c>
      <c r="AH132" s="47" t="str">
        <f aca="false">IF(AND(ISNUMBER(AG132),ISNUMBER('Assumptions &amp; FX Reference'!$I$8),ISNUMBER('Assumptions &amp; FX Reference'!$I$11)),AG132*'Assumptions &amp; FX Reference'!$I$8/'Assumptions &amp; FX Reference'!$I$11,"")</f>
        <v/>
      </c>
      <c r="AI132" s="47" t="str">
        <f aca="false">IF(AND(ISNUMBER(AG132),ISNUMBER('Assumptions &amp; FX Reference'!$I$8)),AG132*'Assumptions &amp; FX Reference'!$I$8,"")</f>
        <v/>
      </c>
      <c r="AJ132" s="42" t="s">
        <v>302</v>
      </c>
      <c r="AK132" s="42" t="s">
        <v>123</v>
      </c>
      <c r="AL132" s="42" t="s">
        <v>123</v>
      </c>
      <c r="AM132" s="42" t="s">
        <v>123</v>
      </c>
      <c r="AN132" s="42" t="s">
        <v>123</v>
      </c>
      <c r="AO132" s="42" t="s">
        <v>123</v>
      </c>
      <c r="AP132" s="42" t="s">
        <v>123</v>
      </c>
      <c r="AQ132" s="42" t="s">
        <v>123</v>
      </c>
      <c r="AR132" s="42" t="s">
        <v>123</v>
      </c>
      <c r="AS132" s="45" t="str">
        <f aca="false">IF(AND(Z132="EUR",N(AA132)&gt;5000000),"Check currency (EUR&gt;5M); ","")&amp;IF(NOT(ISNUMBER(AA132)),"No price; ","")&amp;IF(G132="Not stated","Material missing; ","")&amp;IF(P132="Not stated","Seal missing; ","")&amp;IF(K132="","Size driver missing; ","")&amp;IF(NOT(ISNUMBER(AZ132)),"Base-year PPI missing; ","")</f>
        <v>Material missing; Seal missing; Size driver missing; Base-year PPI missing; </v>
      </c>
      <c r="AT132" s="48" t="n">
        <f aca="false">IFERROR(INDEX(Factors_ROT!$F$5:$F$200,MATCH("MAT|"&amp;G132,Factors_ROT!$A$5:$A$200,0)),1)</f>
        <v>1</v>
      </c>
      <c r="AU132" s="48" t="n">
        <f aca="false">IFERROR(INDEX(Factors_ROT!$F$5:$F$200,MATCH("SEAL_ARR|"&amp;P132,Factors_ROT!$A$5:$A$200,0)),1)*IFERROR(INDEX(Factors_ROT!$F$5:$F$200,MATCH("SEAL_CAT|"&amp;Q132,Factors_ROT!$A$5:$A$200,0)),1)*IFERROR(INDEX(Factors_ROT!$F$5:$F$200,MATCH("SEAL_PLAN|"&amp;R132,Factors_ROT!$A$5:$A$200,0)),1)</f>
        <v>1</v>
      </c>
      <c r="AV132" s="48" t="n">
        <f aca="false">IFERROR(INDEX(Factors_ROT!$F$5:$F$200,MATCH("DRV|"&amp;S132,Factors_ROT!$A$5:$A$200,0)),1)*IFERROR(INDEX(Factors_ROT!$F$5:$F$200,MATCH("NACE|"&amp;O132,Factors_ROT!$A$5:$A$200,0)),1)</f>
        <v>1</v>
      </c>
      <c r="AW132" s="48" t="n">
        <f aca="false">IFERROR(INDEX(Factors_ROT!$F$5:$F$200,MATCH("SC_DRV|"&amp;AL132,Factors_ROT!$A$5:$A$200,0)),1)*IFERROR(INDEX(Factors_ROT!$F$5:$F$200,MATCH("SC_BSP|"&amp;AM132,Factors_ROT!$A$5:$A$200,0)),1)*IFERROR(INDEX(Factors_ROT!$F$5:$F$200,MATCH("SC_SEAL|"&amp;AN132,Factors_ROT!$A$5:$A$200,0)),1)*IFERROR(INDEX(Factors_ROT!$F$5:$F$200,MATCH("SC_COMM|"&amp;AO132,Factors_ROT!$A$5:$A$200,0)),1)*IFERROR(INDEX(Factors_ROT!$F$5:$F$200,MATCH("SC_2Y|"&amp;AP132,Factors_ROT!$A$5:$A$200,0)),1)*IFERROR(INDEX(Factors_ROT!$F$5:$F$200,MATCH("SC_TPI|"&amp;AQ132,Factors_ROT!$A$5:$A$200,0)),1)*IFERROR(INDEX(Factors_ROT!$F$5:$F$200,MATCH("SC_FAT|"&amp;AR132,Factors_ROT!$A$5:$A$200,0)),1)</f>
        <v>1</v>
      </c>
      <c r="AX132" s="48" t="n">
        <f aca="false">AT132*AU132*AV132*AW132</f>
        <v>1</v>
      </c>
      <c r="AY132" s="47" t="str">
        <f aca="false">IF(ISNUMBER(AB132),AB132/AX132,"")</f>
        <v/>
      </c>
      <c r="AZ132" s="49" t="str">
        <f aca="false">IFERROR(IF(N(INDEX(Escalation_Index!$B$5:$B$25,MATCH(Y132,Escalation_Index!$A$5:$A$25,0)))&gt;0,INDEX(Escalation_Index!$B$5:$B$25,MATCH(Y132,Escalation_Index!$A$5:$A$25,0)),""),"")</f>
        <v/>
      </c>
      <c r="BA132" s="49" t="n">
        <f aca="false">IF(ISNUMBER('Assumptions &amp; FX Reference'!$I$12),'Assumptions &amp; FX Reference'!$I$12,"")</f>
        <v>123.416</v>
      </c>
      <c r="BB132" s="45" t="str">
        <f aca="false">IF(AND(M132="API 610",LEFT(V132,11)="Centrifugal",OR(LEFT(G132,2)="S-",LEFT(G132,2)="D-")),"Y","N")</f>
        <v>N</v>
      </c>
      <c r="BC132" s="47" t="str">
        <f aca="false">IF(ISNUMBER(AG132),AG132/AX132,"")</f>
        <v/>
      </c>
      <c r="BD132" s="47" t="str">
        <f aca="false">IF(AND(ISNUMBER(BC132),ISNUMBER(K132)),IF(K132&gt;0,BC132/K132^'Assumptions &amp; FX Reference'!$I$16,""),"")</f>
        <v/>
      </c>
      <c r="BE132" s="42" t="s">
        <v>787</v>
      </c>
      <c r="BF132" s="42" t="s">
        <v>788</v>
      </c>
      <c r="BG132" s="42" t="s">
        <v>369</v>
      </c>
      <c r="BH132" s="45" t="s">
        <v>313</v>
      </c>
      <c r="BI132" s="45" t="str">
        <f aca="false">"PMP-"&amp;TEXT(A132,"0000")</f>
        <v>PMP-0128</v>
      </c>
    </row>
    <row r="133" customFormat="false" ht="24" hidden="false" customHeight="true" outlineLevel="0" collapsed="false">
      <c r="A133" s="42" t="n">
        <v>129</v>
      </c>
      <c r="B133" s="42" t="s">
        <v>689</v>
      </c>
      <c r="C133" s="42" t="s">
        <v>690</v>
      </c>
      <c r="D133" s="42" t="s">
        <v>691</v>
      </c>
      <c r="E133" s="42" t="s">
        <v>45</v>
      </c>
      <c r="F133" s="42" t="s">
        <v>177</v>
      </c>
      <c r="G133" s="42" t="s">
        <v>111</v>
      </c>
      <c r="H133" s="43" t="n">
        <v>45</v>
      </c>
      <c r="I133" s="43" t="n">
        <v>139.1</v>
      </c>
      <c r="J133" s="43"/>
      <c r="K133" s="44" t="n">
        <f aca="false">IF(ISNUMBER(J133),J133,IF(AND(ISNUMBER(H133),ISNUMBER(I133)),H133*I133/(367*'Assumptions &amp; FX Reference'!$I$17),""))</f>
        <v>28.4264305177112</v>
      </c>
      <c r="L133" s="45" t="str">
        <f aca="false">IF(IF(OR(M133="Not stated",M133=""),""," + "&amp;M133)&amp;IF(OR(N133="None",N133=""),""," + "&amp;N133)&amp;IF(O133="Y"," + NACE MR0175","")="","Not stated",MID(IF(OR(M133="Not stated",M133=""),""," + "&amp;M133)&amp;IF(OR(N133="None",N133=""),""," + "&amp;N133)&amp;IF(O133="Y"," + NACE MR0175",""),4,300))</f>
        <v>API 610 + IPS-G-PM-105 + NACE MR0175</v>
      </c>
      <c r="M133" s="42" t="s">
        <v>478</v>
      </c>
      <c r="N133" s="42" t="s">
        <v>479</v>
      </c>
      <c r="O133" s="42" t="s">
        <v>369</v>
      </c>
      <c r="P133" s="42" t="s">
        <v>123</v>
      </c>
      <c r="Q133" s="42" t="s">
        <v>123</v>
      </c>
      <c r="R133" s="42" t="s">
        <v>123</v>
      </c>
      <c r="S133" s="50" t="s">
        <v>304</v>
      </c>
      <c r="T133" s="42" t="s">
        <v>305</v>
      </c>
      <c r="U133" s="42" t="n">
        <v>2</v>
      </c>
      <c r="V133" s="42" t="s">
        <v>306</v>
      </c>
      <c r="W133" s="43" t="n">
        <v>14.5</v>
      </c>
      <c r="X133" s="42" t="s">
        <v>123</v>
      </c>
      <c r="Y133" s="42" t="n">
        <v>1393</v>
      </c>
      <c r="Z133" s="42" t="s">
        <v>363</v>
      </c>
      <c r="AA133" s="46" t="n">
        <v>75000</v>
      </c>
      <c r="AB133" s="47" t="n">
        <f aca="false">IF(NOT(ISNUMBER(AA133)),"",IF(NOT(ISNUMBER(Y133)),"",IFERROR(IF(Z133="EUR",AA133,IF(Z133="IRR",AA133/INDEX('Assumptions &amp; FX Reference'!$C$5:$C$25,MATCH(Y133,'Assumptions &amp; FX Reference'!$A$5:$A$25,0)),IF(Z133="USD",AA133*INDEX('Assumptions &amp; FX Reference'!$B$5:$B$25,MATCH(Y133,'Assumptions &amp; FX Reference'!$A$5:$A$25,0))/INDEX('Assumptions &amp; FX Reference'!$C$5:$C$25,MATCH(Y133,'Assumptions &amp; FX Reference'!$A$5:$A$25,0)),""))),"")))</f>
        <v>75000</v>
      </c>
      <c r="AC133" s="47" t="n">
        <f aca="false">IF(NOT(ISNUMBER(AA133)),"",IF(NOT(ISNUMBER(Y133)),"",IFERROR(IF(Z133="USD",AA133,IF(Z133="IRR",AA133/INDEX('Assumptions &amp; FX Reference'!$B$5:$B$25,MATCH(Y133,'Assumptions &amp; FX Reference'!$A$5:$A$25,0)),IF(Z133="EUR",AA133*INDEX('Assumptions &amp; FX Reference'!$C$5:$C$25,MATCH(Y133,'Assumptions &amp; FX Reference'!$A$5:$A$25,0))/INDEX('Assumptions &amp; FX Reference'!$B$5:$B$25,MATCH(Y133,'Assumptions &amp; FX Reference'!$A$5:$A$25,0)),""))),"")))</f>
        <v>98058.3870967742</v>
      </c>
      <c r="AD133" s="47" t="n">
        <f aca="false">IF(NOT(ISNUMBER(AA133)),"",IF(NOT(ISNUMBER(Y133)),"",IFERROR(IF(Z133="IRR",AA133,IF(Z133="USD",AA133*INDEX('Assumptions &amp; FX Reference'!$B$5:$B$25,MATCH(Y133,'Assumptions &amp; FX Reference'!$A$5:$A$25,0)),IF(Z133="EUR",AA133*INDEX('Assumptions &amp; FX Reference'!$C$5:$C$25,MATCH(Y133,'Assumptions &amp; FX Reference'!$A$5:$A$25,0)),""))),"")))</f>
        <v>3039810000</v>
      </c>
      <c r="AE133" s="42" t="s">
        <v>789</v>
      </c>
      <c r="AF133" s="42" t="s">
        <v>208</v>
      </c>
      <c r="AG133" s="47" t="n">
        <f aca="false">IF(AND(Z133="EUR",N(AA133)&gt;5000000),"",IF(AND(ISNUMBER(AB133),ISNUMBER(AZ133),ISNUMBER(BA133)),IF(AND(BB133="Y",ISNUMBER('Assumptions &amp; FX Reference'!$I$15)),MAX(AB133*BA133/AZ133,'Assumptions &amp; FX Reference'!$I$13*BA133/'Assumptions &amp; FX Reference'!$I$15),AB133*BA133/AZ133),""))</f>
        <v>101330.092942297</v>
      </c>
      <c r="AH133" s="47" t="n">
        <f aca="false">IF(AND(ISNUMBER(AG133),ISNUMBER('Assumptions &amp; FX Reference'!$I$8),ISNUMBER('Assumptions &amp; FX Reference'!$I$11)),AG133*'Assumptions &amp; FX Reference'!$I$8/'Assumptions &amp; FX Reference'!$I$11,"")</f>
        <v>106982.597773847</v>
      </c>
      <c r="AI133" s="47" t="n">
        <f aca="false">IF(AND(ISNUMBER(AG133),ISNUMBER('Assumptions &amp; FX Reference'!$I$8)),AG133*'Assumptions &amp; FX Reference'!$I$8,"")</f>
        <v>70451571059.8049</v>
      </c>
      <c r="AJ133" s="42" t="s">
        <v>693</v>
      </c>
      <c r="AK133" s="42" t="s">
        <v>366</v>
      </c>
      <c r="AL133" s="42" t="s">
        <v>123</v>
      </c>
      <c r="AM133" s="42" t="s">
        <v>123</v>
      </c>
      <c r="AN133" s="42" t="s">
        <v>123</v>
      </c>
      <c r="AO133" s="42" t="s">
        <v>123</v>
      </c>
      <c r="AP133" s="42" t="s">
        <v>123</v>
      </c>
      <c r="AQ133" s="42" t="s">
        <v>123</v>
      </c>
      <c r="AR133" s="42" t="s">
        <v>123</v>
      </c>
      <c r="AS133" s="45" t="str">
        <f aca="false">IF(AND(Z133="EUR",N(AA133)&gt;5000000),"Check currency (EUR&gt;5M); ","")&amp;IF(NOT(ISNUMBER(AA133)),"No price; ","")&amp;IF(G133="Not stated","Material missing; ","")&amp;IF(P133="Not stated","Seal missing; ","")&amp;IF(K133="","Size driver missing; ","")&amp;IF(NOT(ISNUMBER(AZ133)),"Base-year PPI missing; ","")</f>
        <v>Seal missing; </v>
      </c>
      <c r="AT133" s="48" t="n">
        <f aca="false">IFERROR(INDEX(Factors_ROT!$F$5:$F$200,MATCH("MAT|"&amp;G133,Factors_ROT!$A$5:$A$200,0)),1)</f>
        <v>1.7</v>
      </c>
      <c r="AU133" s="48" t="n">
        <f aca="false">IFERROR(INDEX(Factors_ROT!$F$5:$F$200,MATCH("SEAL_ARR|"&amp;P133,Factors_ROT!$A$5:$A$200,0)),1)*IFERROR(INDEX(Factors_ROT!$F$5:$F$200,MATCH("SEAL_CAT|"&amp;Q133,Factors_ROT!$A$5:$A$200,0)),1)*IFERROR(INDEX(Factors_ROT!$F$5:$F$200,MATCH("SEAL_PLAN|"&amp;R133,Factors_ROT!$A$5:$A$200,0)),1)</f>
        <v>1</v>
      </c>
      <c r="AV133" s="48" t="n">
        <f aca="false">IFERROR(INDEX(Factors_ROT!$F$5:$F$200,MATCH("DRV|"&amp;S133,Factors_ROT!$A$5:$A$200,0)),1)*IFERROR(INDEX(Factors_ROT!$F$5:$F$200,MATCH("NACE|"&amp;O133,Factors_ROT!$A$5:$A$200,0)),1)</f>
        <v>1.05</v>
      </c>
      <c r="AW133" s="48" t="n">
        <f aca="false">IFERROR(INDEX(Factors_ROT!$F$5:$F$200,MATCH("SC_DRV|"&amp;AL133,Factors_ROT!$A$5:$A$200,0)),1)*IFERROR(INDEX(Factors_ROT!$F$5:$F$200,MATCH("SC_BSP|"&amp;AM133,Factors_ROT!$A$5:$A$200,0)),1)*IFERROR(INDEX(Factors_ROT!$F$5:$F$200,MATCH("SC_SEAL|"&amp;AN133,Factors_ROT!$A$5:$A$200,0)),1)*IFERROR(INDEX(Factors_ROT!$F$5:$F$200,MATCH("SC_COMM|"&amp;AO133,Factors_ROT!$A$5:$A$200,0)),1)*IFERROR(INDEX(Factors_ROT!$F$5:$F$200,MATCH("SC_2Y|"&amp;AP133,Factors_ROT!$A$5:$A$200,0)),1)*IFERROR(INDEX(Factors_ROT!$F$5:$F$200,MATCH("SC_TPI|"&amp;AQ133,Factors_ROT!$A$5:$A$200,0)),1)*IFERROR(INDEX(Factors_ROT!$F$5:$F$200,MATCH("SC_FAT|"&amp;AR133,Factors_ROT!$A$5:$A$200,0)),1)</f>
        <v>1</v>
      </c>
      <c r="AX133" s="48" t="n">
        <f aca="false">AT133*AU133*AV133*AW133</f>
        <v>1.785</v>
      </c>
      <c r="AY133" s="47" t="n">
        <f aca="false">IF(ISNUMBER(AB133),AB133/AX133,"")</f>
        <v>42016.8067226891</v>
      </c>
      <c r="AZ133" s="49" t="n">
        <f aca="false">IFERROR(IF(N(INDEX(Escalation_Index!$B$5:$B$25,MATCH(Y133,Escalation_Index!$A$5:$A$25,0)))&gt;0,INDEX(Escalation_Index!$B$5:$B$25,MATCH(Y133,Escalation_Index!$A$5:$A$25,0)),""),"")</f>
        <v>91.347</v>
      </c>
      <c r="BA133" s="49" t="n">
        <f aca="false">IF(ISNUMBER('Assumptions &amp; FX Reference'!$I$12),'Assumptions &amp; FX Reference'!$I$12,"")</f>
        <v>123.416</v>
      </c>
      <c r="BB133" s="45" t="str">
        <f aca="false">IF(AND(M133="API 610",LEFT(V133,11)="Centrifugal",OR(LEFT(G133,2)="S-",LEFT(G133,2)="D-")),"Y","N")</f>
        <v>Y</v>
      </c>
      <c r="BC133" s="47" t="n">
        <f aca="false">IF(ISNUMBER(AG133),AG133/AX133,"")</f>
        <v>56767.5590713148</v>
      </c>
      <c r="BD133" s="47" t="n">
        <f aca="false">IF(AND(ISNUMBER(BC133),ISNUMBER(K133)),IF(K133&gt;0,BC133/K133^'Assumptions &amp; FX Reference'!$I$16,""),"")</f>
        <v>7618.45353398181</v>
      </c>
      <c r="BE133" s="42" t="s">
        <v>790</v>
      </c>
      <c r="BF133" s="42" t="s">
        <v>791</v>
      </c>
      <c r="BG133" s="42" t="s">
        <v>369</v>
      </c>
      <c r="BH133" s="45" t="s">
        <v>313</v>
      </c>
      <c r="BI133" s="45" t="str">
        <f aca="false">"PMP-"&amp;TEXT(A133,"0000")</f>
        <v>PMP-0129</v>
      </c>
    </row>
    <row r="134" customFormat="false" ht="24" hidden="false" customHeight="true" outlineLevel="0" collapsed="false">
      <c r="A134" s="42" t="n">
        <v>130</v>
      </c>
      <c r="B134" s="42" t="s">
        <v>621</v>
      </c>
      <c r="C134" s="42" t="s">
        <v>690</v>
      </c>
      <c r="D134" s="42" t="s">
        <v>563</v>
      </c>
      <c r="E134" s="42" t="s">
        <v>48</v>
      </c>
      <c r="F134" s="42" t="s">
        <v>192</v>
      </c>
      <c r="G134" s="42" t="s">
        <v>74</v>
      </c>
      <c r="H134" s="43" t="n">
        <v>53</v>
      </c>
      <c r="I134" s="43" t="n">
        <v>35.7</v>
      </c>
      <c r="J134" s="43"/>
      <c r="K134" s="44" t="n">
        <f aca="false">IF(ISNUMBER(J134),J134,IF(AND(ISNUMBER(H134),ISNUMBER(I134)),H134*I134/(367*'Assumptions &amp; FX Reference'!$I$17),""))</f>
        <v>8.59264305177112</v>
      </c>
      <c r="L134" s="45" t="str">
        <f aca="false">IF(IF(OR(M134="Not stated",M134=""),""," + "&amp;M134)&amp;IF(OR(N134="None",N134=""),""," + "&amp;N134)&amp;IF(O134="Y"," + NACE MR0175","")="","Not stated",MID(IF(OR(M134="Not stated",M134=""),""," + "&amp;M134)&amp;IF(OR(N134="None",N134=""),""," + "&amp;N134)&amp;IF(O134="Y"," + NACE MR0175",""),4,300))</f>
        <v>ISO 5199 + IPS-M-PM-115</v>
      </c>
      <c r="M134" s="42" t="s">
        <v>623</v>
      </c>
      <c r="N134" s="42" t="s">
        <v>624</v>
      </c>
      <c r="O134" s="50" t="s">
        <v>312</v>
      </c>
      <c r="P134" s="42" t="s">
        <v>123</v>
      </c>
      <c r="Q134" s="42" t="s">
        <v>123</v>
      </c>
      <c r="R134" s="42" t="s">
        <v>123</v>
      </c>
      <c r="S134" s="50" t="s">
        <v>304</v>
      </c>
      <c r="T134" s="42" t="s">
        <v>391</v>
      </c>
      <c r="U134" s="42" t="n">
        <v>2</v>
      </c>
      <c r="V134" s="42" t="s">
        <v>306</v>
      </c>
      <c r="W134" s="43" t="n">
        <v>2.9</v>
      </c>
      <c r="X134" s="42" t="s">
        <v>123</v>
      </c>
      <c r="Y134" s="42" t="n">
        <v>1393</v>
      </c>
      <c r="Z134" s="42" t="s">
        <v>363</v>
      </c>
      <c r="AA134" s="46" t="n">
        <v>10000</v>
      </c>
      <c r="AB134" s="47" t="n">
        <f aca="false">IF(NOT(ISNUMBER(AA134)),"",IF(NOT(ISNUMBER(Y134)),"",IFERROR(IF(Z134="EUR",AA134,IF(Z134="IRR",AA134/INDEX('Assumptions &amp; FX Reference'!$C$5:$C$25,MATCH(Y134,'Assumptions &amp; FX Reference'!$A$5:$A$25,0)),IF(Z134="USD",AA134*INDEX('Assumptions &amp; FX Reference'!$B$5:$B$25,MATCH(Y134,'Assumptions &amp; FX Reference'!$A$5:$A$25,0))/INDEX('Assumptions &amp; FX Reference'!$C$5:$C$25,MATCH(Y134,'Assumptions &amp; FX Reference'!$A$5:$A$25,0)),""))),"")))</f>
        <v>10000</v>
      </c>
      <c r="AC134" s="47" t="n">
        <f aca="false">IF(NOT(ISNUMBER(AA134)),"",IF(NOT(ISNUMBER(Y134)),"",IFERROR(IF(Z134="USD",AA134,IF(Z134="IRR",AA134/INDEX('Assumptions &amp; FX Reference'!$B$5:$B$25,MATCH(Y134,'Assumptions &amp; FX Reference'!$A$5:$A$25,0)),IF(Z134="EUR",AA134*INDEX('Assumptions &amp; FX Reference'!$C$5:$C$25,MATCH(Y134,'Assumptions &amp; FX Reference'!$A$5:$A$25,0))/INDEX('Assumptions &amp; FX Reference'!$B$5:$B$25,MATCH(Y134,'Assumptions &amp; FX Reference'!$A$5:$A$25,0)),""))),"")))</f>
        <v>13074.4516129032</v>
      </c>
      <c r="AD134" s="47" t="n">
        <f aca="false">IF(NOT(ISNUMBER(AA134)),"",IF(NOT(ISNUMBER(Y134)),"",IFERROR(IF(Z134="IRR",AA134,IF(Z134="USD",AA134*INDEX('Assumptions &amp; FX Reference'!$B$5:$B$25,MATCH(Y134,'Assumptions &amp; FX Reference'!$A$5:$A$25,0)),IF(Z134="EUR",AA134*INDEX('Assumptions &amp; FX Reference'!$C$5:$C$25,MATCH(Y134,'Assumptions &amp; FX Reference'!$A$5:$A$25,0)),""))),"")))</f>
        <v>405308000</v>
      </c>
      <c r="AE134" s="42" t="s">
        <v>789</v>
      </c>
      <c r="AF134" s="42" t="s">
        <v>208</v>
      </c>
      <c r="AG134" s="47" t="n">
        <f aca="false">IF(AND(Z134="EUR",N(AA134)&gt;5000000),"",IF(AND(ISNUMBER(AB134),ISNUMBER(AZ134),ISNUMBER(BA134)),IF(AND(BB134="Y",ISNUMBER('Assumptions &amp; FX Reference'!$I$15)),MAX(AB134*BA134/AZ134,'Assumptions &amp; FX Reference'!$I$13*BA134/'Assumptions &amp; FX Reference'!$I$15),AB134*BA134/AZ134),""))</f>
        <v>13510.6790589729</v>
      </c>
      <c r="AH134" s="47" t="n">
        <f aca="false">IF(AND(ISNUMBER(AG134),ISNUMBER('Assumptions &amp; FX Reference'!$I$8),ISNUMBER('Assumptions &amp; FX Reference'!$I$11)),AG134*'Assumptions &amp; FX Reference'!$I$8/'Assumptions &amp; FX Reference'!$I$11,"")</f>
        <v>14264.3463698463</v>
      </c>
      <c r="AI134" s="47" t="n">
        <f aca="false">IF(AND(ISNUMBER(AG134),ISNUMBER('Assumptions &amp; FX Reference'!$I$8)),AG134*'Assumptions &amp; FX Reference'!$I$8,"")</f>
        <v>9393542807.97399</v>
      </c>
      <c r="AJ134" s="42" t="s">
        <v>693</v>
      </c>
      <c r="AK134" s="42" t="s">
        <v>366</v>
      </c>
      <c r="AL134" s="42" t="s">
        <v>123</v>
      </c>
      <c r="AM134" s="42" t="s">
        <v>123</v>
      </c>
      <c r="AN134" s="42" t="s">
        <v>123</v>
      </c>
      <c r="AO134" s="42" t="s">
        <v>123</v>
      </c>
      <c r="AP134" s="42" t="s">
        <v>123</v>
      </c>
      <c r="AQ134" s="42" t="s">
        <v>123</v>
      </c>
      <c r="AR134" s="42" t="s">
        <v>123</v>
      </c>
      <c r="AS134" s="45" t="str">
        <f aca="false">IF(AND(Z134="EUR",N(AA134)&gt;5000000),"Check currency (EUR&gt;5M); ","")&amp;IF(NOT(ISNUMBER(AA134)),"No price; ","")&amp;IF(G134="Not stated","Material missing; ","")&amp;IF(P134="Not stated","Seal missing; ","")&amp;IF(K134="","Size driver missing; ","")&amp;IF(NOT(ISNUMBER(AZ134)),"Base-year PPI missing; ","")</f>
        <v>Seal missing; </v>
      </c>
      <c r="AT134" s="48" t="n">
        <f aca="false">IFERROR(INDEX(Factors_ROT!$F$5:$F$200,MATCH("MAT|"&amp;G134,Factors_ROT!$A$5:$A$200,0)),1)</f>
        <v>0.8</v>
      </c>
      <c r="AU134" s="48" t="n">
        <f aca="false">IFERROR(INDEX(Factors_ROT!$F$5:$F$200,MATCH("SEAL_ARR|"&amp;P134,Factors_ROT!$A$5:$A$200,0)),1)*IFERROR(INDEX(Factors_ROT!$F$5:$F$200,MATCH("SEAL_CAT|"&amp;Q134,Factors_ROT!$A$5:$A$200,0)),1)*IFERROR(INDEX(Factors_ROT!$F$5:$F$200,MATCH("SEAL_PLAN|"&amp;R134,Factors_ROT!$A$5:$A$200,0)),1)</f>
        <v>1</v>
      </c>
      <c r="AV134" s="48" t="n">
        <f aca="false">IFERROR(INDEX(Factors_ROT!$F$5:$F$200,MATCH("DRV|"&amp;S134,Factors_ROT!$A$5:$A$200,0)),1)*IFERROR(INDEX(Factors_ROT!$F$5:$F$200,MATCH("NACE|"&amp;O134,Factors_ROT!$A$5:$A$200,0)),1)</f>
        <v>1</v>
      </c>
      <c r="AW134" s="48" t="n">
        <f aca="false">IFERROR(INDEX(Factors_ROT!$F$5:$F$200,MATCH("SC_DRV|"&amp;AL134,Factors_ROT!$A$5:$A$200,0)),1)*IFERROR(INDEX(Factors_ROT!$F$5:$F$200,MATCH("SC_BSP|"&amp;AM134,Factors_ROT!$A$5:$A$200,0)),1)*IFERROR(INDEX(Factors_ROT!$F$5:$F$200,MATCH("SC_SEAL|"&amp;AN134,Factors_ROT!$A$5:$A$200,0)),1)*IFERROR(INDEX(Factors_ROT!$F$5:$F$200,MATCH("SC_COMM|"&amp;AO134,Factors_ROT!$A$5:$A$200,0)),1)*IFERROR(INDEX(Factors_ROT!$F$5:$F$200,MATCH("SC_2Y|"&amp;AP134,Factors_ROT!$A$5:$A$200,0)),1)*IFERROR(INDEX(Factors_ROT!$F$5:$F$200,MATCH("SC_TPI|"&amp;AQ134,Factors_ROT!$A$5:$A$200,0)),1)*IFERROR(INDEX(Factors_ROT!$F$5:$F$200,MATCH("SC_FAT|"&amp;AR134,Factors_ROT!$A$5:$A$200,0)),1)</f>
        <v>1</v>
      </c>
      <c r="AX134" s="48" t="n">
        <f aca="false">AT134*AU134*AV134*AW134</f>
        <v>0.8</v>
      </c>
      <c r="AY134" s="47" t="n">
        <f aca="false">IF(ISNUMBER(AB134),AB134/AX134,"")</f>
        <v>12500</v>
      </c>
      <c r="AZ134" s="49" t="n">
        <f aca="false">IFERROR(IF(N(INDEX(Escalation_Index!$B$5:$B$25,MATCH(Y134,Escalation_Index!$A$5:$A$25,0)))&gt;0,INDEX(Escalation_Index!$B$5:$B$25,MATCH(Y134,Escalation_Index!$A$5:$A$25,0)),""),"")</f>
        <v>91.347</v>
      </c>
      <c r="BA134" s="49" t="n">
        <f aca="false">IF(ISNUMBER('Assumptions &amp; FX Reference'!$I$12),'Assumptions &amp; FX Reference'!$I$12,"")</f>
        <v>123.416</v>
      </c>
      <c r="BB134" s="45" t="str">
        <f aca="false">IF(AND(M134="API 610",LEFT(V134,11)="Centrifugal",OR(LEFT(G134,2)="S-",LEFT(G134,2)="D-")),"Y","N")</f>
        <v>N</v>
      </c>
      <c r="BC134" s="47" t="n">
        <f aca="false">IF(ISNUMBER(AG134),AG134/AX134,"")</f>
        <v>16888.3488237162</v>
      </c>
      <c r="BD134" s="47" t="n">
        <f aca="false">IF(AND(ISNUMBER(BC134),ISNUMBER(K134)),IF(K134&gt;0,BC134/K134^'Assumptions &amp; FX Reference'!$I$16,""),"")</f>
        <v>4646.34151342652</v>
      </c>
      <c r="BE134" s="42" t="s">
        <v>792</v>
      </c>
      <c r="BF134" s="42" t="s">
        <v>793</v>
      </c>
      <c r="BG134" s="42" t="s">
        <v>369</v>
      </c>
      <c r="BH134" s="45" t="s">
        <v>313</v>
      </c>
      <c r="BI134" s="45" t="str">
        <f aca="false">"PMP-"&amp;TEXT(A134,"0000")</f>
        <v>PMP-0130</v>
      </c>
    </row>
    <row r="135" customFormat="false" ht="24" hidden="false" customHeight="true" outlineLevel="0" collapsed="false">
      <c r="A135" s="42" t="n">
        <v>131</v>
      </c>
      <c r="B135" s="42" t="s">
        <v>512</v>
      </c>
      <c r="C135" s="42" t="s">
        <v>690</v>
      </c>
      <c r="D135" s="42" t="s">
        <v>698</v>
      </c>
      <c r="E135" s="42" t="s">
        <v>48</v>
      </c>
      <c r="F135" s="42" t="s">
        <v>132</v>
      </c>
      <c r="G135" s="42" t="s">
        <v>74</v>
      </c>
      <c r="H135" s="43" t="n">
        <v>53</v>
      </c>
      <c r="I135" s="43" t="n">
        <v>122.3</v>
      </c>
      <c r="J135" s="43"/>
      <c r="K135" s="44" t="n">
        <f aca="false">IF(ISNUMBER(J135),J135,IF(AND(ISNUMBER(H135),ISNUMBER(I135)),H135*I135/(367*'Assumptions &amp; FX Reference'!$I$17),""))</f>
        <v>29.436421435059</v>
      </c>
      <c r="L135" s="45" t="str">
        <f aca="false">IF(IF(OR(M135="Not stated",M135=""),""," + "&amp;M135)&amp;IF(OR(N135="None",N135=""),""," + "&amp;N135)&amp;IF(O135="Y"," + NACE MR0175","")="","Not stated",MID(IF(OR(M135="Not stated",M135=""),""," + "&amp;M135)&amp;IF(OR(N135="None",N135=""),""," + "&amp;N135)&amp;IF(O135="Y"," + NACE MR0175",""),4,300))</f>
        <v>API 610 + IPS-G-PM-105</v>
      </c>
      <c r="M135" s="42" t="s">
        <v>478</v>
      </c>
      <c r="N135" s="42" t="s">
        <v>479</v>
      </c>
      <c r="O135" s="50" t="s">
        <v>312</v>
      </c>
      <c r="P135" s="42" t="s">
        <v>123</v>
      </c>
      <c r="Q135" s="42" t="s">
        <v>123</v>
      </c>
      <c r="R135" s="42" t="s">
        <v>123</v>
      </c>
      <c r="S135" s="50" t="s">
        <v>304</v>
      </c>
      <c r="T135" s="42" t="s">
        <v>327</v>
      </c>
      <c r="U135" s="42" t="n">
        <v>1</v>
      </c>
      <c r="V135" s="42" t="s">
        <v>306</v>
      </c>
      <c r="W135" s="43" t="n">
        <v>12</v>
      </c>
      <c r="X135" s="42" t="s">
        <v>123</v>
      </c>
      <c r="Y135" s="42" t="n">
        <v>1393</v>
      </c>
      <c r="Z135" s="42" t="s">
        <v>363</v>
      </c>
      <c r="AA135" s="46" t="n">
        <v>15000</v>
      </c>
      <c r="AB135" s="47" t="n">
        <f aca="false">IF(NOT(ISNUMBER(AA135)),"",IF(NOT(ISNUMBER(Y135)),"",IFERROR(IF(Z135="EUR",AA135,IF(Z135="IRR",AA135/INDEX('Assumptions &amp; FX Reference'!$C$5:$C$25,MATCH(Y135,'Assumptions &amp; FX Reference'!$A$5:$A$25,0)),IF(Z135="USD",AA135*INDEX('Assumptions &amp; FX Reference'!$B$5:$B$25,MATCH(Y135,'Assumptions &amp; FX Reference'!$A$5:$A$25,0))/INDEX('Assumptions &amp; FX Reference'!$C$5:$C$25,MATCH(Y135,'Assumptions &amp; FX Reference'!$A$5:$A$25,0)),""))),"")))</f>
        <v>15000</v>
      </c>
      <c r="AC135" s="47" t="n">
        <f aca="false">IF(NOT(ISNUMBER(AA135)),"",IF(NOT(ISNUMBER(Y135)),"",IFERROR(IF(Z135="USD",AA135,IF(Z135="IRR",AA135/INDEX('Assumptions &amp; FX Reference'!$B$5:$B$25,MATCH(Y135,'Assumptions &amp; FX Reference'!$A$5:$A$25,0)),IF(Z135="EUR",AA135*INDEX('Assumptions &amp; FX Reference'!$C$5:$C$25,MATCH(Y135,'Assumptions &amp; FX Reference'!$A$5:$A$25,0))/INDEX('Assumptions &amp; FX Reference'!$B$5:$B$25,MATCH(Y135,'Assumptions &amp; FX Reference'!$A$5:$A$25,0)),""))),"")))</f>
        <v>19611.6774193548</v>
      </c>
      <c r="AD135" s="47" t="n">
        <f aca="false">IF(NOT(ISNUMBER(AA135)),"",IF(NOT(ISNUMBER(Y135)),"",IFERROR(IF(Z135="IRR",AA135,IF(Z135="USD",AA135*INDEX('Assumptions &amp; FX Reference'!$B$5:$B$25,MATCH(Y135,'Assumptions &amp; FX Reference'!$A$5:$A$25,0)),IF(Z135="EUR",AA135*INDEX('Assumptions &amp; FX Reference'!$C$5:$C$25,MATCH(Y135,'Assumptions &amp; FX Reference'!$A$5:$A$25,0)),""))),"")))</f>
        <v>607962000</v>
      </c>
      <c r="AE135" s="42" t="s">
        <v>789</v>
      </c>
      <c r="AF135" s="42" t="s">
        <v>208</v>
      </c>
      <c r="AG135" s="47" t="n">
        <f aca="false">IF(AND(Z135="EUR",N(AA135)&gt;5000000),"",IF(AND(ISNUMBER(AB135),ISNUMBER(AZ135),ISNUMBER(BA135)),IF(AND(BB135="Y",ISNUMBER('Assumptions &amp; FX Reference'!$I$15)),MAX(AB135*BA135/AZ135,'Assumptions &amp; FX Reference'!$I$13*BA135/'Assumptions &amp; FX Reference'!$I$15),AB135*BA135/AZ135),""))</f>
        <v>20266.0185884594</v>
      </c>
      <c r="AH135" s="47" t="n">
        <f aca="false">IF(AND(ISNUMBER(AG135),ISNUMBER('Assumptions &amp; FX Reference'!$I$8),ISNUMBER('Assumptions &amp; FX Reference'!$I$11)),AG135*'Assumptions &amp; FX Reference'!$I$8/'Assumptions &amp; FX Reference'!$I$11,"")</f>
        <v>21396.5195547694</v>
      </c>
      <c r="AI135" s="47" t="n">
        <f aca="false">IF(AND(ISNUMBER(AG135),ISNUMBER('Assumptions &amp; FX Reference'!$I$8)),AG135*'Assumptions &amp; FX Reference'!$I$8,"")</f>
        <v>14090314211.961</v>
      </c>
      <c r="AJ135" s="42" t="s">
        <v>693</v>
      </c>
      <c r="AK135" s="42" t="s">
        <v>366</v>
      </c>
      <c r="AL135" s="42" t="s">
        <v>123</v>
      </c>
      <c r="AM135" s="42" t="s">
        <v>123</v>
      </c>
      <c r="AN135" s="42" t="s">
        <v>123</v>
      </c>
      <c r="AO135" s="42" t="s">
        <v>123</v>
      </c>
      <c r="AP135" s="42" t="s">
        <v>123</v>
      </c>
      <c r="AQ135" s="42" t="s">
        <v>123</v>
      </c>
      <c r="AR135" s="42" t="s">
        <v>123</v>
      </c>
      <c r="AS135" s="45" t="str">
        <f aca="false">IF(AND(Z135="EUR",N(AA135)&gt;5000000),"Check currency (EUR&gt;5M); ","")&amp;IF(NOT(ISNUMBER(AA135)),"No price; ","")&amp;IF(G135="Not stated","Material missing; ","")&amp;IF(P135="Not stated","Seal missing; ","")&amp;IF(K135="","Size driver missing; ","")&amp;IF(NOT(ISNUMBER(AZ135)),"Base-year PPI missing; ","")</f>
        <v>Seal missing; </v>
      </c>
      <c r="AT135" s="48" t="n">
        <f aca="false">IFERROR(INDEX(Factors_ROT!$F$5:$F$200,MATCH("MAT|"&amp;G135,Factors_ROT!$A$5:$A$200,0)),1)</f>
        <v>0.8</v>
      </c>
      <c r="AU135" s="48" t="n">
        <f aca="false">IFERROR(INDEX(Factors_ROT!$F$5:$F$200,MATCH("SEAL_ARR|"&amp;P135,Factors_ROT!$A$5:$A$200,0)),1)*IFERROR(INDEX(Factors_ROT!$F$5:$F$200,MATCH("SEAL_CAT|"&amp;Q135,Factors_ROT!$A$5:$A$200,0)),1)*IFERROR(INDEX(Factors_ROT!$F$5:$F$200,MATCH("SEAL_PLAN|"&amp;R135,Factors_ROT!$A$5:$A$200,0)),1)</f>
        <v>1</v>
      </c>
      <c r="AV135" s="48" t="n">
        <f aca="false">IFERROR(INDEX(Factors_ROT!$F$5:$F$200,MATCH("DRV|"&amp;S135,Factors_ROT!$A$5:$A$200,0)),1)*IFERROR(INDEX(Factors_ROT!$F$5:$F$200,MATCH("NACE|"&amp;O135,Factors_ROT!$A$5:$A$200,0)),1)</f>
        <v>1</v>
      </c>
      <c r="AW135" s="48" t="n">
        <f aca="false">IFERROR(INDEX(Factors_ROT!$F$5:$F$200,MATCH("SC_DRV|"&amp;AL135,Factors_ROT!$A$5:$A$200,0)),1)*IFERROR(INDEX(Factors_ROT!$F$5:$F$200,MATCH("SC_BSP|"&amp;AM135,Factors_ROT!$A$5:$A$200,0)),1)*IFERROR(INDEX(Factors_ROT!$F$5:$F$200,MATCH("SC_SEAL|"&amp;AN135,Factors_ROT!$A$5:$A$200,0)),1)*IFERROR(INDEX(Factors_ROT!$F$5:$F$200,MATCH("SC_COMM|"&amp;AO135,Factors_ROT!$A$5:$A$200,0)),1)*IFERROR(INDEX(Factors_ROT!$F$5:$F$200,MATCH("SC_2Y|"&amp;AP135,Factors_ROT!$A$5:$A$200,0)),1)*IFERROR(INDEX(Factors_ROT!$F$5:$F$200,MATCH("SC_TPI|"&amp;AQ135,Factors_ROT!$A$5:$A$200,0)),1)*IFERROR(INDEX(Factors_ROT!$F$5:$F$200,MATCH("SC_FAT|"&amp;AR135,Factors_ROT!$A$5:$A$200,0)),1)</f>
        <v>1</v>
      </c>
      <c r="AX135" s="48" t="n">
        <f aca="false">AT135*AU135*AV135*AW135</f>
        <v>0.8</v>
      </c>
      <c r="AY135" s="47" t="n">
        <f aca="false">IF(ISNUMBER(AB135),AB135/AX135,"")</f>
        <v>18750</v>
      </c>
      <c r="AZ135" s="49" t="n">
        <f aca="false">IFERROR(IF(N(INDEX(Escalation_Index!$B$5:$B$25,MATCH(Y135,Escalation_Index!$A$5:$A$25,0)))&gt;0,INDEX(Escalation_Index!$B$5:$B$25,MATCH(Y135,Escalation_Index!$A$5:$A$25,0)),""),"")</f>
        <v>91.347</v>
      </c>
      <c r="BA135" s="49" t="n">
        <f aca="false">IF(ISNUMBER('Assumptions &amp; FX Reference'!$I$12),'Assumptions &amp; FX Reference'!$I$12,"")</f>
        <v>123.416</v>
      </c>
      <c r="BB135" s="45" t="str">
        <f aca="false">IF(AND(M135="API 610",LEFT(V135,11)="Centrifugal",OR(LEFT(G135,2)="S-",LEFT(G135,2)="D-")),"Y","N")</f>
        <v>N</v>
      </c>
      <c r="BC135" s="47" t="n">
        <f aca="false">IF(ISNUMBER(AG135),AG135/AX135,"")</f>
        <v>25332.5232355742</v>
      </c>
      <c r="BD135" s="47" t="n">
        <f aca="false">IF(AND(ISNUMBER(BC135),ISNUMBER(K135)),IF(K135&gt;0,BC135/K135^'Assumptions &amp; FX Reference'!$I$16,""),"")</f>
        <v>3329.25792691936</v>
      </c>
      <c r="BE135" s="42" t="s">
        <v>794</v>
      </c>
      <c r="BF135" s="42" t="s">
        <v>795</v>
      </c>
      <c r="BG135" s="42" t="s">
        <v>369</v>
      </c>
      <c r="BH135" s="45" t="s">
        <v>313</v>
      </c>
      <c r="BI135" s="45" t="str">
        <f aca="false">"PMP-"&amp;TEXT(A135,"0000")</f>
        <v>PMP-0131</v>
      </c>
    </row>
    <row r="136" customFormat="false" ht="24" hidden="false" customHeight="true" outlineLevel="0" collapsed="false">
      <c r="A136" s="42" t="n">
        <v>132</v>
      </c>
      <c r="B136" s="42" t="s">
        <v>508</v>
      </c>
      <c r="C136" s="42" t="s">
        <v>690</v>
      </c>
      <c r="D136" s="42" t="s">
        <v>701</v>
      </c>
      <c r="E136" s="42" t="s">
        <v>48</v>
      </c>
      <c r="F136" s="42" t="s">
        <v>132</v>
      </c>
      <c r="G136" s="42" t="s">
        <v>74</v>
      </c>
      <c r="H136" s="43" t="n">
        <v>31</v>
      </c>
      <c r="I136" s="43" t="n">
        <v>122</v>
      </c>
      <c r="J136" s="43"/>
      <c r="K136" s="44" t="n">
        <f aca="false">IF(ISNUMBER(J136),J136,IF(AND(ISNUMBER(H136),ISNUMBER(I136)),H136*I136/(367*'Assumptions &amp; FX Reference'!$I$17),""))</f>
        <v>17.1752951861944</v>
      </c>
      <c r="L136" s="45" t="str">
        <f aca="false">IF(IF(OR(M136="Not stated",M136=""),""," + "&amp;M136)&amp;IF(OR(N136="None",N136=""),""," + "&amp;N136)&amp;IF(O136="Y"," + NACE MR0175","")="","Not stated",MID(IF(OR(M136="Not stated",M136=""),""," + "&amp;M136)&amp;IF(OR(N136="None",N136=""),""," + "&amp;N136)&amp;IF(O136="Y"," + NACE MR0175",""),4,300))</f>
        <v>API 610 + IPS-G-PM-105</v>
      </c>
      <c r="M136" s="42" t="s">
        <v>478</v>
      </c>
      <c r="N136" s="42" t="s">
        <v>479</v>
      </c>
      <c r="O136" s="50" t="s">
        <v>312</v>
      </c>
      <c r="P136" s="42" t="s">
        <v>123</v>
      </c>
      <c r="Q136" s="42" t="s">
        <v>123</v>
      </c>
      <c r="R136" s="42" t="s">
        <v>123</v>
      </c>
      <c r="S136" s="50" t="s">
        <v>304</v>
      </c>
      <c r="T136" s="42" t="s">
        <v>327</v>
      </c>
      <c r="U136" s="42" t="n">
        <v>2</v>
      </c>
      <c r="V136" s="42" t="s">
        <v>306</v>
      </c>
      <c r="W136" s="43" t="n">
        <v>13</v>
      </c>
      <c r="X136" s="42" t="s">
        <v>123</v>
      </c>
      <c r="Y136" s="42" t="n">
        <v>1393</v>
      </c>
      <c r="Z136" s="42" t="s">
        <v>363</v>
      </c>
      <c r="AA136" s="46" t="n">
        <v>12000</v>
      </c>
      <c r="AB136" s="47" t="n">
        <f aca="false">IF(NOT(ISNUMBER(AA136)),"",IF(NOT(ISNUMBER(Y136)),"",IFERROR(IF(Z136="EUR",AA136,IF(Z136="IRR",AA136/INDEX('Assumptions &amp; FX Reference'!$C$5:$C$25,MATCH(Y136,'Assumptions &amp; FX Reference'!$A$5:$A$25,0)),IF(Z136="USD",AA136*INDEX('Assumptions &amp; FX Reference'!$B$5:$B$25,MATCH(Y136,'Assumptions &amp; FX Reference'!$A$5:$A$25,0))/INDEX('Assumptions &amp; FX Reference'!$C$5:$C$25,MATCH(Y136,'Assumptions &amp; FX Reference'!$A$5:$A$25,0)),""))),"")))</f>
        <v>12000</v>
      </c>
      <c r="AC136" s="47" t="n">
        <f aca="false">IF(NOT(ISNUMBER(AA136)),"",IF(NOT(ISNUMBER(Y136)),"",IFERROR(IF(Z136="USD",AA136,IF(Z136="IRR",AA136/INDEX('Assumptions &amp; FX Reference'!$B$5:$B$25,MATCH(Y136,'Assumptions &amp; FX Reference'!$A$5:$A$25,0)),IF(Z136="EUR",AA136*INDEX('Assumptions &amp; FX Reference'!$C$5:$C$25,MATCH(Y136,'Assumptions &amp; FX Reference'!$A$5:$A$25,0))/INDEX('Assumptions &amp; FX Reference'!$B$5:$B$25,MATCH(Y136,'Assumptions &amp; FX Reference'!$A$5:$A$25,0)),""))),"")))</f>
        <v>15689.3419354839</v>
      </c>
      <c r="AD136" s="47" t="n">
        <f aca="false">IF(NOT(ISNUMBER(AA136)),"",IF(NOT(ISNUMBER(Y136)),"",IFERROR(IF(Z136="IRR",AA136,IF(Z136="USD",AA136*INDEX('Assumptions &amp; FX Reference'!$B$5:$B$25,MATCH(Y136,'Assumptions &amp; FX Reference'!$A$5:$A$25,0)),IF(Z136="EUR",AA136*INDEX('Assumptions &amp; FX Reference'!$C$5:$C$25,MATCH(Y136,'Assumptions &amp; FX Reference'!$A$5:$A$25,0)),""))),"")))</f>
        <v>486369600</v>
      </c>
      <c r="AE136" s="42" t="s">
        <v>789</v>
      </c>
      <c r="AF136" s="42" t="s">
        <v>208</v>
      </c>
      <c r="AG136" s="47" t="n">
        <f aca="false">IF(AND(Z136="EUR",N(AA136)&gt;5000000),"",IF(AND(ISNUMBER(AB136),ISNUMBER(AZ136),ISNUMBER(BA136)),IF(AND(BB136="Y",ISNUMBER('Assumptions &amp; FX Reference'!$I$15)),MAX(AB136*BA136/AZ136,'Assumptions &amp; FX Reference'!$I$13*BA136/'Assumptions &amp; FX Reference'!$I$15),AB136*BA136/AZ136),""))</f>
        <v>16212.8148707675</v>
      </c>
      <c r="AH136" s="47" t="n">
        <f aca="false">IF(AND(ISNUMBER(AG136),ISNUMBER('Assumptions &amp; FX Reference'!$I$8),ISNUMBER('Assumptions &amp; FX Reference'!$I$11)),AG136*'Assumptions &amp; FX Reference'!$I$8/'Assumptions &amp; FX Reference'!$I$11,"")</f>
        <v>17117.2156438156</v>
      </c>
      <c r="AI136" s="47" t="n">
        <f aca="false">IF(AND(ISNUMBER(AG136),ISNUMBER('Assumptions &amp; FX Reference'!$I$8)),AG136*'Assumptions &amp; FX Reference'!$I$8,"")</f>
        <v>11272251369.5688</v>
      </c>
      <c r="AJ136" s="42" t="s">
        <v>693</v>
      </c>
      <c r="AK136" s="42" t="s">
        <v>366</v>
      </c>
      <c r="AL136" s="42" t="s">
        <v>123</v>
      </c>
      <c r="AM136" s="42" t="s">
        <v>123</v>
      </c>
      <c r="AN136" s="42" t="s">
        <v>123</v>
      </c>
      <c r="AO136" s="42" t="s">
        <v>123</v>
      </c>
      <c r="AP136" s="42" t="s">
        <v>123</v>
      </c>
      <c r="AQ136" s="42" t="s">
        <v>123</v>
      </c>
      <c r="AR136" s="42" t="s">
        <v>123</v>
      </c>
      <c r="AS136" s="45" t="str">
        <f aca="false">IF(AND(Z136="EUR",N(AA136)&gt;5000000),"Check currency (EUR&gt;5M); ","")&amp;IF(NOT(ISNUMBER(AA136)),"No price; ","")&amp;IF(G136="Not stated","Material missing; ","")&amp;IF(P136="Not stated","Seal missing; ","")&amp;IF(K136="","Size driver missing; ","")&amp;IF(NOT(ISNUMBER(AZ136)),"Base-year PPI missing; ","")</f>
        <v>Seal missing; </v>
      </c>
      <c r="AT136" s="48" t="n">
        <f aca="false">IFERROR(INDEX(Factors_ROT!$F$5:$F$200,MATCH("MAT|"&amp;G136,Factors_ROT!$A$5:$A$200,0)),1)</f>
        <v>0.8</v>
      </c>
      <c r="AU136" s="48" t="n">
        <f aca="false">IFERROR(INDEX(Factors_ROT!$F$5:$F$200,MATCH("SEAL_ARR|"&amp;P136,Factors_ROT!$A$5:$A$200,0)),1)*IFERROR(INDEX(Factors_ROT!$F$5:$F$200,MATCH("SEAL_CAT|"&amp;Q136,Factors_ROT!$A$5:$A$200,0)),1)*IFERROR(INDEX(Factors_ROT!$F$5:$F$200,MATCH("SEAL_PLAN|"&amp;R136,Factors_ROT!$A$5:$A$200,0)),1)</f>
        <v>1</v>
      </c>
      <c r="AV136" s="48" t="n">
        <f aca="false">IFERROR(INDEX(Factors_ROT!$F$5:$F$200,MATCH("DRV|"&amp;S136,Factors_ROT!$A$5:$A$200,0)),1)*IFERROR(INDEX(Factors_ROT!$F$5:$F$200,MATCH("NACE|"&amp;O136,Factors_ROT!$A$5:$A$200,0)),1)</f>
        <v>1</v>
      </c>
      <c r="AW136" s="48" t="n">
        <f aca="false">IFERROR(INDEX(Factors_ROT!$F$5:$F$200,MATCH("SC_DRV|"&amp;AL136,Factors_ROT!$A$5:$A$200,0)),1)*IFERROR(INDEX(Factors_ROT!$F$5:$F$200,MATCH("SC_BSP|"&amp;AM136,Factors_ROT!$A$5:$A$200,0)),1)*IFERROR(INDEX(Factors_ROT!$F$5:$F$200,MATCH("SC_SEAL|"&amp;AN136,Factors_ROT!$A$5:$A$200,0)),1)*IFERROR(INDEX(Factors_ROT!$F$5:$F$200,MATCH("SC_COMM|"&amp;AO136,Factors_ROT!$A$5:$A$200,0)),1)*IFERROR(INDEX(Factors_ROT!$F$5:$F$200,MATCH("SC_2Y|"&amp;AP136,Factors_ROT!$A$5:$A$200,0)),1)*IFERROR(INDEX(Factors_ROT!$F$5:$F$200,MATCH("SC_TPI|"&amp;AQ136,Factors_ROT!$A$5:$A$200,0)),1)*IFERROR(INDEX(Factors_ROT!$F$5:$F$200,MATCH("SC_FAT|"&amp;AR136,Factors_ROT!$A$5:$A$200,0)),1)</f>
        <v>1</v>
      </c>
      <c r="AX136" s="48" t="n">
        <f aca="false">AT136*AU136*AV136*AW136</f>
        <v>0.8</v>
      </c>
      <c r="AY136" s="47" t="n">
        <f aca="false">IF(ISNUMBER(AB136),AB136/AX136,"")</f>
        <v>15000</v>
      </c>
      <c r="AZ136" s="49" t="n">
        <f aca="false">IFERROR(IF(N(INDEX(Escalation_Index!$B$5:$B$25,MATCH(Y136,Escalation_Index!$A$5:$A$25,0)))&gt;0,INDEX(Escalation_Index!$B$5:$B$25,MATCH(Y136,Escalation_Index!$A$5:$A$25,0)),""),"")</f>
        <v>91.347</v>
      </c>
      <c r="BA136" s="49" t="n">
        <f aca="false">IF(ISNUMBER('Assumptions &amp; FX Reference'!$I$12),'Assumptions &amp; FX Reference'!$I$12,"")</f>
        <v>123.416</v>
      </c>
      <c r="BB136" s="45" t="str">
        <f aca="false">IF(AND(M136="API 610",LEFT(V136,11)="Centrifugal",OR(LEFT(G136,2)="S-",LEFT(G136,2)="D-")),"Y","N")</f>
        <v>N</v>
      </c>
      <c r="BC136" s="47" t="n">
        <f aca="false">IF(ISNUMBER(AG136),AG136/AX136,"")</f>
        <v>20266.0185884594</v>
      </c>
      <c r="BD136" s="47" t="n">
        <f aca="false">IF(AND(ISNUMBER(BC136),ISNUMBER(K136)),IF(K136&gt;0,BC136/K136^'Assumptions &amp; FX Reference'!$I$16,""),"")</f>
        <v>3679.81436749012</v>
      </c>
      <c r="BE136" s="42" t="s">
        <v>796</v>
      </c>
      <c r="BF136" s="42" t="s">
        <v>797</v>
      </c>
      <c r="BG136" s="42" t="s">
        <v>369</v>
      </c>
      <c r="BH136" s="45" t="s">
        <v>313</v>
      </c>
      <c r="BI136" s="45" t="str">
        <f aca="false">"PMP-"&amp;TEXT(A136,"0000")</f>
        <v>PMP-0132</v>
      </c>
    </row>
    <row r="137" customFormat="false" ht="24" hidden="false" customHeight="true" outlineLevel="0" collapsed="false">
      <c r="A137" s="42" t="n">
        <v>133</v>
      </c>
      <c r="B137" s="42" t="s">
        <v>704</v>
      </c>
      <c r="C137" s="42" t="s">
        <v>690</v>
      </c>
      <c r="D137" s="42" t="s">
        <v>497</v>
      </c>
      <c r="E137" s="42" t="s">
        <v>51</v>
      </c>
      <c r="F137" s="42" t="s">
        <v>153</v>
      </c>
      <c r="G137" s="42" t="s">
        <v>115</v>
      </c>
      <c r="H137" s="43" t="n">
        <v>91</v>
      </c>
      <c r="I137" s="43" t="n">
        <v>650</v>
      </c>
      <c r="J137" s="43"/>
      <c r="K137" s="44" t="n">
        <f aca="false">IF(ISNUMBER(J137),J137,IF(AND(ISNUMBER(H137),ISNUMBER(I137)),H137*I137/(367*'Assumptions &amp; FX Reference'!$I$17),""))</f>
        <v>268.619436875568</v>
      </c>
      <c r="L137" s="45" t="str">
        <f aca="false">IF(IF(OR(M137="Not stated",M137=""),""," + "&amp;M137)&amp;IF(OR(N137="None",N137=""),""," + "&amp;N137)&amp;IF(O137="Y"," + NACE MR0175","")="","Not stated",MID(IF(OR(M137="Not stated",M137=""),""," + "&amp;M137)&amp;IF(OR(N137="None",N137=""),""," + "&amp;N137)&amp;IF(O137="Y"," + NACE MR0175",""),4,300))</f>
        <v>API 610 + IPS-G-PM-105 + NACE MR0175</v>
      </c>
      <c r="M137" s="42" t="s">
        <v>478</v>
      </c>
      <c r="N137" s="42" t="s">
        <v>479</v>
      </c>
      <c r="O137" s="42" t="s">
        <v>369</v>
      </c>
      <c r="P137" s="42" t="s">
        <v>123</v>
      </c>
      <c r="Q137" s="42" t="s">
        <v>123</v>
      </c>
      <c r="R137" s="42" t="s">
        <v>123</v>
      </c>
      <c r="S137" s="50" t="s">
        <v>304</v>
      </c>
      <c r="T137" s="42" t="s">
        <v>334</v>
      </c>
      <c r="U137" s="42" t="n">
        <v>2</v>
      </c>
      <c r="V137" s="42" t="s">
        <v>306</v>
      </c>
      <c r="W137" s="43" t="n">
        <v>72.8</v>
      </c>
      <c r="X137" s="42" t="s">
        <v>123</v>
      </c>
      <c r="Y137" s="42" t="n">
        <v>1393</v>
      </c>
      <c r="Z137" s="42" t="s">
        <v>363</v>
      </c>
      <c r="AA137" s="46" t="n">
        <v>260000</v>
      </c>
      <c r="AB137" s="47" t="n">
        <f aca="false">IF(NOT(ISNUMBER(AA137)),"",IF(NOT(ISNUMBER(Y137)),"",IFERROR(IF(Z137="EUR",AA137,IF(Z137="IRR",AA137/INDEX('Assumptions &amp; FX Reference'!$C$5:$C$25,MATCH(Y137,'Assumptions &amp; FX Reference'!$A$5:$A$25,0)),IF(Z137="USD",AA137*INDEX('Assumptions &amp; FX Reference'!$B$5:$B$25,MATCH(Y137,'Assumptions &amp; FX Reference'!$A$5:$A$25,0))/INDEX('Assumptions &amp; FX Reference'!$C$5:$C$25,MATCH(Y137,'Assumptions &amp; FX Reference'!$A$5:$A$25,0)),""))),"")))</f>
        <v>260000</v>
      </c>
      <c r="AC137" s="47" t="n">
        <f aca="false">IF(NOT(ISNUMBER(AA137)),"",IF(NOT(ISNUMBER(Y137)),"",IFERROR(IF(Z137="USD",AA137,IF(Z137="IRR",AA137/INDEX('Assumptions &amp; FX Reference'!$B$5:$B$25,MATCH(Y137,'Assumptions &amp; FX Reference'!$A$5:$A$25,0)),IF(Z137="EUR",AA137*INDEX('Assumptions &amp; FX Reference'!$C$5:$C$25,MATCH(Y137,'Assumptions &amp; FX Reference'!$A$5:$A$25,0))/INDEX('Assumptions &amp; FX Reference'!$B$5:$B$25,MATCH(Y137,'Assumptions &amp; FX Reference'!$A$5:$A$25,0)),""))),"")))</f>
        <v>339935.741935484</v>
      </c>
      <c r="AD137" s="47" t="n">
        <f aca="false">IF(NOT(ISNUMBER(AA137)),"",IF(NOT(ISNUMBER(Y137)),"",IFERROR(IF(Z137="IRR",AA137,IF(Z137="USD",AA137*INDEX('Assumptions &amp; FX Reference'!$B$5:$B$25,MATCH(Y137,'Assumptions &amp; FX Reference'!$A$5:$A$25,0)),IF(Z137="EUR",AA137*INDEX('Assumptions &amp; FX Reference'!$C$5:$C$25,MATCH(Y137,'Assumptions &amp; FX Reference'!$A$5:$A$25,0)),""))),"")))</f>
        <v>10538008000</v>
      </c>
      <c r="AE137" s="42" t="s">
        <v>789</v>
      </c>
      <c r="AF137" s="42" t="s">
        <v>208</v>
      </c>
      <c r="AG137" s="47" t="n">
        <f aca="false">IF(AND(Z137="EUR",N(AA137)&gt;5000000),"",IF(AND(ISNUMBER(AB137),ISNUMBER(AZ137),ISNUMBER(BA137)),IF(AND(BB137="Y",ISNUMBER('Assumptions &amp; FX Reference'!$I$15)),MAX(AB137*BA137/AZ137,'Assumptions &amp; FX Reference'!$I$13*BA137/'Assumptions &amp; FX Reference'!$I$15),AB137*BA137/AZ137),""))</f>
        <v>351277.655533296</v>
      </c>
      <c r="AH137" s="47" t="n">
        <f aca="false">IF(AND(ISNUMBER(AG137),ISNUMBER('Assumptions &amp; FX Reference'!$I$8),ISNUMBER('Assumptions &amp; FX Reference'!$I$11)),AG137*'Assumptions &amp; FX Reference'!$I$8/'Assumptions &amp; FX Reference'!$I$11,"")</f>
        <v>370873.005616004</v>
      </c>
      <c r="AI137" s="47" t="n">
        <f aca="false">IF(AND(ISNUMBER(AG137),ISNUMBER('Assumptions &amp; FX Reference'!$I$8)),AG137*'Assumptions &amp; FX Reference'!$I$8,"")</f>
        <v>244232113007.324</v>
      </c>
      <c r="AJ137" s="42" t="s">
        <v>693</v>
      </c>
      <c r="AK137" s="42" t="s">
        <v>366</v>
      </c>
      <c r="AL137" s="42" t="s">
        <v>123</v>
      </c>
      <c r="AM137" s="42" t="s">
        <v>123</v>
      </c>
      <c r="AN137" s="42" t="s">
        <v>123</v>
      </c>
      <c r="AO137" s="42" t="s">
        <v>123</v>
      </c>
      <c r="AP137" s="42" t="s">
        <v>123</v>
      </c>
      <c r="AQ137" s="42" t="s">
        <v>123</v>
      </c>
      <c r="AR137" s="42" t="s">
        <v>123</v>
      </c>
      <c r="AS137" s="45" t="str">
        <f aca="false">IF(AND(Z137="EUR",N(AA137)&gt;5000000),"Check currency (EUR&gt;5M); ","")&amp;IF(NOT(ISNUMBER(AA137)),"No price; ","")&amp;IF(G137="Not stated","Material missing; ","")&amp;IF(P137="Not stated","Seal missing; ","")&amp;IF(K137="","Size driver missing; ","")&amp;IF(NOT(ISNUMBER(AZ137)),"Base-year PPI missing; ","")</f>
        <v>Seal missing; </v>
      </c>
      <c r="AT137" s="48" t="n">
        <f aca="false">IFERROR(INDEX(Factors_ROT!$F$5:$F$200,MATCH("MAT|"&amp;G137,Factors_ROT!$A$5:$A$200,0)),1)</f>
        <v>1.9</v>
      </c>
      <c r="AU137" s="48" t="n">
        <f aca="false">IFERROR(INDEX(Factors_ROT!$F$5:$F$200,MATCH("SEAL_ARR|"&amp;P137,Factors_ROT!$A$5:$A$200,0)),1)*IFERROR(INDEX(Factors_ROT!$F$5:$F$200,MATCH("SEAL_CAT|"&amp;Q137,Factors_ROT!$A$5:$A$200,0)),1)*IFERROR(INDEX(Factors_ROT!$F$5:$F$200,MATCH("SEAL_PLAN|"&amp;R137,Factors_ROT!$A$5:$A$200,0)),1)</f>
        <v>1</v>
      </c>
      <c r="AV137" s="48" t="n">
        <f aca="false">IFERROR(INDEX(Factors_ROT!$F$5:$F$200,MATCH("DRV|"&amp;S137,Factors_ROT!$A$5:$A$200,0)),1)*IFERROR(INDEX(Factors_ROT!$F$5:$F$200,MATCH("NACE|"&amp;O137,Factors_ROT!$A$5:$A$200,0)),1)</f>
        <v>1.05</v>
      </c>
      <c r="AW137" s="48" t="n">
        <f aca="false">IFERROR(INDEX(Factors_ROT!$F$5:$F$200,MATCH("SC_DRV|"&amp;AL137,Factors_ROT!$A$5:$A$200,0)),1)*IFERROR(INDEX(Factors_ROT!$F$5:$F$200,MATCH("SC_BSP|"&amp;AM137,Factors_ROT!$A$5:$A$200,0)),1)*IFERROR(INDEX(Factors_ROT!$F$5:$F$200,MATCH("SC_SEAL|"&amp;AN137,Factors_ROT!$A$5:$A$200,0)),1)*IFERROR(INDEX(Factors_ROT!$F$5:$F$200,MATCH("SC_COMM|"&amp;AO137,Factors_ROT!$A$5:$A$200,0)),1)*IFERROR(INDEX(Factors_ROT!$F$5:$F$200,MATCH("SC_2Y|"&amp;AP137,Factors_ROT!$A$5:$A$200,0)),1)*IFERROR(INDEX(Factors_ROT!$F$5:$F$200,MATCH("SC_TPI|"&amp;AQ137,Factors_ROT!$A$5:$A$200,0)),1)*IFERROR(INDEX(Factors_ROT!$F$5:$F$200,MATCH("SC_FAT|"&amp;AR137,Factors_ROT!$A$5:$A$200,0)),1)</f>
        <v>1</v>
      </c>
      <c r="AX137" s="48" t="n">
        <f aca="false">AT137*AU137*AV137*AW137</f>
        <v>1.995</v>
      </c>
      <c r="AY137" s="47" t="n">
        <f aca="false">IF(ISNUMBER(AB137),AB137/AX137,"")</f>
        <v>130325.814536341</v>
      </c>
      <c r="AZ137" s="49" t="n">
        <f aca="false">IFERROR(IF(N(INDEX(Escalation_Index!$B$5:$B$25,MATCH(Y137,Escalation_Index!$A$5:$A$25,0)))&gt;0,INDEX(Escalation_Index!$B$5:$B$25,MATCH(Y137,Escalation_Index!$A$5:$A$25,0)),""),"")</f>
        <v>91.347</v>
      </c>
      <c r="BA137" s="49" t="n">
        <f aca="false">IF(ISNUMBER('Assumptions &amp; FX Reference'!$I$12),'Assumptions &amp; FX Reference'!$I$12,"")</f>
        <v>123.416</v>
      </c>
      <c r="BB137" s="45" t="str">
        <f aca="false">IF(AND(M137="API 610",LEFT(V137,11)="Centrifugal",OR(LEFT(G137,2)="S-",LEFT(G137,2)="D-")),"Y","N")</f>
        <v>Y</v>
      </c>
      <c r="BC137" s="47" t="n">
        <f aca="false">IF(ISNUMBER(AG137),AG137/AX137,"")</f>
        <v>176079.025329973</v>
      </c>
      <c r="BD137" s="47" t="n">
        <f aca="false">IF(AND(ISNUMBER(BC137),ISNUMBER(K137)),IF(K137&gt;0,BC137/K137^'Assumptions &amp; FX Reference'!$I$16,""),"")</f>
        <v>6140.80299621417</v>
      </c>
      <c r="BE137" s="42" t="s">
        <v>798</v>
      </c>
      <c r="BF137" s="42" t="s">
        <v>799</v>
      </c>
      <c r="BG137" s="42" t="s">
        <v>369</v>
      </c>
      <c r="BH137" s="45" t="s">
        <v>313</v>
      </c>
      <c r="BI137" s="45" t="str">
        <f aca="false">"PMP-"&amp;TEXT(A137,"0000")</f>
        <v>PMP-0133</v>
      </c>
    </row>
    <row r="138" customFormat="false" ht="24" hidden="false" customHeight="true" outlineLevel="0" collapsed="false">
      <c r="A138" s="42" t="n">
        <v>134</v>
      </c>
      <c r="B138" s="42" t="s">
        <v>489</v>
      </c>
      <c r="C138" s="42" t="s">
        <v>690</v>
      </c>
      <c r="D138" s="42" t="s">
        <v>501</v>
      </c>
      <c r="E138" s="42" t="s">
        <v>54</v>
      </c>
      <c r="F138" s="42" t="s">
        <v>192</v>
      </c>
      <c r="G138" s="42" t="s">
        <v>111</v>
      </c>
      <c r="H138" s="43" t="n">
        <v>5</v>
      </c>
      <c r="I138" s="43"/>
      <c r="J138" s="43"/>
      <c r="K138" s="44" t="str">
        <f aca="false">IF(ISNUMBER(J138),J138,IF(AND(ISNUMBER(H138),ISNUMBER(I138)),H138*I138/(367*'Assumptions &amp; FX Reference'!$I$17),""))</f>
        <v/>
      </c>
      <c r="L138" s="45" t="str">
        <f aca="false">IF(IF(OR(M138="Not stated",M138=""),""," + "&amp;M138)&amp;IF(OR(N138="None",N138=""),""," + "&amp;N138)&amp;IF(O138="Y"," + NACE MR0175","")="","Not stated",MID(IF(OR(M138="Not stated",M138=""),""," + "&amp;M138)&amp;IF(OR(N138="None",N138=""),""," + "&amp;N138)&amp;IF(O138="Y"," + NACE MR0175",""),4,300))</f>
        <v>API 676 + IPS-M-PM-140 + NACE MR0175</v>
      </c>
      <c r="M138" s="42" t="s">
        <v>491</v>
      </c>
      <c r="N138" s="42" t="s">
        <v>492</v>
      </c>
      <c r="O138" s="42" t="s">
        <v>369</v>
      </c>
      <c r="P138" s="42" t="s">
        <v>123</v>
      </c>
      <c r="Q138" s="42" t="s">
        <v>123</v>
      </c>
      <c r="R138" s="42" t="s">
        <v>123</v>
      </c>
      <c r="S138" s="50" t="s">
        <v>304</v>
      </c>
      <c r="T138" s="42" t="s">
        <v>432</v>
      </c>
      <c r="U138" s="42" t="n">
        <v>2</v>
      </c>
      <c r="V138" s="42" t="s">
        <v>493</v>
      </c>
      <c r="W138" s="43" t="n">
        <v>8</v>
      </c>
      <c r="X138" s="42" t="s">
        <v>123</v>
      </c>
      <c r="Y138" s="42" t="n">
        <v>1393</v>
      </c>
      <c r="Z138" s="42" t="s">
        <v>363</v>
      </c>
      <c r="AA138" s="46" t="n">
        <v>10000</v>
      </c>
      <c r="AB138" s="47" t="n">
        <f aca="false">IF(NOT(ISNUMBER(AA138)),"",IF(NOT(ISNUMBER(Y138)),"",IFERROR(IF(Z138="EUR",AA138,IF(Z138="IRR",AA138/INDEX('Assumptions &amp; FX Reference'!$C$5:$C$25,MATCH(Y138,'Assumptions &amp; FX Reference'!$A$5:$A$25,0)),IF(Z138="USD",AA138*INDEX('Assumptions &amp; FX Reference'!$B$5:$B$25,MATCH(Y138,'Assumptions &amp; FX Reference'!$A$5:$A$25,0))/INDEX('Assumptions &amp; FX Reference'!$C$5:$C$25,MATCH(Y138,'Assumptions &amp; FX Reference'!$A$5:$A$25,0)),""))),"")))</f>
        <v>10000</v>
      </c>
      <c r="AC138" s="47" t="n">
        <f aca="false">IF(NOT(ISNUMBER(AA138)),"",IF(NOT(ISNUMBER(Y138)),"",IFERROR(IF(Z138="USD",AA138,IF(Z138="IRR",AA138/INDEX('Assumptions &amp; FX Reference'!$B$5:$B$25,MATCH(Y138,'Assumptions &amp; FX Reference'!$A$5:$A$25,0)),IF(Z138="EUR",AA138*INDEX('Assumptions &amp; FX Reference'!$C$5:$C$25,MATCH(Y138,'Assumptions &amp; FX Reference'!$A$5:$A$25,0))/INDEX('Assumptions &amp; FX Reference'!$B$5:$B$25,MATCH(Y138,'Assumptions &amp; FX Reference'!$A$5:$A$25,0)),""))),"")))</f>
        <v>13074.4516129032</v>
      </c>
      <c r="AD138" s="47" t="n">
        <f aca="false">IF(NOT(ISNUMBER(AA138)),"",IF(NOT(ISNUMBER(Y138)),"",IFERROR(IF(Z138="IRR",AA138,IF(Z138="USD",AA138*INDEX('Assumptions &amp; FX Reference'!$B$5:$B$25,MATCH(Y138,'Assumptions &amp; FX Reference'!$A$5:$A$25,0)),IF(Z138="EUR",AA138*INDEX('Assumptions &amp; FX Reference'!$C$5:$C$25,MATCH(Y138,'Assumptions &amp; FX Reference'!$A$5:$A$25,0)),""))),"")))</f>
        <v>405308000</v>
      </c>
      <c r="AE138" s="42" t="s">
        <v>789</v>
      </c>
      <c r="AF138" s="42" t="s">
        <v>208</v>
      </c>
      <c r="AG138" s="47" t="n">
        <f aca="false">IF(AND(Z138="EUR",N(AA138)&gt;5000000),"",IF(AND(ISNUMBER(AB138),ISNUMBER(AZ138),ISNUMBER(BA138)),IF(AND(BB138="Y",ISNUMBER('Assumptions &amp; FX Reference'!$I$15)),MAX(AB138*BA138/AZ138,'Assumptions &amp; FX Reference'!$I$13*BA138/'Assumptions &amp; FX Reference'!$I$15),AB138*BA138/AZ138),""))</f>
        <v>13510.6790589729</v>
      </c>
      <c r="AH138" s="47" t="n">
        <f aca="false">IF(AND(ISNUMBER(AG138),ISNUMBER('Assumptions &amp; FX Reference'!$I$8),ISNUMBER('Assumptions &amp; FX Reference'!$I$11)),AG138*'Assumptions &amp; FX Reference'!$I$8/'Assumptions &amp; FX Reference'!$I$11,"")</f>
        <v>14264.3463698463</v>
      </c>
      <c r="AI138" s="47" t="n">
        <f aca="false">IF(AND(ISNUMBER(AG138),ISNUMBER('Assumptions &amp; FX Reference'!$I$8)),AG138*'Assumptions &amp; FX Reference'!$I$8,"")</f>
        <v>9393542807.97399</v>
      </c>
      <c r="AJ138" s="42" t="s">
        <v>693</v>
      </c>
      <c r="AK138" s="42" t="s">
        <v>366</v>
      </c>
      <c r="AL138" s="42" t="s">
        <v>123</v>
      </c>
      <c r="AM138" s="42" t="s">
        <v>123</v>
      </c>
      <c r="AN138" s="42" t="s">
        <v>123</v>
      </c>
      <c r="AO138" s="42" t="s">
        <v>123</v>
      </c>
      <c r="AP138" s="42" t="s">
        <v>123</v>
      </c>
      <c r="AQ138" s="42" t="s">
        <v>123</v>
      </c>
      <c r="AR138" s="42" t="s">
        <v>123</v>
      </c>
      <c r="AS138" s="45" t="str">
        <f aca="false">IF(AND(Z138="EUR",N(AA138)&gt;5000000),"Check currency (EUR&gt;5M); ","")&amp;IF(NOT(ISNUMBER(AA138)),"No price; ","")&amp;IF(G138="Not stated","Material missing; ","")&amp;IF(P138="Not stated","Seal missing; ","")&amp;IF(K138="","Size driver missing; ","")&amp;IF(NOT(ISNUMBER(AZ138)),"Base-year PPI missing; ","")</f>
        <v>Seal missing; Size driver missing; </v>
      </c>
      <c r="AT138" s="48" t="n">
        <f aca="false">IFERROR(INDEX(Factors_ROT!$F$5:$F$200,MATCH("MAT|"&amp;G138,Factors_ROT!$A$5:$A$200,0)),1)</f>
        <v>1.7</v>
      </c>
      <c r="AU138" s="48" t="n">
        <f aca="false">IFERROR(INDEX(Factors_ROT!$F$5:$F$200,MATCH("SEAL_ARR|"&amp;P138,Factors_ROT!$A$5:$A$200,0)),1)*IFERROR(INDEX(Factors_ROT!$F$5:$F$200,MATCH("SEAL_CAT|"&amp;Q138,Factors_ROT!$A$5:$A$200,0)),1)*IFERROR(INDEX(Factors_ROT!$F$5:$F$200,MATCH("SEAL_PLAN|"&amp;R138,Factors_ROT!$A$5:$A$200,0)),1)</f>
        <v>1</v>
      </c>
      <c r="AV138" s="48" t="n">
        <f aca="false">IFERROR(INDEX(Factors_ROT!$F$5:$F$200,MATCH("DRV|"&amp;S138,Factors_ROT!$A$5:$A$200,0)),1)*IFERROR(INDEX(Factors_ROT!$F$5:$F$200,MATCH("NACE|"&amp;O138,Factors_ROT!$A$5:$A$200,0)),1)</f>
        <v>1.05</v>
      </c>
      <c r="AW138" s="48" t="n">
        <f aca="false">IFERROR(INDEX(Factors_ROT!$F$5:$F$200,MATCH("SC_DRV|"&amp;AL138,Factors_ROT!$A$5:$A$200,0)),1)*IFERROR(INDEX(Factors_ROT!$F$5:$F$200,MATCH("SC_BSP|"&amp;AM138,Factors_ROT!$A$5:$A$200,0)),1)*IFERROR(INDEX(Factors_ROT!$F$5:$F$200,MATCH("SC_SEAL|"&amp;AN138,Factors_ROT!$A$5:$A$200,0)),1)*IFERROR(INDEX(Factors_ROT!$F$5:$F$200,MATCH("SC_COMM|"&amp;AO138,Factors_ROT!$A$5:$A$200,0)),1)*IFERROR(INDEX(Factors_ROT!$F$5:$F$200,MATCH("SC_2Y|"&amp;AP138,Factors_ROT!$A$5:$A$200,0)),1)*IFERROR(INDEX(Factors_ROT!$F$5:$F$200,MATCH("SC_TPI|"&amp;AQ138,Factors_ROT!$A$5:$A$200,0)),1)*IFERROR(INDEX(Factors_ROT!$F$5:$F$200,MATCH("SC_FAT|"&amp;AR138,Factors_ROT!$A$5:$A$200,0)),1)</f>
        <v>1</v>
      </c>
      <c r="AX138" s="48" t="n">
        <f aca="false">AT138*AU138*AV138*AW138</f>
        <v>1.785</v>
      </c>
      <c r="AY138" s="47" t="n">
        <f aca="false">IF(ISNUMBER(AB138),AB138/AX138,"")</f>
        <v>5602.24089635854</v>
      </c>
      <c r="AZ138" s="49" t="n">
        <f aca="false">IFERROR(IF(N(INDEX(Escalation_Index!$B$5:$B$25,MATCH(Y138,Escalation_Index!$A$5:$A$25,0)))&gt;0,INDEX(Escalation_Index!$B$5:$B$25,MATCH(Y138,Escalation_Index!$A$5:$A$25,0)),""),"")</f>
        <v>91.347</v>
      </c>
      <c r="BA138" s="49" t="n">
        <f aca="false">IF(ISNUMBER('Assumptions &amp; FX Reference'!$I$12),'Assumptions &amp; FX Reference'!$I$12,"")</f>
        <v>123.416</v>
      </c>
      <c r="BB138" s="45" t="str">
        <f aca="false">IF(AND(M138="API 610",LEFT(V138,11)="Centrifugal",OR(LEFT(G138,2)="S-",LEFT(G138,2)="D-")),"Y","N")</f>
        <v>N</v>
      </c>
      <c r="BC138" s="47" t="n">
        <f aca="false">IF(ISNUMBER(AG138),AG138/AX138,"")</f>
        <v>7569.00787617531</v>
      </c>
      <c r="BD138" s="47" t="str">
        <f aca="false">IF(AND(ISNUMBER(BC138),ISNUMBER(K138)),IF(K138&gt;0,BC138/K138^'Assumptions &amp; FX Reference'!$I$16,""),"")</f>
        <v/>
      </c>
      <c r="BE138" s="42" t="s">
        <v>800</v>
      </c>
      <c r="BF138" s="42" t="s">
        <v>801</v>
      </c>
      <c r="BG138" s="42" t="s">
        <v>369</v>
      </c>
      <c r="BH138" s="45" t="s">
        <v>313</v>
      </c>
      <c r="BI138" s="45" t="str">
        <f aca="false">"PMP-"&amp;TEXT(A138,"0000")</f>
        <v>PMP-0134</v>
      </c>
    </row>
    <row r="139" customFormat="false" ht="24" hidden="false" customHeight="true" outlineLevel="0" collapsed="false">
      <c r="A139" s="42" t="n">
        <v>135</v>
      </c>
      <c r="B139" s="42" t="s">
        <v>710</v>
      </c>
      <c r="C139" s="42" t="s">
        <v>690</v>
      </c>
      <c r="D139" s="42" t="s">
        <v>711</v>
      </c>
      <c r="E139" s="42" t="s">
        <v>51</v>
      </c>
      <c r="F139" s="42" t="s">
        <v>132</v>
      </c>
      <c r="G139" s="42" t="s">
        <v>115</v>
      </c>
      <c r="H139" s="43" t="n">
        <v>15</v>
      </c>
      <c r="I139" s="43" t="n">
        <v>27</v>
      </c>
      <c r="J139" s="43"/>
      <c r="K139" s="44" t="n">
        <f aca="false">IF(ISNUMBER(J139),J139,IF(AND(ISNUMBER(H139),ISNUMBER(I139)),H139*I139/(367*'Assumptions &amp; FX Reference'!$I$17),""))</f>
        <v>1.83923705722071</v>
      </c>
      <c r="L139" s="45" t="str">
        <f aca="false">IF(IF(OR(M139="Not stated",M139=""),""," + "&amp;M139)&amp;IF(OR(N139="None",N139=""),""," + "&amp;N139)&amp;IF(O139="Y"," + NACE MR0175","")="","Not stated",MID(IF(OR(M139="Not stated",M139=""),""," + "&amp;M139)&amp;IF(OR(N139="None",N139=""),""," + "&amp;N139)&amp;IF(O139="Y"," + NACE MR0175",""),4,300))</f>
        <v>API 610 + IPS-G-PM-105</v>
      </c>
      <c r="M139" s="42" t="s">
        <v>478</v>
      </c>
      <c r="N139" s="42" t="s">
        <v>479</v>
      </c>
      <c r="O139" s="50" t="s">
        <v>312</v>
      </c>
      <c r="P139" s="42" t="s">
        <v>123</v>
      </c>
      <c r="Q139" s="42" t="s">
        <v>123</v>
      </c>
      <c r="R139" s="42" t="s">
        <v>123</v>
      </c>
      <c r="S139" s="50" t="s">
        <v>304</v>
      </c>
      <c r="T139" s="42" t="s">
        <v>334</v>
      </c>
      <c r="U139" s="42" t="n">
        <v>2</v>
      </c>
      <c r="V139" s="42" t="s">
        <v>306</v>
      </c>
      <c r="W139" s="43" t="n">
        <v>3.2</v>
      </c>
      <c r="X139" s="42" t="s">
        <v>123</v>
      </c>
      <c r="Y139" s="42" t="n">
        <v>1393</v>
      </c>
      <c r="Z139" s="42" t="s">
        <v>363</v>
      </c>
      <c r="AA139" s="46" t="n">
        <v>35000</v>
      </c>
      <c r="AB139" s="47" t="n">
        <f aca="false">IF(NOT(ISNUMBER(AA139)),"",IF(NOT(ISNUMBER(Y139)),"",IFERROR(IF(Z139="EUR",AA139,IF(Z139="IRR",AA139/INDEX('Assumptions &amp; FX Reference'!$C$5:$C$25,MATCH(Y139,'Assumptions &amp; FX Reference'!$A$5:$A$25,0)),IF(Z139="USD",AA139*INDEX('Assumptions &amp; FX Reference'!$B$5:$B$25,MATCH(Y139,'Assumptions &amp; FX Reference'!$A$5:$A$25,0))/INDEX('Assumptions &amp; FX Reference'!$C$5:$C$25,MATCH(Y139,'Assumptions &amp; FX Reference'!$A$5:$A$25,0)),""))),"")))</f>
        <v>35000</v>
      </c>
      <c r="AC139" s="47" t="n">
        <f aca="false">IF(NOT(ISNUMBER(AA139)),"",IF(NOT(ISNUMBER(Y139)),"",IFERROR(IF(Z139="USD",AA139,IF(Z139="IRR",AA139/INDEX('Assumptions &amp; FX Reference'!$B$5:$B$25,MATCH(Y139,'Assumptions &amp; FX Reference'!$A$5:$A$25,0)),IF(Z139="EUR",AA139*INDEX('Assumptions &amp; FX Reference'!$C$5:$C$25,MATCH(Y139,'Assumptions &amp; FX Reference'!$A$5:$A$25,0))/INDEX('Assumptions &amp; FX Reference'!$B$5:$B$25,MATCH(Y139,'Assumptions &amp; FX Reference'!$A$5:$A$25,0)),""))),"")))</f>
        <v>45760.5806451613</v>
      </c>
      <c r="AD139" s="47" t="n">
        <f aca="false">IF(NOT(ISNUMBER(AA139)),"",IF(NOT(ISNUMBER(Y139)),"",IFERROR(IF(Z139="IRR",AA139,IF(Z139="USD",AA139*INDEX('Assumptions &amp; FX Reference'!$B$5:$B$25,MATCH(Y139,'Assumptions &amp; FX Reference'!$A$5:$A$25,0)),IF(Z139="EUR",AA139*INDEX('Assumptions &amp; FX Reference'!$C$5:$C$25,MATCH(Y139,'Assumptions &amp; FX Reference'!$A$5:$A$25,0)),""))),"")))</f>
        <v>1418578000</v>
      </c>
      <c r="AE139" s="42" t="s">
        <v>789</v>
      </c>
      <c r="AF139" s="42" t="s">
        <v>208</v>
      </c>
      <c r="AG139" s="47" t="n">
        <f aca="false">IF(AND(Z139="EUR",N(AA139)&gt;5000000),"",IF(AND(ISNUMBER(AB139),ISNUMBER(AZ139),ISNUMBER(BA139)),IF(AND(BB139="Y",ISNUMBER('Assumptions &amp; FX Reference'!$I$15)),MAX(AB139*BA139/AZ139,'Assumptions &amp; FX Reference'!$I$13*BA139/'Assumptions &amp; FX Reference'!$I$15),AB139*BA139/AZ139),""))</f>
        <v>47287.3767064053</v>
      </c>
      <c r="AH139" s="47" t="n">
        <f aca="false">IF(AND(ISNUMBER(AG139),ISNUMBER('Assumptions &amp; FX Reference'!$I$8),ISNUMBER('Assumptions &amp; FX Reference'!$I$11)),AG139*'Assumptions &amp; FX Reference'!$I$8/'Assumptions &amp; FX Reference'!$I$11,"")</f>
        <v>49925.212294462</v>
      </c>
      <c r="AI139" s="47" t="n">
        <f aca="false">IF(AND(ISNUMBER(AG139),ISNUMBER('Assumptions &amp; FX Reference'!$I$8)),AG139*'Assumptions &amp; FX Reference'!$I$8,"")</f>
        <v>32877399827.909</v>
      </c>
      <c r="AJ139" s="42" t="s">
        <v>693</v>
      </c>
      <c r="AK139" s="42" t="s">
        <v>366</v>
      </c>
      <c r="AL139" s="42" t="s">
        <v>123</v>
      </c>
      <c r="AM139" s="42" t="s">
        <v>123</v>
      </c>
      <c r="AN139" s="42" t="s">
        <v>123</v>
      </c>
      <c r="AO139" s="42" t="s">
        <v>123</v>
      </c>
      <c r="AP139" s="42" t="s">
        <v>123</v>
      </c>
      <c r="AQ139" s="42" t="s">
        <v>123</v>
      </c>
      <c r="AR139" s="42" t="s">
        <v>123</v>
      </c>
      <c r="AS139" s="45" t="str">
        <f aca="false">IF(AND(Z139="EUR",N(AA139)&gt;5000000),"Check currency (EUR&gt;5M); ","")&amp;IF(NOT(ISNUMBER(AA139)),"No price; ","")&amp;IF(G139="Not stated","Material missing; ","")&amp;IF(P139="Not stated","Seal missing; ","")&amp;IF(K139="","Size driver missing; ","")&amp;IF(NOT(ISNUMBER(AZ139)),"Base-year PPI missing; ","")</f>
        <v>Seal missing; </v>
      </c>
      <c r="AT139" s="48" t="n">
        <f aca="false">IFERROR(INDEX(Factors_ROT!$F$5:$F$200,MATCH("MAT|"&amp;G139,Factors_ROT!$A$5:$A$200,0)),1)</f>
        <v>1.9</v>
      </c>
      <c r="AU139" s="48" t="n">
        <f aca="false">IFERROR(INDEX(Factors_ROT!$F$5:$F$200,MATCH("SEAL_ARR|"&amp;P139,Factors_ROT!$A$5:$A$200,0)),1)*IFERROR(INDEX(Factors_ROT!$F$5:$F$200,MATCH("SEAL_CAT|"&amp;Q139,Factors_ROT!$A$5:$A$200,0)),1)*IFERROR(INDEX(Factors_ROT!$F$5:$F$200,MATCH("SEAL_PLAN|"&amp;R139,Factors_ROT!$A$5:$A$200,0)),1)</f>
        <v>1</v>
      </c>
      <c r="AV139" s="48" t="n">
        <f aca="false">IFERROR(INDEX(Factors_ROT!$F$5:$F$200,MATCH("DRV|"&amp;S139,Factors_ROT!$A$5:$A$200,0)),1)*IFERROR(INDEX(Factors_ROT!$F$5:$F$200,MATCH("NACE|"&amp;O139,Factors_ROT!$A$5:$A$200,0)),1)</f>
        <v>1</v>
      </c>
      <c r="AW139" s="48" t="n">
        <f aca="false">IFERROR(INDEX(Factors_ROT!$F$5:$F$200,MATCH("SC_DRV|"&amp;AL139,Factors_ROT!$A$5:$A$200,0)),1)*IFERROR(INDEX(Factors_ROT!$F$5:$F$200,MATCH("SC_BSP|"&amp;AM139,Factors_ROT!$A$5:$A$200,0)),1)*IFERROR(INDEX(Factors_ROT!$F$5:$F$200,MATCH("SC_SEAL|"&amp;AN139,Factors_ROT!$A$5:$A$200,0)),1)*IFERROR(INDEX(Factors_ROT!$F$5:$F$200,MATCH("SC_COMM|"&amp;AO139,Factors_ROT!$A$5:$A$200,0)),1)*IFERROR(INDEX(Factors_ROT!$F$5:$F$200,MATCH("SC_2Y|"&amp;AP139,Factors_ROT!$A$5:$A$200,0)),1)*IFERROR(INDEX(Factors_ROT!$F$5:$F$200,MATCH("SC_TPI|"&amp;AQ139,Factors_ROT!$A$5:$A$200,0)),1)*IFERROR(INDEX(Factors_ROT!$F$5:$F$200,MATCH("SC_FAT|"&amp;AR139,Factors_ROT!$A$5:$A$200,0)),1)</f>
        <v>1</v>
      </c>
      <c r="AX139" s="48" t="n">
        <f aca="false">AT139*AU139*AV139*AW139</f>
        <v>1.9</v>
      </c>
      <c r="AY139" s="47" t="n">
        <f aca="false">IF(ISNUMBER(AB139),AB139/AX139,"")</f>
        <v>18421.0526315789</v>
      </c>
      <c r="AZ139" s="49" t="n">
        <f aca="false">IFERROR(IF(N(INDEX(Escalation_Index!$B$5:$B$25,MATCH(Y139,Escalation_Index!$A$5:$A$25,0)))&gt;0,INDEX(Escalation_Index!$B$5:$B$25,MATCH(Y139,Escalation_Index!$A$5:$A$25,0)),""),"")</f>
        <v>91.347</v>
      </c>
      <c r="BA139" s="49" t="n">
        <f aca="false">IF(ISNUMBER('Assumptions &amp; FX Reference'!$I$12),'Assumptions &amp; FX Reference'!$I$12,"")</f>
        <v>123.416</v>
      </c>
      <c r="BB139" s="45" t="str">
        <f aca="false">IF(AND(M139="API 610",LEFT(V139,11)="Centrifugal",OR(LEFT(G139,2)="S-",LEFT(G139,2)="D-")),"Y","N")</f>
        <v>Y</v>
      </c>
      <c r="BC139" s="47" t="n">
        <f aca="false">IF(ISNUMBER(AG139),AG139/AX139,"")</f>
        <v>24888.0930033712</v>
      </c>
      <c r="BD139" s="47" t="n">
        <f aca="false">IF(AND(ISNUMBER(BC139),ISNUMBER(K139)),IF(K139&gt;0,BC139/K139^'Assumptions &amp; FX Reference'!$I$16,""),"")</f>
        <v>17266.6861810552</v>
      </c>
      <c r="BE139" s="42" t="s">
        <v>802</v>
      </c>
      <c r="BF139" s="42" t="s">
        <v>803</v>
      </c>
      <c r="BG139" s="42" t="s">
        <v>369</v>
      </c>
      <c r="BH139" s="45" t="s">
        <v>313</v>
      </c>
      <c r="BI139" s="45" t="str">
        <f aca="false">"PMP-"&amp;TEXT(A139,"0000")</f>
        <v>PMP-0135</v>
      </c>
    </row>
    <row r="140" customFormat="false" ht="24" hidden="false" customHeight="true" outlineLevel="0" collapsed="false">
      <c r="A140" s="42" t="n">
        <v>136</v>
      </c>
      <c r="B140" s="42" t="s">
        <v>704</v>
      </c>
      <c r="C140" s="42" t="s">
        <v>690</v>
      </c>
      <c r="D140" s="42" t="s">
        <v>714</v>
      </c>
      <c r="E140" s="42" t="s">
        <v>51</v>
      </c>
      <c r="F140" s="42" t="s">
        <v>153</v>
      </c>
      <c r="G140" s="42" t="s">
        <v>115</v>
      </c>
      <c r="H140" s="43" t="n">
        <v>44</v>
      </c>
      <c r="I140" s="43" t="n">
        <v>385</v>
      </c>
      <c r="J140" s="43"/>
      <c r="K140" s="44" t="n">
        <f aca="false">IF(ISNUMBER(J140),J140,IF(AND(ISNUMBER(H140),ISNUMBER(I140)),H140*I140/(367*'Assumptions &amp; FX Reference'!$I$17),""))</f>
        <v>76.9300635785649</v>
      </c>
      <c r="L140" s="45" t="str">
        <f aca="false">IF(IF(OR(M140="Not stated",M140=""),""," + "&amp;M140)&amp;IF(OR(N140="None",N140=""),""," + "&amp;N140)&amp;IF(O140="Y"," + NACE MR0175","")="","Not stated",MID(IF(OR(M140="Not stated",M140=""),""," + "&amp;M140)&amp;IF(OR(N140="None",N140=""),""," + "&amp;N140)&amp;IF(O140="Y"," + NACE MR0175",""),4,300))</f>
        <v>API 610 + IPS-G-PM-105 + NACE MR0175</v>
      </c>
      <c r="M140" s="42" t="s">
        <v>478</v>
      </c>
      <c r="N140" s="42" t="s">
        <v>479</v>
      </c>
      <c r="O140" s="42" t="s">
        <v>369</v>
      </c>
      <c r="P140" s="42" t="s">
        <v>123</v>
      </c>
      <c r="Q140" s="42" t="s">
        <v>123</v>
      </c>
      <c r="R140" s="42" t="s">
        <v>123</v>
      </c>
      <c r="S140" s="50" t="s">
        <v>304</v>
      </c>
      <c r="T140" s="42" t="s">
        <v>334</v>
      </c>
      <c r="U140" s="42" t="n">
        <v>3</v>
      </c>
      <c r="V140" s="42" t="s">
        <v>306</v>
      </c>
      <c r="W140" s="43" t="n">
        <v>48.2</v>
      </c>
      <c r="X140" s="42" t="s">
        <v>123</v>
      </c>
      <c r="Y140" s="42" t="n">
        <v>1393</v>
      </c>
      <c r="Z140" s="42" t="s">
        <v>363</v>
      </c>
      <c r="AA140" s="46" t="n">
        <v>180000</v>
      </c>
      <c r="AB140" s="47" t="n">
        <f aca="false">IF(NOT(ISNUMBER(AA140)),"",IF(NOT(ISNUMBER(Y140)),"",IFERROR(IF(Z140="EUR",AA140,IF(Z140="IRR",AA140/INDEX('Assumptions &amp; FX Reference'!$C$5:$C$25,MATCH(Y140,'Assumptions &amp; FX Reference'!$A$5:$A$25,0)),IF(Z140="USD",AA140*INDEX('Assumptions &amp; FX Reference'!$B$5:$B$25,MATCH(Y140,'Assumptions &amp; FX Reference'!$A$5:$A$25,0))/INDEX('Assumptions &amp; FX Reference'!$C$5:$C$25,MATCH(Y140,'Assumptions &amp; FX Reference'!$A$5:$A$25,0)),""))),"")))</f>
        <v>180000</v>
      </c>
      <c r="AC140" s="47" t="n">
        <f aca="false">IF(NOT(ISNUMBER(AA140)),"",IF(NOT(ISNUMBER(Y140)),"",IFERROR(IF(Z140="USD",AA140,IF(Z140="IRR",AA140/INDEX('Assumptions &amp; FX Reference'!$B$5:$B$25,MATCH(Y140,'Assumptions &amp; FX Reference'!$A$5:$A$25,0)),IF(Z140="EUR",AA140*INDEX('Assumptions &amp; FX Reference'!$C$5:$C$25,MATCH(Y140,'Assumptions &amp; FX Reference'!$A$5:$A$25,0))/INDEX('Assumptions &amp; FX Reference'!$B$5:$B$25,MATCH(Y140,'Assumptions &amp; FX Reference'!$A$5:$A$25,0)),""))),"")))</f>
        <v>235340.129032258</v>
      </c>
      <c r="AD140" s="47" t="n">
        <f aca="false">IF(NOT(ISNUMBER(AA140)),"",IF(NOT(ISNUMBER(Y140)),"",IFERROR(IF(Z140="IRR",AA140,IF(Z140="USD",AA140*INDEX('Assumptions &amp; FX Reference'!$B$5:$B$25,MATCH(Y140,'Assumptions &amp; FX Reference'!$A$5:$A$25,0)),IF(Z140="EUR",AA140*INDEX('Assumptions &amp; FX Reference'!$C$5:$C$25,MATCH(Y140,'Assumptions &amp; FX Reference'!$A$5:$A$25,0)),""))),"")))</f>
        <v>7295544000</v>
      </c>
      <c r="AE140" s="42" t="s">
        <v>789</v>
      </c>
      <c r="AF140" s="42" t="s">
        <v>208</v>
      </c>
      <c r="AG140" s="47" t="n">
        <f aca="false">IF(AND(Z140="EUR",N(AA140)&gt;5000000),"",IF(AND(ISNUMBER(AB140),ISNUMBER(AZ140),ISNUMBER(BA140)),IF(AND(BB140="Y",ISNUMBER('Assumptions &amp; FX Reference'!$I$15)),MAX(AB140*BA140/AZ140,'Assumptions &amp; FX Reference'!$I$13*BA140/'Assumptions &amp; FX Reference'!$I$15),AB140*BA140/AZ140),""))</f>
        <v>243192.223061513</v>
      </c>
      <c r="AH140" s="47" t="n">
        <f aca="false">IF(AND(ISNUMBER(AG140),ISNUMBER('Assumptions &amp; FX Reference'!$I$8),ISNUMBER('Assumptions &amp; FX Reference'!$I$11)),AG140*'Assumptions &amp; FX Reference'!$I$8/'Assumptions &amp; FX Reference'!$I$11,"")</f>
        <v>256758.234657233</v>
      </c>
      <c r="AI140" s="47" t="n">
        <f aca="false">IF(AND(ISNUMBER(AG140),ISNUMBER('Assumptions &amp; FX Reference'!$I$8)),AG140*'Assumptions &amp; FX Reference'!$I$8,"")</f>
        <v>169083770543.532</v>
      </c>
      <c r="AJ140" s="42" t="s">
        <v>693</v>
      </c>
      <c r="AK140" s="42" t="s">
        <v>366</v>
      </c>
      <c r="AL140" s="42" t="s">
        <v>123</v>
      </c>
      <c r="AM140" s="42" t="s">
        <v>123</v>
      </c>
      <c r="AN140" s="42" t="s">
        <v>123</v>
      </c>
      <c r="AO140" s="42" t="s">
        <v>123</v>
      </c>
      <c r="AP140" s="42" t="s">
        <v>123</v>
      </c>
      <c r="AQ140" s="42" t="s">
        <v>123</v>
      </c>
      <c r="AR140" s="42" t="s">
        <v>123</v>
      </c>
      <c r="AS140" s="45" t="str">
        <f aca="false">IF(AND(Z140="EUR",N(AA140)&gt;5000000),"Check currency (EUR&gt;5M); ","")&amp;IF(NOT(ISNUMBER(AA140)),"No price; ","")&amp;IF(G140="Not stated","Material missing; ","")&amp;IF(P140="Not stated","Seal missing; ","")&amp;IF(K140="","Size driver missing; ","")&amp;IF(NOT(ISNUMBER(AZ140)),"Base-year PPI missing; ","")</f>
        <v>Seal missing; </v>
      </c>
      <c r="AT140" s="48" t="n">
        <f aca="false">IFERROR(INDEX(Factors_ROT!$F$5:$F$200,MATCH("MAT|"&amp;G140,Factors_ROT!$A$5:$A$200,0)),1)</f>
        <v>1.9</v>
      </c>
      <c r="AU140" s="48" t="n">
        <f aca="false">IFERROR(INDEX(Factors_ROT!$F$5:$F$200,MATCH("SEAL_ARR|"&amp;P140,Factors_ROT!$A$5:$A$200,0)),1)*IFERROR(INDEX(Factors_ROT!$F$5:$F$200,MATCH("SEAL_CAT|"&amp;Q140,Factors_ROT!$A$5:$A$200,0)),1)*IFERROR(INDEX(Factors_ROT!$F$5:$F$200,MATCH("SEAL_PLAN|"&amp;R140,Factors_ROT!$A$5:$A$200,0)),1)</f>
        <v>1</v>
      </c>
      <c r="AV140" s="48" t="n">
        <f aca="false">IFERROR(INDEX(Factors_ROT!$F$5:$F$200,MATCH("DRV|"&amp;S140,Factors_ROT!$A$5:$A$200,0)),1)*IFERROR(INDEX(Factors_ROT!$F$5:$F$200,MATCH("NACE|"&amp;O140,Factors_ROT!$A$5:$A$200,0)),1)</f>
        <v>1.05</v>
      </c>
      <c r="AW140" s="48" t="n">
        <f aca="false">IFERROR(INDEX(Factors_ROT!$F$5:$F$200,MATCH("SC_DRV|"&amp;AL140,Factors_ROT!$A$5:$A$200,0)),1)*IFERROR(INDEX(Factors_ROT!$F$5:$F$200,MATCH("SC_BSP|"&amp;AM140,Factors_ROT!$A$5:$A$200,0)),1)*IFERROR(INDEX(Factors_ROT!$F$5:$F$200,MATCH("SC_SEAL|"&amp;AN140,Factors_ROT!$A$5:$A$200,0)),1)*IFERROR(INDEX(Factors_ROT!$F$5:$F$200,MATCH("SC_COMM|"&amp;AO140,Factors_ROT!$A$5:$A$200,0)),1)*IFERROR(INDEX(Factors_ROT!$F$5:$F$200,MATCH("SC_2Y|"&amp;AP140,Factors_ROT!$A$5:$A$200,0)),1)*IFERROR(INDEX(Factors_ROT!$F$5:$F$200,MATCH("SC_TPI|"&amp;AQ140,Factors_ROT!$A$5:$A$200,0)),1)*IFERROR(INDEX(Factors_ROT!$F$5:$F$200,MATCH("SC_FAT|"&amp;AR140,Factors_ROT!$A$5:$A$200,0)),1)</f>
        <v>1</v>
      </c>
      <c r="AX140" s="48" t="n">
        <f aca="false">AT140*AU140*AV140*AW140</f>
        <v>1.995</v>
      </c>
      <c r="AY140" s="47" t="n">
        <f aca="false">IF(ISNUMBER(AB140),AB140/AX140,"")</f>
        <v>90225.5639097744</v>
      </c>
      <c r="AZ140" s="49" t="n">
        <f aca="false">IFERROR(IF(N(INDEX(Escalation_Index!$B$5:$B$25,MATCH(Y140,Escalation_Index!$A$5:$A$25,0)))&gt;0,INDEX(Escalation_Index!$B$5:$B$25,MATCH(Y140,Escalation_Index!$A$5:$A$25,0)),""),"")</f>
        <v>91.347</v>
      </c>
      <c r="BA140" s="49" t="n">
        <f aca="false">IF(ISNUMBER('Assumptions &amp; FX Reference'!$I$12),'Assumptions &amp; FX Reference'!$I$12,"")</f>
        <v>123.416</v>
      </c>
      <c r="BB140" s="45" t="str">
        <f aca="false">IF(AND(M140="API 610",LEFT(V140,11)="Centrifugal",OR(LEFT(G140,2)="S-",LEFT(G140,2)="D-")),"Y","N")</f>
        <v>Y</v>
      </c>
      <c r="BC140" s="47" t="n">
        <f aca="false">IF(ISNUMBER(AG140),AG140/AX140,"")</f>
        <v>121900.863689981</v>
      </c>
      <c r="BD140" s="47" t="n">
        <f aca="false">IF(AND(ISNUMBER(BC140),ISNUMBER(K140)),IF(K140&gt;0,BC140/K140^'Assumptions &amp; FX Reference'!$I$16,""),"")</f>
        <v>9002.20975331557</v>
      </c>
      <c r="BE140" s="42" t="s">
        <v>804</v>
      </c>
      <c r="BF140" s="42" t="s">
        <v>805</v>
      </c>
      <c r="BG140" s="42" t="s">
        <v>369</v>
      </c>
      <c r="BH140" s="45" t="s">
        <v>313</v>
      </c>
      <c r="BI140" s="45" t="str">
        <f aca="false">"PMP-"&amp;TEXT(A140,"0000")</f>
        <v>PMP-0136</v>
      </c>
    </row>
    <row r="141" customFormat="false" ht="24" hidden="false" customHeight="true" outlineLevel="0" collapsed="false">
      <c r="A141" s="42" t="n">
        <v>137</v>
      </c>
      <c r="B141" s="42" t="s">
        <v>516</v>
      </c>
      <c r="C141" s="42" t="s">
        <v>690</v>
      </c>
      <c r="D141" s="42" t="s">
        <v>509</v>
      </c>
      <c r="E141" s="42" t="s">
        <v>54</v>
      </c>
      <c r="F141" s="42" t="s">
        <v>132</v>
      </c>
      <c r="G141" s="42" t="s">
        <v>90</v>
      </c>
      <c r="H141" s="43" t="n">
        <v>10</v>
      </c>
      <c r="I141" s="43" t="n">
        <v>40</v>
      </c>
      <c r="J141" s="43"/>
      <c r="K141" s="44" t="n">
        <f aca="false">IF(ISNUMBER(J141),J141,IF(AND(ISNUMBER(H141),ISNUMBER(I141)),H141*I141/(367*'Assumptions &amp; FX Reference'!$I$17),""))</f>
        <v>1.81653042688465</v>
      </c>
      <c r="L141" s="45" t="str">
        <f aca="false">IF(IF(OR(M141="Not stated",M141=""),""," + "&amp;M141)&amp;IF(OR(N141="None",N141=""),""," + "&amp;N141)&amp;IF(O141="Y"," + NACE MR0175","")="","Not stated",MID(IF(OR(M141="Not stated",M141=""),""," + "&amp;M141)&amp;IF(OR(N141="None",N141=""),""," + "&amp;N141)&amp;IF(O141="Y"," + NACE MR0175",""),4,300))</f>
        <v>API 610 + IPS-G-PM-105</v>
      </c>
      <c r="M141" s="42" t="s">
        <v>478</v>
      </c>
      <c r="N141" s="42" t="s">
        <v>479</v>
      </c>
      <c r="O141" s="50" t="s">
        <v>312</v>
      </c>
      <c r="P141" s="42" t="s">
        <v>123</v>
      </c>
      <c r="Q141" s="42" t="s">
        <v>123</v>
      </c>
      <c r="R141" s="42" t="s">
        <v>123</v>
      </c>
      <c r="S141" s="50" t="s">
        <v>304</v>
      </c>
      <c r="T141" s="42" t="s">
        <v>342</v>
      </c>
      <c r="U141" s="42" t="n">
        <v>2</v>
      </c>
      <c r="V141" s="42" t="s">
        <v>306</v>
      </c>
      <c r="W141" s="43" t="n">
        <v>6.8</v>
      </c>
      <c r="X141" s="42" t="s">
        <v>123</v>
      </c>
      <c r="Y141" s="42" t="n">
        <v>1393</v>
      </c>
      <c r="Z141" s="42" t="s">
        <v>363</v>
      </c>
      <c r="AA141" s="46" t="n">
        <v>15000</v>
      </c>
      <c r="AB141" s="47" t="n">
        <f aca="false">IF(NOT(ISNUMBER(AA141)),"",IF(NOT(ISNUMBER(Y141)),"",IFERROR(IF(Z141="EUR",AA141,IF(Z141="IRR",AA141/INDEX('Assumptions &amp; FX Reference'!$C$5:$C$25,MATCH(Y141,'Assumptions &amp; FX Reference'!$A$5:$A$25,0)),IF(Z141="USD",AA141*INDEX('Assumptions &amp; FX Reference'!$B$5:$B$25,MATCH(Y141,'Assumptions &amp; FX Reference'!$A$5:$A$25,0))/INDEX('Assumptions &amp; FX Reference'!$C$5:$C$25,MATCH(Y141,'Assumptions &amp; FX Reference'!$A$5:$A$25,0)),""))),"")))</f>
        <v>15000</v>
      </c>
      <c r="AC141" s="47" t="n">
        <f aca="false">IF(NOT(ISNUMBER(AA141)),"",IF(NOT(ISNUMBER(Y141)),"",IFERROR(IF(Z141="USD",AA141,IF(Z141="IRR",AA141/INDEX('Assumptions &amp; FX Reference'!$B$5:$B$25,MATCH(Y141,'Assumptions &amp; FX Reference'!$A$5:$A$25,0)),IF(Z141="EUR",AA141*INDEX('Assumptions &amp; FX Reference'!$C$5:$C$25,MATCH(Y141,'Assumptions &amp; FX Reference'!$A$5:$A$25,0))/INDEX('Assumptions &amp; FX Reference'!$B$5:$B$25,MATCH(Y141,'Assumptions &amp; FX Reference'!$A$5:$A$25,0)),""))),"")))</f>
        <v>19611.6774193548</v>
      </c>
      <c r="AD141" s="47" t="n">
        <f aca="false">IF(NOT(ISNUMBER(AA141)),"",IF(NOT(ISNUMBER(Y141)),"",IFERROR(IF(Z141="IRR",AA141,IF(Z141="USD",AA141*INDEX('Assumptions &amp; FX Reference'!$B$5:$B$25,MATCH(Y141,'Assumptions &amp; FX Reference'!$A$5:$A$25,0)),IF(Z141="EUR",AA141*INDEX('Assumptions &amp; FX Reference'!$C$5:$C$25,MATCH(Y141,'Assumptions &amp; FX Reference'!$A$5:$A$25,0)),""))),"")))</f>
        <v>607962000</v>
      </c>
      <c r="AE141" s="42" t="s">
        <v>789</v>
      </c>
      <c r="AF141" s="42" t="s">
        <v>208</v>
      </c>
      <c r="AG141" s="47" t="n">
        <f aca="false">IF(AND(Z141="EUR",N(AA141)&gt;5000000),"",IF(AND(ISNUMBER(AB141),ISNUMBER(AZ141),ISNUMBER(BA141)),IF(AND(BB141="Y",ISNUMBER('Assumptions &amp; FX Reference'!$I$15)),MAX(AB141*BA141/AZ141,'Assumptions &amp; FX Reference'!$I$13*BA141/'Assumptions &amp; FX Reference'!$I$15),AB141*BA141/AZ141),""))</f>
        <v>25000</v>
      </c>
      <c r="AH141" s="47" t="n">
        <f aca="false">IF(AND(ISNUMBER(AG141),ISNUMBER('Assumptions &amp; FX Reference'!$I$8),ISNUMBER('Assumptions &amp; FX Reference'!$I$11)),AG141*'Assumptions &amp; FX Reference'!$I$8/'Assumptions &amp; FX Reference'!$I$11,"")</f>
        <v>26394.5770371416</v>
      </c>
      <c r="AI141" s="47" t="n">
        <f aca="false">IF(AND(ISNUMBER(AG141),ISNUMBER('Assumptions &amp; FX Reference'!$I$8)),AG141*'Assumptions &amp; FX Reference'!$I$8,"")</f>
        <v>17381700000</v>
      </c>
      <c r="AJ141" s="42" t="s">
        <v>693</v>
      </c>
      <c r="AK141" s="42" t="s">
        <v>366</v>
      </c>
      <c r="AL141" s="42" t="s">
        <v>123</v>
      </c>
      <c r="AM141" s="42" t="s">
        <v>123</v>
      </c>
      <c r="AN141" s="42" t="s">
        <v>123</v>
      </c>
      <c r="AO141" s="42" t="s">
        <v>123</v>
      </c>
      <c r="AP141" s="42" t="s">
        <v>123</v>
      </c>
      <c r="AQ141" s="42" t="s">
        <v>123</v>
      </c>
      <c r="AR141" s="42" t="s">
        <v>123</v>
      </c>
      <c r="AS141" s="45" t="str">
        <f aca="false">IF(AND(Z141="EUR",N(AA141)&gt;5000000),"Check currency (EUR&gt;5M); ","")&amp;IF(NOT(ISNUMBER(AA141)),"No price; ","")&amp;IF(G141="Not stated","Material missing; ","")&amp;IF(P141="Not stated","Seal missing; ","")&amp;IF(K141="","Size driver missing; ","")&amp;IF(NOT(ISNUMBER(AZ141)),"Base-year PPI missing; ","")</f>
        <v>Seal missing; </v>
      </c>
      <c r="AT141" s="48" t="n">
        <f aca="false">IFERROR(INDEX(Factors_ROT!$F$5:$F$200,MATCH("MAT|"&amp;G141,Factors_ROT!$A$5:$A$200,0)),1)</f>
        <v>1.1</v>
      </c>
      <c r="AU141" s="48" t="n">
        <f aca="false">IFERROR(INDEX(Factors_ROT!$F$5:$F$200,MATCH("SEAL_ARR|"&amp;P141,Factors_ROT!$A$5:$A$200,0)),1)*IFERROR(INDEX(Factors_ROT!$F$5:$F$200,MATCH("SEAL_CAT|"&amp;Q141,Factors_ROT!$A$5:$A$200,0)),1)*IFERROR(INDEX(Factors_ROT!$F$5:$F$200,MATCH("SEAL_PLAN|"&amp;R141,Factors_ROT!$A$5:$A$200,0)),1)</f>
        <v>1</v>
      </c>
      <c r="AV141" s="48" t="n">
        <f aca="false">IFERROR(INDEX(Factors_ROT!$F$5:$F$200,MATCH("DRV|"&amp;S141,Factors_ROT!$A$5:$A$200,0)),1)*IFERROR(INDEX(Factors_ROT!$F$5:$F$200,MATCH("NACE|"&amp;O141,Factors_ROT!$A$5:$A$200,0)),1)</f>
        <v>1</v>
      </c>
      <c r="AW141" s="48" t="n">
        <f aca="false">IFERROR(INDEX(Factors_ROT!$F$5:$F$200,MATCH("SC_DRV|"&amp;AL141,Factors_ROT!$A$5:$A$200,0)),1)*IFERROR(INDEX(Factors_ROT!$F$5:$F$200,MATCH("SC_BSP|"&amp;AM141,Factors_ROT!$A$5:$A$200,0)),1)*IFERROR(INDEX(Factors_ROT!$F$5:$F$200,MATCH("SC_SEAL|"&amp;AN141,Factors_ROT!$A$5:$A$200,0)),1)*IFERROR(INDEX(Factors_ROT!$F$5:$F$200,MATCH("SC_COMM|"&amp;AO141,Factors_ROT!$A$5:$A$200,0)),1)*IFERROR(INDEX(Factors_ROT!$F$5:$F$200,MATCH("SC_2Y|"&amp;AP141,Factors_ROT!$A$5:$A$200,0)),1)*IFERROR(INDEX(Factors_ROT!$F$5:$F$200,MATCH("SC_TPI|"&amp;AQ141,Factors_ROT!$A$5:$A$200,0)),1)*IFERROR(INDEX(Factors_ROT!$F$5:$F$200,MATCH("SC_FAT|"&amp;AR141,Factors_ROT!$A$5:$A$200,0)),1)</f>
        <v>1</v>
      </c>
      <c r="AX141" s="48" t="n">
        <f aca="false">AT141*AU141*AV141*AW141</f>
        <v>1.1</v>
      </c>
      <c r="AY141" s="47" t="n">
        <f aca="false">IF(ISNUMBER(AB141),AB141/AX141,"")</f>
        <v>13636.3636363636</v>
      </c>
      <c r="AZ141" s="49" t="n">
        <f aca="false">IFERROR(IF(N(INDEX(Escalation_Index!$B$5:$B$25,MATCH(Y141,Escalation_Index!$A$5:$A$25,0)))&gt;0,INDEX(Escalation_Index!$B$5:$B$25,MATCH(Y141,Escalation_Index!$A$5:$A$25,0)),""),"")</f>
        <v>91.347</v>
      </c>
      <c r="BA141" s="49" t="n">
        <f aca="false">IF(ISNUMBER('Assumptions &amp; FX Reference'!$I$12),'Assumptions &amp; FX Reference'!$I$12,"")</f>
        <v>123.416</v>
      </c>
      <c r="BB141" s="45" t="str">
        <f aca="false">IF(AND(M141="API 610",LEFT(V141,11)="Centrifugal",OR(LEFT(G141,2)="S-",LEFT(G141,2)="D-")),"Y","N")</f>
        <v>Y</v>
      </c>
      <c r="BC141" s="47" t="n">
        <f aca="false">IF(ISNUMBER(AG141),AG141/AX141,"")</f>
        <v>22727.2727272727</v>
      </c>
      <c r="BD141" s="47" t="n">
        <f aca="false">IF(AND(ISNUMBER(BC141),ISNUMBER(K141)),IF(K141&gt;0,BC141/K141^'Assumptions &amp; FX Reference'!$I$16,""),"")</f>
        <v>15885.530308144</v>
      </c>
      <c r="BE141" s="42" t="s">
        <v>806</v>
      </c>
      <c r="BF141" s="42" t="s">
        <v>807</v>
      </c>
      <c r="BG141" s="42" t="s">
        <v>369</v>
      </c>
      <c r="BH141" s="45" t="s">
        <v>313</v>
      </c>
      <c r="BI141" s="45" t="str">
        <f aca="false">"PMP-"&amp;TEXT(A141,"0000")</f>
        <v>PMP-0137</v>
      </c>
    </row>
    <row r="142" customFormat="false" ht="24" hidden="false" customHeight="true" outlineLevel="0" collapsed="false">
      <c r="A142" s="42" t="n">
        <v>138</v>
      </c>
      <c r="B142" s="42" t="s">
        <v>529</v>
      </c>
      <c r="C142" s="42" t="s">
        <v>690</v>
      </c>
      <c r="D142" s="42" t="s">
        <v>581</v>
      </c>
      <c r="E142" s="42" t="s">
        <v>54</v>
      </c>
      <c r="F142" s="42" t="s">
        <v>132</v>
      </c>
      <c r="G142" s="42" t="s">
        <v>115</v>
      </c>
      <c r="H142" s="43" t="n">
        <v>25</v>
      </c>
      <c r="I142" s="43" t="n">
        <v>55</v>
      </c>
      <c r="J142" s="43"/>
      <c r="K142" s="44" t="n">
        <f aca="false">IF(ISNUMBER(J142),J142,IF(AND(ISNUMBER(H142),ISNUMBER(I142)),H142*I142/(367*'Assumptions &amp; FX Reference'!$I$17),""))</f>
        <v>6.24432334241599</v>
      </c>
      <c r="L142" s="45" t="str">
        <f aca="false">IF(IF(OR(M142="Not stated",M142=""),""," + "&amp;M142)&amp;IF(OR(N142="None",N142=""),""," + "&amp;N142)&amp;IF(O142="Y"," + NACE MR0175","")="","Not stated",MID(IF(OR(M142="Not stated",M142=""),""," + "&amp;M142)&amp;IF(OR(N142="None",N142=""),""," + "&amp;N142)&amp;IF(O142="Y"," + NACE MR0175",""),4,300))</f>
        <v>API 610 + IPS-G-PM-105 + NACE MR0175</v>
      </c>
      <c r="M142" s="42" t="s">
        <v>478</v>
      </c>
      <c r="N142" s="42" t="s">
        <v>479</v>
      </c>
      <c r="O142" s="42" t="s">
        <v>369</v>
      </c>
      <c r="P142" s="42" t="s">
        <v>123</v>
      </c>
      <c r="Q142" s="42" t="s">
        <v>123</v>
      </c>
      <c r="R142" s="42" t="s">
        <v>123</v>
      </c>
      <c r="S142" s="50" t="s">
        <v>304</v>
      </c>
      <c r="T142" s="42" t="s">
        <v>342</v>
      </c>
      <c r="U142" s="42" t="n">
        <v>2</v>
      </c>
      <c r="V142" s="42" t="s">
        <v>306</v>
      </c>
      <c r="W142" s="43" t="n">
        <v>5</v>
      </c>
      <c r="X142" s="42" t="s">
        <v>123</v>
      </c>
      <c r="Y142" s="42" t="n">
        <v>1393</v>
      </c>
      <c r="Z142" s="42" t="s">
        <v>363</v>
      </c>
      <c r="AA142" s="46" t="n">
        <v>32000</v>
      </c>
      <c r="AB142" s="47" t="n">
        <f aca="false">IF(NOT(ISNUMBER(AA142)),"",IF(NOT(ISNUMBER(Y142)),"",IFERROR(IF(Z142="EUR",AA142,IF(Z142="IRR",AA142/INDEX('Assumptions &amp; FX Reference'!$C$5:$C$25,MATCH(Y142,'Assumptions &amp; FX Reference'!$A$5:$A$25,0)),IF(Z142="USD",AA142*INDEX('Assumptions &amp; FX Reference'!$B$5:$B$25,MATCH(Y142,'Assumptions &amp; FX Reference'!$A$5:$A$25,0))/INDEX('Assumptions &amp; FX Reference'!$C$5:$C$25,MATCH(Y142,'Assumptions &amp; FX Reference'!$A$5:$A$25,0)),""))),"")))</f>
        <v>32000</v>
      </c>
      <c r="AC142" s="47" t="n">
        <f aca="false">IF(NOT(ISNUMBER(AA142)),"",IF(NOT(ISNUMBER(Y142)),"",IFERROR(IF(Z142="USD",AA142,IF(Z142="IRR",AA142/INDEX('Assumptions &amp; FX Reference'!$B$5:$B$25,MATCH(Y142,'Assumptions &amp; FX Reference'!$A$5:$A$25,0)),IF(Z142="EUR",AA142*INDEX('Assumptions &amp; FX Reference'!$C$5:$C$25,MATCH(Y142,'Assumptions &amp; FX Reference'!$A$5:$A$25,0))/INDEX('Assumptions &amp; FX Reference'!$B$5:$B$25,MATCH(Y142,'Assumptions &amp; FX Reference'!$A$5:$A$25,0)),""))),"")))</f>
        <v>41838.2451612903</v>
      </c>
      <c r="AD142" s="47" t="n">
        <f aca="false">IF(NOT(ISNUMBER(AA142)),"",IF(NOT(ISNUMBER(Y142)),"",IFERROR(IF(Z142="IRR",AA142,IF(Z142="USD",AA142*INDEX('Assumptions &amp; FX Reference'!$B$5:$B$25,MATCH(Y142,'Assumptions &amp; FX Reference'!$A$5:$A$25,0)),IF(Z142="EUR",AA142*INDEX('Assumptions &amp; FX Reference'!$C$5:$C$25,MATCH(Y142,'Assumptions &amp; FX Reference'!$A$5:$A$25,0)),""))),"")))</f>
        <v>1296985600</v>
      </c>
      <c r="AE142" s="42" t="s">
        <v>789</v>
      </c>
      <c r="AF142" s="42" t="s">
        <v>208</v>
      </c>
      <c r="AG142" s="47" t="n">
        <f aca="false">IF(AND(Z142="EUR",N(AA142)&gt;5000000),"",IF(AND(ISNUMBER(AB142),ISNUMBER(AZ142),ISNUMBER(BA142)),IF(AND(BB142="Y",ISNUMBER('Assumptions &amp; FX Reference'!$I$15)),MAX(AB142*BA142/AZ142,'Assumptions &amp; FX Reference'!$I$13*BA142/'Assumptions &amp; FX Reference'!$I$15),AB142*BA142/AZ142),""))</f>
        <v>43234.1729887134</v>
      </c>
      <c r="AH142" s="47" t="n">
        <f aca="false">IF(AND(ISNUMBER(AG142),ISNUMBER('Assumptions &amp; FX Reference'!$I$8),ISNUMBER('Assumptions &amp; FX Reference'!$I$11)),AG142*'Assumptions &amp; FX Reference'!$I$8/'Assumptions &amp; FX Reference'!$I$11,"")</f>
        <v>45645.9083835081</v>
      </c>
      <c r="AI142" s="47" t="n">
        <f aca="false">IF(AND(ISNUMBER(AG142),ISNUMBER('Assumptions &amp; FX Reference'!$I$8)),AG142*'Assumptions &amp; FX Reference'!$I$8,"")</f>
        <v>30059336985.5168</v>
      </c>
      <c r="AJ142" s="42" t="s">
        <v>693</v>
      </c>
      <c r="AK142" s="42" t="s">
        <v>366</v>
      </c>
      <c r="AL142" s="42" t="s">
        <v>123</v>
      </c>
      <c r="AM142" s="42" t="s">
        <v>123</v>
      </c>
      <c r="AN142" s="42" t="s">
        <v>123</v>
      </c>
      <c r="AO142" s="42" t="s">
        <v>123</v>
      </c>
      <c r="AP142" s="42" t="s">
        <v>123</v>
      </c>
      <c r="AQ142" s="42" t="s">
        <v>123</v>
      </c>
      <c r="AR142" s="42" t="s">
        <v>123</v>
      </c>
      <c r="AS142" s="45" t="str">
        <f aca="false">IF(AND(Z142="EUR",N(AA142)&gt;5000000),"Check currency (EUR&gt;5M); ","")&amp;IF(NOT(ISNUMBER(AA142)),"No price; ","")&amp;IF(G142="Not stated","Material missing; ","")&amp;IF(P142="Not stated","Seal missing; ","")&amp;IF(K142="","Size driver missing; ","")&amp;IF(NOT(ISNUMBER(AZ142)),"Base-year PPI missing; ","")</f>
        <v>Seal missing; </v>
      </c>
      <c r="AT142" s="48" t="n">
        <f aca="false">IFERROR(INDEX(Factors_ROT!$F$5:$F$200,MATCH("MAT|"&amp;G142,Factors_ROT!$A$5:$A$200,0)),1)</f>
        <v>1.9</v>
      </c>
      <c r="AU142" s="48" t="n">
        <f aca="false">IFERROR(INDEX(Factors_ROT!$F$5:$F$200,MATCH("SEAL_ARR|"&amp;P142,Factors_ROT!$A$5:$A$200,0)),1)*IFERROR(INDEX(Factors_ROT!$F$5:$F$200,MATCH("SEAL_CAT|"&amp;Q142,Factors_ROT!$A$5:$A$200,0)),1)*IFERROR(INDEX(Factors_ROT!$F$5:$F$200,MATCH("SEAL_PLAN|"&amp;R142,Factors_ROT!$A$5:$A$200,0)),1)</f>
        <v>1</v>
      </c>
      <c r="AV142" s="48" t="n">
        <f aca="false">IFERROR(INDEX(Factors_ROT!$F$5:$F$200,MATCH("DRV|"&amp;S142,Factors_ROT!$A$5:$A$200,0)),1)*IFERROR(INDEX(Factors_ROT!$F$5:$F$200,MATCH("NACE|"&amp;O142,Factors_ROT!$A$5:$A$200,0)),1)</f>
        <v>1.05</v>
      </c>
      <c r="AW142" s="48" t="n">
        <f aca="false">IFERROR(INDEX(Factors_ROT!$F$5:$F$200,MATCH("SC_DRV|"&amp;AL142,Factors_ROT!$A$5:$A$200,0)),1)*IFERROR(INDEX(Factors_ROT!$F$5:$F$200,MATCH("SC_BSP|"&amp;AM142,Factors_ROT!$A$5:$A$200,0)),1)*IFERROR(INDEX(Factors_ROT!$F$5:$F$200,MATCH("SC_SEAL|"&amp;AN142,Factors_ROT!$A$5:$A$200,0)),1)*IFERROR(INDEX(Factors_ROT!$F$5:$F$200,MATCH("SC_COMM|"&amp;AO142,Factors_ROT!$A$5:$A$200,0)),1)*IFERROR(INDEX(Factors_ROT!$F$5:$F$200,MATCH("SC_2Y|"&amp;AP142,Factors_ROT!$A$5:$A$200,0)),1)*IFERROR(INDEX(Factors_ROT!$F$5:$F$200,MATCH("SC_TPI|"&amp;AQ142,Factors_ROT!$A$5:$A$200,0)),1)*IFERROR(INDEX(Factors_ROT!$F$5:$F$200,MATCH("SC_FAT|"&amp;AR142,Factors_ROT!$A$5:$A$200,0)),1)</f>
        <v>1</v>
      </c>
      <c r="AX142" s="48" t="n">
        <f aca="false">AT142*AU142*AV142*AW142</f>
        <v>1.995</v>
      </c>
      <c r="AY142" s="47" t="n">
        <f aca="false">IF(ISNUMBER(AB142),AB142/AX142,"")</f>
        <v>16040.1002506266</v>
      </c>
      <c r="AZ142" s="49" t="n">
        <f aca="false">IFERROR(IF(N(INDEX(Escalation_Index!$B$5:$B$25,MATCH(Y142,Escalation_Index!$A$5:$A$25,0)))&gt;0,INDEX(Escalation_Index!$B$5:$B$25,MATCH(Y142,Escalation_Index!$A$5:$A$25,0)),""),"")</f>
        <v>91.347</v>
      </c>
      <c r="BA142" s="49" t="n">
        <f aca="false">IF(ISNUMBER('Assumptions &amp; FX Reference'!$I$12),'Assumptions &amp; FX Reference'!$I$12,"")</f>
        <v>123.416</v>
      </c>
      <c r="BB142" s="45" t="str">
        <f aca="false">IF(AND(M142="API 610",LEFT(V142,11)="Centrifugal",OR(LEFT(G142,2)="S-",LEFT(G142,2)="D-")),"Y","N")</f>
        <v>Y</v>
      </c>
      <c r="BC142" s="47" t="n">
        <f aca="false">IF(ISNUMBER(AG142),AG142/AX142,"")</f>
        <v>21671.2646559967</v>
      </c>
      <c r="BD142" s="47" t="n">
        <f aca="false">IF(AND(ISNUMBER(BC142),ISNUMBER(K142)),IF(K142&gt;0,BC142/K142^'Assumptions &amp; FX Reference'!$I$16,""),"")</f>
        <v>7220.92818497745</v>
      </c>
      <c r="BE142" s="42" t="s">
        <v>808</v>
      </c>
      <c r="BF142" s="42" t="s">
        <v>809</v>
      </c>
      <c r="BG142" s="42" t="s">
        <v>369</v>
      </c>
      <c r="BH142" s="45" t="s">
        <v>313</v>
      </c>
      <c r="BI142" s="45" t="str">
        <f aca="false">"PMP-"&amp;TEXT(A142,"0000")</f>
        <v>PMP-0138</v>
      </c>
    </row>
    <row r="143" customFormat="false" ht="24" hidden="false" customHeight="true" outlineLevel="0" collapsed="false">
      <c r="A143" s="42" t="n">
        <v>139</v>
      </c>
      <c r="B143" s="42" t="s">
        <v>721</v>
      </c>
      <c r="C143" s="42" t="s">
        <v>690</v>
      </c>
      <c r="D143" s="42" t="s">
        <v>584</v>
      </c>
      <c r="E143" s="42" t="s">
        <v>54</v>
      </c>
      <c r="F143" s="42" t="s">
        <v>171</v>
      </c>
      <c r="G143" s="42" t="s">
        <v>90</v>
      </c>
      <c r="H143" s="43" t="n">
        <v>5</v>
      </c>
      <c r="I143" s="43" t="n">
        <v>21.4</v>
      </c>
      <c r="J143" s="43"/>
      <c r="K143" s="44" t="n">
        <f aca="false">IF(ISNUMBER(J143),J143,IF(AND(ISNUMBER(H143),ISNUMBER(I143)),H143*I143/(367*'Assumptions &amp; FX Reference'!$I$17),""))</f>
        <v>0.485921889191644</v>
      </c>
      <c r="L143" s="45" t="str">
        <f aca="false">IF(IF(OR(M143="Not stated",M143=""),""," + "&amp;M143)&amp;IF(OR(N143="None",N143=""),""," + "&amp;N143)&amp;IF(O143="Y"," + NACE MR0175","")="","Not stated",MID(IF(OR(M143="Not stated",M143=""),""," + "&amp;M143)&amp;IF(OR(N143="None",N143=""),""," + "&amp;N143)&amp;IF(O143="Y"," + NACE MR0175",""),4,300))</f>
        <v>API 610 + IPS-G-PM-105</v>
      </c>
      <c r="M143" s="42" t="s">
        <v>478</v>
      </c>
      <c r="N143" s="42" t="s">
        <v>479</v>
      </c>
      <c r="O143" s="50" t="s">
        <v>312</v>
      </c>
      <c r="P143" s="42" t="s">
        <v>123</v>
      </c>
      <c r="Q143" s="42" t="s">
        <v>123</v>
      </c>
      <c r="R143" s="42" t="s">
        <v>123</v>
      </c>
      <c r="S143" s="50" t="s">
        <v>304</v>
      </c>
      <c r="T143" s="42" t="s">
        <v>342</v>
      </c>
      <c r="U143" s="42" t="n">
        <v>1</v>
      </c>
      <c r="V143" s="42" t="s">
        <v>306</v>
      </c>
      <c r="W143" s="43" t="n">
        <v>2</v>
      </c>
      <c r="X143" s="42" t="s">
        <v>123</v>
      </c>
      <c r="Y143" s="42" t="n">
        <v>1393</v>
      </c>
      <c r="Z143" s="42" t="s">
        <v>363</v>
      </c>
      <c r="AA143" s="46" t="n">
        <v>15000</v>
      </c>
      <c r="AB143" s="47" t="n">
        <f aca="false">IF(NOT(ISNUMBER(AA143)),"",IF(NOT(ISNUMBER(Y143)),"",IFERROR(IF(Z143="EUR",AA143,IF(Z143="IRR",AA143/INDEX('Assumptions &amp; FX Reference'!$C$5:$C$25,MATCH(Y143,'Assumptions &amp; FX Reference'!$A$5:$A$25,0)),IF(Z143="USD",AA143*INDEX('Assumptions &amp; FX Reference'!$B$5:$B$25,MATCH(Y143,'Assumptions &amp; FX Reference'!$A$5:$A$25,0))/INDEX('Assumptions &amp; FX Reference'!$C$5:$C$25,MATCH(Y143,'Assumptions &amp; FX Reference'!$A$5:$A$25,0)),""))),"")))</f>
        <v>15000</v>
      </c>
      <c r="AC143" s="47" t="n">
        <f aca="false">IF(NOT(ISNUMBER(AA143)),"",IF(NOT(ISNUMBER(Y143)),"",IFERROR(IF(Z143="USD",AA143,IF(Z143="IRR",AA143/INDEX('Assumptions &amp; FX Reference'!$B$5:$B$25,MATCH(Y143,'Assumptions &amp; FX Reference'!$A$5:$A$25,0)),IF(Z143="EUR",AA143*INDEX('Assumptions &amp; FX Reference'!$C$5:$C$25,MATCH(Y143,'Assumptions &amp; FX Reference'!$A$5:$A$25,0))/INDEX('Assumptions &amp; FX Reference'!$B$5:$B$25,MATCH(Y143,'Assumptions &amp; FX Reference'!$A$5:$A$25,0)),""))),"")))</f>
        <v>19611.6774193548</v>
      </c>
      <c r="AD143" s="47" t="n">
        <f aca="false">IF(NOT(ISNUMBER(AA143)),"",IF(NOT(ISNUMBER(Y143)),"",IFERROR(IF(Z143="IRR",AA143,IF(Z143="USD",AA143*INDEX('Assumptions &amp; FX Reference'!$B$5:$B$25,MATCH(Y143,'Assumptions &amp; FX Reference'!$A$5:$A$25,0)),IF(Z143="EUR",AA143*INDEX('Assumptions &amp; FX Reference'!$C$5:$C$25,MATCH(Y143,'Assumptions &amp; FX Reference'!$A$5:$A$25,0)),""))),"")))</f>
        <v>607962000</v>
      </c>
      <c r="AE143" s="42" t="s">
        <v>789</v>
      </c>
      <c r="AF143" s="42" t="s">
        <v>208</v>
      </c>
      <c r="AG143" s="47" t="n">
        <f aca="false">IF(AND(Z143="EUR",N(AA143)&gt;5000000),"",IF(AND(ISNUMBER(AB143),ISNUMBER(AZ143),ISNUMBER(BA143)),IF(AND(BB143="Y",ISNUMBER('Assumptions &amp; FX Reference'!$I$15)),MAX(AB143*BA143/AZ143,'Assumptions &amp; FX Reference'!$I$13*BA143/'Assumptions &amp; FX Reference'!$I$15),AB143*BA143/AZ143),""))</f>
        <v>25000</v>
      </c>
      <c r="AH143" s="47" t="n">
        <f aca="false">IF(AND(ISNUMBER(AG143),ISNUMBER('Assumptions &amp; FX Reference'!$I$8),ISNUMBER('Assumptions &amp; FX Reference'!$I$11)),AG143*'Assumptions &amp; FX Reference'!$I$8/'Assumptions &amp; FX Reference'!$I$11,"")</f>
        <v>26394.5770371416</v>
      </c>
      <c r="AI143" s="47" t="n">
        <f aca="false">IF(AND(ISNUMBER(AG143),ISNUMBER('Assumptions &amp; FX Reference'!$I$8)),AG143*'Assumptions &amp; FX Reference'!$I$8,"")</f>
        <v>17381700000</v>
      </c>
      <c r="AJ143" s="42" t="s">
        <v>693</v>
      </c>
      <c r="AK143" s="42" t="s">
        <v>366</v>
      </c>
      <c r="AL143" s="42" t="s">
        <v>123</v>
      </c>
      <c r="AM143" s="42" t="s">
        <v>123</v>
      </c>
      <c r="AN143" s="42" t="s">
        <v>123</v>
      </c>
      <c r="AO143" s="42" t="s">
        <v>123</v>
      </c>
      <c r="AP143" s="42" t="s">
        <v>123</v>
      </c>
      <c r="AQ143" s="42" t="s">
        <v>123</v>
      </c>
      <c r="AR143" s="42" t="s">
        <v>123</v>
      </c>
      <c r="AS143" s="45" t="str">
        <f aca="false">IF(AND(Z143="EUR",N(AA143)&gt;5000000),"Check currency (EUR&gt;5M); ","")&amp;IF(NOT(ISNUMBER(AA143)),"No price; ","")&amp;IF(G143="Not stated","Material missing; ","")&amp;IF(P143="Not stated","Seal missing; ","")&amp;IF(K143="","Size driver missing; ","")&amp;IF(NOT(ISNUMBER(AZ143)),"Base-year PPI missing; ","")</f>
        <v>Seal missing; </v>
      </c>
      <c r="AT143" s="48" t="n">
        <f aca="false">IFERROR(INDEX(Factors_ROT!$F$5:$F$200,MATCH("MAT|"&amp;G143,Factors_ROT!$A$5:$A$200,0)),1)</f>
        <v>1.1</v>
      </c>
      <c r="AU143" s="48" t="n">
        <f aca="false">IFERROR(INDEX(Factors_ROT!$F$5:$F$200,MATCH("SEAL_ARR|"&amp;P143,Factors_ROT!$A$5:$A$200,0)),1)*IFERROR(INDEX(Factors_ROT!$F$5:$F$200,MATCH("SEAL_CAT|"&amp;Q143,Factors_ROT!$A$5:$A$200,0)),1)*IFERROR(INDEX(Factors_ROT!$F$5:$F$200,MATCH("SEAL_PLAN|"&amp;R143,Factors_ROT!$A$5:$A$200,0)),1)</f>
        <v>1</v>
      </c>
      <c r="AV143" s="48" t="n">
        <f aca="false">IFERROR(INDEX(Factors_ROT!$F$5:$F$200,MATCH("DRV|"&amp;S143,Factors_ROT!$A$5:$A$200,0)),1)*IFERROR(INDEX(Factors_ROT!$F$5:$F$200,MATCH("NACE|"&amp;O143,Factors_ROT!$A$5:$A$200,0)),1)</f>
        <v>1</v>
      </c>
      <c r="AW143" s="48" t="n">
        <f aca="false">IFERROR(INDEX(Factors_ROT!$F$5:$F$200,MATCH("SC_DRV|"&amp;AL143,Factors_ROT!$A$5:$A$200,0)),1)*IFERROR(INDEX(Factors_ROT!$F$5:$F$200,MATCH("SC_BSP|"&amp;AM143,Factors_ROT!$A$5:$A$200,0)),1)*IFERROR(INDEX(Factors_ROT!$F$5:$F$200,MATCH("SC_SEAL|"&amp;AN143,Factors_ROT!$A$5:$A$200,0)),1)*IFERROR(INDEX(Factors_ROT!$F$5:$F$200,MATCH("SC_COMM|"&amp;AO143,Factors_ROT!$A$5:$A$200,0)),1)*IFERROR(INDEX(Factors_ROT!$F$5:$F$200,MATCH("SC_2Y|"&amp;AP143,Factors_ROT!$A$5:$A$200,0)),1)*IFERROR(INDEX(Factors_ROT!$F$5:$F$200,MATCH("SC_TPI|"&amp;AQ143,Factors_ROT!$A$5:$A$200,0)),1)*IFERROR(INDEX(Factors_ROT!$F$5:$F$200,MATCH("SC_FAT|"&amp;AR143,Factors_ROT!$A$5:$A$200,0)),1)</f>
        <v>1</v>
      </c>
      <c r="AX143" s="48" t="n">
        <f aca="false">AT143*AU143*AV143*AW143</f>
        <v>1.1</v>
      </c>
      <c r="AY143" s="47" t="n">
        <f aca="false">IF(ISNUMBER(AB143),AB143/AX143,"")</f>
        <v>13636.3636363636</v>
      </c>
      <c r="AZ143" s="49" t="n">
        <f aca="false">IFERROR(IF(N(INDEX(Escalation_Index!$B$5:$B$25,MATCH(Y143,Escalation_Index!$A$5:$A$25,0)))&gt;0,INDEX(Escalation_Index!$B$5:$B$25,MATCH(Y143,Escalation_Index!$A$5:$A$25,0)),""),"")</f>
        <v>91.347</v>
      </c>
      <c r="BA143" s="49" t="n">
        <f aca="false">IF(ISNUMBER('Assumptions &amp; FX Reference'!$I$12),'Assumptions &amp; FX Reference'!$I$12,"")</f>
        <v>123.416</v>
      </c>
      <c r="BB143" s="45" t="str">
        <f aca="false">IF(AND(M143="API 610",LEFT(V143,11)="Centrifugal",OR(LEFT(G143,2)="S-",LEFT(G143,2)="D-")),"Y","N")</f>
        <v>Y</v>
      </c>
      <c r="BC143" s="47" t="n">
        <f aca="false">IF(ISNUMBER(AG143),AG143/AX143,"")</f>
        <v>22727.2727272727</v>
      </c>
      <c r="BD143" s="47" t="n">
        <f aca="false">IF(AND(ISNUMBER(BC143),ISNUMBER(K143)),IF(K143&gt;0,BC143/K143^'Assumptions &amp; FX Reference'!$I$16,""),"")</f>
        <v>35043.4976182756</v>
      </c>
      <c r="BE143" s="42" t="s">
        <v>810</v>
      </c>
      <c r="BF143" s="42" t="s">
        <v>811</v>
      </c>
      <c r="BG143" s="42" t="s">
        <v>369</v>
      </c>
      <c r="BH143" s="45" t="s">
        <v>313</v>
      </c>
      <c r="BI143" s="45" t="str">
        <f aca="false">"PMP-"&amp;TEXT(A143,"0000")</f>
        <v>PMP-0139</v>
      </c>
    </row>
    <row r="144" customFormat="false" ht="24" hidden="false" customHeight="true" outlineLevel="0" collapsed="false">
      <c r="A144" s="42" t="n">
        <v>140</v>
      </c>
      <c r="B144" s="42" t="s">
        <v>525</v>
      </c>
      <c r="C144" s="42" t="s">
        <v>690</v>
      </c>
      <c r="D144" s="42" t="s">
        <v>728</v>
      </c>
      <c r="E144" s="42" t="s">
        <v>48</v>
      </c>
      <c r="F144" s="42" t="s">
        <v>132</v>
      </c>
      <c r="G144" s="42" t="s">
        <v>115</v>
      </c>
      <c r="H144" s="43" t="n">
        <v>15</v>
      </c>
      <c r="I144" s="43" t="n">
        <v>50</v>
      </c>
      <c r="J144" s="43"/>
      <c r="K144" s="44" t="n">
        <f aca="false">IF(ISNUMBER(J144),J144,IF(AND(ISNUMBER(H144),ISNUMBER(I144)),H144*I144/(367*'Assumptions &amp; FX Reference'!$I$17),""))</f>
        <v>3.40599455040872</v>
      </c>
      <c r="L144" s="45" t="str">
        <f aca="false">IF(IF(OR(M144="Not stated",M144=""),""," + "&amp;M144)&amp;IF(OR(N144="None",N144=""),""," + "&amp;N144)&amp;IF(O144="Y"," + NACE MR0175","")="","Not stated",MID(IF(OR(M144="Not stated",M144=""),""," + "&amp;M144)&amp;IF(OR(N144="None",N144=""),""," + "&amp;N144)&amp;IF(O144="Y"," + NACE MR0175",""),4,300))</f>
        <v>API 610 + IPS-G-PM-105 + NACE MR0175</v>
      </c>
      <c r="M144" s="42" t="s">
        <v>478</v>
      </c>
      <c r="N144" s="42" t="s">
        <v>479</v>
      </c>
      <c r="O144" s="42" t="s">
        <v>369</v>
      </c>
      <c r="P144" s="42" t="s">
        <v>123</v>
      </c>
      <c r="Q144" s="42" t="s">
        <v>123</v>
      </c>
      <c r="R144" s="42" t="s">
        <v>123</v>
      </c>
      <c r="S144" s="50" t="s">
        <v>304</v>
      </c>
      <c r="T144" s="42" t="s">
        <v>342</v>
      </c>
      <c r="U144" s="42" t="n">
        <v>2</v>
      </c>
      <c r="V144" s="42" t="s">
        <v>306</v>
      </c>
      <c r="W144" s="43" t="n">
        <v>5.7</v>
      </c>
      <c r="X144" s="42" t="s">
        <v>123</v>
      </c>
      <c r="Y144" s="42" t="n">
        <v>1393</v>
      </c>
      <c r="Z144" s="42" t="s">
        <v>363</v>
      </c>
      <c r="AA144" s="46" t="n">
        <v>15000</v>
      </c>
      <c r="AB144" s="47" t="n">
        <f aca="false">IF(NOT(ISNUMBER(AA144)),"",IF(NOT(ISNUMBER(Y144)),"",IFERROR(IF(Z144="EUR",AA144,IF(Z144="IRR",AA144/INDEX('Assumptions &amp; FX Reference'!$C$5:$C$25,MATCH(Y144,'Assumptions &amp; FX Reference'!$A$5:$A$25,0)),IF(Z144="USD",AA144*INDEX('Assumptions &amp; FX Reference'!$B$5:$B$25,MATCH(Y144,'Assumptions &amp; FX Reference'!$A$5:$A$25,0))/INDEX('Assumptions &amp; FX Reference'!$C$5:$C$25,MATCH(Y144,'Assumptions &amp; FX Reference'!$A$5:$A$25,0)),""))),"")))</f>
        <v>15000</v>
      </c>
      <c r="AC144" s="47" t="n">
        <f aca="false">IF(NOT(ISNUMBER(AA144)),"",IF(NOT(ISNUMBER(Y144)),"",IFERROR(IF(Z144="USD",AA144,IF(Z144="IRR",AA144/INDEX('Assumptions &amp; FX Reference'!$B$5:$B$25,MATCH(Y144,'Assumptions &amp; FX Reference'!$A$5:$A$25,0)),IF(Z144="EUR",AA144*INDEX('Assumptions &amp; FX Reference'!$C$5:$C$25,MATCH(Y144,'Assumptions &amp; FX Reference'!$A$5:$A$25,0))/INDEX('Assumptions &amp; FX Reference'!$B$5:$B$25,MATCH(Y144,'Assumptions &amp; FX Reference'!$A$5:$A$25,0)),""))),"")))</f>
        <v>19611.6774193548</v>
      </c>
      <c r="AD144" s="47" t="n">
        <f aca="false">IF(NOT(ISNUMBER(AA144)),"",IF(NOT(ISNUMBER(Y144)),"",IFERROR(IF(Z144="IRR",AA144,IF(Z144="USD",AA144*INDEX('Assumptions &amp; FX Reference'!$B$5:$B$25,MATCH(Y144,'Assumptions &amp; FX Reference'!$A$5:$A$25,0)),IF(Z144="EUR",AA144*INDEX('Assumptions &amp; FX Reference'!$C$5:$C$25,MATCH(Y144,'Assumptions &amp; FX Reference'!$A$5:$A$25,0)),""))),"")))</f>
        <v>607962000</v>
      </c>
      <c r="AE144" s="42" t="s">
        <v>789</v>
      </c>
      <c r="AF144" s="42" t="s">
        <v>208</v>
      </c>
      <c r="AG144" s="47" t="n">
        <f aca="false">IF(AND(Z144="EUR",N(AA144)&gt;5000000),"",IF(AND(ISNUMBER(AB144),ISNUMBER(AZ144),ISNUMBER(BA144)),IF(AND(BB144="Y",ISNUMBER('Assumptions &amp; FX Reference'!$I$15)),MAX(AB144*BA144/AZ144,'Assumptions &amp; FX Reference'!$I$13*BA144/'Assumptions &amp; FX Reference'!$I$15),AB144*BA144/AZ144),""))</f>
        <v>25000</v>
      </c>
      <c r="AH144" s="47" t="n">
        <f aca="false">IF(AND(ISNUMBER(AG144),ISNUMBER('Assumptions &amp; FX Reference'!$I$8),ISNUMBER('Assumptions &amp; FX Reference'!$I$11)),AG144*'Assumptions &amp; FX Reference'!$I$8/'Assumptions &amp; FX Reference'!$I$11,"")</f>
        <v>26394.5770371416</v>
      </c>
      <c r="AI144" s="47" t="n">
        <f aca="false">IF(AND(ISNUMBER(AG144),ISNUMBER('Assumptions &amp; FX Reference'!$I$8)),AG144*'Assumptions &amp; FX Reference'!$I$8,"")</f>
        <v>17381700000</v>
      </c>
      <c r="AJ144" s="42" t="s">
        <v>693</v>
      </c>
      <c r="AK144" s="42" t="s">
        <v>366</v>
      </c>
      <c r="AL144" s="42" t="s">
        <v>123</v>
      </c>
      <c r="AM144" s="42" t="s">
        <v>123</v>
      </c>
      <c r="AN144" s="42" t="s">
        <v>123</v>
      </c>
      <c r="AO144" s="42" t="s">
        <v>123</v>
      </c>
      <c r="AP144" s="42" t="s">
        <v>123</v>
      </c>
      <c r="AQ144" s="42" t="s">
        <v>123</v>
      </c>
      <c r="AR144" s="42" t="s">
        <v>123</v>
      </c>
      <c r="AS144" s="45" t="str">
        <f aca="false">IF(AND(Z144="EUR",N(AA144)&gt;5000000),"Check currency (EUR&gt;5M); ","")&amp;IF(NOT(ISNUMBER(AA144)),"No price; ","")&amp;IF(G144="Not stated","Material missing; ","")&amp;IF(P144="Not stated","Seal missing; ","")&amp;IF(K144="","Size driver missing; ","")&amp;IF(NOT(ISNUMBER(AZ144)),"Base-year PPI missing; ","")</f>
        <v>Seal missing; </v>
      </c>
      <c r="AT144" s="48" t="n">
        <f aca="false">IFERROR(INDEX(Factors_ROT!$F$5:$F$200,MATCH("MAT|"&amp;G144,Factors_ROT!$A$5:$A$200,0)),1)</f>
        <v>1.9</v>
      </c>
      <c r="AU144" s="48" t="n">
        <f aca="false">IFERROR(INDEX(Factors_ROT!$F$5:$F$200,MATCH("SEAL_ARR|"&amp;P144,Factors_ROT!$A$5:$A$200,0)),1)*IFERROR(INDEX(Factors_ROT!$F$5:$F$200,MATCH("SEAL_CAT|"&amp;Q144,Factors_ROT!$A$5:$A$200,0)),1)*IFERROR(INDEX(Factors_ROT!$F$5:$F$200,MATCH("SEAL_PLAN|"&amp;R144,Factors_ROT!$A$5:$A$200,0)),1)</f>
        <v>1</v>
      </c>
      <c r="AV144" s="48" t="n">
        <f aca="false">IFERROR(INDEX(Factors_ROT!$F$5:$F$200,MATCH("DRV|"&amp;S144,Factors_ROT!$A$5:$A$200,0)),1)*IFERROR(INDEX(Factors_ROT!$F$5:$F$200,MATCH("NACE|"&amp;O144,Factors_ROT!$A$5:$A$200,0)),1)</f>
        <v>1.05</v>
      </c>
      <c r="AW144" s="48" t="n">
        <f aca="false">IFERROR(INDEX(Factors_ROT!$F$5:$F$200,MATCH("SC_DRV|"&amp;AL144,Factors_ROT!$A$5:$A$200,0)),1)*IFERROR(INDEX(Factors_ROT!$F$5:$F$200,MATCH("SC_BSP|"&amp;AM144,Factors_ROT!$A$5:$A$200,0)),1)*IFERROR(INDEX(Factors_ROT!$F$5:$F$200,MATCH("SC_SEAL|"&amp;AN144,Factors_ROT!$A$5:$A$200,0)),1)*IFERROR(INDEX(Factors_ROT!$F$5:$F$200,MATCH("SC_COMM|"&amp;AO144,Factors_ROT!$A$5:$A$200,0)),1)*IFERROR(INDEX(Factors_ROT!$F$5:$F$200,MATCH("SC_2Y|"&amp;AP144,Factors_ROT!$A$5:$A$200,0)),1)*IFERROR(INDEX(Factors_ROT!$F$5:$F$200,MATCH("SC_TPI|"&amp;AQ144,Factors_ROT!$A$5:$A$200,0)),1)*IFERROR(INDEX(Factors_ROT!$F$5:$F$200,MATCH("SC_FAT|"&amp;AR144,Factors_ROT!$A$5:$A$200,0)),1)</f>
        <v>1</v>
      </c>
      <c r="AX144" s="48" t="n">
        <f aca="false">AT144*AU144*AV144*AW144</f>
        <v>1.995</v>
      </c>
      <c r="AY144" s="47" t="n">
        <f aca="false">IF(ISNUMBER(AB144),AB144/AX144,"")</f>
        <v>7518.7969924812</v>
      </c>
      <c r="AZ144" s="49" t="n">
        <f aca="false">IFERROR(IF(N(INDEX(Escalation_Index!$B$5:$B$25,MATCH(Y144,Escalation_Index!$A$5:$A$25,0)))&gt;0,INDEX(Escalation_Index!$B$5:$B$25,MATCH(Y144,Escalation_Index!$A$5:$A$25,0)),""),"")</f>
        <v>91.347</v>
      </c>
      <c r="BA144" s="49" t="n">
        <f aca="false">IF(ISNUMBER('Assumptions &amp; FX Reference'!$I$12),'Assumptions &amp; FX Reference'!$I$12,"")</f>
        <v>123.416</v>
      </c>
      <c r="BB144" s="45" t="str">
        <f aca="false">IF(AND(M144="API 610",LEFT(V144,11)="Centrifugal",OR(LEFT(G144,2)="S-",LEFT(G144,2)="D-")),"Y","N")</f>
        <v>Y</v>
      </c>
      <c r="BC144" s="47" t="n">
        <f aca="false">IF(ISNUMBER(AG144),AG144/AX144,"")</f>
        <v>12531.328320802</v>
      </c>
      <c r="BD144" s="47" t="n">
        <f aca="false">IF(AND(ISNUMBER(BC144),ISNUMBER(K144)),IF(K144&gt;0,BC144/K144^'Assumptions &amp; FX Reference'!$I$16,""),"")</f>
        <v>6006.90466554141</v>
      </c>
      <c r="BE144" s="42" t="s">
        <v>812</v>
      </c>
      <c r="BF144" s="42" t="s">
        <v>813</v>
      </c>
      <c r="BG144" s="42" t="s">
        <v>369</v>
      </c>
      <c r="BH144" s="45" t="s">
        <v>313</v>
      </c>
      <c r="BI144" s="45" t="str">
        <f aca="false">"PMP-"&amp;TEXT(A144,"0000")</f>
        <v>PMP-0140</v>
      </c>
    </row>
    <row r="145" customFormat="false" ht="24" hidden="false" customHeight="true" outlineLevel="0" collapsed="false">
      <c r="A145" s="42" t="n">
        <v>141</v>
      </c>
      <c r="B145" s="42" t="s">
        <v>731</v>
      </c>
      <c r="C145" s="42" t="s">
        <v>690</v>
      </c>
      <c r="D145" s="42" t="s">
        <v>732</v>
      </c>
      <c r="E145" s="42" t="s">
        <v>54</v>
      </c>
      <c r="F145" s="42" t="s">
        <v>132</v>
      </c>
      <c r="G145" s="42" t="s">
        <v>90</v>
      </c>
      <c r="H145" s="43" t="n">
        <v>15</v>
      </c>
      <c r="I145" s="43" t="n">
        <v>20</v>
      </c>
      <c r="J145" s="43"/>
      <c r="K145" s="44" t="n">
        <f aca="false">IF(ISNUMBER(J145),J145,IF(AND(ISNUMBER(H145),ISNUMBER(I145)),H145*I145/(367*'Assumptions &amp; FX Reference'!$I$17),""))</f>
        <v>1.36239782016349</v>
      </c>
      <c r="L145" s="45" t="str">
        <f aca="false">IF(IF(OR(M145="Not stated",M145=""),""," + "&amp;M145)&amp;IF(OR(N145="None",N145=""),""," + "&amp;N145)&amp;IF(O145="Y"," + NACE MR0175","")="","Not stated",MID(IF(OR(M145="Not stated",M145=""),""," + "&amp;M145)&amp;IF(OR(N145="None",N145=""),""," + "&amp;N145)&amp;IF(O145="Y"," + NACE MR0175",""),4,300))</f>
        <v>API 610 + IPS-G-PM-105</v>
      </c>
      <c r="M145" s="42" t="s">
        <v>478</v>
      </c>
      <c r="N145" s="42" t="s">
        <v>479</v>
      </c>
      <c r="O145" s="50" t="s">
        <v>312</v>
      </c>
      <c r="P145" s="42" t="s">
        <v>123</v>
      </c>
      <c r="Q145" s="42" t="s">
        <v>123</v>
      </c>
      <c r="R145" s="42" t="s">
        <v>123</v>
      </c>
      <c r="S145" s="50" t="s">
        <v>304</v>
      </c>
      <c r="T145" s="42" t="s">
        <v>342</v>
      </c>
      <c r="U145" s="42" t="n">
        <v>2</v>
      </c>
      <c r="V145" s="42" t="s">
        <v>306</v>
      </c>
      <c r="W145" s="43" t="n">
        <v>2.5</v>
      </c>
      <c r="X145" s="42" t="s">
        <v>123</v>
      </c>
      <c r="Y145" s="42" t="n">
        <v>1393</v>
      </c>
      <c r="Z145" s="42" t="s">
        <v>363</v>
      </c>
      <c r="AA145" s="46" t="n">
        <v>15000</v>
      </c>
      <c r="AB145" s="47" t="n">
        <f aca="false">IF(NOT(ISNUMBER(AA145)),"",IF(NOT(ISNUMBER(Y145)),"",IFERROR(IF(Z145="EUR",AA145,IF(Z145="IRR",AA145/INDEX('Assumptions &amp; FX Reference'!$C$5:$C$25,MATCH(Y145,'Assumptions &amp; FX Reference'!$A$5:$A$25,0)),IF(Z145="USD",AA145*INDEX('Assumptions &amp; FX Reference'!$B$5:$B$25,MATCH(Y145,'Assumptions &amp; FX Reference'!$A$5:$A$25,0))/INDEX('Assumptions &amp; FX Reference'!$C$5:$C$25,MATCH(Y145,'Assumptions &amp; FX Reference'!$A$5:$A$25,0)),""))),"")))</f>
        <v>15000</v>
      </c>
      <c r="AC145" s="47" t="n">
        <f aca="false">IF(NOT(ISNUMBER(AA145)),"",IF(NOT(ISNUMBER(Y145)),"",IFERROR(IF(Z145="USD",AA145,IF(Z145="IRR",AA145/INDEX('Assumptions &amp; FX Reference'!$B$5:$B$25,MATCH(Y145,'Assumptions &amp; FX Reference'!$A$5:$A$25,0)),IF(Z145="EUR",AA145*INDEX('Assumptions &amp; FX Reference'!$C$5:$C$25,MATCH(Y145,'Assumptions &amp; FX Reference'!$A$5:$A$25,0))/INDEX('Assumptions &amp; FX Reference'!$B$5:$B$25,MATCH(Y145,'Assumptions &amp; FX Reference'!$A$5:$A$25,0)),""))),"")))</f>
        <v>19611.6774193548</v>
      </c>
      <c r="AD145" s="47" t="n">
        <f aca="false">IF(NOT(ISNUMBER(AA145)),"",IF(NOT(ISNUMBER(Y145)),"",IFERROR(IF(Z145="IRR",AA145,IF(Z145="USD",AA145*INDEX('Assumptions &amp; FX Reference'!$B$5:$B$25,MATCH(Y145,'Assumptions &amp; FX Reference'!$A$5:$A$25,0)),IF(Z145="EUR",AA145*INDEX('Assumptions &amp; FX Reference'!$C$5:$C$25,MATCH(Y145,'Assumptions &amp; FX Reference'!$A$5:$A$25,0)),""))),"")))</f>
        <v>607962000</v>
      </c>
      <c r="AE145" s="42" t="s">
        <v>789</v>
      </c>
      <c r="AF145" s="42" t="s">
        <v>208</v>
      </c>
      <c r="AG145" s="47" t="n">
        <f aca="false">IF(AND(Z145="EUR",N(AA145)&gt;5000000),"",IF(AND(ISNUMBER(AB145),ISNUMBER(AZ145),ISNUMBER(BA145)),IF(AND(BB145="Y",ISNUMBER('Assumptions &amp; FX Reference'!$I$15)),MAX(AB145*BA145/AZ145,'Assumptions &amp; FX Reference'!$I$13*BA145/'Assumptions &amp; FX Reference'!$I$15),AB145*BA145/AZ145),""))</f>
        <v>25000</v>
      </c>
      <c r="AH145" s="47" t="n">
        <f aca="false">IF(AND(ISNUMBER(AG145),ISNUMBER('Assumptions &amp; FX Reference'!$I$8),ISNUMBER('Assumptions &amp; FX Reference'!$I$11)),AG145*'Assumptions &amp; FX Reference'!$I$8/'Assumptions &amp; FX Reference'!$I$11,"")</f>
        <v>26394.5770371416</v>
      </c>
      <c r="AI145" s="47" t="n">
        <f aca="false">IF(AND(ISNUMBER(AG145),ISNUMBER('Assumptions &amp; FX Reference'!$I$8)),AG145*'Assumptions &amp; FX Reference'!$I$8,"")</f>
        <v>17381700000</v>
      </c>
      <c r="AJ145" s="42" t="s">
        <v>693</v>
      </c>
      <c r="AK145" s="42" t="s">
        <v>366</v>
      </c>
      <c r="AL145" s="42" t="s">
        <v>123</v>
      </c>
      <c r="AM145" s="42" t="s">
        <v>123</v>
      </c>
      <c r="AN145" s="42" t="s">
        <v>123</v>
      </c>
      <c r="AO145" s="42" t="s">
        <v>123</v>
      </c>
      <c r="AP145" s="42" t="s">
        <v>123</v>
      </c>
      <c r="AQ145" s="42" t="s">
        <v>123</v>
      </c>
      <c r="AR145" s="42" t="s">
        <v>123</v>
      </c>
      <c r="AS145" s="45" t="str">
        <f aca="false">IF(AND(Z145="EUR",N(AA145)&gt;5000000),"Check currency (EUR&gt;5M); ","")&amp;IF(NOT(ISNUMBER(AA145)),"No price; ","")&amp;IF(G145="Not stated","Material missing; ","")&amp;IF(P145="Not stated","Seal missing; ","")&amp;IF(K145="","Size driver missing; ","")&amp;IF(NOT(ISNUMBER(AZ145)),"Base-year PPI missing; ","")</f>
        <v>Seal missing; </v>
      </c>
      <c r="AT145" s="48" t="n">
        <f aca="false">IFERROR(INDEX(Factors_ROT!$F$5:$F$200,MATCH("MAT|"&amp;G145,Factors_ROT!$A$5:$A$200,0)),1)</f>
        <v>1.1</v>
      </c>
      <c r="AU145" s="48" t="n">
        <f aca="false">IFERROR(INDEX(Factors_ROT!$F$5:$F$200,MATCH("SEAL_ARR|"&amp;P145,Factors_ROT!$A$5:$A$200,0)),1)*IFERROR(INDEX(Factors_ROT!$F$5:$F$200,MATCH("SEAL_CAT|"&amp;Q145,Factors_ROT!$A$5:$A$200,0)),1)*IFERROR(INDEX(Factors_ROT!$F$5:$F$200,MATCH("SEAL_PLAN|"&amp;R145,Factors_ROT!$A$5:$A$200,0)),1)</f>
        <v>1</v>
      </c>
      <c r="AV145" s="48" t="n">
        <f aca="false">IFERROR(INDEX(Factors_ROT!$F$5:$F$200,MATCH("DRV|"&amp;S145,Factors_ROT!$A$5:$A$200,0)),1)*IFERROR(INDEX(Factors_ROT!$F$5:$F$200,MATCH("NACE|"&amp;O145,Factors_ROT!$A$5:$A$200,0)),1)</f>
        <v>1</v>
      </c>
      <c r="AW145" s="48" t="n">
        <f aca="false">IFERROR(INDEX(Factors_ROT!$F$5:$F$200,MATCH("SC_DRV|"&amp;AL145,Factors_ROT!$A$5:$A$200,0)),1)*IFERROR(INDEX(Factors_ROT!$F$5:$F$200,MATCH("SC_BSP|"&amp;AM145,Factors_ROT!$A$5:$A$200,0)),1)*IFERROR(INDEX(Factors_ROT!$F$5:$F$200,MATCH("SC_SEAL|"&amp;AN145,Factors_ROT!$A$5:$A$200,0)),1)*IFERROR(INDEX(Factors_ROT!$F$5:$F$200,MATCH("SC_COMM|"&amp;AO145,Factors_ROT!$A$5:$A$200,0)),1)*IFERROR(INDEX(Factors_ROT!$F$5:$F$200,MATCH("SC_2Y|"&amp;AP145,Factors_ROT!$A$5:$A$200,0)),1)*IFERROR(INDEX(Factors_ROT!$F$5:$F$200,MATCH("SC_TPI|"&amp;AQ145,Factors_ROT!$A$5:$A$200,0)),1)*IFERROR(INDEX(Factors_ROT!$F$5:$F$200,MATCH("SC_FAT|"&amp;AR145,Factors_ROT!$A$5:$A$200,0)),1)</f>
        <v>1</v>
      </c>
      <c r="AX145" s="48" t="n">
        <f aca="false">AT145*AU145*AV145*AW145</f>
        <v>1.1</v>
      </c>
      <c r="AY145" s="47" t="n">
        <f aca="false">IF(ISNUMBER(AB145),AB145/AX145,"")</f>
        <v>13636.3636363636</v>
      </c>
      <c r="AZ145" s="49" t="n">
        <f aca="false">IFERROR(IF(N(INDEX(Escalation_Index!$B$5:$B$25,MATCH(Y145,Escalation_Index!$A$5:$A$25,0)))&gt;0,INDEX(Escalation_Index!$B$5:$B$25,MATCH(Y145,Escalation_Index!$A$5:$A$25,0)),""),"")</f>
        <v>91.347</v>
      </c>
      <c r="BA145" s="49" t="n">
        <f aca="false">IF(ISNUMBER('Assumptions &amp; FX Reference'!$I$12),'Assumptions &amp; FX Reference'!$I$12,"")</f>
        <v>123.416</v>
      </c>
      <c r="BB145" s="45" t="str">
        <f aca="false">IF(AND(M145="API 610",LEFT(V145,11)="Centrifugal",OR(LEFT(G145,2)="S-",LEFT(G145,2)="D-")),"Y","N")</f>
        <v>Y</v>
      </c>
      <c r="BC145" s="47" t="n">
        <f aca="false">IF(ISNUMBER(AG145),AG145/AX145,"")</f>
        <v>22727.2727272727</v>
      </c>
      <c r="BD145" s="47" t="n">
        <f aca="false">IF(AND(ISNUMBER(BC145),ISNUMBER(K145)),IF(K145&gt;0,BC145/K145^'Assumptions &amp; FX Reference'!$I$16,""),"")</f>
        <v>18878.3902489273</v>
      </c>
      <c r="BE145" s="42" t="s">
        <v>814</v>
      </c>
      <c r="BF145" s="42" t="s">
        <v>815</v>
      </c>
      <c r="BG145" s="42" t="s">
        <v>369</v>
      </c>
      <c r="BH145" s="45" t="s">
        <v>313</v>
      </c>
      <c r="BI145" s="45" t="str">
        <f aca="false">"PMP-"&amp;TEXT(A145,"0000")</f>
        <v>PMP-0141</v>
      </c>
    </row>
    <row r="146" customFormat="false" ht="24" hidden="false" customHeight="true" outlineLevel="0" collapsed="false">
      <c r="A146" s="42" t="n">
        <v>142</v>
      </c>
      <c r="B146" s="42" t="s">
        <v>635</v>
      </c>
      <c r="C146" s="42" t="s">
        <v>690</v>
      </c>
      <c r="D146" s="42" t="s">
        <v>735</v>
      </c>
      <c r="E146" s="42" t="s">
        <v>57</v>
      </c>
      <c r="F146" s="42" t="s">
        <v>192</v>
      </c>
      <c r="G146" s="42" t="s">
        <v>78</v>
      </c>
      <c r="H146" s="43" t="n">
        <v>10</v>
      </c>
      <c r="I146" s="43" t="n">
        <v>21</v>
      </c>
      <c r="J146" s="43"/>
      <c r="K146" s="44" t="n">
        <f aca="false">IF(ISNUMBER(J146),J146,IF(AND(ISNUMBER(H146),ISNUMBER(I146)),H146*I146/(367*'Assumptions &amp; FX Reference'!$I$17),""))</f>
        <v>0.953678474114442</v>
      </c>
      <c r="L146" s="45" t="str">
        <f aca="false">IF(IF(OR(M146="Not stated",M146=""),""," + "&amp;M146)&amp;IF(OR(N146="None",N146=""),""," + "&amp;N146)&amp;IF(O146="Y"," + NACE MR0175","")="","Not stated",MID(IF(OR(M146="Not stated",M146=""),""," + "&amp;M146)&amp;IF(OR(N146="None",N146=""),""," + "&amp;N146)&amp;IF(O146="Y"," + NACE MR0175",""),4,300))</f>
        <v>ISO 5199 + IPS-M-PM-115</v>
      </c>
      <c r="M146" s="42" t="s">
        <v>623</v>
      </c>
      <c r="N146" s="42" t="s">
        <v>624</v>
      </c>
      <c r="O146" s="50" t="s">
        <v>312</v>
      </c>
      <c r="P146" s="42" t="s">
        <v>123</v>
      </c>
      <c r="Q146" s="42" t="s">
        <v>123</v>
      </c>
      <c r="R146" s="42" t="s">
        <v>123</v>
      </c>
      <c r="S146" s="50" t="s">
        <v>304</v>
      </c>
      <c r="T146" s="42" t="s">
        <v>346</v>
      </c>
      <c r="U146" s="42" t="n">
        <v>1</v>
      </c>
      <c r="V146" s="42" t="s">
        <v>306</v>
      </c>
      <c r="W146" s="43" t="n">
        <v>2</v>
      </c>
      <c r="X146" s="42" t="s">
        <v>123</v>
      </c>
      <c r="Y146" s="42" t="n">
        <v>1393</v>
      </c>
      <c r="Z146" s="42" t="s">
        <v>363</v>
      </c>
      <c r="AA146" s="46" t="n">
        <v>10000</v>
      </c>
      <c r="AB146" s="47" t="n">
        <f aca="false">IF(NOT(ISNUMBER(AA146)),"",IF(NOT(ISNUMBER(Y146)),"",IFERROR(IF(Z146="EUR",AA146,IF(Z146="IRR",AA146/INDEX('Assumptions &amp; FX Reference'!$C$5:$C$25,MATCH(Y146,'Assumptions &amp; FX Reference'!$A$5:$A$25,0)),IF(Z146="USD",AA146*INDEX('Assumptions &amp; FX Reference'!$B$5:$B$25,MATCH(Y146,'Assumptions &amp; FX Reference'!$A$5:$A$25,0))/INDEX('Assumptions &amp; FX Reference'!$C$5:$C$25,MATCH(Y146,'Assumptions &amp; FX Reference'!$A$5:$A$25,0)),""))),"")))</f>
        <v>10000</v>
      </c>
      <c r="AC146" s="47" t="n">
        <f aca="false">IF(NOT(ISNUMBER(AA146)),"",IF(NOT(ISNUMBER(Y146)),"",IFERROR(IF(Z146="USD",AA146,IF(Z146="IRR",AA146/INDEX('Assumptions &amp; FX Reference'!$B$5:$B$25,MATCH(Y146,'Assumptions &amp; FX Reference'!$A$5:$A$25,0)),IF(Z146="EUR",AA146*INDEX('Assumptions &amp; FX Reference'!$C$5:$C$25,MATCH(Y146,'Assumptions &amp; FX Reference'!$A$5:$A$25,0))/INDEX('Assumptions &amp; FX Reference'!$B$5:$B$25,MATCH(Y146,'Assumptions &amp; FX Reference'!$A$5:$A$25,0)),""))),"")))</f>
        <v>13074.4516129032</v>
      </c>
      <c r="AD146" s="47" t="n">
        <f aca="false">IF(NOT(ISNUMBER(AA146)),"",IF(NOT(ISNUMBER(Y146)),"",IFERROR(IF(Z146="IRR",AA146,IF(Z146="USD",AA146*INDEX('Assumptions &amp; FX Reference'!$B$5:$B$25,MATCH(Y146,'Assumptions &amp; FX Reference'!$A$5:$A$25,0)),IF(Z146="EUR",AA146*INDEX('Assumptions &amp; FX Reference'!$C$5:$C$25,MATCH(Y146,'Assumptions &amp; FX Reference'!$A$5:$A$25,0)),""))),"")))</f>
        <v>405308000</v>
      </c>
      <c r="AE146" s="42" t="s">
        <v>789</v>
      </c>
      <c r="AF146" s="42" t="s">
        <v>208</v>
      </c>
      <c r="AG146" s="47" t="n">
        <f aca="false">IF(AND(Z146="EUR",N(AA146)&gt;5000000),"",IF(AND(ISNUMBER(AB146),ISNUMBER(AZ146),ISNUMBER(BA146)),IF(AND(BB146="Y",ISNUMBER('Assumptions &amp; FX Reference'!$I$15)),MAX(AB146*BA146/AZ146,'Assumptions &amp; FX Reference'!$I$13*BA146/'Assumptions &amp; FX Reference'!$I$15),AB146*BA146/AZ146),""))</f>
        <v>13510.6790589729</v>
      </c>
      <c r="AH146" s="47" t="n">
        <f aca="false">IF(AND(ISNUMBER(AG146),ISNUMBER('Assumptions &amp; FX Reference'!$I$8),ISNUMBER('Assumptions &amp; FX Reference'!$I$11)),AG146*'Assumptions &amp; FX Reference'!$I$8/'Assumptions &amp; FX Reference'!$I$11,"")</f>
        <v>14264.3463698463</v>
      </c>
      <c r="AI146" s="47" t="n">
        <f aca="false">IF(AND(ISNUMBER(AG146),ISNUMBER('Assumptions &amp; FX Reference'!$I$8)),AG146*'Assumptions &amp; FX Reference'!$I$8,"")</f>
        <v>9393542807.97399</v>
      </c>
      <c r="AJ146" s="42" t="s">
        <v>693</v>
      </c>
      <c r="AK146" s="42" t="s">
        <v>366</v>
      </c>
      <c r="AL146" s="42" t="s">
        <v>123</v>
      </c>
      <c r="AM146" s="42" t="s">
        <v>123</v>
      </c>
      <c r="AN146" s="42" t="s">
        <v>123</v>
      </c>
      <c r="AO146" s="42" t="s">
        <v>123</v>
      </c>
      <c r="AP146" s="42" t="s">
        <v>123</v>
      </c>
      <c r="AQ146" s="42" t="s">
        <v>123</v>
      </c>
      <c r="AR146" s="42" t="s">
        <v>123</v>
      </c>
      <c r="AS146" s="45" t="str">
        <f aca="false">IF(AND(Z146="EUR",N(AA146)&gt;5000000),"Check currency (EUR&gt;5M); ","")&amp;IF(NOT(ISNUMBER(AA146)),"No price; ","")&amp;IF(G146="Not stated","Material missing; ","")&amp;IF(P146="Not stated","Seal missing; ","")&amp;IF(K146="","Size driver missing; ","")&amp;IF(NOT(ISNUMBER(AZ146)),"Base-year PPI missing; ","")</f>
        <v>Seal missing; </v>
      </c>
      <c r="AT146" s="48" t="n">
        <f aca="false">IFERROR(INDEX(Factors_ROT!$F$5:$F$200,MATCH("MAT|"&amp;G146,Factors_ROT!$A$5:$A$200,0)),1)</f>
        <v>0.9</v>
      </c>
      <c r="AU146" s="48" t="n">
        <f aca="false">IFERROR(INDEX(Factors_ROT!$F$5:$F$200,MATCH("SEAL_ARR|"&amp;P146,Factors_ROT!$A$5:$A$200,0)),1)*IFERROR(INDEX(Factors_ROT!$F$5:$F$200,MATCH("SEAL_CAT|"&amp;Q146,Factors_ROT!$A$5:$A$200,0)),1)*IFERROR(INDEX(Factors_ROT!$F$5:$F$200,MATCH("SEAL_PLAN|"&amp;R146,Factors_ROT!$A$5:$A$200,0)),1)</f>
        <v>1</v>
      </c>
      <c r="AV146" s="48" t="n">
        <f aca="false">IFERROR(INDEX(Factors_ROT!$F$5:$F$200,MATCH("DRV|"&amp;S146,Factors_ROT!$A$5:$A$200,0)),1)*IFERROR(INDEX(Factors_ROT!$F$5:$F$200,MATCH("NACE|"&amp;O146,Factors_ROT!$A$5:$A$200,0)),1)</f>
        <v>1</v>
      </c>
      <c r="AW146" s="48" t="n">
        <f aca="false">IFERROR(INDEX(Factors_ROT!$F$5:$F$200,MATCH("SC_DRV|"&amp;AL146,Factors_ROT!$A$5:$A$200,0)),1)*IFERROR(INDEX(Factors_ROT!$F$5:$F$200,MATCH("SC_BSP|"&amp;AM146,Factors_ROT!$A$5:$A$200,0)),1)*IFERROR(INDEX(Factors_ROT!$F$5:$F$200,MATCH("SC_SEAL|"&amp;AN146,Factors_ROT!$A$5:$A$200,0)),1)*IFERROR(INDEX(Factors_ROT!$F$5:$F$200,MATCH("SC_COMM|"&amp;AO146,Factors_ROT!$A$5:$A$200,0)),1)*IFERROR(INDEX(Factors_ROT!$F$5:$F$200,MATCH("SC_2Y|"&amp;AP146,Factors_ROT!$A$5:$A$200,0)),1)*IFERROR(INDEX(Factors_ROT!$F$5:$F$200,MATCH("SC_TPI|"&amp;AQ146,Factors_ROT!$A$5:$A$200,0)),1)*IFERROR(INDEX(Factors_ROT!$F$5:$F$200,MATCH("SC_FAT|"&amp;AR146,Factors_ROT!$A$5:$A$200,0)),1)</f>
        <v>1</v>
      </c>
      <c r="AX146" s="48" t="n">
        <f aca="false">AT146*AU146*AV146*AW146</f>
        <v>0.9</v>
      </c>
      <c r="AY146" s="47" t="n">
        <f aca="false">IF(ISNUMBER(AB146),AB146/AX146,"")</f>
        <v>11111.1111111111</v>
      </c>
      <c r="AZ146" s="49" t="n">
        <f aca="false">IFERROR(IF(N(INDEX(Escalation_Index!$B$5:$B$25,MATCH(Y146,Escalation_Index!$A$5:$A$25,0)))&gt;0,INDEX(Escalation_Index!$B$5:$B$25,MATCH(Y146,Escalation_Index!$A$5:$A$25,0)),""),"")</f>
        <v>91.347</v>
      </c>
      <c r="BA146" s="49" t="n">
        <f aca="false">IF(ISNUMBER('Assumptions &amp; FX Reference'!$I$12),'Assumptions &amp; FX Reference'!$I$12,"")</f>
        <v>123.416</v>
      </c>
      <c r="BB146" s="45" t="str">
        <f aca="false">IF(AND(M146="API 610",LEFT(V146,11)="Centrifugal",OR(LEFT(G146,2)="S-",LEFT(G146,2)="D-")),"Y","N")</f>
        <v>N</v>
      </c>
      <c r="BC146" s="47" t="n">
        <f aca="false">IF(ISNUMBER(AG146),AG146/AX146,"")</f>
        <v>15011.865621081</v>
      </c>
      <c r="BD146" s="47" t="n">
        <f aca="false">IF(AND(ISNUMBER(BC146),ISNUMBER(K146)),IF(K146&gt;0,BC146/K146^'Assumptions &amp; FX Reference'!$I$16,""),"")</f>
        <v>15445.1979995491</v>
      </c>
      <c r="BE146" s="42" t="s">
        <v>816</v>
      </c>
      <c r="BF146" s="42" t="s">
        <v>817</v>
      </c>
      <c r="BG146" s="42" t="s">
        <v>369</v>
      </c>
      <c r="BH146" s="45" t="s">
        <v>313</v>
      </c>
      <c r="BI146" s="45" t="str">
        <f aca="false">"PMP-"&amp;TEXT(A146,"0000")</f>
        <v>PMP-0142</v>
      </c>
    </row>
    <row r="147" customFormat="false" ht="24" hidden="false" customHeight="true" outlineLevel="0" collapsed="false">
      <c r="A147" s="42" t="n">
        <v>143</v>
      </c>
      <c r="B147" s="42" t="s">
        <v>657</v>
      </c>
      <c r="C147" s="42" t="s">
        <v>690</v>
      </c>
      <c r="D147" s="42" t="s">
        <v>738</v>
      </c>
      <c r="E147" s="42" t="s">
        <v>60</v>
      </c>
      <c r="F147" s="42" t="s">
        <v>192</v>
      </c>
      <c r="G147" s="42" t="s">
        <v>74</v>
      </c>
      <c r="H147" s="43" t="n">
        <v>33</v>
      </c>
      <c r="I147" s="43" t="n">
        <v>31</v>
      </c>
      <c r="J147" s="43"/>
      <c r="K147" s="44" t="n">
        <f aca="false">IF(ISNUMBER(J147),J147,IF(AND(ISNUMBER(H147),ISNUMBER(I147)),H147*I147/(367*'Assumptions &amp; FX Reference'!$I$17),""))</f>
        <v>4.64577656675749</v>
      </c>
      <c r="L147" s="45" t="str">
        <f aca="false">IF(IF(OR(M147="Not stated",M147=""),""," + "&amp;M147)&amp;IF(OR(N147="None",N147=""),""," + "&amp;N147)&amp;IF(O147="Y"," + NACE MR0175","")="","Not stated",MID(IF(OR(M147="Not stated",M147=""),""," + "&amp;M147)&amp;IF(OR(N147="None",N147=""),""," + "&amp;N147)&amp;IF(O147="Y"," + NACE MR0175",""),4,300))</f>
        <v>ISO 5199 + IPS-M-PM-115</v>
      </c>
      <c r="M147" s="42" t="s">
        <v>623</v>
      </c>
      <c r="N147" s="42" t="s">
        <v>624</v>
      </c>
      <c r="O147" s="50" t="s">
        <v>312</v>
      </c>
      <c r="P147" s="42" t="s">
        <v>123</v>
      </c>
      <c r="Q147" s="42" t="s">
        <v>123</v>
      </c>
      <c r="R147" s="42" t="s">
        <v>123</v>
      </c>
      <c r="S147" s="50" t="s">
        <v>304</v>
      </c>
      <c r="T147" s="42" t="s">
        <v>453</v>
      </c>
      <c r="U147" s="42" t="n">
        <v>1</v>
      </c>
      <c r="V147" s="42" t="s">
        <v>306</v>
      </c>
      <c r="W147" s="43" t="n">
        <v>2.9</v>
      </c>
      <c r="X147" s="42" t="s">
        <v>123</v>
      </c>
      <c r="Y147" s="42" t="n">
        <v>1393</v>
      </c>
      <c r="Z147" s="42" t="s">
        <v>363</v>
      </c>
      <c r="AA147" s="46" t="n">
        <v>6500</v>
      </c>
      <c r="AB147" s="47" t="n">
        <f aca="false">IF(NOT(ISNUMBER(AA147)),"",IF(NOT(ISNUMBER(Y147)),"",IFERROR(IF(Z147="EUR",AA147,IF(Z147="IRR",AA147/INDEX('Assumptions &amp; FX Reference'!$C$5:$C$25,MATCH(Y147,'Assumptions &amp; FX Reference'!$A$5:$A$25,0)),IF(Z147="USD",AA147*INDEX('Assumptions &amp; FX Reference'!$B$5:$B$25,MATCH(Y147,'Assumptions &amp; FX Reference'!$A$5:$A$25,0))/INDEX('Assumptions &amp; FX Reference'!$C$5:$C$25,MATCH(Y147,'Assumptions &amp; FX Reference'!$A$5:$A$25,0)),""))),"")))</f>
        <v>6500</v>
      </c>
      <c r="AC147" s="47" t="n">
        <f aca="false">IF(NOT(ISNUMBER(AA147)),"",IF(NOT(ISNUMBER(Y147)),"",IFERROR(IF(Z147="USD",AA147,IF(Z147="IRR",AA147/INDEX('Assumptions &amp; FX Reference'!$B$5:$B$25,MATCH(Y147,'Assumptions &amp; FX Reference'!$A$5:$A$25,0)),IF(Z147="EUR",AA147*INDEX('Assumptions &amp; FX Reference'!$C$5:$C$25,MATCH(Y147,'Assumptions &amp; FX Reference'!$A$5:$A$25,0))/INDEX('Assumptions &amp; FX Reference'!$B$5:$B$25,MATCH(Y147,'Assumptions &amp; FX Reference'!$A$5:$A$25,0)),""))),"")))</f>
        <v>8498.3935483871</v>
      </c>
      <c r="AD147" s="47" t="n">
        <f aca="false">IF(NOT(ISNUMBER(AA147)),"",IF(NOT(ISNUMBER(Y147)),"",IFERROR(IF(Z147="IRR",AA147,IF(Z147="USD",AA147*INDEX('Assumptions &amp; FX Reference'!$B$5:$B$25,MATCH(Y147,'Assumptions &amp; FX Reference'!$A$5:$A$25,0)),IF(Z147="EUR",AA147*INDEX('Assumptions &amp; FX Reference'!$C$5:$C$25,MATCH(Y147,'Assumptions &amp; FX Reference'!$A$5:$A$25,0)),""))),"")))</f>
        <v>263450200</v>
      </c>
      <c r="AE147" s="42" t="s">
        <v>789</v>
      </c>
      <c r="AF147" s="42" t="s">
        <v>208</v>
      </c>
      <c r="AG147" s="47" t="n">
        <f aca="false">IF(AND(Z147="EUR",N(AA147)&gt;5000000),"",IF(AND(ISNUMBER(AB147),ISNUMBER(AZ147),ISNUMBER(BA147)),IF(AND(BB147="Y",ISNUMBER('Assumptions &amp; FX Reference'!$I$15)),MAX(AB147*BA147/AZ147,'Assumptions &amp; FX Reference'!$I$13*BA147/'Assumptions &amp; FX Reference'!$I$15),AB147*BA147/AZ147),""))</f>
        <v>8781.9413883324</v>
      </c>
      <c r="AH147" s="47" t="n">
        <f aca="false">IF(AND(ISNUMBER(AG147),ISNUMBER('Assumptions &amp; FX Reference'!$I$8),ISNUMBER('Assumptions &amp; FX Reference'!$I$11)),AG147*'Assumptions &amp; FX Reference'!$I$8/'Assumptions &amp; FX Reference'!$I$11,"")</f>
        <v>9271.82514040009</v>
      </c>
      <c r="AI147" s="47" t="n">
        <f aca="false">IF(AND(ISNUMBER(AG147),ISNUMBER('Assumptions &amp; FX Reference'!$I$8)),AG147*'Assumptions &amp; FX Reference'!$I$8,"")</f>
        <v>6105802825.18309</v>
      </c>
      <c r="AJ147" s="42" t="s">
        <v>693</v>
      </c>
      <c r="AK147" s="42" t="s">
        <v>366</v>
      </c>
      <c r="AL147" s="42" t="s">
        <v>123</v>
      </c>
      <c r="AM147" s="42" t="s">
        <v>123</v>
      </c>
      <c r="AN147" s="42" t="s">
        <v>123</v>
      </c>
      <c r="AO147" s="42" t="s">
        <v>123</v>
      </c>
      <c r="AP147" s="42" t="s">
        <v>123</v>
      </c>
      <c r="AQ147" s="42" t="s">
        <v>123</v>
      </c>
      <c r="AR147" s="42" t="s">
        <v>123</v>
      </c>
      <c r="AS147" s="45" t="str">
        <f aca="false">IF(AND(Z147="EUR",N(AA147)&gt;5000000),"Check currency (EUR&gt;5M); ","")&amp;IF(NOT(ISNUMBER(AA147)),"No price; ","")&amp;IF(G147="Not stated","Material missing; ","")&amp;IF(P147="Not stated","Seal missing; ","")&amp;IF(K147="","Size driver missing; ","")&amp;IF(NOT(ISNUMBER(AZ147)),"Base-year PPI missing; ","")</f>
        <v>Seal missing; </v>
      </c>
      <c r="AT147" s="48" t="n">
        <f aca="false">IFERROR(INDEX(Factors_ROT!$F$5:$F$200,MATCH("MAT|"&amp;G147,Factors_ROT!$A$5:$A$200,0)),1)</f>
        <v>0.8</v>
      </c>
      <c r="AU147" s="48" t="n">
        <f aca="false">IFERROR(INDEX(Factors_ROT!$F$5:$F$200,MATCH("SEAL_ARR|"&amp;P147,Factors_ROT!$A$5:$A$200,0)),1)*IFERROR(INDEX(Factors_ROT!$F$5:$F$200,MATCH("SEAL_CAT|"&amp;Q147,Factors_ROT!$A$5:$A$200,0)),1)*IFERROR(INDEX(Factors_ROT!$F$5:$F$200,MATCH("SEAL_PLAN|"&amp;R147,Factors_ROT!$A$5:$A$200,0)),1)</f>
        <v>1</v>
      </c>
      <c r="AV147" s="48" t="n">
        <f aca="false">IFERROR(INDEX(Factors_ROT!$F$5:$F$200,MATCH("DRV|"&amp;S147,Factors_ROT!$A$5:$A$200,0)),1)*IFERROR(INDEX(Factors_ROT!$F$5:$F$200,MATCH("NACE|"&amp;O147,Factors_ROT!$A$5:$A$200,0)),1)</f>
        <v>1</v>
      </c>
      <c r="AW147" s="48" t="n">
        <f aca="false">IFERROR(INDEX(Factors_ROT!$F$5:$F$200,MATCH("SC_DRV|"&amp;AL147,Factors_ROT!$A$5:$A$200,0)),1)*IFERROR(INDEX(Factors_ROT!$F$5:$F$200,MATCH("SC_BSP|"&amp;AM147,Factors_ROT!$A$5:$A$200,0)),1)*IFERROR(INDEX(Factors_ROT!$F$5:$F$200,MATCH("SC_SEAL|"&amp;AN147,Factors_ROT!$A$5:$A$200,0)),1)*IFERROR(INDEX(Factors_ROT!$F$5:$F$200,MATCH("SC_COMM|"&amp;AO147,Factors_ROT!$A$5:$A$200,0)),1)*IFERROR(INDEX(Factors_ROT!$F$5:$F$200,MATCH("SC_2Y|"&amp;AP147,Factors_ROT!$A$5:$A$200,0)),1)*IFERROR(INDEX(Factors_ROT!$F$5:$F$200,MATCH("SC_TPI|"&amp;AQ147,Factors_ROT!$A$5:$A$200,0)),1)*IFERROR(INDEX(Factors_ROT!$F$5:$F$200,MATCH("SC_FAT|"&amp;AR147,Factors_ROT!$A$5:$A$200,0)),1)</f>
        <v>1</v>
      </c>
      <c r="AX147" s="48" t="n">
        <f aca="false">AT147*AU147*AV147*AW147</f>
        <v>0.8</v>
      </c>
      <c r="AY147" s="47" t="n">
        <f aca="false">IF(ISNUMBER(AB147),AB147/AX147,"")</f>
        <v>8125</v>
      </c>
      <c r="AZ147" s="49" t="n">
        <f aca="false">IFERROR(IF(N(INDEX(Escalation_Index!$B$5:$B$25,MATCH(Y147,Escalation_Index!$A$5:$A$25,0)))&gt;0,INDEX(Escalation_Index!$B$5:$B$25,MATCH(Y147,Escalation_Index!$A$5:$A$25,0)),""),"")</f>
        <v>91.347</v>
      </c>
      <c r="BA147" s="49" t="n">
        <f aca="false">IF(ISNUMBER('Assumptions &amp; FX Reference'!$I$12),'Assumptions &amp; FX Reference'!$I$12,"")</f>
        <v>123.416</v>
      </c>
      <c r="BB147" s="45" t="str">
        <f aca="false">IF(AND(M147="API 610",LEFT(V147,11)="Centrifugal",OR(LEFT(G147,2)="S-",LEFT(G147,2)="D-")),"Y","N")</f>
        <v>N</v>
      </c>
      <c r="BC147" s="47" t="n">
        <f aca="false">IF(ISNUMBER(AG147),AG147/AX147,"")</f>
        <v>10977.4267354155</v>
      </c>
      <c r="BD147" s="47" t="n">
        <f aca="false">IF(AND(ISNUMBER(BC147),ISNUMBER(K147)),IF(K147&gt;0,BC147/K147^'Assumptions &amp; FX Reference'!$I$16,""),"")</f>
        <v>4367.82827948614</v>
      </c>
      <c r="BE147" s="42" t="s">
        <v>818</v>
      </c>
      <c r="BF147" s="42" t="s">
        <v>819</v>
      </c>
      <c r="BG147" s="42" t="s">
        <v>369</v>
      </c>
      <c r="BH147" s="45" t="s">
        <v>313</v>
      </c>
      <c r="BI147" s="45" t="str">
        <f aca="false">"PMP-"&amp;TEXT(A147,"0000")</f>
        <v>PMP-0143</v>
      </c>
    </row>
    <row r="148" customFormat="false" ht="24" hidden="false" customHeight="true" outlineLevel="0" collapsed="false">
      <c r="A148" s="42" t="n">
        <v>144</v>
      </c>
      <c r="B148" s="42" t="s">
        <v>643</v>
      </c>
      <c r="C148" s="42" t="s">
        <v>690</v>
      </c>
      <c r="D148" s="42" t="s">
        <v>741</v>
      </c>
      <c r="E148" s="42" t="s">
        <v>60</v>
      </c>
      <c r="F148" s="42" t="s">
        <v>186</v>
      </c>
      <c r="G148" s="42" t="s">
        <v>74</v>
      </c>
      <c r="H148" s="43" t="n">
        <v>825</v>
      </c>
      <c r="I148" s="43" t="n">
        <v>107</v>
      </c>
      <c r="J148" s="43"/>
      <c r="K148" s="44" t="n">
        <f aca="false">IF(ISNUMBER(J148),J148,IF(AND(ISNUMBER(H148),ISNUMBER(I148)),H148*I148/(367*'Assumptions &amp; FX Reference'!$I$17),""))</f>
        <v>400.885558583106</v>
      </c>
      <c r="L148" s="45" t="str">
        <f aca="false">IF(IF(OR(M148="Not stated",M148=""),""," + "&amp;M148)&amp;IF(OR(N148="None",N148=""),""," + "&amp;N148)&amp;IF(O148="Y"," + NACE MR0175","")="","Not stated",MID(IF(OR(M148="Not stated",M148=""),""," + "&amp;M148)&amp;IF(OR(N148="None",N148=""),""," + "&amp;N148)&amp;IF(O148="Y"," + NACE MR0175",""),4,300))</f>
        <v>NFPA 20 + IPS-M-PM-125</v>
      </c>
      <c r="M148" s="42" t="s">
        <v>645</v>
      </c>
      <c r="N148" s="42" t="s">
        <v>646</v>
      </c>
      <c r="O148" s="50" t="s">
        <v>312</v>
      </c>
      <c r="P148" s="42" t="s">
        <v>123</v>
      </c>
      <c r="Q148" s="42" t="s">
        <v>123</v>
      </c>
      <c r="R148" s="42" t="s">
        <v>123</v>
      </c>
      <c r="S148" s="42" t="s">
        <v>304</v>
      </c>
      <c r="T148" s="42" t="s">
        <v>453</v>
      </c>
      <c r="U148" s="42" t="n">
        <v>1</v>
      </c>
      <c r="V148" s="42" t="s">
        <v>306</v>
      </c>
      <c r="W148" s="43" t="n">
        <v>11.3</v>
      </c>
      <c r="X148" s="42" t="s">
        <v>123</v>
      </c>
      <c r="Y148" s="42" t="n">
        <v>1393</v>
      </c>
      <c r="Z148" s="42" t="s">
        <v>363</v>
      </c>
      <c r="AA148" s="46" t="n">
        <v>80000</v>
      </c>
      <c r="AB148" s="47" t="n">
        <f aca="false">IF(NOT(ISNUMBER(AA148)),"",IF(NOT(ISNUMBER(Y148)),"",IFERROR(IF(Z148="EUR",AA148,IF(Z148="IRR",AA148/INDEX('Assumptions &amp; FX Reference'!$C$5:$C$25,MATCH(Y148,'Assumptions &amp; FX Reference'!$A$5:$A$25,0)),IF(Z148="USD",AA148*INDEX('Assumptions &amp; FX Reference'!$B$5:$B$25,MATCH(Y148,'Assumptions &amp; FX Reference'!$A$5:$A$25,0))/INDEX('Assumptions &amp; FX Reference'!$C$5:$C$25,MATCH(Y148,'Assumptions &amp; FX Reference'!$A$5:$A$25,0)),""))),"")))</f>
        <v>80000</v>
      </c>
      <c r="AC148" s="47" t="n">
        <f aca="false">IF(NOT(ISNUMBER(AA148)),"",IF(NOT(ISNUMBER(Y148)),"",IFERROR(IF(Z148="USD",AA148,IF(Z148="IRR",AA148/INDEX('Assumptions &amp; FX Reference'!$B$5:$B$25,MATCH(Y148,'Assumptions &amp; FX Reference'!$A$5:$A$25,0)),IF(Z148="EUR",AA148*INDEX('Assumptions &amp; FX Reference'!$C$5:$C$25,MATCH(Y148,'Assumptions &amp; FX Reference'!$A$5:$A$25,0))/INDEX('Assumptions &amp; FX Reference'!$B$5:$B$25,MATCH(Y148,'Assumptions &amp; FX Reference'!$A$5:$A$25,0)),""))),"")))</f>
        <v>104595.612903226</v>
      </c>
      <c r="AD148" s="47" t="n">
        <f aca="false">IF(NOT(ISNUMBER(AA148)),"",IF(NOT(ISNUMBER(Y148)),"",IFERROR(IF(Z148="IRR",AA148,IF(Z148="USD",AA148*INDEX('Assumptions &amp; FX Reference'!$B$5:$B$25,MATCH(Y148,'Assumptions &amp; FX Reference'!$A$5:$A$25,0)),IF(Z148="EUR",AA148*INDEX('Assumptions &amp; FX Reference'!$C$5:$C$25,MATCH(Y148,'Assumptions &amp; FX Reference'!$A$5:$A$25,0)),""))),"")))</f>
        <v>3242464000</v>
      </c>
      <c r="AE148" s="42" t="s">
        <v>789</v>
      </c>
      <c r="AF148" s="42" t="s">
        <v>208</v>
      </c>
      <c r="AG148" s="47" t="n">
        <f aca="false">IF(AND(Z148="EUR",N(AA148)&gt;5000000),"",IF(AND(ISNUMBER(AB148),ISNUMBER(AZ148),ISNUMBER(BA148)),IF(AND(BB148="Y",ISNUMBER('Assumptions &amp; FX Reference'!$I$15)),MAX(AB148*BA148/AZ148,'Assumptions &amp; FX Reference'!$I$13*BA148/'Assumptions &amp; FX Reference'!$I$15),AB148*BA148/AZ148),""))</f>
        <v>108085.432471783</v>
      </c>
      <c r="AH148" s="47" t="n">
        <f aca="false">IF(AND(ISNUMBER(AG148),ISNUMBER('Assumptions &amp; FX Reference'!$I$8),ISNUMBER('Assumptions &amp; FX Reference'!$I$11)),AG148*'Assumptions &amp; FX Reference'!$I$8/'Assumptions &amp; FX Reference'!$I$11,"")</f>
        <v>114114.77095877</v>
      </c>
      <c r="AI148" s="47" t="n">
        <f aca="false">IF(AND(ISNUMBER(AG148),ISNUMBER('Assumptions &amp; FX Reference'!$I$8)),AG148*'Assumptions &amp; FX Reference'!$I$8,"")</f>
        <v>75148342463.7919</v>
      </c>
      <c r="AJ148" s="42" t="s">
        <v>693</v>
      </c>
      <c r="AK148" s="42" t="s">
        <v>366</v>
      </c>
      <c r="AL148" s="42" t="s">
        <v>123</v>
      </c>
      <c r="AM148" s="42" t="s">
        <v>123</v>
      </c>
      <c r="AN148" s="42" t="s">
        <v>123</v>
      </c>
      <c r="AO148" s="42" t="s">
        <v>123</v>
      </c>
      <c r="AP148" s="42" t="s">
        <v>123</v>
      </c>
      <c r="AQ148" s="42" t="s">
        <v>123</v>
      </c>
      <c r="AR148" s="42" t="s">
        <v>123</v>
      </c>
      <c r="AS148" s="45" t="str">
        <f aca="false">IF(AND(Z148="EUR",N(AA148)&gt;5000000),"Check currency (EUR&gt;5M); ","")&amp;IF(NOT(ISNUMBER(AA148)),"No price; ","")&amp;IF(G148="Not stated","Material missing; ","")&amp;IF(P148="Not stated","Seal missing; ","")&amp;IF(K148="","Size driver missing; ","")&amp;IF(NOT(ISNUMBER(AZ148)),"Base-year PPI missing; ","")</f>
        <v>Seal missing; </v>
      </c>
      <c r="AT148" s="48" t="n">
        <f aca="false">IFERROR(INDEX(Factors_ROT!$F$5:$F$200,MATCH("MAT|"&amp;G148,Factors_ROT!$A$5:$A$200,0)),1)</f>
        <v>0.8</v>
      </c>
      <c r="AU148" s="48" t="n">
        <f aca="false">IFERROR(INDEX(Factors_ROT!$F$5:$F$200,MATCH("SEAL_ARR|"&amp;P148,Factors_ROT!$A$5:$A$200,0)),1)*IFERROR(INDEX(Factors_ROT!$F$5:$F$200,MATCH("SEAL_CAT|"&amp;Q148,Factors_ROT!$A$5:$A$200,0)),1)*IFERROR(INDEX(Factors_ROT!$F$5:$F$200,MATCH("SEAL_PLAN|"&amp;R148,Factors_ROT!$A$5:$A$200,0)),1)</f>
        <v>1</v>
      </c>
      <c r="AV148" s="48" t="n">
        <f aca="false">IFERROR(INDEX(Factors_ROT!$F$5:$F$200,MATCH("DRV|"&amp;S148,Factors_ROT!$A$5:$A$200,0)),1)*IFERROR(INDEX(Factors_ROT!$F$5:$F$200,MATCH("NACE|"&amp;O148,Factors_ROT!$A$5:$A$200,0)),1)</f>
        <v>1</v>
      </c>
      <c r="AW148" s="48" t="n">
        <f aca="false">IFERROR(INDEX(Factors_ROT!$F$5:$F$200,MATCH("SC_DRV|"&amp;AL148,Factors_ROT!$A$5:$A$200,0)),1)*IFERROR(INDEX(Factors_ROT!$F$5:$F$200,MATCH("SC_BSP|"&amp;AM148,Factors_ROT!$A$5:$A$200,0)),1)*IFERROR(INDEX(Factors_ROT!$F$5:$F$200,MATCH("SC_SEAL|"&amp;AN148,Factors_ROT!$A$5:$A$200,0)),1)*IFERROR(INDEX(Factors_ROT!$F$5:$F$200,MATCH("SC_COMM|"&amp;AO148,Factors_ROT!$A$5:$A$200,0)),1)*IFERROR(INDEX(Factors_ROT!$F$5:$F$200,MATCH("SC_2Y|"&amp;AP148,Factors_ROT!$A$5:$A$200,0)),1)*IFERROR(INDEX(Factors_ROT!$F$5:$F$200,MATCH("SC_TPI|"&amp;AQ148,Factors_ROT!$A$5:$A$200,0)),1)*IFERROR(INDEX(Factors_ROT!$F$5:$F$200,MATCH("SC_FAT|"&amp;AR148,Factors_ROT!$A$5:$A$200,0)),1)</f>
        <v>1</v>
      </c>
      <c r="AX148" s="48" t="n">
        <f aca="false">AT148*AU148*AV148*AW148</f>
        <v>0.8</v>
      </c>
      <c r="AY148" s="47" t="n">
        <f aca="false">IF(ISNUMBER(AB148),AB148/AX148,"")</f>
        <v>100000</v>
      </c>
      <c r="AZ148" s="49" t="n">
        <f aca="false">IFERROR(IF(N(INDEX(Escalation_Index!$B$5:$B$25,MATCH(Y148,Escalation_Index!$A$5:$A$25,0)))&gt;0,INDEX(Escalation_Index!$B$5:$B$25,MATCH(Y148,Escalation_Index!$A$5:$A$25,0)),""),"")</f>
        <v>91.347</v>
      </c>
      <c r="BA148" s="49" t="n">
        <f aca="false">IF(ISNUMBER('Assumptions &amp; FX Reference'!$I$12),'Assumptions &amp; FX Reference'!$I$12,"")</f>
        <v>123.416</v>
      </c>
      <c r="BB148" s="45" t="str">
        <f aca="false">IF(AND(M148="API 610",LEFT(V148,11)="Centrifugal",OR(LEFT(G148,2)="S-",LEFT(G148,2)="D-")),"Y","N")</f>
        <v>N</v>
      </c>
      <c r="BC148" s="47" t="n">
        <f aca="false">IF(ISNUMBER(AG148),AG148/AX148,"")</f>
        <v>135106.790589729</v>
      </c>
      <c r="BD148" s="47" t="n">
        <f aca="false">IF(AND(ISNUMBER(BC148),ISNUMBER(K148)),IF(K148&gt;0,BC148/K148^'Assumptions &amp; FX Reference'!$I$16,""),"")</f>
        <v>3705.65454784952</v>
      </c>
      <c r="BE148" s="42" t="s">
        <v>820</v>
      </c>
      <c r="BF148" s="42" t="s">
        <v>821</v>
      </c>
      <c r="BG148" s="42" t="s">
        <v>369</v>
      </c>
      <c r="BH148" s="45" t="s">
        <v>313</v>
      </c>
      <c r="BI148" s="45" t="str">
        <f aca="false">"PMP-"&amp;TEXT(A148,"0000")</f>
        <v>PMP-0144</v>
      </c>
    </row>
    <row r="149" customFormat="false" ht="24" hidden="false" customHeight="true" outlineLevel="0" collapsed="false">
      <c r="A149" s="42" t="n">
        <v>145</v>
      </c>
      <c r="B149" s="42" t="s">
        <v>649</v>
      </c>
      <c r="C149" s="42" t="s">
        <v>690</v>
      </c>
      <c r="D149" s="42" t="s">
        <v>745</v>
      </c>
      <c r="E149" s="42" t="s">
        <v>60</v>
      </c>
      <c r="F149" s="42" t="s">
        <v>186</v>
      </c>
      <c r="G149" s="42" t="s">
        <v>74</v>
      </c>
      <c r="H149" s="43" t="n">
        <v>825</v>
      </c>
      <c r="I149" s="43" t="n">
        <v>107</v>
      </c>
      <c r="J149" s="43"/>
      <c r="K149" s="44" t="n">
        <f aca="false">IF(ISNUMBER(J149),J149,IF(AND(ISNUMBER(H149),ISNUMBER(I149)),H149*I149/(367*'Assumptions &amp; FX Reference'!$I$17),""))</f>
        <v>400.885558583106</v>
      </c>
      <c r="L149" s="45" t="str">
        <f aca="false">IF(IF(OR(M149="Not stated",M149=""),""," + "&amp;M149)&amp;IF(OR(N149="None",N149=""),""," + "&amp;N149)&amp;IF(O149="Y"," + NACE MR0175","")="","Not stated",MID(IF(OR(M149="Not stated",M149=""),""," + "&amp;M149)&amp;IF(OR(N149="None",N149=""),""," + "&amp;N149)&amp;IF(O149="Y"," + NACE MR0175",""),4,300))</f>
        <v>NFPA 20 + IPS-M-PM-125</v>
      </c>
      <c r="M149" s="42" t="s">
        <v>645</v>
      </c>
      <c r="N149" s="42" t="s">
        <v>646</v>
      </c>
      <c r="O149" s="50" t="s">
        <v>312</v>
      </c>
      <c r="P149" s="42" t="s">
        <v>123</v>
      </c>
      <c r="Q149" s="42" t="s">
        <v>123</v>
      </c>
      <c r="R149" s="42" t="s">
        <v>123</v>
      </c>
      <c r="S149" s="42" t="s">
        <v>460</v>
      </c>
      <c r="T149" s="42" t="s">
        <v>453</v>
      </c>
      <c r="U149" s="42" t="n">
        <v>1</v>
      </c>
      <c r="V149" s="42" t="s">
        <v>306</v>
      </c>
      <c r="W149" s="43" t="n">
        <v>11.3</v>
      </c>
      <c r="X149" s="42" t="s">
        <v>123</v>
      </c>
      <c r="Y149" s="42" t="n">
        <v>1393</v>
      </c>
      <c r="Z149" s="42" t="s">
        <v>363</v>
      </c>
      <c r="AA149" s="46" t="n">
        <v>100000</v>
      </c>
      <c r="AB149" s="47" t="n">
        <f aca="false">IF(NOT(ISNUMBER(AA149)),"",IF(NOT(ISNUMBER(Y149)),"",IFERROR(IF(Z149="EUR",AA149,IF(Z149="IRR",AA149/INDEX('Assumptions &amp; FX Reference'!$C$5:$C$25,MATCH(Y149,'Assumptions &amp; FX Reference'!$A$5:$A$25,0)),IF(Z149="USD",AA149*INDEX('Assumptions &amp; FX Reference'!$B$5:$B$25,MATCH(Y149,'Assumptions &amp; FX Reference'!$A$5:$A$25,0))/INDEX('Assumptions &amp; FX Reference'!$C$5:$C$25,MATCH(Y149,'Assumptions &amp; FX Reference'!$A$5:$A$25,0)),""))),"")))</f>
        <v>100000</v>
      </c>
      <c r="AC149" s="47" t="n">
        <f aca="false">IF(NOT(ISNUMBER(AA149)),"",IF(NOT(ISNUMBER(Y149)),"",IFERROR(IF(Z149="USD",AA149,IF(Z149="IRR",AA149/INDEX('Assumptions &amp; FX Reference'!$B$5:$B$25,MATCH(Y149,'Assumptions &amp; FX Reference'!$A$5:$A$25,0)),IF(Z149="EUR",AA149*INDEX('Assumptions &amp; FX Reference'!$C$5:$C$25,MATCH(Y149,'Assumptions &amp; FX Reference'!$A$5:$A$25,0))/INDEX('Assumptions &amp; FX Reference'!$B$5:$B$25,MATCH(Y149,'Assumptions &amp; FX Reference'!$A$5:$A$25,0)),""))),"")))</f>
        <v>130744.516129032</v>
      </c>
      <c r="AD149" s="47" t="n">
        <f aca="false">IF(NOT(ISNUMBER(AA149)),"",IF(NOT(ISNUMBER(Y149)),"",IFERROR(IF(Z149="IRR",AA149,IF(Z149="USD",AA149*INDEX('Assumptions &amp; FX Reference'!$B$5:$B$25,MATCH(Y149,'Assumptions &amp; FX Reference'!$A$5:$A$25,0)),IF(Z149="EUR",AA149*INDEX('Assumptions &amp; FX Reference'!$C$5:$C$25,MATCH(Y149,'Assumptions &amp; FX Reference'!$A$5:$A$25,0)),""))),"")))</f>
        <v>4053080000</v>
      </c>
      <c r="AE149" s="42" t="s">
        <v>789</v>
      </c>
      <c r="AF149" s="42" t="s">
        <v>208</v>
      </c>
      <c r="AG149" s="47" t="n">
        <f aca="false">IF(AND(Z149="EUR",N(AA149)&gt;5000000),"",IF(AND(ISNUMBER(AB149),ISNUMBER(AZ149),ISNUMBER(BA149)),IF(AND(BB149="Y",ISNUMBER('Assumptions &amp; FX Reference'!$I$15)),MAX(AB149*BA149/AZ149,'Assumptions &amp; FX Reference'!$I$13*BA149/'Assumptions &amp; FX Reference'!$I$15),AB149*BA149/AZ149),""))</f>
        <v>135106.790589729</v>
      </c>
      <c r="AH149" s="47" t="n">
        <f aca="false">IF(AND(ISNUMBER(AG149),ISNUMBER('Assumptions &amp; FX Reference'!$I$8),ISNUMBER('Assumptions &amp; FX Reference'!$I$11)),AG149*'Assumptions &amp; FX Reference'!$I$8/'Assumptions &amp; FX Reference'!$I$11,"")</f>
        <v>142643.463698463</v>
      </c>
      <c r="AI149" s="47" t="n">
        <f aca="false">IF(AND(ISNUMBER(AG149),ISNUMBER('Assumptions &amp; FX Reference'!$I$8)),AG149*'Assumptions &amp; FX Reference'!$I$8,"")</f>
        <v>93935428079.7399</v>
      </c>
      <c r="AJ149" s="42" t="s">
        <v>693</v>
      </c>
      <c r="AK149" s="42" t="s">
        <v>366</v>
      </c>
      <c r="AL149" s="42" t="s">
        <v>123</v>
      </c>
      <c r="AM149" s="42" t="s">
        <v>123</v>
      </c>
      <c r="AN149" s="42" t="s">
        <v>123</v>
      </c>
      <c r="AO149" s="42" t="s">
        <v>123</v>
      </c>
      <c r="AP149" s="42" t="s">
        <v>123</v>
      </c>
      <c r="AQ149" s="42" t="s">
        <v>123</v>
      </c>
      <c r="AR149" s="42" t="s">
        <v>123</v>
      </c>
      <c r="AS149" s="45" t="str">
        <f aca="false">IF(AND(Z149="EUR",N(AA149)&gt;5000000),"Check currency (EUR&gt;5M); ","")&amp;IF(NOT(ISNUMBER(AA149)),"No price; ","")&amp;IF(G149="Not stated","Material missing; ","")&amp;IF(P149="Not stated","Seal missing; ","")&amp;IF(K149="","Size driver missing; ","")&amp;IF(NOT(ISNUMBER(AZ149)),"Base-year PPI missing; ","")</f>
        <v>Seal missing; </v>
      </c>
      <c r="AT149" s="48" t="n">
        <f aca="false">IFERROR(INDEX(Factors_ROT!$F$5:$F$200,MATCH("MAT|"&amp;G149,Factors_ROT!$A$5:$A$200,0)),1)</f>
        <v>0.8</v>
      </c>
      <c r="AU149" s="48" t="n">
        <f aca="false">IFERROR(INDEX(Factors_ROT!$F$5:$F$200,MATCH("SEAL_ARR|"&amp;P149,Factors_ROT!$A$5:$A$200,0)),1)*IFERROR(INDEX(Factors_ROT!$F$5:$F$200,MATCH("SEAL_CAT|"&amp;Q149,Factors_ROT!$A$5:$A$200,0)),1)*IFERROR(INDEX(Factors_ROT!$F$5:$F$200,MATCH("SEAL_PLAN|"&amp;R149,Factors_ROT!$A$5:$A$200,0)),1)</f>
        <v>1</v>
      </c>
      <c r="AV149" s="48" t="n">
        <f aca="false">IFERROR(INDEX(Factors_ROT!$F$5:$F$200,MATCH("DRV|"&amp;S149,Factors_ROT!$A$5:$A$200,0)),1)*IFERROR(INDEX(Factors_ROT!$F$5:$F$200,MATCH("NACE|"&amp;O149,Factors_ROT!$A$5:$A$200,0)),1)</f>
        <v>1.35</v>
      </c>
      <c r="AW149" s="48" t="n">
        <f aca="false">IFERROR(INDEX(Factors_ROT!$F$5:$F$200,MATCH("SC_DRV|"&amp;AL149,Factors_ROT!$A$5:$A$200,0)),1)*IFERROR(INDEX(Factors_ROT!$F$5:$F$200,MATCH("SC_BSP|"&amp;AM149,Factors_ROT!$A$5:$A$200,0)),1)*IFERROR(INDEX(Factors_ROT!$F$5:$F$200,MATCH("SC_SEAL|"&amp;AN149,Factors_ROT!$A$5:$A$200,0)),1)*IFERROR(INDEX(Factors_ROT!$F$5:$F$200,MATCH("SC_COMM|"&amp;AO149,Factors_ROT!$A$5:$A$200,0)),1)*IFERROR(INDEX(Factors_ROT!$F$5:$F$200,MATCH("SC_2Y|"&amp;AP149,Factors_ROT!$A$5:$A$200,0)),1)*IFERROR(INDEX(Factors_ROT!$F$5:$F$200,MATCH("SC_TPI|"&amp;AQ149,Factors_ROT!$A$5:$A$200,0)),1)*IFERROR(INDEX(Factors_ROT!$F$5:$F$200,MATCH("SC_FAT|"&amp;AR149,Factors_ROT!$A$5:$A$200,0)),1)</f>
        <v>1</v>
      </c>
      <c r="AX149" s="48" t="n">
        <f aca="false">AT149*AU149*AV149*AW149</f>
        <v>1.08</v>
      </c>
      <c r="AY149" s="47" t="n">
        <f aca="false">IF(ISNUMBER(AB149),AB149/AX149,"")</f>
        <v>92592.5925925926</v>
      </c>
      <c r="AZ149" s="49" t="n">
        <f aca="false">IFERROR(IF(N(INDEX(Escalation_Index!$B$5:$B$25,MATCH(Y149,Escalation_Index!$A$5:$A$25,0)))&gt;0,INDEX(Escalation_Index!$B$5:$B$25,MATCH(Y149,Escalation_Index!$A$5:$A$25,0)),""),"")</f>
        <v>91.347</v>
      </c>
      <c r="BA149" s="49" t="n">
        <f aca="false">IF(ISNUMBER('Assumptions &amp; FX Reference'!$I$12),'Assumptions &amp; FX Reference'!$I$12,"")</f>
        <v>123.416</v>
      </c>
      <c r="BB149" s="45" t="str">
        <f aca="false">IF(AND(M149="API 610",LEFT(V149,11)="Centrifugal",OR(LEFT(G149,2)="S-",LEFT(G149,2)="D-")),"Y","N")</f>
        <v>N</v>
      </c>
      <c r="BC149" s="47" t="n">
        <f aca="false">IF(ISNUMBER(AG149),AG149/AX149,"")</f>
        <v>125098.880175675</v>
      </c>
      <c r="BD149" s="47" t="n">
        <f aca="false">IF(AND(ISNUMBER(BC149),ISNUMBER(K149)),IF(K149&gt;0,BC149/K149^'Assumptions &amp; FX Reference'!$I$16,""),"")</f>
        <v>3431.16161837918</v>
      </c>
      <c r="BE149" s="42" t="s">
        <v>822</v>
      </c>
      <c r="BF149" s="42" t="s">
        <v>823</v>
      </c>
      <c r="BG149" s="42" t="s">
        <v>369</v>
      </c>
      <c r="BH149" s="45" t="s">
        <v>313</v>
      </c>
      <c r="BI149" s="45" t="str">
        <f aca="false">"PMP-"&amp;TEXT(A149,"0000")</f>
        <v>PMP-0145</v>
      </c>
    </row>
    <row r="150" customFormat="false" ht="24" hidden="false" customHeight="true" outlineLevel="0" collapsed="false">
      <c r="A150" s="42" t="n">
        <v>146</v>
      </c>
      <c r="B150" s="42" t="s">
        <v>653</v>
      </c>
      <c r="C150" s="42" t="s">
        <v>690</v>
      </c>
      <c r="D150" s="42" t="s">
        <v>748</v>
      </c>
      <c r="E150" s="42" t="s">
        <v>60</v>
      </c>
      <c r="F150" s="42" t="s">
        <v>183</v>
      </c>
      <c r="G150" s="42" t="s">
        <v>74</v>
      </c>
      <c r="H150" s="43" t="n">
        <v>16.5</v>
      </c>
      <c r="I150" s="43" t="n">
        <v>107</v>
      </c>
      <c r="J150" s="43"/>
      <c r="K150" s="44" t="n">
        <f aca="false">IF(ISNUMBER(J150),J150,IF(AND(ISNUMBER(H150),ISNUMBER(I150)),H150*I150/(367*'Assumptions &amp; FX Reference'!$I$17),""))</f>
        <v>8.01771117166213</v>
      </c>
      <c r="L150" s="45" t="str">
        <f aca="false">IF(IF(OR(M150="Not stated",M150=""),""," + "&amp;M150)&amp;IF(OR(N150="None",N150=""),""," + "&amp;N150)&amp;IF(O150="Y"," + NACE MR0175","")="","Not stated",MID(IF(OR(M150="Not stated",M150=""),""," + "&amp;M150)&amp;IF(OR(N150="None",N150=""),""," + "&amp;N150)&amp;IF(O150="Y"," + NACE MR0175",""),4,300))</f>
        <v>NFPA 20 + IPS-M-PM-125</v>
      </c>
      <c r="M150" s="42" t="s">
        <v>645</v>
      </c>
      <c r="N150" s="42" t="s">
        <v>646</v>
      </c>
      <c r="O150" s="50" t="s">
        <v>312</v>
      </c>
      <c r="P150" s="42" t="s">
        <v>123</v>
      </c>
      <c r="Q150" s="42" t="s">
        <v>123</v>
      </c>
      <c r="R150" s="42" t="s">
        <v>123</v>
      </c>
      <c r="S150" s="50" t="s">
        <v>304</v>
      </c>
      <c r="T150" s="42" t="s">
        <v>453</v>
      </c>
      <c r="U150" s="42" t="n">
        <v>2</v>
      </c>
      <c r="V150" s="42" t="s">
        <v>306</v>
      </c>
      <c r="W150" s="43" t="n">
        <v>11.3</v>
      </c>
      <c r="X150" s="42" t="s">
        <v>123</v>
      </c>
      <c r="Y150" s="42" t="n">
        <v>1393</v>
      </c>
      <c r="Z150" s="42" t="s">
        <v>363</v>
      </c>
      <c r="AA150" s="46" t="n">
        <v>15000</v>
      </c>
      <c r="AB150" s="47" t="n">
        <f aca="false">IF(NOT(ISNUMBER(AA150)),"",IF(NOT(ISNUMBER(Y150)),"",IFERROR(IF(Z150="EUR",AA150,IF(Z150="IRR",AA150/INDEX('Assumptions &amp; FX Reference'!$C$5:$C$25,MATCH(Y150,'Assumptions &amp; FX Reference'!$A$5:$A$25,0)),IF(Z150="USD",AA150*INDEX('Assumptions &amp; FX Reference'!$B$5:$B$25,MATCH(Y150,'Assumptions &amp; FX Reference'!$A$5:$A$25,0))/INDEX('Assumptions &amp; FX Reference'!$C$5:$C$25,MATCH(Y150,'Assumptions &amp; FX Reference'!$A$5:$A$25,0)),""))),"")))</f>
        <v>15000</v>
      </c>
      <c r="AC150" s="47" t="n">
        <f aca="false">IF(NOT(ISNUMBER(AA150)),"",IF(NOT(ISNUMBER(Y150)),"",IFERROR(IF(Z150="USD",AA150,IF(Z150="IRR",AA150/INDEX('Assumptions &amp; FX Reference'!$B$5:$B$25,MATCH(Y150,'Assumptions &amp; FX Reference'!$A$5:$A$25,0)),IF(Z150="EUR",AA150*INDEX('Assumptions &amp; FX Reference'!$C$5:$C$25,MATCH(Y150,'Assumptions &amp; FX Reference'!$A$5:$A$25,0))/INDEX('Assumptions &amp; FX Reference'!$B$5:$B$25,MATCH(Y150,'Assumptions &amp; FX Reference'!$A$5:$A$25,0)),""))),"")))</f>
        <v>19611.6774193548</v>
      </c>
      <c r="AD150" s="47" t="n">
        <f aca="false">IF(NOT(ISNUMBER(AA150)),"",IF(NOT(ISNUMBER(Y150)),"",IFERROR(IF(Z150="IRR",AA150,IF(Z150="USD",AA150*INDEX('Assumptions &amp; FX Reference'!$B$5:$B$25,MATCH(Y150,'Assumptions &amp; FX Reference'!$A$5:$A$25,0)),IF(Z150="EUR",AA150*INDEX('Assumptions &amp; FX Reference'!$C$5:$C$25,MATCH(Y150,'Assumptions &amp; FX Reference'!$A$5:$A$25,0)),""))),"")))</f>
        <v>607962000</v>
      </c>
      <c r="AE150" s="42" t="s">
        <v>789</v>
      </c>
      <c r="AF150" s="42" t="s">
        <v>208</v>
      </c>
      <c r="AG150" s="47" t="n">
        <f aca="false">IF(AND(Z150="EUR",N(AA150)&gt;5000000),"",IF(AND(ISNUMBER(AB150),ISNUMBER(AZ150),ISNUMBER(BA150)),IF(AND(BB150="Y",ISNUMBER('Assumptions &amp; FX Reference'!$I$15)),MAX(AB150*BA150/AZ150,'Assumptions &amp; FX Reference'!$I$13*BA150/'Assumptions &amp; FX Reference'!$I$15),AB150*BA150/AZ150),""))</f>
        <v>20266.0185884594</v>
      </c>
      <c r="AH150" s="47" t="n">
        <f aca="false">IF(AND(ISNUMBER(AG150),ISNUMBER('Assumptions &amp; FX Reference'!$I$8),ISNUMBER('Assumptions &amp; FX Reference'!$I$11)),AG150*'Assumptions &amp; FX Reference'!$I$8/'Assumptions &amp; FX Reference'!$I$11,"")</f>
        <v>21396.5195547694</v>
      </c>
      <c r="AI150" s="47" t="n">
        <f aca="false">IF(AND(ISNUMBER(AG150),ISNUMBER('Assumptions &amp; FX Reference'!$I$8)),AG150*'Assumptions &amp; FX Reference'!$I$8,"")</f>
        <v>14090314211.961</v>
      </c>
      <c r="AJ150" s="42" t="s">
        <v>693</v>
      </c>
      <c r="AK150" s="42" t="s">
        <v>366</v>
      </c>
      <c r="AL150" s="42" t="s">
        <v>123</v>
      </c>
      <c r="AM150" s="42" t="s">
        <v>123</v>
      </c>
      <c r="AN150" s="42" t="s">
        <v>123</v>
      </c>
      <c r="AO150" s="42" t="s">
        <v>123</v>
      </c>
      <c r="AP150" s="42" t="s">
        <v>123</v>
      </c>
      <c r="AQ150" s="42" t="s">
        <v>123</v>
      </c>
      <c r="AR150" s="42" t="s">
        <v>123</v>
      </c>
      <c r="AS150" s="45" t="str">
        <f aca="false">IF(AND(Z150="EUR",N(AA150)&gt;5000000),"Check currency (EUR&gt;5M); ","")&amp;IF(NOT(ISNUMBER(AA150)),"No price; ","")&amp;IF(G150="Not stated","Material missing; ","")&amp;IF(P150="Not stated","Seal missing; ","")&amp;IF(K150="","Size driver missing; ","")&amp;IF(NOT(ISNUMBER(AZ150)),"Base-year PPI missing; ","")</f>
        <v>Seal missing; </v>
      </c>
      <c r="AT150" s="48" t="n">
        <f aca="false">IFERROR(INDEX(Factors_ROT!$F$5:$F$200,MATCH("MAT|"&amp;G150,Factors_ROT!$A$5:$A$200,0)),1)</f>
        <v>0.8</v>
      </c>
      <c r="AU150" s="48" t="n">
        <f aca="false">IFERROR(INDEX(Factors_ROT!$F$5:$F$200,MATCH("SEAL_ARR|"&amp;P150,Factors_ROT!$A$5:$A$200,0)),1)*IFERROR(INDEX(Factors_ROT!$F$5:$F$200,MATCH("SEAL_CAT|"&amp;Q150,Factors_ROT!$A$5:$A$200,0)),1)*IFERROR(INDEX(Factors_ROT!$F$5:$F$200,MATCH("SEAL_PLAN|"&amp;R150,Factors_ROT!$A$5:$A$200,0)),1)</f>
        <v>1</v>
      </c>
      <c r="AV150" s="48" t="n">
        <f aca="false">IFERROR(INDEX(Factors_ROT!$F$5:$F$200,MATCH("DRV|"&amp;S150,Factors_ROT!$A$5:$A$200,0)),1)*IFERROR(INDEX(Factors_ROT!$F$5:$F$200,MATCH("NACE|"&amp;O150,Factors_ROT!$A$5:$A$200,0)),1)</f>
        <v>1</v>
      </c>
      <c r="AW150" s="48" t="n">
        <f aca="false">IFERROR(INDEX(Factors_ROT!$F$5:$F$200,MATCH("SC_DRV|"&amp;AL150,Factors_ROT!$A$5:$A$200,0)),1)*IFERROR(INDEX(Factors_ROT!$F$5:$F$200,MATCH("SC_BSP|"&amp;AM150,Factors_ROT!$A$5:$A$200,0)),1)*IFERROR(INDEX(Factors_ROT!$F$5:$F$200,MATCH("SC_SEAL|"&amp;AN150,Factors_ROT!$A$5:$A$200,0)),1)*IFERROR(INDEX(Factors_ROT!$F$5:$F$200,MATCH("SC_COMM|"&amp;AO150,Factors_ROT!$A$5:$A$200,0)),1)*IFERROR(INDEX(Factors_ROT!$F$5:$F$200,MATCH("SC_2Y|"&amp;AP150,Factors_ROT!$A$5:$A$200,0)),1)*IFERROR(INDEX(Factors_ROT!$F$5:$F$200,MATCH("SC_TPI|"&amp;AQ150,Factors_ROT!$A$5:$A$200,0)),1)*IFERROR(INDEX(Factors_ROT!$F$5:$F$200,MATCH("SC_FAT|"&amp;AR150,Factors_ROT!$A$5:$A$200,0)),1)</f>
        <v>1</v>
      </c>
      <c r="AX150" s="48" t="n">
        <f aca="false">AT150*AU150*AV150*AW150</f>
        <v>0.8</v>
      </c>
      <c r="AY150" s="47" t="n">
        <f aca="false">IF(ISNUMBER(AB150),AB150/AX150,"")</f>
        <v>18750</v>
      </c>
      <c r="AZ150" s="49" t="n">
        <f aca="false">IFERROR(IF(N(INDEX(Escalation_Index!$B$5:$B$25,MATCH(Y150,Escalation_Index!$A$5:$A$25,0)))&gt;0,INDEX(Escalation_Index!$B$5:$B$25,MATCH(Y150,Escalation_Index!$A$5:$A$25,0)),""),"")</f>
        <v>91.347</v>
      </c>
      <c r="BA150" s="49" t="n">
        <f aca="false">IF(ISNUMBER('Assumptions &amp; FX Reference'!$I$12),'Assumptions &amp; FX Reference'!$I$12,"")</f>
        <v>123.416</v>
      </c>
      <c r="BB150" s="45" t="str">
        <f aca="false">IF(AND(M150="API 610",LEFT(V150,11)="Centrifugal",OR(LEFT(G150,2)="S-",LEFT(G150,2)="D-")),"Y","N")</f>
        <v>N</v>
      </c>
      <c r="BC150" s="47" t="n">
        <f aca="false">IF(ISNUMBER(AG150),AG150/AX150,"")</f>
        <v>25332.5232355742</v>
      </c>
      <c r="BD150" s="47" t="n">
        <f aca="false">IF(AND(ISNUMBER(BC150),ISNUMBER(K150)),IF(K150&gt;0,BC150/K150^'Assumptions &amp; FX Reference'!$I$16,""),"")</f>
        <v>7265.21055650847</v>
      </c>
      <c r="BE150" s="42" t="s">
        <v>824</v>
      </c>
      <c r="BF150" s="42" t="s">
        <v>825</v>
      </c>
      <c r="BG150" s="42" t="s">
        <v>369</v>
      </c>
      <c r="BH150" s="45" t="s">
        <v>313</v>
      </c>
      <c r="BI150" s="45" t="str">
        <f aca="false">"PMP-"&amp;TEXT(A150,"0000")</f>
        <v>PMP-0146</v>
      </c>
    </row>
  </sheetData>
  <mergeCells count="9">
    <mergeCell ref="A3:E3"/>
    <mergeCell ref="F3:U3"/>
    <mergeCell ref="V3:X3"/>
    <mergeCell ref="Y3:AI3"/>
    <mergeCell ref="AJ3:AK3"/>
    <mergeCell ref="AL3:AR3"/>
    <mergeCell ref="AT3:BD3"/>
    <mergeCell ref="BE3:BG3"/>
    <mergeCell ref="BH3:BI3"/>
  </mergeCells>
  <dataValidations count="18">
    <dataValidation allowBlank="true" error="مقدار را از لیست انتخاب کنید (یا گزینه را به Lookup_Codes اضافه کنید)." errorStyle="stop" errorTitle="Invalid value" operator="between" showDropDown="false" showErrorMessage="true" showInputMessage="false" sqref="E5:E600" type="list">
      <formula1>Lookup_Codes!$A$5:$A$60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F5:F600" type="list">
      <formula1>Lookup_Codes!$F$5:$F$60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G5:G600" type="list">
      <formula1>Lookup_Codes!$R$5:$R$60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M5:M600" type="list">
      <formula1>Lookup_Codes!$C$5:$C$60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N5:N600" type="list">
      <formula1>Lookup_Codes!$D$5:$D$60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O5:O600 AL5:AR600" type="list">
      <formula1>Lookup_Codes!$I$5:$I$60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P5:P600" type="list">
      <formula1>Lookup_Codes!$S$5:$S$60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Q5:Q600" type="list">
      <formula1>Lookup_Codes!$T$5:$T$60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R5:R600" type="list">
      <formula1>Lookup_Codes!$U$5:$U$60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S5:S600" type="list">
      <formula1>Lookup_Codes!$V$5:$V$60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T5:T600" type="list">
      <formula1>Lookup_Codes!$B$5:$B$60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V5:V600" type="list">
      <formula1>Lookup_Codes!$E$5:$E$60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X5:X600" type="list">
      <formula1>Lookup_Codes!$G$5:$G$60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Y5:Y600" type="list">
      <formula1>Lookup_Codes!$K$5:$K$60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Z5:Z600" type="list">
      <formula1>Lookup_Codes!$J$5:$J$60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AF5:AF600" type="list">
      <formula1>Lookup_Codes!$L$5:$L$60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AK5:AK600" type="list">
      <formula1>Lookup_Codes!$M$5:$M$60</formula1>
      <formula2>0</formula2>
    </dataValidation>
    <dataValidation allowBlank="true" error="مقدار را از لیست انتخاب کنید (یا گزینه را به Lookup_Codes اضافه کنید)." errorStyle="stop" errorTitle="Invalid value" operator="between" showDropDown="false" showErrorMessage="true" showInputMessage="false" sqref="BG5:BG600" type="list">
      <formula1>Lookup_Codes!$H$5:$H$60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G12" activeCellId="0" sqref="G12"/>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8"/>
    <col collapsed="false" customWidth="true" hidden="false" outlineLevel="0" max="4" min="4" style="0" width="2"/>
    <col collapsed="false" customWidth="true" hidden="false" outlineLevel="0" max="5" min="5" style="0" width="30"/>
    <col collapsed="false" customWidth="true" hidden="false" outlineLevel="0" max="6" min="6" style="0" width="20"/>
    <col collapsed="false" customWidth="true" hidden="false" outlineLevel="0" max="7" min="7" style="0" width="38"/>
  </cols>
  <sheetData>
    <row r="1" customFormat="false" ht="18" hidden="false" customHeight="true" outlineLevel="0" collapsed="false">
      <c r="A1" s="7" t="s">
        <v>826</v>
      </c>
    </row>
    <row r="2" customFormat="false" ht="15" hidden="false" customHeight="false" outlineLevel="0" collapsed="false">
      <c r="A2" s="8" t="s">
        <v>827</v>
      </c>
    </row>
    <row r="4" customFormat="false" ht="15" hidden="false" customHeight="false" outlineLevel="0" collapsed="false">
      <c r="A4" s="53" t="s">
        <v>828</v>
      </c>
      <c r="B4" s="53" t="s">
        <v>829</v>
      </c>
      <c r="C4" s="53" t="s">
        <v>830</v>
      </c>
      <c r="E4" s="54" t="s">
        <v>831</v>
      </c>
      <c r="F4" s="54" t="s">
        <v>832</v>
      </c>
      <c r="G4" s="54" t="s">
        <v>833</v>
      </c>
    </row>
    <row r="5" customFormat="false" ht="15" hidden="false" customHeight="false" outlineLevel="0" collapsed="false">
      <c r="A5" s="9" t="s">
        <v>37</v>
      </c>
      <c r="B5" s="55" t="s">
        <v>51</v>
      </c>
      <c r="C5" s="45"/>
      <c r="E5" s="9" t="s">
        <v>834</v>
      </c>
      <c r="F5" s="44" t="n">
        <f aca="false">IF(ISNUMBER($B$23),$B$23,IF(AND(ISNUMBER($B$24),ISNUMBER($B$25)),$B$24*$B$25/(367*'Assumptions &amp; FX Reference'!$I$17),"(kW یا Q و H)"))</f>
        <v>217.983651226158</v>
      </c>
      <c r="G5" s="56" t="s">
        <v>835</v>
      </c>
    </row>
    <row r="6" customFormat="false" ht="15" hidden="false" customHeight="false" outlineLevel="0" collapsed="false">
      <c r="A6" s="9" t="s">
        <v>836</v>
      </c>
      <c r="B6" s="57" t="s">
        <v>369</v>
      </c>
      <c r="C6" s="45"/>
      <c r="E6" s="9" t="s">
        <v>284</v>
      </c>
      <c r="F6" s="48" t="n">
        <f aca="false">$C$10</f>
        <v>1.9</v>
      </c>
      <c r="G6" s="56" t="s">
        <v>837</v>
      </c>
    </row>
    <row r="7" customFormat="false" ht="15" hidden="false" customHeight="false" outlineLevel="0" collapsed="false">
      <c r="A7" s="9" t="s">
        <v>252</v>
      </c>
      <c r="B7" s="55" t="s">
        <v>478</v>
      </c>
      <c r="C7" s="45"/>
      <c r="E7" s="9" t="s">
        <v>285</v>
      </c>
      <c r="F7" s="48" t="n">
        <f aca="false">$C$11*$C$12*$C$13</f>
        <v>1.1648</v>
      </c>
      <c r="G7" s="56" t="s">
        <v>838</v>
      </c>
    </row>
    <row r="8" customFormat="false" ht="15" hidden="false" customHeight="false" outlineLevel="0" collapsed="false">
      <c r="A8" s="9" t="s">
        <v>261</v>
      </c>
      <c r="B8" s="55" t="s">
        <v>306</v>
      </c>
      <c r="C8" s="45"/>
      <c r="E8" s="9" t="s">
        <v>286</v>
      </c>
      <c r="F8" s="48" t="n">
        <f aca="false">$C$14*$C$15</f>
        <v>1.05</v>
      </c>
      <c r="G8" s="56" t="s">
        <v>839</v>
      </c>
    </row>
    <row r="9" customFormat="false" ht="15" hidden="false" customHeight="false" outlineLevel="0" collapsed="false">
      <c r="A9" s="9" t="s">
        <v>246</v>
      </c>
      <c r="B9" s="55" t="s">
        <v>153</v>
      </c>
      <c r="C9" s="45"/>
      <c r="E9" s="9" t="s">
        <v>287</v>
      </c>
      <c r="F9" s="48" t="n">
        <f aca="false">$C$16*$C$17*$C$18*$C$19*$C$20*$C$21*$C$22</f>
        <v>1.02</v>
      </c>
      <c r="G9" s="56" t="s">
        <v>840</v>
      </c>
    </row>
    <row r="10" customFormat="false" ht="15" hidden="false" customHeight="false" outlineLevel="0" collapsed="false">
      <c r="A10" s="9" t="s">
        <v>247</v>
      </c>
      <c r="B10" s="55" t="s">
        <v>115</v>
      </c>
      <c r="C10" s="58" t="n">
        <f aca="false">IFERROR(INDEX(Factors_ROT!$F$5:$F$200,MATCH("MAT|"&amp;$B$10,Factors_ROT!$A$5:$A$200,0)),1)</f>
        <v>1.9</v>
      </c>
      <c r="E10" s="9" t="s">
        <v>288</v>
      </c>
      <c r="F10" s="48" t="n">
        <f aca="false">F6*F7*F8*F9</f>
        <v>2.37025152</v>
      </c>
      <c r="G10" s="56" t="s">
        <v>841</v>
      </c>
    </row>
    <row r="11" customFormat="false" ht="15" hidden="false" customHeight="false" outlineLevel="0" collapsed="false">
      <c r="A11" s="9" t="s">
        <v>255</v>
      </c>
      <c r="B11" s="55" t="s">
        <v>842</v>
      </c>
      <c r="C11" s="58" t="n">
        <f aca="false">IFERROR(INDEX(Factors_ROT!$F$5:$F$200,MATCH("SEAL_ARR|"&amp;$B$11,Factors_ROT!$A$5:$A$200,0)),1)</f>
        <v>1.12</v>
      </c>
      <c r="E11" s="9" t="s">
        <v>843</v>
      </c>
      <c r="F11" s="59" t="n">
        <f aca="false">COUNTIFS('Master Database'!$BD$5:$BD$600,"&gt;0",'Master Database'!$V$5:$V$600,$B$8,'Master Database'!$M$5:$M$600,$B$7,'Master Database'!$BG$5:$BG$600,"Y",'Master Database'!$E$5:$E$600,IF($B$6="Y",$B$5,"*"))</f>
        <v>10</v>
      </c>
      <c r="G11" s="56" t="s">
        <v>844</v>
      </c>
    </row>
    <row r="12" customFormat="false" ht="15" hidden="false" customHeight="false" outlineLevel="0" collapsed="false">
      <c r="A12" s="9" t="s">
        <v>256</v>
      </c>
      <c r="B12" s="55" t="s">
        <v>845</v>
      </c>
      <c r="C12" s="58" t="n">
        <f aca="false">IFERROR(INDEX(Factors_ROT!$F$5:$F$200,MATCH("SEAL_CAT|"&amp;$B$12,Factors_ROT!$A$5:$A$200,0)),1)</f>
        <v>1</v>
      </c>
      <c r="E12" s="9" t="s">
        <v>846</v>
      </c>
      <c r="F12" s="47" t="n">
        <f aca="false">IFERROR(AVERAGEIFS('Master Database'!$BD$5:$BD$600,'Master Database'!$BD$5:$BD$600,"&gt;0",'Master Database'!$V$5:$V$600,$B$8,'Master Database'!$M$5:$M$600,$B$7,'Master Database'!$BG$5:$BG$600,"Y",'Master Database'!$E$5:$E$600,IF($B$6="Y",$B$5,"*")),"(no peers)")</f>
        <v>9515.93899770991</v>
      </c>
      <c r="G12" s="56" t="s">
        <v>847</v>
      </c>
    </row>
    <row r="13" customFormat="false" ht="15" hidden="false" customHeight="false" outlineLevel="0" collapsed="false">
      <c r="A13" s="9" t="s">
        <v>257</v>
      </c>
      <c r="B13" s="55" t="s">
        <v>848</v>
      </c>
      <c r="C13" s="58" t="n">
        <f aca="false">IFERROR(INDEX(Factors_ROT!$F$5:$F$200,MATCH("SEAL_PLAN|"&amp;$B$13,Factors_ROT!$A$5:$A$200,0)),1)</f>
        <v>1.04</v>
      </c>
      <c r="E13" s="9" t="s">
        <v>849</v>
      </c>
      <c r="F13" s="47" t="n">
        <f aca="false">IF(N(F11)=0,"",_xlfn.MINIFS('Master Database'!$BD$5:$BD$600,'Master Database'!$BD$5:$BD$600,"&gt;0",'Master Database'!$V$5:$V$600,$B$8,'Master Database'!$M$5:$M$600,$B$7,'Master Database'!$BG$5:$BG$600,"Y",'Master Database'!$E$5:$E$600,IF($B$6="Y",$B$5,"*")))</f>
        <v>5550.32442452974</v>
      </c>
      <c r="G13" s="56"/>
    </row>
    <row r="14" customFormat="false" ht="15" hidden="false" customHeight="false" outlineLevel="0" collapsed="false">
      <c r="A14" s="9" t="s">
        <v>258</v>
      </c>
      <c r="B14" s="55" t="s">
        <v>304</v>
      </c>
      <c r="C14" s="58" t="n">
        <f aca="false">IFERROR(INDEX(Factors_ROT!$F$5:$F$200,MATCH("DRV|"&amp;$B$14,Factors_ROT!$A$5:$A$200,0)),1)</f>
        <v>1</v>
      </c>
      <c r="E14" s="9" t="s">
        <v>850</v>
      </c>
      <c r="F14" s="47" t="n">
        <f aca="false">IF(N(F11)=0,"",_xlfn.MAXIFS('Master Database'!$BD$5:$BD$600,'Master Database'!$BD$5:$BD$600,"&gt;0",'Master Database'!$V$5:$V$600,$B$8,'Master Database'!$M$5:$M$600,$B$7,'Master Database'!$BG$5:$BG$600,"Y",'Master Database'!$E$5:$E$600,IF($B$6="Y",$B$5,"*")))</f>
        <v>17266.6861810552</v>
      </c>
      <c r="G14" s="56"/>
    </row>
    <row r="15" customFormat="false" ht="15" hidden="false" customHeight="false" outlineLevel="0" collapsed="false">
      <c r="A15" s="9" t="s">
        <v>851</v>
      </c>
      <c r="B15" s="55" t="s">
        <v>369</v>
      </c>
      <c r="C15" s="58" t="n">
        <f aca="false">IFERROR(INDEX(Factors_ROT!$F$5:$F$200,MATCH("NACE|"&amp;$B$15,Factors_ROT!$A$5:$A$200,0)),1)</f>
        <v>1.05</v>
      </c>
      <c r="E15" s="9" t="s">
        <v>852</v>
      </c>
      <c r="F15" s="45" t="str">
        <f aca="false">IF(AND($B$7="API 610",LEFT($B$8,11)="Centrifugal",OR(LEFT($B$10,2)="S-",LEFT($B$10,2)="D-")),"Y","N")</f>
        <v>Y</v>
      </c>
      <c r="G15" s="56" t="s">
        <v>853</v>
      </c>
    </row>
    <row r="16" customFormat="false" ht="15" hidden="false" customHeight="false" outlineLevel="0" collapsed="false">
      <c r="A16" s="9" t="s">
        <v>276</v>
      </c>
      <c r="B16" s="55" t="s">
        <v>369</v>
      </c>
      <c r="C16" s="58" t="n">
        <f aca="false">IFERROR(INDEX(Factors_ROT!$F$5:$F$200,MATCH("SC_DRV|"&amp;$B$16,Factors_ROT!$A$5:$A$200,0)),1)</f>
        <v>1</v>
      </c>
      <c r="E16" s="9" t="s">
        <v>854</v>
      </c>
      <c r="F16" s="47" t="n">
        <f aca="false">IF(AND(ISNUMBER('Assumptions &amp; FX Reference'!$I$12),ISNUMBER('Assumptions &amp; FX Reference'!$I$15)),'Assumptions &amp; FX Reference'!$I$13*'Assumptions &amp; FX Reference'!$I$12/'Assumptions &amp; FX Reference'!$I$15,"")</f>
        <v>25000</v>
      </c>
      <c r="G16" s="56" t="s">
        <v>855</v>
      </c>
    </row>
    <row r="17" customFormat="false" ht="15" hidden="false" customHeight="false" outlineLevel="0" collapsed="false">
      <c r="A17" s="9" t="s">
        <v>277</v>
      </c>
      <c r="B17" s="55" t="s">
        <v>369</v>
      </c>
      <c r="C17" s="58" t="n">
        <f aca="false">IFERROR(INDEX(Factors_ROT!$F$5:$F$200,MATCH("SC_BSP|"&amp;$B$17,Factors_ROT!$A$5:$A$200,0)),1)</f>
        <v>1</v>
      </c>
      <c r="E17" s="27" t="s">
        <v>856</v>
      </c>
      <c r="F17" s="60"/>
      <c r="G17" s="60"/>
    </row>
    <row r="18" customFormat="false" ht="15" hidden="false" customHeight="false" outlineLevel="0" collapsed="false">
      <c r="A18" s="9" t="s">
        <v>278</v>
      </c>
      <c r="B18" s="55" t="s">
        <v>369</v>
      </c>
      <c r="C18" s="58" t="n">
        <f aca="false">IFERROR(INDEX(Factors_ROT!$F$5:$F$200,MATCH("SC_SEAL|"&amp;$B$18,Factors_ROT!$A$5:$A$200,0)),1)</f>
        <v>1</v>
      </c>
      <c r="E18" s="9" t="s">
        <v>857</v>
      </c>
      <c r="F18" s="61" t="n">
        <f aca="false">IF(AND(ISNUMBER(F12),ISNUMBER(F5)),IF(AND(F15="Y",ISNUMBER(F16)),MAX(F12*F5^'Assumptions &amp; FX Reference'!$I$16*F10,F16),F12*F5^'Assumptions &amp; FX Reference'!$I$16*F10),"")</f>
        <v>570558.837603565</v>
      </c>
      <c r="G18" s="62" t="s">
        <v>858</v>
      </c>
    </row>
    <row r="19" customFormat="false" ht="15" hidden="false" customHeight="false" outlineLevel="0" collapsed="false">
      <c r="A19" s="9" t="s">
        <v>279</v>
      </c>
      <c r="B19" s="55" t="s">
        <v>369</v>
      </c>
      <c r="C19" s="58" t="n">
        <f aca="false">IFERROR(INDEX(Factors_ROT!$F$5:$F$200,MATCH("SC_COMM|"&amp;$B$19,Factors_ROT!$A$5:$A$200,0)),1)</f>
        <v>1</v>
      </c>
      <c r="E19" s="9" t="s">
        <v>859</v>
      </c>
      <c r="F19" s="61" t="n">
        <f aca="false">IF(AND(ISNUMBER(F13),ISNUMBER(F5)),IF(AND(F15="Y",ISNUMBER(F16)),MAX(F13*F5^'Assumptions &amp; FX Reference'!$I$16*F10,F16),F13*F5^'Assumptions &amp; FX Reference'!$I$16*F10),"")</f>
        <v>332787.615887878</v>
      </c>
      <c r="G19" s="62" t="s">
        <v>860</v>
      </c>
    </row>
    <row r="20" customFormat="false" ht="15" hidden="false" customHeight="false" outlineLevel="0" collapsed="false">
      <c r="A20" s="9" t="s">
        <v>280</v>
      </c>
      <c r="B20" s="55" t="s">
        <v>312</v>
      </c>
      <c r="C20" s="58" t="n">
        <f aca="false">IFERROR(INDEX(Factors_ROT!$F$5:$F$200,MATCH("SC_2Y|"&amp;$B$20,Factors_ROT!$A$5:$A$200,0)),1)</f>
        <v>1</v>
      </c>
      <c r="E20" s="9" t="s">
        <v>861</v>
      </c>
      <c r="F20" s="61" t="n">
        <f aca="false">IF(AND(ISNUMBER(F14),ISNUMBER(F5)),IF(AND(F15="Y",ISNUMBER(F16)),MAX(F14*F5^'Assumptions &amp; FX Reference'!$I$16*F10,F16),F14*F5^'Assumptions &amp; FX Reference'!$I$16*F10),"")</f>
        <v>1035279.90239316</v>
      </c>
      <c r="G20" s="62" t="s">
        <v>862</v>
      </c>
    </row>
    <row r="21" customFormat="false" ht="15" hidden="false" customHeight="false" outlineLevel="0" collapsed="false">
      <c r="A21" s="9" t="s">
        <v>281</v>
      </c>
      <c r="B21" s="55" t="s">
        <v>369</v>
      </c>
      <c r="C21" s="58" t="n">
        <f aca="false">IFERROR(INDEX(Factors_ROT!$F$5:$F$200,MATCH("SC_TPI|"&amp;$B$21,Factors_ROT!$A$5:$A$200,0)),1)</f>
        <v>1.02</v>
      </c>
      <c r="E21" s="9" t="s">
        <v>863</v>
      </c>
      <c r="F21" s="61" t="n">
        <f aca="false">IF(AND(ISNUMBER(F18),ISNUMBER('Assumptions &amp; FX Reference'!$I$8),ISNUMBER('Assumptions &amp; FX Reference'!$I$11)),F18*'Assumptions &amp; FX Reference'!$I$8/'Assumptions &amp; FX Reference'!$I$11,"")</f>
        <v>602386.367733971</v>
      </c>
      <c r="G21" s="62" t="s">
        <v>864</v>
      </c>
    </row>
    <row r="22" customFormat="false" ht="15" hidden="false" customHeight="false" outlineLevel="0" collapsed="false">
      <c r="A22" s="9" t="s">
        <v>282</v>
      </c>
      <c r="B22" s="55" t="s">
        <v>312</v>
      </c>
      <c r="C22" s="58" t="n">
        <f aca="false">IFERROR(INDEX(Factors_ROT!$F$5:$F$200,MATCH("SC_FAT|"&amp;$B$22,Factors_ROT!$A$5:$A$200,0)),1)</f>
        <v>1</v>
      </c>
      <c r="E22" s="9" t="s">
        <v>865</v>
      </c>
      <c r="F22" s="61" t="n">
        <f aca="false">IF(AND(ISNUMBER(F18),ISNUMBER('Assumptions &amp; FX Reference'!$I$8)),F18*'Assumptions &amp; FX Reference'!$I$8,"")</f>
        <v>396691301902.955</v>
      </c>
      <c r="G22" s="62" t="s">
        <v>866</v>
      </c>
    </row>
    <row r="23" customFormat="false" ht="15" hidden="false" customHeight="false" outlineLevel="0" collapsed="false">
      <c r="A23" s="9" t="s">
        <v>867</v>
      </c>
      <c r="B23" s="55"/>
      <c r="C23" s="45"/>
      <c r="E23" s="9" t="s">
        <v>868</v>
      </c>
      <c r="F23" s="61" t="n">
        <f aca="false">IF(ISNUMBER(F22),F22*N($B$26),"")</f>
        <v>793382603805.91</v>
      </c>
      <c r="G23" s="62"/>
    </row>
    <row r="24" customFormat="false" ht="15" hidden="false" customHeight="false" outlineLevel="0" collapsed="false">
      <c r="A24" s="9" t="s">
        <v>248</v>
      </c>
      <c r="B24" s="55" t="n">
        <v>80</v>
      </c>
      <c r="C24" s="45"/>
      <c r="E24" s="9" t="s">
        <v>869</v>
      </c>
      <c r="F24" s="63" t="str">
        <f aca="false">'Assumptions &amp; FX Reference'!$I$5&amp;" / "&amp;TEXT('Assumptions &amp; FX Reference'!$I$8,"#,##0")&amp;" / "&amp;TEXT('Assumptions &amp; FX Reference'!$I$11,"#,##0")</f>
        <v>1404 / 695,268 / 658,533</v>
      </c>
      <c r="G24" s="62" t="s">
        <v>870</v>
      </c>
    </row>
    <row r="25" customFormat="false" ht="15" hidden="false" customHeight="false" outlineLevel="0" collapsed="false">
      <c r="A25" s="9" t="s">
        <v>249</v>
      </c>
      <c r="B25" s="55" t="n">
        <v>600</v>
      </c>
      <c r="C25" s="45"/>
    </row>
    <row r="26" customFormat="false" ht="15" hidden="false" customHeight="false" outlineLevel="0" collapsed="false">
      <c r="A26" s="9" t="s">
        <v>871</v>
      </c>
      <c r="B26" s="55" t="n">
        <v>2</v>
      </c>
      <c r="C26" s="45"/>
    </row>
  </sheetData>
  <dataValidations count="11">
    <dataValidation allowBlank="true" errorStyle="stop" operator="between" showDropDown="false" showErrorMessage="false" showInputMessage="false" sqref="B5" type="list">
      <formula1>Lookup_Codes!$A$5:$A$60</formula1>
      <formula2>0</formula2>
    </dataValidation>
    <dataValidation allowBlank="true" errorStyle="stop" operator="between" showDropDown="false" showErrorMessage="false" showInputMessage="false" sqref="B6" type="list">
      <formula1>Lookup_Codes!$H$5:$H$60</formula1>
      <formula2>0</formula2>
    </dataValidation>
    <dataValidation allowBlank="true" errorStyle="stop" operator="between" showDropDown="false" showErrorMessage="false" showInputMessage="false" sqref="B7" type="list">
      <formula1>Lookup_Codes!$C$5:$C$60</formula1>
      <formula2>0</formula2>
    </dataValidation>
    <dataValidation allowBlank="true" errorStyle="stop" operator="between" showDropDown="false" showErrorMessage="false" showInputMessage="false" sqref="B8" type="list">
      <formula1>Lookup_Codes!$E$5:$E$60</formula1>
      <formula2>0</formula2>
    </dataValidation>
    <dataValidation allowBlank="true" errorStyle="stop" operator="between" showDropDown="false" showErrorMessage="false" showInputMessage="false" sqref="B9" type="list">
      <formula1>Lookup_Codes!$F$5:$F$60</formula1>
      <formula2>0</formula2>
    </dataValidation>
    <dataValidation allowBlank="true" errorStyle="stop" operator="between" showDropDown="false" showErrorMessage="false" showInputMessage="false" sqref="B10" type="list">
      <formula1>Lookup_Codes!$R$5:$R$60</formula1>
      <formula2>0</formula2>
    </dataValidation>
    <dataValidation allowBlank="true" errorStyle="stop" operator="between" showDropDown="false" showErrorMessage="false" showInputMessage="false" sqref="B11" type="list">
      <formula1>Lookup_Codes!$S$5:$S$60</formula1>
      <formula2>0</formula2>
    </dataValidation>
    <dataValidation allowBlank="true" errorStyle="stop" operator="between" showDropDown="false" showErrorMessage="false" showInputMessage="false" sqref="B12" type="list">
      <formula1>Lookup_Codes!$T$5:$T$60</formula1>
      <formula2>0</formula2>
    </dataValidation>
    <dataValidation allowBlank="true" errorStyle="stop" operator="between" showDropDown="false" showErrorMessage="false" showInputMessage="false" sqref="B13" type="list">
      <formula1>Lookup_Codes!$U$5:$U$60</formula1>
      <formula2>0</formula2>
    </dataValidation>
    <dataValidation allowBlank="true" errorStyle="stop" operator="between" showDropDown="false" showErrorMessage="false" showInputMessage="false" sqref="B14" type="list">
      <formula1>Lookup_Codes!$V$5:$V$60</formula1>
      <formula2>0</formula2>
    </dataValidation>
    <dataValidation allowBlank="true" errorStyle="stop" operator="between" showDropDown="false" showErrorMessage="false" showInputMessage="false" sqref="B15:B22" type="list">
      <formula1>Lookup_Codes!$I$5:$I$60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6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15" topLeftCell="E16" activePane="bottomRight" state="frozen"/>
      <selection pane="topLeft" activeCell="A1" activeCellId="0" sqref="A1"/>
      <selection pane="topRight" activeCell="E1" activeCellId="0" sqref="E1"/>
      <selection pane="bottomLeft" activeCell="A16" activeCellId="0" sqref="A16"/>
      <selection pane="bottomRight" activeCell="F23" activeCellId="0" sqref="F23"/>
    </sheetView>
  </sheetViews>
  <sheetFormatPr defaultColWidth="8.714843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6"/>
    <col collapsed="false" customWidth="true" hidden="false" outlineLevel="0" max="4" min="4" style="0" width="32"/>
    <col collapsed="false" customWidth="true" hidden="false" outlineLevel="0" max="5" min="5" style="0" width="18"/>
    <col collapsed="false" customWidth="true" hidden="false" outlineLevel="0" max="6" min="6" style="0" width="13"/>
    <col collapsed="false" customWidth="true" hidden="false" outlineLevel="0" max="7" min="7" style="0" width="22"/>
    <col collapsed="false" customWidth="true" hidden="false" outlineLevel="0" max="8" min="8" style="0" width="18"/>
    <col collapsed="false" customWidth="true" hidden="false" outlineLevel="0" max="9" min="9" style="0" width="12"/>
    <col collapsed="false" customWidth="true" hidden="false" outlineLevel="0" max="12" min="10" style="0" width="8"/>
    <col collapsed="false" customWidth="true" hidden="false" outlineLevel="0" max="13" min="13" style="0" width="26"/>
    <col collapsed="false" customWidth="true" hidden="false" outlineLevel="0" max="14" min="14" style="0" width="14"/>
    <col collapsed="false" customWidth="true" hidden="false" outlineLevel="0" max="15" min="15" style="0" width="12"/>
    <col collapsed="false" customWidth="true" hidden="false" outlineLevel="0" max="16" min="16" style="0" width="15"/>
    <col collapsed="false" customWidth="true" hidden="false" outlineLevel="0" max="17" min="17" style="0" width="8"/>
    <col collapsed="false" customWidth="true" hidden="false" outlineLevel="0" max="18" min="18" style="0" width="6"/>
    <col collapsed="false" customWidth="true" hidden="false" outlineLevel="0" max="19" min="19" style="0" width="14"/>
    <col collapsed="false" customWidth="true" hidden="false" outlineLevel="0" max="20" min="20" style="0" width="30"/>
    <col collapsed="false" customWidth="true" hidden="false" outlineLevel="0" max="22" min="21" style="0" width="12"/>
    <col collapsed="false" customWidth="true" hidden="false" outlineLevel="0" max="23" min="23" style="0" width="16"/>
    <col collapsed="false" customWidth="true" hidden="false" outlineLevel="0" max="24" min="24" style="0" width="5"/>
    <col collapsed="false" customWidth="true" hidden="true" outlineLevel="0" max="54" min="53" style="0" width="13"/>
  </cols>
  <sheetData>
    <row r="1" customFormat="false" ht="18" hidden="false" customHeight="true" outlineLevel="0" collapsed="false">
      <c r="A1" s="7" t="s">
        <v>872</v>
      </c>
    </row>
    <row r="2" customFormat="false" ht="15" hidden="false" customHeight="false" outlineLevel="0" collapsed="false">
      <c r="A2" s="8" t="s">
        <v>873</v>
      </c>
    </row>
    <row r="4" customFormat="false" ht="15" hidden="false" customHeight="false" outlineLevel="0" collapsed="false">
      <c r="A4" s="53" t="s">
        <v>874</v>
      </c>
      <c r="B4" s="53" t="s">
        <v>829</v>
      </c>
      <c r="D4" s="53" t="s">
        <v>874</v>
      </c>
      <c r="E4" s="53" t="s">
        <v>829</v>
      </c>
      <c r="G4" s="53" t="s">
        <v>874</v>
      </c>
      <c r="H4" s="53" t="s">
        <v>829</v>
      </c>
      <c r="I4" s="53" t="s">
        <v>875</v>
      </c>
    </row>
    <row r="5" customFormat="false" ht="15" hidden="false" customHeight="false" outlineLevel="0" collapsed="false">
      <c r="A5" s="9" t="s">
        <v>876</v>
      </c>
      <c r="B5" s="64"/>
      <c r="D5" s="9" t="s">
        <v>246</v>
      </c>
      <c r="E5" s="55" t="s">
        <v>877</v>
      </c>
      <c r="G5" s="9" t="s">
        <v>878</v>
      </c>
      <c r="H5" s="55" t="s">
        <v>877</v>
      </c>
      <c r="BA5" s="65" t="n">
        <f aca="false">IF('Master Database'!$A5="",0,IF(AND(OR($B$5="",ISNUMBER(SEARCH($B$5,'Master Database'!$B5&amp;" "&amp;'Master Database'!$D5))),OR($B$6="(All)",'Master Database'!$C5=$B$6),OR($B$7="(All)",'Master Database'!$E5=$B$7),OR($B$8="(All)",'Master Database'!$T5=$B$8),OR($B$9="(All)",'Master Database'!$M5=$B$9),OR($B$10="(All)",'Master Database'!$V5=$B$10),OR($E$5="(All)",'Master Database'!$F5=$E$5),OR($E$6="(All)",'Master Database'!$G5=$E$6),OR($E$7="(All)",'Master Database'!$O5=$E$7),OR($E$8="(All)",'Master Database'!$P5=$E$8),OR($E$9="(All)",'Master Database'!$S5=$E$9),OR($E$10="(All)",'Master Database'!$Y5&amp;""=$E$10&amp;""),OR($H$5="(All)",'Master Database'!$BG5=$H$5),OR($H$6&lt;&gt;"Y",ISNUMBER('Master Database'!$AG5)),OR($H$7="",AND(ISNUMBER('Master Database'!$H5),N('Master Database'!$H5)&gt;=$H$7)),OR($I$7="",AND(ISNUMBER('Master Database'!$H5),N('Master Database'!$H5)&lt;=$I$7)),OR($H$8="",AND(ISNUMBER('Master Database'!$I5),N('Master Database'!$I5)&gt;=$H$8)),OR($I$8="",AND(ISNUMBER('Master Database'!$I5),N('Master Database'!$I5)&lt;=$I$8)),OR($H$9="",AND(ISNUMBER('Master Database'!$K5),N('Master Database'!$K5)&gt;=$H$9)),OR($I$9="",AND(ISNUMBER('Master Database'!$K5),N('Master Database'!$K5)&lt;=$I$9))),1,0))</f>
        <v>1</v>
      </c>
      <c r="BB5" s="65" t="n">
        <f aca="false">IF(BA5=1,COUNTIF($BA$5:BA5,1),"")</f>
        <v>1</v>
      </c>
    </row>
    <row r="6" customFormat="false" ht="15" hidden="false" customHeight="false" outlineLevel="0" collapsed="false">
      <c r="A6" s="9" t="s">
        <v>879</v>
      </c>
      <c r="B6" s="55" t="s">
        <v>877</v>
      </c>
      <c r="D6" s="9" t="s">
        <v>880</v>
      </c>
      <c r="E6" s="55" t="s">
        <v>877</v>
      </c>
      <c r="G6" s="9" t="s">
        <v>881</v>
      </c>
      <c r="H6" s="55" t="s">
        <v>312</v>
      </c>
      <c r="BA6" s="65" t="n">
        <f aca="false">IF('Master Database'!$A6="",0,IF(AND(OR($B$5="",ISNUMBER(SEARCH($B$5,'Master Database'!$B6&amp;" "&amp;'Master Database'!$D6))),OR($B$6="(All)",'Master Database'!$C6=$B$6),OR($B$7="(All)",'Master Database'!$E6=$B$7),OR($B$8="(All)",'Master Database'!$T6=$B$8),OR($B$9="(All)",'Master Database'!$M6=$B$9),OR($B$10="(All)",'Master Database'!$V6=$B$10),OR($E$5="(All)",'Master Database'!$F6=$E$5),OR($E$6="(All)",'Master Database'!$G6=$E$6),OR($E$7="(All)",'Master Database'!$O6=$E$7),OR($E$8="(All)",'Master Database'!$P6=$E$8),OR($E$9="(All)",'Master Database'!$S6=$E$9),OR($E$10="(All)",'Master Database'!$Y6&amp;""=$E$10&amp;""),OR($H$5="(All)",'Master Database'!$BG6=$H$5),OR($H$6&lt;&gt;"Y",ISNUMBER('Master Database'!$AG6)),OR($H$7="",AND(ISNUMBER('Master Database'!$H6),N('Master Database'!$H6)&gt;=$H$7)),OR($I$7="",AND(ISNUMBER('Master Database'!$H6),N('Master Database'!$H6)&lt;=$I$7)),OR($H$8="",AND(ISNUMBER('Master Database'!$I6),N('Master Database'!$I6)&gt;=$H$8)),OR($I$8="",AND(ISNUMBER('Master Database'!$I6),N('Master Database'!$I6)&lt;=$I$8)),OR($H$9="",AND(ISNUMBER('Master Database'!$K6),N('Master Database'!$K6)&gt;=$H$9)),OR($I$9="",AND(ISNUMBER('Master Database'!$K6),N('Master Database'!$K6)&lt;=$I$9))),1,0))</f>
        <v>1</v>
      </c>
      <c r="BB6" s="65" t="n">
        <f aca="false">IF(BA6=1,COUNTIF($BA$5:BA6,1),"")</f>
        <v>2</v>
      </c>
    </row>
    <row r="7" customFormat="false" ht="15" hidden="false" customHeight="false" outlineLevel="0" collapsed="false">
      <c r="A7" s="9" t="s">
        <v>37</v>
      </c>
      <c r="B7" s="55" t="s">
        <v>877</v>
      </c>
      <c r="D7" s="9" t="s">
        <v>851</v>
      </c>
      <c r="E7" s="55" t="s">
        <v>877</v>
      </c>
      <c r="G7" s="9" t="s">
        <v>882</v>
      </c>
      <c r="H7" s="55"/>
      <c r="I7" s="55"/>
      <c r="BA7" s="65" t="n">
        <f aca="false">IF('Master Database'!$A7="",0,IF(AND(OR($B$5="",ISNUMBER(SEARCH($B$5,'Master Database'!$B7&amp;" "&amp;'Master Database'!$D7))),OR($B$6="(All)",'Master Database'!$C7=$B$6),OR($B$7="(All)",'Master Database'!$E7=$B$7),OR($B$8="(All)",'Master Database'!$T7=$B$8),OR($B$9="(All)",'Master Database'!$M7=$B$9),OR($B$10="(All)",'Master Database'!$V7=$B$10),OR($E$5="(All)",'Master Database'!$F7=$E$5),OR($E$6="(All)",'Master Database'!$G7=$E$6),OR($E$7="(All)",'Master Database'!$O7=$E$7),OR($E$8="(All)",'Master Database'!$P7=$E$8),OR($E$9="(All)",'Master Database'!$S7=$E$9),OR($E$10="(All)",'Master Database'!$Y7&amp;""=$E$10&amp;""),OR($H$5="(All)",'Master Database'!$BG7=$H$5),OR($H$6&lt;&gt;"Y",ISNUMBER('Master Database'!$AG7)),OR($H$7="",AND(ISNUMBER('Master Database'!$H7),N('Master Database'!$H7)&gt;=$H$7)),OR($I$7="",AND(ISNUMBER('Master Database'!$H7),N('Master Database'!$H7)&lt;=$I$7)),OR($H$8="",AND(ISNUMBER('Master Database'!$I7),N('Master Database'!$I7)&gt;=$H$8)),OR($I$8="",AND(ISNUMBER('Master Database'!$I7),N('Master Database'!$I7)&lt;=$I$8)),OR($H$9="",AND(ISNUMBER('Master Database'!$K7),N('Master Database'!$K7)&gt;=$H$9)),OR($I$9="",AND(ISNUMBER('Master Database'!$K7),N('Master Database'!$K7)&lt;=$I$9))),1,0))</f>
        <v>1</v>
      </c>
      <c r="BB7" s="65" t="n">
        <f aca="false">IF(BA7=1,COUNTIF($BA$5:BA7,1),"")</f>
        <v>3</v>
      </c>
    </row>
    <row r="8" customFormat="false" ht="15" hidden="false" customHeight="false" outlineLevel="0" collapsed="false">
      <c r="A8" s="9" t="s">
        <v>259</v>
      </c>
      <c r="B8" s="55" t="s">
        <v>877</v>
      </c>
      <c r="D8" s="9" t="s">
        <v>883</v>
      </c>
      <c r="E8" s="55" t="s">
        <v>877</v>
      </c>
      <c r="G8" s="9" t="s">
        <v>884</v>
      </c>
      <c r="H8" s="55"/>
      <c r="I8" s="55"/>
      <c r="BA8" s="65" t="n">
        <f aca="false">IF('Master Database'!$A8="",0,IF(AND(OR($B$5="",ISNUMBER(SEARCH($B$5,'Master Database'!$B8&amp;" "&amp;'Master Database'!$D8))),OR($B$6="(All)",'Master Database'!$C8=$B$6),OR($B$7="(All)",'Master Database'!$E8=$B$7),OR($B$8="(All)",'Master Database'!$T8=$B$8),OR($B$9="(All)",'Master Database'!$M8=$B$9),OR($B$10="(All)",'Master Database'!$V8=$B$10),OR($E$5="(All)",'Master Database'!$F8=$E$5),OR($E$6="(All)",'Master Database'!$G8=$E$6),OR($E$7="(All)",'Master Database'!$O8=$E$7),OR($E$8="(All)",'Master Database'!$P8=$E$8),OR($E$9="(All)",'Master Database'!$S8=$E$9),OR($E$10="(All)",'Master Database'!$Y8&amp;""=$E$10&amp;""),OR($H$5="(All)",'Master Database'!$BG8=$H$5),OR($H$6&lt;&gt;"Y",ISNUMBER('Master Database'!$AG8)),OR($H$7="",AND(ISNUMBER('Master Database'!$H8),N('Master Database'!$H8)&gt;=$H$7)),OR($I$7="",AND(ISNUMBER('Master Database'!$H8),N('Master Database'!$H8)&lt;=$I$7)),OR($H$8="",AND(ISNUMBER('Master Database'!$I8),N('Master Database'!$I8)&gt;=$H$8)),OR($I$8="",AND(ISNUMBER('Master Database'!$I8),N('Master Database'!$I8)&lt;=$I$8)),OR($H$9="",AND(ISNUMBER('Master Database'!$K8),N('Master Database'!$K8)&gt;=$H$9)),OR($I$9="",AND(ISNUMBER('Master Database'!$K8),N('Master Database'!$K8)&lt;=$I$9))),1,0))</f>
        <v>1</v>
      </c>
      <c r="BB8" s="65" t="n">
        <f aca="false">IF(BA8=1,COUNTIF($BA$5:BA8,1),"")</f>
        <v>4</v>
      </c>
    </row>
    <row r="9" customFormat="false" ht="15" hidden="false" customHeight="false" outlineLevel="0" collapsed="false">
      <c r="A9" s="9" t="s">
        <v>252</v>
      </c>
      <c r="B9" s="55" t="s">
        <v>877</v>
      </c>
      <c r="D9" s="9" t="s">
        <v>258</v>
      </c>
      <c r="E9" s="55" t="s">
        <v>877</v>
      </c>
      <c r="G9" s="9" t="s">
        <v>885</v>
      </c>
      <c r="H9" s="55"/>
      <c r="I9" s="55"/>
      <c r="BA9" s="65" t="n">
        <f aca="false">IF('Master Database'!$A9="",0,IF(AND(OR($B$5="",ISNUMBER(SEARCH($B$5,'Master Database'!$B9&amp;" "&amp;'Master Database'!$D9))),OR($B$6="(All)",'Master Database'!$C9=$B$6),OR($B$7="(All)",'Master Database'!$E9=$B$7),OR($B$8="(All)",'Master Database'!$T9=$B$8),OR($B$9="(All)",'Master Database'!$M9=$B$9),OR($B$10="(All)",'Master Database'!$V9=$B$10),OR($E$5="(All)",'Master Database'!$F9=$E$5),OR($E$6="(All)",'Master Database'!$G9=$E$6),OR($E$7="(All)",'Master Database'!$O9=$E$7),OR($E$8="(All)",'Master Database'!$P9=$E$8),OR($E$9="(All)",'Master Database'!$S9=$E$9),OR($E$10="(All)",'Master Database'!$Y9&amp;""=$E$10&amp;""),OR($H$5="(All)",'Master Database'!$BG9=$H$5),OR($H$6&lt;&gt;"Y",ISNUMBER('Master Database'!$AG9)),OR($H$7="",AND(ISNUMBER('Master Database'!$H9),N('Master Database'!$H9)&gt;=$H$7)),OR($I$7="",AND(ISNUMBER('Master Database'!$H9),N('Master Database'!$H9)&lt;=$I$7)),OR($H$8="",AND(ISNUMBER('Master Database'!$I9),N('Master Database'!$I9)&gt;=$H$8)),OR($I$8="",AND(ISNUMBER('Master Database'!$I9),N('Master Database'!$I9)&lt;=$I$8)),OR($H$9="",AND(ISNUMBER('Master Database'!$K9),N('Master Database'!$K9)&gt;=$H$9)),OR($I$9="",AND(ISNUMBER('Master Database'!$K9),N('Master Database'!$K9)&lt;=$I$9))),1,0))</f>
        <v>1</v>
      </c>
      <c r="BB9" s="65" t="n">
        <f aca="false">IF(BA9=1,COUNTIF($BA$5:BA9,1),"")</f>
        <v>5</v>
      </c>
    </row>
    <row r="10" customFormat="false" ht="15" hidden="false" customHeight="false" outlineLevel="0" collapsed="false">
      <c r="A10" s="9" t="s">
        <v>261</v>
      </c>
      <c r="B10" s="55" t="s">
        <v>877</v>
      </c>
      <c r="D10" s="9" t="s">
        <v>886</v>
      </c>
      <c r="E10" s="55" t="s">
        <v>877</v>
      </c>
      <c r="BA10" s="65" t="n">
        <f aca="false">IF('Master Database'!$A10="",0,IF(AND(OR($B$5="",ISNUMBER(SEARCH($B$5,'Master Database'!$B10&amp;" "&amp;'Master Database'!$D10))),OR($B$6="(All)",'Master Database'!$C10=$B$6),OR($B$7="(All)",'Master Database'!$E10=$B$7),OR($B$8="(All)",'Master Database'!$T10=$B$8),OR($B$9="(All)",'Master Database'!$M10=$B$9),OR($B$10="(All)",'Master Database'!$V10=$B$10),OR($E$5="(All)",'Master Database'!$F10=$E$5),OR($E$6="(All)",'Master Database'!$G10=$E$6),OR($E$7="(All)",'Master Database'!$O10=$E$7),OR($E$8="(All)",'Master Database'!$P10=$E$8),OR($E$9="(All)",'Master Database'!$S10=$E$9),OR($E$10="(All)",'Master Database'!$Y10&amp;""=$E$10&amp;""),OR($H$5="(All)",'Master Database'!$BG10=$H$5),OR($H$6&lt;&gt;"Y",ISNUMBER('Master Database'!$AG10)),OR($H$7="",AND(ISNUMBER('Master Database'!$H10),N('Master Database'!$H10)&gt;=$H$7)),OR($I$7="",AND(ISNUMBER('Master Database'!$H10),N('Master Database'!$H10)&lt;=$I$7)),OR($H$8="",AND(ISNUMBER('Master Database'!$I10),N('Master Database'!$I10)&gt;=$H$8)),OR($I$8="",AND(ISNUMBER('Master Database'!$I10),N('Master Database'!$I10)&lt;=$I$8)),OR($H$9="",AND(ISNUMBER('Master Database'!$K10),N('Master Database'!$K10)&gt;=$H$9)),OR($I$9="",AND(ISNUMBER('Master Database'!$K10),N('Master Database'!$K10)&lt;=$I$9))),1,0))</f>
        <v>1</v>
      </c>
      <c r="BB10" s="65" t="n">
        <f aca="false">IF(BA10=1,COUNTIF($BA$5:BA10,1),"")</f>
        <v>6</v>
      </c>
    </row>
    <row r="11" customFormat="false" ht="15" hidden="false" customHeight="false" outlineLevel="0" collapsed="false">
      <c r="BA11" s="0" t="n">
        <f aca="false">IF('Master Database'!$A11="",0,IF(AND(OR($B$5="",ISNUMBER(SEARCH($B$5,'Master Database'!$B11&amp;" "&amp;'Master Database'!$D11))),OR($B$6="(All)",'Master Database'!$C11=$B$6),OR($B$7="(All)",'Master Database'!$E11=$B$7),OR($B$8="(All)",'Master Database'!$T11=$B$8),OR($B$9="(All)",'Master Database'!$M11=$B$9),OR($B$10="(All)",'Master Database'!$V11=$B$10),OR($E$5="(All)",'Master Database'!$F11=$E$5),OR($E$6="(All)",'Master Database'!$G11=$E$6),OR($E$7="(All)",'Master Database'!$O11=$E$7),OR($E$8="(All)",'Master Database'!$P11=$E$8),OR($E$9="(All)",'Master Database'!$S11=$E$9),OR($E$10="(All)",'Master Database'!$Y11&amp;""=$E$10&amp;""),OR($H$5="(All)",'Master Database'!$BG11=$H$5),OR($H$6&lt;&gt;"Y",ISNUMBER('Master Database'!$AG11)),OR($H$7="",AND(ISNUMBER('Master Database'!$H11),N('Master Database'!$H11)&gt;=$H$7)),OR($I$7="",AND(ISNUMBER('Master Database'!$H11),N('Master Database'!$H11)&lt;=$I$7)),OR($H$8="",AND(ISNUMBER('Master Database'!$I11),N('Master Database'!$I11)&gt;=$H$8)),OR($I$8="",AND(ISNUMBER('Master Database'!$I11),N('Master Database'!$I11)&lt;=$I$8)),OR($H$9="",AND(ISNUMBER('Master Database'!$K11),N('Master Database'!$K11)&gt;=$H$9)),OR($I$9="",AND(ISNUMBER('Master Database'!$K11),N('Master Database'!$K11)&lt;=$I$9))),1,0))</f>
        <v>1</v>
      </c>
      <c r="BB11" s="0" t="n">
        <f aca="false">IF(BA11=1,COUNTIF($BA$5:BA11,1),"")</f>
        <v>7</v>
      </c>
    </row>
    <row r="12" customFormat="false" ht="15" hidden="false" customHeight="false" outlineLevel="0" collapsed="false">
      <c r="A12" s="63" t="s">
        <v>887</v>
      </c>
      <c r="B12" s="66" t="n">
        <f aca="false">SUM($BA$5:$BA$600)</f>
        <v>146</v>
      </c>
      <c r="D12" s="63" t="s">
        <v>888</v>
      </c>
      <c r="E12" s="61" t="n">
        <f aca="false">IF(SUM($BA$5:$BA$600)=0,"",_xlfn.MINIFS('Master Database'!$AG$5:$AG$600,$BA$5:$BA$600,1))</f>
        <v>3333.4350812155</v>
      </c>
      <c r="G12" s="63" t="s">
        <v>889</v>
      </c>
      <c r="H12" s="61" t="n">
        <f aca="false">IF(SUM($BA$5:$BA$600)=0,"",IFERROR(AVERAGEIFS('Master Database'!$AG$5:$AG$600,$BA$5:$BA$600,1),""))</f>
        <v>67124.6687043093</v>
      </c>
      <c r="BA12" s="65" t="n">
        <f aca="false">IF('Master Database'!$A12="",0,IF(AND(OR($B$5="",ISNUMBER(SEARCH($B$5,'Master Database'!$B12&amp;" "&amp;'Master Database'!$D12))),OR($B$6="(All)",'Master Database'!$C12=$B$6),OR($B$7="(All)",'Master Database'!$E12=$B$7),OR($B$8="(All)",'Master Database'!$T12=$B$8),OR($B$9="(All)",'Master Database'!$M12=$B$9),OR($B$10="(All)",'Master Database'!$V12=$B$10),OR($E$5="(All)",'Master Database'!$F12=$E$5),OR($E$6="(All)",'Master Database'!$G12=$E$6),OR($E$7="(All)",'Master Database'!$O12=$E$7),OR($E$8="(All)",'Master Database'!$P12=$E$8),OR($E$9="(All)",'Master Database'!$S12=$E$9),OR($E$10="(All)",'Master Database'!$Y12&amp;""=$E$10&amp;""),OR($H$5="(All)",'Master Database'!$BG12=$H$5),OR($H$6&lt;&gt;"Y",ISNUMBER('Master Database'!$AG12)),OR($H$7="",AND(ISNUMBER('Master Database'!$H12),N('Master Database'!$H12)&gt;=$H$7)),OR($I$7="",AND(ISNUMBER('Master Database'!$H12),N('Master Database'!$H12)&lt;=$I$7)),OR($H$8="",AND(ISNUMBER('Master Database'!$I12),N('Master Database'!$I12)&gt;=$H$8)),OR($I$8="",AND(ISNUMBER('Master Database'!$I12),N('Master Database'!$I12)&lt;=$I$8)),OR($H$9="",AND(ISNUMBER('Master Database'!$K12),N('Master Database'!$K12)&gt;=$H$9)),OR($I$9="",AND(ISNUMBER('Master Database'!$K12),N('Master Database'!$K12)&lt;=$I$9))),1,0))</f>
        <v>1</v>
      </c>
      <c r="BB12" s="65" t="n">
        <f aca="false">IF(BA12=1,COUNTIF($BA$5:BA12,1),"")</f>
        <v>8</v>
      </c>
    </row>
    <row r="13" customFormat="false" ht="15" hidden="false" customHeight="false" outlineLevel="0" collapsed="false">
      <c r="A13" s="63" t="s">
        <v>890</v>
      </c>
      <c r="B13" s="61" t="n">
        <f aca="false">IF(SUM($BA$5:$BA$600)=0,"",_xlfn.MAXIFS('Master Database'!$AG$5:$AG$600,$BA$5:$BA$600,1))</f>
        <v>445018.322697504</v>
      </c>
      <c r="D13" s="63" t="s">
        <v>891</v>
      </c>
      <c r="E13" s="61" t="n">
        <f aca="false">IF(SUM($BA$5:$BA$600)=0,"",IFERROR(AVERAGEIFS('Master Database'!$AI$5:$AI$600,$BA$5:$BA$600,1),""))</f>
        <v>46669634160.7077</v>
      </c>
      <c r="G13" s="63" t="s">
        <v>892</v>
      </c>
      <c r="H13" s="66" t="n">
        <f aca="false">'Assumptions &amp; FX Reference'!$I$5</f>
        <v>1404</v>
      </c>
      <c r="BA13" s="65" t="n">
        <f aca="false">IF('Master Database'!$A13="",0,IF(AND(OR($B$5="",ISNUMBER(SEARCH($B$5,'Master Database'!$B13&amp;" "&amp;'Master Database'!$D13))),OR($B$6="(All)",'Master Database'!$C13=$B$6),OR($B$7="(All)",'Master Database'!$E13=$B$7),OR($B$8="(All)",'Master Database'!$T13=$B$8),OR($B$9="(All)",'Master Database'!$M13=$B$9),OR($B$10="(All)",'Master Database'!$V13=$B$10),OR($E$5="(All)",'Master Database'!$F13=$E$5),OR($E$6="(All)",'Master Database'!$G13=$E$6),OR($E$7="(All)",'Master Database'!$O13=$E$7),OR($E$8="(All)",'Master Database'!$P13=$E$8),OR($E$9="(All)",'Master Database'!$S13=$E$9),OR($E$10="(All)",'Master Database'!$Y13&amp;""=$E$10&amp;""),OR($H$5="(All)",'Master Database'!$BG13=$H$5),OR($H$6&lt;&gt;"Y",ISNUMBER('Master Database'!$AG13)),OR($H$7="",AND(ISNUMBER('Master Database'!$H13),N('Master Database'!$H13)&gt;=$H$7)),OR($I$7="",AND(ISNUMBER('Master Database'!$H13),N('Master Database'!$H13)&lt;=$I$7)),OR($H$8="",AND(ISNUMBER('Master Database'!$I13),N('Master Database'!$I13)&gt;=$H$8)),OR($I$8="",AND(ISNUMBER('Master Database'!$I13),N('Master Database'!$I13)&lt;=$I$8)),OR($H$9="",AND(ISNUMBER('Master Database'!$K13),N('Master Database'!$K13)&gt;=$H$9)),OR($I$9="",AND(ISNUMBER('Master Database'!$K13),N('Master Database'!$K13)&lt;=$I$9))),1,0))</f>
        <v>1</v>
      </c>
      <c r="BB13" s="65" t="n">
        <f aca="false">IF(BA13=1,COUNTIF($BA$5:BA13,1),"")</f>
        <v>9</v>
      </c>
    </row>
    <row r="14" customFormat="false" ht="15" hidden="false" customHeight="false" outlineLevel="0" collapsed="false">
      <c r="BA14" s="0" t="n">
        <f aca="false">IF('Master Database'!$A14="",0,IF(AND(OR($B$5="",ISNUMBER(SEARCH($B$5,'Master Database'!$B14&amp;" "&amp;'Master Database'!$D14))),OR($B$6="(All)",'Master Database'!$C14=$B$6),OR($B$7="(All)",'Master Database'!$E14=$B$7),OR($B$8="(All)",'Master Database'!$T14=$B$8),OR($B$9="(All)",'Master Database'!$M14=$B$9),OR($B$10="(All)",'Master Database'!$V14=$B$10),OR($E$5="(All)",'Master Database'!$F14=$E$5),OR($E$6="(All)",'Master Database'!$G14=$E$6),OR($E$7="(All)",'Master Database'!$O14=$E$7),OR($E$8="(All)",'Master Database'!$P14=$E$8),OR($E$9="(All)",'Master Database'!$S14=$E$9),OR($E$10="(All)",'Master Database'!$Y14&amp;""=$E$10&amp;""),OR($H$5="(All)",'Master Database'!$BG14=$H$5),OR($H$6&lt;&gt;"Y",ISNUMBER('Master Database'!$AG14)),OR($H$7="",AND(ISNUMBER('Master Database'!$H14),N('Master Database'!$H14)&gt;=$H$7)),OR($I$7="",AND(ISNUMBER('Master Database'!$H14),N('Master Database'!$H14)&lt;=$I$7)),OR($H$8="",AND(ISNUMBER('Master Database'!$I14),N('Master Database'!$I14)&gt;=$H$8)),OR($I$8="",AND(ISNUMBER('Master Database'!$I14),N('Master Database'!$I14)&lt;=$I$8)),OR($H$9="",AND(ISNUMBER('Master Database'!$K14),N('Master Database'!$K14)&gt;=$H$9)),OR($I$9="",AND(ISNUMBER('Master Database'!$K14),N('Master Database'!$K14)&lt;=$I$9))),1,0))</f>
        <v>1</v>
      </c>
      <c r="BB14" s="0" t="n">
        <f aca="false">IF(BA14=1,COUNTIF($BA$5:BA14,1),"")</f>
        <v>10</v>
      </c>
    </row>
    <row r="15" customFormat="false" ht="30" hidden="false" customHeight="true" outlineLevel="0" collapsed="false">
      <c r="A15" s="54" t="s">
        <v>893</v>
      </c>
      <c r="B15" s="54" t="s">
        <v>894</v>
      </c>
      <c r="C15" s="54" t="s">
        <v>242</v>
      </c>
      <c r="D15" s="54" t="s">
        <v>243</v>
      </c>
      <c r="E15" s="54" t="s">
        <v>879</v>
      </c>
      <c r="F15" s="54" t="s">
        <v>245</v>
      </c>
      <c r="G15" s="54" t="s">
        <v>895</v>
      </c>
      <c r="H15" s="54" t="s">
        <v>896</v>
      </c>
      <c r="I15" s="54" t="s">
        <v>897</v>
      </c>
      <c r="J15" s="54" t="s">
        <v>898</v>
      </c>
      <c r="K15" s="54" t="s">
        <v>899</v>
      </c>
      <c r="L15" s="54" t="s">
        <v>900</v>
      </c>
      <c r="M15" s="54" t="s">
        <v>6</v>
      </c>
      <c r="N15" s="54" t="s">
        <v>901</v>
      </c>
      <c r="O15" s="54" t="s">
        <v>902</v>
      </c>
      <c r="P15" s="54" t="s">
        <v>903</v>
      </c>
      <c r="Q15" s="54" t="s">
        <v>886</v>
      </c>
      <c r="R15" s="54" t="s">
        <v>904</v>
      </c>
      <c r="S15" s="54" t="s">
        <v>905</v>
      </c>
      <c r="T15" s="54" t="s">
        <v>906</v>
      </c>
      <c r="U15" s="54" t="s">
        <v>907</v>
      </c>
      <c r="V15" s="54" t="s">
        <v>908</v>
      </c>
      <c r="W15" s="54" t="s">
        <v>909</v>
      </c>
      <c r="X15" s="54" t="s">
        <v>910</v>
      </c>
      <c r="BA15" s="65" t="n">
        <f aca="false">IF('Master Database'!$A15="",0,IF(AND(OR($B$5="",ISNUMBER(SEARCH($B$5,'Master Database'!$B15&amp;" "&amp;'Master Database'!$D15))),OR($B$6="(All)",'Master Database'!$C15=$B$6),OR($B$7="(All)",'Master Database'!$E15=$B$7),OR($B$8="(All)",'Master Database'!$T15=$B$8),OR($B$9="(All)",'Master Database'!$M15=$B$9),OR($B$10="(All)",'Master Database'!$V15=$B$10),OR($E$5="(All)",'Master Database'!$F15=$E$5),OR($E$6="(All)",'Master Database'!$G15=$E$6),OR($E$7="(All)",'Master Database'!$O15=$E$7),OR($E$8="(All)",'Master Database'!$P15=$E$8),OR($E$9="(All)",'Master Database'!$S15=$E$9),OR($E$10="(All)",'Master Database'!$Y15&amp;""=$E$10&amp;""),OR($H$5="(All)",'Master Database'!$BG15=$H$5),OR($H$6&lt;&gt;"Y",ISNUMBER('Master Database'!$AG15)),OR($H$7="",AND(ISNUMBER('Master Database'!$H15),N('Master Database'!$H15)&gt;=$H$7)),OR($I$7="",AND(ISNUMBER('Master Database'!$H15),N('Master Database'!$H15)&lt;=$I$7)),OR($H$8="",AND(ISNUMBER('Master Database'!$I15),N('Master Database'!$I15)&gt;=$H$8)),OR($I$8="",AND(ISNUMBER('Master Database'!$I15),N('Master Database'!$I15)&lt;=$I$8)),OR($H$9="",AND(ISNUMBER('Master Database'!$K15),N('Master Database'!$K15)&gt;=$H$9)),OR($I$9="",AND(ISNUMBER('Master Database'!$K15),N('Master Database'!$K15)&lt;=$I$9))),1,0))</f>
        <v>1</v>
      </c>
      <c r="BB15" s="65" t="n">
        <f aca="false">IF(BA15=1,COUNTIF($BA$5:BA15,1),"")</f>
        <v>11</v>
      </c>
    </row>
    <row r="16" customFormat="false" ht="15" hidden="false" customHeight="false" outlineLevel="0" collapsed="false">
      <c r="A16" s="67" t="n">
        <f aca="false">IF(1&lt;=SUM($BA$5:$BA$600),1,"")</f>
        <v>1</v>
      </c>
      <c r="B16" s="67" t="n">
        <f aca="false">IF(A16="","",MATCH(A16,$BB$5:$BB$600,0)+4)</f>
        <v>5</v>
      </c>
      <c r="C16" s="67" t="n">
        <f aca="false">IF($B16="","",IF(INDEX('Master Database'!$A$1:$A$600,$B16)="","",INDEX('Master Database'!$A$1:$A$600,$B16)))</f>
        <v>1</v>
      </c>
      <c r="D16" s="68" t="str">
        <f aca="false">IF($B16="","",IF(INDEX('Master Database'!$B$1:$B$600,$B16)="","",INDEX('Master Database'!$B$1:$B$600,$B16)))</f>
        <v>2nd Stage  Separators Oil Pumps</v>
      </c>
      <c r="E16" s="68" t="str">
        <f aca="false">IF($B16="","",IF(INDEX('Master Database'!$C$1:$C$600,$B16)="","",INDEX('Master Database'!$C$1:$C$600,$B16)))</f>
        <v>(نام پروژه در فایل قید نشده است) – CSV 18061405</v>
      </c>
      <c r="F16" s="68" t="str">
        <f aca="false">IF($B16="","",IF(INDEX('Master Database'!$D$1:$D$600,$B16)="","",INDEX('Master Database'!$D$1:$D$600,$B16)))</f>
        <v>(Not stated in source document)</v>
      </c>
      <c r="G16" s="68" t="str">
        <f aca="false">IF($B16="","",IF(INDEX('Master Database'!$E$1:$E$600,$B16)="","",INDEX('Master Database'!$E$1:$E$600,$B16)))</f>
        <v>ROT-CRU</v>
      </c>
      <c r="H16" s="68" t="str">
        <f aca="false">IF($B16="","",IF(INDEX('Master Database'!$F$1:$F$600,$B16)="","",INDEX('Master Database'!$F$1:$F$600,$B16)))</f>
        <v>Not stated</v>
      </c>
      <c r="I16" s="68" t="str">
        <f aca="false">IF($B16="","",IF(INDEX('Master Database'!$G$1:$G$600,$B16)="","",INDEX('Master Database'!$G$1:$G$600,$B16)))</f>
        <v>Not stated</v>
      </c>
      <c r="J16" s="69" t="str">
        <f aca="false">IF($B16="","",IF(INDEX('Master Database'!$H$1:$H$600,$B16)="","",INDEX('Master Database'!$H$1:$H$600,$B16)))</f>
        <v/>
      </c>
      <c r="K16" s="69" t="n">
        <f aca="false">IF($B16="","",IF(INDEX('Master Database'!$I$1:$I$600,$B16)="","",INDEX('Master Database'!$I$1:$I$600,$B16)))</f>
        <v>95.8</v>
      </c>
      <c r="L16" s="69" t="n">
        <f aca="false">IF($B16="","",IF(INDEX('Master Database'!$K$1:$K$600,$B16)="","",INDEX('Master Database'!$K$1:$K$600,$B16)))</f>
        <v>54.3</v>
      </c>
      <c r="M16" s="68" t="str">
        <f aca="false">IF($B16="","",IF(INDEX('Master Database'!$L$1:$L$600,$B16)="","",INDEX('Master Database'!$L$1:$L$600,$B16)))</f>
        <v>Not stated</v>
      </c>
      <c r="N16" s="68" t="str">
        <f aca="false">IF($B16="","",IF(INDEX('Master Database'!$P$1:$P$600,$B16)="","",INDEX('Master Database'!$P$1:$P$600,$B16)))</f>
        <v>Not stated</v>
      </c>
      <c r="O16" s="68" t="str">
        <f aca="false">IF($B16="","",IF(INDEX('Master Database'!$S$1:$S$600,$B16)="","",INDEX('Master Database'!$S$1:$S$600,$B16)))</f>
        <v>Electric Motor</v>
      </c>
      <c r="P16" s="68" t="str">
        <f aca="false">IF($B16="","",IF(INDEX('Master Database'!$T$1:$T$600,$B16)="","",INDEX('Master Database'!$T$1:$T$600,$B16)))</f>
        <v>Crude Oil</v>
      </c>
      <c r="Q16" s="68" t="str">
        <f aca="false">IF($B16="","",IF(INDEX('Master Database'!$Y$1:$Y$600,$B16)="","",INDEX('Master Database'!$Y$1:$Y$600,$B16)))</f>
        <v>(Not stated)</v>
      </c>
      <c r="R16" s="68" t="str">
        <f aca="false">IF($B16="","",IF(INDEX('Master Database'!$Z$1:$Z$600,$B16)="","",INDEX('Master Database'!$Z$1:$Z$600,$B16)))</f>
        <v>USD</v>
      </c>
      <c r="S16" s="70" t="n">
        <f aca="false">IF($B16="","",IF(INDEX('Master Database'!$AA$1:$AA$600,$B16)="","",INDEX('Master Database'!$AA$1:$AA$600,$B16)))</f>
        <v>240000</v>
      </c>
      <c r="T16" s="68" t="str">
        <f aca="false">IF($B16="","",IF(INDEX('Master Database'!$AE$1:$AE$600,$B16)="","",INDEX('Master Database'!$AE$1:$AE$600,$B16)))</f>
        <v>Purchase price (USD) – 18061405 pump CSV; project and year not stated</v>
      </c>
      <c r="U16" s="70" t="str">
        <f aca="false">IF($B16="","",IF(INDEX('Master Database'!$AG$1:$AG$600,$B16)="","",INDEX('Master Database'!$AG$1:$AG$600,$B16)))</f>
        <v/>
      </c>
      <c r="V16" s="70" t="str">
        <f aca="false">IF($B16="","",IF(INDEX('Master Database'!$AH$1:$AH$600,$B16)="","",INDEX('Master Database'!$AH$1:$AH$600,$B16)))</f>
        <v/>
      </c>
      <c r="W16" s="70" t="str">
        <f aca="false">IF($B16="","",IF(INDEX('Master Database'!$AI$1:$AI$600,$B16)="","",INDEX('Master Database'!$AI$1:$AI$600,$B16)))</f>
        <v/>
      </c>
      <c r="X16" s="68" t="str">
        <f aca="false">IF($B16="","",IF(INDEX('Master Database'!$BG$1:$BG$600,$B16)="","",INDEX('Master Database'!$BG$1:$BG$600,$B16)))</f>
        <v>N</v>
      </c>
      <c r="BA16" s="65" t="n">
        <f aca="false">IF('Master Database'!$A16="",0,IF(AND(OR($B$5="",ISNUMBER(SEARCH($B$5,'Master Database'!$B16&amp;" "&amp;'Master Database'!$D16))),OR($B$6="(All)",'Master Database'!$C16=$B$6),OR($B$7="(All)",'Master Database'!$E16=$B$7),OR($B$8="(All)",'Master Database'!$T16=$B$8),OR($B$9="(All)",'Master Database'!$M16=$B$9),OR($B$10="(All)",'Master Database'!$V16=$B$10),OR($E$5="(All)",'Master Database'!$F16=$E$5),OR($E$6="(All)",'Master Database'!$G16=$E$6),OR($E$7="(All)",'Master Database'!$O16=$E$7),OR($E$8="(All)",'Master Database'!$P16=$E$8),OR($E$9="(All)",'Master Database'!$S16=$E$9),OR($E$10="(All)",'Master Database'!$Y16&amp;""=$E$10&amp;""),OR($H$5="(All)",'Master Database'!$BG16=$H$5),OR($H$6&lt;&gt;"Y",ISNUMBER('Master Database'!$AG16)),OR($H$7="",AND(ISNUMBER('Master Database'!$H16),N('Master Database'!$H16)&gt;=$H$7)),OR($I$7="",AND(ISNUMBER('Master Database'!$H16),N('Master Database'!$H16)&lt;=$I$7)),OR($H$8="",AND(ISNUMBER('Master Database'!$I16),N('Master Database'!$I16)&gt;=$H$8)),OR($I$8="",AND(ISNUMBER('Master Database'!$I16),N('Master Database'!$I16)&lt;=$I$8)),OR($H$9="",AND(ISNUMBER('Master Database'!$K16),N('Master Database'!$K16)&gt;=$H$9)),OR($I$9="",AND(ISNUMBER('Master Database'!$K16),N('Master Database'!$K16)&lt;=$I$9))),1,0))</f>
        <v>1</v>
      </c>
      <c r="BB16" s="65" t="n">
        <f aca="false">IF(BA16=1,COUNTIF($BA$5:BA16,1),"")</f>
        <v>12</v>
      </c>
    </row>
    <row r="17" customFormat="false" ht="15" hidden="false" customHeight="false" outlineLevel="0" collapsed="false">
      <c r="A17" s="67" t="n">
        <f aca="false">IF(2&lt;=SUM($BA$5:$BA$600),2,"")</f>
        <v>2</v>
      </c>
      <c r="B17" s="67" t="n">
        <f aca="false">IF(A17="","",MATCH(A17,$BB$5:$BB$600,0)+4)</f>
        <v>6</v>
      </c>
      <c r="C17" s="67" t="n">
        <f aca="false">IF($B17="","",IF(INDEX('Master Database'!$A$1:$A$600,$B17)="","",INDEX('Master Database'!$A$1:$A$600,$B17)))</f>
        <v>2</v>
      </c>
      <c r="D17" s="68" t="str">
        <f aca="false">IF($B17="","",IF(INDEX('Master Database'!$B$1:$B$600,$B17)="","",INDEX('Master Database'!$B$1:$B$600,$B17)))</f>
        <v>3rd Stage  Separators Oil Pumps</v>
      </c>
      <c r="E17" s="68" t="str">
        <f aca="false">IF($B17="","",IF(INDEX('Master Database'!$C$1:$C$600,$B17)="","",INDEX('Master Database'!$C$1:$C$600,$B17)))</f>
        <v>(نام پروژه در فایل قید نشده است) – CSV 18061405</v>
      </c>
      <c r="F17" s="68" t="str">
        <f aca="false">IF($B17="","",IF(INDEX('Master Database'!$D$1:$D$600,$B17)="","",INDEX('Master Database'!$D$1:$D$600,$B17)))</f>
        <v>(Not stated in source document)</v>
      </c>
      <c r="G17" s="68" t="str">
        <f aca="false">IF($B17="","",IF(INDEX('Master Database'!$E$1:$E$600,$B17)="","",INDEX('Master Database'!$E$1:$E$600,$B17)))</f>
        <v>ROT-CRU</v>
      </c>
      <c r="H17" s="68" t="str">
        <f aca="false">IF($B17="","",IF(INDEX('Master Database'!$F$1:$F$600,$B17)="","",INDEX('Master Database'!$F$1:$F$600,$B17)))</f>
        <v>Not stated</v>
      </c>
      <c r="I17" s="68" t="str">
        <f aca="false">IF($B17="","",IF(INDEX('Master Database'!$G$1:$G$600,$B17)="","",INDEX('Master Database'!$G$1:$G$600,$B17)))</f>
        <v>Not stated</v>
      </c>
      <c r="J17" s="69" t="str">
        <f aca="false">IF($B17="","",IF(INDEX('Master Database'!$H$1:$H$600,$B17)="","",INDEX('Master Database'!$H$1:$H$600,$B17)))</f>
        <v/>
      </c>
      <c r="K17" s="69" t="n">
        <f aca="false">IF($B17="","",IF(INDEX('Master Database'!$I$1:$I$600,$B17)="","",INDEX('Master Database'!$I$1:$I$600,$B17)))</f>
        <v>59.9</v>
      </c>
      <c r="L17" s="69" t="n">
        <f aca="false">IF($B17="","",IF(INDEX('Master Database'!$K$1:$K$600,$B17)="","",INDEX('Master Database'!$K$1:$K$600,$B17)))</f>
        <v>33.1</v>
      </c>
      <c r="M17" s="68" t="str">
        <f aca="false">IF($B17="","",IF(INDEX('Master Database'!$L$1:$L$600,$B17)="","",INDEX('Master Database'!$L$1:$L$600,$B17)))</f>
        <v>Not stated</v>
      </c>
      <c r="N17" s="68" t="str">
        <f aca="false">IF($B17="","",IF(INDEX('Master Database'!$P$1:$P$600,$B17)="","",INDEX('Master Database'!$P$1:$P$600,$B17)))</f>
        <v>Not stated</v>
      </c>
      <c r="O17" s="68" t="str">
        <f aca="false">IF($B17="","",IF(INDEX('Master Database'!$S$1:$S$600,$B17)="","",INDEX('Master Database'!$S$1:$S$600,$B17)))</f>
        <v>Electric Motor</v>
      </c>
      <c r="P17" s="68" t="str">
        <f aca="false">IF($B17="","",IF(INDEX('Master Database'!$T$1:$T$600,$B17)="","",INDEX('Master Database'!$T$1:$T$600,$B17)))</f>
        <v>Crude Oil</v>
      </c>
      <c r="Q17" s="68" t="str">
        <f aca="false">IF($B17="","",IF(INDEX('Master Database'!$Y$1:$Y$600,$B17)="","",INDEX('Master Database'!$Y$1:$Y$600,$B17)))</f>
        <v>(Not stated)</v>
      </c>
      <c r="R17" s="68" t="str">
        <f aca="false">IF($B17="","",IF(INDEX('Master Database'!$Z$1:$Z$600,$B17)="","",INDEX('Master Database'!$Z$1:$Z$600,$B17)))</f>
        <v>USD</v>
      </c>
      <c r="S17" s="70" t="n">
        <f aca="false">IF($B17="","",IF(INDEX('Master Database'!$AA$1:$AA$600,$B17)="","",INDEX('Master Database'!$AA$1:$AA$600,$B17)))</f>
        <v>280000</v>
      </c>
      <c r="T17" s="68" t="str">
        <f aca="false">IF($B17="","",IF(INDEX('Master Database'!$AE$1:$AE$600,$B17)="","",INDEX('Master Database'!$AE$1:$AE$600,$B17)))</f>
        <v>Purchase price (USD) – 18061405 pump CSV; project and year not stated</v>
      </c>
      <c r="U17" s="70" t="str">
        <f aca="false">IF($B17="","",IF(INDEX('Master Database'!$AG$1:$AG$600,$B17)="","",INDEX('Master Database'!$AG$1:$AG$600,$B17)))</f>
        <v/>
      </c>
      <c r="V17" s="70" t="str">
        <f aca="false">IF($B17="","",IF(INDEX('Master Database'!$AH$1:$AH$600,$B17)="","",INDEX('Master Database'!$AH$1:$AH$600,$B17)))</f>
        <v/>
      </c>
      <c r="W17" s="70" t="str">
        <f aca="false">IF($B17="","",IF(INDEX('Master Database'!$AI$1:$AI$600,$B17)="","",INDEX('Master Database'!$AI$1:$AI$600,$B17)))</f>
        <v/>
      </c>
      <c r="X17" s="68" t="str">
        <f aca="false">IF($B17="","",IF(INDEX('Master Database'!$BG$1:$BG$600,$B17)="","",INDEX('Master Database'!$BG$1:$BG$600,$B17)))</f>
        <v>N</v>
      </c>
      <c r="BA17" s="65" t="n">
        <f aca="false">IF('Master Database'!$A17="",0,IF(AND(OR($B$5="",ISNUMBER(SEARCH($B$5,'Master Database'!$B17&amp;" "&amp;'Master Database'!$D17))),OR($B$6="(All)",'Master Database'!$C17=$B$6),OR($B$7="(All)",'Master Database'!$E17=$B$7),OR($B$8="(All)",'Master Database'!$T17=$B$8),OR($B$9="(All)",'Master Database'!$M17=$B$9),OR($B$10="(All)",'Master Database'!$V17=$B$10),OR($E$5="(All)",'Master Database'!$F17=$E$5),OR($E$6="(All)",'Master Database'!$G17=$E$6),OR($E$7="(All)",'Master Database'!$O17=$E$7),OR($E$8="(All)",'Master Database'!$P17=$E$8),OR($E$9="(All)",'Master Database'!$S17=$E$9),OR($E$10="(All)",'Master Database'!$Y17&amp;""=$E$10&amp;""),OR($H$5="(All)",'Master Database'!$BG17=$H$5),OR($H$6&lt;&gt;"Y",ISNUMBER('Master Database'!$AG17)),OR($H$7="",AND(ISNUMBER('Master Database'!$H17),N('Master Database'!$H17)&gt;=$H$7)),OR($I$7="",AND(ISNUMBER('Master Database'!$H17),N('Master Database'!$H17)&lt;=$I$7)),OR($H$8="",AND(ISNUMBER('Master Database'!$I17),N('Master Database'!$I17)&gt;=$H$8)),OR($I$8="",AND(ISNUMBER('Master Database'!$I17),N('Master Database'!$I17)&lt;=$I$8)),OR($H$9="",AND(ISNUMBER('Master Database'!$K17),N('Master Database'!$K17)&gt;=$H$9)),OR($I$9="",AND(ISNUMBER('Master Database'!$K17),N('Master Database'!$K17)&lt;=$I$9))),1,0))</f>
        <v>1</v>
      </c>
      <c r="BB17" s="65" t="n">
        <f aca="false">IF(BA17=1,COUNTIF($BA$5:BA17,1),"")</f>
        <v>13</v>
      </c>
    </row>
    <row r="18" customFormat="false" ht="15" hidden="false" customHeight="false" outlineLevel="0" collapsed="false">
      <c r="A18" s="67" t="n">
        <f aca="false">IF(3&lt;=SUM($BA$5:$BA$600),3,"")</f>
        <v>3</v>
      </c>
      <c r="B18" s="67" t="n">
        <f aca="false">IF(A18="","",MATCH(A18,$BB$5:$BB$600,0)+4)</f>
        <v>7</v>
      </c>
      <c r="C18" s="67" t="n">
        <f aca="false">IF($B18="","",IF(INDEX('Master Database'!$A$1:$A$600,$B18)="","",INDEX('Master Database'!$A$1:$A$600,$B18)))</f>
        <v>3</v>
      </c>
      <c r="D18" s="68" t="str">
        <f aca="false">IF($B18="","",IF(INDEX('Master Database'!$B$1:$B$600,$B18)="","",INDEX('Master Database'!$B$1:$B$600,$B18)))</f>
        <v>Stabilized Oil Pump</v>
      </c>
      <c r="E18" s="68" t="str">
        <f aca="false">IF($B18="","",IF(INDEX('Master Database'!$C$1:$C$600,$B18)="","",INDEX('Master Database'!$C$1:$C$600,$B18)))</f>
        <v>(نام پروژه در فایل قید نشده است) – CSV 18061405</v>
      </c>
      <c r="F18" s="68" t="str">
        <f aca="false">IF($B18="","",IF(INDEX('Master Database'!$D$1:$D$600,$B18)="","",INDEX('Master Database'!$D$1:$D$600,$B18)))</f>
        <v>(Not stated in source document)</v>
      </c>
      <c r="G18" s="68" t="str">
        <f aca="false">IF($B18="","",IF(INDEX('Master Database'!$E$1:$E$600,$B18)="","",INDEX('Master Database'!$E$1:$E$600,$B18)))</f>
        <v>ROT-CRU</v>
      </c>
      <c r="H18" s="68" t="str">
        <f aca="false">IF($B18="","",IF(INDEX('Master Database'!$F$1:$F$600,$B18)="","",INDEX('Master Database'!$F$1:$F$600,$B18)))</f>
        <v>Not stated</v>
      </c>
      <c r="I18" s="68" t="str">
        <f aca="false">IF($B18="","",IF(INDEX('Master Database'!$G$1:$G$600,$B18)="","",INDEX('Master Database'!$G$1:$G$600,$B18)))</f>
        <v>Not stated</v>
      </c>
      <c r="J18" s="69" t="str">
        <f aca="false">IF($B18="","",IF(INDEX('Master Database'!$H$1:$H$600,$B18)="","",INDEX('Master Database'!$H$1:$H$600,$B18)))</f>
        <v/>
      </c>
      <c r="K18" s="69" t="n">
        <f aca="false">IF($B18="","",IF(INDEX('Master Database'!$I$1:$I$600,$B18)="","",INDEX('Master Database'!$I$1:$I$600,$B18)))</f>
        <v>34.8</v>
      </c>
      <c r="L18" s="69" t="n">
        <f aca="false">IF($B18="","",IF(INDEX('Master Database'!$K$1:$K$600,$B18)="","",INDEX('Master Database'!$K$1:$K$600,$B18)))</f>
        <v>57.4</v>
      </c>
      <c r="M18" s="68" t="str">
        <f aca="false">IF($B18="","",IF(INDEX('Master Database'!$L$1:$L$600,$B18)="","",INDEX('Master Database'!$L$1:$L$600,$B18)))</f>
        <v>Not stated</v>
      </c>
      <c r="N18" s="68" t="str">
        <f aca="false">IF($B18="","",IF(INDEX('Master Database'!$P$1:$P$600,$B18)="","",INDEX('Master Database'!$P$1:$P$600,$B18)))</f>
        <v>Not stated</v>
      </c>
      <c r="O18" s="68" t="str">
        <f aca="false">IF($B18="","",IF(INDEX('Master Database'!$S$1:$S$600,$B18)="","",INDEX('Master Database'!$S$1:$S$600,$B18)))</f>
        <v>Electric Motor</v>
      </c>
      <c r="P18" s="68" t="str">
        <f aca="false">IF($B18="","",IF(INDEX('Master Database'!$T$1:$T$600,$B18)="","",INDEX('Master Database'!$T$1:$T$600,$B18)))</f>
        <v>Crude Oil</v>
      </c>
      <c r="Q18" s="68" t="str">
        <f aca="false">IF($B18="","",IF(INDEX('Master Database'!$Y$1:$Y$600,$B18)="","",INDEX('Master Database'!$Y$1:$Y$600,$B18)))</f>
        <v>(Not stated)</v>
      </c>
      <c r="R18" s="68" t="str">
        <f aca="false">IF($B18="","",IF(INDEX('Master Database'!$Z$1:$Z$600,$B18)="","",INDEX('Master Database'!$Z$1:$Z$600,$B18)))</f>
        <v>USD</v>
      </c>
      <c r="S18" s="70" t="n">
        <f aca="false">IF($B18="","",IF(INDEX('Master Database'!$AA$1:$AA$600,$B18)="","",INDEX('Master Database'!$AA$1:$AA$600,$B18)))</f>
        <v>250000</v>
      </c>
      <c r="T18" s="68" t="str">
        <f aca="false">IF($B18="","",IF(INDEX('Master Database'!$AE$1:$AE$600,$B18)="","",INDEX('Master Database'!$AE$1:$AE$600,$B18)))</f>
        <v>Purchase price (USD) – 18061405 pump CSV; project and year not stated</v>
      </c>
      <c r="U18" s="70" t="str">
        <f aca="false">IF($B18="","",IF(INDEX('Master Database'!$AG$1:$AG$600,$B18)="","",INDEX('Master Database'!$AG$1:$AG$600,$B18)))</f>
        <v/>
      </c>
      <c r="V18" s="70" t="str">
        <f aca="false">IF($B18="","",IF(INDEX('Master Database'!$AH$1:$AH$600,$B18)="","",INDEX('Master Database'!$AH$1:$AH$600,$B18)))</f>
        <v/>
      </c>
      <c r="W18" s="70" t="str">
        <f aca="false">IF($B18="","",IF(INDEX('Master Database'!$AI$1:$AI$600,$B18)="","",INDEX('Master Database'!$AI$1:$AI$600,$B18)))</f>
        <v/>
      </c>
      <c r="X18" s="68" t="str">
        <f aca="false">IF($B18="","",IF(INDEX('Master Database'!$BG$1:$BG$600,$B18)="","",INDEX('Master Database'!$BG$1:$BG$600,$B18)))</f>
        <v>N</v>
      </c>
      <c r="BA18" s="65" t="n">
        <f aca="false">IF('Master Database'!$A18="",0,IF(AND(OR($B$5="",ISNUMBER(SEARCH($B$5,'Master Database'!$B18&amp;" "&amp;'Master Database'!$D18))),OR($B$6="(All)",'Master Database'!$C18=$B$6),OR($B$7="(All)",'Master Database'!$E18=$B$7),OR($B$8="(All)",'Master Database'!$T18=$B$8),OR($B$9="(All)",'Master Database'!$M18=$B$9),OR($B$10="(All)",'Master Database'!$V18=$B$10),OR($E$5="(All)",'Master Database'!$F18=$E$5),OR($E$6="(All)",'Master Database'!$G18=$E$6),OR($E$7="(All)",'Master Database'!$O18=$E$7),OR($E$8="(All)",'Master Database'!$P18=$E$8),OR($E$9="(All)",'Master Database'!$S18=$E$9),OR($E$10="(All)",'Master Database'!$Y18&amp;""=$E$10&amp;""),OR($H$5="(All)",'Master Database'!$BG18=$H$5),OR($H$6&lt;&gt;"Y",ISNUMBER('Master Database'!$AG18)),OR($H$7="",AND(ISNUMBER('Master Database'!$H18),N('Master Database'!$H18)&gt;=$H$7)),OR($I$7="",AND(ISNUMBER('Master Database'!$H18),N('Master Database'!$H18)&lt;=$I$7)),OR($H$8="",AND(ISNUMBER('Master Database'!$I18),N('Master Database'!$I18)&gt;=$H$8)),OR($I$8="",AND(ISNUMBER('Master Database'!$I18),N('Master Database'!$I18)&lt;=$I$8)),OR($H$9="",AND(ISNUMBER('Master Database'!$K18),N('Master Database'!$K18)&gt;=$H$9)),OR($I$9="",AND(ISNUMBER('Master Database'!$K18),N('Master Database'!$K18)&lt;=$I$9))),1,0))</f>
        <v>1</v>
      </c>
      <c r="BB18" s="65" t="n">
        <f aca="false">IF(BA18=1,COUNTIF($BA$5:BA18,1),"")</f>
        <v>14</v>
      </c>
    </row>
    <row r="19" customFormat="false" ht="15" hidden="false" customHeight="false" outlineLevel="0" collapsed="false">
      <c r="A19" s="67" t="n">
        <f aca="false">IF(4&lt;=SUM($BA$5:$BA$600),4,"")</f>
        <v>4</v>
      </c>
      <c r="B19" s="67" t="n">
        <f aca="false">IF(A19="","",MATCH(A19,$BB$5:$BB$600,0)+4)</f>
        <v>8</v>
      </c>
      <c r="C19" s="67" t="n">
        <f aca="false">IF($B19="","",IF(INDEX('Master Database'!$A$1:$A$600,$B19)="","",INDEX('Master Database'!$A$1:$A$600,$B19)))</f>
        <v>4</v>
      </c>
      <c r="D19" s="68" t="str">
        <f aca="false">IF($B19="","",IF(INDEX('Master Database'!$B$1:$B$600,$B19)="","",INDEX('Master Database'!$B$1:$B$600,$B19)))</f>
        <v>Product Oil Pump</v>
      </c>
      <c r="E19" s="68" t="str">
        <f aca="false">IF($B19="","",IF(INDEX('Master Database'!$C$1:$C$600,$B19)="","",INDEX('Master Database'!$C$1:$C$600,$B19)))</f>
        <v>(نام پروژه در فایل قید نشده است) – CSV 18061405</v>
      </c>
      <c r="F19" s="68" t="str">
        <f aca="false">IF($B19="","",IF(INDEX('Master Database'!$D$1:$D$600,$B19)="","",INDEX('Master Database'!$D$1:$D$600,$B19)))</f>
        <v>(Not stated in source document)</v>
      </c>
      <c r="G19" s="68" t="str">
        <f aca="false">IF($B19="","",IF(INDEX('Master Database'!$E$1:$E$600,$B19)="","",INDEX('Master Database'!$E$1:$E$600,$B19)))</f>
        <v>ROT-CRU</v>
      </c>
      <c r="H19" s="68" t="str">
        <f aca="false">IF($B19="","",IF(INDEX('Master Database'!$F$1:$F$600,$B19)="","",INDEX('Master Database'!$F$1:$F$600,$B19)))</f>
        <v>Not stated</v>
      </c>
      <c r="I19" s="68" t="str">
        <f aca="false">IF($B19="","",IF(INDEX('Master Database'!$G$1:$G$600,$B19)="","",INDEX('Master Database'!$G$1:$G$600,$B19)))</f>
        <v>Not stated</v>
      </c>
      <c r="J19" s="69" t="str">
        <f aca="false">IF($B19="","",IF(INDEX('Master Database'!$H$1:$H$600,$B19)="","",INDEX('Master Database'!$H$1:$H$600,$B19)))</f>
        <v/>
      </c>
      <c r="K19" s="69" t="n">
        <f aca="false">IF($B19="","",IF(INDEX('Master Database'!$I$1:$I$600,$B19)="","",INDEX('Master Database'!$I$1:$I$600,$B19)))</f>
        <v>329</v>
      </c>
      <c r="L19" s="69" t="n">
        <f aca="false">IF($B19="","",IF(INDEX('Master Database'!$K$1:$K$600,$B19)="","",INDEX('Master Database'!$K$1:$K$600,$B19)))</f>
        <v>379</v>
      </c>
      <c r="M19" s="68" t="str">
        <f aca="false">IF($B19="","",IF(INDEX('Master Database'!$L$1:$L$600,$B19)="","",INDEX('Master Database'!$L$1:$L$600,$B19)))</f>
        <v>Not stated</v>
      </c>
      <c r="N19" s="68" t="str">
        <f aca="false">IF($B19="","",IF(INDEX('Master Database'!$P$1:$P$600,$B19)="","",INDEX('Master Database'!$P$1:$P$600,$B19)))</f>
        <v>Not stated</v>
      </c>
      <c r="O19" s="68" t="str">
        <f aca="false">IF($B19="","",IF(INDEX('Master Database'!$S$1:$S$600,$B19)="","",INDEX('Master Database'!$S$1:$S$600,$B19)))</f>
        <v>Electric Motor</v>
      </c>
      <c r="P19" s="68" t="str">
        <f aca="false">IF($B19="","",IF(INDEX('Master Database'!$T$1:$T$600,$B19)="","",INDEX('Master Database'!$T$1:$T$600,$B19)))</f>
        <v>Crude Oil</v>
      </c>
      <c r="Q19" s="68" t="str">
        <f aca="false">IF($B19="","",IF(INDEX('Master Database'!$Y$1:$Y$600,$B19)="","",INDEX('Master Database'!$Y$1:$Y$600,$B19)))</f>
        <v>(Not stated)</v>
      </c>
      <c r="R19" s="68" t="str">
        <f aca="false">IF($B19="","",IF(INDEX('Master Database'!$Z$1:$Z$600,$B19)="","",INDEX('Master Database'!$Z$1:$Z$600,$B19)))</f>
        <v>USD</v>
      </c>
      <c r="S19" s="70" t="n">
        <f aca="false">IF($B19="","",IF(INDEX('Master Database'!$AA$1:$AA$600,$B19)="","",INDEX('Master Database'!$AA$1:$AA$600,$B19)))</f>
        <v>420000</v>
      </c>
      <c r="T19" s="68" t="str">
        <f aca="false">IF($B19="","",IF(INDEX('Master Database'!$AE$1:$AE$600,$B19)="","",INDEX('Master Database'!$AE$1:$AE$600,$B19)))</f>
        <v>Purchase price (USD) – 18061405 pump CSV; project and year not stated</v>
      </c>
      <c r="U19" s="70" t="str">
        <f aca="false">IF($B19="","",IF(INDEX('Master Database'!$AG$1:$AG$600,$B19)="","",INDEX('Master Database'!$AG$1:$AG$600,$B19)))</f>
        <v/>
      </c>
      <c r="V19" s="70" t="str">
        <f aca="false">IF($B19="","",IF(INDEX('Master Database'!$AH$1:$AH$600,$B19)="","",INDEX('Master Database'!$AH$1:$AH$600,$B19)))</f>
        <v/>
      </c>
      <c r="W19" s="70" t="str">
        <f aca="false">IF($B19="","",IF(INDEX('Master Database'!$AI$1:$AI$600,$B19)="","",INDEX('Master Database'!$AI$1:$AI$600,$B19)))</f>
        <v/>
      </c>
      <c r="X19" s="68" t="str">
        <f aca="false">IF($B19="","",IF(INDEX('Master Database'!$BG$1:$BG$600,$B19)="","",INDEX('Master Database'!$BG$1:$BG$600,$B19)))</f>
        <v>N</v>
      </c>
      <c r="BA19" s="65" t="n">
        <f aca="false">IF('Master Database'!$A19="",0,IF(AND(OR($B$5="",ISNUMBER(SEARCH($B$5,'Master Database'!$B19&amp;" "&amp;'Master Database'!$D19))),OR($B$6="(All)",'Master Database'!$C19=$B$6),OR($B$7="(All)",'Master Database'!$E19=$B$7),OR($B$8="(All)",'Master Database'!$T19=$B$8),OR($B$9="(All)",'Master Database'!$M19=$B$9),OR($B$10="(All)",'Master Database'!$V19=$B$10),OR($E$5="(All)",'Master Database'!$F19=$E$5),OR($E$6="(All)",'Master Database'!$G19=$E$6),OR($E$7="(All)",'Master Database'!$O19=$E$7),OR($E$8="(All)",'Master Database'!$P19=$E$8),OR($E$9="(All)",'Master Database'!$S19=$E$9),OR($E$10="(All)",'Master Database'!$Y19&amp;""=$E$10&amp;""),OR($H$5="(All)",'Master Database'!$BG19=$H$5),OR($H$6&lt;&gt;"Y",ISNUMBER('Master Database'!$AG19)),OR($H$7="",AND(ISNUMBER('Master Database'!$H19),N('Master Database'!$H19)&gt;=$H$7)),OR($I$7="",AND(ISNUMBER('Master Database'!$H19),N('Master Database'!$H19)&lt;=$I$7)),OR($H$8="",AND(ISNUMBER('Master Database'!$I19),N('Master Database'!$I19)&gt;=$H$8)),OR($I$8="",AND(ISNUMBER('Master Database'!$I19),N('Master Database'!$I19)&lt;=$I$8)),OR($H$9="",AND(ISNUMBER('Master Database'!$K19),N('Master Database'!$K19)&gt;=$H$9)),OR($I$9="",AND(ISNUMBER('Master Database'!$K19),N('Master Database'!$K19)&lt;=$I$9))),1,0))</f>
        <v>1</v>
      </c>
      <c r="BB19" s="65" t="n">
        <f aca="false">IF(BA19=1,COUNTIF($BA$5:BA19,1),"")</f>
        <v>15</v>
      </c>
    </row>
    <row r="20" customFormat="false" ht="15" hidden="false" customHeight="false" outlineLevel="0" collapsed="false">
      <c r="A20" s="67" t="n">
        <f aca="false">IF(5&lt;=SUM($BA$5:$BA$600),5,"")</f>
        <v>5</v>
      </c>
      <c r="B20" s="67" t="n">
        <f aca="false">IF(A20="","",MATCH(A20,$BB$5:$BB$600,0)+4)</f>
        <v>9</v>
      </c>
      <c r="C20" s="67" t="n">
        <f aca="false">IF($B20="","",IF(INDEX('Master Database'!$A$1:$A$600,$B20)="","",INDEX('Master Database'!$A$1:$A$600,$B20)))</f>
        <v>5</v>
      </c>
      <c r="D20" s="68" t="str">
        <f aca="false">IF($B20="","",IF(INDEX('Master Database'!$B$1:$B$600,$B20)="","",INDEX('Master Database'!$B$1:$B$600,$B20)))</f>
        <v>Off Spec Crude Pump</v>
      </c>
      <c r="E20" s="68" t="str">
        <f aca="false">IF($B20="","",IF(INDEX('Master Database'!$C$1:$C$600,$B20)="","",INDEX('Master Database'!$C$1:$C$600,$B20)))</f>
        <v>(نام پروژه در فایل قید نشده است) – CSV 18061405</v>
      </c>
      <c r="F20" s="68" t="str">
        <f aca="false">IF($B20="","",IF(INDEX('Master Database'!$D$1:$D$600,$B20)="","",INDEX('Master Database'!$D$1:$D$600,$B20)))</f>
        <v>(Not stated in source document)</v>
      </c>
      <c r="G20" s="68" t="str">
        <f aca="false">IF($B20="","",IF(INDEX('Master Database'!$E$1:$E$600,$B20)="","",INDEX('Master Database'!$E$1:$E$600,$B20)))</f>
        <v>ROT-CRU</v>
      </c>
      <c r="H20" s="68" t="str">
        <f aca="false">IF($B20="","",IF(INDEX('Master Database'!$F$1:$F$600,$B20)="","",INDEX('Master Database'!$F$1:$F$600,$B20)))</f>
        <v>Not stated</v>
      </c>
      <c r="I20" s="68" t="str">
        <f aca="false">IF($B20="","",IF(INDEX('Master Database'!$G$1:$G$600,$B20)="","",INDEX('Master Database'!$G$1:$G$600,$B20)))</f>
        <v>Not stated</v>
      </c>
      <c r="J20" s="69" t="str">
        <f aca="false">IF($B20="","",IF(INDEX('Master Database'!$H$1:$H$600,$B20)="","",INDEX('Master Database'!$H$1:$H$600,$B20)))</f>
        <v/>
      </c>
      <c r="K20" s="69" t="n">
        <f aca="false">IF($B20="","",IF(INDEX('Master Database'!$I$1:$I$600,$B20)="","",INDEX('Master Database'!$I$1:$I$600,$B20)))</f>
        <v>311.3</v>
      </c>
      <c r="L20" s="69" t="n">
        <f aca="false">IF($B20="","",IF(INDEX('Master Database'!$K$1:$K$600,$B20)="","",INDEX('Master Database'!$K$1:$K$600,$B20)))</f>
        <v>48</v>
      </c>
      <c r="M20" s="68" t="str">
        <f aca="false">IF($B20="","",IF(INDEX('Master Database'!$L$1:$L$600,$B20)="","",INDEX('Master Database'!$L$1:$L$600,$B20)))</f>
        <v>Not stated</v>
      </c>
      <c r="N20" s="68" t="str">
        <f aca="false">IF($B20="","",IF(INDEX('Master Database'!$P$1:$P$600,$B20)="","",INDEX('Master Database'!$P$1:$P$600,$B20)))</f>
        <v>Not stated</v>
      </c>
      <c r="O20" s="68" t="str">
        <f aca="false">IF($B20="","",IF(INDEX('Master Database'!$S$1:$S$600,$B20)="","",INDEX('Master Database'!$S$1:$S$600,$B20)))</f>
        <v>Electric Motor</v>
      </c>
      <c r="P20" s="68" t="str">
        <f aca="false">IF($B20="","",IF(INDEX('Master Database'!$T$1:$T$600,$B20)="","",INDEX('Master Database'!$T$1:$T$600,$B20)))</f>
        <v>Crude Oil</v>
      </c>
      <c r="Q20" s="68" t="str">
        <f aca="false">IF($B20="","",IF(INDEX('Master Database'!$Y$1:$Y$600,$B20)="","",INDEX('Master Database'!$Y$1:$Y$600,$B20)))</f>
        <v>(Not stated)</v>
      </c>
      <c r="R20" s="68" t="str">
        <f aca="false">IF($B20="","",IF(INDEX('Master Database'!$Z$1:$Z$600,$B20)="","",INDEX('Master Database'!$Z$1:$Z$600,$B20)))</f>
        <v>USD</v>
      </c>
      <c r="S20" s="70" t="n">
        <f aca="false">IF($B20="","",IF(INDEX('Master Database'!$AA$1:$AA$600,$B20)="","",INDEX('Master Database'!$AA$1:$AA$600,$B20)))</f>
        <v>75000</v>
      </c>
      <c r="T20" s="68" t="str">
        <f aca="false">IF($B20="","",IF(INDEX('Master Database'!$AE$1:$AE$600,$B20)="","",INDEX('Master Database'!$AE$1:$AE$600,$B20)))</f>
        <v>Purchase price (USD) – 18061405 pump CSV; project and year not stated</v>
      </c>
      <c r="U20" s="70" t="str">
        <f aca="false">IF($B20="","",IF(INDEX('Master Database'!$AG$1:$AG$600,$B20)="","",INDEX('Master Database'!$AG$1:$AG$600,$B20)))</f>
        <v/>
      </c>
      <c r="V20" s="70" t="str">
        <f aca="false">IF($B20="","",IF(INDEX('Master Database'!$AH$1:$AH$600,$B20)="","",INDEX('Master Database'!$AH$1:$AH$600,$B20)))</f>
        <v/>
      </c>
      <c r="W20" s="70" t="str">
        <f aca="false">IF($B20="","",IF(INDEX('Master Database'!$AI$1:$AI$600,$B20)="","",INDEX('Master Database'!$AI$1:$AI$600,$B20)))</f>
        <v/>
      </c>
      <c r="X20" s="68" t="str">
        <f aca="false">IF($B20="","",IF(INDEX('Master Database'!$BG$1:$BG$600,$B20)="","",INDEX('Master Database'!$BG$1:$BG$600,$B20)))</f>
        <v>N</v>
      </c>
      <c r="BA20" s="65" t="n">
        <f aca="false">IF('Master Database'!$A20="",0,IF(AND(OR($B$5="",ISNUMBER(SEARCH($B$5,'Master Database'!$B20&amp;" "&amp;'Master Database'!$D20))),OR($B$6="(All)",'Master Database'!$C20=$B$6),OR($B$7="(All)",'Master Database'!$E20=$B$7),OR($B$8="(All)",'Master Database'!$T20=$B$8),OR($B$9="(All)",'Master Database'!$M20=$B$9),OR($B$10="(All)",'Master Database'!$V20=$B$10),OR($E$5="(All)",'Master Database'!$F20=$E$5),OR($E$6="(All)",'Master Database'!$G20=$E$6),OR($E$7="(All)",'Master Database'!$O20=$E$7),OR($E$8="(All)",'Master Database'!$P20=$E$8),OR($E$9="(All)",'Master Database'!$S20=$E$9),OR($E$10="(All)",'Master Database'!$Y20&amp;""=$E$10&amp;""),OR($H$5="(All)",'Master Database'!$BG20=$H$5),OR($H$6&lt;&gt;"Y",ISNUMBER('Master Database'!$AG20)),OR($H$7="",AND(ISNUMBER('Master Database'!$H20),N('Master Database'!$H20)&gt;=$H$7)),OR($I$7="",AND(ISNUMBER('Master Database'!$H20),N('Master Database'!$H20)&lt;=$I$7)),OR($H$8="",AND(ISNUMBER('Master Database'!$I20),N('Master Database'!$I20)&gt;=$H$8)),OR($I$8="",AND(ISNUMBER('Master Database'!$I20),N('Master Database'!$I20)&lt;=$I$8)),OR($H$9="",AND(ISNUMBER('Master Database'!$K20),N('Master Database'!$K20)&gt;=$H$9)),OR($I$9="",AND(ISNUMBER('Master Database'!$K20),N('Master Database'!$K20)&lt;=$I$9))),1,0))</f>
        <v>1</v>
      </c>
      <c r="BB20" s="65" t="n">
        <f aca="false">IF(BA20=1,COUNTIF($BA$5:BA20,1),"")</f>
        <v>16</v>
      </c>
    </row>
    <row r="21" customFormat="false" ht="15" hidden="false" customHeight="false" outlineLevel="0" collapsed="false">
      <c r="A21" s="67" t="n">
        <f aca="false">IF(6&lt;=SUM($BA$5:$BA$600),6,"")</f>
        <v>6</v>
      </c>
      <c r="B21" s="67" t="n">
        <f aca="false">IF(A21="","",MATCH(A21,$BB$5:$BB$600,0)+4)</f>
        <v>10</v>
      </c>
      <c r="C21" s="67" t="n">
        <f aca="false">IF($B21="","",IF(INDEX('Master Database'!$A$1:$A$600,$B21)="","",INDEX('Master Database'!$A$1:$A$600,$B21)))</f>
        <v>6</v>
      </c>
      <c r="D21" s="68" t="str">
        <f aca="false">IF($B21="","",IF(INDEX('Master Database'!$B$1:$B$600,$B21)="","",INDEX('Master Database'!$B$1:$B$600,$B21)))</f>
        <v>Second Stage Desalter Water Criculated Pump</v>
      </c>
      <c r="E21" s="68" t="str">
        <f aca="false">IF($B21="","",IF(INDEX('Master Database'!$C$1:$C$600,$B21)="","",INDEX('Master Database'!$C$1:$C$600,$B21)))</f>
        <v>(نام پروژه در فایل قید نشده است) – CSV 18061405</v>
      </c>
      <c r="F21" s="68" t="str">
        <f aca="false">IF($B21="","",IF(INDEX('Master Database'!$D$1:$D$600,$B21)="","",INDEX('Master Database'!$D$1:$D$600,$B21)))</f>
        <v>(Not stated in source document)</v>
      </c>
      <c r="G21" s="68" t="str">
        <f aca="false">IF($B21="","",IF(INDEX('Master Database'!$E$1:$E$600,$B21)="","",INDEX('Master Database'!$E$1:$E$600,$B21)))</f>
        <v>ROT-WAT</v>
      </c>
      <c r="H21" s="68" t="str">
        <f aca="false">IF($B21="","",IF(INDEX('Master Database'!$F$1:$F$600,$B21)="","",INDEX('Master Database'!$F$1:$F$600,$B21)))</f>
        <v>Not stated</v>
      </c>
      <c r="I21" s="68" t="str">
        <f aca="false">IF($B21="","",IF(INDEX('Master Database'!$G$1:$G$600,$B21)="","",INDEX('Master Database'!$G$1:$G$600,$B21)))</f>
        <v>Not stated</v>
      </c>
      <c r="J21" s="69" t="str">
        <f aca="false">IF($B21="","",IF(INDEX('Master Database'!$H$1:$H$600,$B21)="","",INDEX('Master Database'!$H$1:$H$600,$B21)))</f>
        <v/>
      </c>
      <c r="K21" s="69" t="n">
        <f aca="false">IF($B21="","",IF(INDEX('Master Database'!$I$1:$I$600,$B21)="","",INDEX('Master Database'!$I$1:$I$600,$B21)))</f>
        <v>32</v>
      </c>
      <c r="L21" s="69" t="n">
        <f aca="false">IF($B21="","",IF(INDEX('Master Database'!$K$1:$K$600,$B21)="","",INDEX('Master Database'!$K$1:$K$600,$B21)))</f>
        <v>2.2</v>
      </c>
      <c r="M21" s="68" t="str">
        <f aca="false">IF($B21="","",IF(INDEX('Master Database'!$L$1:$L$600,$B21)="","",INDEX('Master Database'!$L$1:$L$600,$B21)))</f>
        <v>Not stated</v>
      </c>
      <c r="N21" s="68" t="str">
        <f aca="false">IF($B21="","",IF(INDEX('Master Database'!$P$1:$P$600,$B21)="","",INDEX('Master Database'!$P$1:$P$600,$B21)))</f>
        <v>Not stated</v>
      </c>
      <c r="O21" s="68" t="str">
        <f aca="false">IF($B21="","",IF(INDEX('Master Database'!$S$1:$S$600,$B21)="","",INDEX('Master Database'!$S$1:$S$600,$B21)))</f>
        <v>Electric Motor</v>
      </c>
      <c r="P21" s="68" t="str">
        <f aca="false">IF($B21="","",IF(INDEX('Master Database'!$T$1:$T$600,$B21)="","",INDEX('Master Database'!$T$1:$T$600,$B21)))</f>
        <v>Process / Dilution Water</v>
      </c>
      <c r="Q21" s="68" t="str">
        <f aca="false">IF($B21="","",IF(INDEX('Master Database'!$Y$1:$Y$600,$B21)="","",INDEX('Master Database'!$Y$1:$Y$600,$B21)))</f>
        <v>(Not stated)</v>
      </c>
      <c r="R21" s="68" t="str">
        <f aca="false">IF($B21="","",IF(INDEX('Master Database'!$Z$1:$Z$600,$B21)="","",INDEX('Master Database'!$Z$1:$Z$600,$B21)))</f>
        <v>USD</v>
      </c>
      <c r="S21" s="70" t="n">
        <f aca="false">IF($B21="","",IF(INDEX('Master Database'!$AA$1:$AA$600,$B21)="","",INDEX('Master Database'!$AA$1:$AA$600,$B21)))</f>
        <v>60000</v>
      </c>
      <c r="T21" s="68" t="str">
        <f aca="false">IF($B21="","",IF(INDEX('Master Database'!$AE$1:$AE$600,$B21)="","",INDEX('Master Database'!$AE$1:$AE$600,$B21)))</f>
        <v>Purchase price (USD) – 18061405 pump CSV; project and year not stated</v>
      </c>
      <c r="U21" s="70" t="str">
        <f aca="false">IF($B21="","",IF(INDEX('Master Database'!$AG$1:$AG$600,$B21)="","",INDEX('Master Database'!$AG$1:$AG$600,$B21)))</f>
        <v/>
      </c>
      <c r="V21" s="70" t="str">
        <f aca="false">IF($B21="","",IF(INDEX('Master Database'!$AH$1:$AH$600,$B21)="","",INDEX('Master Database'!$AH$1:$AH$600,$B21)))</f>
        <v/>
      </c>
      <c r="W21" s="70" t="str">
        <f aca="false">IF($B21="","",IF(INDEX('Master Database'!$AI$1:$AI$600,$B21)="","",INDEX('Master Database'!$AI$1:$AI$600,$B21)))</f>
        <v/>
      </c>
      <c r="X21" s="68" t="str">
        <f aca="false">IF($B21="","",IF(INDEX('Master Database'!$BG$1:$BG$600,$B21)="","",INDEX('Master Database'!$BG$1:$BG$600,$B21)))</f>
        <v>N</v>
      </c>
      <c r="BA21" s="65" t="n">
        <f aca="false">IF('Master Database'!$A21="",0,IF(AND(OR($B$5="",ISNUMBER(SEARCH($B$5,'Master Database'!$B21&amp;" "&amp;'Master Database'!$D21))),OR($B$6="(All)",'Master Database'!$C21=$B$6),OR($B$7="(All)",'Master Database'!$E21=$B$7),OR($B$8="(All)",'Master Database'!$T21=$B$8),OR($B$9="(All)",'Master Database'!$M21=$B$9),OR($B$10="(All)",'Master Database'!$V21=$B$10),OR($E$5="(All)",'Master Database'!$F21=$E$5),OR($E$6="(All)",'Master Database'!$G21=$E$6),OR($E$7="(All)",'Master Database'!$O21=$E$7),OR($E$8="(All)",'Master Database'!$P21=$E$8),OR($E$9="(All)",'Master Database'!$S21=$E$9),OR($E$10="(All)",'Master Database'!$Y21&amp;""=$E$10&amp;""),OR($H$5="(All)",'Master Database'!$BG21=$H$5),OR($H$6&lt;&gt;"Y",ISNUMBER('Master Database'!$AG21)),OR($H$7="",AND(ISNUMBER('Master Database'!$H21),N('Master Database'!$H21)&gt;=$H$7)),OR($I$7="",AND(ISNUMBER('Master Database'!$H21),N('Master Database'!$H21)&lt;=$I$7)),OR($H$8="",AND(ISNUMBER('Master Database'!$I21),N('Master Database'!$I21)&gt;=$H$8)),OR($I$8="",AND(ISNUMBER('Master Database'!$I21),N('Master Database'!$I21)&lt;=$I$8)),OR($H$9="",AND(ISNUMBER('Master Database'!$K21),N('Master Database'!$K21)&gt;=$H$9)),OR($I$9="",AND(ISNUMBER('Master Database'!$K21),N('Master Database'!$K21)&lt;=$I$9))),1,0))</f>
        <v>1</v>
      </c>
      <c r="BB21" s="65" t="n">
        <f aca="false">IF(BA21=1,COUNTIF($BA$5:BA21,1),"")</f>
        <v>17</v>
      </c>
    </row>
    <row r="22" customFormat="false" ht="15" hidden="false" customHeight="false" outlineLevel="0" collapsed="false">
      <c r="A22" s="67" t="n">
        <f aca="false">IF(7&lt;=SUM($BA$5:$BA$600),7,"")</f>
        <v>7</v>
      </c>
      <c r="B22" s="67" t="n">
        <f aca="false">IF(A22="","",MATCH(A22,$BB$5:$BB$600,0)+4)</f>
        <v>11</v>
      </c>
      <c r="C22" s="67" t="n">
        <f aca="false">IF($B22="","",IF(INDEX('Master Database'!$A$1:$A$600,$B22)="","",INDEX('Master Database'!$A$1:$A$600,$B22)))</f>
        <v>7</v>
      </c>
      <c r="D22" s="68" t="str">
        <f aca="false">IF($B22="","",IF(INDEX('Master Database'!$B$1:$B$600,$B22)="","",INDEX('Master Database'!$B$1:$B$600,$B22)))</f>
        <v>Degassing Water Pump</v>
      </c>
      <c r="E22" s="68" t="str">
        <f aca="false">IF($B22="","",IF(INDEX('Master Database'!$C$1:$C$600,$B22)="","",INDEX('Master Database'!$C$1:$C$600,$B22)))</f>
        <v>(نام پروژه در فایل قید نشده است) – CSV 18061405</v>
      </c>
      <c r="F22" s="68" t="str">
        <f aca="false">IF($B22="","",IF(INDEX('Master Database'!$D$1:$D$600,$B22)="","",INDEX('Master Database'!$D$1:$D$600,$B22)))</f>
        <v>(Not stated in source document)</v>
      </c>
      <c r="G22" s="68" t="str">
        <f aca="false">IF($B22="","",IF(INDEX('Master Database'!$E$1:$E$600,$B22)="","",INDEX('Master Database'!$E$1:$E$600,$B22)))</f>
        <v>ROT-WAT</v>
      </c>
      <c r="H22" s="68" t="str">
        <f aca="false">IF($B22="","",IF(INDEX('Master Database'!$F$1:$F$600,$B22)="","",INDEX('Master Database'!$F$1:$F$600,$B22)))</f>
        <v>Not stated</v>
      </c>
      <c r="I22" s="68" t="str">
        <f aca="false">IF($B22="","",IF(INDEX('Master Database'!$G$1:$G$600,$B22)="","",INDEX('Master Database'!$G$1:$G$600,$B22)))</f>
        <v>Not stated</v>
      </c>
      <c r="J22" s="69" t="str">
        <f aca="false">IF($B22="","",IF(INDEX('Master Database'!$H$1:$H$600,$B22)="","",INDEX('Master Database'!$H$1:$H$600,$B22)))</f>
        <v/>
      </c>
      <c r="K22" s="69" t="n">
        <f aca="false">IF($B22="","",IF(INDEX('Master Database'!$I$1:$I$600,$B22)="","",INDEX('Master Database'!$I$1:$I$600,$B22)))</f>
        <v>36.2</v>
      </c>
      <c r="L22" s="69" t="n">
        <f aca="false">IF($B22="","",IF(INDEX('Master Database'!$K$1:$K$600,$B22)="","",INDEX('Master Database'!$K$1:$K$600,$B22)))</f>
        <v>13.1</v>
      </c>
      <c r="M22" s="68" t="str">
        <f aca="false">IF($B22="","",IF(INDEX('Master Database'!$L$1:$L$600,$B22)="","",INDEX('Master Database'!$L$1:$L$600,$B22)))</f>
        <v>Not stated</v>
      </c>
      <c r="N22" s="68" t="str">
        <f aca="false">IF($B22="","",IF(INDEX('Master Database'!$P$1:$P$600,$B22)="","",INDEX('Master Database'!$P$1:$P$600,$B22)))</f>
        <v>Not stated</v>
      </c>
      <c r="O22" s="68" t="str">
        <f aca="false">IF($B22="","",IF(INDEX('Master Database'!$S$1:$S$600,$B22)="","",INDEX('Master Database'!$S$1:$S$600,$B22)))</f>
        <v>Electric Motor</v>
      </c>
      <c r="P22" s="68" t="str">
        <f aca="false">IF($B22="","",IF(INDEX('Master Database'!$T$1:$T$600,$B22)="","",INDEX('Master Database'!$T$1:$T$600,$B22)))</f>
        <v>Process / Dilution Water</v>
      </c>
      <c r="Q22" s="68" t="str">
        <f aca="false">IF($B22="","",IF(INDEX('Master Database'!$Y$1:$Y$600,$B22)="","",INDEX('Master Database'!$Y$1:$Y$600,$B22)))</f>
        <v>(Not stated)</v>
      </c>
      <c r="R22" s="68" t="str">
        <f aca="false">IF($B22="","",IF(INDEX('Master Database'!$Z$1:$Z$600,$B22)="","",INDEX('Master Database'!$Z$1:$Z$600,$B22)))</f>
        <v>USD</v>
      </c>
      <c r="S22" s="70" t="n">
        <f aca="false">IF($B22="","",IF(INDEX('Master Database'!$AA$1:$AA$600,$B22)="","",INDEX('Master Database'!$AA$1:$AA$600,$B22)))</f>
        <v>60000</v>
      </c>
      <c r="T22" s="68" t="str">
        <f aca="false">IF($B22="","",IF(INDEX('Master Database'!$AE$1:$AE$600,$B22)="","",INDEX('Master Database'!$AE$1:$AE$600,$B22)))</f>
        <v>Purchase price (USD) – 18061405 pump CSV; project and year not stated</v>
      </c>
      <c r="U22" s="70" t="str">
        <f aca="false">IF($B22="","",IF(INDEX('Master Database'!$AG$1:$AG$600,$B22)="","",INDEX('Master Database'!$AG$1:$AG$600,$B22)))</f>
        <v/>
      </c>
      <c r="V22" s="70" t="str">
        <f aca="false">IF($B22="","",IF(INDEX('Master Database'!$AH$1:$AH$600,$B22)="","",INDEX('Master Database'!$AH$1:$AH$600,$B22)))</f>
        <v/>
      </c>
      <c r="W22" s="70" t="str">
        <f aca="false">IF($B22="","",IF(INDEX('Master Database'!$AI$1:$AI$600,$B22)="","",INDEX('Master Database'!$AI$1:$AI$600,$B22)))</f>
        <v/>
      </c>
      <c r="X22" s="68" t="str">
        <f aca="false">IF($B22="","",IF(INDEX('Master Database'!$BG$1:$BG$600,$B22)="","",INDEX('Master Database'!$BG$1:$BG$600,$B22)))</f>
        <v>N</v>
      </c>
      <c r="BA22" s="65" t="n">
        <f aca="false">IF('Master Database'!$A22="",0,IF(AND(OR($B$5="",ISNUMBER(SEARCH($B$5,'Master Database'!$B22&amp;" "&amp;'Master Database'!$D22))),OR($B$6="(All)",'Master Database'!$C22=$B$6),OR($B$7="(All)",'Master Database'!$E22=$B$7),OR($B$8="(All)",'Master Database'!$T22=$B$8),OR($B$9="(All)",'Master Database'!$M22=$B$9),OR($B$10="(All)",'Master Database'!$V22=$B$10),OR($E$5="(All)",'Master Database'!$F22=$E$5),OR($E$6="(All)",'Master Database'!$G22=$E$6),OR($E$7="(All)",'Master Database'!$O22=$E$7),OR($E$8="(All)",'Master Database'!$P22=$E$8),OR($E$9="(All)",'Master Database'!$S22=$E$9),OR($E$10="(All)",'Master Database'!$Y22&amp;""=$E$10&amp;""),OR($H$5="(All)",'Master Database'!$BG22=$H$5),OR($H$6&lt;&gt;"Y",ISNUMBER('Master Database'!$AG22)),OR($H$7="",AND(ISNUMBER('Master Database'!$H22),N('Master Database'!$H22)&gt;=$H$7)),OR($I$7="",AND(ISNUMBER('Master Database'!$H22),N('Master Database'!$H22)&lt;=$I$7)),OR($H$8="",AND(ISNUMBER('Master Database'!$I22),N('Master Database'!$I22)&gt;=$H$8)),OR($I$8="",AND(ISNUMBER('Master Database'!$I22),N('Master Database'!$I22)&lt;=$I$8)),OR($H$9="",AND(ISNUMBER('Master Database'!$K22),N('Master Database'!$K22)&gt;=$H$9)),OR($I$9="",AND(ISNUMBER('Master Database'!$K22),N('Master Database'!$K22)&lt;=$I$9))),1,0))</f>
        <v>1</v>
      </c>
      <c r="BB22" s="65" t="n">
        <f aca="false">IF(BA22=1,COUNTIF($BA$5:BA22,1),"")</f>
        <v>18</v>
      </c>
    </row>
    <row r="23" customFormat="false" ht="15" hidden="false" customHeight="false" outlineLevel="0" collapsed="false">
      <c r="A23" s="67" t="n">
        <f aca="false">IF(8&lt;=SUM($BA$5:$BA$600),8,"")</f>
        <v>8</v>
      </c>
      <c r="B23" s="67" t="n">
        <f aca="false">IF(A23="","",MATCH(A23,$BB$5:$BB$600,0)+4)</f>
        <v>12</v>
      </c>
      <c r="C23" s="67" t="n">
        <f aca="false">IF($B23="","",IF(INDEX('Master Database'!$A$1:$A$600,$B23)="","",INDEX('Master Database'!$A$1:$A$600,$B23)))</f>
        <v>8</v>
      </c>
      <c r="D23" s="68" t="str">
        <f aca="false">IF($B23="","",IF(INDEX('Master Database'!$B$1:$B$600,$B23)="","",INDEX('Master Database'!$B$1:$B$600,$B23)))</f>
        <v>Disposal Water Pump</v>
      </c>
      <c r="E23" s="68" t="str">
        <f aca="false">IF($B23="","",IF(INDEX('Master Database'!$C$1:$C$600,$B23)="","",INDEX('Master Database'!$C$1:$C$600,$B23)))</f>
        <v>(نام پروژه در فایل قید نشده است) – CSV 18061405</v>
      </c>
      <c r="F23" s="68" t="str">
        <f aca="false">IF($B23="","",IF(INDEX('Master Database'!$D$1:$D$600,$B23)="","",INDEX('Master Database'!$D$1:$D$600,$B23)))</f>
        <v>(Not stated in source document)</v>
      </c>
      <c r="G23" s="68" t="str">
        <f aca="false">IF($B23="","",IF(INDEX('Master Database'!$E$1:$E$600,$B23)="","",INDEX('Master Database'!$E$1:$E$600,$B23)))</f>
        <v>ROT-INJ</v>
      </c>
      <c r="H23" s="68" t="str">
        <f aca="false">IF($B23="","",IF(INDEX('Master Database'!$F$1:$F$600,$B23)="","",INDEX('Master Database'!$F$1:$F$600,$B23)))</f>
        <v>Not stated</v>
      </c>
      <c r="I23" s="68" t="str">
        <f aca="false">IF($B23="","",IF(INDEX('Master Database'!$G$1:$G$600,$B23)="","",INDEX('Master Database'!$G$1:$G$600,$B23)))</f>
        <v>Not stated</v>
      </c>
      <c r="J23" s="69" t="str">
        <f aca="false">IF($B23="","",IF(INDEX('Master Database'!$H$1:$H$600,$B23)="","",INDEX('Master Database'!$H$1:$H$600,$B23)))</f>
        <v/>
      </c>
      <c r="K23" s="69" t="n">
        <f aca="false">IF($B23="","",IF(INDEX('Master Database'!$I$1:$I$600,$B23)="","",INDEX('Master Database'!$I$1:$I$600,$B23)))</f>
        <v>1383</v>
      </c>
      <c r="L23" s="69" t="n">
        <f aca="false">IF($B23="","",IF(INDEX('Master Database'!$K$1:$K$600,$B23)="","",INDEX('Master Database'!$K$1:$K$600,$B23)))</f>
        <v>423</v>
      </c>
      <c r="M23" s="68" t="str">
        <f aca="false">IF($B23="","",IF(INDEX('Master Database'!$L$1:$L$600,$B23)="","",INDEX('Master Database'!$L$1:$L$600,$B23)))</f>
        <v>Not stated</v>
      </c>
      <c r="N23" s="68" t="str">
        <f aca="false">IF($B23="","",IF(INDEX('Master Database'!$P$1:$P$600,$B23)="","",INDEX('Master Database'!$P$1:$P$600,$B23)))</f>
        <v>Not stated</v>
      </c>
      <c r="O23" s="68" t="str">
        <f aca="false">IF($B23="","",IF(INDEX('Master Database'!$S$1:$S$600,$B23)="","",INDEX('Master Database'!$S$1:$S$600,$B23)))</f>
        <v>Electric Motor</v>
      </c>
      <c r="P23" s="68" t="str">
        <f aca="false">IF($B23="","",IF(INDEX('Master Database'!$T$1:$T$600,$B23)="","",INDEX('Master Database'!$T$1:$T$600,$B23)))</f>
        <v>Produced / Disposal Water</v>
      </c>
      <c r="Q23" s="68" t="str">
        <f aca="false">IF($B23="","",IF(INDEX('Master Database'!$Y$1:$Y$600,$B23)="","",INDEX('Master Database'!$Y$1:$Y$600,$B23)))</f>
        <v>(Not stated)</v>
      </c>
      <c r="R23" s="68" t="str">
        <f aca="false">IF($B23="","",IF(INDEX('Master Database'!$Z$1:$Z$600,$B23)="","",INDEX('Master Database'!$Z$1:$Z$600,$B23)))</f>
        <v>USD</v>
      </c>
      <c r="S23" s="70" t="n">
        <f aca="false">IF($B23="","",IF(INDEX('Master Database'!$AA$1:$AA$600,$B23)="","",INDEX('Master Database'!$AA$1:$AA$600,$B23)))</f>
        <v>410000</v>
      </c>
      <c r="T23" s="68" t="str">
        <f aca="false">IF($B23="","",IF(INDEX('Master Database'!$AE$1:$AE$600,$B23)="","",INDEX('Master Database'!$AE$1:$AE$600,$B23)))</f>
        <v>Purchase price (USD) – 18061405 pump CSV; project and year not stated</v>
      </c>
      <c r="U23" s="70" t="str">
        <f aca="false">IF($B23="","",IF(INDEX('Master Database'!$AG$1:$AG$600,$B23)="","",INDEX('Master Database'!$AG$1:$AG$600,$B23)))</f>
        <v/>
      </c>
      <c r="V23" s="70" t="str">
        <f aca="false">IF($B23="","",IF(INDEX('Master Database'!$AH$1:$AH$600,$B23)="","",INDEX('Master Database'!$AH$1:$AH$600,$B23)))</f>
        <v/>
      </c>
      <c r="W23" s="70" t="str">
        <f aca="false">IF($B23="","",IF(INDEX('Master Database'!$AI$1:$AI$600,$B23)="","",INDEX('Master Database'!$AI$1:$AI$600,$B23)))</f>
        <v/>
      </c>
      <c r="X23" s="68" t="str">
        <f aca="false">IF($B23="","",IF(INDEX('Master Database'!$BG$1:$BG$600,$B23)="","",INDEX('Master Database'!$BG$1:$BG$600,$B23)))</f>
        <v>N</v>
      </c>
      <c r="BA23" s="65" t="n">
        <f aca="false">IF('Master Database'!$A23="",0,IF(AND(OR($B$5="",ISNUMBER(SEARCH($B$5,'Master Database'!$B23&amp;" "&amp;'Master Database'!$D23))),OR($B$6="(All)",'Master Database'!$C23=$B$6),OR($B$7="(All)",'Master Database'!$E23=$B$7),OR($B$8="(All)",'Master Database'!$T23=$B$8),OR($B$9="(All)",'Master Database'!$M23=$B$9),OR($B$10="(All)",'Master Database'!$V23=$B$10),OR($E$5="(All)",'Master Database'!$F23=$E$5),OR($E$6="(All)",'Master Database'!$G23=$E$6),OR($E$7="(All)",'Master Database'!$O23=$E$7),OR($E$8="(All)",'Master Database'!$P23=$E$8),OR($E$9="(All)",'Master Database'!$S23=$E$9),OR($E$10="(All)",'Master Database'!$Y23&amp;""=$E$10&amp;""),OR($H$5="(All)",'Master Database'!$BG23=$H$5),OR($H$6&lt;&gt;"Y",ISNUMBER('Master Database'!$AG23)),OR($H$7="",AND(ISNUMBER('Master Database'!$H23),N('Master Database'!$H23)&gt;=$H$7)),OR($I$7="",AND(ISNUMBER('Master Database'!$H23),N('Master Database'!$H23)&lt;=$I$7)),OR($H$8="",AND(ISNUMBER('Master Database'!$I23),N('Master Database'!$I23)&gt;=$H$8)),OR($I$8="",AND(ISNUMBER('Master Database'!$I23),N('Master Database'!$I23)&lt;=$I$8)),OR($H$9="",AND(ISNUMBER('Master Database'!$K23),N('Master Database'!$K23)&gt;=$H$9)),OR($I$9="",AND(ISNUMBER('Master Database'!$K23),N('Master Database'!$K23)&lt;=$I$9))),1,0))</f>
        <v>1</v>
      </c>
      <c r="BB23" s="65" t="n">
        <f aca="false">IF(BA23=1,COUNTIF($BA$5:BA23,1),"")</f>
        <v>19</v>
      </c>
    </row>
    <row r="24" customFormat="false" ht="15" hidden="false" customHeight="false" outlineLevel="0" collapsed="false">
      <c r="A24" s="67" t="n">
        <f aca="false">IF(9&lt;=SUM($BA$5:$BA$600),9,"")</f>
        <v>9</v>
      </c>
      <c r="B24" s="67" t="n">
        <f aca="false">IF(A24="","",MATCH(A24,$BB$5:$BB$600,0)+4)</f>
        <v>13</v>
      </c>
      <c r="C24" s="67" t="n">
        <f aca="false">IF($B24="","",IF(INDEX('Master Database'!$A$1:$A$600,$B24)="","",INDEX('Master Database'!$A$1:$A$600,$B24)))</f>
        <v>9</v>
      </c>
      <c r="D24" s="68" t="str">
        <f aca="false">IF($B24="","",IF(INDEX('Master Database'!$B$1:$B$600,$B24)="","",INDEX('Master Database'!$B$1:$B$600,$B24)))</f>
        <v>Fresh Water Pump</v>
      </c>
      <c r="E24" s="68" t="str">
        <f aca="false">IF($B24="","",IF(INDEX('Master Database'!$C$1:$C$600,$B24)="","",INDEX('Master Database'!$C$1:$C$600,$B24)))</f>
        <v>(نام پروژه در فایل قید نشده است) – CSV 18061405</v>
      </c>
      <c r="F24" s="68" t="str">
        <f aca="false">IF($B24="","",IF(INDEX('Master Database'!$D$1:$D$600,$B24)="","",INDEX('Master Database'!$D$1:$D$600,$B24)))</f>
        <v>(Not stated in source document)</v>
      </c>
      <c r="G24" s="68" t="str">
        <f aca="false">IF($B24="","",IF(INDEX('Master Database'!$E$1:$E$600,$B24)="","",INDEX('Master Database'!$E$1:$E$600,$B24)))</f>
        <v>ROT-WAT</v>
      </c>
      <c r="H24" s="68" t="str">
        <f aca="false">IF($B24="","",IF(INDEX('Master Database'!$F$1:$F$600,$B24)="","",INDEX('Master Database'!$F$1:$F$600,$B24)))</f>
        <v>Not stated</v>
      </c>
      <c r="I24" s="68" t="str">
        <f aca="false">IF($B24="","",IF(INDEX('Master Database'!$G$1:$G$600,$B24)="","",INDEX('Master Database'!$G$1:$G$600,$B24)))</f>
        <v>Not stated</v>
      </c>
      <c r="J24" s="69" t="str">
        <f aca="false">IF($B24="","",IF(INDEX('Master Database'!$H$1:$H$600,$B24)="","",INDEX('Master Database'!$H$1:$H$600,$B24)))</f>
        <v/>
      </c>
      <c r="K24" s="69" t="n">
        <f aca="false">IF($B24="","",IF(INDEX('Master Database'!$I$1:$I$600,$B24)="","",INDEX('Master Database'!$I$1:$I$600,$B24)))</f>
        <v>41</v>
      </c>
      <c r="L24" s="69" t="n">
        <f aca="false">IF($B24="","",IF(INDEX('Master Database'!$K$1:$K$600,$B24)="","",INDEX('Master Database'!$K$1:$K$600,$B24)))</f>
        <v>3.9</v>
      </c>
      <c r="M24" s="68" t="str">
        <f aca="false">IF($B24="","",IF(INDEX('Master Database'!$L$1:$L$600,$B24)="","",INDEX('Master Database'!$L$1:$L$600,$B24)))</f>
        <v>Not stated</v>
      </c>
      <c r="N24" s="68" t="str">
        <f aca="false">IF($B24="","",IF(INDEX('Master Database'!$P$1:$P$600,$B24)="","",INDEX('Master Database'!$P$1:$P$600,$B24)))</f>
        <v>Not stated</v>
      </c>
      <c r="O24" s="68" t="str">
        <f aca="false">IF($B24="","",IF(INDEX('Master Database'!$S$1:$S$600,$B24)="","",INDEX('Master Database'!$S$1:$S$600,$B24)))</f>
        <v>Electric Motor</v>
      </c>
      <c r="P24" s="68" t="str">
        <f aca="false">IF($B24="","",IF(INDEX('Master Database'!$T$1:$T$600,$B24)="","",INDEX('Master Database'!$T$1:$T$600,$B24)))</f>
        <v>Fresh / Potable Water</v>
      </c>
      <c r="Q24" s="68" t="str">
        <f aca="false">IF($B24="","",IF(INDEX('Master Database'!$Y$1:$Y$600,$B24)="","",INDEX('Master Database'!$Y$1:$Y$600,$B24)))</f>
        <v>(Not stated)</v>
      </c>
      <c r="R24" s="68" t="str">
        <f aca="false">IF($B24="","",IF(INDEX('Master Database'!$Z$1:$Z$600,$B24)="","",INDEX('Master Database'!$Z$1:$Z$600,$B24)))</f>
        <v>USD</v>
      </c>
      <c r="S24" s="70" t="n">
        <f aca="false">IF($B24="","",IF(INDEX('Master Database'!$AA$1:$AA$600,$B24)="","",INDEX('Master Database'!$AA$1:$AA$600,$B24)))</f>
        <v>8000</v>
      </c>
      <c r="T24" s="68" t="str">
        <f aca="false">IF($B24="","",IF(INDEX('Master Database'!$AE$1:$AE$600,$B24)="","",INDEX('Master Database'!$AE$1:$AE$600,$B24)))</f>
        <v>Purchase price (USD) – 18061405 pump CSV; project and year not stated</v>
      </c>
      <c r="U24" s="70" t="str">
        <f aca="false">IF($B24="","",IF(INDEX('Master Database'!$AG$1:$AG$600,$B24)="","",INDEX('Master Database'!$AG$1:$AG$600,$B24)))</f>
        <v/>
      </c>
      <c r="V24" s="70" t="str">
        <f aca="false">IF($B24="","",IF(INDEX('Master Database'!$AH$1:$AH$600,$B24)="","",INDEX('Master Database'!$AH$1:$AH$600,$B24)))</f>
        <v/>
      </c>
      <c r="W24" s="70" t="str">
        <f aca="false">IF($B24="","",IF(INDEX('Master Database'!$AI$1:$AI$600,$B24)="","",INDEX('Master Database'!$AI$1:$AI$600,$B24)))</f>
        <v/>
      </c>
      <c r="X24" s="68" t="str">
        <f aca="false">IF($B24="","",IF(INDEX('Master Database'!$BG$1:$BG$600,$B24)="","",INDEX('Master Database'!$BG$1:$BG$600,$B24)))</f>
        <v>N</v>
      </c>
      <c r="BA24" s="65" t="n">
        <f aca="false">IF('Master Database'!$A24="",0,IF(AND(OR($B$5="",ISNUMBER(SEARCH($B$5,'Master Database'!$B24&amp;" "&amp;'Master Database'!$D24))),OR($B$6="(All)",'Master Database'!$C24=$B$6),OR($B$7="(All)",'Master Database'!$E24=$B$7),OR($B$8="(All)",'Master Database'!$T24=$B$8),OR($B$9="(All)",'Master Database'!$M24=$B$9),OR($B$10="(All)",'Master Database'!$V24=$B$10),OR($E$5="(All)",'Master Database'!$F24=$E$5),OR($E$6="(All)",'Master Database'!$G24=$E$6),OR($E$7="(All)",'Master Database'!$O24=$E$7),OR($E$8="(All)",'Master Database'!$P24=$E$8),OR($E$9="(All)",'Master Database'!$S24=$E$9),OR($E$10="(All)",'Master Database'!$Y24&amp;""=$E$10&amp;""),OR($H$5="(All)",'Master Database'!$BG24=$H$5),OR($H$6&lt;&gt;"Y",ISNUMBER('Master Database'!$AG24)),OR($H$7="",AND(ISNUMBER('Master Database'!$H24),N('Master Database'!$H24)&gt;=$H$7)),OR($I$7="",AND(ISNUMBER('Master Database'!$H24),N('Master Database'!$H24)&lt;=$I$7)),OR($H$8="",AND(ISNUMBER('Master Database'!$I24),N('Master Database'!$I24)&gt;=$H$8)),OR($I$8="",AND(ISNUMBER('Master Database'!$I24),N('Master Database'!$I24)&lt;=$I$8)),OR($H$9="",AND(ISNUMBER('Master Database'!$K24),N('Master Database'!$K24)&gt;=$H$9)),OR($I$9="",AND(ISNUMBER('Master Database'!$K24),N('Master Database'!$K24)&lt;=$I$9))),1,0))</f>
        <v>1</v>
      </c>
      <c r="BB24" s="65" t="n">
        <f aca="false">IF(BA24=1,COUNTIF($BA$5:BA24,1),"")</f>
        <v>20</v>
      </c>
    </row>
    <row r="25" customFormat="false" ht="15" hidden="false" customHeight="false" outlineLevel="0" collapsed="false">
      <c r="A25" s="67" t="n">
        <f aca="false">IF(10&lt;=SUM($BA$5:$BA$600),10,"")</f>
        <v>10</v>
      </c>
      <c r="B25" s="67" t="n">
        <f aca="false">IF(A25="","",MATCH(A25,$BB$5:$BB$600,0)+4)</f>
        <v>14</v>
      </c>
      <c r="C25" s="67" t="n">
        <f aca="false">IF($B25="","",IF(INDEX('Master Database'!$A$1:$A$600,$B25)="","",INDEX('Master Database'!$A$1:$A$600,$B25)))</f>
        <v>10</v>
      </c>
      <c r="D25" s="68" t="str">
        <f aca="false">IF($B25="","",IF(INDEX('Master Database'!$B$1:$B$600,$B25)="","",INDEX('Master Database'!$B$1:$B$600,$B25)))</f>
        <v>Closed Drain Pump</v>
      </c>
      <c r="E25" s="68" t="str">
        <f aca="false">IF($B25="","",IF(INDEX('Master Database'!$C$1:$C$600,$B25)="","",INDEX('Master Database'!$C$1:$C$600,$B25)))</f>
        <v>(نام پروژه در فایل قید نشده است) – CSV 18061405</v>
      </c>
      <c r="F25" s="68" t="str">
        <f aca="false">IF($B25="","",IF(INDEX('Master Database'!$D$1:$D$600,$B25)="","",INDEX('Master Database'!$D$1:$D$600,$B25)))</f>
        <v>(Not stated in source document)</v>
      </c>
      <c r="G25" s="68" t="str">
        <f aca="false">IF($B25="","",IF(INDEX('Master Database'!$E$1:$E$600,$B25)="","",INDEX('Master Database'!$E$1:$E$600,$B25)))</f>
        <v>ROT-DRN</v>
      </c>
      <c r="H25" s="68" t="str">
        <f aca="false">IF($B25="","",IF(INDEX('Master Database'!$F$1:$F$600,$B25)="","",INDEX('Master Database'!$F$1:$F$600,$B25)))</f>
        <v>Not stated</v>
      </c>
      <c r="I25" s="68" t="str">
        <f aca="false">IF($B25="","",IF(INDEX('Master Database'!$G$1:$G$600,$B25)="","",INDEX('Master Database'!$G$1:$G$600,$B25)))</f>
        <v>Not stated</v>
      </c>
      <c r="J25" s="69" t="str">
        <f aca="false">IF($B25="","",IF(INDEX('Master Database'!$H$1:$H$600,$B25)="","",INDEX('Master Database'!$H$1:$H$600,$B25)))</f>
        <v/>
      </c>
      <c r="K25" s="69" t="n">
        <f aca="false">IF($B25="","",IF(INDEX('Master Database'!$I$1:$I$600,$B25)="","",INDEX('Master Database'!$I$1:$I$600,$B25)))</f>
        <v>120</v>
      </c>
      <c r="L25" s="69" t="n">
        <f aca="false">IF($B25="","",IF(INDEX('Master Database'!$K$1:$K$600,$B25)="","",INDEX('Master Database'!$K$1:$K$600,$B25)))</f>
        <v>13.7</v>
      </c>
      <c r="M25" s="68" t="str">
        <f aca="false">IF($B25="","",IF(INDEX('Master Database'!$L$1:$L$600,$B25)="","",INDEX('Master Database'!$L$1:$L$600,$B25)))</f>
        <v>Not stated</v>
      </c>
      <c r="N25" s="68" t="str">
        <f aca="false">IF($B25="","",IF(INDEX('Master Database'!$P$1:$P$600,$B25)="","",INDEX('Master Database'!$P$1:$P$600,$B25)))</f>
        <v>Not stated</v>
      </c>
      <c r="O25" s="68" t="str">
        <f aca="false">IF($B25="","",IF(INDEX('Master Database'!$S$1:$S$600,$B25)="","",INDEX('Master Database'!$S$1:$S$600,$B25)))</f>
        <v>Electric Motor</v>
      </c>
      <c r="P25" s="68" t="str">
        <f aca="false">IF($B25="","",IF(INDEX('Master Database'!$T$1:$T$600,$B25)="","",INDEX('Master Database'!$T$1:$T$600,$B25)))</f>
        <v>Oily Water / Drain</v>
      </c>
      <c r="Q25" s="68" t="str">
        <f aca="false">IF($B25="","",IF(INDEX('Master Database'!$Y$1:$Y$600,$B25)="","",INDEX('Master Database'!$Y$1:$Y$600,$B25)))</f>
        <v>(Not stated)</v>
      </c>
      <c r="R25" s="68" t="str">
        <f aca="false">IF($B25="","",IF(INDEX('Master Database'!$Z$1:$Z$600,$B25)="","",INDEX('Master Database'!$Z$1:$Z$600,$B25)))</f>
        <v>USD</v>
      </c>
      <c r="S25" s="70" t="n">
        <f aca="false">IF($B25="","",IF(INDEX('Master Database'!$AA$1:$AA$600,$B25)="","",INDEX('Master Database'!$AA$1:$AA$600,$B25)))</f>
        <v>40000</v>
      </c>
      <c r="T25" s="68" t="str">
        <f aca="false">IF($B25="","",IF(INDEX('Master Database'!$AE$1:$AE$600,$B25)="","",INDEX('Master Database'!$AE$1:$AE$600,$B25)))</f>
        <v>Purchase price (USD) – 18061405 pump CSV; project and year not stated</v>
      </c>
      <c r="U25" s="70" t="str">
        <f aca="false">IF($B25="","",IF(INDEX('Master Database'!$AG$1:$AG$600,$B25)="","",INDEX('Master Database'!$AG$1:$AG$600,$B25)))</f>
        <v/>
      </c>
      <c r="V25" s="70" t="str">
        <f aca="false">IF($B25="","",IF(INDEX('Master Database'!$AH$1:$AH$600,$B25)="","",INDEX('Master Database'!$AH$1:$AH$600,$B25)))</f>
        <v/>
      </c>
      <c r="W25" s="70" t="str">
        <f aca="false">IF($B25="","",IF(INDEX('Master Database'!$AI$1:$AI$600,$B25)="","",INDEX('Master Database'!$AI$1:$AI$600,$B25)))</f>
        <v/>
      </c>
      <c r="X25" s="68" t="str">
        <f aca="false">IF($B25="","",IF(INDEX('Master Database'!$BG$1:$BG$600,$B25)="","",INDEX('Master Database'!$BG$1:$BG$600,$B25)))</f>
        <v>N</v>
      </c>
      <c r="BA25" s="65" t="n">
        <f aca="false">IF('Master Database'!$A25="",0,IF(AND(OR($B$5="",ISNUMBER(SEARCH($B$5,'Master Database'!$B25&amp;" "&amp;'Master Database'!$D25))),OR($B$6="(All)",'Master Database'!$C25=$B$6),OR($B$7="(All)",'Master Database'!$E25=$B$7),OR($B$8="(All)",'Master Database'!$T25=$B$8),OR($B$9="(All)",'Master Database'!$M25=$B$9),OR($B$10="(All)",'Master Database'!$V25=$B$10),OR($E$5="(All)",'Master Database'!$F25=$E$5),OR($E$6="(All)",'Master Database'!$G25=$E$6),OR($E$7="(All)",'Master Database'!$O25=$E$7),OR($E$8="(All)",'Master Database'!$P25=$E$8),OR($E$9="(All)",'Master Database'!$S25=$E$9),OR($E$10="(All)",'Master Database'!$Y25&amp;""=$E$10&amp;""),OR($H$5="(All)",'Master Database'!$BG25=$H$5),OR($H$6&lt;&gt;"Y",ISNUMBER('Master Database'!$AG25)),OR($H$7="",AND(ISNUMBER('Master Database'!$H25),N('Master Database'!$H25)&gt;=$H$7)),OR($I$7="",AND(ISNUMBER('Master Database'!$H25),N('Master Database'!$H25)&lt;=$I$7)),OR($H$8="",AND(ISNUMBER('Master Database'!$I25),N('Master Database'!$I25)&gt;=$H$8)),OR($I$8="",AND(ISNUMBER('Master Database'!$I25),N('Master Database'!$I25)&lt;=$I$8)),OR($H$9="",AND(ISNUMBER('Master Database'!$K25),N('Master Database'!$K25)&gt;=$H$9)),OR($I$9="",AND(ISNUMBER('Master Database'!$K25),N('Master Database'!$K25)&lt;=$I$9))),1,0))</f>
        <v>1</v>
      </c>
      <c r="BB25" s="65" t="n">
        <f aca="false">IF(BA25=1,COUNTIF($BA$5:BA25,1),"")</f>
        <v>21</v>
      </c>
    </row>
    <row r="26" customFormat="false" ht="15" hidden="false" customHeight="false" outlineLevel="0" collapsed="false">
      <c r="A26" s="67" t="n">
        <f aca="false">IF(11&lt;=SUM($BA$5:$BA$600),11,"")</f>
        <v>11</v>
      </c>
      <c r="B26" s="67" t="n">
        <f aca="false">IF(A26="","",MATCH(A26,$BB$5:$BB$600,0)+4)</f>
        <v>15</v>
      </c>
      <c r="C26" s="67" t="n">
        <f aca="false">IF($B26="","",IF(INDEX('Master Database'!$A$1:$A$600,$B26)="","",INDEX('Master Database'!$A$1:$A$600,$B26)))</f>
        <v>11</v>
      </c>
      <c r="D26" s="68" t="str">
        <f aca="false">IF($B26="","",IF(INDEX('Master Database'!$B$1:$B$600,$B26)="","",INDEX('Master Database'!$B$1:$B$600,$B26)))</f>
        <v>Diesel Unlodaing pump</v>
      </c>
      <c r="E26" s="68" t="str">
        <f aca="false">IF($B26="","",IF(INDEX('Master Database'!$C$1:$C$600,$B26)="","",INDEX('Master Database'!$C$1:$C$600,$B26)))</f>
        <v>(نام پروژه در فایل قید نشده است) – CSV 18061405</v>
      </c>
      <c r="F26" s="68" t="str">
        <f aca="false">IF($B26="","",IF(INDEX('Master Database'!$D$1:$D$600,$B26)="","",INDEX('Master Database'!$D$1:$D$600,$B26)))</f>
        <v>(Not stated in source document)</v>
      </c>
      <c r="G26" s="68" t="str">
        <f aca="false">IF($B26="","",IF(INDEX('Master Database'!$E$1:$E$600,$B26)="","",INDEX('Master Database'!$E$1:$E$600,$B26)))</f>
        <v>ROT-AUX</v>
      </c>
      <c r="H26" s="68" t="str">
        <f aca="false">IF($B26="","",IF(INDEX('Master Database'!$F$1:$F$600,$B26)="","",INDEX('Master Database'!$F$1:$F$600,$B26)))</f>
        <v>N/A (non-API 610)</v>
      </c>
      <c r="I26" s="68" t="str">
        <f aca="false">IF($B26="","",IF(INDEX('Master Database'!$G$1:$G$600,$B26)="","",INDEX('Master Database'!$G$1:$G$600,$B26)))</f>
        <v>Not stated</v>
      </c>
      <c r="J26" s="69" t="str">
        <f aca="false">IF($B26="","",IF(INDEX('Master Database'!$H$1:$H$600,$B26)="","",INDEX('Master Database'!$H$1:$H$600,$B26)))</f>
        <v/>
      </c>
      <c r="K26" s="69" t="n">
        <f aca="false">IF($B26="","",IF(INDEX('Master Database'!$I$1:$I$600,$B26)="","",INDEX('Master Database'!$I$1:$I$600,$B26)))</f>
        <v>27.2</v>
      </c>
      <c r="L26" s="69" t="n">
        <f aca="false">IF($B26="","",IF(INDEX('Master Database'!$K$1:$K$600,$B26)="","",INDEX('Master Database'!$K$1:$K$600,$B26)))</f>
        <v>4</v>
      </c>
      <c r="M26" s="68" t="str">
        <f aca="false">IF($B26="","",IF(INDEX('Master Database'!$L$1:$L$600,$B26)="","",INDEX('Master Database'!$L$1:$L$600,$B26)))</f>
        <v>Not stated</v>
      </c>
      <c r="N26" s="68" t="str">
        <f aca="false">IF($B26="","",IF(INDEX('Master Database'!$P$1:$P$600,$B26)="","",INDEX('Master Database'!$P$1:$P$600,$B26)))</f>
        <v>Not stated</v>
      </c>
      <c r="O26" s="68" t="str">
        <f aca="false">IF($B26="","",IF(INDEX('Master Database'!$S$1:$S$600,$B26)="","",INDEX('Master Database'!$S$1:$S$600,$B26)))</f>
        <v>Electric Motor</v>
      </c>
      <c r="P26" s="68" t="str">
        <f aca="false">IF($B26="","",IF(INDEX('Master Database'!$T$1:$T$600,$B26)="","",INDEX('Master Database'!$T$1:$T$600,$B26)))</f>
        <v>Diesel / Fuel Oil</v>
      </c>
      <c r="Q26" s="68" t="str">
        <f aca="false">IF($B26="","",IF(INDEX('Master Database'!$Y$1:$Y$600,$B26)="","",INDEX('Master Database'!$Y$1:$Y$600,$B26)))</f>
        <v>(Not stated)</v>
      </c>
      <c r="R26" s="68" t="str">
        <f aca="false">IF($B26="","",IF(INDEX('Master Database'!$Z$1:$Z$600,$B26)="","",INDEX('Master Database'!$Z$1:$Z$600,$B26)))</f>
        <v>USD</v>
      </c>
      <c r="S26" s="70" t="n">
        <f aca="false">IF($B26="","",IF(INDEX('Master Database'!$AA$1:$AA$600,$B26)="","",INDEX('Master Database'!$AA$1:$AA$600,$B26)))</f>
        <v>5000</v>
      </c>
      <c r="T26" s="68" t="str">
        <f aca="false">IF($B26="","",IF(INDEX('Master Database'!$AE$1:$AE$600,$B26)="","",INDEX('Master Database'!$AE$1:$AE$600,$B26)))</f>
        <v>Purchase price (USD) – 18061405 pump CSV; project and year not stated</v>
      </c>
      <c r="U26" s="70" t="str">
        <f aca="false">IF($B26="","",IF(INDEX('Master Database'!$AG$1:$AG$600,$B26)="","",INDEX('Master Database'!$AG$1:$AG$600,$B26)))</f>
        <v/>
      </c>
      <c r="V26" s="70" t="str">
        <f aca="false">IF($B26="","",IF(INDEX('Master Database'!$AH$1:$AH$600,$B26)="","",INDEX('Master Database'!$AH$1:$AH$600,$B26)))</f>
        <v/>
      </c>
      <c r="W26" s="70" t="str">
        <f aca="false">IF($B26="","",IF(INDEX('Master Database'!$AI$1:$AI$600,$B26)="","",INDEX('Master Database'!$AI$1:$AI$600,$B26)))</f>
        <v/>
      </c>
      <c r="X26" s="68" t="str">
        <f aca="false">IF($B26="","",IF(INDEX('Master Database'!$BG$1:$BG$600,$B26)="","",INDEX('Master Database'!$BG$1:$BG$600,$B26)))</f>
        <v>N</v>
      </c>
      <c r="BA26" s="65" t="n">
        <f aca="false">IF('Master Database'!$A26="",0,IF(AND(OR($B$5="",ISNUMBER(SEARCH($B$5,'Master Database'!$B26&amp;" "&amp;'Master Database'!$D26))),OR($B$6="(All)",'Master Database'!$C26=$B$6),OR($B$7="(All)",'Master Database'!$E26=$B$7),OR($B$8="(All)",'Master Database'!$T26=$B$8),OR($B$9="(All)",'Master Database'!$M26=$B$9),OR($B$10="(All)",'Master Database'!$V26=$B$10),OR($E$5="(All)",'Master Database'!$F26=$E$5),OR($E$6="(All)",'Master Database'!$G26=$E$6),OR($E$7="(All)",'Master Database'!$O26=$E$7),OR($E$8="(All)",'Master Database'!$P26=$E$8),OR($E$9="(All)",'Master Database'!$S26=$E$9),OR($E$10="(All)",'Master Database'!$Y26&amp;""=$E$10&amp;""),OR($H$5="(All)",'Master Database'!$BG26=$H$5),OR($H$6&lt;&gt;"Y",ISNUMBER('Master Database'!$AG26)),OR($H$7="",AND(ISNUMBER('Master Database'!$H26),N('Master Database'!$H26)&gt;=$H$7)),OR($I$7="",AND(ISNUMBER('Master Database'!$H26),N('Master Database'!$H26)&lt;=$I$7)),OR($H$8="",AND(ISNUMBER('Master Database'!$I26),N('Master Database'!$I26)&gt;=$H$8)),OR($I$8="",AND(ISNUMBER('Master Database'!$I26),N('Master Database'!$I26)&lt;=$I$8)),OR($H$9="",AND(ISNUMBER('Master Database'!$K26),N('Master Database'!$K26)&gt;=$H$9)),OR($I$9="",AND(ISNUMBER('Master Database'!$K26),N('Master Database'!$K26)&lt;=$I$9))),1,0))</f>
        <v>1</v>
      </c>
      <c r="BB26" s="65" t="n">
        <f aca="false">IF(BA26=1,COUNTIF($BA$5:BA26,1),"")</f>
        <v>22</v>
      </c>
    </row>
    <row r="27" customFormat="false" ht="15" hidden="false" customHeight="false" outlineLevel="0" collapsed="false">
      <c r="A27" s="67" t="n">
        <f aca="false">IF(12&lt;=SUM($BA$5:$BA$600),12,"")</f>
        <v>12</v>
      </c>
      <c r="B27" s="67" t="n">
        <f aca="false">IF(A27="","",MATCH(A27,$BB$5:$BB$600,0)+4)</f>
        <v>16</v>
      </c>
      <c r="C27" s="67" t="n">
        <f aca="false">IF($B27="","",IF(INDEX('Master Database'!$A$1:$A$600,$B27)="","",INDEX('Master Database'!$A$1:$A$600,$B27)))</f>
        <v>12</v>
      </c>
      <c r="D27" s="68" t="str">
        <f aca="false">IF($B27="","",IF(INDEX('Master Database'!$B$1:$B$600,$B27)="","",INDEX('Master Database'!$B$1:$B$600,$B27)))</f>
        <v>Diesel Transfer pump</v>
      </c>
      <c r="E27" s="68" t="str">
        <f aca="false">IF($B27="","",IF(INDEX('Master Database'!$C$1:$C$600,$B27)="","",INDEX('Master Database'!$C$1:$C$600,$B27)))</f>
        <v>(نام پروژه در فایل قید نشده است) – CSV 18061405</v>
      </c>
      <c r="F27" s="68" t="str">
        <f aca="false">IF($B27="","",IF(INDEX('Master Database'!$D$1:$D$600,$B27)="","",INDEX('Master Database'!$D$1:$D$600,$B27)))</f>
        <v>(Not stated in source document)</v>
      </c>
      <c r="G27" s="68" t="str">
        <f aca="false">IF($B27="","",IF(INDEX('Master Database'!$E$1:$E$600,$B27)="","",INDEX('Master Database'!$E$1:$E$600,$B27)))</f>
        <v>ROT-AUX</v>
      </c>
      <c r="H27" s="68" t="str">
        <f aca="false">IF($B27="","",IF(INDEX('Master Database'!$F$1:$F$600,$B27)="","",INDEX('Master Database'!$F$1:$F$600,$B27)))</f>
        <v>N/A (non-API 610)</v>
      </c>
      <c r="I27" s="68" t="str">
        <f aca="false">IF($B27="","",IF(INDEX('Master Database'!$G$1:$G$600,$B27)="","",INDEX('Master Database'!$G$1:$G$600,$B27)))</f>
        <v>Not stated</v>
      </c>
      <c r="J27" s="69" t="str">
        <f aca="false">IF($B27="","",IF(INDEX('Master Database'!$H$1:$H$600,$B27)="","",INDEX('Master Database'!$H$1:$H$600,$B27)))</f>
        <v/>
      </c>
      <c r="K27" s="69" t="n">
        <f aca="false">IF($B27="","",IF(INDEX('Master Database'!$I$1:$I$600,$B27)="","",INDEX('Master Database'!$I$1:$I$600,$B27)))</f>
        <v>40.8</v>
      </c>
      <c r="L27" s="69" t="n">
        <f aca="false">IF($B27="","",IF(INDEX('Master Database'!$K$1:$K$600,$B27)="","",INDEX('Master Database'!$K$1:$K$600,$B27)))</f>
        <v>0.8</v>
      </c>
      <c r="M27" s="68" t="str">
        <f aca="false">IF($B27="","",IF(INDEX('Master Database'!$L$1:$L$600,$B27)="","",INDEX('Master Database'!$L$1:$L$600,$B27)))</f>
        <v>Not stated</v>
      </c>
      <c r="N27" s="68" t="str">
        <f aca="false">IF($B27="","",IF(INDEX('Master Database'!$P$1:$P$600,$B27)="","",INDEX('Master Database'!$P$1:$P$600,$B27)))</f>
        <v>Not stated</v>
      </c>
      <c r="O27" s="68" t="str">
        <f aca="false">IF($B27="","",IF(INDEX('Master Database'!$S$1:$S$600,$B27)="","",INDEX('Master Database'!$S$1:$S$600,$B27)))</f>
        <v>Electric Motor</v>
      </c>
      <c r="P27" s="68" t="str">
        <f aca="false">IF($B27="","",IF(INDEX('Master Database'!$T$1:$T$600,$B27)="","",INDEX('Master Database'!$T$1:$T$600,$B27)))</f>
        <v>Diesel / Fuel Oil</v>
      </c>
      <c r="Q27" s="68" t="str">
        <f aca="false">IF($B27="","",IF(INDEX('Master Database'!$Y$1:$Y$600,$B27)="","",INDEX('Master Database'!$Y$1:$Y$600,$B27)))</f>
        <v>(Not stated)</v>
      </c>
      <c r="R27" s="68" t="str">
        <f aca="false">IF($B27="","",IF(INDEX('Master Database'!$Z$1:$Z$600,$B27)="","",INDEX('Master Database'!$Z$1:$Z$600,$B27)))</f>
        <v>USD</v>
      </c>
      <c r="S27" s="70" t="n">
        <f aca="false">IF($B27="","",IF(INDEX('Master Database'!$AA$1:$AA$600,$B27)="","",INDEX('Master Database'!$AA$1:$AA$600,$B27)))</f>
        <v>3000</v>
      </c>
      <c r="T27" s="68" t="str">
        <f aca="false">IF($B27="","",IF(INDEX('Master Database'!$AE$1:$AE$600,$B27)="","",INDEX('Master Database'!$AE$1:$AE$600,$B27)))</f>
        <v>Purchase price (USD) – 18061405 pump CSV; project and year not stated</v>
      </c>
      <c r="U27" s="70" t="str">
        <f aca="false">IF($B27="","",IF(INDEX('Master Database'!$AG$1:$AG$600,$B27)="","",INDEX('Master Database'!$AG$1:$AG$600,$B27)))</f>
        <v/>
      </c>
      <c r="V27" s="70" t="str">
        <f aca="false">IF($B27="","",IF(INDEX('Master Database'!$AH$1:$AH$600,$B27)="","",INDEX('Master Database'!$AH$1:$AH$600,$B27)))</f>
        <v/>
      </c>
      <c r="W27" s="70" t="str">
        <f aca="false">IF($B27="","",IF(INDEX('Master Database'!$AI$1:$AI$600,$B27)="","",INDEX('Master Database'!$AI$1:$AI$600,$B27)))</f>
        <v/>
      </c>
      <c r="X27" s="68" t="str">
        <f aca="false">IF($B27="","",IF(INDEX('Master Database'!$BG$1:$BG$600,$B27)="","",INDEX('Master Database'!$BG$1:$BG$600,$B27)))</f>
        <v>N</v>
      </c>
      <c r="BA27" s="65" t="n">
        <f aca="false">IF('Master Database'!$A27="",0,IF(AND(OR($B$5="",ISNUMBER(SEARCH($B$5,'Master Database'!$B27&amp;" "&amp;'Master Database'!$D27))),OR($B$6="(All)",'Master Database'!$C27=$B$6),OR($B$7="(All)",'Master Database'!$E27=$B$7),OR($B$8="(All)",'Master Database'!$T27=$B$8),OR($B$9="(All)",'Master Database'!$M27=$B$9),OR($B$10="(All)",'Master Database'!$V27=$B$10),OR($E$5="(All)",'Master Database'!$F27=$E$5),OR($E$6="(All)",'Master Database'!$G27=$E$6),OR($E$7="(All)",'Master Database'!$O27=$E$7),OR($E$8="(All)",'Master Database'!$P27=$E$8),OR($E$9="(All)",'Master Database'!$S27=$E$9),OR($E$10="(All)",'Master Database'!$Y27&amp;""=$E$10&amp;""),OR($H$5="(All)",'Master Database'!$BG27=$H$5),OR($H$6&lt;&gt;"Y",ISNUMBER('Master Database'!$AG27)),OR($H$7="",AND(ISNUMBER('Master Database'!$H27),N('Master Database'!$H27)&gt;=$H$7)),OR($I$7="",AND(ISNUMBER('Master Database'!$H27),N('Master Database'!$H27)&lt;=$I$7)),OR($H$8="",AND(ISNUMBER('Master Database'!$I27),N('Master Database'!$I27)&gt;=$H$8)),OR($I$8="",AND(ISNUMBER('Master Database'!$I27),N('Master Database'!$I27)&lt;=$I$8)),OR($H$9="",AND(ISNUMBER('Master Database'!$K27),N('Master Database'!$K27)&gt;=$H$9)),OR($I$9="",AND(ISNUMBER('Master Database'!$K27),N('Master Database'!$K27)&lt;=$I$9))),1,0))</f>
        <v>1</v>
      </c>
      <c r="BB27" s="65" t="n">
        <f aca="false">IF(BA27=1,COUNTIF($BA$5:BA27,1),"")</f>
        <v>23</v>
      </c>
    </row>
    <row r="28" customFormat="false" ht="15" hidden="false" customHeight="false" outlineLevel="0" collapsed="false">
      <c r="A28" s="67" t="n">
        <f aca="false">IF(13&lt;=SUM($BA$5:$BA$600),13,"")</f>
        <v>13</v>
      </c>
      <c r="B28" s="67" t="n">
        <f aca="false">IF(A28="","",MATCH(A28,$BB$5:$BB$600,0)+4)</f>
        <v>17</v>
      </c>
      <c r="C28" s="67" t="n">
        <f aca="false">IF($B28="","",IF(INDEX('Master Database'!$A$1:$A$600,$B28)="","",INDEX('Master Database'!$A$1:$A$600,$B28)))</f>
        <v>13</v>
      </c>
      <c r="D28" s="68" t="str">
        <f aca="false">IF($B28="","",IF(INDEX('Master Database'!$B$1:$B$600,$B28)="","",INDEX('Master Database'!$B$1:$B$600,$B28)))</f>
        <v>Sludge Discharge Water Jet Pump</v>
      </c>
      <c r="E28" s="68" t="str">
        <f aca="false">IF($B28="","",IF(INDEX('Master Database'!$C$1:$C$600,$B28)="","",INDEX('Master Database'!$C$1:$C$600,$B28)))</f>
        <v>(نام پروژه در فایل قید نشده است) – CSV 18061405</v>
      </c>
      <c r="F28" s="68" t="str">
        <f aca="false">IF($B28="","",IF(INDEX('Master Database'!$D$1:$D$600,$B28)="","",INDEX('Master Database'!$D$1:$D$600,$B28)))</f>
        <v>(Not stated in source document)</v>
      </c>
      <c r="G28" s="68" t="str">
        <f aca="false">IF($B28="","",IF(INDEX('Master Database'!$E$1:$E$600,$B28)="","",INDEX('Master Database'!$E$1:$E$600,$B28)))</f>
        <v>ROT-WAT</v>
      </c>
      <c r="H28" s="68" t="str">
        <f aca="false">IF($B28="","",IF(INDEX('Master Database'!$F$1:$F$600,$B28)="","",INDEX('Master Database'!$F$1:$F$600,$B28)))</f>
        <v>Not stated</v>
      </c>
      <c r="I28" s="68" t="str">
        <f aca="false">IF($B28="","",IF(INDEX('Master Database'!$G$1:$G$600,$B28)="","",INDEX('Master Database'!$G$1:$G$600,$B28)))</f>
        <v>Not stated</v>
      </c>
      <c r="J28" s="69" t="str">
        <f aca="false">IF($B28="","",IF(INDEX('Master Database'!$H$1:$H$600,$B28)="","",INDEX('Master Database'!$H$1:$H$600,$B28)))</f>
        <v/>
      </c>
      <c r="K28" s="69" t="n">
        <f aca="false">IF($B28="","",IF(INDEX('Master Database'!$I$1:$I$600,$B28)="","",INDEX('Master Database'!$I$1:$I$600,$B28)))</f>
        <v>15</v>
      </c>
      <c r="L28" s="69" t="n">
        <f aca="false">IF($B28="","",IF(INDEX('Master Database'!$K$1:$K$600,$B28)="","",INDEX('Master Database'!$K$1:$K$600,$B28)))</f>
        <v>5</v>
      </c>
      <c r="M28" s="68" t="str">
        <f aca="false">IF($B28="","",IF(INDEX('Master Database'!$L$1:$L$600,$B28)="","",INDEX('Master Database'!$L$1:$L$600,$B28)))</f>
        <v>Not stated</v>
      </c>
      <c r="N28" s="68" t="str">
        <f aca="false">IF($B28="","",IF(INDEX('Master Database'!$P$1:$P$600,$B28)="","",INDEX('Master Database'!$P$1:$P$600,$B28)))</f>
        <v>Not stated</v>
      </c>
      <c r="O28" s="68" t="str">
        <f aca="false">IF($B28="","",IF(INDEX('Master Database'!$S$1:$S$600,$B28)="","",INDEX('Master Database'!$S$1:$S$600,$B28)))</f>
        <v>Electric Motor</v>
      </c>
      <c r="P28" s="68" t="str">
        <f aca="false">IF($B28="","",IF(INDEX('Master Database'!$T$1:$T$600,$B28)="","",INDEX('Master Database'!$T$1:$T$600,$B28)))</f>
        <v>Process / Dilution Water</v>
      </c>
      <c r="Q28" s="68" t="str">
        <f aca="false">IF($B28="","",IF(INDEX('Master Database'!$Y$1:$Y$600,$B28)="","",INDEX('Master Database'!$Y$1:$Y$600,$B28)))</f>
        <v>(Not stated)</v>
      </c>
      <c r="R28" s="68" t="str">
        <f aca="false">IF($B28="","",IF(INDEX('Master Database'!$Z$1:$Z$600,$B28)="","",INDEX('Master Database'!$Z$1:$Z$600,$B28)))</f>
        <v>USD</v>
      </c>
      <c r="S28" s="70" t="n">
        <f aca="false">IF($B28="","",IF(INDEX('Master Database'!$AA$1:$AA$600,$B28)="","",INDEX('Master Database'!$AA$1:$AA$600,$B28)))</f>
        <v>3000</v>
      </c>
      <c r="T28" s="68" t="str">
        <f aca="false">IF($B28="","",IF(INDEX('Master Database'!$AE$1:$AE$600,$B28)="","",INDEX('Master Database'!$AE$1:$AE$600,$B28)))</f>
        <v>Purchase price (USD) – 18061405 pump CSV; project and year not stated</v>
      </c>
      <c r="U28" s="70" t="str">
        <f aca="false">IF($B28="","",IF(INDEX('Master Database'!$AG$1:$AG$600,$B28)="","",INDEX('Master Database'!$AG$1:$AG$600,$B28)))</f>
        <v/>
      </c>
      <c r="V28" s="70" t="str">
        <f aca="false">IF($B28="","",IF(INDEX('Master Database'!$AH$1:$AH$600,$B28)="","",INDEX('Master Database'!$AH$1:$AH$600,$B28)))</f>
        <v/>
      </c>
      <c r="W28" s="70" t="str">
        <f aca="false">IF($B28="","",IF(INDEX('Master Database'!$AI$1:$AI$600,$B28)="","",INDEX('Master Database'!$AI$1:$AI$600,$B28)))</f>
        <v/>
      </c>
      <c r="X28" s="68" t="str">
        <f aca="false">IF($B28="","",IF(INDEX('Master Database'!$BG$1:$BG$600,$B28)="","",INDEX('Master Database'!$BG$1:$BG$600,$B28)))</f>
        <v>N</v>
      </c>
      <c r="BA28" s="65" t="n">
        <f aca="false">IF('Master Database'!$A28="",0,IF(AND(OR($B$5="",ISNUMBER(SEARCH($B$5,'Master Database'!$B28&amp;" "&amp;'Master Database'!$D28))),OR($B$6="(All)",'Master Database'!$C28=$B$6),OR($B$7="(All)",'Master Database'!$E28=$B$7),OR($B$8="(All)",'Master Database'!$T28=$B$8),OR($B$9="(All)",'Master Database'!$M28=$B$9),OR($B$10="(All)",'Master Database'!$V28=$B$10),OR($E$5="(All)",'Master Database'!$F28=$E$5),OR($E$6="(All)",'Master Database'!$G28=$E$6),OR($E$7="(All)",'Master Database'!$O28=$E$7),OR($E$8="(All)",'Master Database'!$P28=$E$8),OR($E$9="(All)",'Master Database'!$S28=$E$9),OR($E$10="(All)",'Master Database'!$Y28&amp;""=$E$10&amp;""),OR($H$5="(All)",'Master Database'!$BG28=$H$5),OR($H$6&lt;&gt;"Y",ISNUMBER('Master Database'!$AG28)),OR($H$7="",AND(ISNUMBER('Master Database'!$H28),N('Master Database'!$H28)&gt;=$H$7)),OR($I$7="",AND(ISNUMBER('Master Database'!$H28),N('Master Database'!$H28)&lt;=$I$7)),OR($H$8="",AND(ISNUMBER('Master Database'!$I28),N('Master Database'!$I28)&gt;=$H$8)),OR($I$8="",AND(ISNUMBER('Master Database'!$I28),N('Master Database'!$I28)&lt;=$I$8)),OR($H$9="",AND(ISNUMBER('Master Database'!$K28),N('Master Database'!$K28)&gt;=$H$9)),OR($I$9="",AND(ISNUMBER('Master Database'!$K28),N('Master Database'!$K28)&lt;=$I$9))),1,0))</f>
        <v>1</v>
      </c>
      <c r="BB28" s="65" t="n">
        <f aca="false">IF(BA28=1,COUNTIF($BA$5:BA28,1),"")</f>
        <v>24</v>
      </c>
    </row>
    <row r="29" customFormat="false" ht="15" hidden="false" customHeight="false" outlineLevel="0" collapsed="false">
      <c r="A29" s="67" t="n">
        <f aca="false">IF(14&lt;=SUM($BA$5:$BA$600),14,"")</f>
        <v>14</v>
      </c>
      <c r="B29" s="67" t="n">
        <f aca="false">IF(A29="","",MATCH(A29,$BB$5:$BB$600,0)+4)</f>
        <v>18</v>
      </c>
      <c r="C29" s="67" t="n">
        <f aca="false">IF($B29="","",IF(INDEX('Master Database'!$A$1:$A$600,$B29)="","",INDEX('Master Database'!$A$1:$A$600,$B29)))</f>
        <v>14</v>
      </c>
      <c r="D29" s="68" t="str">
        <f aca="false">IF($B29="","",IF(INDEX('Master Database'!$B$1:$B$600,$B29)="","",INDEX('Master Database'!$B$1:$B$600,$B29)))</f>
        <v>Flare KO Drum Pumps</v>
      </c>
      <c r="E29" s="68" t="str">
        <f aca="false">IF($B29="","",IF(INDEX('Master Database'!$C$1:$C$600,$B29)="","",INDEX('Master Database'!$C$1:$C$600,$B29)))</f>
        <v>(نام پروژه در فایل قید نشده است) – CSV 18061405</v>
      </c>
      <c r="F29" s="68" t="str">
        <f aca="false">IF($B29="","",IF(INDEX('Master Database'!$D$1:$D$600,$B29)="","",INDEX('Master Database'!$D$1:$D$600,$B29)))</f>
        <v>(Not stated in source document)</v>
      </c>
      <c r="G29" s="68" t="str">
        <f aca="false">IF($B29="","",IF(INDEX('Master Database'!$E$1:$E$600,$B29)="","",INDEX('Master Database'!$E$1:$E$600,$B29)))</f>
        <v>ROT-DRN</v>
      </c>
      <c r="H29" s="68" t="str">
        <f aca="false">IF($B29="","",IF(INDEX('Master Database'!$F$1:$F$600,$B29)="","",INDEX('Master Database'!$F$1:$F$600,$B29)))</f>
        <v>Not stated</v>
      </c>
      <c r="I29" s="68" t="str">
        <f aca="false">IF($B29="","",IF(INDEX('Master Database'!$G$1:$G$600,$B29)="","",INDEX('Master Database'!$G$1:$G$600,$B29)))</f>
        <v>Not stated</v>
      </c>
      <c r="J29" s="69" t="str">
        <f aca="false">IF($B29="","",IF(INDEX('Master Database'!$H$1:$H$600,$B29)="","",INDEX('Master Database'!$H$1:$H$600,$B29)))</f>
        <v/>
      </c>
      <c r="K29" s="69" t="n">
        <f aca="false">IF($B29="","",IF(INDEX('Master Database'!$I$1:$I$600,$B29)="","",INDEX('Master Database'!$I$1:$I$600,$B29)))</f>
        <v>18</v>
      </c>
      <c r="L29" s="69" t="n">
        <f aca="false">IF($B29="","",IF(INDEX('Master Database'!$K$1:$K$600,$B29)="","",INDEX('Master Database'!$K$1:$K$600,$B29)))</f>
        <v>2</v>
      </c>
      <c r="M29" s="68" t="str">
        <f aca="false">IF($B29="","",IF(INDEX('Master Database'!$L$1:$L$600,$B29)="","",INDEX('Master Database'!$L$1:$L$600,$B29)))</f>
        <v>Not stated</v>
      </c>
      <c r="N29" s="68" t="str">
        <f aca="false">IF($B29="","",IF(INDEX('Master Database'!$P$1:$P$600,$B29)="","",INDEX('Master Database'!$P$1:$P$600,$B29)))</f>
        <v>Not stated</v>
      </c>
      <c r="O29" s="68" t="str">
        <f aca="false">IF($B29="","",IF(INDEX('Master Database'!$S$1:$S$600,$B29)="","",INDEX('Master Database'!$S$1:$S$600,$B29)))</f>
        <v>Electric Motor</v>
      </c>
      <c r="P29" s="68" t="str">
        <f aca="false">IF($B29="","",IF(INDEX('Master Database'!$T$1:$T$600,$B29)="","",INDEX('Master Database'!$T$1:$T$600,$B29)))</f>
        <v>Oily Water / Drain</v>
      </c>
      <c r="Q29" s="68" t="str">
        <f aca="false">IF($B29="","",IF(INDEX('Master Database'!$Y$1:$Y$600,$B29)="","",INDEX('Master Database'!$Y$1:$Y$600,$B29)))</f>
        <v>(Not stated)</v>
      </c>
      <c r="R29" s="68" t="str">
        <f aca="false">IF($B29="","",IF(INDEX('Master Database'!$Z$1:$Z$600,$B29)="","",INDEX('Master Database'!$Z$1:$Z$600,$B29)))</f>
        <v>USD</v>
      </c>
      <c r="S29" s="70" t="n">
        <f aca="false">IF($B29="","",IF(INDEX('Master Database'!$AA$1:$AA$600,$B29)="","",INDEX('Master Database'!$AA$1:$AA$600,$B29)))</f>
        <v>40000</v>
      </c>
      <c r="T29" s="68" t="str">
        <f aca="false">IF($B29="","",IF(INDEX('Master Database'!$AE$1:$AE$600,$B29)="","",INDEX('Master Database'!$AE$1:$AE$600,$B29)))</f>
        <v>Purchase price (USD) – 18061405 pump CSV; project and year not stated</v>
      </c>
      <c r="U29" s="70" t="str">
        <f aca="false">IF($B29="","",IF(INDEX('Master Database'!$AG$1:$AG$600,$B29)="","",INDEX('Master Database'!$AG$1:$AG$600,$B29)))</f>
        <v/>
      </c>
      <c r="V29" s="70" t="str">
        <f aca="false">IF($B29="","",IF(INDEX('Master Database'!$AH$1:$AH$600,$B29)="","",INDEX('Master Database'!$AH$1:$AH$600,$B29)))</f>
        <v/>
      </c>
      <c r="W29" s="70" t="str">
        <f aca="false">IF($B29="","",IF(INDEX('Master Database'!$AI$1:$AI$600,$B29)="","",INDEX('Master Database'!$AI$1:$AI$600,$B29)))</f>
        <v/>
      </c>
      <c r="X29" s="68" t="str">
        <f aca="false">IF($B29="","",IF(INDEX('Master Database'!$BG$1:$BG$600,$B29)="","",INDEX('Master Database'!$BG$1:$BG$600,$B29)))</f>
        <v>N</v>
      </c>
      <c r="BA29" s="65" t="n">
        <f aca="false">IF('Master Database'!$A29="",0,IF(AND(OR($B$5="",ISNUMBER(SEARCH($B$5,'Master Database'!$B29&amp;" "&amp;'Master Database'!$D29))),OR($B$6="(All)",'Master Database'!$C29=$B$6),OR($B$7="(All)",'Master Database'!$E29=$B$7),OR($B$8="(All)",'Master Database'!$T29=$B$8),OR($B$9="(All)",'Master Database'!$M29=$B$9),OR($B$10="(All)",'Master Database'!$V29=$B$10),OR($E$5="(All)",'Master Database'!$F29=$E$5),OR($E$6="(All)",'Master Database'!$G29=$E$6),OR($E$7="(All)",'Master Database'!$O29=$E$7),OR($E$8="(All)",'Master Database'!$P29=$E$8),OR($E$9="(All)",'Master Database'!$S29=$E$9),OR($E$10="(All)",'Master Database'!$Y29&amp;""=$E$10&amp;""),OR($H$5="(All)",'Master Database'!$BG29=$H$5),OR($H$6&lt;&gt;"Y",ISNUMBER('Master Database'!$AG29)),OR($H$7="",AND(ISNUMBER('Master Database'!$H29),N('Master Database'!$H29)&gt;=$H$7)),OR($I$7="",AND(ISNUMBER('Master Database'!$H29),N('Master Database'!$H29)&lt;=$I$7)),OR($H$8="",AND(ISNUMBER('Master Database'!$I29),N('Master Database'!$I29)&gt;=$H$8)),OR($I$8="",AND(ISNUMBER('Master Database'!$I29),N('Master Database'!$I29)&lt;=$I$8)),OR($H$9="",AND(ISNUMBER('Master Database'!$K29),N('Master Database'!$K29)&gt;=$H$9)),OR($I$9="",AND(ISNUMBER('Master Database'!$K29),N('Master Database'!$K29)&lt;=$I$9))),1,0))</f>
        <v>1</v>
      </c>
      <c r="BB29" s="65" t="n">
        <f aca="false">IF(BA29=1,COUNTIF($BA$5:BA29,1),"")</f>
        <v>25</v>
      </c>
    </row>
    <row r="30" customFormat="false" ht="15" hidden="false" customHeight="false" outlineLevel="0" collapsed="false">
      <c r="A30" s="67" t="n">
        <f aca="false">IF(15&lt;=SUM($BA$5:$BA$600),15,"")</f>
        <v>15</v>
      </c>
      <c r="B30" s="67" t="n">
        <f aca="false">IF(A30="","",MATCH(A30,$BB$5:$BB$600,0)+4)</f>
        <v>19</v>
      </c>
      <c r="C30" s="67" t="n">
        <f aca="false">IF($B30="","",IF(INDEX('Master Database'!$A$1:$A$600,$B30)="","",INDEX('Master Database'!$A$1:$A$600,$B30)))</f>
        <v>15</v>
      </c>
      <c r="D30" s="68" t="str">
        <f aca="false">IF($B30="","",IF(INDEX('Master Database'!$B$1:$B$600,$B30)="","",INDEX('Master Database'!$B$1:$B$600,$B30)))</f>
        <v>MAIN TRANSFER PUMPS</v>
      </c>
      <c r="E30" s="68" t="str">
        <f aca="false">IF($B30="","",IF(INDEX('Master Database'!$C$1:$C$600,$B30)="","",INDEX('Master Database'!$C$1:$C$600,$B30)))</f>
        <v>Gachsaran 4</v>
      </c>
      <c r="F30" s="68" t="str">
        <f aca="false">IF($B30="","",IF(INDEX('Master Database'!$D$1:$D$600,$B30)="","",INDEX('Master Database'!$D$1:$D$600,$B30)))</f>
        <v>P-001-A/B</v>
      </c>
      <c r="G30" s="68" t="str">
        <f aca="false">IF($B30="","",IF(INDEX('Master Database'!$E$1:$E$600,$B30)="","",INDEX('Master Database'!$E$1:$E$600,$B30)))</f>
        <v>ROT-CRU</v>
      </c>
      <c r="H30" s="68" t="str">
        <f aca="false">IF($B30="","",IF(INDEX('Master Database'!$F$1:$F$600,$B30)="","",INDEX('Master Database'!$F$1:$F$600,$B30)))</f>
        <v>Not stated</v>
      </c>
      <c r="I30" s="68" t="str">
        <f aca="false">IF($B30="","",IF(INDEX('Master Database'!$G$1:$G$600,$B30)="","",INDEX('Master Database'!$G$1:$G$600,$B30)))</f>
        <v>Not stated</v>
      </c>
      <c r="J30" s="69" t="n">
        <f aca="false">IF($B30="","",IF(INDEX('Master Database'!$H$1:$H$600,$B30)="","",INDEX('Master Database'!$H$1:$H$600,$B30)))</f>
        <v>500</v>
      </c>
      <c r="K30" s="69" t="str">
        <f aca="false">IF($B30="","",IF(INDEX('Master Database'!$I$1:$I$600,$B30)="","",INDEX('Master Database'!$I$1:$I$600,$B30)))</f>
        <v/>
      </c>
      <c r="L30" s="69" t="n">
        <f aca="false">IF($B30="","",IF(INDEX('Master Database'!$K$1:$K$600,$B30)="","",INDEX('Master Database'!$K$1:$K$600,$B30)))</f>
        <v>216.3</v>
      </c>
      <c r="M30" s="68" t="str">
        <f aca="false">IF($B30="","",IF(INDEX('Master Database'!$L$1:$L$600,$B30)="","",INDEX('Master Database'!$L$1:$L$600,$B30)))</f>
        <v>Not stated</v>
      </c>
      <c r="N30" s="68" t="str">
        <f aca="false">IF($B30="","",IF(INDEX('Master Database'!$P$1:$P$600,$B30)="","",INDEX('Master Database'!$P$1:$P$600,$B30)))</f>
        <v>Not stated</v>
      </c>
      <c r="O30" s="68" t="str">
        <f aca="false">IF($B30="","",IF(INDEX('Master Database'!$S$1:$S$600,$B30)="","",INDEX('Master Database'!$S$1:$S$600,$B30)))</f>
        <v>Electric Motor</v>
      </c>
      <c r="P30" s="68" t="str">
        <f aca="false">IF($B30="","",IF(INDEX('Master Database'!$T$1:$T$600,$B30)="","",INDEX('Master Database'!$T$1:$T$600,$B30)))</f>
        <v>Crude Oil</v>
      </c>
      <c r="Q30" s="68" t="n">
        <f aca="false">IF($B30="","",IF(INDEX('Master Database'!$Y$1:$Y$600,$B30)="","",INDEX('Master Database'!$Y$1:$Y$600,$B30)))</f>
        <v>1402</v>
      </c>
      <c r="R30" s="68" t="str">
        <f aca="false">IF($B30="","",IF(INDEX('Master Database'!$Z$1:$Z$600,$B30)="","",INDEX('Master Database'!$Z$1:$Z$600,$B30)))</f>
        <v>EUR</v>
      </c>
      <c r="S30" s="70" t="n">
        <f aca="false">IF($B30="","",IF(INDEX('Master Database'!$AA$1:$AA$600,$B30)="","",INDEX('Master Database'!$AA$1:$AA$600,$B30)))</f>
        <v>385000</v>
      </c>
      <c r="T30" s="68" t="str">
        <f aca="false">IF($B30="","",IF(INDEX('Master Database'!$AE$1:$AE$600,$B30)="","",INDEX('Master Database'!$AE$1:$AE$600,$B30)))</f>
        <v>Consultant basic-design estimate – PEP Rev.1402/05, sheet P.ME «هزینه واحد بدون ضریب»; EUR figure (converted in the PEP at 420,000×1.085 IRR/EUR) | source label: AACE Class 2</v>
      </c>
      <c r="U30" s="70" t="n">
        <f aca="false">IF($B30="","",IF(INDEX('Master Database'!$AG$1:$AG$600,$B30)="","",INDEX('Master Database'!$AG$1:$AG$600,$B30)))</f>
        <v>398446.637764044</v>
      </c>
      <c r="V30" s="70" t="n">
        <f aca="false">IF($B30="","",IF(INDEX('Master Database'!$AH$1:$AH$600,$B30)="","",INDEX('Master Database'!$AH$1:$AH$600,$B30)))</f>
        <v>420673.219026125</v>
      </c>
      <c r="W30" s="70" t="n">
        <f aca="false">IF($B30="","",IF(INDEX('Master Database'!$AI$1:$AI$600,$B30)="","",INDEX('Master Database'!$AI$1:$AI$600,$B30)))</f>
        <v>277027196944.931</v>
      </c>
      <c r="X30" s="68" t="str">
        <f aca="false">IF($B30="","",IF(INDEX('Master Database'!$BG$1:$BG$600,$B30)="","",INDEX('Master Database'!$BG$1:$BG$600,$B30)))</f>
        <v>Y</v>
      </c>
      <c r="BA30" s="65" t="n">
        <f aca="false">IF('Master Database'!$A30="",0,IF(AND(OR($B$5="",ISNUMBER(SEARCH($B$5,'Master Database'!$B30&amp;" "&amp;'Master Database'!$D30))),OR($B$6="(All)",'Master Database'!$C30=$B$6),OR($B$7="(All)",'Master Database'!$E30=$B$7),OR($B$8="(All)",'Master Database'!$T30=$B$8),OR($B$9="(All)",'Master Database'!$M30=$B$9),OR($B$10="(All)",'Master Database'!$V30=$B$10),OR($E$5="(All)",'Master Database'!$F30=$E$5),OR($E$6="(All)",'Master Database'!$G30=$E$6),OR($E$7="(All)",'Master Database'!$O30=$E$7),OR($E$8="(All)",'Master Database'!$P30=$E$8),OR($E$9="(All)",'Master Database'!$S30=$E$9),OR($E$10="(All)",'Master Database'!$Y30&amp;""=$E$10&amp;""),OR($H$5="(All)",'Master Database'!$BG30=$H$5),OR($H$6&lt;&gt;"Y",ISNUMBER('Master Database'!$AG30)),OR($H$7="",AND(ISNUMBER('Master Database'!$H30),N('Master Database'!$H30)&gt;=$H$7)),OR($I$7="",AND(ISNUMBER('Master Database'!$H30),N('Master Database'!$H30)&lt;=$I$7)),OR($H$8="",AND(ISNUMBER('Master Database'!$I30),N('Master Database'!$I30)&gt;=$H$8)),OR($I$8="",AND(ISNUMBER('Master Database'!$I30),N('Master Database'!$I30)&lt;=$I$8)),OR($H$9="",AND(ISNUMBER('Master Database'!$K30),N('Master Database'!$K30)&gt;=$H$9)),OR($I$9="",AND(ISNUMBER('Master Database'!$K30),N('Master Database'!$K30)&lt;=$I$9))),1,0))</f>
        <v>1</v>
      </c>
      <c r="BB30" s="65" t="n">
        <f aca="false">IF(BA30=1,COUNTIF($BA$5:BA30,1),"")</f>
        <v>26</v>
      </c>
    </row>
    <row r="31" customFormat="false" ht="15" hidden="false" customHeight="false" outlineLevel="0" collapsed="false">
      <c r="A31" s="67" t="n">
        <f aca="false">IF(16&lt;=SUM($BA$5:$BA$600),16,"")</f>
        <v>16</v>
      </c>
      <c r="B31" s="67" t="n">
        <f aca="false">IF(A31="","",MATCH(A31,$BB$5:$BB$600,0)+4)</f>
        <v>20</v>
      </c>
      <c r="C31" s="67" t="n">
        <f aca="false">IF($B31="","",IF(INDEX('Master Database'!$A$1:$A$600,$B31)="","",INDEX('Master Database'!$A$1:$A$600,$B31)))</f>
        <v>16</v>
      </c>
      <c r="D31" s="68" t="str">
        <f aca="false">IF($B31="","",IF(INDEX('Master Database'!$B$1:$B$600,$B31)="","",INDEX('Master Database'!$B$1:$B$600,$B31)))</f>
        <v>AUXILLIARY TRANSFER PUMPS</v>
      </c>
      <c r="E31" s="68" t="str">
        <f aca="false">IF($B31="","",IF(INDEX('Master Database'!$C$1:$C$600,$B31)="","",INDEX('Master Database'!$C$1:$C$600,$B31)))</f>
        <v>Gachsaran 4</v>
      </c>
      <c r="F31" s="68" t="str">
        <f aca="false">IF($B31="","",IF(INDEX('Master Database'!$D$1:$D$600,$B31)="","",INDEX('Master Database'!$D$1:$D$600,$B31)))</f>
        <v>P-002-A/B</v>
      </c>
      <c r="G31" s="68" t="str">
        <f aca="false">IF($B31="","",IF(INDEX('Master Database'!$E$1:$E$600,$B31)="","",INDEX('Master Database'!$E$1:$E$600,$B31)))</f>
        <v>ROT-CRU</v>
      </c>
      <c r="H31" s="68" t="str">
        <f aca="false">IF($B31="","",IF(INDEX('Master Database'!$F$1:$F$600,$B31)="","",INDEX('Master Database'!$F$1:$F$600,$B31)))</f>
        <v>Not stated</v>
      </c>
      <c r="I31" s="68" t="str">
        <f aca="false">IF($B31="","",IF(INDEX('Master Database'!$G$1:$G$600,$B31)="","",INDEX('Master Database'!$G$1:$G$600,$B31)))</f>
        <v>Not stated</v>
      </c>
      <c r="J31" s="69" t="n">
        <f aca="false">IF($B31="","",IF(INDEX('Master Database'!$H$1:$H$600,$B31)="","",INDEX('Master Database'!$H$1:$H$600,$B31)))</f>
        <v>250</v>
      </c>
      <c r="K31" s="69" t="str">
        <f aca="false">IF($B31="","",IF(INDEX('Master Database'!$I$1:$I$600,$B31)="","",INDEX('Master Database'!$I$1:$I$600,$B31)))</f>
        <v/>
      </c>
      <c r="L31" s="69" t="n">
        <f aca="false">IF($B31="","",IF(INDEX('Master Database'!$K$1:$K$600,$B31)="","",INDEX('Master Database'!$K$1:$K$600,$B31)))</f>
        <v>108.1</v>
      </c>
      <c r="M31" s="68" t="str">
        <f aca="false">IF($B31="","",IF(INDEX('Master Database'!$L$1:$L$600,$B31)="","",INDEX('Master Database'!$L$1:$L$600,$B31)))</f>
        <v>Not stated</v>
      </c>
      <c r="N31" s="68" t="str">
        <f aca="false">IF($B31="","",IF(INDEX('Master Database'!$P$1:$P$600,$B31)="","",INDEX('Master Database'!$P$1:$P$600,$B31)))</f>
        <v>Not stated</v>
      </c>
      <c r="O31" s="68" t="str">
        <f aca="false">IF($B31="","",IF(INDEX('Master Database'!$S$1:$S$600,$B31)="","",INDEX('Master Database'!$S$1:$S$600,$B31)))</f>
        <v>Electric Motor</v>
      </c>
      <c r="P31" s="68" t="str">
        <f aca="false">IF($B31="","",IF(INDEX('Master Database'!$T$1:$T$600,$B31)="","",INDEX('Master Database'!$T$1:$T$600,$B31)))</f>
        <v>Crude Oil</v>
      </c>
      <c r="Q31" s="68" t="n">
        <f aca="false">IF($B31="","",IF(INDEX('Master Database'!$Y$1:$Y$600,$B31)="","",INDEX('Master Database'!$Y$1:$Y$600,$B31)))</f>
        <v>1402</v>
      </c>
      <c r="R31" s="68" t="str">
        <f aca="false">IF($B31="","",IF(INDEX('Master Database'!$Z$1:$Z$600,$B31)="","",INDEX('Master Database'!$Z$1:$Z$600,$B31)))</f>
        <v>EUR</v>
      </c>
      <c r="S31" s="70" t="n">
        <f aca="false">IF($B31="","",IF(INDEX('Master Database'!$AA$1:$AA$600,$B31)="","",INDEX('Master Database'!$AA$1:$AA$600,$B31)))</f>
        <v>135000</v>
      </c>
      <c r="T31" s="68" t="str">
        <f aca="false">IF($B31="","",IF(INDEX('Master Database'!$AE$1:$AE$600,$B31)="","",INDEX('Master Database'!$AE$1:$AE$600,$B31)))</f>
        <v>Consultant basic-design estimate – PEP Rev.1402/05, sheet P.ME «هزینه واحد بدون ضریب»; EUR figure (converted in the PEP at 420,000×1.085 IRR/EUR) | source label: AACE Class 2</v>
      </c>
      <c r="U31" s="70" t="n">
        <f aca="false">IF($B31="","",IF(INDEX('Master Database'!$AG$1:$AG$600,$B31)="","",INDEX('Master Database'!$AG$1:$AG$600,$B31)))</f>
        <v>139715.054800379</v>
      </c>
      <c r="V31" s="70" t="n">
        <f aca="false">IF($B31="","",IF(INDEX('Master Database'!$AH$1:$AH$600,$B31)="","",INDEX('Master Database'!$AH$1:$AH$600,$B31)))</f>
        <v>147508.791087083</v>
      </c>
      <c r="W31" s="70" t="n">
        <f aca="false">IF($B31="","",IF(INDEX('Master Database'!$AI$1:$AI$600,$B31)="","",INDEX('Master Database'!$AI$1:$AI$600,$B31)))</f>
        <v>97139406720.9499</v>
      </c>
      <c r="X31" s="68" t="str">
        <f aca="false">IF($B31="","",IF(INDEX('Master Database'!$BG$1:$BG$600,$B31)="","",INDEX('Master Database'!$BG$1:$BG$600,$B31)))</f>
        <v>Y</v>
      </c>
      <c r="BA31" s="65" t="n">
        <f aca="false">IF('Master Database'!$A31="",0,IF(AND(OR($B$5="",ISNUMBER(SEARCH($B$5,'Master Database'!$B31&amp;" "&amp;'Master Database'!$D31))),OR($B$6="(All)",'Master Database'!$C31=$B$6),OR($B$7="(All)",'Master Database'!$E31=$B$7),OR($B$8="(All)",'Master Database'!$T31=$B$8),OR($B$9="(All)",'Master Database'!$M31=$B$9),OR($B$10="(All)",'Master Database'!$V31=$B$10),OR($E$5="(All)",'Master Database'!$F31=$E$5),OR($E$6="(All)",'Master Database'!$G31=$E$6),OR($E$7="(All)",'Master Database'!$O31=$E$7),OR($E$8="(All)",'Master Database'!$P31=$E$8),OR($E$9="(All)",'Master Database'!$S31=$E$9),OR($E$10="(All)",'Master Database'!$Y31&amp;""=$E$10&amp;""),OR($H$5="(All)",'Master Database'!$BG31=$H$5),OR($H$6&lt;&gt;"Y",ISNUMBER('Master Database'!$AG31)),OR($H$7="",AND(ISNUMBER('Master Database'!$H31),N('Master Database'!$H31)&gt;=$H$7)),OR($I$7="",AND(ISNUMBER('Master Database'!$H31),N('Master Database'!$H31)&lt;=$I$7)),OR($H$8="",AND(ISNUMBER('Master Database'!$I31),N('Master Database'!$I31)&gt;=$H$8)),OR($I$8="",AND(ISNUMBER('Master Database'!$I31),N('Master Database'!$I31)&lt;=$I$8)),OR($H$9="",AND(ISNUMBER('Master Database'!$K31),N('Master Database'!$K31)&gt;=$H$9)),OR($I$9="",AND(ISNUMBER('Master Database'!$K31),N('Master Database'!$K31)&lt;=$I$9))),1,0))</f>
        <v>1</v>
      </c>
      <c r="BB31" s="65" t="n">
        <f aca="false">IF(BA31=1,COUNTIF($BA$5:BA31,1),"")</f>
        <v>27</v>
      </c>
    </row>
    <row r="32" customFormat="false" ht="15" hidden="false" customHeight="false" outlineLevel="0" collapsed="false">
      <c r="A32" s="67" t="n">
        <f aca="false">IF(17&lt;=SUM($BA$5:$BA$600),17,"")</f>
        <v>17</v>
      </c>
      <c r="B32" s="67" t="n">
        <f aca="false">IF(A32="","",MATCH(A32,$BB$5:$BB$600,0)+4)</f>
        <v>21</v>
      </c>
      <c r="C32" s="67" t="n">
        <f aca="false">IF($B32="","",IF(INDEX('Master Database'!$A$1:$A$600,$B32)="","",INDEX('Master Database'!$A$1:$A$600,$B32)))</f>
        <v>17</v>
      </c>
      <c r="D32" s="68" t="str">
        <f aca="false">IF($B32="","",IF(INDEX('Master Database'!$B$1:$B$600,$B32)="","",INDEX('Master Database'!$B$1:$B$600,$B32)))</f>
        <v>OFF-SPEC PUMPS</v>
      </c>
      <c r="E32" s="68" t="str">
        <f aca="false">IF($B32="","",IF(INDEX('Master Database'!$C$1:$C$600,$B32)="","",INDEX('Master Database'!$C$1:$C$600,$B32)))</f>
        <v>Gachsaran 4</v>
      </c>
      <c r="F32" s="68" t="str">
        <f aca="false">IF($B32="","",IF(INDEX('Master Database'!$D$1:$D$600,$B32)="","",INDEX('Master Database'!$D$1:$D$600,$B32)))</f>
        <v>P-003-A/B</v>
      </c>
      <c r="G32" s="68" t="str">
        <f aca="false">IF($B32="","",IF(INDEX('Master Database'!$E$1:$E$600,$B32)="","",INDEX('Master Database'!$E$1:$E$600,$B32)))</f>
        <v>ROT-CRU</v>
      </c>
      <c r="H32" s="68" t="str">
        <f aca="false">IF($B32="","",IF(INDEX('Master Database'!$F$1:$F$600,$B32)="","",INDEX('Master Database'!$F$1:$F$600,$B32)))</f>
        <v>Not stated</v>
      </c>
      <c r="I32" s="68" t="str">
        <f aca="false">IF($B32="","",IF(INDEX('Master Database'!$G$1:$G$600,$B32)="","",INDEX('Master Database'!$G$1:$G$600,$B32)))</f>
        <v>Not stated</v>
      </c>
      <c r="J32" s="69" t="n">
        <f aca="false">IF($B32="","",IF(INDEX('Master Database'!$H$1:$H$600,$B32)="","",INDEX('Master Database'!$H$1:$H$600,$B32)))</f>
        <v>100</v>
      </c>
      <c r="K32" s="69" t="str">
        <f aca="false">IF($B32="","",IF(INDEX('Master Database'!$I$1:$I$600,$B32)="","",INDEX('Master Database'!$I$1:$I$600,$B32)))</f>
        <v/>
      </c>
      <c r="L32" s="69" t="n">
        <f aca="false">IF($B32="","",IF(INDEX('Master Database'!$K$1:$K$600,$B32)="","",INDEX('Master Database'!$K$1:$K$600,$B32)))</f>
        <v>44.2</v>
      </c>
      <c r="M32" s="68" t="str">
        <f aca="false">IF($B32="","",IF(INDEX('Master Database'!$L$1:$L$600,$B32)="","",INDEX('Master Database'!$L$1:$L$600,$B32)))</f>
        <v>Not stated</v>
      </c>
      <c r="N32" s="68" t="str">
        <f aca="false">IF($B32="","",IF(INDEX('Master Database'!$P$1:$P$600,$B32)="","",INDEX('Master Database'!$P$1:$P$600,$B32)))</f>
        <v>Not stated</v>
      </c>
      <c r="O32" s="68" t="str">
        <f aca="false">IF($B32="","",IF(INDEX('Master Database'!$S$1:$S$600,$B32)="","",INDEX('Master Database'!$S$1:$S$600,$B32)))</f>
        <v>Electric Motor</v>
      </c>
      <c r="P32" s="68" t="str">
        <f aca="false">IF($B32="","",IF(INDEX('Master Database'!$T$1:$T$600,$B32)="","",INDEX('Master Database'!$T$1:$T$600,$B32)))</f>
        <v>Crude Oil</v>
      </c>
      <c r="Q32" s="68" t="n">
        <f aca="false">IF($B32="","",IF(INDEX('Master Database'!$Y$1:$Y$600,$B32)="","",INDEX('Master Database'!$Y$1:$Y$600,$B32)))</f>
        <v>1402</v>
      </c>
      <c r="R32" s="68" t="str">
        <f aca="false">IF($B32="","",IF(INDEX('Master Database'!$Z$1:$Z$600,$B32)="","",INDEX('Master Database'!$Z$1:$Z$600,$B32)))</f>
        <v>EUR</v>
      </c>
      <c r="S32" s="70" t="n">
        <f aca="false">IF($B32="","",IF(INDEX('Master Database'!$AA$1:$AA$600,$B32)="","",INDEX('Master Database'!$AA$1:$AA$600,$B32)))</f>
        <v>140000</v>
      </c>
      <c r="T32" s="68" t="str">
        <f aca="false">IF($B32="","",IF(INDEX('Master Database'!$AE$1:$AE$600,$B32)="","",INDEX('Master Database'!$AE$1:$AE$600,$B32)))</f>
        <v>Consultant basic-design estimate – PEP Rev.1402/05, sheet P.ME «هزینه واحد بدون ضریب»; EUR figure (converted in the PEP at 420,000×1.085 IRR/EUR) | source label: AACE Class 2</v>
      </c>
      <c r="U32" s="70" t="n">
        <f aca="false">IF($B32="","",IF(INDEX('Master Database'!$AG$1:$AG$600,$B32)="","",INDEX('Master Database'!$AG$1:$AG$600,$B32)))</f>
        <v>144889.686459652</v>
      </c>
      <c r="V32" s="70" t="n">
        <f aca="false">IF($B32="","",IF(INDEX('Master Database'!$AH$1:$AH$600,$B32)="","",INDEX('Master Database'!$AH$1:$AH$600,$B32)))</f>
        <v>152972.079645864</v>
      </c>
      <c r="W32" s="70" t="n">
        <f aca="false">IF($B32="","",IF(INDEX('Master Database'!$AI$1:$AI$600,$B32)="","",INDEX('Master Database'!$AI$1:$AI$600,$B32)))</f>
        <v>100737162525.43</v>
      </c>
      <c r="X32" s="68" t="str">
        <f aca="false">IF($B32="","",IF(INDEX('Master Database'!$BG$1:$BG$600,$B32)="","",INDEX('Master Database'!$BG$1:$BG$600,$B32)))</f>
        <v>Y</v>
      </c>
      <c r="BA32" s="65" t="n">
        <f aca="false">IF('Master Database'!$A32="",0,IF(AND(OR($B$5="",ISNUMBER(SEARCH($B$5,'Master Database'!$B32&amp;" "&amp;'Master Database'!$D32))),OR($B$6="(All)",'Master Database'!$C32=$B$6),OR($B$7="(All)",'Master Database'!$E32=$B$7),OR($B$8="(All)",'Master Database'!$T32=$B$8),OR($B$9="(All)",'Master Database'!$M32=$B$9),OR($B$10="(All)",'Master Database'!$V32=$B$10),OR($E$5="(All)",'Master Database'!$F32=$E$5),OR($E$6="(All)",'Master Database'!$G32=$E$6),OR($E$7="(All)",'Master Database'!$O32=$E$7),OR($E$8="(All)",'Master Database'!$P32=$E$8),OR($E$9="(All)",'Master Database'!$S32=$E$9),OR($E$10="(All)",'Master Database'!$Y32&amp;""=$E$10&amp;""),OR($H$5="(All)",'Master Database'!$BG32=$H$5),OR($H$6&lt;&gt;"Y",ISNUMBER('Master Database'!$AG32)),OR($H$7="",AND(ISNUMBER('Master Database'!$H32),N('Master Database'!$H32)&gt;=$H$7)),OR($I$7="",AND(ISNUMBER('Master Database'!$H32),N('Master Database'!$H32)&lt;=$I$7)),OR($H$8="",AND(ISNUMBER('Master Database'!$I32),N('Master Database'!$I32)&gt;=$H$8)),OR($I$8="",AND(ISNUMBER('Master Database'!$I32),N('Master Database'!$I32)&lt;=$I$8)),OR($H$9="",AND(ISNUMBER('Master Database'!$K32),N('Master Database'!$K32)&gt;=$H$9)),OR($I$9="",AND(ISNUMBER('Master Database'!$K32),N('Master Database'!$K32)&lt;=$I$9))),1,0))</f>
        <v>1</v>
      </c>
      <c r="BB32" s="65" t="n">
        <f aca="false">IF(BA32=1,COUNTIF($BA$5:BA32,1),"")</f>
        <v>28</v>
      </c>
    </row>
    <row r="33" customFormat="false" ht="15" hidden="false" customHeight="false" outlineLevel="0" collapsed="false">
      <c r="A33" s="67" t="n">
        <f aca="false">IF(18&lt;=SUM($BA$5:$BA$600),18,"")</f>
        <v>18</v>
      </c>
      <c r="B33" s="67" t="n">
        <f aca="false">IF(A33="","",MATCH(A33,$BB$5:$BB$600,0)+4)</f>
        <v>22</v>
      </c>
      <c r="C33" s="67" t="n">
        <f aca="false">IF($B33="","",IF(INDEX('Master Database'!$A$1:$A$600,$B33)="","",INDEX('Master Database'!$A$1:$A$600,$B33)))</f>
        <v>18</v>
      </c>
      <c r="D33" s="68" t="str">
        <f aca="false">IF($B33="","",IF(INDEX('Master Database'!$B$1:$B$600,$B33)="","",INDEX('Master Database'!$B$1:$B$600,$B33)))</f>
        <v>DEGASSING WATER  PUMPS</v>
      </c>
      <c r="E33" s="68" t="str">
        <f aca="false">IF($B33="","",IF(INDEX('Master Database'!$C$1:$C$600,$B33)="","",INDEX('Master Database'!$C$1:$C$600,$B33)))</f>
        <v>Gachsaran 4</v>
      </c>
      <c r="F33" s="68" t="str">
        <f aca="false">IF($B33="","",IF(INDEX('Master Database'!$D$1:$D$600,$B33)="","",INDEX('Master Database'!$D$1:$D$600,$B33)))</f>
        <v>P-005-A/B</v>
      </c>
      <c r="G33" s="68" t="str">
        <f aca="false">IF($B33="","",IF(INDEX('Master Database'!$E$1:$E$600,$B33)="","",INDEX('Master Database'!$E$1:$E$600,$B33)))</f>
        <v>ROT-WAT</v>
      </c>
      <c r="H33" s="68" t="str">
        <f aca="false">IF($B33="","",IF(INDEX('Master Database'!$F$1:$F$600,$B33)="","",INDEX('Master Database'!$F$1:$F$600,$B33)))</f>
        <v>Not stated</v>
      </c>
      <c r="I33" s="68" t="str">
        <f aca="false">IF($B33="","",IF(INDEX('Master Database'!$G$1:$G$600,$B33)="","",INDEX('Master Database'!$G$1:$G$600,$B33)))</f>
        <v>Not stated</v>
      </c>
      <c r="J33" s="69" t="n">
        <f aca="false">IF($B33="","",IF(INDEX('Master Database'!$H$1:$H$600,$B33)="","",INDEX('Master Database'!$H$1:$H$600,$B33)))</f>
        <v>30</v>
      </c>
      <c r="K33" s="69" t="str">
        <f aca="false">IF($B33="","",IF(INDEX('Master Database'!$I$1:$I$600,$B33)="","",INDEX('Master Database'!$I$1:$I$600,$B33)))</f>
        <v/>
      </c>
      <c r="L33" s="69" t="n">
        <f aca="false">IF($B33="","",IF(INDEX('Master Database'!$K$1:$K$600,$B33)="","",INDEX('Master Database'!$K$1:$K$600,$B33)))</f>
        <v>2.7</v>
      </c>
      <c r="M33" s="68" t="str">
        <f aca="false">IF($B33="","",IF(INDEX('Master Database'!$L$1:$L$600,$B33)="","",INDEX('Master Database'!$L$1:$L$600,$B33)))</f>
        <v>Not stated</v>
      </c>
      <c r="N33" s="68" t="str">
        <f aca="false">IF($B33="","",IF(INDEX('Master Database'!$P$1:$P$600,$B33)="","",INDEX('Master Database'!$P$1:$P$600,$B33)))</f>
        <v>Not stated</v>
      </c>
      <c r="O33" s="68" t="str">
        <f aca="false">IF($B33="","",IF(INDEX('Master Database'!$S$1:$S$600,$B33)="","",INDEX('Master Database'!$S$1:$S$600,$B33)))</f>
        <v>Electric Motor</v>
      </c>
      <c r="P33" s="68" t="str">
        <f aca="false">IF($B33="","",IF(INDEX('Master Database'!$T$1:$T$600,$B33)="","",INDEX('Master Database'!$T$1:$T$600,$B33)))</f>
        <v>Process / Dilution Water</v>
      </c>
      <c r="Q33" s="68" t="n">
        <f aca="false">IF($B33="","",IF(INDEX('Master Database'!$Y$1:$Y$600,$B33)="","",INDEX('Master Database'!$Y$1:$Y$600,$B33)))</f>
        <v>1402</v>
      </c>
      <c r="R33" s="68" t="str">
        <f aca="false">IF($B33="","",IF(INDEX('Master Database'!$Z$1:$Z$600,$B33)="","",INDEX('Master Database'!$Z$1:$Z$600,$B33)))</f>
        <v>EUR</v>
      </c>
      <c r="S33" s="70" t="n">
        <f aca="false">IF($B33="","",IF(INDEX('Master Database'!$AA$1:$AA$600,$B33)="","",INDEX('Master Database'!$AA$1:$AA$600,$B33)))</f>
        <v>34000</v>
      </c>
      <c r="T33" s="68" t="str">
        <f aca="false">IF($B33="","",IF(INDEX('Master Database'!$AE$1:$AE$600,$B33)="","",INDEX('Master Database'!$AE$1:$AE$600,$B33)))</f>
        <v>Consultant basic-design estimate – PEP Rev.1402/05, sheet P.ME «هزینه واحد بدون ضریب»; EUR figure (converted in the PEP at 420,000×1.085 IRR/EUR) | source label: AACE Class 2</v>
      </c>
      <c r="U33" s="70" t="n">
        <f aca="false">IF($B33="","",IF(INDEX('Master Database'!$AG$1:$AG$600,$B33)="","",INDEX('Master Database'!$AG$1:$AG$600,$B33)))</f>
        <v>35187.4952830584</v>
      </c>
      <c r="V33" s="70" t="n">
        <f aca="false">IF($B33="","",IF(INDEX('Master Database'!$AH$1:$AH$600,$B33)="","",INDEX('Master Database'!$AH$1:$AH$600,$B33)))</f>
        <v>37150.3621997098</v>
      </c>
      <c r="W33" s="70" t="n">
        <f aca="false">IF($B33="","",IF(INDEX('Master Database'!$AI$1:$AI$600,$B33)="","",INDEX('Master Database'!$AI$1:$AI$600,$B33)))</f>
        <v>24464739470.4615</v>
      </c>
      <c r="X33" s="68" t="str">
        <f aca="false">IF($B33="","",IF(INDEX('Master Database'!$BG$1:$BG$600,$B33)="","",INDEX('Master Database'!$BG$1:$BG$600,$B33)))</f>
        <v>Y</v>
      </c>
      <c r="BA33" s="65" t="n">
        <f aca="false">IF('Master Database'!$A33="",0,IF(AND(OR($B$5="",ISNUMBER(SEARCH($B$5,'Master Database'!$B33&amp;" "&amp;'Master Database'!$D33))),OR($B$6="(All)",'Master Database'!$C33=$B$6),OR($B$7="(All)",'Master Database'!$E33=$B$7),OR($B$8="(All)",'Master Database'!$T33=$B$8),OR($B$9="(All)",'Master Database'!$M33=$B$9),OR($B$10="(All)",'Master Database'!$V33=$B$10),OR($E$5="(All)",'Master Database'!$F33=$E$5),OR($E$6="(All)",'Master Database'!$G33=$E$6),OR($E$7="(All)",'Master Database'!$O33=$E$7),OR($E$8="(All)",'Master Database'!$P33=$E$8),OR($E$9="(All)",'Master Database'!$S33=$E$9),OR($E$10="(All)",'Master Database'!$Y33&amp;""=$E$10&amp;""),OR($H$5="(All)",'Master Database'!$BG33=$H$5),OR($H$6&lt;&gt;"Y",ISNUMBER('Master Database'!$AG33)),OR($H$7="",AND(ISNUMBER('Master Database'!$H33),N('Master Database'!$H33)&gt;=$H$7)),OR($I$7="",AND(ISNUMBER('Master Database'!$H33),N('Master Database'!$H33)&lt;=$I$7)),OR($H$8="",AND(ISNUMBER('Master Database'!$I33),N('Master Database'!$I33)&gt;=$H$8)),OR($I$8="",AND(ISNUMBER('Master Database'!$I33),N('Master Database'!$I33)&lt;=$I$8)),OR($H$9="",AND(ISNUMBER('Master Database'!$K33),N('Master Database'!$K33)&gt;=$H$9)),OR($I$9="",AND(ISNUMBER('Master Database'!$K33),N('Master Database'!$K33)&lt;=$I$9))),1,0))</f>
        <v>1</v>
      </c>
      <c r="BB33" s="65" t="n">
        <f aca="false">IF(BA33=1,COUNTIF($BA$5:BA33,1),"")</f>
        <v>29</v>
      </c>
    </row>
    <row r="34" customFormat="false" ht="15" hidden="false" customHeight="false" outlineLevel="0" collapsed="false">
      <c r="A34" s="67" t="n">
        <f aca="false">IF(19&lt;=SUM($BA$5:$BA$600),19,"")</f>
        <v>19</v>
      </c>
      <c r="B34" s="67" t="n">
        <f aca="false">IF(A34="","",MATCH(A34,$BB$5:$BB$600,0)+4)</f>
        <v>23</v>
      </c>
      <c r="C34" s="67" t="n">
        <f aca="false">IF($B34="","",IF(INDEX('Master Database'!$A$1:$A$600,$B34)="","",INDEX('Master Database'!$A$1:$A$600,$B34)))</f>
        <v>19</v>
      </c>
      <c r="D34" s="68" t="str">
        <f aca="false">IF($B34="","",IF(INDEX('Master Database'!$B$1:$B$600,$B34)="","",INDEX('Master Database'!$B$1:$B$600,$B34)))</f>
        <v>DILUTION WATER PUMPS</v>
      </c>
      <c r="E34" s="68" t="str">
        <f aca="false">IF($B34="","",IF(INDEX('Master Database'!$C$1:$C$600,$B34)="","",INDEX('Master Database'!$C$1:$C$600,$B34)))</f>
        <v>Gachsaran 4</v>
      </c>
      <c r="F34" s="68" t="str">
        <f aca="false">IF($B34="","",IF(INDEX('Master Database'!$D$1:$D$600,$B34)="","",INDEX('Master Database'!$D$1:$D$600,$B34)))</f>
        <v>P-103</v>
      </c>
      <c r="G34" s="68" t="str">
        <f aca="false">IF($B34="","",IF(INDEX('Master Database'!$E$1:$E$600,$B34)="","",INDEX('Master Database'!$E$1:$E$600,$B34)))</f>
        <v>ROT-WAT</v>
      </c>
      <c r="H34" s="68" t="str">
        <f aca="false">IF($B34="","",IF(INDEX('Master Database'!$F$1:$F$600,$B34)="","",INDEX('Master Database'!$F$1:$F$600,$B34)))</f>
        <v>Not stated</v>
      </c>
      <c r="I34" s="68" t="str">
        <f aca="false">IF($B34="","",IF(INDEX('Master Database'!$G$1:$G$600,$B34)="","",INDEX('Master Database'!$G$1:$G$600,$B34)))</f>
        <v>Not stated</v>
      </c>
      <c r="J34" s="69" t="n">
        <f aca="false">IF($B34="","",IF(INDEX('Master Database'!$H$1:$H$600,$B34)="","",INDEX('Master Database'!$H$1:$H$600,$B34)))</f>
        <v>40</v>
      </c>
      <c r="K34" s="69" t="str">
        <f aca="false">IF($B34="","",IF(INDEX('Master Database'!$I$1:$I$600,$B34)="","",INDEX('Master Database'!$I$1:$I$600,$B34)))</f>
        <v/>
      </c>
      <c r="L34" s="69" t="n">
        <f aca="false">IF($B34="","",IF(INDEX('Master Database'!$K$1:$K$600,$B34)="","",INDEX('Master Database'!$K$1:$K$600,$B34)))</f>
        <v>12</v>
      </c>
      <c r="M34" s="68" t="str">
        <f aca="false">IF($B34="","",IF(INDEX('Master Database'!$L$1:$L$600,$B34)="","",INDEX('Master Database'!$L$1:$L$600,$B34)))</f>
        <v>Not stated</v>
      </c>
      <c r="N34" s="68" t="str">
        <f aca="false">IF($B34="","",IF(INDEX('Master Database'!$P$1:$P$600,$B34)="","",INDEX('Master Database'!$P$1:$P$600,$B34)))</f>
        <v>Not stated</v>
      </c>
      <c r="O34" s="68" t="str">
        <f aca="false">IF($B34="","",IF(INDEX('Master Database'!$S$1:$S$600,$B34)="","",INDEX('Master Database'!$S$1:$S$600,$B34)))</f>
        <v>Electric Motor</v>
      </c>
      <c r="P34" s="68" t="str">
        <f aca="false">IF($B34="","",IF(INDEX('Master Database'!$T$1:$T$600,$B34)="","",INDEX('Master Database'!$T$1:$T$600,$B34)))</f>
        <v>Process / Dilution Water</v>
      </c>
      <c r="Q34" s="68" t="n">
        <f aca="false">IF($B34="","",IF(INDEX('Master Database'!$Y$1:$Y$600,$B34)="","",INDEX('Master Database'!$Y$1:$Y$600,$B34)))</f>
        <v>1402</v>
      </c>
      <c r="R34" s="68" t="str">
        <f aca="false">IF($B34="","",IF(INDEX('Master Database'!$Z$1:$Z$600,$B34)="","",INDEX('Master Database'!$Z$1:$Z$600,$B34)))</f>
        <v>EUR</v>
      </c>
      <c r="S34" s="70" t="n">
        <f aca="false">IF($B34="","",IF(INDEX('Master Database'!$AA$1:$AA$600,$B34)="","",INDEX('Master Database'!$AA$1:$AA$600,$B34)))</f>
        <v>29000</v>
      </c>
      <c r="T34" s="68" t="str">
        <f aca="false">IF($B34="","",IF(INDEX('Master Database'!$AE$1:$AE$600,$B34)="","",INDEX('Master Database'!$AE$1:$AE$600,$B34)))</f>
        <v>Consultant basic-design estimate – PEP Rev.1402/05, sheet P.ME «هزینه واحد بدون ضریب»; EUR figure (converted in the PEP at 420,000×1.085 IRR/EUR) | source label: AACE Class 2</v>
      </c>
      <c r="U34" s="70" t="n">
        <f aca="false">IF($B34="","",IF(INDEX('Master Database'!$AG$1:$AG$600,$B34)="","",INDEX('Master Database'!$AG$1:$AG$600,$B34)))</f>
        <v>30012.8636237851</v>
      </c>
      <c r="V34" s="70" t="n">
        <f aca="false">IF($B34="","",IF(INDEX('Master Database'!$AH$1:$AH$600,$B34)="","",INDEX('Master Database'!$AH$1:$AH$600,$B34)))</f>
        <v>31687.0736409289</v>
      </c>
      <c r="W34" s="70" t="n">
        <f aca="false">IF($B34="","",IF(INDEX('Master Database'!$AI$1:$AI$600,$B34)="","",INDEX('Master Database'!$AI$1:$AI$600,$B34)))</f>
        <v>20866983665.9818</v>
      </c>
      <c r="X34" s="68" t="str">
        <f aca="false">IF($B34="","",IF(INDEX('Master Database'!$BG$1:$BG$600,$B34)="","",INDEX('Master Database'!$BG$1:$BG$600,$B34)))</f>
        <v>Y</v>
      </c>
      <c r="BA34" s="65" t="n">
        <f aca="false">IF('Master Database'!$A34="",0,IF(AND(OR($B$5="",ISNUMBER(SEARCH($B$5,'Master Database'!$B34&amp;" "&amp;'Master Database'!$D34))),OR($B$6="(All)",'Master Database'!$C34=$B$6),OR($B$7="(All)",'Master Database'!$E34=$B$7),OR($B$8="(All)",'Master Database'!$T34=$B$8),OR($B$9="(All)",'Master Database'!$M34=$B$9),OR($B$10="(All)",'Master Database'!$V34=$B$10),OR($E$5="(All)",'Master Database'!$F34=$E$5),OR($E$6="(All)",'Master Database'!$G34=$E$6),OR($E$7="(All)",'Master Database'!$O34=$E$7),OR($E$8="(All)",'Master Database'!$P34=$E$8),OR($E$9="(All)",'Master Database'!$S34=$E$9),OR($E$10="(All)",'Master Database'!$Y34&amp;""=$E$10&amp;""),OR($H$5="(All)",'Master Database'!$BG34=$H$5),OR($H$6&lt;&gt;"Y",ISNUMBER('Master Database'!$AG34)),OR($H$7="",AND(ISNUMBER('Master Database'!$H34),N('Master Database'!$H34)&gt;=$H$7)),OR($I$7="",AND(ISNUMBER('Master Database'!$H34),N('Master Database'!$H34)&lt;=$I$7)),OR($H$8="",AND(ISNUMBER('Master Database'!$I34),N('Master Database'!$I34)&gt;=$H$8)),OR($I$8="",AND(ISNUMBER('Master Database'!$I34),N('Master Database'!$I34)&lt;=$I$8)),OR($H$9="",AND(ISNUMBER('Master Database'!$K34),N('Master Database'!$K34)&gt;=$H$9)),OR($I$9="",AND(ISNUMBER('Master Database'!$K34),N('Master Database'!$K34)&lt;=$I$9))),1,0))</f>
        <v>1</v>
      </c>
      <c r="BB34" s="65" t="n">
        <f aca="false">IF(BA34=1,COUNTIF($BA$5:BA34,1),"")</f>
        <v>30</v>
      </c>
    </row>
    <row r="35" customFormat="false" ht="15" hidden="false" customHeight="false" outlineLevel="0" collapsed="false">
      <c r="A35" s="67" t="n">
        <f aca="false">IF(20&lt;=SUM($BA$5:$BA$600),20,"")</f>
        <v>20</v>
      </c>
      <c r="B35" s="67" t="n">
        <f aca="false">IF(A35="","",MATCH(A35,$BB$5:$BB$600,0)+4)</f>
        <v>24</v>
      </c>
      <c r="C35" s="67" t="n">
        <f aca="false">IF($B35="","",IF(INDEX('Master Database'!$A$1:$A$600,$B35)="","",INDEX('Master Database'!$A$1:$A$600,$B35)))</f>
        <v>20</v>
      </c>
      <c r="D35" s="68" t="str">
        <f aca="false">IF($B35="","",IF(INDEX('Master Database'!$B$1:$B$600,$B35)="","",INDEX('Master Database'!$B$1:$B$600,$B35)))</f>
        <v>DILUTION WATER PUMPS</v>
      </c>
      <c r="E35" s="68" t="str">
        <f aca="false">IF($B35="","",IF(INDEX('Master Database'!$C$1:$C$600,$B35)="","",INDEX('Master Database'!$C$1:$C$600,$B35)))</f>
        <v>Gachsaran 4</v>
      </c>
      <c r="F35" s="68" t="str">
        <f aca="false">IF($B35="","",IF(INDEX('Master Database'!$D$1:$D$600,$B35)="","",INDEX('Master Database'!$D$1:$D$600,$B35)))</f>
        <v>P-106-A1/A2</v>
      </c>
      <c r="G35" s="68" t="str">
        <f aca="false">IF($B35="","",IF(INDEX('Master Database'!$E$1:$E$600,$B35)="","",INDEX('Master Database'!$E$1:$E$600,$B35)))</f>
        <v>ROT-WAT</v>
      </c>
      <c r="H35" s="68" t="str">
        <f aca="false">IF($B35="","",IF(INDEX('Master Database'!$F$1:$F$600,$B35)="","",INDEX('Master Database'!$F$1:$F$600,$B35)))</f>
        <v>Not stated</v>
      </c>
      <c r="I35" s="68" t="str">
        <f aca="false">IF($B35="","",IF(INDEX('Master Database'!$G$1:$G$600,$B35)="","",INDEX('Master Database'!$G$1:$G$600,$B35)))</f>
        <v>Not stated</v>
      </c>
      <c r="J35" s="69" t="n">
        <f aca="false">IF($B35="","",IF(INDEX('Master Database'!$H$1:$H$600,$B35)="","",INDEX('Master Database'!$H$1:$H$600,$B35)))</f>
        <v>20</v>
      </c>
      <c r="K35" s="69" t="str">
        <f aca="false">IF($B35="","",IF(INDEX('Master Database'!$I$1:$I$600,$B35)="","",INDEX('Master Database'!$I$1:$I$600,$B35)))</f>
        <v/>
      </c>
      <c r="L35" s="69" t="n">
        <f aca="false">IF($B35="","",IF(INDEX('Master Database'!$K$1:$K$600,$B35)="","",INDEX('Master Database'!$K$1:$K$600,$B35)))</f>
        <v>6</v>
      </c>
      <c r="M35" s="68" t="str">
        <f aca="false">IF($B35="","",IF(INDEX('Master Database'!$L$1:$L$600,$B35)="","",INDEX('Master Database'!$L$1:$L$600,$B35)))</f>
        <v>Not stated</v>
      </c>
      <c r="N35" s="68" t="str">
        <f aca="false">IF($B35="","",IF(INDEX('Master Database'!$P$1:$P$600,$B35)="","",INDEX('Master Database'!$P$1:$P$600,$B35)))</f>
        <v>Not stated</v>
      </c>
      <c r="O35" s="68" t="str">
        <f aca="false">IF($B35="","",IF(INDEX('Master Database'!$S$1:$S$600,$B35)="","",INDEX('Master Database'!$S$1:$S$600,$B35)))</f>
        <v>Electric Motor</v>
      </c>
      <c r="P35" s="68" t="str">
        <f aca="false">IF($B35="","",IF(INDEX('Master Database'!$T$1:$T$600,$B35)="","",INDEX('Master Database'!$T$1:$T$600,$B35)))</f>
        <v>Process / Dilution Water</v>
      </c>
      <c r="Q35" s="68" t="n">
        <f aca="false">IF($B35="","",IF(INDEX('Master Database'!$Y$1:$Y$600,$B35)="","",INDEX('Master Database'!$Y$1:$Y$600,$B35)))</f>
        <v>1402</v>
      </c>
      <c r="R35" s="68" t="str">
        <f aca="false">IF($B35="","",IF(INDEX('Master Database'!$Z$1:$Z$600,$B35)="","",INDEX('Master Database'!$Z$1:$Z$600,$B35)))</f>
        <v>EUR</v>
      </c>
      <c r="S35" s="70" t="n">
        <f aca="false">IF($B35="","",IF(INDEX('Master Database'!$AA$1:$AA$600,$B35)="","",INDEX('Master Database'!$AA$1:$AA$600,$B35)))</f>
        <v>27500</v>
      </c>
      <c r="T35" s="68" t="str">
        <f aca="false">IF($B35="","",IF(INDEX('Master Database'!$AE$1:$AE$600,$B35)="","",INDEX('Master Database'!$AE$1:$AE$600,$B35)))</f>
        <v>Consultant basic-design estimate – PEP Rev.1402/05, sheet P.ME «هزینه واحد بدون ضریب»; EUR figure (converted in the PEP at 420,000×1.085 IRR/EUR) | source label: AACE Class 2</v>
      </c>
      <c r="U35" s="70" t="n">
        <f aca="false">IF($B35="","",IF(INDEX('Master Database'!$AG$1:$AG$600,$B35)="","",INDEX('Master Database'!$AG$1:$AG$600,$B35)))</f>
        <v>28460.4741260031</v>
      </c>
      <c r="V35" s="70" t="n">
        <f aca="false">IF($B35="","",IF(INDEX('Master Database'!$AH$1:$AH$600,$B35)="","",INDEX('Master Database'!$AH$1:$AH$600,$B35)))</f>
        <v>30048.0870732947</v>
      </c>
      <c r="W35" s="70" t="n">
        <f aca="false">IF($B35="","",IF(INDEX('Master Database'!$AI$1:$AI$600,$B35)="","",INDEX('Master Database'!$AI$1:$AI$600,$B35)))</f>
        <v>19787656924.638</v>
      </c>
      <c r="X35" s="68" t="str">
        <f aca="false">IF($B35="","",IF(INDEX('Master Database'!$BG$1:$BG$600,$B35)="","",INDEX('Master Database'!$BG$1:$BG$600,$B35)))</f>
        <v>Y</v>
      </c>
      <c r="BA35" s="65" t="n">
        <f aca="false">IF('Master Database'!$A35="",0,IF(AND(OR($B$5="",ISNUMBER(SEARCH($B$5,'Master Database'!$B35&amp;" "&amp;'Master Database'!$D35))),OR($B$6="(All)",'Master Database'!$C35=$B$6),OR($B$7="(All)",'Master Database'!$E35=$B$7),OR($B$8="(All)",'Master Database'!$T35=$B$8),OR($B$9="(All)",'Master Database'!$M35=$B$9),OR($B$10="(All)",'Master Database'!$V35=$B$10),OR($E$5="(All)",'Master Database'!$F35=$E$5),OR($E$6="(All)",'Master Database'!$G35=$E$6),OR($E$7="(All)",'Master Database'!$O35=$E$7),OR($E$8="(All)",'Master Database'!$P35=$E$8),OR($E$9="(All)",'Master Database'!$S35=$E$9),OR($E$10="(All)",'Master Database'!$Y35&amp;""=$E$10&amp;""),OR($H$5="(All)",'Master Database'!$BG35=$H$5),OR($H$6&lt;&gt;"Y",ISNUMBER('Master Database'!$AG35)),OR($H$7="",AND(ISNUMBER('Master Database'!$H35),N('Master Database'!$H35)&gt;=$H$7)),OR($I$7="",AND(ISNUMBER('Master Database'!$H35),N('Master Database'!$H35)&lt;=$I$7)),OR($H$8="",AND(ISNUMBER('Master Database'!$I35),N('Master Database'!$I35)&gt;=$H$8)),OR($I$8="",AND(ISNUMBER('Master Database'!$I35),N('Master Database'!$I35)&lt;=$I$8)),OR($H$9="",AND(ISNUMBER('Master Database'!$K35),N('Master Database'!$K35)&gt;=$H$9)),OR($I$9="",AND(ISNUMBER('Master Database'!$K35),N('Master Database'!$K35)&lt;=$I$9))),1,0))</f>
        <v>1</v>
      </c>
      <c r="BB35" s="65" t="n">
        <f aca="false">IF(BA35=1,COUNTIF($BA$5:BA35,1),"")</f>
        <v>31</v>
      </c>
    </row>
    <row r="36" customFormat="false" ht="15" hidden="false" customHeight="false" outlineLevel="0" collapsed="false">
      <c r="A36" s="67" t="n">
        <f aca="false">IF(21&lt;=SUM($BA$5:$BA$600),21,"")</f>
        <v>21</v>
      </c>
      <c r="B36" s="67" t="n">
        <f aca="false">IF(A36="","",MATCH(A36,$BB$5:$BB$600,0)+4)</f>
        <v>25</v>
      </c>
      <c r="C36" s="67" t="n">
        <f aca="false">IF($B36="","",IF(INDEX('Master Database'!$A$1:$A$600,$B36)="","",INDEX('Master Database'!$A$1:$A$600,$B36)))</f>
        <v>21</v>
      </c>
      <c r="D36" s="68" t="str">
        <f aca="false">IF($B36="","",IF(INDEX('Master Database'!$B$1:$B$600,$B36)="","",INDEX('Master Database'!$B$1:$B$600,$B36)))</f>
        <v>DEAERATED WATER PUMPS</v>
      </c>
      <c r="E36" s="68" t="str">
        <f aca="false">IF($B36="","",IF(INDEX('Master Database'!$C$1:$C$600,$B36)="","",INDEX('Master Database'!$C$1:$C$600,$B36)))</f>
        <v>Gachsaran 4</v>
      </c>
      <c r="F36" s="68" t="str">
        <f aca="false">IF($B36="","",IF(INDEX('Master Database'!$D$1:$D$600,$B36)="","",INDEX('Master Database'!$D$1:$D$600,$B36)))</f>
        <v>P-102-A/B</v>
      </c>
      <c r="G36" s="68" t="str">
        <f aca="false">IF($B36="","",IF(INDEX('Master Database'!$E$1:$E$600,$B36)="","",INDEX('Master Database'!$E$1:$E$600,$B36)))</f>
        <v>ROT-WAT</v>
      </c>
      <c r="H36" s="68" t="str">
        <f aca="false">IF($B36="","",IF(INDEX('Master Database'!$F$1:$F$600,$B36)="","",INDEX('Master Database'!$F$1:$F$600,$B36)))</f>
        <v>Not stated</v>
      </c>
      <c r="I36" s="68" t="str">
        <f aca="false">IF($B36="","",IF(INDEX('Master Database'!$G$1:$G$600,$B36)="","",INDEX('Master Database'!$G$1:$G$600,$B36)))</f>
        <v>Not stated</v>
      </c>
      <c r="J36" s="69" t="n">
        <f aca="false">IF($B36="","",IF(INDEX('Master Database'!$H$1:$H$600,$B36)="","",INDEX('Master Database'!$H$1:$H$600,$B36)))</f>
        <v>20</v>
      </c>
      <c r="K36" s="69" t="str">
        <f aca="false">IF($B36="","",IF(INDEX('Master Database'!$I$1:$I$600,$B36)="","",INDEX('Master Database'!$I$1:$I$600,$B36)))</f>
        <v/>
      </c>
      <c r="L36" s="69" t="n">
        <f aca="false">IF($B36="","",IF(INDEX('Master Database'!$K$1:$K$600,$B36)="","",INDEX('Master Database'!$K$1:$K$600,$B36)))</f>
        <v>1.35</v>
      </c>
      <c r="M36" s="68" t="str">
        <f aca="false">IF($B36="","",IF(INDEX('Master Database'!$L$1:$L$600,$B36)="","",INDEX('Master Database'!$L$1:$L$600,$B36)))</f>
        <v>Not stated</v>
      </c>
      <c r="N36" s="68" t="str">
        <f aca="false">IF($B36="","",IF(INDEX('Master Database'!$P$1:$P$600,$B36)="","",INDEX('Master Database'!$P$1:$P$600,$B36)))</f>
        <v>Not stated</v>
      </c>
      <c r="O36" s="68" t="str">
        <f aca="false">IF($B36="","",IF(INDEX('Master Database'!$S$1:$S$600,$B36)="","",INDEX('Master Database'!$S$1:$S$600,$B36)))</f>
        <v>Electric Motor</v>
      </c>
      <c r="P36" s="68" t="str">
        <f aca="false">IF($B36="","",IF(INDEX('Master Database'!$T$1:$T$600,$B36)="","",INDEX('Master Database'!$T$1:$T$600,$B36)))</f>
        <v>Deaerated Water</v>
      </c>
      <c r="Q36" s="68" t="n">
        <f aca="false">IF($B36="","",IF(INDEX('Master Database'!$Y$1:$Y$600,$B36)="","",INDEX('Master Database'!$Y$1:$Y$600,$B36)))</f>
        <v>1402</v>
      </c>
      <c r="R36" s="68" t="str">
        <f aca="false">IF($B36="","",IF(INDEX('Master Database'!$Z$1:$Z$600,$B36)="","",INDEX('Master Database'!$Z$1:$Z$600,$B36)))</f>
        <v>EUR</v>
      </c>
      <c r="S36" s="70" t="n">
        <f aca="false">IF($B36="","",IF(INDEX('Master Database'!$AA$1:$AA$600,$B36)="","",INDEX('Master Database'!$AA$1:$AA$600,$B36)))</f>
        <v>15000</v>
      </c>
      <c r="T36" s="68" t="str">
        <f aca="false">IF($B36="","",IF(INDEX('Master Database'!$AE$1:$AE$600,$B36)="","",INDEX('Master Database'!$AE$1:$AE$600,$B36)))</f>
        <v>Consultant basic-design estimate – PEP Rev.1402/05, sheet P.ME «هزینه واحد بدون ضریب»; EUR figure (converted in the PEP at 420,000×1.085 IRR/EUR) | source label: AACE Class 2</v>
      </c>
      <c r="U36" s="70" t="n">
        <f aca="false">IF($B36="","",IF(INDEX('Master Database'!$AG$1:$AG$600,$B36)="","",INDEX('Master Database'!$AG$1:$AG$600,$B36)))</f>
        <v>15523.8949778199</v>
      </c>
      <c r="V36" s="70" t="n">
        <f aca="false">IF($B36="","",IF(INDEX('Master Database'!$AH$1:$AH$600,$B36)="","",INDEX('Master Database'!$AH$1:$AH$600,$B36)))</f>
        <v>16389.8656763425</v>
      </c>
      <c r="W36" s="70" t="n">
        <f aca="false">IF($B36="","",IF(INDEX('Master Database'!$AI$1:$AI$600,$B36)="","",INDEX('Master Database'!$AI$1:$AI$600,$B36)))</f>
        <v>10793267413.4389</v>
      </c>
      <c r="X36" s="68" t="str">
        <f aca="false">IF($B36="","",IF(INDEX('Master Database'!$BG$1:$BG$600,$B36)="","",INDEX('Master Database'!$BG$1:$BG$600,$B36)))</f>
        <v>Y</v>
      </c>
      <c r="BA36" s="65" t="n">
        <f aca="false">IF('Master Database'!$A36="",0,IF(AND(OR($B$5="",ISNUMBER(SEARCH($B$5,'Master Database'!$B36&amp;" "&amp;'Master Database'!$D36))),OR($B$6="(All)",'Master Database'!$C36=$B$6),OR($B$7="(All)",'Master Database'!$E36=$B$7),OR($B$8="(All)",'Master Database'!$T36=$B$8),OR($B$9="(All)",'Master Database'!$M36=$B$9),OR($B$10="(All)",'Master Database'!$V36=$B$10),OR($E$5="(All)",'Master Database'!$F36=$E$5),OR($E$6="(All)",'Master Database'!$G36=$E$6),OR($E$7="(All)",'Master Database'!$O36=$E$7),OR($E$8="(All)",'Master Database'!$P36=$E$8),OR($E$9="(All)",'Master Database'!$S36=$E$9),OR($E$10="(All)",'Master Database'!$Y36&amp;""=$E$10&amp;""),OR($H$5="(All)",'Master Database'!$BG36=$H$5),OR($H$6&lt;&gt;"Y",ISNUMBER('Master Database'!$AG36)),OR($H$7="",AND(ISNUMBER('Master Database'!$H36),N('Master Database'!$H36)&gt;=$H$7)),OR($I$7="",AND(ISNUMBER('Master Database'!$H36),N('Master Database'!$H36)&lt;=$I$7)),OR($H$8="",AND(ISNUMBER('Master Database'!$I36),N('Master Database'!$I36)&gt;=$H$8)),OR($I$8="",AND(ISNUMBER('Master Database'!$I36),N('Master Database'!$I36)&lt;=$I$8)),OR($H$9="",AND(ISNUMBER('Master Database'!$K36),N('Master Database'!$K36)&gt;=$H$9)),OR($I$9="",AND(ISNUMBER('Master Database'!$K36),N('Master Database'!$K36)&lt;=$I$9))),1,0))</f>
        <v>1</v>
      </c>
      <c r="BB36" s="65" t="n">
        <f aca="false">IF(BA36=1,COUNTIF($BA$5:BA36,1),"")</f>
        <v>32</v>
      </c>
    </row>
    <row r="37" customFormat="false" ht="15" hidden="false" customHeight="false" outlineLevel="0" collapsed="false">
      <c r="A37" s="67" t="n">
        <f aca="false">IF(22&lt;=SUM($BA$5:$BA$600),22,"")</f>
        <v>22</v>
      </c>
      <c r="B37" s="67" t="n">
        <f aca="false">IF(A37="","",MATCH(A37,$BB$5:$BB$600,0)+4)</f>
        <v>26</v>
      </c>
      <c r="C37" s="67" t="n">
        <f aca="false">IF($B37="","",IF(INDEX('Master Database'!$A$1:$A$600,$B37)="","",INDEX('Master Database'!$A$1:$A$600,$B37)))</f>
        <v>22</v>
      </c>
      <c r="D37" s="68" t="str">
        <f aca="false">IF($B37="","",IF(INDEX('Master Database'!$B$1:$B$600,$B37)="","",INDEX('Master Database'!$B$1:$B$600,$B37)))</f>
        <v>DEAERATED WATER PUMPS</v>
      </c>
      <c r="E37" s="68" t="str">
        <f aca="false">IF($B37="","",IF(INDEX('Master Database'!$C$1:$C$600,$B37)="","",INDEX('Master Database'!$C$1:$C$600,$B37)))</f>
        <v>Gachsaran 4</v>
      </c>
      <c r="F37" s="68" t="str">
        <f aca="false">IF($B37="","",IF(INDEX('Master Database'!$D$1:$D$600,$B37)="","",INDEX('Master Database'!$D$1:$D$600,$B37)))</f>
        <v>P-105</v>
      </c>
      <c r="G37" s="68" t="str">
        <f aca="false">IF($B37="","",IF(INDEX('Master Database'!$E$1:$E$600,$B37)="","",INDEX('Master Database'!$E$1:$E$600,$B37)))</f>
        <v>ROT-WAT</v>
      </c>
      <c r="H37" s="68" t="str">
        <f aca="false">IF($B37="","",IF(INDEX('Master Database'!$F$1:$F$600,$B37)="","",INDEX('Master Database'!$F$1:$F$600,$B37)))</f>
        <v>Not stated</v>
      </c>
      <c r="I37" s="68" t="str">
        <f aca="false">IF($B37="","",IF(INDEX('Master Database'!$G$1:$G$600,$B37)="","",INDEX('Master Database'!$G$1:$G$600,$B37)))</f>
        <v>Not stated</v>
      </c>
      <c r="J37" s="69" t="n">
        <f aca="false">IF($B37="","",IF(INDEX('Master Database'!$H$1:$H$600,$B37)="","",INDEX('Master Database'!$H$1:$H$600,$B37)))</f>
        <v>40</v>
      </c>
      <c r="K37" s="69" t="str">
        <f aca="false">IF($B37="","",IF(INDEX('Master Database'!$I$1:$I$600,$B37)="","",INDEX('Master Database'!$I$1:$I$600,$B37)))</f>
        <v/>
      </c>
      <c r="L37" s="69" t="n">
        <f aca="false">IF($B37="","",IF(INDEX('Master Database'!$K$1:$K$600,$B37)="","",INDEX('Master Database'!$K$1:$K$600,$B37)))</f>
        <v>2.7</v>
      </c>
      <c r="M37" s="68" t="str">
        <f aca="false">IF($B37="","",IF(INDEX('Master Database'!$L$1:$L$600,$B37)="","",INDEX('Master Database'!$L$1:$L$600,$B37)))</f>
        <v>Not stated</v>
      </c>
      <c r="N37" s="68" t="str">
        <f aca="false">IF($B37="","",IF(INDEX('Master Database'!$P$1:$P$600,$B37)="","",INDEX('Master Database'!$P$1:$P$600,$B37)))</f>
        <v>Not stated</v>
      </c>
      <c r="O37" s="68" t="str">
        <f aca="false">IF($B37="","",IF(INDEX('Master Database'!$S$1:$S$600,$B37)="","",INDEX('Master Database'!$S$1:$S$600,$B37)))</f>
        <v>Electric Motor</v>
      </c>
      <c r="P37" s="68" t="str">
        <f aca="false">IF($B37="","",IF(INDEX('Master Database'!$T$1:$T$600,$B37)="","",INDEX('Master Database'!$T$1:$T$600,$B37)))</f>
        <v>Deaerated Water</v>
      </c>
      <c r="Q37" s="68" t="n">
        <f aca="false">IF($B37="","",IF(INDEX('Master Database'!$Y$1:$Y$600,$B37)="","",INDEX('Master Database'!$Y$1:$Y$600,$B37)))</f>
        <v>1402</v>
      </c>
      <c r="R37" s="68" t="str">
        <f aca="false">IF($B37="","",IF(INDEX('Master Database'!$Z$1:$Z$600,$B37)="","",INDEX('Master Database'!$Z$1:$Z$600,$B37)))</f>
        <v>EUR</v>
      </c>
      <c r="S37" s="70" t="n">
        <f aca="false">IF($B37="","",IF(INDEX('Master Database'!$AA$1:$AA$600,$B37)="","",INDEX('Master Database'!$AA$1:$AA$600,$B37)))</f>
        <v>17000</v>
      </c>
      <c r="T37" s="68" t="str">
        <f aca="false">IF($B37="","",IF(INDEX('Master Database'!$AE$1:$AE$600,$B37)="","",INDEX('Master Database'!$AE$1:$AE$600,$B37)))</f>
        <v>Consultant basic-design estimate – PEP Rev.1402/05, sheet P.ME «هزینه واحد بدون ضریب»; EUR figure (converted in the PEP at 420,000×1.085 IRR/EUR) | source label: AACE Class 2</v>
      </c>
      <c r="U37" s="70" t="n">
        <f aca="false">IF($B37="","",IF(INDEX('Master Database'!$AG$1:$AG$600,$B37)="","",INDEX('Master Database'!$AG$1:$AG$600,$B37)))</f>
        <v>17593.7476415292</v>
      </c>
      <c r="V37" s="70" t="n">
        <f aca="false">IF($B37="","",IF(INDEX('Master Database'!$AH$1:$AH$600,$B37)="","",INDEX('Master Database'!$AH$1:$AH$600,$B37)))</f>
        <v>18575.1810998549</v>
      </c>
      <c r="W37" s="70" t="n">
        <f aca="false">IF($B37="","",IF(INDEX('Master Database'!$AI$1:$AI$600,$B37)="","",INDEX('Master Database'!$AI$1:$AI$600,$B37)))</f>
        <v>12232369735.2307</v>
      </c>
      <c r="X37" s="68" t="str">
        <f aca="false">IF($B37="","",IF(INDEX('Master Database'!$BG$1:$BG$600,$B37)="","",INDEX('Master Database'!$BG$1:$BG$600,$B37)))</f>
        <v>Y</v>
      </c>
      <c r="BA37" s="65" t="n">
        <f aca="false">IF('Master Database'!$A37="",0,IF(AND(OR($B$5="",ISNUMBER(SEARCH($B$5,'Master Database'!$B37&amp;" "&amp;'Master Database'!$D37))),OR($B$6="(All)",'Master Database'!$C37=$B$6),OR($B$7="(All)",'Master Database'!$E37=$B$7),OR($B$8="(All)",'Master Database'!$T37=$B$8),OR($B$9="(All)",'Master Database'!$M37=$B$9),OR($B$10="(All)",'Master Database'!$V37=$B$10),OR($E$5="(All)",'Master Database'!$F37=$E$5),OR($E$6="(All)",'Master Database'!$G37=$E$6),OR($E$7="(All)",'Master Database'!$O37=$E$7),OR($E$8="(All)",'Master Database'!$P37=$E$8),OR($E$9="(All)",'Master Database'!$S37=$E$9),OR($E$10="(All)",'Master Database'!$Y37&amp;""=$E$10&amp;""),OR($H$5="(All)",'Master Database'!$BG37=$H$5),OR($H$6&lt;&gt;"Y",ISNUMBER('Master Database'!$AG37)),OR($H$7="",AND(ISNUMBER('Master Database'!$H37),N('Master Database'!$H37)&gt;=$H$7)),OR($I$7="",AND(ISNUMBER('Master Database'!$H37),N('Master Database'!$H37)&lt;=$I$7)),OR($H$8="",AND(ISNUMBER('Master Database'!$I37),N('Master Database'!$I37)&gt;=$H$8)),OR($I$8="",AND(ISNUMBER('Master Database'!$I37),N('Master Database'!$I37)&lt;=$I$8)),OR($H$9="",AND(ISNUMBER('Master Database'!$K37),N('Master Database'!$K37)&gt;=$H$9)),OR($I$9="",AND(ISNUMBER('Master Database'!$K37),N('Master Database'!$K37)&lt;=$I$9))),1,0))</f>
        <v>1</v>
      </c>
      <c r="BB37" s="65" t="n">
        <f aca="false">IF(BA37=1,COUNTIF($BA$5:BA37,1),"")</f>
        <v>33</v>
      </c>
    </row>
    <row r="38" customFormat="false" ht="15" hidden="false" customHeight="false" outlineLevel="0" collapsed="false">
      <c r="A38" s="67" t="n">
        <f aca="false">IF(23&lt;=SUM($BA$5:$BA$600),23,"")</f>
        <v>23</v>
      </c>
      <c r="B38" s="67" t="n">
        <f aca="false">IF(A38="","",MATCH(A38,$BB$5:$BB$600,0)+4)</f>
        <v>27</v>
      </c>
      <c r="C38" s="67" t="n">
        <f aca="false">IF($B38="","",IF(INDEX('Master Database'!$A$1:$A$600,$B38)="","",INDEX('Master Database'!$A$1:$A$600,$B38)))</f>
        <v>23</v>
      </c>
      <c r="D38" s="68" t="str">
        <f aca="false">IF($B38="","",IF(INDEX('Master Database'!$B$1:$B$600,$B38)="","",INDEX('Master Database'!$B$1:$B$600,$B38)))</f>
        <v>POTABLE WATER FILLING PUMP</v>
      </c>
      <c r="E38" s="68" t="str">
        <f aca="false">IF($B38="","",IF(INDEX('Master Database'!$C$1:$C$600,$B38)="","",INDEX('Master Database'!$C$1:$C$600,$B38)))</f>
        <v>Gachsaran 4</v>
      </c>
      <c r="F38" s="68" t="str">
        <f aca="false">IF($B38="","",IF(INDEX('Master Database'!$D$1:$D$600,$B38)="","",INDEX('Master Database'!$D$1:$D$600,$B38)))</f>
        <v>P-104</v>
      </c>
      <c r="G38" s="68" t="str">
        <f aca="false">IF($B38="","",IF(INDEX('Master Database'!$E$1:$E$600,$B38)="","",INDEX('Master Database'!$E$1:$E$600,$B38)))</f>
        <v>ROT-WAT</v>
      </c>
      <c r="H38" s="68" t="str">
        <f aca="false">IF($B38="","",IF(INDEX('Master Database'!$F$1:$F$600,$B38)="","",INDEX('Master Database'!$F$1:$F$600,$B38)))</f>
        <v>Not stated</v>
      </c>
      <c r="I38" s="68" t="str">
        <f aca="false">IF($B38="","",IF(INDEX('Master Database'!$G$1:$G$600,$B38)="","",INDEX('Master Database'!$G$1:$G$600,$B38)))</f>
        <v>Not stated</v>
      </c>
      <c r="J38" s="69" t="n">
        <f aca="false">IF($B38="","",IF(INDEX('Master Database'!$H$1:$H$600,$B38)="","",INDEX('Master Database'!$H$1:$H$600,$B38)))</f>
        <v>20</v>
      </c>
      <c r="K38" s="69" t="str">
        <f aca="false">IF($B38="","",IF(INDEX('Master Database'!$I$1:$I$600,$B38)="","",INDEX('Master Database'!$I$1:$I$600,$B38)))</f>
        <v/>
      </c>
      <c r="L38" s="69" t="n">
        <f aca="false">IF($B38="","",IF(INDEX('Master Database'!$K$1:$K$600,$B38)="","",INDEX('Master Database'!$K$1:$K$600,$B38)))</f>
        <v>1.4</v>
      </c>
      <c r="M38" s="68" t="str">
        <f aca="false">IF($B38="","",IF(INDEX('Master Database'!$L$1:$L$600,$B38)="","",INDEX('Master Database'!$L$1:$L$600,$B38)))</f>
        <v>Not stated</v>
      </c>
      <c r="N38" s="68" t="str">
        <f aca="false">IF($B38="","",IF(INDEX('Master Database'!$P$1:$P$600,$B38)="","",INDEX('Master Database'!$P$1:$P$600,$B38)))</f>
        <v>Not stated</v>
      </c>
      <c r="O38" s="68" t="str">
        <f aca="false">IF($B38="","",IF(INDEX('Master Database'!$S$1:$S$600,$B38)="","",INDEX('Master Database'!$S$1:$S$600,$B38)))</f>
        <v>Electric Motor</v>
      </c>
      <c r="P38" s="68" t="str">
        <f aca="false">IF($B38="","",IF(INDEX('Master Database'!$T$1:$T$600,$B38)="","",INDEX('Master Database'!$T$1:$T$600,$B38)))</f>
        <v>Fresh / Potable Water</v>
      </c>
      <c r="Q38" s="68" t="n">
        <f aca="false">IF($B38="","",IF(INDEX('Master Database'!$Y$1:$Y$600,$B38)="","",INDEX('Master Database'!$Y$1:$Y$600,$B38)))</f>
        <v>1402</v>
      </c>
      <c r="R38" s="68" t="str">
        <f aca="false">IF($B38="","",IF(INDEX('Master Database'!$Z$1:$Z$600,$B38)="","",INDEX('Master Database'!$Z$1:$Z$600,$B38)))</f>
        <v>EUR</v>
      </c>
      <c r="S38" s="70" t="n">
        <f aca="false">IF($B38="","",IF(INDEX('Master Database'!$AA$1:$AA$600,$B38)="","",INDEX('Master Database'!$AA$1:$AA$600,$B38)))</f>
        <v>11000</v>
      </c>
      <c r="T38" s="68" t="str">
        <f aca="false">IF($B38="","",IF(INDEX('Master Database'!$AE$1:$AE$600,$B38)="","",INDEX('Master Database'!$AE$1:$AE$600,$B38)))</f>
        <v>Consultant basic-design estimate – PEP Rev.1402/05, sheet P.ME «هزینه واحد بدون ضریب»; EUR figure (converted in the PEP at 420,000×1.085 IRR/EUR) | source label: AACE Class 2</v>
      </c>
      <c r="U38" s="70" t="n">
        <f aca="false">IF($B38="","",IF(INDEX('Master Database'!$AG$1:$AG$600,$B38)="","",INDEX('Master Database'!$AG$1:$AG$600,$B38)))</f>
        <v>11384.1896504013</v>
      </c>
      <c r="V38" s="70" t="n">
        <f aca="false">IF($B38="","",IF(INDEX('Master Database'!$AH$1:$AH$600,$B38)="","",INDEX('Master Database'!$AH$1:$AH$600,$B38)))</f>
        <v>12019.2348293179</v>
      </c>
      <c r="W38" s="70" t="n">
        <f aca="false">IF($B38="","",IF(INDEX('Master Database'!$AI$1:$AI$600,$B38)="","",INDEX('Master Database'!$AI$1:$AI$600,$B38)))</f>
        <v>7915062769.85518</v>
      </c>
      <c r="X38" s="68" t="str">
        <f aca="false">IF($B38="","",IF(INDEX('Master Database'!$BG$1:$BG$600,$B38)="","",INDEX('Master Database'!$BG$1:$BG$600,$B38)))</f>
        <v>Y</v>
      </c>
      <c r="BA38" s="65" t="n">
        <f aca="false">IF('Master Database'!$A38="",0,IF(AND(OR($B$5="",ISNUMBER(SEARCH($B$5,'Master Database'!$B38&amp;" "&amp;'Master Database'!$D38))),OR($B$6="(All)",'Master Database'!$C38=$B$6),OR($B$7="(All)",'Master Database'!$E38=$B$7),OR($B$8="(All)",'Master Database'!$T38=$B$8),OR($B$9="(All)",'Master Database'!$M38=$B$9),OR($B$10="(All)",'Master Database'!$V38=$B$10),OR($E$5="(All)",'Master Database'!$F38=$E$5),OR($E$6="(All)",'Master Database'!$G38=$E$6),OR($E$7="(All)",'Master Database'!$O38=$E$7),OR($E$8="(All)",'Master Database'!$P38=$E$8),OR($E$9="(All)",'Master Database'!$S38=$E$9),OR($E$10="(All)",'Master Database'!$Y38&amp;""=$E$10&amp;""),OR($H$5="(All)",'Master Database'!$BG38=$H$5),OR($H$6&lt;&gt;"Y",ISNUMBER('Master Database'!$AG38)),OR($H$7="",AND(ISNUMBER('Master Database'!$H38),N('Master Database'!$H38)&gt;=$H$7)),OR($I$7="",AND(ISNUMBER('Master Database'!$H38),N('Master Database'!$H38)&lt;=$I$7)),OR($H$8="",AND(ISNUMBER('Master Database'!$I38),N('Master Database'!$I38)&gt;=$H$8)),OR($I$8="",AND(ISNUMBER('Master Database'!$I38),N('Master Database'!$I38)&lt;=$I$8)),OR($H$9="",AND(ISNUMBER('Master Database'!$K38),N('Master Database'!$K38)&gt;=$H$9)),OR($I$9="",AND(ISNUMBER('Master Database'!$K38),N('Master Database'!$K38)&lt;=$I$9))),1,0))</f>
        <v>1</v>
      </c>
      <c r="BB38" s="65" t="n">
        <f aca="false">IF(BA38=1,COUNTIF($BA$5:BA38,1),"")</f>
        <v>34</v>
      </c>
    </row>
    <row r="39" customFormat="false" ht="15" hidden="false" customHeight="false" outlineLevel="0" collapsed="false">
      <c r="A39" s="67" t="n">
        <f aca="false">IF(24&lt;=SUM($BA$5:$BA$600),24,"")</f>
        <v>24</v>
      </c>
      <c r="B39" s="67" t="n">
        <f aca="false">IF(A39="","",MATCH(A39,$BB$5:$BB$600,0)+4)</f>
        <v>28</v>
      </c>
      <c r="C39" s="67" t="n">
        <f aca="false">IF($B39="","",IF(INDEX('Master Database'!$A$1:$A$600,$B39)="","",INDEX('Master Database'!$A$1:$A$600,$B39)))</f>
        <v>24</v>
      </c>
      <c r="D39" s="68" t="str">
        <f aca="false">IF($B39="","",IF(INDEX('Master Database'!$B$1:$B$600,$B39)="","",INDEX('Master Database'!$B$1:$B$600,$B39)))</f>
        <v>WATER INJECTION MAIN PUMPS</v>
      </c>
      <c r="E39" s="68" t="str">
        <f aca="false">IF($B39="","",IF(INDEX('Master Database'!$C$1:$C$600,$B39)="","",INDEX('Master Database'!$C$1:$C$600,$B39)))</f>
        <v>Gachsaran 4</v>
      </c>
      <c r="F39" s="68" t="str">
        <f aca="false">IF($B39="","",IF(INDEX('Master Database'!$D$1:$D$600,$B39)="","",INDEX('Master Database'!$D$1:$D$600,$B39)))</f>
        <v>P-201-A/B/C</v>
      </c>
      <c r="G39" s="68" t="str">
        <f aca="false">IF($B39="","",IF(INDEX('Master Database'!$E$1:$E$600,$B39)="","",INDEX('Master Database'!$E$1:$E$600,$B39)))</f>
        <v>ROT-INJ</v>
      </c>
      <c r="H39" s="68" t="str">
        <f aca="false">IF($B39="","",IF(INDEX('Master Database'!$F$1:$F$600,$B39)="","",INDEX('Master Database'!$F$1:$F$600,$B39)))</f>
        <v>Not stated</v>
      </c>
      <c r="I39" s="68" t="str">
        <f aca="false">IF($B39="","",IF(INDEX('Master Database'!$G$1:$G$600,$B39)="","",INDEX('Master Database'!$G$1:$G$600,$B39)))</f>
        <v>Not stated</v>
      </c>
      <c r="J39" s="69" t="n">
        <f aca="false">IF($B39="","",IF(INDEX('Master Database'!$H$1:$H$600,$B39)="","",INDEX('Master Database'!$H$1:$H$600,$B39)))</f>
        <v>73</v>
      </c>
      <c r="K39" s="69" t="str">
        <f aca="false">IF($B39="","",IF(INDEX('Master Database'!$I$1:$I$600,$B39)="","",INDEX('Master Database'!$I$1:$I$600,$B39)))</f>
        <v/>
      </c>
      <c r="L39" s="69" t="n">
        <f aca="false">IF($B39="","",IF(INDEX('Master Database'!$K$1:$K$600,$B39)="","",INDEX('Master Database'!$K$1:$K$600,$B39)))</f>
        <v>73.6</v>
      </c>
      <c r="M39" s="68" t="str">
        <f aca="false">IF($B39="","",IF(INDEX('Master Database'!$L$1:$L$600,$B39)="","",INDEX('Master Database'!$L$1:$L$600,$B39)))</f>
        <v>Not stated</v>
      </c>
      <c r="N39" s="68" t="str">
        <f aca="false">IF($B39="","",IF(INDEX('Master Database'!$P$1:$P$600,$B39)="","",INDEX('Master Database'!$P$1:$P$600,$B39)))</f>
        <v>Not stated</v>
      </c>
      <c r="O39" s="68" t="str">
        <f aca="false">IF($B39="","",IF(INDEX('Master Database'!$S$1:$S$600,$B39)="","",INDEX('Master Database'!$S$1:$S$600,$B39)))</f>
        <v>Electric Motor</v>
      </c>
      <c r="P39" s="68" t="str">
        <f aca="false">IF($B39="","",IF(INDEX('Master Database'!$T$1:$T$600,$B39)="","",INDEX('Master Database'!$T$1:$T$600,$B39)))</f>
        <v>Produced / Disposal Water</v>
      </c>
      <c r="Q39" s="68" t="n">
        <f aca="false">IF($B39="","",IF(INDEX('Master Database'!$Y$1:$Y$600,$B39)="","",INDEX('Master Database'!$Y$1:$Y$600,$B39)))</f>
        <v>1402</v>
      </c>
      <c r="R39" s="68" t="str">
        <f aca="false">IF($B39="","",IF(INDEX('Master Database'!$Z$1:$Z$600,$B39)="","",INDEX('Master Database'!$Z$1:$Z$600,$B39)))</f>
        <v>EUR</v>
      </c>
      <c r="S39" s="70" t="n">
        <f aca="false">IF($B39="","",IF(INDEX('Master Database'!$AA$1:$AA$600,$B39)="","",INDEX('Master Database'!$AA$1:$AA$600,$B39)))</f>
        <v>430000</v>
      </c>
      <c r="T39" s="68" t="str">
        <f aca="false">IF($B39="","",IF(INDEX('Master Database'!$AE$1:$AE$600,$B39)="","",INDEX('Master Database'!$AE$1:$AE$600,$B39)))</f>
        <v>Consultant basic-design estimate – PEP Rev.1402/05, sheet P.ME «هزینه واحد بدون ضریب»; EUR figure (converted in the PEP at 420,000×1.085 IRR/EUR) | source label: AACE Class 2</v>
      </c>
      <c r="U39" s="70" t="n">
        <f aca="false">IF($B39="","",IF(INDEX('Master Database'!$AG$1:$AG$600,$B39)="","",INDEX('Master Database'!$AG$1:$AG$600,$B39)))</f>
        <v>445018.322697504</v>
      </c>
      <c r="V39" s="70" t="n">
        <f aca="false">IF($B39="","",IF(INDEX('Master Database'!$AH$1:$AH$600,$B39)="","",INDEX('Master Database'!$AH$1:$AH$600,$B39)))</f>
        <v>469842.816055153</v>
      </c>
      <c r="W39" s="70" t="n">
        <f aca="false">IF($B39="","",IF(INDEX('Master Database'!$AI$1:$AI$600,$B39)="","",INDEX('Master Database'!$AI$1:$AI$600,$B39)))</f>
        <v>309406999185.248</v>
      </c>
      <c r="X39" s="68" t="str">
        <f aca="false">IF($B39="","",IF(INDEX('Master Database'!$BG$1:$BG$600,$B39)="","",INDEX('Master Database'!$BG$1:$BG$600,$B39)))</f>
        <v>Y</v>
      </c>
      <c r="BA39" s="65" t="n">
        <f aca="false">IF('Master Database'!$A39="",0,IF(AND(OR($B$5="",ISNUMBER(SEARCH($B$5,'Master Database'!$B39&amp;" "&amp;'Master Database'!$D39))),OR($B$6="(All)",'Master Database'!$C39=$B$6),OR($B$7="(All)",'Master Database'!$E39=$B$7),OR($B$8="(All)",'Master Database'!$T39=$B$8),OR($B$9="(All)",'Master Database'!$M39=$B$9),OR($B$10="(All)",'Master Database'!$V39=$B$10),OR($E$5="(All)",'Master Database'!$F39=$E$5),OR($E$6="(All)",'Master Database'!$G39=$E$6),OR($E$7="(All)",'Master Database'!$O39=$E$7),OR($E$8="(All)",'Master Database'!$P39=$E$8),OR($E$9="(All)",'Master Database'!$S39=$E$9),OR($E$10="(All)",'Master Database'!$Y39&amp;""=$E$10&amp;""),OR($H$5="(All)",'Master Database'!$BG39=$H$5),OR($H$6&lt;&gt;"Y",ISNUMBER('Master Database'!$AG39)),OR($H$7="",AND(ISNUMBER('Master Database'!$H39),N('Master Database'!$H39)&gt;=$H$7)),OR($I$7="",AND(ISNUMBER('Master Database'!$H39),N('Master Database'!$H39)&lt;=$I$7)),OR($H$8="",AND(ISNUMBER('Master Database'!$I39),N('Master Database'!$I39)&gt;=$H$8)),OR($I$8="",AND(ISNUMBER('Master Database'!$I39),N('Master Database'!$I39)&lt;=$I$8)),OR($H$9="",AND(ISNUMBER('Master Database'!$K39),N('Master Database'!$K39)&gt;=$H$9)),OR($I$9="",AND(ISNUMBER('Master Database'!$K39),N('Master Database'!$K39)&lt;=$I$9))),1,0))</f>
        <v>1</v>
      </c>
      <c r="BB39" s="65" t="n">
        <f aca="false">IF(BA39=1,COUNTIF($BA$5:BA39,1),"")</f>
        <v>35</v>
      </c>
    </row>
    <row r="40" customFormat="false" ht="15" hidden="false" customHeight="false" outlineLevel="0" collapsed="false">
      <c r="A40" s="67" t="n">
        <f aca="false">IF(25&lt;=SUM($BA$5:$BA$600),25,"")</f>
        <v>25</v>
      </c>
      <c r="B40" s="67" t="n">
        <f aca="false">IF(A40="","",MATCH(A40,$BB$5:$BB$600,0)+4)</f>
        <v>29</v>
      </c>
      <c r="C40" s="67" t="n">
        <f aca="false">IF($B40="","",IF(INDEX('Master Database'!$A$1:$A$600,$B40)="","",INDEX('Master Database'!$A$1:$A$600,$B40)))</f>
        <v>25</v>
      </c>
      <c r="D40" s="68" t="str">
        <f aca="false">IF($B40="","",IF(INDEX('Master Database'!$B$1:$B$600,$B40)="","",INDEX('Master Database'!$B$1:$B$600,$B40)))</f>
        <v>WATER INJECTION BOOSTER PUMPS</v>
      </c>
      <c r="E40" s="68" t="str">
        <f aca="false">IF($B40="","",IF(INDEX('Master Database'!$C$1:$C$600,$B40)="","",INDEX('Master Database'!$C$1:$C$600,$B40)))</f>
        <v>Gachsaran 4</v>
      </c>
      <c r="F40" s="68" t="str">
        <f aca="false">IF($B40="","",IF(INDEX('Master Database'!$D$1:$D$600,$B40)="","",INDEX('Master Database'!$D$1:$D$600,$B40)))</f>
        <v>P-206-A/B/C</v>
      </c>
      <c r="G40" s="68" t="str">
        <f aca="false">IF($B40="","",IF(INDEX('Master Database'!$E$1:$E$600,$B40)="","",INDEX('Master Database'!$E$1:$E$600,$B40)))</f>
        <v>ROT-INJ</v>
      </c>
      <c r="H40" s="68" t="str">
        <f aca="false">IF($B40="","",IF(INDEX('Master Database'!$F$1:$F$600,$B40)="","",INDEX('Master Database'!$F$1:$F$600,$B40)))</f>
        <v>Not stated</v>
      </c>
      <c r="I40" s="68" t="str">
        <f aca="false">IF($B40="","",IF(INDEX('Master Database'!$G$1:$G$600,$B40)="","",INDEX('Master Database'!$G$1:$G$600,$B40)))</f>
        <v>Not stated</v>
      </c>
      <c r="J40" s="69" t="n">
        <f aca="false">IF($B40="","",IF(INDEX('Master Database'!$H$1:$H$600,$B40)="","",INDEX('Master Database'!$H$1:$H$600,$B40)))</f>
        <v>36.5</v>
      </c>
      <c r="K40" s="69" t="str">
        <f aca="false">IF($B40="","",IF(INDEX('Master Database'!$I$1:$I$600,$B40)="","",INDEX('Master Database'!$I$1:$I$600,$B40)))</f>
        <v/>
      </c>
      <c r="L40" s="69" t="n">
        <f aca="false">IF($B40="","",IF(INDEX('Master Database'!$K$1:$K$600,$B40)="","",INDEX('Master Database'!$K$1:$K$600,$B40)))</f>
        <v>36.5</v>
      </c>
      <c r="M40" s="68" t="str">
        <f aca="false">IF($B40="","",IF(INDEX('Master Database'!$L$1:$L$600,$B40)="","",INDEX('Master Database'!$L$1:$L$600,$B40)))</f>
        <v>Not stated</v>
      </c>
      <c r="N40" s="68" t="str">
        <f aca="false">IF($B40="","",IF(INDEX('Master Database'!$P$1:$P$600,$B40)="","",INDEX('Master Database'!$P$1:$P$600,$B40)))</f>
        <v>Not stated</v>
      </c>
      <c r="O40" s="68" t="str">
        <f aca="false">IF($B40="","",IF(INDEX('Master Database'!$S$1:$S$600,$B40)="","",INDEX('Master Database'!$S$1:$S$600,$B40)))</f>
        <v>Electric Motor</v>
      </c>
      <c r="P40" s="68" t="str">
        <f aca="false">IF($B40="","",IF(INDEX('Master Database'!$T$1:$T$600,$B40)="","",INDEX('Master Database'!$T$1:$T$600,$B40)))</f>
        <v>Produced / Disposal Water</v>
      </c>
      <c r="Q40" s="68" t="n">
        <f aca="false">IF($B40="","",IF(INDEX('Master Database'!$Y$1:$Y$600,$B40)="","",INDEX('Master Database'!$Y$1:$Y$600,$B40)))</f>
        <v>1402</v>
      </c>
      <c r="R40" s="68" t="str">
        <f aca="false">IF($B40="","",IF(INDEX('Master Database'!$Z$1:$Z$600,$B40)="","",INDEX('Master Database'!$Z$1:$Z$600,$B40)))</f>
        <v>EUR</v>
      </c>
      <c r="S40" s="70" t="n">
        <f aca="false">IF($B40="","",IF(INDEX('Master Database'!$AA$1:$AA$600,$B40)="","",INDEX('Master Database'!$AA$1:$AA$600,$B40)))</f>
        <v>285000</v>
      </c>
      <c r="T40" s="68" t="str">
        <f aca="false">IF($B40="","",IF(INDEX('Master Database'!$AE$1:$AE$600,$B40)="","",INDEX('Master Database'!$AE$1:$AE$600,$B40)))</f>
        <v>Consultant basic-design estimate – PEP Rev.1402/05, sheet P.ME «هزینه واحد بدون ضریب»; EUR figure (converted in the PEP at 420,000×1.085 IRR/EUR) | source label: AACE Class 2</v>
      </c>
      <c r="U40" s="70" t="n">
        <f aca="false">IF($B40="","",IF(INDEX('Master Database'!$AG$1:$AG$600,$B40)="","",INDEX('Master Database'!$AG$1:$AG$600,$B40)))</f>
        <v>294954.004578578</v>
      </c>
      <c r="V40" s="70" t="n">
        <f aca="false">IF($B40="","",IF(INDEX('Master Database'!$AH$1:$AH$600,$B40)="","",INDEX('Master Database'!$AH$1:$AH$600,$B40)))</f>
        <v>311407.447850508</v>
      </c>
      <c r="W40" s="70" t="n">
        <f aca="false">IF($B40="","",IF(INDEX('Master Database'!$AI$1:$AI$600,$B40)="","",INDEX('Master Database'!$AI$1:$AI$600,$B40)))</f>
        <v>205072080855.339</v>
      </c>
      <c r="X40" s="68" t="str">
        <f aca="false">IF($B40="","",IF(INDEX('Master Database'!$BG$1:$BG$600,$B40)="","",INDEX('Master Database'!$BG$1:$BG$600,$B40)))</f>
        <v>Y</v>
      </c>
      <c r="BA40" s="65" t="n">
        <f aca="false">IF('Master Database'!$A40="",0,IF(AND(OR($B$5="",ISNUMBER(SEARCH($B$5,'Master Database'!$B40&amp;" "&amp;'Master Database'!$D40))),OR($B$6="(All)",'Master Database'!$C40=$B$6),OR($B$7="(All)",'Master Database'!$E40=$B$7),OR($B$8="(All)",'Master Database'!$T40=$B$8),OR($B$9="(All)",'Master Database'!$M40=$B$9),OR($B$10="(All)",'Master Database'!$V40=$B$10),OR($E$5="(All)",'Master Database'!$F40=$E$5),OR($E$6="(All)",'Master Database'!$G40=$E$6),OR($E$7="(All)",'Master Database'!$O40=$E$7),OR($E$8="(All)",'Master Database'!$P40=$E$8),OR($E$9="(All)",'Master Database'!$S40=$E$9),OR($E$10="(All)",'Master Database'!$Y40&amp;""=$E$10&amp;""),OR($H$5="(All)",'Master Database'!$BG40=$H$5),OR($H$6&lt;&gt;"Y",ISNUMBER('Master Database'!$AG40)),OR($H$7="",AND(ISNUMBER('Master Database'!$H40),N('Master Database'!$H40)&gt;=$H$7)),OR($I$7="",AND(ISNUMBER('Master Database'!$H40),N('Master Database'!$H40)&lt;=$I$7)),OR($H$8="",AND(ISNUMBER('Master Database'!$I40),N('Master Database'!$I40)&gt;=$H$8)),OR($I$8="",AND(ISNUMBER('Master Database'!$I40),N('Master Database'!$I40)&lt;=$I$8)),OR($H$9="",AND(ISNUMBER('Master Database'!$K40),N('Master Database'!$K40)&gt;=$H$9)),OR($I$9="",AND(ISNUMBER('Master Database'!$K40),N('Master Database'!$K40)&lt;=$I$9))),1,0))</f>
        <v>1</v>
      </c>
      <c r="BB40" s="65" t="n">
        <f aca="false">IF(BA40=1,COUNTIF($BA$5:BA40,1),"")</f>
        <v>36</v>
      </c>
    </row>
    <row r="41" customFormat="false" ht="15" hidden="false" customHeight="false" outlineLevel="0" collapsed="false">
      <c r="A41" s="67" t="n">
        <f aca="false">IF(26&lt;=SUM($BA$5:$BA$600),26,"")</f>
        <v>26</v>
      </c>
      <c r="B41" s="67" t="n">
        <f aca="false">IF(A41="","",MATCH(A41,$BB$5:$BB$600,0)+4)</f>
        <v>30</v>
      </c>
      <c r="C41" s="67" t="n">
        <f aca="false">IF($B41="","",IF(INDEX('Master Database'!$A$1:$A$600,$B41)="","",INDEX('Master Database'!$A$1:$A$600,$B41)))</f>
        <v>26</v>
      </c>
      <c r="D41" s="68" t="str">
        <f aca="false">IF($B41="","",IF(INDEX('Master Database'!$B$1:$B$600,$B41)="","",INDEX('Master Database'!$B$1:$B$600,$B41)))</f>
        <v>CHEMICAL INJECTION PORTABLE PUMPS</v>
      </c>
      <c r="E41" s="68" t="str">
        <f aca="false">IF($B41="","",IF(INDEX('Master Database'!$C$1:$C$600,$B41)="","",INDEX('Master Database'!$C$1:$C$600,$B41)))</f>
        <v>Gachsaran 4</v>
      </c>
      <c r="F41" s="68" t="str">
        <f aca="false">IF($B41="","",IF(INDEX('Master Database'!$D$1:$D$600,$B41)="","",INDEX('Master Database'!$D$1:$D$600,$B41)))</f>
        <v>P-501-A/B/C</v>
      </c>
      <c r="G41" s="68" t="str">
        <f aca="false">IF($B41="","",IF(INDEX('Master Database'!$E$1:$E$600,$B41)="","",INDEX('Master Database'!$E$1:$E$600,$B41)))</f>
        <v>ROT-AUX</v>
      </c>
      <c r="H41" s="68" t="str">
        <f aca="false">IF($B41="","",IF(INDEX('Master Database'!$F$1:$F$600,$B41)="","",INDEX('Master Database'!$F$1:$F$600,$B41)))</f>
        <v>Not stated</v>
      </c>
      <c r="I41" s="68" t="str">
        <f aca="false">IF($B41="","",IF(INDEX('Master Database'!$G$1:$G$600,$B41)="","",INDEX('Master Database'!$G$1:$G$600,$B41)))</f>
        <v>Not stated</v>
      </c>
      <c r="J41" s="69" t="str">
        <f aca="false">IF($B41="","",IF(INDEX('Master Database'!$H$1:$H$600,$B41)="","",INDEX('Master Database'!$H$1:$H$600,$B41)))</f>
        <v/>
      </c>
      <c r="K41" s="69" t="str">
        <f aca="false">IF($B41="","",IF(INDEX('Master Database'!$I$1:$I$600,$B41)="","",INDEX('Master Database'!$I$1:$I$600,$B41)))</f>
        <v/>
      </c>
      <c r="L41" s="69" t="n">
        <f aca="false">IF($B41="","",IF(INDEX('Master Database'!$K$1:$K$600,$B41)="","",INDEX('Master Database'!$K$1:$K$600,$B41)))</f>
        <v>0.45</v>
      </c>
      <c r="M41" s="68" t="str">
        <f aca="false">IF($B41="","",IF(INDEX('Master Database'!$L$1:$L$600,$B41)="","",INDEX('Master Database'!$L$1:$L$600,$B41)))</f>
        <v>Not stated</v>
      </c>
      <c r="N41" s="68" t="str">
        <f aca="false">IF($B41="","",IF(INDEX('Master Database'!$P$1:$P$600,$B41)="","",INDEX('Master Database'!$P$1:$P$600,$B41)))</f>
        <v>Not stated</v>
      </c>
      <c r="O41" s="68" t="str">
        <f aca="false">IF($B41="","",IF(INDEX('Master Database'!$S$1:$S$600,$B41)="","",INDEX('Master Database'!$S$1:$S$600,$B41)))</f>
        <v>Electric Motor</v>
      </c>
      <c r="P41" s="68" t="str">
        <f aca="false">IF($B41="","",IF(INDEX('Master Database'!$T$1:$T$600,$B41)="","",INDEX('Master Database'!$T$1:$T$600,$B41)))</f>
        <v>Chemical</v>
      </c>
      <c r="Q41" s="68" t="n">
        <f aca="false">IF($B41="","",IF(INDEX('Master Database'!$Y$1:$Y$600,$B41)="","",INDEX('Master Database'!$Y$1:$Y$600,$B41)))</f>
        <v>1402</v>
      </c>
      <c r="R41" s="68" t="str">
        <f aca="false">IF($B41="","",IF(INDEX('Master Database'!$Z$1:$Z$600,$B41)="","",INDEX('Master Database'!$Z$1:$Z$600,$B41)))</f>
        <v>EUR</v>
      </c>
      <c r="S41" s="70" t="n">
        <f aca="false">IF($B41="","",IF(INDEX('Master Database'!$AA$1:$AA$600,$B41)="","",INDEX('Master Database'!$AA$1:$AA$600,$B41)))</f>
        <v>9000</v>
      </c>
      <c r="T41" s="68" t="str">
        <f aca="false">IF($B41="","",IF(INDEX('Master Database'!$AE$1:$AE$600,$B41)="","",INDEX('Master Database'!$AE$1:$AE$600,$B41)))</f>
        <v>Consultant basic-design estimate – PEP Rev.1402/05, sheet P.ME «هزینه واحد بدون ضریب»; EUR figure (converted in the PEP at 420,000×1.085 IRR/EUR) | source label: AACE Class 2</v>
      </c>
      <c r="U41" s="70" t="n">
        <f aca="false">IF($B41="","",IF(INDEX('Master Database'!$AG$1:$AG$600,$B41)="","",INDEX('Master Database'!$AG$1:$AG$600,$B41)))</f>
        <v>9314.33698669194</v>
      </c>
      <c r="V41" s="70" t="n">
        <f aca="false">IF($B41="","",IF(INDEX('Master Database'!$AH$1:$AH$600,$B41)="","",INDEX('Master Database'!$AH$1:$AH$600,$B41)))</f>
        <v>9833.91940580552</v>
      </c>
      <c r="W41" s="70" t="n">
        <f aca="false">IF($B41="","",IF(INDEX('Master Database'!$AI$1:$AI$600,$B41)="","",INDEX('Master Database'!$AI$1:$AI$600,$B41)))</f>
        <v>6475960448.06333</v>
      </c>
      <c r="X41" s="68" t="str">
        <f aca="false">IF($B41="","",IF(INDEX('Master Database'!$BG$1:$BG$600,$B41)="","",INDEX('Master Database'!$BG$1:$BG$600,$B41)))</f>
        <v>Y</v>
      </c>
      <c r="BA41" s="65" t="n">
        <f aca="false">IF('Master Database'!$A41="",0,IF(AND(OR($B$5="",ISNUMBER(SEARCH($B$5,'Master Database'!$B41&amp;" "&amp;'Master Database'!$D41))),OR($B$6="(All)",'Master Database'!$C41=$B$6),OR($B$7="(All)",'Master Database'!$E41=$B$7),OR($B$8="(All)",'Master Database'!$T41=$B$8),OR($B$9="(All)",'Master Database'!$M41=$B$9),OR($B$10="(All)",'Master Database'!$V41=$B$10),OR($E$5="(All)",'Master Database'!$F41=$E$5),OR($E$6="(All)",'Master Database'!$G41=$E$6),OR($E$7="(All)",'Master Database'!$O41=$E$7),OR($E$8="(All)",'Master Database'!$P41=$E$8),OR($E$9="(All)",'Master Database'!$S41=$E$9),OR($E$10="(All)",'Master Database'!$Y41&amp;""=$E$10&amp;""),OR($H$5="(All)",'Master Database'!$BG41=$H$5),OR($H$6&lt;&gt;"Y",ISNUMBER('Master Database'!$AG41)),OR($H$7="",AND(ISNUMBER('Master Database'!$H41),N('Master Database'!$H41)&gt;=$H$7)),OR($I$7="",AND(ISNUMBER('Master Database'!$H41),N('Master Database'!$H41)&lt;=$I$7)),OR($H$8="",AND(ISNUMBER('Master Database'!$I41),N('Master Database'!$I41)&gt;=$H$8)),OR($I$8="",AND(ISNUMBER('Master Database'!$I41),N('Master Database'!$I41)&lt;=$I$8)),OR($H$9="",AND(ISNUMBER('Master Database'!$K41),N('Master Database'!$K41)&gt;=$H$9)),OR($I$9="",AND(ISNUMBER('Master Database'!$K41),N('Master Database'!$K41)&lt;=$I$9))),1,0))</f>
        <v>1</v>
      </c>
      <c r="BB41" s="65" t="n">
        <f aca="false">IF(BA41=1,COUNTIF($BA$5:BA41,1),"")</f>
        <v>37</v>
      </c>
    </row>
    <row r="42" customFormat="false" ht="15" hidden="false" customHeight="false" outlineLevel="0" collapsed="false">
      <c r="A42" s="67" t="n">
        <f aca="false">IF(27&lt;=SUM($BA$5:$BA$600),27,"")</f>
        <v>27</v>
      </c>
      <c r="B42" s="67" t="n">
        <f aca="false">IF(A42="","",MATCH(A42,$BB$5:$BB$600,0)+4)</f>
        <v>31</v>
      </c>
      <c r="C42" s="67" t="n">
        <f aca="false">IF($B42="","",IF(INDEX('Master Database'!$A$1:$A$600,$B42)="","",INDEX('Master Database'!$A$1:$A$600,$B42)))</f>
        <v>27</v>
      </c>
      <c r="D42" s="68" t="str">
        <f aca="false">IF($B42="","",IF(INDEX('Master Database'!$B$1:$B$600,$B42)="","",INDEX('Master Database'!$B$1:$B$600,$B42)))</f>
        <v>FLARE K.O DRUM LIQUID PUMPS</v>
      </c>
      <c r="E42" s="68" t="str">
        <f aca="false">IF($B42="","",IF(INDEX('Master Database'!$C$1:$C$600,$B42)="","",INDEX('Master Database'!$C$1:$C$600,$B42)))</f>
        <v>Gachsaran 4</v>
      </c>
      <c r="F42" s="68" t="str">
        <f aca="false">IF($B42="","",IF(INDEX('Master Database'!$D$1:$D$600,$B42)="","",INDEX('Master Database'!$D$1:$D$600,$B42)))</f>
        <v>P-601-A/B</v>
      </c>
      <c r="G42" s="68" t="str">
        <f aca="false">IF($B42="","",IF(INDEX('Master Database'!$E$1:$E$600,$B42)="","",INDEX('Master Database'!$E$1:$E$600,$B42)))</f>
        <v>ROT-DRN</v>
      </c>
      <c r="H42" s="68" t="str">
        <f aca="false">IF($B42="","",IF(INDEX('Master Database'!$F$1:$F$600,$B42)="","",INDEX('Master Database'!$F$1:$F$600,$B42)))</f>
        <v>Not stated</v>
      </c>
      <c r="I42" s="68" t="str">
        <f aca="false">IF($B42="","",IF(INDEX('Master Database'!$G$1:$G$600,$B42)="","",INDEX('Master Database'!$G$1:$G$600,$B42)))</f>
        <v>Not stated</v>
      </c>
      <c r="J42" s="69" t="n">
        <f aca="false">IF($B42="","",IF(INDEX('Master Database'!$H$1:$H$600,$B42)="","",INDEX('Master Database'!$H$1:$H$600,$B42)))</f>
        <v>15</v>
      </c>
      <c r="K42" s="69" t="str">
        <f aca="false">IF($B42="","",IF(INDEX('Master Database'!$I$1:$I$600,$B42)="","",INDEX('Master Database'!$I$1:$I$600,$B42)))</f>
        <v/>
      </c>
      <c r="L42" s="69" t="n">
        <f aca="false">IF($B42="","",IF(INDEX('Master Database'!$K$1:$K$600,$B42)="","",INDEX('Master Database'!$K$1:$K$600,$B42)))</f>
        <v>0.33</v>
      </c>
      <c r="M42" s="68" t="str">
        <f aca="false">IF($B42="","",IF(INDEX('Master Database'!$L$1:$L$600,$B42)="","",INDEX('Master Database'!$L$1:$L$600,$B42)))</f>
        <v>Not stated</v>
      </c>
      <c r="N42" s="68" t="str">
        <f aca="false">IF($B42="","",IF(INDEX('Master Database'!$P$1:$P$600,$B42)="","",INDEX('Master Database'!$P$1:$P$600,$B42)))</f>
        <v>Not stated</v>
      </c>
      <c r="O42" s="68" t="str">
        <f aca="false">IF($B42="","",IF(INDEX('Master Database'!$S$1:$S$600,$B42)="","",INDEX('Master Database'!$S$1:$S$600,$B42)))</f>
        <v>Electric Motor</v>
      </c>
      <c r="P42" s="68" t="str">
        <f aca="false">IF($B42="","",IF(INDEX('Master Database'!$T$1:$T$600,$B42)="","",INDEX('Master Database'!$T$1:$T$600,$B42)))</f>
        <v>Oily Water / Drain</v>
      </c>
      <c r="Q42" s="68" t="n">
        <f aca="false">IF($B42="","",IF(INDEX('Master Database'!$Y$1:$Y$600,$B42)="","",INDEX('Master Database'!$Y$1:$Y$600,$B42)))</f>
        <v>1402</v>
      </c>
      <c r="R42" s="68" t="str">
        <f aca="false">IF($B42="","",IF(INDEX('Master Database'!$Z$1:$Z$600,$B42)="","",INDEX('Master Database'!$Z$1:$Z$600,$B42)))</f>
        <v>EUR</v>
      </c>
      <c r="S42" s="70" t="n">
        <f aca="false">IF($B42="","",IF(INDEX('Master Database'!$AA$1:$AA$600,$B42)="","",INDEX('Master Database'!$AA$1:$AA$600,$B42)))</f>
        <v>28000</v>
      </c>
      <c r="T42" s="68" t="str">
        <f aca="false">IF($B42="","",IF(INDEX('Master Database'!$AE$1:$AE$600,$B42)="","",INDEX('Master Database'!$AE$1:$AE$600,$B42)))</f>
        <v>Consultant basic-design estimate – PEP Rev.1402/05, sheet P.ME «هزینه واحد بدون ضریب»; EUR figure (converted in the PEP at 420,000×1.085 IRR/EUR) | source label: AACE Class 2</v>
      </c>
      <c r="U42" s="70" t="n">
        <f aca="false">IF($B42="","",IF(INDEX('Master Database'!$AG$1:$AG$600,$B42)="","",INDEX('Master Database'!$AG$1:$AG$600,$B42)))</f>
        <v>28977.9372919305</v>
      </c>
      <c r="V42" s="70" t="n">
        <f aca="false">IF($B42="","",IF(INDEX('Master Database'!$AH$1:$AH$600,$B42)="","",INDEX('Master Database'!$AH$1:$AH$600,$B42)))</f>
        <v>30594.4159291727</v>
      </c>
      <c r="W42" s="70" t="n">
        <f aca="false">IF($B42="","",IF(INDEX('Master Database'!$AI$1:$AI$600,$B42)="","",INDEX('Master Database'!$AI$1:$AI$600,$B42)))</f>
        <v>20147432505.0859</v>
      </c>
      <c r="X42" s="68" t="str">
        <f aca="false">IF($B42="","",IF(INDEX('Master Database'!$BG$1:$BG$600,$B42)="","",INDEX('Master Database'!$BG$1:$BG$600,$B42)))</f>
        <v>Y</v>
      </c>
      <c r="BA42" s="65" t="n">
        <f aca="false">IF('Master Database'!$A42="",0,IF(AND(OR($B$5="",ISNUMBER(SEARCH($B$5,'Master Database'!$B42&amp;" "&amp;'Master Database'!$D42))),OR($B$6="(All)",'Master Database'!$C42=$B$6),OR($B$7="(All)",'Master Database'!$E42=$B$7),OR($B$8="(All)",'Master Database'!$T42=$B$8),OR($B$9="(All)",'Master Database'!$M42=$B$9),OR($B$10="(All)",'Master Database'!$V42=$B$10),OR($E$5="(All)",'Master Database'!$F42=$E$5),OR($E$6="(All)",'Master Database'!$G42=$E$6),OR($E$7="(All)",'Master Database'!$O42=$E$7),OR($E$8="(All)",'Master Database'!$P42=$E$8),OR($E$9="(All)",'Master Database'!$S42=$E$9),OR($E$10="(All)",'Master Database'!$Y42&amp;""=$E$10&amp;""),OR($H$5="(All)",'Master Database'!$BG42=$H$5),OR($H$6&lt;&gt;"Y",ISNUMBER('Master Database'!$AG42)),OR($H$7="",AND(ISNUMBER('Master Database'!$H42),N('Master Database'!$H42)&gt;=$H$7)),OR($I$7="",AND(ISNUMBER('Master Database'!$H42),N('Master Database'!$H42)&lt;=$I$7)),OR($H$8="",AND(ISNUMBER('Master Database'!$I42),N('Master Database'!$I42)&gt;=$H$8)),OR($I$8="",AND(ISNUMBER('Master Database'!$I42),N('Master Database'!$I42)&lt;=$I$8)),OR($H$9="",AND(ISNUMBER('Master Database'!$K42),N('Master Database'!$K42)&gt;=$H$9)),OR($I$9="",AND(ISNUMBER('Master Database'!$K42),N('Master Database'!$K42)&lt;=$I$9))),1,0))</f>
        <v>1</v>
      </c>
      <c r="BB42" s="65" t="n">
        <f aca="false">IF(BA42=1,COUNTIF($BA$5:BA42,1),"")</f>
        <v>38</v>
      </c>
    </row>
    <row r="43" customFormat="false" ht="15" hidden="false" customHeight="false" outlineLevel="0" collapsed="false">
      <c r="A43" s="67" t="n">
        <f aca="false">IF(28&lt;=SUM($BA$5:$BA$600),28,"")</f>
        <v>28</v>
      </c>
      <c r="B43" s="67" t="n">
        <f aca="false">IF(A43="","",MATCH(A43,$BB$5:$BB$600,0)+4)</f>
        <v>32</v>
      </c>
      <c r="C43" s="67" t="n">
        <f aca="false">IF($B43="","",IF(INDEX('Master Database'!$A$1:$A$600,$B43)="","",INDEX('Master Database'!$A$1:$A$600,$B43)))</f>
        <v>28</v>
      </c>
      <c r="D43" s="68" t="str">
        <f aca="false">IF($B43="","",IF(INDEX('Master Database'!$B$1:$B$600,$B43)="","",INDEX('Master Database'!$B$1:$B$600,$B43)))</f>
        <v>HC CLOSED DRAIN TRANSFER PUMPS</v>
      </c>
      <c r="E43" s="68" t="str">
        <f aca="false">IF($B43="","",IF(INDEX('Master Database'!$C$1:$C$600,$B43)="","",INDEX('Master Database'!$C$1:$C$600,$B43)))</f>
        <v>Gachsaran 4</v>
      </c>
      <c r="F43" s="68" t="str">
        <f aca="false">IF($B43="","",IF(INDEX('Master Database'!$D$1:$D$600,$B43)="","",INDEX('Master Database'!$D$1:$D$600,$B43)))</f>
        <v>P-701-A/B</v>
      </c>
      <c r="G43" s="68" t="str">
        <f aca="false">IF($B43="","",IF(INDEX('Master Database'!$E$1:$E$600,$B43)="","",INDEX('Master Database'!$E$1:$E$600,$B43)))</f>
        <v>ROT-DRN</v>
      </c>
      <c r="H43" s="68" t="str">
        <f aca="false">IF($B43="","",IF(INDEX('Master Database'!$F$1:$F$600,$B43)="","",INDEX('Master Database'!$F$1:$F$600,$B43)))</f>
        <v>Not stated</v>
      </c>
      <c r="I43" s="68" t="str">
        <f aca="false">IF($B43="","",IF(INDEX('Master Database'!$G$1:$G$600,$B43)="","",INDEX('Master Database'!$G$1:$G$600,$B43)))</f>
        <v>Not stated</v>
      </c>
      <c r="J43" s="69" t="n">
        <f aca="false">IF($B43="","",IF(INDEX('Master Database'!$H$1:$H$600,$B43)="","",INDEX('Master Database'!$H$1:$H$600,$B43)))</f>
        <v>27.5</v>
      </c>
      <c r="K43" s="69" t="str">
        <f aca="false">IF($B43="","",IF(INDEX('Master Database'!$I$1:$I$600,$B43)="","",INDEX('Master Database'!$I$1:$I$600,$B43)))</f>
        <v/>
      </c>
      <c r="L43" s="69" t="n">
        <f aca="false">IF($B43="","",IF(INDEX('Master Database'!$K$1:$K$600,$B43)="","",INDEX('Master Database'!$K$1:$K$600,$B43)))</f>
        <v>3.3</v>
      </c>
      <c r="M43" s="68" t="str">
        <f aca="false">IF($B43="","",IF(INDEX('Master Database'!$L$1:$L$600,$B43)="","",INDEX('Master Database'!$L$1:$L$600,$B43)))</f>
        <v>Not stated</v>
      </c>
      <c r="N43" s="68" t="str">
        <f aca="false">IF($B43="","",IF(INDEX('Master Database'!$P$1:$P$600,$B43)="","",INDEX('Master Database'!$P$1:$P$600,$B43)))</f>
        <v>Not stated</v>
      </c>
      <c r="O43" s="68" t="str">
        <f aca="false">IF($B43="","",IF(INDEX('Master Database'!$S$1:$S$600,$B43)="","",INDEX('Master Database'!$S$1:$S$600,$B43)))</f>
        <v>Electric Motor</v>
      </c>
      <c r="P43" s="68" t="str">
        <f aca="false">IF($B43="","",IF(INDEX('Master Database'!$T$1:$T$600,$B43)="","",INDEX('Master Database'!$T$1:$T$600,$B43)))</f>
        <v>Oily Water / Drain</v>
      </c>
      <c r="Q43" s="68" t="n">
        <f aca="false">IF($B43="","",IF(INDEX('Master Database'!$Y$1:$Y$600,$B43)="","",INDEX('Master Database'!$Y$1:$Y$600,$B43)))</f>
        <v>1402</v>
      </c>
      <c r="R43" s="68" t="str">
        <f aca="false">IF($B43="","",IF(INDEX('Master Database'!$Z$1:$Z$600,$B43)="","",INDEX('Master Database'!$Z$1:$Z$600,$B43)))</f>
        <v>EUR</v>
      </c>
      <c r="S43" s="70" t="n">
        <f aca="false">IF($B43="","",IF(INDEX('Master Database'!$AA$1:$AA$600,$B43)="","",INDEX('Master Database'!$AA$1:$AA$600,$B43)))</f>
        <v>53000</v>
      </c>
      <c r="T43" s="68" t="str">
        <f aca="false">IF($B43="","",IF(INDEX('Master Database'!$AE$1:$AE$600,$B43)="","",INDEX('Master Database'!$AE$1:$AE$600,$B43)))</f>
        <v>Consultant basic-design estimate – PEP Rev.1402/05, sheet P.ME «هزینه واحد بدون ضریب»; EUR figure (converted in the PEP at 420,000×1.085 IRR/EUR) | source label: AACE Class 2</v>
      </c>
      <c r="U43" s="70" t="n">
        <f aca="false">IF($B43="","",IF(INDEX('Master Database'!$AG$1:$AG$600,$B43)="","",INDEX('Master Database'!$AG$1:$AG$600,$B43)))</f>
        <v>54851.095588297</v>
      </c>
      <c r="V43" s="70" t="n">
        <f aca="false">IF($B43="","",IF(INDEX('Master Database'!$AH$1:$AH$600,$B43)="","",INDEX('Master Database'!$AH$1:$AH$600,$B43)))</f>
        <v>57910.858723077</v>
      </c>
      <c r="W43" s="70" t="n">
        <f aca="false">IF($B43="","",IF(INDEX('Master Database'!$AI$1:$AI$600,$B43)="","",INDEX('Master Database'!$AI$1:$AI$600,$B43)))</f>
        <v>38136211527.4841</v>
      </c>
      <c r="X43" s="68" t="str">
        <f aca="false">IF($B43="","",IF(INDEX('Master Database'!$BG$1:$BG$600,$B43)="","",INDEX('Master Database'!$BG$1:$BG$600,$B43)))</f>
        <v>Y</v>
      </c>
      <c r="BA43" s="65" t="n">
        <f aca="false">IF('Master Database'!$A43="",0,IF(AND(OR($B$5="",ISNUMBER(SEARCH($B$5,'Master Database'!$B43&amp;" "&amp;'Master Database'!$D43))),OR($B$6="(All)",'Master Database'!$C43=$B$6),OR($B$7="(All)",'Master Database'!$E43=$B$7),OR($B$8="(All)",'Master Database'!$T43=$B$8),OR($B$9="(All)",'Master Database'!$M43=$B$9),OR($B$10="(All)",'Master Database'!$V43=$B$10),OR($E$5="(All)",'Master Database'!$F43=$E$5),OR($E$6="(All)",'Master Database'!$G43=$E$6),OR($E$7="(All)",'Master Database'!$O43=$E$7),OR($E$8="(All)",'Master Database'!$P43=$E$8),OR($E$9="(All)",'Master Database'!$S43=$E$9),OR($E$10="(All)",'Master Database'!$Y43&amp;""=$E$10&amp;""),OR($H$5="(All)",'Master Database'!$BG43=$H$5),OR($H$6&lt;&gt;"Y",ISNUMBER('Master Database'!$AG43)),OR($H$7="",AND(ISNUMBER('Master Database'!$H43),N('Master Database'!$H43)&gt;=$H$7)),OR($I$7="",AND(ISNUMBER('Master Database'!$H43),N('Master Database'!$H43)&lt;=$I$7)),OR($H$8="",AND(ISNUMBER('Master Database'!$I43),N('Master Database'!$I43)&gt;=$H$8)),OR($I$8="",AND(ISNUMBER('Master Database'!$I43),N('Master Database'!$I43)&lt;=$I$8)),OR($H$9="",AND(ISNUMBER('Master Database'!$K43),N('Master Database'!$K43)&gt;=$H$9)),OR($I$9="",AND(ISNUMBER('Master Database'!$K43),N('Master Database'!$K43)&lt;=$I$9))),1,0))</f>
        <v>1</v>
      </c>
      <c r="BB43" s="65" t="n">
        <f aca="false">IF(BA43=1,COUNTIF($BA$5:BA43,1),"")</f>
        <v>39</v>
      </c>
    </row>
    <row r="44" customFormat="false" ht="15" hidden="false" customHeight="false" outlineLevel="0" collapsed="false">
      <c r="A44" s="67" t="n">
        <f aca="false">IF(29&lt;=SUM($BA$5:$BA$600),29,"")</f>
        <v>29</v>
      </c>
      <c r="B44" s="67" t="n">
        <f aca="false">IF(A44="","",MATCH(A44,$BB$5:$BB$600,0)+4)</f>
        <v>33</v>
      </c>
      <c r="C44" s="67" t="n">
        <f aca="false">IF($B44="","",IF(INDEX('Master Database'!$A$1:$A$600,$B44)="","",INDEX('Master Database'!$A$1:$A$600,$B44)))</f>
        <v>29</v>
      </c>
      <c r="D44" s="68" t="str">
        <f aca="false">IF($B44="","",IF(INDEX('Master Database'!$B$1:$B$600,$B44)="","",INDEX('Master Database'!$B$1:$B$600,$B44)))</f>
        <v>HC CLOSED DRAIN DRUM SUMP PUMP</v>
      </c>
      <c r="E44" s="68" t="str">
        <f aca="false">IF($B44="","",IF(INDEX('Master Database'!$C$1:$C$600,$B44)="","",INDEX('Master Database'!$C$1:$C$600,$B44)))</f>
        <v>Gachsaran 4</v>
      </c>
      <c r="F44" s="68" t="str">
        <f aca="false">IF($B44="","",IF(INDEX('Master Database'!$D$1:$D$600,$B44)="","",INDEX('Master Database'!$D$1:$D$600,$B44)))</f>
        <v>P-702A/B</v>
      </c>
      <c r="G44" s="68" t="str">
        <f aca="false">IF($B44="","",IF(INDEX('Master Database'!$E$1:$E$600,$B44)="","",INDEX('Master Database'!$E$1:$E$600,$B44)))</f>
        <v>ROT-DRN</v>
      </c>
      <c r="H44" s="68" t="str">
        <f aca="false">IF($B44="","",IF(INDEX('Master Database'!$F$1:$F$600,$B44)="","",INDEX('Master Database'!$F$1:$F$600,$B44)))</f>
        <v>Not stated</v>
      </c>
      <c r="I44" s="68" t="str">
        <f aca="false">IF($B44="","",IF(INDEX('Master Database'!$G$1:$G$600,$B44)="","",INDEX('Master Database'!$G$1:$G$600,$B44)))</f>
        <v>Not stated</v>
      </c>
      <c r="J44" s="69" t="n">
        <f aca="false">IF($B44="","",IF(INDEX('Master Database'!$H$1:$H$600,$B44)="","",INDEX('Master Database'!$H$1:$H$600,$B44)))</f>
        <v>5.5</v>
      </c>
      <c r="K44" s="69" t="str">
        <f aca="false">IF($B44="","",IF(INDEX('Master Database'!$I$1:$I$600,$B44)="","",INDEX('Master Database'!$I$1:$I$600,$B44)))</f>
        <v/>
      </c>
      <c r="L44" s="69" t="n">
        <f aca="false">IF($B44="","",IF(INDEX('Master Database'!$K$1:$K$600,$B44)="","",INDEX('Master Database'!$K$1:$K$600,$B44)))</f>
        <v>0.11</v>
      </c>
      <c r="M44" s="68" t="str">
        <f aca="false">IF($B44="","",IF(INDEX('Master Database'!$L$1:$L$600,$B44)="","",INDEX('Master Database'!$L$1:$L$600,$B44)))</f>
        <v>Not stated</v>
      </c>
      <c r="N44" s="68" t="str">
        <f aca="false">IF($B44="","",IF(INDEX('Master Database'!$P$1:$P$600,$B44)="","",INDEX('Master Database'!$P$1:$P$600,$B44)))</f>
        <v>Not stated</v>
      </c>
      <c r="O44" s="68" t="str">
        <f aca="false">IF($B44="","",IF(INDEX('Master Database'!$S$1:$S$600,$B44)="","",INDEX('Master Database'!$S$1:$S$600,$B44)))</f>
        <v>Electric Motor</v>
      </c>
      <c r="P44" s="68" t="str">
        <f aca="false">IF($B44="","",IF(INDEX('Master Database'!$T$1:$T$600,$B44)="","",INDEX('Master Database'!$T$1:$T$600,$B44)))</f>
        <v>Oily Water / Drain</v>
      </c>
      <c r="Q44" s="68" t="n">
        <f aca="false">IF($B44="","",IF(INDEX('Master Database'!$Y$1:$Y$600,$B44)="","",INDEX('Master Database'!$Y$1:$Y$600,$B44)))</f>
        <v>1402</v>
      </c>
      <c r="R44" s="68" t="str">
        <f aca="false">IF($B44="","",IF(INDEX('Master Database'!$Z$1:$Z$600,$B44)="","",INDEX('Master Database'!$Z$1:$Z$600,$B44)))</f>
        <v>EUR</v>
      </c>
      <c r="S44" s="70" t="n">
        <f aca="false">IF($B44="","",IF(INDEX('Master Database'!$AA$1:$AA$600,$B44)="","",INDEX('Master Database'!$AA$1:$AA$600,$B44)))</f>
        <v>53000</v>
      </c>
      <c r="T44" s="68" t="str">
        <f aca="false">IF($B44="","",IF(INDEX('Master Database'!$AE$1:$AE$600,$B44)="","",INDEX('Master Database'!$AE$1:$AE$600,$B44)))</f>
        <v>Consultant basic-design estimate – PEP Rev.1402/05, sheet P.ME «هزینه واحد بدون ضریب»; EUR figure (converted in the PEP at 420,000×1.085 IRR/EUR) | source label: AACE Class 2</v>
      </c>
      <c r="U44" s="70" t="n">
        <f aca="false">IF($B44="","",IF(INDEX('Master Database'!$AG$1:$AG$600,$B44)="","",INDEX('Master Database'!$AG$1:$AG$600,$B44)))</f>
        <v>54851.095588297</v>
      </c>
      <c r="V44" s="70" t="n">
        <f aca="false">IF($B44="","",IF(INDEX('Master Database'!$AH$1:$AH$600,$B44)="","",INDEX('Master Database'!$AH$1:$AH$600,$B44)))</f>
        <v>57910.858723077</v>
      </c>
      <c r="W44" s="70" t="n">
        <f aca="false">IF($B44="","",IF(INDEX('Master Database'!$AI$1:$AI$600,$B44)="","",INDEX('Master Database'!$AI$1:$AI$600,$B44)))</f>
        <v>38136211527.4841</v>
      </c>
      <c r="X44" s="68" t="str">
        <f aca="false">IF($B44="","",IF(INDEX('Master Database'!$BG$1:$BG$600,$B44)="","",INDEX('Master Database'!$BG$1:$BG$600,$B44)))</f>
        <v>Y</v>
      </c>
      <c r="BA44" s="65" t="n">
        <f aca="false">IF('Master Database'!$A44="",0,IF(AND(OR($B$5="",ISNUMBER(SEARCH($B$5,'Master Database'!$B44&amp;" "&amp;'Master Database'!$D44))),OR($B$6="(All)",'Master Database'!$C44=$B$6),OR($B$7="(All)",'Master Database'!$E44=$B$7),OR($B$8="(All)",'Master Database'!$T44=$B$8),OR($B$9="(All)",'Master Database'!$M44=$B$9),OR($B$10="(All)",'Master Database'!$V44=$B$10),OR($E$5="(All)",'Master Database'!$F44=$E$5),OR($E$6="(All)",'Master Database'!$G44=$E$6),OR($E$7="(All)",'Master Database'!$O44=$E$7),OR($E$8="(All)",'Master Database'!$P44=$E$8),OR($E$9="(All)",'Master Database'!$S44=$E$9),OR($E$10="(All)",'Master Database'!$Y44&amp;""=$E$10&amp;""),OR($H$5="(All)",'Master Database'!$BG44=$H$5),OR($H$6&lt;&gt;"Y",ISNUMBER('Master Database'!$AG44)),OR($H$7="",AND(ISNUMBER('Master Database'!$H44),N('Master Database'!$H44)&gt;=$H$7)),OR($I$7="",AND(ISNUMBER('Master Database'!$H44),N('Master Database'!$H44)&lt;=$I$7)),OR($H$8="",AND(ISNUMBER('Master Database'!$I44),N('Master Database'!$I44)&gt;=$H$8)),OR($I$8="",AND(ISNUMBER('Master Database'!$I44),N('Master Database'!$I44)&lt;=$I$8)),OR($H$9="",AND(ISNUMBER('Master Database'!$K44),N('Master Database'!$K44)&gt;=$H$9)),OR($I$9="",AND(ISNUMBER('Master Database'!$K44),N('Master Database'!$K44)&lt;=$I$9))),1,0))</f>
        <v>1</v>
      </c>
      <c r="BB44" s="65" t="n">
        <f aca="false">IF(BA44=1,COUNTIF($BA$5:BA44,1),"")</f>
        <v>40</v>
      </c>
    </row>
    <row r="45" customFormat="false" ht="15" hidden="false" customHeight="false" outlineLevel="0" collapsed="false">
      <c r="A45" s="67" t="n">
        <f aca="false">IF(30&lt;=SUM($BA$5:$BA$600),30,"")</f>
        <v>30</v>
      </c>
      <c r="B45" s="67" t="n">
        <f aca="false">IF(A45="","",MATCH(A45,$BB$5:$BB$600,0)+4)</f>
        <v>34</v>
      </c>
      <c r="C45" s="67" t="n">
        <f aca="false">IF($B45="","",IF(INDEX('Master Database'!$A$1:$A$600,$B45)="","",INDEX('Master Database'!$A$1:$A$600,$B45)))</f>
        <v>30</v>
      </c>
      <c r="D45" s="68" t="str">
        <f aca="false">IF($B45="","",IF(INDEX('Master Database'!$B$1:$B$600,$B45)="","",INDEX('Master Database'!$B$1:$B$600,$B45)))</f>
        <v>CLEAN WATER PUMPS</v>
      </c>
      <c r="E45" s="68" t="str">
        <f aca="false">IF($B45="","",IF(INDEX('Master Database'!$C$1:$C$600,$B45)="","",INDEX('Master Database'!$C$1:$C$600,$B45)))</f>
        <v>Gachsaran 4</v>
      </c>
      <c r="F45" s="68" t="str">
        <f aca="false">IF($B45="","",IF(INDEX('Master Database'!$D$1:$D$600,$B45)="","",INDEX('Master Database'!$D$1:$D$600,$B45)))</f>
        <v>P-703-A/B</v>
      </c>
      <c r="G45" s="68" t="str">
        <f aca="false">IF($B45="","",IF(INDEX('Master Database'!$E$1:$E$600,$B45)="","",INDEX('Master Database'!$E$1:$E$600,$B45)))</f>
        <v>ROT-WAT</v>
      </c>
      <c r="H45" s="68" t="str">
        <f aca="false">IF($B45="","",IF(INDEX('Master Database'!$F$1:$F$600,$B45)="","",INDEX('Master Database'!$F$1:$F$600,$B45)))</f>
        <v>Not stated</v>
      </c>
      <c r="I45" s="68" t="str">
        <f aca="false">IF($B45="","",IF(INDEX('Master Database'!$G$1:$G$600,$B45)="","",INDEX('Master Database'!$G$1:$G$600,$B45)))</f>
        <v>Not stated</v>
      </c>
      <c r="J45" s="69" t="n">
        <f aca="false">IF($B45="","",IF(INDEX('Master Database'!$H$1:$H$600,$B45)="","",INDEX('Master Database'!$H$1:$H$600,$B45)))</f>
        <v>11</v>
      </c>
      <c r="K45" s="69" t="str">
        <f aca="false">IF($B45="","",IF(INDEX('Master Database'!$I$1:$I$600,$B45)="","",INDEX('Master Database'!$I$1:$I$600,$B45)))</f>
        <v/>
      </c>
      <c r="L45" s="69" t="n">
        <f aca="false">IF($B45="","",IF(INDEX('Master Database'!$K$1:$K$600,$B45)="","",INDEX('Master Database'!$K$1:$K$600,$B45)))</f>
        <v>0.54</v>
      </c>
      <c r="M45" s="68" t="str">
        <f aca="false">IF($B45="","",IF(INDEX('Master Database'!$L$1:$L$600,$B45)="","",INDEX('Master Database'!$L$1:$L$600,$B45)))</f>
        <v>Not stated</v>
      </c>
      <c r="N45" s="68" t="str">
        <f aca="false">IF($B45="","",IF(INDEX('Master Database'!$P$1:$P$600,$B45)="","",INDEX('Master Database'!$P$1:$P$600,$B45)))</f>
        <v>Not stated</v>
      </c>
      <c r="O45" s="68" t="str">
        <f aca="false">IF($B45="","",IF(INDEX('Master Database'!$S$1:$S$600,$B45)="","",INDEX('Master Database'!$S$1:$S$600,$B45)))</f>
        <v>Electric Motor</v>
      </c>
      <c r="P45" s="68" t="str">
        <f aca="false">IF($B45="","",IF(INDEX('Master Database'!$T$1:$T$600,$B45)="","",INDEX('Master Database'!$T$1:$T$600,$B45)))</f>
        <v>Process / Dilution Water</v>
      </c>
      <c r="Q45" s="68" t="n">
        <f aca="false">IF($B45="","",IF(INDEX('Master Database'!$Y$1:$Y$600,$B45)="","",INDEX('Master Database'!$Y$1:$Y$600,$B45)))</f>
        <v>1402</v>
      </c>
      <c r="R45" s="68" t="str">
        <f aca="false">IF($B45="","",IF(INDEX('Master Database'!$Z$1:$Z$600,$B45)="","",INDEX('Master Database'!$Z$1:$Z$600,$B45)))</f>
        <v>EUR</v>
      </c>
      <c r="S45" s="70" t="n">
        <f aca="false">IF($B45="","",IF(INDEX('Master Database'!$AA$1:$AA$600,$B45)="","",INDEX('Master Database'!$AA$1:$AA$600,$B45)))</f>
        <v>29000</v>
      </c>
      <c r="T45" s="68" t="str">
        <f aca="false">IF($B45="","",IF(INDEX('Master Database'!$AE$1:$AE$600,$B45)="","",INDEX('Master Database'!$AE$1:$AE$600,$B45)))</f>
        <v>Consultant basic-design estimate – PEP Rev.1402/05, sheet P.ME «هزینه واحد بدون ضریب»; EUR figure (converted in the PEP at 420,000×1.085 IRR/EUR) | source label: AACE Class 2</v>
      </c>
      <c r="U45" s="70" t="n">
        <f aca="false">IF($B45="","",IF(INDEX('Master Database'!$AG$1:$AG$600,$B45)="","",INDEX('Master Database'!$AG$1:$AG$600,$B45)))</f>
        <v>30012.8636237851</v>
      </c>
      <c r="V45" s="70" t="n">
        <f aca="false">IF($B45="","",IF(INDEX('Master Database'!$AH$1:$AH$600,$B45)="","",INDEX('Master Database'!$AH$1:$AH$600,$B45)))</f>
        <v>31687.0736409289</v>
      </c>
      <c r="W45" s="70" t="n">
        <f aca="false">IF($B45="","",IF(INDEX('Master Database'!$AI$1:$AI$600,$B45)="","",INDEX('Master Database'!$AI$1:$AI$600,$B45)))</f>
        <v>20866983665.9818</v>
      </c>
      <c r="X45" s="68" t="str">
        <f aca="false">IF($B45="","",IF(INDEX('Master Database'!$BG$1:$BG$600,$B45)="","",INDEX('Master Database'!$BG$1:$BG$600,$B45)))</f>
        <v>Y</v>
      </c>
      <c r="BA45" s="65" t="n">
        <f aca="false">IF('Master Database'!$A45="",0,IF(AND(OR($B$5="",ISNUMBER(SEARCH($B$5,'Master Database'!$B45&amp;" "&amp;'Master Database'!$D45))),OR($B$6="(All)",'Master Database'!$C45=$B$6),OR($B$7="(All)",'Master Database'!$E45=$B$7),OR($B$8="(All)",'Master Database'!$T45=$B$8),OR($B$9="(All)",'Master Database'!$M45=$B$9),OR($B$10="(All)",'Master Database'!$V45=$B$10),OR($E$5="(All)",'Master Database'!$F45=$E$5),OR($E$6="(All)",'Master Database'!$G45=$E$6),OR($E$7="(All)",'Master Database'!$O45=$E$7),OR($E$8="(All)",'Master Database'!$P45=$E$8),OR($E$9="(All)",'Master Database'!$S45=$E$9),OR($E$10="(All)",'Master Database'!$Y45&amp;""=$E$10&amp;""),OR($H$5="(All)",'Master Database'!$BG45=$H$5),OR($H$6&lt;&gt;"Y",ISNUMBER('Master Database'!$AG45)),OR($H$7="",AND(ISNUMBER('Master Database'!$H45),N('Master Database'!$H45)&gt;=$H$7)),OR($I$7="",AND(ISNUMBER('Master Database'!$H45),N('Master Database'!$H45)&lt;=$I$7)),OR($H$8="",AND(ISNUMBER('Master Database'!$I45),N('Master Database'!$I45)&gt;=$H$8)),OR($I$8="",AND(ISNUMBER('Master Database'!$I45),N('Master Database'!$I45)&lt;=$I$8)),OR($H$9="",AND(ISNUMBER('Master Database'!$K45),N('Master Database'!$K45)&gt;=$H$9)),OR($I$9="",AND(ISNUMBER('Master Database'!$K45),N('Master Database'!$K45)&lt;=$I$9))),1,0))</f>
        <v>1</v>
      </c>
      <c r="BB45" s="65" t="n">
        <f aca="false">IF(BA45=1,COUNTIF($BA$5:BA45,1),"")</f>
        <v>41</v>
      </c>
    </row>
    <row r="46" customFormat="false" ht="15" hidden="false" customHeight="false" outlineLevel="0" collapsed="false">
      <c r="A46" s="67" t="n">
        <f aca="false">IF(31&lt;=SUM($BA$5:$BA$600),31,"")</f>
        <v>31</v>
      </c>
      <c r="B46" s="67" t="n">
        <f aca="false">IF(A46="","",MATCH(A46,$BB$5:$BB$600,0)+4)</f>
        <v>35</v>
      </c>
      <c r="C46" s="67" t="n">
        <f aca="false">IF($B46="","",IF(INDEX('Master Database'!$A$1:$A$600,$B46)="","",INDEX('Master Database'!$A$1:$A$600,$B46)))</f>
        <v>31</v>
      </c>
      <c r="D46" s="68" t="str">
        <f aca="false">IF($B46="","",IF(INDEX('Master Database'!$B$1:$B$600,$B46)="","",INDEX('Master Database'!$B$1:$B$600,$B46)))</f>
        <v>RECOVERED WASTE OIL PUMPS</v>
      </c>
      <c r="E46" s="68" t="str">
        <f aca="false">IF($B46="","",IF(INDEX('Master Database'!$C$1:$C$600,$B46)="","",INDEX('Master Database'!$C$1:$C$600,$B46)))</f>
        <v>Gachsaran 4</v>
      </c>
      <c r="F46" s="68" t="str">
        <f aca="false">IF($B46="","",IF(INDEX('Master Database'!$D$1:$D$600,$B46)="","",INDEX('Master Database'!$D$1:$D$600,$B46)))</f>
        <v>P-704-A/B</v>
      </c>
      <c r="G46" s="68" t="str">
        <f aca="false">IF($B46="","",IF(INDEX('Master Database'!$E$1:$E$600,$B46)="","",INDEX('Master Database'!$E$1:$E$600,$B46)))</f>
        <v>ROT-DRN</v>
      </c>
      <c r="H46" s="68" t="str">
        <f aca="false">IF($B46="","",IF(INDEX('Master Database'!$F$1:$F$600,$B46)="","",INDEX('Master Database'!$F$1:$F$600,$B46)))</f>
        <v>Not stated</v>
      </c>
      <c r="I46" s="68" t="str">
        <f aca="false">IF($B46="","",IF(INDEX('Master Database'!$G$1:$G$600,$B46)="","",INDEX('Master Database'!$G$1:$G$600,$B46)))</f>
        <v>Not stated</v>
      </c>
      <c r="J46" s="69" t="n">
        <f aca="false">IF($B46="","",IF(INDEX('Master Database'!$H$1:$H$600,$B46)="","",INDEX('Master Database'!$H$1:$H$600,$B46)))</f>
        <v>11</v>
      </c>
      <c r="K46" s="69" t="str">
        <f aca="false">IF($B46="","",IF(INDEX('Master Database'!$I$1:$I$600,$B46)="","",INDEX('Master Database'!$I$1:$I$600,$B46)))</f>
        <v/>
      </c>
      <c r="L46" s="69" t="n">
        <f aca="false">IF($B46="","",IF(INDEX('Master Database'!$K$1:$K$600,$B46)="","",INDEX('Master Database'!$K$1:$K$600,$B46)))</f>
        <v>0.8</v>
      </c>
      <c r="M46" s="68" t="str">
        <f aca="false">IF($B46="","",IF(INDEX('Master Database'!$L$1:$L$600,$B46)="","",INDEX('Master Database'!$L$1:$L$600,$B46)))</f>
        <v>Not stated</v>
      </c>
      <c r="N46" s="68" t="str">
        <f aca="false">IF($B46="","",IF(INDEX('Master Database'!$P$1:$P$600,$B46)="","",INDEX('Master Database'!$P$1:$P$600,$B46)))</f>
        <v>Not stated</v>
      </c>
      <c r="O46" s="68" t="str">
        <f aca="false">IF($B46="","",IF(INDEX('Master Database'!$S$1:$S$600,$B46)="","",INDEX('Master Database'!$S$1:$S$600,$B46)))</f>
        <v>Electric Motor</v>
      </c>
      <c r="P46" s="68" t="str">
        <f aca="false">IF($B46="","",IF(INDEX('Master Database'!$T$1:$T$600,$B46)="","",INDEX('Master Database'!$T$1:$T$600,$B46)))</f>
        <v>Slop / Dirty Oil</v>
      </c>
      <c r="Q46" s="68" t="n">
        <f aca="false">IF($B46="","",IF(INDEX('Master Database'!$Y$1:$Y$600,$B46)="","",INDEX('Master Database'!$Y$1:$Y$600,$B46)))</f>
        <v>1402</v>
      </c>
      <c r="R46" s="68" t="str">
        <f aca="false">IF($B46="","",IF(INDEX('Master Database'!$Z$1:$Z$600,$B46)="","",INDEX('Master Database'!$Z$1:$Z$600,$B46)))</f>
        <v>EUR</v>
      </c>
      <c r="S46" s="70" t="n">
        <f aca="false">IF($B46="","",IF(INDEX('Master Database'!$AA$1:$AA$600,$B46)="","",INDEX('Master Database'!$AA$1:$AA$600,$B46)))</f>
        <v>35000</v>
      </c>
      <c r="T46" s="68" t="str">
        <f aca="false">IF($B46="","",IF(INDEX('Master Database'!$AE$1:$AE$600,$B46)="","",INDEX('Master Database'!$AE$1:$AE$600,$B46)))</f>
        <v>Consultant basic-design estimate – PEP Rev.1402/05, sheet P.ME «هزینه واحد بدون ضریب»; EUR figure (converted in the PEP at 420,000×1.085 IRR/EUR) | source label: AACE Class 2</v>
      </c>
      <c r="U46" s="70" t="n">
        <f aca="false">IF($B46="","",IF(INDEX('Master Database'!$AG$1:$AG$600,$B46)="","",INDEX('Master Database'!$AG$1:$AG$600,$B46)))</f>
        <v>36222.4216149131</v>
      </c>
      <c r="V46" s="70" t="n">
        <f aca="false">IF($B46="","",IF(INDEX('Master Database'!$AH$1:$AH$600,$B46)="","",INDEX('Master Database'!$AH$1:$AH$600,$B46)))</f>
        <v>38243.0199114659</v>
      </c>
      <c r="W46" s="70" t="n">
        <f aca="false">IF($B46="","",IF(INDEX('Master Database'!$AI$1:$AI$600,$B46)="","",INDEX('Master Database'!$AI$1:$AI$600,$B46)))</f>
        <v>25184290631.3574</v>
      </c>
      <c r="X46" s="68" t="str">
        <f aca="false">IF($B46="","",IF(INDEX('Master Database'!$BG$1:$BG$600,$B46)="","",INDEX('Master Database'!$BG$1:$BG$600,$B46)))</f>
        <v>Y</v>
      </c>
      <c r="BA46" s="65" t="n">
        <f aca="false">IF('Master Database'!$A46="",0,IF(AND(OR($B$5="",ISNUMBER(SEARCH($B$5,'Master Database'!$B46&amp;" "&amp;'Master Database'!$D46))),OR($B$6="(All)",'Master Database'!$C46=$B$6),OR($B$7="(All)",'Master Database'!$E46=$B$7),OR($B$8="(All)",'Master Database'!$T46=$B$8),OR($B$9="(All)",'Master Database'!$M46=$B$9),OR($B$10="(All)",'Master Database'!$V46=$B$10),OR($E$5="(All)",'Master Database'!$F46=$E$5),OR($E$6="(All)",'Master Database'!$G46=$E$6),OR($E$7="(All)",'Master Database'!$O46=$E$7),OR($E$8="(All)",'Master Database'!$P46=$E$8),OR($E$9="(All)",'Master Database'!$S46=$E$9),OR($E$10="(All)",'Master Database'!$Y46&amp;""=$E$10&amp;""),OR($H$5="(All)",'Master Database'!$BG46=$H$5),OR($H$6&lt;&gt;"Y",ISNUMBER('Master Database'!$AG46)),OR($H$7="",AND(ISNUMBER('Master Database'!$H46),N('Master Database'!$H46)&gt;=$H$7)),OR($I$7="",AND(ISNUMBER('Master Database'!$H46),N('Master Database'!$H46)&lt;=$I$7)),OR($H$8="",AND(ISNUMBER('Master Database'!$I46),N('Master Database'!$I46)&gt;=$H$8)),OR($I$8="",AND(ISNUMBER('Master Database'!$I46),N('Master Database'!$I46)&lt;=$I$8)),OR($H$9="",AND(ISNUMBER('Master Database'!$K46),N('Master Database'!$K46)&gt;=$H$9)),OR($I$9="",AND(ISNUMBER('Master Database'!$K46),N('Master Database'!$K46)&lt;=$I$9))),1,0))</f>
        <v>1</v>
      </c>
      <c r="BB46" s="65" t="n">
        <f aca="false">IF(BA46=1,COUNTIF($BA$5:BA46,1),"")</f>
        <v>42</v>
      </c>
    </row>
    <row r="47" customFormat="false" ht="15" hidden="false" customHeight="false" outlineLevel="0" collapsed="false">
      <c r="A47" s="67" t="n">
        <f aca="false">IF(32&lt;=SUM($BA$5:$BA$600),32,"")</f>
        <v>32</v>
      </c>
      <c r="B47" s="67" t="n">
        <f aca="false">IF(A47="","",MATCH(A47,$BB$5:$BB$600,0)+4)</f>
        <v>36</v>
      </c>
      <c r="C47" s="67" t="n">
        <f aca="false">IF($B47="","",IF(INDEX('Master Database'!$A$1:$A$600,$B47)="","",INDEX('Master Database'!$A$1:$A$600,$B47)))</f>
        <v>32</v>
      </c>
      <c r="D47" s="68" t="str">
        <f aca="false">IF($B47="","",IF(INDEX('Master Database'!$B$1:$B$600,$B47)="","",INDEX('Master Database'!$B$1:$B$600,$B47)))</f>
        <v>OILY WATER SEPARATOR PUMP</v>
      </c>
      <c r="E47" s="68" t="str">
        <f aca="false">IF($B47="","",IF(INDEX('Master Database'!$C$1:$C$600,$B47)="","",INDEX('Master Database'!$C$1:$C$600,$B47)))</f>
        <v>Gachsaran 4</v>
      </c>
      <c r="F47" s="68" t="str">
        <f aca="false">IF($B47="","",IF(INDEX('Master Database'!$D$1:$D$600,$B47)="","",INDEX('Master Database'!$D$1:$D$600,$B47)))</f>
        <v>P-750</v>
      </c>
      <c r="G47" s="68" t="str">
        <f aca="false">IF($B47="","",IF(INDEX('Master Database'!$E$1:$E$600,$B47)="","",INDEX('Master Database'!$E$1:$E$600,$B47)))</f>
        <v>ROT-DRN</v>
      </c>
      <c r="H47" s="68" t="str">
        <f aca="false">IF($B47="","",IF(INDEX('Master Database'!$F$1:$F$600,$B47)="","",INDEX('Master Database'!$F$1:$F$600,$B47)))</f>
        <v>Not stated</v>
      </c>
      <c r="I47" s="68" t="str">
        <f aca="false">IF($B47="","",IF(INDEX('Master Database'!$G$1:$G$600,$B47)="","",INDEX('Master Database'!$G$1:$G$600,$B47)))</f>
        <v>Not stated</v>
      </c>
      <c r="J47" s="69" t="n">
        <f aca="false">IF($B47="","",IF(INDEX('Master Database'!$H$1:$H$600,$B47)="","",INDEX('Master Database'!$H$1:$H$600,$B47)))</f>
        <v>1</v>
      </c>
      <c r="K47" s="69" t="str">
        <f aca="false">IF($B47="","",IF(INDEX('Master Database'!$I$1:$I$600,$B47)="","",INDEX('Master Database'!$I$1:$I$600,$B47)))</f>
        <v/>
      </c>
      <c r="L47" s="69" t="n">
        <f aca="false">IF($B47="","",IF(INDEX('Master Database'!$K$1:$K$600,$B47)="","",INDEX('Master Database'!$K$1:$K$600,$B47)))</f>
        <v>0.02</v>
      </c>
      <c r="M47" s="68" t="str">
        <f aca="false">IF($B47="","",IF(INDEX('Master Database'!$L$1:$L$600,$B47)="","",INDEX('Master Database'!$L$1:$L$600,$B47)))</f>
        <v>Not stated</v>
      </c>
      <c r="N47" s="68" t="str">
        <f aca="false">IF($B47="","",IF(INDEX('Master Database'!$P$1:$P$600,$B47)="","",INDEX('Master Database'!$P$1:$P$600,$B47)))</f>
        <v>Not stated</v>
      </c>
      <c r="O47" s="68" t="str">
        <f aca="false">IF($B47="","",IF(INDEX('Master Database'!$S$1:$S$600,$B47)="","",INDEX('Master Database'!$S$1:$S$600,$B47)))</f>
        <v>Electric Motor</v>
      </c>
      <c r="P47" s="68" t="str">
        <f aca="false">IF($B47="","",IF(INDEX('Master Database'!$T$1:$T$600,$B47)="","",INDEX('Master Database'!$T$1:$T$600,$B47)))</f>
        <v>Oily Water / Drain</v>
      </c>
      <c r="Q47" s="68" t="n">
        <f aca="false">IF($B47="","",IF(INDEX('Master Database'!$Y$1:$Y$600,$B47)="","",INDEX('Master Database'!$Y$1:$Y$600,$B47)))</f>
        <v>1402</v>
      </c>
      <c r="R47" s="68" t="str">
        <f aca="false">IF($B47="","",IF(INDEX('Master Database'!$Z$1:$Z$600,$B47)="","",INDEX('Master Database'!$Z$1:$Z$600,$B47)))</f>
        <v>EUR</v>
      </c>
      <c r="S47" s="70" t="n">
        <f aca="false">IF($B47="","",IF(INDEX('Master Database'!$AA$1:$AA$600,$B47)="","",INDEX('Master Database'!$AA$1:$AA$600,$B47)))</f>
        <v>13350</v>
      </c>
      <c r="T47" s="68" t="str">
        <f aca="false">IF($B47="","",IF(INDEX('Master Database'!$AE$1:$AE$600,$B47)="","",INDEX('Master Database'!$AE$1:$AE$600,$B47)))</f>
        <v>Consultant basic-design estimate – PEP Rev.1402/05, sheet P.ME «هزینه واحد بدون ضریب»; EUR figure (converted in the PEP at 420,000×1.085 IRR/EUR) | source label: AACE Class 2</v>
      </c>
      <c r="U47" s="70" t="n">
        <f aca="false">IF($B47="","",IF(INDEX('Master Database'!$AG$1:$AG$600,$B47)="","",INDEX('Master Database'!$AG$1:$AG$600,$B47)))</f>
        <v>13816.2665302597</v>
      </c>
      <c r="V47" s="70" t="n">
        <f aca="false">IF($B47="","",IF(INDEX('Master Database'!$AH$1:$AH$600,$B47)="","",INDEX('Master Database'!$AH$1:$AH$600,$B47)))</f>
        <v>14586.9804519449</v>
      </c>
      <c r="W47" s="70" t="n">
        <f aca="false">IF($B47="","",IF(INDEX('Master Database'!$AI$1:$AI$600,$B47)="","",INDEX('Master Database'!$AI$1:$AI$600,$B47)))</f>
        <v>9606007997.9606</v>
      </c>
      <c r="X47" s="68" t="str">
        <f aca="false">IF($B47="","",IF(INDEX('Master Database'!$BG$1:$BG$600,$B47)="","",INDEX('Master Database'!$BG$1:$BG$600,$B47)))</f>
        <v>Y</v>
      </c>
      <c r="BA47" s="65" t="n">
        <f aca="false">IF('Master Database'!$A47="",0,IF(AND(OR($B$5="",ISNUMBER(SEARCH($B$5,'Master Database'!$B47&amp;" "&amp;'Master Database'!$D47))),OR($B$6="(All)",'Master Database'!$C47=$B$6),OR($B$7="(All)",'Master Database'!$E47=$B$7),OR($B$8="(All)",'Master Database'!$T47=$B$8),OR($B$9="(All)",'Master Database'!$M47=$B$9),OR($B$10="(All)",'Master Database'!$V47=$B$10),OR($E$5="(All)",'Master Database'!$F47=$E$5),OR($E$6="(All)",'Master Database'!$G47=$E$6),OR($E$7="(All)",'Master Database'!$O47=$E$7),OR($E$8="(All)",'Master Database'!$P47=$E$8),OR($E$9="(All)",'Master Database'!$S47=$E$9),OR($E$10="(All)",'Master Database'!$Y47&amp;""=$E$10&amp;""),OR($H$5="(All)",'Master Database'!$BG47=$H$5),OR($H$6&lt;&gt;"Y",ISNUMBER('Master Database'!$AG47)),OR($H$7="",AND(ISNUMBER('Master Database'!$H47),N('Master Database'!$H47)&gt;=$H$7)),OR($I$7="",AND(ISNUMBER('Master Database'!$H47),N('Master Database'!$H47)&lt;=$I$7)),OR($H$8="",AND(ISNUMBER('Master Database'!$I47),N('Master Database'!$I47)&gt;=$H$8)),OR($I$8="",AND(ISNUMBER('Master Database'!$I47),N('Master Database'!$I47)&lt;=$I$8)),OR($H$9="",AND(ISNUMBER('Master Database'!$K47),N('Master Database'!$K47)&gt;=$H$9)),OR($I$9="",AND(ISNUMBER('Master Database'!$K47),N('Master Database'!$K47)&lt;=$I$9))),1,0))</f>
        <v>1</v>
      </c>
      <c r="BB47" s="65" t="n">
        <f aca="false">IF(BA47=1,COUNTIF($BA$5:BA47,1),"")</f>
        <v>43</v>
      </c>
    </row>
    <row r="48" customFormat="false" ht="15" hidden="false" customHeight="false" outlineLevel="0" collapsed="false">
      <c r="A48" s="67" t="n">
        <f aca="false">IF(33&lt;=SUM($BA$5:$BA$600),33,"")</f>
        <v>33</v>
      </c>
      <c r="B48" s="67" t="n">
        <f aca="false">IF(A48="","",MATCH(A48,$BB$5:$BB$600,0)+4)</f>
        <v>37</v>
      </c>
      <c r="C48" s="67" t="n">
        <f aca="false">IF($B48="","",IF(INDEX('Master Database'!$A$1:$A$600,$B48)="","",INDEX('Master Database'!$A$1:$A$600,$B48)))</f>
        <v>33</v>
      </c>
      <c r="D48" s="68" t="str">
        <f aca="false">IF($B48="","",IF(INDEX('Master Database'!$B$1:$B$600,$B48)="","",INDEX('Master Database'!$B$1:$B$600,$B48)))</f>
        <v>DIRTY OIL PUMPS</v>
      </c>
      <c r="E48" s="68" t="str">
        <f aca="false">IF($B48="","",IF(INDEX('Master Database'!$C$1:$C$600,$B48)="","",INDEX('Master Database'!$C$1:$C$600,$B48)))</f>
        <v>Gachsaran 4</v>
      </c>
      <c r="F48" s="68" t="str">
        <f aca="false">IF($B48="","",IF(INDEX('Master Database'!$D$1:$D$600,$B48)="","",INDEX('Master Database'!$D$1:$D$600,$B48)))</f>
        <v>P-705-A/B</v>
      </c>
      <c r="G48" s="68" t="str">
        <f aca="false">IF($B48="","",IF(INDEX('Master Database'!$E$1:$E$600,$B48)="","",INDEX('Master Database'!$E$1:$E$600,$B48)))</f>
        <v>ROT-DRN</v>
      </c>
      <c r="H48" s="68" t="str">
        <f aca="false">IF($B48="","",IF(INDEX('Master Database'!$F$1:$F$600,$B48)="","",INDEX('Master Database'!$F$1:$F$600,$B48)))</f>
        <v>Not stated</v>
      </c>
      <c r="I48" s="68" t="str">
        <f aca="false">IF($B48="","",IF(INDEX('Master Database'!$G$1:$G$600,$B48)="","",INDEX('Master Database'!$G$1:$G$600,$B48)))</f>
        <v>Not stated</v>
      </c>
      <c r="J48" s="69" t="n">
        <f aca="false">IF($B48="","",IF(INDEX('Master Database'!$H$1:$H$600,$B48)="","",INDEX('Master Database'!$H$1:$H$600,$B48)))</f>
        <v>5</v>
      </c>
      <c r="K48" s="69" t="str">
        <f aca="false">IF($B48="","",IF(INDEX('Master Database'!$I$1:$I$600,$B48)="","",INDEX('Master Database'!$I$1:$I$600,$B48)))</f>
        <v/>
      </c>
      <c r="L48" s="69" t="n">
        <f aca="false">IF($B48="","",IF(INDEX('Master Database'!$K$1:$K$600,$B48)="","",INDEX('Master Database'!$K$1:$K$600,$B48)))</f>
        <v>0.3</v>
      </c>
      <c r="M48" s="68" t="str">
        <f aca="false">IF($B48="","",IF(INDEX('Master Database'!$L$1:$L$600,$B48)="","",INDEX('Master Database'!$L$1:$L$600,$B48)))</f>
        <v>Not stated</v>
      </c>
      <c r="N48" s="68" t="str">
        <f aca="false">IF($B48="","",IF(INDEX('Master Database'!$P$1:$P$600,$B48)="","",INDEX('Master Database'!$P$1:$P$600,$B48)))</f>
        <v>Not stated</v>
      </c>
      <c r="O48" s="68" t="str">
        <f aca="false">IF($B48="","",IF(INDEX('Master Database'!$S$1:$S$600,$B48)="","",INDEX('Master Database'!$S$1:$S$600,$B48)))</f>
        <v>Electric Motor</v>
      </c>
      <c r="P48" s="68" t="str">
        <f aca="false">IF($B48="","",IF(INDEX('Master Database'!$T$1:$T$600,$B48)="","",INDEX('Master Database'!$T$1:$T$600,$B48)))</f>
        <v>Slop / Dirty Oil</v>
      </c>
      <c r="Q48" s="68" t="n">
        <f aca="false">IF($B48="","",IF(INDEX('Master Database'!$Y$1:$Y$600,$B48)="","",INDEX('Master Database'!$Y$1:$Y$600,$B48)))</f>
        <v>1402</v>
      </c>
      <c r="R48" s="68" t="str">
        <f aca="false">IF($B48="","",IF(INDEX('Master Database'!$Z$1:$Z$600,$B48)="","",INDEX('Master Database'!$Z$1:$Z$600,$B48)))</f>
        <v>EUR</v>
      </c>
      <c r="S48" s="70" t="n">
        <f aca="false">IF($B48="","",IF(INDEX('Master Database'!$AA$1:$AA$600,$B48)="","",INDEX('Master Database'!$AA$1:$AA$600,$B48)))</f>
        <v>31000</v>
      </c>
      <c r="T48" s="68" t="str">
        <f aca="false">IF($B48="","",IF(INDEX('Master Database'!$AE$1:$AE$600,$B48)="","",INDEX('Master Database'!$AE$1:$AE$600,$B48)))</f>
        <v>Consultant basic-design estimate – PEP Rev.1402/05, sheet P.ME «هزینه واحد بدون ضریب»; EUR figure (converted in the PEP at 420,000×1.085 IRR/EUR) | source label: AACE Class 2</v>
      </c>
      <c r="U48" s="70" t="n">
        <f aca="false">IF($B48="","",IF(INDEX('Master Database'!$AG$1:$AG$600,$B48)="","",INDEX('Master Database'!$AG$1:$AG$600,$B48)))</f>
        <v>32082.7162874944</v>
      </c>
      <c r="V48" s="70" t="n">
        <f aca="false">IF($B48="","",IF(INDEX('Master Database'!$AH$1:$AH$600,$B48)="","",INDEX('Master Database'!$AH$1:$AH$600,$B48)))</f>
        <v>33872.3890644412</v>
      </c>
      <c r="W48" s="70" t="n">
        <f aca="false">IF($B48="","",IF(INDEX('Master Database'!$AI$1:$AI$600,$B48)="","",INDEX('Master Database'!$AI$1:$AI$600,$B48)))</f>
        <v>22306085987.7737</v>
      </c>
      <c r="X48" s="68" t="str">
        <f aca="false">IF($B48="","",IF(INDEX('Master Database'!$BG$1:$BG$600,$B48)="","",INDEX('Master Database'!$BG$1:$BG$600,$B48)))</f>
        <v>Y</v>
      </c>
      <c r="BA48" s="65" t="n">
        <f aca="false">IF('Master Database'!$A48="",0,IF(AND(OR($B$5="",ISNUMBER(SEARCH($B$5,'Master Database'!$B48&amp;" "&amp;'Master Database'!$D48))),OR($B$6="(All)",'Master Database'!$C48=$B$6),OR($B$7="(All)",'Master Database'!$E48=$B$7),OR($B$8="(All)",'Master Database'!$T48=$B$8),OR($B$9="(All)",'Master Database'!$M48=$B$9),OR($B$10="(All)",'Master Database'!$V48=$B$10),OR($E$5="(All)",'Master Database'!$F48=$E$5),OR($E$6="(All)",'Master Database'!$G48=$E$6),OR($E$7="(All)",'Master Database'!$O48=$E$7),OR($E$8="(All)",'Master Database'!$P48=$E$8),OR($E$9="(All)",'Master Database'!$S48=$E$9),OR($E$10="(All)",'Master Database'!$Y48&amp;""=$E$10&amp;""),OR($H$5="(All)",'Master Database'!$BG48=$H$5),OR($H$6&lt;&gt;"Y",ISNUMBER('Master Database'!$AG48)),OR($H$7="",AND(ISNUMBER('Master Database'!$H48),N('Master Database'!$H48)&gt;=$H$7)),OR($I$7="",AND(ISNUMBER('Master Database'!$H48),N('Master Database'!$H48)&lt;=$I$7)),OR($H$8="",AND(ISNUMBER('Master Database'!$I48),N('Master Database'!$I48)&gt;=$H$8)),OR($I$8="",AND(ISNUMBER('Master Database'!$I48),N('Master Database'!$I48)&lt;=$I$8)),OR($H$9="",AND(ISNUMBER('Master Database'!$K48),N('Master Database'!$K48)&gt;=$H$9)),OR($I$9="",AND(ISNUMBER('Master Database'!$K48),N('Master Database'!$K48)&lt;=$I$9))),1,0))</f>
        <v>1</v>
      </c>
      <c r="BB48" s="65" t="n">
        <f aca="false">IF(BA48=1,COUNTIF($BA$5:BA48,1),"")</f>
        <v>44</v>
      </c>
    </row>
    <row r="49" customFormat="false" ht="15" hidden="false" customHeight="false" outlineLevel="0" collapsed="false">
      <c r="A49" s="67" t="n">
        <f aca="false">IF(34&lt;=SUM($BA$5:$BA$600),34,"")</f>
        <v>34</v>
      </c>
      <c r="B49" s="67" t="n">
        <f aca="false">IF(A49="","",MATCH(A49,$BB$5:$BB$600,0)+4)</f>
        <v>38</v>
      </c>
      <c r="C49" s="67" t="n">
        <f aca="false">IF($B49="","",IF(INDEX('Master Database'!$A$1:$A$600,$B49)="","",INDEX('Master Database'!$A$1:$A$600,$B49)))</f>
        <v>34</v>
      </c>
      <c r="D49" s="68" t="str">
        <f aca="false">IF($B49="","",IF(INDEX('Master Database'!$B$1:$B$600,$B49)="","",INDEX('Master Database'!$B$1:$B$600,$B49)))</f>
        <v>RECOVERED WASTE WATER  PUMPS</v>
      </c>
      <c r="E49" s="68" t="str">
        <f aca="false">IF($B49="","",IF(INDEX('Master Database'!$C$1:$C$600,$B49)="","",INDEX('Master Database'!$C$1:$C$600,$B49)))</f>
        <v>Gachsaran 4</v>
      </c>
      <c r="F49" s="68" t="str">
        <f aca="false">IF($B49="","",IF(INDEX('Master Database'!$D$1:$D$600,$B49)="","",INDEX('Master Database'!$D$1:$D$600,$B49)))</f>
        <v>P-706-A/B</v>
      </c>
      <c r="G49" s="68" t="str">
        <f aca="false">IF($B49="","",IF(INDEX('Master Database'!$E$1:$E$600,$B49)="","",INDEX('Master Database'!$E$1:$E$600,$B49)))</f>
        <v>ROT-INJ</v>
      </c>
      <c r="H49" s="68" t="str">
        <f aca="false">IF($B49="","",IF(INDEX('Master Database'!$F$1:$F$600,$B49)="","",INDEX('Master Database'!$F$1:$F$600,$B49)))</f>
        <v>Not stated</v>
      </c>
      <c r="I49" s="68" t="str">
        <f aca="false">IF($B49="","",IF(INDEX('Master Database'!$G$1:$G$600,$B49)="","",INDEX('Master Database'!$G$1:$G$600,$B49)))</f>
        <v>Not stated</v>
      </c>
      <c r="J49" s="69" t="n">
        <f aca="false">IF($B49="","",IF(INDEX('Master Database'!$H$1:$H$600,$B49)="","",INDEX('Master Database'!$H$1:$H$600,$B49)))</f>
        <v>33</v>
      </c>
      <c r="K49" s="69" t="str">
        <f aca="false">IF($B49="","",IF(INDEX('Master Database'!$I$1:$I$600,$B49)="","",INDEX('Master Database'!$I$1:$I$600,$B49)))</f>
        <v/>
      </c>
      <c r="L49" s="69" t="n">
        <f aca="false">IF($B49="","",IF(INDEX('Master Database'!$K$1:$K$600,$B49)="","",INDEX('Master Database'!$K$1:$K$600,$B49)))</f>
        <v>1.35</v>
      </c>
      <c r="M49" s="68" t="str">
        <f aca="false">IF($B49="","",IF(INDEX('Master Database'!$L$1:$L$600,$B49)="","",INDEX('Master Database'!$L$1:$L$600,$B49)))</f>
        <v>Not stated</v>
      </c>
      <c r="N49" s="68" t="str">
        <f aca="false">IF($B49="","",IF(INDEX('Master Database'!$P$1:$P$600,$B49)="","",INDEX('Master Database'!$P$1:$P$600,$B49)))</f>
        <v>Not stated</v>
      </c>
      <c r="O49" s="68" t="str">
        <f aca="false">IF($B49="","",IF(INDEX('Master Database'!$S$1:$S$600,$B49)="","",INDEX('Master Database'!$S$1:$S$600,$B49)))</f>
        <v>Electric Motor</v>
      </c>
      <c r="P49" s="68" t="str">
        <f aca="false">IF($B49="","",IF(INDEX('Master Database'!$T$1:$T$600,$B49)="","",INDEX('Master Database'!$T$1:$T$600,$B49)))</f>
        <v>Produced / Disposal Water</v>
      </c>
      <c r="Q49" s="68" t="n">
        <f aca="false">IF($B49="","",IF(INDEX('Master Database'!$Y$1:$Y$600,$B49)="","",INDEX('Master Database'!$Y$1:$Y$600,$B49)))</f>
        <v>1402</v>
      </c>
      <c r="R49" s="68" t="str">
        <f aca="false">IF($B49="","",IF(INDEX('Master Database'!$Z$1:$Z$600,$B49)="","",INDEX('Master Database'!$Z$1:$Z$600,$B49)))</f>
        <v>EUR</v>
      </c>
      <c r="S49" s="70" t="n">
        <f aca="false">IF($B49="","",IF(INDEX('Master Database'!$AA$1:$AA$600,$B49)="","",INDEX('Master Database'!$AA$1:$AA$600,$B49)))</f>
        <v>28000</v>
      </c>
      <c r="T49" s="68" t="str">
        <f aca="false">IF($B49="","",IF(INDEX('Master Database'!$AE$1:$AE$600,$B49)="","",INDEX('Master Database'!$AE$1:$AE$600,$B49)))</f>
        <v>Consultant basic-design estimate – PEP Rev.1402/05, sheet P.ME «هزینه واحد بدون ضریب»; EUR figure (converted in the PEP at 420,000×1.085 IRR/EUR) | source label: AACE Class 2</v>
      </c>
      <c r="U49" s="70" t="n">
        <f aca="false">IF($B49="","",IF(INDEX('Master Database'!$AG$1:$AG$600,$B49)="","",INDEX('Master Database'!$AG$1:$AG$600,$B49)))</f>
        <v>28977.9372919305</v>
      </c>
      <c r="V49" s="70" t="n">
        <f aca="false">IF($B49="","",IF(INDEX('Master Database'!$AH$1:$AH$600,$B49)="","",INDEX('Master Database'!$AH$1:$AH$600,$B49)))</f>
        <v>30594.4159291727</v>
      </c>
      <c r="W49" s="70" t="n">
        <f aca="false">IF($B49="","",IF(INDEX('Master Database'!$AI$1:$AI$600,$B49)="","",INDEX('Master Database'!$AI$1:$AI$600,$B49)))</f>
        <v>20147432505.0859</v>
      </c>
      <c r="X49" s="68" t="str">
        <f aca="false">IF($B49="","",IF(INDEX('Master Database'!$BG$1:$BG$600,$B49)="","",INDEX('Master Database'!$BG$1:$BG$600,$B49)))</f>
        <v>Y</v>
      </c>
      <c r="BA49" s="65" t="n">
        <f aca="false">IF('Master Database'!$A49="",0,IF(AND(OR($B$5="",ISNUMBER(SEARCH($B$5,'Master Database'!$B49&amp;" "&amp;'Master Database'!$D49))),OR($B$6="(All)",'Master Database'!$C49=$B$6),OR($B$7="(All)",'Master Database'!$E49=$B$7),OR($B$8="(All)",'Master Database'!$T49=$B$8),OR($B$9="(All)",'Master Database'!$M49=$B$9),OR($B$10="(All)",'Master Database'!$V49=$B$10),OR($E$5="(All)",'Master Database'!$F49=$E$5),OR($E$6="(All)",'Master Database'!$G49=$E$6),OR($E$7="(All)",'Master Database'!$O49=$E$7),OR($E$8="(All)",'Master Database'!$P49=$E$8),OR($E$9="(All)",'Master Database'!$S49=$E$9),OR($E$10="(All)",'Master Database'!$Y49&amp;""=$E$10&amp;""),OR($H$5="(All)",'Master Database'!$BG49=$H$5),OR($H$6&lt;&gt;"Y",ISNUMBER('Master Database'!$AG49)),OR($H$7="",AND(ISNUMBER('Master Database'!$H49),N('Master Database'!$H49)&gt;=$H$7)),OR($I$7="",AND(ISNUMBER('Master Database'!$H49),N('Master Database'!$H49)&lt;=$I$7)),OR($H$8="",AND(ISNUMBER('Master Database'!$I49),N('Master Database'!$I49)&gt;=$H$8)),OR($I$8="",AND(ISNUMBER('Master Database'!$I49),N('Master Database'!$I49)&lt;=$I$8)),OR($H$9="",AND(ISNUMBER('Master Database'!$K49),N('Master Database'!$K49)&gt;=$H$9)),OR($I$9="",AND(ISNUMBER('Master Database'!$K49),N('Master Database'!$K49)&lt;=$I$9))),1,0))</f>
        <v>1</v>
      </c>
      <c r="BB49" s="65" t="n">
        <f aca="false">IF(BA49=1,COUNTIF($BA$5:BA49,1),"")</f>
        <v>45</v>
      </c>
    </row>
    <row r="50" customFormat="false" ht="15" hidden="false" customHeight="false" outlineLevel="0" collapsed="false">
      <c r="A50" s="67" t="n">
        <f aca="false">IF(35&lt;=SUM($BA$5:$BA$600),35,"")</f>
        <v>35</v>
      </c>
      <c r="B50" s="67" t="n">
        <f aca="false">IF(A50="","",MATCH(A50,$BB$5:$BB$600,0)+4)</f>
        <v>39</v>
      </c>
      <c r="C50" s="67" t="n">
        <f aca="false">IF($B50="","",IF(INDEX('Master Database'!$A$1:$A$600,$B50)="","",INDEX('Master Database'!$A$1:$A$600,$B50)))</f>
        <v>35</v>
      </c>
      <c r="D50" s="68" t="str">
        <f aca="false">IF($B50="","",IF(INDEX('Master Database'!$B$1:$B$600,$B50)="","",INDEX('Master Database'!$B$1:$B$600,$B50)))</f>
        <v>DIESEL OIL PUMP</v>
      </c>
      <c r="E50" s="68" t="str">
        <f aca="false">IF($B50="","",IF(INDEX('Master Database'!$C$1:$C$600,$B50)="","",INDEX('Master Database'!$C$1:$C$600,$B50)))</f>
        <v>Gachsaran 4</v>
      </c>
      <c r="F50" s="68" t="str">
        <f aca="false">IF($B50="","",IF(INDEX('Master Database'!$D$1:$D$600,$B50)="","",INDEX('Master Database'!$D$1:$D$600,$B50)))</f>
        <v>P-801</v>
      </c>
      <c r="G50" s="68" t="str">
        <f aca="false">IF($B50="","",IF(INDEX('Master Database'!$E$1:$E$600,$B50)="","",INDEX('Master Database'!$E$1:$E$600,$B50)))</f>
        <v>ROT-AUX</v>
      </c>
      <c r="H50" s="68" t="str">
        <f aca="false">IF($B50="","",IF(INDEX('Master Database'!$F$1:$F$600,$B50)="","",INDEX('Master Database'!$F$1:$F$600,$B50)))</f>
        <v>Not stated</v>
      </c>
      <c r="I50" s="68" t="str">
        <f aca="false">IF($B50="","",IF(INDEX('Master Database'!$G$1:$G$600,$B50)="","",INDEX('Master Database'!$G$1:$G$600,$B50)))</f>
        <v>Not stated</v>
      </c>
      <c r="J50" s="69" t="n">
        <f aca="false">IF($B50="","",IF(INDEX('Master Database'!$H$1:$H$600,$B50)="","",INDEX('Master Database'!$H$1:$H$600,$B50)))</f>
        <v>10</v>
      </c>
      <c r="K50" s="69" t="str">
        <f aca="false">IF($B50="","",IF(INDEX('Master Database'!$I$1:$I$600,$B50)="","",INDEX('Master Database'!$I$1:$I$600,$B50)))</f>
        <v/>
      </c>
      <c r="L50" s="69" t="n">
        <f aca="false">IF($B50="","",IF(INDEX('Master Database'!$K$1:$K$600,$B50)="","",INDEX('Master Database'!$K$1:$K$600,$B50)))</f>
        <v>0.16</v>
      </c>
      <c r="M50" s="68" t="str">
        <f aca="false">IF($B50="","",IF(INDEX('Master Database'!$L$1:$L$600,$B50)="","",INDEX('Master Database'!$L$1:$L$600,$B50)))</f>
        <v>Not stated</v>
      </c>
      <c r="N50" s="68" t="str">
        <f aca="false">IF($B50="","",IF(INDEX('Master Database'!$P$1:$P$600,$B50)="","",INDEX('Master Database'!$P$1:$P$600,$B50)))</f>
        <v>Not stated</v>
      </c>
      <c r="O50" s="68" t="str">
        <f aca="false">IF($B50="","",IF(INDEX('Master Database'!$S$1:$S$600,$B50)="","",INDEX('Master Database'!$S$1:$S$600,$B50)))</f>
        <v>Electric Motor</v>
      </c>
      <c r="P50" s="68" t="str">
        <f aca="false">IF($B50="","",IF(INDEX('Master Database'!$T$1:$T$600,$B50)="","",INDEX('Master Database'!$T$1:$T$600,$B50)))</f>
        <v>Diesel / Fuel Oil</v>
      </c>
      <c r="Q50" s="68" t="n">
        <f aca="false">IF($B50="","",IF(INDEX('Master Database'!$Y$1:$Y$600,$B50)="","",INDEX('Master Database'!$Y$1:$Y$600,$B50)))</f>
        <v>1402</v>
      </c>
      <c r="R50" s="68" t="str">
        <f aca="false">IF($B50="","",IF(INDEX('Master Database'!$Z$1:$Z$600,$B50)="","",INDEX('Master Database'!$Z$1:$Z$600,$B50)))</f>
        <v>EUR</v>
      </c>
      <c r="S50" s="70" t="n">
        <f aca="false">IF($B50="","",IF(INDEX('Master Database'!$AA$1:$AA$600,$B50)="","",INDEX('Master Database'!$AA$1:$AA$600,$B50)))</f>
        <v>13500</v>
      </c>
      <c r="T50" s="68" t="str">
        <f aca="false">IF($B50="","",IF(INDEX('Master Database'!$AE$1:$AE$600,$B50)="","",INDEX('Master Database'!$AE$1:$AE$600,$B50)))</f>
        <v>Consultant basic-design estimate – PEP Rev.1402/05, sheet P.ME «هزینه واحد بدون ضریب»; EUR figure (converted in the PEP at 420,000×1.085 IRR/EUR) | source label: AACE Class 2</v>
      </c>
      <c r="U50" s="70" t="n">
        <f aca="false">IF($B50="","",IF(INDEX('Master Database'!$AG$1:$AG$600,$B50)="","",INDEX('Master Database'!$AG$1:$AG$600,$B50)))</f>
        <v>13971.5054800379</v>
      </c>
      <c r="V50" s="70" t="n">
        <f aca="false">IF($B50="","",IF(INDEX('Master Database'!$AH$1:$AH$600,$B50)="","",INDEX('Master Database'!$AH$1:$AH$600,$B50)))</f>
        <v>14750.8791087083</v>
      </c>
      <c r="W50" s="70" t="n">
        <f aca="false">IF($B50="","",IF(INDEX('Master Database'!$AI$1:$AI$600,$B50)="","",INDEX('Master Database'!$AI$1:$AI$600,$B50)))</f>
        <v>9713940672.09499</v>
      </c>
      <c r="X50" s="68" t="str">
        <f aca="false">IF($B50="","",IF(INDEX('Master Database'!$BG$1:$BG$600,$B50)="","",INDEX('Master Database'!$BG$1:$BG$600,$B50)))</f>
        <v>Y</v>
      </c>
      <c r="BA50" s="65" t="n">
        <f aca="false">IF('Master Database'!$A50="",0,IF(AND(OR($B$5="",ISNUMBER(SEARCH($B$5,'Master Database'!$B50&amp;" "&amp;'Master Database'!$D50))),OR($B$6="(All)",'Master Database'!$C50=$B$6),OR($B$7="(All)",'Master Database'!$E50=$B$7),OR($B$8="(All)",'Master Database'!$T50=$B$8),OR($B$9="(All)",'Master Database'!$M50=$B$9),OR($B$10="(All)",'Master Database'!$V50=$B$10),OR($E$5="(All)",'Master Database'!$F50=$E$5),OR($E$6="(All)",'Master Database'!$G50=$E$6),OR($E$7="(All)",'Master Database'!$O50=$E$7),OR($E$8="(All)",'Master Database'!$P50=$E$8),OR($E$9="(All)",'Master Database'!$S50=$E$9),OR($E$10="(All)",'Master Database'!$Y50&amp;""=$E$10&amp;""),OR($H$5="(All)",'Master Database'!$BG50=$H$5),OR($H$6&lt;&gt;"Y",ISNUMBER('Master Database'!$AG50)),OR($H$7="",AND(ISNUMBER('Master Database'!$H50),N('Master Database'!$H50)&gt;=$H$7)),OR($I$7="",AND(ISNUMBER('Master Database'!$H50),N('Master Database'!$H50)&lt;=$I$7)),OR($H$8="",AND(ISNUMBER('Master Database'!$I50),N('Master Database'!$I50)&gt;=$H$8)),OR($I$8="",AND(ISNUMBER('Master Database'!$I50),N('Master Database'!$I50)&lt;=$I$8)),OR($H$9="",AND(ISNUMBER('Master Database'!$K50),N('Master Database'!$K50)&gt;=$H$9)),OR($I$9="",AND(ISNUMBER('Master Database'!$K50),N('Master Database'!$K50)&lt;=$I$9))),1,0))</f>
        <v>1</v>
      </c>
      <c r="BB50" s="65" t="n">
        <f aca="false">IF(BA50=1,COUNTIF($BA$5:BA50,1),"")</f>
        <v>46</v>
      </c>
    </row>
    <row r="51" customFormat="false" ht="15" hidden="false" customHeight="false" outlineLevel="0" collapsed="false">
      <c r="A51" s="67" t="n">
        <f aca="false">IF(36&lt;=SUM($BA$5:$BA$600),36,"")</f>
        <v>36</v>
      </c>
      <c r="B51" s="67" t="n">
        <f aca="false">IF(A51="","",MATCH(A51,$BB$5:$BB$600,0)+4)</f>
        <v>40</v>
      </c>
      <c r="C51" s="67" t="n">
        <f aca="false">IF($B51="","",IF(INDEX('Master Database'!$A$1:$A$600,$B51)="","",INDEX('Master Database'!$A$1:$A$600,$B51)))</f>
        <v>36</v>
      </c>
      <c r="D51" s="68" t="str">
        <f aca="false">IF($B51="","",IF(INDEX('Master Database'!$B$1:$B$600,$B51)="","",INDEX('Master Database'!$B$1:$B$600,$B51)))</f>
        <v>FIRE WATER MAIN ELECTRICAL PUMP</v>
      </c>
      <c r="E51" s="68" t="str">
        <f aca="false">IF($B51="","",IF(INDEX('Master Database'!$C$1:$C$600,$B51)="","",INDEX('Master Database'!$C$1:$C$600,$B51)))</f>
        <v>Gachsaran 4</v>
      </c>
      <c r="F51" s="68" t="str">
        <f aca="false">IF($B51="","",IF(INDEX('Master Database'!$D$1:$D$600,$B51)="","",INDEX('Master Database'!$D$1:$D$600,$B51)))</f>
        <v>P-901A/B</v>
      </c>
      <c r="G51" s="68" t="str">
        <f aca="false">IF($B51="","",IF(INDEX('Master Database'!$E$1:$E$600,$B51)="","",INDEX('Master Database'!$E$1:$E$600,$B51)))</f>
        <v>ROT-FIR</v>
      </c>
      <c r="H51" s="68" t="str">
        <f aca="false">IF($B51="","",IF(INDEX('Master Database'!$F$1:$F$600,$B51)="","",INDEX('Master Database'!$F$1:$F$600,$B51)))</f>
        <v>Not stated</v>
      </c>
      <c r="I51" s="68" t="str">
        <f aca="false">IF($B51="","",IF(INDEX('Master Database'!$G$1:$G$600,$B51)="","",INDEX('Master Database'!$G$1:$G$600,$B51)))</f>
        <v>Not stated</v>
      </c>
      <c r="J51" s="69" t="n">
        <f aca="false">IF($B51="","",IF(INDEX('Master Database'!$H$1:$H$600,$B51)="","",INDEX('Master Database'!$H$1:$H$600,$B51)))</f>
        <v>480</v>
      </c>
      <c r="K51" s="69" t="str">
        <f aca="false">IF($B51="","",IF(INDEX('Master Database'!$I$1:$I$600,$B51)="","",INDEX('Master Database'!$I$1:$I$600,$B51)))</f>
        <v/>
      </c>
      <c r="L51" s="69" t="n">
        <f aca="false">IF($B51="","",IF(INDEX('Master Database'!$K$1:$K$600,$B51)="","",INDEX('Master Database'!$K$1:$K$600,$B51)))</f>
        <v>133</v>
      </c>
      <c r="M51" s="68" t="str">
        <f aca="false">IF($B51="","",IF(INDEX('Master Database'!$L$1:$L$600,$B51)="","",INDEX('Master Database'!$L$1:$L$600,$B51)))</f>
        <v>Not stated</v>
      </c>
      <c r="N51" s="68" t="str">
        <f aca="false">IF($B51="","",IF(INDEX('Master Database'!$P$1:$P$600,$B51)="","",INDEX('Master Database'!$P$1:$P$600,$B51)))</f>
        <v>Not stated</v>
      </c>
      <c r="O51" s="68" t="str">
        <f aca="false">IF($B51="","",IF(INDEX('Master Database'!$S$1:$S$600,$B51)="","",INDEX('Master Database'!$S$1:$S$600,$B51)))</f>
        <v>Electric Motor</v>
      </c>
      <c r="P51" s="68" t="str">
        <f aca="false">IF($B51="","",IF(INDEX('Master Database'!$T$1:$T$600,$B51)="","",INDEX('Master Database'!$T$1:$T$600,$B51)))</f>
        <v>Fire Water</v>
      </c>
      <c r="Q51" s="68" t="n">
        <f aca="false">IF($B51="","",IF(INDEX('Master Database'!$Y$1:$Y$600,$B51)="","",INDEX('Master Database'!$Y$1:$Y$600,$B51)))</f>
        <v>1402</v>
      </c>
      <c r="R51" s="68" t="str">
        <f aca="false">IF($B51="","",IF(INDEX('Master Database'!$Z$1:$Z$600,$B51)="","",INDEX('Master Database'!$Z$1:$Z$600,$B51)))</f>
        <v>IRR</v>
      </c>
      <c r="S51" s="70" t="n">
        <f aca="false">IF($B51="","",IF(INDEX('Master Database'!$AA$1:$AA$600,$B51)="","",INDEX('Master Database'!$AA$1:$AA$600,$B51)))</f>
        <v>37500000000</v>
      </c>
      <c r="T51" s="68" t="str">
        <f aca="false">IF($B51="","",IF(INDEX('Master Database'!$AE$1:$AE$600,$B51)="","",INDEX('Master Database'!$AE$1:$AE$600,$B51)))</f>
        <v>Consultant basic-design estimate – PEP Rev.1402/05, sheet P.ME «هزینه واحد بدون ضریب»; IRR lump figure | source label: AACE Class 2</v>
      </c>
      <c r="U51" s="70" t="n">
        <f aca="false">IF($B51="","",IF(INDEX('Master Database'!$AG$1:$AG$600,$B51)="","",INDEX('Master Database'!$AG$1:$AG$600,$B51)))</f>
        <v>73295.0659953725</v>
      </c>
      <c r="V51" s="70" t="n">
        <f aca="false">IF($B51="","",IF(INDEX('Master Database'!$AH$1:$AH$600,$B51)="","",INDEX('Master Database'!$AH$1:$AH$600,$B51)))</f>
        <v>77383.6906342896</v>
      </c>
      <c r="W51" s="70" t="n">
        <f aca="false">IF($B51="","",IF(INDEX('Master Database'!$AI$1:$AI$600,$B51)="","",INDEX('Master Database'!$AI$1:$AI$600,$B51)))</f>
        <v>50959713944.4706</v>
      </c>
      <c r="X51" s="68" t="str">
        <f aca="false">IF($B51="","",IF(INDEX('Master Database'!$BG$1:$BG$600,$B51)="","",INDEX('Master Database'!$BG$1:$BG$600,$B51)))</f>
        <v>Y</v>
      </c>
      <c r="BA51" s="65" t="n">
        <f aca="false">IF('Master Database'!$A51="",0,IF(AND(OR($B$5="",ISNUMBER(SEARCH($B$5,'Master Database'!$B51&amp;" "&amp;'Master Database'!$D51))),OR($B$6="(All)",'Master Database'!$C51=$B$6),OR($B$7="(All)",'Master Database'!$E51=$B$7),OR($B$8="(All)",'Master Database'!$T51=$B$8),OR($B$9="(All)",'Master Database'!$M51=$B$9),OR($B$10="(All)",'Master Database'!$V51=$B$10),OR($E$5="(All)",'Master Database'!$F51=$E$5),OR($E$6="(All)",'Master Database'!$G51=$E$6),OR($E$7="(All)",'Master Database'!$O51=$E$7),OR($E$8="(All)",'Master Database'!$P51=$E$8),OR($E$9="(All)",'Master Database'!$S51=$E$9),OR($E$10="(All)",'Master Database'!$Y51&amp;""=$E$10&amp;""),OR($H$5="(All)",'Master Database'!$BG51=$H$5),OR($H$6&lt;&gt;"Y",ISNUMBER('Master Database'!$AG51)),OR($H$7="",AND(ISNUMBER('Master Database'!$H51),N('Master Database'!$H51)&gt;=$H$7)),OR($I$7="",AND(ISNUMBER('Master Database'!$H51),N('Master Database'!$H51)&lt;=$I$7)),OR($H$8="",AND(ISNUMBER('Master Database'!$I51),N('Master Database'!$I51)&gt;=$H$8)),OR($I$8="",AND(ISNUMBER('Master Database'!$I51),N('Master Database'!$I51)&lt;=$I$8)),OR($H$9="",AND(ISNUMBER('Master Database'!$K51),N('Master Database'!$K51)&gt;=$H$9)),OR($I$9="",AND(ISNUMBER('Master Database'!$K51),N('Master Database'!$K51)&lt;=$I$9))),1,0))</f>
        <v>1</v>
      </c>
      <c r="BB51" s="65" t="n">
        <f aca="false">IF(BA51=1,COUNTIF($BA$5:BA51,1),"")</f>
        <v>47</v>
      </c>
    </row>
    <row r="52" customFormat="false" ht="15" hidden="false" customHeight="false" outlineLevel="0" collapsed="false">
      <c r="A52" s="67" t="n">
        <f aca="false">IF(37&lt;=SUM($BA$5:$BA$600),37,"")</f>
        <v>37</v>
      </c>
      <c r="B52" s="67" t="n">
        <f aca="false">IF(A52="","",MATCH(A52,$BB$5:$BB$600,0)+4)</f>
        <v>41</v>
      </c>
      <c r="C52" s="67" t="n">
        <f aca="false">IF($B52="","",IF(INDEX('Master Database'!$A$1:$A$600,$B52)="","",INDEX('Master Database'!$A$1:$A$600,$B52)))</f>
        <v>37</v>
      </c>
      <c r="D52" s="68" t="str">
        <f aca="false">IF($B52="","",IF(INDEX('Master Database'!$B$1:$B$600,$B52)="","",INDEX('Master Database'!$B$1:$B$600,$B52)))</f>
        <v>FIRE WATER MAIN DESEL PUMP</v>
      </c>
      <c r="E52" s="68" t="str">
        <f aca="false">IF($B52="","",IF(INDEX('Master Database'!$C$1:$C$600,$B52)="","",INDEX('Master Database'!$C$1:$C$600,$B52)))</f>
        <v>Gachsaran 4</v>
      </c>
      <c r="F52" s="68" t="str">
        <f aca="false">IF($B52="","",IF(INDEX('Master Database'!$D$1:$D$600,$B52)="","",INDEX('Master Database'!$D$1:$D$600,$B52)))</f>
        <v>P902</v>
      </c>
      <c r="G52" s="68" t="str">
        <f aca="false">IF($B52="","",IF(INDEX('Master Database'!$E$1:$E$600,$B52)="","",INDEX('Master Database'!$E$1:$E$600,$B52)))</f>
        <v>ROT-FIR</v>
      </c>
      <c r="H52" s="68" t="str">
        <f aca="false">IF($B52="","",IF(INDEX('Master Database'!$F$1:$F$600,$B52)="","",INDEX('Master Database'!$F$1:$F$600,$B52)))</f>
        <v>Not stated</v>
      </c>
      <c r="I52" s="68" t="str">
        <f aca="false">IF($B52="","",IF(INDEX('Master Database'!$G$1:$G$600,$B52)="","",INDEX('Master Database'!$G$1:$G$600,$B52)))</f>
        <v>Not stated</v>
      </c>
      <c r="J52" s="69" t="n">
        <f aca="false">IF($B52="","",IF(INDEX('Master Database'!$H$1:$H$600,$B52)="","",INDEX('Master Database'!$H$1:$H$600,$B52)))</f>
        <v>480</v>
      </c>
      <c r="K52" s="69" t="str">
        <f aca="false">IF($B52="","",IF(INDEX('Master Database'!$I$1:$I$600,$B52)="","",INDEX('Master Database'!$I$1:$I$600,$B52)))</f>
        <v/>
      </c>
      <c r="L52" s="69" t="n">
        <f aca="false">IF($B52="","",IF(INDEX('Master Database'!$K$1:$K$600,$B52)="","",INDEX('Master Database'!$K$1:$K$600,$B52)))</f>
        <v>133</v>
      </c>
      <c r="M52" s="68" t="str">
        <f aca="false">IF($B52="","",IF(INDEX('Master Database'!$L$1:$L$600,$B52)="","",INDEX('Master Database'!$L$1:$L$600,$B52)))</f>
        <v>Not stated</v>
      </c>
      <c r="N52" s="68" t="str">
        <f aca="false">IF($B52="","",IF(INDEX('Master Database'!$P$1:$P$600,$B52)="","",INDEX('Master Database'!$P$1:$P$600,$B52)))</f>
        <v>Not stated</v>
      </c>
      <c r="O52" s="68" t="str">
        <f aca="false">IF($B52="","",IF(INDEX('Master Database'!$S$1:$S$600,$B52)="","",INDEX('Master Database'!$S$1:$S$600,$B52)))</f>
        <v>Diesel Engine</v>
      </c>
      <c r="P52" s="68" t="str">
        <f aca="false">IF($B52="","",IF(INDEX('Master Database'!$T$1:$T$600,$B52)="","",INDEX('Master Database'!$T$1:$T$600,$B52)))</f>
        <v>Fire Water</v>
      </c>
      <c r="Q52" s="68" t="n">
        <f aca="false">IF($B52="","",IF(INDEX('Master Database'!$Y$1:$Y$600,$B52)="","",INDEX('Master Database'!$Y$1:$Y$600,$B52)))</f>
        <v>1402</v>
      </c>
      <c r="R52" s="68" t="str">
        <f aca="false">IF($B52="","",IF(INDEX('Master Database'!$Z$1:$Z$600,$B52)="","",INDEX('Master Database'!$Z$1:$Z$600,$B52)))</f>
        <v>IRR</v>
      </c>
      <c r="S52" s="70" t="n">
        <f aca="false">IF($B52="","",IF(INDEX('Master Database'!$AA$1:$AA$600,$B52)="","",INDEX('Master Database'!$AA$1:$AA$600,$B52)))</f>
        <v>45000000000</v>
      </c>
      <c r="T52" s="68" t="str">
        <f aca="false">IF($B52="","",IF(INDEX('Master Database'!$AE$1:$AE$600,$B52)="","",INDEX('Master Database'!$AE$1:$AE$600,$B52)))</f>
        <v>Consultant basic-design estimate – PEP Rev.1402/05, sheet P.ME «هزینه واحد بدون ضریب»; IRR lump figure | source label: AACE Class 2</v>
      </c>
      <c r="U52" s="70" t="n">
        <f aca="false">IF($B52="","",IF(INDEX('Master Database'!$AG$1:$AG$600,$B52)="","",INDEX('Master Database'!$AG$1:$AG$600,$B52)))</f>
        <v>87954.079194447</v>
      </c>
      <c r="V52" s="70" t="n">
        <f aca="false">IF($B52="","",IF(INDEX('Master Database'!$AH$1:$AH$600,$B52)="","",INDEX('Master Database'!$AH$1:$AH$600,$B52)))</f>
        <v>92860.4287611475</v>
      </c>
      <c r="W52" s="70" t="n">
        <f aca="false">IF($B52="","",IF(INDEX('Master Database'!$AI$1:$AI$600,$B52)="","",INDEX('Master Database'!$AI$1:$AI$600,$B52)))</f>
        <v>61151656733.3648</v>
      </c>
      <c r="X52" s="68" t="str">
        <f aca="false">IF($B52="","",IF(INDEX('Master Database'!$BG$1:$BG$600,$B52)="","",INDEX('Master Database'!$BG$1:$BG$600,$B52)))</f>
        <v>Y</v>
      </c>
      <c r="BA52" s="65" t="n">
        <f aca="false">IF('Master Database'!$A52="",0,IF(AND(OR($B$5="",ISNUMBER(SEARCH($B$5,'Master Database'!$B52&amp;" "&amp;'Master Database'!$D52))),OR($B$6="(All)",'Master Database'!$C52=$B$6),OR($B$7="(All)",'Master Database'!$E52=$B$7),OR($B$8="(All)",'Master Database'!$T52=$B$8),OR($B$9="(All)",'Master Database'!$M52=$B$9),OR($B$10="(All)",'Master Database'!$V52=$B$10),OR($E$5="(All)",'Master Database'!$F52=$E$5),OR($E$6="(All)",'Master Database'!$G52=$E$6),OR($E$7="(All)",'Master Database'!$O52=$E$7),OR($E$8="(All)",'Master Database'!$P52=$E$8),OR($E$9="(All)",'Master Database'!$S52=$E$9),OR($E$10="(All)",'Master Database'!$Y52&amp;""=$E$10&amp;""),OR($H$5="(All)",'Master Database'!$BG52=$H$5),OR($H$6&lt;&gt;"Y",ISNUMBER('Master Database'!$AG52)),OR($H$7="",AND(ISNUMBER('Master Database'!$H52),N('Master Database'!$H52)&gt;=$H$7)),OR($I$7="",AND(ISNUMBER('Master Database'!$H52),N('Master Database'!$H52)&lt;=$I$7)),OR($H$8="",AND(ISNUMBER('Master Database'!$I52),N('Master Database'!$I52)&gt;=$H$8)),OR($I$8="",AND(ISNUMBER('Master Database'!$I52),N('Master Database'!$I52)&lt;=$I$8)),OR($H$9="",AND(ISNUMBER('Master Database'!$K52),N('Master Database'!$K52)&gt;=$H$9)),OR($I$9="",AND(ISNUMBER('Master Database'!$K52),N('Master Database'!$K52)&lt;=$I$9))),1,0))</f>
        <v>1</v>
      </c>
      <c r="BB52" s="65" t="n">
        <f aca="false">IF(BA52=1,COUNTIF($BA$5:BA52,1),"")</f>
        <v>48</v>
      </c>
    </row>
    <row r="53" customFormat="false" ht="15" hidden="false" customHeight="false" outlineLevel="0" collapsed="false">
      <c r="A53" s="67" t="n">
        <f aca="false">IF(38&lt;=SUM($BA$5:$BA$600),38,"")</f>
        <v>38</v>
      </c>
      <c r="B53" s="67" t="n">
        <f aca="false">IF(A53="","",MATCH(A53,$BB$5:$BB$600,0)+4)</f>
        <v>42</v>
      </c>
      <c r="C53" s="67" t="n">
        <f aca="false">IF($B53="","",IF(INDEX('Master Database'!$A$1:$A$600,$B53)="","",INDEX('Master Database'!$A$1:$A$600,$B53)))</f>
        <v>38</v>
      </c>
      <c r="D53" s="68" t="str">
        <f aca="false">IF($B53="","",IF(INDEX('Master Database'!$B$1:$B$600,$B53)="","",INDEX('Master Database'!$B$1:$B$600,$B53)))</f>
        <v>FIRE WATER JOCKEY PUMPS</v>
      </c>
      <c r="E53" s="68" t="str">
        <f aca="false">IF($B53="","",IF(INDEX('Master Database'!$C$1:$C$600,$B53)="","",INDEX('Master Database'!$C$1:$C$600,$B53)))</f>
        <v>Gachsaran 4</v>
      </c>
      <c r="F53" s="68" t="str">
        <f aca="false">IF($B53="","",IF(INDEX('Master Database'!$D$1:$D$600,$B53)="","",INDEX('Master Database'!$D$1:$D$600,$B53)))</f>
        <v>P-903-A/B</v>
      </c>
      <c r="G53" s="68" t="str">
        <f aca="false">IF($B53="","",IF(INDEX('Master Database'!$E$1:$E$600,$B53)="","",INDEX('Master Database'!$E$1:$E$600,$B53)))</f>
        <v>ROT-FIR</v>
      </c>
      <c r="H53" s="68" t="str">
        <f aca="false">IF($B53="","",IF(INDEX('Master Database'!$F$1:$F$600,$B53)="","",INDEX('Master Database'!$F$1:$F$600,$B53)))</f>
        <v>Not stated</v>
      </c>
      <c r="I53" s="68" t="str">
        <f aca="false">IF($B53="","",IF(INDEX('Master Database'!$G$1:$G$600,$B53)="","",INDEX('Master Database'!$G$1:$G$600,$B53)))</f>
        <v>Not stated</v>
      </c>
      <c r="J53" s="69" t="n">
        <f aca="false">IF($B53="","",IF(INDEX('Master Database'!$H$1:$H$600,$B53)="","",INDEX('Master Database'!$H$1:$H$600,$B53)))</f>
        <v>15</v>
      </c>
      <c r="K53" s="69" t="str">
        <f aca="false">IF($B53="","",IF(INDEX('Master Database'!$I$1:$I$600,$B53)="","",INDEX('Master Database'!$I$1:$I$600,$B53)))</f>
        <v/>
      </c>
      <c r="L53" s="69" t="n">
        <f aca="false">IF($B53="","",IF(INDEX('Master Database'!$K$1:$K$600,$B53)="","",INDEX('Master Database'!$K$1:$K$600,$B53)))</f>
        <v>2.5</v>
      </c>
      <c r="M53" s="68" t="str">
        <f aca="false">IF($B53="","",IF(INDEX('Master Database'!$L$1:$L$600,$B53)="","",INDEX('Master Database'!$L$1:$L$600,$B53)))</f>
        <v>Not stated</v>
      </c>
      <c r="N53" s="68" t="str">
        <f aca="false">IF($B53="","",IF(INDEX('Master Database'!$P$1:$P$600,$B53)="","",INDEX('Master Database'!$P$1:$P$600,$B53)))</f>
        <v>Not stated</v>
      </c>
      <c r="O53" s="68" t="str">
        <f aca="false">IF($B53="","",IF(INDEX('Master Database'!$S$1:$S$600,$B53)="","",INDEX('Master Database'!$S$1:$S$600,$B53)))</f>
        <v>Electric Motor</v>
      </c>
      <c r="P53" s="68" t="str">
        <f aca="false">IF($B53="","",IF(INDEX('Master Database'!$T$1:$T$600,$B53)="","",INDEX('Master Database'!$T$1:$T$600,$B53)))</f>
        <v>Fire Water</v>
      </c>
      <c r="Q53" s="68" t="n">
        <f aca="false">IF($B53="","",IF(INDEX('Master Database'!$Y$1:$Y$600,$B53)="","",INDEX('Master Database'!$Y$1:$Y$600,$B53)))</f>
        <v>1402</v>
      </c>
      <c r="R53" s="68" t="str">
        <f aca="false">IF($B53="","",IF(INDEX('Master Database'!$Z$1:$Z$600,$B53)="","",INDEX('Master Database'!$Z$1:$Z$600,$B53)))</f>
        <v>IRR</v>
      </c>
      <c r="S53" s="70" t="n">
        <f aca="false">IF($B53="","",IF(INDEX('Master Database'!$AA$1:$AA$600,$B53)="","",INDEX('Master Database'!$AA$1:$AA$600,$B53)))</f>
        <v>2000000000</v>
      </c>
      <c r="T53" s="68" t="str">
        <f aca="false">IF($B53="","",IF(INDEX('Master Database'!$AE$1:$AE$600,$B53)="","",INDEX('Master Database'!$AE$1:$AE$600,$B53)))</f>
        <v>Consultant basic-design estimate – PEP Rev.1402/05, sheet P.ME «هزینه واحد بدون ضریب»; IRR lump figure | source label: AACE Class 2</v>
      </c>
      <c r="U53" s="70" t="n">
        <f aca="false">IF($B53="","",IF(INDEX('Master Database'!$AG$1:$AG$600,$B53)="","",INDEX('Master Database'!$AG$1:$AG$600,$B53)))</f>
        <v>3909.07018641987</v>
      </c>
      <c r="V53" s="70" t="n">
        <f aca="false">IF($B53="","",IF(INDEX('Master Database'!$AH$1:$AH$600,$B53)="","",INDEX('Master Database'!$AH$1:$AH$600,$B53)))</f>
        <v>4127.13016716211</v>
      </c>
      <c r="W53" s="70" t="n">
        <f aca="false">IF($B53="","",IF(INDEX('Master Database'!$AI$1:$AI$600,$B53)="","",INDEX('Master Database'!$AI$1:$AI$600,$B53)))</f>
        <v>2717851410.37177</v>
      </c>
      <c r="X53" s="68" t="str">
        <f aca="false">IF($B53="","",IF(INDEX('Master Database'!$BG$1:$BG$600,$B53)="","",INDEX('Master Database'!$BG$1:$BG$600,$B53)))</f>
        <v>Y</v>
      </c>
      <c r="BA53" s="65" t="n">
        <f aca="false">IF('Master Database'!$A53="",0,IF(AND(OR($B$5="",ISNUMBER(SEARCH($B$5,'Master Database'!$B53&amp;" "&amp;'Master Database'!$D53))),OR($B$6="(All)",'Master Database'!$C53=$B$6),OR($B$7="(All)",'Master Database'!$E53=$B$7),OR($B$8="(All)",'Master Database'!$T53=$B$8),OR($B$9="(All)",'Master Database'!$M53=$B$9),OR($B$10="(All)",'Master Database'!$V53=$B$10),OR($E$5="(All)",'Master Database'!$F53=$E$5),OR($E$6="(All)",'Master Database'!$G53=$E$6),OR($E$7="(All)",'Master Database'!$O53=$E$7),OR($E$8="(All)",'Master Database'!$P53=$E$8),OR($E$9="(All)",'Master Database'!$S53=$E$9),OR($E$10="(All)",'Master Database'!$Y53&amp;""=$E$10&amp;""),OR($H$5="(All)",'Master Database'!$BG53=$H$5),OR($H$6&lt;&gt;"Y",ISNUMBER('Master Database'!$AG53)),OR($H$7="",AND(ISNUMBER('Master Database'!$H53),N('Master Database'!$H53)&gt;=$H$7)),OR($I$7="",AND(ISNUMBER('Master Database'!$H53),N('Master Database'!$H53)&lt;=$I$7)),OR($H$8="",AND(ISNUMBER('Master Database'!$I53),N('Master Database'!$I53)&gt;=$H$8)),OR($I$8="",AND(ISNUMBER('Master Database'!$I53),N('Master Database'!$I53)&lt;=$I$8)),OR($H$9="",AND(ISNUMBER('Master Database'!$K53),N('Master Database'!$K53)&gt;=$H$9)),OR($I$9="",AND(ISNUMBER('Master Database'!$K53),N('Master Database'!$K53)&lt;=$I$9))),1,0))</f>
        <v>1</v>
      </c>
      <c r="BB53" s="65" t="n">
        <f aca="false">IF(BA53=1,COUNTIF($BA$5:BA53,1),"")</f>
        <v>49</v>
      </c>
    </row>
    <row r="54" customFormat="false" ht="15" hidden="false" customHeight="false" outlineLevel="0" collapsed="false">
      <c r="A54" s="67" t="n">
        <f aca="false">IF(39&lt;=SUM($BA$5:$BA$600),39,"")</f>
        <v>39</v>
      </c>
      <c r="B54" s="67" t="n">
        <f aca="false">IF(A54="","",MATCH(A54,$BB$5:$BB$600,0)+4)</f>
        <v>43</v>
      </c>
      <c r="C54" s="67" t="n">
        <f aca="false">IF($B54="","",IF(INDEX('Master Database'!$A$1:$A$600,$B54)="","",INDEX('Master Database'!$A$1:$A$600,$B54)))</f>
        <v>39</v>
      </c>
      <c r="D54" s="68" t="str">
        <f aca="false">IF($B54="","",IF(INDEX('Master Database'!$B$1:$B$600,$B54)="","",INDEX('Master Database'!$B$1:$B$600,$B54)))</f>
        <v>UNIT SUPPLY WATER PUMP</v>
      </c>
      <c r="E54" s="68" t="str">
        <f aca="false">IF($B54="","",IF(INDEX('Master Database'!$C$1:$C$600,$B54)="","",INDEX('Master Database'!$C$1:$C$600,$B54)))</f>
        <v>Gachsaran 4</v>
      </c>
      <c r="F54" s="68" t="str">
        <f aca="false">IF($B54="","",IF(INDEX('Master Database'!$D$1:$D$600,$B54)="","",INDEX('Master Database'!$D$1:$D$600,$B54)))</f>
        <v>P108A/B</v>
      </c>
      <c r="G54" s="68" t="str">
        <f aca="false">IF($B54="","",IF(INDEX('Master Database'!$E$1:$E$600,$B54)="","",INDEX('Master Database'!$E$1:$E$600,$B54)))</f>
        <v>ROT-WAT</v>
      </c>
      <c r="H54" s="68" t="str">
        <f aca="false">IF($B54="","",IF(INDEX('Master Database'!$F$1:$F$600,$B54)="","",INDEX('Master Database'!$F$1:$F$600,$B54)))</f>
        <v>Not stated</v>
      </c>
      <c r="I54" s="68" t="str">
        <f aca="false">IF($B54="","",IF(INDEX('Master Database'!$G$1:$G$600,$B54)="","",INDEX('Master Database'!$G$1:$G$600,$B54)))</f>
        <v>Not stated</v>
      </c>
      <c r="J54" s="69" t="n">
        <f aca="false">IF($B54="","",IF(INDEX('Master Database'!$H$1:$H$600,$B54)="","",INDEX('Master Database'!$H$1:$H$600,$B54)))</f>
        <v>15</v>
      </c>
      <c r="K54" s="69" t="str">
        <f aca="false">IF($B54="","",IF(INDEX('Master Database'!$I$1:$I$600,$B54)="","",INDEX('Master Database'!$I$1:$I$600,$B54)))</f>
        <v/>
      </c>
      <c r="L54" s="69" t="n">
        <f aca="false">IF($B54="","",IF(INDEX('Master Database'!$K$1:$K$600,$B54)="","",INDEX('Master Database'!$K$1:$K$600,$B54)))</f>
        <v>2.5</v>
      </c>
      <c r="M54" s="68" t="str">
        <f aca="false">IF($B54="","",IF(INDEX('Master Database'!$L$1:$L$600,$B54)="","",INDEX('Master Database'!$L$1:$L$600,$B54)))</f>
        <v>Not stated</v>
      </c>
      <c r="N54" s="68" t="str">
        <f aca="false">IF($B54="","",IF(INDEX('Master Database'!$P$1:$P$600,$B54)="","",INDEX('Master Database'!$P$1:$P$600,$B54)))</f>
        <v>Not stated</v>
      </c>
      <c r="O54" s="68" t="str">
        <f aca="false">IF($B54="","",IF(INDEX('Master Database'!$S$1:$S$600,$B54)="","",INDEX('Master Database'!$S$1:$S$600,$B54)))</f>
        <v>Electric Motor</v>
      </c>
      <c r="P54" s="68" t="str">
        <f aca="false">IF($B54="","",IF(INDEX('Master Database'!$T$1:$T$600,$B54)="","",INDEX('Master Database'!$T$1:$T$600,$B54)))</f>
        <v>Fresh / Potable Water</v>
      </c>
      <c r="Q54" s="68" t="n">
        <f aca="false">IF($B54="","",IF(INDEX('Master Database'!$Y$1:$Y$600,$B54)="","",INDEX('Master Database'!$Y$1:$Y$600,$B54)))</f>
        <v>1402</v>
      </c>
      <c r="R54" s="68" t="str">
        <f aca="false">IF($B54="","",IF(INDEX('Master Database'!$Z$1:$Z$600,$B54)="","",INDEX('Master Database'!$Z$1:$Z$600,$B54)))</f>
        <v>EUR</v>
      </c>
      <c r="S54" s="70" t="n">
        <f aca="false">IF($B54="","",IF(INDEX('Master Database'!$AA$1:$AA$600,$B54)="","",INDEX('Master Database'!$AA$1:$AA$600,$B54)))</f>
        <v>17500</v>
      </c>
      <c r="T54" s="68" t="str">
        <f aca="false">IF($B54="","",IF(INDEX('Master Database'!$AE$1:$AE$600,$B54)="","",INDEX('Master Database'!$AE$1:$AE$600,$B54)))</f>
        <v>Consultant basic-design estimate – PEP Rev.1402/05, sheet P.ME «هزینه واحد بدون ضریب»; EUR figure (converted in the PEP at 420,000×1.085 IRR/EUR) | source label: AACE Class 2</v>
      </c>
      <c r="U54" s="70" t="n">
        <f aca="false">IF($B54="","",IF(INDEX('Master Database'!$AG$1:$AG$600,$B54)="","",INDEX('Master Database'!$AG$1:$AG$600,$B54)))</f>
        <v>18111.2108074565</v>
      </c>
      <c r="V54" s="70" t="n">
        <f aca="false">IF($B54="","",IF(INDEX('Master Database'!$AH$1:$AH$600,$B54)="","",INDEX('Master Database'!$AH$1:$AH$600,$B54)))</f>
        <v>19121.509955733</v>
      </c>
      <c r="W54" s="70" t="n">
        <f aca="false">IF($B54="","",IF(INDEX('Master Database'!$AI$1:$AI$600,$B54)="","",INDEX('Master Database'!$AI$1:$AI$600,$B54)))</f>
        <v>12592145315.6787</v>
      </c>
      <c r="X54" s="68" t="str">
        <f aca="false">IF($B54="","",IF(INDEX('Master Database'!$BG$1:$BG$600,$B54)="","",INDEX('Master Database'!$BG$1:$BG$600,$B54)))</f>
        <v>Y</v>
      </c>
      <c r="BA54" s="65" t="n">
        <f aca="false">IF('Master Database'!$A54="",0,IF(AND(OR($B$5="",ISNUMBER(SEARCH($B$5,'Master Database'!$B54&amp;" "&amp;'Master Database'!$D54))),OR($B$6="(All)",'Master Database'!$C54=$B$6),OR($B$7="(All)",'Master Database'!$E54=$B$7),OR($B$8="(All)",'Master Database'!$T54=$B$8),OR($B$9="(All)",'Master Database'!$M54=$B$9),OR($B$10="(All)",'Master Database'!$V54=$B$10),OR($E$5="(All)",'Master Database'!$F54=$E$5),OR($E$6="(All)",'Master Database'!$G54=$E$6),OR($E$7="(All)",'Master Database'!$O54=$E$7),OR($E$8="(All)",'Master Database'!$P54=$E$8),OR($E$9="(All)",'Master Database'!$S54=$E$9),OR($E$10="(All)",'Master Database'!$Y54&amp;""=$E$10&amp;""),OR($H$5="(All)",'Master Database'!$BG54=$H$5),OR($H$6&lt;&gt;"Y",ISNUMBER('Master Database'!$AG54)),OR($H$7="",AND(ISNUMBER('Master Database'!$H54),N('Master Database'!$H54)&gt;=$H$7)),OR($I$7="",AND(ISNUMBER('Master Database'!$H54),N('Master Database'!$H54)&lt;=$I$7)),OR($H$8="",AND(ISNUMBER('Master Database'!$I54),N('Master Database'!$I54)&gt;=$H$8)),OR($I$8="",AND(ISNUMBER('Master Database'!$I54),N('Master Database'!$I54)&lt;=$I$8)),OR($H$9="",AND(ISNUMBER('Master Database'!$K54),N('Master Database'!$K54)&gt;=$H$9)),OR($I$9="",AND(ISNUMBER('Master Database'!$K54),N('Master Database'!$K54)&lt;=$I$9))),1,0))</f>
        <v>1</v>
      </c>
      <c r="BB54" s="65" t="n">
        <f aca="false">IF(BA54=1,COUNTIF($BA$5:BA54,1),"")</f>
        <v>50</v>
      </c>
    </row>
    <row r="55" customFormat="false" ht="15" hidden="false" customHeight="false" outlineLevel="0" collapsed="false">
      <c r="A55" s="67" t="n">
        <f aca="false">IF(40&lt;=SUM($BA$5:$BA$600),40,"")</f>
        <v>40</v>
      </c>
      <c r="B55" s="67" t="n">
        <f aca="false">IF(A55="","",MATCH(A55,$BB$5:$BB$600,0)+4)</f>
        <v>44</v>
      </c>
      <c r="C55" s="67" t="n">
        <f aca="false">IF($B55="","",IF(INDEX('Master Database'!$A$1:$A$600,$B55)="","",INDEX('Master Database'!$A$1:$A$600,$B55)))</f>
        <v>40</v>
      </c>
      <c r="D55" s="68" t="str">
        <f aca="false">IF($B55="","",IF(INDEX('Master Database'!$B$1:$B$600,$B55)="","",INDEX('Master Database'!$B$1:$B$600,$B55)))</f>
        <v>FIRE WATER LOADING PUMP</v>
      </c>
      <c r="E55" s="68" t="str">
        <f aca="false">IF($B55="","",IF(INDEX('Master Database'!$C$1:$C$600,$B55)="","",INDEX('Master Database'!$C$1:$C$600,$B55)))</f>
        <v>Gachsaran 4</v>
      </c>
      <c r="F55" s="68" t="str">
        <f aca="false">IF($B55="","",IF(INDEX('Master Database'!$D$1:$D$600,$B55)="","",INDEX('Master Database'!$D$1:$D$600,$B55)))</f>
        <v>P-904</v>
      </c>
      <c r="G55" s="68" t="str">
        <f aca="false">IF($B55="","",IF(INDEX('Master Database'!$E$1:$E$600,$B55)="","",INDEX('Master Database'!$E$1:$E$600,$B55)))</f>
        <v>ROT-FIR</v>
      </c>
      <c r="H55" s="68" t="str">
        <f aca="false">IF($B55="","",IF(INDEX('Master Database'!$F$1:$F$600,$B55)="","",INDEX('Master Database'!$F$1:$F$600,$B55)))</f>
        <v>Not stated</v>
      </c>
      <c r="I55" s="68" t="str">
        <f aca="false">IF($B55="","",IF(INDEX('Master Database'!$G$1:$G$600,$B55)="","",INDEX('Master Database'!$G$1:$G$600,$B55)))</f>
        <v>Not stated</v>
      </c>
      <c r="J55" s="69" t="n">
        <f aca="false">IF($B55="","",IF(INDEX('Master Database'!$H$1:$H$600,$B55)="","",INDEX('Master Database'!$H$1:$H$600,$B55)))</f>
        <v>30</v>
      </c>
      <c r="K55" s="69" t="str">
        <f aca="false">IF($B55="","",IF(INDEX('Master Database'!$I$1:$I$600,$B55)="","",INDEX('Master Database'!$I$1:$I$600,$B55)))</f>
        <v/>
      </c>
      <c r="L55" s="69" t="n">
        <f aca="false">IF($B55="","",IF(INDEX('Master Database'!$K$1:$K$600,$B55)="","",INDEX('Master Database'!$K$1:$K$600,$B55)))</f>
        <v>2.5</v>
      </c>
      <c r="M55" s="68" t="str">
        <f aca="false">IF($B55="","",IF(INDEX('Master Database'!$L$1:$L$600,$B55)="","",INDEX('Master Database'!$L$1:$L$600,$B55)))</f>
        <v>Not stated</v>
      </c>
      <c r="N55" s="68" t="str">
        <f aca="false">IF($B55="","",IF(INDEX('Master Database'!$P$1:$P$600,$B55)="","",INDEX('Master Database'!$P$1:$P$600,$B55)))</f>
        <v>Not stated</v>
      </c>
      <c r="O55" s="68" t="str">
        <f aca="false">IF($B55="","",IF(INDEX('Master Database'!$S$1:$S$600,$B55)="","",INDEX('Master Database'!$S$1:$S$600,$B55)))</f>
        <v>Electric Motor</v>
      </c>
      <c r="P55" s="68" t="str">
        <f aca="false">IF($B55="","",IF(INDEX('Master Database'!$T$1:$T$600,$B55)="","",INDEX('Master Database'!$T$1:$T$600,$B55)))</f>
        <v>Fire Water</v>
      </c>
      <c r="Q55" s="68" t="n">
        <f aca="false">IF($B55="","",IF(INDEX('Master Database'!$Y$1:$Y$600,$B55)="","",INDEX('Master Database'!$Y$1:$Y$600,$B55)))</f>
        <v>1402</v>
      </c>
      <c r="R55" s="68" t="str">
        <f aca="false">IF($B55="","",IF(INDEX('Master Database'!$Z$1:$Z$600,$B55)="","",INDEX('Master Database'!$Z$1:$Z$600,$B55)))</f>
        <v>EUR</v>
      </c>
      <c r="S55" s="70" t="n">
        <f aca="false">IF($B55="","",IF(INDEX('Master Database'!$AA$1:$AA$600,$B55)="","",INDEX('Master Database'!$AA$1:$AA$600,$B55)))</f>
        <v>19500</v>
      </c>
      <c r="T55" s="68" t="str">
        <f aca="false">IF($B55="","",IF(INDEX('Master Database'!$AE$1:$AE$600,$B55)="","",INDEX('Master Database'!$AE$1:$AE$600,$B55)))</f>
        <v>Consultant basic-design estimate – PEP Rev.1402/05, sheet P.ME «هزینه واحد بدون ضریب»; EUR figure (converted in the PEP at 420,000×1.085 IRR/EUR) | source label: AACE Class 2</v>
      </c>
      <c r="U55" s="70" t="n">
        <f aca="false">IF($B55="","",IF(INDEX('Master Database'!$AG$1:$AG$600,$B55)="","",INDEX('Master Database'!$AG$1:$AG$600,$B55)))</f>
        <v>20181.0634711659</v>
      </c>
      <c r="V55" s="70" t="n">
        <f aca="false">IF($B55="","",IF(INDEX('Master Database'!$AH$1:$AH$600,$B55)="","",INDEX('Master Database'!$AH$1:$AH$600,$B55)))</f>
        <v>21306.8253792453</v>
      </c>
      <c r="W55" s="70" t="n">
        <f aca="false">IF($B55="","",IF(INDEX('Master Database'!$AI$1:$AI$600,$B55)="","",INDEX('Master Database'!$AI$1:$AI$600,$B55)))</f>
        <v>14031247637.4705</v>
      </c>
      <c r="X55" s="68" t="str">
        <f aca="false">IF($B55="","",IF(INDEX('Master Database'!$BG$1:$BG$600,$B55)="","",INDEX('Master Database'!$BG$1:$BG$600,$B55)))</f>
        <v>Y</v>
      </c>
      <c r="BA55" s="65" t="n">
        <f aca="false">IF('Master Database'!$A55="",0,IF(AND(OR($B$5="",ISNUMBER(SEARCH($B$5,'Master Database'!$B55&amp;" "&amp;'Master Database'!$D55))),OR($B$6="(All)",'Master Database'!$C55=$B$6),OR($B$7="(All)",'Master Database'!$E55=$B$7),OR($B$8="(All)",'Master Database'!$T55=$B$8),OR($B$9="(All)",'Master Database'!$M55=$B$9),OR($B$10="(All)",'Master Database'!$V55=$B$10),OR($E$5="(All)",'Master Database'!$F55=$E$5),OR($E$6="(All)",'Master Database'!$G55=$E$6),OR($E$7="(All)",'Master Database'!$O55=$E$7),OR($E$8="(All)",'Master Database'!$P55=$E$8),OR($E$9="(All)",'Master Database'!$S55=$E$9),OR($E$10="(All)",'Master Database'!$Y55&amp;""=$E$10&amp;""),OR($H$5="(All)",'Master Database'!$BG55=$H$5),OR($H$6&lt;&gt;"Y",ISNUMBER('Master Database'!$AG55)),OR($H$7="",AND(ISNUMBER('Master Database'!$H55),N('Master Database'!$H55)&gt;=$H$7)),OR($I$7="",AND(ISNUMBER('Master Database'!$H55),N('Master Database'!$H55)&lt;=$I$7)),OR($H$8="",AND(ISNUMBER('Master Database'!$I55),N('Master Database'!$I55)&gt;=$H$8)),OR($I$8="",AND(ISNUMBER('Master Database'!$I55),N('Master Database'!$I55)&lt;=$I$8)),OR($H$9="",AND(ISNUMBER('Master Database'!$K55),N('Master Database'!$K55)&gt;=$H$9)),OR($I$9="",AND(ISNUMBER('Master Database'!$K55),N('Master Database'!$K55)&lt;=$I$9))),1,0))</f>
        <v>1</v>
      </c>
      <c r="BB55" s="65" t="n">
        <f aca="false">IF(BA55=1,COUNTIF($BA$5:BA55,1),"")</f>
        <v>51</v>
      </c>
    </row>
    <row r="56" customFormat="false" ht="15" hidden="false" customHeight="false" outlineLevel="0" collapsed="false">
      <c r="A56" s="67" t="n">
        <f aca="false">IF(41&lt;=SUM($BA$5:$BA$600),41,"")</f>
        <v>41</v>
      </c>
      <c r="B56" s="67" t="n">
        <f aca="false">IF(A56="","",MATCH(A56,$BB$5:$BB$600,0)+4)</f>
        <v>45</v>
      </c>
      <c r="C56" s="67" t="n">
        <f aca="false">IF($B56="","",IF(INDEX('Master Database'!$A$1:$A$600,$B56)="","",INDEX('Master Database'!$A$1:$A$600,$B56)))</f>
        <v>41</v>
      </c>
      <c r="D56" s="68" t="str">
        <f aca="false">IF($B56="","",IF(INDEX('Master Database'!$B$1:$B$600,$B56)="","",INDEX('Master Database'!$B$1:$B$600,$B56)))</f>
        <v>Salty Crude Transfer Pumps</v>
      </c>
      <c r="E56" s="68" t="str">
        <f aca="false">IF($B56="","",IF(INDEX('Master Database'!$C$1:$C$600,$B56)="","",INDEX('Master Database'!$C$1:$C$600,$B56)))</f>
        <v>Koopal Asmari</v>
      </c>
      <c r="F56" s="68" t="str">
        <f aca="false">IF($B56="","",IF(INDEX('Master Database'!$D$1:$D$600,$B56)="","",INDEX('Master Database'!$D$1:$D$600,$B56)))</f>
        <v>P-111 A/B/C</v>
      </c>
      <c r="G56" s="68" t="str">
        <f aca="false">IF($B56="","",IF(INDEX('Master Database'!$E$1:$E$600,$B56)="","",INDEX('Master Database'!$E$1:$E$600,$B56)))</f>
        <v>ROT-CRU</v>
      </c>
      <c r="H56" s="68" t="str">
        <f aca="false">IF($B56="","",IF(INDEX('Master Database'!$F$1:$F$600,$B56)="","",INDEX('Master Database'!$F$1:$F$600,$B56)))</f>
        <v>OH2</v>
      </c>
      <c r="I56" s="68" t="str">
        <f aca="false">IF($B56="","",IF(INDEX('Master Database'!$G$1:$G$600,$B56)="","",INDEX('Master Database'!$G$1:$G$600,$B56)))</f>
        <v>D-1</v>
      </c>
      <c r="J56" s="69" t="n">
        <f aca="false">IF($B56="","",IF(INDEX('Master Database'!$H$1:$H$600,$B56)="","",INDEX('Master Database'!$H$1:$H$600,$B56)))</f>
        <v>354</v>
      </c>
      <c r="K56" s="69" t="n">
        <f aca="false">IF($B56="","",IF(INDEX('Master Database'!$I$1:$I$600,$B56)="","",INDEX('Master Database'!$I$1:$I$600,$B56)))</f>
        <v>31.2</v>
      </c>
      <c r="L56" s="69" t="n">
        <f aca="false">IF($B56="","",IF(INDEX('Master Database'!$K$1:$K$600,$B56)="","",INDEX('Master Database'!$K$1:$K$600,$B56)))</f>
        <v>50.158038147139</v>
      </c>
      <c r="M56" s="68" t="str">
        <f aca="false">IF($B56="","",IF(INDEX('Master Database'!$L$1:$L$600,$B56)="","",INDEX('Master Database'!$L$1:$L$600,$B56)))</f>
        <v>API 610 + IPS-G-PM-105</v>
      </c>
      <c r="N56" s="68" t="str">
        <f aca="false">IF($B56="","",IF(INDEX('Master Database'!$P$1:$P$600,$B56)="","",INDEX('Master Database'!$P$1:$P$600,$B56)))</f>
        <v>Not stated</v>
      </c>
      <c r="O56" s="68" t="str">
        <f aca="false">IF($B56="","",IF(INDEX('Master Database'!$S$1:$S$600,$B56)="","",INDEX('Master Database'!$S$1:$S$600,$B56)))</f>
        <v>Electric Motor</v>
      </c>
      <c r="P56" s="68" t="str">
        <f aca="false">IF($B56="","",IF(INDEX('Master Database'!$T$1:$T$600,$B56)="","",INDEX('Master Database'!$T$1:$T$600,$B56)))</f>
        <v>Crude Oil</v>
      </c>
      <c r="Q56" s="68" t="n">
        <f aca="false">IF($B56="","",IF(INDEX('Master Database'!$Y$1:$Y$600,$B56)="","",INDEX('Master Database'!$Y$1:$Y$600,$B56)))</f>
        <v>1393</v>
      </c>
      <c r="R56" s="68" t="str">
        <f aca="false">IF($B56="","",IF(INDEX('Master Database'!$Z$1:$Z$600,$B56)="","",INDEX('Master Database'!$Z$1:$Z$600,$B56)))</f>
        <v>EUR</v>
      </c>
      <c r="S56" s="70" t="n">
        <f aca="false">IF($B56="","",IF(INDEX('Master Database'!$AA$1:$AA$600,$B56)="","",INDEX('Master Database'!$AA$1:$AA$600,$B56)))</f>
        <v>55000</v>
      </c>
      <c r="T56" s="68" t="str">
        <f aca="false">IF($B56="","",IF(INDEX('Master Database'!$AE$1:$AE$600,$B56)="","",INDEX('Master Database'!$AE$1:$AE$600,$B56)))</f>
        <v>Consultant FEED MTO estimate – KPL-476 R03 (Jan 2016); vendor-level price in EUR, before project overhead | source label: AACE Class 3</v>
      </c>
      <c r="U56" s="70" t="n">
        <f aca="false">IF($B56="","",IF(INDEX('Master Database'!$AG$1:$AG$600,$B56)="","",INDEX('Master Database'!$AG$1:$AG$600,$B56)))</f>
        <v>74308.7348243511</v>
      </c>
      <c r="V56" s="70" t="n">
        <f aca="false">IF($B56="","",IF(INDEX('Master Database'!$AH$1:$AH$600,$B56)="","",INDEX('Master Database'!$AH$1:$AH$600,$B56)))</f>
        <v>78453.9050341546</v>
      </c>
      <c r="W56" s="70" t="n">
        <f aca="false">IF($B56="","",IF(INDEX('Master Database'!$AI$1:$AI$600,$B56)="","",INDEX('Master Database'!$AI$1:$AI$600,$B56)))</f>
        <v>51664485443.857</v>
      </c>
      <c r="X56" s="68" t="str">
        <f aca="false">IF($B56="","",IF(INDEX('Master Database'!$BG$1:$BG$600,$B56)="","",INDEX('Master Database'!$BG$1:$BG$600,$B56)))</f>
        <v>Y</v>
      </c>
      <c r="BA56" s="65" t="n">
        <f aca="false">IF('Master Database'!$A56="",0,IF(AND(OR($B$5="",ISNUMBER(SEARCH($B$5,'Master Database'!$B56&amp;" "&amp;'Master Database'!$D56))),OR($B$6="(All)",'Master Database'!$C56=$B$6),OR($B$7="(All)",'Master Database'!$E56=$B$7),OR($B$8="(All)",'Master Database'!$T56=$B$8),OR($B$9="(All)",'Master Database'!$M56=$B$9),OR($B$10="(All)",'Master Database'!$V56=$B$10),OR($E$5="(All)",'Master Database'!$F56=$E$5),OR($E$6="(All)",'Master Database'!$G56=$E$6),OR($E$7="(All)",'Master Database'!$O56=$E$7),OR($E$8="(All)",'Master Database'!$P56=$E$8),OR($E$9="(All)",'Master Database'!$S56=$E$9),OR($E$10="(All)",'Master Database'!$Y56&amp;""=$E$10&amp;""),OR($H$5="(All)",'Master Database'!$BG56=$H$5),OR($H$6&lt;&gt;"Y",ISNUMBER('Master Database'!$AG56)),OR($H$7="",AND(ISNUMBER('Master Database'!$H56),N('Master Database'!$H56)&gt;=$H$7)),OR($I$7="",AND(ISNUMBER('Master Database'!$H56),N('Master Database'!$H56)&lt;=$I$7)),OR($H$8="",AND(ISNUMBER('Master Database'!$I56),N('Master Database'!$I56)&gt;=$H$8)),OR($I$8="",AND(ISNUMBER('Master Database'!$I56),N('Master Database'!$I56)&lt;=$I$8)),OR($H$9="",AND(ISNUMBER('Master Database'!$K56),N('Master Database'!$K56)&gt;=$H$9)),OR($I$9="",AND(ISNUMBER('Master Database'!$K56),N('Master Database'!$K56)&lt;=$I$9))),1,0))</f>
        <v>1</v>
      </c>
      <c r="BB56" s="65" t="n">
        <f aca="false">IF(BA56=1,COUNTIF($BA$5:BA56,1),"")</f>
        <v>52</v>
      </c>
    </row>
    <row r="57" customFormat="false" ht="15" hidden="false" customHeight="false" outlineLevel="0" collapsed="false">
      <c r="A57" s="67" t="n">
        <f aca="false">IF(42&lt;=SUM($BA$5:$BA$600),42,"")</f>
        <v>42</v>
      </c>
      <c r="B57" s="67" t="n">
        <f aca="false">IF(A57="","",MATCH(A57,$BB$5:$BB$600,0)+4)</f>
        <v>46</v>
      </c>
      <c r="C57" s="67" t="n">
        <f aca="false">IF($B57="","",IF(INDEX('Master Database'!$A$1:$A$600,$B57)="","",INDEX('Master Database'!$A$1:$A$600,$B57)))</f>
        <v>42</v>
      </c>
      <c r="D57" s="68" t="str">
        <f aca="false">IF($B57="","",IF(INDEX('Master Database'!$B$1:$B$600,$B57)="","",INDEX('Master Database'!$B$1:$B$600,$B57)))</f>
        <v>Salty Crude Booster Pumps</v>
      </c>
      <c r="E57" s="68" t="str">
        <f aca="false">IF($B57="","",IF(INDEX('Master Database'!$C$1:$C$600,$B57)="","",INDEX('Master Database'!$C$1:$C$600,$B57)))</f>
        <v>Koopal Asmari</v>
      </c>
      <c r="F57" s="68" t="str">
        <f aca="false">IF($B57="","",IF(INDEX('Master Database'!$D$1:$D$600,$B57)="","",INDEX('Master Database'!$D$1:$D$600,$B57)))</f>
        <v>P-114 A/B/C</v>
      </c>
      <c r="G57" s="68" t="str">
        <f aca="false">IF($B57="","",IF(INDEX('Master Database'!$E$1:$E$600,$B57)="","",INDEX('Master Database'!$E$1:$E$600,$B57)))</f>
        <v>ROT-CRU</v>
      </c>
      <c r="H57" s="68" t="str">
        <f aca="false">IF($B57="","",IF(INDEX('Master Database'!$F$1:$F$600,$B57)="","",INDEX('Master Database'!$F$1:$F$600,$B57)))</f>
        <v>OH2</v>
      </c>
      <c r="I57" s="68" t="str">
        <f aca="false">IF($B57="","",IF(INDEX('Master Database'!$G$1:$G$600,$B57)="","",INDEX('Master Database'!$G$1:$G$600,$B57)))</f>
        <v>D-1</v>
      </c>
      <c r="J57" s="69" t="n">
        <f aca="false">IF($B57="","",IF(INDEX('Master Database'!$H$1:$H$600,$B57)="","",INDEX('Master Database'!$H$1:$H$600,$B57)))</f>
        <v>255</v>
      </c>
      <c r="K57" s="69" t="n">
        <f aca="false">IF($B57="","",IF(INDEX('Master Database'!$I$1:$I$600,$B57)="","",INDEX('Master Database'!$I$1:$I$600,$B57)))</f>
        <v>170</v>
      </c>
      <c r="L57" s="69" t="n">
        <f aca="false">IF($B57="","",IF(INDEX('Master Database'!$K$1:$K$600,$B57)="","",INDEX('Master Database'!$K$1:$K$600,$B57)))</f>
        <v>196.866485013624</v>
      </c>
      <c r="M57" s="68" t="str">
        <f aca="false">IF($B57="","",IF(INDEX('Master Database'!$L$1:$L$600,$B57)="","",INDEX('Master Database'!$L$1:$L$600,$B57)))</f>
        <v>API 610 + IPS-G-PM-105</v>
      </c>
      <c r="N57" s="68" t="str">
        <f aca="false">IF($B57="","",IF(INDEX('Master Database'!$P$1:$P$600,$B57)="","",INDEX('Master Database'!$P$1:$P$600,$B57)))</f>
        <v>Not stated</v>
      </c>
      <c r="O57" s="68" t="str">
        <f aca="false">IF($B57="","",IF(INDEX('Master Database'!$S$1:$S$600,$B57)="","",INDEX('Master Database'!$S$1:$S$600,$B57)))</f>
        <v>Electric Motor</v>
      </c>
      <c r="P57" s="68" t="str">
        <f aca="false">IF($B57="","",IF(INDEX('Master Database'!$T$1:$T$600,$B57)="","",INDEX('Master Database'!$T$1:$T$600,$B57)))</f>
        <v>Crude Oil</v>
      </c>
      <c r="Q57" s="68" t="n">
        <f aca="false">IF($B57="","",IF(INDEX('Master Database'!$Y$1:$Y$600,$B57)="","",INDEX('Master Database'!$Y$1:$Y$600,$B57)))</f>
        <v>1393</v>
      </c>
      <c r="R57" s="68" t="str">
        <f aca="false">IF($B57="","",IF(INDEX('Master Database'!$Z$1:$Z$600,$B57)="","",INDEX('Master Database'!$Z$1:$Z$600,$B57)))</f>
        <v>EUR</v>
      </c>
      <c r="S57" s="70" t="n">
        <f aca="false">IF($B57="","",IF(INDEX('Master Database'!$AA$1:$AA$600,$B57)="","",INDEX('Master Database'!$AA$1:$AA$600,$B57)))</f>
        <v>60000</v>
      </c>
      <c r="T57" s="68" t="str">
        <f aca="false">IF($B57="","",IF(INDEX('Master Database'!$AE$1:$AE$600,$B57)="","",INDEX('Master Database'!$AE$1:$AE$600,$B57)))</f>
        <v>Consultant FEED MTO estimate – KPL-476 R03 (Jan 2016); vendor-level price in EUR, before project overhead | source label: AACE Class 3</v>
      </c>
      <c r="U57" s="70" t="n">
        <f aca="false">IF($B57="","",IF(INDEX('Master Database'!$AG$1:$AG$600,$B57)="","",INDEX('Master Database'!$AG$1:$AG$600,$B57)))</f>
        <v>81064.0743538376</v>
      </c>
      <c r="V57" s="70" t="n">
        <f aca="false">IF($B57="","",IF(INDEX('Master Database'!$AH$1:$AH$600,$B57)="","",INDEX('Master Database'!$AH$1:$AH$600,$B57)))</f>
        <v>85586.0782190778</v>
      </c>
      <c r="W57" s="70" t="n">
        <f aca="false">IF($B57="","",IF(INDEX('Master Database'!$AI$1:$AI$600,$B57)="","",INDEX('Master Database'!$AI$1:$AI$600,$B57)))</f>
        <v>56361256847.8439</v>
      </c>
      <c r="X57" s="68" t="str">
        <f aca="false">IF($B57="","",IF(INDEX('Master Database'!$BG$1:$BG$600,$B57)="","",INDEX('Master Database'!$BG$1:$BG$600,$B57)))</f>
        <v>Y</v>
      </c>
      <c r="BA57" s="65" t="n">
        <f aca="false">IF('Master Database'!$A57="",0,IF(AND(OR($B$5="",ISNUMBER(SEARCH($B$5,'Master Database'!$B57&amp;" "&amp;'Master Database'!$D57))),OR($B$6="(All)",'Master Database'!$C57=$B$6),OR($B$7="(All)",'Master Database'!$E57=$B$7),OR($B$8="(All)",'Master Database'!$T57=$B$8),OR($B$9="(All)",'Master Database'!$M57=$B$9),OR($B$10="(All)",'Master Database'!$V57=$B$10),OR($E$5="(All)",'Master Database'!$F57=$E$5),OR($E$6="(All)",'Master Database'!$G57=$E$6),OR($E$7="(All)",'Master Database'!$O57=$E$7),OR($E$8="(All)",'Master Database'!$P57=$E$8),OR($E$9="(All)",'Master Database'!$S57=$E$9),OR($E$10="(All)",'Master Database'!$Y57&amp;""=$E$10&amp;""),OR($H$5="(All)",'Master Database'!$BG57=$H$5),OR($H$6&lt;&gt;"Y",ISNUMBER('Master Database'!$AG57)),OR($H$7="",AND(ISNUMBER('Master Database'!$H57),N('Master Database'!$H57)&gt;=$H$7)),OR($I$7="",AND(ISNUMBER('Master Database'!$H57),N('Master Database'!$H57)&lt;=$I$7)),OR($H$8="",AND(ISNUMBER('Master Database'!$I57),N('Master Database'!$I57)&gt;=$H$8)),OR($I$8="",AND(ISNUMBER('Master Database'!$I57),N('Master Database'!$I57)&lt;=$I$8)),OR($H$9="",AND(ISNUMBER('Master Database'!$K57),N('Master Database'!$K57)&gt;=$H$9)),OR($I$9="",AND(ISNUMBER('Master Database'!$K57),N('Master Database'!$K57)&lt;=$I$9))),1,0))</f>
        <v>1</v>
      </c>
      <c r="BB57" s="65" t="n">
        <f aca="false">IF(BA57=1,COUNTIF($BA$5:BA57,1),"")</f>
        <v>53</v>
      </c>
    </row>
    <row r="58" customFormat="false" ht="15" hidden="false" customHeight="false" outlineLevel="0" collapsed="false">
      <c r="A58" s="67" t="n">
        <f aca="false">IF(43&lt;=SUM($BA$5:$BA$600),43,"")</f>
        <v>43</v>
      </c>
      <c r="B58" s="67" t="n">
        <f aca="false">IF(A58="","",MATCH(A58,$BB$5:$BB$600,0)+4)</f>
        <v>47</v>
      </c>
      <c r="C58" s="67" t="n">
        <f aca="false">IF($B58="","",IF(INDEX('Master Database'!$A$1:$A$600,$B58)="","",INDEX('Master Database'!$A$1:$A$600,$B58)))</f>
        <v>43</v>
      </c>
      <c r="D58" s="68" t="str">
        <f aca="false">IF($B58="","",IF(INDEX('Master Database'!$B$1:$B$600,$B58)="","",INDEX('Master Database'!$B$1:$B$600,$B58)))</f>
        <v>Dirty Oil Pumps</v>
      </c>
      <c r="E58" s="68" t="str">
        <f aca="false">IF($B58="","",IF(INDEX('Master Database'!$C$1:$C$600,$B58)="","",INDEX('Master Database'!$C$1:$C$600,$B58)))</f>
        <v>Koopal Asmari</v>
      </c>
      <c r="F58" s="68" t="str">
        <f aca="false">IF($B58="","",IF(INDEX('Master Database'!$D$1:$D$600,$B58)="","",INDEX('Master Database'!$D$1:$D$600,$B58)))</f>
        <v>P-135 A/B</v>
      </c>
      <c r="G58" s="68" t="str">
        <f aca="false">IF($B58="","",IF(INDEX('Master Database'!$E$1:$E$600,$B58)="","",INDEX('Master Database'!$E$1:$E$600,$B58)))</f>
        <v>ROT-DRN</v>
      </c>
      <c r="H58" s="68" t="str">
        <f aca="false">IF($B58="","",IF(INDEX('Master Database'!$F$1:$F$600,$B58)="","",INDEX('Master Database'!$F$1:$F$600,$B58)))</f>
        <v>N/A (non-API 610)</v>
      </c>
      <c r="I58" s="68" t="str">
        <f aca="false">IF($B58="","",IF(INDEX('Master Database'!$G$1:$G$600,$B58)="","",INDEX('Master Database'!$G$1:$G$600,$B58)))</f>
        <v>D-1</v>
      </c>
      <c r="J58" s="69" t="n">
        <f aca="false">IF($B58="","",IF(INDEX('Master Database'!$H$1:$H$600,$B58)="","",INDEX('Master Database'!$H$1:$H$600,$B58)))</f>
        <v>5</v>
      </c>
      <c r="K58" s="69" t="str">
        <f aca="false">IF($B58="","",IF(INDEX('Master Database'!$I$1:$I$600,$B58)="","",INDEX('Master Database'!$I$1:$I$600,$B58)))</f>
        <v/>
      </c>
      <c r="L58" s="69" t="str">
        <f aca="false">IF($B58="","",IF(INDEX('Master Database'!$K$1:$K$600,$B58)="","",INDEX('Master Database'!$K$1:$K$600,$B58)))</f>
        <v/>
      </c>
      <c r="M58" s="68" t="str">
        <f aca="false">IF($B58="","",IF(INDEX('Master Database'!$L$1:$L$600,$B58)="","",INDEX('Master Database'!$L$1:$L$600,$B58)))</f>
        <v>API 676 + IPS-M-PM-140</v>
      </c>
      <c r="N58" s="68" t="str">
        <f aca="false">IF($B58="","",IF(INDEX('Master Database'!$P$1:$P$600,$B58)="","",INDEX('Master Database'!$P$1:$P$600,$B58)))</f>
        <v>Not stated</v>
      </c>
      <c r="O58" s="68" t="str">
        <f aca="false">IF($B58="","",IF(INDEX('Master Database'!$S$1:$S$600,$B58)="","",INDEX('Master Database'!$S$1:$S$600,$B58)))</f>
        <v>Electric Motor</v>
      </c>
      <c r="P58" s="68" t="str">
        <f aca="false">IF($B58="","",IF(INDEX('Master Database'!$T$1:$T$600,$B58)="","",INDEX('Master Database'!$T$1:$T$600,$B58)))</f>
        <v>Slop / Dirty Oil</v>
      </c>
      <c r="Q58" s="68" t="n">
        <f aca="false">IF($B58="","",IF(INDEX('Master Database'!$Y$1:$Y$600,$B58)="","",INDEX('Master Database'!$Y$1:$Y$600,$B58)))</f>
        <v>1393</v>
      </c>
      <c r="R58" s="68" t="str">
        <f aca="false">IF($B58="","",IF(INDEX('Master Database'!$Z$1:$Z$600,$B58)="","",INDEX('Master Database'!$Z$1:$Z$600,$B58)))</f>
        <v>EUR</v>
      </c>
      <c r="S58" s="70" t="n">
        <f aca="false">IF($B58="","",IF(INDEX('Master Database'!$AA$1:$AA$600,$B58)="","",INDEX('Master Database'!$AA$1:$AA$600,$B58)))</f>
        <v>10000</v>
      </c>
      <c r="T58" s="68" t="str">
        <f aca="false">IF($B58="","",IF(INDEX('Master Database'!$AE$1:$AE$600,$B58)="","",INDEX('Master Database'!$AE$1:$AE$600,$B58)))</f>
        <v>Consultant FEED MTO estimate – KPL-476 R03 (Jan 2016); vendor-level price in EUR, before project overhead | source label: AACE Class 3</v>
      </c>
      <c r="U58" s="70" t="n">
        <f aca="false">IF($B58="","",IF(INDEX('Master Database'!$AG$1:$AG$600,$B58)="","",INDEX('Master Database'!$AG$1:$AG$600,$B58)))</f>
        <v>13510.6790589729</v>
      </c>
      <c r="V58" s="70" t="n">
        <f aca="false">IF($B58="","",IF(INDEX('Master Database'!$AH$1:$AH$600,$B58)="","",INDEX('Master Database'!$AH$1:$AH$600,$B58)))</f>
        <v>14264.3463698463</v>
      </c>
      <c r="W58" s="70" t="n">
        <f aca="false">IF($B58="","",IF(INDEX('Master Database'!$AI$1:$AI$600,$B58)="","",INDEX('Master Database'!$AI$1:$AI$600,$B58)))</f>
        <v>9393542807.97399</v>
      </c>
      <c r="X58" s="68" t="str">
        <f aca="false">IF($B58="","",IF(INDEX('Master Database'!$BG$1:$BG$600,$B58)="","",INDEX('Master Database'!$BG$1:$BG$600,$B58)))</f>
        <v>Y</v>
      </c>
      <c r="BA58" s="65" t="n">
        <f aca="false">IF('Master Database'!$A58="",0,IF(AND(OR($B$5="",ISNUMBER(SEARCH($B$5,'Master Database'!$B58&amp;" "&amp;'Master Database'!$D58))),OR($B$6="(All)",'Master Database'!$C58=$B$6),OR($B$7="(All)",'Master Database'!$E58=$B$7),OR($B$8="(All)",'Master Database'!$T58=$B$8),OR($B$9="(All)",'Master Database'!$M58=$B$9),OR($B$10="(All)",'Master Database'!$V58=$B$10),OR($E$5="(All)",'Master Database'!$F58=$E$5),OR($E$6="(All)",'Master Database'!$G58=$E$6),OR($E$7="(All)",'Master Database'!$O58=$E$7),OR($E$8="(All)",'Master Database'!$P58=$E$8),OR($E$9="(All)",'Master Database'!$S58=$E$9),OR($E$10="(All)",'Master Database'!$Y58&amp;""=$E$10&amp;""),OR($H$5="(All)",'Master Database'!$BG58=$H$5),OR($H$6&lt;&gt;"Y",ISNUMBER('Master Database'!$AG58)),OR($H$7="",AND(ISNUMBER('Master Database'!$H58),N('Master Database'!$H58)&gt;=$H$7)),OR($I$7="",AND(ISNUMBER('Master Database'!$H58),N('Master Database'!$H58)&lt;=$I$7)),OR($H$8="",AND(ISNUMBER('Master Database'!$I58),N('Master Database'!$I58)&gt;=$H$8)),OR($I$8="",AND(ISNUMBER('Master Database'!$I58),N('Master Database'!$I58)&lt;=$I$8)),OR($H$9="",AND(ISNUMBER('Master Database'!$K58),N('Master Database'!$K58)&gt;=$H$9)),OR($I$9="",AND(ISNUMBER('Master Database'!$K58),N('Master Database'!$K58)&lt;=$I$9))),1,0))</f>
        <v>1</v>
      </c>
      <c r="BB58" s="65" t="n">
        <f aca="false">IF(BA58=1,COUNTIF($BA$5:BA58,1),"")</f>
        <v>54</v>
      </c>
    </row>
    <row r="59" customFormat="false" ht="15" hidden="false" customHeight="false" outlineLevel="0" collapsed="false">
      <c r="A59" s="67" t="n">
        <f aca="false">IF(44&lt;=SUM($BA$5:$BA$600),44,"")</f>
        <v>44</v>
      </c>
      <c r="B59" s="67" t="n">
        <f aca="false">IF(A59="","",MATCH(A59,$BB$5:$BB$600,0)+4)</f>
        <v>48</v>
      </c>
      <c r="C59" s="67" t="n">
        <f aca="false">IF($B59="","",IF(INDEX('Master Database'!$A$1:$A$600,$B59)="","",INDEX('Master Database'!$A$1:$A$600,$B59)))</f>
        <v>44</v>
      </c>
      <c r="D59" s="68" t="str">
        <f aca="false">IF($B59="","",IF(INDEX('Master Database'!$B$1:$B$600,$B59)="","",INDEX('Master Database'!$B$1:$B$600,$B59)))</f>
        <v>Free Water Transfer Pumps</v>
      </c>
      <c r="E59" s="68" t="str">
        <f aca="false">IF($B59="","",IF(INDEX('Master Database'!$C$1:$C$600,$B59)="","",INDEX('Master Database'!$C$1:$C$600,$B59)))</f>
        <v>Koopal Asmari</v>
      </c>
      <c r="F59" s="68" t="str">
        <f aca="false">IF($B59="","",IF(INDEX('Master Database'!$D$1:$D$600,$B59)="","",INDEX('Master Database'!$D$1:$D$600,$B59)))</f>
        <v>P-136 A/B</v>
      </c>
      <c r="G59" s="68" t="str">
        <f aca="false">IF($B59="","",IF(INDEX('Master Database'!$E$1:$E$600,$B59)="","",INDEX('Master Database'!$E$1:$E$600,$B59)))</f>
        <v>ROT-WAT</v>
      </c>
      <c r="H59" s="68" t="str">
        <f aca="false">IF($B59="","",IF(INDEX('Master Database'!$F$1:$F$600,$B59)="","",INDEX('Master Database'!$F$1:$F$600,$B59)))</f>
        <v>OH2</v>
      </c>
      <c r="I59" s="68" t="str">
        <f aca="false">IF($B59="","",IF(INDEX('Master Database'!$G$1:$G$600,$B59)="","",INDEX('Master Database'!$G$1:$G$600,$B59)))</f>
        <v>D-2</v>
      </c>
      <c r="J59" s="69" t="n">
        <f aca="false">IF($B59="","",IF(INDEX('Master Database'!$H$1:$H$600,$B59)="","",INDEX('Master Database'!$H$1:$H$600,$B59)))</f>
        <v>21</v>
      </c>
      <c r="K59" s="69" t="n">
        <f aca="false">IF($B59="","",IF(INDEX('Master Database'!$I$1:$I$600,$B59)="","",INDEX('Master Database'!$I$1:$I$600,$B59)))</f>
        <v>27.6</v>
      </c>
      <c r="L59" s="69" t="n">
        <f aca="false">IF($B59="","",IF(INDEX('Master Database'!$K$1:$K$600,$B59)="","",INDEX('Master Database'!$K$1:$K$600,$B59)))</f>
        <v>2.63215258855586</v>
      </c>
      <c r="M59" s="68" t="str">
        <f aca="false">IF($B59="","",IF(INDEX('Master Database'!$L$1:$L$600,$B59)="","",INDEX('Master Database'!$L$1:$L$600,$B59)))</f>
        <v>API 610 + IPS-G-PM-105</v>
      </c>
      <c r="N59" s="68" t="str">
        <f aca="false">IF($B59="","",IF(INDEX('Master Database'!$P$1:$P$600,$B59)="","",INDEX('Master Database'!$P$1:$P$600,$B59)))</f>
        <v>Not stated</v>
      </c>
      <c r="O59" s="68" t="str">
        <f aca="false">IF($B59="","",IF(INDEX('Master Database'!$S$1:$S$600,$B59)="","",INDEX('Master Database'!$S$1:$S$600,$B59)))</f>
        <v>Electric Motor</v>
      </c>
      <c r="P59" s="68" t="str">
        <f aca="false">IF($B59="","",IF(INDEX('Master Database'!$T$1:$T$600,$B59)="","",INDEX('Master Database'!$T$1:$T$600,$B59)))</f>
        <v>Process / Dilution Water</v>
      </c>
      <c r="Q59" s="68" t="n">
        <f aca="false">IF($B59="","",IF(INDEX('Master Database'!$Y$1:$Y$600,$B59)="","",INDEX('Master Database'!$Y$1:$Y$600,$B59)))</f>
        <v>1393</v>
      </c>
      <c r="R59" s="68" t="str">
        <f aca="false">IF($B59="","",IF(INDEX('Master Database'!$Z$1:$Z$600,$B59)="","",INDEX('Master Database'!$Z$1:$Z$600,$B59)))</f>
        <v>EUR</v>
      </c>
      <c r="S59" s="70" t="n">
        <f aca="false">IF($B59="","",IF(INDEX('Master Database'!$AA$1:$AA$600,$B59)="","",INDEX('Master Database'!$AA$1:$AA$600,$B59)))</f>
        <v>30000</v>
      </c>
      <c r="T59" s="68" t="str">
        <f aca="false">IF($B59="","",IF(INDEX('Master Database'!$AE$1:$AE$600,$B59)="","",INDEX('Master Database'!$AE$1:$AE$600,$B59)))</f>
        <v>Consultant FEED MTO estimate – KPL-476 R03 (Jan 2016); vendor-level price in EUR, before project overhead | source label: AACE Class 3</v>
      </c>
      <c r="U59" s="70" t="n">
        <f aca="false">IF($B59="","",IF(INDEX('Master Database'!$AG$1:$AG$600,$B59)="","",INDEX('Master Database'!$AG$1:$AG$600,$B59)))</f>
        <v>40532.0371769188</v>
      </c>
      <c r="V59" s="70" t="n">
        <f aca="false">IF($B59="","",IF(INDEX('Master Database'!$AH$1:$AH$600,$B59)="","",INDEX('Master Database'!$AH$1:$AH$600,$B59)))</f>
        <v>42793.0391095389</v>
      </c>
      <c r="W59" s="70" t="n">
        <f aca="false">IF($B59="","",IF(INDEX('Master Database'!$AI$1:$AI$600,$B59)="","",INDEX('Master Database'!$AI$1:$AI$600,$B59)))</f>
        <v>28180628423.922</v>
      </c>
      <c r="X59" s="68" t="str">
        <f aca="false">IF($B59="","",IF(INDEX('Master Database'!$BG$1:$BG$600,$B59)="","",INDEX('Master Database'!$BG$1:$BG$600,$B59)))</f>
        <v>Y</v>
      </c>
      <c r="BA59" s="65" t="n">
        <f aca="false">IF('Master Database'!$A59="",0,IF(AND(OR($B$5="",ISNUMBER(SEARCH($B$5,'Master Database'!$B59&amp;" "&amp;'Master Database'!$D59))),OR($B$6="(All)",'Master Database'!$C59=$B$6),OR($B$7="(All)",'Master Database'!$E59=$B$7),OR($B$8="(All)",'Master Database'!$T59=$B$8),OR($B$9="(All)",'Master Database'!$M59=$B$9),OR($B$10="(All)",'Master Database'!$V59=$B$10),OR($E$5="(All)",'Master Database'!$F59=$E$5),OR($E$6="(All)",'Master Database'!$G59=$E$6),OR($E$7="(All)",'Master Database'!$O59=$E$7),OR($E$8="(All)",'Master Database'!$P59=$E$8),OR($E$9="(All)",'Master Database'!$S59=$E$9),OR($E$10="(All)",'Master Database'!$Y59&amp;""=$E$10&amp;""),OR($H$5="(All)",'Master Database'!$BG59=$H$5),OR($H$6&lt;&gt;"Y",ISNUMBER('Master Database'!$AG59)),OR($H$7="",AND(ISNUMBER('Master Database'!$H59),N('Master Database'!$H59)&gt;=$H$7)),OR($I$7="",AND(ISNUMBER('Master Database'!$H59),N('Master Database'!$H59)&lt;=$I$7)),OR($H$8="",AND(ISNUMBER('Master Database'!$I59),N('Master Database'!$I59)&gt;=$H$8)),OR($I$8="",AND(ISNUMBER('Master Database'!$I59),N('Master Database'!$I59)&lt;=$I$8)),OR($H$9="",AND(ISNUMBER('Master Database'!$K59),N('Master Database'!$K59)&gt;=$H$9)),OR($I$9="",AND(ISNUMBER('Master Database'!$K59),N('Master Database'!$K59)&lt;=$I$9))),1,0))</f>
        <v>1</v>
      </c>
      <c r="BB59" s="65" t="n">
        <f aca="false">IF(BA59=1,COUNTIF($BA$5:BA59,1),"")</f>
        <v>55</v>
      </c>
    </row>
    <row r="60" customFormat="false" ht="15" hidden="false" customHeight="false" outlineLevel="0" collapsed="false">
      <c r="A60" s="67" t="n">
        <f aca="false">IF(45&lt;=SUM($BA$5:$BA$600),45,"")</f>
        <v>45</v>
      </c>
      <c r="B60" s="67" t="n">
        <f aca="false">IF(A60="","",MATCH(A60,$BB$5:$BB$600,0)+4)</f>
        <v>49</v>
      </c>
      <c r="C60" s="67" t="n">
        <f aca="false">IF($B60="","",IF(INDEX('Master Database'!$A$1:$A$600,$B60)="","",INDEX('Master Database'!$A$1:$A$600,$B60)))</f>
        <v>45</v>
      </c>
      <c r="D60" s="68" t="str">
        <f aca="false">IF($B60="","",IF(INDEX('Master Database'!$B$1:$B$600,$B60)="","",INDEX('Master Database'!$B$1:$B$600,$B60)))</f>
        <v>Disposal Water Injection Main Pumps</v>
      </c>
      <c r="E60" s="68" t="str">
        <f aca="false">IF($B60="","",IF(INDEX('Master Database'!$C$1:$C$600,$B60)="","",INDEX('Master Database'!$C$1:$C$600,$B60)))</f>
        <v>Koopal Asmari</v>
      </c>
      <c r="F60" s="68" t="str">
        <f aca="false">IF($B60="","",IF(INDEX('Master Database'!$D$1:$D$600,$B60)="","",INDEX('Master Database'!$D$1:$D$600,$B60)))</f>
        <v>P-137 A/B</v>
      </c>
      <c r="G60" s="68" t="str">
        <f aca="false">IF($B60="","",IF(INDEX('Master Database'!$E$1:$E$600,$B60)="","",INDEX('Master Database'!$E$1:$E$600,$B60)))</f>
        <v>ROT-INJ</v>
      </c>
      <c r="H60" s="68" t="str">
        <f aca="false">IF($B60="","",IF(INDEX('Master Database'!$F$1:$F$600,$B60)="","",INDEX('Master Database'!$F$1:$F$600,$B60)))</f>
        <v>BB3</v>
      </c>
      <c r="I60" s="68" t="str">
        <f aca="false">IF($B60="","",IF(INDEX('Master Database'!$G$1:$G$600,$B60)="","",INDEX('Master Database'!$G$1:$G$600,$B60)))</f>
        <v>D-2</v>
      </c>
      <c r="J60" s="69" t="n">
        <f aca="false">IF($B60="","",IF(INDEX('Master Database'!$H$1:$H$600,$B60)="","",INDEX('Master Database'!$H$1:$H$600,$B60)))</f>
        <v>73</v>
      </c>
      <c r="K60" s="69" t="n">
        <f aca="false">IF($B60="","",IF(INDEX('Master Database'!$I$1:$I$600,$B60)="","",INDEX('Master Database'!$I$1:$I$600,$B60)))</f>
        <v>607.4</v>
      </c>
      <c r="L60" s="69" t="n">
        <f aca="false">IF($B60="","",IF(INDEX('Master Database'!$K$1:$K$600,$B60)="","",INDEX('Master Database'!$K$1:$K$600,$B60)))</f>
        <v>201.363306085377</v>
      </c>
      <c r="M60" s="68" t="str">
        <f aca="false">IF($B60="","",IF(INDEX('Master Database'!$L$1:$L$600,$B60)="","",INDEX('Master Database'!$L$1:$L$600,$B60)))</f>
        <v>API 610 + IPS-G-PM-105</v>
      </c>
      <c r="N60" s="68" t="str">
        <f aca="false">IF($B60="","",IF(INDEX('Master Database'!$P$1:$P$600,$B60)="","",INDEX('Master Database'!$P$1:$P$600,$B60)))</f>
        <v>Not stated</v>
      </c>
      <c r="O60" s="68" t="str">
        <f aca="false">IF($B60="","",IF(INDEX('Master Database'!$S$1:$S$600,$B60)="","",INDEX('Master Database'!$S$1:$S$600,$B60)))</f>
        <v>Electric Motor</v>
      </c>
      <c r="P60" s="68" t="str">
        <f aca="false">IF($B60="","",IF(INDEX('Master Database'!$T$1:$T$600,$B60)="","",INDEX('Master Database'!$T$1:$T$600,$B60)))</f>
        <v>Produced / Disposal Water</v>
      </c>
      <c r="Q60" s="68" t="n">
        <f aca="false">IF($B60="","",IF(INDEX('Master Database'!$Y$1:$Y$600,$B60)="","",INDEX('Master Database'!$Y$1:$Y$600,$B60)))</f>
        <v>1393</v>
      </c>
      <c r="R60" s="68" t="str">
        <f aca="false">IF($B60="","",IF(INDEX('Master Database'!$Z$1:$Z$600,$B60)="","",INDEX('Master Database'!$Z$1:$Z$600,$B60)))</f>
        <v>EUR</v>
      </c>
      <c r="S60" s="70" t="n">
        <f aca="false">IF($B60="","",IF(INDEX('Master Database'!$AA$1:$AA$600,$B60)="","",INDEX('Master Database'!$AA$1:$AA$600,$B60)))</f>
        <v>210000</v>
      </c>
      <c r="T60" s="68" t="str">
        <f aca="false">IF($B60="","",IF(INDEX('Master Database'!$AE$1:$AE$600,$B60)="","",INDEX('Master Database'!$AE$1:$AE$600,$B60)))</f>
        <v>Consultant FEED MTO estimate – KPL-476 R03 (Jan 2016); vendor-level price in EUR, before project overhead | source label: AACE Class 3</v>
      </c>
      <c r="U60" s="70" t="n">
        <f aca="false">IF($B60="","",IF(INDEX('Master Database'!$AG$1:$AG$600,$B60)="","",INDEX('Master Database'!$AG$1:$AG$600,$B60)))</f>
        <v>283724.260238432</v>
      </c>
      <c r="V60" s="70" t="n">
        <f aca="false">IF($B60="","",IF(INDEX('Master Database'!$AH$1:$AH$600,$B60)="","",INDEX('Master Database'!$AH$1:$AH$600,$B60)))</f>
        <v>299551.273766772</v>
      </c>
      <c r="W60" s="70" t="n">
        <f aca="false">IF($B60="","",IF(INDEX('Master Database'!$AI$1:$AI$600,$B60)="","",INDEX('Master Database'!$AI$1:$AI$600,$B60)))</f>
        <v>197264398967.454</v>
      </c>
      <c r="X60" s="68" t="str">
        <f aca="false">IF($B60="","",IF(INDEX('Master Database'!$BG$1:$BG$600,$B60)="","",INDEX('Master Database'!$BG$1:$BG$600,$B60)))</f>
        <v>Y</v>
      </c>
      <c r="BA60" s="65" t="n">
        <f aca="false">IF('Master Database'!$A60="",0,IF(AND(OR($B$5="",ISNUMBER(SEARCH($B$5,'Master Database'!$B60&amp;" "&amp;'Master Database'!$D60))),OR($B$6="(All)",'Master Database'!$C60=$B$6),OR($B$7="(All)",'Master Database'!$E60=$B$7),OR($B$8="(All)",'Master Database'!$T60=$B$8),OR($B$9="(All)",'Master Database'!$M60=$B$9),OR($B$10="(All)",'Master Database'!$V60=$B$10),OR($E$5="(All)",'Master Database'!$F60=$E$5),OR($E$6="(All)",'Master Database'!$G60=$E$6),OR($E$7="(All)",'Master Database'!$O60=$E$7),OR($E$8="(All)",'Master Database'!$P60=$E$8),OR($E$9="(All)",'Master Database'!$S60=$E$9),OR($E$10="(All)",'Master Database'!$Y60&amp;""=$E$10&amp;""),OR($H$5="(All)",'Master Database'!$BG60=$H$5),OR($H$6&lt;&gt;"Y",ISNUMBER('Master Database'!$AG60)),OR($H$7="",AND(ISNUMBER('Master Database'!$H60),N('Master Database'!$H60)&gt;=$H$7)),OR($I$7="",AND(ISNUMBER('Master Database'!$H60),N('Master Database'!$H60)&lt;=$I$7)),OR($H$8="",AND(ISNUMBER('Master Database'!$I60),N('Master Database'!$I60)&gt;=$H$8)),OR($I$8="",AND(ISNUMBER('Master Database'!$I60),N('Master Database'!$I60)&lt;=$I$8)),OR($H$9="",AND(ISNUMBER('Master Database'!$K60),N('Master Database'!$K60)&gt;=$H$9)),OR($I$9="",AND(ISNUMBER('Master Database'!$K60),N('Master Database'!$K60)&lt;=$I$9))),1,0))</f>
        <v>1</v>
      </c>
      <c r="BB60" s="65" t="n">
        <f aca="false">IF(BA60=1,COUNTIF($BA$5:BA60,1),"")</f>
        <v>56</v>
      </c>
    </row>
    <row r="61" customFormat="false" ht="15" hidden="false" customHeight="false" outlineLevel="0" collapsed="false">
      <c r="A61" s="67" t="n">
        <f aca="false">IF(46&lt;=SUM($BA$5:$BA$600),46,"")</f>
        <v>46</v>
      </c>
      <c r="B61" s="67" t="n">
        <f aca="false">IF(A61="","",MATCH(A61,$BB$5:$BB$600,0)+4)</f>
        <v>50</v>
      </c>
      <c r="C61" s="67" t="n">
        <f aca="false">IF($B61="","",IF(INDEX('Master Database'!$A$1:$A$600,$B61)="","",INDEX('Master Database'!$A$1:$A$600,$B61)))</f>
        <v>46</v>
      </c>
      <c r="D61" s="68" t="str">
        <f aca="false">IF($B61="","",IF(INDEX('Master Database'!$B$1:$B$600,$B61)="","",INDEX('Master Database'!$B$1:$B$600,$B61)))</f>
        <v>Disposal Water Injection Booster Pumps</v>
      </c>
      <c r="E61" s="68" t="str">
        <f aca="false">IF($B61="","",IF(INDEX('Master Database'!$C$1:$C$600,$B61)="","",INDEX('Master Database'!$C$1:$C$600,$B61)))</f>
        <v>Koopal Asmari</v>
      </c>
      <c r="F61" s="68" t="str">
        <f aca="false">IF($B61="","",IF(INDEX('Master Database'!$D$1:$D$600,$B61)="","",INDEX('Master Database'!$D$1:$D$600,$B61)))</f>
        <v>P-139 A/B</v>
      </c>
      <c r="G61" s="68" t="str">
        <f aca="false">IF($B61="","",IF(INDEX('Master Database'!$E$1:$E$600,$B61)="","",INDEX('Master Database'!$E$1:$E$600,$B61)))</f>
        <v>ROT-INJ</v>
      </c>
      <c r="H61" s="68" t="str">
        <f aca="false">IF($B61="","",IF(INDEX('Master Database'!$F$1:$F$600,$B61)="","",INDEX('Master Database'!$F$1:$F$600,$B61)))</f>
        <v>BB3</v>
      </c>
      <c r="I61" s="68" t="str">
        <f aca="false">IF($B61="","",IF(INDEX('Master Database'!$G$1:$G$600,$B61)="","",INDEX('Master Database'!$G$1:$G$600,$B61)))</f>
        <v>D-2</v>
      </c>
      <c r="J61" s="69" t="n">
        <f aca="false">IF($B61="","",IF(INDEX('Master Database'!$H$1:$H$600,$B61)="","",INDEX('Master Database'!$H$1:$H$600,$B61)))</f>
        <v>36</v>
      </c>
      <c r="K61" s="69" t="n">
        <f aca="false">IF($B61="","",IF(INDEX('Master Database'!$I$1:$I$600,$B61)="","",INDEX('Master Database'!$I$1:$I$600,$B61)))</f>
        <v>331</v>
      </c>
      <c r="L61" s="69" t="n">
        <f aca="false">IF($B61="","",IF(INDEX('Master Database'!$K$1:$K$600,$B61)="","",INDEX('Master Database'!$K$1:$K$600,$B61)))</f>
        <v>54.1144414168937</v>
      </c>
      <c r="M61" s="68" t="str">
        <f aca="false">IF($B61="","",IF(INDEX('Master Database'!$L$1:$L$600,$B61)="","",INDEX('Master Database'!$L$1:$L$600,$B61)))</f>
        <v>API 610 + IPS-G-PM-105</v>
      </c>
      <c r="N61" s="68" t="str">
        <f aca="false">IF($B61="","",IF(INDEX('Master Database'!$P$1:$P$600,$B61)="","",INDEX('Master Database'!$P$1:$P$600,$B61)))</f>
        <v>Not stated</v>
      </c>
      <c r="O61" s="68" t="str">
        <f aca="false">IF($B61="","",IF(INDEX('Master Database'!$S$1:$S$600,$B61)="","",INDEX('Master Database'!$S$1:$S$600,$B61)))</f>
        <v>Electric Motor</v>
      </c>
      <c r="P61" s="68" t="str">
        <f aca="false">IF($B61="","",IF(INDEX('Master Database'!$T$1:$T$600,$B61)="","",INDEX('Master Database'!$T$1:$T$600,$B61)))</f>
        <v>Produced / Disposal Water</v>
      </c>
      <c r="Q61" s="68" t="n">
        <f aca="false">IF($B61="","",IF(INDEX('Master Database'!$Y$1:$Y$600,$B61)="","",INDEX('Master Database'!$Y$1:$Y$600,$B61)))</f>
        <v>1393</v>
      </c>
      <c r="R61" s="68" t="str">
        <f aca="false">IF($B61="","",IF(INDEX('Master Database'!$Z$1:$Z$600,$B61)="","",INDEX('Master Database'!$Z$1:$Z$600,$B61)))</f>
        <v>EUR</v>
      </c>
      <c r="S61" s="70" t="n">
        <f aca="false">IF($B61="","",IF(INDEX('Master Database'!$AA$1:$AA$600,$B61)="","",INDEX('Master Database'!$AA$1:$AA$600,$B61)))</f>
        <v>150000</v>
      </c>
      <c r="T61" s="68" t="str">
        <f aca="false">IF($B61="","",IF(INDEX('Master Database'!$AE$1:$AE$600,$B61)="","",INDEX('Master Database'!$AE$1:$AE$600,$B61)))</f>
        <v>Consultant FEED MTO estimate – KPL-476 R03 (Jan 2016); vendor-level price in EUR, before project overhead | source label: AACE Class 3</v>
      </c>
      <c r="U61" s="70" t="n">
        <f aca="false">IF($B61="","",IF(INDEX('Master Database'!$AG$1:$AG$600,$B61)="","",INDEX('Master Database'!$AG$1:$AG$600,$B61)))</f>
        <v>202660.185884594</v>
      </c>
      <c r="V61" s="70" t="n">
        <f aca="false">IF($B61="","",IF(INDEX('Master Database'!$AH$1:$AH$600,$B61)="","",INDEX('Master Database'!$AH$1:$AH$600,$B61)))</f>
        <v>213965.195547694</v>
      </c>
      <c r="W61" s="70" t="n">
        <f aca="false">IF($B61="","",IF(INDEX('Master Database'!$AI$1:$AI$600,$B61)="","",INDEX('Master Database'!$AI$1:$AI$600,$B61)))</f>
        <v>140903142119.61</v>
      </c>
      <c r="X61" s="68" t="str">
        <f aca="false">IF($B61="","",IF(INDEX('Master Database'!$BG$1:$BG$600,$B61)="","",INDEX('Master Database'!$BG$1:$BG$600,$B61)))</f>
        <v>Y</v>
      </c>
      <c r="BA61" s="65" t="n">
        <f aca="false">IF('Master Database'!$A61="",0,IF(AND(OR($B$5="",ISNUMBER(SEARCH($B$5,'Master Database'!$B61&amp;" "&amp;'Master Database'!$D61))),OR($B$6="(All)",'Master Database'!$C61=$B$6),OR($B$7="(All)",'Master Database'!$E61=$B$7),OR($B$8="(All)",'Master Database'!$T61=$B$8),OR($B$9="(All)",'Master Database'!$M61=$B$9),OR($B$10="(All)",'Master Database'!$V61=$B$10),OR($E$5="(All)",'Master Database'!$F61=$E$5),OR($E$6="(All)",'Master Database'!$G61=$E$6),OR($E$7="(All)",'Master Database'!$O61=$E$7),OR($E$8="(All)",'Master Database'!$P61=$E$8),OR($E$9="(All)",'Master Database'!$S61=$E$9),OR($E$10="(All)",'Master Database'!$Y61&amp;""=$E$10&amp;""),OR($H$5="(All)",'Master Database'!$BG61=$H$5),OR($H$6&lt;&gt;"Y",ISNUMBER('Master Database'!$AG61)),OR($H$7="",AND(ISNUMBER('Master Database'!$H61),N('Master Database'!$H61)&gt;=$H$7)),OR($I$7="",AND(ISNUMBER('Master Database'!$H61),N('Master Database'!$H61)&lt;=$I$7)),OR($H$8="",AND(ISNUMBER('Master Database'!$I61),N('Master Database'!$I61)&gt;=$H$8)),OR($I$8="",AND(ISNUMBER('Master Database'!$I61),N('Master Database'!$I61)&lt;=$I$8)),OR($H$9="",AND(ISNUMBER('Master Database'!$K61),N('Master Database'!$K61)&gt;=$H$9)),OR($I$9="",AND(ISNUMBER('Master Database'!$K61),N('Master Database'!$K61)&lt;=$I$9))),1,0))</f>
        <v>1</v>
      </c>
      <c r="BB61" s="65" t="n">
        <f aca="false">IF(BA61=1,COUNTIF($BA$5:BA61,1),"")</f>
        <v>57</v>
      </c>
    </row>
    <row r="62" customFormat="false" ht="15" hidden="false" customHeight="false" outlineLevel="0" collapsed="false">
      <c r="A62" s="67" t="n">
        <f aca="false">IF(47&lt;=SUM($BA$5:$BA$600),47,"")</f>
        <v>47</v>
      </c>
      <c r="B62" s="67" t="n">
        <f aca="false">IF(A62="","",MATCH(A62,$BB$5:$BB$600,0)+4)</f>
        <v>51</v>
      </c>
      <c r="C62" s="67" t="n">
        <f aca="false">IF($B62="","",IF(INDEX('Master Database'!$A$1:$A$600,$B62)="","",INDEX('Master Database'!$A$1:$A$600,$B62)))</f>
        <v>47</v>
      </c>
      <c r="D62" s="68" t="str">
        <f aca="false">IF($B62="","",IF(INDEX('Master Database'!$B$1:$B$600,$B62)="","",INDEX('Master Database'!$B$1:$B$600,$B62)))</f>
        <v>Dilution Water Pumps</v>
      </c>
      <c r="E62" s="68" t="str">
        <f aca="false">IF($B62="","",IF(INDEX('Master Database'!$C$1:$C$600,$B62)="","",INDEX('Master Database'!$C$1:$C$600,$B62)))</f>
        <v>Koopal Asmari</v>
      </c>
      <c r="F62" s="68" t="str">
        <f aca="false">IF($B62="","",IF(INDEX('Master Database'!$D$1:$D$600,$B62)="","",INDEX('Master Database'!$D$1:$D$600,$B62)))</f>
        <v>P-151 A/B</v>
      </c>
      <c r="G62" s="68" t="str">
        <f aca="false">IF($B62="","",IF(INDEX('Master Database'!$E$1:$E$600,$B62)="","",INDEX('Master Database'!$E$1:$E$600,$B62)))</f>
        <v>ROT-WAT</v>
      </c>
      <c r="H62" s="68" t="str">
        <f aca="false">IF($B62="","",IF(INDEX('Master Database'!$F$1:$F$600,$B62)="","",INDEX('Master Database'!$F$1:$F$600,$B62)))</f>
        <v>OH2</v>
      </c>
      <c r="I62" s="68" t="str">
        <f aca="false">IF($B62="","",IF(INDEX('Master Database'!$G$1:$G$600,$B62)="","",INDEX('Master Database'!$G$1:$G$600,$B62)))</f>
        <v>S-5</v>
      </c>
      <c r="J62" s="69" t="n">
        <f aca="false">IF($B62="","",IF(INDEX('Master Database'!$H$1:$H$600,$B62)="","",INDEX('Master Database'!$H$1:$H$600,$B62)))</f>
        <v>23</v>
      </c>
      <c r="K62" s="69" t="n">
        <f aca="false">IF($B62="","",IF(INDEX('Master Database'!$I$1:$I$600,$B62)="","",INDEX('Master Database'!$I$1:$I$600,$B62)))</f>
        <v>158</v>
      </c>
      <c r="L62" s="69" t="n">
        <f aca="false">IF($B62="","",IF(INDEX('Master Database'!$K$1:$K$600,$B62)="","",INDEX('Master Database'!$K$1:$K$600,$B62)))</f>
        <v>16.5031789282471</v>
      </c>
      <c r="M62" s="68" t="str">
        <f aca="false">IF($B62="","",IF(INDEX('Master Database'!$L$1:$L$600,$B62)="","",INDEX('Master Database'!$L$1:$L$600,$B62)))</f>
        <v>API 610 + IPS-G-PM-105</v>
      </c>
      <c r="N62" s="68" t="str">
        <f aca="false">IF($B62="","",IF(INDEX('Master Database'!$P$1:$P$600,$B62)="","",INDEX('Master Database'!$P$1:$P$600,$B62)))</f>
        <v>Not stated</v>
      </c>
      <c r="O62" s="68" t="str">
        <f aca="false">IF($B62="","",IF(INDEX('Master Database'!$S$1:$S$600,$B62)="","",INDEX('Master Database'!$S$1:$S$600,$B62)))</f>
        <v>Electric Motor</v>
      </c>
      <c r="P62" s="68" t="str">
        <f aca="false">IF($B62="","",IF(INDEX('Master Database'!$T$1:$T$600,$B62)="","",INDEX('Master Database'!$T$1:$T$600,$B62)))</f>
        <v>Process / Dilution Water</v>
      </c>
      <c r="Q62" s="68" t="n">
        <f aca="false">IF($B62="","",IF(INDEX('Master Database'!$Y$1:$Y$600,$B62)="","",INDEX('Master Database'!$Y$1:$Y$600,$B62)))</f>
        <v>1393</v>
      </c>
      <c r="R62" s="68" t="str">
        <f aca="false">IF($B62="","",IF(INDEX('Master Database'!$Z$1:$Z$600,$B62)="","",INDEX('Master Database'!$Z$1:$Z$600,$B62)))</f>
        <v>EUR</v>
      </c>
      <c r="S62" s="70" t="n">
        <f aca="false">IF($B62="","",IF(INDEX('Master Database'!$AA$1:$AA$600,$B62)="","",INDEX('Master Database'!$AA$1:$AA$600,$B62)))</f>
        <v>16500</v>
      </c>
      <c r="T62" s="68" t="str">
        <f aca="false">IF($B62="","",IF(INDEX('Master Database'!$AE$1:$AE$600,$B62)="","",INDEX('Master Database'!$AE$1:$AE$600,$B62)))</f>
        <v>Consultant FEED MTO estimate – KPL-476 R03 (Jan 2016); vendor-level price in EUR, before project overhead | source label: AACE Class 3</v>
      </c>
      <c r="U62" s="70" t="n">
        <f aca="false">IF($B62="","",IF(INDEX('Master Database'!$AG$1:$AG$600,$B62)="","",INDEX('Master Database'!$AG$1:$AG$600,$B62)))</f>
        <v>25000</v>
      </c>
      <c r="V62" s="70" t="n">
        <f aca="false">IF($B62="","",IF(INDEX('Master Database'!$AH$1:$AH$600,$B62)="","",INDEX('Master Database'!$AH$1:$AH$600,$B62)))</f>
        <v>26394.5770371416</v>
      </c>
      <c r="W62" s="70" t="n">
        <f aca="false">IF($B62="","",IF(INDEX('Master Database'!$AI$1:$AI$600,$B62)="","",INDEX('Master Database'!$AI$1:$AI$600,$B62)))</f>
        <v>17381700000</v>
      </c>
      <c r="X62" s="68" t="str">
        <f aca="false">IF($B62="","",IF(INDEX('Master Database'!$BG$1:$BG$600,$B62)="","",INDEX('Master Database'!$BG$1:$BG$600,$B62)))</f>
        <v>Y</v>
      </c>
      <c r="BA62" s="65" t="n">
        <f aca="false">IF('Master Database'!$A62="",0,IF(AND(OR($B$5="",ISNUMBER(SEARCH($B$5,'Master Database'!$B62&amp;" "&amp;'Master Database'!$D62))),OR($B$6="(All)",'Master Database'!$C62=$B$6),OR($B$7="(All)",'Master Database'!$E62=$B$7),OR($B$8="(All)",'Master Database'!$T62=$B$8),OR($B$9="(All)",'Master Database'!$M62=$B$9),OR($B$10="(All)",'Master Database'!$V62=$B$10),OR($E$5="(All)",'Master Database'!$F62=$E$5),OR($E$6="(All)",'Master Database'!$G62=$E$6),OR($E$7="(All)",'Master Database'!$O62=$E$7),OR($E$8="(All)",'Master Database'!$P62=$E$8),OR($E$9="(All)",'Master Database'!$S62=$E$9),OR($E$10="(All)",'Master Database'!$Y62&amp;""=$E$10&amp;""),OR($H$5="(All)",'Master Database'!$BG62=$H$5),OR($H$6&lt;&gt;"Y",ISNUMBER('Master Database'!$AG62)),OR($H$7="",AND(ISNUMBER('Master Database'!$H62),N('Master Database'!$H62)&gt;=$H$7)),OR($I$7="",AND(ISNUMBER('Master Database'!$H62),N('Master Database'!$H62)&lt;=$I$7)),OR($H$8="",AND(ISNUMBER('Master Database'!$I62),N('Master Database'!$I62)&gt;=$H$8)),OR($I$8="",AND(ISNUMBER('Master Database'!$I62),N('Master Database'!$I62)&lt;=$I$8)),OR($H$9="",AND(ISNUMBER('Master Database'!$K62),N('Master Database'!$K62)&gt;=$H$9)),OR($I$9="",AND(ISNUMBER('Master Database'!$K62),N('Master Database'!$K62)&lt;=$I$9))),1,0))</f>
        <v>1</v>
      </c>
      <c r="BB62" s="65" t="n">
        <f aca="false">IF(BA62=1,COUNTIF($BA$5:BA62,1),"")</f>
        <v>58</v>
      </c>
    </row>
    <row r="63" customFormat="false" ht="15" hidden="false" customHeight="false" outlineLevel="0" collapsed="false">
      <c r="A63" s="67" t="n">
        <f aca="false">IF(48&lt;=SUM($BA$5:$BA$600),48,"")</f>
        <v>48</v>
      </c>
      <c r="B63" s="67" t="n">
        <f aca="false">IF(A63="","",MATCH(A63,$BB$5:$BB$600,0)+4)</f>
        <v>52</v>
      </c>
      <c r="C63" s="67" t="n">
        <f aca="false">IF($B63="","",IF(INDEX('Master Database'!$A$1:$A$600,$B63)="","",INDEX('Master Database'!$A$1:$A$600,$B63)))</f>
        <v>48</v>
      </c>
      <c r="D63" s="68" t="str">
        <f aca="false">IF($B63="","",IF(INDEX('Master Database'!$B$1:$B$600,$B63)="","",INDEX('Master Database'!$B$1:$B$600,$B63)))</f>
        <v>Dilution Water Pump</v>
      </c>
      <c r="E63" s="68" t="str">
        <f aca="false">IF($B63="","",IF(INDEX('Master Database'!$C$1:$C$600,$B63)="","",INDEX('Master Database'!$C$1:$C$600,$B63)))</f>
        <v>Koopal Asmari</v>
      </c>
      <c r="F63" s="68" t="str">
        <f aca="false">IF($B63="","",IF(INDEX('Master Database'!$D$1:$D$600,$B63)="","",INDEX('Master Database'!$D$1:$D$600,$B63)))</f>
        <v>P-152</v>
      </c>
      <c r="G63" s="68" t="str">
        <f aca="false">IF($B63="","",IF(INDEX('Master Database'!$E$1:$E$600,$B63)="","",INDEX('Master Database'!$E$1:$E$600,$B63)))</f>
        <v>ROT-WAT</v>
      </c>
      <c r="H63" s="68" t="str">
        <f aca="false">IF($B63="","",IF(INDEX('Master Database'!$F$1:$F$600,$B63)="","",INDEX('Master Database'!$F$1:$F$600,$B63)))</f>
        <v>OH2</v>
      </c>
      <c r="I63" s="68" t="str">
        <f aca="false">IF($B63="","",IF(INDEX('Master Database'!$G$1:$G$600,$B63)="","",INDEX('Master Database'!$G$1:$G$600,$B63)))</f>
        <v>S-5</v>
      </c>
      <c r="J63" s="69" t="n">
        <f aca="false">IF($B63="","",IF(INDEX('Master Database'!$H$1:$H$600,$B63)="","",INDEX('Master Database'!$H$1:$H$600,$B63)))</f>
        <v>43</v>
      </c>
      <c r="K63" s="69" t="n">
        <f aca="false">IF($B63="","",IF(INDEX('Master Database'!$I$1:$I$600,$B63)="","",INDEX('Master Database'!$I$1:$I$600,$B63)))</f>
        <v>158</v>
      </c>
      <c r="L63" s="69" t="n">
        <f aca="false">IF($B63="","",IF(INDEX('Master Database'!$K$1:$K$600,$B63)="","",INDEX('Master Database'!$K$1:$K$600,$B63)))</f>
        <v>30.8537693006358</v>
      </c>
      <c r="M63" s="68" t="str">
        <f aca="false">IF($B63="","",IF(INDEX('Master Database'!$L$1:$L$600,$B63)="","",INDEX('Master Database'!$L$1:$L$600,$B63)))</f>
        <v>API 610 + IPS-G-PM-105</v>
      </c>
      <c r="N63" s="68" t="str">
        <f aca="false">IF($B63="","",IF(INDEX('Master Database'!$P$1:$P$600,$B63)="","",INDEX('Master Database'!$P$1:$P$600,$B63)))</f>
        <v>Not stated</v>
      </c>
      <c r="O63" s="68" t="str">
        <f aca="false">IF($B63="","",IF(INDEX('Master Database'!$S$1:$S$600,$B63)="","",INDEX('Master Database'!$S$1:$S$600,$B63)))</f>
        <v>Electric Motor</v>
      </c>
      <c r="P63" s="68" t="str">
        <f aca="false">IF($B63="","",IF(INDEX('Master Database'!$T$1:$T$600,$B63)="","",INDEX('Master Database'!$T$1:$T$600,$B63)))</f>
        <v>Process / Dilution Water</v>
      </c>
      <c r="Q63" s="68" t="n">
        <f aca="false">IF($B63="","",IF(INDEX('Master Database'!$Y$1:$Y$600,$B63)="","",INDEX('Master Database'!$Y$1:$Y$600,$B63)))</f>
        <v>1393</v>
      </c>
      <c r="R63" s="68" t="str">
        <f aca="false">IF($B63="","",IF(INDEX('Master Database'!$Z$1:$Z$600,$B63)="","",INDEX('Master Database'!$Z$1:$Z$600,$B63)))</f>
        <v>EUR</v>
      </c>
      <c r="S63" s="70" t="n">
        <f aca="false">IF($B63="","",IF(INDEX('Master Database'!$AA$1:$AA$600,$B63)="","",INDEX('Master Database'!$AA$1:$AA$600,$B63)))</f>
        <v>17500</v>
      </c>
      <c r="T63" s="68" t="str">
        <f aca="false">IF($B63="","",IF(INDEX('Master Database'!$AE$1:$AE$600,$B63)="","",INDEX('Master Database'!$AE$1:$AE$600,$B63)))</f>
        <v>Consultant FEED MTO estimate – KPL-476 R03 (Jan 2016); vendor-level price in EUR, before project overhead | source label: AACE Class 3</v>
      </c>
      <c r="U63" s="70" t="n">
        <f aca="false">IF($B63="","",IF(INDEX('Master Database'!$AG$1:$AG$600,$B63)="","",INDEX('Master Database'!$AG$1:$AG$600,$B63)))</f>
        <v>25000</v>
      </c>
      <c r="V63" s="70" t="n">
        <f aca="false">IF($B63="","",IF(INDEX('Master Database'!$AH$1:$AH$600,$B63)="","",INDEX('Master Database'!$AH$1:$AH$600,$B63)))</f>
        <v>26394.5770371416</v>
      </c>
      <c r="W63" s="70" t="n">
        <f aca="false">IF($B63="","",IF(INDEX('Master Database'!$AI$1:$AI$600,$B63)="","",INDEX('Master Database'!$AI$1:$AI$600,$B63)))</f>
        <v>17381700000</v>
      </c>
      <c r="X63" s="68" t="str">
        <f aca="false">IF($B63="","",IF(INDEX('Master Database'!$BG$1:$BG$600,$B63)="","",INDEX('Master Database'!$BG$1:$BG$600,$B63)))</f>
        <v>Y</v>
      </c>
      <c r="BA63" s="65" t="n">
        <f aca="false">IF('Master Database'!$A63="",0,IF(AND(OR($B$5="",ISNUMBER(SEARCH($B$5,'Master Database'!$B63&amp;" "&amp;'Master Database'!$D63))),OR($B$6="(All)",'Master Database'!$C63=$B$6),OR($B$7="(All)",'Master Database'!$E63=$B$7),OR($B$8="(All)",'Master Database'!$T63=$B$8),OR($B$9="(All)",'Master Database'!$M63=$B$9),OR($B$10="(All)",'Master Database'!$V63=$B$10),OR($E$5="(All)",'Master Database'!$F63=$E$5),OR($E$6="(All)",'Master Database'!$G63=$E$6),OR($E$7="(All)",'Master Database'!$O63=$E$7),OR($E$8="(All)",'Master Database'!$P63=$E$8),OR($E$9="(All)",'Master Database'!$S63=$E$9),OR($E$10="(All)",'Master Database'!$Y63&amp;""=$E$10&amp;""),OR($H$5="(All)",'Master Database'!$BG63=$H$5),OR($H$6&lt;&gt;"Y",ISNUMBER('Master Database'!$AG63)),OR($H$7="",AND(ISNUMBER('Master Database'!$H63),N('Master Database'!$H63)&gt;=$H$7)),OR($I$7="",AND(ISNUMBER('Master Database'!$H63),N('Master Database'!$H63)&lt;=$I$7)),OR($H$8="",AND(ISNUMBER('Master Database'!$I63),N('Master Database'!$I63)&gt;=$H$8)),OR($I$8="",AND(ISNUMBER('Master Database'!$I63),N('Master Database'!$I63)&lt;=$I$8)),OR($H$9="",AND(ISNUMBER('Master Database'!$K63),N('Master Database'!$K63)&gt;=$H$9)),OR($I$9="",AND(ISNUMBER('Master Database'!$K63),N('Master Database'!$K63)&lt;=$I$9))),1,0))</f>
        <v>1</v>
      </c>
      <c r="BB63" s="65" t="n">
        <f aca="false">IF(BA63=1,COUNTIF($BA$5:BA63,1),"")</f>
        <v>59</v>
      </c>
    </row>
    <row r="64" customFormat="false" ht="15" hidden="false" customHeight="false" outlineLevel="0" collapsed="false">
      <c r="A64" s="67" t="n">
        <f aca="false">IF(49&lt;=SUM($BA$5:$BA$600),49,"")</f>
        <v>49</v>
      </c>
      <c r="B64" s="67" t="n">
        <f aca="false">IF(A64="","",MATCH(A64,$BB$5:$BB$600,0)+4)</f>
        <v>53</v>
      </c>
      <c r="C64" s="67" t="n">
        <f aca="false">IF($B64="","",IF(INDEX('Master Database'!$A$1:$A$600,$B64)="","",INDEX('Master Database'!$A$1:$A$600,$B64)))</f>
        <v>49</v>
      </c>
      <c r="D64" s="68" t="str">
        <f aca="false">IF($B64="","",IF(INDEX('Master Database'!$B$1:$B$600,$B64)="","",INDEX('Master Database'!$B$1:$B$600,$B64)))</f>
        <v>Flare K.O. Drum Pumps</v>
      </c>
      <c r="E64" s="68" t="str">
        <f aca="false">IF($B64="","",IF(INDEX('Master Database'!$C$1:$C$600,$B64)="","",INDEX('Master Database'!$C$1:$C$600,$B64)))</f>
        <v>Koopal Asmari</v>
      </c>
      <c r="F64" s="68" t="str">
        <f aca="false">IF($B64="","",IF(INDEX('Master Database'!$D$1:$D$600,$B64)="","",INDEX('Master Database'!$D$1:$D$600,$B64)))</f>
        <v>P-171 A/B</v>
      </c>
      <c r="G64" s="68" t="str">
        <f aca="false">IF($B64="","",IF(INDEX('Master Database'!$E$1:$E$600,$B64)="","",INDEX('Master Database'!$E$1:$E$600,$B64)))</f>
        <v>ROT-DRN</v>
      </c>
      <c r="H64" s="68" t="str">
        <f aca="false">IF($B64="","",IF(INDEX('Master Database'!$F$1:$F$600,$B64)="","",INDEX('Master Database'!$F$1:$F$600,$B64)))</f>
        <v>OH2</v>
      </c>
      <c r="I64" s="68" t="str">
        <f aca="false">IF($B64="","",IF(INDEX('Master Database'!$G$1:$G$600,$B64)="","",INDEX('Master Database'!$G$1:$G$600,$B64)))</f>
        <v>S-6</v>
      </c>
      <c r="J64" s="69" t="n">
        <f aca="false">IF($B64="","",IF(INDEX('Master Database'!$H$1:$H$600,$B64)="","",INDEX('Master Database'!$H$1:$H$600,$B64)))</f>
        <v>15</v>
      </c>
      <c r="K64" s="69" t="n">
        <f aca="false">IF($B64="","",IF(INDEX('Master Database'!$I$1:$I$600,$B64)="","",INDEX('Master Database'!$I$1:$I$600,$B64)))</f>
        <v>50</v>
      </c>
      <c r="L64" s="69" t="n">
        <f aca="false">IF($B64="","",IF(INDEX('Master Database'!$K$1:$K$600,$B64)="","",INDEX('Master Database'!$K$1:$K$600,$B64)))</f>
        <v>3.40599455040872</v>
      </c>
      <c r="M64" s="68" t="str">
        <f aca="false">IF($B64="","",IF(INDEX('Master Database'!$L$1:$L$600,$B64)="","",INDEX('Master Database'!$L$1:$L$600,$B64)))</f>
        <v>API 610 + IPS-G-PM-105</v>
      </c>
      <c r="N64" s="68" t="str">
        <f aca="false">IF($B64="","",IF(INDEX('Master Database'!$P$1:$P$600,$B64)="","",INDEX('Master Database'!$P$1:$P$600,$B64)))</f>
        <v>Not stated</v>
      </c>
      <c r="O64" s="68" t="str">
        <f aca="false">IF($B64="","",IF(INDEX('Master Database'!$S$1:$S$600,$B64)="","",INDEX('Master Database'!$S$1:$S$600,$B64)))</f>
        <v>Electric Motor</v>
      </c>
      <c r="P64" s="68" t="str">
        <f aca="false">IF($B64="","",IF(INDEX('Master Database'!$T$1:$T$600,$B64)="","",INDEX('Master Database'!$T$1:$T$600,$B64)))</f>
        <v>Oily Water / Drain</v>
      </c>
      <c r="Q64" s="68" t="n">
        <f aca="false">IF($B64="","",IF(INDEX('Master Database'!$Y$1:$Y$600,$B64)="","",INDEX('Master Database'!$Y$1:$Y$600,$B64)))</f>
        <v>1393</v>
      </c>
      <c r="R64" s="68" t="str">
        <f aca="false">IF($B64="","",IF(INDEX('Master Database'!$Z$1:$Z$600,$B64)="","",INDEX('Master Database'!$Z$1:$Z$600,$B64)))</f>
        <v>EUR</v>
      </c>
      <c r="S64" s="70" t="n">
        <f aca="false">IF($B64="","",IF(INDEX('Master Database'!$AA$1:$AA$600,$B64)="","",INDEX('Master Database'!$AA$1:$AA$600,$B64)))</f>
        <v>10000</v>
      </c>
      <c r="T64" s="68" t="str">
        <f aca="false">IF($B64="","",IF(INDEX('Master Database'!$AE$1:$AE$600,$B64)="","",INDEX('Master Database'!$AE$1:$AE$600,$B64)))</f>
        <v>Consultant FEED MTO estimate – KPL-476 R03 (Jan 2016); vendor-level price in EUR, before project overhead | source label: AACE Class 3</v>
      </c>
      <c r="U64" s="70" t="n">
        <f aca="false">IF($B64="","",IF(INDEX('Master Database'!$AG$1:$AG$600,$B64)="","",INDEX('Master Database'!$AG$1:$AG$600,$B64)))</f>
        <v>25000</v>
      </c>
      <c r="V64" s="70" t="n">
        <f aca="false">IF($B64="","",IF(INDEX('Master Database'!$AH$1:$AH$600,$B64)="","",INDEX('Master Database'!$AH$1:$AH$600,$B64)))</f>
        <v>26394.5770371416</v>
      </c>
      <c r="W64" s="70" t="n">
        <f aca="false">IF($B64="","",IF(INDEX('Master Database'!$AI$1:$AI$600,$B64)="","",INDEX('Master Database'!$AI$1:$AI$600,$B64)))</f>
        <v>17381700000</v>
      </c>
      <c r="X64" s="68" t="str">
        <f aca="false">IF($B64="","",IF(INDEX('Master Database'!$BG$1:$BG$600,$B64)="","",INDEX('Master Database'!$BG$1:$BG$600,$B64)))</f>
        <v>Y</v>
      </c>
      <c r="BA64" s="65" t="n">
        <f aca="false">IF('Master Database'!$A64="",0,IF(AND(OR($B$5="",ISNUMBER(SEARCH($B$5,'Master Database'!$B64&amp;" "&amp;'Master Database'!$D64))),OR($B$6="(All)",'Master Database'!$C64=$B$6),OR($B$7="(All)",'Master Database'!$E64=$B$7),OR($B$8="(All)",'Master Database'!$T64=$B$8),OR($B$9="(All)",'Master Database'!$M64=$B$9),OR($B$10="(All)",'Master Database'!$V64=$B$10),OR($E$5="(All)",'Master Database'!$F64=$E$5),OR($E$6="(All)",'Master Database'!$G64=$E$6),OR($E$7="(All)",'Master Database'!$O64=$E$7),OR($E$8="(All)",'Master Database'!$P64=$E$8),OR($E$9="(All)",'Master Database'!$S64=$E$9),OR($E$10="(All)",'Master Database'!$Y64&amp;""=$E$10&amp;""),OR($H$5="(All)",'Master Database'!$BG64=$H$5),OR($H$6&lt;&gt;"Y",ISNUMBER('Master Database'!$AG64)),OR($H$7="",AND(ISNUMBER('Master Database'!$H64),N('Master Database'!$H64)&gt;=$H$7)),OR($I$7="",AND(ISNUMBER('Master Database'!$H64),N('Master Database'!$H64)&lt;=$I$7)),OR($H$8="",AND(ISNUMBER('Master Database'!$I64),N('Master Database'!$I64)&gt;=$H$8)),OR($I$8="",AND(ISNUMBER('Master Database'!$I64),N('Master Database'!$I64)&lt;=$I$8)),OR($H$9="",AND(ISNUMBER('Master Database'!$K64),N('Master Database'!$K64)&gt;=$H$9)),OR($I$9="",AND(ISNUMBER('Master Database'!$K64),N('Master Database'!$K64)&lt;=$I$9))),1,0))</f>
        <v>1</v>
      </c>
      <c r="BB64" s="65" t="n">
        <f aca="false">IF(BA64=1,COUNTIF($BA$5:BA64,1),"")</f>
        <v>60</v>
      </c>
    </row>
    <row r="65" customFormat="false" ht="15" hidden="false" customHeight="false" outlineLevel="0" collapsed="false">
      <c r="A65" s="67" t="n">
        <f aca="false">IF(50&lt;=SUM($BA$5:$BA$600),50,"")</f>
        <v>50</v>
      </c>
      <c r="B65" s="67" t="n">
        <f aca="false">IF(A65="","",MATCH(A65,$BB$5:$BB$600,0)+4)</f>
        <v>54</v>
      </c>
      <c r="C65" s="67" t="n">
        <f aca="false">IF($B65="","",IF(INDEX('Master Database'!$A$1:$A$600,$B65)="","",INDEX('Master Database'!$A$1:$A$600,$B65)))</f>
        <v>50</v>
      </c>
      <c r="D65" s="68" t="str">
        <f aca="false">IF($B65="","",IF(INDEX('Master Database'!$B$1:$B$600,$B65)="","",INDEX('Master Database'!$B$1:$B$600,$B65)))</f>
        <v>O.W.S. Oil Pumps</v>
      </c>
      <c r="E65" s="68" t="str">
        <f aca="false">IF($B65="","",IF(INDEX('Master Database'!$C$1:$C$600,$B65)="","",INDEX('Master Database'!$C$1:$C$600,$B65)))</f>
        <v>Koopal Asmari</v>
      </c>
      <c r="F65" s="68" t="str">
        <f aca="false">IF($B65="","",IF(INDEX('Master Database'!$D$1:$D$600,$B65)="","",INDEX('Master Database'!$D$1:$D$600,$B65)))</f>
        <v>P-231 A/B</v>
      </c>
      <c r="G65" s="68" t="str">
        <f aca="false">IF($B65="","",IF(INDEX('Master Database'!$E$1:$E$600,$B65)="","",INDEX('Master Database'!$E$1:$E$600,$B65)))</f>
        <v>ROT-DRN</v>
      </c>
      <c r="H65" s="68" t="str">
        <f aca="false">IF($B65="","",IF(INDEX('Master Database'!$F$1:$F$600,$B65)="","",INDEX('Master Database'!$F$1:$F$600,$B65)))</f>
        <v>N/A (non-API 610)</v>
      </c>
      <c r="I65" s="68" t="str">
        <f aca="false">IF($B65="","",IF(INDEX('Master Database'!$G$1:$G$600,$B65)="","",INDEX('Master Database'!$G$1:$G$600,$B65)))</f>
        <v>D-1</v>
      </c>
      <c r="J65" s="69" t="n">
        <f aca="false">IF($B65="","",IF(INDEX('Master Database'!$H$1:$H$600,$B65)="","",INDEX('Master Database'!$H$1:$H$600,$B65)))</f>
        <v>6</v>
      </c>
      <c r="K65" s="69" t="str">
        <f aca="false">IF($B65="","",IF(INDEX('Master Database'!$I$1:$I$600,$B65)="","",INDEX('Master Database'!$I$1:$I$600,$B65)))</f>
        <v/>
      </c>
      <c r="L65" s="69" t="str">
        <f aca="false">IF($B65="","",IF(INDEX('Master Database'!$K$1:$K$600,$B65)="","",INDEX('Master Database'!$K$1:$K$600,$B65)))</f>
        <v/>
      </c>
      <c r="M65" s="68" t="str">
        <f aca="false">IF($B65="","",IF(INDEX('Master Database'!$L$1:$L$600,$B65)="","",INDEX('Master Database'!$L$1:$L$600,$B65)))</f>
        <v>API 676 + IPS-M-PM-140</v>
      </c>
      <c r="N65" s="68" t="str">
        <f aca="false">IF($B65="","",IF(INDEX('Master Database'!$P$1:$P$600,$B65)="","",INDEX('Master Database'!$P$1:$P$600,$B65)))</f>
        <v>Not stated</v>
      </c>
      <c r="O65" s="68" t="str">
        <f aca="false">IF($B65="","",IF(INDEX('Master Database'!$S$1:$S$600,$B65)="","",INDEX('Master Database'!$S$1:$S$600,$B65)))</f>
        <v>Electric Motor</v>
      </c>
      <c r="P65" s="68" t="str">
        <f aca="false">IF($B65="","",IF(INDEX('Master Database'!$T$1:$T$600,$B65)="","",INDEX('Master Database'!$T$1:$T$600,$B65)))</f>
        <v>Slop / Dirty Oil</v>
      </c>
      <c r="Q65" s="68" t="n">
        <f aca="false">IF($B65="","",IF(INDEX('Master Database'!$Y$1:$Y$600,$B65)="","",INDEX('Master Database'!$Y$1:$Y$600,$B65)))</f>
        <v>1393</v>
      </c>
      <c r="R65" s="68" t="str">
        <f aca="false">IF($B65="","",IF(INDEX('Master Database'!$Z$1:$Z$600,$B65)="","",INDEX('Master Database'!$Z$1:$Z$600,$B65)))</f>
        <v>EUR</v>
      </c>
      <c r="S65" s="70" t="n">
        <f aca="false">IF($B65="","",IF(INDEX('Master Database'!$AA$1:$AA$600,$B65)="","",INDEX('Master Database'!$AA$1:$AA$600,$B65)))</f>
        <v>25000</v>
      </c>
      <c r="T65" s="68" t="str">
        <f aca="false">IF($B65="","",IF(INDEX('Master Database'!$AE$1:$AE$600,$B65)="","",INDEX('Master Database'!$AE$1:$AE$600,$B65)))</f>
        <v>Consultant FEED MTO estimate – KPL-476 R03 (Jan 2016); vendor-level price in EUR, before project overhead | source label: AACE Class 3</v>
      </c>
      <c r="U65" s="70" t="n">
        <f aca="false">IF($B65="","",IF(INDEX('Master Database'!$AG$1:$AG$600,$B65)="","",INDEX('Master Database'!$AG$1:$AG$600,$B65)))</f>
        <v>33776.6976474323</v>
      </c>
      <c r="V65" s="70" t="n">
        <f aca="false">IF($B65="","",IF(INDEX('Master Database'!$AH$1:$AH$600,$B65)="","",INDEX('Master Database'!$AH$1:$AH$600,$B65)))</f>
        <v>35660.8659246157</v>
      </c>
      <c r="W65" s="70" t="n">
        <f aca="false">IF($B65="","",IF(INDEX('Master Database'!$AI$1:$AI$600,$B65)="","",INDEX('Master Database'!$AI$1:$AI$600,$B65)))</f>
        <v>23483857019.935</v>
      </c>
      <c r="X65" s="68" t="str">
        <f aca="false">IF($B65="","",IF(INDEX('Master Database'!$BG$1:$BG$600,$B65)="","",INDEX('Master Database'!$BG$1:$BG$600,$B65)))</f>
        <v>Y</v>
      </c>
      <c r="BA65" s="65" t="n">
        <f aca="false">IF('Master Database'!$A65="",0,IF(AND(OR($B$5="",ISNUMBER(SEARCH($B$5,'Master Database'!$B65&amp;" "&amp;'Master Database'!$D65))),OR($B$6="(All)",'Master Database'!$C65=$B$6),OR($B$7="(All)",'Master Database'!$E65=$B$7),OR($B$8="(All)",'Master Database'!$T65=$B$8),OR($B$9="(All)",'Master Database'!$M65=$B$9),OR($B$10="(All)",'Master Database'!$V65=$B$10),OR($E$5="(All)",'Master Database'!$F65=$E$5),OR($E$6="(All)",'Master Database'!$G65=$E$6),OR($E$7="(All)",'Master Database'!$O65=$E$7),OR($E$8="(All)",'Master Database'!$P65=$E$8),OR($E$9="(All)",'Master Database'!$S65=$E$9),OR($E$10="(All)",'Master Database'!$Y65&amp;""=$E$10&amp;""),OR($H$5="(All)",'Master Database'!$BG65=$H$5),OR($H$6&lt;&gt;"Y",ISNUMBER('Master Database'!$AG65)),OR($H$7="",AND(ISNUMBER('Master Database'!$H65),N('Master Database'!$H65)&gt;=$H$7)),OR($I$7="",AND(ISNUMBER('Master Database'!$H65),N('Master Database'!$H65)&lt;=$I$7)),OR($H$8="",AND(ISNUMBER('Master Database'!$I65),N('Master Database'!$I65)&gt;=$H$8)),OR($I$8="",AND(ISNUMBER('Master Database'!$I65),N('Master Database'!$I65)&lt;=$I$8)),OR($H$9="",AND(ISNUMBER('Master Database'!$K65),N('Master Database'!$K65)&gt;=$H$9)),OR($I$9="",AND(ISNUMBER('Master Database'!$K65),N('Master Database'!$K65)&lt;=$I$9))),1,0))</f>
        <v>1</v>
      </c>
      <c r="BB65" s="65" t="n">
        <f aca="false">IF(BA65=1,COUNTIF($BA$5:BA65,1),"")</f>
        <v>61</v>
      </c>
    </row>
    <row r="66" customFormat="false" ht="15" hidden="false" customHeight="false" outlineLevel="0" collapsed="false">
      <c r="A66" s="67" t="n">
        <f aca="false">IF(51&lt;=SUM($BA$5:$BA$600),51,"")</f>
        <v>51</v>
      </c>
      <c r="B66" s="67" t="n">
        <f aca="false">IF(A66="","",MATCH(A66,$BB$5:$BB$600,0)+4)</f>
        <v>55</v>
      </c>
      <c r="C66" s="67" t="n">
        <f aca="false">IF($B66="","",IF(INDEX('Master Database'!$A$1:$A$600,$B66)="","",INDEX('Master Database'!$A$1:$A$600,$B66)))</f>
        <v>51</v>
      </c>
      <c r="D66" s="68" t="str">
        <f aca="false">IF($B66="","",IF(INDEX('Master Database'!$B$1:$B$600,$B66)="","",INDEX('Master Database'!$B$1:$B$600,$B66)))</f>
        <v>O.W.S. Water Pumps</v>
      </c>
      <c r="E66" s="68" t="str">
        <f aca="false">IF($B66="","",IF(INDEX('Master Database'!$C$1:$C$600,$B66)="","",INDEX('Master Database'!$C$1:$C$600,$B66)))</f>
        <v>Koopal Asmari</v>
      </c>
      <c r="F66" s="68" t="str">
        <f aca="false">IF($B66="","",IF(INDEX('Master Database'!$D$1:$D$600,$B66)="","",INDEX('Master Database'!$D$1:$D$600,$B66)))</f>
        <v>P-232 A/B</v>
      </c>
      <c r="G66" s="68" t="str">
        <f aca="false">IF($B66="","",IF(INDEX('Master Database'!$E$1:$E$600,$B66)="","",INDEX('Master Database'!$E$1:$E$600,$B66)))</f>
        <v>ROT-WAT</v>
      </c>
      <c r="H66" s="68" t="str">
        <f aca="false">IF($B66="","",IF(INDEX('Master Database'!$F$1:$F$600,$B66)="","",INDEX('Master Database'!$F$1:$F$600,$B66)))</f>
        <v>OH2</v>
      </c>
      <c r="I66" s="68" t="str">
        <f aca="false">IF($B66="","",IF(INDEX('Master Database'!$G$1:$G$600,$B66)="","",INDEX('Master Database'!$G$1:$G$600,$B66)))</f>
        <v>D-2</v>
      </c>
      <c r="J66" s="69" t="n">
        <f aca="false">IF($B66="","",IF(INDEX('Master Database'!$H$1:$H$600,$B66)="","",INDEX('Master Database'!$H$1:$H$600,$B66)))</f>
        <v>11</v>
      </c>
      <c r="K66" s="69" t="n">
        <f aca="false">IF($B66="","",IF(INDEX('Master Database'!$I$1:$I$600,$B66)="","",INDEX('Master Database'!$I$1:$I$600,$B66)))</f>
        <v>27.6</v>
      </c>
      <c r="L66" s="69" t="n">
        <f aca="false">IF($B66="","",IF(INDEX('Master Database'!$K$1:$K$600,$B66)="","",INDEX('Master Database'!$K$1:$K$600,$B66)))</f>
        <v>1.37874659400545</v>
      </c>
      <c r="M66" s="68" t="str">
        <f aca="false">IF($B66="","",IF(INDEX('Master Database'!$L$1:$L$600,$B66)="","",INDEX('Master Database'!$L$1:$L$600,$B66)))</f>
        <v>API 610 + IPS-G-PM-105</v>
      </c>
      <c r="N66" s="68" t="str">
        <f aca="false">IF($B66="","",IF(INDEX('Master Database'!$P$1:$P$600,$B66)="","",INDEX('Master Database'!$P$1:$P$600,$B66)))</f>
        <v>Not stated</v>
      </c>
      <c r="O66" s="68" t="str">
        <f aca="false">IF($B66="","",IF(INDEX('Master Database'!$S$1:$S$600,$B66)="","",INDEX('Master Database'!$S$1:$S$600,$B66)))</f>
        <v>Electric Motor</v>
      </c>
      <c r="P66" s="68" t="str">
        <f aca="false">IF($B66="","",IF(INDEX('Master Database'!$T$1:$T$600,$B66)="","",INDEX('Master Database'!$T$1:$T$600,$B66)))</f>
        <v>Oily Water / Drain</v>
      </c>
      <c r="Q66" s="68" t="n">
        <f aca="false">IF($B66="","",IF(INDEX('Master Database'!$Y$1:$Y$600,$B66)="","",INDEX('Master Database'!$Y$1:$Y$600,$B66)))</f>
        <v>1393</v>
      </c>
      <c r="R66" s="68" t="str">
        <f aca="false">IF($B66="","",IF(INDEX('Master Database'!$Z$1:$Z$600,$B66)="","",INDEX('Master Database'!$Z$1:$Z$600,$B66)))</f>
        <v>EUR</v>
      </c>
      <c r="S66" s="70" t="n">
        <f aca="false">IF($B66="","",IF(INDEX('Master Database'!$AA$1:$AA$600,$B66)="","",INDEX('Master Database'!$AA$1:$AA$600,$B66)))</f>
        <v>20000</v>
      </c>
      <c r="T66" s="68" t="str">
        <f aca="false">IF($B66="","",IF(INDEX('Master Database'!$AE$1:$AE$600,$B66)="","",INDEX('Master Database'!$AE$1:$AE$600,$B66)))</f>
        <v>Consultant FEED MTO estimate – KPL-476 R03 (Jan 2016); vendor-level price in EUR, before project overhead | source label: AACE Class 3</v>
      </c>
      <c r="U66" s="70" t="n">
        <f aca="false">IF($B66="","",IF(INDEX('Master Database'!$AG$1:$AG$600,$B66)="","",INDEX('Master Database'!$AG$1:$AG$600,$B66)))</f>
        <v>27021.3581179459</v>
      </c>
      <c r="V66" s="70" t="n">
        <f aca="false">IF($B66="","",IF(INDEX('Master Database'!$AH$1:$AH$600,$B66)="","",INDEX('Master Database'!$AH$1:$AH$600,$B66)))</f>
        <v>28528.6927396926</v>
      </c>
      <c r="W66" s="70" t="n">
        <f aca="false">IF($B66="","",IF(INDEX('Master Database'!$AI$1:$AI$600,$B66)="","",INDEX('Master Database'!$AI$1:$AI$600,$B66)))</f>
        <v>18787085615.948</v>
      </c>
      <c r="X66" s="68" t="str">
        <f aca="false">IF($B66="","",IF(INDEX('Master Database'!$BG$1:$BG$600,$B66)="","",INDEX('Master Database'!$BG$1:$BG$600,$B66)))</f>
        <v>Y</v>
      </c>
      <c r="BA66" s="65" t="n">
        <f aca="false">IF('Master Database'!$A66="",0,IF(AND(OR($B$5="",ISNUMBER(SEARCH($B$5,'Master Database'!$B66&amp;" "&amp;'Master Database'!$D66))),OR($B$6="(All)",'Master Database'!$C66=$B$6),OR($B$7="(All)",'Master Database'!$E66=$B$7),OR($B$8="(All)",'Master Database'!$T66=$B$8),OR($B$9="(All)",'Master Database'!$M66=$B$9),OR($B$10="(All)",'Master Database'!$V66=$B$10),OR($E$5="(All)",'Master Database'!$F66=$E$5),OR($E$6="(All)",'Master Database'!$G66=$E$6),OR($E$7="(All)",'Master Database'!$O66=$E$7),OR($E$8="(All)",'Master Database'!$P66=$E$8),OR($E$9="(All)",'Master Database'!$S66=$E$9),OR($E$10="(All)",'Master Database'!$Y66&amp;""=$E$10&amp;""),OR($H$5="(All)",'Master Database'!$BG66=$H$5),OR($H$6&lt;&gt;"Y",ISNUMBER('Master Database'!$AG66)),OR($H$7="",AND(ISNUMBER('Master Database'!$H66),N('Master Database'!$H66)&gt;=$H$7)),OR($I$7="",AND(ISNUMBER('Master Database'!$H66),N('Master Database'!$H66)&lt;=$I$7)),OR($H$8="",AND(ISNUMBER('Master Database'!$I66),N('Master Database'!$I66)&gt;=$H$8)),OR($I$8="",AND(ISNUMBER('Master Database'!$I66),N('Master Database'!$I66)&lt;=$I$8)),OR($H$9="",AND(ISNUMBER('Master Database'!$K66),N('Master Database'!$K66)&gt;=$H$9)),OR($I$9="",AND(ISNUMBER('Master Database'!$K66),N('Master Database'!$K66)&lt;=$I$9))),1,0))</f>
        <v>1</v>
      </c>
      <c r="BB66" s="65" t="n">
        <f aca="false">IF(BA66=1,COUNTIF($BA$5:BA66,1),"")</f>
        <v>62</v>
      </c>
    </row>
    <row r="67" customFormat="false" ht="15" hidden="false" customHeight="false" outlineLevel="0" collapsed="false">
      <c r="A67" s="67" t="n">
        <f aca="false">IF(52&lt;=SUM($BA$5:$BA$600),52,"")</f>
        <v>52</v>
      </c>
      <c r="B67" s="67" t="n">
        <f aca="false">IF(A67="","",MATCH(A67,$BB$5:$BB$600,0)+4)</f>
        <v>56</v>
      </c>
      <c r="C67" s="67" t="n">
        <f aca="false">IF($B67="","",IF(INDEX('Master Database'!$A$1:$A$600,$B67)="","",INDEX('Master Database'!$A$1:$A$600,$B67)))</f>
        <v>52</v>
      </c>
      <c r="D67" s="68" t="str">
        <f aca="false">IF($B67="","",IF(INDEX('Master Database'!$B$1:$B$600,$B67)="","",INDEX('Master Database'!$B$1:$B$600,$B67)))</f>
        <v>Closed Drain Drum Pumps</v>
      </c>
      <c r="E67" s="68" t="str">
        <f aca="false">IF($B67="","",IF(INDEX('Master Database'!$C$1:$C$600,$B67)="","",INDEX('Master Database'!$C$1:$C$600,$B67)))</f>
        <v>Koopal Asmari</v>
      </c>
      <c r="F67" s="68" t="str">
        <f aca="false">IF($B67="","",IF(INDEX('Master Database'!$D$1:$D$600,$B67)="","",INDEX('Master Database'!$D$1:$D$600,$B67)))</f>
        <v>P-234 A/B</v>
      </c>
      <c r="G67" s="68" t="str">
        <f aca="false">IF($B67="","",IF(INDEX('Master Database'!$E$1:$E$600,$B67)="","",INDEX('Master Database'!$E$1:$E$600,$B67)))</f>
        <v>ROT-DRN</v>
      </c>
      <c r="H67" s="68" t="str">
        <f aca="false">IF($B67="","",IF(INDEX('Master Database'!$F$1:$F$600,$B67)="","",INDEX('Master Database'!$F$1:$F$600,$B67)))</f>
        <v>OH2</v>
      </c>
      <c r="I67" s="68" t="str">
        <f aca="false">IF($B67="","",IF(INDEX('Master Database'!$G$1:$G$600,$B67)="","",INDEX('Master Database'!$G$1:$G$600,$B67)))</f>
        <v>D-2</v>
      </c>
      <c r="J67" s="69" t="n">
        <f aca="false">IF($B67="","",IF(INDEX('Master Database'!$H$1:$H$600,$B67)="","",INDEX('Master Database'!$H$1:$H$600,$B67)))</f>
        <v>15</v>
      </c>
      <c r="K67" s="69" t="n">
        <f aca="false">IF($B67="","",IF(INDEX('Master Database'!$I$1:$I$600,$B67)="","",INDEX('Master Database'!$I$1:$I$600,$B67)))</f>
        <v>46.81</v>
      </c>
      <c r="L67" s="69" t="n">
        <f aca="false">IF($B67="","",IF(INDEX('Master Database'!$K$1:$K$600,$B67)="","",INDEX('Master Database'!$K$1:$K$600,$B67)))</f>
        <v>3.18869209809264</v>
      </c>
      <c r="M67" s="68" t="str">
        <f aca="false">IF($B67="","",IF(INDEX('Master Database'!$L$1:$L$600,$B67)="","",INDEX('Master Database'!$L$1:$L$600,$B67)))</f>
        <v>API 610 + IPS-G-PM-105</v>
      </c>
      <c r="N67" s="68" t="str">
        <f aca="false">IF($B67="","",IF(INDEX('Master Database'!$P$1:$P$600,$B67)="","",INDEX('Master Database'!$P$1:$P$600,$B67)))</f>
        <v>Not stated</v>
      </c>
      <c r="O67" s="68" t="str">
        <f aca="false">IF($B67="","",IF(INDEX('Master Database'!$S$1:$S$600,$B67)="","",INDEX('Master Database'!$S$1:$S$600,$B67)))</f>
        <v>Electric Motor</v>
      </c>
      <c r="P67" s="68" t="str">
        <f aca="false">IF($B67="","",IF(INDEX('Master Database'!$T$1:$T$600,$B67)="","",INDEX('Master Database'!$T$1:$T$600,$B67)))</f>
        <v>Oily Water / Drain</v>
      </c>
      <c r="Q67" s="68" t="n">
        <f aca="false">IF($B67="","",IF(INDEX('Master Database'!$Y$1:$Y$600,$B67)="","",INDEX('Master Database'!$Y$1:$Y$600,$B67)))</f>
        <v>1393</v>
      </c>
      <c r="R67" s="68" t="str">
        <f aca="false">IF($B67="","",IF(INDEX('Master Database'!$Z$1:$Z$600,$B67)="","",INDEX('Master Database'!$Z$1:$Z$600,$B67)))</f>
        <v>EUR</v>
      </c>
      <c r="S67" s="70" t="n">
        <f aca="false">IF($B67="","",IF(INDEX('Master Database'!$AA$1:$AA$600,$B67)="","",INDEX('Master Database'!$AA$1:$AA$600,$B67)))</f>
        <v>15000</v>
      </c>
      <c r="T67" s="68" t="str">
        <f aca="false">IF($B67="","",IF(INDEX('Master Database'!$AE$1:$AE$600,$B67)="","",INDEX('Master Database'!$AE$1:$AE$600,$B67)))</f>
        <v>Consultant FEED MTO estimate – KPL-476 R03 (Jan 2016); vendor-level price in EUR, before project overhead | source label: AACE Class 3</v>
      </c>
      <c r="U67" s="70" t="n">
        <f aca="false">IF($B67="","",IF(INDEX('Master Database'!$AG$1:$AG$600,$B67)="","",INDEX('Master Database'!$AG$1:$AG$600,$B67)))</f>
        <v>25000</v>
      </c>
      <c r="V67" s="70" t="n">
        <f aca="false">IF($B67="","",IF(INDEX('Master Database'!$AH$1:$AH$600,$B67)="","",INDEX('Master Database'!$AH$1:$AH$600,$B67)))</f>
        <v>26394.5770371416</v>
      </c>
      <c r="W67" s="70" t="n">
        <f aca="false">IF($B67="","",IF(INDEX('Master Database'!$AI$1:$AI$600,$B67)="","",INDEX('Master Database'!$AI$1:$AI$600,$B67)))</f>
        <v>17381700000</v>
      </c>
      <c r="X67" s="68" t="str">
        <f aca="false">IF($B67="","",IF(INDEX('Master Database'!$BG$1:$BG$600,$B67)="","",INDEX('Master Database'!$BG$1:$BG$600,$B67)))</f>
        <v>Y</v>
      </c>
      <c r="BA67" s="65" t="n">
        <f aca="false">IF('Master Database'!$A67="",0,IF(AND(OR($B$5="",ISNUMBER(SEARCH($B$5,'Master Database'!$B67&amp;" "&amp;'Master Database'!$D67))),OR($B$6="(All)",'Master Database'!$C67=$B$6),OR($B$7="(All)",'Master Database'!$E67=$B$7),OR($B$8="(All)",'Master Database'!$T67=$B$8),OR($B$9="(All)",'Master Database'!$M67=$B$9),OR($B$10="(All)",'Master Database'!$V67=$B$10),OR($E$5="(All)",'Master Database'!$F67=$E$5),OR($E$6="(All)",'Master Database'!$G67=$E$6),OR($E$7="(All)",'Master Database'!$O67=$E$7),OR($E$8="(All)",'Master Database'!$P67=$E$8),OR($E$9="(All)",'Master Database'!$S67=$E$9),OR($E$10="(All)",'Master Database'!$Y67&amp;""=$E$10&amp;""),OR($H$5="(All)",'Master Database'!$BG67=$H$5),OR($H$6&lt;&gt;"Y",ISNUMBER('Master Database'!$AG67)),OR($H$7="",AND(ISNUMBER('Master Database'!$H67),N('Master Database'!$H67)&gt;=$H$7)),OR($I$7="",AND(ISNUMBER('Master Database'!$H67),N('Master Database'!$H67)&lt;=$I$7)),OR($H$8="",AND(ISNUMBER('Master Database'!$I67),N('Master Database'!$I67)&gt;=$H$8)),OR($I$8="",AND(ISNUMBER('Master Database'!$I67),N('Master Database'!$I67)&lt;=$I$8)),OR($H$9="",AND(ISNUMBER('Master Database'!$K67),N('Master Database'!$K67)&gt;=$H$9)),OR($I$9="",AND(ISNUMBER('Master Database'!$K67),N('Master Database'!$K67)&lt;=$I$9))),1,0))</f>
        <v>1</v>
      </c>
      <c r="BB67" s="65" t="n">
        <f aca="false">IF(BA67=1,COUNTIF($BA$5:BA67,1),"")</f>
        <v>63</v>
      </c>
    </row>
    <row r="68" customFormat="false" ht="15" hidden="false" customHeight="false" outlineLevel="0" collapsed="false">
      <c r="A68" s="67" t="n">
        <f aca="false">IF(53&lt;=SUM($BA$5:$BA$600),53,"")</f>
        <v>53</v>
      </c>
      <c r="B68" s="67" t="n">
        <f aca="false">IF(A68="","",MATCH(A68,$BB$5:$BB$600,0)+4)</f>
        <v>57</v>
      </c>
      <c r="C68" s="67" t="n">
        <f aca="false">IF($B68="","",IF(INDEX('Master Database'!$A$1:$A$600,$B68)="","",INDEX('Master Database'!$A$1:$A$600,$B68)))</f>
        <v>53</v>
      </c>
      <c r="D68" s="68" t="str">
        <f aca="false">IF($B68="","",IF(INDEX('Master Database'!$B$1:$B$600,$B68)="","",INDEX('Master Database'!$B$1:$B$600,$B68)))</f>
        <v>Desalters Recycle Pumps</v>
      </c>
      <c r="E68" s="68" t="str">
        <f aca="false">IF($B68="","",IF(INDEX('Master Database'!$C$1:$C$600,$B68)="","",INDEX('Master Database'!$C$1:$C$600,$B68)))</f>
        <v>Koopal Asmari</v>
      </c>
      <c r="F68" s="68" t="str">
        <f aca="false">IF($B68="","",IF(INDEX('Master Database'!$D$1:$D$600,$B68)="","",INDEX('Master Database'!$D$1:$D$600,$B68)))</f>
        <v>P-113 A/B</v>
      </c>
      <c r="G68" s="68" t="str">
        <f aca="false">IF($B68="","",IF(INDEX('Master Database'!$E$1:$E$600,$B68)="","",INDEX('Master Database'!$E$1:$E$600,$B68)))</f>
        <v>ROT-WAT</v>
      </c>
      <c r="H68" s="68" t="str">
        <f aca="false">IF($B68="","",IF(INDEX('Master Database'!$F$1:$F$600,$B68)="","",INDEX('Master Database'!$F$1:$F$600,$B68)))</f>
        <v>OH2</v>
      </c>
      <c r="I68" s="68" t="str">
        <f aca="false">IF($B68="","",IF(INDEX('Master Database'!$G$1:$G$600,$B68)="","",INDEX('Master Database'!$G$1:$G$600,$B68)))</f>
        <v>D-2</v>
      </c>
      <c r="J68" s="69" t="n">
        <f aca="false">IF($B68="","",IF(INDEX('Master Database'!$H$1:$H$600,$B68)="","",INDEX('Master Database'!$H$1:$H$600,$B68)))</f>
        <v>21</v>
      </c>
      <c r="K68" s="69" t="n">
        <f aca="false">IF($B68="","",IF(INDEX('Master Database'!$I$1:$I$600,$B68)="","",INDEX('Master Database'!$I$1:$I$600,$B68)))</f>
        <v>44.9</v>
      </c>
      <c r="L68" s="69" t="n">
        <f aca="false">IF($B68="","",IF(INDEX('Master Database'!$K$1:$K$600,$B68)="","",INDEX('Master Database'!$K$1:$K$600,$B68)))</f>
        <v>4.28201634877384</v>
      </c>
      <c r="M68" s="68" t="str">
        <f aca="false">IF($B68="","",IF(INDEX('Master Database'!$L$1:$L$600,$B68)="","",INDEX('Master Database'!$L$1:$L$600,$B68)))</f>
        <v>API 610 + IPS-G-PM-105</v>
      </c>
      <c r="N68" s="68" t="str">
        <f aca="false">IF($B68="","",IF(INDEX('Master Database'!$P$1:$P$600,$B68)="","",INDEX('Master Database'!$P$1:$P$600,$B68)))</f>
        <v>Not stated</v>
      </c>
      <c r="O68" s="68" t="str">
        <f aca="false">IF($B68="","",IF(INDEX('Master Database'!$S$1:$S$600,$B68)="","",INDEX('Master Database'!$S$1:$S$600,$B68)))</f>
        <v>Electric Motor</v>
      </c>
      <c r="P68" s="68" t="str">
        <f aca="false">IF($B68="","",IF(INDEX('Master Database'!$T$1:$T$600,$B68)="","",INDEX('Master Database'!$T$1:$T$600,$B68)))</f>
        <v>Process / Dilution Water</v>
      </c>
      <c r="Q68" s="68" t="n">
        <f aca="false">IF($B68="","",IF(INDEX('Master Database'!$Y$1:$Y$600,$B68)="","",INDEX('Master Database'!$Y$1:$Y$600,$B68)))</f>
        <v>1393</v>
      </c>
      <c r="R68" s="68" t="str">
        <f aca="false">IF($B68="","",IF(INDEX('Master Database'!$Z$1:$Z$600,$B68)="","",INDEX('Master Database'!$Z$1:$Z$600,$B68)))</f>
        <v>IRR</v>
      </c>
      <c r="S68" s="70" t="str">
        <f aca="false">IF($B68="","",IF(INDEX('Master Database'!$AA$1:$AA$600,$B68)="","",INDEX('Master Database'!$AA$1:$AA$600,$B68)))</f>
        <v/>
      </c>
      <c r="T68" s="68" t="str">
        <f aca="false">IF($B68="","",IF(INDEX('Master Database'!$AE$1:$AE$600,$B68)="","",INDEX('Master Database'!$AE$1:$AE$600,$B68)))</f>
        <v>Consultant FEED MTO estimate – KPL-476 R03 (Jan 2016); pump priced inside its package, no separate price | source label: AACE Class 3</v>
      </c>
      <c r="U68" s="70" t="str">
        <f aca="false">IF($B68="","",IF(INDEX('Master Database'!$AG$1:$AG$600,$B68)="","",INDEX('Master Database'!$AG$1:$AG$600,$B68)))</f>
        <v/>
      </c>
      <c r="V68" s="70" t="str">
        <f aca="false">IF($B68="","",IF(INDEX('Master Database'!$AH$1:$AH$600,$B68)="","",INDEX('Master Database'!$AH$1:$AH$600,$B68)))</f>
        <v/>
      </c>
      <c r="W68" s="70" t="str">
        <f aca="false">IF($B68="","",IF(INDEX('Master Database'!$AI$1:$AI$600,$B68)="","",INDEX('Master Database'!$AI$1:$AI$600,$B68)))</f>
        <v/>
      </c>
      <c r="X68" s="68" t="str">
        <f aca="false">IF($B68="","",IF(INDEX('Master Database'!$BG$1:$BG$600,$B68)="","",INDEX('Master Database'!$BG$1:$BG$600,$B68)))</f>
        <v>Y</v>
      </c>
      <c r="BA68" s="65" t="n">
        <f aca="false">IF('Master Database'!$A68="",0,IF(AND(OR($B$5="",ISNUMBER(SEARCH($B$5,'Master Database'!$B68&amp;" "&amp;'Master Database'!$D68))),OR($B$6="(All)",'Master Database'!$C68=$B$6),OR($B$7="(All)",'Master Database'!$E68=$B$7),OR($B$8="(All)",'Master Database'!$T68=$B$8),OR($B$9="(All)",'Master Database'!$M68=$B$9),OR($B$10="(All)",'Master Database'!$V68=$B$10),OR($E$5="(All)",'Master Database'!$F68=$E$5),OR($E$6="(All)",'Master Database'!$G68=$E$6),OR($E$7="(All)",'Master Database'!$O68=$E$7),OR($E$8="(All)",'Master Database'!$P68=$E$8),OR($E$9="(All)",'Master Database'!$S68=$E$9),OR($E$10="(All)",'Master Database'!$Y68&amp;""=$E$10&amp;""),OR($H$5="(All)",'Master Database'!$BG68=$H$5),OR($H$6&lt;&gt;"Y",ISNUMBER('Master Database'!$AG68)),OR($H$7="",AND(ISNUMBER('Master Database'!$H68),N('Master Database'!$H68)&gt;=$H$7)),OR($I$7="",AND(ISNUMBER('Master Database'!$H68),N('Master Database'!$H68)&lt;=$I$7)),OR($H$8="",AND(ISNUMBER('Master Database'!$I68),N('Master Database'!$I68)&gt;=$H$8)),OR($I$8="",AND(ISNUMBER('Master Database'!$I68),N('Master Database'!$I68)&lt;=$I$8)),OR($H$9="",AND(ISNUMBER('Master Database'!$K68),N('Master Database'!$K68)&gt;=$H$9)),OR($I$9="",AND(ISNUMBER('Master Database'!$K68),N('Master Database'!$K68)&lt;=$I$9))),1,0))</f>
        <v>1</v>
      </c>
      <c r="BB68" s="65" t="n">
        <f aca="false">IF(BA68=1,COUNTIF($BA$5:BA68,1),"")</f>
        <v>64</v>
      </c>
    </row>
    <row r="69" customFormat="false" ht="15" hidden="false" customHeight="false" outlineLevel="0" collapsed="false">
      <c r="A69" s="67" t="n">
        <f aca="false">IF(54&lt;=SUM($BA$5:$BA$600),54,"")</f>
        <v>54</v>
      </c>
      <c r="B69" s="67" t="n">
        <f aca="false">IF(A69="","",MATCH(A69,$BB$5:$BB$600,0)+4)</f>
        <v>58</v>
      </c>
      <c r="C69" s="67" t="n">
        <f aca="false">IF($B69="","",IF(INDEX('Master Database'!$A$1:$A$600,$B69)="","",INDEX('Master Database'!$A$1:$A$600,$B69)))</f>
        <v>54</v>
      </c>
      <c r="D69" s="68" t="str">
        <f aca="false">IF($B69="","",IF(INDEX('Master Database'!$B$1:$B$600,$B69)="","",INDEX('Master Database'!$B$1:$B$600,$B69)))</f>
        <v>IGF Water Recycle Pumps</v>
      </c>
      <c r="E69" s="68" t="str">
        <f aca="false">IF($B69="","",IF(INDEX('Master Database'!$C$1:$C$600,$B69)="","",INDEX('Master Database'!$C$1:$C$600,$B69)))</f>
        <v>Koopal Asmari</v>
      </c>
      <c r="F69" s="68" t="str">
        <f aca="false">IF($B69="","",IF(INDEX('Master Database'!$D$1:$D$600,$B69)="","",INDEX('Master Database'!$D$1:$D$600,$B69)))</f>
        <v>P-130 A/B</v>
      </c>
      <c r="G69" s="68" t="str">
        <f aca="false">IF($B69="","",IF(INDEX('Master Database'!$E$1:$E$600,$B69)="","",INDEX('Master Database'!$E$1:$E$600,$B69)))</f>
        <v>ROT-WAT</v>
      </c>
      <c r="H69" s="68" t="str">
        <f aca="false">IF($B69="","",IF(INDEX('Master Database'!$F$1:$F$600,$B69)="","",INDEX('Master Database'!$F$1:$F$600,$B69)))</f>
        <v>OH2</v>
      </c>
      <c r="I69" s="68" t="str">
        <f aca="false">IF($B69="","",IF(INDEX('Master Database'!$G$1:$G$600,$B69)="","",INDEX('Master Database'!$G$1:$G$600,$B69)))</f>
        <v>D-2</v>
      </c>
      <c r="J69" s="69" t="str">
        <f aca="false">IF($B69="","",IF(INDEX('Master Database'!$H$1:$H$600,$B69)="","",INDEX('Master Database'!$H$1:$H$600,$B69)))</f>
        <v/>
      </c>
      <c r="K69" s="69" t="str">
        <f aca="false">IF($B69="","",IF(INDEX('Master Database'!$I$1:$I$600,$B69)="","",INDEX('Master Database'!$I$1:$I$600,$B69)))</f>
        <v/>
      </c>
      <c r="L69" s="69" t="str">
        <f aca="false">IF($B69="","",IF(INDEX('Master Database'!$K$1:$K$600,$B69)="","",INDEX('Master Database'!$K$1:$K$600,$B69)))</f>
        <v/>
      </c>
      <c r="M69" s="68" t="str">
        <f aca="false">IF($B69="","",IF(INDEX('Master Database'!$L$1:$L$600,$B69)="","",INDEX('Master Database'!$L$1:$L$600,$B69)))</f>
        <v>API 610 + IPS-G-PM-105</v>
      </c>
      <c r="N69" s="68" t="str">
        <f aca="false">IF($B69="","",IF(INDEX('Master Database'!$P$1:$P$600,$B69)="","",INDEX('Master Database'!$P$1:$P$600,$B69)))</f>
        <v>Not stated</v>
      </c>
      <c r="O69" s="68" t="str">
        <f aca="false">IF($B69="","",IF(INDEX('Master Database'!$S$1:$S$600,$B69)="","",INDEX('Master Database'!$S$1:$S$600,$B69)))</f>
        <v>Electric Motor</v>
      </c>
      <c r="P69" s="68" t="str">
        <f aca="false">IF($B69="","",IF(INDEX('Master Database'!$T$1:$T$600,$B69)="","",INDEX('Master Database'!$T$1:$T$600,$B69)))</f>
        <v>Process / Dilution Water</v>
      </c>
      <c r="Q69" s="68" t="n">
        <f aca="false">IF($B69="","",IF(INDEX('Master Database'!$Y$1:$Y$600,$B69)="","",INDEX('Master Database'!$Y$1:$Y$600,$B69)))</f>
        <v>1393</v>
      </c>
      <c r="R69" s="68" t="str">
        <f aca="false">IF($B69="","",IF(INDEX('Master Database'!$Z$1:$Z$600,$B69)="","",INDEX('Master Database'!$Z$1:$Z$600,$B69)))</f>
        <v>IRR</v>
      </c>
      <c r="S69" s="70" t="str">
        <f aca="false">IF($B69="","",IF(INDEX('Master Database'!$AA$1:$AA$600,$B69)="","",INDEX('Master Database'!$AA$1:$AA$600,$B69)))</f>
        <v/>
      </c>
      <c r="T69" s="68" t="str">
        <f aca="false">IF($B69="","",IF(INDEX('Master Database'!$AE$1:$AE$600,$B69)="","",INDEX('Master Database'!$AE$1:$AE$600,$B69)))</f>
        <v>Consultant FEED MTO estimate – KPL-476 R03 (Jan 2016); pump priced inside its package, no separate price | source label: AACE Class 3</v>
      </c>
      <c r="U69" s="70" t="str">
        <f aca="false">IF($B69="","",IF(INDEX('Master Database'!$AG$1:$AG$600,$B69)="","",INDEX('Master Database'!$AG$1:$AG$600,$B69)))</f>
        <v/>
      </c>
      <c r="V69" s="70" t="str">
        <f aca="false">IF($B69="","",IF(INDEX('Master Database'!$AH$1:$AH$600,$B69)="","",INDEX('Master Database'!$AH$1:$AH$600,$B69)))</f>
        <v/>
      </c>
      <c r="W69" s="70" t="str">
        <f aca="false">IF($B69="","",IF(INDEX('Master Database'!$AI$1:$AI$600,$B69)="","",INDEX('Master Database'!$AI$1:$AI$600,$B69)))</f>
        <v/>
      </c>
      <c r="X69" s="68" t="str">
        <f aca="false">IF($B69="","",IF(INDEX('Master Database'!$BG$1:$BG$600,$B69)="","",INDEX('Master Database'!$BG$1:$BG$600,$B69)))</f>
        <v>Y</v>
      </c>
      <c r="BA69" s="65" t="n">
        <f aca="false">IF('Master Database'!$A69="",0,IF(AND(OR($B$5="",ISNUMBER(SEARCH($B$5,'Master Database'!$B69&amp;" "&amp;'Master Database'!$D69))),OR($B$6="(All)",'Master Database'!$C69=$B$6),OR($B$7="(All)",'Master Database'!$E69=$B$7),OR($B$8="(All)",'Master Database'!$T69=$B$8),OR($B$9="(All)",'Master Database'!$M69=$B$9),OR($B$10="(All)",'Master Database'!$V69=$B$10),OR($E$5="(All)",'Master Database'!$F69=$E$5),OR($E$6="(All)",'Master Database'!$G69=$E$6),OR($E$7="(All)",'Master Database'!$O69=$E$7),OR($E$8="(All)",'Master Database'!$P69=$E$8),OR($E$9="(All)",'Master Database'!$S69=$E$9),OR($E$10="(All)",'Master Database'!$Y69&amp;""=$E$10&amp;""),OR($H$5="(All)",'Master Database'!$BG69=$H$5),OR($H$6&lt;&gt;"Y",ISNUMBER('Master Database'!$AG69)),OR($H$7="",AND(ISNUMBER('Master Database'!$H69),N('Master Database'!$H69)&gt;=$H$7)),OR($I$7="",AND(ISNUMBER('Master Database'!$H69),N('Master Database'!$H69)&lt;=$I$7)),OR($H$8="",AND(ISNUMBER('Master Database'!$I69),N('Master Database'!$I69)&gt;=$H$8)),OR($I$8="",AND(ISNUMBER('Master Database'!$I69),N('Master Database'!$I69)&lt;=$I$8)),OR($H$9="",AND(ISNUMBER('Master Database'!$K69),N('Master Database'!$K69)&gt;=$H$9)),OR($I$9="",AND(ISNUMBER('Master Database'!$K69),N('Master Database'!$K69)&lt;=$I$9))),1,0))</f>
        <v>1</v>
      </c>
      <c r="BB69" s="65" t="n">
        <f aca="false">IF(BA69=1,COUNTIF($BA$5:BA69,1),"")</f>
        <v>65</v>
      </c>
    </row>
    <row r="70" customFormat="false" ht="15" hidden="false" customHeight="false" outlineLevel="0" collapsed="false">
      <c r="A70" s="67" t="n">
        <f aca="false">IF(55&lt;=SUM($BA$5:$BA$600),55,"")</f>
        <v>55</v>
      </c>
      <c r="B70" s="67" t="n">
        <f aca="false">IF(A70="","",MATCH(A70,$BB$5:$BB$600,0)+4)</f>
        <v>59</v>
      </c>
      <c r="C70" s="67" t="n">
        <f aca="false">IF($B70="","",IF(INDEX('Master Database'!$A$1:$A$600,$B70)="","",INDEX('Master Database'!$A$1:$A$600,$B70)))</f>
        <v>55</v>
      </c>
      <c r="D70" s="68" t="str">
        <f aca="false">IF($B70="","",IF(INDEX('Master Database'!$B$1:$B$600,$B70)="","",INDEX('Master Database'!$B$1:$B$600,$B70)))</f>
        <v>IGF De-oiled Waste Booster Pumps</v>
      </c>
      <c r="E70" s="68" t="str">
        <f aca="false">IF($B70="","",IF(INDEX('Master Database'!$C$1:$C$600,$B70)="","",INDEX('Master Database'!$C$1:$C$600,$B70)))</f>
        <v>Koopal Asmari</v>
      </c>
      <c r="F70" s="68" t="str">
        <f aca="false">IF($B70="","",IF(INDEX('Master Database'!$D$1:$D$600,$B70)="","",INDEX('Master Database'!$D$1:$D$600,$B70)))</f>
        <v>P-131 A/B</v>
      </c>
      <c r="G70" s="68" t="str">
        <f aca="false">IF($B70="","",IF(INDEX('Master Database'!$E$1:$E$600,$B70)="","",INDEX('Master Database'!$E$1:$E$600,$B70)))</f>
        <v>ROT-INJ</v>
      </c>
      <c r="H70" s="68" t="str">
        <f aca="false">IF($B70="","",IF(INDEX('Master Database'!$F$1:$F$600,$B70)="","",INDEX('Master Database'!$F$1:$F$600,$B70)))</f>
        <v>OH2</v>
      </c>
      <c r="I70" s="68" t="str">
        <f aca="false">IF($B70="","",IF(INDEX('Master Database'!$G$1:$G$600,$B70)="","",INDEX('Master Database'!$G$1:$G$600,$B70)))</f>
        <v>D-2</v>
      </c>
      <c r="J70" s="69" t="str">
        <f aca="false">IF($B70="","",IF(INDEX('Master Database'!$H$1:$H$600,$B70)="","",INDEX('Master Database'!$H$1:$H$600,$B70)))</f>
        <v/>
      </c>
      <c r="K70" s="69" t="str">
        <f aca="false">IF($B70="","",IF(INDEX('Master Database'!$I$1:$I$600,$B70)="","",INDEX('Master Database'!$I$1:$I$600,$B70)))</f>
        <v/>
      </c>
      <c r="L70" s="69" t="str">
        <f aca="false">IF($B70="","",IF(INDEX('Master Database'!$K$1:$K$600,$B70)="","",INDEX('Master Database'!$K$1:$K$600,$B70)))</f>
        <v/>
      </c>
      <c r="M70" s="68" t="str">
        <f aca="false">IF($B70="","",IF(INDEX('Master Database'!$L$1:$L$600,$B70)="","",INDEX('Master Database'!$L$1:$L$600,$B70)))</f>
        <v>API 610 + IPS-G-PM-105</v>
      </c>
      <c r="N70" s="68" t="str">
        <f aca="false">IF($B70="","",IF(INDEX('Master Database'!$P$1:$P$600,$B70)="","",INDEX('Master Database'!$P$1:$P$600,$B70)))</f>
        <v>Not stated</v>
      </c>
      <c r="O70" s="68" t="str">
        <f aca="false">IF($B70="","",IF(INDEX('Master Database'!$S$1:$S$600,$B70)="","",INDEX('Master Database'!$S$1:$S$600,$B70)))</f>
        <v>Electric Motor</v>
      </c>
      <c r="P70" s="68" t="str">
        <f aca="false">IF($B70="","",IF(INDEX('Master Database'!$T$1:$T$600,$B70)="","",INDEX('Master Database'!$T$1:$T$600,$B70)))</f>
        <v>Produced / Disposal Water</v>
      </c>
      <c r="Q70" s="68" t="n">
        <f aca="false">IF($B70="","",IF(INDEX('Master Database'!$Y$1:$Y$600,$B70)="","",INDEX('Master Database'!$Y$1:$Y$600,$B70)))</f>
        <v>1393</v>
      </c>
      <c r="R70" s="68" t="str">
        <f aca="false">IF($B70="","",IF(INDEX('Master Database'!$Z$1:$Z$600,$B70)="","",INDEX('Master Database'!$Z$1:$Z$600,$B70)))</f>
        <v>IRR</v>
      </c>
      <c r="S70" s="70" t="str">
        <f aca="false">IF($B70="","",IF(INDEX('Master Database'!$AA$1:$AA$600,$B70)="","",INDEX('Master Database'!$AA$1:$AA$600,$B70)))</f>
        <v/>
      </c>
      <c r="T70" s="68" t="str">
        <f aca="false">IF($B70="","",IF(INDEX('Master Database'!$AE$1:$AE$600,$B70)="","",INDEX('Master Database'!$AE$1:$AE$600,$B70)))</f>
        <v>Consultant FEED MTO estimate – KPL-476 R03 (Jan 2016); pump priced inside its package, no separate price | source label: AACE Class 3</v>
      </c>
      <c r="U70" s="70" t="str">
        <f aca="false">IF($B70="","",IF(INDEX('Master Database'!$AG$1:$AG$600,$B70)="","",INDEX('Master Database'!$AG$1:$AG$600,$B70)))</f>
        <v/>
      </c>
      <c r="V70" s="70" t="str">
        <f aca="false">IF($B70="","",IF(INDEX('Master Database'!$AH$1:$AH$600,$B70)="","",INDEX('Master Database'!$AH$1:$AH$600,$B70)))</f>
        <v/>
      </c>
      <c r="W70" s="70" t="str">
        <f aca="false">IF($B70="","",IF(INDEX('Master Database'!$AI$1:$AI$600,$B70)="","",INDEX('Master Database'!$AI$1:$AI$600,$B70)))</f>
        <v/>
      </c>
      <c r="X70" s="68" t="str">
        <f aca="false">IF($B70="","",IF(INDEX('Master Database'!$BG$1:$BG$600,$B70)="","",INDEX('Master Database'!$BG$1:$BG$600,$B70)))</f>
        <v>Y</v>
      </c>
      <c r="BA70" s="65" t="n">
        <f aca="false">IF('Master Database'!$A70="",0,IF(AND(OR($B$5="",ISNUMBER(SEARCH($B$5,'Master Database'!$B70&amp;" "&amp;'Master Database'!$D70))),OR($B$6="(All)",'Master Database'!$C70=$B$6),OR($B$7="(All)",'Master Database'!$E70=$B$7),OR($B$8="(All)",'Master Database'!$T70=$B$8),OR($B$9="(All)",'Master Database'!$M70=$B$9),OR($B$10="(All)",'Master Database'!$V70=$B$10),OR($E$5="(All)",'Master Database'!$F70=$E$5),OR($E$6="(All)",'Master Database'!$G70=$E$6),OR($E$7="(All)",'Master Database'!$O70=$E$7),OR($E$8="(All)",'Master Database'!$P70=$E$8),OR($E$9="(All)",'Master Database'!$S70=$E$9),OR($E$10="(All)",'Master Database'!$Y70&amp;""=$E$10&amp;""),OR($H$5="(All)",'Master Database'!$BG70=$H$5),OR($H$6&lt;&gt;"Y",ISNUMBER('Master Database'!$AG70)),OR($H$7="",AND(ISNUMBER('Master Database'!$H70),N('Master Database'!$H70)&gt;=$H$7)),OR($I$7="",AND(ISNUMBER('Master Database'!$H70),N('Master Database'!$H70)&lt;=$I$7)),OR($H$8="",AND(ISNUMBER('Master Database'!$I70),N('Master Database'!$I70)&gt;=$H$8)),OR($I$8="",AND(ISNUMBER('Master Database'!$I70),N('Master Database'!$I70)&lt;=$I$8)),OR($H$9="",AND(ISNUMBER('Master Database'!$K70),N('Master Database'!$K70)&gt;=$H$9)),OR($I$9="",AND(ISNUMBER('Master Database'!$K70),N('Master Database'!$K70)&lt;=$I$9))),1,0))</f>
        <v>1</v>
      </c>
      <c r="BB70" s="65" t="n">
        <f aca="false">IF(BA70=1,COUNTIF($BA$5:BA70,1),"")</f>
        <v>66</v>
      </c>
    </row>
    <row r="71" customFormat="false" ht="15" hidden="false" customHeight="false" outlineLevel="0" collapsed="false">
      <c r="A71" s="67" t="n">
        <f aca="false">IF(56&lt;=SUM($BA$5:$BA$600),56,"")</f>
        <v>56</v>
      </c>
      <c r="B71" s="67" t="n">
        <f aca="false">IF(A71="","",MATCH(A71,$BB$5:$BB$600,0)+4)</f>
        <v>60</v>
      </c>
      <c r="C71" s="67" t="n">
        <f aca="false">IF($B71="","",IF(INDEX('Master Database'!$A$1:$A$600,$B71)="","",INDEX('Master Database'!$A$1:$A$600,$B71)))</f>
        <v>56</v>
      </c>
      <c r="D71" s="68" t="str">
        <f aca="false">IF($B71="","",IF(INDEX('Master Database'!$B$1:$B$600,$B71)="","",INDEX('Master Database'!$B$1:$B$600,$B71)))</f>
        <v>IGF De-oiled Waste Booster Pumps</v>
      </c>
      <c r="E71" s="68" t="str">
        <f aca="false">IF($B71="","",IF(INDEX('Master Database'!$C$1:$C$600,$B71)="","",INDEX('Master Database'!$C$1:$C$600,$B71)))</f>
        <v>Koopal Asmari</v>
      </c>
      <c r="F71" s="68" t="str">
        <f aca="false">IF($B71="","",IF(INDEX('Master Database'!$D$1:$D$600,$B71)="","",INDEX('Master Database'!$D$1:$D$600,$B71)))</f>
        <v>P-132 A/B</v>
      </c>
      <c r="G71" s="68" t="str">
        <f aca="false">IF($B71="","",IF(INDEX('Master Database'!$E$1:$E$600,$B71)="","",INDEX('Master Database'!$E$1:$E$600,$B71)))</f>
        <v>ROT-INJ</v>
      </c>
      <c r="H71" s="68" t="str">
        <f aca="false">IF($B71="","",IF(INDEX('Master Database'!$F$1:$F$600,$B71)="","",INDEX('Master Database'!$F$1:$F$600,$B71)))</f>
        <v>OH2</v>
      </c>
      <c r="I71" s="68" t="str">
        <f aca="false">IF($B71="","",IF(INDEX('Master Database'!$G$1:$G$600,$B71)="","",INDEX('Master Database'!$G$1:$G$600,$B71)))</f>
        <v>D-2</v>
      </c>
      <c r="J71" s="69" t="str">
        <f aca="false">IF($B71="","",IF(INDEX('Master Database'!$H$1:$H$600,$B71)="","",INDEX('Master Database'!$H$1:$H$600,$B71)))</f>
        <v/>
      </c>
      <c r="K71" s="69" t="str">
        <f aca="false">IF($B71="","",IF(INDEX('Master Database'!$I$1:$I$600,$B71)="","",INDEX('Master Database'!$I$1:$I$600,$B71)))</f>
        <v/>
      </c>
      <c r="L71" s="69" t="str">
        <f aca="false">IF($B71="","",IF(INDEX('Master Database'!$K$1:$K$600,$B71)="","",INDEX('Master Database'!$K$1:$K$600,$B71)))</f>
        <v/>
      </c>
      <c r="M71" s="68" t="str">
        <f aca="false">IF($B71="","",IF(INDEX('Master Database'!$L$1:$L$600,$B71)="","",INDEX('Master Database'!$L$1:$L$600,$B71)))</f>
        <v>API 610 + IPS-G-PM-105</v>
      </c>
      <c r="N71" s="68" t="str">
        <f aca="false">IF($B71="","",IF(INDEX('Master Database'!$P$1:$P$600,$B71)="","",INDEX('Master Database'!$P$1:$P$600,$B71)))</f>
        <v>Not stated</v>
      </c>
      <c r="O71" s="68" t="str">
        <f aca="false">IF($B71="","",IF(INDEX('Master Database'!$S$1:$S$600,$B71)="","",INDEX('Master Database'!$S$1:$S$600,$B71)))</f>
        <v>Electric Motor</v>
      </c>
      <c r="P71" s="68" t="str">
        <f aca="false">IF($B71="","",IF(INDEX('Master Database'!$T$1:$T$600,$B71)="","",INDEX('Master Database'!$T$1:$T$600,$B71)))</f>
        <v>Produced / Disposal Water</v>
      </c>
      <c r="Q71" s="68" t="n">
        <f aca="false">IF($B71="","",IF(INDEX('Master Database'!$Y$1:$Y$600,$B71)="","",INDEX('Master Database'!$Y$1:$Y$600,$B71)))</f>
        <v>1393</v>
      </c>
      <c r="R71" s="68" t="str">
        <f aca="false">IF($B71="","",IF(INDEX('Master Database'!$Z$1:$Z$600,$B71)="","",INDEX('Master Database'!$Z$1:$Z$600,$B71)))</f>
        <v>IRR</v>
      </c>
      <c r="S71" s="70" t="str">
        <f aca="false">IF($B71="","",IF(INDEX('Master Database'!$AA$1:$AA$600,$B71)="","",INDEX('Master Database'!$AA$1:$AA$600,$B71)))</f>
        <v/>
      </c>
      <c r="T71" s="68" t="str">
        <f aca="false">IF($B71="","",IF(INDEX('Master Database'!$AE$1:$AE$600,$B71)="","",INDEX('Master Database'!$AE$1:$AE$600,$B71)))</f>
        <v>Consultant FEED MTO estimate – KPL-476 R03 (Jan 2016); pump priced inside its package, no separate price | source label: AACE Class 3</v>
      </c>
      <c r="U71" s="70" t="str">
        <f aca="false">IF($B71="","",IF(INDEX('Master Database'!$AG$1:$AG$600,$B71)="","",INDEX('Master Database'!$AG$1:$AG$600,$B71)))</f>
        <v/>
      </c>
      <c r="V71" s="70" t="str">
        <f aca="false">IF($B71="","",IF(INDEX('Master Database'!$AH$1:$AH$600,$B71)="","",INDEX('Master Database'!$AH$1:$AH$600,$B71)))</f>
        <v/>
      </c>
      <c r="W71" s="70" t="str">
        <f aca="false">IF($B71="","",IF(INDEX('Master Database'!$AI$1:$AI$600,$B71)="","",INDEX('Master Database'!$AI$1:$AI$600,$B71)))</f>
        <v/>
      </c>
      <c r="X71" s="68" t="str">
        <f aca="false">IF($B71="","",IF(INDEX('Master Database'!$BG$1:$BG$600,$B71)="","",INDEX('Master Database'!$BG$1:$BG$600,$B71)))</f>
        <v>Y</v>
      </c>
      <c r="BA71" s="65" t="n">
        <f aca="false">IF('Master Database'!$A71="",0,IF(AND(OR($B$5="",ISNUMBER(SEARCH($B$5,'Master Database'!$B71&amp;" "&amp;'Master Database'!$D71))),OR($B$6="(All)",'Master Database'!$C71=$B$6),OR($B$7="(All)",'Master Database'!$E71=$B$7),OR($B$8="(All)",'Master Database'!$T71=$B$8),OR($B$9="(All)",'Master Database'!$M71=$B$9),OR($B$10="(All)",'Master Database'!$V71=$B$10),OR($E$5="(All)",'Master Database'!$F71=$E$5),OR($E$6="(All)",'Master Database'!$G71=$E$6),OR($E$7="(All)",'Master Database'!$O71=$E$7),OR($E$8="(All)",'Master Database'!$P71=$E$8),OR($E$9="(All)",'Master Database'!$S71=$E$9),OR($E$10="(All)",'Master Database'!$Y71&amp;""=$E$10&amp;""),OR($H$5="(All)",'Master Database'!$BG71=$H$5),OR($H$6&lt;&gt;"Y",ISNUMBER('Master Database'!$AG71)),OR($H$7="",AND(ISNUMBER('Master Database'!$H71),N('Master Database'!$H71)&gt;=$H$7)),OR($I$7="",AND(ISNUMBER('Master Database'!$H71),N('Master Database'!$H71)&lt;=$I$7)),OR($H$8="",AND(ISNUMBER('Master Database'!$I71),N('Master Database'!$I71)&gt;=$H$8)),OR($I$8="",AND(ISNUMBER('Master Database'!$I71),N('Master Database'!$I71)&lt;=$I$8)),OR($H$9="",AND(ISNUMBER('Master Database'!$K71),N('Master Database'!$K71)&gt;=$H$9)),OR($I$9="",AND(ISNUMBER('Master Database'!$K71),N('Master Database'!$K71)&lt;=$I$9))),1,0))</f>
        <v>1</v>
      </c>
      <c r="BB71" s="65" t="n">
        <f aca="false">IF(BA71=1,COUNTIF($BA$5:BA71,1),"")</f>
        <v>67</v>
      </c>
    </row>
    <row r="72" customFormat="false" ht="15" hidden="false" customHeight="false" outlineLevel="0" collapsed="false">
      <c r="A72" s="67" t="n">
        <f aca="false">IF(57&lt;=SUM($BA$5:$BA$600),57,"")</f>
        <v>57</v>
      </c>
      <c r="B72" s="67" t="n">
        <f aca="false">IF(A72="","",MATCH(A72,$BB$5:$BB$600,0)+4)</f>
        <v>61</v>
      </c>
      <c r="C72" s="67" t="n">
        <f aca="false">IF($B72="","",IF(INDEX('Master Database'!$A$1:$A$600,$B72)="","",INDEX('Master Database'!$A$1:$A$600,$B72)))</f>
        <v>57</v>
      </c>
      <c r="D72" s="68" t="str">
        <f aca="false">IF($B72="","",IF(INDEX('Master Database'!$B$1:$B$600,$B72)="","",INDEX('Master Database'!$B$1:$B$600,$B72)))</f>
        <v>IGF Recovered Waste Oil Pumps</v>
      </c>
      <c r="E72" s="68" t="str">
        <f aca="false">IF($B72="","",IF(INDEX('Master Database'!$C$1:$C$600,$B72)="","",INDEX('Master Database'!$C$1:$C$600,$B72)))</f>
        <v>Koopal Asmari</v>
      </c>
      <c r="F72" s="68" t="str">
        <f aca="false">IF($B72="","",IF(INDEX('Master Database'!$D$1:$D$600,$B72)="","",INDEX('Master Database'!$D$1:$D$600,$B72)))</f>
        <v>P-133 A/B</v>
      </c>
      <c r="G72" s="68" t="str">
        <f aca="false">IF($B72="","",IF(INDEX('Master Database'!$E$1:$E$600,$B72)="","",INDEX('Master Database'!$E$1:$E$600,$B72)))</f>
        <v>ROT-DRN</v>
      </c>
      <c r="H72" s="68" t="str">
        <f aca="false">IF($B72="","",IF(INDEX('Master Database'!$F$1:$F$600,$B72)="","",INDEX('Master Database'!$F$1:$F$600,$B72)))</f>
        <v>N/A (non-API 610)</v>
      </c>
      <c r="I72" s="68" t="str">
        <f aca="false">IF($B72="","",IF(INDEX('Master Database'!$G$1:$G$600,$B72)="","",INDEX('Master Database'!$G$1:$G$600,$B72)))</f>
        <v>D-1</v>
      </c>
      <c r="J72" s="69" t="str">
        <f aca="false">IF($B72="","",IF(INDEX('Master Database'!$H$1:$H$600,$B72)="","",INDEX('Master Database'!$H$1:$H$600,$B72)))</f>
        <v/>
      </c>
      <c r="K72" s="69" t="str">
        <f aca="false">IF($B72="","",IF(INDEX('Master Database'!$I$1:$I$600,$B72)="","",INDEX('Master Database'!$I$1:$I$600,$B72)))</f>
        <v/>
      </c>
      <c r="L72" s="69" t="str">
        <f aca="false">IF($B72="","",IF(INDEX('Master Database'!$K$1:$K$600,$B72)="","",INDEX('Master Database'!$K$1:$K$600,$B72)))</f>
        <v/>
      </c>
      <c r="M72" s="68" t="str">
        <f aca="false">IF($B72="","",IF(INDEX('Master Database'!$L$1:$L$600,$B72)="","",INDEX('Master Database'!$L$1:$L$600,$B72)))</f>
        <v>API 676 + IPS-M-PM-140</v>
      </c>
      <c r="N72" s="68" t="str">
        <f aca="false">IF($B72="","",IF(INDEX('Master Database'!$P$1:$P$600,$B72)="","",INDEX('Master Database'!$P$1:$P$600,$B72)))</f>
        <v>Not stated</v>
      </c>
      <c r="O72" s="68" t="str">
        <f aca="false">IF($B72="","",IF(INDEX('Master Database'!$S$1:$S$600,$B72)="","",INDEX('Master Database'!$S$1:$S$600,$B72)))</f>
        <v>Electric Motor</v>
      </c>
      <c r="P72" s="68" t="str">
        <f aca="false">IF($B72="","",IF(INDEX('Master Database'!$T$1:$T$600,$B72)="","",INDEX('Master Database'!$T$1:$T$600,$B72)))</f>
        <v>Slop / Dirty Oil</v>
      </c>
      <c r="Q72" s="68" t="n">
        <f aca="false">IF($B72="","",IF(INDEX('Master Database'!$Y$1:$Y$600,$B72)="","",INDEX('Master Database'!$Y$1:$Y$600,$B72)))</f>
        <v>1393</v>
      </c>
      <c r="R72" s="68" t="str">
        <f aca="false">IF($B72="","",IF(INDEX('Master Database'!$Z$1:$Z$600,$B72)="","",INDEX('Master Database'!$Z$1:$Z$600,$B72)))</f>
        <v>IRR</v>
      </c>
      <c r="S72" s="70" t="str">
        <f aca="false">IF($B72="","",IF(INDEX('Master Database'!$AA$1:$AA$600,$B72)="","",INDEX('Master Database'!$AA$1:$AA$600,$B72)))</f>
        <v/>
      </c>
      <c r="T72" s="68" t="str">
        <f aca="false">IF($B72="","",IF(INDEX('Master Database'!$AE$1:$AE$600,$B72)="","",INDEX('Master Database'!$AE$1:$AE$600,$B72)))</f>
        <v>Consultant FEED MTO estimate – KPL-476 R03 (Jan 2016); pump priced inside its package, no separate price | source label: AACE Class 3</v>
      </c>
      <c r="U72" s="70" t="str">
        <f aca="false">IF($B72="","",IF(INDEX('Master Database'!$AG$1:$AG$600,$B72)="","",INDEX('Master Database'!$AG$1:$AG$600,$B72)))</f>
        <v/>
      </c>
      <c r="V72" s="70" t="str">
        <f aca="false">IF($B72="","",IF(INDEX('Master Database'!$AH$1:$AH$600,$B72)="","",INDEX('Master Database'!$AH$1:$AH$600,$B72)))</f>
        <v/>
      </c>
      <c r="W72" s="70" t="str">
        <f aca="false">IF($B72="","",IF(INDEX('Master Database'!$AI$1:$AI$600,$B72)="","",INDEX('Master Database'!$AI$1:$AI$600,$B72)))</f>
        <v/>
      </c>
      <c r="X72" s="68" t="str">
        <f aca="false">IF($B72="","",IF(INDEX('Master Database'!$BG$1:$BG$600,$B72)="","",INDEX('Master Database'!$BG$1:$BG$600,$B72)))</f>
        <v>Y</v>
      </c>
      <c r="BA72" s="65" t="n">
        <f aca="false">IF('Master Database'!$A72="",0,IF(AND(OR($B$5="",ISNUMBER(SEARCH($B$5,'Master Database'!$B72&amp;" "&amp;'Master Database'!$D72))),OR($B$6="(All)",'Master Database'!$C72=$B$6),OR($B$7="(All)",'Master Database'!$E72=$B$7),OR($B$8="(All)",'Master Database'!$T72=$B$8),OR($B$9="(All)",'Master Database'!$M72=$B$9),OR($B$10="(All)",'Master Database'!$V72=$B$10),OR($E$5="(All)",'Master Database'!$F72=$E$5),OR($E$6="(All)",'Master Database'!$G72=$E$6),OR($E$7="(All)",'Master Database'!$O72=$E$7),OR($E$8="(All)",'Master Database'!$P72=$E$8),OR($E$9="(All)",'Master Database'!$S72=$E$9),OR($E$10="(All)",'Master Database'!$Y72&amp;""=$E$10&amp;""),OR($H$5="(All)",'Master Database'!$BG72=$H$5),OR($H$6&lt;&gt;"Y",ISNUMBER('Master Database'!$AG72)),OR($H$7="",AND(ISNUMBER('Master Database'!$H72),N('Master Database'!$H72)&gt;=$H$7)),OR($I$7="",AND(ISNUMBER('Master Database'!$H72),N('Master Database'!$H72)&lt;=$I$7)),OR($H$8="",AND(ISNUMBER('Master Database'!$I72),N('Master Database'!$I72)&gt;=$H$8)),OR($I$8="",AND(ISNUMBER('Master Database'!$I72),N('Master Database'!$I72)&lt;=$I$8)),OR($H$9="",AND(ISNUMBER('Master Database'!$K72),N('Master Database'!$K72)&gt;=$H$9)),OR($I$9="",AND(ISNUMBER('Master Database'!$K72),N('Master Database'!$K72)&lt;=$I$9))),1,0))</f>
        <v>1</v>
      </c>
      <c r="BB72" s="65" t="n">
        <f aca="false">IF(BA72=1,COUNTIF($BA$5:BA72,1),"")</f>
        <v>68</v>
      </c>
    </row>
    <row r="73" customFormat="false" ht="15" hidden="false" customHeight="false" outlineLevel="0" collapsed="false">
      <c r="A73" s="67" t="n">
        <f aca="false">IF(58&lt;=SUM($BA$5:$BA$600),58,"")</f>
        <v>58</v>
      </c>
      <c r="B73" s="67" t="n">
        <f aca="false">IF(A73="","",MATCH(A73,$BB$5:$BB$600,0)+4)</f>
        <v>62</v>
      </c>
      <c r="C73" s="67" t="n">
        <f aca="false">IF($B73="","",IF(INDEX('Master Database'!$A$1:$A$600,$B73)="","",INDEX('Master Database'!$A$1:$A$600,$B73)))</f>
        <v>58</v>
      </c>
      <c r="D73" s="68" t="str">
        <f aca="false">IF($B73="","",IF(INDEX('Master Database'!$B$1:$B$600,$B73)="","",INDEX('Master Database'!$B$1:$B$600,$B73)))</f>
        <v>IGF Oily Sludge Pumps</v>
      </c>
      <c r="E73" s="68" t="str">
        <f aca="false">IF($B73="","",IF(INDEX('Master Database'!$C$1:$C$600,$B73)="","",INDEX('Master Database'!$C$1:$C$600,$B73)))</f>
        <v>Koopal Asmari</v>
      </c>
      <c r="F73" s="68" t="str">
        <f aca="false">IF($B73="","",IF(INDEX('Master Database'!$D$1:$D$600,$B73)="","",INDEX('Master Database'!$D$1:$D$600,$B73)))</f>
        <v>P-134 A/B</v>
      </c>
      <c r="G73" s="68" t="str">
        <f aca="false">IF($B73="","",IF(INDEX('Master Database'!$E$1:$E$600,$B73)="","",INDEX('Master Database'!$E$1:$E$600,$B73)))</f>
        <v>ROT-DRN</v>
      </c>
      <c r="H73" s="68" t="str">
        <f aca="false">IF($B73="","",IF(INDEX('Master Database'!$F$1:$F$600,$B73)="","",INDEX('Master Database'!$F$1:$F$600,$B73)))</f>
        <v>N/A (non-API 610)</v>
      </c>
      <c r="I73" s="68" t="str">
        <f aca="false">IF($B73="","",IF(INDEX('Master Database'!$G$1:$G$600,$B73)="","",INDEX('Master Database'!$G$1:$G$600,$B73)))</f>
        <v>D-2</v>
      </c>
      <c r="J73" s="69" t="str">
        <f aca="false">IF($B73="","",IF(INDEX('Master Database'!$H$1:$H$600,$B73)="","",INDEX('Master Database'!$H$1:$H$600,$B73)))</f>
        <v/>
      </c>
      <c r="K73" s="69" t="str">
        <f aca="false">IF($B73="","",IF(INDEX('Master Database'!$I$1:$I$600,$B73)="","",INDEX('Master Database'!$I$1:$I$600,$B73)))</f>
        <v/>
      </c>
      <c r="L73" s="69" t="str">
        <f aca="false">IF($B73="","",IF(INDEX('Master Database'!$K$1:$K$600,$B73)="","",INDEX('Master Database'!$K$1:$K$600,$B73)))</f>
        <v/>
      </c>
      <c r="M73" s="68" t="str">
        <f aca="false">IF($B73="","",IF(INDEX('Master Database'!$L$1:$L$600,$B73)="","",INDEX('Master Database'!$L$1:$L$600,$B73)))</f>
        <v>API 610 + IPS-G-PM-105</v>
      </c>
      <c r="N73" s="68" t="str">
        <f aca="false">IF($B73="","",IF(INDEX('Master Database'!$P$1:$P$600,$B73)="","",INDEX('Master Database'!$P$1:$P$600,$B73)))</f>
        <v>Not stated</v>
      </c>
      <c r="O73" s="68" t="str">
        <f aca="false">IF($B73="","",IF(INDEX('Master Database'!$S$1:$S$600,$B73)="","",INDEX('Master Database'!$S$1:$S$600,$B73)))</f>
        <v>Electric Motor</v>
      </c>
      <c r="P73" s="68" t="str">
        <f aca="false">IF($B73="","",IF(INDEX('Master Database'!$T$1:$T$600,$B73)="","",INDEX('Master Database'!$T$1:$T$600,$B73)))</f>
        <v>Sludge</v>
      </c>
      <c r="Q73" s="68" t="n">
        <f aca="false">IF($B73="","",IF(INDEX('Master Database'!$Y$1:$Y$600,$B73)="","",INDEX('Master Database'!$Y$1:$Y$600,$B73)))</f>
        <v>1393</v>
      </c>
      <c r="R73" s="68" t="str">
        <f aca="false">IF($B73="","",IF(INDEX('Master Database'!$Z$1:$Z$600,$B73)="","",INDEX('Master Database'!$Z$1:$Z$600,$B73)))</f>
        <v>IRR</v>
      </c>
      <c r="S73" s="70" t="str">
        <f aca="false">IF($B73="","",IF(INDEX('Master Database'!$AA$1:$AA$600,$B73)="","",INDEX('Master Database'!$AA$1:$AA$600,$B73)))</f>
        <v/>
      </c>
      <c r="T73" s="68" t="str">
        <f aca="false">IF($B73="","",IF(INDEX('Master Database'!$AE$1:$AE$600,$B73)="","",INDEX('Master Database'!$AE$1:$AE$600,$B73)))</f>
        <v>Consultant FEED MTO estimate – KPL-476 R03 (Jan 2016); pump priced inside its package, no separate price | source label: AACE Class 3</v>
      </c>
      <c r="U73" s="70" t="str">
        <f aca="false">IF($B73="","",IF(INDEX('Master Database'!$AG$1:$AG$600,$B73)="","",INDEX('Master Database'!$AG$1:$AG$600,$B73)))</f>
        <v/>
      </c>
      <c r="V73" s="70" t="str">
        <f aca="false">IF($B73="","",IF(INDEX('Master Database'!$AH$1:$AH$600,$B73)="","",INDEX('Master Database'!$AH$1:$AH$600,$B73)))</f>
        <v/>
      </c>
      <c r="W73" s="70" t="str">
        <f aca="false">IF($B73="","",IF(INDEX('Master Database'!$AI$1:$AI$600,$B73)="","",INDEX('Master Database'!$AI$1:$AI$600,$B73)))</f>
        <v/>
      </c>
      <c r="X73" s="68" t="str">
        <f aca="false">IF($B73="","",IF(INDEX('Master Database'!$BG$1:$BG$600,$B73)="","",INDEX('Master Database'!$BG$1:$BG$600,$B73)))</f>
        <v>Y</v>
      </c>
      <c r="BA73" s="65" t="n">
        <f aca="false">IF('Master Database'!$A73="",0,IF(AND(OR($B$5="",ISNUMBER(SEARCH($B$5,'Master Database'!$B73&amp;" "&amp;'Master Database'!$D73))),OR($B$6="(All)",'Master Database'!$C73=$B$6),OR($B$7="(All)",'Master Database'!$E73=$B$7),OR($B$8="(All)",'Master Database'!$T73=$B$8),OR($B$9="(All)",'Master Database'!$M73=$B$9),OR($B$10="(All)",'Master Database'!$V73=$B$10),OR($E$5="(All)",'Master Database'!$F73=$E$5),OR($E$6="(All)",'Master Database'!$G73=$E$6),OR($E$7="(All)",'Master Database'!$O73=$E$7),OR($E$8="(All)",'Master Database'!$P73=$E$8),OR($E$9="(All)",'Master Database'!$S73=$E$9),OR($E$10="(All)",'Master Database'!$Y73&amp;""=$E$10&amp;""),OR($H$5="(All)",'Master Database'!$BG73=$H$5),OR($H$6&lt;&gt;"Y",ISNUMBER('Master Database'!$AG73)),OR($H$7="",AND(ISNUMBER('Master Database'!$H73),N('Master Database'!$H73)&gt;=$H$7)),OR($I$7="",AND(ISNUMBER('Master Database'!$H73),N('Master Database'!$H73)&lt;=$I$7)),OR($H$8="",AND(ISNUMBER('Master Database'!$I73),N('Master Database'!$I73)&gt;=$H$8)),OR($I$8="",AND(ISNUMBER('Master Database'!$I73),N('Master Database'!$I73)&lt;=$I$8)),OR($H$9="",AND(ISNUMBER('Master Database'!$K73),N('Master Database'!$K73)&gt;=$H$9)),OR($I$9="",AND(ISNUMBER('Master Database'!$K73),N('Master Database'!$K73)&lt;=$I$9))),1,0))</f>
        <v>1</v>
      </c>
      <c r="BB73" s="65" t="n">
        <f aca="false">IF(BA73=1,COUNTIF($BA$5:BA73,1),"")</f>
        <v>69</v>
      </c>
    </row>
    <row r="74" customFormat="false" ht="15" hidden="false" customHeight="false" outlineLevel="0" collapsed="false">
      <c r="A74" s="67" t="n">
        <f aca="false">IF(59&lt;=SUM($BA$5:$BA$600),59,"")</f>
        <v>59</v>
      </c>
      <c r="B74" s="67" t="n">
        <f aca="false">IF(A74="","",MATCH(A74,$BB$5:$BB$600,0)+4)</f>
        <v>63</v>
      </c>
      <c r="C74" s="67" t="n">
        <f aca="false">IF($B74="","",IF(INDEX('Master Database'!$A$1:$A$600,$B74)="","",INDEX('Master Database'!$A$1:$A$600,$B74)))</f>
        <v>59</v>
      </c>
      <c r="D74" s="68" t="str">
        <f aca="false">IF($B74="","",IF(INDEX('Master Database'!$B$1:$B$600,$B74)="","",INDEX('Master Database'!$B$1:$B$600,$B74)))</f>
        <v>Salty Crude Transfer Pumps</v>
      </c>
      <c r="E74" s="68" t="str">
        <f aca="false">IF($B74="","",IF(INDEX('Master Database'!$C$1:$C$600,$B74)="","",INDEX('Master Database'!$C$1:$C$600,$B74)))</f>
        <v>Koopal Bangestan</v>
      </c>
      <c r="F74" s="68" t="str">
        <f aca="false">IF($B74="","",IF(INDEX('Master Database'!$D$1:$D$600,$B74)="","",INDEX('Master Database'!$D$1:$D$600,$B74)))</f>
        <v>P-121 A/B/C</v>
      </c>
      <c r="G74" s="68" t="str">
        <f aca="false">IF($B74="","",IF(INDEX('Master Database'!$E$1:$E$600,$B74)="","",INDEX('Master Database'!$E$1:$E$600,$B74)))</f>
        <v>ROT-CRU</v>
      </c>
      <c r="H74" s="68" t="str">
        <f aca="false">IF($B74="","",IF(INDEX('Master Database'!$F$1:$F$600,$B74)="","",INDEX('Master Database'!$F$1:$F$600,$B74)))</f>
        <v>OH2</v>
      </c>
      <c r="I74" s="68" t="str">
        <f aca="false">IF($B74="","",IF(INDEX('Master Database'!$G$1:$G$600,$B74)="","",INDEX('Master Database'!$G$1:$G$600,$B74)))</f>
        <v>D-1</v>
      </c>
      <c r="J74" s="69" t="n">
        <f aca="false">IF($B74="","",IF(INDEX('Master Database'!$H$1:$H$600,$B74)="","",INDEX('Master Database'!$H$1:$H$600,$B74)))</f>
        <v>186</v>
      </c>
      <c r="K74" s="69" t="n">
        <f aca="false">IF($B74="","",IF(INDEX('Master Database'!$I$1:$I$600,$B74)="","",INDEX('Master Database'!$I$1:$I$600,$B74)))</f>
        <v>33.4</v>
      </c>
      <c r="L74" s="69" t="n">
        <f aca="false">IF($B74="","",IF(INDEX('Master Database'!$K$1:$K$600,$B74)="","",INDEX('Master Database'!$K$1:$K$600,$B74)))</f>
        <v>28.2125340599455</v>
      </c>
      <c r="M74" s="68" t="str">
        <f aca="false">IF($B74="","",IF(INDEX('Master Database'!$L$1:$L$600,$B74)="","",INDEX('Master Database'!$L$1:$L$600,$B74)))</f>
        <v>API 610 + IPS-G-PM-105 + NACE MR0175</v>
      </c>
      <c r="N74" s="68" t="str">
        <f aca="false">IF($B74="","",IF(INDEX('Master Database'!$P$1:$P$600,$B74)="","",INDEX('Master Database'!$P$1:$P$600,$B74)))</f>
        <v>Not stated</v>
      </c>
      <c r="O74" s="68" t="str">
        <f aca="false">IF($B74="","",IF(INDEX('Master Database'!$S$1:$S$600,$B74)="","",INDEX('Master Database'!$S$1:$S$600,$B74)))</f>
        <v>Electric Motor</v>
      </c>
      <c r="P74" s="68" t="str">
        <f aca="false">IF($B74="","",IF(INDEX('Master Database'!$T$1:$T$600,$B74)="","",INDEX('Master Database'!$T$1:$T$600,$B74)))</f>
        <v>Crude Oil</v>
      </c>
      <c r="Q74" s="68" t="n">
        <f aca="false">IF($B74="","",IF(INDEX('Master Database'!$Y$1:$Y$600,$B74)="","",INDEX('Master Database'!$Y$1:$Y$600,$B74)))</f>
        <v>1393</v>
      </c>
      <c r="R74" s="68" t="str">
        <f aca="false">IF($B74="","",IF(INDEX('Master Database'!$Z$1:$Z$600,$B74)="","",INDEX('Master Database'!$Z$1:$Z$600,$B74)))</f>
        <v>EUR</v>
      </c>
      <c r="S74" s="70" t="n">
        <f aca="false">IF($B74="","",IF(INDEX('Master Database'!$AA$1:$AA$600,$B74)="","",INDEX('Master Database'!$AA$1:$AA$600,$B74)))</f>
        <v>55000</v>
      </c>
      <c r="T74" s="68" t="str">
        <f aca="false">IF($B74="","",IF(INDEX('Master Database'!$AE$1:$AE$600,$B74)="","",INDEX('Master Database'!$AE$1:$AE$600,$B74)))</f>
        <v>Consultant FEED MTO estimate – KPL-476 R03 (Jan 2016); vendor-level price in EUR, before project overhead | source label: AACE Class 3</v>
      </c>
      <c r="U74" s="70" t="n">
        <f aca="false">IF($B74="","",IF(INDEX('Master Database'!$AG$1:$AG$600,$B74)="","",INDEX('Master Database'!$AG$1:$AG$600,$B74)))</f>
        <v>74308.7348243511</v>
      </c>
      <c r="V74" s="70" t="n">
        <f aca="false">IF($B74="","",IF(INDEX('Master Database'!$AH$1:$AH$600,$B74)="","",INDEX('Master Database'!$AH$1:$AH$600,$B74)))</f>
        <v>78453.9050341546</v>
      </c>
      <c r="W74" s="70" t="n">
        <f aca="false">IF($B74="","",IF(INDEX('Master Database'!$AI$1:$AI$600,$B74)="","",INDEX('Master Database'!$AI$1:$AI$600,$B74)))</f>
        <v>51664485443.857</v>
      </c>
      <c r="X74" s="68" t="str">
        <f aca="false">IF($B74="","",IF(INDEX('Master Database'!$BG$1:$BG$600,$B74)="","",INDEX('Master Database'!$BG$1:$BG$600,$B74)))</f>
        <v>Y</v>
      </c>
      <c r="BA74" s="65" t="n">
        <f aca="false">IF('Master Database'!$A74="",0,IF(AND(OR($B$5="",ISNUMBER(SEARCH($B$5,'Master Database'!$B74&amp;" "&amp;'Master Database'!$D74))),OR($B$6="(All)",'Master Database'!$C74=$B$6),OR($B$7="(All)",'Master Database'!$E74=$B$7),OR($B$8="(All)",'Master Database'!$T74=$B$8),OR($B$9="(All)",'Master Database'!$M74=$B$9),OR($B$10="(All)",'Master Database'!$V74=$B$10),OR($E$5="(All)",'Master Database'!$F74=$E$5),OR($E$6="(All)",'Master Database'!$G74=$E$6),OR($E$7="(All)",'Master Database'!$O74=$E$7),OR($E$8="(All)",'Master Database'!$P74=$E$8),OR($E$9="(All)",'Master Database'!$S74=$E$9),OR($E$10="(All)",'Master Database'!$Y74&amp;""=$E$10&amp;""),OR($H$5="(All)",'Master Database'!$BG74=$H$5),OR($H$6&lt;&gt;"Y",ISNUMBER('Master Database'!$AG74)),OR($H$7="",AND(ISNUMBER('Master Database'!$H74),N('Master Database'!$H74)&gt;=$H$7)),OR($I$7="",AND(ISNUMBER('Master Database'!$H74),N('Master Database'!$H74)&lt;=$I$7)),OR($H$8="",AND(ISNUMBER('Master Database'!$I74),N('Master Database'!$I74)&gt;=$H$8)),OR($I$8="",AND(ISNUMBER('Master Database'!$I74),N('Master Database'!$I74)&lt;=$I$8)),OR($H$9="",AND(ISNUMBER('Master Database'!$K74),N('Master Database'!$K74)&gt;=$H$9)),OR($I$9="",AND(ISNUMBER('Master Database'!$K74),N('Master Database'!$K74)&lt;=$I$9))),1,0))</f>
        <v>1</v>
      </c>
      <c r="BB74" s="65" t="n">
        <f aca="false">IF(BA74=1,COUNTIF($BA$5:BA74,1),"")</f>
        <v>70</v>
      </c>
    </row>
    <row r="75" customFormat="false" ht="15" hidden="false" customHeight="false" outlineLevel="0" collapsed="false">
      <c r="A75" s="67" t="n">
        <f aca="false">IF(60&lt;=SUM($BA$5:$BA$600),60,"")</f>
        <v>60</v>
      </c>
      <c r="B75" s="67" t="n">
        <f aca="false">IF(A75="","",MATCH(A75,$BB$5:$BB$600,0)+4)</f>
        <v>64</v>
      </c>
      <c r="C75" s="67" t="n">
        <f aca="false">IF($B75="","",IF(INDEX('Master Database'!$A$1:$A$600,$B75)="","",INDEX('Master Database'!$A$1:$A$600,$B75)))</f>
        <v>60</v>
      </c>
      <c r="D75" s="68" t="str">
        <f aca="false">IF($B75="","",IF(INDEX('Master Database'!$B$1:$B$600,$B75)="","",INDEX('Master Database'!$B$1:$B$600,$B75)))</f>
        <v>Off-Spec. Crude Pumps</v>
      </c>
      <c r="E75" s="68" t="str">
        <f aca="false">IF($B75="","",IF(INDEX('Master Database'!$C$1:$C$600,$B75)="","",INDEX('Master Database'!$C$1:$C$600,$B75)))</f>
        <v>Koopal Bangestan</v>
      </c>
      <c r="F75" s="68" t="str">
        <f aca="false">IF($B75="","",IF(INDEX('Master Database'!$D$1:$D$600,$B75)="","",INDEX('Master Database'!$D$1:$D$600,$B75)))</f>
        <v>P-122 A/B</v>
      </c>
      <c r="G75" s="68" t="str">
        <f aca="false">IF($B75="","",IF(INDEX('Master Database'!$E$1:$E$600,$B75)="","",INDEX('Master Database'!$E$1:$E$600,$B75)))</f>
        <v>ROT-CRU</v>
      </c>
      <c r="H75" s="68" t="str">
        <f aca="false">IF($B75="","",IF(INDEX('Master Database'!$F$1:$F$600,$B75)="","",INDEX('Master Database'!$F$1:$F$600,$B75)))</f>
        <v>OH2</v>
      </c>
      <c r="I75" s="68" t="str">
        <f aca="false">IF($B75="","",IF(INDEX('Master Database'!$G$1:$G$600,$B75)="","",INDEX('Master Database'!$G$1:$G$600,$B75)))</f>
        <v>D-1</v>
      </c>
      <c r="J75" s="69" t="n">
        <f aca="false">IF($B75="","",IF(INDEX('Master Database'!$H$1:$H$600,$B75)="","",INDEX('Master Database'!$H$1:$H$600,$B75)))</f>
        <v>37</v>
      </c>
      <c r="K75" s="69" t="n">
        <f aca="false">IF($B75="","",IF(INDEX('Master Database'!$I$1:$I$600,$B75)="","",INDEX('Master Database'!$I$1:$I$600,$B75)))</f>
        <v>39</v>
      </c>
      <c r="L75" s="69" t="n">
        <f aca="false">IF($B75="","",IF(INDEX('Master Database'!$K$1:$K$600,$B75)="","",INDEX('Master Database'!$K$1:$K$600,$B75)))</f>
        <v>6.55313351498638</v>
      </c>
      <c r="M75" s="68" t="str">
        <f aca="false">IF($B75="","",IF(INDEX('Master Database'!$L$1:$L$600,$B75)="","",INDEX('Master Database'!$L$1:$L$600,$B75)))</f>
        <v>API 610 + IPS-G-PM-105 + NACE MR0175</v>
      </c>
      <c r="N75" s="68" t="str">
        <f aca="false">IF($B75="","",IF(INDEX('Master Database'!$P$1:$P$600,$B75)="","",INDEX('Master Database'!$P$1:$P$600,$B75)))</f>
        <v>Not stated</v>
      </c>
      <c r="O75" s="68" t="str">
        <f aca="false">IF($B75="","",IF(INDEX('Master Database'!$S$1:$S$600,$B75)="","",INDEX('Master Database'!$S$1:$S$600,$B75)))</f>
        <v>Electric Motor</v>
      </c>
      <c r="P75" s="68" t="str">
        <f aca="false">IF($B75="","",IF(INDEX('Master Database'!$T$1:$T$600,$B75)="","",INDEX('Master Database'!$T$1:$T$600,$B75)))</f>
        <v>Crude Oil</v>
      </c>
      <c r="Q75" s="68" t="n">
        <f aca="false">IF($B75="","",IF(INDEX('Master Database'!$Y$1:$Y$600,$B75)="","",INDEX('Master Database'!$Y$1:$Y$600,$B75)))</f>
        <v>1393</v>
      </c>
      <c r="R75" s="68" t="str">
        <f aca="false">IF($B75="","",IF(INDEX('Master Database'!$Z$1:$Z$600,$B75)="","",INDEX('Master Database'!$Z$1:$Z$600,$B75)))</f>
        <v>EUR</v>
      </c>
      <c r="S75" s="70" t="n">
        <f aca="false">IF($B75="","",IF(INDEX('Master Database'!$AA$1:$AA$600,$B75)="","",INDEX('Master Database'!$AA$1:$AA$600,$B75)))</f>
        <v>15000</v>
      </c>
      <c r="T75" s="68" t="str">
        <f aca="false">IF($B75="","",IF(INDEX('Master Database'!$AE$1:$AE$600,$B75)="","",INDEX('Master Database'!$AE$1:$AE$600,$B75)))</f>
        <v>Consultant FEED MTO estimate – KPL-476 R03 (Jan 2016); vendor-level price in EUR, before project overhead | source label: AACE Class 3</v>
      </c>
      <c r="U75" s="70" t="n">
        <f aca="false">IF($B75="","",IF(INDEX('Master Database'!$AG$1:$AG$600,$B75)="","",INDEX('Master Database'!$AG$1:$AG$600,$B75)))</f>
        <v>25000</v>
      </c>
      <c r="V75" s="70" t="n">
        <f aca="false">IF($B75="","",IF(INDEX('Master Database'!$AH$1:$AH$600,$B75)="","",INDEX('Master Database'!$AH$1:$AH$600,$B75)))</f>
        <v>26394.5770371416</v>
      </c>
      <c r="W75" s="70" t="n">
        <f aca="false">IF($B75="","",IF(INDEX('Master Database'!$AI$1:$AI$600,$B75)="","",INDEX('Master Database'!$AI$1:$AI$600,$B75)))</f>
        <v>17381700000</v>
      </c>
      <c r="X75" s="68" t="str">
        <f aca="false">IF($B75="","",IF(INDEX('Master Database'!$BG$1:$BG$600,$B75)="","",INDEX('Master Database'!$BG$1:$BG$600,$B75)))</f>
        <v>Y</v>
      </c>
      <c r="BA75" s="65" t="n">
        <f aca="false">IF('Master Database'!$A75="",0,IF(AND(OR($B$5="",ISNUMBER(SEARCH($B$5,'Master Database'!$B75&amp;" "&amp;'Master Database'!$D75))),OR($B$6="(All)",'Master Database'!$C75=$B$6),OR($B$7="(All)",'Master Database'!$E75=$B$7),OR($B$8="(All)",'Master Database'!$T75=$B$8),OR($B$9="(All)",'Master Database'!$M75=$B$9),OR($B$10="(All)",'Master Database'!$V75=$B$10),OR($E$5="(All)",'Master Database'!$F75=$E$5),OR($E$6="(All)",'Master Database'!$G75=$E$6),OR($E$7="(All)",'Master Database'!$O75=$E$7),OR($E$8="(All)",'Master Database'!$P75=$E$8),OR($E$9="(All)",'Master Database'!$S75=$E$9),OR($E$10="(All)",'Master Database'!$Y75&amp;""=$E$10&amp;""),OR($H$5="(All)",'Master Database'!$BG75=$H$5),OR($H$6&lt;&gt;"Y",ISNUMBER('Master Database'!$AG75)),OR($H$7="",AND(ISNUMBER('Master Database'!$H75),N('Master Database'!$H75)&gt;=$H$7)),OR($I$7="",AND(ISNUMBER('Master Database'!$H75),N('Master Database'!$H75)&lt;=$I$7)),OR($H$8="",AND(ISNUMBER('Master Database'!$I75),N('Master Database'!$I75)&gt;=$H$8)),OR($I$8="",AND(ISNUMBER('Master Database'!$I75),N('Master Database'!$I75)&lt;=$I$8)),OR($H$9="",AND(ISNUMBER('Master Database'!$K75),N('Master Database'!$K75)&gt;=$H$9)),OR($I$9="",AND(ISNUMBER('Master Database'!$K75),N('Master Database'!$K75)&lt;=$I$9))),1,0))</f>
        <v>1</v>
      </c>
      <c r="BB75" s="65" t="n">
        <f aca="false">IF(BA75=1,COUNTIF($BA$5:BA75,1),"")</f>
        <v>71</v>
      </c>
    </row>
    <row r="76" customFormat="false" ht="15" hidden="false" customHeight="false" outlineLevel="0" collapsed="false">
      <c r="A76" s="67" t="n">
        <f aca="false">IF(61&lt;=SUM($BA$5:$BA$600),61,"")</f>
        <v>61</v>
      </c>
      <c r="B76" s="67" t="n">
        <f aca="false">IF(A76="","",MATCH(A76,$BB$5:$BB$600,0)+4)</f>
        <v>65</v>
      </c>
      <c r="C76" s="67" t="n">
        <f aca="false">IF($B76="","",IF(INDEX('Master Database'!$A$1:$A$600,$B76)="","",INDEX('Master Database'!$A$1:$A$600,$B76)))</f>
        <v>61</v>
      </c>
      <c r="D76" s="68" t="str">
        <f aca="false">IF($B76="","",IF(INDEX('Master Database'!$B$1:$B$600,$B76)="","",INDEX('Master Database'!$B$1:$B$600,$B76)))</f>
        <v>Salty Crude Booster Pumps</v>
      </c>
      <c r="E76" s="68" t="str">
        <f aca="false">IF($B76="","",IF(INDEX('Master Database'!$C$1:$C$600,$B76)="","",INDEX('Master Database'!$C$1:$C$600,$B76)))</f>
        <v>Koopal Bangestan</v>
      </c>
      <c r="F76" s="68" t="str">
        <f aca="false">IF($B76="","",IF(INDEX('Master Database'!$D$1:$D$600,$B76)="","",INDEX('Master Database'!$D$1:$D$600,$B76)))</f>
        <v>P-124 A/B/C</v>
      </c>
      <c r="G76" s="68" t="str">
        <f aca="false">IF($B76="","",IF(INDEX('Master Database'!$E$1:$E$600,$B76)="","",INDEX('Master Database'!$E$1:$E$600,$B76)))</f>
        <v>ROT-CRU</v>
      </c>
      <c r="H76" s="68" t="str">
        <f aca="false">IF($B76="","",IF(INDEX('Master Database'!$F$1:$F$600,$B76)="","",INDEX('Master Database'!$F$1:$F$600,$B76)))</f>
        <v>OH2</v>
      </c>
      <c r="I76" s="68" t="str">
        <f aca="false">IF($B76="","",IF(INDEX('Master Database'!$G$1:$G$600,$B76)="","",INDEX('Master Database'!$G$1:$G$600,$B76)))</f>
        <v>D-1</v>
      </c>
      <c r="J76" s="69" t="n">
        <f aca="false">IF($B76="","",IF(INDEX('Master Database'!$H$1:$H$600,$B76)="","",INDEX('Master Database'!$H$1:$H$600,$B76)))</f>
        <v>173</v>
      </c>
      <c r="K76" s="69" t="n">
        <f aca="false">IF($B76="","",IF(INDEX('Master Database'!$I$1:$I$600,$B76)="","",INDEX('Master Database'!$I$1:$I$600,$B76)))</f>
        <v>186.3</v>
      </c>
      <c r="L76" s="69" t="n">
        <f aca="false">IF($B76="","",IF(INDEX('Master Database'!$K$1:$K$600,$B76)="","",INDEX('Master Database'!$K$1:$K$600,$B76)))</f>
        <v>146.366485013624</v>
      </c>
      <c r="M76" s="68" t="str">
        <f aca="false">IF($B76="","",IF(INDEX('Master Database'!$L$1:$L$600,$B76)="","",INDEX('Master Database'!$L$1:$L$600,$B76)))</f>
        <v>API 610 + IPS-G-PM-105 + NACE MR0175</v>
      </c>
      <c r="N76" s="68" t="str">
        <f aca="false">IF($B76="","",IF(INDEX('Master Database'!$P$1:$P$600,$B76)="","",INDEX('Master Database'!$P$1:$P$600,$B76)))</f>
        <v>Not stated</v>
      </c>
      <c r="O76" s="68" t="str">
        <f aca="false">IF($B76="","",IF(INDEX('Master Database'!$S$1:$S$600,$B76)="","",INDEX('Master Database'!$S$1:$S$600,$B76)))</f>
        <v>Electric Motor</v>
      </c>
      <c r="P76" s="68" t="str">
        <f aca="false">IF($B76="","",IF(INDEX('Master Database'!$T$1:$T$600,$B76)="","",INDEX('Master Database'!$T$1:$T$600,$B76)))</f>
        <v>Crude Oil</v>
      </c>
      <c r="Q76" s="68" t="n">
        <f aca="false">IF($B76="","",IF(INDEX('Master Database'!$Y$1:$Y$600,$B76)="","",INDEX('Master Database'!$Y$1:$Y$600,$B76)))</f>
        <v>1393</v>
      </c>
      <c r="R76" s="68" t="str">
        <f aca="false">IF($B76="","",IF(INDEX('Master Database'!$Z$1:$Z$600,$B76)="","",INDEX('Master Database'!$Z$1:$Z$600,$B76)))</f>
        <v>EUR</v>
      </c>
      <c r="S76" s="70" t="n">
        <f aca="false">IF($B76="","",IF(INDEX('Master Database'!$AA$1:$AA$600,$B76)="","",INDEX('Master Database'!$AA$1:$AA$600,$B76)))</f>
        <v>60000</v>
      </c>
      <c r="T76" s="68" t="str">
        <f aca="false">IF($B76="","",IF(INDEX('Master Database'!$AE$1:$AE$600,$B76)="","",INDEX('Master Database'!$AE$1:$AE$600,$B76)))</f>
        <v>Consultant FEED MTO estimate – KPL-476 R03 (Jan 2016); vendor-level price in EUR, before project overhead | source label: AACE Class 3</v>
      </c>
      <c r="U76" s="70" t="n">
        <f aca="false">IF($B76="","",IF(INDEX('Master Database'!$AG$1:$AG$600,$B76)="","",INDEX('Master Database'!$AG$1:$AG$600,$B76)))</f>
        <v>81064.0743538376</v>
      </c>
      <c r="V76" s="70" t="n">
        <f aca="false">IF($B76="","",IF(INDEX('Master Database'!$AH$1:$AH$600,$B76)="","",INDEX('Master Database'!$AH$1:$AH$600,$B76)))</f>
        <v>85586.0782190778</v>
      </c>
      <c r="W76" s="70" t="n">
        <f aca="false">IF($B76="","",IF(INDEX('Master Database'!$AI$1:$AI$600,$B76)="","",INDEX('Master Database'!$AI$1:$AI$600,$B76)))</f>
        <v>56361256847.8439</v>
      </c>
      <c r="X76" s="68" t="str">
        <f aca="false">IF($B76="","",IF(INDEX('Master Database'!$BG$1:$BG$600,$B76)="","",INDEX('Master Database'!$BG$1:$BG$600,$B76)))</f>
        <v>Y</v>
      </c>
      <c r="BA76" s="65" t="n">
        <f aca="false">IF('Master Database'!$A76="",0,IF(AND(OR($B$5="",ISNUMBER(SEARCH($B$5,'Master Database'!$B76&amp;" "&amp;'Master Database'!$D76))),OR($B$6="(All)",'Master Database'!$C76=$B$6),OR($B$7="(All)",'Master Database'!$E76=$B$7),OR($B$8="(All)",'Master Database'!$T76=$B$8),OR($B$9="(All)",'Master Database'!$M76=$B$9),OR($B$10="(All)",'Master Database'!$V76=$B$10),OR($E$5="(All)",'Master Database'!$F76=$E$5),OR($E$6="(All)",'Master Database'!$G76=$E$6),OR($E$7="(All)",'Master Database'!$O76=$E$7),OR($E$8="(All)",'Master Database'!$P76=$E$8),OR($E$9="(All)",'Master Database'!$S76=$E$9),OR($E$10="(All)",'Master Database'!$Y76&amp;""=$E$10&amp;""),OR($H$5="(All)",'Master Database'!$BG76=$H$5),OR($H$6&lt;&gt;"Y",ISNUMBER('Master Database'!$AG76)),OR($H$7="",AND(ISNUMBER('Master Database'!$H76),N('Master Database'!$H76)&gt;=$H$7)),OR($I$7="",AND(ISNUMBER('Master Database'!$H76),N('Master Database'!$H76)&lt;=$I$7)),OR($H$8="",AND(ISNUMBER('Master Database'!$I76),N('Master Database'!$I76)&gt;=$H$8)),OR($I$8="",AND(ISNUMBER('Master Database'!$I76),N('Master Database'!$I76)&lt;=$I$8)),OR($H$9="",AND(ISNUMBER('Master Database'!$K76),N('Master Database'!$K76)&gt;=$H$9)),OR($I$9="",AND(ISNUMBER('Master Database'!$K76),N('Master Database'!$K76)&lt;=$I$9))),1,0))</f>
        <v>1</v>
      </c>
      <c r="BB76" s="65" t="n">
        <f aca="false">IF(BA76=1,COUNTIF($BA$5:BA76,1),"")</f>
        <v>72</v>
      </c>
    </row>
    <row r="77" customFormat="false" ht="15" hidden="false" customHeight="false" outlineLevel="0" collapsed="false">
      <c r="A77" s="67" t="n">
        <f aca="false">IF(62&lt;=SUM($BA$5:$BA$600),62,"")</f>
        <v>62</v>
      </c>
      <c r="B77" s="67" t="n">
        <f aca="false">IF(A77="","",MATCH(A77,$BB$5:$BB$600,0)+4)</f>
        <v>66</v>
      </c>
      <c r="C77" s="67" t="n">
        <f aca="false">IF($B77="","",IF(INDEX('Master Database'!$A$1:$A$600,$B77)="","",INDEX('Master Database'!$A$1:$A$600,$B77)))</f>
        <v>62</v>
      </c>
      <c r="D77" s="68" t="str">
        <f aca="false">IF($B77="","",IF(INDEX('Master Database'!$B$1:$B$600,$B77)="","",INDEX('Master Database'!$B$1:$B$600,$B77)))</f>
        <v>Dirty Oil Pumps</v>
      </c>
      <c r="E77" s="68" t="str">
        <f aca="false">IF($B77="","",IF(INDEX('Master Database'!$C$1:$C$600,$B77)="","",INDEX('Master Database'!$C$1:$C$600,$B77)))</f>
        <v>Koopal Bangestan</v>
      </c>
      <c r="F77" s="68" t="str">
        <f aca="false">IF($B77="","",IF(INDEX('Master Database'!$D$1:$D$600,$B77)="","",INDEX('Master Database'!$D$1:$D$600,$B77)))</f>
        <v>P-145 A/B</v>
      </c>
      <c r="G77" s="68" t="str">
        <f aca="false">IF($B77="","",IF(INDEX('Master Database'!$E$1:$E$600,$B77)="","",INDEX('Master Database'!$E$1:$E$600,$B77)))</f>
        <v>ROT-DRN</v>
      </c>
      <c r="H77" s="68" t="str">
        <f aca="false">IF($B77="","",IF(INDEX('Master Database'!$F$1:$F$600,$B77)="","",INDEX('Master Database'!$F$1:$F$600,$B77)))</f>
        <v>N/A (non-API 610)</v>
      </c>
      <c r="I77" s="68" t="str">
        <f aca="false">IF($B77="","",IF(INDEX('Master Database'!$G$1:$G$600,$B77)="","",INDEX('Master Database'!$G$1:$G$600,$B77)))</f>
        <v>D-1</v>
      </c>
      <c r="J77" s="69" t="n">
        <f aca="false">IF($B77="","",IF(INDEX('Master Database'!$H$1:$H$600,$B77)="","",INDEX('Master Database'!$H$1:$H$600,$B77)))</f>
        <v>5</v>
      </c>
      <c r="K77" s="69" t="str">
        <f aca="false">IF($B77="","",IF(INDEX('Master Database'!$I$1:$I$600,$B77)="","",INDEX('Master Database'!$I$1:$I$600,$B77)))</f>
        <v/>
      </c>
      <c r="L77" s="69" t="str">
        <f aca="false">IF($B77="","",IF(INDEX('Master Database'!$K$1:$K$600,$B77)="","",INDEX('Master Database'!$K$1:$K$600,$B77)))</f>
        <v/>
      </c>
      <c r="M77" s="68" t="str">
        <f aca="false">IF($B77="","",IF(INDEX('Master Database'!$L$1:$L$600,$B77)="","",INDEX('Master Database'!$L$1:$L$600,$B77)))</f>
        <v>API 676 + IPS-M-PM-140 + NACE MR0175</v>
      </c>
      <c r="N77" s="68" t="str">
        <f aca="false">IF($B77="","",IF(INDEX('Master Database'!$P$1:$P$600,$B77)="","",INDEX('Master Database'!$P$1:$P$600,$B77)))</f>
        <v>Not stated</v>
      </c>
      <c r="O77" s="68" t="str">
        <f aca="false">IF($B77="","",IF(INDEX('Master Database'!$S$1:$S$600,$B77)="","",INDEX('Master Database'!$S$1:$S$600,$B77)))</f>
        <v>Electric Motor</v>
      </c>
      <c r="P77" s="68" t="str">
        <f aca="false">IF($B77="","",IF(INDEX('Master Database'!$T$1:$T$600,$B77)="","",INDEX('Master Database'!$T$1:$T$600,$B77)))</f>
        <v>Slop / Dirty Oil</v>
      </c>
      <c r="Q77" s="68" t="n">
        <f aca="false">IF($B77="","",IF(INDEX('Master Database'!$Y$1:$Y$600,$B77)="","",INDEX('Master Database'!$Y$1:$Y$600,$B77)))</f>
        <v>1393</v>
      </c>
      <c r="R77" s="68" t="str">
        <f aca="false">IF($B77="","",IF(INDEX('Master Database'!$Z$1:$Z$600,$B77)="","",INDEX('Master Database'!$Z$1:$Z$600,$B77)))</f>
        <v>EUR</v>
      </c>
      <c r="S77" s="70" t="n">
        <f aca="false">IF($B77="","",IF(INDEX('Master Database'!$AA$1:$AA$600,$B77)="","",INDEX('Master Database'!$AA$1:$AA$600,$B77)))</f>
        <v>10000</v>
      </c>
      <c r="T77" s="68" t="str">
        <f aca="false">IF($B77="","",IF(INDEX('Master Database'!$AE$1:$AE$600,$B77)="","",INDEX('Master Database'!$AE$1:$AE$600,$B77)))</f>
        <v>Consultant FEED MTO estimate – KPL-476 R03 (Jan 2016); vendor-level price in EUR, before project overhead | source label: AACE Class 3</v>
      </c>
      <c r="U77" s="70" t="n">
        <f aca="false">IF($B77="","",IF(INDEX('Master Database'!$AG$1:$AG$600,$B77)="","",INDEX('Master Database'!$AG$1:$AG$600,$B77)))</f>
        <v>13510.6790589729</v>
      </c>
      <c r="V77" s="70" t="n">
        <f aca="false">IF($B77="","",IF(INDEX('Master Database'!$AH$1:$AH$600,$B77)="","",INDEX('Master Database'!$AH$1:$AH$600,$B77)))</f>
        <v>14264.3463698463</v>
      </c>
      <c r="W77" s="70" t="n">
        <f aca="false">IF($B77="","",IF(INDEX('Master Database'!$AI$1:$AI$600,$B77)="","",INDEX('Master Database'!$AI$1:$AI$600,$B77)))</f>
        <v>9393542807.97399</v>
      </c>
      <c r="X77" s="68" t="str">
        <f aca="false">IF($B77="","",IF(INDEX('Master Database'!$BG$1:$BG$600,$B77)="","",INDEX('Master Database'!$BG$1:$BG$600,$B77)))</f>
        <v>Y</v>
      </c>
      <c r="BA77" s="65" t="n">
        <f aca="false">IF('Master Database'!$A77="",0,IF(AND(OR($B$5="",ISNUMBER(SEARCH($B$5,'Master Database'!$B77&amp;" "&amp;'Master Database'!$D77))),OR($B$6="(All)",'Master Database'!$C77=$B$6),OR($B$7="(All)",'Master Database'!$E77=$B$7),OR($B$8="(All)",'Master Database'!$T77=$B$8),OR($B$9="(All)",'Master Database'!$M77=$B$9),OR($B$10="(All)",'Master Database'!$V77=$B$10),OR($E$5="(All)",'Master Database'!$F77=$E$5),OR($E$6="(All)",'Master Database'!$G77=$E$6),OR($E$7="(All)",'Master Database'!$O77=$E$7),OR($E$8="(All)",'Master Database'!$P77=$E$8),OR($E$9="(All)",'Master Database'!$S77=$E$9),OR($E$10="(All)",'Master Database'!$Y77&amp;""=$E$10&amp;""),OR($H$5="(All)",'Master Database'!$BG77=$H$5),OR($H$6&lt;&gt;"Y",ISNUMBER('Master Database'!$AG77)),OR($H$7="",AND(ISNUMBER('Master Database'!$H77),N('Master Database'!$H77)&gt;=$H$7)),OR($I$7="",AND(ISNUMBER('Master Database'!$H77),N('Master Database'!$H77)&lt;=$I$7)),OR($H$8="",AND(ISNUMBER('Master Database'!$I77),N('Master Database'!$I77)&gt;=$H$8)),OR($I$8="",AND(ISNUMBER('Master Database'!$I77),N('Master Database'!$I77)&lt;=$I$8)),OR($H$9="",AND(ISNUMBER('Master Database'!$K77),N('Master Database'!$K77)&gt;=$H$9)),OR($I$9="",AND(ISNUMBER('Master Database'!$K77),N('Master Database'!$K77)&lt;=$I$9))),1,0))</f>
        <v>1</v>
      </c>
      <c r="BB77" s="65" t="n">
        <f aca="false">IF(BA77=1,COUNTIF($BA$5:BA77,1),"")</f>
        <v>73</v>
      </c>
    </row>
    <row r="78" customFormat="false" ht="15" hidden="false" customHeight="false" outlineLevel="0" collapsed="false">
      <c r="A78" s="67" t="n">
        <f aca="false">IF(63&lt;=SUM($BA$5:$BA$600),63,"")</f>
        <v>63</v>
      </c>
      <c r="B78" s="67" t="n">
        <f aca="false">IF(A78="","",MATCH(A78,$BB$5:$BB$600,0)+4)</f>
        <v>67</v>
      </c>
      <c r="C78" s="67" t="n">
        <f aca="false">IF($B78="","",IF(INDEX('Master Database'!$A$1:$A$600,$B78)="","",INDEX('Master Database'!$A$1:$A$600,$B78)))</f>
        <v>63</v>
      </c>
      <c r="D78" s="68" t="str">
        <f aca="false">IF($B78="","",IF(INDEX('Master Database'!$B$1:$B$600,$B78)="","",INDEX('Master Database'!$B$1:$B$600,$B78)))</f>
        <v>Free Water Transfer Pumps</v>
      </c>
      <c r="E78" s="68" t="str">
        <f aca="false">IF($B78="","",IF(INDEX('Master Database'!$C$1:$C$600,$B78)="","",INDEX('Master Database'!$C$1:$C$600,$B78)))</f>
        <v>Koopal Bangestan</v>
      </c>
      <c r="F78" s="68" t="str">
        <f aca="false">IF($B78="","",IF(INDEX('Master Database'!$D$1:$D$600,$B78)="","",INDEX('Master Database'!$D$1:$D$600,$B78)))</f>
        <v>P-146 A/B</v>
      </c>
      <c r="G78" s="68" t="str">
        <f aca="false">IF($B78="","",IF(INDEX('Master Database'!$E$1:$E$600,$B78)="","",INDEX('Master Database'!$E$1:$E$600,$B78)))</f>
        <v>ROT-WAT</v>
      </c>
      <c r="H78" s="68" t="str">
        <f aca="false">IF($B78="","",IF(INDEX('Master Database'!$F$1:$F$600,$B78)="","",INDEX('Master Database'!$F$1:$F$600,$B78)))</f>
        <v>OH2</v>
      </c>
      <c r="I78" s="68" t="str">
        <f aca="false">IF($B78="","",IF(INDEX('Master Database'!$G$1:$G$600,$B78)="","",INDEX('Master Database'!$G$1:$G$600,$B78)))</f>
        <v>D-2</v>
      </c>
      <c r="J78" s="69" t="n">
        <f aca="false">IF($B78="","",IF(INDEX('Master Database'!$H$1:$H$600,$B78)="","",INDEX('Master Database'!$H$1:$H$600,$B78)))</f>
        <v>14.5</v>
      </c>
      <c r="K78" s="69" t="n">
        <f aca="false">IF($B78="","",IF(INDEX('Master Database'!$I$1:$I$600,$B78)="","",INDEX('Master Database'!$I$1:$I$600,$B78)))</f>
        <v>27.6</v>
      </c>
      <c r="L78" s="69" t="n">
        <f aca="false">IF($B78="","",IF(INDEX('Master Database'!$K$1:$K$600,$B78)="","",INDEX('Master Database'!$K$1:$K$600,$B78)))</f>
        <v>1.81743869209809</v>
      </c>
      <c r="M78" s="68" t="str">
        <f aca="false">IF($B78="","",IF(INDEX('Master Database'!$L$1:$L$600,$B78)="","",INDEX('Master Database'!$L$1:$L$600,$B78)))</f>
        <v>API 610 + IPS-G-PM-105 + NACE MR0175</v>
      </c>
      <c r="N78" s="68" t="str">
        <f aca="false">IF($B78="","",IF(INDEX('Master Database'!$P$1:$P$600,$B78)="","",INDEX('Master Database'!$P$1:$P$600,$B78)))</f>
        <v>Not stated</v>
      </c>
      <c r="O78" s="68" t="str">
        <f aca="false">IF($B78="","",IF(INDEX('Master Database'!$S$1:$S$600,$B78)="","",INDEX('Master Database'!$S$1:$S$600,$B78)))</f>
        <v>Electric Motor</v>
      </c>
      <c r="P78" s="68" t="str">
        <f aca="false">IF($B78="","",IF(INDEX('Master Database'!$T$1:$T$600,$B78)="","",INDEX('Master Database'!$T$1:$T$600,$B78)))</f>
        <v>Process / Dilution Water</v>
      </c>
      <c r="Q78" s="68" t="n">
        <f aca="false">IF($B78="","",IF(INDEX('Master Database'!$Y$1:$Y$600,$B78)="","",INDEX('Master Database'!$Y$1:$Y$600,$B78)))</f>
        <v>1393</v>
      </c>
      <c r="R78" s="68" t="str">
        <f aca="false">IF($B78="","",IF(INDEX('Master Database'!$Z$1:$Z$600,$B78)="","",INDEX('Master Database'!$Z$1:$Z$600,$B78)))</f>
        <v>EUR</v>
      </c>
      <c r="S78" s="70" t="n">
        <f aca="false">IF($B78="","",IF(INDEX('Master Database'!$AA$1:$AA$600,$B78)="","",INDEX('Master Database'!$AA$1:$AA$600,$B78)))</f>
        <v>35000</v>
      </c>
      <c r="T78" s="68" t="str">
        <f aca="false">IF($B78="","",IF(INDEX('Master Database'!$AE$1:$AE$600,$B78)="","",INDEX('Master Database'!$AE$1:$AE$600,$B78)))</f>
        <v>Consultant FEED MTO estimate – KPL-476 R03 (Jan 2016); vendor-level price in EUR, before project overhead | source label: AACE Class 3</v>
      </c>
      <c r="U78" s="70" t="n">
        <f aca="false">IF($B78="","",IF(INDEX('Master Database'!$AG$1:$AG$600,$B78)="","",INDEX('Master Database'!$AG$1:$AG$600,$B78)))</f>
        <v>47287.3767064053</v>
      </c>
      <c r="V78" s="70" t="n">
        <f aca="false">IF($B78="","",IF(INDEX('Master Database'!$AH$1:$AH$600,$B78)="","",INDEX('Master Database'!$AH$1:$AH$600,$B78)))</f>
        <v>49925.212294462</v>
      </c>
      <c r="W78" s="70" t="n">
        <f aca="false">IF($B78="","",IF(INDEX('Master Database'!$AI$1:$AI$600,$B78)="","",INDEX('Master Database'!$AI$1:$AI$600,$B78)))</f>
        <v>32877399827.909</v>
      </c>
      <c r="X78" s="68" t="str">
        <f aca="false">IF($B78="","",IF(INDEX('Master Database'!$BG$1:$BG$600,$B78)="","",INDEX('Master Database'!$BG$1:$BG$600,$B78)))</f>
        <v>Y</v>
      </c>
      <c r="BA78" s="65" t="n">
        <f aca="false">IF('Master Database'!$A78="",0,IF(AND(OR($B$5="",ISNUMBER(SEARCH($B$5,'Master Database'!$B78&amp;" "&amp;'Master Database'!$D78))),OR($B$6="(All)",'Master Database'!$C78=$B$6),OR($B$7="(All)",'Master Database'!$E78=$B$7),OR($B$8="(All)",'Master Database'!$T78=$B$8),OR($B$9="(All)",'Master Database'!$M78=$B$9),OR($B$10="(All)",'Master Database'!$V78=$B$10),OR($E$5="(All)",'Master Database'!$F78=$E$5),OR($E$6="(All)",'Master Database'!$G78=$E$6),OR($E$7="(All)",'Master Database'!$O78=$E$7),OR($E$8="(All)",'Master Database'!$P78=$E$8),OR($E$9="(All)",'Master Database'!$S78=$E$9),OR($E$10="(All)",'Master Database'!$Y78&amp;""=$E$10&amp;""),OR($H$5="(All)",'Master Database'!$BG78=$H$5),OR($H$6&lt;&gt;"Y",ISNUMBER('Master Database'!$AG78)),OR($H$7="",AND(ISNUMBER('Master Database'!$H78),N('Master Database'!$H78)&gt;=$H$7)),OR($I$7="",AND(ISNUMBER('Master Database'!$H78),N('Master Database'!$H78)&lt;=$I$7)),OR($H$8="",AND(ISNUMBER('Master Database'!$I78),N('Master Database'!$I78)&gt;=$H$8)),OR($I$8="",AND(ISNUMBER('Master Database'!$I78),N('Master Database'!$I78)&lt;=$I$8)),OR($H$9="",AND(ISNUMBER('Master Database'!$K78),N('Master Database'!$K78)&gt;=$H$9)),OR($I$9="",AND(ISNUMBER('Master Database'!$K78),N('Master Database'!$K78)&lt;=$I$9))),1,0))</f>
        <v>1</v>
      </c>
      <c r="BB78" s="65" t="n">
        <f aca="false">IF(BA78=1,COUNTIF($BA$5:BA78,1),"")</f>
        <v>74</v>
      </c>
    </row>
    <row r="79" customFormat="false" ht="15" hidden="false" customHeight="false" outlineLevel="0" collapsed="false">
      <c r="A79" s="67" t="n">
        <f aca="false">IF(64&lt;=SUM($BA$5:$BA$600),64,"")</f>
        <v>64</v>
      </c>
      <c r="B79" s="67" t="n">
        <f aca="false">IF(A79="","",MATCH(A79,$BB$5:$BB$600,0)+4)</f>
        <v>68</v>
      </c>
      <c r="C79" s="67" t="n">
        <f aca="false">IF($B79="","",IF(INDEX('Master Database'!$A$1:$A$600,$B79)="","",INDEX('Master Database'!$A$1:$A$600,$B79)))</f>
        <v>64</v>
      </c>
      <c r="D79" s="68" t="str">
        <f aca="false">IF($B79="","",IF(INDEX('Master Database'!$B$1:$B$600,$B79)="","",INDEX('Master Database'!$B$1:$B$600,$B79)))</f>
        <v>Disposal Water Injection Main Pumps</v>
      </c>
      <c r="E79" s="68" t="str">
        <f aca="false">IF($B79="","",IF(INDEX('Master Database'!$C$1:$C$600,$B79)="","",INDEX('Master Database'!$C$1:$C$600,$B79)))</f>
        <v>Koopal Bangestan</v>
      </c>
      <c r="F79" s="68" t="str">
        <f aca="false">IF($B79="","",IF(INDEX('Master Database'!$D$1:$D$600,$B79)="","",INDEX('Master Database'!$D$1:$D$600,$B79)))</f>
        <v>P-147 A/B</v>
      </c>
      <c r="G79" s="68" t="str">
        <f aca="false">IF($B79="","",IF(INDEX('Master Database'!$E$1:$E$600,$B79)="","",INDEX('Master Database'!$E$1:$E$600,$B79)))</f>
        <v>ROT-INJ</v>
      </c>
      <c r="H79" s="68" t="str">
        <f aca="false">IF($B79="","",IF(INDEX('Master Database'!$F$1:$F$600,$B79)="","",INDEX('Master Database'!$F$1:$F$600,$B79)))</f>
        <v>BB3</v>
      </c>
      <c r="I79" s="68" t="str">
        <f aca="false">IF($B79="","",IF(INDEX('Master Database'!$G$1:$G$600,$B79)="","",INDEX('Master Database'!$G$1:$G$600,$B79)))</f>
        <v>D-2</v>
      </c>
      <c r="J79" s="69" t="n">
        <f aca="false">IF($B79="","",IF(INDEX('Master Database'!$H$1:$H$600,$B79)="","",INDEX('Master Database'!$H$1:$H$600,$B79)))</f>
        <v>44</v>
      </c>
      <c r="K79" s="69" t="n">
        <f aca="false">IF($B79="","",IF(INDEX('Master Database'!$I$1:$I$600,$B79)="","",INDEX('Master Database'!$I$1:$I$600,$B79)))</f>
        <v>670</v>
      </c>
      <c r="L79" s="69" t="n">
        <f aca="false">IF($B79="","",IF(INDEX('Master Database'!$K$1:$K$600,$B79)="","",INDEX('Master Database'!$K$1:$K$600,$B79)))</f>
        <v>133.878292461399</v>
      </c>
      <c r="M79" s="68" t="str">
        <f aca="false">IF($B79="","",IF(INDEX('Master Database'!$L$1:$L$600,$B79)="","",INDEX('Master Database'!$L$1:$L$600,$B79)))</f>
        <v>API 610 + IPS-G-PM-105 + NACE MR0175</v>
      </c>
      <c r="N79" s="68" t="str">
        <f aca="false">IF($B79="","",IF(INDEX('Master Database'!$P$1:$P$600,$B79)="","",INDEX('Master Database'!$P$1:$P$600,$B79)))</f>
        <v>Not stated</v>
      </c>
      <c r="O79" s="68" t="str">
        <f aca="false">IF($B79="","",IF(INDEX('Master Database'!$S$1:$S$600,$B79)="","",INDEX('Master Database'!$S$1:$S$600,$B79)))</f>
        <v>Electric Motor</v>
      </c>
      <c r="P79" s="68" t="str">
        <f aca="false">IF($B79="","",IF(INDEX('Master Database'!$T$1:$T$600,$B79)="","",INDEX('Master Database'!$T$1:$T$600,$B79)))</f>
        <v>Produced / Disposal Water</v>
      </c>
      <c r="Q79" s="68" t="n">
        <f aca="false">IF($B79="","",IF(INDEX('Master Database'!$Y$1:$Y$600,$B79)="","",INDEX('Master Database'!$Y$1:$Y$600,$B79)))</f>
        <v>1393</v>
      </c>
      <c r="R79" s="68" t="str">
        <f aca="false">IF($B79="","",IF(INDEX('Master Database'!$Z$1:$Z$600,$B79)="","",INDEX('Master Database'!$Z$1:$Z$600,$B79)))</f>
        <v>EUR</v>
      </c>
      <c r="S79" s="70" t="n">
        <f aca="false">IF($B79="","",IF(INDEX('Master Database'!$AA$1:$AA$600,$B79)="","",INDEX('Master Database'!$AA$1:$AA$600,$B79)))</f>
        <v>230000</v>
      </c>
      <c r="T79" s="68" t="str">
        <f aca="false">IF($B79="","",IF(INDEX('Master Database'!$AE$1:$AE$600,$B79)="","",INDEX('Master Database'!$AE$1:$AE$600,$B79)))</f>
        <v>Consultant FEED MTO estimate – KPL-476 R03 (Jan 2016); vendor-level price in EUR, before project overhead | source label: AACE Class 3</v>
      </c>
      <c r="U79" s="70" t="n">
        <f aca="false">IF($B79="","",IF(INDEX('Master Database'!$AG$1:$AG$600,$B79)="","",INDEX('Master Database'!$AG$1:$AG$600,$B79)))</f>
        <v>310745.618356377</v>
      </c>
      <c r="V79" s="70" t="n">
        <f aca="false">IF($B79="","",IF(INDEX('Master Database'!$AH$1:$AH$600,$B79)="","",INDEX('Master Database'!$AH$1:$AH$600,$B79)))</f>
        <v>328079.966506465</v>
      </c>
      <c r="W79" s="70" t="n">
        <f aca="false">IF($B79="","",IF(INDEX('Master Database'!$AI$1:$AI$600,$B79)="","",INDEX('Master Database'!$AI$1:$AI$600,$B79)))</f>
        <v>216051484583.402</v>
      </c>
      <c r="X79" s="68" t="str">
        <f aca="false">IF($B79="","",IF(INDEX('Master Database'!$BG$1:$BG$600,$B79)="","",INDEX('Master Database'!$BG$1:$BG$600,$B79)))</f>
        <v>Y</v>
      </c>
      <c r="BA79" s="65" t="n">
        <f aca="false">IF('Master Database'!$A79="",0,IF(AND(OR($B$5="",ISNUMBER(SEARCH($B$5,'Master Database'!$B79&amp;" "&amp;'Master Database'!$D79))),OR($B$6="(All)",'Master Database'!$C79=$B$6),OR($B$7="(All)",'Master Database'!$E79=$B$7),OR($B$8="(All)",'Master Database'!$T79=$B$8),OR($B$9="(All)",'Master Database'!$M79=$B$9),OR($B$10="(All)",'Master Database'!$V79=$B$10),OR($E$5="(All)",'Master Database'!$F79=$E$5),OR($E$6="(All)",'Master Database'!$G79=$E$6),OR($E$7="(All)",'Master Database'!$O79=$E$7),OR($E$8="(All)",'Master Database'!$P79=$E$8),OR($E$9="(All)",'Master Database'!$S79=$E$9),OR($E$10="(All)",'Master Database'!$Y79&amp;""=$E$10&amp;""),OR($H$5="(All)",'Master Database'!$BG79=$H$5),OR($H$6&lt;&gt;"Y",ISNUMBER('Master Database'!$AG79)),OR($H$7="",AND(ISNUMBER('Master Database'!$H79),N('Master Database'!$H79)&gt;=$H$7)),OR($I$7="",AND(ISNUMBER('Master Database'!$H79),N('Master Database'!$H79)&lt;=$I$7)),OR($H$8="",AND(ISNUMBER('Master Database'!$I79),N('Master Database'!$I79)&gt;=$H$8)),OR($I$8="",AND(ISNUMBER('Master Database'!$I79),N('Master Database'!$I79)&lt;=$I$8)),OR($H$9="",AND(ISNUMBER('Master Database'!$K79),N('Master Database'!$K79)&gt;=$H$9)),OR($I$9="",AND(ISNUMBER('Master Database'!$K79),N('Master Database'!$K79)&lt;=$I$9))),1,0))</f>
        <v>1</v>
      </c>
      <c r="BB79" s="65" t="n">
        <f aca="false">IF(BA79=1,COUNTIF($BA$5:BA79,1),"")</f>
        <v>75</v>
      </c>
    </row>
    <row r="80" customFormat="false" ht="15" hidden="false" customHeight="false" outlineLevel="0" collapsed="false">
      <c r="A80" s="67" t="n">
        <f aca="false">IF(65&lt;=SUM($BA$5:$BA$600),65,"")</f>
        <v>65</v>
      </c>
      <c r="B80" s="67" t="n">
        <f aca="false">IF(A80="","",MATCH(A80,$BB$5:$BB$600,0)+4)</f>
        <v>69</v>
      </c>
      <c r="C80" s="67" t="n">
        <f aca="false">IF($B80="","",IF(INDEX('Master Database'!$A$1:$A$600,$B80)="","",INDEX('Master Database'!$A$1:$A$600,$B80)))</f>
        <v>65</v>
      </c>
      <c r="D80" s="68" t="str">
        <f aca="false">IF($B80="","",IF(INDEX('Master Database'!$B$1:$B$600,$B80)="","",INDEX('Master Database'!$B$1:$B$600,$B80)))</f>
        <v>Disposal Water Injection Booster Pumps</v>
      </c>
      <c r="E80" s="68" t="str">
        <f aca="false">IF($B80="","",IF(INDEX('Master Database'!$C$1:$C$600,$B80)="","",INDEX('Master Database'!$C$1:$C$600,$B80)))</f>
        <v>Koopal Bangestan</v>
      </c>
      <c r="F80" s="68" t="str">
        <f aca="false">IF($B80="","",IF(INDEX('Master Database'!$D$1:$D$600,$B80)="","",INDEX('Master Database'!$D$1:$D$600,$B80)))</f>
        <v>P-149 A/B</v>
      </c>
      <c r="G80" s="68" t="str">
        <f aca="false">IF($B80="","",IF(INDEX('Master Database'!$E$1:$E$600,$B80)="","",INDEX('Master Database'!$E$1:$E$600,$B80)))</f>
        <v>ROT-INJ</v>
      </c>
      <c r="H80" s="68" t="str">
        <f aca="false">IF($B80="","",IF(INDEX('Master Database'!$F$1:$F$600,$B80)="","",INDEX('Master Database'!$F$1:$F$600,$B80)))</f>
        <v>BB3</v>
      </c>
      <c r="I80" s="68" t="str">
        <f aca="false">IF($B80="","",IF(INDEX('Master Database'!$G$1:$G$600,$B80)="","",INDEX('Master Database'!$G$1:$G$600,$B80)))</f>
        <v>D-2</v>
      </c>
      <c r="J80" s="69" t="n">
        <f aca="false">IF($B80="","",IF(INDEX('Master Database'!$H$1:$H$600,$B80)="","",INDEX('Master Database'!$H$1:$H$600,$B80)))</f>
        <v>22</v>
      </c>
      <c r="K80" s="69" t="n">
        <f aca="false">IF($B80="","",IF(INDEX('Master Database'!$I$1:$I$600,$B80)="","",INDEX('Master Database'!$I$1:$I$600,$B80)))</f>
        <v>331</v>
      </c>
      <c r="L80" s="69" t="n">
        <f aca="false">IF($B80="","",IF(INDEX('Master Database'!$K$1:$K$600,$B80)="","",INDEX('Master Database'!$K$1:$K$600,$B80)))</f>
        <v>33.0699364214351</v>
      </c>
      <c r="M80" s="68" t="str">
        <f aca="false">IF($B80="","",IF(INDEX('Master Database'!$L$1:$L$600,$B80)="","",INDEX('Master Database'!$L$1:$L$600,$B80)))</f>
        <v>API 610 + IPS-G-PM-105 + NACE MR0175</v>
      </c>
      <c r="N80" s="68" t="str">
        <f aca="false">IF($B80="","",IF(INDEX('Master Database'!$P$1:$P$600,$B80)="","",INDEX('Master Database'!$P$1:$P$600,$B80)))</f>
        <v>Not stated</v>
      </c>
      <c r="O80" s="68" t="str">
        <f aca="false">IF($B80="","",IF(INDEX('Master Database'!$S$1:$S$600,$B80)="","",INDEX('Master Database'!$S$1:$S$600,$B80)))</f>
        <v>Electric Motor</v>
      </c>
      <c r="P80" s="68" t="str">
        <f aca="false">IF($B80="","",IF(INDEX('Master Database'!$T$1:$T$600,$B80)="","",INDEX('Master Database'!$T$1:$T$600,$B80)))</f>
        <v>Produced / Disposal Water</v>
      </c>
      <c r="Q80" s="68" t="n">
        <f aca="false">IF($B80="","",IF(INDEX('Master Database'!$Y$1:$Y$600,$B80)="","",INDEX('Master Database'!$Y$1:$Y$600,$B80)))</f>
        <v>1393</v>
      </c>
      <c r="R80" s="68" t="str">
        <f aca="false">IF($B80="","",IF(INDEX('Master Database'!$Z$1:$Z$600,$B80)="","",INDEX('Master Database'!$Z$1:$Z$600,$B80)))</f>
        <v>EUR</v>
      </c>
      <c r="S80" s="70" t="n">
        <f aca="false">IF($B80="","",IF(INDEX('Master Database'!$AA$1:$AA$600,$B80)="","",INDEX('Master Database'!$AA$1:$AA$600,$B80)))</f>
        <v>160000</v>
      </c>
      <c r="T80" s="68" t="str">
        <f aca="false">IF($B80="","",IF(INDEX('Master Database'!$AE$1:$AE$600,$B80)="","",INDEX('Master Database'!$AE$1:$AE$600,$B80)))</f>
        <v>Consultant FEED MTO estimate – KPL-476 R03 (Jan 2016); vendor-level price in EUR, before project overhead | source label: AACE Class 3</v>
      </c>
      <c r="U80" s="70" t="n">
        <f aca="false">IF($B80="","",IF(INDEX('Master Database'!$AG$1:$AG$600,$B80)="","",INDEX('Master Database'!$AG$1:$AG$600,$B80)))</f>
        <v>216170.864943567</v>
      </c>
      <c r="V80" s="70" t="n">
        <f aca="false">IF($B80="","",IF(INDEX('Master Database'!$AH$1:$AH$600,$B80)="","",INDEX('Master Database'!$AH$1:$AH$600,$B80)))</f>
        <v>228229.541917541</v>
      </c>
      <c r="W80" s="70" t="n">
        <f aca="false">IF($B80="","",IF(INDEX('Master Database'!$AI$1:$AI$600,$B80)="","",INDEX('Master Database'!$AI$1:$AI$600,$B80)))</f>
        <v>150296684927.584</v>
      </c>
      <c r="X80" s="68" t="str">
        <f aca="false">IF($B80="","",IF(INDEX('Master Database'!$BG$1:$BG$600,$B80)="","",INDEX('Master Database'!$BG$1:$BG$600,$B80)))</f>
        <v>Y</v>
      </c>
      <c r="BA80" s="65" t="n">
        <f aca="false">IF('Master Database'!$A80="",0,IF(AND(OR($B$5="",ISNUMBER(SEARCH($B$5,'Master Database'!$B80&amp;" "&amp;'Master Database'!$D80))),OR($B$6="(All)",'Master Database'!$C80=$B$6),OR($B$7="(All)",'Master Database'!$E80=$B$7),OR($B$8="(All)",'Master Database'!$T80=$B$8),OR($B$9="(All)",'Master Database'!$M80=$B$9),OR($B$10="(All)",'Master Database'!$V80=$B$10),OR($E$5="(All)",'Master Database'!$F80=$E$5),OR($E$6="(All)",'Master Database'!$G80=$E$6),OR($E$7="(All)",'Master Database'!$O80=$E$7),OR($E$8="(All)",'Master Database'!$P80=$E$8),OR($E$9="(All)",'Master Database'!$S80=$E$9),OR($E$10="(All)",'Master Database'!$Y80&amp;""=$E$10&amp;""),OR($H$5="(All)",'Master Database'!$BG80=$H$5),OR($H$6&lt;&gt;"Y",ISNUMBER('Master Database'!$AG80)),OR($H$7="",AND(ISNUMBER('Master Database'!$H80),N('Master Database'!$H80)&gt;=$H$7)),OR($I$7="",AND(ISNUMBER('Master Database'!$H80),N('Master Database'!$H80)&lt;=$I$7)),OR($H$8="",AND(ISNUMBER('Master Database'!$I80),N('Master Database'!$I80)&gt;=$H$8)),OR($I$8="",AND(ISNUMBER('Master Database'!$I80),N('Master Database'!$I80)&lt;=$I$8)),OR($H$9="",AND(ISNUMBER('Master Database'!$K80),N('Master Database'!$K80)&gt;=$H$9)),OR($I$9="",AND(ISNUMBER('Master Database'!$K80),N('Master Database'!$K80)&lt;=$I$9))),1,0))</f>
        <v>1</v>
      </c>
      <c r="BB80" s="65" t="n">
        <f aca="false">IF(BA80=1,COUNTIF($BA$5:BA80,1),"")</f>
        <v>76</v>
      </c>
    </row>
    <row r="81" customFormat="false" ht="15" hidden="false" customHeight="false" outlineLevel="0" collapsed="false">
      <c r="A81" s="67" t="n">
        <f aca="false">IF(66&lt;=SUM($BA$5:$BA$600),66,"")</f>
        <v>66</v>
      </c>
      <c r="B81" s="67" t="n">
        <f aca="false">IF(A81="","",MATCH(A81,$BB$5:$BB$600,0)+4)</f>
        <v>70</v>
      </c>
      <c r="C81" s="67" t="n">
        <f aca="false">IF($B81="","",IF(INDEX('Master Database'!$A$1:$A$600,$B81)="","",INDEX('Master Database'!$A$1:$A$600,$B81)))</f>
        <v>66</v>
      </c>
      <c r="D81" s="68" t="str">
        <f aca="false">IF($B81="","",IF(INDEX('Master Database'!$B$1:$B$600,$B81)="","",INDEX('Master Database'!$B$1:$B$600,$B81)))</f>
        <v>Dilution Water Pumps</v>
      </c>
      <c r="E81" s="68" t="str">
        <f aca="false">IF($B81="","",IF(INDEX('Master Database'!$C$1:$C$600,$B81)="","",INDEX('Master Database'!$C$1:$C$600,$B81)))</f>
        <v>Koopal Bangestan</v>
      </c>
      <c r="F81" s="68" t="str">
        <f aca="false">IF($B81="","",IF(INDEX('Master Database'!$D$1:$D$600,$B81)="","",INDEX('Master Database'!$D$1:$D$600,$B81)))</f>
        <v>P-161 A/B</v>
      </c>
      <c r="G81" s="68" t="str">
        <f aca="false">IF($B81="","",IF(INDEX('Master Database'!$E$1:$E$600,$B81)="","",INDEX('Master Database'!$E$1:$E$600,$B81)))</f>
        <v>ROT-WAT</v>
      </c>
      <c r="H81" s="68" t="str">
        <f aca="false">IF($B81="","",IF(INDEX('Master Database'!$F$1:$F$600,$B81)="","",INDEX('Master Database'!$F$1:$F$600,$B81)))</f>
        <v>OH2</v>
      </c>
      <c r="I81" s="68" t="str">
        <f aca="false">IF($B81="","",IF(INDEX('Master Database'!$G$1:$G$600,$B81)="","",INDEX('Master Database'!$G$1:$G$600,$B81)))</f>
        <v>S-5</v>
      </c>
      <c r="J81" s="69" t="n">
        <f aca="false">IF($B81="","",IF(INDEX('Master Database'!$H$1:$H$600,$B81)="","",INDEX('Master Database'!$H$1:$H$600,$B81)))</f>
        <v>19</v>
      </c>
      <c r="K81" s="69" t="n">
        <f aca="false">IF($B81="","",IF(INDEX('Master Database'!$I$1:$I$600,$B81)="","",INDEX('Master Database'!$I$1:$I$600,$B81)))</f>
        <v>168</v>
      </c>
      <c r="L81" s="69" t="n">
        <f aca="false">IF($B81="","",IF(INDEX('Master Database'!$K$1:$K$600,$B81)="","",INDEX('Master Database'!$K$1:$K$600,$B81)))</f>
        <v>14.4959128065395</v>
      </c>
      <c r="M81" s="68" t="str">
        <f aca="false">IF($B81="","",IF(INDEX('Master Database'!$L$1:$L$600,$B81)="","",INDEX('Master Database'!$L$1:$L$600,$B81)))</f>
        <v>API 610 + IPS-G-PM-105</v>
      </c>
      <c r="N81" s="68" t="str">
        <f aca="false">IF($B81="","",IF(INDEX('Master Database'!$P$1:$P$600,$B81)="","",INDEX('Master Database'!$P$1:$P$600,$B81)))</f>
        <v>Not stated</v>
      </c>
      <c r="O81" s="68" t="str">
        <f aca="false">IF($B81="","",IF(INDEX('Master Database'!$S$1:$S$600,$B81)="","",INDEX('Master Database'!$S$1:$S$600,$B81)))</f>
        <v>Electric Motor</v>
      </c>
      <c r="P81" s="68" t="str">
        <f aca="false">IF($B81="","",IF(INDEX('Master Database'!$T$1:$T$600,$B81)="","",INDEX('Master Database'!$T$1:$T$600,$B81)))</f>
        <v>Process / Dilution Water</v>
      </c>
      <c r="Q81" s="68" t="n">
        <f aca="false">IF($B81="","",IF(INDEX('Master Database'!$Y$1:$Y$600,$B81)="","",INDEX('Master Database'!$Y$1:$Y$600,$B81)))</f>
        <v>1393</v>
      </c>
      <c r="R81" s="68" t="str">
        <f aca="false">IF($B81="","",IF(INDEX('Master Database'!$Z$1:$Z$600,$B81)="","",INDEX('Master Database'!$Z$1:$Z$600,$B81)))</f>
        <v>EUR</v>
      </c>
      <c r="S81" s="70" t="n">
        <f aca="false">IF($B81="","",IF(INDEX('Master Database'!$AA$1:$AA$600,$B81)="","",INDEX('Master Database'!$AA$1:$AA$600,$B81)))</f>
        <v>16500</v>
      </c>
      <c r="T81" s="68" t="str">
        <f aca="false">IF($B81="","",IF(INDEX('Master Database'!$AE$1:$AE$600,$B81)="","",INDEX('Master Database'!$AE$1:$AE$600,$B81)))</f>
        <v>Consultant FEED MTO estimate – KPL-476 R03 (Jan 2016); vendor-level price in EUR, before project overhead | source label: AACE Class 3</v>
      </c>
      <c r="U81" s="70" t="n">
        <f aca="false">IF($B81="","",IF(INDEX('Master Database'!$AG$1:$AG$600,$B81)="","",INDEX('Master Database'!$AG$1:$AG$600,$B81)))</f>
        <v>25000</v>
      </c>
      <c r="V81" s="70" t="n">
        <f aca="false">IF($B81="","",IF(INDEX('Master Database'!$AH$1:$AH$600,$B81)="","",INDEX('Master Database'!$AH$1:$AH$600,$B81)))</f>
        <v>26394.5770371416</v>
      </c>
      <c r="W81" s="70" t="n">
        <f aca="false">IF($B81="","",IF(INDEX('Master Database'!$AI$1:$AI$600,$B81)="","",INDEX('Master Database'!$AI$1:$AI$600,$B81)))</f>
        <v>17381700000</v>
      </c>
      <c r="X81" s="68" t="str">
        <f aca="false">IF($B81="","",IF(INDEX('Master Database'!$BG$1:$BG$600,$B81)="","",INDEX('Master Database'!$BG$1:$BG$600,$B81)))</f>
        <v>Y</v>
      </c>
      <c r="BA81" s="65" t="n">
        <f aca="false">IF('Master Database'!$A81="",0,IF(AND(OR($B$5="",ISNUMBER(SEARCH($B$5,'Master Database'!$B81&amp;" "&amp;'Master Database'!$D81))),OR($B$6="(All)",'Master Database'!$C81=$B$6),OR($B$7="(All)",'Master Database'!$E81=$B$7),OR($B$8="(All)",'Master Database'!$T81=$B$8),OR($B$9="(All)",'Master Database'!$M81=$B$9),OR($B$10="(All)",'Master Database'!$V81=$B$10),OR($E$5="(All)",'Master Database'!$F81=$E$5),OR($E$6="(All)",'Master Database'!$G81=$E$6),OR($E$7="(All)",'Master Database'!$O81=$E$7),OR($E$8="(All)",'Master Database'!$P81=$E$8),OR($E$9="(All)",'Master Database'!$S81=$E$9),OR($E$10="(All)",'Master Database'!$Y81&amp;""=$E$10&amp;""),OR($H$5="(All)",'Master Database'!$BG81=$H$5),OR($H$6&lt;&gt;"Y",ISNUMBER('Master Database'!$AG81)),OR($H$7="",AND(ISNUMBER('Master Database'!$H81),N('Master Database'!$H81)&gt;=$H$7)),OR($I$7="",AND(ISNUMBER('Master Database'!$H81),N('Master Database'!$H81)&lt;=$I$7)),OR($H$8="",AND(ISNUMBER('Master Database'!$I81),N('Master Database'!$I81)&gt;=$H$8)),OR($I$8="",AND(ISNUMBER('Master Database'!$I81),N('Master Database'!$I81)&lt;=$I$8)),OR($H$9="",AND(ISNUMBER('Master Database'!$K81),N('Master Database'!$K81)&gt;=$H$9)),OR($I$9="",AND(ISNUMBER('Master Database'!$K81),N('Master Database'!$K81)&lt;=$I$9))),1,0))</f>
        <v>1</v>
      </c>
      <c r="BB81" s="65" t="n">
        <f aca="false">IF(BA81=1,COUNTIF($BA$5:BA81,1),"")</f>
        <v>77</v>
      </c>
    </row>
    <row r="82" customFormat="false" ht="15" hidden="false" customHeight="false" outlineLevel="0" collapsed="false">
      <c r="A82" s="67" t="n">
        <f aca="false">IF(67&lt;=SUM($BA$5:$BA$600),67,"")</f>
        <v>67</v>
      </c>
      <c r="B82" s="67" t="n">
        <f aca="false">IF(A82="","",MATCH(A82,$BB$5:$BB$600,0)+4)</f>
        <v>71</v>
      </c>
      <c r="C82" s="67" t="n">
        <f aca="false">IF($B82="","",IF(INDEX('Master Database'!$A$1:$A$600,$B82)="","",INDEX('Master Database'!$A$1:$A$600,$B82)))</f>
        <v>67</v>
      </c>
      <c r="D82" s="68" t="str">
        <f aca="false">IF($B82="","",IF(INDEX('Master Database'!$B$1:$B$600,$B82)="","",INDEX('Master Database'!$B$1:$B$600,$B82)))</f>
        <v>Dilution Water Pump</v>
      </c>
      <c r="E82" s="68" t="str">
        <f aca="false">IF($B82="","",IF(INDEX('Master Database'!$C$1:$C$600,$B82)="","",INDEX('Master Database'!$C$1:$C$600,$B82)))</f>
        <v>Koopal Bangestan</v>
      </c>
      <c r="F82" s="68" t="str">
        <f aca="false">IF($B82="","",IF(INDEX('Master Database'!$D$1:$D$600,$B82)="","",INDEX('Master Database'!$D$1:$D$600,$B82)))</f>
        <v>P-162</v>
      </c>
      <c r="G82" s="68" t="str">
        <f aca="false">IF($B82="","",IF(INDEX('Master Database'!$E$1:$E$600,$B82)="","",INDEX('Master Database'!$E$1:$E$600,$B82)))</f>
        <v>ROT-WAT</v>
      </c>
      <c r="H82" s="68" t="str">
        <f aca="false">IF($B82="","",IF(INDEX('Master Database'!$F$1:$F$600,$B82)="","",INDEX('Master Database'!$F$1:$F$600,$B82)))</f>
        <v>OH2</v>
      </c>
      <c r="I82" s="68" t="str">
        <f aca="false">IF($B82="","",IF(INDEX('Master Database'!$G$1:$G$600,$B82)="","",INDEX('Master Database'!$G$1:$G$600,$B82)))</f>
        <v>S-5</v>
      </c>
      <c r="J82" s="69" t="n">
        <f aca="false">IF($B82="","",IF(INDEX('Master Database'!$H$1:$H$600,$B82)="","",INDEX('Master Database'!$H$1:$H$600,$B82)))</f>
        <v>33</v>
      </c>
      <c r="K82" s="69" t="n">
        <f aca="false">IF($B82="","",IF(INDEX('Master Database'!$I$1:$I$600,$B82)="","",INDEX('Master Database'!$I$1:$I$600,$B82)))</f>
        <v>168</v>
      </c>
      <c r="L82" s="69" t="n">
        <f aca="false">IF($B82="","",IF(INDEX('Master Database'!$K$1:$K$600,$B82)="","",INDEX('Master Database'!$K$1:$K$600,$B82)))</f>
        <v>25.1771117166213</v>
      </c>
      <c r="M82" s="68" t="str">
        <f aca="false">IF($B82="","",IF(INDEX('Master Database'!$L$1:$L$600,$B82)="","",INDEX('Master Database'!$L$1:$L$600,$B82)))</f>
        <v>API 610 + IPS-G-PM-105</v>
      </c>
      <c r="N82" s="68" t="str">
        <f aca="false">IF($B82="","",IF(INDEX('Master Database'!$P$1:$P$600,$B82)="","",INDEX('Master Database'!$P$1:$P$600,$B82)))</f>
        <v>Not stated</v>
      </c>
      <c r="O82" s="68" t="str">
        <f aca="false">IF($B82="","",IF(INDEX('Master Database'!$S$1:$S$600,$B82)="","",INDEX('Master Database'!$S$1:$S$600,$B82)))</f>
        <v>Electric Motor</v>
      </c>
      <c r="P82" s="68" t="str">
        <f aca="false">IF($B82="","",IF(INDEX('Master Database'!$T$1:$T$600,$B82)="","",INDEX('Master Database'!$T$1:$T$600,$B82)))</f>
        <v>Process / Dilution Water</v>
      </c>
      <c r="Q82" s="68" t="n">
        <f aca="false">IF($B82="","",IF(INDEX('Master Database'!$Y$1:$Y$600,$B82)="","",INDEX('Master Database'!$Y$1:$Y$600,$B82)))</f>
        <v>1393</v>
      </c>
      <c r="R82" s="68" t="str">
        <f aca="false">IF($B82="","",IF(INDEX('Master Database'!$Z$1:$Z$600,$B82)="","",INDEX('Master Database'!$Z$1:$Z$600,$B82)))</f>
        <v>EUR</v>
      </c>
      <c r="S82" s="70" t="n">
        <f aca="false">IF($B82="","",IF(INDEX('Master Database'!$AA$1:$AA$600,$B82)="","",INDEX('Master Database'!$AA$1:$AA$600,$B82)))</f>
        <v>17500</v>
      </c>
      <c r="T82" s="68" t="str">
        <f aca="false">IF($B82="","",IF(INDEX('Master Database'!$AE$1:$AE$600,$B82)="","",INDEX('Master Database'!$AE$1:$AE$600,$B82)))</f>
        <v>Consultant FEED MTO estimate – KPL-476 R03 (Jan 2016); vendor-level price in EUR, before project overhead | source label: AACE Class 3</v>
      </c>
      <c r="U82" s="70" t="n">
        <f aca="false">IF($B82="","",IF(INDEX('Master Database'!$AG$1:$AG$600,$B82)="","",INDEX('Master Database'!$AG$1:$AG$600,$B82)))</f>
        <v>25000</v>
      </c>
      <c r="V82" s="70" t="n">
        <f aca="false">IF($B82="","",IF(INDEX('Master Database'!$AH$1:$AH$600,$B82)="","",INDEX('Master Database'!$AH$1:$AH$600,$B82)))</f>
        <v>26394.5770371416</v>
      </c>
      <c r="W82" s="70" t="n">
        <f aca="false">IF($B82="","",IF(INDEX('Master Database'!$AI$1:$AI$600,$B82)="","",INDEX('Master Database'!$AI$1:$AI$600,$B82)))</f>
        <v>17381700000</v>
      </c>
      <c r="X82" s="68" t="str">
        <f aca="false">IF($B82="","",IF(INDEX('Master Database'!$BG$1:$BG$600,$B82)="","",INDEX('Master Database'!$BG$1:$BG$600,$B82)))</f>
        <v>Y</v>
      </c>
      <c r="BA82" s="65" t="n">
        <f aca="false">IF('Master Database'!$A82="",0,IF(AND(OR($B$5="",ISNUMBER(SEARCH($B$5,'Master Database'!$B82&amp;" "&amp;'Master Database'!$D82))),OR($B$6="(All)",'Master Database'!$C82=$B$6),OR($B$7="(All)",'Master Database'!$E82=$B$7),OR($B$8="(All)",'Master Database'!$T82=$B$8),OR($B$9="(All)",'Master Database'!$M82=$B$9),OR($B$10="(All)",'Master Database'!$V82=$B$10),OR($E$5="(All)",'Master Database'!$F82=$E$5),OR($E$6="(All)",'Master Database'!$G82=$E$6),OR($E$7="(All)",'Master Database'!$O82=$E$7),OR($E$8="(All)",'Master Database'!$P82=$E$8),OR($E$9="(All)",'Master Database'!$S82=$E$9),OR($E$10="(All)",'Master Database'!$Y82&amp;""=$E$10&amp;""),OR($H$5="(All)",'Master Database'!$BG82=$H$5),OR($H$6&lt;&gt;"Y",ISNUMBER('Master Database'!$AG82)),OR($H$7="",AND(ISNUMBER('Master Database'!$H82),N('Master Database'!$H82)&gt;=$H$7)),OR($I$7="",AND(ISNUMBER('Master Database'!$H82),N('Master Database'!$H82)&lt;=$I$7)),OR($H$8="",AND(ISNUMBER('Master Database'!$I82),N('Master Database'!$I82)&gt;=$H$8)),OR($I$8="",AND(ISNUMBER('Master Database'!$I82),N('Master Database'!$I82)&lt;=$I$8)),OR($H$9="",AND(ISNUMBER('Master Database'!$K82),N('Master Database'!$K82)&gt;=$H$9)),OR($I$9="",AND(ISNUMBER('Master Database'!$K82),N('Master Database'!$K82)&lt;=$I$9))),1,0))</f>
        <v>1</v>
      </c>
      <c r="BB82" s="65" t="n">
        <f aca="false">IF(BA82=1,COUNTIF($BA$5:BA82,1),"")</f>
        <v>78</v>
      </c>
    </row>
    <row r="83" customFormat="false" ht="15" hidden="false" customHeight="false" outlineLevel="0" collapsed="false">
      <c r="A83" s="67" t="n">
        <f aca="false">IF(68&lt;=SUM($BA$5:$BA$600),68,"")</f>
        <v>68</v>
      </c>
      <c r="B83" s="67" t="n">
        <f aca="false">IF(A83="","",MATCH(A83,$BB$5:$BB$600,0)+4)</f>
        <v>72</v>
      </c>
      <c r="C83" s="67" t="n">
        <f aca="false">IF($B83="","",IF(INDEX('Master Database'!$A$1:$A$600,$B83)="","",INDEX('Master Database'!$A$1:$A$600,$B83)))</f>
        <v>68</v>
      </c>
      <c r="D83" s="68" t="str">
        <f aca="false">IF($B83="","",IF(INDEX('Master Database'!$B$1:$B$600,$B83)="","",INDEX('Master Database'!$B$1:$B$600,$B83)))</f>
        <v>Flare K.O. Drum Pumps</v>
      </c>
      <c r="E83" s="68" t="str">
        <f aca="false">IF($B83="","",IF(INDEX('Master Database'!$C$1:$C$600,$B83)="","",INDEX('Master Database'!$C$1:$C$600,$B83)))</f>
        <v>Koopal Bangestan</v>
      </c>
      <c r="F83" s="68" t="str">
        <f aca="false">IF($B83="","",IF(INDEX('Master Database'!$D$1:$D$600,$B83)="","",INDEX('Master Database'!$D$1:$D$600,$B83)))</f>
        <v>P-181 A/B</v>
      </c>
      <c r="G83" s="68" t="str">
        <f aca="false">IF($B83="","",IF(INDEX('Master Database'!$E$1:$E$600,$B83)="","",INDEX('Master Database'!$E$1:$E$600,$B83)))</f>
        <v>ROT-DRN</v>
      </c>
      <c r="H83" s="68" t="str">
        <f aca="false">IF($B83="","",IF(INDEX('Master Database'!$F$1:$F$600,$B83)="","",INDEX('Master Database'!$F$1:$F$600,$B83)))</f>
        <v>OH2</v>
      </c>
      <c r="I83" s="68" t="str">
        <f aca="false">IF($B83="","",IF(INDEX('Master Database'!$G$1:$G$600,$B83)="","",INDEX('Master Database'!$G$1:$G$600,$B83)))</f>
        <v>S-6</v>
      </c>
      <c r="J83" s="69" t="n">
        <f aca="false">IF($B83="","",IF(INDEX('Master Database'!$H$1:$H$600,$B83)="","",INDEX('Master Database'!$H$1:$H$600,$B83)))</f>
        <v>15</v>
      </c>
      <c r="K83" s="69" t="n">
        <f aca="false">IF($B83="","",IF(INDEX('Master Database'!$I$1:$I$600,$B83)="","",INDEX('Master Database'!$I$1:$I$600,$B83)))</f>
        <v>52</v>
      </c>
      <c r="L83" s="69" t="n">
        <f aca="false">IF($B83="","",IF(INDEX('Master Database'!$K$1:$K$600,$B83)="","",INDEX('Master Database'!$K$1:$K$600,$B83)))</f>
        <v>3.54223433242507</v>
      </c>
      <c r="M83" s="68" t="str">
        <f aca="false">IF($B83="","",IF(INDEX('Master Database'!$L$1:$L$600,$B83)="","",INDEX('Master Database'!$L$1:$L$600,$B83)))</f>
        <v>API 610 + IPS-G-PM-105</v>
      </c>
      <c r="N83" s="68" t="str">
        <f aca="false">IF($B83="","",IF(INDEX('Master Database'!$P$1:$P$600,$B83)="","",INDEX('Master Database'!$P$1:$P$600,$B83)))</f>
        <v>Not stated</v>
      </c>
      <c r="O83" s="68" t="str">
        <f aca="false">IF($B83="","",IF(INDEX('Master Database'!$S$1:$S$600,$B83)="","",INDEX('Master Database'!$S$1:$S$600,$B83)))</f>
        <v>Electric Motor</v>
      </c>
      <c r="P83" s="68" t="str">
        <f aca="false">IF($B83="","",IF(INDEX('Master Database'!$T$1:$T$600,$B83)="","",INDEX('Master Database'!$T$1:$T$600,$B83)))</f>
        <v>Oily Water / Drain</v>
      </c>
      <c r="Q83" s="68" t="n">
        <f aca="false">IF($B83="","",IF(INDEX('Master Database'!$Y$1:$Y$600,$B83)="","",INDEX('Master Database'!$Y$1:$Y$600,$B83)))</f>
        <v>1393</v>
      </c>
      <c r="R83" s="68" t="str">
        <f aca="false">IF($B83="","",IF(INDEX('Master Database'!$Z$1:$Z$600,$B83)="","",INDEX('Master Database'!$Z$1:$Z$600,$B83)))</f>
        <v>EUR</v>
      </c>
      <c r="S83" s="70" t="n">
        <f aca="false">IF($B83="","",IF(INDEX('Master Database'!$AA$1:$AA$600,$B83)="","",INDEX('Master Database'!$AA$1:$AA$600,$B83)))</f>
        <v>10000</v>
      </c>
      <c r="T83" s="68" t="str">
        <f aca="false">IF($B83="","",IF(INDEX('Master Database'!$AE$1:$AE$600,$B83)="","",INDEX('Master Database'!$AE$1:$AE$600,$B83)))</f>
        <v>Consultant FEED MTO estimate – KPL-476 R03 (Jan 2016); vendor-level price in EUR, before project overhead | source label: AACE Class 3</v>
      </c>
      <c r="U83" s="70" t="n">
        <f aca="false">IF($B83="","",IF(INDEX('Master Database'!$AG$1:$AG$600,$B83)="","",INDEX('Master Database'!$AG$1:$AG$600,$B83)))</f>
        <v>25000</v>
      </c>
      <c r="V83" s="70" t="n">
        <f aca="false">IF($B83="","",IF(INDEX('Master Database'!$AH$1:$AH$600,$B83)="","",INDEX('Master Database'!$AH$1:$AH$600,$B83)))</f>
        <v>26394.5770371416</v>
      </c>
      <c r="W83" s="70" t="n">
        <f aca="false">IF($B83="","",IF(INDEX('Master Database'!$AI$1:$AI$600,$B83)="","",INDEX('Master Database'!$AI$1:$AI$600,$B83)))</f>
        <v>17381700000</v>
      </c>
      <c r="X83" s="68" t="str">
        <f aca="false">IF($B83="","",IF(INDEX('Master Database'!$BG$1:$BG$600,$B83)="","",INDEX('Master Database'!$BG$1:$BG$600,$B83)))</f>
        <v>Y</v>
      </c>
      <c r="BA83" s="65" t="n">
        <f aca="false">IF('Master Database'!$A83="",0,IF(AND(OR($B$5="",ISNUMBER(SEARCH($B$5,'Master Database'!$B83&amp;" "&amp;'Master Database'!$D83))),OR($B$6="(All)",'Master Database'!$C83=$B$6),OR($B$7="(All)",'Master Database'!$E83=$B$7),OR($B$8="(All)",'Master Database'!$T83=$B$8),OR($B$9="(All)",'Master Database'!$M83=$B$9),OR($B$10="(All)",'Master Database'!$V83=$B$10),OR($E$5="(All)",'Master Database'!$F83=$E$5),OR($E$6="(All)",'Master Database'!$G83=$E$6),OR($E$7="(All)",'Master Database'!$O83=$E$7),OR($E$8="(All)",'Master Database'!$P83=$E$8),OR($E$9="(All)",'Master Database'!$S83=$E$9),OR($E$10="(All)",'Master Database'!$Y83&amp;""=$E$10&amp;""),OR($H$5="(All)",'Master Database'!$BG83=$H$5),OR($H$6&lt;&gt;"Y",ISNUMBER('Master Database'!$AG83)),OR($H$7="",AND(ISNUMBER('Master Database'!$H83),N('Master Database'!$H83)&gt;=$H$7)),OR($I$7="",AND(ISNUMBER('Master Database'!$H83),N('Master Database'!$H83)&lt;=$I$7)),OR($H$8="",AND(ISNUMBER('Master Database'!$I83),N('Master Database'!$I83)&gt;=$H$8)),OR($I$8="",AND(ISNUMBER('Master Database'!$I83),N('Master Database'!$I83)&lt;=$I$8)),OR($H$9="",AND(ISNUMBER('Master Database'!$K83),N('Master Database'!$K83)&gt;=$H$9)),OR($I$9="",AND(ISNUMBER('Master Database'!$K83),N('Master Database'!$K83)&lt;=$I$9))),1,0))</f>
        <v>1</v>
      </c>
      <c r="BB83" s="65" t="n">
        <f aca="false">IF(BA83=1,COUNTIF($BA$5:BA83,1),"")</f>
        <v>79</v>
      </c>
    </row>
    <row r="84" customFormat="false" ht="15" hidden="false" customHeight="false" outlineLevel="0" collapsed="false">
      <c r="A84" s="67" t="n">
        <f aca="false">IF(69&lt;=SUM($BA$5:$BA$600),69,"")</f>
        <v>69</v>
      </c>
      <c r="B84" s="67" t="n">
        <f aca="false">IF(A84="","",MATCH(A84,$BB$5:$BB$600,0)+4)</f>
        <v>73</v>
      </c>
      <c r="C84" s="67" t="n">
        <f aca="false">IF($B84="","",IF(INDEX('Master Database'!$A$1:$A$600,$B84)="","",INDEX('Master Database'!$A$1:$A$600,$B84)))</f>
        <v>69</v>
      </c>
      <c r="D84" s="68" t="str">
        <f aca="false">IF($B84="","",IF(INDEX('Master Database'!$B$1:$B$600,$B84)="","",INDEX('Master Database'!$B$1:$B$600,$B84)))</f>
        <v>O.W.S. Oil Pumps</v>
      </c>
      <c r="E84" s="68" t="str">
        <f aca="false">IF($B84="","",IF(INDEX('Master Database'!$C$1:$C$600,$B84)="","",INDEX('Master Database'!$C$1:$C$600,$B84)))</f>
        <v>Koopal Bangestan</v>
      </c>
      <c r="F84" s="68" t="str">
        <f aca="false">IF($B84="","",IF(INDEX('Master Database'!$D$1:$D$600,$B84)="","",INDEX('Master Database'!$D$1:$D$600,$B84)))</f>
        <v>P-241 A/B</v>
      </c>
      <c r="G84" s="68" t="str">
        <f aca="false">IF($B84="","",IF(INDEX('Master Database'!$E$1:$E$600,$B84)="","",INDEX('Master Database'!$E$1:$E$600,$B84)))</f>
        <v>ROT-DRN</v>
      </c>
      <c r="H84" s="68" t="str">
        <f aca="false">IF($B84="","",IF(INDEX('Master Database'!$F$1:$F$600,$B84)="","",INDEX('Master Database'!$F$1:$F$600,$B84)))</f>
        <v>N/A (non-API 610)</v>
      </c>
      <c r="I84" s="68" t="str">
        <f aca="false">IF($B84="","",IF(INDEX('Master Database'!$G$1:$G$600,$B84)="","",INDEX('Master Database'!$G$1:$G$600,$B84)))</f>
        <v>D-1</v>
      </c>
      <c r="J84" s="69" t="n">
        <f aca="false">IF($B84="","",IF(INDEX('Master Database'!$H$1:$H$600,$B84)="","",INDEX('Master Database'!$H$1:$H$600,$B84)))</f>
        <v>5.5</v>
      </c>
      <c r="K84" s="69" t="str">
        <f aca="false">IF($B84="","",IF(INDEX('Master Database'!$I$1:$I$600,$B84)="","",INDEX('Master Database'!$I$1:$I$600,$B84)))</f>
        <v/>
      </c>
      <c r="L84" s="69" t="str">
        <f aca="false">IF($B84="","",IF(INDEX('Master Database'!$K$1:$K$600,$B84)="","",INDEX('Master Database'!$K$1:$K$600,$B84)))</f>
        <v/>
      </c>
      <c r="M84" s="68" t="str">
        <f aca="false">IF($B84="","",IF(INDEX('Master Database'!$L$1:$L$600,$B84)="","",INDEX('Master Database'!$L$1:$L$600,$B84)))</f>
        <v>API 676 + IPS-M-PM-140 + NACE MR0175</v>
      </c>
      <c r="N84" s="68" t="str">
        <f aca="false">IF($B84="","",IF(INDEX('Master Database'!$P$1:$P$600,$B84)="","",INDEX('Master Database'!$P$1:$P$600,$B84)))</f>
        <v>Not stated</v>
      </c>
      <c r="O84" s="68" t="str">
        <f aca="false">IF($B84="","",IF(INDEX('Master Database'!$S$1:$S$600,$B84)="","",INDEX('Master Database'!$S$1:$S$600,$B84)))</f>
        <v>Electric Motor</v>
      </c>
      <c r="P84" s="68" t="str">
        <f aca="false">IF($B84="","",IF(INDEX('Master Database'!$T$1:$T$600,$B84)="","",INDEX('Master Database'!$T$1:$T$600,$B84)))</f>
        <v>Slop / Dirty Oil</v>
      </c>
      <c r="Q84" s="68" t="n">
        <f aca="false">IF($B84="","",IF(INDEX('Master Database'!$Y$1:$Y$600,$B84)="","",INDEX('Master Database'!$Y$1:$Y$600,$B84)))</f>
        <v>1393</v>
      </c>
      <c r="R84" s="68" t="str">
        <f aca="false">IF($B84="","",IF(INDEX('Master Database'!$Z$1:$Z$600,$B84)="","",INDEX('Master Database'!$Z$1:$Z$600,$B84)))</f>
        <v>EUR</v>
      </c>
      <c r="S84" s="70" t="n">
        <f aca="false">IF($B84="","",IF(INDEX('Master Database'!$AA$1:$AA$600,$B84)="","",INDEX('Master Database'!$AA$1:$AA$600,$B84)))</f>
        <v>25000</v>
      </c>
      <c r="T84" s="68" t="str">
        <f aca="false">IF($B84="","",IF(INDEX('Master Database'!$AE$1:$AE$600,$B84)="","",INDEX('Master Database'!$AE$1:$AE$600,$B84)))</f>
        <v>Consultant FEED MTO estimate – KPL-476 R03 (Jan 2016); vendor-level price in EUR, before project overhead | source label: AACE Class 3</v>
      </c>
      <c r="U84" s="70" t="n">
        <f aca="false">IF($B84="","",IF(INDEX('Master Database'!$AG$1:$AG$600,$B84)="","",INDEX('Master Database'!$AG$1:$AG$600,$B84)))</f>
        <v>33776.6976474323</v>
      </c>
      <c r="V84" s="70" t="n">
        <f aca="false">IF($B84="","",IF(INDEX('Master Database'!$AH$1:$AH$600,$B84)="","",INDEX('Master Database'!$AH$1:$AH$600,$B84)))</f>
        <v>35660.8659246157</v>
      </c>
      <c r="W84" s="70" t="n">
        <f aca="false">IF($B84="","",IF(INDEX('Master Database'!$AI$1:$AI$600,$B84)="","",INDEX('Master Database'!$AI$1:$AI$600,$B84)))</f>
        <v>23483857019.935</v>
      </c>
      <c r="X84" s="68" t="str">
        <f aca="false">IF($B84="","",IF(INDEX('Master Database'!$BG$1:$BG$600,$B84)="","",INDEX('Master Database'!$BG$1:$BG$600,$B84)))</f>
        <v>Y</v>
      </c>
      <c r="BA84" s="65" t="n">
        <f aca="false">IF('Master Database'!$A84="",0,IF(AND(OR($B$5="",ISNUMBER(SEARCH($B$5,'Master Database'!$B84&amp;" "&amp;'Master Database'!$D84))),OR($B$6="(All)",'Master Database'!$C84=$B$6),OR($B$7="(All)",'Master Database'!$E84=$B$7),OR($B$8="(All)",'Master Database'!$T84=$B$8),OR($B$9="(All)",'Master Database'!$M84=$B$9),OR($B$10="(All)",'Master Database'!$V84=$B$10),OR($E$5="(All)",'Master Database'!$F84=$E$5),OR($E$6="(All)",'Master Database'!$G84=$E$6),OR($E$7="(All)",'Master Database'!$O84=$E$7),OR($E$8="(All)",'Master Database'!$P84=$E$8),OR($E$9="(All)",'Master Database'!$S84=$E$9),OR($E$10="(All)",'Master Database'!$Y84&amp;""=$E$10&amp;""),OR($H$5="(All)",'Master Database'!$BG84=$H$5),OR($H$6&lt;&gt;"Y",ISNUMBER('Master Database'!$AG84)),OR($H$7="",AND(ISNUMBER('Master Database'!$H84),N('Master Database'!$H84)&gt;=$H$7)),OR($I$7="",AND(ISNUMBER('Master Database'!$H84),N('Master Database'!$H84)&lt;=$I$7)),OR($H$8="",AND(ISNUMBER('Master Database'!$I84),N('Master Database'!$I84)&gt;=$H$8)),OR($I$8="",AND(ISNUMBER('Master Database'!$I84),N('Master Database'!$I84)&lt;=$I$8)),OR($H$9="",AND(ISNUMBER('Master Database'!$K84),N('Master Database'!$K84)&gt;=$H$9)),OR($I$9="",AND(ISNUMBER('Master Database'!$K84),N('Master Database'!$K84)&lt;=$I$9))),1,0))</f>
        <v>1</v>
      </c>
      <c r="BB84" s="65" t="n">
        <f aca="false">IF(BA84=1,COUNTIF($BA$5:BA84,1),"")</f>
        <v>80</v>
      </c>
    </row>
    <row r="85" customFormat="false" ht="15" hidden="false" customHeight="false" outlineLevel="0" collapsed="false">
      <c r="A85" s="67" t="n">
        <f aca="false">IF(70&lt;=SUM($BA$5:$BA$600),70,"")</f>
        <v>70</v>
      </c>
      <c r="B85" s="67" t="n">
        <f aca="false">IF(A85="","",MATCH(A85,$BB$5:$BB$600,0)+4)</f>
        <v>74</v>
      </c>
      <c r="C85" s="67" t="n">
        <f aca="false">IF($B85="","",IF(INDEX('Master Database'!$A$1:$A$600,$B85)="","",INDEX('Master Database'!$A$1:$A$600,$B85)))</f>
        <v>70</v>
      </c>
      <c r="D85" s="68" t="str">
        <f aca="false">IF($B85="","",IF(INDEX('Master Database'!$B$1:$B$600,$B85)="","",INDEX('Master Database'!$B$1:$B$600,$B85)))</f>
        <v>O.W.S. Water Pumps</v>
      </c>
      <c r="E85" s="68" t="str">
        <f aca="false">IF($B85="","",IF(INDEX('Master Database'!$C$1:$C$600,$B85)="","",INDEX('Master Database'!$C$1:$C$600,$B85)))</f>
        <v>Koopal Bangestan</v>
      </c>
      <c r="F85" s="68" t="str">
        <f aca="false">IF($B85="","",IF(INDEX('Master Database'!$D$1:$D$600,$B85)="","",INDEX('Master Database'!$D$1:$D$600,$B85)))</f>
        <v>P-242 A/B</v>
      </c>
      <c r="G85" s="68" t="str">
        <f aca="false">IF($B85="","",IF(INDEX('Master Database'!$E$1:$E$600,$B85)="","",INDEX('Master Database'!$E$1:$E$600,$B85)))</f>
        <v>ROT-WAT</v>
      </c>
      <c r="H85" s="68" t="str">
        <f aca="false">IF($B85="","",IF(INDEX('Master Database'!$F$1:$F$600,$B85)="","",INDEX('Master Database'!$F$1:$F$600,$B85)))</f>
        <v>OH2</v>
      </c>
      <c r="I85" s="68" t="str">
        <f aca="false">IF($B85="","",IF(INDEX('Master Database'!$G$1:$G$600,$B85)="","",INDEX('Master Database'!$G$1:$G$600,$B85)))</f>
        <v>D-2</v>
      </c>
      <c r="J85" s="69" t="n">
        <f aca="false">IF($B85="","",IF(INDEX('Master Database'!$H$1:$H$600,$B85)="","",INDEX('Master Database'!$H$1:$H$600,$B85)))</f>
        <v>11</v>
      </c>
      <c r="K85" s="69" t="n">
        <f aca="false">IF($B85="","",IF(INDEX('Master Database'!$I$1:$I$600,$B85)="","",INDEX('Master Database'!$I$1:$I$600,$B85)))</f>
        <v>28</v>
      </c>
      <c r="L85" s="69" t="n">
        <f aca="false">IF($B85="","",IF(INDEX('Master Database'!$K$1:$K$600,$B85)="","",INDEX('Master Database'!$K$1:$K$600,$B85)))</f>
        <v>1.39872842870118</v>
      </c>
      <c r="M85" s="68" t="str">
        <f aca="false">IF($B85="","",IF(INDEX('Master Database'!$L$1:$L$600,$B85)="","",INDEX('Master Database'!$L$1:$L$600,$B85)))</f>
        <v>API 610 + IPS-G-PM-105 + NACE MR0175</v>
      </c>
      <c r="N85" s="68" t="str">
        <f aca="false">IF($B85="","",IF(INDEX('Master Database'!$P$1:$P$600,$B85)="","",INDEX('Master Database'!$P$1:$P$600,$B85)))</f>
        <v>Not stated</v>
      </c>
      <c r="O85" s="68" t="str">
        <f aca="false">IF($B85="","",IF(INDEX('Master Database'!$S$1:$S$600,$B85)="","",INDEX('Master Database'!$S$1:$S$600,$B85)))</f>
        <v>Electric Motor</v>
      </c>
      <c r="P85" s="68" t="str">
        <f aca="false">IF($B85="","",IF(INDEX('Master Database'!$T$1:$T$600,$B85)="","",INDEX('Master Database'!$T$1:$T$600,$B85)))</f>
        <v>Oily Water / Drain</v>
      </c>
      <c r="Q85" s="68" t="n">
        <f aca="false">IF($B85="","",IF(INDEX('Master Database'!$Y$1:$Y$600,$B85)="","",INDEX('Master Database'!$Y$1:$Y$600,$B85)))</f>
        <v>1393</v>
      </c>
      <c r="R85" s="68" t="str">
        <f aca="false">IF($B85="","",IF(INDEX('Master Database'!$Z$1:$Z$600,$B85)="","",INDEX('Master Database'!$Z$1:$Z$600,$B85)))</f>
        <v>EUR</v>
      </c>
      <c r="S85" s="70" t="n">
        <f aca="false">IF($B85="","",IF(INDEX('Master Database'!$AA$1:$AA$600,$B85)="","",INDEX('Master Database'!$AA$1:$AA$600,$B85)))</f>
        <v>20000</v>
      </c>
      <c r="T85" s="68" t="str">
        <f aca="false">IF($B85="","",IF(INDEX('Master Database'!$AE$1:$AE$600,$B85)="","",INDEX('Master Database'!$AE$1:$AE$600,$B85)))</f>
        <v>Consultant FEED MTO estimate – KPL-476 R03 (Jan 2016); vendor-level price in EUR, before project overhead | source label: AACE Class 3</v>
      </c>
      <c r="U85" s="70" t="n">
        <f aca="false">IF($B85="","",IF(INDEX('Master Database'!$AG$1:$AG$600,$B85)="","",INDEX('Master Database'!$AG$1:$AG$600,$B85)))</f>
        <v>27021.3581179459</v>
      </c>
      <c r="V85" s="70" t="n">
        <f aca="false">IF($B85="","",IF(INDEX('Master Database'!$AH$1:$AH$600,$B85)="","",INDEX('Master Database'!$AH$1:$AH$600,$B85)))</f>
        <v>28528.6927396926</v>
      </c>
      <c r="W85" s="70" t="n">
        <f aca="false">IF($B85="","",IF(INDEX('Master Database'!$AI$1:$AI$600,$B85)="","",INDEX('Master Database'!$AI$1:$AI$600,$B85)))</f>
        <v>18787085615.948</v>
      </c>
      <c r="X85" s="68" t="str">
        <f aca="false">IF($B85="","",IF(INDEX('Master Database'!$BG$1:$BG$600,$B85)="","",INDEX('Master Database'!$BG$1:$BG$600,$B85)))</f>
        <v>Y</v>
      </c>
      <c r="BA85" s="65" t="n">
        <f aca="false">IF('Master Database'!$A85="",0,IF(AND(OR($B$5="",ISNUMBER(SEARCH($B$5,'Master Database'!$B85&amp;" "&amp;'Master Database'!$D85))),OR($B$6="(All)",'Master Database'!$C85=$B$6),OR($B$7="(All)",'Master Database'!$E85=$B$7),OR($B$8="(All)",'Master Database'!$T85=$B$8),OR($B$9="(All)",'Master Database'!$M85=$B$9),OR($B$10="(All)",'Master Database'!$V85=$B$10),OR($E$5="(All)",'Master Database'!$F85=$E$5),OR($E$6="(All)",'Master Database'!$G85=$E$6),OR($E$7="(All)",'Master Database'!$O85=$E$7),OR($E$8="(All)",'Master Database'!$P85=$E$8),OR($E$9="(All)",'Master Database'!$S85=$E$9),OR($E$10="(All)",'Master Database'!$Y85&amp;""=$E$10&amp;""),OR($H$5="(All)",'Master Database'!$BG85=$H$5),OR($H$6&lt;&gt;"Y",ISNUMBER('Master Database'!$AG85)),OR($H$7="",AND(ISNUMBER('Master Database'!$H85),N('Master Database'!$H85)&gt;=$H$7)),OR($I$7="",AND(ISNUMBER('Master Database'!$H85),N('Master Database'!$H85)&lt;=$I$7)),OR($H$8="",AND(ISNUMBER('Master Database'!$I85),N('Master Database'!$I85)&gt;=$H$8)),OR($I$8="",AND(ISNUMBER('Master Database'!$I85),N('Master Database'!$I85)&lt;=$I$8)),OR($H$9="",AND(ISNUMBER('Master Database'!$K85),N('Master Database'!$K85)&gt;=$H$9)),OR($I$9="",AND(ISNUMBER('Master Database'!$K85),N('Master Database'!$K85)&lt;=$I$9))),1,0))</f>
        <v>1</v>
      </c>
      <c r="BB85" s="65" t="n">
        <f aca="false">IF(BA85=1,COUNTIF($BA$5:BA85,1),"")</f>
        <v>81</v>
      </c>
    </row>
    <row r="86" customFormat="false" ht="15" hidden="false" customHeight="false" outlineLevel="0" collapsed="false">
      <c r="A86" s="67" t="n">
        <f aca="false">IF(71&lt;=SUM($BA$5:$BA$600),71,"")</f>
        <v>71</v>
      </c>
      <c r="B86" s="67" t="n">
        <f aca="false">IF(A86="","",MATCH(A86,$BB$5:$BB$600,0)+4)</f>
        <v>75</v>
      </c>
      <c r="C86" s="67" t="n">
        <f aca="false">IF($B86="","",IF(INDEX('Master Database'!$A$1:$A$600,$B86)="","",INDEX('Master Database'!$A$1:$A$600,$B86)))</f>
        <v>71</v>
      </c>
      <c r="D86" s="68" t="str">
        <f aca="false">IF($B86="","",IF(INDEX('Master Database'!$B$1:$B$600,$B86)="","",INDEX('Master Database'!$B$1:$B$600,$B86)))</f>
        <v>Closed Drain Drum Pumps</v>
      </c>
      <c r="E86" s="68" t="str">
        <f aca="false">IF($B86="","",IF(INDEX('Master Database'!$C$1:$C$600,$B86)="","",INDEX('Master Database'!$C$1:$C$600,$B86)))</f>
        <v>Koopal Bangestan</v>
      </c>
      <c r="F86" s="68" t="str">
        <f aca="false">IF($B86="","",IF(INDEX('Master Database'!$D$1:$D$600,$B86)="","",INDEX('Master Database'!$D$1:$D$600,$B86)))</f>
        <v>P-244 A/B</v>
      </c>
      <c r="G86" s="68" t="str">
        <f aca="false">IF($B86="","",IF(INDEX('Master Database'!$E$1:$E$600,$B86)="","",INDEX('Master Database'!$E$1:$E$600,$B86)))</f>
        <v>ROT-DRN</v>
      </c>
      <c r="H86" s="68" t="str">
        <f aca="false">IF($B86="","",IF(INDEX('Master Database'!$F$1:$F$600,$B86)="","",INDEX('Master Database'!$F$1:$F$600,$B86)))</f>
        <v>OH2</v>
      </c>
      <c r="I86" s="68" t="str">
        <f aca="false">IF($B86="","",IF(INDEX('Master Database'!$G$1:$G$600,$B86)="","",INDEX('Master Database'!$G$1:$G$600,$B86)))</f>
        <v>D-2</v>
      </c>
      <c r="J86" s="69" t="n">
        <f aca="false">IF($B86="","",IF(INDEX('Master Database'!$H$1:$H$600,$B86)="","",INDEX('Master Database'!$H$1:$H$600,$B86)))</f>
        <v>15</v>
      </c>
      <c r="K86" s="69" t="n">
        <f aca="false">IF($B86="","",IF(INDEX('Master Database'!$I$1:$I$600,$B86)="","",INDEX('Master Database'!$I$1:$I$600,$B86)))</f>
        <v>61</v>
      </c>
      <c r="L86" s="69" t="n">
        <f aca="false">IF($B86="","",IF(INDEX('Master Database'!$K$1:$K$600,$B86)="","",INDEX('Master Database'!$K$1:$K$600,$B86)))</f>
        <v>4.15531335149864</v>
      </c>
      <c r="M86" s="68" t="str">
        <f aca="false">IF($B86="","",IF(INDEX('Master Database'!$L$1:$L$600,$B86)="","",INDEX('Master Database'!$L$1:$L$600,$B86)))</f>
        <v>API 610 + IPS-G-PM-105 + NACE MR0175</v>
      </c>
      <c r="N86" s="68" t="str">
        <f aca="false">IF($B86="","",IF(INDEX('Master Database'!$P$1:$P$600,$B86)="","",INDEX('Master Database'!$P$1:$P$600,$B86)))</f>
        <v>Not stated</v>
      </c>
      <c r="O86" s="68" t="str">
        <f aca="false">IF($B86="","",IF(INDEX('Master Database'!$S$1:$S$600,$B86)="","",INDEX('Master Database'!$S$1:$S$600,$B86)))</f>
        <v>Electric Motor</v>
      </c>
      <c r="P86" s="68" t="str">
        <f aca="false">IF($B86="","",IF(INDEX('Master Database'!$T$1:$T$600,$B86)="","",INDEX('Master Database'!$T$1:$T$600,$B86)))</f>
        <v>Oily Water / Drain</v>
      </c>
      <c r="Q86" s="68" t="n">
        <f aca="false">IF($B86="","",IF(INDEX('Master Database'!$Y$1:$Y$600,$B86)="","",INDEX('Master Database'!$Y$1:$Y$600,$B86)))</f>
        <v>1393</v>
      </c>
      <c r="R86" s="68" t="str">
        <f aca="false">IF($B86="","",IF(INDEX('Master Database'!$Z$1:$Z$600,$B86)="","",INDEX('Master Database'!$Z$1:$Z$600,$B86)))</f>
        <v>EUR</v>
      </c>
      <c r="S86" s="70" t="n">
        <f aca="false">IF($B86="","",IF(INDEX('Master Database'!$AA$1:$AA$600,$B86)="","",INDEX('Master Database'!$AA$1:$AA$600,$B86)))</f>
        <v>17500</v>
      </c>
      <c r="T86" s="68" t="str">
        <f aca="false">IF($B86="","",IF(INDEX('Master Database'!$AE$1:$AE$600,$B86)="","",INDEX('Master Database'!$AE$1:$AE$600,$B86)))</f>
        <v>Consultant FEED MTO estimate – KPL-476 R03 (Jan 2016); vendor-level price in EUR, before project overhead | source label: AACE Class 3</v>
      </c>
      <c r="U86" s="70" t="n">
        <f aca="false">IF($B86="","",IF(INDEX('Master Database'!$AG$1:$AG$600,$B86)="","",INDEX('Master Database'!$AG$1:$AG$600,$B86)))</f>
        <v>25000</v>
      </c>
      <c r="V86" s="70" t="n">
        <f aca="false">IF($B86="","",IF(INDEX('Master Database'!$AH$1:$AH$600,$B86)="","",INDEX('Master Database'!$AH$1:$AH$600,$B86)))</f>
        <v>26394.5770371416</v>
      </c>
      <c r="W86" s="70" t="n">
        <f aca="false">IF($B86="","",IF(INDEX('Master Database'!$AI$1:$AI$600,$B86)="","",INDEX('Master Database'!$AI$1:$AI$600,$B86)))</f>
        <v>17381700000</v>
      </c>
      <c r="X86" s="68" t="str">
        <f aca="false">IF($B86="","",IF(INDEX('Master Database'!$BG$1:$BG$600,$B86)="","",INDEX('Master Database'!$BG$1:$BG$600,$B86)))</f>
        <v>Y</v>
      </c>
      <c r="BA86" s="65" t="n">
        <f aca="false">IF('Master Database'!$A86="",0,IF(AND(OR($B$5="",ISNUMBER(SEARCH($B$5,'Master Database'!$B86&amp;" "&amp;'Master Database'!$D86))),OR($B$6="(All)",'Master Database'!$C86=$B$6),OR($B$7="(All)",'Master Database'!$E86=$B$7),OR($B$8="(All)",'Master Database'!$T86=$B$8),OR($B$9="(All)",'Master Database'!$M86=$B$9),OR($B$10="(All)",'Master Database'!$V86=$B$10),OR($E$5="(All)",'Master Database'!$F86=$E$5),OR($E$6="(All)",'Master Database'!$G86=$E$6),OR($E$7="(All)",'Master Database'!$O86=$E$7),OR($E$8="(All)",'Master Database'!$P86=$E$8),OR($E$9="(All)",'Master Database'!$S86=$E$9),OR($E$10="(All)",'Master Database'!$Y86&amp;""=$E$10&amp;""),OR($H$5="(All)",'Master Database'!$BG86=$H$5),OR($H$6&lt;&gt;"Y",ISNUMBER('Master Database'!$AG86)),OR($H$7="",AND(ISNUMBER('Master Database'!$H86),N('Master Database'!$H86)&gt;=$H$7)),OR($I$7="",AND(ISNUMBER('Master Database'!$H86),N('Master Database'!$H86)&lt;=$I$7)),OR($H$8="",AND(ISNUMBER('Master Database'!$I86),N('Master Database'!$I86)&gt;=$H$8)),OR($I$8="",AND(ISNUMBER('Master Database'!$I86),N('Master Database'!$I86)&lt;=$I$8)),OR($H$9="",AND(ISNUMBER('Master Database'!$K86),N('Master Database'!$K86)&gt;=$H$9)),OR($I$9="",AND(ISNUMBER('Master Database'!$K86),N('Master Database'!$K86)&lt;=$I$9))),1,0))</f>
        <v>1</v>
      </c>
      <c r="BB86" s="65" t="n">
        <f aca="false">IF(BA86=1,COUNTIF($BA$5:BA86,1),"")</f>
        <v>82</v>
      </c>
    </row>
    <row r="87" customFormat="false" ht="15" hidden="false" customHeight="false" outlineLevel="0" collapsed="false">
      <c r="A87" s="67" t="n">
        <f aca="false">IF(72&lt;=SUM($BA$5:$BA$600),72,"")</f>
        <v>72</v>
      </c>
      <c r="B87" s="67" t="n">
        <f aca="false">IF(A87="","",MATCH(A87,$BB$5:$BB$600,0)+4)</f>
        <v>76</v>
      </c>
      <c r="C87" s="67" t="n">
        <f aca="false">IF($B87="","",IF(INDEX('Master Database'!$A$1:$A$600,$B87)="","",INDEX('Master Database'!$A$1:$A$600,$B87)))</f>
        <v>72</v>
      </c>
      <c r="D87" s="68" t="str">
        <f aca="false">IF($B87="","",IF(INDEX('Master Database'!$B$1:$B$600,$B87)="","",INDEX('Master Database'!$B$1:$B$600,$B87)))</f>
        <v>Desalters Recycle Pumps</v>
      </c>
      <c r="E87" s="68" t="str">
        <f aca="false">IF($B87="","",IF(INDEX('Master Database'!$C$1:$C$600,$B87)="","",INDEX('Master Database'!$C$1:$C$600,$B87)))</f>
        <v>Koopal Bangestan</v>
      </c>
      <c r="F87" s="68" t="str">
        <f aca="false">IF($B87="","",IF(INDEX('Master Database'!$D$1:$D$600,$B87)="","",INDEX('Master Database'!$D$1:$D$600,$B87)))</f>
        <v>P-123 A/B</v>
      </c>
      <c r="G87" s="68" t="str">
        <f aca="false">IF($B87="","",IF(INDEX('Master Database'!$E$1:$E$600,$B87)="","",INDEX('Master Database'!$E$1:$E$600,$B87)))</f>
        <v>ROT-WAT</v>
      </c>
      <c r="H87" s="68" t="str">
        <f aca="false">IF($B87="","",IF(INDEX('Master Database'!$F$1:$F$600,$B87)="","",INDEX('Master Database'!$F$1:$F$600,$B87)))</f>
        <v>OH2</v>
      </c>
      <c r="I87" s="68" t="str">
        <f aca="false">IF($B87="","",IF(INDEX('Master Database'!$G$1:$G$600,$B87)="","",INDEX('Master Database'!$G$1:$G$600,$B87)))</f>
        <v>D-2</v>
      </c>
      <c r="J87" s="69" t="n">
        <f aca="false">IF($B87="","",IF(INDEX('Master Database'!$H$1:$H$600,$B87)="","",INDEX('Master Database'!$H$1:$H$600,$B87)))</f>
        <v>15</v>
      </c>
      <c r="K87" s="69" t="n">
        <f aca="false">IF($B87="","",IF(INDEX('Master Database'!$I$1:$I$600,$B87)="","",INDEX('Master Database'!$I$1:$I$600,$B87)))</f>
        <v>44.9</v>
      </c>
      <c r="L87" s="69" t="n">
        <f aca="false">IF($B87="","",IF(INDEX('Master Database'!$K$1:$K$600,$B87)="","",INDEX('Master Database'!$K$1:$K$600,$B87)))</f>
        <v>3.05858310626703</v>
      </c>
      <c r="M87" s="68" t="str">
        <f aca="false">IF($B87="","",IF(INDEX('Master Database'!$L$1:$L$600,$B87)="","",INDEX('Master Database'!$L$1:$L$600,$B87)))</f>
        <v>API 610 + IPS-G-PM-105 + NACE MR0175</v>
      </c>
      <c r="N87" s="68" t="str">
        <f aca="false">IF($B87="","",IF(INDEX('Master Database'!$P$1:$P$600,$B87)="","",INDEX('Master Database'!$P$1:$P$600,$B87)))</f>
        <v>Not stated</v>
      </c>
      <c r="O87" s="68" t="str">
        <f aca="false">IF($B87="","",IF(INDEX('Master Database'!$S$1:$S$600,$B87)="","",INDEX('Master Database'!$S$1:$S$600,$B87)))</f>
        <v>Electric Motor</v>
      </c>
      <c r="P87" s="68" t="str">
        <f aca="false">IF($B87="","",IF(INDEX('Master Database'!$T$1:$T$600,$B87)="","",INDEX('Master Database'!$T$1:$T$600,$B87)))</f>
        <v>Process / Dilution Water</v>
      </c>
      <c r="Q87" s="68" t="n">
        <f aca="false">IF($B87="","",IF(INDEX('Master Database'!$Y$1:$Y$600,$B87)="","",INDEX('Master Database'!$Y$1:$Y$600,$B87)))</f>
        <v>1393</v>
      </c>
      <c r="R87" s="68" t="str">
        <f aca="false">IF($B87="","",IF(INDEX('Master Database'!$Z$1:$Z$600,$B87)="","",INDEX('Master Database'!$Z$1:$Z$600,$B87)))</f>
        <v>IRR</v>
      </c>
      <c r="S87" s="70" t="str">
        <f aca="false">IF($B87="","",IF(INDEX('Master Database'!$AA$1:$AA$600,$B87)="","",INDEX('Master Database'!$AA$1:$AA$600,$B87)))</f>
        <v/>
      </c>
      <c r="T87" s="68" t="str">
        <f aca="false">IF($B87="","",IF(INDEX('Master Database'!$AE$1:$AE$600,$B87)="","",INDEX('Master Database'!$AE$1:$AE$600,$B87)))</f>
        <v>Consultant FEED MTO estimate – KPL-476 R03 (Jan 2016); pump priced inside its package, no separate price | source label: AACE Class 3</v>
      </c>
      <c r="U87" s="70" t="str">
        <f aca="false">IF($B87="","",IF(INDEX('Master Database'!$AG$1:$AG$600,$B87)="","",INDEX('Master Database'!$AG$1:$AG$600,$B87)))</f>
        <v/>
      </c>
      <c r="V87" s="70" t="str">
        <f aca="false">IF($B87="","",IF(INDEX('Master Database'!$AH$1:$AH$600,$B87)="","",INDEX('Master Database'!$AH$1:$AH$600,$B87)))</f>
        <v/>
      </c>
      <c r="W87" s="70" t="str">
        <f aca="false">IF($B87="","",IF(INDEX('Master Database'!$AI$1:$AI$600,$B87)="","",INDEX('Master Database'!$AI$1:$AI$600,$B87)))</f>
        <v/>
      </c>
      <c r="X87" s="68" t="str">
        <f aca="false">IF($B87="","",IF(INDEX('Master Database'!$BG$1:$BG$600,$B87)="","",INDEX('Master Database'!$BG$1:$BG$600,$B87)))</f>
        <v>Y</v>
      </c>
      <c r="BA87" s="65" t="n">
        <f aca="false">IF('Master Database'!$A87="",0,IF(AND(OR($B$5="",ISNUMBER(SEARCH($B$5,'Master Database'!$B87&amp;" "&amp;'Master Database'!$D87))),OR($B$6="(All)",'Master Database'!$C87=$B$6),OR($B$7="(All)",'Master Database'!$E87=$B$7),OR($B$8="(All)",'Master Database'!$T87=$B$8),OR($B$9="(All)",'Master Database'!$M87=$B$9),OR($B$10="(All)",'Master Database'!$V87=$B$10),OR($E$5="(All)",'Master Database'!$F87=$E$5),OR($E$6="(All)",'Master Database'!$G87=$E$6),OR($E$7="(All)",'Master Database'!$O87=$E$7),OR($E$8="(All)",'Master Database'!$P87=$E$8),OR($E$9="(All)",'Master Database'!$S87=$E$9),OR($E$10="(All)",'Master Database'!$Y87&amp;""=$E$10&amp;""),OR($H$5="(All)",'Master Database'!$BG87=$H$5),OR($H$6&lt;&gt;"Y",ISNUMBER('Master Database'!$AG87)),OR($H$7="",AND(ISNUMBER('Master Database'!$H87),N('Master Database'!$H87)&gt;=$H$7)),OR($I$7="",AND(ISNUMBER('Master Database'!$H87),N('Master Database'!$H87)&lt;=$I$7)),OR($H$8="",AND(ISNUMBER('Master Database'!$I87),N('Master Database'!$I87)&gt;=$H$8)),OR($I$8="",AND(ISNUMBER('Master Database'!$I87),N('Master Database'!$I87)&lt;=$I$8)),OR($H$9="",AND(ISNUMBER('Master Database'!$K87),N('Master Database'!$K87)&gt;=$H$9)),OR($I$9="",AND(ISNUMBER('Master Database'!$K87),N('Master Database'!$K87)&lt;=$I$9))),1,0))</f>
        <v>1</v>
      </c>
      <c r="BB87" s="65" t="n">
        <f aca="false">IF(BA87=1,COUNTIF($BA$5:BA87,1),"")</f>
        <v>83</v>
      </c>
    </row>
    <row r="88" customFormat="false" ht="15" hidden="false" customHeight="false" outlineLevel="0" collapsed="false">
      <c r="A88" s="67" t="n">
        <f aca="false">IF(73&lt;=SUM($BA$5:$BA$600),73,"")</f>
        <v>73</v>
      </c>
      <c r="B88" s="67" t="n">
        <f aca="false">IF(A88="","",MATCH(A88,$BB$5:$BB$600,0)+4)</f>
        <v>77</v>
      </c>
      <c r="C88" s="67" t="n">
        <f aca="false">IF($B88="","",IF(INDEX('Master Database'!$A$1:$A$600,$B88)="","",INDEX('Master Database'!$A$1:$A$600,$B88)))</f>
        <v>73</v>
      </c>
      <c r="D88" s="68" t="str">
        <f aca="false">IF($B88="","",IF(INDEX('Master Database'!$B$1:$B$600,$B88)="","",INDEX('Master Database'!$B$1:$B$600,$B88)))</f>
        <v>IGF Water Recycle Pumps</v>
      </c>
      <c r="E88" s="68" t="str">
        <f aca="false">IF($B88="","",IF(INDEX('Master Database'!$C$1:$C$600,$B88)="","",INDEX('Master Database'!$C$1:$C$600,$B88)))</f>
        <v>Koopal Bangestan</v>
      </c>
      <c r="F88" s="68" t="str">
        <f aca="false">IF($B88="","",IF(INDEX('Master Database'!$D$1:$D$600,$B88)="","",INDEX('Master Database'!$D$1:$D$600,$B88)))</f>
        <v>P-140 A/B</v>
      </c>
      <c r="G88" s="68" t="str">
        <f aca="false">IF($B88="","",IF(INDEX('Master Database'!$E$1:$E$600,$B88)="","",INDEX('Master Database'!$E$1:$E$600,$B88)))</f>
        <v>ROT-WAT</v>
      </c>
      <c r="H88" s="68" t="str">
        <f aca="false">IF($B88="","",IF(INDEX('Master Database'!$F$1:$F$600,$B88)="","",INDEX('Master Database'!$F$1:$F$600,$B88)))</f>
        <v>OH2</v>
      </c>
      <c r="I88" s="68" t="str">
        <f aca="false">IF($B88="","",IF(INDEX('Master Database'!$G$1:$G$600,$B88)="","",INDEX('Master Database'!$G$1:$G$600,$B88)))</f>
        <v>D-2</v>
      </c>
      <c r="J88" s="69" t="str">
        <f aca="false">IF($B88="","",IF(INDEX('Master Database'!$H$1:$H$600,$B88)="","",INDEX('Master Database'!$H$1:$H$600,$B88)))</f>
        <v/>
      </c>
      <c r="K88" s="69" t="str">
        <f aca="false">IF($B88="","",IF(INDEX('Master Database'!$I$1:$I$600,$B88)="","",INDEX('Master Database'!$I$1:$I$600,$B88)))</f>
        <v/>
      </c>
      <c r="L88" s="69" t="str">
        <f aca="false">IF($B88="","",IF(INDEX('Master Database'!$K$1:$K$600,$B88)="","",INDEX('Master Database'!$K$1:$K$600,$B88)))</f>
        <v/>
      </c>
      <c r="M88" s="68" t="str">
        <f aca="false">IF($B88="","",IF(INDEX('Master Database'!$L$1:$L$600,$B88)="","",INDEX('Master Database'!$L$1:$L$600,$B88)))</f>
        <v>API 610 + IPS-G-PM-105</v>
      </c>
      <c r="N88" s="68" t="str">
        <f aca="false">IF($B88="","",IF(INDEX('Master Database'!$P$1:$P$600,$B88)="","",INDEX('Master Database'!$P$1:$P$600,$B88)))</f>
        <v>Not stated</v>
      </c>
      <c r="O88" s="68" t="str">
        <f aca="false">IF($B88="","",IF(INDEX('Master Database'!$S$1:$S$600,$B88)="","",INDEX('Master Database'!$S$1:$S$600,$B88)))</f>
        <v>Electric Motor</v>
      </c>
      <c r="P88" s="68" t="str">
        <f aca="false">IF($B88="","",IF(INDEX('Master Database'!$T$1:$T$600,$B88)="","",INDEX('Master Database'!$T$1:$T$600,$B88)))</f>
        <v>Process / Dilution Water</v>
      </c>
      <c r="Q88" s="68" t="n">
        <f aca="false">IF($B88="","",IF(INDEX('Master Database'!$Y$1:$Y$600,$B88)="","",INDEX('Master Database'!$Y$1:$Y$600,$B88)))</f>
        <v>1393</v>
      </c>
      <c r="R88" s="68" t="str">
        <f aca="false">IF($B88="","",IF(INDEX('Master Database'!$Z$1:$Z$600,$B88)="","",INDEX('Master Database'!$Z$1:$Z$600,$B88)))</f>
        <v>IRR</v>
      </c>
      <c r="S88" s="70" t="str">
        <f aca="false">IF($B88="","",IF(INDEX('Master Database'!$AA$1:$AA$600,$B88)="","",INDEX('Master Database'!$AA$1:$AA$600,$B88)))</f>
        <v/>
      </c>
      <c r="T88" s="68" t="str">
        <f aca="false">IF($B88="","",IF(INDEX('Master Database'!$AE$1:$AE$600,$B88)="","",INDEX('Master Database'!$AE$1:$AE$600,$B88)))</f>
        <v>Consultant FEED MTO estimate – KPL-476 R03 (Jan 2016); pump priced inside its package, no separate price | source label: AACE Class 3</v>
      </c>
      <c r="U88" s="70" t="str">
        <f aca="false">IF($B88="","",IF(INDEX('Master Database'!$AG$1:$AG$600,$B88)="","",INDEX('Master Database'!$AG$1:$AG$600,$B88)))</f>
        <v/>
      </c>
      <c r="V88" s="70" t="str">
        <f aca="false">IF($B88="","",IF(INDEX('Master Database'!$AH$1:$AH$600,$B88)="","",INDEX('Master Database'!$AH$1:$AH$600,$B88)))</f>
        <v/>
      </c>
      <c r="W88" s="70" t="str">
        <f aca="false">IF($B88="","",IF(INDEX('Master Database'!$AI$1:$AI$600,$B88)="","",INDEX('Master Database'!$AI$1:$AI$600,$B88)))</f>
        <v/>
      </c>
      <c r="X88" s="68" t="str">
        <f aca="false">IF($B88="","",IF(INDEX('Master Database'!$BG$1:$BG$600,$B88)="","",INDEX('Master Database'!$BG$1:$BG$600,$B88)))</f>
        <v>Y</v>
      </c>
      <c r="BA88" s="65" t="n">
        <f aca="false">IF('Master Database'!$A88="",0,IF(AND(OR($B$5="",ISNUMBER(SEARCH($B$5,'Master Database'!$B88&amp;" "&amp;'Master Database'!$D88))),OR($B$6="(All)",'Master Database'!$C88=$B$6),OR($B$7="(All)",'Master Database'!$E88=$B$7),OR($B$8="(All)",'Master Database'!$T88=$B$8),OR($B$9="(All)",'Master Database'!$M88=$B$9),OR($B$10="(All)",'Master Database'!$V88=$B$10),OR($E$5="(All)",'Master Database'!$F88=$E$5),OR($E$6="(All)",'Master Database'!$G88=$E$6),OR($E$7="(All)",'Master Database'!$O88=$E$7),OR($E$8="(All)",'Master Database'!$P88=$E$8),OR($E$9="(All)",'Master Database'!$S88=$E$9),OR($E$10="(All)",'Master Database'!$Y88&amp;""=$E$10&amp;""),OR($H$5="(All)",'Master Database'!$BG88=$H$5),OR($H$6&lt;&gt;"Y",ISNUMBER('Master Database'!$AG88)),OR($H$7="",AND(ISNUMBER('Master Database'!$H88),N('Master Database'!$H88)&gt;=$H$7)),OR($I$7="",AND(ISNUMBER('Master Database'!$H88),N('Master Database'!$H88)&lt;=$I$7)),OR($H$8="",AND(ISNUMBER('Master Database'!$I88),N('Master Database'!$I88)&gt;=$H$8)),OR($I$8="",AND(ISNUMBER('Master Database'!$I88),N('Master Database'!$I88)&lt;=$I$8)),OR($H$9="",AND(ISNUMBER('Master Database'!$K88),N('Master Database'!$K88)&gt;=$H$9)),OR($I$9="",AND(ISNUMBER('Master Database'!$K88),N('Master Database'!$K88)&lt;=$I$9))),1,0))</f>
        <v>1</v>
      </c>
      <c r="BB88" s="65" t="n">
        <f aca="false">IF(BA88=1,COUNTIF($BA$5:BA88,1),"")</f>
        <v>84</v>
      </c>
    </row>
    <row r="89" customFormat="false" ht="15" hidden="false" customHeight="false" outlineLevel="0" collapsed="false">
      <c r="A89" s="67" t="n">
        <f aca="false">IF(74&lt;=SUM($BA$5:$BA$600),74,"")</f>
        <v>74</v>
      </c>
      <c r="B89" s="67" t="n">
        <f aca="false">IF(A89="","",MATCH(A89,$BB$5:$BB$600,0)+4)</f>
        <v>78</v>
      </c>
      <c r="C89" s="67" t="n">
        <f aca="false">IF($B89="","",IF(INDEX('Master Database'!$A$1:$A$600,$B89)="","",INDEX('Master Database'!$A$1:$A$600,$B89)))</f>
        <v>74</v>
      </c>
      <c r="D89" s="68" t="str">
        <f aca="false">IF($B89="","",IF(INDEX('Master Database'!$B$1:$B$600,$B89)="","",INDEX('Master Database'!$B$1:$B$600,$B89)))</f>
        <v>IGF De-oiled Waste Booster Pumps</v>
      </c>
      <c r="E89" s="68" t="str">
        <f aca="false">IF($B89="","",IF(INDEX('Master Database'!$C$1:$C$600,$B89)="","",INDEX('Master Database'!$C$1:$C$600,$B89)))</f>
        <v>Koopal Bangestan</v>
      </c>
      <c r="F89" s="68" t="str">
        <f aca="false">IF($B89="","",IF(INDEX('Master Database'!$D$1:$D$600,$B89)="","",INDEX('Master Database'!$D$1:$D$600,$B89)))</f>
        <v>P-141 A/B</v>
      </c>
      <c r="G89" s="68" t="str">
        <f aca="false">IF($B89="","",IF(INDEX('Master Database'!$E$1:$E$600,$B89)="","",INDEX('Master Database'!$E$1:$E$600,$B89)))</f>
        <v>ROT-INJ</v>
      </c>
      <c r="H89" s="68" t="str">
        <f aca="false">IF($B89="","",IF(INDEX('Master Database'!$F$1:$F$600,$B89)="","",INDEX('Master Database'!$F$1:$F$600,$B89)))</f>
        <v>OH2</v>
      </c>
      <c r="I89" s="68" t="str">
        <f aca="false">IF($B89="","",IF(INDEX('Master Database'!$G$1:$G$600,$B89)="","",INDEX('Master Database'!$G$1:$G$600,$B89)))</f>
        <v>D-2</v>
      </c>
      <c r="J89" s="69" t="str">
        <f aca="false">IF($B89="","",IF(INDEX('Master Database'!$H$1:$H$600,$B89)="","",INDEX('Master Database'!$H$1:$H$600,$B89)))</f>
        <v/>
      </c>
      <c r="K89" s="69" t="str">
        <f aca="false">IF($B89="","",IF(INDEX('Master Database'!$I$1:$I$600,$B89)="","",INDEX('Master Database'!$I$1:$I$600,$B89)))</f>
        <v/>
      </c>
      <c r="L89" s="69" t="str">
        <f aca="false">IF($B89="","",IF(INDEX('Master Database'!$K$1:$K$600,$B89)="","",INDEX('Master Database'!$K$1:$K$600,$B89)))</f>
        <v/>
      </c>
      <c r="M89" s="68" t="str">
        <f aca="false">IF($B89="","",IF(INDEX('Master Database'!$L$1:$L$600,$B89)="","",INDEX('Master Database'!$L$1:$L$600,$B89)))</f>
        <v>API 610 + IPS-G-PM-105 + NACE MR0175</v>
      </c>
      <c r="N89" s="68" t="str">
        <f aca="false">IF($B89="","",IF(INDEX('Master Database'!$P$1:$P$600,$B89)="","",INDEX('Master Database'!$P$1:$P$600,$B89)))</f>
        <v>Not stated</v>
      </c>
      <c r="O89" s="68" t="str">
        <f aca="false">IF($B89="","",IF(INDEX('Master Database'!$S$1:$S$600,$B89)="","",INDEX('Master Database'!$S$1:$S$600,$B89)))</f>
        <v>Electric Motor</v>
      </c>
      <c r="P89" s="68" t="str">
        <f aca="false">IF($B89="","",IF(INDEX('Master Database'!$T$1:$T$600,$B89)="","",INDEX('Master Database'!$T$1:$T$600,$B89)))</f>
        <v>Produced / Disposal Water</v>
      </c>
      <c r="Q89" s="68" t="n">
        <f aca="false">IF($B89="","",IF(INDEX('Master Database'!$Y$1:$Y$600,$B89)="","",INDEX('Master Database'!$Y$1:$Y$600,$B89)))</f>
        <v>1393</v>
      </c>
      <c r="R89" s="68" t="str">
        <f aca="false">IF($B89="","",IF(INDEX('Master Database'!$Z$1:$Z$600,$B89)="","",INDEX('Master Database'!$Z$1:$Z$600,$B89)))</f>
        <v>IRR</v>
      </c>
      <c r="S89" s="70" t="str">
        <f aca="false">IF($B89="","",IF(INDEX('Master Database'!$AA$1:$AA$600,$B89)="","",INDEX('Master Database'!$AA$1:$AA$600,$B89)))</f>
        <v/>
      </c>
      <c r="T89" s="68" t="str">
        <f aca="false">IF($B89="","",IF(INDEX('Master Database'!$AE$1:$AE$600,$B89)="","",INDEX('Master Database'!$AE$1:$AE$600,$B89)))</f>
        <v>Consultant FEED MTO estimate – KPL-476 R03 (Jan 2016); pump priced inside its package, no separate price | source label: AACE Class 3</v>
      </c>
      <c r="U89" s="70" t="str">
        <f aca="false">IF($B89="","",IF(INDEX('Master Database'!$AG$1:$AG$600,$B89)="","",INDEX('Master Database'!$AG$1:$AG$600,$B89)))</f>
        <v/>
      </c>
      <c r="V89" s="70" t="str">
        <f aca="false">IF($B89="","",IF(INDEX('Master Database'!$AH$1:$AH$600,$B89)="","",INDEX('Master Database'!$AH$1:$AH$600,$B89)))</f>
        <v/>
      </c>
      <c r="W89" s="70" t="str">
        <f aca="false">IF($B89="","",IF(INDEX('Master Database'!$AI$1:$AI$600,$B89)="","",INDEX('Master Database'!$AI$1:$AI$600,$B89)))</f>
        <v/>
      </c>
      <c r="X89" s="68" t="str">
        <f aca="false">IF($B89="","",IF(INDEX('Master Database'!$BG$1:$BG$600,$B89)="","",INDEX('Master Database'!$BG$1:$BG$600,$B89)))</f>
        <v>Y</v>
      </c>
      <c r="BA89" s="65" t="n">
        <f aca="false">IF('Master Database'!$A89="",0,IF(AND(OR($B$5="",ISNUMBER(SEARCH($B$5,'Master Database'!$B89&amp;" "&amp;'Master Database'!$D89))),OR($B$6="(All)",'Master Database'!$C89=$B$6),OR($B$7="(All)",'Master Database'!$E89=$B$7),OR($B$8="(All)",'Master Database'!$T89=$B$8),OR($B$9="(All)",'Master Database'!$M89=$B$9),OR($B$10="(All)",'Master Database'!$V89=$B$10),OR($E$5="(All)",'Master Database'!$F89=$E$5),OR($E$6="(All)",'Master Database'!$G89=$E$6),OR($E$7="(All)",'Master Database'!$O89=$E$7),OR($E$8="(All)",'Master Database'!$P89=$E$8),OR($E$9="(All)",'Master Database'!$S89=$E$9),OR($E$10="(All)",'Master Database'!$Y89&amp;""=$E$10&amp;""),OR($H$5="(All)",'Master Database'!$BG89=$H$5),OR($H$6&lt;&gt;"Y",ISNUMBER('Master Database'!$AG89)),OR($H$7="",AND(ISNUMBER('Master Database'!$H89),N('Master Database'!$H89)&gt;=$H$7)),OR($I$7="",AND(ISNUMBER('Master Database'!$H89),N('Master Database'!$H89)&lt;=$I$7)),OR($H$8="",AND(ISNUMBER('Master Database'!$I89),N('Master Database'!$I89)&gt;=$H$8)),OR($I$8="",AND(ISNUMBER('Master Database'!$I89),N('Master Database'!$I89)&lt;=$I$8)),OR($H$9="",AND(ISNUMBER('Master Database'!$K89),N('Master Database'!$K89)&gt;=$H$9)),OR($I$9="",AND(ISNUMBER('Master Database'!$K89),N('Master Database'!$K89)&lt;=$I$9))),1,0))</f>
        <v>1</v>
      </c>
      <c r="BB89" s="65" t="n">
        <f aca="false">IF(BA89=1,COUNTIF($BA$5:BA89,1),"")</f>
        <v>85</v>
      </c>
    </row>
    <row r="90" customFormat="false" ht="15" hidden="false" customHeight="false" outlineLevel="0" collapsed="false">
      <c r="A90" s="67" t="n">
        <f aca="false">IF(75&lt;=SUM($BA$5:$BA$600),75,"")</f>
        <v>75</v>
      </c>
      <c r="B90" s="67" t="n">
        <f aca="false">IF(A90="","",MATCH(A90,$BB$5:$BB$600,0)+4)</f>
        <v>79</v>
      </c>
      <c r="C90" s="67" t="n">
        <f aca="false">IF($B90="","",IF(INDEX('Master Database'!$A$1:$A$600,$B90)="","",INDEX('Master Database'!$A$1:$A$600,$B90)))</f>
        <v>75</v>
      </c>
      <c r="D90" s="68" t="str">
        <f aca="false">IF($B90="","",IF(INDEX('Master Database'!$B$1:$B$600,$B90)="","",INDEX('Master Database'!$B$1:$B$600,$B90)))</f>
        <v>IGF De-oiled Waste Booster Pumps</v>
      </c>
      <c r="E90" s="68" t="str">
        <f aca="false">IF($B90="","",IF(INDEX('Master Database'!$C$1:$C$600,$B90)="","",INDEX('Master Database'!$C$1:$C$600,$B90)))</f>
        <v>Koopal Bangestan</v>
      </c>
      <c r="F90" s="68" t="str">
        <f aca="false">IF($B90="","",IF(INDEX('Master Database'!$D$1:$D$600,$B90)="","",INDEX('Master Database'!$D$1:$D$600,$B90)))</f>
        <v>P-142 A/B</v>
      </c>
      <c r="G90" s="68" t="str">
        <f aca="false">IF($B90="","",IF(INDEX('Master Database'!$E$1:$E$600,$B90)="","",INDEX('Master Database'!$E$1:$E$600,$B90)))</f>
        <v>ROT-INJ</v>
      </c>
      <c r="H90" s="68" t="str">
        <f aca="false">IF($B90="","",IF(INDEX('Master Database'!$F$1:$F$600,$B90)="","",INDEX('Master Database'!$F$1:$F$600,$B90)))</f>
        <v>OH2</v>
      </c>
      <c r="I90" s="68" t="str">
        <f aca="false">IF($B90="","",IF(INDEX('Master Database'!$G$1:$G$600,$B90)="","",INDEX('Master Database'!$G$1:$G$600,$B90)))</f>
        <v>D-2</v>
      </c>
      <c r="J90" s="69" t="str">
        <f aca="false">IF($B90="","",IF(INDEX('Master Database'!$H$1:$H$600,$B90)="","",INDEX('Master Database'!$H$1:$H$600,$B90)))</f>
        <v/>
      </c>
      <c r="K90" s="69" t="str">
        <f aca="false">IF($B90="","",IF(INDEX('Master Database'!$I$1:$I$600,$B90)="","",INDEX('Master Database'!$I$1:$I$600,$B90)))</f>
        <v/>
      </c>
      <c r="L90" s="69" t="str">
        <f aca="false">IF($B90="","",IF(INDEX('Master Database'!$K$1:$K$600,$B90)="","",INDEX('Master Database'!$K$1:$K$600,$B90)))</f>
        <v/>
      </c>
      <c r="M90" s="68" t="str">
        <f aca="false">IF($B90="","",IF(INDEX('Master Database'!$L$1:$L$600,$B90)="","",INDEX('Master Database'!$L$1:$L$600,$B90)))</f>
        <v>API 610 + IPS-G-PM-105 + NACE MR0175</v>
      </c>
      <c r="N90" s="68" t="str">
        <f aca="false">IF($B90="","",IF(INDEX('Master Database'!$P$1:$P$600,$B90)="","",INDEX('Master Database'!$P$1:$P$600,$B90)))</f>
        <v>Not stated</v>
      </c>
      <c r="O90" s="68" t="str">
        <f aca="false">IF($B90="","",IF(INDEX('Master Database'!$S$1:$S$600,$B90)="","",INDEX('Master Database'!$S$1:$S$600,$B90)))</f>
        <v>Electric Motor</v>
      </c>
      <c r="P90" s="68" t="str">
        <f aca="false">IF($B90="","",IF(INDEX('Master Database'!$T$1:$T$600,$B90)="","",INDEX('Master Database'!$T$1:$T$600,$B90)))</f>
        <v>Produced / Disposal Water</v>
      </c>
      <c r="Q90" s="68" t="n">
        <f aca="false">IF($B90="","",IF(INDEX('Master Database'!$Y$1:$Y$600,$B90)="","",INDEX('Master Database'!$Y$1:$Y$600,$B90)))</f>
        <v>1393</v>
      </c>
      <c r="R90" s="68" t="str">
        <f aca="false">IF($B90="","",IF(INDEX('Master Database'!$Z$1:$Z$600,$B90)="","",INDEX('Master Database'!$Z$1:$Z$600,$B90)))</f>
        <v>IRR</v>
      </c>
      <c r="S90" s="70" t="str">
        <f aca="false">IF($B90="","",IF(INDEX('Master Database'!$AA$1:$AA$600,$B90)="","",INDEX('Master Database'!$AA$1:$AA$600,$B90)))</f>
        <v/>
      </c>
      <c r="T90" s="68" t="str">
        <f aca="false">IF($B90="","",IF(INDEX('Master Database'!$AE$1:$AE$600,$B90)="","",INDEX('Master Database'!$AE$1:$AE$600,$B90)))</f>
        <v>Consultant FEED MTO estimate – KPL-476 R03 (Jan 2016); pump priced inside its package, no separate price | source label: AACE Class 3</v>
      </c>
      <c r="U90" s="70" t="str">
        <f aca="false">IF($B90="","",IF(INDEX('Master Database'!$AG$1:$AG$600,$B90)="","",INDEX('Master Database'!$AG$1:$AG$600,$B90)))</f>
        <v/>
      </c>
      <c r="V90" s="70" t="str">
        <f aca="false">IF($B90="","",IF(INDEX('Master Database'!$AH$1:$AH$600,$B90)="","",INDEX('Master Database'!$AH$1:$AH$600,$B90)))</f>
        <v/>
      </c>
      <c r="W90" s="70" t="str">
        <f aca="false">IF($B90="","",IF(INDEX('Master Database'!$AI$1:$AI$600,$B90)="","",INDEX('Master Database'!$AI$1:$AI$600,$B90)))</f>
        <v/>
      </c>
      <c r="X90" s="68" t="str">
        <f aca="false">IF($B90="","",IF(INDEX('Master Database'!$BG$1:$BG$600,$B90)="","",INDEX('Master Database'!$BG$1:$BG$600,$B90)))</f>
        <v>Y</v>
      </c>
      <c r="BA90" s="65" t="n">
        <f aca="false">IF('Master Database'!$A90="",0,IF(AND(OR($B$5="",ISNUMBER(SEARCH($B$5,'Master Database'!$B90&amp;" "&amp;'Master Database'!$D90))),OR($B$6="(All)",'Master Database'!$C90=$B$6),OR($B$7="(All)",'Master Database'!$E90=$B$7),OR($B$8="(All)",'Master Database'!$T90=$B$8),OR($B$9="(All)",'Master Database'!$M90=$B$9),OR($B$10="(All)",'Master Database'!$V90=$B$10),OR($E$5="(All)",'Master Database'!$F90=$E$5),OR($E$6="(All)",'Master Database'!$G90=$E$6),OR($E$7="(All)",'Master Database'!$O90=$E$7),OR($E$8="(All)",'Master Database'!$P90=$E$8),OR($E$9="(All)",'Master Database'!$S90=$E$9),OR($E$10="(All)",'Master Database'!$Y90&amp;""=$E$10&amp;""),OR($H$5="(All)",'Master Database'!$BG90=$H$5),OR($H$6&lt;&gt;"Y",ISNUMBER('Master Database'!$AG90)),OR($H$7="",AND(ISNUMBER('Master Database'!$H90),N('Master Database'!$H90)&gt;=$H$7)),OR($I$7="",AND(ISNUMBER('Master Database'!$H90),N('Master Database'!$H90)&lt;=$I$7)),OR($H$8="",AND(ISNUMBER('Master Database'!$I90),N('Master Database'!$I90)&gt;=$H$8)),OR($I$8="",AND(ISNUMBER('Master Database'!$I90),N('Master Database'!$I90)&lt;=$I$8)),OR($H$9="",AND(ISNUMBER('Master Database'!$K90),N('Master Database'!$K90)&gt;=$H$9)),OR($I$9="",AND(ISNUMBER('Master Database'!$K90),N('Master Database'!$K90)&lt;=$I$9))),1,0))</f>
        <v>1</v>
      </c>
      <c r="BB90" s="65" t="n">
        <f aca="false">IF(BA90=1,COUNTIF($BA$5:BA90,1),"")</f>
        <v>86</v>
      </c>
    </row>
    <row r="91" customFormat="false" ht="15" hidden="false" customHeight="false" outlineLevel="0" collapsed="false">
      <c r="A91" s="67" t="n">
        <f aca="false">IF(76&lt;=SUM($BA$5:$BA$600),76,"")</f>
        <v>76</v>
      </c>
      <c r="B91" s="67" t="n">
        <f aca="false">IF(A91="","",MATCH(A91,$BB$5:$BB$600,0)+4)</f>
        <v>80</v>
      </c>
      <c r="C91" s="67" t="n">
        <f aca="false">IF($B91="","",IF(INDEX('Master Database'!$A$1:$A$600,$B91)="","",INDEX('Master Database'!$A$1:$A$600,$B91)))</f>
        <v>76</v>
      </c>
      <c r="D91" s="68" t="str">
        <f aca="false">IF($B91="","",IF(INDEX('Master Database'!$B$1:$B$600,$B91)="","",INDEX('Master Database'!$B$1:$B$600,$B91)))</f>
        <v>IGF Recovered Waste Oil Pumps</v>
      </c>
      <c r="E91" s="68" t="str">
        <f aca="false">IF($B91="","",IF(INDEX('Master Database'!$C$1:$C$600,$B91)="","",INDEX('Master Database'!$C$1:$C$600,$B91)))</f>
        <v>Koopal Bangestan</v>
      </c>
      <c r="F91" s="68" t="str">
        <f aca="false">IF($B91="","",IF(INDEX('Master Database'!$D$1:$D$600,$B91)="","",INDEX('Master Database'!$D$1:$D$600,$B91)))</f>
        <v>P-143 A/B</v>
      </c>
      <c r="G91" s="68" t="str">
        <f aca="false">IF($B91="","",IF(INDEX('Master Database'!$E$1:$E$600,$B91)="","",INDEX('Master Database'!$E$1:$E$600,$B91)))</f>
        <v>ROT-DRN</v>
      </c>
      <c r="H91" s="68" t="str">
        <f aca="false">IF($B91="","",IF(INDEX('Master Database'!$F$1:$F$600,$B91)="","",INDEX('Master Database'!$F$1:$F$600,$B91)))</f>
        <v>N/A (non-API 610)</v>
      </c>
      <c r="I91" s="68" t="str">
        <f aca="false">IF($B91="","",IF(INDEX('Master Database'!$G$1:$G$600,$B91)="","",INDEX('Master Database'!$G$1:$G$600,$B91)))</f>
        <v>D-1</v>
      </c>
      <c r="J91" s="69" t="str">
        <f aca="false">IF($B91="","",IF(INDEX('Master Database'!$H$1:$H$600,$B91)="","",INDEX('Master Database'!$H$1:$H$600,$B91)))</f>
        <v/>
      </c>
      <c r="K91" s="69" t="str">
        <f aca="false">IF($B91="","",IF(INDEX('Master Database'!$I$1:$I$600,$B91)="","",INDEX('Master Database'!$I$1:$I$600,$B91)))</f>
        <v/>
      </c>
      <c r="L91" s="69" t="str">
        <f aca="false">IF($B91="","",IF(INDEX('Master Database'!$K$1:$K$600,$B91)="","",INDEX('Master Database'!$K$1:$K$600,$B91)))</f>
        <v/>
      </c>
      <c r="M91" s="68" t="str">
        <f aca="false">IF($B91="","",IF(INDEX('Master Database'!$L$1:$L$600,$B91)="","",INDEX('Master Database'!$L$1:$L$600,$B91)))</f>
        <v>API 676 + IPS-M-PM-140</v>
      </c>
      <c r="N91" s="68" t="str">
        <f aca="false">IF($B91="","",IF(INDEX('Master Database'!$P$1:$P$600,$B91)="","",INDEX('Master Database'!$P$1:$P$600,$B91)))</f>
        <v>Not stated</v>
      </c>
      <c r="O91" s="68" t="str">
        <f aca="false">IF($B91="","",IF(INDEX('Master Database'!$S$1:$S$600,$B91)="","",INDEX('Master Database'!$S$1:$S$600,$B91)))</f>
        <v>Electric Motor</v>
      </c>
      <c r="P91" s="68" t="str">
        <f aca="false">IF($B91="","",IF(INDEX('Master Database'!$T$1:$T$600,$B91)="","",INDEX('Master Database'!$T$1:$T$600,$B91)))</f>
        <v>Slop / Dirty Oil</v>
      </c>
      <c r="Q91" s="68" t="n">
        <f aca="false">IF($B91="","",IF(INDEX('Master Database'!$Y$1:$Y$600,$B91)="","",INDEX('Master Database'!$Y$1:$Y$600,$B91)))</f>
        <v>1393</v>
      </c>
      <c r="R91" s="68" t="str">
        <f aca="false">IF($B91="","",IF(INDEX('Master Database'!$Z$1:$Z$600,$B91)="","",INDEX('Master Database'!$Z$1:$Z$600,$B91)))</f>
        <v>IRR</v>
      </c>
      <c r="S91" s="70" t="str">
        <f aca="false">IF($B91="","",IF(INDEX('Master Database'!$AA$1:$AA$600,$B91)="","",INDEX('Master Database'!$AA$1:$AA$600,$B91)))</f>
        <v/>
      </c>
      <c r="T91" s="68" t="str">
        <f aca="false">IF($B91="","",IF(INDEX('Master Database'!$AE$1:$AE$600,$B91)="","",INDEX('Master Database'!$AE$1:$AE$600,$B91)))</f>
        <v>Consultant FEED MTO estimate – KPL-476 R03 (Jan 2016); pump priced inside its package, no separate price | source label: AACE Class 3</v>
      </c>
      <c r="U91" s="70" t="str">
        <f aca="false">IF($B91="","",IF(INDEX('Master Database'!$AG$1:$AG$600,$B91)="","",INDEX('Master Database'!$AG$1:$AG$600,$B91)))</f>
        <v/>
      </c>
      <c r="V91" s="70" t="str">
        <f aca="false">IF($B91="","",IF(INDEX('Master Database'!$AH$1:$AH$600,$B91)="","",INDEX('Master Database'!$AH$1:$AH$600,$B91)))</f>
        <v/>
      </c>
      <c r="W91" s="70" t="str">
        <f aca="false">IF($B91="","",IF(INDEX('Master Database'!$AI$1:$AI$600,$B91)="","",INDEX('Master Database'!$AI$1:$AI$600,$B91)))</f>
        <v/>
      </c>
      <c r="X91" s="68" t="str">
        <f aca="false">IF($B91="","",IF(INDEX('Master Database'!$BG$1:$BG$600,$B91)="","",INDEX('Master Database'!$BG$1:$BG$600,$B91)))</f>
        <v>Y</v>
      </c>
      <c r="BA91" s="65" t="n">
        <f aca="false">IF('Master Database'!$A91="",0,IF(AND(OR($B$5="",ISNUMBER(SEARCH($B$5,'Master Database'!$B91&amp;" "&amp;'Master Database'!$D91))),OR($B$6="(All)",'Master Database'!$C91=$B$6),OR($B$7="(All)",'Master Database'!$E91=$B$7),OR($B$8="(All)",'Master Database'!$T91=$B$8),OR($B$9="(All)",'Master Database'!$M91=$B$9),OR($B$10="(All)",'Master Database'!$V91=$B$10),OR($E$5="(All)",'Master Database'!$F91=$E$5),OR($E$6="(All)",'Master Database'!$G91=$E$6),OR($E$7="(All)",'Master Database'!$O91=$E$7),OR($E$8="(All)",'Master Database'!$P91=$E$8),OR($E$9="(All)",'Master Database'!$S91=$E$9),OR($E$10="(All)",'Master Database'!$Y91&amp;""=$E$10&amp;""),OR($H$5="(All)",'Master Database'!$BG91=$H$5),OR($H$6&lt;&gt;"Y",ISNUMBER('Master Database'!$AG91)),OR($H$7="",AND(ISNUMBER('Master Database'!$H91),N('Master Database'!$H91)&gt;=$H$7)),OR($I$7="",AND(ISNUMBER('Master Database'!$H91),N('Master Database'!$H91)&lt;=$I$7)),OR($H$8="",AND(ISNUMBER('Master Database'!$I91),N('Master Database'!$I91)&gt;=$H$8)),OR($I$8="",AND(ISNUMBER('Master Database'!$I91),N('Master Database'!$I91)&lt;=$I$8)),OR($H$9="",AND(ISNUMBER('Master Database'!$K91),N('Master Database'!$K91)&gt;=$H$9)),OR($I$9="",AND(ISNUMBER('Master Database'!$K91),N('Master Database'!$K91)&lt;=$I$9))),1,0))</f>
        <v>1</v>
      </c>
      <c r="BB91" s="65" t="n">
        <f aca="false">IF(BA91=1,COUNTIF($BA$5:BA91,1),"")</f>
        <v>87</v>
      </c>
    </row>
    <row r="92" customFormat="false" ht="15" hidden="false" customHeight="false" outlineLevel="0" collapsed="false">
      <c r="A92" s="67" t="n">
        <f aca="false">IF(77&lt;=SUM($BA$5:$BA$600),77,"")</f>
        <v>77</v>
      </c>
      <c r="B92" s="67" t="n">
        <f aca="false">IF(A92="","",MATCH(A92,$BB$5:$BB$600,0)+4)</f>
        <v>81</v>
      </c>
      <c r="C92" s="67" t="n">
        <f aca="false">IF($B92="","",IF(INDEX('Master Database'!$A$1:$A$600,$B92)="","",INDEX('Master Database'!$A$1:$A$600,$B92)))</f>
        <v>77</v>
      </c>
      <c r="D92" s="68" t="str">
        <f aca="false">IF($B92="","",IF(INDEX('Master Database'!$B$1:$B$600,$B92)="","",INDEX('Master Database'!$B$1:$B$600,$B92)))</f>
        <v>IGF Oily Sludge Pumps</v>
      </c>
      <c r="E92" s="68" t="str">
        <f aca="false">IF($B92="","",IF(INDEX('Master Database'!$C$1:$C$600,$B92)="","",INDEX('Master Database'!$C$1:$C$600,$B92)))</f>
        <v>Koopal Bangestan</v>
      </c>
      <c r="F92" s="68" t="str">
        <f aca="false">IF($B92="","",IF(INDEX('Master Database'!$D$1:$D$600,$B92)="","",INDEX('Master Database'!$D$1:$D$600,$B92)))</f>
        <v>P-144 A/B</v>
      </c>
      <c r="G92" s="68" t="str">
        <f aca="false">IF($B92="","",IF(INDEX('Master Database'!$E$1:$E$600,$B92)="","",INDEX('Master Database'!$E$1:$E$600,$B92)))</f>
        <v>ROT-DRN</v>
      </c>
      <c r="H92" s="68" t="str">
        <f aca="false">IF($B92="","",IF(INDEX('Master Database'!$F$1:$F$600,$B92)="","",INDEX('Master Database'!$F$1:$F$600,$B92)))</f>
        <v>N/A (non-API 610)</v>
      </c>
      <c r="I92" s="68" t="str">
        <f aca="false">IF($B92="","",IF(INDEX('Master Database'!$G$1:$G$600,$B92)="","",INDEX('Master Database'!$G$1:$G$600,$B92)))</f>
        <v>D-2</v>
      </c>
      <c r="J92" s="69" t="str">
        <f aca="false">IF($B92="","",IF(INDEX('Master Database'!$H$1:$H$600,$B92)="","",INDEX('Master Database'!$H$1:$H$600,$B92)))</f>
        <v/>
      </c>
      <c r="K92" s="69" t="str">
        <f aca="false">IF($B92="","",IF(INDEX('Master Database'!$I$1:$I$600,$B92)="","",INDEX('Master Database'!$I$1:$I$600,$B92)))</f>
        <v/>
      </c>
      <c r="L92" s="69" t="str">
        <f aca="false">IF($B92="","",IF(INDEX('Master Database'!$K$1:$K$600,$B92)="","",INDEX('Master Database'!$K$1:$K$600,$B92)))</f>
        <v/>
      </c>
      <c r="M92" s="68" t="str">
        <f aca="false">IF($B92="","",IF(INDEX('Master Database'!$L$1:$L$600,$B92)="","",INDEX('Master Database'!$L$1:$L$600,$B92)))</f>
        <v>API 610 + IPS-G-PM-105 + NACE MR0175</v>
      </c>
      <c r="N92" s="68" t="str">
        <f aca="false">IF($B92="","",IF(INDEX('Master Database'!$P$1:$P$600,$B92)="","",INDEX('Master Database'!$P$1:$P$600,$B92)))</f>
        <v>Not stated</v>
      </c>
      <c r="O92" s="68" t="str">
        <f aca="false">IF($B92="","",IF(INDEX('Master Database'!$S$1:$S$600,$B92)="","",INDEX('Master Database'!$S$1:$S$600,$B92)))</f>
        <v>Electric Motor</v>
      </c>
      <c r="P92" s="68" t="str">
        <f aca="false">IF($B92="","",IF(INDEX('Master Database'!$T$1:$T$600,$B92)="","",INDEX('Master Database'!$T$1:$T$600,$B92)))</f>
        <v>Sludge</v>
      </c>
      <c r="Q92" s="68" t="n">
        <f aca="false">IF($B92="","",IF(INDEX('Master Database'!$Y$1:$Y$600,$B92)="","",INDEX('Master Database'!$Y$1:$Y$600,$B92)))</f>
        <v>1393</v>
      </c>
      <c r="R92" s="68" t="str">
        <f aca="false">IF($B92="","",IF(INDEX('Master Database'!$Z$1:$Z$600,$B92)="","",INDEX('Master Database'!$Z$1:$Z$600,$B92)))</f>
        <v>IRR</v>
      </c>
      <c r="S92" s="70" t="str">
        <f aca="false">IF($B92="","",IF(INDEX('Master Database'!$AA$1:$AA$600,$B92)="","",INDEX('Master Database'!$AA$1:$AA$600,$B92)))</f>
        <v/>
      </c>
      <c r="T92" s="68" t="str">
        <f aca="false">IF($B92="","",IF(INDEX('Master Database'!$AE$1:$AE$600,$B92)="","",INDEX('Master Database'!$AE$1:$AE$600,$B92)))</f>
        <v>Consultant FEED MTO estimate – KPL-476 R03 (Jan 2016); pump priced inside its package, no separate price | source label: AACE Class 3</v>
      </c>
      <c r="U92" s="70" t="str">
        <f aca="false">IF($B92="","",IF(INDEX('Master Database'!$AG$1:$AG$600,$B92)="","",INDEX('Master Database'!$AG$1:$AG$600,$B92)))</f>
        <v/>
      </c>
      <c r="V92" s="70" t="str">
        <f aca="false">IF($B92="","",IF(INDEX('Master Database'!$AH$1:$AH$600,$B92)="","",INDEX('Master Database'!$AH$1:$AH$600,$B92)))</f>
        <v/>
      </c>
      <c r="W92" s="70" t="str">
        <f aca="false">IF($B92="","",IF(INDEX('Master Database'!$AI$1:$AI$600,$B92)="","",INDEX('Master Database'!$AI$1:$AI$600,$B92)))</f>
        <v/>
      </c>
      <c r="X92" s="68" t="str">
        <f aca="false">IF($B92="","",IF(INDEX('Master Database'!$BG$1:$BG$600,$B92)="","",INDEX('Master Database'!$BG$1:$BG$600,$B92)))</f>
        <v>Y</v>
      </c>
      <c r="BA92" s="65" t="n">
        <f aca="false">IF('Master Database'!$A92="",0,IF(AND(OR($B$5="",ISNUMBER(SEARCH($B$5,'Master Database'!$B92&amp;" "&amp;'Master Database'!$D92))),OR($B$6="(All)",'Master Database'!$C92=$B$6),OR($B$7="(All)",'Master Database'!$E92=$B$7),OR($B$8="(All)",'Master Database'!$T92=$B$8),OR($B$9="(All)",'Master Database'!$M92=$B$9),OR($B$10="(All)",'Master Database'!$V92=$B$10),OR($E$5="(All)",'Master Database'!$F92=$E$5),OR($E$6="(All)",'Master Database'!$G92=$E$6),OR($E$7="(All)",'Master Database'!$O92=$E$7),OR($E$8="(All)",'Master Database'!$P92=$E$8),OR($E$9="(All)",'Master Database'!$S92=$E$9),OR($E$10="(All)",'Master Database'!$Y92&amp;""=$E$10&amp;""),OR($H$5="(All)",'Master Database'!$BG92=$H$5),OR($H$6&lt;&gt;"Y",ISNUMBER('Master Database'!$AG92)),OR($H$7="",AND(ISNUMBER('Master Database'!$H92),N('Master Database'!$H92)&gt;=$H$7)),OR($I$7="",AND(ISNUMBER('Master Database'!$H92),N('Master Database'!$H92)&lt;=$I$7)),OR($H$8="",AND(ISNUMBER('Master Database'!$I92),N('Master Database'!$I92)&gt;=$H$8)),OR($I$8="",AND(ISNUMBER('Master Database'!$I92),N('Master Database'!$I92)&lt;=$I$8)),OR($H$9="",AND(ISNUMBER('Master Database'!$K92),N('Master Database'!$K92)&gt;=$H$9)),OR($I$9="",AND(ISNUMBER('Master Database'!$K92),N('Master Database'!$K92)&lt;=$I$9))),1,0))</f>
        <v>1</v>
      </c>
      <c r="BB92" s="65" t="n">
        <f aca="false">IF(BA92=1,COUNTIF($BA$5:BA92,1),"")</f>
        <v>88</v>
      </c>
    </row>
    <row r="93" customFormat="false" ht="15" hidden="false" customHeight="false" outlineLevel="0" collapsed="false">
      <c r="A93" s="67" t="n">
        <f aca="false">IF(78&lt;=SUM($BA$5:$BA$600),78,"")</f>
        <v>78</v>
      </c>
      <c r="B93" s="67" t="n">
        <f aca="false">IF(A93="","",MATCH(A93,$BB$5:$BB$600,0)+4)</f>
        <v>82</v>
      </c>
      <c r="C93" s="67" t="n">
        <f aca="false">IF($B93="","",IF(INDEX('Master Database'!$A$1:$A$600,$B93)="","",INDEX('Master Database'!$A$1:$A$600,$B93)))</f>
        <v>78</v>
      </c>
      <c r="D93" s="68" t="str">
        <f aca="false">IF($B93="","",IF(INDEX('Master Database'!$B$1:$B$600,$B93)="","",INDEX('Master Database'!$B$1:$B$600,$B93)))</f>
        <v>Stripped Waste Water Pumps</v>
      </c>
      <c r="E93" s="68" t="str">
        <f aca="false">IF($B93="","",IF(INDEX('Master Database'!$C$1:$C$600,$B93)="","",INDEX('Master Database'!$C$1:$C$600,$B93)))</f>
        <v>Koopal Bangestan</v>
      </c>
      <c r="F93" s="68" t="str">
        <f aca="false">IF($B93="","",IF(INDEX('Master Database'!$D$1:$D$600,$B93)="","",INDEX('Master Database'!$D$1:$D$600,$B93)))</f>
        <v>P-148 A/B/C</v>
      </c>
      <c r="G93" s="68" t="str">
        <f aca="false">IF($B93="","",IF(INDEX('Master Database'!$E$1:$E$600,$B93)="","",INDEX('Master Database'!$E$1:$E$600,$B93)))</f>
        <v>ROT-INJ</v>
      </c>
      <c r="H93" s="68" t="str">
        <f aca="false">IF($B93="","",IF(INDEX('Master Database'!$F$1:$F$600,$B93)="","",INDEX('Master Database'!$F$1:$F$600,$B93)))</f>
        <v>OH2</v>
      </c>
      <c r="I93" s="68" t="str">
        <f aca="false">IF($B93="","",IF(INDEX('Master Database'!$G$1:$G$600,$B93)="","",INDEX('Master Database'!$G$1:$G$600,$B93)))</f>
        <v>D-2</v>
      </c>
      <c r="J93" s="69" t="n">
        <f aca="false">IF($B93="","",IF(INDEX('Master Database'!$H$1:$H$600,$B93)="","",INDEX('Master Database'!$H$1:$H$600,$B93)))</f>
        <v>50</v>
      </c>
      <c r="K93" s="69" t="n">
        <f aca="false">IF($B93="","",IF(INDEX('Master Database'!$I$1:$I$600,$B93)="","",INDEX('Master Database'!$I$1:$I$600,$B93)))</f>
        <v>30.6</v>
      </c>
      <c r="L93" s="69" t="n">
        <f aca="false">IF($B93="","",IF(INDEX('Master Database'!$K$1:$K$600,$B93)="","",INDEX('Master Database'!$K$1:$K$600,$B93)))</f>
        <v>6.94822888283379</v>
      </c>
      <c r="M93" s="68" t="str">
        <f aca="false">IF($B93="","",IF(INDEX('Master Database'!$L$1:$L$600,$B93)="","",INDEX('Master Database'!$L$1:$L$600,$B93)))</f>
        <v>API 610 + IPS-G-PM-105</v>
      </c>
      <c r="N93" s="68" t="str">
        <f aca="false">IF($B93="","",IF(INDEX('Master Database'!$P$1:$P$600,$B93)="","",INDEX('Master Database'!$P$1:$P$600,$B93)))</f>
        <v>Not stated</v>
      </c>
      <c r="O93" s="68" t="str">
        <f aca="false">IF($B93="","",IF(INDEX('Master Database'!$S$1:$S$600,$B93)="","",INDEX('Master Database'!$S$1:$S$600,$B93)))</f>
        <v>Electric Motor</v>
      </c>
      <c r="P93" s="68" t="str">
        <f aca="false">IF($B93="","",IF(INDEX('Master Database'!$T$1:$T$600,$B93)="","",INDEX('Master Database'!$T$1:$T$600,$B93)))</f>
        <v>Produced / Disposal Water</v>
      </c>
      <c r="Q93" s="68" t="n">
        <f aca="false">IF($B93="","",IF(INDEX('Master Database'!$Y$1:$Y$600,$B93)="","",INDEX('Master Database'!$Y$1:$Y$600,$B93)))</f>
        <v>1393</v>
      </c>
      <c r="R93" s="68" t="str">
        <f aca="false">IF($B93="","",IF(INDEX('Master Database'!$Z$1:$Z$600,$B93)="","",INDEX('Master Database'!$Z$1:$Z$600,$B93)))</f>
        <v>IRR</v>
      </c>
      <c r="S93" s="70" t="str">
        <f aca="false">IF($B93="","",IF(INDEX('Master Database'!$AA$1:$AA$600,$B93)="","",INDEX('Master Database'!$AA$1:$AA$600,$B93)))</f>
        <v/>
      </c>
      <c r="T93" s="68" t="str">
        <f aca="false">IF($B93="","",IF(INDEX('Master Database'!$AE$1:$AE$600,$B93)="","",INDEX('Master Database'!$AE$1:$AE$600,$B93)))</f>
        <v>Consultant FEED MTO estimate – KPL-476 R03 (Jan 2016); pump priced inside its package, no separate price | source label: AACE Class 3</v>
      </c>
      <c r="U93" s="70" t="str">
        <f aca="false">IF($B93="","",IF(INDEX('Master Database'!$AG$1:$AG$600,$B93)="","",INDEX('Master Database'!$AG$1:$AG$600,$B93)))</f>
        <v/>
      </c>
      <c r="V93" s="70" t="str">
        <f aca="false">IF($B93="","",IF(INDEX('Master Database'!$AH$1:$AH$600,$B93)="","",INDEX('Master Database'!$AH$1:$AH$600,$B93)))</f>
        <v/>
      </c>
      <c r="W93" s="70" t="str">
        <f aca="false">IF($B93="","",IF(INDEX('Master Database'!$AI$1:$AI$600,$B93)="","",INDEX('Master Database'!$AI$1:$AI$600,$B93)))</f>
        <v/>
      </c>
      <c r="X93" s="68" t="str">
        <f aca="false">IF($B93="","",IF(INDEX('Master Database'!$BG$1:$BG$600,$B93)="","",INDEX('Master Database'!$BG$1:$BG$600,$B93)))</f>
        <v>Y</v>
      </c>
      <c r="BA93" s="65" t="n">
        <f aca="false">IF('Master Database'!$A93="",0,IF(AND(OR($B$5="",ISNUMBER(SEARCH($B$5,'Master Database'!$B93&amp;" "&amp;'Master Database'!$D93))),OR($B$6="(All)",'Master Database'!$C93=$B$6),OR($B$7="(All)",'Master Database'!$E93=$B$7),OR($B$8="(All)",'Master Database'!$T93=$B$8),OR($B$9="(All)",'Master Database'!$M93=$B$9),OR($B$10="(All)",'Master Database'!$V93=$B$10),OR($E$5="(All)",'Master Database'!$F93=$E$5),OR($E$6="(All)",'Master Database'!$G93=$E$6),OR($E$7="(All)",'Master Database'!$O93=$E$7),OR($E$8="(All)",'Master Database'!$P93=$E$8),OR($E$9="(All)",'Master Database'!$S93=$E$9),OR($E$10="(All)",'Master Database'!$Y93&amp;""=$E$10&amp;""),OR($H$5="(All)",'Master Database'!$BG93=$H$5),OR($H$6&lt;&gt;"Y",ISNUMBER('Master Database'!$AG93)),OR($H$7="",AND(ISNUMBER('Master Database'!$H93),N('Master Database'!$H93)&gt;=$H$7)),OR($I$7="",AND(ISNUMBER('Master Database'!$H93),N('Master Database'!$H93)&lt;=$I$7)),OR($H$8="",AND(ISNUMBER('Master Database'!$I93),N('Master Database'!$I93)&gt;=$H$8)),OR($I$8="",AND(ISNUMBER('Master Database'!$I93),N('Master Database'!$I93)&lt;=$I$8)),OR($H$9="",AND(ISNUMBER('Master Database'!$K93),N('Master Database'!$K93)&gt;=$H$9)),OR($I$9="",AND(ISNUMBER('Master Database'!$K93),N('Master Database'!$K93)&lt;=$I$9))),1,0))</f>
        <v>1</v>
      </c>
      <c r="BB93" s="65" t="n">
        <f aca="false">IF(BA93=1,COUNTIF($BA$5:BA93,1),"")</f>
        <v>89</v>
      </c>
    </row>
    <row r="94" customFormat="false" ht="15" hidden="false" customHeight="false" outlineLevel="0" collapsed="false">
      <c r="A94" s="67" t="n">
        <f aca="false">IF(79&lt;=SUM($BA$5:$BA$600),79,"")</f>
        <v>79</v>
      </c>
      <c r="B94" s="67" t="n">
        <f aca="false">IF(A94="","",MATCH(A94,$BB$5:$BB$600,0)+4)</f>
        <v>83</v>
      </c>
      <c r="C94" s="67" t="n">
        <f aca="false">IF($B94="","",IF(INDEX('Master Database'!$A$1:$A$600,$B94)="","",INDEX('Master Database'!$A$1:$A$600,$B94)))</f>
        <v>79</v>
      </c>
      <c r="D94" s="68" t="str">
        <f aca="false">IF($B94="","",IF(INDEX('Master Database'!$B$1:$B$600,$B94)="","",INDEX('Master Database'!$B$1:$B$600,$B94)))</f>
        <v>Deaerated Water Pumps</v>
      </c>
      <c r="E94" s="68" t="str">
        <f aca="false">IF($B94="","",IF(INDEX('Master Database'!$C$1:$C$600,$B94)="","",INDEX('Master Database'!$C$1:$C$600,$B94)))</f>
        <v>Koopal Asmari</v>
      </c>
      <c r="F94" s="68" t="str">
        <f aca="false">IF($B94="","",IF(INDEX('Master Database'!$D$1:$D$600,$B94)="","",INDEX('Master Database'!$D$1:$D$600,$B94)))</f>
        <v>P-153 A/B</v>
      </c>
      <c r="G94" s="68" t="str">
        <f aca="false">IF($B94="","",IF(INDEX('Master Database'!$E$1:$E$600,$B94)="","",INDEX('Master Database'!$E$1:$E$600,$B94)))</f>
        <v>ROT-WAT</v>
      </c>
      <c r="H94" s="68" t="str">
        <f aca="false">IF($B94="","",IF(INDEX('Master Database'!$F$1:$F$600,$B94)="","",INDEX('Master Database'!$F$1:$F$600,$B94)))</f>
        <v>N/A (non-API 610)</v>
      </c>
      <c r="I94" s="68" t="str">
        <f aca="false">IF($B94="","",IF(INDEX('Master Database'!$G$1:$G$600,$B94)="","",INDEX('Master Database'!$G$1:$G$600,$B94)))</f>
        <v>I-2</v>
      </c>
      <c r="J94" s="69" t="n">
        <f aca="false">IF($B94="","",IF(INDEX('Master Database'!$H$1:$H$600,$B94)="","",INDEX('Master Database'!$H$1:$H$600,$B94)))</f>
        <v>48</v>
      </c>
      <c r="K94" s="69" t="n">
        <f aca="false">IF($B94="","",IF(INDEX('Master Database'!$I$1:$I$600,$B94)="","",INDEX('Master Database'!$I$1:$I$600,$B94)))</f>
        <v>36</v>
      </c>
      <c r="L94" s="69" t="n">
        <f aca="false">IF($B94="","",IF(INDEX('Master Database'!$K$1:$K$600,$B94)="","",INDEX('Master Database'!$K$1:$K$600,$B94)))</f>
        <v>7.84741144414169</v>
      </c>
      <c r="M94" s="68" t="str">
        <f aca="false">IF($B94="","",IF(INDEX('Master Database'!$L$1:$L$600,$B94)="","",INDEX('Master Database'!$L$1:$L$600,$B94)))</f>
        <v>ISO 5199 + IPS-M-PM-115</v>
      </c>
      <c r="N94" s="68" t="str">
        <f aca="false">IF($B94="","",IF(INDEX('Master Database'!$P$1:$P$600,$B94)="","",INDEX('Master Database'!$P$1:$P$600,$B94)))</f>
        <v>Not stated</v>
      </c>
      <c r="O94" s="68" t="str">
        <f aca="false">IF($B94="","",IF(INDEX('Master Database'!$S$1:$S$600,$B94)="","",INDEX('Master Database'!$S$1:$S$600,$B94)))</f>
        <v>Electric Motor</v>
      </c>
      <c r="P94" s="68" t="str">
        <f aca="false">IF($B94="","",IF(INDEX('Master Database'!$T$1:$T$600,$B94)="","",INDEX('Master Database'!$T$1:$T$600,$B94)))</f>
        <v>Deaerated Water</v>
      </c>
      <c r="Q94" s="68" t="n">
        <f aca="false">IF($B94="","",IF(INDEX('Master Database'!$Y$1:$Y$600,$B94)="","",INDEX('Master Database'!$Y$1:$Y$600,$B94)))</f>
        <v>1393</v>
      </c>
      <c r="R94" s="68" t="str">
        <f aca="false">IF($B94="","",IF(INDEX('Master Database'!$Z$1:$Z$600,$B94)="","",INDEX('Master Database'!$Z$1:$Z$600,$B94)))</f>
        <v>EUR</v>
      </c>
      <c r="S94" s="70" t="n">
        <f aca="false">IF($B94="","",IF(INDEX('Master Database'!$AA$1:$AA$600,$B94)="","",INDEX('Master Database'!$AA$1:$AA$600,$B94)))</f>
        <v>6500</v>
      </c>
      <c r="T94" s="68" t="str">
        <f aca="false">IF($B94="","",IF(INDEX('Master Database'!$AE$1:$AE$600,$B94)="","",INDEX('Master Database'!$AE$1:$AE$600,$B94)))</f>
        <v>Consultant FEED MTO estimate – KPL-476 R03 (Jan 2016); vendor-level price in EUR, before project overhead | source label: AACE Class 3</v>
      </c>
      <c r="U94" s="70" t="n">
        <f aca="false">IF($B94="","",IF(INDEX('Master Database'!$AG$1:$AG$600,$B94)="","",INDEX('Master Database'!$AG$1:$AG$600,$B94)))</f>
        <v>8781.9413883324</v>
      </c>
      <c r="V94" s="70" t="n">
        <f aca="false">IF($B94="","",IF(INDEX('Master Database'!$AH$1:$AH$600,$B94)="","",INDEX('Master Database'!$AH$1:$AH$600,$B94)))</f>
        <v>9271.82514040009</v>
      </c>
      <c r="W94" s="70" t="n">
        <f aca="false">IF($B94="","",IF(INDEX('Master Database'!$AI$1:$AI$600,$B94)="","",INDEX('Master Database'!$AI$1:$AI$600,$B94)))</f>
        <v>6105802825.18309</v>
      </c>
      <c r="X94" s="68" t="str">
        <f aca="false">IF($B94="","",IF(INDEX('Master Database'!$BG$1:$BG$600,$B94)="","",INDEX('Master Database'!$BG$1:$BG$600,$B94)))</f>
        <v>Y</v>
      </c>
      <c r="BA94" s="65" t="n">
        <f aca="false">IF('Master Database'!$A94="",0,IF(AND(OR($B$5="",ISNUMBER(SEARCH($B$5,'Master Database'!$B94&amp;" "&amp;'Master Database'!$D94))),OR($B$6="(All)",'Master Database'!$C94=$B$6),OR($B$7="(All)",'Master Database'!$E94=$B$7),OR($B$8="(All)",'Master Database'!$T94=$B$8),OR($B$9="(All)",'Master Database'!$M94=$B$9),OR($B$10="(All)",'Master Database'!$V94=$B$10),OR($E$5="(All)",'Master Database'!$F94=$E$5),OR($E$6="(All)",'Master Database'!$G94=$E$6),OR($E$7="(All)",'Master Database'!$O94=$E$7),OR($E$8="(All)",'Master Database'!$P94=$E$8),OR($E$9="(All)",'Master Database'!$S94=$E$9),OR($E$10="(All)",'Master Database'!$Y94&amp;""=$E$10&amp;""),OR($H$5="(All)",'Master Database'!$BG94=$H$5),OR($H$6&lt;&gt;"Y",ISNUMBER('Master Database'!$AG94)),OR($H$7="",AND(ISNUMBER('Master Database'!$H94),N('Master Database'!$H94)&gt;=$H$7)),OR($I$7="",AND(ISNUMBER('Master Database'!$H94),N('Master Database'!$H94)&lt;=$I$7)),OR($H$8="",AND(ISNUMBER('Master Database'!$I94),N('Master Database'!$I94)&gt;=$H$8)),OR($I$8="",AND(ISNUMBER('Master Database'!$I94),N('Master Database'!$I94)&lt;=$I$8)),OR($H$9="",AND(ISNUMBER('Master Database'!$K94),N('Master Database'!$K94)&gt;=$H$9)),OR($I$9="",AND(ISNUMBER('Master Database'!$K94),N('Master Database'!$K94)&lt;=$I$9))),1,0))</f>
        <v>1</v>
      </c>
      <c r="BB94" s="65" t="n">
        <f aca="false">IF(BA94=1,COUNTIF($BA$5:BA94,1),"")</f>
        <v>90</v>
      </c>
    </row>
    <row r="95" customFormat="false" ht="15" hidden="false" customHeight="false" outlineLevel="0" collapsed="false">
      <c r="A95" s="67" t="n">
        <f aca="false">IF(80&lt;=SUM($BA$5:$BA$600),80,"")</f>
        <v>80</v>
      </c>
      <c r="B95" s="67" t="n">
        <f aca="false">IF(A95="","",MATCH(A95,$BB$5:$BB$600,0)+4)</f>
        <v>84</v>
      </c>
      <c r="C95" s="67" t="n">
        <f aca="false">IF($B95="","",IF(INDEX('Master Database'!$A$1:$A$600,$B95)="","",INDEX('Master Database'!$A$1:$A$600,$B95)))</f>
        <v>80</v>
      </c>
      <c r="D95" s="68" t="str">
        <f aca="false">IF($B95="","",IF(INDEX('Master Database'!$B$1:$B$600,$B95)="","",INDEX('Master Database'!$B$1:$B$600,$B95)))</f>
        <v>Potable Water Loading Pumps</v>
      </c>
      <c r="E95" s="68" t="str">
        <f aca="false">IF($B95="","",IF(INDEX('Master Database'!$C$1:$C$600,$B95)="","",INDEX('Master Database'!$C$1:$C$600,$B95)))</f>
        <v>Koopal Asmari</v>
      </c>
      <c r="F95" s="68" t="str">
        <f aca="false">IF($B95="","",IF(INDEX('Master Database'!$D$1:$D$600,$B95)="","",INDEX('Master Database'!$D$1:$D$600,$B95)))</f>
        <v>P-158</v>
      </c>
      <c r="G95" s="68" t="str">
        <f aca="false">IF($B95="","",IF(INDEX('Master Database'!$E$1:$E$600,$B95)="","",INDEX('Master Database'!$E$1:$E$600,$B95)))</f>
        <v>ROT-WAT</v>
      </c>
      <c r="H95" s="68" t="str">
        <f aca="false">IF($B95="","",IF(INDEX('Master Database'!$F$1:$F$600,$B95)="","",INDEX('Master Database'!$F$1:$F$600,$B95)))</f>
        <v>N/A (non-API 610)</v>
      </c>
      <c r="I95" s="68" t="str">
        <f aca="false">IF($B95="","",IF(INDEX('Master Database'!$G$1:$G$600,$B95)="","",INDEX('Master Database'!$G$1:$G$600,$B95)))</f>
        <v>I-2</v>
      </c>
      <c r="J95" s="69" t="n">
        <f aca="false">IF($B95="","",IF(INDEX('Master Database'!$H$1:$H$600,$B95)="","",INDEX('Master Database'!$H$1:$H$600,$B95)))</f>
        <v>33</v>
      </c>
      <c r="K95" s="69" t="n">
        <f aca="false">IF($B95="","",IF(INDEX('Master Database'!$I$1:$I$600,$B95)="","",INDEX('Master Database'!$I$1:$I$600,$B95)))</f>
        <v>31</v>
      </c>
      <c r="L95" s="69" t="n">
        <f aca="false">IF($B95="","",IF(INDEX('Master Database'!$K$1:$K$600,$B95)="","",INDEX('Master Database'!$K$1:$K$600,$B95)))</f>
        <v>4.64577656675749</v>
      </c>
      <c r="M95" s="68" t="str">
        <f aca="false">IF($B95="","",IF(INDEX('Master Database'!$L$1:$L$600,$B95)="","",INDEX('Master Database'!$L$1:$L$600,$B95)))</f>
        <v>ISO 5199 + IPS-M-PM-115</v>
      </c>
      <c r="N95" s="68" t="str">
        <f aca="false">IF($B95="","",IF(INDEX('Master Database'!$P$1:$P$600,$B95)="","",INDEX('Master Database'!$P$1:$P$600,$B95)))</f>
        <v>Not stated</v>
      </c>
      <c r="O95" s="68" t="str">
        <f aca="false">IF($B95="","",IF(INDEX('Master Database'!$S$1:$S$600,$B95)="","",INDEX('Master Database'!$S$1:$S$600,$B95)))</f>
        <v>Electric Motor</v>
      </c>
      <c r="P95" s="68" t="str">
        <f aca="false">IF($B95="","",IF(INDEX('Master Database'!$T$1:$T$600,$B95)="","",INDEX('Master Database'!$T$1:$T$600,$B95)))</f>
        <v>Fresh / Potable Water</v>
      </c>
      <c r="Q95" s="68" t="n">
        <f aca="false">IF($B95="","",IF(INDEX('Master Database'!$Y$1:$Y$600,$B95)="","",INDEX('Master Database'!$Y$1:$Y$600,$B95)))</f>
        <v>1393</v>
      </c>
      <c r="R95" s="68" t="str">
        <f aca="false">IF($B95="","",IF(INDEX('Master Database'!$Z$1:$Z$600,$B95)="","",INDEX('Master Database'!$Z$1:$Z$600,$B95)))</f>
        <v>EUR</v>
      </c>
      <c r="S95" s="70" t="n">
        <f aca="false">IF($B95="","",IF(INDEX('Master Database'!$AA$1:$AA$600,$B95)="","",INDEX('Master Database'!$AA$1:$AA$600,$B95)))</f>
        <v>6500</v>
      </c>
      <c r="T95" s="68" t="str">
        <f aca="false">IF($B95="","",IF(INDEX('Master Database'!$AE$1:$AE$600,$B95)="","",INDEX('Master Database'!$AE$1:$AE$600,$B95)))</f>
        <v>Consultant FEED MTO estimate – KPL-476 R03 (Jan 2016); vendor-level price in EUR, before project overhead | source label: AACE Class 3</v>
      </c>
      <c r="U95" s="70" t="n">
        <f aca="false">IF($B95="","",IF(INDEX('Master Database'!$AG$1:$AG$600,$B95)="","",INDEX('Master Database'!$AG$1:$AG$600,$B95)))</f>
        <v>8781.9413883324</v>
      </c>
      <c r="V95" s="70" t="n">
        <f aca="false">IF($B95="","",IF(INDEX('Master Database'!$AH$1:$AH$600,$B95)="","",INDEX('Master Database'!$AH$1:$AH$600,$B95)))</f>
        <v>9271.82514040009</v>
      </c>
      <c r="W95" s="70" t="n">
        <f aca="false">IF($B95="","",IF(INDEX('Master Database'!$AI$1:$AI$600,$B95)="","",INDEX('Master Database'!$AI$1:$AI$600,$B95)))</f>
        <v>6105802825.18309</v>
      </c>
      <c r="X95" s="68" t="str">
        <f aca="false">IF($B95="","",IF(INDEX('Master Database'!$BG$1:$BG$600,$B95)="","",INDEX('Master Database'!$BG$1:$BG$600,$B95)))</f>
        <v>Y</v>
      </c>
      <c r="BA95" s="65" t="n">
        <f aca="false">IF('Master Database'!$A95="",0,IF(AND(OR($B$5="",ISNUMBER(SEARCH($B$5,'Master Database'!$B95&amp;" "&amp;'Master Database'!$D95))),OR($B$6="(All)",'Master Database'!$C95=$B$6),OR($B$7="(All)",'Master Database'!$E95=$B$7),OR($B$8="(All)",'Master Database'!$T95=$B$8),OR($B$9="(All)",'Master Database'!$M95=$B$9),OR($B$10="(All)",'Master Database'!$V95=$B$10),OR($E$5="(All)",'Master Database'!$F95=$E$5),OR($E$6="(All)",'Master Database'!$G95=$E$6),OR($E$7="(All)",'Master Database'!$O95=$E$7),OR($E$8="(All)",'Master Database'!$P95=$E$8),OR($E$9="(All)",'Master Database'!$S95=$E$9),OR($E$10="(All)",'Master Database'!$Y95&amp;""=$E$10&amp;""),OR($H$5="(All)",'Master Database'!$BG95=$H$5),OR($H$6&lt;&gt;"Y",ISNUMBER('Master Database'!$AG95)),OR($H$7="",AND(ISNUMBER('Master Database'!$H95),N('Master Database'!$H95)&gt;=$H$7)),OR($I$7="",AND(ISNUMBER('Master Database'!$H95),N('Master Database'!$H95)&lt;=$I$7)),OR($H$8="",AND(ISNUMBER('Master Database'!$I95),N('Master Database'!$I95)&gt;=$H$8)),OR($I$8="",AND(ISNUMBER('Master Database'!$I95),N('Master Database'!$I95)&lt;=$I$8)),OR($H$9="",AND(ISNUMBER('Master Database'!$K95),N('Master Database'!$K95)&gt;=$H$9)),OR($I$9="",AND(ISNUMBER('Master Database'!$K95),N('Master Database'!$K95)&lt;=$I$9))),1,0))</f>
        <v>1</v>
      </c>
      <c r="BB95" s="65" t="n">
        <f aca="false">IF(BA95=1,COUNTIF($BA$5:BA95,1),"")</f>
        <v>91</v>
      </c>
    </row>
    <row r="96" customFormat="false" ht="15" hidden="false" customHeight="false" outlineLevel="0" collapsed="false">
      <c r="A96" s="67" t="n">
        <f aca="false">IF(81&lt;=SUM($BA$5:$BA$600),81,"")</f>
        <v>81</v>
      </c>
      <c r="B96" s="67" t="n">
        <f aca="false">IF(A96="","",MATCH(A96,$BB$5:$BB$600,0)+4)</f>
        <v>85</v>
      </c>
      <c r="C96" s="67" t="n">
        <f aca="false">IF($B96="","",IF(INDEX('Master Database'!$A$1:$A$600,$B96)="","",INDEX('Master Database'!$A$1:$A$600,$B96)))</f>
        <v>81</v>
      </c>
      <c r="D96" s="68" t="str">
        <f aca="false">IF($B96="","",IF(INDEX('Master Database'!$B$1:$B$600,$B96)="","",INDEX('Master Database'!$B$1:$B$600,$B96)))</f>
        <v>Flare K.O. Drums Sump Pump</v>
      </c>
      <c r="E96" s="68" t="str">
        <f aca="false">IF($B96="","",IF(INDEX('Master Database'!$C$1:$C$600,$B96)="","",INDEX('Master Database'!$C$1:$C$600,$B96)))</f>
        <v>Koopal Asmari</v>
      </c>
      <c r="F96" s="68" t="str">
        <f aca="false">IF($B96="","",IF(INDEX('Master Database'!$D$1:$D$600,$B96)="","",INDEX('Master Database'!$D$1:$D$600,$B96)))</f>
        <v>P-172</v>
      </c>
      <c r="G96" s="68" t="str">
        <f aca="false">IF($B96="","",IF(INDEX('Master Database'!$E$1:$E$600,$B96)="","",INDEX('Master Database'!$E$1:$E$600,$B96)))</f>
        <v>ROT-DRN</v>
      </c>
      <c r="H96" s="68" t="str">
        <f aca="false">IF($B96="","",IF(INDEX('Master Database'!$F$1:$F$600,$B96)="","",INDEX('Master Database'!$F$1:$F$600,$B96)))</f>
        <v>VS4</v>
      </c>
      <c r="I96" s="68" t="str">
        <f aca="false">IF($B96="","",IF(INDEX('Master Database'!$G$1:$G$600,$B96)="","",INDEX('Master Database'!$G$1:$G$600,$B96)))</f>
        <v>S-6</v>
      </c>
      <c r="J96" s="69" t="n">
        <f aca="false">IF($B96="","",IF(INDEX('Master Database'!$H$1:$H$600,$B96)="","",INDEX('Master Database'!$H$1:$H$600,$B96)))</f>
        <v>5.5</v>
      </c>
      <c r="K96" s="69" t="n">
        <f aca="false">IF($B96="","",IF(INDEX('Master Database'!$I$1:$I$600,$B96)="","",INDEX('Master Database'!$I$1:$I$600,$B96)))</f>
        <v>43</v>
      </c>
      <c r="L96" s="69" t="n">
        <f aca="false">IF($B96="","",IF(INDEX('Master Database'!$K$1:$K$600,$B96)="","",INDEX('Master Database'!$K$1:$K$600,$B96)))</f>
        <v>1.07402361489555</v>
      </c>
      <c r="M96" s="68" t="str">
        <f aca="false">IF($B96="","",IF(INDEX('Master Database'!$L$1:$L$600,$B96)="","",INDEX('Master Database'!$L$1:$L$600,$B96)))</f>
        <v>API 610 + IPS-G-PM-105</v>
      </c>
      <c r="N96" s="68" t="str">
        <f aca="false">IF($B96="","",IF(INDEX('Master Database'!$P$1:$P$600,$B96)="","",INDEX('Master Database'!$P$1:$P$600,$B96)))</f>
        <v>Not stated</v>
      </c>
      <c r="O96" s="68" t="str">
        <f aca="false">IF($B96="","",IF(INDEX('Master Database'!$S$1:$S$600,$B96)="","",INDEX('Master Database'!$S$1:$S$600,$B96)))</f>
        <v>Electric Motor</v>
      </c>
      <c r="P96" s="68" t="str">
        <f aca="false">IF($B96="","",IF(INDEX('Master Database'!$T$1:$T$600,$B96)="","",INDEX('Master Database'!$T$1:$T$600,$B96)))</f>
        <v>Oily Water / Drain</v>
      </c>
      <c r="Q96" s="68" t="n">
        <f aca="false">IF($B96="","",IF(INDEX('Master Database'!$Y$1:$Y$600,$B96)="","",INDEX('Master Database'!$Y$1:$Y$600,$B96)))</f>
        <v>1393</v>
      </c>
      <c r="R96" s="68" t="str">
        <f aca="false">IF($B96="","",IF(INDEX('Master Database'!$Z$1:$Z$600,$B96)="","",INDEX('Master Database'!$Z$1:$Z$600,$B96)))</f>
        <v>EUR</v>
      </c>
      <c r="S96" s="70" t="n">
        <f aca="false">IF($B96="","",IF(INDEX('Master Database'!$AA$1:$AA$600,$B96)="","",INDEX('Master Database'!$AA$1:$AA$600,$B96)))</f>
        <v>10000</v>
      </c>
      <c r="T96" s="68" t="str">
        <f aca="false">IF($B96="","",IF(INDEX('Master Database'!$AE$1:$AE$600,$B96)="","",INDEX('Master Database'!$AE$1:$AE$600,$B96)))</f>
        <v>Consultant FEED MTO estimate – KPL-476 R03 (Jan 2016); vendor-level price in EUR, before project overhead | source label: AACE Class 3</v>
      </c>
      <c r="U96" s="70" t="n">
        <f aca="false">IF($B96="","",IF(INDEX('Master Database'!$AG$1:$AG$600,$B96)="","",INDEX('Master Database'!$AG$1:$AG$600,$B96)))</f>
        <v>25000</v>
      </c>
      <c r="V96" s="70" t="n">
        <f aca="false">IF($B96="","",IF(INDEX('Master Database'!$AH$1:$AH$600,$B96)="","",INDEX('Master Database'!$AH$1:$AH$600,$B96)))</f>
        <v>26394.5770371416</v>
      </c>
      <c r="W96" s="70" t="n">
        <f aca="false">IF($B96="","",IF(INDEX('Master Database'!$AI$1:$AI$600,$B96)="","",INDEX('Master Database'!$AI$1:$AI$600,$B96)))</f>
        <v>17381700000</v>
      </c>
      <c r="X96" s="68" t="str">
        <f aca="false">IF($B96="","",IF(INDEX('Master Database'!$BG$1:$BG$600,$B96)="","",INDEX('Master Database'!$BG$1:$BG$600,$B96)))</f>
        <v>Y</v>
      </c>
      <c r="BA96" s="65" t="n">
        <f aca="false">IF('Master Database'!$A96="",0,IF(AND(OR($B$5="",ISNUMBER(SEARCH($B$5,'Master Database'!$B96&amp;" "&amp;'Master Database'!$D96))),OR($B$6="(All)",'Master Database'!$C96=$B$6),OR($B$7="(All)",'Master Database'!$E96=$B$7),OR($B$8="(All)",'Master Database'!$T96=$B$8),OR($B$9="(All)",'Master Database'!$M96=$B$9),OR($B$10="(All)",'Master Database'!$V96=$B$10),OR($E$5="(All)",'Master Database'!$F96=$E$5),OR($E$6="(All)",'Master Database'!$G96=$E$6),OR($E$7="(All)",'Master Database'!$O96=$E$7),OR($E$8="(All)",'Master Database'!$P96=$E$8),OR($E$9="(All)",'Master Database'!$S96=$E$9),OR($E$10="(All)",'Master Database'!$Y96&amp;""=$E$10&amp;""),OR($H$5="(All)",'Master Database'!$BG96=$H$5),OR($H$6&lt;&gt;"Y",ISNUMBER('Master Database'!$AG96)),OR($H$7="",AND(ISNUMBER('Master Database'!$H96),N('Master Database'!$H96)&gt;=$H$7)),OR($I$7="",AND(ISNUMBER('Master Database'!$H96),N('Master Database'!$H96)&lt;=$I$7)),OR($H$8="",AND(ISNUMBER('Master Database'!$I96),N('Master Database'!$I96)&gt;=$H$8)),OR($I$8="",AND(ISNUMBER('Master Database'!$I96),N('Master Database'!$I96)&lt;=$I$8)),OR($H$9="",AND(ISNUMBER('Master Database'!$K96),N('Master Database'!$K96)&gt;=$H$9)),OR($I$9="",AND(ISNUMBER('Master Database'!$K96),N('Master Database'!$K96)&lt;=$I$9))),1,0))</f>
        <v>1</v>
      </c>
      <c r="BB96" s="65" t="n">
        <f aca="false">IF(BA96=1,COUNTIF($BA$5:BA96,1),"")</f>
        <v>92</v>
      </c>
    </row>
    <row r="97" customFormat="false" ht="15" hidden="false" customHeight="false" outlineLevel="0" collapsed="false">
      <c r="A97" s="67" t="n">
        <f aca="false">IF(82&lt;=SUM($BA$5:$BA$600),82,"")</f>
        <v>82</v>
      </c>
      <c r="B97" s="67" t="n">
        <f aca="false">IF(A97="","",MATCH(A97,$BB$5:$BB$600,0)+4)</f>
        <v>86</v>
      </c>
      <c r="C97" s="67" t="n">
        <f aca="false">IF($B97="","",IF(INDEX('Master Database'!$A$1:$A$600,$B97)="","",INDEX('Master Database'!$A$1:$A$600,$B97)))</f>
        <v>82</v>
      </c>
      <c r="D97" s="68" t="str">
        <f aca="false">IF($B97="","",IF(INDEX('Master Database'!$B$1:$B$600,$B97)="","",INDEX('Master Database'!$B$1:$B$600,$B97)))</f>
        <v>Fuel Oil Pump</v>
      </c>
      <c r="E97" s="68" t="str">
        <f aca="false">IF($B97="","",IF(INDEX('Master Database'!$C$1:$C$600,$B97)="","",INDEX('Master Database'!$C$1:$C$600,$B97)))</f>
        <v>Koopal Asmari</v>
      </c>
      <c r="F97" s="68" t="str">
        <f aca="false">IF($B97="","",IF(INDEX('Master Database'!$D$1:$D$600,$B97)="","",INDEX('Master Database'!$D$1:$D$600,$B97)))</f>
        <v>P-201</v>
      </c>
      <c r="G97" s="68" t="str">
        <f aca="false">IF($B97="","",IF(INDEX('Master Database'!$E$1:$E$600,$B97)="","",INDEX('Master Database'!$E$1:$E$600,$B97)))</f>
        <v>ROT-AUX</v>
      </c>
      <c r="H97" s="68" t="str">
        <f aca="false">IF($B97="","",IF(INDEX('Master Database'!$F$1:$F$600,$B97)="","",INDEX('Master Database'!$F$1:$F$600,$B97)))</f>
        <v>N/A (non-API 610)</v>
      </c>
      <c r="I97" s="68" t="str">
        <f aca="false">IF($B97="","",IF(INDEX('Master Database'!$G$1:$G$600,$B97)="","",INDEX('Master Database'!$G$1:$G$600,$B97)))</f>
        <v>S-1</v>
      </c>
      <c r="J97" s="69" t="n">
        <f aca="false">IF($B97="","",IF(INDEX('Master Database'!$H$1:$H$600,$B97)="","",INDEX('Master Database'!$H$1:$H$600,$B97)))</f>
        <v>10</v>
      </c>
      <c r="K97" s="69" t="n">
        <f aca="false">IF($B97="","",IF(INDEX('Master Database'!$I$1:$I$600,$B97)="","",INDEX('Master Database'!$I$1:$I$600,$B97)))</f>
        <v>41</v>
      </c>
      <c r="L97" s="69" t="n">
        <f aca="false">IF($B97="","",IF(INDEX('Master Database'!$K$1:$K$600,$B97)="","",INDEX('Master Database'!$K$1:$K$600,$B97)))</f>
        <v>1.86194368755677</v>
      </c>
      <c r="M97" s="68" t="str">
        <f aca="false">IF($B97="","",IF(INDEX('Master Database'!$L$1:$L$600,$B97)="","",INDEX('Master Database'!$L$1:$L$600,$B97)))</f>
        <v>ISO 5199 + IPS-M-PM-115</v>
      </c>
      <c r="N97" s="68" t="str">
        <f aca="false">IF($B97="","",IF(INDEX('Master Database'!$P$1:$P$600,$B97)="","",INDEX('Master Database'!$P$1:$P$600,$B97)))</f>
        <v>Not stated</v>
      </c>
      <c r="O97" s="68" t="str">
        <f aca="false">IF($B97="","",IF(INDEX('Master Database'!$S$1:$S$600,$B97)="","",INDEX('Master Database'!$S$1:$S$600,$B97)))</f>
        <v>Electric Motor</v>
      </c>
      <c r="P97" s="68" t="str">
        <f aca="false">IF($B97="","",IF(INDEX('Master Database'!$T$1:$T$600,$B97)="","",INDEX('Master Database'!$T$1:$T$600,$B97)))</f>
        <v>Diesel / Fuel Oil</v>
      </c>
      <c r="Q97" s="68" t="n">
        <f aca="false">IF($B97="","",IF(INDEX('Master Database'!$Y$1:$Y$600,$B97)="","",INDEX('Master Database'!$Y$1:$Y$600,$B97)))</f>
        <v>1393</v>
      </c>
      <c r="R97" s="68" t="str">
        <f aca="false">IF($B97="","",IF(INDEX('Master Database'!$Z$1:$Z$600,$B97)="","",INDEX('Master Database'!$Z$1:$Z$600,$B97)))</f>
        <v>EUR</v>
      </c>
      <c r="S97" s="70" t="n">
        <f aca="false">IF($B97="","",IF(INDEX('Master Database'!$AA$1:$AA$600,$B97)="","",INDEX('Master Database'!$AA$1:$AA$600,$B97)))</f>
        <v>7000</v>
      </c>
      <c r="T97" s="68" t="str">
        <f aca="false">IF($B97="","",IF(INDEX('Master Database'!$AE$1:$AE$600,$B97)="","",INDEX('Master Database'!$AE$1:$AE$600,$B97)))</f>
        <v>Consultant FEED MTO estimate – KPL-476 R03 (Jan 2016); vendor-level price in EUR, before project overhead | source label: AACE Class 3</v>
      </c>
      <c r="U97" s="70" t="n">
        <f aca="false">IF($B97="","",IF(INDEX('Master Database'!$AG$1:$AG$600,$B97)="","",INDEX('Master Database'!$AG$1:$AG$600,$B97)))</f>
        <v>9457.47534128105</v>
      </c>
      <c r="V97" s="70" t="n">
        <f aca="false">IF($B97="","",IF(INDEX('Master Database'!$AH$1:$AH$600,$B97)="","",INDEX('Master Database'!$AH$1:$AH$600,$B97)))</f>
        <v>9985.04245889241</v>
      </c>
      <c r="W97" s="70" t="n">
        <f aca="false">IF($B97="","",IF(INDEX('Master Database'!$AI$1:$AI$600,$B97)="","",INDEX('Master Database'!$AI$1:$AI$600,$B97)))</f>
        <v>6575479965.58179</v>
      </c>
      <c r="X97" s="68" t="str">
        <f aca="false">IF($B97="","",IF(INDEX('Master Database'!$BG$1:$BG$600,$B97)="","",INDEX('Master Database'!$BG$1:$BG$600,$B97)))</f>
        <v>Y</v>
      </c>
      <c r="BA97" s="65" t="n">
        <f aca="false">IF('Master Database'!$A97="",0,IF(AND(OR($B$5="",ISNUMBER(SEARCH($B$5,'Master Database'!$B97&amp;" "&amp;'Master Database'!$D97))),OR($B$6="(All)",'Master Database'!$C97=$B$6),OR($B$7="(All)",'Master Database'!$E97=$B$7),OR($B$8="(All)",'Master Database'!$T97=$B$8),OR($B$9="(All)",'Master Database'!$M97=$B$9),OR($B$10="(All)",'Master Database'!$V97=$B$10),OR($E$5="(All)",'Master Database'!$F97=$E$5),OR($E$6="(All)",'Master Database'!$G97=$E$6),OR($E$7="(All)",'Master Database'!$O97=$E$7),OR($E$8="(All)",'Master Database'!$P97=$E$8),OR($E$9="(All)",'Master Database'!$S97=$E$9),OR($E$10="(All)",'Master Database'!$Y97&amp;""=$E$10&amp;""),OR($H$5="(All)",'Master Database'!$BG97=$H$5),OR($H$6&lt;&gt;"Y",ISNUMBER('Master Database'!$AG97)),OR($H$7="",AND(ISNUMBER('Master Database'!$H97),N('Master Database'!$H97)&gt;=$H$7)),OR($I$7="",AND(ISNUMBER('Master Database'!$H97),N('Master Database'!$H97)&lt;=$I$7)),OR($H$8="",AND(ISNUMBER('Master Database'!$I97),N('Master Database'!$I97)&gt;=$H$8)),OR($I$8="",AND(ISNUMBER('Master Database'!$I97),N('Master Database'!$I97)&lt;=$I$8)),OR($H$9="",AND(ISNUMBER('Master Database'!$K97),N('Master Database'!$K97)&gt;=$H$9)),OR($I$9="",AND(ISNUMBER('Master Database'!$K97),N('Master Database'!$K97)&lt;=$I$9))),1,0))</f>
        <v>1</v>
      </c>
      <c r="BB97" s="65" t="n">
        <f aca="false">IF(BA97=1,COUNTIF($BA$5:BA97,1),"")</f>
        <v>93</v>
      </c>
    </row>
    <row r="98" customFormat="false" ht="15" hidden="false" customHeight="false" outlineLevel="0" collapsed="false">
      <c r="A98" s="67" t="n">
        <f aca="false">IF(83&lt;=SUM($BA$5:$BA$600),83,"")</f>
        <v>83</v>
      </c>
      <c r="B98" s="67" t="n">
        <f aca="false">IF(A98="","",MATCH(A98,$BB$5:$BB$600,0)+4)</f>
        <v>87</v>
      </c>
      <c r="C98" s="67" t="n">
        <f aca="false">IF($B98="","",IF(INDEX('Master Database'!$A$1:$A$600,$B98)="","",INDEX('Master Database'!$A$1:$A$600,$B98)))</f>
        <v>83</v>
      </c>
      <c r="D98" s="68" t="str">
        <f aca="false">IF($B98="","",IF(INDEX('Master Database'!$B$1:$B$600,$B98)="","",INDEX('Master Database'!$B$1:$B$600,$B98)))</f>
        <v>Closed Drain Drums Sump Pump</v>
      </c>
      <c r="E98" s="68" t="str">
        <f aca="false">IF($B98="","",IF(INDEX('Master Database'!$C$1:$C$600,$B98)="","",INDEX('Master Database'!$C$1:$C$600,$B98)))</f>
        <v>Koopal Asmari</v>
      </c>
      <c r="F98" s="68" t="str">
        <f aca="false">IF($B98="","",IF(INDEX('Master Database'!$D$1:$D$600,$B98)="","",INDEX('Master Database'!$D$1:$D$600,$B98)))</f>
        <v>P-235</v>
      </c>
      <c r="G98" s="68" t="str">
        <f aca="false">IF($B98="","",IF(INDEX('Master Database'!$E$1:$E$600,$B98)="","",INDEX('Master Database'!$E$1:$E$600,$B98)))</f>
        <v>ROT-DRN</v>
      </c>
      <c r="H98" s="68" t="str">
        <f aca="false">IF($B98="","",IF(INDEX('Master Database'!$F$1:$F$600,$B98)="","",INDEX('Master Database'!$F$1:$F$600,$B98)))</f>
        <v>VS4</v>
      </c>
      <c r="I98" s="68" t="str">
        <f aca="false">IF($B98="","",IF(INDEX('Master Database'!$G$1:$G$600,$B98)="","",INDEX('Master Database'!$G$1:$G$600,$B98)))</f>
        <v>S-6</v>
      </c>
      <c r="J98" s="69" t="n">
        <f aca="false">IF($B98="","",IF(INDEX('Master Database'!$H$1:$H$600,$B98)="","",INDEX('Master Database'!$H$1:$H$600,$B98)))</f>
        <v>5.5</v>
      </c>
      <c r="K98" s="69" t="n">
        <f aca="false">IF($B98="","",IF(INDEX('Master Database'!$I$1:$I$600,$B98)="","",INDEX('Master Database'!$I$1:$I$600,$B98)))</f>
        <v>31</v>
      </c>
      <c r="L98" s="69" t="n">
        <f aca="false">IF($B98="","",IF(INDEX('Master Database'!$K$1:$K$600,$B98)="","",INDEX('Master Database'!$K$1:$K$600,$B98)))</f>
        <v>0.774296094459582</v>
      </c>
      <c r="M98" s="68" t="str">
        <f aca="false">IF($B98="","",IF(INDEX('Master Database'!$L$1:$L$600,$B98)="","",INDEX('Master Database'!$L$1:$L$600,$B98)))</f>
        <v>API 610 + IPS-G-PM-105</v>
      </c>
      <c r="N98" s="68" t="str">
        <f aca="false">IF($B98="","",IF(INDEX('Master Database'!$P$1:$P$600,$B98)="","",INDEX('Master Database'!$P$1:$P$600,$B98)))</f>
        <v>Not stated</v>
      </c>
      <c r="O98" s="68" t="str">
        <f aca="false">IF($B98="","",IF(INDEX('Master Database'!$S$1:$S$600,$B98)="","",INDEX('Master Database'!$S$1:$S$600,$B98)))</f>
        <v>Electric Motor</v>
      </c>
      <c r="P98" s="68" t="str">
        <f aca="false">IF($B98="","",IF(INDEX('Master Database'!$T$1:$T$600,$B98)="","",INDEX('Master Database'!$T$1:$T$600,$B98)))</f>
        <v>Oily Water / Drain</v>
      </c>
      <c r="Q98" s="68" t="n">
        <f aca="false">IF($B98="","",IF(INDEX('Master Database'!$Y$1:$Y$600,$B98)="","",INDEX('Master Database'!$Y$1:$Y$600,$B98)))</f>
        <v>1393</v>
      </c>
      <c r="R98" s="68" t="str">
        <f aca="false">IF($B98="","",IF(INDEX('Master Database'!$Z$1:$Z$600,$B98)="","",INDEX('Master Database'!$Z$1:$Z$600,$B98)))</f>
        <v>EUR</v>
      </c>
      <c r="S98" s="70" t="n">
        <f aca="false">IF($B98="","",IF(INDEX('Master Database'!$AA$1:$AA$600,$B98)="","",INDEX('Master Database'!$AA$1:$AA$600,$B98)))</f>
        <v>10000</v>
      </c>
      <c r="T98" s="68" t="str">
        <f aca="false">IF($B98="","",IF(INDEX('Master Database'!$AE$1:$AE$600,$B98)="","",INDEX('Master Database'!$AE$1:$AE$600,$B98)))</f>
        <v>Consultant FEED MTO estimate – KPL-476 R03 (Jan 2016); vendor-level price in EUR, before project overhead | source label: AACE Class 3</v>
      </c>
      <c r="U98" s="70" t="n">
        <f aca="false">IF($B98="","",IF(INDEX('Master Database'!$AG$1:$AG$600,$B98)="","",INDEX('Master Database'!$AG$1:$AG$600,$B98)))</f>
        <v>25000</v>
      </c>
      <c r="V98" s="70" t="n">
        <f aca="false">IF($B98="","",IF(INDEX('Master Database'!$AH$1:$AH$600,$B98)="","",INDEX('Master Database'!$AH$1:$AH$600,$B98)))</f>
        <v>26394.5770371416</v>
      </c>
      <c r="W98" s="70" t="n">
        <f aca="false">IF($B98="","",IF(INDEX('Master Database'!$AI$1:$AI$600,$B98)="","",INDEX('Master Database'!$AI$1:$AI$600,$B98)))</f>
        <v>17381700000</v>
      </c>
      <c r="X98" s="68" t="str">
        <f aca="false">IF($B98="","",IF(INDEX('Master Database'!$BG$1:$BG$600,$B98)="","",INDEX('Master Database'!$BG$1:$BG$600,$B98)))</f>
        <v>Y</v>
      </c>
      <c r="BA98" s="65" t="n">
        <f aca="false">IF('Master Database'!$A98="",0,IF(AND(OR($B$5="",ISNUMBER(SEARCH($B$5,'Master Database'!$B98&amp;" "&amp;'Master Database'!$D98))),OR($B$6="(All)",'Master Database'!$C98=$B$6),OR($B$7="(All)",'Master Database'!$E98=$B$7),OR($B$8="(All)",'Master Database'!$T98=$B$8),OR($B$9="(All)",'Master Database'!$M98=$B$9),OR($B$10="(All)",'Master Database'!$V98=$B$10),OR($E$5="(All)",'Master Database'!$F98=$E$5),OR($E$6="(All)",'Master Database'!$G98=$E$6),OR($E$7="(All)",'Master Database'!$O98=$E$7),OR($E$8="(All)",'Master Database'!$P98=$E$8),OR($E$9="(All)",'Master Database'!$S98=$E$9),OR($E$10="(All)",'Master Database'!$Y98&amp;""=$E$10&amp;""),OR($H$5="(All)",'Master Database'!$BG98=$H$5),OR($H$6&lt;&gt;"Y",ISNUMBER('Master Database'!$AG98)),OR($H$7="",AND(ISNUMBER('Master Database'!$H98),N('Master Database'!$H98)&gt;=$H$7)),OR($I$7="",AND(ISNUMBER('Master Database'!$H98),N('Master Database'!$H98)&lt;=$I$7)),OR($H$8="",AND(ISNUMBER('Master Database'!$I98),N('Master Database'!$I98)&gt;=$H$8)),OR($I$8="",AND(ISNUMBER('Master Database'!$I98),N('Master Database'!$I98)&lt;=$I$8)),OR($H$9="",AND(ISNUMBER('Master Database'!$K98),N('Master Database'!$K98)&gt;=$H$9)),OR($I$9="",AND(ISNUMBER('Master Database'!$K98),N('Master Database'!$K98)&lt;=$I$9))),1,0))</f>
        <v>1</v>
      </c>
      <c r="BB98" s="65" t="n">
        <f aca="false">IF(BA98=1,COUNTIF($BA$5:BA98,1),"")</f>
        <v>94</v>
      </c>
    </row>
    <row r="99" customFormat="false" ht="15" hidden="false" customHeight="false" outlineLevel="0" collapsed="false">
      <c r="A99" s="67" t="n">
        <f aca="false">IF(84&lt;=SUM($BA$5:$BA$600),84,"")</f>
        <v>84</v>
      </c>
      <c r="B99" s="67" t="n">
        <f aca="false">IF(A99="","",MATCH(A99,$BB$5:$BB$600,0)+4)</f>
        <v>88</v>
      </c>
      <c r="C99" s="67" t="n">
        <f aca="false">IF($B99="","",IF(INDEX('Master Database'!$A$1:$A$600,$B99)="","",INDEX('Master Database'!$A$1:$A$600,$B99)))</f>
        <v>84</v>
      </c>
      <c r="D99" s="68" t="str">
        <f aca="false">IF($B99="","",IF(INDEX('Master Database'!$B$1:$B$600,$B99)="","",INDEX('Master Database'!$B$1:$B$600,$B99)))</f>
        <v>Fire Water Pump-Elect. Motor Driven</v>
      </c>
      <c r="E99" s="68" t="str">
        <f aca="false">IF($B99="","",IF(INDEX('Master Database'!$C$1:$C$600,$B99)="","",INDEX('Master Database'!$C$1:$C$600,$B99)))</f>
        <v>Koopal Asmari</v>
      </c>
      <c r="F99" s="68" t="str">
        <f aca="false">IF($B99="","",IF(INDEX('Master Database'!$D$1:$D$600,$B99)="","",INDEX('Master Database'!$D$1:$D$600,$B99)))</f>
        <v>P-270</v>
      </c>
      <c r="G99" s="68" t="str">
        <f aca="false">IF($B99="","",IF(INDEX('Master Database'!$E$1:$E$600,$B99)="","",INDEX('Master Database'!$E$1:$E$600,$B99)))</f>
        <v>ROT-FIR</v>
      </c>
      <c r="H99" s="68" t="str">
        <f aca="false">IF($B99="","",IF(INDEX('Master Database'!$F$1:$F$600,$B99)="","",INDEX('Master Database'!$F$1:$F$600,$B99)))</f>
        <v>BB (unspecified)</v>
      </c>
      <c r="I99" s="68" t="str">
        <f aca="false">IF($B99="","",IF(INDEX('Master Database'!$G$1:$G$600,$B99)="","",INDEX('Master Database'!$G$1:$G$600,$B99)))</f>
        <v>I-2</v>
      </c>
      <c r="J99" s="69" t="n">
        <f aca="false">IF($B99="","",IF(INDEX('Master Database'!$H$1:$H$600,$B99)="","",INDEX('Master Database'!$H$1:$H$600,$B99)))</f>
        <v>770</v>
      </c>
      <c r="K99" s="69" t="n">
        <f aca="false">IF($B99="","",IF(INDEX('Master Database'!$I$1:$I$600,$B99)="","",INDEX('Master Database'!$I$1:$I$600,$B99)))</f>
        <v>107</v>
      </c>
      <c r="L99" s="69" t="n">
        <f aca="false">IF($B99="","",IF(INDEX('Master Database'!$K$1:$K$600,$B99)="","",INDEX('Master Database'!$K$1:$K$600,$B99)))</f>
        <v>374.159854677566</v>
      </c>
      <c r="M99" s="68" t="str">
        <f aca="false">IF($B99="","",IF(INDEX('Master Database'!$L$1:$L$600,$B99)="","",INDEX('Master Database'!$L$1:$L$600,$B99)))</f>
        <v>NFPA 20 + IPS-M-PM-125</v>
      </c>
      <c r="N99" s="68" t="str">
        <f aca="false">IF($B99="","",IF(INDEX('Master Database'!$P$1:$P$600,$B99)="","",INDEX('Master Database'!$P$1:$P$600,$B99)))</f>
        <v>Not stated</v>
      </c>
      <c r="O99" s="68" t="str">
        <f aca="false">IF($B99="","",IF(INDEX('Master Database'!$S$1:$S$600,$B99)="","",INDEX('Master Database'!$S$1:$S$600,$B99)))</f>
        <v>Electric Motor</v>
      </c>
      <c r="P99" s="68" t="str">
        <f aca="false">IF($B99="","",IF(INDEX('Master Database'!$T$1:$T$600,$B99)="","",INDEX('Master Database'!$T$1:$T$600,$B99)))</f>
        <v>Fire Water</v>
      </c>
      <c r="Q99" s="68" t="n">
        <f aca="false">IF($B99="","",IF(INDEX('Master Database'!$Y$1:$Y$600,$B99)="","",INDEX('Master Database'!$Y$1:$Y$600,$B99)))</f>
        <v>1393</v>
      </c>
      <c r="R99" s="68" t="str">
        <f aca="false">IF($B99="","",IF(INDEX('Master Database'!$Z$1:$Z$600,$B99)="","",INDEX('Master Database'!$Z$1:$Z$600,$B99)))</f>
        <v>EUR</v>
      </c>
      <c r="S99" s="70" t="n">
        <f aca="false">IF($B99="","",IF(INDEX('Master Database'!$AA$1:$AA$600,$B99)="","",INDEX('Master Database'!$AA$1:$AA$600,$B99)))</f>
        <v>70000</v>
      </c>
      <c r="T99" s="68" t="str">
        <f aca="false">IF($B99="","",IF(INDEX('Master Database'!$AE$1:$AE$600,$B99)="","",INDEX('Master Database'!$AE$1:$AE$600,$B99)))</f>
        <v>Consultant FEED MTO estimate – KPL-476 R03 (Jan 2016); vendor-level price in EUR, before project overhead | source label: AACE Class 3</v>
      </c>
      <c r="U99" s="70" t="n">
        <f aca="false">IF($B99="","",IF(INDEX('Master Database'!$AG$1:$AG$600,$B99)="","",INDEX('Master Database'!$AG$1:$AG$600,$B99)))</f>
        <v>94574.7534128105</v>
      </c>
      <c r="V99" s="70" t="n">
        <f aca="false">IF($B99="","",IF(INDEX('Master Database'!$AH$1:$AH$600,$B99)="","",INDEX('Master Database'!$AH$1:$AH$600,$B99)))</f>
        <v>99850.4245889241</v>
      </c>
      <c r="W99" s="70" t="n">
        <f aca="false">IF($B99="","",IF(INDEX('Master Database'!$AI$1:$AI$600,$B99)="","",INDEX('Master Database'!$AI$1:$AI$600,$B99)))</f>
        <v>65754799655.8179</v>
      </c>
      <c r="X99" s="68" t="str">
        <f aca="false">IF($B99="","",IF(INDEX('Master Database'!$BG$1:$BG$600,$B99)="","",INDEX('Master Database'!$BG$1:$BG$600,$B99)))</f>
        <v>Y</v>
      </c>
      <c r="BA99" s="65" t="n">
        <f aca="false">IF('Master Database'!$A99="",0,IF(AND(OR($B$5="",ISNUMBER(SEARCH($B$5,'Master Database'!$B99&amp;" "&amp;'Master Database'!$D99))),OR($B$6="(All)",'Master Database'!$C99=$B$6),OR($B$7="(All)",'Master Database'!$E99=$B$7),OR($B$8="(All)",'Master Database'!$T99=$B$8),OR($B$9="(All)",'Master Database'!$M99=$B$9),OR($B$10="(All)",'Master Database'!$V99=$B$10),OR($E$5="(All)",'Master Database'!$F99=$E$5),OR($E$6="(All)",'Master Database'!$G99=$E$6),OR($E$7="(All)",'Master Database'!$O99=$E$7),OR($E$8="(All)",'Master Database'!$P99=$E$8),OR($E$9="(All)",'Master Database'!$S99=$E$9),OR($E$10="(All)",'Master Database'!$Y99&amp;""=$E$10&amp;""),OR($H$5="(All)",'Master Database'!$BG99=$H$5),OR($H$6&lt;&gt;"Y",ISNUMBER('Master Database'!$AG99)),OR($H$7="",AND(ISNUMBER('Master Database'!$H99),N('Master Database'!$H99)&gt;=$H$7)),OR($I$7="",AND(ISNUMBER('Master Database'!$H99),N('Master Database'!$H99)&lt;=$I$7)),OR($H$8="",AND(ISNUMBER('Master Database'!$I99),N('Master Database'!$I99)&gt;=$H$8)),OR($I$8="",AND(ISNUMBER('Master Database'!$I99),N('Master Database'!$I99)&lt;=$I$8)),OR($H$9="",AND(ISNUMBER('Master Database'!$K99),N('Master Database'!$K99)&gt;=$H$9)),OR($I$9="",AND(ISNUMBER('Master Database'!$K99),N('Master Database'!$K99)&lt;=$I$9))),1,0))</f>
        <v>1</v>
      </c>
      <c r="BB99" s="65" t="n">
        <f aca="false">IF(BA99=1,COUNTIF($BA$5:BA99,1),"")</f>
        <v>95</v>
      </c>
    </row>
    <row r="100" customFormat="false" ht="15" hidden="false" customHeight="false" outlineLevel="0" collapsed="false">
      <c r="A100" s="67" t="n">
        <f aca="false">IF(85&lt;=SUM($BA$5:$BA$600),85,"")</f>
        <v>85</v>
      </c>
      <c r="B100" s="67" t="n">
        <f aca="false">IF(A100="","",MATCH(A100,$BB$5:$BB$600,0)+4)</f>
        <v>89</v>
      </c>
      <c r="C100" s="67" t="n">
        <f aca="false">IF($B100="","",IF(INDEX('Master Database'!$A$1:$A$600,$B100)="","",INDEX('Master Database'!$A$1:$A$600,$B100)))</f>
        <v>85</v>
      </c>
      <c r="D100" s="68" t="str">
        <f aca="false">IF($B100="","",IF(INDEX('Master Database'!$B$1:$B$600,$B100)="","",INDEX('Master Database'!$B$1:$B$600,$B100)))</f>
        <v>Fire Water Pump-Diesel Engine Driven</v>
      </c>
      <c r="E100" s="68" t="str">
        <f aca="false">IF($B100="","",IF(INDEX('Master Database'!$C$1:$C$600,$B100)="","",INDEX('Master Database'!$C$1:$C$600,$B100)))</f>
        <v>Koopal Asmari</v>
      </c>
      <c r="F100" s="68" t="str">
        <f aca="false">IF($B100="","",IF(INDEX('Master Database'!$D$1:$D$600,$B100)="","",INDEX('Master Database'!$D$1:$D$600,$B100)))</f>
        <v>P-271</v>
      </c>
      <c r="G100" s="68" t="str">
        <f aca="false">IF($B100="","",IF(INDEX('Master Database'!$E$1:$E$600,$B100)="","",INDEX('Master Database'!$E$1:$E$600,$B100)))</f>
        <v>ROT-FIR</v>
      </c>
      <c r="H100" s="68" t="str">
        <f aca="false">IF($B100="","",IF(INDEX('Master Database'!$F$1:$F$600,$B100)="","",INDEX('Master Database'!$F$1:$F$600,$B100)))</f>
        <v>BB (unspecified)</v>
      </c>
      <c r="I100" s="68" t="str">
        <f aca="false">IF($B100="","",IF(INDEX('Master Database'!$G$1:$G$600,$B100)="","",INDEX('Master Database'!$G$1:$G$600,$B100)))</f>
        <v>I-2</v>
      </c>
      <c r="J100" s="69" t="n">
        <f aca="false">IF($B100="","",IF(INDEX('Master Database'!$H$1:$H$600,$B100)="","",INDEX('Master Database'!$H$1:$H$600,$B100)))</f>
        <v>770</v>
      </c>
      <c r="K100" s="69" t="n">
        <f aca="false">IF($B100="","",IF(INDEX('Master Database'!$I$1:$I$600,$B100)="","",INDEX('Master Database'!$I$1:$I$600,$B100)))</f>
        <v>88.7</v>
      </c>
      <c r="L100" s="69" t="n">
        <f aca="false">IF($B100="","",IF(INDEX('Master Database'!$K$1:$K$600,$B100)="","",INDEX('Master Database'!$K$1:$K$600,$B100)))</f>
        <v>310.168029064487</v>
      </c>
      <c r="M100" s="68" t="str">
        <f aca="false">IF($B100="","",IF(INDEX('Master Database'!$L$1:$L$600,$B100)="","",INDEX('Master Database'!$L$1:$L$600,$B100)))</f>
        <v>NFPA 20 + IPS-M-PM-125</v>
      </c>
      <c r="N100" s="68" t="str">
        <f aca="false">IF($B100="","",IF(INDEX('Master Database'!$P$1:$P$600,$B100)="","",INDEX('Master Database'!$P$1:$P$600,$B100)))</f>
        <v>Not stated</v>
      </c>
      <c r="O100" s="68" t="str">
        <f aca="false">IF($B100="","",IF(INDEX('Master Database'!$S$1:$S$600,$B100)="","",INDEX('Master Database'!$S$1:$S$600,$B100)))</f>
        <v>Diesel Engine</v>
      </c>
      <c r="P100" s="68" t="str">
        <f aca="false">IF($B100="","",IF(INDEX('Master Database'!$T$1:$T$600,$B100)="","",INDEX('Master Database'!$T$1:$T$600,$B100)))</f>
        <v>Fire Water</v>
      </c>
      <c r="Q100" s="68" t="n">
        <f aca="false">IF($B100="","",IF(INDEX('Master Database'!$Y$1:$Y$600,$B100)="","",INDEX('Master Database'!$Y$1:$Y$600,$B100)))</f>
        <v>1393</v>
      </c>
      <c r="R100" s="68" t="str">
        <f aca="false">IF($B100="","",IF(INDEX('Master Database'!$Z$1:$Z$600,$B100)="","",INDEX('Master Database'!$Z$1:$Z$600,$B100)))</f>
        <v>EUR</v>
      </c>
      <c r="S100" s="70" t="n">
        <f aca="false">IF($B100="","",IF(INDEX('Master Database'!$AA$1:$AA$600,$B100)="","",INDEX('Master Database'!$AA$1:$AA$600,$B100)))</f>
        <v>90000</v>
      </c>
      <c r="T100" s="68" t="str">
        <f aca="false">IF($B100="","",IF(INDEX('Master Database'!$AE$1:$AE$600,$B100)="","",INDEX('Master Database'!$AE$1:$AE$600,$B100)))</f>
        <v>Consultant FEED MTO estimate – KPL-476 R03 (Jan 2016); vendor-level price in EUR, before project overhead | source label: AACE Class 3</v>
      </c>
      <c r="U100" s="70" t="n">
        <f aca="false">IF($B100="","",IF(INDEX('Master Database'!$AG$1:$AG$600,$B100)="","",INDEX('Master Database'!$AG$1:$AG$600,$B100)))</f>
        <v>121596.111530756</v>
      </c>
      <c r="V100" s="70" t="n">
        <f aca="false">IF($B100="","",IF(INDEX('Master Database'!$AH$1:$AH$600,$B100)="","",INDEX('Master Database'!$AH$1:$AH$600,$B100)))</f>
        <v>128379.117328617</v>
      </c>
      <c r="W100" s="70" t="n">
        <f aca="false">IF($B100="","",IF(INDEX('Master Database'!$AI$1:$AI$600,$B100)="","",INDEX('Master Database'!$AI$1:$AI$600,$B100)))</f>
        <v>84541885271.7659</v>
      </c>
      <c r="X100" s="68" t="str">
        <f aca="false">IF($B100="","",IF(INDEX('Master Database'!$BG$1:$BG$600,$B100)="","",INDEX('Master Database'!$BG$1:$BG$600,$B100)))</f>
        <v>Y</v>
      </c>
      <c r="BA100" s="65" t="n">
        <f aca="false">IF('Master Database'!$A100="",0,IF(AND(OR($B$5="",ISNUMBER(SEARCH($B$5,'Master Database'!$B100&amp;" "&amp;'Master Database'!$D100))),OR($B$6="(All)",'Master Database'!$C100=$B$6),OR($B$7="(All)",'Master Database'!$E100=$B$7),OR($B$8="(All)",'Master Database'!$T100=$B$8),OR($B$9="(All)",'Master Database'!$M100=$B$9),OR($B$10="(All)",'Master Database'!$V100=$B$10),OR($E$5="(All)",'Master Database'!$F100=$E$5),OR($E$6="(All)",'Master Database'!$G100=$E$6),OR($E$7="(All)",'Master Database'!$O100=$E$7),OR($E$8="(All)",'Master Database'!$P100=$E$8),OR($E$9="(All)",'Master Database'!$S100=$E$9),OR($E$10="(All)",'Master Database'!$Y100&amp;""=$E$10&amp;""),OR($H$5="(All)",'Master Database'!$BG100=$H$5),OR($H$6&lt;&gt;"Y",ISNUMBER('Master Database'!$AG100)),OR($H$7="",AND(ISNUMBER('Master Database'!$H100),N('Master Database'!$H100)&gt;=$H$7)),OR($I$7="",AND(ISNUMBER('Master Database'!$H100),N('Master Database'!$H100)&lt;=$I$7)),OR($H$8="",AND(ISNUMBER('Master Database'!$I100),N('Master Database'!$I100)&gt;=$H$8)),OR($I$8="",AND(ISNUMBER('Master Database'!$I100),N('Master Database'!$I100)&lt;=$I$8)),OR($H$9="",AND(ISNUMBER('Master Database'!$K100),N('Master Database'!$K100)&gt;=$H$9)),OR($I$9="",AND(ISNUMBER('Master Database'!$K100),N('Master Database'!$K100)&lt;=$I$9))),1,0))</f>
        <v>1</v>
      </c>
      <c r="BB100" s="65" t="n">
        <f aca="false">IF(BA100=1,COUNTIF($BA$5:BA100,1),"")</f>
        <v>96</v>
      </c>
    </row>
    <row r="101" customFormat="false" ht="15" hidden="false" customHeight="false" outlineLevel="0" collapsed="false">
      <c r="A101" s="67" t="n">
        <f aca="false">IF(86&lt;=SUM($BA$5:$BA$600),86,"")</f>
        <v>86</v>
      </c>
      <c r="B101" s="67" t="n">
        <f aca="false">IF(A101="","",MATCH(A101,$BB$5:$BB$600,0)+4)</f>
        <v>90</v>
      </c>
      <c r="C101" s="67" t="n">
        <f aca="false">IF($B101="","",IF(INDEX('Master Database'!$A$1:$A$600,$B101)="","",INDEX('Master Database'!$A$1:$A$600,$B101)))</f>
        <v>86</v>
      </c>
      <c r="D101" s="68" t="str">
        <f aca="false">IF($B101="","",IF(INDEX('Master Database'!$B$1:$B$600,$B101)="","",INDEX('Master Database'!$B$1:$B$600,$B101)))</f>
        <v>Fire Water Jockey Pumps</v>
      </c>
      <c r="E101" s="68" t="str">
        <f aca="false">IF($B101="","",IF(INDEX('Master Database'!$C$1:$C$600,$B101)="","",INDEX('Master Database'!$C$1:$C$600,$B101)))</f>
        <v>Koopal Asmari</v>
      </c>
      <c r="F101" s="68" t="str">
        <f aca="false">IF($B101="","",IF(INDEX('Master Database'!$D$1:$D$600,$B101)="","",INDEX('Master Database'!$D$1:$D$600,$B101)))</f>
        <v>P-272 A/B</v>
      </c>
      <c r="G101" s="68" t="str">
        <f aca="false">IF($B101="","",IF(INDEX('Master Database'!$E$1:$E$600,$B101)="","",INDEX('Master Database'!$E$1:$E$600,$B101)))</f>
        <v>ROT-FIR</v>
      </c>
      <c r="H101" s="68" t="str">
        <f aca="false">IF($B101="","",IF(INDEX('Master Database'!$F$1:$F$600,$B101)="","",INDEX('Master Database'!$F$1:$F$600,$B101)))</f>
        <v>OH (unspecified)</v>
      </c>
      <c r="I101" s="68" t="str">
        <f aca="false">IF($B101="","",IF(INDEX('Master Database'!$G$1:$G$600,$B101)="","",INDEX('Master Database'!$G$1:$G$600,$B101)))</f>
        <v>I-2</v>
      </c>
      <c r="J101" s="69" t="n">
        <f aca="false">IF($B101="","",IF(INDEX('Master Database'!$H$1:$H$600,$B101)="","",INDEX('Master Database'!$H$1:$H$600,$B101)))</f>
        <v>16.5</v>
      </c>
      <c r="K101" s="69" t="n">
        <f aca="false">IF($B101="","",IF(INDEX('Master Database'!$I$1:$I$600,$B101)="","",INDEX('Master Database'!$I$1:$I$600,$B101)))</f>
        <v>107</v>
      </c>
      <c r="L101" s="69" t="n">
        <f aca="false">IF($B101="","",IF(INDEX('Master Database'!$K$1:$K$600,$B101)="","",INDEX('Master Database'!$K$1:$K$600,$B101)))</f>
        <v>8.01771117166213</v>
      </c>
      <c r="M101" s="68" t="str">
        <f aca="false">IF($B101="","",IF(INDEX('Master Database'!$L$1:$L$600,$B101)="","",INDEX('Master Database'!$L$1:$L$600,$B101)))</f>
        <v>NFPA 20 + IPS-M-PM-125</v>
      </c>
      <c r="N101" s="68" t="str">
        <f aca="false">IF($B101="","",IF(INDEX('Master Database'!$P$1:$P$600,$B101)="","",INDEX('Master Database'!$P$1:$P$600,$B101)))</f>
        <v>Not stated</v>
      </c>
      <c r="O101" s="68" t="str">
        <f aca="false">IF($B101="","",IF(INDEX('Master Database'!$S$1:$S$600,$B101)="","",INDEX('Master Database'!$S$1:$S$600,$B101)))</f>
        <v>Electric Motor</v>
      </c>
      <c r="P101" s="68" t="str">
        <f aca="false">IF($B101="","",IF(INDEX('Master Database'!$T$1:$T$600,$B101)="","",INDEX('Master Database'!$T$1:$T$600,$B101)))</f>
        <v>Fire Water</v>
      </c>
      <c r="Q101" s="68" t="n">
        <f aca="false">IF($B101="","",IF(INDEX('Master Database'!$Y$1:$Y$600,$B101)="","",INDEX('Master Database'!$Y$1:$Y$600,$B101)))</f>
        <v>1393</v>
      </c>
      <c r="R101" s="68" t="str">
        <f aca="false">IF($B101="","",IF(INDEX('Master Database'!$Z$1:$Z$600,$B101)="","",INDEX('Master Database'!$Z$1:$Z$600,$B101)))</f>
        <v>EUR</v>
      </c>
      <c r="S101" s="70" t="n">
        <f aca="false">IF($B101="","",IF(INDEX('Master Database'!$AA$1:$AA$600,$B101)="","",INDEX('Master Database'!$AA$1:$AA$600,$B101)))</f>
        <v>15000</v>
      </c>
      <c r="T101" s="68" t="str">
        <f aca="false">IF($B101="","",IF(INDEX('Master Database'!$AE$1:$AE$600,$B101)="","",INDEX('Master Database'!$AE$1:$AE$600,$B101)))</f>
        <v>Consultant FEED MTO estimate – KPL-476 R03 (Jan 2016); vendor-level price in EUR, before project overhead | source label: AACE Class 3</v>
      </c>
      <c r="U101" s="70" t="n">
        <f aca="false">IF($B101="","",IF(INDEX('Master Database'!$AG$1:$AG$600,$B101)="","",INDEX('Master Database'!$AG$1:$AG$600,$B101)))</f>
        <v>20266.0185884594</v>
      </c>
      <c r="V101" s="70" t="n">
        <f aca="false">IF($B101="","",IF(INDEX('Master Database'!$AH$1:$AH$600,$B101)="","",INDEX('Master Database'!$AH$1:$AH$600,$B101)))</f>
        <v>21396.5195547694</v>
      </c>
      <c r="W101" s="70" t="n">
        <f aca="false">IF($B101="","",IF(INDEX('Master Database'!$AI$1:$AI$600,$B101)="","",INDEX('Master Database'!$AI$1:$AI$600,$B101)))</f>
        <v>14090314211.961</v>
      </c>
      <c r="X101" s="68" t="str">
        <f aca="false">IF($B101="","",IF(INDEX('Master Database'!$BG$1:$BG$600,$B101)="","",INDEX('Master Database'!$BG$1:$BG$600,$B101)))</f>
        <v>Y</v>
      </c>
      <c r="BA101" s="65" t="n">
        <f aca="false">IF('Master Database'!$A101="",0,IF(AND(OR($B$5="",ISNUMBER(SEARCH($B$5,'Master Database'!$B101&amp;" "&amp;'Master Database'!$D101))),OR($B$6="(All)",'Master Database'!$C101=$B$6),OR($B$7="(All)",'Master Database'!$E101=$B$7),OR($B$8="(All)",'Master Database'!$T101=$B$8),OR($B$9="(All)",'Master Database'!$M101=$B$9),OR($B$10="(All)",'Master Database'!$V101=$B$10),OR($E$5="(All)",'Master Database'!$F101=$E$5),OR($E$6="(All)",'Master Database'!$G101=$E$6),OR($E$7="(All)",'Master Database'!$O101=$E$7),OR($E$8="(All)",'Master Database'!$P101=$E$8),OR($E$9="(All)",'Master Database'!$S101=$E$9),OR($E$10="(All)",'Master Database'!$Y101&amp;""=$E$10&amp;""),OR($H$5="(All)",'Master Database'!$BG101=$H$5),OR($H$6&lt;&gt;"Y",ISNUMBER('Master Database'!$AG101)),OR($H$7="",AND(ISNUMBER('Master Database'!$H101),N('Master Database'!$H101)&gt;=$H$7)),OR($I$7="",AND(ISNUMBER('Master Database'!$H101),N('Master Database'!$H101)&lt;=$I$7)),OR($H$8="",AND(ISNUMBER('Master Database'!$I101),N('Master Database'!$I101)&gt;=$H$8)),OR($I$8="",AND(ISNUMBER('Master Database'!$I101),N('Master Database'!$I101)&lt;=$I$8)),OR($H$9="",AND(ISNUMBER('Master Database'!$K101),N('Master Database'!$K101)&gt;=$H$9)),OR($I$9="",AND(ISNUMBER('Master Database'!$K101),N('Master Database'!$K101)&lt;=$I$9))),1,0))</f>
        <v>1</v>
      </c>
      <c r="BB101" s="65" t="n">
        <f aca="false">IF(BA101=1,COUNTIF($BA$5:BA101,1),"")</f>
        <v>97</v>
      </c>
    </row>
    <row r="102" customFormat="false" ht="15" hidden="false" customHeight="false" outlineLevel="0" collapsed="false">
      <c r="A102" s="67" t="n">
        <f aca="false">IF(87&lt;=SUM($BA$5:$BA$600),87,"")</f>
        <v>87</v>
      </c>
      <c r="B102" s="67" t="n">
        <f aca="false">IF(A102="","",MATCH(A102,$BB$5:$BB$600,0)+4)</f>
        <v>91</v>
      </c>
      <c r="C102" s="67" t="n">
        <f aca="false">IF($B102="","",IF(INDEX('Master Database'!$A$1:$A$600,$B102)="","",INDEX('Master Database'!$A$1:$A$600,$B102)))</f>
        <v>87</v>
      </c>
      <c r="D102" s="68" t="str">
        <f aca="false">IF($B102="","",IF(INDEX('Master Database'!$B$1:$B$600,$B102)="","",INDEX('Master Database'!$B$1:$B$600,$B102)))</f>
        <v>Fire Water Loading Pump</v>
      </c>
      <c r="E102" s="68" t="str">
        <f aca="false">IF($B102="","",IF(INDEX('Master Database'!$C$1:$C$600,$B102)="","",INDEX('Master Database'!$C$1:$C$600,$B102)))</f>
        <v>Koopal Asmari</v>
      </c>
      <c r="F102" s="68" t="str">
        <f aca="false">IF($B102="","",IF(INDEX('Master Database'!$D$1:$D$600,$B102)="","",INDEX('Master Database'!$D$1:$D$600,$B102)))</f>
        <v>P-273</v>
      </c>
      <c r="G102" s="68" t="str">
        <f aca="false">IF($B102="","",IF(INDEX('Master Database'!$E$1:$E$600,$B102)="","",INDEX('Master Database'!$E$1:$E$600,$B102)))</f>
        <v>ROT-FIR</v>
      </c>
      <c r="H102" s="68" t="str">
        <f aca="false">IF($B102="","",IF(INDEX('Master Database'!$F$1:$F$600,$B102)="","",INDEX('Master Database'!$F$1:$F$600,$B102)))</f>
        <v>N/A (non-API 610)</v>
      </c>
      <c r="I102" s="68" t="str">
        <f aca="false">IF($B102="","",IF(INDEX('Master Database'!$G$1:$G$600,$B102)="","",INDEX('Master Database'!$G$1:$G$600,$B102)))</f>
        <v>I-2</v>
      </c>
      <c r="J102" s="69" t="n">
        <f aca="false">IF($B102="","",IF(INDEX('Master Database'!$H$1:$H$600,$B102)="","",INDEX('Master Database'!$H$1:$H$600,$B102)))</f>
        <v>33</v>
      </c>
      <c r="K102" s="69" t="n">
        <f aca="false">IF($B102="","",IF(INDEX('Master Database'!$I$1:$I$600,$B102)="","",INDEX('Master Database'!$I$1:$I$600,$B102)))</f>
        <v>30.6</v>
      </c>
      <c r="L102" s="69" t="n">
        <f aca="false">IF($B102="","",IF(INDEX('Master Database'!$K$1:$K$600,$B102)="","",INDEX('Master Database'!$K$1:$K$600,$B102)))</f>
        <v>4.5858310626703</v>
      </c>
      <c r="M102" s="68" t="str">
        <f aca="false">IF($B102="","",IF(INDEX('Master Database'!$L$1:$L$600,$B102)="","",INDEX('Master Database'!$L$1:$L$600,$B102)))</f>
        <v>ISO 5199 + IPS-M-PM-115</v>
      </c>
      <c r="N102" s="68" t="str">
        <f aca="false">IF($B102="","",IF(INDEX('Master Database'!$P$1:$P$600,$B102)="","",INDEX('Master Database'!$P$1:$P$600,$B102)))</f>
        <v>Not stated</v>
      </c>
      <c r="O102" s="68" t="str">
        <f aca="false">IF($B102="","",IF(INDEX('Master Database'!$S$1:$S$600,$B102)="","",INDEX('Master Database'!$S$1:$S$600,$B102)))</f>
        <v>Electric Motor</v>
      </c>
      <c r="P102" s="68" t="str">
        <f aca="false">IF($B102="","",IF(INDEX('Master Database'!$T$1:$T$600,$B102)="","",INDEX('Master Database'!$T$1:$T$600,$B102)))</f>
        <v>Fire Water</v>
      </c>
      <c r="Q102" s="68" t="n">
        <f aca="false">IF($B102="","",IF(INDEX('Master Database'!$Y$1:$Y$600,$B102)="","",INDEX('Master Database'!$Y$1:$Y$600,$B102)))</f>
        <v>1393</v>
      </c>
      <c r="R102" s="68" t="str">
        <f aca="false">IF($B102="","",IF(INDEX('Master Database'!$Z$1:$Z$600,$B102)="","",INDEX('Master Database'!$Z$1:$Z$600,$B102)))</f>
        <v>EUR</v>
      </c>
      <c r="S102" s="70" t="n">
        <f aca="false">IF($B102="","",IF(INDEX('Master Database'!$AA$1:$AA$600,$B102)="","",INDEX('Master Database'!$AA$1:$AA$600,$B102)))</f>
        <v>6500</v>
      </c>
      <c r="T102" s="68" t="str">
        <f aca="false">IF($B102="","",IF(INDEX('Master Database'!$AE$1:$AE$600,$B102)="","",INDEX('Master Database'!$AE$1:$AE$600,$B102)))</f>
        <v>Consultant FEED MTO estimate – KPL-476 R03 (Jan 2016); vendor-level price in EUR, before project overhead | source label: AACE Class 3</v>
      </c>
      <c r="U102" s="70" t="n">
        <f aca="false">IF($B102="","",IF(INDEX('Master Database'!$AG$1:$AG$600,$B102)="","",INDEX('Master Database'!$AG$1:$AG$600,$B102)))</f>
        <v>8781.9413883324</v>
      </c>
      <c r="V102" s="70" t="n">
        <f aca="false">IF($B102="","",IF(INDEX('Master Database'!$AH$1:$AH$600,$B102)="","",INDEX('Master Database'!$AH$1:$AH$600,$B102)))</f>
        <v>9271.82514040009</v>
      </c>
      <c r="W102" s="70" t="n">
        <f aca="false">IF($B102="","",IF(INDEX('Master Database'!$AI$1:$AI$600,$B102)="","",INDEX('Master Database'!$AI$1:$AI$600,$B102)))</f>
        <v>6105802825.18309</v>
      </c>
      <c r="X102" s="68" t="str">
        <f aca="false">IF($B102="","",IF(INDEX('Master Database'!$BG$1:$BG$600,$B102)="","",INDEX('Master Database'!$BG$1:$BG$600,$B102)))</f>
        <v>Y</v>
      </c>
      <c r="BA102" s="65" t="n">
        <f aca="false">IF('Master Database'!$A102="",0,IF(AND(OR($B$5="",ISNUMBER(SEARCH($B$5,'Master Database'!$B102&amp;" "&amp;'Master Database'!$D102))),OR($B$6="(All)",'Master Database'!$C102=$B$6),OR($B$7="(All)",'Master Database'!$E102=$B$7),OR($B$8="(All)",'Master Database'!$T102=$B$8),OR($B$9="(All)",'Master Database'!$M102=$B$9),OR($B$10="(All)",'Master Database'!$V102=$B$10),OR($E$5="(All)",'Master Database'!$F102=$E$5),OR($E$6="(All)",'Master Database'!$G102=$E$6),OR($E$7="(All)",'Master Database'!$O102=$E$7),OR($E$8="(All)",'Master Database'!$P102=$E$8),OR($E$9="(All)",'Master Database'!$S102=$E$9),OR($E$10="(All)",'Master Database'!$Y102&amp;""=$E$10&amp;""),OR($H$5="(All)",'Master Database'!$BG102=$H$5),OR($H$6&lt;&gt;"Y",ISNUMBER('Master Database'!$AG102)),OR($H$7="",AND(ISNUMBER('Master Database'!$H102),N('Master Database'!$H102)&gt;=$H$7)),OR($I$7="",AND(ISNUMBER('Master Database'!$H102),N('Master Database'!$H102)&lt;=$I$7)),OR($H$8="",AND(ISNUMBER('Master Database'!$I102),N('Master Database'!$I102)&gt;=$H$8)),OR($I$8="",AND(ISNUMBER('Master Database'!$I102),N('Master Database'!$I102)&lt;=$I$8)),OR($H$9="",AND(ISNUMBER('Master Database'!$K102),N('Master Database'!$K102)&gt;=$H$9)),OR($I$9="",AND(ISNUMBER('Master Database'!$K102),N('Master Database'!$K102)&lt;=$I$9))),1,0))</f>
        <v>1</v>
      </c>
      <c r="BB102" s="65" t="n">
        <f aca="false">IF(BA102=1,COUNTIF($BA$5:BA102,1),"")</f>
        <v>98</v>
      </c>
    </row>
    <row r="103" customFormat="false" ht="15" hidden="false" customHeight="false" outlineLevel="0" collapsed="false">
      <c r="A103" s="67" t="n">
        <f aca="false">IF(88&lt;=SUM($BA$5:$BA$600),88,"")</f>
        <v>88</v>
      </c>
      <c r="B103" s="67" t="n">
        <f aca="false">IF(A103="","",MATCH(A103,$BB$5:$BB$600,0)+4)</f>
        <v>92</v>
      </c>
      <c r="C103" s="67" t="n">
        <f aca="false">IF($B103="","",IF(INDEX('Master Database'!$A$1:$A$600,$B103)="","",INDEX('Master Database'!$A$1:$A$600,$B103)))</f>
        <v>88</v>
      </c>
      <c r="D103" s="68" t="str">
        <f aca="false">IF($B103="","",IF(INDEX('Master Database'!$B$1:$B$600,$B103)="","",INDEX('Master Database'!$B$1:$B$600,$B103)))</f>
        <v>Cooling Water (Sealing System) Recycle Pumps</v>
      </c>
      <c r="E103" s="68" t="str">
        <f aca="false">IF($B103="","",IF(INDEX('Master Database'!$C$1:$C$600,$B103)="","",INDEX('Master Database'!$C$1:$C$600,$B103)))</f>
        <v>Koopal Asmari</v>
      </c>
      <c r="F103" s="68" t="str">
        <f aca="false">IF($B103="","",IF(INDEX('Master Database'!$D$1:$D$600,$B103)="","",INDEX('Master Database'!$D$1:$D$600,$B103)))</f>
        <v>P-154 A/B</v>
      </c>
      <c r="G103" s="68" t="str">
        <f aca="false">IF($B103="","",IF(INDEX('Master Database'!$E$1:$E$600,$B103)="","",INDEX('Master Database'!$E$1:$E$600,$B103)))</f>
        <v>ROT-WAT</v>
      </c>
      <c r="H103" s="68" t="str">
        <f aca="false">IF($B103="","",IF(INDEX('Master Database'!$F$1:$F$600,$B103)="","",INDEX('Master Database'!$F$1:$F$600,$B103)))</f>
        <v>N/A (non-API 610)</v>
      </c>
      <c r="I103" s="68" t="str">
        <f aca="false">IF($B103="","",IF(INDEX('Master Database'!$G$1:$G$600,$B103)="","",INDEX('Master Database'!$G$1:$G$600,$B103)))</f>
        <v>I-2</v>
      </c>
      <c r="J103" s="69" t="n">
        <f aca="false">IF($B103="","",IF(INDEX('Master Database'!$H$1:$H$600,$B103)="","",INDEX('Master Database'!$H$1:$H$600,$B103)))</f>
        <v>3</v>
      </c>
      <c r="K103" s="69" t="n">
        <f aca="false">IF($B103="","",IF(INDEX('Master Database'!$I$1:$I$600,$B103)="","",INDEX('Master Database'!$I$1:$I$600,$B103)))</f>
        <v>30.6</v>
      </c>
      <c r="L103" s="69" t="n">
        <f aca="false">IF($B103="","",IF(INDEX('Master Database'!$K$1:$K$600,$B103)="","",INDEX('Master Database'!$K$1:$K$600,$B103)))</f>
        <v>0.416893732970027</v>
      </c>
      <c r="M103" s="68" t="str">
        <f aca="false">IF($B103="","",IF(INDEX('Master Database'!$L$1:$L$600,$B103)="","",INDEX('Master Database'!$L$1:$L$600,$B103)))</f>
        <v>ISO 5199 + IPS-M-PM-115</v>
      </c>
      <c r="N103" s="68" t="str">
        <f aca="false">IF($B103="","",IF(INDEX('Master Database'!$P$1:$P$600,$B103)="","",INDEX('Master Database'!$P$1:$P$600,$B103)))</f>
        <v>Not stated</v>
      </c>
      <c r="O103" s="68" t="str">
        <f aca="false">IF($B103="","",IF(INDEX('Master Database'!$S$1:$S$600,$B103)="","",INDEX('Master Database'!$S$1:$S$600,$B103)))</f>
        <v>Electric Motor</v>
      </c>
      <c r="P103" s="68" t="str">
        <f aca="false">IF($B103="","",IF(INDEX('Master Database'!$T$1:$T$600,$B103)="","",INDEX('Master Database'!$T$1:$T$600,$B103)))</f>
        <v>Cooling / Seal Water</v>
      </c>
      <c r="Q103" s="68" t="n">
        <f aca="false">IF($B103="","",IF(INDEX('Master Database'!$Y$1:$Y$600,$B103)="","",INDEX('Master Database'!$Y$1:$Y$600,$B103)))</f>
        <v>1393</v>
      </c>
      <c r="R103" s="68" t="str">
        <f aca="false">IF($B103="","",IF(INDEX('Master Database'!$Z$1:$Z$600,$B103)="","",INDEX('Master Database'!$Z$1:$Z$600,$B103)))</f>
        <v>IRR</v>
      </c>
      <c r="S103" s="70" t="n">
        <f aca="false">IF($B103="","",IF(INDEX('Master Database'!$AA$1:$AA$600,$B103)="","",INDEX('Master Database'!$AA$1:$AA$600,$B103)))</f>
        <v>300000000</v>
      </c>
      <c r="T103" s="68" t="str">
        <f aca="false">IF($B103="","",IF(INDEX('Master Database'!$AE$1:$AE$600,$B103)="","",INDEX('Master Database'!$AE$1:$AE$600,$B103)))</f>
        <v>Consultant FEED MTO estimate – KPL-476 R03 (Jan 2016); local supplier price in IRR, before project overhead | source label: AACE Class 3</v>
      </c>
      <c r="U103" s="70" t="n">
        <f aca="false">IF($B103="","",IF(INDEX('Master Database'!$AG$1:$AG$600,$B103)="","",INDEX('Master Database'!$AG$1:$AG$600,$B103)))</f>
        <v>10000.3052436465</v>
      </c>
      <c r="V103" s="70" t="n">
        <f aca="false">IF($B103="","",IF(INDEX('Master Database'!$AH$1:$AH$600,$B103)="","",INDEX('Master Database'!$AH$1:$AH$600,$B103)))</f>
        <v>10558.1530859344</v>
      </c>
      <c r="W103" s="70" t="n">
        <f aca="false">IF($B103="","",IF(INDEX('Master Database'!$AI$1:$AI$600,$B103)="","",INDEX('Master Database'!$AI$1:$AI$600,$B103)))</f>
        <v>6952892226.13962</v>
      </c>
      <c r="X103" s="68" t="str">
        <f aca="false">IF($B103="","",IF(INDEX('Master Database'!$BG$1:$BG$600,$B103)="","",INDEX('Master Database'!$BG$1:$BG$600,$B103)))</f>
        <v>Y</v>
      </c>
      <c r="BA103" s="65" t="n">
        <f aca="false">IF('Master Database'!$A103="",0,IF(AND(OR($B$5="",ISNUMBER(SEARCH($B$5,'Master Database'!$B103&amp;" "&amp;'Master Database'!$D103))),OR($B$6="(All)",'Master Database'!$C103=$B$6),OR($B$7="(All)",'Master Database'!$E103=$B$7),OR($B$8="(All)",'Master Database'!$T103=$B$8),OR($B$9="(All)",'Master Database'!$M103=$B$9),OR($B$10="(All)",'Master Database'!$V103=$B$10),OR($E$5="(All)",'Master Database'!$F103=$E$5),OR($E$6="(All)",'Master Database'!$G103=$E$6),OR($E$7="(All)",'Master Database'!$O103=$E$7),OR($E$8="(All)",'Master Database'!$P103=$E$8),OR($E$9="(All)",'Master Database'!$S103=$E$9),OR($E$10="(All)",'Master Database'!$Y103&amp;""=$E$10&amp;""),OR($H$5="(All)",'Master Database'!$BG103=$H$5),OR($H$6&lt;&gt;"Y",ISNUMBER('Master Database'!$AG103)),OR($H$7="",AND(ISNUMBER('Master Database'!$H103),N('Master Database'!$H103)&gt;=$H$7)),OR($I$7="",AND(ISNUMBER('Master Database'!$H103),N('Master Database'!$H103)&lt;=$I$7)),OR($H$8="",AND(ISNUMBER('Master Database'!$I103),N('Master Database'!$I103)&gt;=$H$8)),OR($I$8="",AND(ISNUMBER('Master Database'!$I103),N('Master Database'!$I103)&lt;=$I$8)),OR($H$9="",AND(ISNUMBER('Master Database'!$K103),N('Master Database'!$K103)&gt;=$H$9)),OR($I$9="",AND(ISNUMBER('Master Database'!$K103),N('Master Database'!$K103)&lt;=$I$9))),1,0))</f>
        <v>1</v>
      </c>
      <c r="BB103" s="65" t="n">
        <f aca="false">IF(BA103=1,COUNTIF($BA$5:BA103,1),"")</f>
        <v>99</v>
      </c>
    </row>
    <row r="104" customFormat="false" ht="15" hidden="false" customHeight="false" outlineLevel="0" collapsed="false">
      <c r="A104" s="67" t="n">
        <f aca="false">IF(89&lt;=SUM($BA$5:$BA$600),89,"")</f>
        <v>89</v>
      </c>
      <c r="B104" s="67" t="n">
        <f aca="false">IF(A104="","",MATCH(A104,$BB$5:$BB$600,0)+4)</f>
        <v>93</v>
      </c>
      <c r="C104" s="67" t="n">
        <f aca="false">IF($B104="","",IF(INDEX('Master Database'!$A$1:$A$600,$B104)="","",INDEX('Master Database'!$A$1:$A$600,$B104)))</f>
        <v>89</v>
      </c>
      <c r="D104" s="68" t="str">
        <f aca="false">IF($B104="","",IF(INDEX('Master Database'!$B$1:$B$600,$B104)="","",INDEX('Master Database'!$B$1:$B$600,$B104)))</f>
        <v>Water Liquid Return Pumps (Deaeration System)</v>
      </c>
      <c r="E104" s="68" t="str">
        <f aca="false">IF($B104="","",IF(INDEX('Master Database'!$C$1:$C$600,$B104)="","",INDEX('Master Database'!$C$1:$C$600,$B104)))</f>
        <v>Koopal Asmari</v>
      </c>
      <c r="F104" s="68" t="str">
        <f aca="false">IF($B104="","",IF(INDEX('Master Database'!$D$1:$D$600,$B104)="","",INDEX('Master Database'!$D$1:$D$600,$B104)))</f>
        <v>P-157 A/B</v>
      </c>
      <c r="G104" s="68" t="str">
        <f aca="false">IF($B104="","",IF(INDEX('Master Database'!$E$1:$E$600,$B104)="","",INDEX('Master Database'!$E$1:$E$600,$B104)))</f>
        <v>ROT-WAT</v>
      </c>
      <c r="H104" s="68" t="str">
        <f aca="false">IF($B104="","",IF(INDEX('Master Database'!$F$1:$F$600,$B104)="","",INDEX('Master Database'!$F$1:$F$600,$B104)))</f>
        <v>N/A (non-API 610)</v>
      </c>
      <c r="I104" s="68" t="str">
        <f aca="false">IF($B104="","",IF(INDEX('Master Database'!$G$1:$G$600,$B104)="","",INDEX('Master Database'!$G$1:$G$600,$B104)))</f>
        <v>I-2</v>
      </c>
      <c r="J104" s="69" t="n">
        <f aca="false">IF($B104="","",IF(INDEX('Master Database'!$H$1:$H$600,$B104)="","",INDEX('Master Database'!$H$1:$H$600,$B104)))</f>
        <v>2</v>
      </c>
      <c r="K104" s="69" t="n">
        <f aca="false">IF($B104="","",IF(INDEX('Master Database'!$I$1:$I$600,$B104)="","",INDEX('Master Database'!$I$1:$I$600,$B104)))</f>
        <v>30.6</v>
      </c>
      <c r="L104" s="69" t="n">
        <f aca="false">IF($B104="","",IF(INDEX('Master Database'!$K$1:$K$600,$B104)="","",INDEX('Master Database'!$K$1:$K$600,$B104)))</f>
        <v>0.277929155313352</v>
      </c>
      <c r="M104" s="68" t="str">
        <f aca="false">IF($B104="","",IF(INDEX('Master Database'!$L$1:$L$600,$B104)="","",INDEX('Master Database'!$L$1:$L$600,$B104)))</f>
        <v>ISO 5199 + IPS-M-PM-115</v>
      </c>
      <c r="N104" s="68" t="str">
        <f aca="false">IF($B104="","",IF(INDEX('Master Database'!$P$1:$P$600,$B104)="","",INDEX('Master Database'!$P$1:$P$600,$B104)))</f>
        <v>Not stated</v>
      </c>
      <c r="O104" s="68" t="str">
        <f aca="false">IF($B104="","",IF(INDEX('Master Database'!$S$1:$S$600,$B104)="","",INDEX('Master Database'!$S$1:$S$600,$B104)))</f>
        <v>Electric Motor</v>
      </c>
      <c r="P104" s="68" t="str">
        <f aca="false">IF($B104="","",IF(INDEX('Master Database'!$T$1:$T$600,$B104)="","",INDEX('Master Database'!$T$1:$T$600,$B104)))</f>
        <v>Cooling / Seal Water</v>
      </c>
      <c r="Q104" s="68" t="n">
        <f aca="false">IF($B104="","",IF(INDEX('Master Database'!$Y$1:$Y$600,$B104)="","",INDEX('Master Database'!$Y$1:$Y$600,$B104)))</f>
        <v>1393</v>
      </c>
      <c r="R104" s="68" t="str">
        <f aca="false">IF($B104="","",IF(INDEX('Master Database'!$Z$1:$Z$600,$B104)="","",INDEX('Master Database'!$Z$1:$Z$600,$B104)))</f>
        <v>IRR</v>
      </c>
      <c r="S104" s="70" t="n">
        <f aca="false">IF($B104="","",IF(INDEX('Master Database'!$AA$1:$AA$600,$B104)="","",INDEX('Master Database'!$AA$1:$AA$600,$B104)))</f>
        <v>250000000</v>
      </c>
      <c r="T104" s="68" t="str">
        <f aca="false">IF($B104="","",IF(INDEX('Master Database'!$AE$1:$AE$600,$B104)="","",INDEX('Master Database'!$AE$1:$AE$600,$B104)))</f>
        <v>Consultant FEED MTO estimate – KPL-476 R03 (Jan 2016); local supplier price in IRR, before project overhead | source label: AACE Class 3</v>
      </c>
      <c r="U104" s="70" t="n">
        <f aca="false">IF($B104="","",IF(INDEX('Master Database'!$AG$1:$AG$600,$B104)="","",INDEX('Master Database'!$AG$1:$AG$600,$B104)))</f>
        <v>8333.58770303876</v>
      </c>
      <c r="V104" s="70" t="n">
        <f aca="false">IF($B104="","",IF(INDEX('Master Database'!$AH$1:$AH$600,$B104)="","",INDEX('Master Database'!$AH$1:$AH$600,$B104)))</f>
        <v>8798.46090494531</v>
      </c>
      <c r="W104" s="70" t="n">
        <f aca="false">IF($B104="","",IF(INDEX('Master Database'!$AI$1:$AI$600,$B104)="","",INDEX('Master Database'!$AI$1:$AI$600,$B104)))</f>
        <v>5794076855.11635</v>
      </c>
      <c r="X104" s="68" t="str">
        <f aca="false">IF($B104="","",IF(INDEX('Master Database'!$BG$1:$BG$600,$B104)="","",INDEX('Master Database'!$BG$1:$BG$600,$B104)))</f>
        <v>Y</v>
      </c>
      <c r="BA104" s="65" t="n">
        <f aca="false">IF('Master Database'!$A104="",0,IF(AND(OR($B$5="",ISNUMBER(SEARCH($B$5,'Master Database'!$B104&amp;" "&amp;'Master Database'!$D104))),OR($B$6="(All)",'Master Database'!$C104=$B$6),OR($B$7="(All)",'Master Database'!$E104=$B$7),OR($B$8="(All)",'Master Database'!$T104=$B$8),OR($B$9="(All)",'Master Database'!$M104=$B$9),OR($B$10="(All)",'Master Database'!$V104=$B$10),OR($E$5="(All)",'Master Database'!$F104=$E$5),OR($E$6="(All)",'Master Database'!$G104=$E$6),OR($E$7="(All)",'Master Database'!$O104=$E$7),OR($E$8="(All)",'Master Database'!$P104=$E$8),OR($E$9="(All)",'Master Database'!$S104=$E$9),OR($E$10="(All)",'Master Database'!$Y104&amp;""=$E$10&amp;""),OR($H$5="(All)",'Master Database'!$BG104=$H$5),OR($H$6&lt;&gt;"Y",ISNUMBER('Master Database'!$AG104)),OR($H$7="",AND(ISNUMBER('Master Database'!$H104),N('Master Database'!$H104)&gt;=$H$7)),OR($I$7="",AND(ISNUMBER('Master Database'!$H104),N('Master Database'!$H104)&lt;=$I$7)),OR($H$8="",AND(ISNUMBER('Master Database'!$I104),N('Master Database'!$I104)&gt;=$H$8)),OR($I$8="",AND(ISNUMBER('Master Database'!$I104),N('Master Database'!$I104)&lt;=$I$8)),OR($H$9="",AND(ISNUMBER('Master Database'!$K104),N('Master Database'!$K104)&gt;=$H$9)),OR($I$9="",AND(ISNUMBER('Master Database'!$K104),N('Master Database'!$K104)&lt;=$I$9))),1,0))</f>
        <v>1</v>
      </c>
      <c r="BB104" s="65" t="n">
        <f aca="false">IF(BA104=1,COUNTIF($BA$5:BA104,1),"")</f>
        <v>100</v>
      </c>
    </row>
    <row r="105" customFormat="false" ht="15" hidden="false" customHeight="false" outlineLevel="0" collapsed="false">
      <c r="A105" s="67" t="n">
        <f aca="false">IF(90&lt;=SUM($BA$5:$BA$600),90,"")</f>
        <v>90</v>
      </c>
      <c r="B105" s="67" t="n">
        <f aca="false">IF(A105="","",MATCH(A105,$BB$5:$BB$600,0)+4)</f>
        <v>94</v>
      </c>
      <c r="C105" s="67" t="n">
        <f aca="false">IF($B105="","",IF(INDEX('Master Database'!$A$1:$A$600,$B105)="","",INDEX('Master Database'!$A$1:$A$600,$B105)))</f>
        <v>90</v>
      </c>
      <c r="D105" s="68" t="str">
        <f aca="false">IF($B105="","",IF(INDEX('Master Database'!$B$1:$B$600,$B105)="","",INDEX('Master Database'!$B$1:$B$600,$B105)))</f>
        <v>Evaporation Pond Portable Pump</v>
      </c>
      <c r="E105" s="68" t="str">
        <f aca="false">IF($B105="","",IF(INDEX('Master Database'!$C$1:$C$600,$B105)="","",INDEX('Master Database'!$C$1:$C$600,$B105)))</f>
        <v>Koopal Asmari</v>
      </c>
      <c r="F105" s="68" t="str">
        <f aca="false">IF($B105="","",IF(INDEX('Master Database'!$D$1:$D$600,$B105)="","",INDEX('Master Database'!$D$1:$D$600,$B105)))</f>
        <v>P-236</v>
      </c>
      <c r="G105" s="68" t="str">
        <f aca="false">IF($B105="","",IF(INDEX('Master Database'!$E$1:$E$600,$B105)="","",INDEX('Master Database'!$E$1:$E$600,$B105)))</f>
        <v>ROT-INJ</v>
      </c>
      <c r="H105" s="68" t="str">
        <f aca="false">IF($B105="","",IF(INDEX('Master Database'!$F$1:$F$600,$B105)="","",INDEX('Master Database'!$F$1:$F$600,$B105)))</f>
        <v>N/A (non-API 610)</v>
      </c>
      <c r="I105" s="68" t="str">
        <f aca="false">IF($B105="","",IF(INDEX('Master Database'!$G$1:$G$600,$B105)="","",INDEX('Master Database'!$G$1:$G$600,$B105)))</f>
        <v>D-2</v>
      </c>
      <c r="J105" s="69" t="n">
        <f aca="false">IF($B105="","",IF(INDEX('Master Database'!$H$1:$H$600,$B105)="","",INDEX('Master Database'!$H$1:$H$600,$B105)))</f>
        <v>6</v>
      </c>
      <c r="K105" s="69" t="n">
        <f aca="false">IF($B105="","",IF(INDEX('Master Database'!$I$1:$I$600,$B105)="","",INDEX('Master Database'!$I$1:$I$600,$B105)))</f>
        <v>20.4</v>
      </c>
      <c r="L105" s="69" t="n">
        <f aca="false">IF($B105="","",IF(INDEX('Master Database'!$K$1:$K$600,$B105)="","",INDEX('Master Database'!$K$1:$K$600,$B105)))</f>
        <v>0.555858310626703</v>
      </c>
      <c r="M105" s="68" t="str">
        <f aca="false">IF($B105="","",IF(INDEX('Master Database'!$L$1:$L$600,$B105)="","",INDEX('Master Database'!$L$1:$L$600,$B105)))</f>
        <v>JIS B 8325</v>
      </c>
      <c r="N105" s="68" t="str">
        <f aca="false">IF($B105="","",IF(INDEX('Master Database'!$P$1:$P$600,$B105)="","",INDEX('Master Database'!$P$1:$P$600,$B105)))</f>
        <v>Not stated</v>
      </c>
      <c r="O105" s="68" t="str">
        <f aca="false">IF($B105="","",IF(INDEX('Master Database'!$S$1:$S$600,$B105)="","",INDEX('Master Database'!$S$1:$S$600,$B105)))</f>
        <v>Electric Motor</v>
      </c>
      <c r="P105" s="68" t="str">
        <f aca="false">IF($B105="","",IF(INDEX('Master Database'!$T$1:$T$600,$B105)="","",INDEX('Master Database'!$T$1:$T$600,$B105)))</f>
        <v>Produced / Disposal Water</v>
      </c>
      <c r="Q105" s="68" t="n">
        <f aca="false">IF($B105="","",IF(INDEX('Master Database'!$Y$1:$Y$600,$B105)="","",INDEX('Master Database'!$Y$1:$Y$600,$B105)))</f>
        <v>1393</v>
      </c>
      <c r="R105" s="68" t="str">
        <f aca="false">IF($B105="","",IF(INDEX('Master Database'!$Z$1:$Z$600,$B105)="","",INDEX('Master Database'!$Z$1:$Z$600,$B105)))</f>
        <v>EUR</v>
      </c>
      <c r="S105" s="70" t="n">
        <f aca="false">IF($B105="","",IF(INDEX('Master Database'!$AA$1:$AA$600,$B105)="","",INDEX('Master Database'!$AA$1:$AA$600,$B105)))</f>
        <v>20000</v>
      </c>
      <c r="T105" s="68" t="str">
        <f aca="false">IF($B105="","",IF(INDEX('Master Database'!$AE$1:$AE$600,$B105)="","",INDEX('Master Database'!$AE$1:$AE$600,$B105)))</f>
        <v>Consultant FEED MTO estimate – KPL-476 R03 (Jan 2016); vendor-level price in EUR, before project overhead | source label: AACE Class 3</v>
      </c>
      <c r="U105" s="70" t="n">
        <f aca="false">IF($B105="","",IF(INDEX('Master Database'!$AG$1:$AG$600,$B105)="","",INDEX('Master Database'!$AG$1:$AG$600,$B105)))</f>
        <v>27021.3581179459</v>
      </c>
      <c r="V105" s="70" t="n">
        <f aca="false">IF($B105="","",IF(INDEX('Master Database'!$AH$1:$AH$600,$B105)="","",INDEX('Master Database'!$AH$1:$AH$600,$B105)))</f>
        <v>28528.6927396926</v>
      </c>
      <c r="W105" s="70" t="n">
        <f aca="false">IF($B105="","",IF(INDEX('Master Database'!$AI$1:$AI$600,$B105)="","",INDEX('Master Database'!$AI$1:$AI$600,$B105)))</f>
        <v>18787085615.948</v>
      </c>
      <c r="X105" s="68" t="str">
        <f aca="false">IF($B105="","",IF(INDEX('Master Database'!$BG$1:$BG$600,$B105)="","",INDEX('Master Database'!$BG$1:$BG$600,$B105)))</f>
        <v>Y</v>
      </c>
      <c r="BA105" s="65" t="n">
        <f aca="false">IF('Master Database'!$A105="",0,IF(AND(OR($B$5="",ISNUMBER(SEARCH($B$5,'Master Database'!$B105&amp;" "&amp;'Master Database'!$D105))),OR($B$6="(All)",'Master Database'!$C105=$B$6),OR($B$7="(All)",'Master Database'!$E105=$B$7),OR($B$8="(All)",'Master Database'!$T105=$B$8),OR($B$9="(All)",'Master Database'!$M105=$B$9),OR($B$10="(All)",'Master Database'!$V105=$B$10),OR($E$5="(All)",'Master Database'!$F105=$E$5),OR($E$6="(All)",'Master Database'!$G105=$E$6),OR($E$7="(All)",'Master Database'!$O105=$E$7),OR($E$8="(All)",'Master Database'!$P105=$E$8),OR($E$9="(All)",'Master Database'!$S105=$E$9),OR($E$10="(All)",'Master Database'!$Y105&amp;""=$E$10&amp;""),OR($H$5="(All)",'Master Database'!$BG105=$H$5),OR($H$6&lt;&gt;"Y",ISNUMBER('Master Database'!$AG105)),OR($H$7="",AND(ISNUMBER('Master Database'!$H105),N('Master Database'!$H105)&gt;=$H$7)),OR($I$7="",AND(ISNUMBER('Master Database'!$H105),N('Master Database'!$H105)&lt;=$I$7)),OR($H$8="",AND(ISNUMBER('Master Database'!$I105),N('Master Database'!$I105)&gt;=$H$8)),OR($I$8="",AND(ISNUMBER('Master Database'!$I105),N('Master Database'!$I105)&lt;=$I$8)),OR($H$9="",AND(ISNUMBER('Master Database'!$K105),N('Master Database'!$K105)&gt;=$H$9)),OR($I$9="",AND(ISNUMBER('Master Database'!$K105),N('Master Database'!$K105)&lt;=$I$9))),1,0))</f>
        <v>1</v>
      </c>
      <c r="BB105" s="65" t="n">
        <f aca="false">IF(BA105=1,COUNTIF($BA$5:BA105,1),"")</f>
        <v>101</v>
      </c>
    </row>
    <row r="106" customFormat="false" ht="15" hidden="false" customHeight="false" outlineLevel="0" collapsed="false">
      <c r="A106" s="67" t="n">
        <f aca="false">IF(91&lt;=SUM($BA$5:$BA$600),91,"")</f>
        <v>91</v>
      </c>
      <c r="B106" s="67" t="n">
        <f aca="false">IF(A106="","",MATCH(A106,$BB$5:$BB$600,0)+4)</f>
        <v>95</v>
      </c>
      <c r="C106" s="67" t="n">
        <f aca="false">IF($B106="","",IF(INDEX('Master Database'!$A$1:$A$600,$B106)="","",INDEX('Master Database'!$A$1:$A$600,$B106)))</f>
        <v>91</v>
      </c>
      <c r="D106" s="68" t="str">
        <f aca="false">IF($B106="","",IF(INDEX('Master Database'!$B$1:$B$600,$B106)="","",INDEX('Master Database'!$B$1:$B$600,$B106)))</f>
        <v>Evaporation Pond Portable Pump</v>
      </c>
      <c r="E106" s="68" t="str">
        <f aca="false">IF($B106="","",IF(INDEX('Master Database'!$C$1:$C$600,$B106)="","",INDEX('Master Database'!$C$1:$C$600,$B106)))</f>
        <v>Koopal Bangestan</v>
      </c>
      <c r="F106" s="68" t="str">
        <f aca="false">IF($B106="","",IF(INDEX('Master Database'!$D$1:$D$600,$B106)="","",INDEX('Master Database'!$D$1:$D$600,$B106)))</f>
        <v>P-246</v>
      </c>
      <c r="G106" s="68" t="str">
        <f aca="false">IF($B106="","",IF(INDEX('Master Database'!$E$1:$E$600,$B106)="","",INDEX('Master Database'!$E$1:$E$600,$B106)))</f>
        <v>ROT-INJ</v>
      </c>
      <c r="H106" s="68" t="str">
        <f aca="false">IF($B106="","",IF(INDEX('Master Database'!$F$1:$F$600,$B106)="","",INDEX('Master Database'!$F$1:$F$600,$B106)))</f>
        <v>N/A (non-API 610)</v>
      </c>
      <c r="I106" s="68" t="str">
        <f aca="false">IF($B106="","",IF(INDEX('Master Database'!$G$1:$G$600,$B106)="","",INDEX('Master Database'!$G$1:$G$600,$B106)))</f>
        <v>D-2</v>
      </c>
      <c r="J106" s="69" t="n">
        <f aca="false">IF($B106="","",IF(INDEX('Master Database'!$H$1:$H$600,$B106)="","",INDEX('Master Database'!$H$1:$H$600,$B106)))</f>
        <v>6</v>
      </c>
      <c r="K106" s="69" t="n">
        <f aca="false">IF($B106="","",IF(INDEX('Master Database'!$I$1:$I$600,$B106)="","",INDEX('Master Database'!$I$1:$I$600,$B106)))</f>
        <v>20.4</v>
      </c>
      <c r="L106" s="69" t="n">
        <f aca="false">IF($B106="","",IF(INDEX('Master Database'!$K$1:$K$600,$B106)="","",INDEX('Master Database'!$K$1:$K$600,$B106)))</f>
        <v>0.555858310626703</v>
      </c>
      <c r="M106" s="68" t="str">
        <f aca="false">IF($B106="","",IF(INDEX('Master Database'!$L$1:$L$600,$B106)="","",INDEX('Master Database'!$L$1:$L$600,$B106)))</f>
        <v>JIS B 8325</v>
      </c>
      <c r="N106" s="68" t="str">
        <f aca="false">IF($B106="","",IF(INDEX('Master Database'!$P$1:$P$600,$B106)="","",INDEX('Master Database'!$P$1:$P$600,$B106)))</f>
        <v>Not stated</v>
      </c>
      <c r="O106" s="68" t="str">
        <f aca="false">IF($B106="","",IF(INDEX('Master Database'!$S$1:$S$600,$B106)="","",INDEX('Master Database'!$S$1:$S$600,$B106)))</f>
        <v>Electric Motor</v>
      </c>
      <c r="P106" s="68" t="str">
        <f aca="false">IF($B106="","",IF(INDEX('Master Database'!$T$1:$T$600,$B106)="","",INDEX('Master Database'!$T$1:$T$600,$B106)))</f>
        <v>Produced / Disposal Water</v>
      </c>
      <c r="Q106" s="68" t="n">
        <f aca="false">IF($B106="","",IF(INDEX('Master Database'!$Y$1:$Y$600,$B106)="","",INDEX('Master Database'!$Y$1:$Y$600,$B106)))</f>
        <v>1393</v>
      </c>
      <c r="R106" s="68" t="str">
        <f aca="false">IF($B106="","",IF(INDEX('Master Database'!$Z$1:$Z$600,$B106)="","",INDEX('Master Database'!$Z$1:$Z$600,$B106)))</f>
        <v>EUR</v>
      </c>
      <c r="S106" s="70" t="n">
        <f aca="false">IF($B106="","",IF(INDEX('Master Database'!$AA$1:$AA$600,$B106)="","",INDEX('Master Database'!$AA$1:$AA$600,$B106)))</f>
        <v>20000</v>
      </c>
      <c r="T106" s="68" t="str">
        <f aca="false">IF($B106="","",IF(INDEX('Master Database'!$AE$1:$AE$600,$B106)="","",INDEX('Master Database'!$AE$1:$AE$600,$B106)))</f>
        <v>Consultant FEED MTO estimate – KPL-476 R03 (Jan 2016); vendor-level price in EUR, before project overhead | source label: AACE Class 3</v>
      </c>
      <c r="U106" s="70" t="n">
        <f aca="false">IF($B106="","",IF(INDEX('Master Database'!$AG$1:$AG$600,$B106)="","",INDEX('Master Database'!$AG$1:$AG$600,$B106)))</f>
        <v>27021.3581179459</v>
      </c>
      <c r="V106" s="70" t="n">
        <f aca="false">IF($B106="","",IF(INDEX('Master Database'!$AH$1:$AH$600,$B106)="","",INDEX('Master Database'!$AH$1:$AH$600,$B106)))</f>
        <v>28528.6927396926</v>
      </c>
      <c r="W106" s="70" t="n">
        <f aca="false">IF($B106="","",IF(INDEX('Master Database'!$AI$1:$AI$600,$B106)="","",INDEX('Master Database'!$AI$1:$AI$600,$B106)))</f>
        <v>18787085615.948</v>
      </c>
      <c r="X106" s="68" t="str">
        <f aca="false">IF($B106="","",IF(INDEX('Master Database'!$BG$1:$BG$600,$B106)="","",INDEX('Master Database'!$BG$1:$BG$600,$B106)))</f>
        <v>Y</v>
      </c>
      <c r="BA106" s="65" t="n">
        <f aca="false">IF('Master Database'!$A106="",0,IF(AND(OR($B$5="",ISNUMBER(SEARCH($B$5,'Master Database'!$B106&amp;" "&amp;'Master Database'!$D106))),OR($B$6="(All)",'Master Database'!$C106=$B$6),OR($B$7="(All)",'Master Database'!$E106=$B$7),OR($B$8="(All)",'Master Database'!$T106=$B$8),OR($B$9="(All)",'Master Database'!$M106=$B$9),OR($B$10="(All)",'Master Database'!$V106=$B$10),OR($E$5="(All)",'Master Database'!$F106=$E$5),OR($E$6="(All)",'Master Database'!$G106=$E$6),OR($E$7="(All)",'Master Database'!$O106=$E$7),OR($E$8="(All)",'Master Database'!$P106=$E$8),OR($E$9="(All)",'Master Database'!$S106=$E$9),OR($E$10="(All)",'Master Database'!$Y106&amp;""=$E$10&amp;""),OR($H$5="(All)",'Master Database'!$BG106=$H$5),OR($H$6&lt;&gt;"Y",ISNUMBER('Master Database'!$AG106)),OR($H$7="",AND(ISNUMBER('Master Database'!$H106),N('Master Database'!$H106)&gt;=$H$7)),OR($I$7="",AND(ISNUMBER('Master Database'!$H106),N('Master Database'!$H106)&lt;=$I$7)),OR($H$8="",AND(ISNUMBER('Master Database'!$I106),N('Master Database'!$I106)&gt;=$H$8)),OR($I$8="",AND(ISNUMBER('Master Database'!$I106),N('Master Database'!$I106)&lt;=$I$8)),OR($H$9="",AND(ISNUMBER('Master Database'!$K106),N('Master Database'!$K106)&gt;=$H$9)),OR($I$9="",AND(ISNUMBER('Master Database'!$K106),N('Master Database'!$K106)&lt;=$I$9))),1,0))</f>
        <v>1</v>
      </c>
      <c r="BB106" s="65" t="n">
        <f aca="false">IF(BA106=1,COUNTIF($BA$5:BA106,1),"")</f>
        <v>102</v>
      </c>
    </row>
    <row r="107" customFormat="false" ht="15" hidden="false" customHeight="false" outlineLevel="0" collapsed="false">
      <c r="A107" s="67" t="n">
        <f aca="false">IF(92&lt;=SUM($BA$5:$BA$600),92,"")</f>
        <v>92</v>
      </c>
      <c r="B107" s="67" t="n">
        <f aca="false">IF(A107="","",MATCH(A107,$BB$5:$BB$600,0)+4)</f>
        <v>96</v>
      </c>
      <c r="C107" s="67" t="n">
        <f aca="false">IF($B107="","",IF(INDEX('Master Database'!$A$1:$A$600,$B107)="","",INDEX('Master Database'!$A$1:$A$600,$B107)))</f>
        <v>92</v>
      </c>
      <c r="D107" s="68" t="str">
        <f aca="false">IF($B107="","",IF(INDEX('Master Database'!$B$1:$B$600,$B107)="","",INDEX('Master Database'!$B$1:$B$600,$B107)))</f>
        <v>Chemical Loading Pumps</v>
      </c>
      <c r="E107" s="68" t="str">
        <f aca="false">IF($B107="","",IF(INDEX('Master Database'!$C$1:$C$600,$B107)="","",INDEX('Master Database'!$C$1:$C$600,$B107)))</f>
        <v>Koopal Asmari</v>
      </c>
      <c r="F107" s="68" t="str">
        <f aca="false">IF($B107="","",IF(INDEX('Master Database'!$D$1:$D$600,$B107)="","",INDEX('Master Database'!$D$1:$D$600,$B107)))</f>
        <v>P-220 A/B/C/D/E</v>
      </c>
      <c r="G107" s="68" t="str">
        <f aca="false">IF($B107="","",IF(INDEX('Master Database'!$E$1:$E$600,$B107)="","",INDEX('Master Database'!$E$1:$E$600,$B107)))</f>
        <v>ROT-AUX</v>
      </c>
      <c r="H107" s="68" t="str">
        <f aca="false">IF($B107="","",IF(INDEX('Master Database'!$F$1:$F$600,$B107)="","",INDEX('Master Database'!$F$1:$F$600,$B107)))</f>
        <v>N/A (non-API 610)</v>
      </c>
      <c r="I107" s="68" t="str">
        <f aca="false">IF($B107="","",IF(INDEX('Master Database'!$G$1:$G$600,$B107)="","",INDEX('Master Database'!$G$1:$G$600,$B107)))</f>
        <v>SS316L (non-API)</v>
      </c>
      <c r="J107" s="69" t="n">
        <f aca="false">IF($B107="","",IF(INDEX('Master Database'!$H$1:$H$600,$B107)="","",INDEX('Master Database'!$H$1:$H$600,$B107)))</f>
        <v>9.6</v>
      </c>
      <c r="K107" s="69" t="str">
        <f aca="false">IF($B107="","",IF(INDEX('Master Database'!$I$1:$I$600,$B107)="","",INDEX('Master Database'!$I$1:$I$600,$B107)))</f>
        <v/>
      </c>
      <c r="L107" s="69" t="str">
        <f aca="false">IF($B107="","",IF(INDEX('Master Database'!$K$1:$K$600,$B107)="","",INDEX('Master Database'!$K$1:$K$600,$B107)))</f>
        <v/>
      </c>
      <c r="M107" s="68" t="str">
        <f aca="false">IF($B107="","",IF(INDEX('Master Database'!$L$1:$L$600,$B107)="","",INDEX('Master Database'!$L$1:$L$600,$B107)))</f>
        <v>Not stated</v>
      </c>
      <c r="N107" s="68" t="str">
        <f aca="false">IF($B107="","",IF(INDEX('Master Database'!$P$1:$P$600,$B107)="","",INDEX('Master Database'!$P$1:$P$600,$B107)))</f>
        <v>Not stated</v>
      </c>
      <c r="O107" s="68" t="str">
        <f aca="false">IF($B107="","",IF(INDEX('Master Database'!$S$1:$S$600,$B107)="","",INDEX('Master Database'!$S$1:$S$600,$B107)))</f>
        <v>Electric Motor</v>
      </c>
      <c r="P107" s="68" t="str">
        <f aca="false">IF($B107="","",IF(INDEX('Master Database'!$T$1:$T$600,$B107)="","",INDEX('Master Database'!$T$1:$T$600,$B107)))</f>
        <v>Chemical</v>
      </c>
      <c r="Q107" s="68" t="n">
        <f aca="false">IF($B107="","",IF(INDEX('Master Database'!$Y$1:$Y$600,$B107)="","",INDEX('Master Database'!$Y$1:$Y$600,$B107)))</f>
        <v>1393</v>
      </c>
      <c r="R107" s="68" t="str">
        <f aca="false">IF($B107="","",IF(INDEX('Master Database'!$Z$1:$Z$600,$B107)="","",INDEX('Master Database'!$Z$1:$Z$600,$B107)))</f>
        <v>IRR</v>
      </c>
      <c r="S107" s="70" t="n">
        <f aca="false">IF($B107="","",IF(INDEX('Master Database'!$AA$1:$AA$600,$B107)="","",INDEX('Master Database'!$AA$1:$AA$600,$B107)))</f>
        <v>100000000</v>
      </c>
      <c r="T107" s="68" t="str">
        <f aca="false">IF($B107="","",IF(INDEX('Master Database'!$AE$1:$AE$600,$B107)="","",INDEX('Master Database'!$AE$1:$AE$600,$B107)))</f>
        <v>Consultant FEED MTO estimate – KPL-476 R03 (Jan 2016); local supplier price in IRR, before project overhead | source label: AACE Class 3</v>
      </c>
      <c r="U107" s="70" t="n">
        <f aca="false">IF($B107="","",IF(INDEX('Master Database'!$AG$1:$AG$600,$B107)="","",INDEX('Master Database'!$AG$1:$AG$600,$B107)))</f>
        <v>3333.4350812155</v>
      </c>
      <c r="V107" s="70" t="n">
        <f aca="false">IF($B107="","",IF(INDEX('Master Database'!$AH$1:$AH$600,$B107)="","",INDEX('Master Database'!$AH$1:$AH$600,$B107)))</f>
        <v>3519.38436197812</v>
      </c>
      <c r="W107" s="70" t="n">
        <f aca="false">IF($B107="","",IF(INDEX('Master Database'!$AI$1:$AI$600,$B107)="","",INDEX('Master Database'!$AI$1:$AI$600,$B107)))</f>
        <v>2317630742.04654</v>
      </c>
      <c r="X107" s="68" t="str">
        <f aca="false">IF($B107="","",IF(INDEX('Master Database'!$BG$1:$BG$600,$B107)="","",INDEX('Master Database'!$BG$1:$BG$600,$B107)))</f>
        <v>Y</v>
      </c>
      <c r="BA107" s="65" t="n">
        <f aca="false">IF('Master Database'!$A107="",0,IF(AND(OR($B$5="",ISNUMBER(SEARCH($B$5,'Master Database'!$B107&amp;" "&amp;'Master Database'!$D107))),OR($B$6="(All)",'Master Database'!$C107=$B$6),OR($B$7="(All)",'Master Database'!$E107=$B$7),OR($B$8="(All)",'Master Database'!$T107=$B$8),OR($B$9="(All)",'Master Database'!$M107=$B$9),OR($B$10="(All)",'Master Database'!$V107=$B$10),OR($E$5="(All)",'Master Database'!$F107=$E$5),OR($E$6="(All)",'Master Database'!$G107=$E$6),OR($E$7="(All)",'Master Database'!$O107=$E$7),OR($E$8="(All)",'Master Database'!$P107=$E$8),OR($E$9="(All)",'Master Database'!$S107=$E$9),OR($E$10="(All)",'Master Database'!$Y107&amp;""=$E$10&amp;""),OR($H$5="(All)",'Master Database'!$BG107=$H$5),OR($H$6&lt;&gt;"Y",ISNUMBER('Master Database'!$AG107)),OR($H$7="",AND(ISNUMBER('Master Database'!$H107),N('Master Database'!$H107)&gt;=$H$7)),OR($I$7="",AND(ISNUMBER('Master Database'!$H107),N('Master Database'!$H107)&lt;=$I$7)),OR($H$8="",AND(ISNUMBER('Master Database'!$I107),N('Master Database'!$I107)&gt;=$H$8)),OR($I$8="",AND(ISNUMBER('Master Database'!$I107),N('Master Database'!$I107)&lt;=$I$8)),OR($H$9="",AND(ISNUMBER('Master Database'!$K107),N('Master Database'!$K107)&gt;=$H$9)),OR($I$9="",AND(ISNUMBER('Master Database'!$K107),N('Master Database'!$K107)&lt;=$I$9))),1,0))</f>
        <v>1</v>
      </c>
      <c r="BB107" s="65" t="n">
        <f aca="false">IF(BA107=1,COUNTIF($BA$5:BA107,1),"")</f>
        <v>103</v>
      </c>
    </row>
    <row r="108" customFormat="false" ht="15" hidden="false" customHeight="false" outlineLevel="0" collapsed="false">
      <c r="A108" s="67" t="n">
        <f aca="false">IF(93&lt;=SUM($BA$5:$BA$600),93,"")</f>
        <v>93</v>
      </c>
      <c r="B108" s="67" t="n">
        <f aca="false">IF(A108="","",MATCH(A108,$BB$5:$BB$600,0)+4)</f>
        <v>97</v>
      </c>
      <c r="C108" s="67" t="n">
        <f aca="false">IF($B108="","",IF(INDEX('Master Database'!$A$1:$A$600,$B108)="","",INDEX('Master Database'!$A$1:$A$600,$B108)))</f>
        <v>93</v>
      </c>
      <c r="D108" s="68" t="str">
        <f aca="false">IF($B108="","",IF(INDEX('Master Database'!$B$1:$B$600,$B108)="","",INDEX('Master Database'!$B$1:$B$600,$B108)))</f>
        <v>Water Glycol Loading Pump</v>
      </c>
      <c r="E108" s="68" t="str">
        <f aca="false">IF($B108="","",IF(INDEX('Master Database'!$C$1:$C$600,$B108)="","",INDEX('Master Database'!$C$1:$C$600,$B108)))</f>
        <v>Koopal Asmari</v>
      </c>
      <c r="F108" s="68" t="str">
        <f aca="false">IF($B108="","",IF(INDEX('Master Database'!$D$1:$D$600,$B108)="","",INDEX('Master Database'!$D$1:$D$600,$B108)))</f>
        <v>P-116</v>
      </c>
      <c r="G108" s="68" t="str">
        <f aca="false">IF($B108="","",IF(INDEX('Master Database'!$E$1:$E$600,$B108)="","",INDEX('Master Database'!$E$1:$E$600,$B108)))</f>
        <v>ROT-AUX</v>
      </c>
      <c r="H108" s="68" t="str">
        <f aca="false">IF($B108="","",IF(INDEX('Master Database'!$F$1:$F$600,$B108)="","",INDEX('Master Database'!$F$1:$F$600,$B108)))</f>
        <v>N/A (non-API 610)</v>
      </c>
      <c r="I108" s="68" t="str">
        <f aca="false">IF($B108="","",IF(INDEX('Master Database'!$G$1:$G$600,$B108)="","",INDEX('Master Database'!$G$1:$G$600,$B108)))</f>
        <v>SS316L (non-API)</v>
      </c>
      <c r="J108" s="69" t="n">
        <f aca="false">IF($B108="","",IF(INDEX('Master Database'!$H$1:$H$600,$B108)="","",INDEX('Master Database'!$H$1:$H$600,$B108)))</f>
        <v>9.6</v>
      </c>
      <c r="K108" s="69" t="str">
        <f aca="false">IF($B108="","",IF(INDEX('Master Database'!$I$1:$I$600,$B108)="","",INDEX('Master Database'!$I$1:$I$600,$B108)))</f>
        <v/>
      </c>
      <c r="L108" s="69" t="str">
        <f aca="false">IF($B108="","",IF(INDEX('Master Database'!$K$1:$K$600,$B108)="","",INDEX('Master Database'!$K$1:$K$600,$B108)))</f>
        <v/>
      </c>
      <c r="M108" s="68" t="str">
        <f aca="false">IF($B108="","",IF(INDEX('Master Database'!$L$1:$L$600,$B108)="","",INDEX('Master Database'!$L$1:$L$600,$B108)))</f>
        <v>Not stated</v>
      </c>
      <c r="N108" s="68" t="str">
        <f aca="false">IF($B108="","",IF(INDEX('Master Database'!$P$1:$P$600,$B108)="","",INDEX('Master Database'!$P$1:$P$600,$B108)))</f>
        <v>Not stated</v>
      </c>
      <c r="O108" s="68" t="str">
        <f aca="false">IF($B108="","",IF(INDEX('Master Database'!$S$1:$S$600,$B108)="","",INDEX('Master Database'!$S$1:$S$600,$B108)))</f>
        <v>Electric Motor</v>
      </c>
      <c r="P108" s="68" t="str">
        <f aca="false">IF($B108="","",IF(INDEX('Master Database'!$T$1:$T$600,$B108)="","",INDEX('Master Database'!$T$1:$T$600,$B108)))</f>
        <v>Chemical</v>
      </c>
      <c r="Q108" s="68" t="n">
        <f aca="false">IF($B108="","",IF(INDEX('Master Database'!$Y$1:$Y$600,$B108)="","",INDEX('Master Database'!$Y$1:$Y$600,$B108)))</f>
        <v>1393</v>
      </c>
      <c r="R108" s="68" t="str">
        <f aca="false">IF($B108="","",IF(INDEX('Master Database'!$Z$1:$Z$600,$B108)="","",INDEX('Master Database'!$Z$1:$Z$600,$B108)))</f>
        <v>IRR</v>
      </c>
      <c r="S108" s="70" t="n">
        <f aca="false">IF($B108="","",IF(INDEX('Master Database'!$AA$1:$AA$600,$B108)="","",INDEX('Master Database'!$AA$1:$AA$600,$B108)))</f>
        <v>100000000</v>
      </c>
      <c r="T108" s="68" t="str">
        <f aca="false">IF($B108="","",IF(INDEX('Master Database'!$AE$1:$AE$600,$B108)="","",INDEX('Master Database'!$AE$1:$AE$600,$B108)))</f>
        <v>Consultant FEED MTO estimate – KPL-476 R03 (Jan 2016); local supplier price in IRR, before project overhead | source label: AACE Class 3</v>
      </c>
      <c r="U108" s="70" t="n">
        <f aca="false">IF($B108="","",IF(INDEX('Master Database'!$AG$1:$AG$600,$B108)="","",INDEX('Master Database'!$AG$1:$AG$600,$B108)))</f>
        <v>3333.4350812155</v>
      </c>
      <c r="V108" s="70" t="n">
        <f aca="false">IF($B108="","",IF(INDEX('Master Database'!$AH$1:$AH$600,$B108)="","",INDEX('Master Database'!$AH$1:$AH$600,$B108)))</f>
        <v>3519.38436197812</v>
      </c>
      <c r="W108" s="70" t="n">
        <f aca="false">IF($B108="","",IF(INDEX('Master Database'!$AI$1:$AI$600,$B108)="","",INDEX('Master Database'!$AI$1:$AI$600,$B108)))</f>
        <v>2317630742.04654</v>
      </c>
      <c r="X108" s="68" t="str">
        <f aca="false">IF($B108="","",IF(INDEX('Master Database'!$BG$1:$BG$600,$B108)="","",INDEX('Master Database'!$BG$1:$BG$600,$B108)))</f>
        <v>Y</v>
      </c>
      <c r="BA108" s="65" t="n">
        <f aca="false">IF('Master Database'!$A108="",0,IF(AND(OR($B$5="",ISNUMBER(SEARCH($B$5,'Master Database'!$B108&amp;" "&amp;'Master Database'!$D108))),OR($B$6="(All)",'Master Database'!$C108=$B$6),OR($B$7="(All)",'Master Database'!$E108=$B$7),OR($B$8="(All)",'Master Database'!$T108=$B$8),OR($B$9="(All)",'Master Database'!$M108=$B$9),OR($B$10="(All)",'Master Database'!$V108=$B$10),OR($E$5="(All)",'Master Database'!$F108=$E$5),OR($E$6="(All)",'Master Database'!$G108=$E$6),OR($E$7="(All)",'Master Database'!$O108=$E$7),OR($E$8="(All)",'Master Database'!$P108=$E$8),OR($E$9="(All)",'Master Database'!$S108=$E$9),OR($E$10="(All)",'Master Database'!$Y108&amp;""=$E$10&amp;""),OR($H$5="(All)",'Master Database'!$BG108=$H$5),OR($H$6&lt;&gt;"Y",ISNUMBER('Master Database'!$AG108)),OR($H$7="",AND(ISNUMBER('Master Database'!$H108),N('Master Database'!$H108)&gt;=$H$7)),OR($I$7="",AND(ISNUMBER('Master Database'!$H108),N('Master Database'!$H108)&lt;=$I$7)),OR($H$8="",AND(ISNUMBER('Master Database'!$I108),N('Master Database'!$I108)&gt;=$H$8)),OR($I$8="",AND(ISNUMBER('Master Database'!$I108),N('Master Database'!$I108)&lt;=$I$8)),OR($H$9="",AND(ISNUMBER('Master Database'!$K108),N('Master Database'!$K108)&gt;=$H$9)),OR($I$9="",AND(ISNUMBER('Master Database'!$K108),N('Master Database'!$K108)&lt;=$I$9))),1,0))</f>
        <v>1</v>
      </c>
      <c r="BB108" s="65" t="n">
        <f aca="false">IF(BA108=1,COUNTIF($BA$5:BA108,1),"")</f>
        <v>104</v>
      </c>
    </row>
    <row r="109" customFormat="false" ht="15" hidden="false" customHeight="false" outlineLevel="0" collapsed="false">
      <c r="A109" s="67" t="n">
        <f aca="false">IF(94&lt;=SUM($BA$5:$BA$600),94,"")</f>
        <v>94</v>
      </c>
      <c r="B109" s="67" t="n">
        <f aca="false">IF(A109="","",MATCH(A109,$BB$5:$BB$600,0)+4)</f>
        <v>98</v>
      </c>
      <c r="C109" s="67" t="n">
        <f aca="false">IF($B109="","",IF(INDEX('Master Database'!$A$1:$A$600,$B109)="","",INDEX('Master Database'!$A$1:$A$600,$B109)))</f>
        <v>94</v>
      </c>
      <c r="D109" s="68" t="str">
        <f aca="false">IF($B109="","",IF(INDEX('Master Database'!$B$1:$B$600,$B109)="","",INDEX('Master Database'!$B$1:$B$600,$B109)))</f>
        <v>Off Spec. Crude Pumps</v>
      </c>
      <c r="E109" s="68" t="str">
        <f aca="false">IF($B109="","",IF(INDEX('Master Database'!$C$1:$C$600,$B109)="","",INDEX('Master Database'!$C$1:$C$600,$B109)))</f>
        <v>Pazanan 2</v>
      </c>
      <c r="F109" s="68" t="str">
        <f aca="false">IF($B109="","",IF(INDEX('Master Database'!$D$1:$D$600,$B109)="","",INDEX('Master Database'!$D$1:$D$600,$B109)))</f>
        <v>P-111 A/B</v>
      </c>
      <c r="G109" s="68" t="str">
        <f aca="false">IF($B109="","",IF(INDEX('Master Database'!$E$1:$E$600,$B109)="","",INDEX('Master Database'!$E$1:$E$600,$B109)))</f>
        <v>ROT-CRU</v>
      </c>
      <c r="H109" s="68" t="str">
        <f aca="false">IF($B109="","",IF(INDEX('Master Database'!$F$1:$F$600,$B109)="","",INDEX('Master Database'!$F$1:$F$600,$B109)))</f>
        <v>VS6</v>
      </c>
      <c r="I109" s="68" t="str">
        <f aca="false">IF($B109="","",IF(INDEX('Master Database'!$G$1:$G$600,$B109)="","",INDEX('Master Database'!$G$1:$G$600,$B109)))</f>
        <v>D-1</v>
      </c>
      <c r="J109" s="69" t="n">
        <f aca="false">IF($B109="","",IF(INDEX('Master Database'!$H$1:$H$600,$B109)="","",INDEX('Master Database'!$H$1:$H$600,$B109)))</f>
        <v>45</v>
      </c>
      <c r="K109" s="69" t="n">
        <f aca="false">IF($B109="","",IF(INDEX('Master Database'!$I$1:$I$600,$B109)="","",INDEX('Master Database'!$I$1:$I$600,$B109)))</f>
        <v>139.1</v>
      </c>
      <c r="L109" s="69" t="n">
        <f aca="false">IF($B109="","",IF(INDEX('Master Database'!$K$1:$K$600,$B109)="","",INDEX('Master Database'!$K$1:$K$600,$B109)))</f>
        <v>28.4264305177112</v>
      </c>
      <c r="M109" s="68" t="str">
        <f aca="false">IF($B109="","",IF(INDEX('Master Database'!$L$1:$L$600,$B109)="","",INDEX('Master Database'!$L$1:$L$600,$B109)))</f>
        <v>API 610 + IPS-G-PM-105 + NACE MR0175</v>
      </c>
      <c r="N109" s="68" t="str">
        <f aca="false">IF($B109="","",IF(INDEX('Master Database'!$P$1:$P$600,$B109)="","",INDEX('Master Database'!$P$1:$P$600,$B109)))</f>
        <v>Not stated</v>
      </c>
      <c r="O109" s="68" t="str">
        <f aca="false">IF($B109="","",IF(INDEX('Master Database'!$S$1:$S$600,$B109)="","",INDEX('Master Database'!$S$1:$S$600,$B109)))</f>
        <v>Electric Motor</v>
      </c>
      <c r="P109" s="68" t="str">
        <f aca="false">IF($B109="","",IF(INDEX('Master Database'!$T$1:$T$600,$B109)="","",INDEX('Master Database'!$T$1:$T$600,$B109)))</f>
        <v>Crude Oil</v>
      </c>
      <c r="Q109" s="68" t="n">
        <f aca="false">IF($B109="","",IF(INDEX('Master Database'!$Y$1:$Y$600,$B109)="","",INDEX('Master Database'!$Y$1:$Y$600,$B109)))</f>
        <v>1404</v>
      </c>
      <c r="R109" s="68" t="str">
        <f aca="false">IF($B109="","",IF(INDEX('Master Database'!$Z$1:$Z$600,$B109)="","",INDEX('Master Database'!$Z$1:$Z$600,$B109)))</f>
        <v>EUR</v>
      </c>
      <c r="S109" s="70" t="n">
        <f aca="false">IF($B109="","",IF(INDEX('Master Database'!$AA$1:$AA$600,$B109)="","",INDEX('Master Database'!$AA$1:$AA$600,$B109)))</f>
        <v>111500</v>
      </c>
      <c r="T109" s="68" t="str">
        <f aca="false">IF($B109="","",IF(INDEX('Master Database'!$AE$1:$AE$600,$B109)="","",INDEX('Master Database'!$AE$1:$AE$600,$B109)))</f>
        <v>Vendor inquiry 1404Q1 – average of 2 quotation(s), PC-ME (91211-PZN-ME-RE-451) sheet PUMPS | source label: AACE Class 1</v>
      </c>
      <c r="U109" s="70" t="n">
        <f aca="false">IF($B109="","",IF(INDEX('Master Database'!$AG$1:$AG$600,$B109)="","",INDEX('Master Database'!$AG$1:$AG$600,$B109)))</f>
        <v>111500</v>
      </c>
      <c r="V109" s="70" t="n">
        <f aca="false">IF($B109="","",IF(INDEX('Master Database'!$AH$1:$AH$600,$B109)="","",INDEX('Master Database'!$AH$1:$AH$600,$B109)))</f>
        <v>117719.813585652</v>
      </c>
      <c r="W109" s="70" t="n">
        <f aca="false">IF($B109="","",IF(INDEX('Master Database'!$AI$1:$AI$600,$B109)="","",INDEX('Master Database'!$AI$1:$AI$600,$B109)))</f>
        <v>77522382000</v>
      </c>
      <c r="X109" s="68" t="str">
        <f aca="false">IF($B109="","",IF(INDEX('Master Database'!$BG$1:$BG$600,$B109)="","",INDEX('Master Database'!$BG$1:$BG$600,$B109)))</f>
        <v>Y</v>
      </c>
      <c r="BA109" s="65" t="n">
        <f aca="false">IF('Master Database'!$A109="",0,IF(AND(OR($B$5="",ISNUMBER(SEARCH($B$5,'Master Database'!$B109&amp;" "&amp;'Master Database'!$D109))),OR($B$6="(All)",'Master Database'!$C109=$B$6),OR($B$7="(All)",'Master Database'!$E109=$B$7),OR($B$8="(All)",'Master Database'!$T109=$B$8),OR($B$9="(All)",'Master Database'!$M109=$B$9),OR($B$10="(All)",'Master Database'!$V109=$B$10),OR($E$5="(All)",'Master Database'!$F109=$E$5),OR($E$6="(All)",'Master Database'!$G109=$E$6),OR($E$7="(All)",'Master Database'!$O109=$E$7),OR($E$8="(All)",'Master Database'!$P109=$E$8),OR($E$9="(All)",'Master Database'!$S109=$E$9),OR($E$10="(All)",'Master Database'!$Y109&amp;""=$E$10&amp;""),OR($H$5="(All)",'Master Database'!$BG109=$H$5),OR($H$6&lt;&gt;"Y",ISNUMBER('Master Database'!$AG109)),OR($H$7="",AND(ISNUMBER('Master Database'!$H109),N('Master Database'!$H109)&gt;=$H$7)),OR($I$7="",AND(ISNUMBER('Master Database'!$H109),N('Master Database'!$H109)&lt;=$I$7)),OR($H$8="",AND(ISNUMBER('Master Database'!$I109),N('Master Database'!$I109)&gt;=$H$8)),OR($I$8="",AND(ISNUMBER('Master Database'!$I109),N('Master Database'!$I109)&lt;=$I$8)),OR($H$9="",AND(ISNUMBER('Master Database'!$K109),N('Master Database'!$K109)&gt;=$H$9)),OR($I$9="",AND(ISNUMBER('Master Database'!$K109),N('Master Database'!$K109)&lt;=$I$9))),1,0))</f>
        <v>1</v>
      </c>
      <c r="BB109" s="65" t="n">
        <f aca="false">IF(BA109=1,COUNTIF($BA$5:BA109,1),"")</f>
        <v>105</v>
      </c>
    </row>
    <row r="110" customFormat="false" ht="15" hidden="false" customHeight="false" outlineLevel="0" collapsed="false">
      <c r="A110" s="67" t="n">
        <f aca="false">IF(95&lt;=SUM($BA$5:$BA$600),95,"")</f>
        <v>95</v>
      </c>
      <c r="B110" s="67" t="n">
        <f aca="false">IF(A110="","",MATCH(A110,$BB$5:$BB$600,0)+4)</f>
        <v>99</v>
      </c>
      <c r="C110" s="67" t="n">
        <f aca="false">IF($B110="","",IF(INDEX('Master Database'!$A$1:$A$600,$B110)="","",INDEX('Master Database'!$A$1:$A$600,$B110)))</f>
        <v>95</v>
      </c>
      <c r="D110" s="68" t="str">
        <f aca="false">IF($B110="","",IF(INDEX('Master Database'!$B$1:$B$600,$B110)="","",INDEX('Master Database'!$B$1:$B$600,$B110)))</f>
        <v>Deaerated Water Pumps</v>
      </c>
      <c r="E110" s="68" t="str">
        <f aca="false">IF($B110="","",IF(INDEX('Master Database'!$C$1:$C$600,$B110)="","",INDEX('Master Database'!$C$1:$C$600,$B110)))</f>
        <v>Pazanan 2</v>
      </c>
      <c r="F110" s="68" t="str">
        <f aca="false">IF($B110="","",IF(INDEX('Master Database'!$D$1:$D$600,$B110)="","",INDEX('Master Database'!$D$1:$D$600,$B110)))</f>
        <v>P-122 A/B</v>
      </c>
      <c r="G110" s="68" t="str">
        <f aca="false">IF($B110="","",IF(INDEX('Master Database'!$E$1:$E$600,$B110)="","",INDEX('Master Database'!$E$1:$E$600,$B110)))</f>
        <v>ROT-WAT</v>
      </c>
      <c r="H110" s="68" t="str">
        <f aca="false">IF($B110="","",IF(INDEX('Master Database'!$F$1:$F$600,$B110)="","",INDEX('Master Database'!$F$1:$F$600,$B110)))</f>
        <v>N/A (non-API 610)</v>
      </c>
      <c r="I110" s="68" t="str">
        <f aca="false">IF($B110="","",IF(INDEX('Master Database'!$G$1:$G$600,$B110)="","",INDEX('Master Database'!$G$1:$G$600,$B110)))</f>
        <v>I-2</v>
      </c>
      <c r="J110" s="69" t="n">
        <f aca="false">IF($B110="","",IF(INDEX('Master Database'!$H$1:$H$600,$B110)="","",INDEX('Master Database'!$H$1:$H$600,$B110)))</f>
        <v>53</v>
      </c>
      <c r="K110" s="69" t="n">
        <f aca="false">IF($B110="","",IF(INDEX('Master Database'!$I$1:$I$600,$B110)="","",INDEX('Master Database'!$I$1:$I$600,$B110)))</f>
        <v>35.7</v>
      </c>
      <c r="L110" s="69" t="n">
        <f aca="false">IF($B110="","",IF(INDEX('Master Database'!$K$1:$K$600,$B110)="","",INDEX('Master Database'!$K$1:$K$600,$B110)))</f>
        <v>8.59264305177112</v>
      </c>
      <c r="M110" s="68" t="str">
        <f aca="false">IF($B110="","",IF(INDEX('Master Database'!$L$1:$L$600,$B110)="","",INDEX('Master Database'!$L$1:$L$600,$B110)))</f>
        <v>ISO 5199 + IPS-M-PM-115</v>
      </c>
      <c r="N110" s="68" t="str">
        <f aca="false">IF($B110="","",IF(INDEX('Master Database'!$P$1:$P$600,$B110)="","",INDEX('Master Database'!$P$1:$P$600,$B110)))</f>
        <v>Not stated</v>
      </c>
      <c r="O110" s="68" t="str">
        <f aca="false">IF($B110="","",IF(INDEX('Master Database'!$S$1:$S$600,$B110)="","",INDEX('Master Database'!$S$1:$S$600,$B110)))</f>
        <v>Electric Motor</v>
      </c>
      <c r="P110" s="68" t="str">
        <f aca="false">IF($B110="","",IF(INDEX('Master Database'!$T$1:$T$600,$B110)="","",INDEX('Master Database'!$T$1:$T$600,$B110)))</f>
        <v>Deaerated Water</v>
      </c>
      <c r="Q110" s="68" t="n">
        <f aca="false">IF($B110="","",IF(INDEX('Master Database'!$Y$1:$Y$600,$B110)="","",INDEX('Master Database'!$Y$1:$Y$600,$B110)))</f>
        <v>1404</v>
      </c>
      <c r="R110" s="68" t="str">
        <f aca="false">IF($B110="","",IF(INDEX('Master Database'!$Z$1:$Z$600,$B110)="","",INDEX('Master Database'!$Z$1:$Z$600,$B110)))</f>
        <v>EUR</v>
      </c>
      <c r="S110" s="70" t="n">
        <f aca="false">IF($B110="","",IF(INDEX('Master Database'!$AA$1:$AA$600,$B110)="","",INDEX('Master Database'!$AA$1:$AA$600,$B110)))</f>
        <v>15050</v>
      </c>
      <c r="T110" s="68" t="str">
        <f aca="false">IF($B110="","",IF(INDEX('Master Database'!$AE$1:$AE$600,$B110)="","",INDEX('Master Database'!$AE$1:$AE$600,$B110)))</f>
        <v>Vendor inquiry 1404Q1 – average of 2 quotation(s), PC-ME (91211-PZN-ME-RE-451) sheet PUMPS | source label: AACE Class 1</v>
      </c>
      <c r="U110" s="70" t="n">
        <f aca="false">IF($B110="","",IF(INDEX('Master Database'!$AG$1:$AG$600,$B110)="","",INDEX('Master Database'!$AG$1:$AG$600,$B110)))</f>
        <v>15050</v>
      </c>
      <c r="V110" s="70" t="n">
        <f aca="false">IF($B110="","",IF(INDEX('Master Database'!$AH$1:$AH$600,$B110)="","",INDEX('Master Database'!$AH$1:$AH$600,$B110)))</f>
        <v>15889.5353763593</v>
      </c>
      <c r="W110" s="70" t="n">
        <f aca="false">IF($B110="","",IF(INDEX('Master Database'!$AI$1:$AI$600,$B110)="","",INDEX('Master Database'!$AI$1:$AI$600,$B110)))</f>
        <v>10463783400</v>
      </c>
      <c r="X110" s="68" t="str">
        <f aca="false">IF($B110="","",IF(INDEX('Master Database'!$BG$1:$BG$600,$B110)="","",INDEX('Master Database'!$BG$1:$BG$600,$B110)))</f>
        <v>Y</v>
      </c>
      <c r="BA110" s="65" t="n">
        <f aca="false">IF('Master Database'!$A110="",0,IF(AND(OR($B$5="",ISNUMBER(SEARCH($B$5,'Master Database'!$B110&amp;" "&amp;'Master Database'!$D110))),OR($B$6="(All)",'Master Database'!$C110=$B$6),OR($B$7="(All)",'Master Database'!$E110=$B$7),OR($B$8="(All)",'Master Database'!$T110=$B$8),OR($B$9="(All)",'Master Database'!$M110=$B$9),OR($B$10="(All)",'Master Database'!$V110=$B$10),OR($E$5="(All)",'Master Database'!$F110=$E$5),OR($E$6="(All)",'Master Database'!$G110=$E$6),OR($E$7="(All)",'Master Database'!$O110=$E$7),OR($E$8="(All)",'Master Database'!$P110=$E$8),OR($E$9="(All)",'Master Database'!$S110=$E$9),OR($E$10="(All)",'Master Database'!$Y110&amp;""=$E$10&amp;""),OR($H$5="(All)",'Master Database'!$BG110=$H$5),OR($H$6&lt;&gt;"Y",ISNUMBER('Master Database'!$AG110)),OR($H$7="",AND(ISNUMBER('Master Database'!$H110),N('Master Database'!$H110)&gt;=$H$7)),OR($I$7="",AND(ISNUMBER('Master Database'!$H110),N('Master Database'!$H110)&lt;=$I$7)),OR($H$8="",AND(ISNUMBER('Master Database'!$I110),N('Master Database'!$I110)&gt;=$H$8)),OR($I$8="",AND(ISNUMBER('Master Database'!$I110),N('Master Database'!$I110)&lt;=$I$8)),OR($H$9="",AND(ISNUMBER('Master Database'!$K110),N('Master Database'!$K110)&gt;=$H$9)),OR($I$9="",AND(ISNUMBER('Master Database'!$K110),N('Master Database'!$K110)&lt;=$I$9))),1,0))</f>
        <v>1</v>
      </c>
      <c r="BB110" s="65" t="n">
        <f aca="false">IF(BA110=1,COUNTIF($BA$5:BA110,1),"")</f>
        <v>106</v>
      </c>
    </row>
    <row r="111" customFormat="false" ht="15" hidden="false" customHeight="false" outlineLevel="0" collapsed="false">
      <c r="A111" s="67" t="n">
        <f aca="false">IF(96&lt;=SUM($BA$5:$BA$600),96,"")</f>
        <v>96</v>
      </c>
      <c r="B111" s="67" t="n">
        <f aca="false">IF(A111="","",MATCH(A111,$BB$5:$BB$600,0)+4)</f>
        <v>100</v>
      </c>
      <c r="C111" s="67" t="n">
        <f aca="false">IF($B111="","",IF(INDEX('Master Database'!$A$1:$A$600,$B111)="","",INDEX('Master Database'!$A$1:$A$600,$B111)))</f>
        <v>96</v>
      </c>
      <c r="D111" s="68" t="str">
        <f aca="false">IF($B111="","",IF(INDEX('Master Database'!$B$1:$B$600,$B111)="","",INDEX('Master Database'!$B$1:$B$600,$B111)))</f>
        <v>Dilution Water Pump</v>
      </c>
      <c r="E111" s="68" t="str">
        <f aca="false">IF($B111="","",IF(INDEX('Master Database'!$C$1:$C$600,$B111)="","",INDEX('Master Database'!$C$1:$C$600,$B111)))</f>
        <v>Pazanan 2</v>
      </c>
      <c r="F111" s="68" t="str">
        <f aca="false">IF($B111="","",IF(INDEX('Master Database'!$D$1:$D$600,$B111)="","",INDEX('Master Database'!$D$1:$D$600,$B111)))</f>
        <v>P-124</v>
      </c>
      <c r="G111" s="68" t="str">
        <f aca="false">IF($B111="","",IF(INDEX('Master Database'!$E$1:$E$600,$B111)="","",INDEX('Master Database'!$E$1:$E$600,$B111)))</f>
        <v>ROT-WAT</v>
      </c>
      <c r="H111" s="68" t="str">
        <f aca="false">IF($B111="","",IF(INDEX('Master Database'!$F$1:$F$600,$B111)="","",INDEX('Master Database'!$F$1:$F$600,$B111)))</f>
        <v>OH2</v>
      </c>
      <c r="I111" s="68" t="str">
        <f aca="false">IF($B111="","",IF(INDEX('Master Database'!$G$1:$G$600,$B111)="","",INDEX('Master Database'!$G$1:$G$600,$B111)))</f>
        <v>I-2</v>
      </c>
      <c r="J111" s="69" t="n">
        <f aca="false">IF($B111="","",IF(INDEX('Master Database'!$H$1:$H$600,$B111)="","",INDEX('Master Database'!$H$1:$H$600,$B111)))</f>
        <v>53</v>
      </c>
      <c r="K111" s="69" t="n">
        <f aca="false">IF($B111="","",IF(INDEX('Master Database'!$I$1:$I$600,$B111)="","",INDEX('Master Database'!$I$1:$I$600,$B111)))</f>
        <v>122.3</v>
      </c>
      <c r="L111" s="69" t="n">
        <f aca="false">IF($B111="","",IF(INDEX('Master Database'!$K$1:$K$600,$B111)="","",INDEX('Master Database'!$K$1:$K$600,$B111)))</f>
        <v>29.436421435059</v>
      </c>
      <c r="M111" s="68" t="str">
        <f aca="false">IF($B111="","",IF(INDEX('Master Database'!$L$1:$L$600,$B111)="","",INDEX('Master Database'!$L$1:$L$600,$B111)))</f>
        <v>API 610 + IPS-G-PM-105</v>
      </c>
      <c r="N111" s="68" t="str">
        <f aca="false">IF($B111="","",IF(INDEX('Master Database'!$P$1:$P$600,$B111)="","",INDEX('Master Database'!$P$1:$P$600,$B111)))</f>
        <v>Not stated</v>
      </c>
      <c r="O111" s="68" t="str">
        <f aca="false">IF($B111="","",IF(INDEX('Master Database'!$S$1:$S$600,$B111)="","",INDEX('Master Database'!$S$1:$S$600,$B111)))</f>
        <v>Electric Motor</v>
      </c>
      <c r="P111" s="68" t="str">
        <f aca="false">IF($B111="","",IF(INDEX('Master Database'!$T$1:$T$600,$B111)="","",INDEX('Master Database'!$T$1:$T$600,$B111)))</f>
        <v>Process / Dilution Water</v>
      </c>
      <c r="Q111" s="68" t="n">
        <f aca="false">IF($B111="","",IF(INDEX('Master Database'!$Y$1:$Y$600,$B111)="","",INDEX('Master Database'!$Y$1:$Y$600,$B111)))</f>
        <v>1404</v>
      </c>
      <c r="R111" s="68" t="str">
        <f aca="false">IF($B111="","",IF(INDEX('Master Database'!$Z$1:$Z$600,$B111)="","",INDEX('Master Database'!$Z$1:$Z$600,$B111)))</f>
        <v>EUR</v>
      </c>
      <c r="S111" s="70" t="n">
        <f aca="false">IF($B111="","",IF(INDEX('Master Database'!$AA$1:$AA$600,$B111)="","",INDEX('Master Database'!$AA$1:$AA$600,$B111)))</f>
        <v>22250</v>
      </c>
      <c r="T111" s="68" t="str">
        <f aca="false">IF($B111="","",IF(INDEX('Master Database'!$AE$1:$AE$600,$B111)="","",INDEX('Master Database'!$AE$1:$AE$600,$B111)))</f>
        <v>Vendor inquiry 1404Q1 – average of 2 quotation(s), PC-ME (91211-PZN-ME-RE-451) sheet PUMPS | source label: AACE Class 1</v>
      </c>
      <c r="U111" s="70" t="n">
        <f aca="false">IF($B111="","",IF(INDEX('Master Database'!$AG$1:$AG$600,$B111)="","",INDEX('Master Database'!$AG$1:$AG$600,$B111)))</f>
        <v>22250</v>
      </c>
      <c r="V111" s="70" t="n">
        <f aca="false">IF($B111="","",IF(INDEX('Master Database'!$AH$1:$AH$600,$B111)="","",INDEX('Master Database'!$AH$1:$AH$600,$B111)))</f>
        <v>23491.1735630561</v>
      </c>
      <c r="W111" s="70" t="n">
        <f aca="false">IF($B111="","",IF(INDEX('Master Database'!$AI$1:$AI$600,$B111)="","",INDEX('Master Database'!$AI$1:$AI$600,$B111)))</f>
        <v>15469713000</v>
      </c>
      <c r="X111" s="68" t="str">
        <f aca="false">IF($B111="","",IF(INDEX('Master Database'!$BG$1:$BG$600,$B111)="","",INDEX('Master Database'!$BG$1:$BG$600,$B111)))</f>
        <v>Y</v>
      </c>
      <c r="BA111" s="65" t="n">
        <f aca="false">IF('Master Database'!$A111="",0,IF(AND(OR($B$5="",ISNUMBER(SEARCH($B$5,'Master Database'!$B111&amp;" "&amp;'Master Database'!$D111))),OR($B$6="(All)",'Master Database'!$C111=$B$6),OR($B$7="(All)",'Master Database'!$E111=$B$7),OR($B$8="(All)",'Master Database'!$T111=$B$8),OR($B$9="(All)",'Master Database'!$M111=$B$9),OR($B$10="(All)",'Master Database'!$V111=$B$10),OR($E$5="(All)",'Master Database'!$F111=$E$5),OR($E$6="(All)",'Master Database'!$G111=$E$6),OR($E$7="(All)",'Master Database'!$O111=$E$7),OR($E$8="(All)",'Master Database'!$P111=$E$8),OR($E$9="(All)",'Master Database'!$S111=$E$9),OR($E$10="(All)",'Master Database'!$Y111&amp;""=$E$10&amp;""),OR($H$5="(All)",'Master Database'!$BG111=$H$5),OR($H$6&lt;&gt;"Y",ISNUMBER('Master Database'!$AG111)),OR($H$7="",AND(ISNUMBER('Master Database'!$H111),N('Master Database'!$H111)&gt;=$H$7)),OR($I$7="",AND(ISNUMBER('Master Database'!$H111),N('Master Database'!$H111)&lt;=$I$7)),OR($H$8="",AND(ISNUMBER('Master Database'!$I111),N('Master Database'!$I111)&gt;=$H$8)),OR($I$8="",AND(ISNUMBER('Master Database'!$I111),N('Master Database'!$I111)&lt;=$I$8)),OR($H$9="",AND(ISNUMBER('Master Database'!$K111),N('Master Database'!$K111)&gt;=$H$9)),OR($I$9="",AND(ISNUMBER('Master Database'!$K111),N('Master Database'!$K111)&lt;=$I$9))),1,0))</f>
        <v>1</v>
      </c>
      <c r="BB111" s="65" t="n">
        <f aca="false">IF(BA111=1,COUNTIF($BA$5:BA111,1),"")</f>
        <v>107</v>
      </c>
    </row>
    <row r="112" customFormat="false" ht="15" hidden="false" customHeight="false" outlineLevel="0" collapsed="false">
      <c r="A112" s="67" t="n">
        <f aca="false">IF(97&lt;=SUM($BA$5:$BA$600),97,"")</f>
        <v>97</v>
      </c>
      <c r="B112" s="67" t="n">
        <f aca="false">IF(A112="","",MATCH(A112,$BB$5:$BB$600,0)+4)</f>
        <v>101</v>
      </c>
      <c r="C112" s="67" t="n">
        <f aca="false">IF($B112="","",IF(INDEX('Master Database'!$A$1:$A$600,$B112)="","",INDEX('Master Database'!$A$1:$A$600,$B112)))</f>
        <v>97</v>
      </c>
      <c r="D112" s="68" t="str">
        <f aca="false">IF($B112="","",IF(INDEX('Master Database'!$B$1:$B$600,$B112)="","",INDEX('Master Database'!$B$1:$B$600,$B112)))</f>
        <v>Dilution Water Pumps</v>
      </c>
      <c r="E112" s="68" t="str">
        <f aca="false">IF($B112="","",IF(INDEX('Master Database'!$C$1:$C$600,$B112)="","",INDEX('Master Database'!$C$1:$C$600,$B112)))</f>
        <v>Pazanan 2</v>
      </c>
      <c r="F112" s="68" t="str">
        <f aca="false">IF($B112="","",IF(INDEX('Master Database'!$D$1:$D$600,$B112)="","",INDEX('Master Database'!$D$1:$D$600,$B112)))</f>
        <v>P-125 A/B</v>
      </c>
      <c r="G112" s="68" t="str">
        <f aca="false">IF($B112="","",IF(INDEX('Master Database'!$E$1:$E$600,$B112)="","",INDEX('Master Database'!$E$1:$E$600,$B112)))</f>
        <v>ROT-WAT</v>
      </c>
      <c r="H112" s="68" t="str">
        <f aca="false">IF($B112="","",IF(INDEX('Master Database'!$F$1:$F$600,$B112)="","",INDEX('Master Database'!$F$1:$F$600,$B112)))</f>
        <v>OH2</v>
      </c>
      <c r="I112" s="68" t="str">
        <f aca="false">IF($B112="","",IF(INDEX('Master Database'!$G$1:$G$600,$B112)="","",INDEX('Master Database'!$G$1:$G$600,$B112)))</f>
        <v>I-2</v>
      </c>
      <c r="J112" s="69" t="n">
        <f aca="false">IF($B112="","",IF(INDEX('Master Database'!$H$1:$H$600,$B112)="","",INDEX('Master Database'!$H$1:$H$600,$B112)))</f>
        <v>31</v>
      </c>
      <c r="K112" s="69" t="n">
        <f aca="false">IF($B112="","",IF(INDEX('Master Database'!$I$1:$I$600,$B112)="","",INDEX('Master Database'!$I$1:$I$600,$B112)))</f>
        <v>122</v>
      </c>
      <c r="L112" s="69" t="n">
        <f aca="false">IF($B112="","",IF(INDEX('Master Database'!$K$1:$K$600,$B112)="","",INDEX('Master Database'!$K$1:$K$600,$B112)))</f>
        <v>17.1752951861944</v>
      </c>
      <c r="M112" s="68" t="str">
        <f aca="false">IF($B112="","",IF(INDEX('Master Database'!$L$1:$L$600,$B112)="","",INDEX('Master Database'!$L$1:$L$600,$B112)))</f>
        <v>API 610 + IPS-G-PM-105</v>
      </c>
      <c r="N112" s="68" t="str">
        <f aca="false">IF($B112="","",IF(INDEX('Master Database'!$P$1:$P$600,$B112)="","",INDEX('Master Database'!$P$1:$P$600,$B112)))</f>
        <v>Not stated</v>
      </c>
      <c r="O112" s="68" t="str">
        <f aca="false">IF($B112="","",IF(INDEX('Master Database'!$S$1:$S$600,$B112)="","",INDEX('Master Database'!$S$1:$S$600,$B112)))</f>
        <v>Electric Motor</v>
      </c>
      <c r="P112" s="68" t="str">
        <f aca="false">IF($B112="","",IF(INDEX('Master Database'!$T$1:$T$600,$B112)="","",INDEX('Master Database'!$T$1:$T$600,$B112)))</f>
        <v>Process / Dilution Water</v>
      </c>
      <c r="Q112" s="68" t="n">
        <f aca="false">IF($B112="","",IF(INDEX('Master Database'!$Y$1:$Y$600,$B112)="","",INDEX('Master Database'!$Y$1:$Y$600,$B112)))</f>
        <v>1404</v>
      </c>
      <c r="R112" s="68" t="str">
        <f aca="false">IF($B112="","",IF(INDEX('Master Database'!$Z$1:$Z$600,$B112)="","",INDEX('Master Database'!$Z$1:$Z$600,$B112)))</f>
        <v>EUR</v>
      </c>
      <c r="S112" s="70" t="n">
        <f aca="false">IF($B112="","",IF(INDEX('Master Database'!$AA$1:$AA$600,$B112)="","",INDEX('Master Database'!$AA$1:$AA$600,$B112)))</f>
        <v>21500</v>
      </c>
      <c r="T112" s="68" t="str">
        <f aca="false">IF($B112="","",IF(INDEX('Master Database'!$AE$1:$AE$600,$B112)="","",INDEX('Master Database'!$AE$1:$AE$600,$B112)))</f>
        <v>Vendor inquiry 1404Q1 – average of 2 quotation(s), PC-ME (91211-PZN-ME-RE-451) sheet PUMPS | source label: AACE Class 1</v>
      </c>
      <c r="U112" s="70" t="n">
        <f aca="false">IF($B112="","",IF(INDEX('Master Database'!$AG$1:$AG$600,$B112)="","",INDEX('Master Database'!$AG$1:$AG$600,$B112)))</f>
        <v>21500</v>
      </c>
      <c r="V112" s="70" t="n">
        <f aca="false">IF($B112="","",IF(INDEX('Master Database'!$AH$1:$AH$600,$B112)="","",INDEX('Master Database'!$AH$1:$AH$600,$B112)))</f>
        <v>22699.3362519418</v>
      </c>
      <c r="W112" s="70" t="n">
        <f aca="false">IF($B112="","",IF(INDEX('Master Database'!$AI$1:$AI$600,$B112)="","",INDEX('Master Database'!$AI$1:$AI$600,$B112)))</f>
        <v>14948262000</v>
      </c>
      <c r="X112" s="68" t="str">
        <f aca="false">IF($B112="","",IF(INDEX('Master Database'!$BG$1:$BG$600,$B112)="","",INDEX('Master Database'!$BG$1:$BG$600,$B112)))</f>
        <v>Y</v>
      </c>
      <c r="BA112" s="65" t="n">
        <f aca="false">IF('Master Database'!$A112="",0,IF(AND(OR($B$5="",ISNUMBER(SEARCH($B$5,'Master Database'!$B112&amp;" "&amp;'Master Database'!$D112))),OR($B$6="(All)",'Master Database'!$C112=$B$6),OR($B$7="(All)",'Master Database'!$E112=$B$7),OR($B$8="(All)",'Master Database'!$T112=$B$8),OR($B$9="(All)",'Master Database'!$M112=$B$9),OR($B$10="(All)",'Master Database'!$V112=$B$10),OR($E$5="(All)",'Master Database'!$F112=$E$5),OR($E$6="(All)",'Master Database'!$G112=$E$6),OR($E$7="(All)",'Master Database'!$O112=$E$7),OR($E$8="(All)",'Master Database'!$P112=$E$8),OR($E$9="(All)",'Master Database'!$S112=$E$9),OR($E$10="(All)",'Master Database'!$Y112&amp;""=$E$10&amp;""),OR($H$5="(All)",'Master Database'!$BG112=$H$5),OR($H$6&lt;&gt;"Y",ISNUMBER('Master Database'!$AG112)),OR($H$7="",AND(ISNUMBER('Master Database'!$H112),N('Master Database'!$H112)&gt;=$H$7)),OR($I$7="",AND(ISNUMBER('Master Database'!$H112),N('Master Database'!$H112)&lt;=$I$7)),OR($H$8="",AND(ISNUMBER('Master Database'!$I112),N('Master Database'!$I112)&gt;=$H$8)),OR($I$8="",AND(ISNUMBER('Master Database'!$I112),N('Master Database'!$I112)&lt;=$I$8)),OR($H$9="",AND(ISNUMBER('Master Database'!$K112),N('Master Database'!$K112)&gt;=$H$9)),OR($I$9="",AND(ISNUMBER('Master Database'!$K112),N('Master Database'!$K112)&lt;=$I$9))),1,0))</f>
        <v>1</v>
      </c>
      <c r="BB112" s="65" t="n">
        <f aca="false">IF(BA112=1,COUNTIF($BA$5:BA112,1),"")</f>
        <v>108</v>
      </c>
    </row>
    <row r="113" customFormat="false" ht="15" hidden="false" customHeight="false" outlineLevel="0" collapsed="false">
      <c r="A113" s="67" t="n">
        <f aca="false">IF(98&lt;=SUM($BA$5:$BA$600),98,"")</f>
        <v>98</v>
      </c>
      <c r="B113" s="67" t="n">
        <f aca="false">IF(A113="","",MATCH(A113,$BB$5:$BB$600,0)+4)</f>
        <v>102</v>
      </c>
      <c r="C113" s="67" t="n">
        <f aca="false">IF($B113="","",IF(INDEX('Master Database'!$A$1:$A$600,$B113)="","",INDEX('Master Database'!$A$1:$A$600,$B113)))</f>
        <v>98</v>
      </c>
      <c r="D113" s="68" t="str">
        <f aca="false">IF($B113="","",IF(INDEX('Master Database'!$B$1:$B$600,$B113)="","",INDEX('Master Database'!$B$1:$B$600,$B113)))</f>
        <v>Disposal Water InjectionPumps</v>
      </c>
      <c r="E113" s="68" t="str">
        <f aca="false">IF($B113="","",IF(INDEX('Master Database'!$C$1:$C$600,$B113)="","",INDEX('Master Database'!$C$1:$C$600,$B113)))</f>
        <v>Pazanan 2</v>
      </c>
      <c r="F113" s="68" t="str">
        <f aca="false">IF($B113="","",IF(INDEX('Master Database'!$D$1:$D$600,$B113)="","",INDEX('Master Database'!$D$1:$D$600,$B113)))</f>
        <v>P-136 A/B</v>
      </c>
      <c r="G113" s="68" t="str">
        <f aca="false">IF($B113="","",IF(INDEX('Master Database'!$E$1:$E$600,$B113)="","",INDEX('Master Database'!$E$1:$E$600,$B113)))</f>
        <v>ROT-INJ</v>
      </c>
      <c r="H113" s="68" t="str">
        <f aca="false">IF($B113="","",IF(INDEX('Master Database'!$F$1:$F$600,$B113)="","",INDEX('Master Database'!$F$1:$F$600,$B113)))</f>
        <v>BB3</v>
      </c>
      <c r="I113" s="68" t="str">
        <f aca="false">IF($B113="","",IF(INDEX('Master Database'!$G$1:$G$600,$B113)="","",INDEX('Master Database'!$G$1:$G$600,$B113)))</f>
        <v>D-2</v>
      </c>
      <c r="J113" s="69" t="n">
        <f aca="false">IF($B113="","",IF(INDEX('Master Database'!$H$1:$H$600,$B113)="","",INDEX('Master Database'!$H$1:$H$600,$B113)))</f>
        <v>91</v>
      </c>
      <c r="K113" s="69" t="n">
        <f aca="false">IF($B113="","",IF(INDEX('Master Database'!$I$1:$I$600,$B113)="","",INDEX('Master Database'!$I$1:$I$600,$B113)))</f>
        <v>650</v>
      </c>
      <c r="L113" s="69" t="n">
        <f aca="false">IF($B113="","",IF(INDEX('Master Database'!$K$1:$K$600,$B113)="","",INDEX('Master Database'!$K$1:$K$600,$B113)))</f>
        <v>268.619436875568</v>
      </c>
      <c r="M113" s="68" t="str">
        <f aca="false">IF($B113="","",IF(INDEX('Master Database'!$L$1:$L$600,$B113)="","",INDEX('Master Database'!$L$1:$L$600,$B113)))</f>
        <v>API 610 + IPS-G-PM-105 + NACE MR0175</v>
      </c>
      <c r="N113" s="68" t="str">
        <f aca="false">IF($B113="","",IF(INDEX('Master Database'!$P$1:$P$600,$B113)="","",INDEX('Master Database'!$P$1:$P$600,$B113)))</f>
        <v>Not stated</v>
      </c>
      <c r="O113" s="68" t="str">
        <f aca="false">IF($B113="","",IF(INDEX('Master Database'!$S$1:$S$600,$B113)="","",INDEX('Master Database'!$S$1:$S$600,$B113)))</f>
        <v>Electric Motor</v>
      </c>
      <c r="P113" s="68" t="str">
        <f aca="false">IF($B113="","",IF(INDEX('Master Database'!$T$1:$T$600,$B113)="","",INDEX('Master Database'!$T$1:$T$600,$B113)))</f>
        <v>Produced / Disposal Water</v>
      </c>
      <c r="Q113" s="68" t="n">
        <f aca="false">IF($B113="","",IF(INDEX('Master Database'!$Y$1:$Y$600,$B113)="","",INDEX('Master Database'!$Y$1:$Y$600,$B113)))</f>
        <v>1404</v>
      </c>
      <c r="R113" s="68" t="str">
        <f aca="false">IF($B113="","",IF(INDEX('Master Database'!$Z$1:$Z$600,$B113)="","",INDEX('Master Database'!$Z$1:$Z$600,$B113)))</f>
        <v>EUR</v>
      </c>
      <c r="S113" s="70" t="n">
        <f aca="false">IF($B113="","",IF(INDEX('Master Database'!$AA$1:$AA$600,$B113)="","",INDEX('Master Database'!$AA$1:$AA$600,$B113)))</f>
        <v>317500</v>
      </c>
      <c r="T113" s="68" t="str">
        <f aca="false">IF($B113="","",IF(INDEX('Master Database'!$AE$1:$AE$600,$B113)="","",INDEX('Master Database'!$AE$1:$AE$600,$B113)))</f>
        <v>Vendor inquiry 1404Q1 – average of 2 quotation(s), PC-ME (91211-PZN-ME-RE-451) sheet PUMPS | source label: AACE Class 1</v>
      </c>
      <c r="U113" s="70" t="n">
        <f aca="false">IF($B113="","",IF(INDEX('Master Database'!$AG$1:$AG$600,$B113)="","",INDEX('Master Database'!$AG$1:$AG$600,$B113)))</f>
        <v>317500</v>
      </c>
      <c r="V113" s="70" t="n">
        <f aca="false">IF($B113="","",IF(INDEX('Master Database'!$AH$1:$AH$600,$B113)="","",INDEX('Master Database'!$AH$1:$AH$600,$B113)))</f>
        <v>335211.128371699</v>
      </c>
      <c r="W113" s="70" t="n">
        <f aca="false">IF($B113="","",IF(INDEX('Master Database'!$AI$1:$AI$600,$B113)="","",INDEX('Master Database'!$AI$1:$AI$600,$B113)))</f>
        <v>220747590000</v>
      </c>
      <c r="X113" s="68" t="str">
        <f aca="false">IF($B113="","",IF(INDEX('Master Database'!$BG$1:$BG$600,$B113)="","",INDEX('Master Database'!$BG$1:$BG$600,$B113)))</f>
        <v>Y</v>
      </c>
      <c r="BA113" s="65" t="n">
        <f aca="false">IF('Master Database'!$A113="",0,IF(AND(OR($B$5="",ISNUMBER(SEARCH($B$5,'Master Database'!$B113&amp;" "&amp;'Master Database'!$D113))),OR($B$6="(All)",'Master Database'!$C113=$B$6),OR($B$7="(All)",'Master Database'!$E113=$B$7),OR($B$8="(All)",'Master Database'!$T113=$B$8),OR($B$9="(All)",'Master Database'!$M113=$B$9),OR($B$10="(All)",'Master Database'!$V113=$B$10),OR($E$5="(All)",'Master Database'!$F113=$E$5),OR($E$6="(All)",'Master Database'!$G113=$E$6),OR($E$7="(All)",'Master Database'!$O113=$E$7),OR($E$8="(All)",'Master Database'!$P113=$E$8),OR($E$9="(All)",'Master Database'!$S113=$E$9),OR($E$10="(All)",'Master Database'!$Y113&amp;""=$E$10&amp;""),OR($H$5="(All)",'Master Database'!$BG113=$H$5),OR($H$6&lt;&gt;"Y",ISNUMBER('Master Database'!$AG113)),OR($H$7="",AND(ISNUMBER('Master Database'!$H113),N('Master Database'!$H113)&gt;=$H$7)),OR($I$7="",AND(ISNUMBER('Master Database'!$H113),N('Master Database'!$H113)&lt;=$I$7)),OR($H$8="",AND(ISNUMBER('Master Database'!$I113),N('Master Database'!$I113)&gt;=$H$8)),OR($I$8="",AND(ISNUMBER('Master Database'!$I113),N('Master Database'!$I113)&lt;=$I$8)),OR($H$9="",AND(ISNUMBER('Master Database'!$K113),N('Master Database'!$K113)&gt;=$H$9)),OR($I$9="",AND(ISNUMBER('Master Database'!$K113),N('Master Database'!$K113)&lt;=$I$9))),1,0))</f>
        <v>1</v>
      </c>
      <c r="BB113" s="65" t="n">
        <f aca="false">IF(BA113=1,COUNTIF($BA$5:BA113,1),"")</f>
        <v>109</v>
      </c>
    </row>
    <row r="114" customFormat="false" ht="15" hidden="false" customHeight="false" outlineLevel="0" collapsed="false">
      <c r="A114" s="67" t="n">
        <f aca="false">IF(99&lt;=SUM($BA$5:$BA$600),99,"")</f>
        <v>99</v>
      </c>
      <c r="B114" s="67" t="n">
        <f aca="false">IF(A114="","",MATCH(A114,$BB$5:$BB$600,0)+4)</f>
        <v>103</v>
      </c>
      <c r="C114" s="67" t="n">
        <f aca="false">IF($B114="","",IF(INDEX('Master Database'!$A$1:$A$600,$B114)="","",INDEX('Master Database'!$A$1:$A$600,$B114)))</f>
        <v>99</v>
      </c>
      <c r="D114" s="68" t="str">
        <f aca="false">IF($B114="","",IF(INDEX('Master Database'!$B$1:$B$600,$B114)="","",INDEX('Master Database'!$B$1:$B$600,$B114)))</f>
        <v>Dirty Oil Pumps</v>
      </c>
      <c r="E114" s="68" t="str">
        <f aca="false">IF($B114="","",IF(INDEX('Master Database'!$C$1:$C$600,$B114)="","",INDEX('Master Database'!$C$1:$C$600,$B114)))</f>
        <v>Pazanan 2</v>
      </c>
      <c r="F114" s="68" t="str">
        <f aca="false">IF($B114="","",IF(INDEX('Master Database'!$D$1:$D$600,$B114)="","",INDEX('Master Database'!$D$1:$D$600,$B114)))</f>
        <v>P-137 A/B</v>
      </c>
      <c r="G114" s="68" t="str">
        <f aca="false">IF($B114="","",IF(INDEX('Master Database'!$E$1:$E$600,$B114)="","",INDEX('Master Database'!$E$1:$E$600,$B114)))</f>
        <v>ROT-DRN</v>
      </c>
      <c r="H114" s="68" t="str">
        <f aca="false">IF($B114="","",IF(INDEX('Master Database'!$F$1:$F$600,$B114)="","",INDEX('Master Database'!$F$1:$F$600,$B114)))</f>
        <v>N/A (non-API 610)</v>
      </c>
      <c r="I114" s="68" t="str">
        <f aca="false">IF($B114="","",IF(INDEX('Master Database'!$G$1:$G$600,$B114)="","",INDEX('Master Database'!$G$1:$G$600,$B114)))</f>
        <v>D-1</v>
      </c>
      <c r="J114" s="69" t="n">
        <f aca="false">IF($B114="","",IF(INDEX('Master Database'!$H$1:$H$600,$B114)="","",INDEX('Master Database'!$H$1:$H$600,$B114)))</f>
        <v>5</v>
      </c>
      <c r="K114" s="69" t="str">
        <f aca="false">IF($B114="","",IF(INDEX('Master Database'!$I$1:$I$600,$B114)="","",INDEX('Master Database'!$I$1:$I$600,$B114)))</f>
        <v/>
      </c>
      <c r="L114" s="69" t="str">
        <f aca="false">IF($B114="","",IF(INDEX('Master Database'!$K$1:$K$600,$B114)="","",INDEX('Master Database'!$K$1:$K$600,$B114)))</f>
        <v/>
      </c>
      <c r="M114" s="68" t="str">
        <f aca="false">IF($B114="","",IF(INDEX('Master Database'!$L$1:$L$600,$B114)="","",INDEX('Master Database'!$L$1:$L$600,$B114)))</f>
        <v>API 676 + IPS-M-PM-140 + NACE MR0175</v>
      </c>
      <c r="N114" s="68" t="str">
        <f aca="false">IF($B114="","",IF(INDEX('Master Database'!$P$1:$P$600,$B114)="","",INDEX('Master Database'!$P$1:$P$600,$B114)))</f>
        <v>Not stated</v>
      </c>
      <c r="O114" s="68" t="str">
        <f aca="false">IF($B114="","",IF(INDEX('Master Database'!$S$1:$S$600,$B114)="","",INDEX('Master Database'!$S$1:$S$600,$B114)))</f>
        <v>Electric Motor</v>
      </c>
      <c r="P114" s="68" t="str">
        <f aca="false">IF($B114="","",IF(INDEX('Master Database'!$T$1:$T$600,$B114)="","",INDEX('Master Database'!$T$1:$T$600,$B114)))</f>
        <v>Slop / Dirty Oil</v>
      </c>
      <c r="Q114" s="68" t="n">
        <f aca="false">IF($B114="","",IF(INDEX('Master Database'!$Y$1:$Y$600,$B114)="","",INDEX('Master Database'!$Y$1:$Y$600,$B114)))</f>
        <v>1404</v>
      </c>
      <c r="R114" s="68" t="str">
        <f aca="false">IF($B114="","",IF(INDEX('Master Database'!$Z$1:$Z$600,$B114)="","",INDEX('Master Database'!$Z$1:$Z$600,$B114)))</f>
        <v>EUR</v>
      </c>
      <c r="S114" s="70" t="n">
        <f aca="false">IF($B114="","",IF(INDEX('Master Database'!$AA$1:$AA$600,$B114)="","",INDEX('Master Database'!$AA$1:$AA$600,$B114)))</f>
        <v>30000</v>
      </c>
      <c r="T114" s="68" t="str">
        <f aca="false">IF($B114="","",IF(INDEX('Master Database'!$AE$1:$AE$600,$B114)="","",INDEX('Master Database'!$AE$1:$AE$600,$B114)))</f>
        <v>Vendor inquiry 1404Q1 – average of 1 quotation(s), PC-ME (91211-PZN-ME-RE-451) sheet PUMPS | source label: AACE Class 1</v>
      </c>
      <c r="U114" s="70" t="n">
        <f aca="false">IF($B114="","",IF(INDEX('Master Database'!$AG$1:$AG$600,$B114)="","",INDEX('Master Database'!$AG$1:$AG$600,$B114)))</f>
        <v>30000</v>
      </c>
      <c r="V114" s="70" t="n">
        <f aca="false">IF($B114="","",IF(INDEX('Master Database'!$AH$1:$AH$600,$B114)="","",INDEX('Master Database'!$AH$1:$AH$600,$B114)))</f>
        <v>31673.49244457</v>
      </c>
      <c r="W114" s="70" t="n">
        <f aca="false">IF($B114="","",IF(INDEX('Master Database'!$AI$1:$AI$600,$B114)="","",INDEX('Master Database'!$AI$1:$AI$600,$B114)))</f>
        <v>20858040000</v>
      </c>
      <c r="X114" s="68" t="str">
        <f aca="false">IF($B114="","",IF(INDEX('Master Database'!$BG$1:$BG$600,$B114)="","",INDEX('Master Database'!$BG$1:$BG$600,$B114)))</f>
        <v>Y</v>
      </c>
      <c r="BA114" s="65" t="n">
        <f aca="false">IF('Master Database'!$A114="",0,IF(AND(OR($B$5="",ISNUMBER(SEARCH($B$5,'Master Database'!$B114&amp;" "&amp;'Master Database'!$D114))),OR($B$6="(All)",'Master Database'!$C114=$B$6),OR($B$7="(All)",'Master Database'!$E114=$B$7),OR($B$8="(All)",'Master Database'!$T114=$B$8),OR($B$9="(All)",'Master Database'!$M114=$B$9),OR($B$10="(All)",'Master Database'!$V114=$B$10),OR($E$5="(All)",'Master Database'!$F114=$E$5),OR($E$6="(All)",'Master Database'!$G114=$E$6),OR($E$7="(All)",'Master Database'!$O114=$E$7),OR($E$8="(All)",'Master Database'!$P114=$E$8),OR($E$9="(All)",'Master Database'!$S114=$E$9),OR($E$10="(All)",'Master Database'!$Y114&amp;""=$E$10&amp;""),OR($H$5="(All)",'Master Database'!$BG114=$H$5),OR($H$6&lt;&gt;"Y",ISNUMBER('Master Database'!$AG114)),OR($H$7="",AND(ISNUMBER('Master Database'!$H114),N('Master Database'!$H114)&gt;=$H$7)),OR($I$7="",AND(ISNUMBER('Master Database'!$H114),N('Master Database'!$H114)&lt;=$I$7)),OR($H$8="",AND(ISNUMBER('Master Database'!$I114),N('Master Database'!$I114)&gt;=$H$8)),OR($I$8="",AND(ISNUMBER('Master Database'!$I114),N('Master Database'!$I114)&lt;=$I$8)),OR($H$9="",AND(ISNUMBER('Master Database'!$K114),N('Master Database'!$K114)&gt;=$H$9)),OR($I$9="",AND(ISNUMBER('Master Database'!$K114),N('Master Database'!$K114)&lt;=$I$9))),1,0))</f>
        <v>1</v>
      </c>
      <c r="BB114" s="65" t="n">
        <f aca="false">IF(BA114=1,COUNTIF($BA$5:BA114,1),"")</f>
        <v>110</v>
      </c>
    </row>
    <row r="115" customFormat="false" ht="15" hidden="false" customHeight="false" outlineLevel="0" collapsed="false">
      <c r="A115" s="67" t="n">
        <f aca="false">IF(100&lt;=SUM($BA$5:$BA$600),100,"")</f>
        <v>100</v>
      </c>
      <c r="B115" s="67" t="n">
        <f aca="false">IF(A115="","",MATCH(A115,$BB$5:$BB$600,0)+4)</f>
        <v>104</v>
      </c>
      <c r="C115" s="67" t="n">
        <f aca="false">IF($B115="","",IF(INDEX('Master Database'!$A$1:$A$600,$B115)="","",INDEX('Master Database'!$A$1:$A$600,$B115)))</f>
        <v>100</v>
      </c>
      <c r="D115" s="68" t="str">
        <f aca="false">IF($B115="","",IF(INDEX('Master Database'!$B$1:$B$600,$B115)="","",INDEX('Master Database'!$B$1:$B$600,$B115)))</f>
        <v>Evaporation Pond Water Return Pumps</v>
      </c>
      <c r="E115" s="68" t="str">
        <f aca="false">IF($B115="","",IF(INDEX('Master Database'!$C$1:$C$600,$B115)="","",INDEX('Master Database'!$C$1:$C$600,$B115)))</f>
        <v>Pazanan 2</v>
      </c>
      <c r="F115" s="68" t="str">
        <f aca="false">IF($B115="","",IF(INDEX('Master Database'!$D$1:$D$600,$B115)="","",INDEX('Master Database'!$D$1:$D$600,$B115)))</f>
        <v>P-138 A/B</v>
      </c>
      <c r="G115" s="68" t="str">
        <f aca="false">IF($B115="","",IF(INDEX('Master Database'!$E$1:$E$600,$B115)="","",INDEX('Master Database'!$E$1:$E$600,$B115)))</f>
        <v>ROT-INJ</v>
      </c>
      <c r="H115" s="68" t="str">
        <f aca="false">IF($B115="","",IF(INDEX('Master Database'!$F$1:$F$600,$B115)="","",INDEX('Master Database'!$F$1:$F$600,$B115)))</f>
        <v>OH2</v>
      </c>
      <c r="I115" s="68" t="str">
        <f aca="false">IF($B115="","",IF(INDEX('Master Database'!$G$1:$G$600,$B115)="","",INDEX('Master Database'!$G$1:$G$600,$B115)))</f>
        <v>D-2</v>
      </c>
      <c r="J115" s="69" t="n">
        <f aca="false">IF($B115="","",IF(INDEX('Master Database'!$H$1:$H$600,$B115)="","",INDEX('Master Database'!$H$1:$H$600,$B115)))</f>
        <v>15</v>
      </c>
      <c r="K115" s="69" t="n">
        <f aca="false">IF($B115="","",IF(INDEX('Master Database'!$I$1:$I$600,$B115)="","",INDEX('Master Database'!$I$1:$I$600,$B115)))</f>
        <v>27</v>
      </c>
      <c r="L115" s="69" t="n">
        <f aca="false">IF($B115="","",IF(INDEX('Master Database'!$K$1:$K$600,$B115)="","",INDEX('Master Database'!$K$1:$K$600,$B115)))</f>
        <v>1.83923705722071</v>
      </c>
      <c r="M115" s="68" t="str">
        <f aca="false">IF($B115="","",IF(INDEX('Master Database'!$L$1:$L$600,$B115)="","",INDEX('Master Database'!$L$1:$L$600,$B115)))</f>
        <v>API 610 + IPS-G-PM-105</v>
      </c>
      <c r="N115" s="68" t="str">
        <f aca="false">IF($B115="","",IF(INDEX('Master Database'!$P$1:$P$600,$B115)="","",INDEX('Master Database'!$P$1:$P$600,$B115)))</f>
        <v>Not stated</v>
      </c>
      <c r="O115" s="68" t="str">
        <f aca="false">IF($B115="","",IF(INDEX('Master Database'!$S$1:$S$600,$B115)="","",INDEX('Master Database'!$S$1:$S$600,$B115)))</f>
        <v>Electric Motor</v>
      </c>
      <c r="P115" s="68" t="str">
        <f aca="false">IF($B115="","",IF(INDEX('Master Database'!$T$1:$T$600,$B115)="","",INDEX('Master Database'!$T$1:$T$600,$B115)))</f>
        <v>Produced / Disposal Water</v>
      </c>
      <c r="Q115" s="68" t="n">
        <f aca="false">IF($B115="","",IF(INDEX('Master Database'!$Y$1:$Y$600,$B115)="","",INDEX('Master Database'!$Y$1:$Y$600,$B115)))</f>
        <v>1404</v>
      </c>
      <c r="R115" s="68" t="str">
        <f aca="false">IF($B115="","",IF(INDEX('Master Database'!$Z$1:$Z$600,$B115)="","",INDEX('Master Database'!$Z$1:$Z$600,$B115)))</f>
        <v>EUR</v>
      </c>
      <c r="S115" s="70" t="n">
        <f aca="false">IF($B115="","",IF(INDEX('Master Database'!$AA$1:$AA$600,$B115)="","",INDEX('Master Database'!$AA$1:$AA$600,$B115)))</f>
        <v>29000</v>
      </c>
      <c r="T115" s="68" t="str">
        <f aca="false">IF($B115="","",IF(INDEX('Master Database'!$AE$1:$AE$600,$B115)="","",INDEX('Master Database'!$AE$1:$AE$600,$B115)))</f>
        <v>Vendor inquiry 1404Q1 – average of 2 quotation(s), PC-ME (91211-PZN-ME-RE-451) sheet PUMPS | source label: AACE Class 1</v>
      </c>
      <c r="U115" s="70" t="n">
        <f aca="false">IF($B115="","",IF(INDEX('Master Database'!$AG$1:$AG$600,$B115)="","",INDEX('Master Database'!$AG$1:$AG$600,$B115)))</f>
        <v>29000</v>
      </c>
      <c r="V115" s="70" t="n">
        <f aca="false">IF($B115="","",IF(INDEX('Master Database'!$AH$1:$AH$600,$B115)="","",INDEX('Master Database'!$AH$1:$AH$600,$B115)))</f>
        <v>30617.7093630843</v>
      </c>
      <c r="W115" s="70" t="n">
        <f aca="false">IF($B115="","",IF(INDEX('Master Database'!$AI$1:$AI$600,$B115)="","",INDEX('Master Database'!$AI$1:$AI$600,$B115)))</f>
        <v>20162772000</v>
      </c>
      <c r="X115" s="68" t="str">
        <f aca="false">IF($B115="","",IF(INDEX('Master Database'!$BG$1:$BG$600,$B115)="","",INDEX('Master Database'!$BG$1:$BG$600,$B115)))</f>
        <v>Y</v>
      </c>
      <c r="BA115" s="65" t="n">
        <f aca="false">IF('Master Database'!$A115="",0,IF(AND(OR($B$5="",ISNUMBER(SEARCH($B$5,'Master Database'!$B115&amp;" "&amp;'Master Database'!$D115))),OR($B$6="(All)",'Master Database'!$C115=$B$6),OR($B$7="(All)",'Master Database'!$E115=$B$7),OR($B$8="(All)",'Master Database'!$T115=$B$8),OR($B$9="(All)",'Master Database'!$M115=$B$9),OR($B$10="(All)",'Master Database'!$V115=$B$10),OR($E$5="(All)",'Master Database'!$F115=$E$5),OR($E$6="(All)",'Master Database'!$G115=$E$6),OR($E$7="(All)",'Master Database'!$O115=$E$7),OR($E$8="(All)",'Master Database'!$P115=$E$8),OR($E$9="(All)",'Master Database'!$S115=$E$9),OR($E$10="(All)",'Master Database'!$Y115&amp;""=$E$10&amp;""),OR($H$5="(All)",'Master Database'!$BG115=$H$5),OR($H$6&lt;&gt;"Y",ISNUMBER('Master Database'!$AG115)),OR($H$7="",AND(ISNUMBER('Master Database'!$H115),N('Master Database'!$H115)&gt;=$H$7)),OR($I$7="",AND(ISNUMBER('Master Database'!$H115),N('Master Database'!$H115)&lt;=$I$7)),OR($H$8="",AND(ISNUMBER('Master Database'!$I115),N('Master Database'!$I115)&gt;=$H$8)),OR($I$8="",AND(ISNUMBER('Master Database'!$I115),N('Master Database'!$I115)&lt;=$I$8)),OR($H$9="",AND(ISNUMBER('Master Database'!$K115),N('Master Database'!$K115)&gt;=$H$9)),OR($I$9="",AND(ISNUMBER('Master Database'!$K115),N('Master Database'!$K115)&lt;=$I$9))),1,0))</f>
        <v>1</v>
      </c>
      <c r="BB115" s="65" t="n">
        <f aca="false">IF(BA115=1,COUNTIF($BA$5:BA115,1),"")</f>
        <v>111</v>
      </c>
    </row>
    <row r="116" customFormat="false" ht="15" hidden="false" customHeight="false" outlineLevel="0" collapsed="false">
      <c r="A116" s="67" t="n">
        <f aca="false">IF(101&lt;=SUM($BA$5:$BA$600),101,"")</f>
        <v>101</v>
      </c>
      <c r="B116" s="67" t="n">
        <f aca="false">IF(A116="","",MATCH(A116,$BB$5:$BB$600,0)+4)</f>
        <v>105</v>
      </c>
      <c r="C116" s="67" t="n">
        <f aca="false">IF($B116="","",IF(INDEX('Master Database'!$A$1:$A$600,$B116)="","",INDEX('Master Database'!$A$1:$A$600,$B116)))</f>
        <v>101</v>
      </c>
      <c r="D116" s="68" t="str">
        <f aca="false">IF($B116="","",IF(INDEX('Master Database'!$B$1:$B$600,$B116)="","",INDEX('Master Database'!$B$1:$B$600,$B116)))</f>
        <v>Disposal Water InjectionPumps</v>
      </c>
      <c r="E116" s="68" t="str">
        <f aca="false">IF($B116="","",IF(INDEX('Master Database'!$C$1:$C$600,$B116)="","",INDEX('Master Database'!$C$1:$C$600,$B116)))</f>
        <v>Pazanan 2</v>
      </c>
      <c r="F116" s="68" t="str">
        <f aca="false">IF($B116="","",IF(INDEX('Master Database'!$D$1:$D$600,$B116)="","",INDEX('Master Database'!$D$1:$D$600,$B116)))</f>
        <v>P-139 A/B/C</v>
      </c>
      <c r="G116" s="68" t="str">
        <f aca="false">IF($B116="","",IF(INDEX('Master Database'!$E$1:$E$600,$B116)="","",INDEX('Master Database'!$E$1:$E$600,$B116)))</f>
        <v>ROT-INJ</v>
      </c>
      <c r="H116" s="68" t="str">
        <f aca="false">IF($B116="","",IF(INDEX('Master Database'!$F$1:$F$600,$B116)="","",INDEX('Master Database'!$F$1:$F$600,$B116)))</f>
        <v>BB3</v>
      </c>
      <c r="I116" s="68" t="str">
        <f aca="false">IF($B116="","",IF(INDEX('Master Database'!$G$1:$G$600,$B116)="","",INDEX('Master Database'!$G$1:$G$600,$B116)))</f>
        <v>D-2</v>
      </c>
      <c r="J116" s="69" t="n">
        <f aca="false">IF($B116="","",IF(INDEX('Master Database'!$H$1:$H$600,$B116)="","",INDEX('Master Database'!$H$1:$H$600,$B116)))</f>
        <v>44</v>
      </c>
      <c r="K116" s="69" t="n">
        <f aca="false">IF($B116="","",IF(INDEX('Master Database'!$I$1:$I$600,$B116)="","",INDEX('Master Database'!$I$1:$I$600,$B116)))</f>
        <v>385</v>
      </c>
      <c r="L116" s="69" t="n">
        <f aca="false">IF($B116="","",IF(INDEX('Master Database'!$K$1:$K$600,$B116)="","",INDEX('Master Database'!$K$1:$K$600,$B116)))</f>
        <v>76.9300635785649</v>
      </c>
      <c r="M116" s="68" t="str">
        <f aca="false">IF($B116="","",IF(INDEX('Master Database'!$L$1:$L$600,$B116)="","",INDEX('Master Database'!$L$1:$L$600,$B116)))</f>
        <v>API 610 + IPS-G-PM-105 + NACE MR0175</v>
      </c>
      <c r="N116" s="68" t="str">
        <f aca="false">IF($B116="","",IF(INDEX('Master Database'!$P$1:$P$600,$B116)="","",INDEX('Master Database'!$P$1:$P$600,$B116)))</f>
        <v>Not stated</v>
      </c>
      <c r="O116" s="68" t="str">
        <f aca="false">IF($B116="","",IF(INDEX('Master Database'!$S$1:$S$600,$B116)="","",INDEX('Master Database'!$S$1:$S$600,$B116)))</f>
        <v>Electric Motor</v>
      </c>
      <c r="P116" s="68" t="str">
        <f aca="false">IF($B116="","",IF(INDEX('Master Database'!$T$1:$T$600,$B116)="","",INDEX('Master Database'!$T$1:$T$600,$B116)))</f>
        <v>Produced / Disposal Water</v>
      </c>
      <c r="Q116" s="68" t="n">
        <f aca="false">IF($B116="","",IF(INDEX('Master Database'!$Y$1:$Y$600,$B116)="","",INDEX('Master Database'!$Y$1:$Y$600,$B116)))</f>
        <v>1404</v>
      </c>
      <c r="R116" s="68" t="str">
        <f aca="false">IF($B116="","",IF(INDEX('Master Database'!$Z$1:$Z$600,$B116)="","",INDEX('Master Database'!$Z$1:$Z$600,$B116)))</f>
        <v>EUR</v>
      </c>
      <c r="S116" s="70" t="n">
        <f aca="false">IF($B116="","",IF(INDEX('Master Database'!$AA$1:$AA$600,$B116)="","",INDEX('Master Database'!$AA$1:$AA$600,$B116)))</f>
        <v>247500</v>
      </c>
      <c r="T116" s="68" t="str">
        <f aca="false">IF($B116="","",IF(INDEX('Master Database'!$AE$1:$AE$600,$B116)="","",INDEX('Master Database'!$AE$1:$AE$600,$B116)))</f>
        <v>Vendor inquiry 1404Q1 – average of 2 quotation(s), PC-ME (91211-PZN-ME-RE-451) sheet PUMPS | source label: AACE Class 1</v>
      </c>
      <c r="U116" s="70" t="n">
        <f aca="false">IF($B116="","",IF(INDEX('Master Database'!$AG$1:$AG$600,$B116)="","",INDEX('Master Database'!$AG$1:$AG$600,$B116)))</f>
        <v>247500</v>
      </c>
      <c r="V116" s="70" t="n">
        <f aca="false">IF($B116="","",IF(INDEX('Master Database'!$AH$1:$AH$600,$B116)="","",INDEX('Master Database'!$AH$1:$AH$600,$B116)))</f>
        <v>261306.312667702</v>
      </c>
      <c r="W116" s="70" t="n">
        <f aca="false">IF($B116="","",IF(INDEX('Master Database'!$AI$1:$AI$600,$B116)="","",INDEX('Master Database'!$AI$1:$AI$600,$B116)))</f>
        <v>172078830000</v>
      </c>
      <c r="X116" s="68" t="str">
        <f aca="false">IF($B116="","",IF(INDEX('Master Database'!$BG$1:$BG$600,$B116)="","",INDEX('Master Database'!$BG$1:$BG$600,$B116)))</f>
        <v>Y</v>
      </c>
      <c r="BA116" s="65" t="n">
        <f aca="false">IF('Master Database'!$A116="",0,IF(AND(OR($B$5="",ISNUMBER(SEARCH($B$5,'Master Database'!$B116&amp;" "&amp;'Master Database'!$D116))),OR($B$6="(All)",'Master Database'!$C116=$B$6),OR($B$7="(All)",'Master Database'!$E116=$B$7),OR($B$8="(All)",'Master Database'!$T116=$B$8),OR($B$9="(All)",'Master Database'!$M116=$B$9),OR($B$10="(All)",'Master Database'!$V116=$B$10),OR($E$5="(All)",'Master Database'!$F116=$E$5),OR($E$6="(All)",'Master Database'!$G116=$E$6),OR($E$7="(All)",'Master Database'!$O116=$E$7),OR($E$8="(All)",'Master Database'!$P116=$E$8),OR($E$9="(All)",'Master Database'!$S116=$E$9),OR($E$10="(All)",'Master Database'!$Y116&amp;""=$E$10&amp;""),OR($H$5="(All)",'Master Database'!$BG116=$H$5),OR($H$6&lt;&gt;"Y",ISNUMBER('Master Database'!$AG116)),OR($H$7="",AND(ISNUMBER('Master Database'!$H116),N('Master Database'!$H116)&gt;=$H$7)),OR($I$7="",AND(ISNUMBER('Master Database'!$H116),N('Master Database'!$H116)&lt;=$I$7)),OR($H$8="",AND(ISNUMBER('Master Database'!$I116),N('Master Database'!$I116)&gt;=$H$8)),OR($I$8="",AND(ISNUMBER('Master Database'!$I116),N('Master Database'!$I116)&lt;=$I$8)),OR($H$9="",AND(ISNUMBER('Master Database'!$K116),N('Master Database'!$K116)&gt;=$H$9)),OR($I$9="",AND(ISNUMBER('Master Database'!$K116),N('Master Database'!$K116)&lt;=$I$9))),1,0))</f>
        <v>1</v>
      </c>
      <c r="BB116" s="65" t="n">
        <f aca="false">IF(BA116=1,COUNTIF($BA$5:BA116,1),"")</f>
        <v>112</v>
      </c>
    </row>
    <row r="117" customFormat="false" ht="15" hidden="false" customHeight="false" outlineLevel="0" collapsed="false">
      <c r="A117" s="67" t="n">
        <f aca="false">IF(102&lt;=SUM($BA$5:$BA$600),102,"")</f>
        <v>102</v>
      </c>
      <c r="B117" s="67" t="n">
        <f aca="false">IF(A117="","",MATCH(A117,$BB$5:$BB$600,0)+4)</f>
        <v>106</v>
      </c>
      <c r="C117" s="67" t="n">
        <f aca="false">IF($B117="","",IF(INDEX('Master Database'!$A$1:$A$600,$B117)="","",INDEX('Master Database'!$A$1:$A$600,$B117)))</f>
        <v>102</v>
      </c>
      <c r="D117" s="68" t="str">
        <f aca="false">IF($B117="","",IF(INDEX('Master Database'!$B$1:$B$600,$B117)="","",INDEX('Master Database'!$B$1:$B$600,$B117)))</f>
        <v>Flare K.O. Drum Pumps</v>
      </c>
      <c r="E117" s="68" t="str">
        <f aca="false">IF($B117="","",IF(INDEX('Master Database'!$C$1:$C$600,$B117)="","",INDEX('Master Database'!$C$1:$C$600,$B117)))</f>
        <v>Pazanan 2</v>
      </c>
      <c r="F117" s="68" t="str">
        <f aca="false">IF($B117="","",IF(INDEX('Master Database'!$D$1:$D$600,$B117)="","",INDEX('Master Database'!$D$1:$D$600,$B117)))</f>
        <v>P-151 A/B</v>
      </c>
      <c r="G117" s="68" t="str">
        <f aca="false">IF($B117="","",IF(INDEX('Master Database'!$E$1:$E$600,$B117)="","",INDEX('Master Database'!$E$1:$E$600,$B117)))</f>
        <v>ROT-DRN</v>
      </c>
      <c r="H117" s="68" t="str">
        <f aca="false">IF($B117="","",IF(INDEX('Master Database'!$F$1:$F$600,$B117)="","",INDEX('Master Database'!$F$1:$F$600,$B117)))</f>
        <v>OH2</v>
      </c>
      <c r="I117" s="68" t="str">
        <f aca="false">IF($B117="","",IF(INDEX('Master Database'!$G$1:$G$600,$B117)="","",INDEX('Master Database'!$G$1:$G$600,$B117)))</f>
        <v>S-6</v>
      </c>
      <c r="J117" s="69" t="n">
        <f aca="false">IF($B117="","",IF(INDEX('Master Database'!$H$1:$H$600,$B117)="","",INDEX('Master Database'!$H$1:$H$600,$B117)))</f>
        <v>10</v>
      </c>
      <c r="K117" s="69" t="n">
        <f aca="false">IF($B117="","",IF(INDEX('Master Database'!$I$1:$I$600,$B117)="","",INDEX('Master Database'!$I$1:$I$600,$B117)))</f>
        <v>40</v>
      </c>
      <c r="L117" s="69" t="n">
        <f aca="false">IF($B117="","",IF(INDEX('Master Database'!$K$1:$K$600,$B117)="","",INDEX('Master Database'!$K$1:$K$600,$B117)))</f>
        <v>1.81653042688465</v>
      </c>
      <c r="M117" s="68" t="str">
        <f aca="false">IF($B117="","",IF(INDEX('Master Database'!$L$1:$L$600,$B117)="","",INDEX('Master Database'!$L$1:$L$600,$B117)))</f>
        <v>API 610 + IPS-G-PM-105</v>
      </c>
      <c r="N117" s="68" t="str">
        <f aca="false">IF($B117="","",IF(INDEX('Master Database'!$P$1:$P$600,$B117)="","",INDEX('Master Database'!$P$1:$P$600,$B117)))</f>
        <v>Not stated</v>
      </c>
      <c r="O117" s="68" t="str">
        <f aca="false">IF($B117="","",IF(INDEX('Master Database'!$S$1:$S$600,$B117)="","",INDEX('Master Database'!$S$1:$S$600,$B117)))</f>
        <v>Electric Motor</v>
      </c>
      <c r="P117" s="68" t="str">
        <f aca="false">IF($B117="","",IF(INDEX('Master Database'!$T$1:$T$600,$B117)="","",INDEX('Master Database'!$T$1:$T$600,$B117)))</f>
        <v>Oily Water / Drain</v>
      </c>
      <c r="Q117" s="68" t="n">
        <f aca="false">IF($B117="","",IF(INDEX('Master Database'!$Y$1:$Y$600,$B117)="","",INDEX('Master Database'!$Y$1:$Y$600,$B117)))</f>
        <v>1404</v>
      </c>
      <c r="R117" s="68" t="str">
        <f aca="false">IF($B117="","",IF(INDEX('Master Database'!$Z$1:$Z$600,$B117)="","",INDEX('Master Database'!$Z$1:$Z$600,$B117)))</f>
        <v>EUR</v>
      </c>
      <c r="S117" s="70" t="n">
        <f aca="false">IF($B117="","",IF(INDEX('Master Database'!$AA$1:$AA$600,$B117)="","",INDEX('Master Database'!$AA$1:$AA$600,$B117)))</f>
        <v>25500</v>
      </c>
      <c r="T117" s="68" t="str">
        <f aca="false">IF($B117="","",IF(INDEX('Master Database'!$AE$1:$AE$600,$B117)="","",INDEX('Master Database'!$AE$1:$AE$600,$B117)))</f>
        <v>Vendor inquiry 1404Q1 – average of 2 quotation(s), PC-ME (91211-PZN-ME-RE-451) sheet PUMPS | source label: AACE Class 1</v>
      </c>
      <c r="U117" s="70" t="n">
        <f aca="false">IF($B117="","",IF(INDEX('Master Database'!$AG$1:$AG$600,$B117)="","",INDEX('Master Database'!$AG$1:$AG$600,$B117)))</f>
        <v>25500</v>
      </c>
      <c r="V117" s="70" t="n">
        <f aca="false">IF($B117="","",IF(INDEX('Master Database'!$AH$1:$AH$600,$B117)="","",INDEX('Master Database'!$AH$1:$AH$600,$B117)))</f>
        <v>26922.4685778845</v>
      </c>
      <c r="W117" s="70" t="n">
        <f aca="false">IF($B117="","",IF(INDEX('Master Database'!$AI$1:$AI$600,$B117)="","",INDEX('Master Database'!$AI$1:$AI$600,$B117)))</f>
        <v>17729334000</v>
      </c>
      <c r="X117" s="68" t="str">
        <f aca="false">IF($B117="","",IF(INDEX('Master Database'!$BG$1:$BG$600,$B117)="","",INDEX('Master Database'!$BG$1:$BG$600,$B117)))</f>
        <v>Y</v>
      </c>
      <c r="BA117" s="65" t="n">
        <f aca="false">IF('Master Database'!$A117="",0,IF(AND(OR($B$5="",ISNUMBER(SEARCH($B$5,'Master Database'!$B117&amp;" "&amp;'Master Database'!$D117))),OR($B$6="(All)",'Master Database'!$C117=$B$6),OR($B$7="(All)",'Master Database'!$E117=$B$7),OR($B$8="(All)",'Master Database'!$T117=$B$8),OR($B$9="(All)",'Master Database'!$M117=$B$9),OR($B$10="(All)",'Master Database'!$V117=$B$10),OR($E$5="(All)",'Master Database'!$F117=$E$5),OR($E$6="(All)",'Master Database'!$G117=$E$6),OR($E$7="(All)",'Master Database'!$O117=$E$7),OR($E$8="(All)",'Master Database'!$P117=$E$8),OR($E$9="(All)",'Master Database'!$S117=$E$9),OR($E$10="(All)",'Master Database'!$Y117&amp;""=$E$10&amp;""),OR($H$5="(All)",'Master Database'!$BG117=$H$5),OR($H$6&lt;&gt;"Y",ISNUMBER('Master Database'!$AG117)),OR($H$7="",AND(ISNUMBER('Master Database'!$H117),N('Master Database'!$H117)&gt;=$H$7)),OR($I$7="",AND(ISNUMBER('Master Database'!$H117),N('Master Database'!$H117)&lt;=$I$7)),OR($H$8="",AND(ISNUMBER('Master Database'!$I117),N('Master Database'!$I117)&gt;=$H$8)),OR($I$8="",AND(ISNUMBER('Master Database'!$I117),N('Master Database'!$I117)&lt;=$I$8)),OR($H$9="",AND(ISNUMBER('Master Database'!$K117),N('Master Database'!$K117)&gt;=$H$9)),OR($I$9="",AND(ISNUMBER('Master Database'!$K117),N('Master Database'!$K117)&lt;=$I$9))),1,0))</f>
        <v>1</v>
      </c>
      <c r="BB117" s="65" t="n">
        <f aca="false">IF(BA117=1,COUNTIF($BA$5:BA117,1),"")</f>
        <v>113</v>
      </c>
    </row>
    <row r="118" customFormat="false" ht="15" hidden="false" customHeight="false" outlineLevel="0" collapsed="false">
      <c r="A118" s="67" t="n">
        <f aca="false">IF(103&lt;=SUM($BA$5:$BA$600),103,"")</f>
        <v>103</v>
      </c>
      <c r="B118" s="67" t="n">
        <f aca="false">IF(A118="","",MATCH(A118,$BB$5:$BB$600,0)+4)</f>
        <v>107</v>
      </c>
      <c r="C118" s="67" t="n">
        <f aca="false">IF($B118="","",IF(INDEX('Master Database'!$A$1:$A$600,$B118)="","",INDEX('Master Database'!$A$1:$A$600,$B118)))</f>
        <v>103</v>
      </c>
      <c r="D118" s="68" t="str">
        <f aca="false">IF($B118="","",IF(INDEX('Master Database'!$B$1:$B$600,$B118)="","",INDEX('Master Database'!$B$1:$B$600,$B118)))</f>
        <v>Closed Drain Drum Pumps</v>
      </c>
      <c r="E118" s="68" t="str">
        <f aca="false">IF($B118="","",IF(INDEX('Master Database'!$C$1:$C$600,$B118)="","",INDEX('Master Database'!$C$1:$C$600,$B118)))</f>
        <v>Pazanan 2</v>
      </c>
      <c r="F118" s="68" t="str">
        <f aca="false">IF($B118="","",IF(INDEX('Master Database'!$D$1:$D$600,$B118)="","",INDEX('Master Database'!$D$1:$D$600,$B118)))</f>
        <v>P-161 A/B</v>
      </c>
      <c r="G118" s="68" t="str">
        <f aca="false">IF($B118="","",IF(INDEX('Master Database'!$E$1:$E$600,$B118)="","",INDEX('Master Database'!$E$1:$E$600,$B118)))</f>
        <v>ROT-DRN</v>
      </c>
      <c r="H118" s="68" t="str">
        <f aca="false">IF($B118="","",IF(INDEX('Master Database'!$F$1:$F$600,$B118)="","",INDEX('Master Database'!$F$1:$F$600,$B118)))</f>
        <v>OH2</v>
      </c>
      <c r="I118" s="68" t="str">
        <f aca="false">IF($B118="","",IF(INDEX('Master Database'!$G$1:$G$600,$B118)="","",INDEX('Master Database'!$G$1:$G$600,$B118)))</f>
        <v>D-2</v>
      </c>
      <c r="J118" s="69" t="n">
        <f aca="false">IF($B118="","",IF(INDEX('Master Database'!$H$1:$H$600,$B118)="","",INDEX('Master Database'!$H$1:$H$600,$B118)))</f>
        <v>25</v>
      </c>
      <c r="K118" s="69" t="n">
        <f aca="false">IF($B118="","",IF(INDEX('Master Database'!$I$1:$I$600,$B118)="","",INDEX('Master Database'!$I$1:$I$600,$B118)))</f>
        <v>55</v>
      </c>
      <c r="L118" s="69" t="n">
        <f aca="false">IF($B118="","",IF(INDEX('Master Database'!$K$1:$K$600,$B118)="","",INDEX('Master Database'!$K$1:$K$600,$B118)))</f>
        <v>6.24432334241599</v>
      </c>
      <c r="M118" s="68" t="str">
        <f aca="false">IF($B118="","",IF(INDEX('Master Database'!$L$1:$L$600,$B118)="","",INDEX('Master Database'!$L$1:$L$600,$B118)))</f>
        <v>API 610 + IPS-G-PM-105 + NACE MR0175</v>
      </c>
      <c r="N118" s="68" t="str">
        <f aca="false">IF($B118="","",IF(INDEX('Master Database'!$P$1:$P$600,$B118)="","",INDEX('Master Database'!$P$1:$P$600,$B118)))</f>
        <v>Not stated</v>
      </c>
      <c r="O118" s="68" t="str">
        <f aca="false">IF($B118="","",IF(INDEX('Master Database'!$S$1:$S$600,$B118)="","",INDEX('Master Database'!$S$1:$S$600,$B118)))</f>
        <v>Electric Motor</v>
      </c>
      <c r="P118" s="68" t="str">
        <f aca="false">IF($B118="","",IF(INDEX('Master Database'!$T$1:$T$600,$B118)="","",INDEX('Master Database'!$T$1:$T$600,$B118)))</f>
        <v>Oily Water / Drain</v>
      </c>
      <c r="Q118" s="68" t="n">
        <f aca="false">IF($B118="","",IF(INDEX('Master Database'!$Y$1:$Y$600,$B118)="","",INDEX('Master Database'!$Y$1:$Y$600,$B118)))</f>
        <v>1404</v>
      </c>
      <c r="R118" s="68" t="str">
        <f aca="false">IF($B118="","",IF(INDEX('Master Database'!$Z$1:$Z$600,$B118)="","",INDEX('Master Database'!$Z$1:$Z$600,$B118)))</f>
        <v>EUR</v>
      </c>
      <c r="S118" s="70" t="n">
        <f aca="false">IF($B118="","",IF(INDEX('Master Database'!$AA$1:$AA$600,$B118)="","",INDEX('Master Database'!$AA$1:$AA$600,$B118)))</f>
        <v>31000</v>
      </c>
      <c r="T118" s="68" t="str">
        <f aca="false">IF($B118="","",IF(INDEX('Master Database'!$AE$1:$AE$600,$B118)="","",INDEX('Master Database'!$AE$1:$AE$600,$B118)))</f>
        <v>Vendor inquiry 1404Q1 – average of 2 quotation(s), PC-ME (91211-PZN-ME-RE-451) sheet PUMPS | source label: AACE Class 1</v>
      </c>
      <c r="U118" s="70" t="n">
        <f aca="false">IF($B118="","",IF(INDEX('Master Database'!$AG$1:$AG$600,$B118)="","",INDEX('Master Database'!$AG$1:$AG$600,$B118)))</f>
        <v>31000</v>
      </c>
      <c r="V118" s="70" t="n">
        <f aca="false">IF($B118="","",IF(INDEX('Master Database'!$AH$1:$AH$600,$B118)="","",INDEX('Master Database'!$AH$1:$AH$600,$B118)))</f>
        <v>32729.2755260556</v>
      </c>
      <c r="W118" s="70" t="n">
        <f aca="false">IF($B118="","",IF(INDEX('Master Database'!$AI$1:$AI$600,$B118)="","",INDEX('Master Database'!$AI$1:$AI$600,$B118)))</f>
        <v>21553308000</v>
      </c>
      <c r="X118" s="68" t="str">
        <f aca="false">IF($B118="","",IF(INDEX('Master Database'!$BG$1:$BG$600,$B118)="","",INDEX('Master Database'!$BG$1:$BG$600,$B118)))</f>
        <v>Y</v>
      </c>
      <c r="BA118" s="65" t="n">
        <f aca="false">IF('Master Database'!$A118="",0,IF(AND(OR($B$5="",ISNUMBER(SEARCH($B$5,'Master Database'!$B118&amp;" "&amp;'Master Database'!$D118))),OR($B$6="(All)",'Master Database'!$C118=$B$6),OR($B$7="(All)",'Master Database'!$E118=$B$7),OR($B$8="(All)",'Master Database'!$T118=$B$8),OR($B$9="(All)",'Master Database'!$M118=$B$9),OR($B$10="(All)",'Master Database'!$V118=$B$10),OR($E$5="(All)",'Master Database'!$F118=$E$5),OR($E$6="(All)",'Master Database'!$G118=$E$6),OR($E$7="(All)",'Master Database'!$O118=$E$7),OR($E$8="(All)",'Master Database'!$P118=$E$8),OR($E$9="(All)",'Master Database'!$S118=$E$9),OR($E$10="(All)",'Master Database'!$Y118&amp;""=$E$10&amp;""),OR($H$5="(All)",'Master Database'!$BG118=$H$5),OR($H$6&lt;&gt;"Y",ISNUMBER('Master Database'!$AG118)),OR($H$7="",AND(ISNUMBER('Master Database'!$H118),N('Master Database'!$H118)&gt;=$H$7)),OR($I$7="",AND(ISNUMBER('Master Database'!$H118),N('Master Database'!$H118)&lt;=$I$7)),OR($H$8="",AND(ISNUMBER('Master Database'!$I118),N('Master Database'!$I118)&gt;=$H$8)),OR($I$8="",AND(ISNUMBER('Master Database'!$I118),N('Master Database'!$I118)&lt;=$I$8)),OR($H$9="",AND(ISNUMBER('Master Database'!$K118),N('Master Database'!$K118)&gt;=$H$9)),OR($I$9="",AND(ISNUMBER('Master Database'!$K118),N('Master Database'!$K118)&lt;=$I$9))),1,0))</f>
        <v>1</v>
      </c>
      <c r="BB118" s="65" t="n">
        <f aca="false">IF(BA118=1,COUNTIF($BA$5:BA118,1),"")</f>
        <v>114</v>
      </c>
    </row>
    <row r="119" customFormat="false" ht="15" hidden="false" customHeight="false" outlineLevel="0" collapsed="false">
      <c r="A119" s="67" t="n">
        <f aca="false">IF(104&lt;=SUM($BA$5:$BA$600),104,"")</f>
        <v>104</v>
      </c>
      <c r="B119" s="67" t="n">
        <f aca="false">IF(A119="","",MATCH(A119,$BB$5:$BB$600,0)+4)</f>
        <v>108</v>
      </c>
      <c r="C119" s="67" t="n">
        <f aca="false">IF($B119="","",IF(INDEX('Master Database'!$A$1:$A$600,$B119)="","",INDEX('Master Database'!$A$1:$A$600,$B119)))</f>
        <v>104</v>
      </c>
      <c r="D119" s="68" t="str">
        <f aca="false">IF($B119="","",IF(INDEX('Master Database'!$B$1:$B$600,$B119)="","",INDEX('Master Database'!$B$1:$B$600,$B119)))</f>
        <v>C. D. Drum / Flare K.O. Drum Sump Pump</v>
      </c>
      <c r="E119" s="68" t="str">
        <f aca="false">IF($B119="","",IF(INDEX('Master Database'!$C$1:$C$600,$B119)="","",INDEX('Master Database'!$C$1:$C$600,$B119)))</f>
        <v>Pazanan 2</v>
      </c>
      <c r="F119" s="68" t="str">
        <f aca="false">IF($B119="","",IF(INDEX('Master Database'!$D$1:$D$600,$B119)="","",INDEX('Master Database'!$D$1:$D$600,$B119)))</f>
        <v>P-162</v>
      </c>
      <c r="G119" s="68" t="str">
        <f aca="false">IF($B119="","",IF(INDEX('Master Database'!$E$1:$E$600,$B119)="","",INDEX('Master Database'!$E$1:$E$600,$B119)))</f>
        <v>ROT-DRN</v>
      </c>
      <c r="H119" s="68" t="str">
        <f aca="false">IF($B119="","",IF(INDEX('Master Database'!$F$1:$F$600,$B119)="","",INDEX('Master Database'!$F$1:$F$600,$B119)))</f>
        <v>VS4</v>
      </c>
      <c r="I119" s="68" t="str">
        <f aca="false">IF($B119="","",IF(INDEX('Master Database'!$G$1:$G$600,$B119)="","",INDEX('Master Database'!$G$1:$G$600,$B119)))</f>
        <v>S-6</v>
      </c>
      <c r="J119" s="69" t="n">
        <f aca="false">IF($B119="","",IF(INDEX('Master Database'!$H$1:$H$600,$B119)="","",INDEX('Master Database'!$H$1:$H$600,$B119)))</f>
        <v>5</v>
      </c>
      <c r="K119" s="69" t="n">
        <f aca="false">IF($B119="","",IF(INDEX('Master Database'!$I$1:$I$600,$B119)="","",INDEX('Master Database'!$I$1:$I$600,$B119)))</f>
        <v>21.4</v>
      </c>
      <c r="L119" s="69" t="n">
        <f aca="false">IF($B119="","",IF(INDEX('Master Database'!$K$1:$K$600,$B119)="","",INDEX('Master Database'!$K$1:$K$600,$B119)))</f>
        <v>0.485921889191644</v>
      </c>
      <c r="M119" s="68" t="str">
        <f aca="false">IF($B119="","",IF(INDEX('Master Database'!$L$1:$L$600,$B119)="","",INDEX('Master Database'!$L$1:$L$600,$B119)))</f>
        <v>API 610 + IPS-G-PM-105</v>
      </c>
      <c r="N119" s="68" t="str">
        <f aca="false">IF($B119="","",IF(INDEX('Master Database'!$P$1:$P$600,$B119)="","",INDEX('Master Database'!$P$1:$P$600,$B119)))</f>
        <v>Not stated</v>
      </c>
      <c r="O119" s="68" t="str">
        <f aca="false">IF($B119="","",IF(INDEX('Master Database'!$S$1:$S$600,$B119)="","",INDEX('Master Database'!$S$1:$S$600,$B119)))</f>
        <v>Electric Motor</v>
      </c>
      <c r="P119" s="68" t="str">
        <f aca="false">IF($B119="","",IF(INDEX('Master Database'!$T$1:$T$600,$B119)="","",INDEX('Master Database'!$T$1:$T$600,$B119)))</f>
        <v>Oily Water / Drain</v>
      </c>
      <c r="Q119" s="68" t="n">
        <f aca="false">IF($B119="","",IF(INDEX('Master Database'!$Y$1:$Y$600,$B119)="","",INDEX('Master Database'!$Y$1:$Y$600,$B119)))</f>
        <v>1404</v>
      </c>
      <c r="R119" s="68" t="str">
        <f aca="false">IF($B119="","",IF(INDEX('Master Database'!$Z$1:$Z$600,$B119)="","",INDEX('Master Database'!$Z$1:$Z$600,$B119)))</f>
        <v>EUR</v>
      </c>
      <c r="S119" s="70" t="n">
        <f aca="false">IF($B119="","",IF(INDEX('Master Database'!$AA$1:$AA$600,$B119)="","",INDEX('Master Database'!$AA$1:$AA$600,$B119)))</f>
        <v>34500</v>
      </c>
      <c r="T119" s="68" t="str">
        <f aca="false">IF($B119="","",IF(INDEX('Master Database'!$AE$1:$AE$600,$B119)="","",INDEX('Master Database'!$AE$1:$AE$600,$B119)))</f>
        <v>Vendor inquiry 1404Q1 – average of 2 quotation(s), PC-ME (91211-PZN-ME-RE-451) sheet PUMPS | source label: AACE Class 1</v>
      </c>
      <c r="U119" s="70" t="n">
        <f aca="false">IF($B119="","",IF(INDEX('Master Database'!$AG$1:$AG$600,$B119)="","",INDEX('Master Database'!$AG$1:$AG$600,$B119)))</f>
        <v>34500</v>
      </c>
      <c r="V119" s="70" t="n">
        <f aca="false">IF($B119="","",IF(INDEX('Master Database'!$AH$1:$AH$600,$B119)="","",INDEX('Master Database'!$AH$1:$AH$600,$B119)))</f>
        <v>36424.5163112555</v>
      </c>
      <c r="W119" s="70" t="n">
        <f aca="false">IF($B119="","",IF(INDEX('Master Database'!$AI$1:$AI$600,$B119)="","",INDEX('Master Database'!$AI$1:$AI$600,$B119)))</f>
        <v>23986746000</v>
      </c>
      <c r="X119" s="68" t="str">
        <f aca="false">IF($B119="","",IF(INDEX('Master Database'!$BG$1:$BG$600,$B119)="","",INDEX('Master Database'!$BG$1:$BG$600,$B119)))</f>
        <v>Y</v>
      </c>
      <c r="BA119" s="65" t="n">
        <f aca="false">IF('Master Database'!$A119="",0,IF(AND(OR($B$5="",ISNUMBER(SEARCH($B$5,'Master Database'!$B119&amp;" "&amp;'Master Database'!$D119))),OR($B$6="(All)",'Master Database'!$C119=$B$6),OR($B$7="(All)",'Master Database'!$E119=$B$7),OR($B$8="(All)",'Master Database'!$T119=$B$8),OR($B$9="(All)",'Master Database'!$M119=$B$9),OR($B$10="(All)",'Master Database'!$V119=$B$10),OR($E$5="(All)",'Master Database'!$F119=$E$5),OR($E$6="(All)",'Master Database'!$G119=$E$6),OR($E$7="(All)",'Master Database'!$O119=$E$7),OR($E$8="(All)",'Master Database'!$P119=$E$8),OR($E$9="(All)",'Master Database'!$S119=$E$9),OR($E$10="(All)",'Master Database'!$Y119&amp;""=$E$10&amp;""),OR($H$5="(All)",'Master Database'!$BG119=$H$5),OR($H$6&lt;&gt;"Y",ISNUMBER('Master Database'!$AG119)),OR($H$7="",AND(ISNUMBER('Master Database'!$H119),N('Master Database'!$H119)&gt;=$H$7)),OR($I$7="",AND(ISNUMBER('Master Database'!$H119),N('Master Database'!$H119)&lt;=$I$7)),OR($H$8="",AND(ISNUMBER('Master Database'!$I119),N('Master Database'!$I119)&gt;=$H$8)),OR($I$8="",AND(ISNUMBER('Master Database'!$I119),N('Master Database'!$I119)&lt;=$I$8)),OR($H$9="",AND(ISNUMBER('Master Database'!$K119),N('Master Database'!$K119)&gt;=$H$9)),OR($I$9="",AND(ISNUMBER('Master Database'!$K119),N('Master Database'!$K119)&lt;=$I$9))),1,0))</f>
        <v>1</v>
      </c>
      <c r="BB119" s="65" t="n">
        <f aca="false">IF(BA119=1,COUNTIF($BA$5:BA119,1),"")</f>
        <v>115</v>
      </c>
    </row>
    <row r="120" customFormat="false" ht="15" hidden="false" customHeight="false" outlineLevel="0" collapsed="false">
      <c r="A120" s="67" t="n">
        <f aca="false">IF(105&lt;=SUM($BA$5:$BA$600),105,"")</f>
        <v>105</v>
      </c>
      <c r="B120" s="67" t="n">
        <f aca="false">IF(A120="","",MATCH(A120,$BB$5:$BB$600,0)+4)</f>
        <v>109</v>
      </c>
      <c r="C120" s="67" t="n">
        <f aca="false">IF($B120="","",IF(INDEX('Master Database'!$A$1:$A$600,$B120)="","",INDEX('Master Database'!$A$1:$A$600,$B120)))</f>
        <v>105</v>
      </c>
      <c r="D120" s="68" t="str">
        <f aca="false">IF($B120="","",IF(INDEX('Master Database'!$B$1:$B$600,$B120)="","",INDEX('Master Database'!$B$1:$B$600,$B120)))</f>
        <v>O.W.S. Oil Pumps</v>
      </c>
      <c r="E120" s="68" t="str">
        <f aca="false">IF($B120="","",IF(INDEX('Master Database'!$C$1:$C$600,$B120)="","",INDEX('Master Database'!$C$1:$C$600,$B120)))</f>
        <v>Pazanan 2</v>
      </c>
      <c r="F120" s="68" t="str">
        <f aca="false">IF($B120="","",IF(INDEX('Master Database'!$D$1:$D$600,$B120)="","",INDEX('Master Database'!$D$1:$D$600,$B120)))</f>
        <v>P-163 A/B</v>
      </c>
      <c r="G120" s="68" t="str">
        <f aca="false">IF($B120="","",IF(INDEX('Master Database'!$E$1:$E$600,$B120)="","",INDEX('Master Database'!$E$1:$E$600,$B120)))</f>
        <v>ROT-DRN</v>
      </c>
      <c r="H120" s="68" t="str">
        <f aca="false">IF($B120="","",IF(INDEX('Master Database'!$F$1:$F$600,$B120)="","",INDEX('Master Database'!$F$1:$F$600,$B120)))</f>
        <v>N/A (non-API 610)</v>
      </c>
      <c r="I120" s="68" t="str">
        <f aca="false">IF($B120="","",IF(INDEX('Master Database'!$G$1:$G$600,$B120)="","",INDEX('Master Database'!$G$1:$G$600,$B120)))</f>
        <v>D-1</v>
      </c>
      <c r="J120" s="69" t="n">
        <f aca="false">IF($B120="","",IF(INDEX('Master Database'!$H$1:$H$600,$B120)="","",INDEX('Master Database'!$H$1:$H$600,$B120)))</f>
        <v>5</v>
      </c>
      <c r="K120" s="69" t="str">
        <f aca="false">IF($B120="","",IF(INDEX('Master Database'!$I$1:$I$600,$B120)="","",INDEX('Master Database'!$I$1:$I$600,$B120)))</f>
        <v/>
      </c>
      <c r="L120" s="69" t="str">
        <f aca="false">IF($B120="","",IF(INDEX('Master Database'!$K$1:$K$600,$B120)="","",INDEX('Master Database'!$K$1:$K$600,$B120)))</f>
        <v/>
      </c>
      <c r="M120" s="68" t="str">
        <f aca="false">IF($B120="","",IF(INDEX('Master Database'!$L$1:$L$600,$B120)="","",INDEX('Master Database'!$L$1:$L$600,$B120)))</f>
        <v>API 676 + IPS-M-PM-140 + NACE MR0175</v>
      </c>
      <c r="N120" s="68" t="str">
        <f aca="false">IF($B120="","",IF(INDEX('Master Database'!$P$1:$P$600,$B120)="","",INDEX('Master Database'!$P$1:$P$600,$B120)))</f>
        <v>Not stated</v>
      </c>
      <c r="O120" s="68" t="str">
        <f aca="false">IF($B120="","",IF(INDEX('Master Database'!$S$1:$S$600,$B120)="","",INDEX('Master Database'!$S$1:$S$600,$B120)))</f>
        <v>Electric Motor</v>
      </c>
      <c r="P120" s="68" t="str">
        <f aca="false">IF($B120="","",IF(INDEX('Master Database'!$T$1:$T$600,$B120)="","",INDEX('Master Database'!$T$1:$T$600,$B120)))</f>
        <v>Slop / Dirty Oil</v>
      </c>
      <c r="Q120" s="68" t="n">
        <f aca="false">IF($B120="","",IF(INDEX('Master Database'!$Y$1:$Y$600,$B120)="","",INDEX('Master Database'!$Y$1:$Y$600,$B120)))</f>
        <v>1393</v>
      </c>
      <c r="R120" s="68" t="str">
        <f aca="false">IF($B120="","",IF(INDEX('Master Database'!$Z$1:$Z$600,$B120)="","",INDEX('Master Database'!$Z$1:$Z$600,$B120)))</f>
        <v>EUR</v>
      </c>
      <c r="S120" s="70" t="n">
        <f aca="false">IF($B120="","",IF(INDEX('Master Database'!$AA$1:$AA$600,$B120)="","",INDEX('Master Database'!$AA$1:$AA$600,$B120)))</f>
        <v>25000</v>
      </c>
      <c r="T120" s="68" t="str">
        <f aca="false">IF($B120="","",IF(INDEX('Master Database'!$AE$1:$AE$600,$B120)="","",INDEX('Master Database'!$AE$1:$AE$600,$B120)))</f>
        <v>Consultant basic MTO estimate R02 (Feb 2015), PC-ME sheet PUMPS col. AR (FOB EUR) – no 1404 quotation received (all vendors declined)</v>
      </c>
      <c r="U120" s="70" t="n">
        <f aca="false">IF($B120="","",IF(INDEX('Master Database'!$AG$1:$AG$600,$B120)="","",INDEX('Master Database'!$AG$1:$AG$600,$B120)))</f>
        <v>33776.6976474323</v>
      </c>
      <c r="V120" s="70" t="n">
        <f aca="false">IF($B120="","",IF(INDEX('Master Database'!$AH$1:$AH$600,$B120)="","",INDEX('Master Database'!$AH$1:$AH$600,$B120)))</f>
        <v>35660.8659246157</v>
      </c>
      <c r="W120" s="70" t="n">
        <f aca="false">IF($B120="","",IF(INDEX('Master Database'!$AI$1:$AI$600,$B120)="","",INDEX('Master Database'!$AI$1:$AI$600,$B120)))</f>
        <v>23483857019.935</v>
      </c>
      <c r="X120" s="68" t="str">
        <f aca="false">IF($B120="","",IF(INDEX('Master Database'!$BG$1:$BG$600,$B120)="","",INDEX('Master Database'!$BG$1:$BG$600,$B120)))</f>
        <v>Y</v>
      </c>
      <c r="BA120" s="65" t="n">
        <f aca="false">IF('Master Database'!$A120="",0,IF(AND(OR($B$5="",ISNUMBER(SEARCH($B$5,'Master Database'!$B120&amp;" "&amp;'Master Database'!$D120))),OR($B$6="(All)",'Master Database'!$C120=$B$6),OR($B$7="(All)",'Master Database'!$E120=$B$7),OR($B$8="(All)",'Master Database'!$T120=$B$8),OR($B$9="(All)",'Master Database'!$M120=$B$9),OR($B$10="(All)",'Master Database'!$V120=$B$10),OR($E$5="(All)",'Master Database'!$F120=$E$5),OR($E$6="(All)",'Master Database'!$G120=$E$6),OR($E$7="(All)",'Master Database'!$O120=$E$7),OR($E$8="(All)",'Master Database'!$P120=$E$8),OR($E$9="(All)",'Master Database'!$S120=$E$9),OR($E$10="(All)",'Master Database'!$Y120&amp;""=$E$10&amp;""),OR($H$5="(All)",'Master Database'!$BG120=$H$5),OR($H$6&lt;&gt;"Y",ISNUMBER('Master Database'!$AG120)),OR($H$7="",AND(ISNUMBER('Master Database'!$H120),N('Master Database'!$H120)&gt;=$H$7)),OR($I$7="",AND(ISNUMBER('Master Database'!$H120),N('Master Database'!$H120)&lt;=$I$7)),OR($H$8="",AND(ISNUMBER('Master Database'!$I120),N('Master Database'!$I120)&gt;=$H$8)),OR($I$8="",AND(ISNUMBER('Master Database'!$I120),N('Master Database'!$I120)&lt;=$I$8)),OR($H$9="",AND(ISNUMBER('Master Database'!$K120),N('Master Database'!$K120)&gt;=$H$9)),OR($I$9="",AND(ISNUMBER('Master Database'!$K120),N('Master Database'!$K120)&lt;=$I$9))),1,0))</f>
        <v>1</v>
      </c>
      <c r="BB120" s="65" t="n">
        <f aca="false">IF(BA120=1,COUNTIF($BA$5:BA120,1),"")</f>
        <v>116</v>
      </c>
    </row>
    <row r="121" customFormat="false" ht="15" hidden="false" customHeight="false" outlineLevel="0" collapsed="false">
      <c r="A121" s="67" t="n">
        <f aca="false">IF(106&lt;=SUM($BA$5:$BA$600),106,"")</f>
        <v>106</v>
      </c>
      <c r="B121" s="67" t="n">
        <f aca="false">IF(A121="","",MATCH(A121,$BB$5:$BB$600,0)+4)</f>
        <v>110</v>
      </c>
      <c r="C121" s="67" t="n">
        <f aca="false">IF($B121="","",IF(INDEX('Master Database'!$A$1:$A$600,$B121)="","",INDEX('Master Database'!$A$1:$A$600,$B121)))</f>
        <v>106</v>
      </c>
      <c r="D121" s="68" t="str">
        <f aca="false">IF($B121="","",IF(INDEX('Master Database'!$B$1:$B$600,$B121)="","",INDEX('Master Database'!$B$1:$B$600,$B121)))</f>
        <v>O.W.S. Water Pumps</v>
      </c>
      <c r="E121" s="68" t="str">
        <f aca="false">IF($B121="","",IF(INDEX('Master Database'!$C$1:$C$600,$B121)="","",INDEX('Master Database'!$C$1:$C$600,$B121)))</f>
        <v>Pazanan 2</v>
      </c>
      <c r="F121" s="68" t="str">
        <f aca="false">IF($B121="","",IF(INDEX('Master Database'!$D$1:$D$600,$B121)="","",INDEX('Master Database'!$D$1:$D$600,$B121)))</f>
        <v>P-164 A/B</v>
      </c>
      <c r="G121" s="68" t="str">
        <f aca="false">IF($B121="","",IF(INDEX('Master Database'!$E$1:$E$600,$B121)="","",INDEX('Master Database'!$E$1:$E$600,$B121)))</f>
        <v>ROT-WAT</v>
      </c>
      <c r="H121" s="68" t="str">
        <f aca="false">IF($B121="","",IF(INDEX('Master Database'!$F$1:$F$600,$B121)="","",INDEX('Master Database'!$F$1:$F$600,$B121)))</f>
        <v>OH2</v>
      </c>
      <c r="I121" s="68" t="str">
        <f aca="false">IF($B121="","",IF(INDEX('Master Database'!$G$1:$G$600,$B121)="","",INDEX('Master Database'!$G$1:$G$600,$B121)))</f>
        <v>D-2</v>
      </c>
      <c r="J121" s="69" t="n">
        <f aca="false">IF($B121="","",IF(INDEX('Master Database'!$H$1:$H$600,$B121)="","",INDEX('Master Database'!$H$1:$H$600,$B121)))</f>
        <v>15</v>
      </c>
      <c r="K121" s="69" t="n">
        <f aca="false">IF($B121="","",IF(INDEX('Master Database'!$I$1:$I$600,$B121)="","",INDEX('Master Database'!$I$1:$I$600,$B121)))</f>
        <v>50</v>
      </c>
      <c r="L121" s="69" t="n">
        <f aca="false">IF($B121="","",IF(INDEX('Master Database'!$K$1:$K$600,$B121)="","",INDEX('Master Database'!$K$1:$K$600,$B121)))</f>
        <v>3.40599455040872</v>
      </c>
      <c r="M121" s="68" t="str">
        <f aca="false">IF($B121="","",IF(INDEX('Master Database'!$L$1:$L$600,$B121)="","",INDEX('Master Database'!$L$1:$L$600,$B121)))</f>
        <v>API 610 + IPS-G-PM-105 + NACE MR0175</v>
      </c>
      <c r="N121" s="68" t="str">
        <f aca="false">IF($B121="","",IF(INDEX('Master Database'!$P$1:$P$600,$B121)="","",INDEX('Master Database'!$P$1:$P$600,$B121)))</f>
        <v>Not stated</v>
      </c>
      <c r="O121" s="68" t="str">
        <f aca="false">IF($B121="","",IF(INDEX('Master Database'!$S$1:$S$600,$B121)="","",INDEX('Master Database'!$S$1:$S$600,$B121)))</f>
        <v>Electric Motor</v>
      </c>
      <c r="P121" s="68" t="str">
        <f aca="false">IF($B121="","",IF(INDEX('Master Database'!$T$1:$T$600,$B121)="","",INDEX('Master Database'!$T$1:$T$600,$B121)))</f>
        <v>Oily Water / Drain</v>
      </c>
      <c r="Q121" s="68" t="n">
        <f aca="false">IF($B121="","",IF(INDEX('Master Database'!$Y$1:$Y$600,$B121)="","",INDEX('Master Database'!$Y$1:$Y$600,$B121)))</f>
        <v>1404</v>
      </c>
      <c r="R121" s="68" t="str">
        <f aca="false">IF($B121="","",IF(INDEX('Master Database'!$Z$1:$Z$600,$B121)="","",INDEX('Master Database'!$Z$1:$Z$600,$B121)))</f>
        <v>EUR</v>
      </c>
      <c r="S121" s="70" t="n">
        <f aca="false">IF($B121="","",IF(INDEX('Master Database'!$AA$1:$AA$600,$B121)="","",INDEX('Master Database'!$AA$1:$AA$600,$B121)))</f>
        <v>29600</v>
      </c>
      <c r="T121" s="68" t="str">
        <f aca="false">IF($B121="","",IF(INDEX('Master Database'!$AE$1:$AE$600,$B121)="","",INDEX('Master Database'!$AE$1:$AE$600,$B121)))</f>
        <v>Vendor inquiry 1404Q1 – average of 2 quotation(s), PC-ME (91211-PZN-ME-RE-451) sheet PUMPS | source label: AACE Class 1</v>
      </c>
      <c r="U121" s="70" t="n">
        <f aca="false">IF($B121="","",IF(INDEX('Master Database'!$AG$1:$AG$600,$B121)="","",INDEX('Master Database'!$AG$1:$AG$600,$B121)))</f>
        <v>29600</v>
      </c>
      <c r="V121" s="70" t="n">
        <f aca="false">IF($B121="","",IF(INDEX('Master Database'!$AH$1:$AH$600,$B121)="","",INDEX('Master Database'!$AH$1:$AH$600,$B121)))</f>
        <v>31251.1792119757</v>
      </c>
      <c r="W121" s="70" t="n">
        <f aca="false">IF($B121="","",IF(INDEX('Master Database'!$AI$1:$AI$600,$B121)="","",INDEX('Master Database'!$AI$1:$AI$600,$B121)))</f>
        <v>20579932800</v>
      </c>
      <c r="X121" s="68" t="str">
        <f aca="false">IF($B121="","",IF(INDEX('Master Database'!$BG$1:$BG$600,$B121)="","",INDEX('Master Database'!$BG$1:$BG$600,$B121)))</f>
        <v>Y</v>
      </c>
      <c r="BA121" s="65" t="n">
        <f aca="false">IF('Master Database'!$A121="",0,IF(AND(OR($B$5="",ISNUMBER(SEARCH($B$5,'Master Database'!$B121&amp;" "&amp;'Master Database'!$D121))),OR($B$6="(All)",'Master Database'!$C121=$B$6),OR($B$7="(All)",'Master Database'!$E121=$B$7),OR($B$8="(All)",'Master Database'!$T121=$B$8),OR($B$9="(All)",'Master Database'!$M121=$B$9),OR($B$10="(All)",'Master Database'!$V121=$B$10),OR($E$5="(All)",'Master Database'!$F121=$E$5),OR($E$6="(All)",'Master Database'!$G121=$E$6),OR($E$7="(All)",'Master Database'!$O121=$E$7),OR($E$8="(All)",'Master Database'!$P121=$E$8),OR($E$9="(All)",'Master Database'!$S121=$E$9),OR($E$10="(All)",'Master Database'!$Y121&amp;""=$E$10&amp;""),OR($H$5="(All)",'Master Database'!$BG121=$H$5),OR($H$6&lt;&gt;"Y",ISNUMBER('Master Database'!$AG121)),OR($H$7="",AND(ISNUMBER('Master Database'!$H121),N('Master Database'!$H121)&gt;=$H$7)),OR($I$7="",AND(ISNUMBER('Master Database'!$H121),N('Master Database'!$H121)&lt;=$I$7)),OR($H$8="",AND(ISNUMBER('Master Database'!$I121),N('Master Database'!$I121)&gt;=$H$8)),OR($I$8="",AND(ISNUMBER('Master Database'!$I121),N('Master Database'!$I121)&lt;=$I$8)),OR($H$9="",AND(ISNUMBER('Master Database'!$K121),N('Master Database'!$K121)&gt;=$H$9)),OR($I$9="",AND(ISNUMBER('Master Database'!$K121),N('Master Database'!$K121)&lt;=$I$9))),1,0))</f>
        <v>1</v>
      </c>
      <c r="BB121" s="65" t="n">
        <f aca="false">IF(BA121=1,COUNTIF($BA$5:BA121,1),"")</f>
        <v>117</v>
      </c>
    </row>
    <row r="122" customFormat="false" ht="15" hidden="false" customHeight="false" outlineLevel="0" collapsed="false">
      <c r="A122" s="67" t="n">
        <f aca="false">IF(107&lt;=SUM($BA$5:$BA$600),107,"")</f>
        <v>107</v>
      </c>
      <c r="B122" s="67" t="n">
        <f aca="false">IF(A122="","",MATCH(A122,$BB$5:$BB$600,0)+4)</f>
        <v>111</v>
      </c>
      <c r="C122" s="67" t="n">
        <f aca="false">IF($B122="","",IF(INDEX('Master Database'!$A$1:$A$600,$B122)="","",INDEX('Master Database'!$A$1:$A$600,$B122)))</f>
        <v>107</v>
      </c>
      <c r="D122" s="68" t="str">
        <f aca="false">IF($B122="","",IF(INDEX('Master Database'!$B$1:$B$600,$B122)="","",INDEX('Master Database'!$B$1:$B$600,$B122)))</f>
        <v>Oily Water Basin Pumps</v>
      </c>
      <c r="E122" s="68" t="str">
        <f aca="false">IF($B122="","",IF(INDEX('Master Database'!$C$1:$C$600,$B122)="","",INDEX('Master Database'!$C$1:$C$600,$B122)))</f>
        <v>Pazanan 2</v>
      </c>
      <c r="F122" s="68" t="str">
        <f aca="false">IF($B122="","",IF(INDEX('Master Database'!$D$1:$D$600,$B122)="","",INDEX('Master Database'!$D$1:$D$600,$B122)))</f>
        <v>P-165 A/B</v>
      </c>
      <c r="G122" s="68" t="str">
        <f aca="false">IF($B122="","",IF(INDEX('Master Database'!$E$1:$E$600,$B122)="","",INDEX('Master Database'!$E$1:$E$600,$B122)))</f>
        <v>ROT-DRN</v>
      </c>
      <c r="H122" s="68" t="str">
        <f aca="false">IF($B122="","",IF(INDEX('Master Database'!$F$1:$F$600,$B122)="","",INDEX('Master Database'!$F$1:$F$600,$B122)))</f>
        <v>OH2</v>
      </c>
      <c r="I122" s="68" t="str">
        <f aca="false">IF($B122="","",IF(INDEX('Master Database'!$G$1:$G$600,$B122)="","",INDEX('Master Database'!$G$1:$G$600,$B122)))</f>
        <v>S-6</v>
      </c>
      <c r="J122" s="69" t="n">
        <f aca="false">IF($B122="","",IF(INDEX('Master Database'!$H$1:$H$600,$B122)="","",INDEX('Master Database'!$H$1:$H$600,$B122)))</f>
        <v>15</v>
      </c>
      <c r="K122" s="69" t="n">
        <f aca="false">IF($B122="","",IF(INDEX('Master Database'!$I$1:$I$600,$B122)="","",INDEX('Master Database'!$I$1:$I$600,$B122)))</f>
        <v>20</v>
      </c>
      <c r="L122" s="69" t="n">
        <f aca="false">IF($B122="","",IF(INDEX('Master Database'!$K$1:$K$600,$B122)="","",INDEX('Master Database'!$K$1:$K$600,$B122)))</f>
        <v>1.36239782016349</v>
      </c>
      <c r="M122" s="68" t="str">
        <f aca="false">IF($B122="","",IF(INDEX('Master Database'!$L$1:$L$600,$B122)="","",INDEX('Master Database'!$L$1:$L$600,$B122)))</f>
        <v>API 610 + IPS-G-PM-105</v>
      </c>
      <c r="N122" s="68" t="str">
        <f aca="false">IF($B122="","",IF(INDEX('Master Database'!$P$1:$P$600,$B122)="","",INDEX('Master Database'!$P$1:$P$600,$B122)))</f>
        <v>Not stated</v>
      </c>
      <c r="O122" s="68" t="str">
        <f aca="false">IF($B122="","",IF(INDEX('Master Database'!$S$1:$S$600,$B122)="","",INDEX('Master Database'!$S$1:$S$600,$B122)))</f>
        <v>Electric Motor</v>
      </c>
      <c r="P122" s="68" t="str">
        <f aca="false">IF($B122="","",IF(INDEX('Master Database'!$T$1:$T$600,$B122)="","",INDEX('Master Database'!$T$1:$T$600,$B122)))</f>
        <v>Oily Water / Drain</v>
      </c>
      <c r="Q122" s="68" t="n">
        <f aca="false">IF($B122="","",IF(INDEX('Master Database'!$Y$1:$Y$600,$B122)="","",INDEX('Master Database'!$Y$1:$Y$600,$B122)))</f>
        <v>1404</v>
      </c>
      <c r="R122" s="68" t="str">
        <f aca="false">IF($B122="","",IF(INDEX('Master Database'!$Z$1:$Z$600,$B122)="","",INDEX('Master Database'!$Z$1:$Z$600,$B122)))</f>
        <v>EUR</v>
      </c>
      <c r="S122" s="70" t="n">
        <f aca="false">IF($B122="","",IF(INDEX('Master Database'!$AA$1:$AA$600,$B122)="","",INDEX('Master Database'!$AA$1:$AA$600,$B122)))</f>
        <v>26250</v>
      </c>
      <c r="T122" s="68" t="str">
        <f aca="false">IF($B122="","",IF(INDEX('Master Database'!$AE$1:$AE$600,$B122)="","",INDEX('Master Database'!$AE$1:$AE$600,$B122)))</f>
        <v>Vendor inquiry 1404Q1 – average of 2 quotation(s), PC-ME (91211-PZN-ME-RE-451) sheet PUMPS | source label: AACE Class 1</v>
      </c>
      <c r="U122" s="70" t="n">
        <f aca="false">IF($B122="","",IF(INDEX('Master Database'!$AG$1:$AG$600,$B122)="","",INDEX('Master Database'!$AG$1:$AG$600,$B122)))</f>
        <v>26250</v>
      </c>
      <c r="V122" s="70" t="n">
        <f aca="false">IF($B122="","",IF(INDEX('Master Database'!$AH$1:$AH$600,$B122)="","",INDEX('Master Database'!$AH$1:$AH$600,$B122)))</f>
        <v>27714.3058889987</v>
      </c>
      <c r="W122" s="70" t="n">
        <f aca="false">IF($B122="","",IF(INDEX('Master Database'!$AI$1:$AI$600,$B122)="","",INDEX('Master Database'!$AI$1:$AI$600,$B122)))</f>
        <v>18250785000</v>
      </c>
      <c r="X122" s="68" t="str">
        <f aca="false">IF($B122="","",IF(INDEX('Master Database'!$BG$1:$BG$600,$B122)="","",INDEX('Master Database'!$BG$1:$BG$600,$B122)))</f>
        <v>Y</v>
      </c>
      <c r="BA122" s="65" t="n">
        <f aca="false">IF('Master Database'!$A122="",0,IF(AND(OR($B$5="",ISNUMBER(SEARCH($B$5,'Master Database'!$B122&amp;" "&amp;'Master Database'!$D122))),OR($B$6="(All)",'Master Database'!$C122=$B$6),OR($B$7="(All)",'Master Database'!$E122=$B$7),OR($B$8="(All)",'Master Database'!$T122=$B$8),OR($B$9="(All)",'Master Database'!$M122=$B$9),OR($B$10="(All)",'Master Database'!$V122=$B$10),OR($E$5="(All)",'Master Database'!$F122=$E$5),OR($E$6="(All)",'Master Database'!$G122=$E$6),OR($E$7="(All)",'Master Database'!$O122=$E$7),OR($E$8="(All)",'Master Database'!$P122=$E$8),OR($E$9="(All)",'Master Database'!$S122=$E$9),OR($E$10="(All)",'Master Database'!$Y122&amp;""=$E$10&amp;""),OR($H$5="(All)",'Master Database'!$BG122=$H$5),OR($H$6&lt;&gt;"Y",ISNUMBER('Master Database'!$AG122)),OR($H$7="",AND(ISNUMBER('Master Database'!$H122),N('Master Database'!$H122)&gt;=$H$7)),OR($I$7="",AND(ISNUMBER('Master Database'!$H122),N('Master Database'!$H122)&lt;=$I$7)),OR($H$8="",AND(ISNUMBER('Master Database'!$I122),N('Master Database'!$I122)&gt;=$H$8)),OR($I$8="",AND(ISNUMBER('Master Database'!$I122),N('Master Database'!$I122)&lt;=$I$8)),OR($H$9="",AND(ISNUMBER('Master Database'!$K122),N('Master Database'!$K122)&gt;=$H$9)),OR($I$9="",AND(ISNUMBER('Master Database'!$K122),N('Master Database'!$K122)&lt;=$I$9))),1,0))</f>
        <v>1</v>
      </c>
      <c r="BB122" s="65" t="n">
        <f aca="false">IF(BA122=1,COUNTIF($BA$5:BA122,1),"")</f>
        <v>118</v>
      </c>
    </row>
    <row r="123" customFormat="false" ht="15" hidden="false" customHeight="false" outlineLevel="0" collapsed="false">
      <c r="A123" s="67" t="n">
        <f aca="false">IF(108&lt;=SUM($BA$5:$BA$600),108,"")</f>
        <v>108</v>
      </c>
      <c r="B123" s="67" t="n">
        <f aca="false">IF(A123="","",MATCH(A123,$BB$5:$BB$600,0)+4)</f>
        <v>112</v>
      </c>
      <c r="C123" s="67" t="n">
        <f aca="false">IF($B123="","",IF(INDEX('Master Database'!$A$1:$A$600,$B123)="","",INDEX('Master Database'!$A$1:$A$600,$B123)))</f>
        <v>108</v>
      </c>
      <c r="D123" s="68" t="str">
        <f aca="false">IF($B123="","",IF(INDEX('Master Database'!$B$1:$B$600,$B123)="","",INDEX('Master Database'!$B$1:$B$600,$B123)))</f>
        <v>Fuel Oil Pump</v>
      </c>
      <c r="E123" s="68" t="str">
        <f aca="false">IF($B123="","",IF(INDEX('Master Database'!$C$1:$C$600,$B123)="","",INDEX('Master Database'!$C$1:$C$600,$B123)))</f>
        <v>Pazanan 2</v>
      </c>
      <c r="F123" s="68" t="str">
        <f aca="false">IF($B123="","",IF(INDEX('Master Database'!$D$1:$D$600,$B123)="","",INDEX('Master Database'!$D$1:$D$600,$B123)))</f>
        <v>P-171</v>
      </c>
      <c r="G123" s="68" t="str">
        <f aca="false">IF($B123="","",IF(INDEX('Master Database'!$E$1:$E$600,$B123)="","",INDEX('Master Database'!$E$1:$E$600,$B123)))</f>
        <v>ROT-AUX</v>
      </c>
      <c r="H123" s="68" t="str">
        <f aca="false">IF($B123="","",IF(INDEX('Master Database'!$F$1:$F$600,$B123)="","",INDEX('Master Database'!$F$1:$F$600,$B123)))</f>
        <v>N/A (non-API 610)</v>
      </c>
      <c r="I123" s="68" t="str">
        <f aca="false">IF($B123="","",IF(INDEX('Master Database'!$G$1:$G$600,$B123)="","",INDEX('Master Database'!$G$1:$G$600,$B123)))</f>
        <v>S-1</v>
      </c>
      <c r="J123" s="69" t="n">
        <f aca="false">IF($B123="","",IF(INDEX('Master Database'!$H$1:$H$600,$B123)="","",INDEX('Master Database'!$H$1:$H$600,$B123)))</f>
        <v>10</v>
      </c>
      <c r="K123" s="69" t="n">
        <f aca="false">IF($B123="","",IF(INDEX('Master Database'!$I$1:$I$600,$B123)="","",INDEX('Master Database'!$I$1:$I$600,$B123)))</f>
        <v>21</v>
      </c>
      <c r="L123" s="69" t="n">
        <f aca="false">IF($B123="","",IF(INDEX('Master Database'!$K$1:$K$600,$B123)="","",INDEX('Master Database'!$K$1:$K$600,$B123)))</f>
        <v>0.953678474114442</v>
      </c>
      <c r="M123" s="68" t="str">
        <f aca="false">IF($B123="","",IF(INDEX('Master Database'!$L$1:$L$600,$B123)="","",INDEX('Master Database'!$L$1:$L$600,$B123)))</f>
        <v>ISO 5199 + IPS-M-PM-115</v>
      </c>
      <c r="N123" s="68" t="str">
        <f aca="false">IF($B123="","",IF(INDEX('Master Database'!$P$1:$P$600,$B123)="","",INDEX('Master Database'!$P$1:$P$600,$B123)))</f>
        <v>Not stated</v>
      </c>
      <c r="O123" s="68" t="str">
        <f aca="false">IF($B123="","",IF(INDEX('Master Database'!$S$1:$S$600,$B123)="","",INDEX('Master Database'!$S$1:$S$600,$B123)))</f>
        <v>Electric Motor</v>
      </c>
      <c r="P123" s="68" t="str">
        <f aca="false">IF($B123="","",IF(INDEX('Master Database'!$T$1:$T$600,$B123)="","",INDEX('Master Database'!$T$1:$T$600,$B123)))</f>
        <v>Diesel / Fuel Oil</v>
      </c>
      <c r="Q123" s="68" t="n">
        <f aca="false">IF($B123="","",IF(INDEX('Master Database'!$Y$1:$Y$600,$B123)="","",INDEX('Master Database'!$Y$1:$Y$600,$B123)))</f>
        <v>1404</v>
      </c>
      <c r="R123" s="68" t="str">
        <f aca="false">IF($B123="","",IF(INDEX('Master Database'!$Z$1:$Z$600,$B123)="","",INDEX('Master Database'!$Z$1:$Z$600,$B123)))</f>
        <v>EUR</v>
      </c>
      <c r="S123" s="70" t="n">
        <f aca="false">IF($B123="","",IF(INDEX('Master Database'!$AA$1:$AA$600,$B123)="","",INDEX('Master Database'!$AA$1:$AA$600,$B123)))</f>
        <v>21000</v>
      </c>
      <c r="T123" s="68" t="str">
        <f aca="false">IF($B123="","",IF(INDEX('Master Database'!$AE$1:$AE$600,$B123)="","",INDEX('Master Database'!$AE$1:$AE$600,$B123)))</f>
        <v>Vendor inquiry 1404Q1 – average of 2 quotation(s), PC-ME (91211-PZN-ME-RE-451) sheet PUMPS | source label: AACE Class 1</v>
      </c>
      <c r="U123" s="70" t="n">
        <f aca="false">IF($B123="","",IF(INDEX('Master Database'!$AG$1:$AG$600,$B123)="","",INDEX('Master Database'!$AG$1:$AG$600,$B123)))</f>
        <v>21000</v>
      </c>
      <c r="V123" s="70" t="n">
        <f aca="false">IF($B123="","",IF(INDEX('Master Database'!$AH$1:$AH$600,$B123)="","",INDEX('Master Database'!$AH$1:$AH$600,$B123)))</f>
        <v>22171.444711199</v>
      </c>
      <c r="W123" s="70" t="n">
        <f aca="false">IF($B123="","",IF(INDEX('Master Database'!$AI$1:$AI$600,$B123)="","",INDEX('Master Database'!$AI$1:$AI$600,$B123)))</f>
        <v>14600628000</v>
      </c>
      <c r="X123" s="68" t="str">
        <f aca="false">IF($B123="","",IF(INDEX('Master Database'!$BG$1:$BG$600,$B123)="","",INDEX('Master Database'!$BG$1:$BG$600,$B123)))</f>
        <v>Y</v>
      </c>
      <c r="BA123" s="65" t="n">
        <f aca="false">IF('Master Database'!$A123="",0,IF(AND(OR($B$5="",ISNUMBER(SEARCH($B$5,'Master Database'!$B123&amp;" "&amp;'Master Database'!$D123))),OR($B$6="(All)",'Master Database'!$C123=$B$6),OR($B$7="(All)",'Master Database'!$E123=$B$7),OR($B$8="(All)",'Master Database'!$T123=$B$8),OR($B$9="(All)",'Master Database'!$M123=$B$9),OR($B$10="(All)",'Master Database'!$V123=$B$10),OR($E$5="(All)",'Master Database'!$F123=$E$5),OR($E$6="(All)",'Master Database'!$G123=$E$6),OR($E$7="(All)",'Master Database'!$O123=$E$7),OR($E$8="(All)",'Master Database'!$P123=$E$8),OR($E$9="(All)",'Master Database'!$S123=$E$9),OR($E$10="(All)",'Master Database'!$Y123&amp;""=$E$10&amp;""),OR($H$5="(All)",'Master Database'!$BG123=$H$5),OR($H$6&lt;&gt;"Y",ISNUMBER('Master Database'!$AG123)),OR($H$7="",AND(ISNUMBER('Master Database'!$H123),N('Master Database'!$H123)&gt;=$H$7)),OR($I$7="",AND(ISNUMBER('Master Database'!$H123),N('Master Database'!$H123)&lt;=$I$7)),OR($H$8="",AND(ISNUMBER('Master Database'!$I123),N('Master Database'!$I123)&gt;=$H$8)),OR($I$8="",AND(ISNUMBER('Master Database'!$I123),N('Master Database'!$I123)&lt;=$I$8)),OR($H$9="",AND(ISNUMBER('Master Database'!$K123),N('Master Database'!$K123)&gt;=$H$9)),OR($I$9="",AND(ISNUMBER('Master Database'!$K123),N('Master Database'!$K123)&lt;=$I$9))),1,0))</f>
        <v>1</v>
      </c>
      <c r="BB123" s="65" t="n">
        <f aca="false">IF(BA123=1,COUNTIF($BA$5:BA123,1),"")</f>
        <v>119</v>
      </c>
    </row>
    <row r="124" customFormat="false" ht="15" hidden="false" customHeight="false" outlineLevel="0" collapsed="false">
      <c r="A124" s="67" t="n">
        <f aca="false">IF(109&lt;=SUM($BA$5:$BA$600),109,"")</f>
        <v>109</v>
      </c>
      <c r="B124" s="67" t="n">
        <f aca="false">IF(A124="","",MATCH(A124,$BB$5:$BB$600,0)+4)</f>
        <v>113</v>
      </c>
      <c r="C124" s="67" t="n">
        <f aca="false">IF($B124="","",IF(INDEX('Master Database'!$A$1:$A$600,$B124)="","",INDEX('Master Database'!$A$1:$A$600,$B124)))</f>
        <v>109</v>
      </c>
      <c r="D124" s="68" t="str">
        <f aca="false">IF($B124="","",IF(INDEX('Master Database'!$B$1:$B$600,$B124)="","",INDEX('Master Database'!$B$1:$B$600,$B124)))</f>
        <v>Fire Water Loading Pump</v>
      </c>
      <c r="E124" s="68" t="str">
        <f aca="false">IF($B124="","",IF(INDEX('Master Database'!$C$1:$C$600,$B124)="","",INDEX('Master Database'!$C$1:$C$600,$B124)))</f>
        <v>Pazanan 2</v>
      </c>
      <c r="F124" s="68" t="str">
        <f aca="false">IF($B124="","",IF(INDEX('Master Database'!$D$1:$D$600,$B124)="","",INDEX('Master Database'!$D$1:$D$600,$B124)))</f>
        <v>P-191</v>
      </c>
      <c r="G124" s="68" t="str">
        <f aca="false">IF($B124="","",IF(INDEX('Master Database'!$E$1:$E$600,$B124)="","",INDEX('Master Database'!$E$1:$E$600,$B124)))</f>
        <v>ROT-FIR</v>
      </c>
      <c r="H124" s="68" t="str">
        <f aca="false">IF($B124="","",IF(INDEX('Master Database'!$F$1:$F$600,$B124)="","",INDEX('Master Database'!$F$1:$F$600,$B124)))</f>
        <v>N/A (non-API 610)</v>
      </c>
      <c r="I124" s="68" t="str">
        <f aca="false">IF($B124="","",IF(INDEX('Master Database'!$G$1:$G$600,$B124)="","",INDEX('Master Database'!$G$1:$G$600,$B124)))</f>
        <v>I-2</v>
      </c>
      <c r="J124" s="69" t="n">
        <f aca="false">IF($B124="","",IF(INDEX('Master Database'!$H$1:$H$600,$B124)="","",INDEX('Master Database'!$H$1:$H$600,$B124)))</f>
        <v>33</v>
      </c>
      <c r="K124" s="69" t="n">
        <f aca="false">IF($B124="","",IF(INDEX('Master Database'!$I$1:$I$600,$B124)="","",INDEX('Master Database'!$I$1:$I$600,$B124)))</f>
        <v>31</v>
      </c>
      <c r="L124" s="69" t="n">
        <f aca="false">IF($B124="","",IF(INDEX('Master Database'!$K$1:$K$600,$B124)="","",INDEX('Master Database'!$K$1:$K$600,$B124)))</f>
        <v>4.64577656675749</v>
      </c>
      <c r="M124" s="68" t="str">
        <f aca="false">IF($B124="","",IF(INDEX('Master Database'!$L$1:$L$600,$B124)="","",INDEX('Master Database'!$L$1:$L$600,$B124)))</f>
        <v>ISO 5199 + IPS-M-PM-115</v>
      </c>
      <c r="N124" s="68" t="str">
        <f aca="false">IF($B124="","",IF(INDEX('Master Database'!$P$1:$P$600,$B124)="","",INDEX('Master Database'!$P$1:$P$600,$B124)))</f>
        <v>Not stated</v>
      </c>
      <c r="O124" s="68" t="str">
        <f aca="false">IF($B124="","",IF(INDEX('Master Database'!$S$1:$S$600,$B124)="","",INDEX('Master Database'!$S$1:$S$600,$B124)))</f>
        <v>Electric Motor</v>
      </c>
      <c r="P124" s="68" t="str">
        <f aca="false">IF($B124="","",IF(INDEX('Master Database'!$T$1:$T$600,$B124)="","",INDEX('Master Database'!$T$1:$T$600,$B124)))</f>
        <v>Fire Water</v>
      </c>
      <c r="Q124" s="68" t="n">
        <f aca="false">IF($B124="","",IF(INDEX('Master Database'!$Y$1:$Y$600,$B124)="","",INDEX('Master Database'!$Y$1:$Y$600,$B124)))</f>
        <v>1404</v>
      </c>
      <c r="R124" s="68" t="str">
        <f aca="false">IF($B124="","",IF(INDEX('Master Database'!$Z$1:$Z$600,$B124)="","",INDEX('Master Database'!$Z$1:$Z$600,$B124)))</f>
        <v>EUR</v>
      </c>
      <c r="S124" s="70" t="n">
        <f aca="false">IF($B124="","",IF(INDEX('Master Database'!$AA$1:$AA$600,$B124)="","",INDEX('Master Database'!$AA$1:$AA$600,$B124)))</f>
        <v>16000</v>
      </c>
      <c r="T124" s="68" t="str">
        <f aca="false">IF($B124="","",IF(INDEX('Master Database'!$AE$1:$AE$600,$B124)="","",INDEX('Master Database'!$AE$1:$AE$600,$B124)))</f>
        <v>Vendor inquiry 1404Q1 – average of 2 quotation(s), PC-ME (91211-PZN-ME-RE-451) sheet PUMPS | source label: AACE Class 1</v>
      </c>
      <c r="U124" s="70" t="n">
        <f aca="false">IF($B124="","",IF(INDEX('Master Database'!$AG$1:$AG$600,$B124)="","",INDEX('Master Database'!$AG$1:$AG$600,$B124)))</f>
        <v>16000</v>
      </c>
      <c r="V124" s="70" t="n">
        <f aca="false">IF($B124="","",IF(INDEX('Master Database'!$AH$1:$AH$600,$B124)="","",INDEX('Master Database'!$AH$1:$AH$600,$B124)))</f>
        <v>16892.5293037707</v>
      </c>
      <c r="W124" s="70" t="n">
        <f aca="false">IF($B124="","",IF(INDEX('Master Database'!$AI$1:$AI$600,$B124)="","",INDEX('Master Database'!$AI$1:$AI$600,$B124)))</f>
        <v>11124288000</v>
      </c>
      <c r="X124" s="68" t="str">
        <f aca="false">IF($B124="","",IF(INDEX('Master Database'!$BG$1:$BG$600,$B124)="","",INDEX('Master Database'!$BG$1:$BG$600,$B124)))</f>
        <v>Y</v>
      </c>
      <c r="BA124" s="65" t="n">
        <f aca="false">IF('Master Database'!$A124="",0,IF(AND(OR($B$5="",ISNUMBER(SEARCH($B$5,'Master Database'!$B124&amp;" "&amp;'Master Database'!$D124))),OR($B$6="(All)",'Master Database'!$C124=$B$6),OR($B$7="(All)",'Master Database'!$E124=$B$7),OR($B$8="(All)",'Master Database'!$T124=$B$8),OR($B$9="(All)",'Master Database'!$M124=$B$9),OR($B$10="(All)",'Master Database'!$V124=$B$10),OR($E$5="(All)",'Master Database'!$F124=$E$5),OR($E$6="(All)",'Master Database'!$G124=$E$6),OR($E$7="(All)",'Master Database'!$O124=$E$7),OR($E$8="(All)",'Master Database'!$P124=$E$8),OR($E$9="(All)",'Master Database'!$S124=$E$9),OR($E$10="(All)",'Master Database'!$Y124&amp;""=$E$10&amp;""),OR($H$5="(All)",'Master Database'!$BG124=$H$5),OR($H$6&lt;&gt;"Y",ISNUMBER('Master Database'!$AG124)),OR($H$7="",AND(ISNUMBER('Master Database'!$H124),N('Master Database'!$H124)&gt;=$H$7)),OR($I$7="",AND(ISNUMBER('Master Database'!$H124),N('Master Database'!$H124)&lt;=$I$7)),OR($H$8="",AND(ISNUMBER('Master Database'!$I124),N('Master Database'!$I124)&gt;=$H$8)),OR($I$8="",AND(ISNUMBER('Master Database'!$I124),N('Master Database'!$I124)&lt;=$I$8)),OR($H$9="",AND(ISNUMBER('Master Database'!$K124),N('Master Database'!$K124)&gt;=$H$9)),OR($I$9="",AND(ISNUMBER('Master Database'!$K124),N('Master Database'!$K124)&lt;=$I$9))),1,0))</f>
        <v>1</v>
      </c>
      <c r="BB124" s="65" t="n">
        <f aca="false">IF(BA124=1,COUNTIF($BA$5:BA124,1),"")</f>
        <v>120</v>
      </c>
    </row>
    <row r="125" customFormat="false" ht="15" hidden="false" customHeight="false" outlineLevel="0" collapsed="false">
      <c r="A125" s="67" t="n">
        <f aca="false">IF(110&lt;=SUM($BA$5:$BA$600),110,"")</f>
        <v>110</v>
      </c>
      <c r="B125" s="67" t="n">
        <f aca="false">IF(A125="","",MATCH(A125,$BB$5:$BB$600,0)+4)</f>
        <v>114</v>
      </c>
      <c r="C125" s="67" t="n">
        <f aca="false">IF($B125="","",IF(INDEX('Master Database'!$A$1:$A$600,$B125)="","",INDEX('Master Database'!$A$1:$A$600,$B125)))</f>
        <v>110</v>
      </c>
      <c r="D125" s="68" t="str">
        <f aca="false">IF($B125="","",IF(INDEX('Master Database'!$B$1:$B$600,$B125)="","",INDEX('Master Database'!$B$1:$B$600,$B125)))</f>
        <v>Fire Water Pump-Elect. Motor Driven</v>
      </c>
      <c r="E125" s="68" t="str">
        <f aca="false">IF($B125="","",IF(INDEX('Master Database'!$C$1:$C$600,$B125)="","",INDEX('Master Database'!$C$1:$C$600,$B125)))</f>
        <v>Pazanan 2</v>
      </c>
      <c r="F125" s="68" t="str">
        <f aca="false">IF($B125="","",IF(INDEX('Master Database'!$D$1:$D$600,$B125)="","",INDEX('Master Database'!$D$1:$D$600,$B125)))</f>
        <v>P-192</v>
      </c>
      <c r="G125" s="68" t="str">
        <f aca="false">IF($B125="","",IF(INDEX('Master Database'!$E$1:$E$600,$B125)="","",INDEX('Master Database'!$E$1:$E$600,$B125)))</f>
        <v>ROT-FIR</v>
      </c>
      <c r="H125" s="68" t="str">
        <f aca="false">IF($B125="","",IF(INDEX('Master Database'!$F$1:$F$600,$B125)="","",INDEX('Master Database'!$F$1:$F$600,$B125)))</f>
        <v>BB (unspecified)</v>
      </c>
      <c r="I125" s="68" t="str">
        <f aca="false">IF($B125="","",IF(INDEX('Master Database'!$G$1:$G$600,$B125)="","",INDEX('Master Database'!$G$1:$G$600,$B125)))</f>
        <v>I-2</v>
      </c>
      <c r="J125" s="69" t="n">
        <f aca="false">IF($B125="","",IF(INDEX('Master Database'!$H$1:$H$600,$B125)="","",INDEX('Master Database'!$H$1:$H$600,$B125)))</f>
        <v>825</v>
      </c>
      <c r="K125" s="69" t="n">
        <f aca="false">IF($B125="","",IF(INDEX('Master Database'!$I$1:$I$600,$B125)="","",INDEX('Master Database'!$I$1:$I$600,$B125)))</f>
        <v>107</v>
      </c>
      <c r="L125" s="69" t="n">
        <f aca="false">IF($B125="","",IF(INDEX('Master Database'!$K$1:$K$600,$B125)="","",INDEX('Master Database'!$K$1:$K$600,$B125)))</f>
        <v>400.885558583106</v>
      </c>
      <c r="M125" s="68" t="str">
        <f aca="false">IF($B125="","",IF(INDEX('Master Database'!$L$1:$L$600,$B125)="","",INDEX('Master Database'!$L$1:$L$600,$B125)))</f>
        <v>NFPA 20 + IPS-M-PM-125</v>
      </c>
      <c r="N125" s="68" t="str">
        <f aca="false">IF($B125="","",IF(INDEX('Master Database'!$P$1:$P$600,$B125)="","",INDEX('Master Database'!$P$1:$P$600,$B125)))</f>
        <v>Not stated</v>
      </c>
      <c r="O125" s="68" t="str">
        <f aca="false">IF($B125="","",IF(INDEX('Master Database'!$S$1:$S$600,$B125)="","",INDEX('Master Database'!$S$1:$S$600,$B125)))</f>
        <v>Electric Motor</v>
      </c>
      <c r="P125" s="68" t="str">
        <f aca="false">IF($B125="","",IF(INDEX('Master Database'!$T$1:$T$600,$B125)="","",INDEX('Master Database'!$T$1:$T$600,$B125)))</f>
        <v>Fire Water</v>
      </c>
      <c r="Q125" s="68" t="n">
        <f aca="false">IF($B125="","",IF(INDEX('Master Database'!$Y$1:$Y$600,$B125)="","",INDEX('Master Database'!$Y$1:$Y$600,$B125)))</f>
        <v>1404</v>
      </c>
      <c r="R125" s="68" t="str">
        <f aca="false">IF($B125="","",IF(INDEX('Master Database'!$Z$1:$Z$600,$B125)="","",INDEX('Master Database'!$Z$1:$Z$600,$B125)))</f>
        <v>EUR</v>
      </c>
      <c r="S125" s="70" t="n">
        <f aca="false">IF($B125="","",IF(INDEX('Master Database'!$AA$1:$AA$600,$B125)="","",INDEX('Master Database'!$AA$1:$AA$600,$B125)))</f>
        <v>309660.11</v>
      </c>
      <c r="T125" s="68" t="str">
        <f aca="false">IF($B125="","",IF(INDEX('Master Database'!$AE$1:$AE$600,$B125)="","",INDEX('Master Database'!$AE$1:$AE$600,$B125)))</f>
        <v>Vendor inquiry 1404Q1 – average of 3 quotation(s), PC-ME (91211-PZN-ME-RE-451) sheet PUMPS | source label: AACE Class 1</v>
      </c>
      <c r="U125" s="70" t="n">
        <f aca="false">IF($B125="","",IF(INDEX('Master Database'!$AG$1:$AG$600,$B125)="","",INDEX('Master Database'!$AG$1:$AG$600,$B125)))</f>
        <v>309660.11</v>
      </c>
      <c r="V125" s="70" t="n">
        <f aca="false">IF($B125="","",IF(INDEX('Master Database'!$AH$1:$AH$600,$B125)="","",INDEX('Master Database'!$AH$1:$AH$600,$B125)))</f>
        <v>326933.90514899</v>
      </c>
      <c r="W125" s="70" t="n">
        <f aca="false">IF($B125="","",IF(INDEX('Master Database'!$AI$1:$AI$600,$B125)="","",INDEX('Master Database'!$AI$1:$AI$600,$B125)))</f>
        <v>215296765359.48</v>
      </c>
      <c r="X125" s="68" t="str">
        <f aca="false">IF($B125="","",IF(INDEX('Master Database'!$BG$1:$BG$600,$B125)="","",INDEX('Master Database'!$BG$1:$BG$600,$B125)))</f>
        <v>Y</v>
      </c>
      <c r="BA125" s="65" t="n">
        <f aca="false">IF('Master Database'!$A125="",0,IF(AND(OR($B$5="",ISNUMBER(SEARCH($B$5,'Master Database'!$B125&amp;" "&amp;'Master Database'!$D125))),OR($B$6="(All)",'Master Database'!$C125=$B$6),OR($B$7="(All)",'Master Database'!$E125=$B$7),OR($B$8="(All)",'Master Database'!$T125=$B$8),OR($B$9="(All)",'Master Database'!$M125=$B$9),OR($B$10="(All)",'Master Database'!$V125=$B$10),OR($E$5="(All)",'Master Database'!$F125=$E$5),OR($E$6="(All)",'Master Database'!$G125=$E$6),OR($E$7="(All)",'Master Database'!$O125=$E$7),OR($E$8="(All)",'Master Database'!$P125=$E$8),OR($E$9="(All)",'Master Database'!$S125=$E$9),OR($E$10="(All)",'Master Database'!$Y125&amp;""=$E$10&amp;""),OR($H$5="(All)",'Master Database'!$BG125=$H$5),OR($H$6&lt;&gt;"Y",ISNUMBER('Master Database'!$AG125)),OR($H$7="",AND(ISNUMBER('Master Database'!$H125),N('Master Database'!$H125)&gt;=$H$7)),OR($I$7="",AND(ISNUMBER('Master Database'!$H125),N('Master Database'!$H125)&lt;=$I$7)),OR($H$8="",AND(ISNUMBER('Master Database'!$I125),N('Master Database'!$I125)&gt;=$H$8)),OR($I$8="",AND(ISNUMBER('Master Database'!$I125),N('Master Database'!$I125)&lt;=$I$8)),OR($H$9="",AND(ISNUMBER('Master Database'!$K125),N('Master Database'!$K125)&gt;=$H$9)),OR($I$9="",AND(ISNUMBER('Master Database'!$K125),N('Master Database'!$K125)&lt;=$I$9))),1,0))</f>
        <v>1</v>
      </c>
      <c r="BB125" s="65" t="n">
        <f aca="false">IF(BA125=1,COUNTIF($BA$5:BA125,1),"")</f>
        <v>121</v>
      </c>
    </row>
    <row r="126" customFormat="false" ht="15" hidden="false" customHeight="false" outlineLevel="0" collapsed="false">
      <c r="A126" s="67" t="n">
        <f aca="false">IF(111&lt;=SUM($BA$5:$BA$600),111,"")</f>
        <v>111</v>
      </c>
      <c r="B126" s="67" t="n">
        <f aca="false">IF(A126="","",MATCH(A126,$BB$5:$BB$600,0)+4)</f>
        <v>115</v>
      </c>
      <c r="C126" s="67" t="n">
        <f aca="false">IF($B126="","",IF(INDEX('Master Database'!$A$1:$A$600,$B126)="","",INDEX('Master Database'!$A$1:$A$600,$B126)))</f>
        <v>111</v>
      </c>
      <c r="D126" s="68" t="str">
        <f aca="false">IF($B126="","",IF(INDEX('Master Database'!$B$1:$B$600,$B126)="","",INDEX('Master Database'!$B$1:$B$600,$B126)))</f>
        <v>Fire Water Pump-Diesel Engine Driven</v>
      </c>
      <c r="E126" s="68" t="str">
        <f aca="false">IF($B126="","",IF(INDEX('Master Database'!$C$1:$C$600,$B126)="","",INDEX('Master Database'!$C$1:$C$600,$B126)))</f>
        <v>Pazanan 2</v>
      </c>
      <c r="F126" s="68" t="str">
        <f aca="false">IF($B126="","",IF(INDEX('Master Database'!$D$1:$D$600,$B126)="","",INDEX('Master Database'!$D$1:$D$600,$B126)))</f>
        <v>P-193</v>
      </c>
      <c r="G126" s="68" t="str">
        <f aca="false">IF($B126="","",IF(INDEX('Master Database'!$E$1:$E$600,$B126)="","",INDEX('Master Database'!$E$1:$E$600,$B126)))</f>
        <v>ROT-FIR</v>
      </c>
      <c r="H126" s="68" t="str">
        <f aca="false">IF($B126="","",IF(INDEX('Master Database'!$F$1:$F$600,$B126)="","",INDEX('Master Database'!$F$1:$F$600,$B126)))</f>
        <v>BB (unspecified)</v>
      </c>
      <c r="I126" s="68" t="str">
        <f aca="false">IF($B126="","",IF(INDEX('Master Database'!$G$1:$G$600,$B126)="","",INDEX('Master Database'!$G$1:$G$600,$B126)))</f>
        <v>I-2</v>
      </c>
      <c r="J126" s="69" t="n">
        <f aca="false">IF($B126="","",IF(INDEX('Master Database'!$H$1:$H$600,$B126)="","",INDEX('Master Database'!$H$1:$H$600,$B126)))</f>
        <v>825</v>
      </c>
      <c r="K126" s="69" t="n">
        <f aca="false">IF($B126="","",IF(INDEX('Master Database'!$I$1:$I$600,$B126)="","",INDEX('Master Database'!$I$1:$I$600,$B126)))</f>
        <v>107</v>
      </c>
      <c r="L126" s="69" t="n">
        <f aca="false">IF($B126="","",IF(INDEX('Master Database'!$K$1:$K$600,$B126)="","",INDEX('Master Database'!$K$1:$K$600,$B126)))</f>
        <v>400.885558583106</v>
      </c>
      <c r="M126" s="68" t="str">
        <f aca="false">IF($B126="","",IF(INDEX('Master Database'!$L$1:$L$600,$B126)="","",INDEX('Master Database'!$L$1:$L$600,$B126)))</f>
        <v>NFPA 20 + IPS-M-PM-125</v>
      </c>
      <c r="N126" s="68" t="str">
        <f aca="false">IF($B126="","",IF(INDEX('Master Database'!$P$1:$P$600,$B126)="","",INDEX('Master Database'!$P$1:$P$600,$B126)))</f>
        <v>Not stated</v>
      </c>
      <c r="O126" s="68" t="str">
        <f aca="false">IF($B126="","",IF(INDEX('Master Database'!$S$1:$S$600,$B126)="","",INDEX('Master Database'!$S$1:$S$600,$B126)))</f>
        <v>Diesel Engine</v>
      </c>
      <c r="P126" s="68" t="str">
        <f aca="false">IF($B126="","",IF(INDEX('Master Database'!$T$1:$T$600,$B126)="","",INDEX('Master Database'!$T$1:$T$600,$B126)))</f>
        <v>Fire Water</v>
      </c>
      <c r="Q126" s="68" t="n">
        <f aca="false">IF($B126="","",IF(INDEX('Master Database'!$Y$1:$Y$600,$B126)="","",INDEX('Master Database'!$Y$1:$Y$600,$B126)))</f>
        <v>1404</v>
      </c>
      <c r="R126" s="68" t="str">
        <f aca="false">IF($B126="","",IF(INDEX('Master Database'!$Z$1:$Z$600,$B126)="","",INDEX('Master Database'!$Z$1:$Z$600,$B126)))</f>
        <v>EUR</v>
      </c>
      <c r="S126" s="70" t="n">
        <f aca="false">IF($B126="","",IF(INDEX('Master Database'!$AA$1:$AA$600,$B126)="","",INDEX('Master Database'!$AA$1:$AA$600,$B126)))</f>
        <v>202973.76</v>
      </c>
      <c r="T126" s="68" t="str">
        <f aca="false">IF($B126="","",IF(INDEX('Master Database'!$AE$1:$AE$600,$B126)="","",INDEX('Master Database'!$AE$1:$AE$600,$B126)))</f>
        <v>Vendor inquiry 1404Q1 – average of 3 quotation(s), PC-ME (91211-PZN-ME-RE-451) sheet PUMPS | source label: AACE Class 1</v>
      </c>
      <c r="U126" s="70" t="n">
        <f aca="false">IF($B126="","",IF(INDEX('Master Database'!$AG$1:$AG$600,$B126)="","",INDEX('Master Database'!$AG$1:$AG$600,$B126)))</f>
        <v>202973.76</v>
      </c>
      <c r="V126" s="70" t="n">
        <f aca="false">IF($B126="","",IF(INDEX('Master Database'!$AH$1:$AH$600,$B126)="","",INDEX('Master Database'!$AH$1:$AH$600,$B126)))</f>
        <v>214296.261793532</v>
      </c>
      <c r="W126" s="70" t="n">
        <f aca="false">IF($B126="","",IF(INDEX('Master Database'!$AI$1:$AI$600,$B126)="","",INDEX('Master Database'!$AI$1:$AI$600,$B126)))</f>
        <v>141121160167.68</v>
      </c>
      <c r="X126" s="68" t="str">
        <f aca="false">IF($B126="","",IF(INDEX('Master Database'!$BG$1:$BG$600,$B126)="","",INDEX('Master Database'!$BG$1:$BG$600,$B126)))</f>
        <v>Y</v>
      </c>
      <c r="BA126" s="65" t="n">
        <f aca="false">IF('Master Database'!$A126="",0,IF(AND(OR($B$5="",ISNUMBER(SEARCH($B$5,'Master Database'!$B126&amp;" "&amp;'Master Database'!$D126))),OR($B$6="(All)",'Master Database'!$C126=$B$6),OR($B$7="(All)",'Master Database'!$E126=$B$7),OR($B$8="(All)",'Master Database'!$T126=$B$8),OR($B$9="(All)",'Master Database'!$M126=$B$9),OR($B$10="(All)",'Master Database'!$V126=$B$10),OR($E$5="(All)",'Master Database'!$F126=$E$5),OR($E$6="(All)",'Master Database'!$G126=$E$6),OR($E$7="(All)",'Master Database'!$O126=$E$7),OR($E$8="(All)",'Master Database'!$P126=$E$8),OR($E$9="(All)",'Master Database'!$S126=$E$9),OR($E$10="(All)",'Master Database'!$Y126&amp;""=$E$10&amp;""),OR($H$5="(All)",'Master Database'!$BG126=$H$5),OR($H$6&lt;&gt;"Y",ISNUMBER('Master Database'!$AG126)),OR($H$7="",AND(ISNUMBER('Master Database'!$H126),N('Master Database'!$H126)&gt;=$H$7)),OR($I$7="",AND(ISNUMBER('Master Database'!$H126),N('Master Database'!$H126)&lt;=$I$7)),OR($H$8="",AND(ISNUMBER('Master Database'!$I126),N('Master Database'!$I126)&gt;=$H$8)),OR($I$8="",AND(ISNUMBER('Master Database'!$I126),N('Master Database'!$I126)&lt;=$I$8)),OR($H$9="",AND(ISNUMBER('Master Database'!$K126),N('Master Database'!$K126)&gt;=$H$9)),OR($I$9="",AND(ISNUMBER('Master Database'!$K126),N('Master Database'!$K126)&lt;=$I$9))),1,0))</f>
        <v>1</v>
      </c>
      <c r="BB126" s="65" t="n">
        <f aca="false">IF(BA126=1,COUNTIF($BA$5:BA126,1),"")</f>
        <v>122</v>
      </c>
    </row>
    <row r="127" customFormat="false" ht="15" hidden="false" customHeight="false" outlineLevel="0" collapsed="false">
      <c r="A127" s="67" t="n">
        <f aca="false">IF(112&lt;=SUM($BA$5:$BA$600),112,"")</f>
        <v>112</v>
      </c>
      <c r="B127" s="67" t="n">
        <f aca="false">IF(A127="","",MATCH(A127,$BB$5:$BB$600,0)+4)</f>
        <v>116</v>
      </c>
      <c r="C127" s="67" t="n">
        <f aca="false">IF($B127="","",IF(INDEX('Master Database'!$A$1:$A$600,$B127)="","",INDEX('Master Database'!$A$1:$A$600,$B127)))</f>
        <v>112</v>
      </c>
      <c r="D127" s="68" t="str">
        <f aca="false">IF($B127="","",IF(INDEX('Master Database'!$B$1:$B$600,$B127)="","",INDEX('Master Database'!$B$1:$B$600,$B127)))</f>
        <v>Fire Water Jockey Pumps</v>
      </c>
      <c r="E127" s="68" t="str">
        <f aca="false">IF($B127="","",IF(INDEX('Master Database'!$C$1:$C$600,$B127)="","",INDEX('Master Database'!$C$1:$C$600,$B127)))</f>
        <v>Pazanan 2</v>
      </c>
      <c r="F127" s="68" t="str">
        <f aca="false">IF($B127="","",IF(INDEX('Master Database'!$D$1:$D$600,$B127)="","",INDEX('Master Database'!$D$1:$D$600,$B127)))</f>
        <v>P-194 A/B</v>
      </c>
      <c r="G127" s="68" t="str">
        <f aca="false">IF($B127="","",IF(INDEX('Master Database'!$E$1:$E$600,$B127)="","",INDEX('Master Database'!$E$1:$E$600,$B127)))</f>
        <v>ROT-FIR</v>
      </c>
      <c r="H127" s="68" t="str">
        <f aca="false">IF($B127="","",IF(INDEX('Master Database'!$F$1:$F$600,$B127)="","",INDEX('Master Database'!$F$1:$F$600,$B127)))</f>
        <v>OH (unspecified)</v>
      </c>
      <c r="I127" s="68" t="str">
        <f aca="false">IF($B127="","",IF(INDEX('Master Database'!$G$1:$G$600,$B127)="","",INDEX('Master Database'!$G$1:$G$600,$B127)))</f>
        <v>I-2</v>
      </c>
      <c r="J127" s="69" t="n">
        <f aca="false">IF($B127="","",IF(INDEX('Master Database'!$H$1:$H$600,$B127)="","",INDEX('Master Database'!$H$1:$H$600,$B127)))</f>
        <v>16.5</v>
      </c>
      <c r="K127" s="69" t="n">
        <f aca="false">IF($B127="","",IF(INDEX('Master Database'!$I$1:$I$600,$B127)="","",INDEX('Master Database'!$I$1:$I$600,$B127)))</f>
        <v>107</v>
      </c>
      <c r="L127" s="69" t="n">
        <f aca="false">IF($B127="","",IF(INDEX('Master Database'!$K$1:$K$600,$B127)="","",INDEX('Master Database'!$K$1:$K$600,$B127)))</f>
        <v>8.01771117166213</v>
      </c>
      <c r="M127" s="68" t="str">
        <f aca="false">IF($B127="","",IF(INDEX('Master Database'!$L$1:$L$600,$B127)="","",INDEX('Master Database'!$L$1:$L$600,$B127)))</f>
        <v>NFPA 20 + IPS-M-PM-125</v>
      </c>
      <c r="N127" s="68" t="str">
        <f aca="false">IF($B127="","",IF(INDEX('Master Database'!$P$1:$P$600,$B127)="","",INDEX('Master Database'!$P$1:$P$600,$B127)))</f>
        <v>Not stated</v>
      </c>
      <c r="O127" s="68" t="str">
        <f aca="false">IF($B127="","",IF(INDEX('Master Database'!$S$1:$S$600,$B127)="","",INDEX('Master Database'!$S$1:$S$600,$B127)))</f>
        <v>Electric Motor</v>
      </c>
      <c r="P127" s="68" t="str">
        <f aca="false">IF($B127="","",IF(INDEX('Master Database'!$T$1:$T$600,$B127)="","",INDEX('Master Database'!$T$1:$T$600,$B127)))</f>
        <v>Fire Water</v>
      </c>
      <c r="Q127" s="68" t="n">
        <f aca="false">IF($B127="","",IF(INDEX('Master Database'!$Y$1:$Y$600,$B127)="","",INDEX('Master Database'!$Y$1:$Y$600,$B127)))</f>
        <v>1404</v>
      </c>
      <c r="R127" s="68" t="str">
        <f aca="false">IF($B127="","",IF(INDEX('Master Database'!$Z$1:$Z$600,$B127)="","",INDEX('Master Database'!$Z$1:$Z$600,$B127)))</f>
        <v>EUR</v>
      </c>
      <c r="S127" s="70" t="n">
        <f aca="false">IF($B127="","",IF(INDEX('Master Database'!$AA$1:$AA$600,$B127)="","",INDEX('Master Database'!$AA$1:$AA$600,$B127)))</f>
        <v>26808.07</v>
      </c>
      <c r="T127" s="68" t="str">
        <f aca="false">IF($B127="","",IF(INDEX('Master Database'!$AE$1:$AE$600,$B127)="","",INDEX('Master Database'!$AE$1:$AE$600,$B127)))</f>
        <v>Vendor inquiry 1404Q1 – average of 3 quotation(s), PC-ME (91211-PZN-ME-RE-451) sheet PUMPS | source label: AACE Class 1</v>
      </c>
      <c r="U127" s="70" t="n">
        <f aca="false">IF($B127="","",IF(INDEX('Master Database'!$AG$1:$AG$600,$B127)="","",INDEX('Master Database'!$AG$1:$AG$600,$B127)))</f>
        <v>26808.07</v>
      </c>
      <c r="V127" s="70" t="n">
        <f aca="false">IF($B127="","",IF(INDEX('Master Database'!$AH$1:$AH$600,$B127)="","",INDEX('Master Database'!$AH$1:$AH$600,$B127)))</f>
        <v>28303.5067532834</v>
      </c>
      <c r="W127" s="70" t="n">
        <f aca="false">IF($B127="","",IF(INDEX('Master Database'!$AI$1:$AI$600,$B127)="","",INDEX('Master Database'!$AI$1:$AI$600,$B127)))</f>
        <v>18638793212.76</v>
      </c>
      <c r="X127" s="68" t="str">
        <f aca="false">IF($B127="","",IF(INDEX('Master Database'!$BG$1:$BG$600,$B127)="","",INDEX('Master Database'!$BG$1:$BG$600,$B127)))</f>
        <v>Y</v>
      </c>
      <c r="BA127" s="65" t="n">
        <f aca="false">IF('Master Database'!$A127="",0,IF(AND(OR($B$5="",ISNUMBER(SEARCH($B$5,'Master Database'!$B127&amp;" "&amp;'Master Database'!$D127))),OR($B$6="(All)",'Master Database'!$C127=$B$6),OR($B$7="(All)",'Master Database'!$E127=$B$7),OR($B$8="(All)",'Master Database'!$T127=$B$8),OR($B$9="(All)",'Master Database'!$M127=$B$9),OR($B$10="(All)",'Master Database'!$V127=$B$10),OR($E$5="(All)",'Master Database'!$F127=$E$5),OR($E$6="(All)",'Master Database'!$G127=$E$6),OR($E$7="(All)",'Master Database'!$O127=$E$7),OR($E$8="(All)",'Master Database'!$P127=$E$8),OR($E$9="(All)",'Master Database'!$S127=$E$9),OR($E$10="(All)",'Master Database'!$Y127&amp;""=$E$10&amp;""),OR($H$5="(All)",'Master Database'!$BG127=$H$5),OR($H$6&lt;&gt;"Y",ISNUMBER('Master Database'!$AG127)),OR($H$7="",AND(ISNUMBER('Master Database'!$H127),N('Master Database'!$H127)&gt;=$H$7)),OR($I$7="",AND(ISNUMBER('Master Database'!$H127),N('Master Database'!$H127)&lt;=$I$7)),OR($H$8="",AND(ISNUMBER('Master Database'!$I127),N('Master Database'!$I127)&gt;=$H$8)),OR($I$8="",AND(ISNUMBER('Master Database'!$I127),N('Master Database'!$I127)&lt;=$I$8)),OR($H$9="",AND(ISNUMBER('Master Database'!$K127),N('Master Database'!$K127)&gt;=$H$9)),OR($I$9="",AND(ISNUMBER('Master Database'!$K127),N('Master Database'!$K127)&lt;=$I$9))),1,0))</f>
        <v>1</v>
      </c>
      <c r="BB127" s="65" t="n">
        <f aca="false">IF(BA127=1,COUNTIF($BA$5:BA127,1),"")</f>
        <v>123</v>
      </c>
    </row>
    <row r="128" customFormat="false" ht="15" hidden="false" customHeight="false" outlineLevel="0" collapsed="false">
      <c r="A128" s="67" t="n">
        <f aca="false">IF(113&lt;=SUM($BA$5:$BA$600),113,"")</f>
        <v>113</v>
      </c>
      <c r="B128" s="67" t="n">
        <f aca="false">IF(A128="","",MATCH(A128,$BB$5:$BB$600,0)+4)</f>
        <v>117</v>
      </c>
      <c r="C128" s="67" t="n">
        <f aca="false">IF($B128="","",IF(INDEX('Master Database'!$A$1:$A$600,$B128)="","",INDEX('Master Database'!$A$1:$A$600,$B128)))</f>
        <v>113</v>
      </c>
      <c r="D128" s="68" t="str">
        <f aca="false">IF($B128="","",IF(INDEX('Master Database'!$B$1:$B$600,$B128)="","",INDEX('Master Database'!$B$1:$B$600,$B128)))</f>
        <v>Chemical Loading Pumps</v>
      </c>
      <c r="E128" s="68" t="str">
        <f aca="false">IF($B128="","",IF(INDEX('Master Database'!$C$1:$C$600,$B128)="","",INDEX('Master Database'!$C$1:$C$600,$B128)))</f>
        <v>Pazanan 2</v>
      </c>
      <c r="F128" s="68" t="str">
        <f aca="false">IF($B128="","",IF(INDEX('Master Database'!$D$1:$D$600,$B128)="","",INDEX('Master Database'!$D$1:$D$600,$B128)))</f>
        <v>P-210 A/B</v>
      </c>
      <c r="G128" s="68" t="str">
        <f aca="false">IF($B128="","",IF(INDEX('Master Database'!$E$1:$E$600,$B128)="","",INDEX('Master Database'!$E$1:$E$600,$B128)))</f>
        <v>ROT-AUX</v>
      </c>
      <c r="H128" s="68" t="str">
        <f aca="false">IF($B128="","",IF(INDEX('Master Database'!$F$1:$F$600,$B128)="","",INDEX('Master Database'!$F$1:$F$600,$B128)))</f>
        <v>N/A (non-API 610)</v>
      </c>
      <c r="I128" s="68" t="str">
        <f aca="false">IF($B128="","",IF(INDEX('Master Database'!$G$1:$G$600,$B128)="","",INDEX('Master Database'!$G$1:$G$600,$B128)))</f>
        <v>SS316L (non-API)</v>
      </c>
      <c r="J128" s="69" t="n">
        <f aca="false">IF($B128="","",IF(INDEX('Master Database'!$H$1:$H$600,$B128)="","",INDEX('Master Database'!$H$1:$H$600,$B128)))</f>
        <v>9.6</v>
      </c>
      <c r="K128" s="69" t="str">
        <f aca="false">IF($B128="","",IF(INDEX('Master Database'!$I$1:$I$600,$B128)="","",INDEX('Master Database'!$I$1:$I$600,$B128)))</f>
        <v/>
      </c>
      <c r="L128" s="69" t="str">
        <f aca="false">IF($B128="","",IF(INDEX('Master Database'!$K$1:$K$600,$B128)="","",INDEX('Master Database'!$K$1:$K$600,$B128)))</f>
        <v/>
      </c>
      <c r="M128" s="68" t="str">
        <f aca="false">IF($B128="","",IF(INDEX('Master Database'!$L$1:$L$600,$B128)="","",INDEX('Master Database'!$L$1:$L$600,$B128)))</f>
        <v>Not stated</v>
      </c>
      <c r="N128" s="68" t="str">
        <f aca="false">IF($B128="","",IF(INDEX('Master Database'!$P$1:$P$600,$B128)="","",INDEX('Master Database'!$P$1:$P$600,$B128)))</f>
        <v>Not stated</v>
      </c>
      <c r="O128" s="68" t="str">
        <f aca="false">IF($B128="","",IF(INDEX('Master Database'!$S$1:$S$600,$B128)="","",INDEX('Master Database'!$S$1:$S$600,$B128)))</f>
        <v>Portable (Air / Electric)</v>
      </c>
      <c r="P128" s="68" t="str">
        <f aca="false">IF($B128="","",IF(INDEX('Master Database'!$T$1:$T$600,$B128)="","",INDEX('Master Database'!$T$1:$T$600,$B128)))</f>
        <v>Chemical</v>
      </c>
      <c r="Q128" s="68" t="n">
        <f aca="false">IF($B128="","",IF(INDEX('Master Database'!$Y$1:$Y$600,$B128)="","",INDEX('Master Database'!$Y$1:$Y$600,$B128)))</f>
        <v>1393</v>
      </c>
      <c r="R128" s="68" t="str">
        <f aca="false">IF($B128="","",IF(INDEX('Master Database'!$Z$1:$Z$600,$B128)="","",INDEX('Master Database'!$Z$1:$Z$600,$B128)))</f>
        <v>IRR</v>
      </c>
      <c r="S128" s="70" t="n">
        <f aca="false">IF($B128="","",IF(INDEX('Master Database'!$AA$1:$AA$600,$B128)="","",INDEX('Master Database'!$AA$1:$AA$600,$B128)))</f>
        <v>100000000</v>
      </c>
      <c r="T128" s="68" t="str">
        <f aca="false">IF($B128="","",IF(INDEX('Master Database'!$AE$1:$AE$600,$B128)="","",INDEX('Master Database'!$AE$1:$AE$600,$B128)))</f>
        <v>Consultant basic MTO estimate R02 (Feb 2015), PC-ME sheet PUMPS col. AQ (IRR) – no 1404 quotation received (all vendors declined)</v>
      </c>
      <c r="U128" s="70" t="n">
        <f aca="false">IF($B128="","",IF(INDEX('Master Database'!$AG$1:$AG$600,$B128)="","",INDEX('Master Database'!$AG$1:$AG$600,$B128)))</f>
        <v>3333.4350812155</v>
      </c>
      <c r="V128" s="70" t="n">
        <f aca="false">IF($B128="","",IF(INDEX('Master Database'!$AH$1:$AH$600,$B128)="","",INDEX('Master Database'!$AH$1:$AH$600,$B128)))</f>
        <v>3519.38436197812</v>
      </c>
      <c r="W128" s="70" t="n">
        <f aca="false">IF($B128="","",IF(INDEX('Master Database'!$AI$1:$AI$600,$B128)="","",INDEX('Master Database'!$AI$1:$AI$600,$B128)))</f>
        <v>2317630742.04654</v>
      </c>
      <c r="X128" s="68" t="str">
        <f aca="false">IF($B128="","",IF(INDEX('Master Database'!$BG$1:$BG$600,$B128)="","",INDEX('Master Database'!$BG$1:$BG$600,$B128)))</f>
        <v>Y</v>
      </c>
      <c r="BA128" s="65" t="n">
        <f aca="false">IF('Master Database'!$A128="",0,IF(AND(OR($B$5="",ISNUMBER(SEARCH($B$5,'Master Database'!$B128&amp;" "&amp;'Master Database'!$D128))),OR($B$6="(All)",'Master Database'!$C128=$B$6),OR($B$7="(All)",'Master Database'!$E128=$B$7),OR($B$8="(All)",'Master Database'!$T128=$B$8),OR($B$9="(All)",'Master Database'!$M128=$B$9),OR($B$10="(All)",'Master Database'!$V128=$B$10),OR($E$5="(All)",'Master Database'!$F128=$E$5),OR($E$6="(All)",'Master Database'!$G128=$E$6),OR($E$7="(All)",'Master Database'!$O128=$E$7),OR($E$8="(All)",'Master Database'!$P128=$E$8),OR($E$9="(All)",'Master Database'!$S128=$E$9),OR($E$10="(All)",'Master Database'!$Y128&amp;""=$E$10&amp;""),OR($H$5="(All)",'Master Database'!$BG128=$H$5),OR($H$6&lt;&gt;"Y",ISNUMBER('Master Database'!$AG128)),OR($H$7="",AND(ISNUMBER('Master Database'!$H128),N('Master Database'!$H128)&gt;=$H$7)),OR($I$7="",AND(ISNUMBER('Master Database'!$H128),N('Master Database'!$H128)&lt;=$I$7)),OR($H$8="",AND(ISNUMBER('Master Database'!$I128),N('Master Database'!$I128)&gt;=$H$8)),OR($I$8="",AND(ISNUMBER('Master Database'!$I128),N('Master Database'!$I128)&lt;=$I$8)),OR($H$9="",AND(ISNUMBER('Master Database'!$K128),N('Master Database'!$K128)&gt;=$H$9)),OR($I$9="",AND(ISNUMBER('Master Database'!$K128),N('Master Database'!$K128)&lt;=$I$9))),1,0))</f>
        <v>1</v>
      </c>
      <c r="BB128" s="65" t="n">
        <f aca="false">IF(BA128=1,COUNTIF($BA$5:BA128,1),"")</f>
        <v>124</v>
      </c>
    </row>
    <row r="129" customFormat="false" ht="15" hidden="false" customHeight="false" outlineLevel="0" collapsed="false">
      <c r="A129" s="67" t="n">
        <f aca="false">IF(114&lt;=SUM($BA$5:$BA$600),114,"")</f>
        <v>114</v>
      </c>
      <c r="B129" s="67" t="n">
        <f aca="false">IF(A129="","",MATCH(A129,$BB$5:$BB$600,0)+4)</f>
        <v>118</v>
      </c>
      <c r="C129" s="67" t="n">
        <f aca="false">IF($B129="","",IF(INDEX('Master Database'!$A$1:$A$600,$B129)="","",INDEX('Master Database'!$A$1:$A$600,$B129)))</f>
        <v>114</v>
      </c>
      <c r="D129" s="68" t="str">
        <f aca="false">IF($B129="","",IF(INDEX('Master Database'!$B$1:$B$600,$B129)="","",INDEX('Master Database'!$B$1:$B$600,$B129)))</f>
        <v>Chemical Loading Pumps</v>
      </c>
      <c r="E129" s="68" t="str">
        <f aca="false">IF($B129="","",IF(INDEX('Master Database'!$C$1:$C$600,$B129)="","",INDEX('Master Database'!$C$1:$C$600,$B129)))</f>
        <v>Pazanan 2</v>
      </c>
      <c r="F129" s="68" t="str">
        <f aca="false">IF($B129="","",IF(INDEX('Master Database'!$D$1:$D$600,$B129)="","",INDEX('Master Database'!$D$1:$D$600,$B129)))</f>
        <v>P-211</v>
      </c>
      <c r="G129" s="68" t="str">
        <f aca="false">IF($B129="","",IF(INDEX('Master Database'!$E$1:$E$600,$B129)="","",INDEX('Master Database'!$E$1:$E$600,$B129)))</f>
        <v>ROT-AUX</v>
      </c>
      <c r="H129" s="68" t="str">
        <f aca="false">IF($B129="","",IF(INDEX('Master Database'!$F$1:$F$600,$B129)="","",INDEX('Master Database'!$F$1:$F$600,$B129)))</f>
        <v>N/A (non-API 610)</v>
      </c>
      <c r="I129" s="68" t="str">
        <f aca="false">IF($B129="","",IF(INDEX('Master Database'!$G$1:$G$600,$B129)="","",INDEX('Master Database'!$G$1:$G$600,$B129)))</f>
        <v>SS316L (non-API)</v>
      </c>
      <c r="J129" s="69" t="n">
        <f aca="false">IF($B129="","",IF(INDEX('Master Database'!$H$1:$H$600,$B129)="","",INDEX('Master Database'!$H$1:$H$600,$B129)))</f>
        <v>9.6</v>
      </c>
      <c r="K129" s="69" t="str">
        <f aca="false">IF($B129="","",IF(INDEX('Master Database'!$I$1:$I$600,$B129)="","",INDEX('Master Database'!$I$1:$I$600,$B129)))</f>
        <v/>
      </c>
      <c r="L129" s="69" t="str">
        <f aca="false">IF($B129="","",IF(INDEX('Master Database'!$K$1:$K$600,$B129)="","",INDEX('Master Database'!$K$1:$K$600,$B129)))</f>
        <v/>
      </c>
      <c r="M129" s="68" t="str">
        <f aca="false">IF($B129="","",IF(INDEX('Master Database'!$L$1:$L$600,$B129)="","",INDEX('Master Database'!$L$1:$L$600,$B129)))</f>
        <v>Not stated</v>
      </c>
      <c r="N129" s="68" t="str">
        <f aca="false">IF($B129="","",IF(INDEX('Master Database'!$P$1:$P$600,$B129)="","",INDEX('Master Database'!$P$1:$P$600,$B129)))</f>
        <v>Not stated</v>
      </c>
      <c r="O129" s="68" t="str">
        <f aca="false">IF($B129="","",IF(INDEX('Master Database'!$S$1:$S$600,$B129)="","",INDEX('Master Database'!$S$1:$S$600,$B129)))</f>
        <v>Portable (Air / Electric)</v>
      </c>
      <c r="P129" s="68" t="str">
        <f aca="false">IF($B129="","",IF(INDEX('Master Database'!$T$1:$T$600,$B129)="","",INDEX('Master Database'!$T$1:$T$600,$B129)))</f>
        <v>Chemical</v>
      </c>
      <c r="Q129" s="68" t="n">
        <f aca="false">IF($B129="","",IF(INDEX('Master Database'!$Y$1:$Y$600,$B129)="","",INDEX('Master Database'!$Y$1:$Y$600,$B129)))</f>
        <v>1393</v>
      </c>
      <c r="R129" s="68" t="str">
        <f aca="false">IF($B129="","",IF(INDEX('Master Database'!$Z$1:$Z$600,$B129)="","",INDEX('Master Database'!$Z$1:$Z$600,$B129)))</f>
        <v>IRR</v>
      </c>
      <c r="S129" s="70" t="n">
        <f aca="false">IF($B129="","",IF(INDEX('Master Database'!$AA$1:$AA$600,$B129)="","",INDEX('Master Database'!$AA$1:$AA$600,$B129)))</f>
        <v>100000000</v>
      </c>
      <c r="T129" s="68" t="str">
        <f aca="false">IF($B129="","",IF(INDEX('Master Database'!$AE$1:$AE$600,$B129)="","",INDEX('Master Database'!$AE$1:$AE$600,$B129)))</f>
        <v>Consultant basic MTO estimate R02 (Feb 2015), PC-ME sheet PUMPS col. AQ (IRR) – no 1404 quotation received (all vendors declined)</v>
      </c>
      <c r="U129" s="70" t="n">
        <f aca="false">IF($B129="","",IF(INDEX('Master Database'!$AG$1:$AG$600,$B129)="","",INDEX('Master Database'!$AG$1:$AG$600,$B129)))</f>
        <v>3333.4350812155</v>
      </c>
      <c r="V129" s="70" t="n">
        <f aca="false">IF($B129="","",IF(INDEX('Master Database'!$AH$1:$AH$600,$B129)="","",INDEX('Master Database'!$AH$1:$AH$600,$B129)))</f>
        <v>3519.38436197812</v>
      </c>
      <c r="W129" s="70" t="n">
        <f aca="false">IF($B129="","",IF(INDEX('Master Database'!$AI$1:$AI$600,$B129)="","",INDEX('Master Database'!$AI$1:$AI$600,$B129)))</f>
        <v>2317630742.04654</v>
      </c>
      <c r="X129" s="68" t="str">
        <f aca="false">IF($B129="","",IF(INDEX('Master Database'!$BG$1:$BG$600,$B129)="","",INDEX('Master Database'!$BG$1:$BG$600,$B129)))</f>
        <v>Y</v>
      </c>
      <c r="BA129" s="65" t="n">
        <f aca="false">IF('Master Database'!$A129="",0,IF(AND(OR($B$5="",ISNUMBER(SEARCH($B$5,'Master Database'!$B129&amp;" "&amp;'Master Database'!$D129))),OR($B$6="(All)",'Master Database'!$C129=$B$6),OR($B$7="(All)",'Master Database'!$E129=$B$7),OR($B$8="(All)",'Master Database'!$T129=$B$8),OR($B$9="(All)",'Master Database'!$M129=$B$9),OR($B$10="(All)",'Master Database'!$V129=$B$10),OR($E$5="(All)",'Master Database'!$F129=$E$5),OR($E$6="(All)",'Master Database'!$G129=$E$6),OR($E$7="(All)",'Master Database'!$O129=$E$7),OR($E$8="(All)",'Master Database'!$P129=$E$8),OR($E$9="(All)",'Master Database'!$S129=$E$9),OR($E$10="(All)",'Master Database'!$Y129&amp;""=$E$10&amp;""),OR($H$5="(All)",'Master Database'!$BG129=$H$5),OR($H$6&lt;&gt;"Y",ISNUMBER('Master Database'!$AG129)),OR($H$7="",AND(ISNUMBER('Master Database'!$H129),N('Master Database'!$H129)&gt;=$H$7)),OR($I$7="",AND(ISNUMBER('Master Database'!$H129),N('Master Database'!$H129)&lt;=$I$7)),OR($H$8="",AND(ISNUMBER('Master Database'!$I129),N('Master Database'!$I129)&gt;=$H$8)),OR($I$8="",AND(ISNUMBER('Master Database'!$I129),N('Master Database'!$I129)&lt;=$I$8)),OR($H$9="",AND(ISNUMBER('Master Database'!$K129),N('Master Database'!$K129)&gt;=$H$9)),OR($I$9="",AND(ISNUMBER('Master Database'!$K129),N('Master Database'!$K129)&lt;=$I$9))),1,0))</f>
        <v>1</v>
      </c>
      <c r="BB129" s="65" t="n">
        <f aca="false">IF(BA129=1,COUNTIF($BA$5:BA129,1),"")</f>
        <v>125</v>
      </c>
    </row>
    <row r="130" customFormat="false" ht="15" hidden="false" customHeight="false" outlineLevel="0" collapsed="false">
      <c r="A130" s="67" t="n">
        <f aca="false">IF(115&lt;=SUM($BA$5:$BA$600),115,"")</f>
        <v>115</v>
      </c>
      <c r="B130" s="67" t="n">
        <f aca="false">IF(A130="","",MATCH(A130,$BB$5:$BB$600,0)+4)</f>
        <v>119</v>
      </c>
      <c r="C130" s="67" t="n">
        <f aca="false">IF($B130="","",IF(INDEX('Master Database'!$A$1:$A$600,$B130)="","",INDEX('Master Database'!$A$1:$A$600,$B130)))</f>
        <v>115</v>
      </c>
      <c r="D130" s="68" t="str">
        <f aca="false">IF($B130="","",IF(INDEX('Master Database'!$B$1:$B$600,$B130)="","",INDEX('Master Database'!$B$1:$B$600,$B130)))</f>
        <v>2nd Stage  Separators Oil Pumps</v>
      </c>
      <c r="E130" s="68" t="str">
        <f aca="false">IF($B130="","",IF(INDEX('Master Database'!$C$1:$C$600,$B130)="","",INDEX('Master Database'!$C$1:$C$600,$B130)))</f>
        <v>(نام پروژه در فایل قید نشده است) – نمونه قیمتی نمک زدایی (PUMPS.csv)</v>
      </c>
      <c r="F130" s="68" t="str">
        <f aca="false">IF($B130="","",IF(INDEX('Master Database'!$D$1:$D$600,$B130)="","",INDEX('Master Database'!$D$1:$D$600,$B130)))</f>
        <v>(Not stated in source document)</v>
      </c>
      <c r="G130" s="68" t="str">
        <f aca="false">IF($B130="","",IF(INDEX('Master Database'!$E$1:$E$600,$B130)="","",INDEX('Master Database'!$E$1:$E$600,$B130)))</f>
        <v>ROT-CRU</v>
      </c>
      <c r="H130" s="68" t="str">
        <f aca="false">IF($B130="","",IF(INDEX('Master Database'!$F$1:$F$600,$B130)="","",INDEX('Master Database'!$F$1:$F$600,$B130)))</f>
        <v>Not stated</v>
      </c>
      <c r="I130" s="68" t="str">
        <f aca="false">IF($B130="","",IF(INDEX('Master Database'!$G$1:$G$600,$B130)="","",INDEX('Master Database'!$G$1:$G$600,$B130)))</f>
        <v>Not stated</v>
      </c>
      <c r="J130" s="69" t="str">
        <f aca="false">IF($B130="","",IF(INDEX('Master Database'!$H$1:$H$600,$B130)="","",INDEX('Master Database'!$H$1:$H$600,$B130)))</f>
        <v/>
      </c>
      <c r="K130" s="69" t="n">
        <f aca="false">IF($B130="","",IF(INDEX('Master Database'!$I$1:$I$600,$B130)="","",INDEX('Master Database'!$I$1:$I$600,$B130)))</f>
        <v>95.8</v>
      </c>
      <c r="L130" s="69" t="n">
        <f aca="false">IF($B130="","",IF(INDEX('Master Database'!$K$1:$K$600,$B130)="","",INDEX('Master Database'!$K$1:$K$600,$B130)))</f>
        <v>54.3</v>
      </c>
      <c r="M130" s="68" t="str">
        <f aca="false">IF($B130="","",IF(INDEX('Master Database'!$L$1:$L$600,$B130)="","",INDEX('Master Database'!$L$1:$L$600,$B130)))</f>
        <v>Not stated</v>
      </c>
      <c r="N130" s="68" t="str">
        <f aca="false">IF($B130="","",IF(INDEX('Master Database'!$P$1:$P$600,$B130)="","",INDEX('Master Database'!$P$1:$P$600,$B130)))</f>
        <v>Not stated</v>
      </c>
      <c r="O130" s="68" t="str">
        <f aca="false">IF($B130="","",IF(INDEX('Master Database'!$S$1:$S$600,$B130)="","",INDEX('Master Database'!$S$1:$S$600,$B130)))</f>
        <v>Electric Motor</v>
      </c>
      <c r="P130" s="68" t="str">
        <f aca="false">IF($B130="","",IF(INDEX('Master Database'!$T$1:$T$600,$B130)="","",INDEX('Master Database'!$T$1:$T$600,$B130)))</f>
        <v>Crude Oil</v>
      </c>
      <c r="Q130" s="68" t="str">
        <f aca="false">IF($B130="","",IF(INDEX('Master Database'!$Y$1:$Y$600,$B130)="","",INDEX('Master Database'!$Y$1:$Y$600,$B130)))</f>
        <v>(Not stated)</v>
      </c>
      <c r="R130" s="68" t="str">
        <f aca="false">IF($B130="","",IF(INDEX('Master Database'!$Z$1:$Z$600,$B130)="","",INDEX('Master Database'!$Z$1:$Z$600,$B130)))</f>
        <v>USD</v>
      </c>
      <c r="S130" s="70" t="n">
        <f aca="false">IF($B130="","",IF(INDEX('Master Database'!$AA$1:$AA$600,$B130)="","",INDEX('Master Database'!$AA$1:$AA$600,$B130)))</f>
        <v>580000</v>
      </c>
      <c r="T130" s="68" t="str">
        <f aca="false">IF($B130="","",IF(INDEX('Master Database'!$AE$1:$AE$600,$B130)="","",INDEX('Master Database'!$AE$1:$AE$600,$B130)))</f>
        <v>Price (USD) – «نمونه قیمتی نمک‌زدایی» sheet PUMPS; project and year not stated</v>
      </c>
      <c r="U130" s="70" t="str">
        <f aca="false">IF($B130="","",IF(INDEX('Master Database'!$AG$1:$AG$600,$B130)="","",INDEX('Master Database'!$AG$1:$AG$600,$B130)))</f>
        <v/>
      </c>
      <c r="V130" s="70" t="str">
        <f aca="false">IF($B130="","",IF(INDEX('Master Database'!$AH$1:$AH$600,$B130)="","",INDEX('Master Database'!$AH$1:$AH$600,$B130)))</f>
        <v/>
      </c>
      <c r="W130" s="70" t="str">
        <f aca="false">IF($B130="","",IF(INDEX('Master Database'!$AI$1:$AI$600,$B130)="","",INDEX('Master Database'!$AI$1:$AI$600,$B130)))</f>
        <v/>
      </c>
      <c r="X130" s="68" t="str">
        <f aca="false">IF($B130="","",IF(INDEX('Master Database'!$BG$1:$BG$600,$B130)="","",INDEX('Master Database'!$BG$1:$BG$600,$B130)))</f>
        <v>Y</v>
      </c>
      <c r="BA130" s="65" t="n">
        <f aca="false">IF('Master Database'!$A130="",0,IF(AND(OR($B$5="",ISNUMBER(SEARCH($B$5,'Master Database'!$B130&amp;" "&amp;'Master Database'!$D130))),OR($B$6="(All)",'Master Database'!$C130=$B$6),OR($B$7="(All)",'Master Database'!$E130=$B$7),OR($B$8="(All)",'Master Database'!$T130=$B$8),OR($B$9="(All)",'Master Database'!$M130=$B$9),OR($B$10="(All)",'Master Database'!$V130=$B$10),OR($E$5="(All)",'Master Database'!$F130=$E$5),OR($E$6="(All)",'Master Database'!$G130=$E$6),OR($E$7="(All)",'Master Database'!$O130=$E$7),OR($E$8="(All)",'Master Database'!$P130=$E$8),OR($E$9="(All)",'Master Database'!$S130=$E$9),OR($E$10="(All)",'Master Database'!$Y130&amp;""=$E$10&amp;""),OR($H$5="(All)",'Master Database'!$BG130=$H$5),OR($H$6&lt;&gt;"Y",ISNUMBER('Master Database'!$AG130)),OR($H$7="",AND(ISNUMBER('Master Database'!$H130),N('Master Database'!$H130)&gt;=$H$7)),OR($I$7="",AND(ISNUMBER('Master Database'!$H130),N('Master Database'!$H130)&lt;=$I$7)),OR($H$8="",AND(ISNUMBER('Master Database'!$I130),N('Master Database'!$I130)&gt;=$H$8)),OR($I$8="",AND(ISNUMBER('Master Database'!$I130),N('Master Database'!$I130)&lt;=$I$8)),OR($H$9="",AND(ISNUMBER('Master Database'!$K130),N('Master Database'!$K130)&gt;=$H$9)),OR($I$9="",AND(ISNUMBER('Master Database'!$K130),N('Master Database'!$K130)&lt;=$I$9))),1,0))</f>
        <v>1</v>
      </c>
      <c r="BB130" s="65" t="n">
        <f aca="false">IF(BA130=1,COUNTIF($BA$5:BA130,1),"")</f>
        <v>126</v>
      </c>
    </row>
    <row r="131" customFormat="false" ht="15" hidden="false" customHeight="false" outlineLevel="0" collapsed="false">
      <c r="A131" s="67" t="n">
        <f aca="false">IF(116&lt;=SUM($BA$5:$BA$600),116,"")</f>
        <v>116</v>
      </c>
      <c r="B131" s="67" t="n">
        <f aca="false">IF(A131="","",MATCH(A131,$BB$5:$BB$600,0)+4)</f>
        <v>120</v>
      </c>
      <c r="C131" s="67" t="n">
        <f aca="false">IF($B131="","",IF(INDEX('Master Database'!$A$1:$A$600,$B131)="","",INDEX('Master Database'!$A$1:$A$600,$B131)))</f>
        <v>116</v>
      </c>
      <c r="D131" s="68" t="str">
        <f aca="false">IF($B131="","",IF(INDEX('Master Database'!$B$1:$B$600,$B131)="","",INDEX('Master Database'!$B$1:$B$600,$B131)))</f>
        <v>3rd Stage  Separators Oil Pumps</v>
      </c>
      <c r="E131" s="68" t="str">
        <f aca="false">IF($B131="","",IF(INDEX('Master Database'!$C$1:$C$600,$B131)="","",INDEX('Master Database'!$C$1:$C$600,$B131)))</f>
        <v>(نام پروژه در فایل قید نشده است) – نمونه قیمتی نمک زدایی (PUMPS.csv)</v>
      </c>
      <c r="F131" s="68" t="str">
        <f aca="false">IF($B131="","",IF(INDEX('Master Database'!$D$1:$D$600,$B131)="","",INDEX('Master Database'!$D$1:$D$600,$B131)))</f>
        <v>(Not stated in source document)</v>
      </c>
      <c r="G131" s="68" t="str">
        <f aca="false">IF($B131="","",IF(INDEX('Master Database'!$E$1:$E$600,$B131)="","",INDEX('Master Database'!$E$1:$E$600,$B131)))</f>
        <v>ROT-CRU</v>
      </c>
      <c r="H131" s="68" t="str">
        <f aca="false">IF($B131="","",IF(INDEX('Master Database'!$F$1:$F$600,$B131)="","",INDEX('Master Database'!$F$1:$F$600,$B131)))</f>
        <v>Not stated</v>
      </c>
      <c r="I131" s="68" t="str">
        <f aca="false">IF($B131="","",IF(INDEX('Master Database'!$G$1:$G$600,$B131)="","",INDEX('Master Database'!$G$1:$G$600,$B131)))</f>
        <v>Not stated</v>
      </c>
      <c r="J131" s="69" t="str">
        <f aca="false">IF($B131="","",IF(INDEX('Master Database'!$H$1:$H$600,$B131)="","",INDEX('Master Database'!$H$1:$H$600,$B131)))</f>
        <v/>
      </c>
      <c r="K131" s="69" t="n">
        <f aca="false">IF($B131="","",IF(INDEX('Master Database'!$I$1:$I$600,$B131)="","",INDEX('Master Database'!$I$1:$I$600,$B131)))</f>
        <v>59.85</v>
      </c>
      <c r="L131" s="69" t="n">
        <f aca="false">IF($B131="","",IF(INDEX('Master Database'!$K$1:$K$600,$B131)="","",INDEX('Master Database'!$K$1:$K$600,$B131)))</f>
        <v>33.12</v>
      </c>
      <c r="M131" s="68" t="str">
        <f aca="false">IF($B131="","",IF(INDEX('Master Database'!$L$1:$L$600,$B131)="","",INDEX('Master Database'!$L$1:$L$600,$B131)))</f>
        <v>Not stated</v>
      </c>
      <c r="N131" s="68" t="str">
        <f aca="false">IF($B131="","",IF(INDEX('Master Database'!$P$1:$P$600,$B131)="","",INDEX('Master Database'!$P$1:$P$600,$B131)))</f>
        <v>Not stated</v>
      </c>
      <c r="O131" s="68" t="str">
        <f aca="false">IF($B131="","",IF(INDEX('Master Database'!$S$1:$S$600,$B131)="","",INDEX('Master Database'!$S$1:$S$600,$B131)))</f>
        <v>Electric Motor</v>
      </c>
      <c r="P131" s="68" t="str">
        <f aca="false">IF($B131="","",IF(INDEX('Master Database'!$T$1:$T$600,$B131)="","",INDEX('Master Database'!$T$1:$T$600,$B131)))</f>
        <v>Crude Oil</v>
      </c>
      <c r="Q131" s="68" t="str">
        <f aca="false">IF($B131="","",IF(INDEX('Master Database'!$Y$1:$Y$600,$B131)="","",INDEX('Master Database'!$Y$1:$Y$600,$B131)))</f>
        <v>(Not stated)</v>
      </c>
      <c r="R131" s="68" t="str">
        <f aca="false">IF($B131="","",IF(INDEX('Master Database'!$Z$1:$Z$600,$B131)="","",INDEX('Master Database'!$Z$1:$Z$600,$B131)))</f>
        <v>USD</v>
      </c>
      <c r="S131" s="70" t="n">
        <f aca="false">IF($B131="","",IF(INDEX('Master Database'!$AA$1:$AA$600,$B131)="","",INDEX('Master Database'!$AA$1:$AA$600,$B131)))</f>
        <v>380000</v>
      </c>
      <c r="T131" s="68" t="str">
        <f aca="false">IF($B131="","",IF(INDEX('Master Database'!$AE$1:$AE$600,$B131)="","",INDEX('Master Database'!$AE$1:$AE$600,$B131)))</f>
        <v>Price (USD) – «نمونه قیمتی نمک‌زدایی» sheet PUMPS; project and year not stated</v>
      </c>
      <c r="U131" s="70" t="str">
        <f aca="false">IF($B131="","",IF(INDEX('Master Database'!$AG$1:$AG$600,$B131)="","",INDEX('Master Database'!$AG$1:$AG$600,$B131)))</f>
        <v/>
      </c>
      <c r="V131" s="70" t="str">
        <f aca="false">IF($B131="","",IF(INDEX('Master Database'!$AH$1:$AH$600,$B131)="","",INDEX('Master Database'!$AH$1:$AH$600,$B131)))</f>
        <v/>
      </c>
      <c r="W131" s="70" t="str">
        <f aca="false">IF($B131="","",IF(INDEX('Master Database'!$AI$1:$AI$600,$B131)="","",INDEX('Master Database'!$AI$1:$AI$600,$B131)))</f>
        <v/>
      </c>
      <c r="X131" s="68" t="str">
        <f aca="false">IF($B131="","",IF(INDEX('Master Database'!$BG$1:$BG$600,$B131)="","",INDEX('Master Database'!$BG$1:$BG$600,$B131)))</f>
        <v>Y</v>
      </c>
      <c r="BA131" s="65" t="n">
        <f aca="false">IF('Master Database'!$A131="",0,IF(AND(OR($B$5="",ISNUMBER(SEARCH($B$5,'Master Database'!$B131&amp;" "&amp;'Master Database'!$D131))),OR($B$6="(All)",'Master Database'!$C131=$B$6),OR($B$7="(All)",'Master Database'!$E131=$B$7),OR($B$8="(All)",'Master Database'!$T131=$B$8),OR($B$9="(All)",'Master Database'!$M131=$B$9),OR($B$10="(All)",'Master Database'!$V131=$B$10),OR($E$5="(All)",'Master Database'!$F131=$E$5),OR($E$6="(All)",'Master Database'!$G131=$E$6),OR($E$7="(All)",'Master Database'!$O131=$E$7),OR($E$8="(All)",'Master Database'!$P131=$E$8),OR($E$9="(All)",'Master Database'!$S131=$E$9),OR($E$10="(All)",'Master Database'!$Y131&amp;""=$E$10&amp;""),OR($H$5="(All)",'Master Database'!$BG131=$H$5),OR($H$6&lt;&gt;"Y",ISNUMBER('Master Database'!$AG131)),OR($H$7="",AND(ISNUMBER('Master Database'!$H131),N('Master Database'!$H131)&gt;=$H$7)),OR($I$7="",AND(ISNUMBER('Master Database'!$H131),N('Master Database'!$H131)&lt;=$I$7)),OR($H$8="",AND(ISNUMBER('Master Database'!$I131),N('Master Database'!$I131)&gt;=$H$8)),OR($I$8="",AND(ISNUMBER('Master Database'!$I131),N('Master Database'!$I131)&lt;=$I$8)),OR($H$9="",AND(ISNUMBER('Master Database'!$K131),N('Master Database'!$K131)&gt;=$H$9)),OR($I$9="",AND(ISNUMBER('Master Database'!$K131),N('Master Database'!$K131)&lt;=$I$9))),1,0))</f>
        <v>1</v>
      </c>
      <c r="BB131" s="65" t="n">
        <f aca="false">IF(BA131=1,COUNTIF($BA$5:BA131,1),"")</f>
        <v>127</v>
      </c>
    </row>
    <row r="132" customFormat="false" ht="15" hidden="false" customHeight="false" outlineLevel="0" collapsed="false">
      <c r="A132" s="67" t="n">
        <f aca="false">IF(117&lt;=SUM($BA$5:$BA$600),117,"")</f>
        <v>117</v>
      </c>
      <c r="B132" s="67" t="n">
        <f aca="false">IF(A132="","",MATCH(A132,$BB$5:$BB$600,0)+4)</f>
        <v>121</v>
      </c>
      <c r="C132" s="67" t="n">
        <f aca="false">IF($B132="","",IF(INDEX('Master Database'!$A$1:$A$600,$B132)="","",INDEX('Master Database'!$A$1:$A$600,$B132)))</f>
        <v>117</v>
      </c>
      <c r="D132" s="68" t="str">
        <f aca="false">IF($B132="","",IF(INDEX('Master Database'!$B$1:$B$600,$B132)="","",INDEX('Master Database'!$B$1:$B$600,$B132)))</f>
        <v>Stabilized Oil Pump</v>
      </c>
      <c r="E132" s="68" t="str">
        <f aca="false">IF($B132="","",IF(INDEX('Master Database'!$C$1:$C$600,$B132)="","",INDEX('Master Database'!$C$1:$C$600,$B132)))</f>
        <v>(نام پروژه در فایل قید نشده است) – نمونه قیمتی نمک زدایی (PUMPS.csv)</v>
      </c>
      <c r="F132" s="68" t="str">
        <f aca="false">IF($B132="","",IF(INDEX('Master Database'!$D$1:$D$600,$B132)="","",INDEX('Master Database'!$D$1:$D$600,$B132)))</f>
        <v>(Not stated in source document)</v>
      </c>
      <c r="G132" s="68" t="str">
        <f aca="false">IF($B132="","",IF(INDEX('Master Database'!$E$1:$E$600,$B132)="","",INDEX('Master Database'!$E$1:$E$600,$B132)))</f>
        <v>ROT-CRU</v>
      </c>
      <c r="H132" s="68" t="str">
        <f aca="false">IF($B132="","",IF(INDEX('Master Database'!$F$1:$F$600,$B132)="","",INDEX('Master Database'!$F$1:$F$600,$B132)))</f>
        <v>Not stated</v>
      </c>
      <c r="I132" s="68" t="str">
        <f aca="false">IF($B132="","",IF(INDEX('Master Database'!$G$1:$G$600,$B132)="","",INDEX('Master Database'!$G$1:$G$600,$B132)))</f>
        <v>Not stated</v>
      </c>
      <c r="J132" s="69" t="str">
        <f aca="false">IF($B132="","",IF(INDEX('Master Database'!$H$1:$H$600,$B132)="","",INDEX('Master Database'!$H$1:$H$600,$B132)))</f>
        <v/>
      </c>
      <c r="K132" s="69" t="n">
        <f aca="false">IF($B132="","",IF(INDEX('Master Database'!$I$1:$I$600,$B132)="","",INDEX('Master Database'!$I$1:$I$600,$B132)))</f>
        <v>34.75</v>
      </c>
      <c r="L132" s="69" t="n">
        <f aca="false">IF($B132="","",IF(INDEX('Master Database'!$K$1:$K$600,$B132)="","",INDEX('Master Database'!$K$1:$K$600,$B132)))</f>
        <v>57.35</v>
      </c>
      <c r="M132" s="68" t="str">
        <f aca="false">IF($B132="","",IF(INDEX('Master Database'!$L$1:$L$600,$B132)="","",INDEX('Master Database'!$L$1:$L$600,$B132)))</f>
        <v>Not stated</v>
      </c>
      <c r="N132" s="68" t="str">
        <f aca="false">IF($B132="","",IF(INDEX('Master Database'!$P$1:$P$600,$B132)="","",INDEX('Master Database'!$P$1:$P$600,$B132)))</f>
        <v>Not stated</v>
      </c>
      <c r="O132" s="68" t="str">
        <f aca="false">IF($B132="","",IF(INDEX('Master Database'!$S$1:$S$600,$B132)="","",INDEX('Master Database'!$S$1:$S$600,$B132)))</f>
        <v>Electric Motor</v>
      </c>
      <c r="P132" s="68" t="str">
        <f aca="false">IF($B132="","",IF(INDEX('Master Database'!$T$1:$T$600,$B132)="","",INDEX('Master Database'!$T$1:$T$600,$B132)))</f>
        <v>Crude Oil</v>
      </c>
      <c r="Q132" s="68" t="str">
        <f aca="false">IF($B132="","",IF(INDEX('Master Database'!$Y$1:$Y$600,$B132)="","",INDEX('Master Database'!$Y$1:$Y$600,$B132)))</f>
        <v>(Not stated)</v>
      </c>
      <c r="R132" s="68" t="str">
        <f aca="false">IF($B132="","",IF(INDEX('Master Database'!$Z$1:$Z$600,$B132)="","",INDEX('Master Database'!$Z$1:$Z$600,$B132)))</f>
        <v>USD</v>
      </c>
      <c r="S132" s="70" t="n">
        <f aca="false">IF($B132="","",IF(INDEX('Master Database'!$AA$1:$AA$600,$B132)="","",INDEX('Master Database'!$AA$1:$AA$600,$B132)))</f>
        <v>250000</v>
      </c>
      <c r="T132" s="68" t="str">
        <f aca="false">IF($B132="","",IF(INDEX('Master Database'!$AE$1:$AE$600,$B132)="","",INDEX('Master Database'!$AE$1:$AE$600,$B132)))</f>
        <v>Price (USD) – «نمونه قیمتی نمک‌زدایی» sheet PUMPS; project and year not stated</v>
      </c>
      <c r="U132" s="70" t="str">
        <f aca="false">IF($B132="","",IF(INDEX('Master Database'!$AG$1:$AG$600,$B132)="","",INDEX('Master Database'!$AG$1:$AG$600,$B132)))</f>
        <v/>
      </c>
      <c r="V132" s="70" t="str">
        <f aca="false">IF($B132="","",IF(INDEX('Master Database'!$AH$1:$AH$600,$B132)="","",INDEX('Master Database'!$AH$1:$AH$600,$B132)))</f>
        <v/>
      </c>
      <c r="W132" s="70" t="str">
        <f aca="false">IF($B132="","",IF(INDEX('Master Database'!$AI$1:$AI$600,$B132)="","",INDEX('Master Database'!$AI$1:$AI$600,$B132)))</f>
        <v/>
      </c>
      <c r="X132" s="68" t="str">
        <f aca="false">IF($B132="","",IF(INDEX('Master Database'!$BG$1:$BG$600,$B132)="","",INDEX('Master Database'!$BG$1:$BG$600,$B132)))</f>
        <v>Y</v>
      </c>
      <c r="BA132" s="65" t="n">
        <f aca="false">IF('Master Database'!$A132="",0,IF(AND(OR($B$5="",ISNUMBER(SEARCH($B$5,'Master Database'!$B132&amp;" "&amp;'Master Database'!$D132))),OR($B$6="(All)",'Master Database'!$C132=$B$6),OR($B$7="(All)",'Master Database'!$E132=$B$7),OR($B$8="(All)",'Master Database'!$T132=$B$8),OR($B$9="(All)",'Master Database'!$M132=$B$9),OR($B$10="(All)",'Master Database'!$V132=$B$10),OR($E$5="(All)",'Master Database'!$F132=$E$5),OR($E$6="(All)",'Master Database'!$G132=$E$6),OR($E$7="(All)",'Master Database'!$O132=$E$7),OR($E$8="(All)",'Master Database'!$P132=$E$8),OR($E$9="(All)",'Master Database'!$S132=$E$9),OR($E$10="(All)",'Master Database'!$Y132&amp;""=$E$10&amp;""),OR($H$5="(All)",'Master Database'!$BG132=$H$5),OR($H$6&lt;&gt;"Y",ISNUMBER('Master Database'!$AG132)),OR($H$7="",AND(ISNUMBER('Master Database'!$H132),N('Master Database'!$H132)&gt;=$H$7)),OR($I$7="",AND(ISNUMBER('Master Database'!$H132),N('Master Database'!$H132)&lt;=$I$7)),OR($H$8="",AND(ISNUMBER('Master Database'!$I132),N('Master Database'!$I132)&gt;=$H$8)),OR($I$8="",AND(ISNUMBER('Master Database'!$I132),N('Master Database'!$I132)&lt;=$I$8)),OR($H$9="",AND(ISNUMBER('Master Database'!$K132),N('Master Database'!$K132)&gt;=$H$9)),OR($I$9="",AND(ISNUMBER('Master Database'!$K132),N('Master Database'!$K132)&lt;=$I$9))),1,0))</f>
        <v>1</v>
      </c>
      <c r="BB132" s="65" t="n">
        <f aca="false">IF(BA132=1,COUNTIF($BA$5:BA132,1),"")</f>
        <v>128</v>
      </c>
    </row>
    <row r="133" customFormat="false" ht="15" hidden="false" customHeight="false" outlineLevel="0" collapsed="false">
      <c r="A133" s="67" t="n">
        <f aca="false">IF(118&lt;=SUM($BA$5:$BA$600),118,"")</f>
        <v>118</v>
      </c>
      <c r="B133" s="67" t="n">
        <f aca="false">IF(A133="","",MATCH(A133,$BB$5:$BB$600,0)+4)</f>
        <v>122</v>
      </c>
      <c r="C133" s="67" t="n">
        <f aca="false">IF($B133="","",IF(INDEX('Master Database'!$A$1:$A$600,$B133)="","",INDEX('Master Database'!$A$1:$A$600,$B133)))</f>
        <v>118</v>
      </c>
      <c r="D133" s="68" t="str">
        <f aca="false">IF($B133="","",IF(INDEX('Master Database'!$B$1:$B$600,$B133)="","",INDEX('Master Database'!$B$1:$B$600,$B133)))</f>
        <v>Product Oil Pump</v>
      </c>
      <c r="E133" s="68" t="str">
        <f aca="false">IF($B133="","",IF(INDEX('Master Database'!$C$1:$C$600,$B133)="","",INDEX('Master Database'!$C$1:$C$600,$B133)))</f>
        <v>(نام پروژه در فایل قید نشده است) – نمونه قیمتی نمک زدایی (PUMPS.csv)</v>
      </c>
      <c r="F133" s="68" t="str">
        <f aca="false">IF($B133="","",IF(INDEX('Master Database'!$D$1:$D$600,$B133)="","",INDEX('Master Database'!$D$1:$D$600,$B133)))</f>
        <v>(Not stated in source document)</v>
      </c>
      <c r="G133" s="68" t="str">
        <f aca="false">IF($B133="","",IF(INDEX('Master Database'!$E$1:$E$600,$B133)="","",INDEX('Master Database'!$E$1:$E$600,$B133)))</f>
        <v>ROT-CRU</v>
      </c>
      <c r="H133" s="68" t="str">
        <f aca="false">IF($B133="","",IF(INDEX('Master Database'!$F$1:$F$600,$B133)="","",INDEX('Master Database'!$F$1:$F$600,$B133)))</f>
        <v>Not stated</v>
      </c>
      <c r="I133" s="68" t="str">
        <f aca="false">IF($B133="","",IF(INDEX('Master Database'!$G$1:$G$600,$B133)="","",INDEX('Master Database'!$G$1:$G$600,$B133)))</f>
        <v>Not stated</v>
      </c>
      <c r="J133" s="69" t="str">
        <f aca="false">IF($B133="","",IF(INDEX('Master Database'!$H$1:$H$600,$B133)="","",INDEX('Master Database'!$H$1:$H$600,$B133)))</f>
        <v/>
      </c>
      <c r="K133" s="69" t="str">
        <f aca="false">IF($B133="","",IF(INDEX('Master Database'!$I$1:$I$600,$B133)="","",INDEX('Master Database'!$I$1:$I$600,$B133)))</f>
        <v/>
      </c>
      <c r="L133" s="69" t="str">
        <f aca="false">IF($B133="","",IF(INDEX('Master Database'!$K$1:$K$600,$B133)="","",INDEX('Master Database'!$K$1:$K$600,$B133)))</f>
        <v/>
      </c>
      <c r="M133" s="68" t="str">
        <f aca="false">IF($B133="","",IF(INDEX('Master Database'!$L$1:$L$600,$B133)="","",INDEX('Master Database'!$L$1:$L$600,$B133)))</f>
        <v>Not stated</v>
      </c>
      <c r="N133" s="68" t="str">
        <f aca="false">IF($B133="","",IF(INDEX('Master Database'!$P$1:$P$600,$B133)="","",INDEX('Master Database'!$P$1:$P$600,$B133)))</f>
        <v>Not stated</v>
      </c>
      <c r="O133" s="68" t="str">
        <f aca="false">IF($B133="","",IF(INDEX('Master Database'!$S$1:$S$600,$B133)="","",INDEX('Master Database'!$S$1:$S$600,$B133)))</f>
        <v>Electric Motor</v>
      </c>
      <c r="P133" s="68" t="str">
        <f aca="false">IF($B133="","",IF(INDEX('Master Database'!$T$1:$T$600,$B133)="","",INDEX('Master Database'!$T$1:$T$600,$B133)))</f>
        <v>Crude Oil</v>
      </c>
      <c r="Q133" s="68" t="str">
        <f aca="false">IF($B133="","",IF(INDEX('Master Database'!$Y$1:$Y$600,$B133)="","",INDEX('Master Database'!$Y$1:$Y$600,$B133)))</f>
        <v>(Not stated)</v>
      </c>
      <c r="R133" s="68" t="str">
        <f aca="false">IF($B133="","",IF(INDEX('Master Database'!$Z$1:$Z$600,$B133)="","",INDEX('Master Database'!$Z$1:$Z$600,$B133)))</f>
        <v>USD</v>
      </c>
      <c r="S133" s="70" t="n">
        <f aca="false">IF($B133="","",IF(INDEX('Master Database'!$AA$1:$AA$600,$B133)="","",INDEX('Master Database'!$AA$1:$AA$600,$B133)))</f>
        <v>320000</v>
      </c>
      <c r="T133" s="68" t="str">
        <f aca="false">IF($B133="","",IF(INDEX('Master Database'!$AE$1:$AE$600,$B133)="","",INDEX('Master Database'!$AE$1:$AE$600,$B133)))</f>
        <v>Price (USD) – «نمونه قیمتی نمک‌زدایی» sheet PUMPS; project and year not stated</v>
      </c>
      <c r="U133" s="70" t="str">
        <f aca="false">IF($B133="","",IF(INDEX('Master Database'!$AG$1:$AG$600,$B133)="","",INDEX('Master Database'!$AG$1:$AG$600,$B133)))</f>
        <v/>
      </c>
      <c r="V133" s="70" t="str">
        <f aca="false">IF($B133="","",IF(INDEX('Master Database'!$AH$1:$AH$600,$B133)="","",INDEX('Master Database'!$AH$1:$AH$600,$B133)))</f>
        <v/>
      </c>
      <c r="W133" s="70" t="str">
        <f aca="false">IF($B133="","",IF(INDEX('Master Database'!$AI$1:$AI$600,$B133)="","",INDEX('Master Database'!$AI$1:$AI$600,$B133)))</f>
        <v/>
      </c>
      <c r="X133" s="68" t="str">
        <f aca="false">IF($B133="","",IF(INDEX('Master Database'!$BG$1:$BG$600,$B133)="","",INDEX('Master Database'!$BG$1:$BG$600,$B133)))</f>
        <v>Y</v>
      </c>
      <c r="BA133" s="65" t="n">
        <f aca="false">IF('Master Database'!$A133="",0,IF(AND(OR($B$5="",ISNUMBER(SEARCH($B$5,'Master Database'!$B133&amp;" "&amp;'Master Database'!$D133))),OR($B$6="(All)",'Master Database'!$C133=$B$6),OR($B$7="(All)",'Master Database'!$E133=$B$7),OR($B$8="(All)",'Master Database'!$T133=$B$8),OR($B$9="(All)",'Master Database'!$M133=$B$9),OR($B$10="(All)",'Master Database'!$V133=$B$10),OR($E$5="(All)",'Master Database'!$F133=$E$5),OR($E$6="(All)",'Master Database'!$G133=$E$6),OR($E$7="(All)",'Master Database'!$O133=$E$7),OR($E$8="(All)",'Master Database'!$P133=$E$8),OR($E$9="(All)",'Master Database'!$S133=$E$9),OR($E$10="(All)",'Master Database'!$Y133&amp;""=$E$10&amp;""),OR($H$5="(All)",'Master Database'!$BG133=$H$5),OR($H$6&lt;&gt;"Y",ISNUMBER('Master Database'!$AG133)),OR($H$7="",AND(ISNUMBER('Master Database'!$H133),N('Master Database'!$H133)&gt;=$H$7)),OR($I$7="",AND(ISNUMBER('Master Database'!$H133),N('Master Database'!$H133)&lt;=$I$7)),OR($H$8="",AND(ISNUMBER('Master Database'!$I133),N('Master Database'!$I133)&gt;=$H$8)),OR($I$8="",AND(ISNUMBER('Master Database'!$I133),N('Master Database'!$I133)&lt;=$I$8)),OR($H$9="",AND(ISNUMBER('Master Database'!$K133),N('Master Database'!$K133)&gt;=$H$9)),OR($I$9="",AND(ISNUMBER('Master Database'!$K133),N('Master Database'!$K133)&lt;=$I$9))),1,0))</f>
        <v>1</v>
      </c>
      <c r="BB133" s="65" t="n">
        <f aca="false">IF(BA133=1,COUNTIF($BA$5:BA133,1),"")</f>
        <v>129</v>
      </c>
    </row>
    <row r="134" customFormat="false" ht="15" hidden="false" customHeight="false" outlineLevel="0" collapsed="false">
      <c r="A134" s="67" t="n">
        <f aca="false">IF(119&lt;=SUM($BA$5:$BA$600),119,"")</f>
        <v>119</v>
      </c>
      <c r="B134" s="67" t="n">
        <f aca="false">IF(A134="","",MATCH(A134,$BB$5:$BB$600,0)+4)</f>
        <v>123</v>
      </c>
      <c r="C134" s="67" t="n">
        <f aca="false">IF($B134="","",IF(INDEX('Master Database'!$A$1:$A$600,$B134)="","",INDEX('Master Database'!$A$1:$A$600,$B134)))</f>
        <v>119</v>
      </c>
      <c r="D134" s="68" t="str">
        <f aca="false">IF($B134="","",IF(INDEX('Master Database'!$B$1:$B$600,$B134)="","",INDEX('Master Database'!$B$1:$B$600,$B134)))</f>
        <v>Off Spec Crude Pump</v>
      </c>
      <c r="E134" s="68" t="str">
        <f aca="false">IF($B134="","",IF(INDEX('Master Database'!$C$1:$C$600,$B134)="","",INDEX('Master Database'!$C$1:$C$600,$B134)))</f>
        <v>(نام پروژه در فایل قید نشده است) – نمونه قیمتی نمک زدایی (PUMPS.csv)</v>
      </c>
      <c r="F134" s="68" t="str">
        <f aca="false">IF($B134="","",IF(INDEX('Master Database'!$D$1:$D$600,$B134)="","",INDEX('Master Database'!$D$1:$D$600,$B134)))</f>
        <v>(Not stated in source document)</v>
      </c>
      <c r="G134" s="68" t="str">
        <f aca="false">IF($B134="","",IF(INDEX('Master Database'!$E$1:$E$600,$B134)="","",INDEX('Master Database'!$E$1:$E$600,$B134)))</f>
        <v>ROT-CRU</v>
      </c>
      <c r="H134" s="68" t="str">
        <f aca="false">IF($B134="","",IF(INDEX('Master Database'!$F$1:$F$600,$B134)="","",INDEX('Master Database'!$F$1:$F$600,$B134)))</f>
        <v>Not stated</v>
      </c>
      <c r="I134" s="68" t="str">
        <f aca="false">IF($B134="","",IF(INDEX('Master Database'!$G$1:$G$600,$B134)="","",INDEX('Master Database'!$G$1:$G$600,$B134)))</f>
        <v>Not stated</v>
      </c>
      <c r="J134" s="69" t="str">
        <f aca="false">IF($B134="","",IF(INDEX('Master Database'!$H$1:$H$600,$B134)="","",INDEX('Master Database'!$H$1:$H$600,$B134)))</f>
        <v/>
      </c>
      <c r="K134" s="69" t="n">
        <f aca="false">IF($B134="","",IF(INDEX('Master Database'!$I$1:$I$600,$B134)="","",INDEX('Master Database'!$I$1:$I$600,$B134)))</f>
        <v>311.3</v>
      </c>
      <c r="L134" s="69" t="n">
        <f aca="false">IF($B134="","",IF(INDEX('Master Database'!$K$1:$K$600,$B134)="","",INDEX('Master Database'!$K$1:$K$600,$B134)))</f>
        <v>48</v>
      </c>
      <c r="M134" s="68" t="str">
        <f aca="false">IF($B134="","",IF(INDEX('Master Database'!$L$1:$L$600,$B134)="","",INDEX('Master Database'!$L$1:$L$600,$B134)))</f>
        <v>Not stated</v>
      </c>
      <c r="N134" s="68" t="str">
        <f aca="false">IF($B134="","",IF(INDEX('Master Database'!$P$1:$P$600,$B134)="","",INDEX('Master Database'!$P$1:$P$600,$B134)))</f>
        <v>Not stated</v>
      </c>
      <c r="O134" s="68" t="str">
        <f aca="false">IF($B134="","",IF(INDEX('Master Database'!$S$1:$S$600,$B134)="","",INDEX('Master Database'!$S$1:$S$600,$B134)))</f>
        <v>Electric Motor</v>
      </c>
      <c r="P134" s="68" t="str">
        <f aca="false">IF($B134="","",IF(INDEX('Master Database'!$T$1:$T$600,$B134)="","",INDEX('Master Database'!$T$1:$T$600,$B134)))</f>
        <v>Crude Oil</v>
      </c>
      <c r="Q134" s="68" t="str">
        <f aca="false">IF($B134="","",IF(INDEX('Master Database'!$Y$1:$Y$600,$B134)="","",INDEX('Master Database'!$Y$1:$Y$600,$B134)))</f>
        <v>(Not stated)</v>
      </c>
      <c r="R134" s="68" t="str">
        <f aca="false">IF($B134="","",IF(INDEX('Master Database'!$Z$1:$Z$600,$B134)="","",INDEX('Master Database'!$Z$1:$Z$600,$B134)))</f>
        <v>USD</v>
      </c>
      <c r="S134" s="70" t="n">
        <f aca="false">IF($B134="","",IF(INDEX('Master Database'!$AA$1:$AA$600,$B134)="","",INDEX('Master Database'!$AA$1:$AA$600,$B134)))</f>
        <v>75000</v>
      </c>
      <c r="T134" s="68" t="str">
        <f aca="false">IF($B134="","",IF(INDEX('Master Database'!$AE$1:$AE$600,$B134)="","",INDEX('Master Database'!$AE$1:$AE$600,$B134)))</f>
        <v>Price (USD) – «نمونه قیمتی نمک‌زدایی» sheet PUMPS; project and year not stated</v>
      </c>
      <c r="U134" s="70" t="str">
        <f aca="false">IF($B134="","",IF(INDEX('Master Database'!$AG$1:$AG$600,$B134)="","",INDEX('Master Database'!$AG$1:$AG$600,$B134)))</f>
        <v/>
      </c>
      <c r="V134" s="70" t="str">
        <f aca="false">IF($B134="","",IF(INDEX('Master Database'!$AH$1:$AH$600,$B134)="","",INDEX('Master Database'!$AH$1:$AH$600,$B134)))</f>
        <v/>
      </c>
      <c r="W134" s="70" t="str">
        <f aca="false">IF($B134="","",IF(INDEX('Master Database'!$AI$1:$AI$600,$B134)="","",INDEX('Master Database'!$AI$1:$AI$600,$B134)))</f>
        <v/>
      </c>
      <c r="X134" s="68" t="str">
        <f aca="false">IF($B134="","",IF(INDEX('Master Database'!$BG$1:$BG$600,$B134)="","",INDEX('Master Database'!$BG$1:$BG$600,$B134)))</f>
        <v>Y</v>
      </c>
      <c r="BA134" s="65" t="n">
        <f aca="false">IF('Master Database'!$A134="",0,IF(AND(OR($B$5="",ISNUMBER(SEARCH($B$5,'Master Database'!$B134&amp;" "&amp;'Master Database'!$D134))),OR($B$6="(All)",'Master Database'!$C134=$B$6),OR($B$7="(All)",'Master Database'!$E134=$B$7),OR($B$8="(All)",'Master Database'!$T134=$B$8),OR($B$9="(All)",'Master Database'!$M134=$B$9),OR($B$10="(All)",'Master Database'!$V134=$B$10),OR($E$5="(All)",'Master Database'!$F134=$E$5),OR($E$6="(All)",'Master Database'!$G134=$E$6),OR($E$7="(All)",'Master Database'!$O134=$E$7),OR($E$8="(All)",'Master Database'!$P134=$E$8),OR($E$9="(All)",'Master Database'!$S134=$E$9),OR($E$10="(All)",'Master Database'!$Y134&amp;""=$E$10&amp;""),OR($H$5="(All)",'Master Database'!$BG134=$H$5),OR($H$6&lt;&gt;"Y",ISNUMBER('Master Database'!$AG134)),OR($H$7="",AND(ISNUMBER('Master Database'!$H134),N('Master Database'!$H134)&gt;=$H$7)),OR($I$7="",AND(ISNUMBER('Master Database'!$H134),N('Master Database'!$H134)&lt;=$I$7)),OR($H$8="",AND(ISNUMBER('Master Database'!$I134),N('Master Database'!$I134)&gt;=$H$8)),OR($I$8="",AND(ISNUMBER('Master Database'!$I134),N('Master Database'!$I134)&lt;=$I$8)),OR($H$9="",AND(ISNUMBER('Master Database'!$K134),N('Master Database'!$K134)&gt;=$H$9)),OR($I$9="",AND(ISNUMBER('Master Database'!$K134),N('Master Database'!$K134)&lt;=$I$9))),1,0))</f>
        <v>1</v>
      </c>
      <c r="BB134" s="65" t="n">
        <f aca="false">IF(BA134=1,COUNTIF($BA$5:BA134,1),"")</f>
        <v>130</v>
      </c>
    </row>
    <row r="135" customFormat="false" ht="15" hidden="false" customHeight="false" outlineLevel="0" collapsed="false">
      <c r="A135" s="67" t="n">
        <f aca="false">IF(120&lt;=SUM($BA$5:$BA$600),120,"")</f>
        <v>120</v>
      </c>
      <c r="B135" s="67" t="n">
        <f aca="false">IF(A135="","",MATCH(A135,$BB$5:$BB$600,0)+4)</f>
        <v>124</v>
      </c>
      <c r="C135" s="67" t="n">
        <f aca="false">IF($B135="","",IF(INDEX('Master Database'!$A$1:$A$600,$B135)="","",INDEX('Master Database'!$A$1:$A$600,$B135)))</f>
        <v>120</v>
      </c>
      <c r="D135" s="68" t="str">
        <f aca="false">IF($B135="","",IF(INDEX('Master Database'!$B$1:$B$600,$B135)="","",INDEX('Master Database'!$B$1:$B$600,$B135)))</f>
        <v>Second Stage Desalter Water Criculated Pump</v>
      </c>
      <c r="E135" s="68" t="str">
        <f aca="false">IF($B135="","",IF(INDEX('Master Database'!$C$1:$C$600,$B135)="","",INDEX('Master Database'!$C$1:$C$600,$B135)))</f>
        <v>(نام پروژه در فایل قید نشده است) – نمونه قیمتی نمک زدایی (PUMPS.csv)</v>
      </c>
      <c r="F135" s="68" t="str">
        <f aca="false">IF($B135="","",IF(INDEX('Master Database'!$D$1:$D$600,$B135)="","",INDEX('Master Database'!$D$1:$D$600,$B135)))</f>
        <v>(Not stated in source document)</v>
      </c>
      <c r="G135" s="68" t="str">
        <f aca="false">IF($B135="","",IF(INDEX('Master Database'!$E$1:$E$600,$B135)="","",INDEX('Master Database'!$E$1:$E$600,$B135)))</f>
        <v>ROT-WAT</v>
      </c>
      <c r="H135" s="68" t="str">
        <f aca="false">IF($B135="","",IF(INDEX('Master Database'!$F$1:$F$600,$B135)="","",INDEX('Master Database'!$F$1:$F$600,$B135)))</f>
        <v>Not stated</v>
      </c>
      <c r="I135" s="68" t="str">
        <f aca="false">IF($B135="","",IF(INDEX('Master Database'!$G$1:$G$600,$B135)="","",INDEX('Master Database'!$G$1:$G$600,$B135)))</f>
        <v>Not stated</v>
      </c>
      <c r="J135" s="69" t="str">
        <f aca="false">IF($B135="","",IF(INDEX('Master Database'!$H$1:$H$600,$B135)="","",INDEX('Master Database'!$H$1:$H$600,$B135)))</f>
        <v/>
      </c>
      <c r="K135" s="69" t="n">
        <f aca="false">IF($B135="","",IF(INDEX('Master Database'!$I$1:$I$600,$B135)="","",INDEX('Master Database'!$I$1:$I$600,$B135)))</f>
        <v>32</v>
      </c>
      <c r="L135" s="69" t="n">
        <f aca="false">IF($B135="","",IF(INDEX('Master Database'!$K$1:$K$600,$B135)="","",INDEX('Master Database'!$K$1:$K$600,$B135)))</f>
        <v>1</v>
      </c>
      <c r="M135" s="68" t="str">
        <f aca="false">IF($B135="","",IF(INDEX('Master Database'!$L$1:$L$600,$B135)="","",INDEX('Master Database'!$L$1:$L$600,$B135)))</f>
        <v>Not stated</v>
      </c>
      <c r="N135" s="68" t="str">
        <f aca="false">IF($B135="","",IF(INDEX('Master Database'!$P$1:$P$600,$B135)="","",INDEX('Master Database'!$P$1:$P$600,$B135)))</f>
        <v>Not stated</v>
      </c>
      <c r="O135" s="68" t="str">
        <f aca="false">IF($B135="","",IF(INDEX('Master Database'!$S$1:$S$600,$B135)="","",INDEX('Master Database'!$S$1:$S$600,$B135)))</f>
        <v>Electric Motor</v>
      </c>
      <c r="P135" s="68" t="str">
        <f aca="false">IF($B135="","",IF(INDEX('Master Database'!$T$1:$T$600,$B135)="","",INDEX('Master Database'!$T$1:$T$600,$B135)))</f>
        <v>Process / Dilution Water</v>
      </c>
      <c r="Q135" s="68" t="str">
        <f aca="false">IF($B135="","",IF(INDEX('Master Database'!$Y$1:$Y$600,$B135)="","",INDEX('Master Database'!$Y$1:$Y$600,$B135)))</f>
        <v>(Not stated)</v>
      </c>
      <c r="R135" s="68" t="str">
        <f aca="false">IF($B135="","",IF(INDEX('Master Database'!$Z$1:$Z$600,$B135)="","",INDEX('Master Database'!$Z$1:$Z$600,$B135)))</f>
        <v>USD</v>
      </c>
      <c r="S135" s="70" t="n">
        <f aca="false">IF($B135="","",IF(INDEX('Master Database'!$AA$1:$AA$600,$B135)="","",INDEX('Master Database'!$AA$1:$AA$600,$B135)))</f>
        <v>60000</v>
      </c>
      <c r="T135" s="68" t="str">
        <f aca="false">IF($B135="","",IF(INDEX('Master Database'!$AE$1:$AE$600,$B135)="","",INDEX('Master Database'!$AE$1:$AE$600,$B135)))</f>
        <v>Price (USD) – «نمونه قیمتی نمک‌زدایی» sheet PUMPS; project and year not stated</v>
      </c>
      <c r="U135" s="70" t="str">
        <f aca="false">IF($B135="","",IF(INDEX('Master Database'!$AG$1:$AG$600,$B135)="","",INDEX('Master Database'!$AG$1:$AG$600,$B135)))</f>
        <v/>
      </c>
      <c r="V135" s="70" t="str">
        <f aca="false">IF($B135="","",IF(INDEX('Master Database'!$AH$1:$AH$600,$B135)="","",INDEX('Master Database'!$AH$1:$AH$600,$B135)))</f>
        <v/>
      </c>
      <c r="W135" s="70" t="str">
        <f aca="false">IF($B135="","",IF(INDEX('Master Database'!$AI$1:$AI$600,$B135)="","",INDEX('Master Database'!$AI$1:$AI$600,$B135)))</f>
        <v/>
      </c>
      <c r="X135" s="68" t="str">
        <f aca="false">IF($B135="","",IF(INDEX('Master Database'!$BG$1:$BG$600,$B135)="","",INDEX('Master Database'!$BG$1:$BG$600,$B135)))</f>
        <v>Y</v>
      </c>
      <c r="BA135" s="65" t="n">
        <f aca="false">IF('Master Database'!$A135="",0,IF(AND(OR($B$5="",ISNUMBER(SEARCH($B$5,'Master Database'!$B135&amp;" "&amp;'Master Database'!$D135))),OR($B$6="(All)",'Master Database'!$C135=$B$6),OR($B$7="(All)",'Master Database'!$E135=$B$7),OR($B$8="(All)",'Master Database'!$T135=$B$8),OR($B$9="(All)",'Master Database'!$M135=$B$9),OR($B$10="(All)",'Master Database'!$V135=$B$10),OR($E$5="(All)",'Master Database'!$F135=$E$5),OR($E$6="(All)",'Master Database'!$G135=$E$6),OR($E$7="(All)",'Master Database'!$O135=$E$7),OR($E$8="(All)",'Master Database'!$P135=$E$8),OR($E$9="(All)",'Master Database'!$S135=$E$9),OR($E$10="(All)",'Master Database'!$Y135&amp;""=$E$10&amp;""),OR($H$5="(All)",'Master Database'!$BG135=$H$5),OR($H$6&lt;&gt;"Y",ISNUMBER('Master Database'!$AG135)),OR($H$7="",AND(ISNUMBER('Master Database'!$H135),N('Master Database'!$H135)&gt;=$H$7)),OR($I$7="",AND(ISNUMBER('Master Database'!$H135),N('Master Database'!$H135)&lt;=$I$7)),OR($H$8="",AND(ISNUMBER('Master Database'!$I135),N('Master Database'!$I135)&gt;=$H$8)),OR($I$8="",AND(ISNUMBER('Master Database'!$I135),N('Master Database'!$I135)&lt;=$I$8)),OR($H$9="",AND(ISNUMBER('Master Database'!$K135),N('Master Database'!$K135)&gt;=$H$9)),OR($I$9="",AND(ISNUMBER('Master Database'!$K135),N('Master Database'!$K135)&lt;=$I$9))),1,0))</f>
        <v>1</v>
      </c>
      <c r="BB135" s="65" t="n">
        <f aca="false">IF(BA135=1,COUNTIF($BA$5:BA135,1),"")</f>
        <v>131</v>
      </c>
    </row>
    <row r="136" customFormat="false" ht="15" hidden="false" customHeight="false" outlineLevel="0" collapsed="false">
      <c r="A136" s="67" t="n">
        <f aca="false">IF(121&lt;=SUM($BA$5:$BA$600),121,"")</f>
        <v>121</v>
      </c>
      <c r="B136" s="67" t="n">
        <f aca="false">IF(A136="","",MATCH(A136,$BB$5:$BB$600,0)+4)</f>
        <v>125</v>
      </c>
      <c r="C136" s="67" t="n">
        <f aca="false">IF($B136="","",IF(INDEX('Master Database'!$A$1:$A$600,$B136)="","",INDEX('Master Database'!$A$1:$A$600,$B136)))</f>
        <v>121</v>
      </c>
      <c r="D136" s="68" t="str">
        <f aca="false">IF($B136="","",IF(INDEX('Master Database'!$B$1:$B$600,$B136)="","",INDEX('Master Database'!$B$1:$B$600,$B136)))</f>
        <v>Degassing Water Pump</v>
      </c>
      <c r="E136" s="68" t="str">
        <f aca="false">IF($B136="","",IF(INDEX('Master Database'!$C$1:$C$600,$B136)="","",INDEX('Master Database'!$C$1:$C$600,$B136)))</f>
        <v>(نام پروژه در فایل قید نشده است) – نمونه قیمتی نمک زدایی (PUMPS.csv)</v>
      </c>
      <c r="F136" s="68" t="str">
        <f aca="false">IF($B136="","",IF(INDEX('Master Database'!$D$1:$D$600,$B136)="","",INDEX('Master Database'!$D$1:$D$600,$B136)))</f>
        <v>(Not stated in source document)</v>
      </c>
      <c r="G136" s="68" t="str">
        <f aca="false">IF($B136="","",IF(INDEX('Master Database'!$E$1:$E$600,$B136)="","",INDEX('Master Database'!$E$1:$E$600,$B136)))</f>
        <v>ROT-WAT</v>
      </c>
      <c r="H136" s="68" t="str">
        <f aca="false">IF($B136="","",IF(INDEX('Master Database'!$F$1:$F$600,$B136)="","",INDEX('Master Database'!$F$1:$F$600,$B136)))</f>
        <v>Not stated</v>
      </c>
      <c r="I136" s="68" t="str">
        <f aca="false">IF($B136="","",IF(INDEX('Master Database'!$G$1:$G$600,$B136)="","",INDEX('Master Database'!$G$1:$G$600,$B136)))</f>
        <v>Not stated</v>
      </c>
      <c r="J136" s="69" t="str">
        <f aca="false">IF($B136="","",IF(INDEX('Master Database'!$H$1:$H$600,$B136)="","",INDEX('Master Database'!$H$1:$H$600,$B136)))</f>
        <v/>
      </c>
      <c r="K136" s="69" t="n">
        <f aca="false">IF($B136="","",IF(INDEX('Master Database'!$I$1:$I$600,$B136)="","",INDEX('Master Database'!$I$1:$I$600,$B136)))</f>
        <v>36.15</v>
      </c>
      <c r="L136" s="69" t="n">
        <f aca="false">IF($B136="","",IF(INDEX('Master Database'!$K$1:$K$600,$B136)="","",INDEX('Master Database'!$K$1:$K$600,$B136)))</f>
        <v>13.1</v>
      </c>
      <c r="M136" s="68" t="str">
        <f aca="false">IF($B136="","",IF(INDEX('Master Database'!$L$1:$L$600,$B136)="","",INDEX('Master Database'!$L$1:$L$600,$B136)))</f>
        <v>Not stated</v>
      </c>
      <c r="N136" s="68" t="str">
        <f aca="false">IF($B136="","",IF(INDEX('Master Database'!$P$1:$P$600,$B136)="","",INDEX('Master Database'!$P$1:$P$600,$B136)))</f>
        <v>Not stated</v>
      </c>
      <c r="O136" s="68" t="str">
        <f aca="false">IF($B136="","",IF(INDEX('Master Database'!$S$1:$S$600,$B136)="","",INDEX('Master Database'!$S$1:$S$600,$B136)))</f>
        <v>Electric Motor</v>
      </c>
      <c r="P136" s="68" t="str">
        <f aca="false">IF($B136="","",IF(INDEX('Master Database'!$T$1:$T$600,$B136)="","",INDEX('Master Database'!$T$1:$T$600,$B136)))</f>
        <v>Process / Dilution Water</v>
      </c>
      <c r="Q136" s="68" t="str">
        <f aca="false">IF($B136="","",IF(INDEX('Master Database'!$Y$1:$Y$600,$B136)="","",INDEX('Master Database'!$Y$1:$Y$600,$B136)))</f>
        <v>(Not stated)</v>
      </c>
      <c r="R136" s="68" t="str">
        <f aca="false">IF($B136="","",IF(INDEX('Master Database'!$Z$1:$Z$600,$B136)="","",INDEX('Master Database'!$Z$1:$Z$600,$B136)))</f>
        <v>USD</v>
      </c>
      <c r="S136" s="70" t="n">
        <f aca="false">IF($B136="","",IF(INDEX('Master Database'!$AA$1:$AA$600,$B136)="","",INDEX('Master Database'!$AA$1:$AA$600,$B136)))</f>
        <v>60000</v>
      </c>
      <c r="T136" s="68" t="str">
        <f aca="false">IF($B136="","",IF(INDEX('Master Database'!$AE$1:$AE$600,$B136)="","",INDEX('Master Database'!$AE$1:$AE$600,$B136)))</f>
        <v>Price (USD) – «نمونه قیمتی نمک‌زدایی» sheet PUMPS; project and year not stated</v>
      </c>
      <c r="U136" s="70" t="str">
        <f aca="false">IF($B136="","",IF(INDEX('Master Database'!$AG$1:$AG$600,$B136)="","",INDEX('Master Database'!$AG$1:$AG$600,$B136)))</f>
        <v/>
      </c>
      <c r="V136" s="70" t="str">
        <f aca="false">IF($B136="","",IF(INDEX('Master Database'!$AH$1:$AH$600,$B136)="","",INDEX('Master Database'!$AH$1:$AH$600,$B136)))</f>
        <v/>
      </c>
      <c r="W136" s="70" t="str">
        <f aca="false">IF($B136="","",IF(INDEX('Master Database'!$AI$1:$AI$600,$B136)="","",INDEX('Master Database'!$AI$1:$AI$600,$B136)))</f>
        <v/>
      </c>
      <c r="X136" s="68" t="str">
        <f aca="false">IF($B136="","",IF(INDEX('Master Database'!$BG$1:$BG$600,$B136)="","",INDEX('Master Database'!$BG$1:$BG$600,$B136)))</f>
        <v>Y</v>
      </c>
      <c r="BA136" s="65" t="n">
        <f aca="false">IF('Master Database'!$A136="",0,IF(AND(OR($B$5="",ISNUMBER(SEARCH($B$5,'Master Database'!$B136&amp;" "&amp;'Master Database'!$D136))),OR($B$6="(All)",'Master Database'!$C136=$B$6),OR($B$7="(All)",'Master Database'!$E136=$B$7),OR($B$8="(All)",'Master Database'!$T136=$B$8),OR($B$9="(All)",'Master Database'!$M136=$B$9),OR($B$10="(All)",'Master Database'!$V136=$B$10),OR($E$5="(All)",'Master Database'!$F136=$E$5),OR($E$6="(All)",'Master Database'!$G136=$E$6),OR($E$7="(All)",'Master Database'!$O136=$E$7),OR($E$8="(All)",'Master Database'!$P136=$E$8),OR($E$9="(All)",'Master Database'!$S136=$E$9),OR($E$10="(All)",'Master Database'!$Y136&amp;""=$E$10&amp;""),OR($H$5="(All)",'Master Database'!$BG136=$H$5),OR($H$6&lt;&gt;"Y",ISNUMBER('Master Database'!$AG136)),OR($H$7="",AND(ISNUMBER('Master Database'!$H136),N('Master Database'!$H136)&gt;=$H$7)),OR($I$7="",AND(ISNUMBER('Master Database'!$H136),N('Master Database'!$H136)&lt;=$I$7)),OR($H$8="",AND(ISNUMBER('Master Database'!$I136),N('Master Database'!$I136)&gt;=$H$8)),OR($I$8="",AND(ISNUMBER('Master Database'!$I136),N('Master Database'!$I136)&lt;=$I$8)),OR($H$9="",AND(ISNUMBER('Master Database'!$K136),N('Master Database'!$K136)&gt;=$H$9)),OR($I$9="",AND(ISNUMBER('Master Database'!$K136),N('Master Database'!$K136)&lt;=$I$9))),1,0))</f>
        <v>1</v>
      </c>
      <c r="BB136" s="65" t="n">
        <f aca="false">IF(BA136=1,COUNTIF($BA$5:BA136,1),"")</f>
        <v>132</v>
      </c>
    </row>
    <row r="137" customFormat="false" ht="15" hidden="false" customHeight="false" outlineLevel="0" collapsed="false">
      <c r="A137" s="67" t="n">
        <f aca="false">IF(122&lt;=SUM($BA$5:$BA$600),122,"")</f>
        <v>122</v>
      </c>
      <c r="B137" s="67" t="n">
        <f aca="false">IF(A137="","",MATCH(A137,$BB$5:$BB$600,0)+4)</f>
        <v>126</v>
      </c>
      <c r="C137" s="67" t="n">
        <f aca="false">IF($B137="","",IF(INDEX('Master Database'!$A$1:$A$600,$B137)="","",INDEX('Master Database'!$A$1:$A$600,$B137)))</f>
        <v>122</v>
      </c>
      <c r="D137" s="68" t="str">
        <f aca="false">IF($B137="","",IF(INDEX('Master Database'!$B$1:$B$600,$B137)="","",INDEX('Master Database'!$B$1:$B$600,$B137)))</f>
        <v>Disposal Water Pump</v>
      </c>
      <c r="E137" s="68" t="str">
        <f aca="false">IF($B137="","",IF(INDEX('Master Database'!$C$1:$C$600,$B137)="","",INDEX('Master Database'!$C$1:$C$600,$B137)))</f>
        <v>(نام پروژه در فایل قید نشده است) – نمونه قیمتی نمک زدایی (PUMPS.csv)</v>
      </c>
      <c r="F137" s="68" t="str">
        <f aca="false">IF($B137="","",IF(INDEX('Master Database'!$D$1:$D$600,$B137)="","",INDEX('Master Database'!$D$1:$D$600,$B137)))</f>
        <v>(Not stated in source document)</v>
      </c>
      <c r="G137" s="68" t="str">
        <f aca="false">IF($B137="","",IF(INDEX('Master Database'!$E$1:$E$600,$B137)="","",INDEX('Master Database'!$E$1:$E$600,$B137)))</f>
        <v>ROT-INJ</v>
      </c>
      <c r="H137" s="68" t="str">
        <f aca="false">IF($B137="","",IF(INDEX('Master Database'!$F$1:$F$600,$B137)="","",INDEX('Master Database'!$F$1:$F$600,$B137)))</f>
        <v>Not stated</v>
      </c>
      <c r="I137" s="68" t="str">
        <f aca="false">IF($B137="","",IF(INDEX('Master Database'!$G$1:$G$600,$B137)="","",INDEX('Master Database'!$G$1:$G$600,$B137)))</f>
        <v>Not stated</v>
      </c>
      <c r="J137" s="69" t="str">
        <f aca="false">IF($B137="","",IF(INDEX('Master Database'!$H$1:$H$600,$B137)="","",INDEX('Master Database'!$H$1:$H$600,$B137)))</f>
        <v/>
      </c>
      <c r="K137" s="69" t="n">
        <f aca="false">IF($B137="","",IF(INDEX('Master Database'!$I$1:$I$600,$B137)="","",INDEX('Master Database'!$I$1:$I$600,$B137)))</f>
        <v>51.5</v>
      </c>
      <c r="L137" s="69" t="str">
        <f aca="false">IF($B137="","",IF(INDEX('Master Database'!$K$1:$K$600,$B137)="","",INDEX('Master Database'!$K$1:$K$600,$B137)))</f>
        <v/>
      </c>
      <c r="M137" s="68" t="str">
        <f aca="false">IF($B137="","",IF(INDEX('Master Database'!$L$1:$L$600,$B137)="","",INDEX('Master Database'!$L$1:$L$600,$B137)))</f>
        <v>Not stated</v>
      </c>
      <c r="N137" s="68" t="str">
        <f aca="false">IF($B137="","",IF(INDEX('Master Database'!$P$1:$P$600,$B137)="","",INDEX('Master Database'!$P$1:$P$600,$B137)))</f>
        <v>Not stated</v>
      </c>
      <c r="O137" s="68" t="str">
        <f aca="false">IF($B137="","",IF(INDEX('Master Database'!$S$1:$S$600,$B137)="","",INDEX('Master Database'!$S$1:$S$600,$B137)))</f>
        <v>Electric Motor</v>
      </c>
      <c r="P137" s="68" t="str">
        <f aca="false">IF($B137="","",IF(INDEX('Master Database'!$T$1:$T$600,$B137)="","",INDEX('Master Database'!$T$1:$T$600,$B137)))</f>
        <v>Produced / Disposal Water</v>
      </c>
      <c r="Q137" s="68" t="str">
        <f aca="false">IF($B137="","",IF(INDEX('Master Database'!$Y$1:$Y$600,$B137)="","",INDEX('Master Database'!$Y$1:$Y$600,$B137)))</f>
        <v>(Not stated)</v>
      </c>
      <c r="R137" s="68" t="str">
        <f aca="false">IF($B137="","",IF(INDEX('Master Database'!$Z$1:$Z$600,$B137)="","",INDEX('Master Database'!$Z$1:$Z$600,$B137)))</f>
        <v>USD</v>
      </c>
      <c r="S137" s="70" t="n">
        <f aca="false">IF($B137="","",IF(INDEX('Master Database'!$AA$1:$AA$600,$B137)="","",INDEX('Master Database'!$AA$1:$AA$600,$B137)))</f>
        <v>10000</v>
      </c>
      <c r="T137" s="68" t="str">
        <f aca="false">IF($B137="","",IF(INDEX('Master Database'!$AE$1:$AE$600,$B137)="","",INDEX('Master Database'!$AE$1:$AE$600,$B137)))</f>
        <v>Price (USD) – «نمونه قیمتی نمک‌زدایی» sheet PUMPS; project and year not stated</v>
      </c>
      <c r="U137" s="70" t="str">
        <f aca="false">IF($B137="","",IF(INDEX('Master Database'!$AG$1:$AG$600,$B137)="","",INDEX('Master Database'!$AG$1:$AG$600,$B137)))</f>
        <v/>
      </c>
      <c r="V137" s="70" t="str">
        <f aca="false">IF($B137="","",IF(INDEX('Master Database'!$AH$1:$AH$600,$B137)="","",INDEX('Master Database'!$AH$1:$AH$600,$B137)))</f>
        <v/>
      </c>
      <c r="W137" s="70" t="str">
        <f aca="false">IF($B137="","",IF(INDEX('Master Database'!$AI$1:$AI$600,$B137)="","",INDEX('Master Database'!$AI$1:$AI$600,$B137)))</f>
        <v/>
      </c>
      <c r="X137" s="68" t="str">
        <f aca="false">IF($B137="","",IF(INDEX('Master Database'!$BG$1:$BG$600,$B137)="","",INDEX('Master Database'!$BG$1:$BG$600,$B137)))</f>
        <v>Y</v>
      </c>
      <c r="BA137" s="65" t="n">
        <f aca="false">IF('Master Database'!$A137="",0,IF(AND(OR($B$5="",ISNUMBER(SEARCH($B$5,'Master Database'!$B137&amp;" "&amp;'Master Database'!$D137))),OR($B$6="(All)",'Master Database'!$C137=$B$6),OR($B$7="(All)",'Master Database'!$E137=$B$7),OR($B$8="(All)",'Master Database'!$T137=$B$8),OR($B$9="(All)",'Master Database'!$M137=$B$9),OR($B$10="(All)",'Master Database'!$V137=$B$10),OR($E$5="(All)",'Master Database'!$F137=$E$5),OR($E$6="(All)",'Master Database'!$G137=$E$6),OR($E$7="(All)",'Master Database'!$O137=$E$7),OR($E$8="(All)",'Master Database'!$P137=$E$8),OR($E$9="(All)",'Master Database'!$S137=$E$9),OR($E$10="(All)",'Master Database'!$Y137&amp;""=$E$10&amp;""),OR($H$5="(All)",'Master Database'!$BG137=$H$5),OR($H$6&lt;&gt;"Y",ISNUMBER('Master Database'!$AG137)),OR($H$7="",AND(ISNUMBER('Master Database'!$H137),N('Master Database'!$H137)&gt;=$H$7)),OR($I$7="",AND(ISNUMBER('Master Database'!$H137),N('Master Database'!$H137)&lt;=$I$7)),OR($H$8="",AND(ISNUMBER('Master Database'!$I137),N('Master Database'!$I137)&gt;=$H$8)),OR($I$8="",AND(ISNUMBER('Master Database'!$I137),N('Master Database'!$I137)&lt;=$I$8)),OR($H$9="",AND(ISNUMBER('Master Database'!$K137),N('Master Database'!$K137)&gt;=$H$9)),OR($I$9="",AND(ISNUMBER('Master Database'!$K137),N('Master Database'!$K137)&lt;=$I$9))),1,0))</f>
        <v>1</v>
      </c>
      <c r="BB137" s="65" t="n">
        <f aca="false">IF(BA137=1,COUNTIF($BA$5:BA137,1),"")</f>
        <v>133</v>
      </c>
    </row>
    <row r="138" customFormat="false" ht="15" hidden="false" customHeight="false" outlineLevel="0" collapsed="false">
      <c r="A138" s="67" t="n">
        <f aca="false">IF(123&lt;=SUM($BA$5:$BA$600),123,"")</f>
        <v>123</v>
      </c>
      <c r="B138" s="67" t="n">
        <f aca="false">IF(A138="","",MATCH(A138,$BB$5:$BB$600,0)+4)</f>
        <v>127</v>
      </c>
      <c r="C138" s="67" t="n">
        <f aca="false">IF($B138="","",IF(INDEX('Master Database'!$A$1:$A$600,$B138)="","",INDEX('Master Database'!$A$1:$A$600,$B138)))</f>
        <v>123</v>
      </c>
      <c r="D138" s="68" t="str">
        <f aca="false">IF($B138="","",IF(INDEX('Master Database'!$B$1:$B$600,$B138)="","",INDEX('Master Database'!$B$1:$B$600,$B138)))</f>
        <v>Fresh Water Pump</v>
      </c>
      <c r="E138" s="68" t="str">
        <f aca="false">IF($B138="","",IF(INDEX('Master Database'!$C$1:$C$600,$B138)="","",INDEX('Master Database'!$C$1:$C$600,$B138)))</f>
        <v>(نام پروژه در فایل قید نشده است) – نمونه قیمتی نمک زدایی (PUMPS.csv)</v>
      </c>
      <c r="F138" s="68" t="str">
        <f aca="false">IF($B138="","",IF(INDEX('Master Database'!$D$1:$D$600,$B138)="","",INDEX('Master Database'!$D$1:$D$600,$B138)))</f>
        <v>(Not stated in source document)</v>
      </c>
      <c r="G138" s="68" t="str">
        <f aca="false">IF($B138="","",IF(INDEX('Master Database'!$E$1:$E$600,$B138)="","",INDEX('Master Database'!$E$1:$E$600,$B138)))</f>
        <v>ROT-WAT</v>
      </c>
      <c r="H138" s="68" t="str">
        <f aca="false">IF($B138="","",IF(INDEX('Master Database'!$F$1:$F$600,$B138)="","",INDEX('Master Database'!$F$1:$F$600,$B138)))</f>
        <v>Not stated</v>
      </c>
      <c r="I138" s="68" t="str">
        <f aca="false">IF($B138="","",IF(INDEX('Master Database'!$G$1:$G$600,$B138)="","",INDEX('Master Database'!$G$1:$G$600,$B138)))</f>
        <v>Not stated</v>
      </c>
      <c r="J138" s="69" t="str">
        <f aca="false">IF($B138="","",IF(INDEX('Master Database'!$H$1:$H$600,$B138)="","",INDEX('Master Database'!$H$1:$H$600,$B138)))</f>
        <v/>
      </c>
      <c r="K138" s="69" t="n">
        <f aca="false">IF($B138="","",IF(INDEX('Master Database'!$I$1:$I$600,$B138)="","",INDEX('Master Database'!$I$1:$I$600,$B138)))</f>
        <v>41</v>
      </c>
      <c r="L138" s="69" t="n">
        <f aca="false">IF($B138="","",IF(INDEX('Master Database'!$K$1:$K$600,$B138)="","",INDEX('Master Database'!$K$1:$K$600,$B138)))</f>
        <v>3.9</v>
      </c>
      <c r="M138" s="68" t="str">
        <f aca="false">IF($B138="","",IF(INDEX('Master Database'!$L$1:$L$600,$B138)="","",INDEX('Master Database'!$L$1:$L$600,$B138)))</f>
        <v>Not stated</v>
      </c>
      <c r="N138" s="68" t="str">
        <f aca="false">IF($B138="","",IF(INDEX('Master Database'!$P$1:$P$600,$B138)="","",INDEX('Master Database'!$P$1:$P$600,$B138)))</f>
        <v>Not stated</v>
      </c>
      <c r="O138" s="68" t="str">
        <f aca="false">IF($B138="","",IF(INDEX('Master Database'!$S$1:$S$600,$B138)="","",INDEX('Master Database'!$S$1:$S$600,$B138)))</f>
        <v>Electric Motor</v>
      </c>
      <c r="P138" s="68" t="str">
        <f aca="false">IF($B138="","",IF(INDEX('Master Database'!$T$1:$T$600,$B138)="","",INDEX('Master Database'!$T$1:$T$600,$B138)))</f>
        <v>Fresh / Potable Water</v>
      </c>
      <c r="Q138" s="68" t="str">
        <f aca="false">IF($B138="","",IF(INDEX('Master Database'!$Y$1:$Y$600,$B138)="","",INDEX('Master Database'!$Y$1:$Y$600,$B138)))</f>
        <v>(Not stated)</v>
      </c>
      <c r="R138" s="68" t="str">
        <f aca="false">IF($B138="","",IF(INDEX('Master Database'!$Z$1:$Z$600,$B138)="","",INDEX('Master Database'!$Z$1:$Z$600,$B138)))</f>
        <v>USD</v>
      </c>
      <c r="S138" s="70" t="n">
        <f aca="false">IF($B138="","",IF(INDEX('Master Database'!$AA$1:$AA$600,$B138)="","",INDEX('Master Database'!$AA$1:$AA$600,$B138)))</f>
        <v>8000</v>
      </c>
      <c r="T138" s="68" t="str">
        <f aca="false">IF($B138="","",IF(INDEX('Master Database'!$AE$1:$AE$600,$B138)="","",INDEX('Master Database'!$AE$1:$AE$600,$B138)))</f>
        <v>Price (USD) – «نمونه قیمتی نمک‌زدایی» sheet PUMPS; project and year not stated</v>
      </c>
      <c r="U138" s="70" t="str">
        <f aca="false">IF($B138="","",IF(INDEX('Master Database'!$AG$1:$AG$600,$B138)="","",INDEX('Master Database'!$AG$1:$AG$600,$B138)))</f>
        <v/>
      </c>
      <c r="V138" s="70" t="str">
        <f aca="false">IF($B138="","",IF(INDEX('Master Database'!$AH$1:$AH$600,$B138)="","",INDEX('Master Database'!$AH$1:$AH$600,$B138)))</f>
        <v/>
      </c>
      <c r="W138" s="70" t="str">
        <f aca="false">IF($B138="","",IF(INDEX('Master Database'!$AI$1:$AI$600,$B138)="","",INDEX('Master Database'!$AI$1:$AI$600,$B138)))</f>
        <v/>
      </c>
      <c r="X138" s="68" t="str">
        <f aca="false">IF($B138="","",IF(INDEX('Master Database'!$BG$1:$BG$600,$B138)="","",INDEX('Master Database'!$BG$1:$BG$600,$B138)))</f>
        <v>Y</v>
      </c>
      <c r="BA138" s="65" t="n">
        <f aca="false">IF('Master Database'!$A138="",0,IF(AND(OR($B$5="",ISNUMBER(SEARCH($B$5,'Master Database'!$B138&amp;" "&amp;'Master Database'!$D138))),OR($B$6="(All)",'Master Database'!$C138=$B$6),OR($B$7="(All)",'Master Database'!$E138=$B$7),OR($B$8="(All)",'Master Database'!$T138=$B$8),OR($B$9="(All)",'Master Database'!$M138=$B$9),OR($B$10="(All)",'Master Database'!$V138=$B$10),OR($E$5="(All)",'Master Database'!$F138=$E$5),OR($E$6="(All)",'Master Database'!$G138=$E$6),OR($E$7="(All)",'Master Database'!$O138=$E$7),OR($E$8="(All)",'Master Database'!$P138=$E$8),OR($E$9="(All)",'Master Database'!$S138=$E$9),OR($E$10="(All)",'Master Database'!$Y138&amp;""=$E$10&amp;""),OR($H$5="(All)",'Master Database'!$BG138=$H$5),OR($H$6&lt;&gt;"Y",ISNUMBER('Master Database'!$AG138)),OR($H$7="",AND(ISNUMBER('Master Database'!$H138),N('Master Database'!$H138)&gt;=$H$7)),OR($I$7="",AND(ISNUMBER('Master Database'!$H138),N('Master Database'!$H138)&lt;=$I$7)),OR($H$8="",AND(ISNUMBER('Master Database'!$I138),N('Master Database'!$I138)&gt;=$H$8)),OR($I$8="",AND(ISNUMBER('Master Database'!$I138),N('Master Database'!$I138)&lt;=$I$8)),OR($H$9="",AND(ISNUMBER('Master Database'!$K138),N('Master Database'!$K138)&gt;=$H$9)),OR($I$9="",AND(ISNUMBER('Master Database'!$K138),N('Master Database'!$K138)&lt;=$I$9))),1,0))</f>
        <v>1</v>
      </c>
      <c r="BB138" s="65" t="n">
        <f aca="false">IF(BA138=1,COUNTIF($BA$5:BA138,1),"")</f>
        <v>134</v>
      </c>
    </row>
    <row r="139" customFormat="false" ht="15" hidden="false" customHeight="false" outlineLevel="0" collapsed="false">
      <c r="A139" s="67" t="n">
        <f aca="false">IF(124&lt;=SUM($BA$5:$BA$600),124,"")</f>
        <v>124</v>
      </c>
      <c r="B139" s="67" t="n">
        <f aca="false">IF(A139="","",MATCH(A139,$BB$5:$BB$600,0)+4)</f>
        <v>128</v>
      </c>
      <c r="C139" s="67" t="n">
        <f aca="false">IF($B139="","",IF(INDEX('Master Database'!$A$1:$A$600,$B139)="","",INDEX('Master Database'!$A$1:$A$600,$B139)))</f>
        <v>124</v>
      </c>
      <c r="D139" s="68" t="str">
        <f aca="false">IF($B139="","",IF(INDEX('Master Database'!$B$1:$B$600,$B139)="","",INDEX('Master Database'!$B$1:$B$600,$B139)))</f>
        <v>Closed Drain Pump</v>
      </c>
      <c r="E139" s="68" t="str">
        <f aca="false">IF($B139="","",IF(INDEX('Master Database'!$C$1:$C$600,$B139)="","",INDEX('Master Database'!$C$1:$C$600,$B139)))</f>
        <v>(نام پروژه در فایل قید نشده است) – نمونه قیمتی نمک زدایی (PUMPS.csv)</v>
      </c>
      <c r="F139" s="68" t="str">
        <f aca="false">IF($B139="","",IF(INDEX('Master Database'!$D$1:$D$600,$B139)="","",INDEX('Master Database'!$D$1:$D$600,$B139)))</f>
        <v>(Not stated in source document)</v>
      </c>
      <c r="G139" s="68" t="str">
        <f aca="false">IF($B139="","",IF(INDEX('Master Database'!$E$1:$E$600,$B139)="","",INDEX('Master Database'!$E$1:$E$600,$B139)))</f>
        <v>ROT-DRN</v>
      </c>
      <c r="H139" s="68" t="str">
        <f aca="false">IF($B139="","",IF(INDEX('Master Database'!$F$1:$F$600,$B139)="","",INDEX('Master Database'!$F$1:$F$600,$B139)))</f>
        <v>Not stated</v>
      </c>
      <c r="I139" s="68" t="str">
        <f aca="false">IF($B139="","",IF(INDEX('Master Database'!$G$1:$G$600,$B139)="","",INDEX('Master Database'!$G$1:$G$600,$B139)))</f>
        <v>Not stated</v>
      </c>
      <c r="J139" s="69" t="str">
        <f aca="false">IF($B139="","",IF(INDEX('Master Database'!$H$1:$H$600,$B139)="","",INDEX('Master Database'!$H$1:$H$600,$B139)))</f>
        <v/>
      </c>
      <c r="K139" s="69" t="n">
        <f aca="false">IF($B139="","",IF(INDEX('Master Database'!$I$1:$I$600,$B139)="","",INDEX('Master Database'!$I$1:$I$600,$B139)))</f>
        <v>120</v>
      </c>
      <c r="L139" s="69" t="n">
        <f aca="false">IF($B139="","",IF(INDEX('Master Database'!$K$1:$K$600,$B139)="","",INDEX('Master Database'!$K$1:$K$600,$B139)))</f>
        <v>13.7</v>
      </c>
      <c r="M139" s="68" t="str">
        <f aca="false">IF($B139="","",IF(INDEX('Master Database'!$L$1:$L$600,$B139)="","",INDEX('Master Database'!$L$1:$L$600,$B139)))</f>
        <v>Not stated</v>
      </c>
      <c r="N139" s="68" t="str">
        <f aca="false">IF($B139="","",IF(INDEX('Master Database'!$P$1:$P$600,$B139)="","",INDEX('Master Database'!$P$1:$P$600,$B139)))</f>
        <v>Not stated</v>
      </c>
      <c r="O139" s="68" t="str">
        <f aca="false">IF($B139="","",IF(INDEX('Master Database'!$S$1:$S$600,$B139)="","",INDEX('Master Database'!$S$1:$S$600,$B139)))</f>
        <v>Electric Motor</v>
      </c>
      <c r="P139" s="68" t="str">
        <f aca="false">IF($B139="","",IF(INDEX('Master Database'!$T$1:$T$600,$B139)="","",INDEX('Master Database'!$T$1:$T$600,$B139)))</f>
        <v>Oily Water / Drain</v>
      </c>
      <c r="Q139" s="68" t="str">
        <f aca="false">IF($B139="","",IF(INDEX('Master Database'!$Y$1:$Y$600,$B139)="","",INDEX('Master Database'!$Y$1:$Y$600,$B139)))</f>
        <v>(Not stated)</v>
      </c>
      <c r="R139" s="68" t="str">
        <f aca="false">IF($B139="","",IF(INDEX('Master Database'!$Z$1:$Z$600,$B139)="","",INDEX('Master Database'!$Z$1:$Z$600,$B139)))</f>
        <v>USD</v>
      </c>
      <c r="S139" s="70" t="n">
        <f aca="false">IF($B139="","",IF(INDEX('Master Database'!$AA$1:$AA$600,$B139)="","",INDEX('Master Database'!$AA$1:$AA$600,$B139)))</f>
        <v>40000</v>
      </c>
      <c r="T139" s="68" t="str">
        <f aca="false">IF($B139="","",IF(INDEX('Master Database'!$AE$1:$AE$600,$B139)="","",INDEX('Master Database'!$AE$1:$AE$600,$B139)))</f>
        <v>Price (USD) – «نمونه قیمتی نمک‌زدایی» sheet PUMPS; project and year not stated</v>
      </c>
      <c r="U139" s="70" t="str">
        <f aca="false">IF($B139="","",IF(INDEX('Master Database'!$AG$1:$AG$600,$B139)="","",INDEX('Master Database'!$AG$1:$AG$600,$B139)))</f>
        <v/>
      </c>
      <c r="V139" s="70" t="str">
        <f aca="false">IF($B139="","",IF(INDEX('Master Database'!$AH$1:$AH$600,$B139)="","",INDEX('Master Database'!$AH$1:$AH$600,$B139)))</f>
        <v/>
      </c>
      <c r="W139" s="70" t="str">
        <f aca="false">IF($B139="","",IF(INDEX('Master Database'!$AI$1:$AI$600,$B139)="","",INDEX('Master Database'!$AI$1:$AI$600,$B139)))</f>
        <v/>
      </c>
      <c r="X139" s="68" t="str">
        <f aca="false">IF($B139="","",IF(INDEX('Master Database'!$BG$1:$BG$600,$B139)="","",INDEX('Master Database'!$BG$1:$BG$600,$B139)))</f>
        <v>Y</v>
      </c>
      <c r="BA139" s="65" t="n">
        <f aca="false">IF('Master Database'!$A139="",0,IF(AND(OR($B$5="",ISNUMBER(SEARCH($B$5,'Master Database'!$B139&amp;" "&amp;'Master Database'!$D139))),OR($B$6="(All)",'Master Database'!$C139=$B$6),OR($B$7="(All)",'Master Database'!$E139=$B$7),OR($B$8="(All)",'Master Database'!$T139=$B$8),OR($B$9="(All)",'Master Database'!$M139=$B$9),OR($B$10="(All)",'Master Database'!$V139=$B$10),OR($E$5="(All)",'Master Database'!$F139=$E$5),OR($E$6="(All)",'Master Database'!$G139=$E$6),OR($E$7="(All)",'Master Database'!$O139=$E$7),OR($E$8="(All)",'Master Database'!$P139=$E$8),OR($E$9="(All)",'Master Database'!$S139=$E$9),OR($E$10="(All)",'Master Database'!$Y139&amp;""=$E$10&amp;""),OR($H$5="(All)",'Master Database'!$BG139=$H$5),OR($H$6&lt;&gt;"Y",ISNUMBER('Master Database'!$AG139)),OR($H$7="",AND(ISNUMBER('Master Database'!$H139),N('Master Database'!$H139)&gt;=$H$7)),OR($I$7="",AND(ISNUMBER('Master Database'!$H139),N('Master Database'!$H139)&lt;=$I$7)),OR($H$8="",AND(ISNUMBER('Master Database'!$I139),N('Master Database'!$I139)&gt;=$H$8)),OR($I$8="",AND(ISNUMBER('Master Database'!$I139),N('Master Database'!$I139)&lt;=$I$8)),OR($H$9="",AND(ISNUMBER('Master Database'!$K139),N('Master Database'!$K139)&gt;=$H$9)),OR($I$9="",AND(ISNUMBER('Master Database'!$K139),N('Master Database'!$K139)&lt;=$I$9))),1,0))</f>
        <v>1</v>
      </c>
      <c r="BB139" s="65" t="n">
        <f aca="false">IF(BA139=1,COUNTIF($BA$5:BA139,1),"")</f>
        <v>135</v>
      </c>
    </row>
    <row r="140" customFormat="false" ht="15" hidden="false" customHeight="false" outlineLevel="0" collapsed="false">
      <c r="A140" s="67" t="n">
        <f aca="false">IF(125&lt;=SUM($BA$5:$BA$600),125,"")</f>
        <v>125</v>
      </c>
      <c r="B140" s="67" t="n">
        <f aca="false">IF(A140="","",MATCH(A140,$BB$5:$BB$600,0)+4)</f>
        <v>129</v>
      </c>
      <c r="C140" s="67" t="n">
        <f aca="false">IF($B140="","",IF(INDEX('Master Database'!$A$1:$A$600,$B140)="","",INDEX('Master Database'!$A$1:$A$600,$B140)))</f>
        <v>125</v>
      </c>
      <c r="D140" s="68" t="str">
        <f aca="false">IF($B140="","",IF(INDEX('Master Database'!$B$1:$B$600,$B140)="","",INDEX('Master Database'!$B$1:$B$600,$B140)))</f>
        <v>Diesel Unlodaing pump</v>
      </c>
      <c r="E140" s="68" t="str">
        <f aca="false">IF($B140="","",IF(INDEX('Master Database'!$C$1:$C$600,$B140)="","",INDEX('Master Database'!$C$1:$C$600,$B140)))</f>
        <v>(نام پروژه در فایل قید نشده است) – نمونه قیمتی نمک زدایی (PUMPS.csv)</v>
      </c>
      <c r="F140" s="68" t="str">
        <f aca="false">IF($B140="","",IF(INDEX('Master Database'!$D$1:$D$600,$B140)="","",INDEX('Master Database'!$D$1:$D$600,$B140)))</f>
        <v>(Not stated in source document)</v>
      </c>
      <c r="G140" s="68" t="str">
        <f aca="false">IF($B140="","",IF(INDEX('Master Database'!$E$1:$E$600,$B140)="","",INDEX('Master Database'!$E$1:$E$600,$B140)))</f>
        <v>ROT-AUX</v>
      </c>
      <c r="H140" s="68" t="str">
        <f aca="false">IF($B140="","",IF(INDEX('Master Database'!$F$1:$F$600,$B140)="","",INDEX('Master Database'!$F$1:$F$600,$B140)))</f>
        <v>N/A (non-API 610)</v>
      </c>
      <c r="I140" s="68" t="str">
        <f aca="false">IF($B140="","",IF(INDEX('Master Database'!$G$1:$G$600,$B140)="","",INDEX('Master Database'!$G$1:$G$600,$B140)))</f>
        <v>Not stated</v>
      </c>
      <c r="J140" s="69" t="str">
        <f aca="false">IF($B140="","",IF(INDEX('Master Database'!$H$1:$H$600,$B140)="","",INDEX('Master Database'!$H$1:$H$600,$B140)))</f>
        <v/>
      </c>
      <c r="K140" s="69" t="n">
        <f aca="false">IF($B140="","",IF(INDEX('Master Database'!$I$1:$I$600,$B140)="","",INDEX('Master Database'!$I$1:$I$600,$B140)))</f>
        <v>27.2</v>
      </c>
      <c r="L140" s="69" t="str">
        <f aca="false">IF($B140="","",IF(INDEX('Master Database'!$K$1:$K$600,$B140)="","",INDEX('Master Database'!$K$1:$K$600,$B140)))</f>
        <v/>
      </c>
      <c r="M140" s="68" t="str">
        <f aca="false">IF($B140="","",IF(INDEX('Master Database'!$L$1:$L$600,$B140)="","",INDEX('Master Database'!$L$1:$L$600,$B140)))</f>
        <v>Not stated</v>
      </c>
      <c r="N140" s="68" t="str">
        <f aca="false">IF($B140="","",IF(INDEX('Master Database'!$P$1:$P$600,$B140)="","",INDEX('Master Database'!$P$1:$P$600,$B140)))</f>
        <v>Not stated</v>
      </c>
      <c r="O140" s="68" t="str">
        <f aca="false">IF($B140="","",IF(INDEX('Master Database'!$S$1:$S$600,$B140)="","",INDEX('Master Database'!$S$1:$S$600,$B140)))</f>
        <v>Not stated</v>
      </c>
      <c r="P140" s="68" t="str">
        <f aca="false">IF($B140="","",IF(INDEX('Master Database'!$T$1:$T$600,$B140)="","",INDEX('Master Database'!$T$1:$T$600,$B140)))</f>
        <v>Diesel / Fuel Oil</v>
      </c>
      <c r="Q140" s="68" t="str">
        <f aca="false">IF($B140="","",IF(INDEX('Master Database'!$Y$1:$Y$600,$B140)="","",INDEX('Master Database'!$Y$1:$Y$600,$B140)))</f>
        <v>(Not stated)</v>
      </c>
      <c r="R140" s="68" t="str">
        <f aca="false">IF($B140="","",IF(INDEX('Master Database'!$Z$1:$Z$600,$B140)="","",INDEX('Master Database'!$Z$1:$Z$600,$B140)))</f>
        <v>USD</v>
      </c>
      <c r="S140" s="70" t="n">
        <f aca="false">IF($B140="","",IF(INDEX('Master Database'!$AA$1:$AA$600,$B140)="","",INDEX('Master Database'!$AA$1:$AA$600,$B140)))</f>
        <v>5000</v>
      </c>
      <c r="T140" s="68" t="str">
        <f aca="false">IF($B140="","",IF(INDEX('Master Database'!$AE$1:$AE$600,$B140)="","",INDEX('Master Database'!$AE$1:$AE$600,$B140)))</f>
        <v>Price (USD) – «نمونه قیمتی نمک‌زدایی» sheet PUMPS; project and year not stated</v>
      </c>
      <c r="U140" s="70" t="str">
        <f aca="false">IF($B140="","",IF(INDEX('Master Database'!$AG$1:$AG$600,$B140)="","",INDEX('Master Database'!$AG$1:$AG$600,$B140)))</f>
        <v/>
      </c>
      <c r="V140" s="70" t="str">
        <f aca="false">IF($B140="","",IF(INDEX('Master Database'!$AH$1:$AH$600,$B140)="","",INDEX('Master Database'!$AH$1:$AH$600,$B140)))</f>
        <v/>
      </c>
      <c r="W140" s="70" t="str">
        <f aca="false">IF($B140="","",IF(INDEX('Master Database'!$AI$1:$AI$600,$B140)="","",INDEX('Master Database'!$AI$1:$AI$600,$B140)))</f>
        <v/>
      </c>
      <c r="X140" s="68" t="str">
        <f aca="false">IF($B140="","",IF(INDEX('Master Database'!$BG$1:$BG$600,$B140)="","",INDEX('Master Database'!$BG$1:$BG$600,$B140)))</f>
        <v>Y</v>
      </c>
      <c r="BA140" s="65" t="n">
        <f aca="false">IF('Master Database'!$A140="",0,IF(AND(OR($B$5="",ISNUMBER(SEARCH($B$5,'Master Database'!$B140&amp;" "&amp;'Master Database'!$D140))),OR($B$6="(All)",'Master Database'!$C140=$B$6),OR($B$7="(All)",'Master Database'!$E140=$B$7),OR($B$8="(All)",'Master Database'!$T140=$B$8),OR($B$9="(All)",'Master Database'!$M140=$B$9),OR($B$10="(All)",'Master Database'!$V140=$B$10),OR($E$5="(All)",'Master Database'!$F140=$E$5),OR($E$6="(All)",'Master Database'!$G140=$E$6),OR($E$7="(All)",'Master Database'!$O140=$E$7),OR($E$8="(All)",'Master Database'!$P140=$E$8),OR($E$9="(All)",'Master Database'!$S140=$E$9),OR($E$10="(All)",'Master Database'!$Y140&amp;""=$E$10&amp;""),OR($H$5="(All)",'Master Database'!$BG140=$H$5),OR($H$6&lt;&gt;"Y",ISNUMBER('Master Database'!$AG140)),OR($H$7="",AND(ISNUMBER('Master Database'!$H140),N('Master Database'!$H140)&gt;=$H$7)),OR($I$7="",AND(ISNUMBER('Master Database'!$H140),N('Master Database'!$H140)&lt;=$I$7)),OR($H$8="",AND(ISNUMBER('Master Database'!$I140),N('Master Database'!$I140)&gt;=$H$8)),OR($I$8="",AND(ISNUMBER('Master Database'!$I140),N('Master Database'!$I140)&lt;=$I$8)),OR($H$9="",AND(ISNUMBER('Master Database'!$K140),N('Master Database'!$K140)&gt;=$H$9)),OR($I$9="",AND(ISNUMBER('Master Database'!$K140),N('Master Database'!$K140)&lt;=$I$9))),1,0))</f>
        <v>1</v>
      </c>
      <c r="BB140" s="65" t="n">
        <f aca="false">IF(BA140=1,COUNTIF($BA$5:BA140,1),"")</f>
        <v>136</v>
      </c>
    </row>
    <row r="141" customFormat="false" ht="15" hidden="false" customHeight="false" outlineLevel="0" collapsed="false">
      <c r="A141" s="67" t="n">
        <f aca="false">IF(126&lt;=SUM($BA$5:$BA$600),126,"")</f>
        <v>126</v>
      </c>
      <c r="B141" s="67" t="n">
        <f aca="false">IF(A141="","",MATCH(A141,$BB$5:$BB$600,0)+4)</f>
        <v>130</v>
      </c>
      <c r="C141" s="67" t="n">
        <f aca="false">IF($B141="","",IF(INDEX('Master Database'!$A$1:$A$600,$B141)="","",INDEX('Master Database'!$A$1:$A$600,$B141)))</f>
        <v>126</v>
      </c>
      <c r="D141" s="68" t="str">
        <f aca="false">IF($B141="","",IF(INDEX('Master Database'!$B$1:$B$600,$B141)="","",INDEX('Master Database'!$B$1:$B$600,$B141)))</f>
        <v>Diesel Transfer pump</v>
      </c>
      <c r="E141" s="68" t="str">
        <f aca="false">IF($B141="","",IF(INDEX('Master Database'!$C$1:$C$600,$B141)="","",INDEX('Master Database'!$C$1:$C$600,$B141)))</f>
        <v>(نام پروژه در فایل قید نشده است) – نمونه قیمتی نمک زدایی (PUMPS.csv)</v>
      </c>
      <c r="F141" s="68" t="str">
        <f aca="false">IF($B141="","",IF(INDEX('Master Database'!$D$1:$D$600,$B141)="","",INDEX('Master Database'!$D$1:$D$600,$B141)))</f>
        <v>(Not stated in source document)</v>
      </c>
      <c r="G141" s="68" t="str">
        <f aca="false">IF($B141="","",IF(INDEX('Master Database'!$E$1:$E$600,$B141)="","",INDEX('Master Database'!$E$1:$E$600,$B141)))</f>
        <v>ROT-AUX</v>
      </c>
      <c r="H141" s="68" t="str">
        <f aca="false">IF($B141="","",IF(INDEX('Master Database'!$F$1:$F$600,$B141)="","",INDEX('Master Database'!$F$1:$F$600,$B141)))</f>
        <v>N/A (non-API 610)</v>
      </c>
      <c r="I141" s="68" t="str">
        <f aca="false">IF($B141="","",IF(INDEX('Master Database'!$G$1:$G$600,$B141)="","",INDEX('Master Database'!$G$1:$G$600,$B141)))</f>
        <v>Not stated</v>
      </c>
      <c r="J141" s="69" t="str">
        <f aca="false">IF($B141="","",IF(INDEX('Master Database'!$H$1:$H$600,$B141)="","",INDEX('Master Database'!$H$1:$H$600,$B141)))</f>
        <v/>
      </c>
      <c r="K141" s="69" t="n">
        <f aca="false">IF($B141="","",IF(INDEX('Master Database'!$I$1:$I$600,$B141)="","",INDEX('Master Database'!$I$1:$I$600,$B141)))</f>
        <v>40.8</v>
      </c>
      <c r="L141" s="69" t="n">
        <f aca="false">IF($B141="","",IF(INDEX('Master Database'!$K$1:$K$600,$B141)="","",INDEX('Master Database'!$K$1:$K$600,$B141)))</f>
        <v>0.83</v>
      </c>
      <c r="M141" s="68" t="str">
        <f aca="false">IF($B141="","",IF(INDEX('Master Database'!$L$1:$L$600,$B141)="","",INDEX('Master Database'!$L$1:$L$600,$B141)))</f>
        <v>Not stated</v>
      </c>
      <c r="N141" s="68" t="str">
        <f aca="false">IF($B141="","",IF(INDEX('Master Database'!$P$1:$P$600,$B141)="","",INDEX('Master Database'!$P$1:$P$600,$B141)))</f>
        <v>Not stated</v>
      </c>
      <c r="O141" s="68" t="str">
        <f aca="false">IF($B141="","",IF(INDEX('Master Database'!$S$1:$S$600,$B141)="","",INDEX('Master Database'!$S$1:$S$600,$B141)))</f>
        <v>Electric Motor</v>
      </c>
      <c r="P141" s="68" t="str">
        <f aca="false">IF($B141="","",IF(INDEX('Master Database'!$T$1:$T$600,$B141)="","",INDEX('Master Database'!$T$1:$T$600,$B141)))</f>
        <v>Diesel / Fuel Oil</v>
      </c>
      <c r="Q141" s="68" t="str">
        <f aca="false">IF($B141="","",IF(INDEX('Master Database'!$Y$1:$Y$600,$B141)="","",INDEX('Master Database'!$Y$1:$Y$600,$B141)))</f>
        <v>(Not stated)</v>
      </c>
      <c r="R141" s="68" t="str">
        <f aca="false">IF($B141="","",IF(INDEX('Master Database'!$Z$1:$Z$600,$B141)="","",INDEX('Master Database'!$Z$1:$Z$600,$B141)))</f>
        <v>USD</v>
      </c>
      <c r="S141" s="70" t="n">
        <f aca="false">IF($B141="","",IF(INDEX('Master Database'!$AA$1:$AA$600,$B141)="","",INDEX('Master Database'!$AA$1:$AA$600,$B141)))</f>
        <v>3000</v>
      </c>
      <c r="T141" s="68" t="str">
        <f aca="false">IF($B141="","",IF(INDEX('Master Database'!$AE$1:$AE$600,$B141)="","",INDEX('Master Database'!$AE$1:$AE$600,$B141)))</f>
        <v>Price (USD) – «نمونه قیمتی نمک‌زدایی» sheet PUMPS; project and year not stated</v>
      </c>
      <c r="U141" s="70" t="str">
        <f aca="false">IF($B141="","",IF(INDEX('Master Database'!$AG$1:$AG$600,$B141)="","",INDEX('Master Database'!$AG$1:$AG$600,$B141)))</f>
        <v/>
      </c>
      <c r="V141" s="70" t="str">
        <f aca="false">IF($B141="","",IF(INDEX('Master Database'!$AH$1:$AH$600,$B141)="","",INDEX('Master Database'!$AH$1:$AH$600,$B141)))</f>
        <v/>
      </c>
      <c r="W141" s="70" t="str">
        <f aca="false">IF($B141="","",IF(INDEX('Master Database'!$AI$1:$AI$600,$B141)="","",INDEX('Master Database'!$AI$1:$AI$600,$B141)))</f>
        <v/>
      </c>
      <c r="X141" s="68" t="str">
        <f aca="false">IF($B141="","",IF(INDEX('Master Database'!$BG$1:$BG$600,$B141)="","",INDEX('Master Database'!$BG$1:$BG$600,$B141)))</f>
        <v>Y</v>
      </c>
      <c r="BA141" s="65" t="n">
        <f aca="false">IF('Master Database'!$A141="",0,IF(AND(OR($B$5="",ISNUMBER(SEARCH($B$5,'Master Database'!$B141&amp;" "&amp;'Master Database'!$D141))),OR($B$6="(All)",'Master Database'!$C141=$B$6),OR($B$7="(All)",'Master Database'!$E141=$B$7),OR($B$8="(All)",'Master Database'!$T141=$B$8),OR($B$9="(All)",'Master Database'!$M141=$B$9),OR($B$10="(All)",'Master Database'!$V141=$B$10),OR($E$5="(All)",'Master Database'!$F141=$E$5),OR($E$6="(All)",'Master Database'!$G141=$E$6),OR($E$7="(All)",'Master Database'!$O141=$E$7),OR($E$8="(All)",'Master Database'!$P141=$E$8),OR($E$9="(All)",'Master Database'!$S141=$E$9),OR($E$10="(All)",'Master Database'!$Y141&amp;""=$E$10&amp;""),OR($H$5="(All)",'Master Database'!$BG141=$H$5),OR($H$6&lt;&gt;"Y",ISNUMBER('Master Database'!$AG141)),OR($H$7="",AND(ISNUMBER('Master Database'!$H141),N('Master Database'!$H141)&gt;=$H$7)),OR($I$7="",AND(ISNUMBER('Master Database'!$H141),N('Master Database'!$H141)&lt;=$I$7)),OR($H$8="",AND(ISNUMBER('Master Database'!$I141),N('Master Database'!$I141)&gt;=$H$8)),OR($I$8="",AND(ISNUMBER('Master Database'!$I141),N('Master Database'!$I141)&lt;=$I$8)),OR($H$9="",AND(ISNUMBER('Master Database'!$K141),N('Master Database'!$K141)&gt;=$H$9)),OR($I$9="",AND(ISNUMBER('Master Database'!$K141),N('Master Database'!$K141)&lt;=$I$9))),1,0))</f>
        <v>1</v>
      </c>
      <c r="BB141" s="65" t="n">
        <f aca="false">IF(BA141=1,COUNTIF($BA$5:BA141,1),"")</f>
        <v>137</v>
      </c>
    </row>
    <row r="142" customFormat="false" ht="15" hidden="false" customHeight="false" outlineLevel="0" collapsed="false">
      <c r="A142" s="67" t="n">
        <f aca="false">IF(127&lt;=SUM($BA$5:$BA$600),127,"")</f>
        <v>127</v>
      </c>
      <c r="B142" s="67" t="n">
        <f aca="false">IF(A142="","",MATCH(A142,$BB$5:$BB$600,0)+4)</f>
        <v>131</v>
      </c>
      <c r="C142" s="67" t="n">
        <f aca="false">IF($B142="","",IF(INDEX('Master Database'!$A$1:$A$600,$B142)="","",INDEX('Master Database'!$A$1:$A$600,$B142)))</f>
        <v>127</v>
      </c>
      <c r="D142" s="68" t="str">
        <f aca="false">IF($B142="","",IF(INDEX('Master Database'!$B$1:$B$600,$B142)="","",INDEX('Master Database'!$B$1:$B$600,$B142)))</f>
        <v>Sludge Discharge Water Jet Pump</v>
      </c>
      <c r="E142" s="68" t="str">
        <f aca="false">IF($B142="","",IF(INDEX('Master Database'!$C$1:$C$600,$B142)="","",INDEX('Master Database'!$C$1:$C$600,$B142)))</f>
        <v>(نام پروژه در فایل قید نشده است) – نمونه قیمتی نمک زدایی (PUMPS.csv)</v>
      </c>
      <c r="F142" s="68" t="str">
        <f aca="false">IF($B142="","",IF(INDEX('Master Database'!$D$1:$D$600,$B142)="","",INDEX('Master Database'!$D$1:$D$600,$B142)))</f>
        <v>(Not stated in source document)</v>
      </c>
      <c r="G142" s="68" t="str">
        <f aca="false">IF($B142="","",IF(INDEX('Master Database'!$E$1:$E$600,$B142)="","",INDEX('Master Database'!$E$1:$E$600,$B142)))</f>
        <v>ROT-WAT</v>
      </c>
      <c r="H142" s="68" t="str">
        <f aca="false">IF($B142="","",IF(INDEX('Master Database'!$F$1:$F$600,$B142)="","",INDEX('Master Database'!$F$1:$F$600,$B142)))</f>
        <v>Not stated</v>
      </c>
      <c r="I142" s="68" t="str">
        <f aca="false">IF($B142="","",IF(INDEX('Master Database'!$G$1:$G$600,$B142)="","",INDEX('Master Database'!$G$1:$G$600,$B142)))</f>
        <v>Not stated</v>
      </c>
      <c r="J142" s="69" t="str">
        <f aca="false">IF($B142="","",IF(INDEX('Master Database'!$H$1:$H$600,$B142)="","",INDEX('Master Database'!$H$1:$H$600,$B142)))</f>
        <v/>
      </c>
      <c r="K142" s="69" t="str">
        <f aca="false">IF($B142="","",IF(INDEX('Master Database'!$I$1:$I$600,$B142)="","",INDEX('Master Database'!$I$1:$I$600,$B142)))</f>
        <v/>
      </c>
      <c r="L142" s="69" t="str">
        <f aca="false">IF($B142="","",IF(INDEX('Master Database'!$K$1:$K$600,$B142)="","",INDEX('Master Database'!$K$1:$K$600,$B142)))</f>
        <v/>
      </c>
      <c r="M142" s="68" t="str">
        <f aca="false">IF($B142="","",IF(INDEX('Master Database'!$L$1:$L$600,$B142)="","",INDEX('Master Database'!$L$1:$L$600,$B142)))</f>
        <v>Not stated</v>
      </c>
      <c r="N142" s="68" t="str">
        <f aca="false">IF($B142="","",IF(INDEX('Master Database'!$P$1:$P$600,$B142)="","",INDEX('Master Database'!$P$1:$P$600,$B142)))</f>
        <v>Not stated</v>
      </c>
      <c r="O142" s="68" t="str">
        <f aca="false">IF($B142="","",IF(INDEX('Master Database'!$S$1:$S$600,$B142)="","",INDEX('Master Database'!$S$1:$S$600,$B142)))</f>
        <v>Electric Motor</v>
      </c>
      <c r="P142" s="68" t="str">
        <f aca="false">IF($B142="","",IF(INDEX('Master Database'!$T$1:$T$600,$B142)="","",INDEX('Master Database'!$T$1:$T$600,$B142)))</f>
        <v>Process / Dilution Water</v>
      </c>
      <c r="Q142" s="68" t="str">
        <f aca="false">IF($B142="","",IF(INDEX('Master Database'!$Y$1:$Y$600,$B142)="","",INDEX('Master Database'!$Y$1:$Y$600,$B142)))</f>
        <v>(Not stated)</v>
      </c>
      <c r="R142" s="68" t="str">
        <f aca="false">IF($B142="","",IF(INDEX('Master Database'!$Z$1:$Z$600,$B142)="","",INDEX('Master Database'!$Z$1:$Z$600,$B142)))</f>
        <v>USD</v>
      </c>
      <c r="S142" s="70" t="n">
        <f aca="false">IF($B142="","",IF(INDEX('Master Database'!$AA$1:$AA$600,$B142)="","",INDEX('Master Database'!$AA$1:$AA$600,$B142)))</f>
        <v>3000</v>
      </c>
      <c r="T142" s="68" t="str">
        <f aca="false">IF($B142="","",IF(INDEX('Master Database'!$AE$1:$AE$600,$B142)="","",INDEX('Master Database'!$AE$1:$AE$600,$B142)))</f>
        <v>Price (USD) – «نمونه قیمتی نمک‌زدایی» sheet PUMPS; project and year not stated</v>
      </c>
      <c r="U142" s="70" t="str">
        <f aca="false">IF($B142="","",IF(INDEX('Master Database'!$AG$1:$AG$600,$B142)="","",INDEX('Master Database'!$AG$1:$AG$600,$B142)))</f>
        <v/>
      </c>
      <c r="V142" s="70" t="str">
        <f aca="false">IF($B142="","",IF(INDEX('Master Database'!$AH$1:$AH$600,$B142)="","",INDEX('Master Database'!$AH$1:$AH$600,$B142)))</f>
        <v/>
      </c>
      <c r="W142" s="70" t="str">
        <f aca="false">IF($B142="","",IF(INDEX('Master Database'!$AI$1:$AI$600,$B142)="","",INDEX('Master Database'!$AI$1:$AI$600,$B142)))</f>
        <v/>
      </c>
      <c r="X142" s="68" t="str">
        <f aca="false">IF($B142="","",IF(INDEX('Master Database'!$BG$1:$BG$600,$B142)="","",INDEX('Master Database'!$BG$1:$BG$600,$B142)))</f>
        <v>Y</v>
      </c>
      <c r="BA142" s="65" t="n">
        <f aca="false">IF('Master Database'!$A142="",0,IF(AND(OR($B$5="",ISNUMBER(SEARCH($B$5,'Master Database'!$B142&amp;" "&amp;'Master Database'!$D142))),OR($B$6="(All)",'Master Database'!$C142=$B$6),OR($B$7="(All)",'Master Database'!$E142=$B$7),OR($B$8="(All)",'Master Database'!$T142=$B$8),OR($B$9="(All)",'Master Database'!$M142=$B$9),OR($B$10="(All)",'Master Database'!$V142=$B$10),OR($E$5="(All)",'Master Database'!$F142=$E$5),OR($E$6="(All)",'Master Database'!$G142=$E$6),OR($E$7="(All)",'Master Database'!$O142=$E$7),OR($E$8="(All)",'Master Database'!$P142=$E$8),OR($E$9="(All)",'Master Database'!$S142=$E$9),OR($E$10="(All)",'Master Database'!$Y142&amp;""=$E$10&amp;""),OR($H$5="(All)",'Master Database'!$BG142=$H$5),OR($H$6&lt;&gt;"Y",ISNUMBER('Master Database'!$AG142)),OR($H$7="",AND(ISNUMBER('Master Database'!$H142),N('Master Database'!$H142)&gt;=$H$7)),OR($I$7="",AND(ISNUMBER('Master Database'!$H142),N('Master Database'!$H142)&lt;=$I$7)),OR($H$8="",AND(ISNUMBER('Master Database'!$I142),N('Master Database'!$I142)&gt;=$H$8)),OR($I$8="",AND(ISNUMBER('Master Database'!$I142),N('Master Database'!$I142)&lt;=$I$8)),OR($H$9="",AND(ISNUMBER('Master Database'!$K142),N('Master Database'!$K142)&gt;=$H$9)),OR($I$9="",AND(ISNUMBER('Master Database'!$K142),N('Master Database'!$K142)&lt;=$I$9))),1,0))</f>
        <v>1</v>
      </c>
      <c r="BB142" s="65" t="n">
        <f aca="false">IF(BA142=1,COUNTIF($BA$5:BA142,1),"")</f>
        <v>138</v>
      </c>
    </row>
    <row r="143" customFormat="false" ht="15" hidden="false" customHeight="false" outlineLevel="0" collapsed="false">
      <c r="A143" s="67" t="n">
        <f aca="false">IF(128&lt;=SUM($BA$5:$BA$600),128,"")</f>
        <v>128</v>
      </c>
      <c r="B143" s="67" t="n">
        <f aca="false">IF(A143="","",MATCH(A143,$BB$5:$BB$600,0)+4)</f>
        <v>132</v>
      </c>
      <c r="C143" s="67" t="n">
        <f aca="false">IF($B143="","",IF(INDEX('Master Database'!$A$1:$A$600,$B143)="","",INDEX('Master Database'!$A$1:$A$600,$B143)))</f>
        <v>128</v>
      </c>
      <c r="D143" s="68" t="str">
        <f aca="false">IF($B143="","",IF(INDEX('Master Database'!$B$1:$B$600,$B143)="","",INDEX('Master Database'!$B$1:$B$600,$B143)))</f>
        <v>Flare KO Drum Pumps</v>
      </c>
      <c r="E143" s="68" t="str">
        <f aca="false">IF($B143="","",IF(INDEX('Master Database'!$C$1:$C$600,$B143)="","",INDEX('Master Database'!$C$1:$C$600,$B143)))</f>
        <v>(نام پروژه در فایل قید نشده است) – نمونه قیمتی نمک زدایی (PUMPS.csv)</v>
      </c>
      <c r="F143" s="68" t="str">
        <f aca="false">IF($B143="","",IF(INDEX('Master Database'!$D$1:$D$600,$B143)="","",INDEX('Master Database'!$D$1:$D$600,$B143)))</f>
        <v>(Not stated in source document)</v>
      </c>
      <c r="G143" s="68" t="str">
        <f aca="false">IF($B143="","",IF(INDEX('Master Database'!$E$1:$E$600,$B143)="","",INDEX('Master Database'!$E$1:$E$600,$B143)))</f>
        <v>ROT-DRN</v>
      </c>
      <c r="H143" s="68" t="str">
        <f aca="false">IF($B143="","",IF(INDEX('Master Database'!$F$1:$F$600,$B143)="","",INDEX('Master Database'!$F$1:$F$600,$B143)))</f>
        <v>Not stated</v>
      </c>
      <c r="I143" s="68" t="str">
        <f aca="false">IF($B143="","",IF(INDEX('Master Database'!$G$1:$G$600,$B143)="","",INDEX('Master Database'!$G$1:$G$600,$B143)))</f>
        <v>Not stated</v>
      </c>
      <c r="J143" s="69" t="str">
        <f aca="false">IF($B143="","",IF(INDEX('Master Database'!$H$1:$H$600,$B143)="","",INDEX('Master Database'!$H$1:$H$600,$B143)))</f>
        <v/>
      </c>
      <c r="K143" s="69" t="str">
        <f aca="false">IF($B143="","",IF(INDEX('Master Database'!$I$1:$I$600,$B143)="","",INDEX('Master Database'!$I$1:$I$600,$B143)))</f>
        <v/>
      </c>
      <c r="L143" s="69" t="str">
        <f aca="false">IF($B143="","",IF(INDEX('Master Database'!$K$1:$K$600,$B143)="","",INDEX('Master Database'!$K$1:$K$600,$B143)))</f>
        <v/>
      </c>
      <c r="M143" s="68" t="str">
        <f aca="false">IF($B143="","",IF(INDEX('Master Database'!$L$1:$L$600,$B143)="","",INDEX('Master Database'!$L$1:$L$600,$B143)))</f>
        <v>Not stated</v>
      </c>
      <c r="N143" s="68" t="str">
        <f aca="false">IF($B143="","",IF(INDEX('Master Database'!$P$1:$P$600,$B143)="","",INDEX('Master Database'!$P$1:$P$600,$B143)))</f>
        <v>Not stated</v>
      </c>
      <c r="O143" s="68" t="str">
        <f aca="false">IF($B143="","",IF(INDEX('Master Database'!$S$1:$S$600,$B143)="","",INDEX('Master Database'!$S$1:$S$600,$B143)))</f>
        <v>Electric Motor</v>
      </c>
      <c r="P143" s="68" t="str">
        <f aca="false">IF($B143="","",IF(INDEX('Master Database'!$T$1:$T$600,$B143)="","",INDEX('Master Database'!$T$1:$T$600,$B143)))</f>
        <v>Oily Water / Drain</v>
      </c>
      <c r="Q143" s="68" t="str">
        <f aca="false">IF($B143="","",IF(INDEX('Master Database'!$Y$1:$Y$600,$B143)="","",INDEX('Master Database'!$Y$1:$Y$600,$B143)))</f>
        <v>(Not stated)</v>
      </c>
      <c r="R143" s="68" t="str">
        <f aca="false">IF($B143="","",IF(INDEX('Master Database'!$Z$1:$Z$600,$B143)="","",INDEX('Master Database'!$Z$1:$Z$600,$B143)))</f>
        <v>USD</v>
      </c>
      <c r="S143" s="70" t="n">
        <f aca="false">IF($B143="","",IF(INDEX('Master Database'!$AA$1:$AA$600,$B143)="","",INDEX('Master Database'!$AA$1:$AA$600,$B143)))</f>
        <v>40000</v>
      </c>
      <c r="T143" s="68" t="str">
        <f aca="false">IF($B143="","",IF(INDEX('Master Database'!$AE$1:$AE$600,$B143)="","",INDEX('Master Database'!$AE$1:$AE$600,$B143)))</f>
        <v>Price (USD) – «نمونه قیمتی نمک‌زدایی» sheet PUMPS; project and year not stated</v>
      </c>
      <c r="U143" s="70" t="str">
        <f aca="false">IF($B143="","",IF(INDEX('Master Database'!$AG$1:$AG$600,$B143)="","",INDEX('Master Database'!$AG$1:$AG$600,$B143)))</f>
        <v/>
      </c>
      <c r="V143" s="70" t="str">
        <f aca="false">IF($B143="","",IF(INDEX('Master Database'!$AH$1:$AH$600,$B143)="","",INDEX('Master Database'!$AH$1:$AH$600,$B143)))</f>
        <v/>
      </c>
      <c r="W143" s="70" t="str">
        <f aca="false">IF($B143="","",IF(INDEX('Master Database'!$AI$1:$AI$600,$B143)="","",INDEX('Master Database'!$AI$1:$AI$600,$B143)))</f>
        <v/>
      </c>
      <c r="X143" s="68" t="str">
        <f aca="false">IF($B143="","",IF(INDEX('Master Database'!$BG$1:$BG$600,$B143)="","",INDEX('Master Database'!$BG$1:$BG$600,$B143)))</f>
        <v>Y</v>
      </c>
      <c r="BA143" s="65" t="n">
        <f aca="false">IF('Master Database'!$A143="",0,IF(AND(OR($B$5="",ISNUMBER(SEARCH($B$5,'Master Database'!$B143&amp;" "&amp;'Master Database'!$D143))),OR($B$6="(All)",'Master Database'!$C143=$B$6),OR($B$7="(All)",'Master Database'!$E143=$B$7),OR($B$8="(All)",'Master Database'!$T143=$B$8),OR($B$9="(All)",'Master Database'!$M143=$B$9),OR($B$10="(All)",'Master Database'!$V143=$B$10),OR($E$5="(All)",'Master Database'!$F143=$E$5),OR($E$6="(All)",'Master Database'!$G143=$E$6),OR($E$7="(All)",'Master Database'!$O143=$E$7),OR($E$8="(All)",'Master Database'!$P143=$E$8),OR($E$9="(All)",'Master Database'!$S143=$E$9),OR($E$10="(All)",'Master Database'!$Y143&amp;""=$E$10&amp;""),OR($H$5="(All)",'Master Database'!$BG143=$H$5),OR($H$6&lt;&gt;"Y",ISNUMBER('Master Database'!$AG143)),OR($H$7="",AND(ISNUMBER('Master Database'!$H143),N('Master Database'!$H143)&gt;=$H$7)),OR($I$7="",AND(ISNUMBER('Master Database'!$H143),N('Master Database'!$H143)&lt;=$I$7)),OR($H$8="",AND(ISNUMBER('Master Database'!$I143),N('Master Database'!$I143)&gt;=$H$8)),OR($I$8="",AND(ISNUMBER('Master Database'!$I143),N('Master Database'!$I143)&lt;=$I$8)),OR($H$9="",AND(ISNUMBER('Master Database'!$K143),N('Master Database'!$K143)&gt;=$H$9)),OR($I$9="",AND(ISNUMBER('Master Database'!$K143),N('Master Database'!$K143)&lt;=$I$9))),1,0))</f>
        <v>1</v>
      </c>
      <c r="BB143" s="65" t="n">
        <f aca="false">IF(BA143=1,COUNTIF($BA$5:BA143,1),"")</f>
        <v>139</v>
      </c>
    </row>
    <row r="144" customFormat="false" ht="15" hidden="false" customHeight="false" outlineLevel="0" collapsed="false">
      <c r="A144" s="67" t="n">
        <f aca="false">IF(129&lt;=SUM($BA$5:$BA$600),129,"")</f>
        <v>129</v>
      </c>
      <c r="B144" s="67" t="n">
        <f aca="false">IF(A144="","",MATCH(A144,$BB$5:$BB$600,0)+4)</f>
        <v>133</v>
      </c>
      <c r="C144" s="67" t="n">
        <f aca="false">IF($B144="","",IF(INDEX('Master Database'!$A$1:$A$600,$B144)="","",INDEX('Master Database'!$A$1:$A$600,$B144)))</f>
        <v>129</v>
      </c>
      <c r="D144" s="68" t="str">
        <f aca="false">IF($B144="","",IF(INDEX('Master Database'!$B$1:$B$600,$B144)="","",INDEX('Master Database'!$B$1:$B$600,$B144)))</f>
        <v>Off Spec. Crude Pumps</v>
      </c>
      <c r="E144" s="68" t="str">
        <f aca="false">IF($B144="","",IF(INDEX('Master Database'!$C$1:$C$600,$B144)="","",INDEX('Master Database'!$C$1:$C$600,$B144)))</f>
        <v>Pazanan 2</v>
      </c>
      <c r="F144" s="68" t="str">
        <f aca="false">IF($B144="","",IF(INDEX('Master Database'!$D$1:$D$600,$B144)="","",INDEX('Master Database'!$D$1:$D$600,$B144)))</f>
        <v>P-111 A/B</v>
      </c>
      <c r="G144" s="68" t="str">
        <f aca="false">IF($B144="","",IF(INDEX('Master Database'!$E$1:$E$600,$B144)="","",INDEX('Master Database'!$E$1:$E$600,$B144)))</f>
        <v>ROT-CRU</v>
      </c>
      <c r="H144" s="68" t="str">
        <f aca="false">IF($B144="","",IF(INDEX('Master Database'!$F$1:$F$600,$B144)="","",INDEX('Master Database'!$F$1:$F$600,$B144)))</f>
        <v>VS6</v>
      </c>
      <c r="I144" s="68" t="str">
        <f aca="false">IF($B144="","",IF(INDEX('Master Database'!$G$1:$G$600,$B144)="","",INDEX('Master Database'!$G$1:$G$600,$B144)))</f>
        <v>D-1</v>
      </c>
      <c r="J144" s="69" t="n">
        <f aca="false">IF($B144="","",IF(INDEX('Master Database'!$H$1:$H$600,$B144)="","",INDEX('Master Database'!$H$1:$H$600,$B144)))</f>
        <v>45</v>
      </c>
      <c r="K144" s="69" t="n">
        <f aca="false">IF($B144="","",IF(INDEX('Master Database'!$I$1:$I$600,$B144)="","",INDEX('Master Database'!$I$1:$I$600,$B144)))</f>
        <v>139.1</v>
      </c>
      <c r="L144" s="69" t="n">
        <f aca="false">IF($B144="","",IF(INDEX('Master Database'!$K$1:$K$600,$B144)="","",INDEX('Master Database'!$K$1:$K$600,$B144)))</f>
        <v>28.4264305177112</v>
      </c>
      <c r="M144" s="68" t="str">
        <f aca="false">IF($B144="","",IF(INDEX('Master Database'!$L$1:$L$600,$B144)="","",INDEX('Master Database'!$L$1:$L$600,$B144)))</f>
        <v>API 610 + IPS-G-PM-105 + NACE MR0175</v>
      </c>
      <c r="N144" s="68" t="str">
        <f aca="false">IF($B144="","",IF(INDEX('Master Database'!$P$1:$P$600,$B144)="","",INDEX('Master Database'!$P$1:$P$600,$B144)))</f>
        <v>Not stated</v>
      </c>
      <c r="O144" s="68" t="str">
        <f aca="false">IF($B144="","",IF(INDEX('Master Database'!$S$1:$S$600,$B144)="","",INDEX('Master Database'!$S$1:$S$600,$B144)))</f>
        <v>Electric Motor</v>
      </c>
      <c r="P144" s="68" t="str">
        <f aca="false">IF($B144="","",IF(INDEX('Master Database'!$T$1:$T$600,$B144)="","",INDEX('Master Database'!$T$1:$T$600,$B144)))</f>
        <v>Crude Oil</v>
      </c>
      <c r="Q144" s="68" t="n">
        <f aca="false">IF($B144="","",IF(INDEX('Master Database'!$Y$1:$Y$600,$B144)="","",INDEX('Master Database'!$Y$1:$Y$600,$B144)))</f>
        <v>1393</v>
      </c>
      <c r="R144" s="68" t="str">
        <f aca="false">IF($B144="","",IF(INDEX('Master Database'!$Z$1:$Z$600,$B144)="","",INDEX('Master Database'!$Z$1:$Z$600,$B144)))</f>
        <v>EUR</v>
      </c>
      <c r="S144" s="70" t="n">
        <f aca="false">IF($B144="","",IF(INDEX('Master Database'!$AA$1:$AA$600,$B144)="","",INDEX('Master Database'!$AA$1:$AA$600,$B144)))</f>
        <v>75000</v>
      </c>
      <c r="T144" s="68" t="str">
        <f aca="false">IF($B144="","",IF(INDEX('Master Database'!$AE$1:$AE$600,$B144)="","",INDEX('Master Database'!$AE$1:$AE$600,$B144)))</f>
        <v>Consultant basic MTO estimate R02 (Feb 2015), PC-ME sheet PUMPS col. AR (FOB EUR)</v>
      </c>
      <c r="U144" s="70" t="n">
        <f aca="false">IF($B144="","",IF(INDEX('Master Database'!$AG$1:$AG$600,$B144)="","",INDEX('Master Database'!$AG$1:$AG$600,$B144)))</f>
        <v>101330.092942297</v>
      </c>
      <c r="V144" s="70" t="n">
        <f aca="false">IF($B144="","",IF(INDEX('Master Database'!$AH$1:$AH$600,$B144)="","",INDEX('Master Database'!$AH$1:$AH$600,$B144)))</f>
        <v>106982.597773847</v>
      </c>
      <c r="W144" s="70" t="n">
        <f aca="false">IF($B144="","",IF(INDEX('Master Database'!$AI$1:$AI$600,$B144)="","",INDEX('Master Database'!$AI$1:$AI$600,$B144)))</f>
        <v>70451571059.8049</v>
      </c>
      <c r="X144" s="68" t="str">
        <f aca="false">IF($B144="","",IF(INDEX('Master Database'!$BG$1:$BG$600,$B144)="","",INDEX('Master Database'!$BG$1:$BG$600,$B144)))</f>
        <v>Y</v>
      </c>
      <c r="BA144" s="65" t="n">
        <f aca="false">IF('Master Database'!$A144="",0,IF(AND(OR($B$5="",ISNUMBER(SEARCH($B$5,'Master Database'!$B144&amp;" "&amp;'Master Database'!$D144))),OR($B$6="(All)",'Master Database'!$C144=$B$6),OR($B$7="(All)",'Master Database'!$E144=$B$7),OR($B$8="(All)",'Master Database'!$T144=$B$8),OR($B$9="(All)",'Master Database'!$M144=$B$9),OR($B$10="(All)",'Master Database'!$V144=$B$10),OR($E$5="(All)",'Master Database'!$F144=$E$5),OR($E$6="(All)",'Master Database'!$G144=$E$6),OR($E$7="(All)",'Master Database'!$O144=$E$7),OR($E$8="(All)",'Master Database'!$P144=$E$8),OR($E$9="(All)",'Master Database'!$S144=$E$9),OR($E$10="(All)",'Master Database'!$Y144&amp;""=$E$10&amp;""),OR($H$5="(All)",'Master Database'!$BG144=$H$5),OR($H$6&lt;&gt;"Y",ISNUMBER('Master Database'!$AG144)),OR($H$7="",AND(ISNUMBER('Master Database'!$H144),N('Master Database'!$H144)&gt;=$H$7)),OR($I$7="",AND(ISNUMBER('Master Database'!$H144),N('Master Database'!$H144)&lt;=$I$7)),OR($H$8="",AND(ISNUMBER('Master Database'!$I144),N('Master Database'!$I144)&gt;=$H$8)),OR($I$8="",AND(ISNUMBER('Master Database'!$I144),N('Master Database'!$I144)&lt;=$I$8)),OR($H$9="",AND(ISNUMBER('Master Database'!$K144),N('Master Database'!$K144)&gt;=$H$9)),OR($I$9="",AND(ISNUMBER('Master Database'!$K144),N('Master Database'!$K144)&lt;=$I$9))),1,0))</f>
        <v>1</v>
      </c>
      <c r="BB144" s="65" t="n">
        <f aca="false">IF(BA144=1,COUNTIF($BA$5:BA144,1),"")</f>
        <v>140</v>
      </c>
    </row>
    <row r="145" customFormat="false" ht="15" hidden="false" customHeight="false" outlineLevel="0" collapsed="false">
      <c r="A145" s="67" t="n">
        <f aca="false">IF(130&lt;=SUM($BA$5:$BA$600),130,"")</f>
        <v>130</v>
      </c>
      <c r="B145" s="67" t="n">
        <f aca="false">IF(A145="","",MATCH(A145,$BB$5:$BB$600,0)+4)</f>
        <v>134</v>
      </c>
      <c r="C145" s="67" t="n">
        <f aca="false">IF($B145="","",IF(INDEX('Master Database'!$A$1:$A$600,$B145)="","",INDEX('Master Database'!$A$1:$A$600,$B145)))</f>
        <v>130</v>
      </c>
      <c r="D145" s="68" t="str">
        <f aca="false">IF($B145="","",IF(INDEX('Master Database'!$B$1:$B$600,$B145)="","",INDEX('Master Database'!$B$1:$B$600,$B145)))</f>
        <v>Deaerated Water Pumps</v>
      </c>
      <c r="E145" s="68" t="str">
        <f aca="false">IF($B145="","",IF(INDEX('Master Database'!$C$1:$C$600,$B145)="","",INDEX('Master Database'!$C$1:$C$600,$B145)))</f>
        <v>Pazanan 2</v>
      </c>
      <c r="F145" s="68" t="str">
        <f aca="false">IF($B145="","",IF(INDEX('Master Database'!$D$1:$D$600,$B145)="","",INDEX('Master Database'!$D$1:$D$600,$B145)))</f>
        <v>P-122 A/B</v>
      </c>
      <c r="G145" s="68" t="str">
        <f aca="false">IF($B145="","",IF(INDEX('Master Database'!$E$1:$E$600,$B145)="","",INDEX('Master Database'!$E$1:$E$600,$B145)))</f>
        <v>ROT-WAT</v>
      </c>
      <c r="H145" s="68" t="str">
        <f aca="false">IF($B145="","",IF(INDEX('Master Database'!$F$1:$F$600,$B145)="","",INDEX('Master Database'!$F$1:$F$600,$B145)))</f>
        <v>N/A (non-API 610)</v>
      </c>
      <c r="I145" s="68" t="str">
        <f aca="false">IF($B145="","",IF(INDEX('Master Database'!$G$1:$G$600,$B145)="","",INDEX('Master Database'!$G$1:$G$600,$B145)))</f>
        <v>I-2</v>
      </c>
      <c r="J145" s="69" t="n">
        <f aca="false">IF($B145="","",IF(INDEX('Master Database'!$H$1:$H$600,$B145)="","",INDEX('Master Database'!$H$1:$H$600,$B145)))</f>
        <v>53</v>
      </c>
      <c r="K145" s="69" t="n">
        <f aca="false">IF($B145="","",IF(INDEX('Master Database'!$I$1:$I$600,$B145)="","",INDEX('Master Database'!$I$1:$I$600,$B145)))</f>
        <v>35.7</v>
      </c>
      <c r="L145" s="69" t="n">
        <f aca="false">IF($B145="","",IF(INDEX('Master Database'!$K$1:$K$600,$B145)="","",INDEX('Master Database'!$K$1:$K$600,$B145)))</f>
        <v>8.59264305177112</v>
      </c>
      <c r="M145" s="68" t="str">
        <f aca="false">IF($B145="","",IF(INDEX('Master Database'!$L$1:$L$600,$B145)="","",INDEX('Master Database'!$L$1:$L$600,$B145)))</f>
        <v>ISO 5199 + IPS-M-PM-115</v>
      </c>
      <c r="N145" s="68" t="str">
        <f aca="false">IF($B145="","",IF(INDEX('Master Database'!$P$1:$P$600,$B145)="","",INDEX('Master Database'!$P$1:$P$600,$B145)))</f>
        <v>Not stated</v>
      </c>
      <c r="O145" s="68" t="str">
        <f aca="false">IF($B145="","",IF(INDEX('Master Database'!$S$1:$S$600,$B145)="","",INDEX('Master Database'!$S$1:$S$600,$B145)))</f>
        <v>Electric Motor</v>
      </c>
      <c r="P145" s="68" t="str">
        <f aca="false">IF($B145="","",IF(INDEX('Master Database'!$T$1:$T$600,$B145)="","",INDEX('Master Database'!$T$1:$T$600,$B145)))</f>
        <v>Deaerated Water</v>
      </c>
      <c r="Q145" s="68" t="n">
        <f aca="false">IF($B145="","",IF(INDEX('Master Database'!$Y$1:$Y$600,$B145)="","",INDEX('Master Database'!$Y$1:$Y$600,$B145)))</f>
        <v>1393</v>
      </c>
      <c r="R145" s="68" t="str">
        <f aca="false">IF($B145="","",IF(INDEX('Master Database'!$Z$1:$Z$600,$B145)="","",INDEX('Master Database'!$Z$1:$Z$600,$B145)))</f>
        <v>EUR</v>
      </c>
      <c r="S145" s="70" t="n">
        <f aca="false">IF($B145="","",IF(INDEX('Master Database'!$AA$1:$AA$600,$B145)="","",INDEX('Master Database'!$AA$1:$AA$600,$B145)))</f>
        <v>10000</v>
      </c>
      <c r="T145" s="68" t="str">
        <f aca="false">IF($B145="","",IF(INDEX('Master Database'!$AE$1:$AE$600,$B145)="","",INDEX('Master Database'!$AE$1:$AE$600,$B145)))</f>
        <v>Consultant basic MTO estimate R02 (Feb 2015), PC-ME sheet PUMPS col. AR (FOB EUR)</v>
      </c>
      <c r="U145" s="70" t="n">
        <f aca="false">IF($B145="","",IF(INDEX('Master Database'!$AG$1:$AG$600,$B145)="","",INDEX('Master Database'!$AG$1:$AG$600,$B145)))</f>
        <v>13510.6790589729</v>
      </c>
      <c r="V145" s="70" t="n">
        <f aca="false">IF($B145="","",IF(INDEX('Master Database'!$AH$1:$AH$600,$B145)="","",INDEX('Master Database'!$AH$1:$AH$600,$B145)))</f>
        <v>14264.3463698463</v>
      </c>
      <c r="W145" s="70" t="n">
        <f aca="false">IF($B145="","",IF(INDEX('Master Database'!$AI$1:$AI$600,$B145)="","",INDEX('Master Database'!$AI$1:$AI$600,$B145)))</f>
        <v>9393542807.97399</v>
      </c>
      <c r="X145" s="68" t="str">
        <f aca="false">IF($B145="","",IF(INDEX('Master Database'!$BG$1:$BG$600,$B145)="","",INDEX('Master Database'!$BG$1:$BG$600,$B145)))</f>
        <v>Y</v>
      </c>
      <c r="BA145" s="65" t="n">
        <f aca="false">IF('Master Database'!$A145="",0,IF(AND(OR($B$5="",ISNUMBER(SEARCH($B$5,'Master Database'!$B145&amp;" "&amp;'Master Database'!$D145))),OR($B$6="(All)",'Master Database'!$C145=$B$6),OR($B$7="(All)",'Master Database'!$E145=$B$7),OR($B$8="(All)",'Master Database'!$T145=$B$8),OR($B$9="(All)",'Master Database'!$M145=$B$9),OR($B$10="(All)",'Master Database'!$V145=$B$10),OR($E$5="(All)",'Master Database'!$F145=$E$5),OR($E$6="(All)",'Master Database'!$G145=$E$6),OR($E$7="(All)",'Master Database'!$O145=$E$7),OR($E$8="(All)",'Master Database'!$P145=$E$8),OR($E$9="(All)",'Master Database'!$S145=$E$9),OR($E$10="(All)",'Master Database'!$Y145&amp;""=$E$10&amp;""),OR($H$5="(All)",'Master Database'!$BG145=$H$5),OR($H$6&lt;&gt;"Y",ISNUMBER('Master Database'!$AG145)),OR($H$7="",AND(ISNUMBER('Master Database'!$H145),N('Master Database'!$H145)&gt;=$H$7)),OR($I$7="",AND(ISNUMBER('Master Database'!$H145),N('Master Database'!$H145)&lt;=$I$7)),OR($H$8="",AND(ISNUMBER('Master Database'!$I145),N('Master Database'!$I145)&gt;=$H$8)),OR($I$8="",AND(ISNUMBER('Master Database'!$I145),N('Master Database'!$I145)&lt;=$I$8)),OR($H$9="",AND(ISNUMBER('Master Database'!$K145),N('Master Database'!$K145)&gt;=$H$9)),OR($I$9="",AND(ISNUMBER('Master Database'!$K145),N('Master Database'!$K145)&lt;=$I$9))),1,0))</f>
        <v>1</v>
      </c>
      <c r="BB145" s="65" t="n">
        <f aca="false">IF(BA145=1,COUNTIF($BA$5:BA145,1),"")</f>
        <v>141</v>
      </c>
    </row>
    <row r="146" customFormat="false" ht="15" hidden="false" customHeight="false" outlineLevel="0" collapsed="false">
      <c r="A146" s="67" t="n">
        <f aca="false">IF(131&lt;=SUM($BA$5:$BA$600),131,"")</f>
        <v>131</v>
      </c>
      <c r="B146" s="67" t="n">
        <f aca="false">IF(A146="","",MATCH(A146,$BB$5:$BB$600,0)+4)</f>
        <v>135</v>
      </c>
      <c r="C146" s="67" t="n">
        <f aca="false">IF($B146="","",IF(INDEX('Master Database'!$A$1:$A$600,$B146)="","",INDEX('Master Database'!$A$1:$A$600,$B146)))</f>
        <v>131</v>
      </c>
      <c r="D146" s="68" t="str">
        <f aca="false">IF($B146="","",IF(INDEX('Master Database'!$B$1:$B$600,$B146)="","",INDEX('Master Database'!$B$1:$B$600,$B146)))</f>
        <v>Dilution Water Pump</v>
      </c>
      <c r="E146" s="68" t="str">
        <f aca="false">IF($B146="","",IF(INDEX('Master Database'!$C$1:$C$600,$B146)="","",INDEX('Master Database'!$C$1:$C$600,$B146)))</f>
        <v>Pazanan 2</v>
      </c>
      <c r="F146" s="68" t="str">
        <f aca="false">IF($B146="","",IF(INDEX('Master Database'!$D$1:$D$600,$B146)="","",INDEX('Master Database'!$D$1:$D$600,$B146)))</f>
        <v>P-124</v>
      </c>
      <c r="G146" s="68" t="str">
        <f aca="false">IF($B146="","",IF(INDEX('Master Database'!$E$1:$E$600,$B146)="","",INDEX('Master Database'!$E$1:$E$600,$B146)))</f>
        <v>ROT-WAT</v>
      </c>
      <c r="H146" s="68" t="str">
        <f aca="false">IF($B146="","",IF(INDEX('Master Database'!$F$1:$F$600,$B146)="","",INDEX('Master Database'!$F$1:$F$600,$B146)))</f>
        <v>OH2</v>
      </c>
      <c r="I146" s="68" t="str">
        <f aca="false">IF($B146="","",IF(INDEX('Master Database'!$G$1:$G$600,$B146)="","",INDEX('Master Database'!$G$1:$G$600,$B146)))</f>
        <v>I-2</v>
      </c>
      <c r="J146" s="69" t="n">
        <f aca="false">IF($B146="","",IF(INDEX('Master Database'!$H$1:$H$600,$B146)="","",INDEX('Master Database'!$H$1:$H$600,$B146)))</f>
        <v>53</v>
      </c>
      <c r="K146" s="69" t="n">
        <f aca="false">IF($B146="","",IF(INDEX('Master Database'!$I$1:$I$600,$B146)="","",INDEX('Master Database'!$I$1:$I$600,$B146)))</f>
        <v>122.3</v>
      </c>
      <c r="L146" s="69" t="n">
        <f aca="false">IF($B146="","",IF(INDEX('Master Database'!$K$1:$K$600,$B146)="","",INDEX('Master Database'!$K$1:$K$600,$B146)))</f>
        <v>29.436421435059</v>
      </c>
      <c r="M146" s="68" t="str">
        <f aca="false">IF($B146="","",IF(INDEX('Master Database'!$L$1:$L$600,$B146)="","",INDEX('Master Database'!$L$1:$L$600,$B146)))</f>
        <v>API 610 + IPS-G-PM-105</v>
      </c>
      <c r="N146" s="68" t="str">
        <f aca="false">IF($B146="","",IF(INDEX('Master Database'!$P$1:$P$600,$B146)="","",INDEX('Master Database'!$P$1:$P$600,$B146)))</f>
        <v>Not stated</v>
      </c>
      <c r="O146" s="68" t="str">
        <f aca="false">IF($B146="","",IF(INDEX('Master Database'!$S$1:$S$600,$B146)="","",INDEX('Master Database'!$S$1:$S$600,$B146)))</f>
        <v>Electric Motor</v>
      </c>
      <c r="P146" s="68" t="str">
        <f aca="false">IF($B146="","",IF(INDEX('Master Database'!$T$1:$T$600,$B146)="","",INDEX('Master Database'!$T$1:$T$600,$B146)))</f>
        <v>Process / Dilution Water</v>
      </c>
      <c r="Q146" s="68" t="n">
        <f aca="false">IF($B146="","",IF(INDEX('Master Database'!$Y$1:$Y$600,$B146)="","",INDEX('Master Database'!$Y$1:$Y$600,$B146)))</f>
        <v>1393</v>
      </c>
      <c r="R146" s="68" t="str">
        <f aca="false">IF($B146="","",IF(INDEX('Master Database'!$Z$1:$Z$600,$B146)="","",INDEX('Master Database'!$Z$1:$Z$600,$B146)))</f>
        <v>EUR</v>
      </c>
      <c r="S146" s="70" t="n">
        <f aca="false">IF($B146="","",IF(INDEX('Master Database'!$AA$1:$AA$600,$B146)="","",INDEX('Master Database'!$AA$1:$AA$600,$B146)))</f>
        <v>15000</v>
      </c>
      <c r="T146" s="68" t="str">
        <f aca="false">IF($B146="","",IF(INDEX('Master Database'!$AE$1:$AE$600,$B146)="","",INDEX('Master Database'!$AE$1:$AE$600,$B146)))</f>
        <v>Consultant basic MTO estimate R02 (Feb 2015), PC-ME sheet PUMPS col. AR (FOB EUR)</v>
      </c>
      <c r="U146" s="70" t="n">
        <f aca="false">IF($B146="","",IF(INDEX('Master Database'!$AG$1:$AG$600,$B146)="","",INDEX('Master Database'!$AG$1:$AG$600,$B146)))</f>
        <v>20266.0185884594</v>
      </c>
      <c r="V146" s="70" t="n">
        <f aca="false">IF($B146="","",IF(INDEX('Master Database'!$AH$1:$AH$600,$B146)="","",INDEX('Master Database'!$AH$1:$AH$600,$B146)))</f>
        <v>21396.5195547694</v>
      </c>
      <c r="W146" s="70" t="n">
        <f aca="false">IF($B146="","",IF(INDEX('Master Database'!$AI$1:$AI$600,$B146)="","",INDEX('Master Database'!$AI$1:$AI$600,$B146)))</f>
        <v>14090314211.961</v>
      </c>
      <c r="X146" s="68" t="str">
        <f aca="false">IF($B146="","",IF(INDEX('Master Database'!$BG$1:$BG$600,$B146)="","",INDEX('Master Database'!$BG$1:$BG$600,$B146)))</f>
        <v>Y</v>
      </c>
      <c r="BA146" s="65" t="n">
        <f aca="false">IF('Master Database'!$A146="",0,IF(AND(OR($B$5="",ISNUMBER(SEARCH($B$5,'Master Database'!$B146&amp;" "&amp;'Master Database'!$D146))),OR($B$6="(All)",'Master Database'!$C146=$B$6),OR($B$7="(All)",'Master Database'!$E146=$B$7),OR($B$8="(All)",'Master Database'!$T146=$B$8),OR($B$9="(All)",'Master Database'!$M146=$B$9),OR($B$10="(All)",'Master Database'!$V146=$B$10),OR($E$5="(All)",'Master Database'!$F146=$E$5),OR($E$6="(All)",'Master Database'!$G146=$E$6),OR($E$7="(All)",'Master Database'!$O146=$E$7),OR($E$8="(All)",'Master Database'!$P146=$E$8),OR($E$9="(All)",'Master Database'!$S146=$E$9),OR($E$10="(All)",'Master Database'!$Y146&amp;""=$E$10&amp;""),OR($H$5="(All)",'Master Database'!$BG146=$H$5),OR($H$6&lt;&gt;"Y",ISNUMBER('Master Database'!$AG146)),OR($H$7="",AND(ISNUMBER('Master Database'!$H146),N('Master Database'!$H146)&gt;=$H$7)),OR($I$7="",AND(ISNUMBER('Master Database'!$H146),N('Master Database'!$H146)&lt;=$I$7)),OR($H$8="",AND(ISNUMBER('Master Database'!$I146),N('Master Database'!$I146)&gt;=$H$8)),OR($I$8="",AND(ISNUMBER('Master Database'!$I146),N('Master Database'!$I146)&lt;=$I$8)),OR($H$9="",AND(ISNUMBER('Master Database'!$K146),N('Master Database'!$K146)&gt;=$H$9)),OR($I$9="",AND(ISNUMBER('Master Database'!$K146),N('Master Database'!$K146)&lt;=$I$9))),1,0))</f>
        <v>1</v>
      </c>
      <c r="BB146" s="65" t="n">
        <f aca="false">IF(BA146=1,COUNTIF($BA$5:BA146,1),"")</f>
        <v>142</v>
      </c>
    </row>
    <row r="147" customFormat="false" ht="15" hidden="false" customHeight="false" outlineLevel="0" collapsed="false">
      <c r="A147" s="67" t="n">
        <f aca="false">IF(132&lt;=SUM($BA$5:$BA$600),132,"")</f>
        <v>132</v>
      </c>
      <c r="B147" s="67" t="n">
        <f aca="false">IF(A147="","",MATCH(A147,$BB$5:$BB$600,0)+4)</f>
        <v>136</v>
      </c>
      <c r="C147" s="67" t="n">
        <f aca="false">IF($B147="","",IF(INDEX('Master Database'!$A$1:$A$600,$B147)="","",INDEX('Master Database'!$A$1:$A$600,$B147)))</f>
        <v>132</v>
      </c>
      <c r="D147" s="68" t="str">
        <f aca="false">IF($B147="","",IF(INDEX('Master Database'!$B$1:$B$600,$B147)="","",INDEX('Master Database'!$B$1:$B$600,$B147)))</f>
        <v>Dilution Water Pumps</v>
      </c>
      <c r="E147" s="68" t="str">
        <f aca="false">IF($B147="","",IF(INDEX('Master Database'!$C$1:$C$600,$B147)="","",INDEX('Master Database'!$C$1:$C$600,$B147)))</f>
        <v>Pazanan 2</v>
      </c>
      <c r="F147" s="68" t="str">
        <f aca="false">IF($B147="","",IF(INDEX('Master Database'!$D$1:$D$600,$B147)="","",INDEX('Master Database'!$D$1:$D$600,$B147)))</f>
        <v>P-125 A/B</v>
      </c>
      <c r="G147" s="68" t="str">
        <f aca="false">IF($B147="","",IF(INDEX('Master Database'!$E$1:$E$600,$B147)="","",INDEX('Master Database'!$E$1:$E$600,$B147)))</f>
        <v>ROT-WAT</v>
      </c>
      <c r="H147" s="68" t="str">
        <f aca="false">IF($B147="","",IF(INDEX('Master Database'!$F$1:$F$600,$B147)="","",INDEX('Master Database'!$F$1:$F$600,$B147)))</f>
        <v>OH2</v>
      </c>
      <c r="I147" s="68" t="str">
        <f aca="false">IF($B147="","",IF(INDEX('Master Database'!$G$1:$G$600,$B147)="","",INDEX('Master Database'!$G$1:$G$600,$B147)))</f>
        <v>I-2</v>
      </c>
      <c r="J147" s="69" t="n">
        <f aca="false">IF($B147="","",IF(INDEX('Master Database'!$H$1:$H$600,$B147)="","",INDEX('Master Database'!$H$1:$H$600,$B147)))</f>
        <v>31</v>
      </c>
      <c r="K147" s="69" t="n">
        <f aca="false">IF($B147="","",IF(INDEX('Master Database'!$I$1:$I$600,$B147)="","",INDEX('Master Database'!$I$1:$I$600,$B147)))</f>
        <v>122</v>
      </c>
      <c r="L147" s="69" t="n">
        <f aca="false">IF($B147="","",IF(INDEX('Master Database'!$K$1:$K$600,$B147)="","",INDEX('Master Database'!$K$1:$K$600,$B147)))</f>
        <v>17.1752951861944</v>
      </c>
      <c r="M147" s="68" t="str">
        <f aca="false">IF($B147="","",IF(INDEX('Master Database'!$L$1:$L$600,$B147)="","",INDEX('Master Database'!$L$1:$L$600,$B147)))</f>
        <v>API 610 + IPS-G-PM-105</v>
      </c>
      <c r="N147" s="68" t="str">
        <f aca="false">IF($B147="","",IF(INDEX('Master Database'!$P$1:$P$600,$B147)="","",INDEX('Master Database'!$P$1:$P$600,$B147)))</f>
        <v>Not stated</v>
      </c>
      <c r="O147" s="68" t="str">
        <f aca="false">IF($B147="","",IF(INDEX('Master Database'!$S$1:$S$600,$B147)="","",INDEX('Master Database'!$S$1:$S$600,$B147)))</f>
        <v>Electric Motor</v>
      </c>
      <c r="P147" s="68" t="str">
        <f aca="false">IF($B147="","",IF(INDEX('Master Database'!$T$1:$T$600,$B147)="","",INDEX('Master Database'!$T$1:$T$600,$B147)))</f>
        <v>Process / Dilution Water</v>
      </c>
      <c r="Q147" s="68" t="n">
        <f aca="false">IF($B147="","",IF(INDEX('Master Database'!$Y$1:$Y$600,$B147)="","",INDEX('Master Database'!$Y$1:$Y$600,$B147)))</f>
        <v>1393</v>
      </c>
      <c r="R147" s="68" t="str">
        <f aca="false">IF($B147="","",IF(INDEX('Master Database'!$Z$1:$Z$600,$B147)="","",INDEX('Master Database'!$Z$1:$Z$600,$B147)))</f>
        <v>EUR</v>
      </c>
      <c r="S147" s="70" t="n">
        <f aca="false">IF($B147="","",IF(INDEX('Master Database'!$AA$1:$AA$600,$B147)="","",INDEX('Master Database'!$AA$1:$AA$600,$B147)))</f>
        <v>12000</v>
      </c>
      <c r="T147" s="68" t="str">
        <f aca="false">IF($B147="","",IF(INDEX('Master Database'!$AE$1:$AE$600,$B147)="","",INDEX('Master Database'!$AE$1:$AE$600,$B147)))</f>
        <v>Consultant basic MTO estimate R02 (Feb 2015), PC-ME sheet PUMPS col. AR (FOB EUR)</v>
      </c>
      <c r="U147" s="70" t="n">
        <f aca="false">IF($B147="","",IF(INDEX('Master Database'!$AG$1:$AG$600,$B147)="","",INDEX('Master Database'!$AG$1:$AG$600,$B147)))</f>
        <v>16212.8148707675</v>
      </c>
      <c r="V147" s="70" t="n">
        <f aca="false">IF($B147="","",IF(INDEX('Master Database'!$AH$1:$AH$600,$B147)="","",INDEX('Master Database'!$AH$1:$AH$600,$B147)))</f>
        <v>17117.2156438156</v>
      </c>
      <c r="W147" s="70" t="n">
        <f aca="false">IF($B147="","",IF(INDEX('Master Database'!$AI$1:$AI$600,$B147)="","",INDEX('Master Database'!$AI$1:$AI$600,$B147)))</f>
        <v>11272251369.5688</v>
      </c>
      <c r="X147" s="68" t="str">
        <f aca="false">IF($B147="","",IF(INDEX('Master Database'!$BG$1:$BG$600,$B147)="","",INDEX('Master Database'!$BG$1:$BG$600,$B147)))</f>
        <v>Y</v>
      </c>
      <c r="BA147" s="65" t="n">
        <f aca="false">IF('Master Database'!$A147="",0,IF(AND(OR($B$5="",ISNUMBER(SEARCH($B$5,'Master Database'!$B147&amp;" "&amp;'Master Database'!$D147))),OR($B$6="(All)",'Master Database'!$C147=$B$6),OR($B$7="(All)",'Master Database'!$E147=$B$7),OR($B$8="(All)",'Master Database'!$T147=$B$8),OR($B$9="(All)",'Master Database'!$M147=$B$9),OR($B$10="(All)",'Master Database'!$V147=$B$10),OR($E$5="(All)",'Master Database'!$F147=$E$5),OR($E$6="(All)",'Master Database'!$G147=$E$6),OR($E$7="(All)",'Master Database'!$O147=$E$7),OR($E$8="(All)",'Master Database'!$P147=$E$8),OR($E$9="(All)",'Master Database'!$S147=$E$9),OR($E$10="(All)",'Master Database'!$Y147&amp;""=$E$10&amp;""),OR($H$5="(All)",'Master Database'!$BG147=$H$5),OR($H$6&lt;&gt;"Y",ISNUMBER('Master Database'!$AG147)),OR($H$7="",AND(ISNUMBER('Master Database'!$H147),N('Master Database'!$H147)&gt;=$H$7)),OR($I$7="",AND(ISNUMBER('Master Database'!$H147),N('Master Database'!$H147)&lt;=$I$7)),OR($H$8="",AND(ISNUMBER('Master Database'!$I147),N('Master Database'!$I147)&gt;=$H$8)),OR($I$8="",AND(ISNUMBER('Master Database'!$I147),N('Master Database'!$I147)&lt;=$I$8)),OR($H$9="",AND(ISNUMBER('Master Database'!$K147),N('Master Database'!$K147)&gt;=$H$9)),OR($I$9="",AND(ISNUMBER('Master Database'!$K147),N('Master Database'!$K147)&lt;=$I$9))),1,0))</f>
        <v>1</v>
      </c>
      <c r="BB147" s="65" t="n">
        <f aca="false">IF(BA147=1,COUNTIF($BA$5:BA147,1),"")</f>
        <v>143</v>
      </c>
    </row>
    <row r="148" customFormat="false" ht="15" hidden="false" customHeight="false" outlineLevel="0" collapsed="false">
      <c r="A148" s="67" t="n">
        <f aca="false">IF(133&lt;=SUM($BA$5:$BA$600),133,"")</f>
        <v>133</v>
      </c>
      <c r="B148" s="67" t="n">
        <f aca="false">IF(A148="","",MATCH(A148,$BB$5:$BB$600,0)+4)</f>
        <v>137</v>
      </c>
      <c r="C148" s="67" t="n">
        <f aca="false">IF($B148="","",IF(INDEX('Master Database'!$A$1:$A$600,$B148)="","",INDEX('Master Database'!$A$1:$A$600,$B148)))</f>
        <v>133</v>
      </c>
      <c r="D148" s="68" t="str">
        <f aca="false">IF($B148="","",IF(INDEX('Master Database'!$B$1:$B$600,$B148)="","",INDEX('Master Database'!$B$1:$B$600,$B148)))</f>
        <v>Disposal Water InjectionPumps</v>
      </c>
      <c r="E148" s="68" t="str">
        <f aca="false">IF($B148="","",IF(INDEX('Master Database'!$C$1:$C$600,$B148)="","",INDEX('Master Database'!$C$1:$C$600,$B148)))</f>
        <v>Pazanan 2</v>
      </c>
      <c r="F148" s="68" t="str">
        <f aca="false">IF($B148="","",IF(INDEX('Master Database'!$D$1:$D$600,$B148)="","",INDEX('Master Database'!$D$1:$D$600,$B148)))</f>
        <v>P-136 A/B</v>
      </c>
      <c r="G148" s="68" t="str">
        <f aca="false">IF($B148="","",IF(INDEX('Master Database'!$E$1:$E$600,$B148)="","",INDEX('Master Database'!$E$1:$E$600,$B148)))</f>
        <v>ROT-INJ</v>
      </c>
      <c r="H148" s="68" t="str">
        <f aca="false">IF($B148="","",IF(INDEX('Master Database'!$F$1:$F$600,$B148)="","",INDEX('Master Database'!$F$1:$F$600,$B148)))</f>
        <v>BB3</v>
      </c>
      <c r="I148" s="68" t="str">
        <f aca="false">IF($B148="","",IF(INDEX('Master Database'!$G$1:$G$600,$B148)="","",INDEX('Master Database'!$G$1:$G$600,$B148)))</f>
        <v>D-2</v>
      </c>
      <c r="J148" s="69" t="n">
        <f aca="false">IF($B148="","",IF(INDEX('Master Database'!$H$1:$H$600,$B148)="","",INDEX('Master Database'!$H$1:$H$600,$B148)))</f>
        <v>91</v>
      </c>
      <c r="K148" s="69" t="n">
        <f aca="false">IF($B148="","",IF(INDEX('Master Database'!$I$1:$I$600,$B148)="","",INDEX('Master Database'!$I$1:$I$600,$B148)))</f>
        <v>650</v>
      </c>
      <c r="L148" s="69" t="n">
        <f aca="false">IF($B148="","",IF(INDEX('Master Database'!$K$1:$K$600,$B148)="","",INDEX('Master Database'!$K$1:$K$600,$B148)))</f>
        <v>268.619436875568</v>
      </c>
      <c r="M148" s="68" t="str">
        <f aca="false">IF($B148="","",IF(INDEX('Master Database'!$L$1:$L$600,$B148)="","",INDEX('Master Database'!$L$1:$L$600,$B148)))</f>
        <v>API 610 + IPS-G-PM-105 + NACE MR0175</v>
      </c>
      <c r="N148" s="68" t="str">
        <f aca="false">IF($B148="","",IF(INDEX('Master Database'!$P$1:$P$600,$B148)="","",INDEX('Master Database'!$P$1:$P$600,$B148)))</f>
        <v>Not stated</v>
      </c>
      <c r="O148" s="68" t="str">
        <f aca="false">IF($B148="","",IF(INDEX('Master Database'!$S$1:$S$600,$B148)="","",INDEX('Master Database'!$S$1:$S$600,$B148)))</f>
        <v>Electric Motor</v>
      </c>
      <c r="P148" s="68" t="str">
        <f aca="false">IF($B148="","",IF(INDEX('Master Database'!$T$1:$T$600,$B148)="","",INDEX('Master Database'!$T$1:$T$600,$B148)))</f>
        <v>Produced / Disposal Water</v>
      </c>
      <c r="Q148" s="68" t="n">
        <f aca="false">IF($B148="","",IF(INDEX('Master Database'!$Y$1:$Y$600,$B148)="","",INDEX('Master Database'!$Y$1:$Y$600,$B148)))</f>
        <v>1393</v>
      </c>
      <c r="R148" s="68" t="str">
        <f aca="false">IF($B148="","",IF(INDEX('Master Database'!$Z$1:$Z$600,$B148)="","",INDEX('Master Database'!$Z$1:$Z$600,$B148)))</f>
        <v>EUR</v>
      </c>
      <c r="S148" s="70" t="n">
        <f aca="false">IF($B148="","",IF(INDEX('Master Database'!$AA$1:$AA$600,$B148)="","",INDEX('Master Database'!$AA$1:$AA$600,$B148)))</f>
        <v>260000</v>
      </c>
      <c r="T148" s="68" t="str">
        <f aca="false">IF($B148="","",IF(INDEX('Master Database'!$AE$1:$AE$600,$B148)="","",INDEX('Master Database'!$AE$1:$AE$600,$B148)))</f>
        <v>Consultant basic MTO estimate R02 (Feb 2015), PC-ME sheet PUMPS col. AR (FOB EUR)</v>
      </c>
      <c r="U148" s="70" t="n">
        <f aca="false">IF($B148="","",IF(INDEX('Master Database'!$AG$1:$AG$600,$B148)="","",INDEX('Master Database'!$AG$1:$AG$600,$B148)))</f>
        <v>351277.655533296</v>
      </c>
      <c r="V148" s="70" t="n">
        <f aca="false">IF($B148="","",IF(INDEX('Master Database'!$AH$1:$AH$600,$B148)="","",INDEX('Master Database'!$AH$1:$AH$600,$B148)))</f>
        <v>370873.005616004</v>
      </c>
      <c r="W148" s="70" t="n">
        <f aca="false">IF($B148="","",IF(INDEX('Master Database'!$AI$1:$AI$600,$B148)="","",INDEX('Master Database'!$AI$1:$AI$600,$B148)))</f>
        <v>244232113007.324</v>
      </c>
      <c r="X148" s="68" t="str">
        <f aca="false">IF($B148="","",IF(INDEX('Master Database'!$BG$1:$BG$600,$B148)="","",INDEX('Master Database'!$BG$1:$BG$600,$B148)))</f>
        <v>Y</v>
      </c>
      <c r="BA148" s="65" t="n">
        <f aca="false">IF('Master Database'!$A148="",0,IF(AND(OR($B$5="",ISNUMBER(SEARCH($B$5,'Master Database'!$B148&amp;" "&amp;'Master Database'!$D148))),OR($B$6="(All)",'Master Database'!$C148=$B$6),OR($B$7="(All)",'Master Database'!$E148=$B$7),OR($B$8="(All)",'Master Database'!$T148=$B$8),OR($B$9="(All)",'Master Database'!$M148=$B$9),OR($B$10="(All)",'Master Database'!$V148=$B$10),OR($E$5="(All)",'Master Database'!$F148=$E$5),OR($E$6="(All)",'Master Database'!$G148=$E$6),OR($E$7="(All)",'Master Database'!$O148=$E$7),OR($E$8="(All)",'Master Database'!$P148=$E$8),OR($E$9="(All)",'Master Database'!$S148=$E$9),OR($E$10="(All)",'Master Database'!$Y148&amp;""=$E$10&amp;""),OR($H$5="(All)",'Master Database'!$BG148=$H$5),OR($H$6&lt;&gt;"Y",ISNUMBER('Master Database'!$AG148)),OR($H$7="",AND(ISNUMBER('Master Database'!$H148),N('Master Database'!$H148)&gt;=$H$7)),OR($I$7="",AND(ISNUMBER('Master Database'!$H148),N('Master Database'!$H148)&lt;=$I$7)),OR($H$8="",AND(ISNUMBER('Master Database'!$I148),N('Master Database'!$I148)&gt;=$H$8)),OR($I$8="",AND(ISNUMBER('Master Database'!$I148),N('Master Database'!$I148)&lt;=$I$8)),OR($H$9="",AND(ISNUMBER('Master Database'!$K148),N('Master Database'!$K148)&gt;=$H$9)),OR($I$9="",AND(ISNUMBER('Master Database'!$K148),N('Master Database'!$K148)&lt;=$I$9))),1,0))</f>
        <v>1</v>
      </c>
      <c r="BB148" s="65" t="n">
        <f aca="false">IF(BA148=1,COUNTIF($BA$5:BA148,1),"")</f>
        <v>144</v>
      </c>
    </row>
    <row r="149" customFormat="false" ht="15" hidden="false" customHeight="false" outlineLevel="0" collapsed="false">
      <c r="A149" s="67" t="n">
        <f aca="false">IF(134&lt;=SUM($BA$5:$BA$600),134,"")</f>
        <v>134</v>
      </c>
      <c r="B149" s="67" t="n">
        <f aca="false">IF(A149="","",MATCH(A149,$BB$5:$BB$600,0)+4)</f>
        <v>138</v>
      </c>
      <c r="C149" s="67" t="n">
        <f aca="false">IF($B149="","",IF(INDEX('Master Database'!$A$1:$A$600,$B149)="","",INDEX('Master Database'!$A$1:$A$600,$B149)))</f>
        <v>134</v>
      </c>
      <c r="D149" s="68" t="str">
        <f aca="false">IF($B149="","",IF(INDEX('Master Database'!$B$1:$B$600,$B149)="","",INDEX('Master Database'!$B$1:$B$600,$B149)))</f>
        <v>Dirty Oil Pumps</v>
      </c>
      <c r="E149" s="68" t="str">
        <f aca="false">IF($B149="","",IF(INDEX('Master Database'!$C$1:$C$600,$B149)="","",INDEX('Master Database'!$C$1:$C$600,$B149)))</f>
        <v>Pazanan 2</v>
      </c>
      <c r="F149" s="68" t="str">
        <f aca="false">IF($B149="","",IF(INDEX('Master Database'!$D$1:$D$600,$B149)="","",INDEX('Master Database'!$D$1:$D$600,$B149)))</f>
        <v>P-137 A/B</v>
      </c>
      <c r="G149" s="68" t="str">
        <f aca="false">IF($B149="","",IF(INDEX('Master Database'!$E$1:$E$600,$B149)="","",INDEX('Master Database'!$E$1:$E$600,$B149)))</f>
        <v>ROT-DRN</v>
      </c>
      <c r="H149" s="68" t="str">
        <f aca="false">IF($B149="","",IF(INDEX('Master Database'!$F$1:$F$600,$B149)="","",INDEX('Master Database'!$F$1:$F$600,$B149)))</f>
        <v>N/A (non-API 610)</v>
      </c>
      <c r="I149" s="68" t="str">
        <f aca="false">IF($B149="","",IF(INDEX('Master Database'!$G$1:$G$600,$B149)="","",INDEX('Master Database'!$G$1:$G$600,$B149)))</f>
        <v>D-1</v>
      </c>
      <c r="J149" s="69" t="n">
        <f aca="false">IF($B149="","",IF(INDEX('Master Database'!$H$1:$H$600,$B149)="","",INDEX('Master Database'!$H$1:$H$600,$B149)))</f>
        <v>5</v>
      </c>
      <c r="K149" s="69" t="str">
        <f aca="false">IF($B149="","",IF(INDEX('Master Database'!$I$1:$I$600,$B149)="","",INDEX('Master Database'!$I$1:$I$600,$B149)))</f>
        <v/>
      </c>
      <c r="L149" s="69" t="str">
        <f aca="false">IF($B149="","",IF(INDEX('Master Database'!$K$1:$K$600,$B149)="","",INDEX('Master Database'!$K$1:$K$600,$B149)))</f>
        <v/>
      </c>
      <c r="M149" s="68" t="str">
        <f aca="false">IF($B149="","",IF(INDEX('Master Database'!$L$1:$L$600,$B149)="","",INDEX('Master Database'!$L$1:$L$600,$B149)))</f>
        <v>API 676 + IPS-M-PM-140 + NACE MR0175</v>
      </c>
      <c r="N149" s="68" t="str">
        <f aca="false">IF($B149="","",IF(INDEX('Master Database'!$P$1:$P$600,$B149)="","",INDEX('Master Database'!$P$1:$P$600,$B149)))</f>
        <v>Not stated</v>
      </c>
      <c r="O149" s="68" t="str">
        <f aca="false">IF($B149="","",IF(INDEX('Master Database'!$S$1:$S$600,$B149)="","",INDEX('Master Database'!$S$1:$S$600,$B149)))</f>
        <v>Electric Motor</v>
      </c>
      <c r="P149" s="68" t="str">
        <f aca="false">IF($B149="","",IF(INDEX('Master Database'!$T$1:$T$600,$B149)="","",INDEX('Master Database'!$T$1:$T$600,$B149)))</f>
        <v>Slop / Dirty Oil</v>
      </c>
      <c r="Q149" s="68" t="n">
        <f aca="false">IF($B149="","",IF(INDEX('Master Database'!$Y$1:$Y$600,$B149)="","",INDEX('Master Database'!$Y$1:$Y$600,$B149)))</f>
        <v>1393</v>
      </c>
      <c r="R149" s="68" t="str">
        <f aca="false">IF($B149="","",IF(INDEX('Master Database'!$Z$1:$Z$600,$B149)="","",INDEX('Master Database'!$Z$1:$Z$600,$B149)))</f>
        <v>EUR</v>
      </c>
      <c r="S149" s="70" t="n">
        <f aca="false">IF($B149="","",IF(INDEX('Master Database'!$AA$1:$AA$600,$B149)="","",INDEX('Master Database'!$AA$1:$AA$600,$B149)))</f>
        <v>10000</v>
      </c>
      <c r="T149" s="68" t="str">
        <f aca="false">IF($B149="","",IF(INDEX('Master Database'!$AE$1:$AE$600,$B149)="","",INDEX('Master Database'!$AE$1:$AE$600,$B149)))</f>
        <v>Consultant basic MTO estimate R02 (Feb 2015), PC-ME sheet PUMPS col. AR (FOB EUR)</v>
      </c>
      <c r="U149" s="70" t="n">
        <f aca="false">IF($B149="","",IF(INDEX('Master Database'!$AG$1:$AG$600,$B149)="","",INDEX('Master Database'!$AG$1:$AG$600,$B149)))</f>
        <v>13510.6790589729</v>
      </c>
      <c r="V149" s="70" t="n">
        <f aca="false">IF($B149="","",IF(INDEX('Master Database'!$AH$1:$AH$600,$B149)="","",INDEX('Master Database'!$AH$1:$AH$600,$B149)))</f>
        <v>14264.3463698463</v>
      </c>
      <c r="W149" s="70" t="n">
        <f aca="false">IF($B149="","",IF(INDEX('Master Database'!$AI$1:$AI$600,$B149)="","",INDEX('Master Database'!$AI$1:$AI$600,$B149)))</f>
        <v>9393542807.97399</v>
      </c>
      <c r="X149" s="68" t="str">
        <f aca="false">IF($B149="","",IF(INDEX('Master Database'!$BG$1:$BG$600,$B149)="","",INDEX('Master Database'!$BG$1:$BG$600,$B149)))</f>
        <v>Y</v>
      </c>
      <c r="BA149" s="65" t="n">
        <f aca="false">IF('Master Database'!$A149="",0,IF(AND(OR($B$5="",ISNUMBER(SEARCH($B$5,'Master Database'!$B149&amp;" "&amp;'Master Database'!$D149))),OR($B$6="(All)",'Master Database'!$C149=$B$6),OR($B$7="(All)",'Master Database'!$E149=$B$7),OR($B$8="(All)",'Master Database'!$T149=$B$8),OR($B$9="(All)",'Master Database'!$M149=$B$9),OR($B$10="(All)",'Master Database'!$V149=$B$10),OR($E$5="(All)",'Master Database'!$F149=$E$5),OR($E$6="(All)",'Master Database'!$G149=$E$6),OR($E$7="(All)",'Master Database'!$O149=$E$7),OR($E$8="(All)",'Master Database'!$P149=$E$8),OR($E$9="(All)",'Master Database'!$S149=$E$9),OR($E$10="(All)",'Master Database'!$Y149&amp;""=$E$10&amp;""),OR($H$5="(All)",'Master Database'!$BG149=$H$5),OR($H$6&lt;&gt;"Y",ISNUMBER('Master Database'!$AG149)),OR($H$7="",AND(ISNUMBER('Master Database'!$H149),N('Master Database'!$H149)&gt;=$H$7)),OR($I$7="",AND(ISNUMBER('Master Database'!$H149),N('Master Database'!$H149)&lt;=$I$7)),OR($H$8="",AND(ISNUMBER('Master Database'!$I149),N('Master Database'!$I149)&gt;=$H$8)),OR($I$8="",AND(ISNUMBER('Master Database'!$I149),N('Master Database'!$I149)&lt;=$I$8)),OR($H$9="",AND(ISNUMBER('Master Database'!$K149),N('Master Database'!$K149)&gt;=$H$9)),OR($I$9="",AND(ISNUMBER('Master Database'!$K149),N('Master Database'!$K149)&lt;=$I$9))),1,0))</f>
        <v>1</v>
      </c>
      <c r="BB149" s="65" t="n">
        <f aca="false">IF(BA149=1,COUNTIF($BA$5:BA149,1),"")</f>
        <v>145</v>
      </c>
    </row>
    <row r="150" customFormat="false" ht="15" hidden="false" customHeight="false" outlineLevel="0" collapsed="false">
      <c r="A150" s="67" t="n">
        <f aca="false">IF(135&lt;=SUM($BA$5:$BA$600),135,"")</f>
        <v>135</v>
      </c>
      <c r="B150" s="67" t="n">
        <f aca="false">IF(A150="","",MATCH(A150,$BB$5:$BB$600,0)+4)</f>
        <v>139</v>
      </c>
      <c r="C150" s="67" t="n">
        <f aca="false">IF($B150="","",IF(INDEX('Master Database'!$A$1:$A$600,$B150)="","",INDEX('Master Database'!$A$1:$A$600,$B150)))</f>
        <v>135</v>
      </c>
      <c r="D150" s="68" t="str">
        <f aca="false">IF($B150="","",IF(INDEX('Master Database'!$B$1:$B$600,$B150)="","",INDEX('Master Database'!$B$1:$B$600,$B150)))</f>
        <v>Evaporation Pond Water Return Pumps</v>
      </c>
      <c r="E150" s="68" t="str">
        <f aca="false">IF($B150="","",IF(INDEX('Master Database'!$C$1:$C$600,$B150)="","",INDEX('Master Database'!$C$1:$C$600,$B150)))</f>
        <v>Pazanan 2</v>
      </c>
      <c r="F150" s="68" t="str">
        <f aca="false">IF($B150="","",IF(INDEX('Master Database'!$D$1:$D$600,$B150)="","",INDEX('Master Database'!$D$1:$D$600,$B150)))</f>
        <v>P-138 A/B</v>
      </c>
      <c r="G150" s="68" t="str">
        <f aca="false">IF($B150="","",IF(INDEX('Master Database'!$E$1:$E$600,$B150)="","",INDEX('Master Database'!$E$1:$E$600,$B150)))</f>
        <v>ROT-INJ</v>
      </c>
      <c r="H150" s="68" t="str">
        <f aca="false">IF($B150="","",IF(INDEX('Master Database'!$F$1:$F$600,$B150)="","",INDEX('Master Database'!$F$1:$F$600,$B150)))</f>
        <v>OH2</v>
      </c>
      <c r="I150" s="68" t="str">
        <f aca="false">IF($B150="","",IF(INDEX('Master Database'!$G$1:$G$600,$B150)="","",INDEX('Master Database'!$G$1:$G$600,$B150)))</f>
        <v>D-2</v>
      </c>
      <c r="J150" s="69" t="n">
        <f aca="false">IF($B150="","",IF(INDEX('Master Database'!$H$1:$H$600,$B150)="","",INDEX('Master Database'!$H$1:$H$600,$B150)))</f>
        <v>15</v>
      </c>
      <c r="K150" s="69" t="n">
        <f aca="false">IF($B150="","",IF(INDEX('Master Database'!$I$1:$I$600,$B150)="","",INDEX('Master Database'!$I$1:$I$600,$B150)))</f>
        <v>27</v>
      </c>
      <c r="L150" s="69" t="n">
        <f aca="false">IF($B150="","",IF(INDEX('Master Database'!$K$1:$K$600,$B150)="","",INDEX('Master Database'!$K$1:$K$600,$B150)))</f>
        <v>1.83923705722071</v>
      </c>
      <c r="M150" s="68" t="str">
        <f aca="false">IF($B150="","",IF(INDEX('Master Database'!$L$1:$L$600,$B150)="","",INDEX('Master Database'!$L$1:$L$600,$B150)))</f>
        <v>API 610 + IPS-G-PM-105</v>
      </c>
      <c r="N150" s="68" t="str">
        <f aca="false">IF($B150="","",IF(INDEX('Master Database'!$P$1:$P$600,$B150)="","",INDEX('Master Database'!$P$1:$P$600,$B150)))</f>
        <v>Not stated</v>
      </c>
      <c r="O150" s="68" t="str">
        <f aca="false">IF($B150="","",IF(INDEX('Master Database'!$S$1:$S$600,$B150)="","",INDEX('Master Database'!$S$1:$S$600,$B150)))</f>
        <v>Electric Motor</v>
      </c>
      <c r="P150" s="68" t="str">
        <f aca="false">IF($B150="","",IF(INDEX('Master Database'!$T$1:$T$600,$B150)="","",INDEX('Master Database'!$T$1:$T$600,$B150)))</f>
        <v>Produced / Disposal Water</v>
      </c>
      <c r="Q150" s="68" t="n">
        <f aca="false">IF($B150="","",IF(INDEX('Master Database'!$Y$1:$Y$600,$B150)="","",INDEX('Master Database'!$Y$1:$Y$600,$B150)))</f>
        <v>1393</v>
      </c>
      <c r="R150" s="68" t="str">
        <f aca="false">IF($B150="","",IF(INDEX('Master Database'!$Z$1:$Z$600,$B150)="","",INDEX('Master Database'!$Z$1:$Z$600,$B150)))</f>
        <v>EUR</v>
      </c>
      <c r="S150" s="70" t="n">
        <f aca="false">IF($B150="","",IF(INDEX('Master Database'!$AA$1:$AA$600,$B150)="","",INDEX('Master Database'!$AA$1:$AA$600,$B150)))</f>
        <v>35000</v>
      </c>
      <c r="T150" s="68" t="str">
        <f aca="false">IF($B150="","",IF(INDEX('Master Database'!$AE$1:$AE$600,$B150)="","",INDEX('Master Database'!$AE$1:$AE$600,$B150)))</f>
        <v>Consultant basic MTO estimate R02 (Feb 2015), PC-ME sheet PUMPS col. AR (FOB EUR)</v>
      </c>
      <c r="U150" s="70" t="n">
        <f aca="false">IF($B150="","",IF(INDEX('Master Database'!$AG$1:$AG$600,$B150)="","",INDEX('Master Database'!$AG$1:$AG$600,$B150)))</f>
        <v>47287.3767064053</v>
      </c>
      <c r="V150" s="70" t="n">
        <f aca="false">IF($B150="","",IF(INDEX('Master Database'!$AH$1:$AH$600,$B150)="","",INDEX('Master Database'!$AH$1:$AH$600,$B150)))</f>
        <v>49925.212294462</v>
      </c>
      <c r="W150" s="70" t="n">
        <f aca="false">IF($B150="","",IF(INDEX('Master Database'!$AI$1:$AI$600,$B150)="","",INDEX('Master Database'!$AI$1:$AI$600,$B150)))</f>
        <v>32877399827.909</v>
      </c>
      <c r="X150" s="68" t="str">
        <f aca="false">IF($B150="","",IF(INDEX('Master Database'!$BG$1:$BG$600,$B150)="","",INDEX('Master Database'!$BG$1:$BG$600,$B150)))</f>
        <v>Y</v>
      </c>
      <c r="BA150" s="65" t="n">
        <f aca="false">IF('Master Database'!$A150="",0,IF(AND(OR($B$5="",ISNUMBER(SEARCH($B$5,'Master Database'!$B150&amp;" "&amp;'Master Database'!$D150))),OR($B$6="(All)",'Master Database'!$C150=$B$6),OR($B$7="(All)",'Master Database'!$E150=$B$7),OR($B$8="(All)",'Master Database'!$T150=$B$8),OR($B$9="(All)",'Master Database'!$M150=$B$9),OR($B$10="(All)",'Master Database'!$V150=$B$10),OR($E$5="(All)",'Master Database'!$F150=$E$5),OR($E$6="(All)",'Master Database'!$G150=$E$6),OR($E$7="(All)",'Master Database'!$O150=$E$7),OR($E$8="(All)",'Master Database'!$P150=$E$8),OR($E$9="(All)",'Master Database'!$S150=$E$9),OR($E$10="(All)",'Master Database'!$Y150&amp;""=$E$10&amp;""),OR($H$5="(All)",'Master Database'!$BG150=$H$5),OR($H$6&lt;&gt;"Y",ISNUMBER('Master Database'!$AG150)),OR($H$7="",AND(ISNUMBER('Master Database'!$H150),N('Master Database'!$H150)&gt;=$H$7)),OR($I$7="",AND(ISNUMBER('Master Database'!$H150),N('Master Database'!$H150)&lt;=$I$7)),OR($H$8="",AND(ISNUMBER('Master Database'!$I150),N('Master Database'!$I150)&gt;=$H$8)),OR($I$8="",AND(ISNUMBER('Master Database'!$I150),N('Master Database'!$I150)&lt;=$I$8)),OR($H$9="",AND(ISNUMBER('Master Database'!$K150),N('Master Database'!$K150)&gt;=$H$9)),OR($I$9="",AND(ISNUMBER('Master Database'!$K150),N('Master Database'!$K150)&lt;=$I$9))),1,0))</f>
        <v>1</v>
      </c>
      <c r="BB150" s="65" t="n">
        <f aca="false">IF(BA150=1,COUNTIF($BA$5:BA150,1),"")</f>
        <v>146</v>
      </c>
    </row>
    <row r="151" customFormat="false" ht="15" hidden="false" customHeight="false" outlineLevel="0" collapsed="false">
      <c r="A151" s="67" t="n">
        <f aca="false">IF(136&lt;=SUM($BA$5:$BA$600),136,"")</f>
        <v>136</v>
      </c>
      <c r="B151" s="67" t="n">
        <f aca="false">IF(A151="","",MATCH(A151,$BB$5:$BB$600,0)+4)</f>
        <v>140</v>
      </c>
      <c r="C151" s="67" t="n">
        <f aca="false">IF($B151="","",IF(INDEX('Master Database'!$A$1:$A$600,$B151)="","",INDEX('Master Database'!$A$1:$A$600,$B151)))</f>
        <v>136</v>
      </c>
      <c r="D151" s="68" t="str">
        <f aca="false">IF($B151="","",IF(INDEX('Master Database'!$B$1:$B$600,$B151)="","",INDEX('Master Database'!$B$1:$B$600,$B151)))</f>
        <v>Disposal Water InjectionPumps</v>
      </c>
      <c r="E151" s="68" t="str">
        <f aca="false">IF($B151="","",IF(INDEX('Master Database'!$C$1:$C$600,$B151)="","",INDEX('Master Database'!$C$1:$C$600,$B151)))</f>
        <v>Pazanan 2</v>
      </c>
      <c r="F151" s="68" t="str">
        <f aca="false">IF($B151="","",IF(INDEX('Master Database'!$D$1:$D$600,$B151)="","",INDEX('Master Database'!$D$1:$D$600,$B151)))</f>
        <v>P-139 A/B/C</v>
      </c>
      <c r="G151" s="68" t="str">
        <f aca="false">IF($B151="","",IF(INDEX('Master Database'!$E$1:$E$600,$B151)="","",INDEX('Master Database'!$E$1:$E$600,$B151)))</f>
        <v>ROT-INJ</v>
      </c>
      <c r="H151" s="68" t="str">
        <f aca="false">IF($B151="","",IF(INDEX('Master Database'!$F$1:$F$600,$B151)="","",INDEX('Master Database'!$F$1:$F$600,$B151)))</f>
        <v>BB3</v>
      </c>
      <c r="I151" s="68" t="str">
        <f aca="false">IF($B151="","",IF(INDEX('Master Database'!$G$1:$G$600,$B151)="","",INDEX('Master Database'!$G$1:$G$600,$B151)))</f>
        <v>D-2</v>
      </c>
      <c r="J151" s="69" t="n">
        <f aca="false">IF($B151="","",IF(INDEX('Master Database'!$H$1:$H$600,$B151)="","",INDEX('Master Database'!$H$1:$H$600,$B151)))</f>
        <v>44</v>
      </c>
      <c r="K151" s="69" t="n">
        <f aca="false">IF($B151="","",IF(INDEX('Master Database'!$I$1:$I$600,$B151)="","",INDEX('Master Database'!$I$1:$I$600,$B151)))</f>
        <v>385</v>
      </c>
      <c r="L151" s="69" t="n">
        <f aca="false">IF($B151="","",IF(INDEX('Master Database'!$K$1:$K$600,$B151)="","",INDEX('Master Database'!$K$1:$K$600,$B151)))</f>
        <v>76.9300635785649</v>
      </c>
      <c r="M151" s="68" t="str">
        <f aca="false">IF($B151="","",IF(INDEX('Master Database'!$L$1:$L$600,$B151)="","",INDEX('Master Database'!$L$1:$L$600,$B151)))</f>
        <v>API 610 + IPS-G-PM-105 + NACE MR0175</v>
      </c>
      <c r="N151" s="68" t="str">
        <f aca="false">IF($B151="","",IF(INDEX('Master Database'!$P$1:$P$600,$B151)="","",INDEX('Master Database'!$P$1:$P$600,$B151)))</f>
        <v>Not stated</v>
      </c>
      <c r="O151" s="68" t="str">
        <f aca="false">IF($B151="","",IF(INDEX('Master Database'!$S$1:$S$600,$B151)="","",INDEX('Master Database'!$S$1:$S$600,$B151)))</f>
        <v>Electric Motor</v>
      </c>
      <c r="P151" s="68" t="str">
        <f aca="false">IF($B151="","",IF(INDEX('Master Database'!$T$1:$T$600,$B151)="","",INDEX('Master Database'!$T$1:$T$600,$B151)))</f>
        <v>Produced / Disposal Water</v>
      </c>
      <c r="Q151" s="68" t="n">
        <f aca="false">IF($B151="","",IF(INDEX('Master Database'!$Y$1:$Y$600,$B151)="","",INDEX('Master Database'!$Y$1:$Y$600,$B151)))</f>
        <v>1393</v>
      </c>
      <c r="R151" s="68" t="str">
        <f aca="false">IF($B151="","",IF(INDEX('Master Database'!$Z$1:$Z$600,$B151)="","",INDEX('Master Database'!$Z$1:$Z$600,$B151)))</f>
        <v>EUR</v>
      </c>
      <c r="S151" s="70" t="n">
        <f aca="false">IF($B151="","",IF(INDEX('Master Database'!$AA$1:$AA$600,$B151)="","",INDEX('Master Database'!$AA$1:$AA$600,$B151)))</f>
        <v>180000</v>
      </c>
      <c r="T151" s="68" t="str">
        <f aca="false">IF($B151="","",IF(INDEX('Master Database'!$AE$1:$AE$600,$B151)="","",INDEX('Master Database'!$AE$1:$AE$600,$B151)))</f>
        <v>Consultant basic MTO estimate R02 (Feb 2015), PC-ME sheet PUMPS col. AR (FOB EUR)</v>
      </c>
      <c r="U151" s="70" t="n">
        <f aca="false">IF($B151="","",IF(INDEX('Master Database'!$AG$1:$AG$600,$B151)="","",INDEX('Master Database'!$AG$1:$AG$600,$B151)))</f>
        <v>243192.223061513</v>
      </c>
      <c r="V151" s="70" t="n">
        <f aca="false">IF($B151="","",IF(INDEX('Master Database'!$AH$1:$AH$600,$B151)="","",INDEX('Master Database'!$AH$1:$AH$600,$B151)))</f>
        <v>256758.234657233</v>
      </c>
      <c r="W151" s="70" t="n">
        <f aca="false">IF($B151="","",IF(INDEX('Master Database'!$AI$1:$AI$600,$B151)="","",INDEX('Master Database'!$AI$1:$AI$600,$B151)))</f>
        <v>169083770543.532</v>
      </c>
      <c r="X151" s="68" t="str">
        <f aca="false">IF($B151="","",IF(INDEX('Master Database'!$BG$1:$BG$600,$B151)="","",INDEX('Master Database'!$BG$1:$BG$600,$B151)))</f>
        <v>Y</v>
      </c>
      <c r="BA151" s="65" t="n">
        <f aca="false">IF('Master Database'!$A151="",0,IF(AND(OR($B$5="",ISNUMBER(SEARCH($B$5,'Master Database'!$B151&amp;" "&amp;'Master Database'!$D151))),OR($B$6="(All)",'Master Database'!$C151=$B$6),OR($B$7="(All)",'Master Database'!$E151=$B$7),OR($B$8="(All)",'Master Database'!$T151=$B$8),OR($B$9="(All)",'Master Database'!$M151=$B$9),OR($B$10="(All)",'Master Database'!$V151=$B$10),OR($E$5="(All)",'Master Database'!$F151=$E$5),OR($E$6="(All)",'Master Database'!$G151=$E$6),OR($E$7="(All)",'Master Database'!$O151=$E$7),OR($E$8="(All)",'Master Database'!$P151=$E$8),OR($E$9="(All)",'Master Database'!$S151=$E$9),OR($E$10="(All)",'Master Database'!$Y151&amp;""=$E$10&amp;""),OR($H$5="(All)",'Master Database'!$BG151=$H$5),OR($H$6&lt;&gt;"Y",ISNUMBER('Master Database'!$AG151)),OR($H$7="",AND(ISNUMBER('Master Database'!$H151),N('Master Database'!$H151)&gt;=$H$7)),OR($I$7="",AND(ISNUMBER('Master Database'!$H151),N('Master Database'!$H151)&lt;=$I$7)),OR($H$8="",AND(ISNUMBER('Master Database'!$I151),N('Master Database'!$I151)&gt;=$H$8)),OR($I$8="",AND(ISNUMBER('Master Database'!$I151),N('Master Database'!$I151)&lt;=$I$8)),OR($H$9="",AND(ISNUMBER('Master Database'!$K151),N('Master Database'!$K151)&gt;=$H$9)),OR($I$9="",AND(ISNUMBER('Master Database'!$K151),N('Master Database'!$K151)&lt;=$I$9))),1,0))</f>
        <v>0</v>
      </c>
      <c r="BB151" s="0" t="str">
        <f aca="false">IF(BA151=1,COUNTIF($BA$5:BA151,1),"")</f>
        <v/>
      </c>
    </row>
    <row r="152" customFormat="false" ht="15" hidden="false" customHeight="false" outlineLevel="0" collapsed="false">
      <c r="A152" s="67" t="n">
        <f aca="false">IF(137&lt;=SUM($BA$5:$BA$600),137,"")</f>
        <v>137</v>
      </c>
      <c r="B152" s="67" t="n">
        <f aca="false">IF(A152="","",MATCH(A152,$BB$5:$BB$600,0)+4)</f>
        <v>141</v>
      </c>
      <c r="C152" s="67" t="n">
        <f aca="false">IF($B152="","",IF(INDEX('Master Database'!$A$1:$A$600,$B152)="","",INDEX('Master Database'!$A$1:$A$600,$B152)))</f>
        <v>137</v>
      </c>
      <c r="D152" s="68" t="str">
        <f aca="false">IF($B152="","",IF(INDEX('Master Database'!$B$1:$B$600,$B152)="","",INDEX('Master Database'!$B$1:$B$600,$B152)))</f>
        <v>Flare K.O. Drum Pumps</v>
      </c>
      <c r="E152" s="68" t="str">
        <f aca="false">IF($B152="","",IF(INDEX('Master Database'!$C$1:$C$600,$B152)="","",INDEX('Master Database'!$C$1:$C$600,$B152)))</f>
        <v>Pazanan 2</v>
      </c>
      <c r="F152" s="68" t="str">
        <f aca="false">IF($B152="","",IF(INDEX('Master Database'!$D$1:$D$600,$B152)="","",INDEX('Master Database'!$D$1:$D$600,$B152)))</f>
        <v>P-151 A/B</v>
      </c>
      <c r="G152" s="68" t="str">
        <f aca="false">IF($B152="","",IF(INDEX('Master Database'!$E$1:$E$600,$B152)="","",INDEX('Master Database'!$E$1:$E$600,$B152)))</f>
        <v>ROT-DRN</v>
      </c>
      <c r="H152" s="68" t="str">
        <f aca="false">IF($B152="","",IF(INDEX('Master Database'!$F$1:$F$600,$B152)="","",INDEX('Master Database'!$F$1:$F$600,$B152)))</f>
        <v>OH2</v>
      </c>
      <c r="I152" s="68" t="str">
        <f aca="false">IF($B152="","",IF(INDEX('Master Database'!$G$1:$G$600,$B152)="","",INDEX('Master Database'!$G$1:$G$600,$B152)))</f>
        <v>S-6</v>
      </c>
      <c r="J152" s="69" t="n">
        <f aca="false">IF($B152="","",IF(INDEX('Master Database'!$H$1:$H$600,$B152)="","",INDEX('Master Database'!$H$1:$H$600,$B152)))</f>
        <v>10</v>
      </c>
      <c r="K152" s="69" t="n">
        <f aca="false">IF($B152="","",IF(INDEX('Master Database'!$I$1:$I$600,$B152)="","",INDEX('Master Database'!$I$1:$I$600,$B152)))</f>
        <v>40</v>
      </c>
      <c r="L152" s="69" t="n">
        <f aca="false">IF($B152="","",IF(INDEX('Master Database'!$K$1:$K$600,$B152)="","",INDEX('Master Database'!$K$1:$K$600,$B152)))</f>
        <v>1.81653042688465</v>
      </c>
      <c r="M152" s="68" t="str">
        <f aca="false">IF($B152="","",IF(INDEX('Master Database'!$L$1:$L$600,$B152)="","",INDEX('Master Database'!$L$1:$L$600,$B152)))</f>
        <v>API 610 + IPS-G-PM-105</v>
      </c>
      <c r="N152" s="68" t="str">
        <f aca="false">IF($B152="","",IF(INDEX('Master Database'!$P$1:$P$600,$B152)="","",INDEX('Master Database'!$P$1:$P$600,$B152)))</f>
        <v>Not stated</v>
      </c>
      <c r="O152" s="68" t="str">
        <f aca="false">IF($B152="","",IF(INDEX('Master Database'!$S$1:$S$600,$B152)="","",INDEX('Master Database'!$S$1:$S$600,$B152)))</f>
        <v>Electric Motor</v>
      </c>
      <c r="P152" s="68" t="str">
        <f aca="false">IF($B152="","",IF(INDEX('Master Database'!$T$1:$T$600,$B152)="","",INDEX('Master Database'!$T$1:$T$600,$B152)))</f>
        <v>Oily Water / Drain</v>
      </c>
      <c r="Q152" s="68" t="n">
        <f aca="false">IF($B152="","",IF(INDEX('Master Database'!$Y$1:$Y$600,$B152)="","",INDEX('Master Database'!$Y$1:$Y$600,$B152)))</f>
        <v>1393</v>
      </c>
      <c r="R152" s="68" t="str">
        <f aca="false">IF($B152="","",IF(INDEX('Master Database'!$Z$1:$Z$600,$B152)="","",INDEX('Master Database'!$Z$1:$Z$600,$B152)))</f>
        <v>EUR</v>
      </c>
      <c r="S152" s="70" t="n">
        <f aca="false">IF($B152="","",IF(INDEX('Master Database'!$AA$1:$AA$600,$B152)="","",INDEX('Master Database'!$AA$1:$AA$600,$B152)))</f>
        <v>15000</v>
      </c>
      <c r="T152" s="68" t="str">
        <f aca="false">IF($B152="","",IF(INDEX('Master Database'!$AE$1:$AE$600,$B152)="","",INDEX('Master Database'!$AE$1:$AE$600,$B152)))</f>
        <v>Consultant basic MTO estimate R02 (Feb 2015), PC-ME sheet PUMPS col. AR (FOB EUR)</v>
      </c>
      <c r="U152" s="70" t="n">
        <f aca="false">IF($B152="","",IF(INDEX('Master Database'!$AG$1:$AG$600,$B152)="","",INDEX('Master Database'!$AG$1:$AG$600,$B152)))</f>
        <v>25000</v>
      </c>
      <c r="V152" s="70" t="n">
        <f aca="false">IF($B152="","",IF(INDEX('Master Database'!$AH$1:$AH$600,$B152)="","",INDEX('Master Database'!$AH$1:$AH$600,$B152)))</f>
        <v>26394.5770371416</v>
      </c>
      <c r="W152" s="70" t="n">
        <f aca="false">IF($B152="","",IF(INDEX('Master Database'!$AI$1:$AI$600,$B152)="","",INDEX('Master Database'!$AI$1:$AI$600,$B152)))</f>
        <v>17381700000</v>
      </c>
      <c r="X152" s="68" t="str">
        <f aca="false">IF($B152="","",IF(INDEX('Master Database'!$BG$1:$BG$600,$B152)="","",INDEX('Master Database'!$BG$1:$BG$600,$B152)))</f>
        <v>Y</v>
      </c>
      <c r="BA152" s="65" t="n">
        <f aca="false">IF('Master Database'!$A152="",0,IF(AND(OR($B$5="",ISNUMBER(SEARCH($B$5,'Master Database'!$B152&amp;" "&amp;'Master Database'!$D152))),OR($B$6="(All)",'Master Database'!$C152=$B$6),OR($B$7="(All)",'Master Database'!$E152=$B$7),OR($B$8="(All)",'Master Database'!$T152=$B$8),OR($B$9="(All)",'Master Database'!$M152=$B$9),OR($B$10="(All)",'Master Database'!$V152=$B$10),OR($E$5="(All)",'Master Database'!$F152=$E$5),OR($E$6="(All)",'Master Database'!$G152=$E$6),OR($E$7="(All)",'Master Database'!$O152=$E$7),OR($E$8="(All)",'Master Database'!$P152=$E$8),OR($E$9="(All)",'Master Database'!$S152=$E$9),OR($E$10="(All)",'Master Database'!$Y152&amp;""=$E$10&amp;""),OR($H$5="(All)",'Master Database'!$BG152=$H$5),OR($H$6&lt;&gt;"Y",ISNUMBER('Master Database'!$AG152)),OR($H$7="",AND(ISNUMBER('Master Database'!$H152),N('Master Database'!$H152)&gt;=$H$7)),OR($I$7="",AND(ISNUMBER('Master Database'!$H152),N('Master Database'!$H152)&lt;=$I$7)),OR($H$8="",AND(ISNUMBER('Master Database'!$I152),N('Master Database'!$I152)&gt;=$H$8)),OR($I$8="",AND(ISNUMBER('Master Database'!$I152),N('Master Database'!$I152)&lt;=$I$8)),OR($H$9="",AND(ISNUMBER('Master Database'!$K152),N('Master Database'!$K152)&gt;=$H$9)),OR($I$9="",AND(ISNUMBER('Master Database'!$K152),N('Master Database'!$K152)&lt;=$I$9))),1,0))</f>
        <v>0</v>
      </c>
      <c r="BB152" s="0" t="str">
        <f aca="false">IF(BA152=1,COUNTIF($BA$5:BA152,1),"")</f>
        <v/>
      </c>
    </row>
    <row r="153" customFormat="false" ht="15" hidden="false" customHeight="false" outlineLevel="0" collapsed="false">
      <c r="A153" s="67" t="n">
        <f aca="false">IF(138&lt;=SUM($BA$5:$BA$600),138,"")</f>
        <v>138</v>
      </c>
      <c r="B153" s="67" t="n">
        <f aca="false">IF(A153="","",MATCH(A153,$BB$5:$BB$600,0)+4)</f>
        <v>142</v>
      </c>
      <c r="C153" s="67" t="n">
        <f aca="false">IF($B153="","",IF(INDEX('Master Database'!$A$1:$A$600,$B153)="","",INDEX('Master Database'!$A$1:$A$600,$B153)))</f>
        <v>138</v>
      </c>
      <c r="D153" s="68" t="str">
        <f aca="false">IF($B153="","",IF(INDEX('Master Database'!$B$1:$B$600,$B153)="","",INDEX('Master Database'!$B$1:$B$600,$B153)))</f>
        <v>Closed Drain Drum Pumps</v>
      </c>
      <c r="E153" s="68" t="str">
        <f aca="false">IF($B153="","",IF(INDEX('Master Database'!$C$1:$C$600,$B153)="","",INDEX('Master Database'!$C$1:$C$600,$B153)))</f>
        <v>Pazanan 2</v>
      </c>
      <c r="F153" s="68" t="str">
        <f aca="false">IF($B153="","",IF(INDEX('Master Database'!$D$1:$D$600,$B153)="","",INDEX('Master Database'!$D$1:$D$600,$B153)))</f>
        <v>P-161 A/B</v>
      </c>
      <c r="G153" s="68" t="str">
        <f aca="false">IF($B153="","",IF(INDEX('Master Database'!$E$1:$E$600,$B153)="","",INDEX('Master Database'!$E$1:$E$600,$B153)))</f>
        <v>ROT-DRN</v>
      </c>
      <c r="H153" s="68" t="str">
        <f aca="false">IF($B153="","",IF(INDEX('Master Database'!$F$1:$F$600,$B153)="","",INDEX('Master Database'!$F$1:$F$600,$B153)))</f>
        <v>OH2</v>
      </c>
      <c r="I153" s="68" t="str">
        <f aca="false">IF($B153="","",IF(INDEX('Master Database'!$G$1:$G$600,$B153)="","",INDEX('Master Database'!$G$1:$G$600,$B153)))</f>
        <v>D-2</v>
      </c>
      <c r="J153" s="69" t="n">
        <f aca="false">IF($B153="","",IF(INDEX('Master Database'!$H$1:$H$600,$B153)="","",INDEX('Master Database'!$H$1:$H$600,$B153)))</f>
        <v>25</v>
      </c>
      <c r="K153" s="69" t="n">
        <f aca="false">IF($B153="","",IF(INDEX('Master Database'!$I$1:$I$600,$B153)="","",INDEX('Master Database'!$I$1:$I$600,$B153)))</f>
        <v>55</v>
      </c>
      <c r="L153" s="69" t="n">
        <f aca="false">IF($B153="","",IF(INDEX('Master Database'!$K$1:$K$600,$B153)="","",INDEX('Master Database'!$K$1:$K$600,$B153)))</f>
        <v>6.24432334241599</v>
      </c>
      <c r="M153" s="68" t="str">
        <f aca="false">IF($B153="","",IF(INDEX('Master Database'!$L$1:$L$600,$B153)="","",INDEX('Master Database'!$L$1:$L$600,$B153)))</f>
        <v>API 610 + IPS-G-PM-105 + NACE MR0175</v>
      </c>
      <c r="N153" s="68" t="str">
        <f aca="false">IF($B153="","",IF(INDEX('Master Database'!$P$1:$P$600,$B153)="","",INDEX('Master Database'!$P$1:$P$600,$B153)))</f>
        <v>Not stated</v>
      </c>
      <c r="O153" s="68" t="str">
        <f aca="false">IF($B153="","",IF(INDEX('Master Database'!$S$1:$S$600,$B153)="","",INDEX('Master Database'!$S$1:$S$600,$B153)))</f>
        <v>Electric Motor</v>
      </c>
      <c r="P153" s="68" t="str">
        <f aca="false">IF($B153="","",IF(INDEX('Master Database'!$T$1:$T$600,$B153)="","",INDEX('Master Database'!$T$1:$T$600,$B153)))</f>
        <v>Oily Water / Drain</v>
      </c>
      <c r="Q153" s="68" t="n">
        <f aca="false">IF($B153="","",IF(INDEX('Master Database'!$Y$1:$Y$600,$B153)="","",INDEX('Master Database'!$Y$1:$Y$600,$B153)))</f>
        <v>1393</v>
      </c>
      <c r="R153" s="68" t="str">
        <f aca="false">IF($B153="","",IF(INDEX('Master Database'!$Z$1:$Z$600,$B153)="","",INDEX('Master Database'!$Z$1:$Z$600,$B153)))</f>
        <v>EUR</v>
      </c>
      <c r="S153" s="70" t="n">
        <f aca="false">IF($B153="","",IF(INDEX('Master Database'!$AA$1:$AA$600,$B153)="","",INDEX('Master Database'!$AA$1:$AA$600,$B153)))</f>
        <v>32000</v>
      </c>
      <c r="T153" s="68" t="str">
        <f aca="false">IF($B153="","",IF(INDEX('Master Database'!$AE$1:$AE$600,$B153)="","",INDEX('Master Database'!$AE$1:$AE$600,$B153)))</f>
        <v>Consultant basic MTO estimate R02 (Feb 2015), PC-ME sheet PUMPS col. AR (FOB EUR)</v>
      </c>
      <c r="U153" s="70" t="n">
        <f aca="false">IF($B153="","",IF(INDEX('Master Database'!$AG$1:$AG$600,$B153)="","",INDEX('Master Database'!$AG$1:$AG$600,$B153)))</f>
        <v>43234.1729887134</v>
      </c>
      <c r="V153" s="70" t="n">
        <f aca="false">IF($B153="","",IF(INDEX('Master Database'!$AH$1:$AH$600,$B153)="","",INDEX('Master Database'!$AH$1:$AH$600,$B153)))</f>
        <v>45645.9083835081</v>
      </c>
      <c r="W153" s="70" t="n">
        <f aca="false">IF($B153="","",IF(INDEX('Master Database'!$AI$1:$AI$600,$B153)="","",INDEX('Master Database'!$AI$1:$AI$600,$B153)))</f>
        <v>30059336985.5168</v>
      </c>
      <c r="X153" s="68" t="str">
        <f aca="false">IF($B153="","",IF(INDEX('Master Database'!$BG$1:$BG$600,$B153)="","",INDEX('Master Database'!$BG$1:$BG$600,$B153)))</f>
        <v>Y</v>
      </c>
      <c r="BA153" s="65" t="n">
        <f aca="false">IF('Master Database'!$A153="",0,IF(AND(OR($B$5="",ISNUMBER(SEARCH($B$5,'Master Database'!$B153&amp;" "&amp;'Master Database'!$D153))),OR($B$6="(All)",'Master Database'!$C153=$B$6),OR($B$7="(All)",'Master Database'!$E153=$B$7),OR($B$8="(All)",'Master Database'!$T153=$B$8),OR($B$9="(All)",'Master Database'!$M153=$B$9),OR($B$10="(All)",'Master Database'!$V153=$B$10),OR($E$5="(All)",'Master Database'!$F153=$E$5),OR($E$6="(All)",'Master Database'!$G153=$E$6),OR($E$7="(All)",'Master Database'!$O153=$E$7),OR($E$8="(All)",'Master Database'!$P153=$E$8),OR($E$9="(All)",'Master Database'!$S153=$E$9),OR($E$10="(All)",'Master Database'!$Y153&amp;""=$E$10&amp;""),OR($H$5="(All)",'Master Database'!$BG153=$H$5),OR($H$6&lt;&gt;"Y",ISNUMBER('Master Database'!$AG153)),OR($H$7="",AND(ISNUMBER('Master Database'!$H153),N('Master Database'!$H153)&gt;=$H$7)),OR($I$7="",AND(ISNUMBER('Master Database'!$H153),N('Master Database'!$H153)&lt;=$I$7)),OR($H$8="",AND(ISNUMBER('Master Database'!$I153),N('Master Database'!$I153)&gt;=$H$8)),OR($I$8="",AND(ISNUMBER('Master Database'!$I153),N('Master Database'!$I153)&lt;=$I$8)),OR($H$9="",AND(ISNUMBER('Master Database'!$K153),N('Master Database'!$K153)&gt;=$H$9)),OR($I$9="",AND(ISNUMBER('Master Database'!$K153),N('Master Database'!$K153)&lt;=$I$9))),1,0))</f>
        <v>0</v>
      </c>
      <c r="BB153" s="0" t="str">
        <f aca="false">IF(BA153=1,COUNTIF($BA$5:BA153,1),"")</f>
        <v/>
      </c>
    </row>
    <row r="154" customFormat="false" ht="15" hidden="false" customHeight="false" outlineLevel="0" collapsed="false">
      <c r="A154" s="67" t="n">
        <f aca="false">IF(139&lt;=SUM($BA$5:$BA$600),139,"")</f>
        <v>139</v>
      </c>
      <c r="B154" s="67" t="n">
        <f aca="false">IF(A154="","",MATCH(A154,$BB$5:$BB$600,0)+4)</f>
        <v>143</v>
      </c>
      <c r="C154" s="67" t="n">
        <f aca="false">IF($B154="","",IF(INDEX('Master Database'!$A$1:$A$600,$B154)="","",INDEX('Master Database'!$A$1:$A$600,$B154)))</f>
        <v>139</v>
      </c>
      <c r="D154" s="68" t="str">
        <f aca="false">IF($B154="","",IF(INDEX('Master Database'!$B$1:$B$600,$B154)="","",INDEX('Master Database'!$B$1:$B$600,$B154)))</f>
        <v>C. D. Drum / Flare K.O. Drum Sump Pump</v>
      </c>
      <c r="E154" s="68" t="str">
        <f aca="false">IF($B154="","",IF(INDEX('Master Database'!$C$1:$C$600,$B154)="","",INDEX('Master Database'!$C$1:$C$600,$B154)))</f>
        <v>Pazanan 2</v>
      </c>
      <c r="F154" s="68" t="str">
        <f aca="false">IF($B154="","",IF(INDEX('Master Database'!$D$1:$D$600,$B154)="","",INDEX('Master Database'!$D$1:$D$600,$B154)))</f>
        <v>P-162</v>
      </c>
      <c r="G154" s="68" t="str">
        <f aca="false">IF($B154="","",IF(INDEX('Master Database'!$E$1:$E$600,$B154)="","",INDEX('Master Database'!$E$1:$E$600,$B154)))</f>
        <v>ROT-DRN</v>
      </c>
      <c r="H154" s="68" t="str">
        <f aca="false">IF($B154="","",IF(INDEX('Master Database'!$F$1:$F$600,$B154)="","",INDEX('Master Database'!$F$1:$F$600,$B154)))</f>
        <v>VS4</v>
      </c>
      <c r="I154" s="68" t="str">
        <f aca="false">IF($B154="","",IF(INDEX('Master Database'!$G$1:$G$600,$B154)="","",INDEX('Master Database'!$G$1:$G$600,$B154)))</f>
        <v>S-6</v>
      </c>
      <c r="J154" s="69" t="n">
        <f aca="false">IF($B154="","",IF(INDEX('Master Database'!$H$1:$H$600,$B154)="","",INDEX('Master Database'!$H$1:$H$600,$B154)))</f>
        <v>5</v>
      </c>
      <c r="K154" s="69" t="n">
        <f aca="false">IF($B154="","",IF(INDEX('Master Database'!$I$1:$I$600,$B154)="","",INDEX('Master Database'!$I$1:$I$600,$B154)))</f>
        <v>21.4</v>
      </c>
      <c r="L154" s="69" t="n">
        <f aca="false">IF($B154="","",IF(INDEX('Master Database'!$K$1:$K$600,$B154)="","",INDEX('Master Database'!$K$1:$K$600,$B154)))</f>
        <v>0.485921889191644</v>
      </c>
      <c r="M154" s="68" t="str">
        <f aca="false">IF($B154="","",IF(INDEX('Master Database'!$L$1:$L$600,$B154)="","",INDEX('Master Database'!$L$1:$L$600,$B154)))</f>
        <v>API 610 + IPS-G-PM-105</v>
      </c>
      <c r="N154" s="68" t="str">
        <f aca="false">IF($B154="","",IF(INDEX('Master Database'!$P$1:$P$600,$B154)="","",INDEX('Master Database'!$P$1:$P$600,$B154)))</f>
        <v>Not stated</v>
      </c>
      <c r="O154" s="68" t="str">
        <f aca="false">IF($B154="","",IF(INDEX('Master Database'!$S$1:$S$600,$B154)="","",INDEX('Master Database'!$S$1:$S$600,$B154)))</f>
        <v>Electric Motor</v>
      </c>
      <c r="P154" s="68" t="str">
        <f aca="false">IF($B154="","",IF(INDEX('Master Database'!$T$1:$T$600,$B154)="","",INDEX('Master Database'!$T$1:$T$600,$B154)))</f>
        <v>Oily Water / Drain</v>
      </c>
      <c r="Q154" s="68" t="n">
        <f aca="false">IF($B154="","",IF(INDEX('Master Database'!$Y$1:$Y$600,$B154)="","",INDEX('Master Database'!$Y$1:$Y$600,$B154)))</f>
        <v>1393</v>
      </c>
      <c r="R154" s="68" t="str">
        <f aca="false">IF($B154="","",IF(INDEX('Master Database'!$Z$1:$Z$600,$B154)="","",INDEX('Master Database'!$Z$1:$Z$600,$B154)))</f>
        <v>EUR</v>
      </c>
      <c r="S154" s="70" t="n">
        <f aca="false">IF($B154="","",IF(INDEX('Master Database'!$AA$1:$AA$600,$B154)="","",INDEX('Master Database'!$AA$1:$AA$600,$B154)))</f>
        <v>15000</v>
      </c>
      <c r="T154" s="68" t="str">
        <f aca="false">IF($B154="","",IF(INDEX('Master Database'!$AE$1:$AE$600,$B154)="","",INDEX('Master Database'!$AE$1:$AE$600,$B154)))</f>
        <v>Consultant basic MTO estimate R02 (Feb 2015), PC-ME sheet PUMPS col. AR (FOB EUR)</v>
      </c>
      <c r="U154" s="70" t="n">
        <f aca="false">IF($B154="","",IF(INDEX('Master Database'!$AG$1:$AG$600,$B154)="","",INDEX('Master Database'!$AG$1:$AG$600,$B154)))</f>
        <v>25000</v>
      </c>
      <c r="V154" s="70" t="n">
        <f aca="false">IF($B154="","",IF(INDEX('Master Database'!$AH$1:$AH$600,$B154)="","",INDEX('Master Database'!$AH$1:$AH$600,$B154)))</f>
        <v>26394.5770371416</v>
      </c>
      <c r="W154" s="70" t="n">
        <f aca="false">IF($B154="","",IF(INDEX('Master Database'!$AI$1:$AI$600,$B154)="","",INDEX('Master Database'!$AI$1:$AI$600,$B154)))</f>
        <v>17381700000</v>
      </c>
      <c r="X154" s="68" t="str">
        <f aca="false">IF($B154="","",IF(INDEX('Master Database'!$BG$1:$BG$600,$B154)="","",INDEX('Master Database'!$BG$1:$BG$600,$B154)))</f>
        <v>Y</v>
      </c>
      <c r="BA154" s="65" t="n">
        <f aca="false">IF('Master Database'!$A154="",0,IF(AND(OR($B$5="",ISNUMBER(SEARCH($B$5,'Master Database'!$B154&amp;" "&amp;'Master Database'!$D154))),OR($B$6="(All)",'Master Database'!$C154=$B$6),OR($B$7="(All)",'Master Database'!$E154=$B$7),OR($B$8="(All)",'Master Database'!$T154=$B$8),OR($B$9="(All)",'Master Database'!$M154=$B$9),OR($B$10="(All)",'Master Database'!$V154=$B$10),OR($E$5="(All)",'Master Database'!$F154=$E$5),OR($E$6="(All)",'Master Database'!$G154=$E$6),OR($E$7="(All)",'Master Database'!$O154=$E$7),OR($E$8="(All)",'Master Database'!$P154=$E$8),OR($E$9="(All)",'Master Database'!$S154=$E$9),OR($E$10="(All)",'Master Database'!$Y154&amp;""=$E$10&amp;""),OR($H$5="(All)",'Master Database'!$BG154=$H$5),OR($H$6&lt;&gt;"Y",ISNUMBER('Master Database'!$AG154)),OR($H$7="",AND(ISNUMBER('Master Database'!$H154),N('Master Database'!$H154)&gt;=$H$7)),OR($I$7="",AND(ISNUMBER('Master Database'!$H154),N('Master Database'!$H154)&lt;=$I$7)),OR($H$8="",AND(ISNUMBER('Master Database'!$I154),N('Master Database'!$I154)&gt;=$H$8)),OR($I$8="",AND(ISNUMBER('Master Database'!$I154),N('Master Database'!$I154)&lt;=$I$8)),OR($H$9="",AND(ISNUMBER('Master Database'!$K154),N('Master Database'!$K154)&gt;=$H$9)),OR($I$9="",AND(ISNUMBER('Master Database'!$K154),N('Master Database'!$K154)&lt;=$I$9))),1,0))</f>
        <v>0</v>
      </c>
      <c r="BB154" s="0" t="str">
        <f aca="false">IF(BA154=1,COUNTIF($BA$5:BA154,1),"")</f>
        <v/>
      </c>
    </row>
    <row r="155" customFormat="false" ht="15" hidden="false" customHeight="false" outlineLevel="0" collapsed="false">
      <c r="A155" s="67" t="n">
        <f aca="false">IF(140&lt;=SUM($BA$5:$BA$600),140,"")</f>
        <v>140</v>
      </c>
      <c r="B155" s="67" t="n">
        <f aca="false">IF(A155="","",MATCH(A155,$BB$5:$BB$600,0)+4)</f>
        <v>144</v>
      </c>
      <c r="C155" s="67" t="n">
        <f aca="false">IF($B155="","",IF(INDEX('Master Database'!$A$1:$A$600,$B155)="","",INDEX('Master Database'!$A$1:$A$600,$B155)))</f>
        <v>140</v>
      </c>
      <c r="D155" s="68" t="str">
        <f aca="false">IF($B155="","",IF(INDEX('Master Database'!$B$1:$B$600,$B155)="","",INDEX('Master Database'!$B$1:$B$600,$B155)))</f>
        <v>O.W.S. Water Pumps</v>
      </c>
      <c r="E155" s="68" t="str">
        <f aca="false">IF($B155="","",IF(INDEX('Master Database'!$C$1:$C$600,$B155)="","",INDEX('Master Database'!$C$1:$C$600,$B155)))</f>
        <v>Pazanan 2</v>
      </c>
      <c r="F155" s="68" t="str">
        <f aca="false">IF($B155="","",IF(INDEX('Master Database'!$D$1:$D$600,$B155)="","",INDEX('Master Database'!$D$1:$D$600,$B155)))</f>
        <v>P-164 A/B</v>
      </c>
      <c r="G155" s="68" t="str">
        <f aca="false">IF($B155="","",IF(INDEX('Master Database'!$E$1:$E$600,$B155)="","",INDEX('Master Database'!$E$1:$E$600,$B155)))</f>
        <v>ROT-WAT</v>
      </c>
      <c r="H155" s="68" t="str">
        <f aca="false">IF($B155="","",IF(INDEX('Master Database'!$F$1:$F$600,$B155)="","",INDEX('Master Database'!$F$1:$F$600,$B155)))</f>
        <v>OH2</v>
      </c>
      <c r="I155" s="68" t="str">
        <f aca="false">IF($B155="","",IF(INDEX('Master Database'!$G$1:$G$600,$B155)="","",INDEX('Master Database'!$G$1:$G$600,$B155)))</f>
        <v>D-2</v>
      </c>
      <c r="J155" s="69" t="n">
        <f aca="false">IF($B155="","",IF(INDEX('Master Database'!$H$1:$H$600,$B155)="","",INDEX('Master Database'!$H$1:$H$600,$B155)))</f>
        <v>15</v>
      </c>
      <c r="K155" s="69" t="n">
        <f aca="false">IF($B155="","",IF(INDEX('Master Database'!$I$1:$I$600,$B155)="","",INDEX('Master Database'!$I$1:$I$600,$B155)))</f>
        <v>50</v>
      </c>
      <c r="L155" s="69" t="n">
        <f aca="false">IF($B155="","",IF(INDEX('Master Database'!$K$1:$K$600,$B155)="","",INDEX('Master Database'!$K$1:$K$600,$B155)))</f>
        <v>3.40599455040872</v>
      </c>
      <c r="M155" s="68" t="str">
        <f aca="false">IF($B155="","",IF(INDEX('Master Database'!$L$1:$L$600,$B155)="","",INDEX('Master Database'!$L$1:$L$600,$B155)))</f>
        <v>API 610 + IPS-G-PM-105 + NACE MR0175</v>
      </c>
      <c r="N155" s="68" t="str">
        <f aca="false">IF($B155="","",IF(INDEX('Master Database'!$P$1:$P$600,$B155)="","",INDEX('Master Database'!$P$1:$P$600,$B155)))</f>
        <v>Not stated</v>
      </c>
      <c r="O155" s="68" t="str">
        <f aca="false">IF($B155="","",IF(INDEX('Master Database'!$S$1:$S$600,$B155)="","",INDEX('Master Database'!$S$1:$S$600,$B155)))</f>
        <v>Electric Motor</v>
      </c>
      <c r="P155" s="68" t="str">
        <f aca="false">IF($B155="","",IF(INDEX('Master Database'!$T$1:$T$600,$B155)="","",INDEX('Master Database'!$T$1:$T$600,$B155)))</f>
        <v>Oily Water / Drain</v>
      </c>
      <c r="Q155" s="68" t="n">
        <f aca="false">IF($B155="","",IF(INDEX('Master Database'!$Y$1:$Y$600,$B155)="","",INDEX('Master Database'!$Y$1:$Y$600,$B155)))</f>
        <v>1393</v>
      </c>
      <c r="R155" s="68" t="str">
        <f aca="false">IF($B155="","",IF(INDEX('Master Database'!$Z$1:$Z$600,$B155)="","",INDEX('Master Database'!$Z$1:$Z$600,$B155)))</f>
        <v>EUR</v>
      </c>
      <c r="S155" s="70" t="n">
        <f aca="false">IF($B155="","",IF(INDEX('Master Database'!$AA$1:$AA$600,$B155)="","",INDEX('Master Database'!$AA$1:$AA$600,$B155)))</f>
        <v>15000</v>
      </c>
      <c r="T155" s="68" t="str">
        <f aca="false">IF($B155="","",IF(INDEX('Master Database'!$AE$1:$AE$600,$B155)="","",INDEX('Master Database'!$AE$1:$AE$600,$B155)))</f>
        <v>Consultant basic MTO estimate R02 (Feb 2015), PC-ME sheet PUMPS col. AR (FOB EUR)</v>
      </c>
      <c r="U155" s="70" t="n">
        <f aca="false">IF($B155="","",IF(INDEX('Master Database'!$AG$1:$AG$600,$B155)="","",INDEX('Master Database'!$AG$1:$AG$600,$B155)))</f>
        <v>25000</v>
      </c>
      <c r="V155" s="70" t="n">
        <f aca="false">IF($B155="","",IF(INDEX('Master Database'!$AH$1:$AH$600,$B155)="","",INDEX('Master Database'!$AH$1:$AH$600,$B155)))</f>
        <v>26394.5770371416</v>
      </c>
      <c r="W155" s="70" t="n">
        <f aca="false">IF($B155="","",IF(INDEX('Master Database'!$AI$1:$AI$600,$B155)="","",INDEX('Master Database'!$AI$1:$AI$600,$B155)))</f>
        <v>17381700000</v>
      </c>
      <c r="X155" s="68" t="str">
        <f aca="false">IF($B155="","",IF(INDEX('Master Database'!$BG$1:$BG$600,$B155)="","",INDEX('Master Database'!$BG$1:$BG$600,$B155)))</f>
        <v>Y</v>
      </c>
      <c r="BA155" s="65" t="n">
        <f aca="false">IF('Master Database'!$A155="",0,IF(AND(OR($B$5="",ISNUMBER(SEARCH($B$5,'Master Database'!$B155&amp;" "&amp;'Master Database'!$D155))),OR($B$6="(All)",'Master Database'!$C155=$B$6),OR($B$7="(All)",'Master Database'!$E155=$B$7),OR($B$8="(All)",'Master Database'!$T155=$B$8),OR($B$9="(All)",'Master Database'!$M155=$B$9),OR($B$10="(All)",'Master Database'!$V155=$B$10),OR($E$5="(All)",'Master Database'!$F155=$E$5),OR($E$6="(All)",'Master Database'!$G155=$E$6),OR($E$7="(All)",'Master Database'!$O155=$E$7),OR($E$8="(All)",'Master Database'!$P155=$E$8),OR($E$9="(All)",'Master Database'!$S155=$E$9),OR($E$10="(All)",'Master Database'!$Y155&amp;""=$E$10&amp;""),OR($H$5="(All)",'Master Database'!$BG155=$H$5),OR($H$6&lt;&gt;"Y",ISNUMBER('Master Database'!$AG155)),OR($H$7="",AND(ISNUMBER('Master Database'!$H155),N('Master Database'!$H155)&gt;=$H$7)),OR($I$7="",AND(ISNUMBER('Master Database'!$H155),N('Master Database'!$H155)&lt;=$I$7)),OR($H$8="",AND(ISNUMBER('Master Database'!$I155),N('Master Database'!$I155)&gt;=$H$8)),OR($I$8="",AND(ISNUMBER('Master Database'!$I155),N('Master Database'!$I155)&lt;=$I$8)),OR($H$9="",AND(ISNUMBER('Master Database'!$K155),N('Master Database'!$K155)&gt;=$H$9)),OR($I$9="",AND(ISNUMBER('Master Database'!$K155),N('Master Database'!$K155)&lt;=$I$9))),1,0))</f>
        <v>0</v>
      </c>
      <c r="BB155" s="0" t="str">
        <f aca="false">IF(BA155=1,COUNTIF($BA$5:BA155,1),"")</f>
        <v/>
      </c>
    </row>
    <row r="156" customFormat="false" ht="15" hidden="false" customHeight="false" outlineLevel="0" collapsed="false">
      <c r="A156" s="67" t="n">
        <f aca="false">IF(141&lt;=SUM($BA$5:$BA$600),141,"")</f>
        <v>141</v>
      </c>
      <c r="B156" s="67" t="n">
        <f aca="false">IF(A156="","",MATCH(A156,$BB$5:$BB$600,0)+4)</f>
        <v>145</v>
      </c>
      <c r="C156" s="67" t="n">
        <f aca="false">IF($B156="","",IF(INDEX('Master Database'!$A$1:$A$600,$B156)="","",INDEX('Master Database'!$A$1:$A$600,$B156)))</f>
        <v>141</v>
      </c>
      <c r="D156" s="68" t="str">
        <f aca="false">IF($B156="","",IF(INDEX('Master Database'!$B$1:$B$600,$B156)="","",INDEX('Master Database'!$B$1:$B$600,$B156)))</f>
        <v>Oily Water Basin Pumps</v>
      </c>
      <c r="E156" s="68" t="str">
        <f aca="false">IF($B156="","",IF(INDEX('Master Database'!$C$1:$C$600,$B156)="","",INDEX('Master Database'!$C$1:$C$600,$B156)))</f>
        <v>Pazanan 2</v>
      </c>
      <c r="F156" s="68" t="str">
        <f aca="false">IF($B156="","",IF(INDEX('Master Database'!$D$1:$D$600,$B156)="","",INDEX('Master Database'!$D$1:$D$600,$B156)))</f>
        <v>P-165 A/B</v>
      </c>
      <c r="G156" s="68" t="str">
        <f aca="false">IF($B156="","",IF(INDEX('Master Database'!$E$1:$E$600,$B156)="","",INDEX('Master Database'!$E$1:$E$600,$B156)))</f>
        <v>ROT-DRN</v>
      </c>
      <c r="H156" s="68" t="str">
        <f aca="false">IF($B156="","",IF(INDEX('Master Database'!$F$1:$F$600,$B156)="","",INDEX('Master Database'!$F$1:$F$600,$B156)))</f>
        <v>OH2</v>
      </c>
      <c r="I156" s="68" t="str">
        <f aca="false">IF($B156="","",IF(INDEX('Master Database'!$G$1:$G$600,$B156)="","",INDEX('Master Database'!$G$1:$G$600,$B156)))</f>
        <v>S-6</v>
      </c>
      <c r="J156" s="69" t="n">
        <f aca="false">IF($B156="","",IF(INDEX('Master Database'!$H$1:$H$600,$B156)="","",INDEX('Master Database'!$H$1:$H$600,$B156)))</f>
        <v>15</v>
      </c>
      <c r="K156" s="69" t="n">
        <f aca="false">IF($B156="","",IF(INDEX('Master Database'!$I$1:$I$600,$B156)="","",INDEX('Master Database'!$I$1:$I$600,$B156)))</f>
        <v>20</v>
      </c>
      <c r="L156" s="69" t="n">
        <f aca="false">IF($B156="","",IF(INDEX('Master Database'!$K$1:$K$600,$B156)="","",INDEX('Master Database'!$K$1:$K$600,$B156)))</f>
        <v>1.36239782016349</v>
      </c>
      <c r="M156" s="68" t="str">
        <f aca="false">IF($B156="","",IF(INDEX('Master Database'!$L$1:$L$600,$B156)="","",INDEX('Master Database'!$L$1:$L$600,$B156)))</f>
        <v>API 610 + IPS-G-PM-105</v>
      </c>
      <c r="N156" s="68" t="str">
        <f aca="false">IF($B156="","",IF(INDEX('Master Database'!$P$1:$P$600,$B156)="","",INDEX('Master Database'!$P$1:$P$600,$B156)))</f>
        <v>Not stated</v>
      </c>
      <c r="O156" s="68" t="str">
        <f aca="false">IF($B156="","",IF(INDEX('Master Database'!$S$1:$S$600,$B156)="","",INDEX('Master Database'!$S$1:$S$600,$B156)))</f>
        <v>Electric Motor</v>
      </c>
      <c r="P156" s="68" t="str">
        <f aca="false">IF($B156="","",IF(INDEX('Master Database'!$T$1:$T$600,$B156)="","",INDEX('Master Database'!$T$1:$T$600,$B156)))</f>
        <v>Oily Water / Drain</v>
      </c>
      <c r="Q156" s="68" t="n">
        <f aca="false">IF($B156="","",IF(INDEX('Master Database'!$Y$1:$Y$600,$B156)="","",INDEX('Master Database'!$Y$1:$Y$600,$B156)))</f>
        <v>1393</v>
      </c>
      <c r="R156" s="68" t="str">
        <f aca="false">IF($B156="","",IF(INDEX('Master Database'!$Z$1:$Z$600,$B156)="","",INDEX('Master Database'!$Z$1:$Z$600,$B156)))</f>
        <v>EUR</v>
      </c>
      <c r="S156" s="70" t="n">
        <f aca="false">IF($B156="","",IF(INDEX('Master Database'!$AA$1:$AA$600,$B156)="","",INDEX('Master Database'!$AA$1:$AA$600,$B156)))</f>
        <v>15000</v>
      </c>
      <c r="T156" s="68" t="str">
        <f aca="false">IF($B156="","",IF(INDEX('Master Database'!$AE$1:$AE$600,$B156)="","",INDEX('Master Database'!$AE$1:$AE$600,$B156)))</f>
        <v>Consultant basic MTO estimate R02 (Feb 2015), PC-ME sheet PUMPS col. AR (FOB EUR)</v>
      </c>
      <c r="U156" s="70" t="n">
        <f aca="false">IF($B156="","",IF(INDEX('Master Database'!$AG$1:$AG$600,$B156)="","",INDEX('Master Database'!$AG$1:$AG$600,$B156)))</f>
        <v>25000</v>
      </c>
      <c r="V156" s="70" t="n">
        <f aca="false">IF($B156="","",IF(INDEX('Master Database'!$AH$1:$AH$600,$B156)="","",INDEX('Master Database'!$AH$1:$AH$600,$B156)))</f>
        <v>26394.5770371416</v>
      </c>
      <c r="W156" s="70" t="n">
        <f aca="false">IF($B156="","",IF(INDEX('Master Database'!$AI$1:$AI$600,$B156)="","",INDEX('Master Database'!$AI$1:$AI$600,$B156)))</f>
        <v>17381700000</v>
      </c>
      <c r="X156" s="68" t="str">
        <f aca="false">IF($B156="","",IF(INDEX('Master Database'!$BG$1:$BG$600,$B156)="","",INDEX('Master Database'!$BG$1:$BG$600,$B156)))</f>
        <v>Y</v>
      </c>
      <c r="BA156" s="65" t="n">
        <f aca="false">IF('Master Database'!$A156="",0,IF(AND(OR($B$5="",ISNUMBER(SEARCH($B$5,'Master Database'!$B156&amp;" "&amp;'Master Database'!$D156))),OR($B$6="(All)",'Master Database'!$C156=$B$6),OR($B$7="(All)",'Master Database'!$E156=$B$7),OR($B$8="(All)",'Master Database'!$T156=$B$8),OR($B$9="(All)",'Master Database'!$M156=$B$9),OR($B$10="(All)",'Master Database'!$V156=$B$10),OR($E$5="(All)",'Master Database'!$F156=$E$5),OR($E$6="(All)",'Master Database'!$G156=$E$6),OR($E$7="(All)",'Master Database'!$O156=$E$7),OR($E$8="(All)",'Master Database'!$P156=$E$8),OR($E$9="(All)",'Master Database'!$S156=$E$9),OR($E$10="(All)",'Master Database'!$Y156&amp;""=$E$10&amp;""),OR($H$5="(All)",'Master Database'!$BG156=$H$5),OR($H$6&lt;&gt;"Y",ISNUMBER('Master Database'!$AG156)),OR($H$7="",AND(ISNUMBER('Master Database'!$H156),N('Master Database'!$H156)&gt;=$H$7)),OR($I$7="",AND(ISNUMBER('Master Database'!$H156),N('Master Database'!$H156)&lt;=$I$7)),OR($H$8="",AND(ISNUMBER('Master Database'!$I156),N('Master Database'!$I156)&gt;=$H$8)),OR($I$8="",AND(ISNUMBER('Master Database'!$I156),N('Master Database'!$I156)&lt;=$I$8)),OR($H$9="",AND(ISNUMBER('Master Database'!$K156),N('Master Database'!$K156)&gt;=$H$9)),OR($I$9="",AND(ISNUMBER('Master Database'!$K156),N('Master Database'!$K156)&lt;=$I$9))),1,0))</f>
        <v>0</v>
      </c>
      <c r="BB156" s="0" t="str">
        <f aca="false">IF(BA156=1,COUNTIF($BA$5:BA156,1),"")</f>
        <v/>
      </c>
    </row>
    <row r="157" customFormat="false" ht="15" hidden="false" customHeight="false" outlineLevel="0" collapsed="false">
      <c r="A157" s="67" t="n">
        <f aca="false">IF(142&lt;=SUM($BA$5:$BA$600),142,"")</f>
        <v>142</v>
      </c>
      <c r="B157" s="67" t="n">
        <f aca="false">IF(A157="","",MATCH(A157,$BB$5:$BB$600,0)+4)</f>
        <v>146</v>
      </c>
      <c r="C157" s="67" t="n">
        <f aca="false">IF($B157="","",IF(INDEX('Master Database'!$A$1:$A$600,$B157)="","",INDEX('Master Database'!$A$1:$A$600,$B157)))</f>
        <v>142</v>
      </c>
      <c r="D157" s="68" t="str">
        <f aca="false">IF($B157="","",IF(INDEX('Master Database'!$B$1:$B$600,$B157)="","",INDEX('Master Database'!$B$1:$B$600,$B157)))</f>
        <v>Fuel Oil Pump</v>
      </c>
      <c r="E157" s="68" t="str">
        <f aca="false">IF($B157="","",IF(INDEX('Master Database'!$C$1:$C$600,$B157)="","",INDEX('Master Database'!$C$1:$C$600,$B157)))</f>
        <v>Pazanan 2</v>
      </c>
      <c r="F157" s="68" t="str">
        <f aca="false">IF($B157="","",IF(INDEX('Master Database'!$D$1:$D$600,$B157)="","",INDEX('Master Database'!$D$1:$D$600,$B157)))</f>
        <v>P-171</v>
      </c>
      <c r="G157" s="68" t="str">
        <f aca="false">IF($B157="","",IF(INDEX('Master Database'!$E$1:$E$600,$B157)="","",INDEX('Master Database'!$E$1:$E$600,$B157)))</f>
        <v>ROT-AUX</v>
      </c>
      <c r="H157" s="68" t="str">
        <f aca="false">IF($B157="","",IF(INDEX('Master Database'!$F$1:$F$600,$B157)="","",INDEX('Master Database'!$F$1:$F$600,$B157)))</f>
        <v>N/A (non-API 610)</v>
      </c>
      <c r="I157" s="68" t="str">
        <f aca="false">IF($B157="","",IF(INDEX('Master Database'!$G$1:$G$600,$B157)="","",INDEX('Master Database'!$G$1:$G$600,$B157)))</f>
        <v>S-1</v>
      </c>
      <c r="J157" s="69" t="n">
        <f aca="false">IF($B157="","",IF(INDEX('Master Database'!$H$1:$H$600,$B157)="","",INDEX('Master Database'!$H$1:$H$600,$B157)))</f>
        <v>10</v>
      </c>
      <c r="K157" s="69" t="n">
        <f aca="false">IF($B157="","",IF(INDEX('Master Database'!$I$1:$I$600,$B157)="","",INDEX('Master Database'!$I$1:$I$600,$B157)))</f>
        <v>21</v>
      </c>
      <c r="L157" s="69" t="n">
        <f aca="false">IF($B157="","",IF(INDEX('Master Database'!$K$1:$K$600,$B157)="","",INDEX('Master Database'!$K$1:$K$600,$B157)))</f>
        <v>0.953678474114442</v>
      </c>
      <c r="M157" s="68" t="str">
        <f aca="false">IF($B157="","",IF(INDEX('Master Database'!$L$1:$L$600,$B157)="","",INDEX('Master Database'!$L$1:$L$600,$B157)))</f>
        <v>ISO 5199 + IPS-M-PM-115</v>
      </c>
      <c r="N157" s="68" t="str">
        <f aca="false">IF($B157="","",IF(INDEX('Master Database'!$P$1:$P$600,$B157)="","",INDEX('Master Database'!$P$1:$P$600,$B157)))</f>
        <v>Not stated</v>
      </c>
      <c r="O157" s="68" t="str">
        <f aca="false">IF($B157="","",IF(INDEX('Master Database'!$S$1:$S$600,$B157)="","",INDEX('Master Database'!$S$1:$S$600,$B157)))</f>
        <v>Electric Motor</v>
      </c>
      <c r="P157" s="68" t="str">
        <f aca="false">IF($B157="","",IF(INDEX('Master Database'!$T$1:$T$600,$B157)="","",INDEX('Master Database'!$T$1:$T$600,$B157)))</f>
        <v>Diesel / Fuel Oil</v>
      </c>
      <c r="Q157" s="68" t="n">
        <f aca="false">IF($B157="","",IF(INDEX('Master Database'!$Y$1:$Y$600,$B157)="","",INDEX('Master Database'!$Y$1:$Y$600,$B157)))</f>
        <v>1393</v>
      </c>
      <c r="R157" s="68" t="str">
        <f aca="false">IF($B157="","",IF(INDEX('Master Database'!$Z$1:$Z$600,$B157)="","",INDEX('Master Database'!$Z$1:$Z$600,$B157)))</f>
        <v>EUR</v>
      </c>
      <c r="S157" s="70" t="n">
        <f aca="false">IF($B157="","",IF(INDEX('Master Database'!$AA$1:$AA$600,$B157)="","",INDEX('Master Database'!$AA$1:$AA$600,$B157)))</f>
        <v>10000</v>
      </c>
      <c r="T157" s="68" t="str">
        <f aca="false">IF($B157="","",IF(INDEX('Master Database'!$AE$1:$AE$600,$B157)="","",INDEX('Master Database'!$AE$1:$AE$600,$B157)))</f>
        <v>Consultant basic MTO estimate R02 (Feb 2015), PC-ME sheet PUMPS col. AR (FOB EUR)</v>
      </c>
      <c r="U157" s="70" t="n">
        <f aca="false">IF($B157="","",IF(INDEX('Master Database'!$AG$1:$AG$600,$B157)="","",INDEX('Master Database'!$AG$1:$AG$600,$B157)))</f>
        <v>13510.6790589729</v>
      </c>
      <c r="V157" s="70" t="n">
        <f aca="false">IF($B157="","",IF(INDEX('Master Database'!$AH$1:$AH$600,$B157)="","",INDEX('Master Database'!$AH$1:$AH$600,$B157)))</f>
        <v>14264.3463698463</v>
      </c>
      <c r="W157" s="70" t="n">
        <f aca="false">IF($B157="","",IF(INDEX('Master Database'!$AI$1:$AI$600,$B157)="","",INDEX('Master Database'!$AI$1:$AI$600,$B157)))</f>
        <v>9393542807.97399</v>
      </c>
      <c r="X157" s="68" t="str">
        <f aca="false">IF($B157="","",IF(INDEX('Master Database'!$BG$1:$BG$600,$B157)="","",INDEX('Master Database'!$BG$1:$BG$600,$B157)))</f>
        <v>Y</v>
      </c>
      <c r="BA157" s="65" t="n">
        <f aca="false">IF('Master Database'!$A157="",0,IF(AND(OR($B$5="",ISNUMBER(SEARCH($B$5,'Master Database'!$B157&amp;" "&amp;'Master Database'!$D157))),OR($B$6="(All)",'Master Database'!$C157=$B$6),OR($B$7="(All)",'Master Database'!$E157=$B$7),OR($B$8="(All)",'Master Database'!$T157=$B$8),OR($B$9="(All)",'Master Database'!$M157=$B$9),OR($B$10="(All)",'Master Database'!$V157=$B$10),OR($E$5="(All)",'Master Database'!$F157=$E$5),OR($E$6="(All)",'Master Database'!$G157=$E$6),OR($E$7="(All)",'Master Database'!$O157=$E$7),OR($E$8="(All)",'Master Database'!$P157=$E$8),OR($E$9="(All)",'Master Database'!$S157=$E$9),OR($E$10="(All)",'Master Database'!$Y157&amp;""=$E$10&amp;""),OR($H$5="(All)",'Master Database'!$BG157=$H$5),OR($H$6&lt;&gt;"Y",ISNUMBER('Master Database'!$AG157)),OR($H$7="",AND(ISNUMBER('Master Database'!$H157),N('Master Database'!$H157)&gt;=$H$7)),OR($I$7="",AND(ISNUMBER('Master Database'!$H157),N('Master Database'!$H157)&lt;=$I$7)),OR($H$8="",AND(ISNUMBER('Master Database'!$I157),N('Master Database'!$I157)&gt;=$H$8)),OR($I$8="",AND(ISNUMBER('Master Database'!$I157),N('Master Database'!$I157)&lt;=$I$8)),OR($H$9="",AND(ISNUMBER('Master Database'!$K157),N('Master Database'!$K157)&gt;=$H$9)),OR($I$9="",AND(ISNUMBER('Master Database'!$K157),N('Master Database'!$K157)&lt;=$I$9))),1,0))</f>
        <v>0</v>
      </c>
      <c r="BB157" s="0" t="str">
        <f aca="false">IF(BA157=1,COUNTIF($BA$5:BA157,1),"")</f>
        <v/>
      </c>
    </row>
    <row r="158" customFormat="false" ht="15" hidden="false" customHeight="false" outlineLevel="0" collapsed="false">
      <c r="A158" s="67" t="n">
        <f aca="false">IF(143&lt;=SUM($BA$5:$BA$600),143,"")</f>
        <v>143</v>
      </c>
      <c r="B158" s="67" t="n">
        <f aca="false">IF(A158="","",MATCH(A158,$BB$5:$BB$600,0)+4)</f>
        <v>147</v>
      </c>
      <c r="C158" s="67" t="n">
        <f aca="false">IF($B158="","",IF(INDEX('Master Database'!$A$1:$A$600,$B158)="","",INDEX('Master Database'!$A$1:$A$600,$B158)))</f>
        <v>143</v>
      </c>
      <c r="D158" s="68" t="str">
        <f aca="false">IF($B158="","",IF(INDEX('Master Database'!$B$1:$B$600,$B158)="","",INDEX('Master Database'!$B$1:$B$600,$B158)))</f>
        <v>Fire Water Loading Pump</v>
      </c>
      <c r="E158" s="68" t="str">
        <f aca="false">IF($B158="","",IF(INDEX('Master Database'!$C$1:$C$600,$B158)="","",INDEX('Master Database'!$C$1:$C$600,$B158)))</f>
        <v>Pazanan 2</v>
      </c>
      <c r="F158" s="68" t="str">
        <f aca="false">IF($B158="","",IF(INDEX('Master Database'!$D$1:$D$600,$B158)="","",INDEX('Master Database'!$D$1:$D$600,$B158)))</f>
        <v>P-191</v>
      </c>
      <c r="G158" s="68" t="str">
        <f aca="false">IF($B158="","",IF(INDEX('Master Database'!$E$1:$E$600,$B158)="","",INDEX('Master Database'!$E$1:$E$600,$B158)))</f>
        <v>ROT-FIR</v>
      </c>
      <c r="H158" s="68" t="str">
        <f aca="false">IF($B158="","",IF(INDEX('Master Database'!$F$1:$F$600,$B158)="","",INDEX('Master Database'!$F$1:$F$600,$B158)))</f>
        <v>N/A (non-API 610)</v>
      </c>
      <c r="I158" s="68" t="str">
        <f aca="false">IF($B158="","",IF(INDEX('Master Database'!$G$1:$G$600,$B158)="","",INDEX('Master Database'!$G$1:$G$600,$B158)))</f>
        <v>I-2</v>
      </c>
      <c r="J158" s="69" t="n">
        <f aca="false">IF($B158="","",IF(INDEX('Master Database'!$H$1:$H$600,$B158)="","",INDEX('Master Database'!$H$1:$H$600,$B158)))</f>
        <v>33</v>
      </c>
      <c r="K158" s="69" t="n">
        <f aca="false">IF($B158="","",IF(INDEX('Master Database'!$I$1:$I$600,$B158)="","",INDEX('Master Database'!$I$1:$I$600,$B158)))</f>
        <v>31</v>
      </c>
      <c r="L158" s="69" t="n">
        <f aca="false">IF($B158="","",IF(INDEX('Master Database'!$K$1:$K$600,$B158)="","",INDEX('Master Database'!$K$1:$K$600,$B158)))</f>
        <v>4.64577656675749</v>
      </c>
      <c r="M158" s="68" t="str">
        <f aca="false">IF($B158="","",IF(INDEX('Master Database'!$L$1:$L$600,$B158)="","",INDEX('Master Database'!$L$1:$L$600,$B158)))</f>
        <v>ISO 5199 + IPS-M-PM-115</v>
      </c>
      <c r="N158" s="68" t="str">
        <f aca="false">IF($B158="","",IF(INDEX('Master Database'!$P$1:$P$600,$B158)="","",INDEX('Master Database'!$P$1:$P$600,$B158)))</f>
        <v>Not stated</v>
      </c>
      <c r="O158" s="68" t="str">
        <f aca="false">IF($B158="","",IF(INDEX('Master Database'!$S$1:$S$600,$B158)="","",INDEX('Master Database'!$S$1:$S$600,$B158)))</f>
        <v>Electric Motor</v>
      </c>
      <c r="P158" s="68" t="str">
        <f aca="false">IF($B158="","",IF(INDEX('Master Database'!$T$1:$T$600,$B158)="","",INDEX('Master Database'!$T$1:$T$600,$B158)))</f>
        <v>Fire Water</v>
      </c>
      <c r="Q158" s="68" t="n">
        <f aca="false">IF($B158="","",IF(INDEX('Master Database'!$Y$1:$Y$600,$B158)="","",INDEX('Master Database'!$Y$1:$Y$600,$B158)))</f>
        <v>1393</v>
      </c>
      <c r="R158" s="68" t="str">
        <f aca="false">IF($B158="","",IF(INDEX('Master Database'!$Z$1:$Z$600,$B158)="","",INDEX('Master Database'!$Z$1:$Z$600,$B158)))</f>
        <v>EUR</v>
      </c>
      <c r="S158" s="70" t="n">
        <f aca="false">IF($B158="","",IF(INDEX('Master Database'!$AA$1:$AA$600,$B158)="","",INDEX('Master Database'!$AA$1:$AA$600,$B158)))</f>
        <v>6500</v>
      </c>
      <c r="T158" s="68" t="str">
        <f aca="false">IF($B158="","",IF(INDEX('Master Database'!$AE$1:$AE$600,$B158)="","",INDEX('Master Database'!$AE$1:$AE$600,$B158)))</f>
        <v>Consultant basic MTO estimate R02 (Feb 2015), PC-ME sheet PUMPS col. AR (FOB EUR)</v>
      </c>
      <c r="U158" s="70" t="n">
        <f aca="false">IF($B158="","",IF(INDEX('Master Database'!$AG$1:$AG$600,$B158)="","",INDEX('Master Database'!$AG$1:$AG$600,$B158)))</f>
        <v>8781.9413883324</v>
      </c>
      <c r="V158" s="70" t="n">
        <f aca="false">IF($B158="","",IF(INDEX('Master Database'!$AH$1:$AH$600,$B158)="","",INDEX('Master Database'!$AH$1:$AH$600,$B158)))</f>
        <v>9271.82514040009</v>
      </c>
      <c r="W158" s="70" t="n">
        <f aca="false">IF($B158="","",IF(INDEX('Master Database'!$AI$1:$AI$600,$B158)="","",INDEX('Master Database'!$AI$1:$AI$600,$B158)))</f>
        <v>6105802825.18309</v>
      </c>
      <c r="X158" s="68" t="str">
        <f aca="false">IF($B158="","",IF(INDEX('Master Database'!$BG$1:$BG$600,$B158)="","",INDEX('Master Database'!$BG$1:$BG$600,$B158)))</f>
        <v>Y</v>
      </c>
      <c r="BA158" s="65" t="n">
        <f aca="false">IF('Master Database'!$A158="",0,IF(AND(OR($B$5="",ISNUMBER(SEARCH($B$5,'Master Database'!$B158&amp;" "&amp;'Master Database'!$D158))),OR($B$6="(All)",'Master Database'!$C158=$B$6),OR($B$7="(All)",'Master Database'!$E158=$B$7),OR($B$8="(All)",'Master Database'!$T158=$B$8),OR($B$9="(All)",'Master Database'!$M158=$B$9),OR($B$10="(All)",'Master Database'!$V158=$B$10),OR($E$5="(All)",'Master Database'!$F158=$E$5),OR($E$6="(All)",'Master Database'!$G158=$E$6),OR($E$7="(All)",'Master Database'!$O158=$E$7),OR($E$8="(All)",'Master Database'!$P158=$E$8),OR($E$9="(All)",'Master Database'!$S158=$E$9),OR($E$10="(All)",'Master Database'!$Y158&amp;""=$E$10&amp;""),OR($H$5="(All)",'Master Database'!$BG158=$H$5),OR($H$6&lt;&gt;"Y",ISNUMBER('Master Database'!$AG158)),OR($H$7="",AND(ISNUMBER('Master Database'!$H158),N('Master Database'!$H158)&gt;=$H$7)),OR($I$7="",AND(ISNUMBER('Master Database'!$H158),N('Master Database'!$H158)&lt;=$I$7)),OR($H$8="",AND(ISNUMBER('Master Database'!$I158),N('Master Database'!$I158)&gt;=$H$8)),OR($I$8="",AND(ISNUMBER('Master Database'!$I158),N('Master Database'!$I158)&lt;=$I$8)),OR($H$9="",AND(ISNUMBER('Master Database'!$K158),N('Master Database'!$K158)&gt;=$H$9)),OR($I$9="",AND(ISNUMBER('Master Database'!$K158),N('Master Database'!$K158)&lt;=$I$9))),1,0))</f>
        <v>0</v>
      </c>
      <c r="BB158" s="0" t="str">
        <f aca="false">IF(BA158=1,COUNTIF($BA$5:BA158,1),"")</f>
        <v/>
      </c>
    </row>
    <row r="159" customFormat="false" ht="15" hidden="false" customHeight="false" outlineLevel="0" collapsed="false">
      <c r="A159" s="67" t="n">
        <f aca="false">IF(144&lt;=SUM($BA$5:$BA$600),144,"")</f>
        <v>144</v>
      </c>
      <c r="B159" s="67" t="n">
        <f aca="false">IF(A159="","",MATCH(A159,$BB$5:$BB$600,0)+4)</f>
        <v>148</v>
      </c>
      <c r="C159" s="67" t="n">
        <f aca="false">IF($B159="","",IF(INDEX('Master Database'!$A$1:$A$600,$B159)="","",INDEX('Master Database'!$A$1:$A$600,$B159)))</f>
        <v>144</v>
      </c>
      <c r="D159" s="68" t="str">
        <f aca="false">IF($B159="","",IF(INDEX('Master Database'!$B$1:$B$600,$B159)="","",INDEX('Master Database'!$B$1:$B$600,$B159)))</f>
        <v>Fire Water Pump-Elect. Motor Driven</v>
      </c>
      <c r="E159" s="68" t="str">
        <f aca="false">IF($B159="","",IF(INDEX('Master Database'!$C$1:$C$600,$B159)="","",INDEX('Master Database'!$C$1:$C$600,$B159)))</f>
        <v>Pazanan 2</v>
      </c>
      <c r="F159" s="68" t="str">
        <f aca="false">IF($B159="","",IF(INDEX('Master Database'!$D$1:$D$600,$B159)="","",INDEX('Master Database'!$D$1:$D$600,$B159)))</f>
        <v>P-192</v>
      </c>
      <c r="G159" s="68" t="str">
        <f aca="false">IF($B159="","",IF(INDEX('Master Database'!$E$1:$E$600,$B159)="","",INDEX('Master Database'!$E$1:$E$600,$B159)))</f>
        <v>ROT-FIR</v>
      </c>
      <c r="H159" s="68" t="str">
        <f aca="false">IF($B159="","",IF(INDEX('Master Database'!$F$1:$F$600,$B159)="","",INDEX('Master Database'!$F$1:$F$600,$B159)))</f>
        <v>BB (unspecified)</v>
      </c>
      <c r="I159" s="68" t="str">
        <f aca="false">IF($B159="","",IF(INDEX('Master Database'!$G$1:$G$600,$B159)="","",INDEX('Master Database'!$G$1:$G$600,$B159)))</f>
        <v>I-2</v>
      </c>
      <c r="J159" s="69" t="n">
        <f aca="false">IF($B159="","",IF(INDEX('Master Database'!$H$1:$H$600,$B159)="","",INDEX('Master Database'!$H$1:$H$600,$B159)))</f>
        <v>825</v>
      </c>
      <c r="K159" s="69" t="n">
        <f aca="false">IF($B159="","",IF(INDEX('Master Database'!$I$1:$I$600,$B159)="","",INDEX('Master Database'!$I$1:$I$600,$B159)))</f>
        <v>107</v>
      </c>
      <c r="L159" s="69" t="n">
        <f aca="false">IF($B159="","",IF(INDEX('Master Database'!$K$1:$K$600,$B159)="","",INDEX('Master Database'!$K$1:$K$600,$B159)))</f>
        <v>400.885558583106</v>
      </c>
      <c r="M159" s="68" t="str">
        <f aca="false">IF($B159="","",IF(INDEX('Master Database'!$L$1:$L$600,$B159)="","",INDEX('Master Database'!$L$1:$L$600,$B159)))</f>
        <v>NFPA 20 + IPS-M-PM-125</v>
      </c>
      <c r="N159" s="68" t="str">
        <f aca="false">IF($B159="","",IF(INDEX('Master Database'!$P$1:$P$600,$B159)="","",INDEX('Master Database'!$P$1:$P$600,$B159)))</f>
        <v>Not stated</v>
      </c>
      <c r="O159" s="68" t="str">
        <f aca="false">IF($B159="","",IF(INDEX('Master Database'!$S$1:$S$600,$B159)="","",INDEX('Master Database'!$S$1:$S$600,$B159)))</f>
        <v>Electric Motor</v>
      </c>
      <c r="P159" s="68" t="str">
        <f aca="false">IF($B159="","",IF(INDEX('Master Database'!$T$1:$T$600,$B159)="","",INDEX('Master Database'!$T$1:$T$600,$B159)))</f>
        <v>Fire Water</v>
      </c>
      <c r="Q159" s="68" t="n">
        <f aca="false">IF($B159="","",IF(INDEX('Master Database'!$Y$1:$Y$600,$B159)="","",INDEX('Master Database'!$Y$1:$Y$600,$B159)))</f>
        <v>1393</v>
      </c>
      <c r="R159" s="68" t="str">
        <f aca="false">IF($B159="","",IF(INDEX('Master Database'!$Z$1:$Z$600,$B159)="","",INDEX('Master Database'!$Z$1:$Z$600,$B159)))</f>
        <v>EUR</v>
      </c>
      <c r="S159" s="70" t="n">
        <f aca="false">IF($B159="","",IF(INDEX('Master Database'!$AA$1:$AA$600,$B159)="","",INDEX('Master Database'!$AA$1:$AA$600,$B159)))</f>
        <v>80000</v>
      </c>
      <c r="T159" s="68" t="str">
        <f aca="false">IF($B159="","",IF(INDEX('Master Database'!$AE$1:$AE$600,$B159)="","",INDEX('Master Database'!$AE$1:$AE$600,$B159)))</f>
        <v>Consultant basic MTO estimate R02 (Feb 2015), PC-ME sheet PUMPS col. AR (FOB EUR)</v>
      </c>
      <c r="U159" s="70" t="n">
        <f aca="false">IF($B159="","",IF(INDEX('Master Database'!$AG$1:$AG$600,$B159)="","",INDEX('Master Database'!$AG$1:$AG$600,$B159)))</f>
        <v>108085.432471783</v>
      </c>
      <c r="V159" s="70" t="n">
        <f aca="false">IF($B159="","",IF(INDEX('Master Database'!$AH$1:$AH$600,$B159)="","",INDEX('Master Database'!$AH$1:$AH$600,$B159)))</f>
        <v>114114.77095877</v>
      </c>
      <c r="W159" s="70" t="n">
        <f aca="false">IF($B159="","",IF(INDEX('Master Database'!$AI$1:$AI$600,$B159)="","",INDEX('Master Database'!$AI$1:$AI$600,$B159)))</f>
        <v>75148342463.7919</v>
      </c>
      <c r="X159" s="68" t="str">
        <f aca="false">IF($B159="","",IF(INDEX('Master Database'!$BG$1:$BG$600,$B159)="","",INDEX('Master Database'!$BG$1:$BG$600,$B159)))</f>
        <v>Y</v>
      </c>
      <c r="BA159" s="65" t="n">
        <f aca="false">IF('Master Database'!$A159="",0,IF(AND(OR($B$5="",ISNUMBER(SEARCH($B$5,'Master Database'!$B159&amp;" "&amp;'Master Database'!$D159))),OR($B$6="(All)",'Master Database'!$C159=$B$6),OR($B$7="(All)",'Master Database'!$E159=$B$7),OR($B$8="(All)",'Master Database'!$T159=$B$8),OR($B$9="(All)",'Master Database'!$M159=$B$9),OR($B$10="(All)",'Master Database'!$V159=$B$10),OR($E$5="(All)",'Master Database'!$F159=$E$5),OR($E$6="(All)",'Master Database'!$G159=$E$6),OR($E$7="(All)",'Master Database'!$O159=$E$7),OR($E$8="(All)",'Master Database'!$P159=$E$8),OR($E$9="(All)",'Master Database'!$S159=$E$9),OR($E$10="(All)",'Master Database'!$Y159&amp;""=$E$10&amp;""),OR($H$5="(All)",'Master Database'!$BG159=$H$5),OR($H$6&lt;&gt;"Y",ISNUMBER('Master Database'!$AG159)),OR($H$7="",AND(ISNUMBER('Master Database'!$H159),N('Master Database'!$H159)&gt;=$H$7)),OR($I$7="",AND(ISNUMBER('Master Database'!$H159),N('Master Database'!$H159)&lt;=$I$7)),OR($H$8="",AND(ISNUMBER('Master Database'!$I159),N('Master Database'!$I159)&gt;=$H$8)),OR($I$8="",AND(ISNUMBER('Master Database'!$I159),N('Master Database'!$I159)&lt;=$I$8)),OR($H$9="",AND(ISNUMBER('Master Database'!$K159),N('Master Database'!$K159)&gt;=$H$9)),OR($I$9="",AND(ISNUMBER('Master Database'!$K159),N('Master Database'!$K159)&lt;=$I$9))),1,0))</f>
        <v>0</v>
      </c>
      <c r="BB159" s="0" t="str">
        <f aca="false">IF(BA159=1,COUNTIF($BA$5:BA159,1),"")</f>
        <v/>
      </c>
    </row>
    <row r="160" customFormat="false" ht="15" hidden="false" customHeight="false" outlineLevel="0" collapsed="false">
      <c r="A160" s="67" t="n">
        <f aca="false">IF(145&lt;=SUM($BA$5:$BA$600),145,"")</f>
        <v>145</v>
      </c>
      <c r="B160" s="67" t="n">
        <f aca="false">IF(A160="","",MATCH(A160,$BB$5:$BB$600,0)+4)</f>
        <v>149</v>
      </c>
      <c r="C160" s="67" t="n">
        <f aca="false">IF($B160="","",IF(INDEX('Master Database'!$A$1:$A$600,$B160)="","",INDEX('Master Database'!$A$1:$A$600,$B160)))</f>
        <v>145</v>
      </c>
      <c r="D160" s="68" t="str">
        <f aca="false">IF($B160="","",IF(INDEX('Master Database'!$B$1:$B$600,$B160)="","",INDEX('Master Database'!$B$1:$B$600,$B160)))</f>
        <v>Fire Water Pump-Diesel Engine Driven</v>
      </c>
      <c r="E160" s="68" t="str">
        <f aca="false">IF($B160="","",IF(INDEX('Master Database'!$C$1:$C$600,$B160)="","",INDEX('Master Database'!$C$1:$C$600,$B160)))</f>
        <v>Pazanan 2</v>
      </c>
      <c r="F160" s="68" t="str">
        <f aca="false">IF($B160="","",IF(INDEX('Master Database'!$D$1:$D$600,$B160)="","",INDEX('Master Database'!$D$1:$D$600,$B160)))</f>
        <v>P-193</v>
      </c>
      <c r="G160" s="68" t="str">
        <f aca="false">IF($B160="","",IF(INDEX('Master Database'!$E$1:$E$600,$B160)="","",INDEX('Master Database'!$E$1:$E$600,$B160)))</f>
        <v>ROT-FIR</v>
      </c>
      <c r="H160" s="68" t="str">
        <f aca="false">IF($B160="","",IF(INDEX('Master Database'!$F$1:$F$600,$B160)="","",INDEX('Master Database'!$F$1:$F$600,$B160)))</f>
        <v>BB (unspecified)</v>
      </c>
      <c r="I160" s="68" t="str">
        <f aca="false">IF($B160="","",IF(INDEX('Master Database'!$G$1:$G$600,$B160)="","",INDEX('Master Database'!$G$1:$G$600,$B160)))</f>
        <v>I-2</v>
      </c>
      <c r="J160" s="69" t="n">
        <f aca="false">IF($B160="","",IF(INDEX('Master Database'!$H$1:$H$600,$B160)="","",INDEX('Master Database'!$H$1:$H$600,$B160)))</f>
        <v>825</v>
      </c>
      <c r="K160" s="69" t="n">
        <f aca="false">IF($B160="","",IF(INDEX('Master Database'!$I$1:$I$600,$B160)="","",INDEX('Master Database'!$I$1:$I$600,$B160)))</f>
        <v>107</v>
      </c>
      <c r="L160" s="69" t="n">
        <f aca="false">IF($B160="","",IF(INDEX('Master Database'!$K$1:$K$600,$B160)="","",INDEX('Master Database'!$K$1:$K$600,$B160)))</f>
        <v>400.885558583106</v>
      </c>
      <c r="M160" s="68" t="str">
        <f aca="false">IF($B160="","",IF(INDEX('Master Database'!$L$1:$L$600,$B160)="","",INDEX('Master Database'!$L$1:$L$600,$B160)))</f>
        <v>NFPA 20 + IPS-M-PM-125</v>
      </c>
      <c r="N160" s="68" t="str">
        <f aca="false">IF($B160="","",IF(INDEX('Master Database'!$P$1:$P$600,$B160)="","",INDEX('Master Database'!$P$1:$P$600,$B160)))</f>
        <v>Not stated</v>
      </c>
      <c r="O160" s="68" t="str">
        <f aca="false">IF($B160="","",IF(INDEX('Master Database'!$S$1:$S$600,$B160)="","",INDEX('Master Database'!$S$1:$S$600,$B160)))</f>
        <v>Diesel Engine</v>
      </c>
      <c r="P160" s="68" t="str">
        <f aca="false">IF($B160="","",IF(INDEX('Master Database'!$T$1:$T$600,$B160)="","",INDEX('Master Database'!$T$1:$T$600,$B160)))</f>
        <v>Fire Water</v>
      </c>
      <c r="Q160" s="68" t="n">
        <f aca="false">IF($B160="","",IF(INDEX('Master Database'!$Y$1:$Y$600,$B160)="","",INDEX('Master Database'!$Y$1:$Y$600,$B160)))</f>
        <v>1393</v>
      </c>
      <c r="R160" s="68" t="str">
        <f aca="false">IF($B160="","",IF(INDEX('Master Database'!$Z$1:$Z$600,$B160)="","",INDEX('Master Database'!$Z$1:$Z$600,$B160)))</f>
        <v>EUR</v>
      </c>
      <c r="S160" s="70" t="n">
        <f aca="false">IF($B160="","",IF(INDEX('Master Database'!$AA$1:$AA$600,$B160)="","",INDEX('Master Database'!$AA$1:$AA$600,$B160)))</f>
        <v>100000</v>
      </c>
      <c r="T160" s="68" t="str">
        <f aca="false">IF($B160="","",IF(INDEX('Master Database'!$AE$1:$AE$600,$B160)="","",INDEX('Master Database'!$AE$1:$AE$600,$B160)))</f>
        <v>Consultant basic MTO estimate R02 (Feb 2015), PC-ME sheet PUMPS col. AR (FOB EUR)</v>
      </c>
      <c r="U160" s="70" t="n">
        <f aca="false">IF($B160="","",IF(INDEX('Master Database'!$AG$1:$AG$600,$B160)="","",INDEX('Master Database'!$AG$1:$AG$600,$B160)))</f>
        <v>135106.790589729</v>
      </c>
      <c r="V160" s="70" t="n">
        <f aca="false">IF($B160="","",IF(INDEX('Master Database'!$AH$1:$AH$600,$B160)="","",INDEX('Master Database'!$AH$1:$AH$600,$B160)))</f>
        <v>142643.463698463</v>
      </c>
      <c r="W160" s="70" t="n">
        <f aca="false">IF($B160="","",IF(INDEX('Master Database'!$AI$1:$AI$600,$B160)="","",INDEX('Master Database'!$AI$1:$AI$600,$B160)))</f>
        <v>93935428079.7399</v>
      </c>
      <c r="X160" s="68" t="str">
        <f aca="false">IF($B160="","",IF(INDEX('Master Database'!$BG$1:$BG$600,$B160)="","",INDEX('Master Database'!$BG$1:$BG$600,$B160)))</f>
        <v>Y</v>
      </c>
      <c r="BA160" s="65" t="n">
        <f aca="false">IF('Master Database'!$A160="",0,IF(AND(OR($B$5="",ISNUMBER(SEARCH($B$5,'Master Database'!$B160&amp;" "&amp;'Master Database'!$D160))),OR($B$6="(All)",'Master Database'!$C160=$B$6),OR($B$7="(All)",'Master Database'!$E160=$B$7),OR($B$8="(All)",'Master Database'!$T160=$B$8),OR($B$9="(All)",'Master Database'!$M160=$B$9),OR($B$10="(All)",'Master Database'!$V160=$B$10),OR($E$5="(All)",'Master Database'!$F160=$E$5),OR($E$6="(All)",'Master Database'!$G160=$E$6),OR($E$7="(All)",'Master Database'!$O160=$E$7),OR($E$8="(All)",'Master Database'!$P160=$E$8),OR($E$9="(All)",'Master Database'!$S160=$E$9),OR($E$10="(All)",'Master Database'!$Y160&amp;""=$E$10&amp;""),OR($H$5="(All)",'Master Database'!$BG160=$H$5),OR($H$6&lt;&gt;"Y",ISNUMBER('Master Database'!$AG160)),OR($H$7="",AND(ISNUMBER('Master Database'!$H160),N('Master Database'!$H160)&gt;=$H$7)),OR($I$7="",AND(ISNUMBER('Master Database'!$H160),N('Master Database'!$H160)&lt;=$I$7)),OR($H$8="",AND(ISNUMBER('Master Database'!$I160),N('Master Database'!$I160)&gt;=$H$8)),OR($I$8="",AND(ISNUMBER('Master Database'!$I160),N('Master Database'!$I160)&lt;=$I$8)),OR($H$9="",AND(ISNUMBER('Master Database'!$K160),N('Master Database'!$K160)&gt;=$H$9)),OR($I$9="",AND(ISNUMBER('Master Database'!$K160),N('Master Database'!$K160)&lt;=$I$9))),1,0))</f>
        <v>0</v>
      </c>
      <c r="BB160" s="0" t="str">
        <f aca="false">IF(BA160=1,COUNTIF($BA$5:BA160,1),"")</f>
        <v/>
      </c>
    </row>
    <row r="161" customFormat="false" ht="15" hidden="false" customHeight="false" outlineLevel="0" collapsed="false">
      <c r="A161" s="67" t="n">
        <f aca="false">IF(146&lt;=SUM($BA$5:$BA$600),146,"")</f>
        <v>146</v>
      </c>
      <c r="B161" s="67" t="n">
        <f aca="false">IF(A161="","",MATCH(A161,$BB$5:$BB$600,0)+4)</f>
        <v>150</v>
      </c>
      <c r="C161" s="67" t="n">
        <f aca="false">IF($B161="","",IF(INDEX('Master Database'!$A$1:$A$600,$B161)="","",INDEX('Master Database'!$A$1:$A$600,$B161)))</f>
        <v>146</v>
      </c>
      <c r="D161" s="68" t="str">
        <f aca="false">IF($B161="","",IF(INDEX('Master Database'!$B$1:$B$600,$B161)="","",INDEX('Master Database'!$B$1:$B$600,$B161)))</f>
        <v>Fire Water Jockey Pumps</v>
      </c>
      <c r="E161" s="68" t="str">
        <f aca="false">IF($B161="","",IF(INDEX('Master Database'!$C$1:$C$600,$B161)="","",INDEX('Master Database'!$C$1:$C$600,$B161)))</f>
        <v>Pazanan 2</v>
      </c>
      <c r="F161" s="68" t="str">
        <f aca="false">IF($B161="","",IF(INDEX('Master Database'!$D$1:$D$600,$B161)="","",INDEX('Master Database'!$D$1:$D$600,$B161)))</f>
        <v>P-194 A/B</v>
      </c>
      <c r="G161" s="68" t="str">
        <f aca="false">IF($B161="","",IF(INDEX('Master Database'!$E$1:$E$600,$B161)="","",INDEX('Master Database'!$E$1:$E$600,$B161)))</f>
        <v>ROT-FIR</v>
      </c>
      <c r="H161" s="68" t="str">
        <f aca="false">IF($B161="","",IF(INDEX('Master Database'!$F$1:$F$600,$B161)="","",INDEX('Master Database'!$F$1:$F$600,$B161)))</f>
        <v>OH (unspecified)</v>
      </c>
      <c r="I161" s="68" t="str">
        <f aca="false">IF($B161="","",IF(INDEX('Master Database'!$G$1:$G$600,$B161)="","",INDEX('Master Database'!$G$1:$G$600,$B161)))</f>
        <v>I-2</v>
      </c>
      <c r="J161" s="69" t="n">
        <f aca="false">IF($B161="","",IF(INDEX('Master Database'!$H$1:$H$600,$B161)="","",INDEX('Master Database'!$H$1:$H$600,$B161)))</f>
        <v>16.5</v>
      </c>
      <c r="K161" s="69" t="n">
        <f aca="false">IF($B161="","",IF(INDEX('Master Database'!$I$1:$I$600,$B161)="","",INDEX('Master Database'!$I$1:$I$600,$B161)))</f>
        <v>107</v>
      </c>
      <c r="L161" s="69" t="n">
        <f aca="false">IF($B161="","",IF(INDEX('Master Database'!$K$1:$K$600,$B161)="","",INDEX('Master Database'!$K$1:$K$600,$B161)))</f>
        <v>8.01771117166213</v>
      </c>
      <c r="M161" s="68" t="str">
        <f aca="false">IF($B161="","",IF(INDEX('Master Database'!$L$1:$L$600,$B161)="","",INDEX('Master Database'!$L$1:$L$600,$B161)))</f>
        <v>NFPA 20 + IPS-M-PM-125</v>
      </c>
      <c r="N161" s="68" t="str">
        <f aca="false">IF($B161="","",IF(INDEX('Master Database'!$P$1:$P$600,$B161)="","",INDEX('Master Database'!$P$1:$P$600,$B161)))</f>
        <v>Not stated</v>
      </c>
      <c r="O161" s="68" t="str">
        <f aca="false">IF($B161="","",IF(INDEX('Master Database'!$S$1:$S$600,$B161)="","",INDEX('Master Database'!$S$1:$S$600,$B161)))</f>
        <v>Electric Motor</v>
      </c>
      <c r="P161" s="68" t="str">
        <f aca="false">IF($B161="","",IF(INDEX('Master Database'!$T$1:$T$600,$B161)="","",INDEX('Master Database'!$T$1:$T$600,$B161)))</f>
        <v>Fire Water</v>
      </c>
      <c r="Q161" s="68" t="n">
        <f aca="false">IF($B161="","",IF(INDEX('Master Database'!$Y$1:$Y$600,$B161)="","",INDEX('Master Database'!$Y$1:$Y$600,$B161)))</f>
        <v>1393</v>
      </c>
      <c r="R161" s="68" t="str">
        <f aca="false">IF($B161="","",IF(INDEX('Master Database'!$Z$1:$Z$600,$B161)="","",INDEX('Master Database'!$Z$1:$Z$600,$B161)))</f>
        <v>EUR</v>
      </c>
      <c r="S161" s="70" t="n">
        <f aca="false">IF($B161="","",IF(INDEX('Master Database'!$AA$1:$AA$600,$B161)="","",INDEX('Master Database'!$AA$1:$AA$600,$B161)))</f>
        <v>15000</v>
      </c>
      <c r="T161" s="68" t="str">
        <f aca="false">IF($B161="","",IF(INDEX('Master Database'!$AE$1:$AE$600,$B161)="","",INDEX('Master Database'!$AE$1:$AE$600,$B161)))</f>
        <v>Consultant basic MTO estimate R02 (Feb 2015), PC-ME sheet PUMPS col. AR (FOB EUR)</v>
      </c>
      <c r="U161" s="70" t="n">
        <f aca="false">IF($B161="","",IF(INDEX('Master Database'!$AG$1:$AG$600,$B161)="","",INDEX('Master Database'!$AG$1:$AG$600,$B161)))</f>
        <v>20266.0185884594</v>
      </c>
      <c r="V161" s="70" t="n">
        <f aca="false">IF($B161="","",IF(INDEX('Master Database'!$AH$1:$AH$600,$B161)="","",INDEX('Master Database'!$AH$1:$AH$600,$B161)))</f>
        <v>21396.5195547694</v>
      </c>
      <c r="W161" s="70" t="n">
        <f aca="false">IF($B161="","",IF(INDEX('Master Database'!$AI$1:$AI$600,$B161)="","",INDEX('Master Database'!$AI$1:$AI$600,$B161)))</f>
        <v>14090314211.961</v>
      </c>
      <c r="X161" s="68" t="str">
        <f aca="false">IF($B161="","",IF(INDEX('Master Database'!$BG$1:$BG$600,$B161)="","",INDEX('Master Database'!$BG$1:$BG$600,$B161)))</f>
        <v>Y</v>
      </c>
      <c r="BA161" s="65" t="n">
        <f aca="false">IF('Master Database'!$A161="",0,IF(AND(OR($B$5="",ISNUMBER(SEARCH($B$5,'Master Database'!$B161&amp;" "&amp;'Master Database'!$D161))),OR($B$6="(All)",'Master Database'!$C161=$B$6),OR($B$7="(All)",'Master Database'!$E161=$B$7),OR($B$8="(All)",'Master Database'!$T161=$B$8),OR($B$9="(All)",'Master Database'!$M161=$B$9),OR($B$10="(All)",'Master Database'!$V161=$B$10),OR($E$5="(All)",'Master Database'!$F161=$E$5),OR($E$6="(All)",'Master Database'!$G161=$E$6),OR($E$7="(All)",'Master Database'!$O161=$E$7),OR($E$8="(All)",'Master Database'!$P161=$E$8),OR($E$9="(All)",'Master Database'!$S161=$E$9),OR($E$10="(All)",'Master Database'!$Y161&amp;""=$E$10&amp;""),OR($H$5="(All)",'Master Database'!$BG161=$H$5),OR($H$6&lt;&gt;"Y",ISNUMBER('Master Database'!$AG161)),OR($H$7="",AND(ISNUMBER('Master Database'!$H161),N('Master Database'!$H161)&gt;=$H$7)),OR($I$7="",AND(ISNUMBER('Master Database'!$H161),N('Master Database'!$H161)&lt;=$I$7)),OR($H$8="",AND(ISNUMBER('Master Database'!$I161),N('Master Database'!$I161)&gt;=$H$8)),OR($I$8="",AND(ISNUMBER('Master Database'!$I161),N('Master Database'!$I161)&lt;=$I$8)),OR($H$9="",AND(ISNUMBER('Master Database'!$K161),N('Master Database'!$K161)&gt;=$H$9)),OR($I$9="",AND(ISNUMBER('Master Database'!$K161),N('Master Database'!$K161)&lt;=$I$9))),1,0))</f>
        <v>0</v>
      </c>
      <c r="BB161" s="0" t="str">
        <f aca="false">IF(BA161=1,COUNTIF($BA$5:BA161,1),"")</f>
        <v/>
      </c>
    </row>
    <row r="162" customFormat="false" ht="15" hidden="false" customHeight="false" outlineLevel="0" collapsed="false">
      <c r="A162" s="67" t="str">
        <f aca="false">IF(147&lt;=SUM($BA$5:$BA$600),147,"")</f>
        <v/>
      </c>
      <c r="B162" s="67" t="str">
        <f aca="false">IF(A162="","",MATCH(A162,$BB$5:$BB$600,0)+4)</f>
        <v/>
      </c>
      <c r="C162" s="67" t="str">
        <f aca="false">IF($B162="","",IF(INDEX('Master Database'!$A$1:$A$600,$B162)="","",INDEX('Master Database'!$A$1:$A$600,$B162)))</f>
        <v/>
      </c>
      <c r="D162" s="68" t="str">
        <f aca="false">IF($B162="","",IF(INDEX('Master Database'!$B$1:$B$600,$B162)="","",INDEX('Master Database'!$B$1:$B$600,$B162)))</f>
        <v/>
      </c>
      <c r="E162" s="68" t="str">
        <f aca="false">IF($B162="","",IF(INDEX('Master Database'!$C$1:$C$600,$B162)="","",INDEX('Master Database'!$C$1:$C$600,$B162)))</f>
        <v/>
      </c>
      <c r="F162" s="68" t="str">
        <f aca="false">IF($B162="","",IF(INDEX('Master Database'!$D$1:$D$600,$B162)="","",INDEX('Master Database'!$D$1:$D$600,$B162)))</f>
        <v/>
      </c>
      <c r="G162" s="68" t="str">
        <f aca="false">IF($B162="","",IF(INDEX('Master Database'!$E$1:$E$600,$B162)="","",INDEX('Master Database'!$E$1:$E$600,$B162)))</f>
        <v/>
      </c>
      <c r="H162" s="68" t="str">
        <f aca="false">IF($B162="","",IF(INDEX('Master Database'!$F$1:$F$600,$B162)="","",INDEX('Master Database'!$F$1:$F$600,$B162)))</f>
        <v/>
      </c>
      <c r="I162" s="68" t="str">
        <f aca="false">IF($B162="","",IF(INDEX('Master Database'!$G$1:$G$600,$B162)="","",INDEX('Master Database'!$G$1:$G$600,$B162)))</f>
        <v/>
      </c>
      <c r="J162" s="69" t="str">
        <f aca="false">IF($B162="","",IF(INDEX('Master Database'!$H$1:$H$600,$B162)="","",INDEX('Master Database'!$H$1:$H$600,$B162)))</f>
        <v/>
      </c>
      <c r="K162" s="69" t="str">
        <f aca="false">IF($B162="","",IF(INDEX('Master Database'!$I$1:$I$600,$B162)="","",INDEX('Master Database'!$I$1:$I$600,$B162)))</f>
        <v/>
      </c>
      <c r="L162" s="69" t="str">
        <f aca="false">IF($B162="","",IF(INDEX('Master Database'!$K$1:$K$600,$B162)="","",INDEX('Master Database'!$K$1:$K$600,$B162)))</f>
        <v/>
      </c>
      <c r="M162" s="68" t="str">
        <f aca="false">IF($B162="","",IF(INDEX('Master Database'!$L$1:$L$600,$B162)="","",INDEX('Master Database'!$L$1:$L$600,$B162)))</f>
        <v/>
      </c>
      <c r="N162" s="68" t="str">
        <f aca="false">IF($B162="","",IF(INDEX('Master Database'!$P$1:$P$600,$B162)="","",INDEX('Master Database'!$P$1:$P$600,$B162)))</f>
        <v/>
      </c>
      <c r="O162" s="68" t="str">
        <f aca="false">IF($B162="","",IF(INDEX('Master Database'!$S$1:$S$600,$B162)="","",INDEX('Master Database'!$S$1:$S$600,$B162)))</f>
        <v/>
      </c>
      <c r="P162" s="68" t="str">
        <f aca="false">IF($B162="","",IF(INDEX('Master Database'!$T$1:$T$600,$B162)="","",INDEX('Master Database'!$T$1:$T$600,$B162)))</f>
        <v/>
      </c>
      <c r="Q162" s="68" t="str">
        <f aca="false">IF($B162="","",IF(INDEX('Master Database'!$Y$1:$Y$600,$B162)="","",INDEX('Master Database'!$Y$1:$Y$600,$B162)))</f>
        <v/>
      </c>
      <c r="R162" s="68" t="str">
        <f aca="false">IF($B162="","",IF(INDEX('Master Database'!$Z$1:$Z$600,$B162)="","",INDEX('Master Database'!$Z$1:$Z$600,$B162)))</f>
        <v/>
      </c>
      <c r="S162" s="70" t="str">
        <f aca="false">IF($B162="","",IF(INDEX('Master Database'!$AA$1:$AA$600,$B162)="","",INDEX('Master Database'!$AA$1:$AA$600,$B162)))</f>
        <v/>
      </c>
      <c r="T162" s="68" t="str">
        <f aca="false">IF($B162="","",IF(INDEX('Master Database'!$AE$1:$AE$600,$B162)="","",INDEX('Master Database'!$AE$1:$AE$600,$B162)))</f>
        <v/>
      </c>
      <c r="U162" s="70" t="str">
        <f aca="false">IF($B162="","",IF(INDEX('Master Database'!$AG$1:$AG$600,$B162)="","",INDEX('Master Database'!$AG$1:$AG$600,$B162)))</f>
        <v/>
      </c>
      <c r="V162" s="70" t="str">
        <f aca="false">IF($B162="","",IF(INDEX('Master Database'!$AH$1:$AH$600,$B162)="","",INDEX('Master Database'!$AH$1:$AH$600,$B162)))</f>
        <v/>
      </c>
      <c r="W162" s="70" t="str">
        <f aca="false">IF($B162="","",IF(INDEX('Master Database'!$AI$1:$AI$600,$B162)="","",INDEX('Master Database'!$AI$1:$AI$600,$B162)))</f>
        <v/>
      </c>
      <c r="X162" s="68" t="str">
        <f aca="false">IF($B162="","",IF(INDEX('Master Database'!$BG$1:$BG$600,$B162)="","",INDEX('Master Database'!$BG$1:$BG$600,$B162)))</f>
        <v/>
      </c>
      <c r="BA162" s="65" t="n">
        <f aca="false">IF('Master Database'!$A162="",0,IF(AND(OR($B$5="",ISNUMBER(SEARCH($B$5,'Master Database'!$B162&amp;" "&amp;'Master Database'!$D162))),OR($B$6="(All)",'Master Database'!$C162=$B$6),OR($B$7="(All)",'Master Database'!$E162=$B$7),OR($B$8="(All)",'Master Database'!$T162=$B$8),OR($B$9="(All)",'Master Database'!$M162=$B$9),OR($B$10="(All)",'Master Database'!$V162=$B$10),OR($E$5="(All)",'Master Database'!$F162=$E$5),OR($E$6="(All)",'Master Database'!$G162=$E$6),OR($E$7="(All)",'Master Database'!$O162=$E$7),OR($E$8="(All)",'Master Database'!$P162=$E$8),OR($E$9="(All)",'Master Database'!$S162=$E$9),OR($E$10="(All)",'Master Database'!$Y162&amp;""=$E$10&amp;""),OR($H$5="(All)",'Master Database'!$BG162=$H$5),OR($H$6&lt;&gt;"Y",ISNUMBER('Master Database'!$AG162)),OR($H$7="",AND(ISNUMBER('Master Database'!$H162),N('Master Database'!$H162)&gt;=$H$7)),OR($I$7="",AND(ISNUMBER('Master Database'!$H162),N('Master Database'!$H162)&lt;=$I$7)),OR($H$8="",AND(ISNUMBER('Master Database'!$I162),N('Master Database'!$I162)&gt;=$H$8)),OR($I$8="",AND(ISNUMBER('Master Database'!$I162),N('Master Database'!$I162)&lt;=$I$8)),OR($H$9="",AND(ISNUMBER('Master Database'!$K162),N('Master Database'!$K162)&gt;=$H$9)),OR($I$9="",AND(ISNUMBER('Master Database'!$K162),N('Master Database'!$K162)&lt;=$I$9))),1,0))</f>
        <v>0</v>
      </c>
      <c r="BB162" s="0" t="str">
        <f aca="false">IF(BA162=1,COUNTIF($BA$5:BA162,1),"")</f>
        <v/>
      </c>
    </row>
    <row r="163" customFormat="false" ht="15" hidden="false" customHeight="false" outlineLevel="0" collapsed="false">
      <c r="A163" s="67" t="str">
        <f aca="false">IF(148&lt;=SUM($BA$5:$BA$600),148,"")</f>
        <v/>
      </c>
      <c r="B163" s="67" t="str">
        <f aca="false">IF(A163="","",MATCH(A163,$BB$5:$BB$600,0)+4)</f>
        <v/>
      </c>
      <c r="C163" s="67" t="str">
        <f aca="false">IF($B163="","",IF(INDEX('Master Database'!$A$1:$A$600,$B163)="","",INDEX('Master Database'!$A$1:$A$600,$B163)))</f>
        <v/>
      </c>
      <c r="D163" s="68" t="str">
        <f aca="false">IF($B163="","",IF(INDEX('Master Database'!$B$1:$B$600,$B163)="","",INDEX('Master Database'!$B$1:$B$600,$B163)))</f>
        <v/>
      </c>
      <c r="E163" s="68" t="str">
        <f aca="false">IF($B163="","",IF(INDEX('Master Database'!$C$1:$C$600,$B163)="","",INDEX('Master Database'!$C$1:$C$600,$B163)))</f>
        <v/>
      </c>
      <c r="F163" s="68" t="str">
        <f aca="false">IF($B163="","",IF(INDEX('Master Database'!$D$1:$D$600,$B163)="","",INDEX('Master Database'!$D$1:$D$600,$B163)))</f>
        <v/>
      </c>
      <c r="G163" s="68" t="str">
        <f aca="false">IF($B163="","",IF(INDEX('Master Database'!$E$1:$E$600,$B163)="","",INDEX('Master Database'!$E$1:$E$600,$B163)))</f>
        <v/>
      </c>
      <c r="H163" s="68" t="str">
        <f aca="false">IF($B163="","",IF(INDEX('Master Database'!$F$1:$F$600,$B163)="","",INDEX('Master Database'!$F$1:$F$600,$B163)))</f>
        <v/>
      </c>
      <c r="I163" s="68" t="str">
        <f aca="false">IF($B163="","",IF(INDEX('Master Database'!$G$1:$G$600,$B163)="","",INDEX('Master Database'!$G$1:$G$600,$B163)))</f>
        <v/>
      </c>
      <c r="J163" s="69" t="str">
        <f aca="false">IF($B163="","",IF(INDEX('Master Database'!$H$1:$H$600,$B163)="","",INDEX('Master Database'!$H$1:$H$600,$B163)))</f>
        <v/>
      </c>
      <c r="K163" s="69" t="str">
        <f aca="false">IF($B163="","",IF(INDEX('Master Database'!$I$1:$I$600,$B163)="","",INDEX('Master Database'!$I$1:$I$600,$B163)))</f>
        <v/>
      </c>
      <c r="L163" s="69" t="str">
        <f aca="false">IF($B163="","",IF(INDEX('Master Database'!$K$1:$K$600,$B163)="","",INDEX('Master Database'!$K$1:$K$600,$B163)))</f>
        <v/>
      </c>
      <c r="M163" s="68" t="str">
        <f aca="false">IF($B163="","",IF(INDEX('Master Database'!$L$1:$L$600,$B163)="","",INDEX('Master Database'!$L$1:$L$600,$B163)))</f>
        <v/>
      </c>
      <c r="N163" s="68" t="str">
        <f aca="false">IF($B163="","",IF(INDEX('Master Database'!$P$1:$P$600,$B163)="","",INDEX('Master Database'!$P$1:$P$600,$B163)))</f>
        <v/>
      </c>
      <c r="O163" s="68" t="str">
        <f aca="false">IF($B163="","",IF(INDEX('Master Database'!$S$1:$S$600,$B163)="","",INDEX('Master Database'!$S$1:$S$600,$B163)))</f>
        <v/>
      </c>
      <c r="P163" s="68" t="str">
        <f aca="false">IF($B163="","",IF(INDEX('Master Database'!$T$1:$T$600,$B163)="","",INDEX('Master Database'!$T$1:$T$600,$B163)))</f>
        <v/>
      </c>
      <c r="Q163" s="68" t="str">
        <f aca="false">IF($B163="","",IF(INDEX('Master Database'!$Y$1:$Y$600,$B163)="","",INDEX('Master Database'!$Y$1:$Y$600,$B163)))</f>
        <v/>
      </c>
      <c r="R163" s="68" t="str">
        <f aca="false">IF($B163="","",IF(INDEX('Master Database'!$Z$1:$Z$600,$B163)="","",INDEX('Master Database'!$Z$1:$Z$600,$B163)))</f>
        <v/>
      </c>
      <c r="S163" s="70" t="str">
        <f aca="false">IF($B163="","",IF(INDEX('Master Database'!$AA$1:$AA$600,$B163)="","",INDEX('Master Database'!$AA$1:$AA$600,$B163)))</f>
        <v/>
      </c>
      <c r="T163" s="68" t="str">
        <f aca="false">IF($B163="","",IF(INDEX('Master Database'!$AE$1:$AE$600,$B163)="","",INDEX('Master Database'!$AE$1:$AE$600,$B163)))</f>
        <v/>
      </c>
      <c r="U163" s="70" t="str">
        <f aca="false">IF($B163="","",IF(INDEX('Master Database'!$AG$1:$AG$600,$B163)="","",INDEX('Master Database'!$AG$1:$AG$600,$B163)))</f>
        <v/>
      </c>
      <c r="V163" s="70" t="str">
        <f aca="false">IF($B163="","",IF(INDEX('Master Database'!$AH$1:$AH$600,$B163)="","",INDEX('Master Database'!$AH$1:$AH$600,$B163)))</f>
        <v/>
      </c>
      <c r="W163" s="70" t="str">
        <f aca="false">IF($B163="","",IF(INDEX('Master Database'!$AI$1:$AI$600,$B163)="","",INDEX('Master Database'!$AI$1:$AI$600,$B163)))</f>
        <v/>
      </c>
      <c r="X163" s="68" t="str">
        <f aca="false">IF($B163="","",IF(INDEX('Master Database'!$BG$1:$BG$600,$B163)="","",INDEX('Master Database'!$BG$1:$BG$600,$B163)))</f>
        <v/>
      </c>
      <c r="BA163" s="65" t="n">
        <f aca="false">IF('Master Database'!$A163="",0,IF(AND(OR($B$5="",ISNUMBER(SEARCH($B$5,'Master Database'!$B163&amp;" "&amp;'Master Database'!$D163))),OR($B$6="(All)",'Master Database'!$C163=$B$6),OR($B$7="(All)",'Master Database'!$E163=$B$7),OR($B$8="(All)",'Master Database'!$T163=$B$8),OR($B$9="(All)",'Master Database'!$M163=$B$9),OR($B$10="(All)",'Master Database'!$V163=$B$10),OR($E$5="(All)",'Master Database'!$F163=$E$5),OR($E$6="(All)",'Master Database'!$G163=$E$6),OR($E$7="(All)",'Master Database'!$O163=$E$7),OR($E$8="(All)",'Master Database'!$P163=$E$8),OR($E$9="(All)",'Master Database'!$S163=$E$9),OR($E$10="(All)",'Master Database'!$Y163&amp;""=$E$10&amp;""),OR($H$5="(All)",'Master Database'!$BG163=$H$5),OR($H$6&lt;&gt;"Y",ISNUMBER('Master Database'!$AG163)),OR($H$7="",AND(ISNUMBER('Master Database'!$H163),N('Master Database'!$H163)&gt;=$H$7)),OR($I$7="",AND(ISNUMBER('Master Database'!$H163),N('Master Database'!$H163)&lt;=$I$7)),OR($H$8="",AND(ISNUMBER('Master Database'!$I163),N('Master Database'!$I163)&gt;=$H$8)),OR($I$8="",AND(ISNUMBER('Master Database'!$I163),N('Master Database'!$I163)&lt;=$I$8)),OR($H$9="",AND(ISNUMBER('Master Database'!$K163),N('Master Database'!$K163)&gt;=$H$9)),OR($I$9="",AND(ISNUMBER('Master Database'!$K163),N('Master Database'!$K163)&lt;=$I$9))),1,0))</f>
        <v>0</v>
      </c>
      <c r="BB163" s="0" t="str">
        <f aca="false">IF(BA163=1,COUNTIF($BA$5:BA163,1),"")</f>
        <v/>
      </c>
    </row>
    <row r="164" customFormat="false" ht="15" hidden="false" customHeight="false" outlineLevel="0" collapsed="false">
      <c r="A164" s="67" t="str">
        <f aca="false">IF(149&lt;=SUM($BA$5:$BA$600),149,"")</f>
        <v/>
      </c>
      <c r="B164" s="67" t="str">
        <f aca="false">IF(A164="","",MATCH(A164,$BB$5:$BB$600,0)+4)</f>
        <v/>
      </c>
      <c r="C164" s="67" t="str">
        <f aca="false">IF($B164="","",IF(INDEX('Master Database'!$A$1:$A$600,$B164)="","",INDEX('Master Database'!$A$1:$A$600,$B164)))</f>
        <v/>
      </c>
      <c r="D164" s="68" t="str">
        <f aca="false">IF($B164="","",IF(INDEX('Master Database'!$B$1:$B$600,$B164)="","",INDEX('Master Database'!$B$1:$B$600,$B164)))</f>
        <v/>
      </c>
      <c r="E164" s="68" t="str">
        <f aca="false">IF($B164="","",IF(INDEX('Master Database'!$C$1:$C$600,$B164)="","",INDEX('Master Database'!$C$1:$C$600,$B164)))</f>
        <v/>
      </c>
      <c r="F164" s="68" t="str">
        <f aca="false">IF($B164="","",IF(INDEX('Master Database'!$D$1:$D$600,$B164)="","",INDEX('Master Database'!$D$1:$D$600,$B164)))</f>
        <v/>
      </c>
      <c r="G164" s="68" t="str">
        <f aca="false">IF($B164="","",IF(INDEX('Master Database'!$E$1:$E$600,$B164)="","",INDEX('Master Database'!$E$1:$E$600,$B164)))</f>
        <v/>
      </c>
      <c r="H164" s="68" t="str">
        <f aca="false">IF($B164="","",IF(INDEX('Master Database'!$F$1:$F$600,$B164)="","",INDEX('Master Database'!$F$1:$F$600,$B164)))</f>
        <v/>
      </c>
      <c r="I164" s="68" t="str">
        <f aca="false">IF($B164="","",IF(INDEX('Master Database'!$G$1:$G$600,$B164)="","",INDEX('Master Database'!$G$1:$G$600,$B164)))</f>
        <v/>
      </c>
      <c r="J164" s="69" t="str">
        <f aca="false">IF($B164="","",IF(INDEX('Master Database'!$H$1:$H$600,$B164)="","",INDEX('Master Database'!$H$1:$H$600,$B164)))</f>
        <v/>
      </c>
      <c r="K164" s="69" t="str">
        <f aca="false">IF($B164="","",IF(INDEX('Master Database'!$I$1:$I$600,$B164)="","",INDEX('Master Database'!$I$1:$I$600,$B164)))</f>
        <v/>
      </c>
      <c r="L164" s="69" t="str">
        <f aca="false">IF($B164="","",IF(INDEX('Master Database'!$K$1:$K$600,$B164)="","",INDEX('Master Database'!$K$1:$K$600,$B164)))</f>
        <v/>
      </c>
      <c r="M164" s="68" t="str">
        <f aca="false">IF($B164="","",IF(INDEX('Master Database'!$L$1:$L$600,$B164)="","",INDEX('Master Database'!$L$1:$L$600,$B164)))</f>
        <v/>
      </c>
      <c r="N164" s="68" t="str">
        <f aca="false">IF($B164="","",IF(INDEX('Master Database'!$P$1:$P$600,$B164)="","",INDEX('Master Database'!$P$1:$P$600,$B164)))</f>
        <v/>
      </c>
      <c r="O164" s="68" t="str">
        <f aca="false">IF($B164="","",IF(INDEX('Master Database'!$S$1:$S$600,$B164)="","",INDEX('Master Database'!$S$1:$S$600,$B164)))</f>
        <v/>
      </c>
      <c r="P164" s="68" t="str">
        <f aca="false">IF($B164="","",IF(INDEX('Master Database'!$T$1:$T$600,$B164)="","",INDEX('Master Database'!$T$1:$T$600,$B164)))</f>
        <v/>
      </c>
      <c r="Q164" s="68" t="str">
        <f aca="false">IF($B164="","",IF(INDEX('Master Database'!$Y$1:$Y$600,$B164)="","",INDEX('Master Database'!$Y$1:$Y$600,$B164)))</f>
        <v/>
      </c>
      <c r="R164" s="68" t="str">
        <f aca="false">IF($B164="","",IF(INDEX('Master Database'!$Z$1:$Z$600,$B164)="","",INDEX('Master Database'!$Z$1:$Z$600,$B164)))</f>
        <v/>
      </c>
      <c r="S164" s="70" t="str">
        <f aca="false">IF($B164="","",IF(INDEX('Master Database'!$AA$1:$AA$600,$B164)="","",INDEX('Master Database'!$AA$1:$AA$600,$B164)))</f>
        <v/>
      </c>
      <c r="T164" s="68" t="str">
        <f aca="false">IF($B164="","",IF(INDEX('Master Database'!$AE$1:$AE$600,$B164)="","",INDEX('Master Database'!$AE$1:$AE$600,$B164)))</f>
        <v/>
      </c>
      <c r="U164" s="70" t="str">
        <f aca="false">IF($B164="","",IF(INDEX('Master Database'!$AG$1:$AG$600,$B164)="","",INDEX('Master Database'!$AG$1:$AG$600,$B164)))</f>
        <v/>
      </c>
      <c r="V164" s="70" t="str">
        <f aca="false">IF($B164="","",IF(INDEX('Master Database'!$AH$1:$AH$600,$B164)="","",INDEX('Master Database'!$AH$1:$AH$600,$B164)))</f>
        <v/>
      </c>
      <c r="W164" s="70" t="str">
        <f aca="false">IF($B164="","",IF(INDEX('Master Database'!$AI$1:$AI$600,$B164)="","",INDEX('Master Database'!$AI$1:$AI$600,$B164)))</f>
        <v/>
      </c>
      <c r="X164" s="68" t="str">
        <f aca="false">IF($B164="","",IF(INDEX('Master Database'!$BG$1:$BG$600,$B164)="","",INDEX('Master Database'!$BG$1:$BG$600,$B164)))</f>
        <v/>
      </c>
      <c r="BA164" s="65" t="n">
        <f aca="false">IF('Master Database'!$A164="",0,IF(AND(OR($B$5="",ISNUMBER(SEARCH($B$5,'Master Database'!$B164&amp;" "&amp;'Master Database'!$D164))),OR($B$6="(All)",'Master Database'!$C164=$B$6),OR($B$7="(All)",'Master Database'!$E164=$B$7),OR($B$8="(All)",'Master Database'!$T164=$B$8),OR($B$9="(All)",'Master Database'!$M164=$B$9),OR($B$10="(All)",'Master Database'!$V164=$B$10),OR($E$5="(All)",'Master Database'!$F164=$E$5),OR($E$6="(All)",'Master Database'!$G164=$E$6),OR($E$7="(All)",'Master Database'!$O164=$E$7),OR($E$8="(All)",'Master Database'!$P164=$E$8),OR($E$9="(All)",'Master Database'!$S164=$E$9),OR($E$10="(All)",'Master Database'!$Y164&amp;""=$E$10&amp;""),OR($H$5="(All)",'Master Database'!$BG164=$H$5),OR($H$6&lt;&gt;"Y",ISNUMBER('Master Database'!$AG164)),OR($H$7="",AND(ISNUMBER('Master Database'!$H164),N('Master Database'!$H164)&gt;=$H$7)),OR($I$7="",AND(ISNUMBER('Master Database'!$H164),N('Master Database'!$H164)&lt;=$I$7)),OR($H$8="",AND(ISNUMBER('Master Database'!$I164),N('Master Database'!$I164)&gt;=$H$8)),OR($I$8="",AND(ISNUMBER('Master Database'!$I164),N('Master Database'!$I164)&lt;=$I$8)),OR($H$9="",AND(ISNUMBER('Master Database'!$K164),N('Master Database'!$K164)&gt;=$H$9)),OR($I$9="",AND(ISNUMBER('Master Database'!$K164),N('Master Database'!$K164)&lt;=$I$9))),1,0))</f>
        <v>0</v>
      </c>
      <c r="BB164" s="0" t="str">
        <f aca="false">IF(BA164=1,COUNTIF($BA$5:BA164,1),"")</f>
        <v/>
      </c>
    </row>
    <row r="165" customFormat="false" ht="15" hidden="false" customHeight="false" outlineLevel="0" collapsed="false">
      <c r="A165" s="67" t="str">
        <f aca="false">IF(150&lt;=SUM($BA$5:$BA$600),150,"")</f>
        <v/>
      </c>
      <c r="B165" s="67" t="str">
        <f aca="false">IF(A165="","",MATCH(A165,$BB$5:$BB$600,0)+4)</f>
        <v/>
      </c>
      <c r="C165" s="67" t="str">
        <f aca="false">IF($B165="","",IF(INDEX('Master Database'!$A$1:$A$600,$B165)="","",INDEX('Master Database'!$A$1:$A$600,$B165)))</f>
        <v/>
      </c>
      <c r="D165" s="68" t="str">
        <f aca="false">IF($B165="","",IF(INDEX('Master Database'!$B$1:$B$600,$B165)="","",INDEX('Master Database'!$B$1:$B$600,$B165)))</f>
        <v/>
      </c>
      <c r="E165" s="68" t="str">
        <f aca="false">IF($B165="","",IF(INDEX('Master Database'!$C$1:$C$600,$B165)="","",INDEX('Master Database'!$C$1:$C$600,$B165)))</f>
        <v/>
      </c>
      <c r="F165" s="68" t="str">
        <f aca="false">IF($B165="","",IF(INDEX('Master Database'!$D$1:$D$600,$B165)="","",INDEX('Master Database'!$D$1:$D$600,$B165)))</f>
        <v/>
      </c>
      <c r="G165" s="68" t="str">
        <f aca="false">IF($B165="","",IF(INDEX('Master Database'!$E$1:$E$600,$B165)="","",INDEX('Master Database'!$E$1:$E$600,$B165)))</f>
        <v/>
      </c>
      <c r="H165" s="68" t="str">
        <f aca="false">IF($B165="","",IF(INDEX('Master Database'!$F$1:$F$600,$B165)="","",INDEX('Master Database'!$F$1:$F$600,$B165)))</f>
        <v/>
      </c>
      <c r="I165" s="68" t="str">
        <f aca="false">IF($B165="","",IF(INDEX('Master Database'!$G$1:$G$600,$B165)="","",INDEX('Master Database'!$G$1:$G$600,$B165)))</f>
        <v/>
      </c>
      <c r="J165" s="69" t="str">
        <f aca="false">IF($B165="","",IF(INDEX('Master Database'!$H$1:$H$600,$B165)="","",INDEX('Master Database'!$H$1:$H$600,$B165)))</f>
        <v/>
      </c>
      <c r="K165" s="69" t="str">
        <f aca="false">IF($B165="","",IF(INDEX('Master Database'!$I$1:$I$600,$B165)="","",INDEX('Master Database'!$I$1:$I$600,$B165)))</f>
        <v/>
      </c>
      <c r="L165" s="69" t="str">
        <f aca="false">IF($B165="","",IF(INDEX('Master Database'!$K$1:$K$600,$B165)="","",INDEX('Master Database'!$K$1:$K$600,$B165)))</f>
        <v/>
      </c>
      <c r="M165" s="68" t="str">
        <f aca="false">IF($B165="","",IF(INDEX('Master Database'!$L$1:$L$600,$B165)="","",INDEX('Master Database'!$L$1:$L$600,$B165)))</f>
        <v/>
      </c>
      <c r="N165" s="68" t="str">
        <f aca="false">IF($B165="","",IF(INDEX('Master Database'!$P$1:$P$600,$B165)="","",INDEX('Master Database'!$P$1:$P$600,$B165)))</f>
        <v/>
      </c>
      <c r="O165" s="68" t="str">
        <f aca="false">IF($B165="","",IF(INDEX('Master Database'!$S$1:$S$600,$B165)="","",INDEX('Master Database'!$S$1:$S$600,$B165)))</f>
        <v/>
      </c>
      <c r="P165" s="68" t="str">
        <f aca="false">IF($B165="","",IF(INDEX('Master Database'!$T$1:$T$600,$B165)="","",INDEX('Master Database'!$T$1:$T$600,$B165)))</f>
        <v/>
      </c>
      <c r="Q165" s="68" t="str">
        <f aca="false">IF($B165="","",IF(INDEX('Master Database'!$Y$1:$Y$600,$B165)="","",INDEX('Master Database'!$Y$1:$Y$600,$B165)))</f>
        <v/>
      </c>
      <c r="R165" s="68" t="str">
        <f aca="false">IF($B165="","",IF(INDEX('Master Database'!$Z$1:$Z$600,$B165)="","",INDEX('Master Database'!$Z$1:$Z$600,$B165)))</f>
        <v/>
      </c>
      <c r="S165" s="70" t="str">
        <f aca="false">IF($B165="","",IF(INDEX('Master Database'!$AA$1:$AA$600,$B165)="","",INDEX('Master Database'!$AA$1:$AA$600,$B165)))</f>
        <v/>
      </c>
      <c r="T165" s="68" t="str">
        <f aca="false">IF($B165="","",IF(INDEX('Master Database'!$AE$1:$AE$600,$B165)="","",INDEX('Master Database'!$AE$1:$AE$600,$B165)))</f>
        <v/>
      </c>
      <c r="U165" s="70" t="str">
        <f aca="false">IF($B165="","",IF(INDEX('Master Database'!$AG$1:$AG$600,$B165)="","",INDEX('Master Database'!$AG$1:$AG$600,$B165)))</f>
        <v/>
      </c>
      <c r="V165" s="70" t="str">
        <f aca="false">IF($B165="","",IF(INDEX('Master Database'!$AH$1:$AH$600,$B165)="","",INDEX('Master Database'!$AH$1:$AH$600,$B165)))</f>
        <v/>
      </c>
      <c r="W165" s="70" t="str">
        <f aca="false">IF($B165="","",IF(INDEX('Master Database'!$AI$1:$AI$600,$B165)="","",INDEX('Master Database'!$AI$1:$AI$600,$B165)))</f>
        <v/>
      </c>
      <c r="X165" s="68" t="str">
        <f aca="false">IF($B165="","",IF(INDEX('Master Database'!$BG$1:$BG$600,$B165)="","",INDEX('Master Database'!$BG$1:$BG$600,$B165)))</f>
        <v/>
      </c>
      <c r="BA165" s="65" t="n">
        <f aca="false">IF('Master Database'!$A165="",0,IF(AND(OR($B$5="",ISNUMBER(SEARCH($B$5,'Master Database'!$B165&amp;" "&amp;'Master Database'!$D165))),OR($B$6="(All)",'Master Database'!$C165=$B$6),OR($B$7="(All)",'Master Database'!$E165=$B$7),OR($B$8="(All)",'Master Database'!$T165=$B$8),OR($B$9="(All)",'Master Database'!$M165=$B$9),OR($B$10="(All)",'Master Database'!$V165=$B$10),OR($E$5="(All)",'Master Database'!$F165=$E$5),OR($E$6="(All)",'Master Database'!$G165=$E$6),OR($E$7="(All)",'Master Database'!$O165=$E$7),OR($E$8="(All)",'Master Database'!$P165=$E$8),OR($E$9="(All)",'Master Database'!$S165=$E$9),OR($E$10="(All)",'Master Database'!$Y165&amp;""=$E$10&amp;""),OR($H$5="(All)",'Master Database'!$BG165=$H$5),OR($H$6&lt;&gt;"Y",ISNUMBER('Master Database'!$AG165)),OR($H$7="",AND(ISNUMBER('Master Database'!$H165),N('Master Database'!$H165)&gt;=$H$7)),OR($I$7="",AND(ISNUMBER('Master Database'!$H165),N('Master Database'!$H165)&lt;=$I$7)),OR($H$8="",AND(ISNUMBER('Master Database'!$I165),N('Master Database'!$I165)&gt;=$H$8)),OR($I$8="",AND(ISNUMBER('Master Database'!$I165),N('Master Database'!$I165)&lt;=$I$8)),OR($H$9="",AND(ISNUMBER('Master Database'!$K165),N('Master Database'!$K165)&gt;=$H$9)),OR($I$9="",AND(ISNUMBER('Master Database'!$K165),N('Master Database'!$K165)&lt;=$I$9))),1,0))</f>
        <v>0</v>
      </c>
      <c r="BB165" s="0" t="str">
        <f aca="false">IF(BA165=1,COUNTIF($BA$5:BA165,1),"")</f>
        <v/>
      </c>
    </row>
    <row r="166" customFormat="false" ht="15" hidden="false" customHeight="false" outlineLevel="0" collapsed="false">
      <c r="A166" s="67" t="str">
        <f aca="false">IF(151&lt;=SUM($BA$5:$BA$600),151,"")</f>
        <v/>
      </c>
      <c r="B166" s="67" t="str">
        <f aca="false">IF(A166="","",MATCH(A166,$BB$5:$BB$600,0)+4)</f>
        <v/>
      </c>
      <c r="C166" s="67" t="str">
        <f aca="false">IF($B166="","",IF(INDEX('Master Database'!$A$1:$A$600,$B166)="","",INDEX('Master Database'!$A$1:$A$600,$B166)))</f>
        <v/>
      </c>
      <c r="D166" s="68" t="str">
        <f aca="false">IF($B166="","",IF(INDEX('Master Database'!$B$1:$B$600,$B166)="","",INDEX('Master Database'!$B$1:$B$600,$B166)))</f>
        <v/>
      </c>
      <c r="E166" s="68" t="str">
        <f aca="false">IF($B166="","",IF(INDEX('Master Database'!$C$1:$C$600,$B166)="","",INDEX('Master Database'!$C$1:$C$600,$B166)))</f>
        <v/>
      </c>
      <c r="F166" s="68" t="str">
        <f aca="false">IF($B166="","",IF(INDEX('Master Database'!$D$1:$D$600,$B166)="","",INDEX('Master Database'!$D$1:$D$600,$B166)))</f>
        <v/>
      </c>
      <c r="G166" s="68" t="str">
        <f aca="false">IF($B166="","",IF(INDEX('Master Database'!$E$1:$E$600,$B166)="","",INDEX('Master Database'!$E$1:$E$600,$B166)))</f>
        <v/>
      </c>
      <c r="H166" s="68" t="str">
        <f aca="false">IF($B166="","",IF(INDEX('Master Database'!$F$1:$F$600,$B166)="","",INDEX('Master Database'!$F$1:$F$600,$B166)))</f>
        <v/>
      </c>
      <c r="I166" s="68" t="str">
        <f aca="false">IF($B166="","",IF(INDEX('Master Database'!$G$1:$G$600,$B166)="","",INDEX('Master Database'!$G$1:$G$600,$B166)))</f>
        <v/>
      </c>
      <c r="J166" s="69" t="str">
        <f aca="false">IF($B166="","",IF(INDEX('Master Database'!$H$1:$H$600,$B166)="","",INDEX('Master Database'!$H$1:$H$600,$B166)))</f>
        <v/>
      </c>
      <c r="K166" s="69" t="str">
        <f aca="false">IF($B166="","",IF(INDEX('Master Database'!$I$1:$I$600,$B166)="","",INDEX('Master Database'!$I$1:$I$600,$B166)))</f>
        <v/>
      </c>
      <c r="L166" s="69" t="str">
        <f aca="false">IF($B166="","",IF(INDEX('Master Database'!$K$1:$K$600,$B166)="","",INDEX('Master Database'!$K$1:$K$600,$B166)))</f>
        <v/>
      </c>
      <c r="M166" s="68" t="str">
        <f aca="false">IF($B166="","",IF(INDEX('Master Database'!$L$1:$L$600,$B166)="","",INDEX('Master Database'!$L$1:$L$600,$B166)))</f>
        <v/>
      </c>
      <c r="N166" s="68" t="str">
        <f aca="false">IF($B166="","",IF(INDEX('Master Database'!$P$1:$P$600,$B166)="","",INDEX('Master Database'!$P$1:$P$600,$B166)))</f>
        <v/>
      </c>
      <c r="O166" s="68" t="str">
        <f aca="false">IF($B166="","",IF(INDEX('Master Database'!$S$1:$S$600,$B166)="","",INDEX('Master Database'!$S$1:$S$600,$B166)))</f>
        <v/>
      </c>
      <c r="P166" s="68" t="str">
        <f aca="false">IF($B166="","",IF(INDEX('Master Database'!$T$1:$T$600,$B166)="","",INDEX('Master Database'!$T$1:$T$600,$B166)))</f>
        <v/>
      </c>
      <c r="Q166" s="68" t="str">
        <f aca="false">IF($B166="","",IF(INDEX('Master Database'!$Y$1:$Y$600,$B166)="","",INDEX('Master Database'!$Y$1:$Y$600,$B166)))</f>
        <v/>
      </c>
      <c r="R166" s="68" t="str">
        <f aca="false">IF($B166="","",IF(INDEX('Master Database'!$Z$1:$Z$600,$B166)="","",INDEX('Master Database'!$Z$1:$Z$600,$B166)))</f>
        <v/>
      </c>
      <c r="S166" s="70" t="str">
        <f aca="false">IF($B166="","",IF(INDEX('Master Database'!$AA$1:$AA$600,$B166)="","",INDEX('Master Database'!$AA$1:$AA$600,$B166)))</f>
        <v/>
      </c>
      <c r="T166" s="68" t="str">
        <f aca="false">IF($B166="","",IF(INDEX('Master Database'!$AE$1:$AE$600,$B166)="","",INDEX('Master Database'!$AE$1:$AE$600,$B166)))</f>
        <v/>
      </c>
      <c r="U166" s="70" t="str">
        <f aca="false">IF($B166="","",IF(INDEX('Master Database'!$AG$1:$AG$600,$B166)="","",INDEX('Master Database'!$AG$1:$AG$600,$B166)))</f>
        <v/>
      </c>
      <c r="V166" s="70" t="str">
        <f aca="false">IF($B166="","",IF(INDEX('Master Database'!$AH$1:$AH$600,$B166)="","",INDEX('Master Database'!$AH$1:$AH$600,$B166)))</f>
        <v/>
      </c>
      <c r="W166" s="70" t="str">
        <f aca="false">IF($B166="","",IF(INDEX('Master Database'!$AI$1:$AI$600,$B166)="","",INDEX('Master Database'!$AI$1:$AI$600,$B166)))</f>
        <v/>
      </c>
      <c r="X166" s="68" t="str">
        <f aca="false">IF($B166="","",IF(INDEX('Master Database'!$BG$1:$BG$600,$B166)="","",INDEX('Master Database'!$BG$1:$BG$600,$B166)))</f>
        <v/>
      </c>
      <c r="BA166" s="65" t="n">
        <f aca="false">IF('Master Database'!$A166="",0,IF(AND(OR($B$5="",ISNUMBER(SEARCH($B$5,'Master Database'!$B166&amp;" "&amp;'Master Database'!$D166))),OR($B$6="(All)",'Master Database'!$C166=$B$6),OR($B$7="(All)",'Master Database'!$E166=$B$7),OR($B$8="(All)",'Master Database'!$T166=$B$8),OR($B$9="(All)",'Master Database'!$M166=$B$9),OR($B$10="(All)",'Master Database'!$V166=$B$10),OR($E$5="(All)",'Master Database'!$F166=$E$5),OR($E$6="(All)",'Master Database'!$G166=$E$6),OR($E$7="(All)",'Master Database'!$O166=$E$7),OR($E$8="(All)",'Master Database'!$P166=$E$8),OR($E$9="(All)",'Master Database'!$S166=$E$9),OR($E$10="(All)",'Master Database'!$Y166&amp;""=$E$10&amp;""),OR($H$5="(All)",'Master Database'!$BG166=$H$5),OR($H$6&lt;&gt;"Y",ISNUMBER('Master Database'!$AG166)),OR($H$7="",AND(ISNUMBER('Master Database'!$H166),N('Master Database'!$H166)&gt;=$H$7)),OR($I$7="",AND(ISNUMBER('Master Database'!$H166),N('Master Database'!$H166)&lt;=$I$7)),OR($H$8="",AND(ISNUMBER('Master Database'!$I166),N('Master Database'!$I166)&gt;=$H$8)),OR($I$8="",AND(ISNUMBER('Master Database'!$I166),N('Master Database'!$I166)&lt;=$I$8)),OR($H$9="",AND(ISNUMBER('Master Database'!$K166),N('Master Database'!$K166)&gt;=$H$9)),OR($I$9="",AND(ISNUMBER('Master Database'!$K166),N('Master Database'!$K166)&lt;=$I$9))),1,0))</f>
        <v>0</v>
      </c>
      <c r="BB166" s="0" t="str">
        <f aca="false">IF(BA166=1,COUNTIF($BA$5:BA166,1),"")</f>
        <v/>
      </c>
    </row>
    <row r="167" customFormat="false" ht="15" hidden="false" customHeight="false" outlineLevel="0" collapsed="false">
      <c r="A167" s="67" t="str">
        <f aca="false">IF(152&lt;=SUM($BA$5:$BA$600),152,"")</f>
        <v/>
      </c>
      <c r="B167" s="67" t="str">
        <f aca="false">IF(A167="","",MATCH(A167,$BB$5:$BB$600,0)+4)</f>
        <v/>
      </c>
      <c r="C167" s="67" t="str">
        <f aca="false">IF($B167="","",IF(INDEX('Master Database'!$A$1:$A$600,$B167)="","",INDEX('Master Database'!$A$1:$A$600,$B167)))</f>
        <v/>
      </c>
      <c r="D167" s="68" t="str">
        <f aca="false">IF($B167="","",IF(INDEX('Master Database'!$B$1:$B$600,$B167)="","",INDEX('Master Database'!$B$1:$B$600,$B167)))</f>
        <v/>
      </c>
      <c r="E167" s="68" t="str">
        <f aca="false">IF($B167="","",IF(INDEX('Master Database'!$C$1:$C$600,$B167)="","",INDEX('Master Database'!$C$1:$C$600,$B167)))</f>
        <v/>
      </c>
      <c r="F167" s="68" t="str">
        <f aca="false">IF($B167="","",IF(INDEX('Master Database'!$D$1:$D$600,$B167)="","",INDEX('Master Database'!$D$1:$D$600,$B167)))</f>
        <v/>
      </c>
      <c r="G167" s="68" t="str">
        <f aca="false">IF($B167="","",IF(INDEX('Master Database'!$E$1:$E$600,$B167)="","",INDEX('Master Database'!$E$1:$E$600,$B167)))</f>
        <v/>
      </c>
      <c r="H167" s="68" t="str">
        <f aca="false">IF($B167="","",IF(INDEX('Master Database'!$F$1:$F$600,$B167)="","",INDEX('Master Database'!$F$1:$F$600,$B167)))</f>
        <v/>
      </c>
      <c r="I167" s="68" t="str">
        <f aca="false">IF($B167="","",IF(INDEX('Master Database'!$G$1:$G$600,$B167)="","",INDEX('Master Database'!$G$1:$G$600,$B167)))</f>
        <v/>
      </c>
      <c r="J167" s="69" t="str">
        <f aca="false">IF($B167="","",IF(INDEX('Master Database'!$H$1:$H$600,$B167)="","",INDEX('Master Database'!$H$1:$H$600,$B167)))</f>
        <v/>
      </c>
      <c r="K167" s="69" t="str">
        <f aca="false">IF($B167="","",IF(INDEX('Master Database'!$I$1:$I$600,$B167)="","",INDEX('Master Database'!$I$1:$I$600,$B167)))</f>
        <v/>
      </c>
      <c r="L167" s="69" t="str">
        <f aca="false">IF($B167="","",IF(INDEX('Master Database'!$K$1:$K$600,$B167)="","",INDEX('Master Database'!$K$1:$K$600,$B167)))</f>
        <v/>
      </c>
      <c r="M167" s="68" t="str">
        <f aca="false">IF($B167="","",IF(INDEX('Master Database'!$L$1:$L$600,$B167)="","",INDEX('Master Database'!$L$1:$L$600,$B167)))</f>
        <v/>
      </c>
      <c r="N167" s="68" t="str">
        <f aca="false">IF($B167="","",IF(INDEX('Master Database'!$P$1:$P$600,$B167)="","",INDEX('Master Database'!$P$1:$P$600,$B167)))</f>
        <v/>
      </c>
      <c r="O167" s="68" t="str">
        <f aca="false">IF($B167="","",IF(INDEX('Master Database'!$S$1:$S$600,$B167)="","",INDEX('Master Database'!$S$1:$S$600,$B167)))</f>
        <v/>
      </c>
      <c r="P167" s="68" t="str">
        <f aca="false">IF($B167="","",IF(INDEX('Master Database'!$T$1:$T$600,$B167)="","",INDEX('Master Database'!$T$1:$T$600,$B167)))</f>
        <v/>
      </c>
      <c r="Q167" s="68" t="str">
        <f aca="false">IF($B167="","",IF(INDEX('Master Database'!$Y$1:$Y$600,$B167)="","",INDEX('Master Database'!$Y$1:$Y$600,$B167)))</f>
        <v/>
      </c>
      <c r="R167" s="68" t="str">
        <f aca="false">IF($B167="","",IF(INDEX('Master Database'!$Z$1:$Z$600,$B167)="","",INDEX('Master Database'!$Z$1:$Z$600,$B167)))</f>
        <v/>
      </c>
      <c r="S167" s="70" t="str">
        <f aca="false">IF($B167="","",IF(INDEX('Master Database'!$AA$1:$AA$600,$B167)="","",INDEX('Master Database'!$AA$1:$AA$600,$B167)))</f>
        <v/>
      </c>
      <c r="T167" s="68" t="str">
        <f aca="false">IF($B167="","",IF(INDEX('Master Database'!$AE$1:$AE$600,$B167)="","",INDEX('Master Database'!$AE$1:$AE$600,$B167)))</f>
        <v/>
      </c>
      <c r="U167" s="70" t="str">
        <f aca="false">IF($B167="","",IF(INDEX('Master Database'!$AG$1:$AG$600,$B167)="","",INDEX('Master Database'!$AG$1:$AG$600,$B167)))</f>
        <v/>
      </c>
      <c r="V167" s="70" t="str">
        <f aca="false">IF($B167="","",IF(INDEX('Master Database'!$AH$1:$AH$600,$B167)="","",INDEX('Master Database'!$AH$1:$AH$600,$B167)))</f>
        <v/>
      </c>
      <c r="W167" s="70" t="str">
        <f aca="false">IF($B167="","",IF(INDEX('Master Database'!$AI$1:$AI$600,$B167)="","",INDEX('Master Database'!$AI$1:$AI$600,$B167)))</f>
        <v/>
      </c>
      <c r="X167" s="68" t="str">
        <f aca="false">IF($B167="","",IF(INDEX('Master Database'!$BG$1:$BG$600,$B167)="","",INDEX('Master Database'!$BG$1:$BG$600,$B167)))</f>
        <v/>
      </c>
      <c r="BA167" s="65" t="n">
        <f aca="false">IF('Master Database'!$A167="",0,IF(AND(OR($B$5="",ISNUMBER(SEARCH($B$5,'Master Database'!$B167&amp;" "&amp;'Master Database'!$D167))),OR($B$6="(All)",'Master Database'!$C167=$B$6),OR($B$7="(All)",'Master Database'!$E167=$B$7),OR($B$8="(All)",'Master Database'!$T167=$B$8),OR($B$9="(All)",'Master Database'!$M167=$B$9),OR($B$10="(All)",'Master Database'!$V167=$B$10),OR($E$5="(All)",'Master Database'!$F167=$E$5),OR($E$6="(All)",'Master Database'!$G167=$E$6),OR($E$7="(All)",'Master Database'!$O167=$E$7),OR($E$8="(All)",'Master Database'!$P167=$E$8),OR($E$9="(All)",'Master Database'!$S167=$E$9),OR($E$10="(All)",'Master Database'!$Y167&amp;""=$E$10&amp;""),OR($H$5="(All)",'Master Database'!$BG167=$H$5),OR($H$6&lt;&gt;"Y",ISNUMBER('Master Database'!$AG167)),OR($H$7="",AND(ISNUMBER('Master Database'!$H167),N('Master Database'!$H167)&gt;=$H$7)),OR($I$7="",AND(ISNUMBER('Master Database'!$H167),N('Master Database'!$H167)&lt;=$I$7)),OR($H$8="",AND(ISNUMBER('Master Database'!$I167),N('Master Database'!$I167)&gt;=$H$8)),OR($I$8="",AND(ISNUMBER('Master Database'!$I167),N('Master Database'!$I167)&lt;=$I$8)),OR($H$9="",AND(ISNUMBER('Master Database'!$K167),N('Master Database'!$K167)&gt;=$H$9)),OR($I$9="",AND(ISNUMBER('Master Database'!$K167),N('Master Database'!$K167)&lt;=$I$9))),1,0))</f>
        <v>0</v>
      </c>
      <c r="BB167" s="0" t="str">
        <f aca="false">IF(BA167=1,COUNTIF($BA$5:BA167,1),"")</f>
        <v/>
      </c>
    </row>
    <row r="168" customFormat="false" ht="15" hidden="false" customHeight="false" outlineLevel="0" collapsed="false">
      <c r="A168" s="67" t="str">
        <f aca="false">IF(153&lt;=SUM($BA$5:$BA$600),153,"")</f>
        <v/>
      </c>
      <c r="B168" s="67" t="str">
        <f aca="false">IF(A168="","",MATCH(A168,$BB$5:$BB$600,0)+4)</f>
        <v/>
      </c>
      <c r="C168" s="67" t="str">
        <f aca="false">IF($B168="","",IF(INDEX('Master Database'!$A$1:$A$600,$B168)="","",INDEX('Master Database'!$A$1:$A$600,$B168)))</f>
        <v/>
      </c>
      <c r="D168" s="68" t="str">
        <f aca="false">IF($B168="","",IF(INDEX('Master Database'!$B$1:$B$600,$B168)="","",INDEX('Master Database'!$B$1:$B$600,$B168)))</f>
        <v/>
      </c>
      <c r="E168" s="68" t="str">
        <f aca="false">IF($B168="","",IF(INDEX('Master Database'!$C$1:$C$600,$B168)="","",INDEX('Master Database'!$C$1:$C$600,$B168)))</f>
        <v/>
      </c>
      <c r="F168" s="68" t="str">
        <f aca="false">IF($B168="","",IF(INDEX('Master Database'!$D$1:$D$600,$B168)="","",INDEX('Master Database'!$D$1:$D$600,$B168)))</f>
        <v/>
      </c>
      <c r="G168" s="68" t="str">
        <f aca="false">IF($B168="","",IF(INDEX('Master Database'!$E$1:$E$600,$B168)="","",INDEX('Master Database'!$E$1:$E$600,$B168)))</f>
        <v/>
      </c>
      <c r="H168" s="68" t="str">
        <f aca="false">IF($B168="","",IF(INDEX('Master Database'!$F$1:$F$600,$B168)="","",INDEX('Master Database'!$F$1:$F$600,$B168)))</f>
        <v/>
      </c>
      <c r="I168" s="68" t="str">
        <f aca="false">IF($B168="","",IF(INDEX('Master Database'!$G$1:$G$600,$B168)="","",INDEX('Master Database'!$G$1:$G$600,$B168)))</f>
        <v/>
      </c>
      <c r="J168" s="69" t="str">
        <f aca="false">IF($B168="","",IF(INDEX('Master Database'!$H$1:$H$600,$B168)="","",INDEX('Master Database'!$H$1:$H$600,$B168)))</f>
        <v/>
      </c>
      <c r="K168" s="69" t="str">
        <f aca="false">IF($B168="","",IF(INDEX('Master Database'!$I$1:$I$600,$B168)="","",INDEX('Master Database'!$I$1:$I$600,$B168)))</f>
        <v/>
      </c>
      <c r="L168" s="69" t="str">
        <f aca="false">IF($B168="","",IF(INDEX('Master Database'!$K$1:$K$600,$B168)="","",INDEX('Master Database'!$K$1:$K$600,$B168)))</f>
        <v/>
      </c>
      <c r="M168" s="68" t="str">
        <f aca="false">IF($B168="","",IF(INDEX('Master Database'!$L$1:$L$600,$B168)="","",INDEX('Master Database'!$L$1:$L$600,$B168)))</f>
        <v/>
      </c>
      <c r="N168" s="68" t="str">
        <f aca="false">IF($B168="","",IF(INDEX('Master Database'!$P$1:$P$600,$B168)="","",INDEX('Master Database'!$P$1:$P$600,$B168)))</f>
        <v/>
      </c>
      <c r="O168" s="68" t="str">
        <f aca="false">IF($B168="","",IF(INDEX('Master Database'!$S$1:$S$600,$B168)="","",INDEX('Master Database'!$S$1:$S$600,$B168)))</f>
        <v/>
      </c>
      <c r="P168" s="68" t="str">
        <f aca="false">IF($B168="","",IF(INDEX('Master Database'!$T$1:$T$600,$B168)="","",INDEX('Master Database'!$T$1:$T$600,$B168)))</f>
        <v/>
      </c>
      <c r="Q168" s="68" t="str">
        <f aca="false">IF($B168="","",IF(INDEX('Master Database'!$Y$1:$Y$600,$B168)="","",INDEX('Master Database'!$Y$1:$Y$600,$B168)))</f>
        <v/>
      </c>
      <c r="R168" s="68" t="str">
        <f aca="false">IF($B168="","",IF(INDEX('Master Database'!$Z$1:$Z$600,$B168)="","",INDEX('Master Database'!$Z$1:$Z$600,$B168)))</f>
        <v/>
      </c>
      <c r="S168" s="70" t="str">
        <f aca="false">IF($B168="","",IF(INDEX('Master Database'!$AA$1:$AA$600,$B168)="","",INDEX('Master Database'!$AA$1:$AA$600,$B168)))</f>
        <v/>
      </c>
      <c r="T168" s="68" t="str">
        <f aca="false">IF($B168="","",IF(INDEX('Master Database'!$AE$1:$AE$600,$B168)="","",INDEX('Master Database'!$AE$1:$AE$600,$B168)))</f>
        <v/>
      </c>
      <c r="U168" s="70" t="str">
        <f aca="false">IF($B168="","",IF(INDEX('Master Database'!$AG$1:$AG$600,$B168)="","",INDEX('Master Database'!$AG$1:$AG$600,$B168)))</f>
        <v/>
      </c>
      <c r="V168" s="70" t="str">
        <f aca="false">IF($B168="","",IF(INDEX('Master Database'!$AH$1:$AH$600,$B168)="","",INDEX('Master Database'!$AH$1:$AH$600,$B168)))</f>
        <v/>
      </c>
      <c r="W168" s="70" t="str">
        <f aca="false">IF($B168="","",IF(INDEX('Master Database'!$AI$1:$AI$600,$B168)="","",INDEX('Master Database'!$AI$1:$AI$600,$B168)))</f>
        <v/>
      </c>
      <c r="X168" s="68" t="str">
        <f aca="false">IF($B168="","",IF(INDEX('Master Database'!$BG$1:$BG$600,$B168)="","",INDEX('Master Database'!$BG$1:$BG$600,$B168)))</f>
        <v/>
      </c>
      <c r="BA168" s="65" t="n">
        <f aca="false">IF('Master Database'!$A168="",0,IF(AND(OR($B$5="",ISNUMBER(SEARCH($B$5,'Master Database'!$B168&amp;" "&amp;'Master Database'!$D168))),OR($B$6="(All)",'Master Database'!$C168=$B$6),OR($B$7="(All)",'Master Database'!$E168=$B$7),OR($B$8="(All)",'Master Database'!$T168=$B$8),OR($B$9="(All)",'Master Database'!$M168=$B$9),OR($B$10="(All)",'Master Database'!$V168=$B$10),OR($E$5="(All)",'Master Database'!$F168=$E$5),OR($E$6="(All)",'Master Database'!$G168=$E$6),OR($E$7="(All)",'Master Database'!$O168=$E$7),OR($E$8="(All)",'Master Database'!$P168=$E$8),OR($E$9="(All)",'Master Database'!$S168=$E$9),OR($E$10="(All)",'Master Database'!$Y168&amp;""=$E$10&amp;""),OR($H$5="(All)",'Master Database'!$BG168=$H$5),OR($H$6&lt;&gt;"Y",ISNUMBER('Master Database'!$AG168)),OR($H$7="",AND(ISNUMBER('Master Database'!$H168),N('Master Database'!$H168)&gt;=$H$7)),OR($I$7="",AND(ISNUMBER('Master Database'!$H168),N('Master Database'!$H168)&lt;=$I$7)),OR($H$8="",AND(ISNUMBER('Master Database'!$I168),N('Master Database'!$I168)&gt;=$H$8)),OR($I$8="",AND(ISNUMBER('Master Database'!$I168),N('Master Database'!$I168)&lt;=$I$8)),OR($H$9="",AND(ISNUMBER('Master Database'!$K168),N('Master Database'!$K168)&gt;=$H$9)),OR($I$9="",AND(ISNUMBER('Master Database'!$K168),N('Master Database'!$K168)&lt;=$I$9))),1,0))</f>
        <v>0</v>
      </c>
      <c r="BB168" s="0" t="str">
        <f aca="false">IF(BA168=1,COUNTIF($BA$5:BA168,1),"")</f>
        <v/>
      </c>
    </row>
    <row r="169" customFormat="false" ht="15" hidden="false" customHeight="false" outlineLevel="0" collapsed="false">
      <c r="A169" s="67" t="str">
        <f aca="false">IF(154&lt;=SUM($BA$5:$BA$600),154,"")</f>
        <v/>
      </c>
      <c r="B169" s="67" t="str">
        <f aca="false">IF(A169="","",MATCH(A169,$BB$5:$BB$600,0)+4)</f>
        <v/>
      </c>
      <c r="C169" s="67" t="str">
        <f aca="false">IF($B169="","",IF(INDEX('Master Database'!$A$1:$A$600,$B169)="","",INDEX('Master Database'!$A$1:$A$600,$B169)))</f>
        <v/>
      </c>
      <c r="D169" s="68" t="str">
        <f aca="false">IF($B169="","",IF(INDEX('Master Database'!$B$1:$B$600,$B169)="","",INDEX('Master Database'!$B$1:$B$600,$B169)))</f>
        <v/>
      </c>
      <c r="E169" s="68" t="str">
        <f aca="false">IF($B169="","",IF(INDEX('Master Database'!$C$1:$C$600,$B169)="","",INDEX('Master Database'!$C$1:$C$600,$B169)))</f>
        <v/>
      </c>
      <c r="F169" s="68" t="str">
        <f aca="false">IF($B169="","",IF(INDEX('Master Database'!$D$1:$D$600,$B169)="","",INDEX('Master Database'!$D$1:$D$600,$B169)))</f>
        <v/>
      </c>
      <c r="G169" s="68" t="str">
        <f aca="false">IF($B169="","",IF(INDEX('Master Database'!$E$1:$E$600,$B169)="","",INDEX('Master Database'!$E$1:$E$600,$B169)))</f>
        <v/>
      </c>
      <c r="H169" s="68" t="str">
        <f aca="false">IF($B169="","",IF(INDEX('Master Database'!$F$1:$F$600,$B169)="","",INDEX('Master Database'!$F$1:$F$600,$B169)))</f>
        <v/>
      </c>
      <c r="I169" s="68" t="str">
        <f aca="false">IF($B169="","",IF(INDEX('Master Database'!$G$1:$G$600,$B169)="","",INDEX('Master Database'!$G$1:$G$600,$B169)))</f>
        <v/>
      </c>
      <c r="J169" s="69" t="str">
        <f aca="false">IF($B169="","",IF(INDEX('Master Database'!$H$1:$H$600,$B169)="","",INDEX('Master Database'!$H$1:$H$600,$B169)))</f>
        <v/>
      </c>
      <c r="K169" s="69" t="str">
        <f aca="false">IF($B169="","",IF(INDEX('Master Database'!$I$1:$I$600,$B169)="","",INDEX('Master Database'!$I$1:$I$600,$B169)))</f>
        <v/>
      </c>
      <c r="L169" s="69" t="str">
        <f aca="false">IF($B169="","",IF(INDEX('Master Database'!$K$1:$K$600,$B169)="","",INDEX('Master Database'!$K$1:$K$600,$B169)))</f>
        <v/>
      </c>
      <c r="M169" s="68" t="str">
        <f aca="false">IF($B169="","",IF(INDEX('Master Database'!$L$1:$L$600,$B169)="","",INDEX('Master Database'!$L$1:$L$600,$B169)))</f>
        <v/>
      </c>
      <c r="N169" s="68" t="str">
        <f aca="false">IF($B169="","",IF(INDEX('Master Database'!$P$1:$P$600,$B169)="","",INDEX('Master Database'!$P$1:$P$600,$B169)))</f>
        <v/>
      </c>
      <c r="O169" s="68" t="str">
        <f aca="false">IF($B169="","",IF(INDEX('Master Database'!$S$1:$S$600,$B169)="","",INDEX('Master Database'!$S$1:$S$600,$B169)))</f>
        <v/>
      </c>
      <c r="P169" s="68" t="str">
        <f aca="false">IF($B169="","",IF(INDEX('Master Database'!$T$1:$T$600,$B169)="","",INDEX('Master Database'!$T$1:$T$600,$B169)))</f>
        <v/>
      </c>
      <c r="Q169" s="68" t="str">
        <f aca="false">IF($B169="","",IF(INDEX('Master Database'!$Y$1:$Y$600,$B169)="","",INDEX('Master Database'!$Y$1:$Y$600,$B169)))</f>
        <v/>
      </c>
      <c r="R169" s="68" t="str">
        <f aca="false">IF($B169="","",IF(INDEX('Master Database'!$Z$1:$Z$600,$B169)="","",INDEX('Master Database'!$Z$1:$Z$600,$B169)))</f>
        <v/>
      </c>
      <c r="S169" s="70" t="str">
        <f aca="false">IF($B169="","",IF(INDEX('Master Database'!$AA$1:$AA$600,$B169)="","",INDEX('Master Database'!$AA$1:$AA$600,$B169)))</f>
        <v/>
      </c>
      <c r="T169" s="68" t="str">
        <f aca="false">IF($B169="","",IF(INDEX('Master Database'!$AE$1:$AE$600,$B169)="","",INDEX('Master Database'!$AE$1:$AE$600,$B169)))</f>
        <v/>
      </c>
      <c r="U169" s="70" t="str">
        <f aca="false">IF($B169="","",IF(INDEX('Master Database'!$AG$1:$AG$600,$B169)="","",INDEX('Master Database'!$AG$1:$AG$600,$B169)))</f>
        <v/>
      </c>
      <c r="V169" s="70" t="str">
        <f aca="false">IF($B169="","",IF(INDEX('Master Database'!$AH$1:$AH$600,$B169)="","",INDEX('Master Database'!$AH$1:$AH$600,$B169)))</f>
        <v/>
      </c>
      <c r="W169" s="70" t="str">
        <f aca="false">IF($B169="","",IF(INDEX('Master Database'!$AI$1:$AI$600,$B169)="","",INDEX('Master Database'!$AI$1:$AI$600,$B169)))</f>
        <v/>
      </c>
      <c r="X169" s="68" t="str">
        <f aca="false">IF($B169="","",IF(INDEX('Master Database'!$BG$1:$BG$600,$B169)="","",INDEX('Master Database'!$BG$1:$BG$600,$B169)))</f>
        <v/>
      </c>
      <c r="BA169" s="65" t="n">
        <f aca="false">IF('Master Database'!$A169="",0,IF(AND(OR($B$5="",ISNUMBER(SEARCH($B$5,'Master Database'!$B169&amp;" "&amp;'Master Database'!$D169))),OR($B$6="(All)",'Master Database'!$C169=$B$6),OR($B$7="(All)",'Master Database'!$E169=$B$7),OR($B$8="(All)",'Master Database'!$T169=$B$8),OR($B$9="(All)",'Master Database'!$M169=$B$9),OR($B$10="(All)",'Master Database'!$V169=$B$10),OR($E$5="(All)",'Master Database'!$F169=$E$5),OR($E$6="(All)",'Master Database'!$G169=$E$6),OR($E$7="(All)",'Master Database'!$O169=$E$7),OR($E$8="(All)",'Master Database'!$P169=$E$8),OR($E$9="(All)",'Master Database'!$S169=$E$9),OR($E$10="(All)",'Master Database'!$Y169&amp;""=$E$10&amp;""),OR($H$5="(All)",'Master Database'!$BG169=$H$5),OR($H$6&lt;&gt;"Y",ISNUMBER('Master Database'!$AG169)),OR($H$7="",AND(ISNUMBER('Master Database'!$H169),N('Master Database'!$H169)&gt;=$H$7)),OR($I$7="",AND(ISNUMBER('Master Database'!$H169),N('Master Database'!$H169)&lt;=$I$7)),OR($H$8="",AND(ISNUMBER('Master Database'!$I169),N('Master Database'!$I169)&gt;=$H$8)),OR($I$8="",AND(ISNUMBER('Master Database'!$I169),N('Master Database'!$I169)&lt;=$I$8)),OR($H$9="",AND(ISNUMBER('Master Database'!$K169),N('Master Database'!$K169)&gt;=$H$9)),OR($I$9="",AND(ISNUMBER('Master Database'!$K169),N('Master Database'!$K169)&lt;=$I$9))),1,0))</f>
        <v>0</v>
      </c>
      <c r="BB169" s="0" t="str">
        <f aca="false">IF(BA169=1,COUNTIF($BA$5:BA169,1),"")</f>
        <v/>
      </c>
    </row>
    <row r="170" customFormat="false" ht="15" hidden="false" customHeight="false" outlineLevel="0" collapsed="false">
      <c r="A170" s="67" t="str">
        <f aca="false">IF(155&lt;=SUM($BA$5:$BA$600),155,"")</f>
        <v/>
      </c>
      <c r="B170" s="67" t="str">
        <f aca="false">IF(A170="","",MATCH(A170,$BB$5:$BB$600,0)+4)</f>
        <v/>
      </c>
      <c r="C170" s="67" t="str">
        <f aca="false">IF($B170="","",IF(INDEX('Master Database'!$A$1:$A$600,$B170)="","",INDEX('Master Database'!$A$1:$A$600,$B170)))</f>
        <v/>
      </c>
      <c r="D170" s="68" t="str">
        <f aca="false">IF($B170="","",IF(INDEX('Master Database'!$B$1:$B$600,$B170)="","",INDEX('Master Database'!$B$1:$B$600,$B170)))</f>
        <v/>
      </c>
      <c r="E170" s="68" t="str">
        <f aca="false">IF($B170="","",IF(INDEX('Master Database'!$C$1:$C$600,$B170)="","",INDEX('Master Database'!$C$1:$C$600,$B170)))</f>
        <v/>
      </c>
      <c r="F170" s="68" t="str">
        <f aca="false">IF($B170="","",IF(INDEX('Master Database'!$D$1:$D$600,$B170)="","",INDEX('Master Database'!$D$1:$D$600,$B170)))</f>
        <v/>
      </c>
      <c r="G170" s="68" t="str">
        <f aca="false">IF($B170="","",IF(INDEX('Master Database'!$E$1:$E$600,$B170)="","",INDEX('Master Database'!$E$1:$E$600,$B170)))</f>
        <v/>
      </c>
      <c r="H170" s="68" t="str">
        <f aca="false">IF($B170="","",IF(INDEX('Master Database'!$F$1:$F$600,$B170)="","",INDEX('Master Database'!$F$1:$F$600,$B170)))</f>
        <v/>
      </c>
      <c r="I170" s="68" t="str">
        <f aca="false">IF($B170="","",IF(INDEX('Master Database'!$G$1:$G$600,$B170)="","",INDEX('Master Database'!$G$1:$G$600,$B170)))</f>
        <v/>
      </c>
      <c r="J170" s="69" t="str">
        <f aca="false">IF($B170="","",IF(INDEX('Master Database'!$H$1:$H$600,$B170)="","",INDEX('Master Database'!$H$1:$H$600,$B170)))</f>
        <v/>
      </c>
      <c r="K170" s="69" t="str">
        <f aca="false">IF($B170="","",IF(INDEX('Master Database'!$I$1:$I$600,$B170)="","",INDEX('Master Database'!$I$1:$I$600,$B170)))</f>
        <v/>
      </c>
      <c r="L170" s="69" t="str">
        <f aca="false">IF($B170="","",IF(INDEX('Master Database'!$K$1:$K$600,$B170)="","",INDEX('Master Database'!$K$1:$K$600,$B170)))</f>
        <v/>
      </c>
      <c r="M170" s="68" t="str">
        <f aca="false">IF($B170="","",IF(INDEX('Master Database'!$L$1:$L$600,$B170)="","",INDEX('Master Database'!$L$1:$L$600,$B170)))</f>
        <v/>
      </c>
      <c r="N170" s="68" t="str">
        <f aca="false">IF($B170="","",IF(INDEX('Master Database'!$P$1:$P$600,$B170)="","",INDEX('Master Database'!$P$1:$P$600,$B170)))</f>
        <v/>
      </c>
      <c r="O170" s="68" t="str">
        <f aca="false">IF($B170="","",IF(INDEX('Master Database'!$S$1:$S$600,$B170)="","",INDEX('Master Database'!$S$1:$S$600,$B170)))</f>
        <v/>
      </c>
      <c r="P170" s="68" t="str">
        <f aca="false">IF($B170="","",IF(INDEX('Master Database'!$T$1:$T$600,$B170)="","",INDEX('Master Database'!$T$1:$T$600,$B170)))</f>
        <v/>
      </c>
      <c r="Q170" s="68" t="str">
        <f aca="false">IF($B170="","",IF(INDEX('Master Database'!$Y$1:$Y$600,$B170)="","",INDEX('Master Database'!$Y$1:$Y$600,$B170)))</f>
        <v/>
      </c>
      <c r="R170" s="68" t="str">
        <f aca="false">IF($B170="","",IF(INDEX('Master Database'!$Z$1:$Z$600,$B170)="","",INDEX('Master Database'!$Z$1:$Z$600,$B170)))</f>
        <v/>
      </c>
      <c r="S170" s="70" t="str">
        <f aca="false">IF($B170="","",IF(INDEX('Master Database'!$AA$1:$AA$600,$B170)="","",INDEX('Master Database'!$AA$1:$AA$600,$B170)))</f>
        <v/>
      </c>
      <c r="T170" s="68" t="str">
        <f aca="false">IF($B170="","",IF(INDEX('Master Database'!$AE$1:$AE$600,$B170)="","",INDEX('Master Database'!$AE$1:$AE$600,$B170)))</f>
        <v/>
      </c>
      <c r="U170" s="70" t="str">
        <f aca="false">IF($B170="","",IF(INDEX('Master Database'!$AG$1:$AG$600,$B170)="","",INDEX('Master Database'!$AG$1:$AG$600,$B170)))</f>
        <v/>
      </c>
      <c r="V170" s="70" t="str">
        <f aca="false">IF($B170="","",IF(INDEX('Master Database'!$AH$1:$AH$600,$B170)="","",INDEX('Master Database'!$AH$1:$AH$600,$B170)))</f>
        <v/>
      </c>
      <c r="W170" s="70" t="str">
        <f aca="false">IF($B170="","",IF(INDEX('Master Database'!$AI$1:$AI$600,$B170)="","",INDEX('Master Database'!$AI$1:$AI$600,$B170)))</f>
        <v/>
      </c>
      <c r="X170" s="68" t="str">
        <f aca="false">IF($B170="","",IF(INDEX('Master Database'!$BG$1:$BG$600,$B170)="","",INDEX('Master Database'!$BG$1:$BG$600,$B170)))</f>
        <v/>
      </c>
      <c r="BA170" s="65" t="n">
        <f aca="false">IF('Master Database'!$A170="",0,IF(AND(OR($B$5="",ISNUMBER(SEARCH($B$5,'Master Database'!$B170&amp;" "&amp;'Master Database'!$D170))),OR($B$6="(All)",'Master Database'!$C170=$B$6),OR($B$7="(All)",'Master Database'!$E170=$B$7),OR($B$8="(All)",'Master Database'!$T170=$B$8),OR($B$9="(All)",'Master Database'!$M170=$B$9),OR($B$10="(All)",'Master Database'!$V170=$B$10),OR($E$5="(All)",'Master Database'!$F170=$E$5),OR($E$6="(All)",'Master Database'!$G170=$E$6),OR($E$7="(All)",'Master Database'!$O170=$E$7),OR($E$8="(All)",'Master Database'!$P170=$E$8),OR($E$9="(All)",'Master Database'!$S170=$E$9),OR($E$10="(All)",'Master Database'!$Y170&amp;""=$E$10&amp;""),OR($H$5="(All)",'Master Database'!$BG170=$H$5),OR($H$6&lt;&gt;"Y",ISNUMBER('Master Database'!$AG170)),OR($H$7="",AND(ISNUMBER('Master Database'!$H170),N('Master Database'!$H170)&gt;=$H$7)),OR($I$7="",AND(ISNUMBER('Master Database'!$H170),N('Master Database'!$H170)&lt;=$I$7)),OR($H$8="",AND(ISNUMBER('Master Database'!$I170),N('Master Database'!$I170)&gt;=$H$8)),OR($I$8="",AND(ISNUMBER('Master Database'!$I170),N('Master Database'!$I170)&lt;=$I$8)),OR($H$9="",AND(ISNUMBER('Master Database'!$K170),N('Master Database'!$K170)&gt;=$H$9)),OR($I$9="",AND(ISNUMBER('Master Database'!$K170),N('Master Database'!$K170)&lt;=$I$9))),1,0))</f>
        <v>0</v>
      </c>
      <c r="BB170" s="0" t="str">
        <f aca="false">IF(BA170=1,COUNTIF($BA$5:BA170,1),"")</f>
        <v/>
      </c>
    </row>
    <row r="171" customFormat="false" ht="15" hidden="false" customHeight="false" outlineLevel="0" collapsed="false">
      <c r="A171" s="67" t="str">
        <f aca="false">IF(156&lt;=SUM($BA$5:$BA$600),156,"")</f>
        <v/>
      </c>
      <c r="B171" s="67" t="str">
        <f aca="false">IF(A171="","",MATCH(A171,$BB$5:$BB$600,0)+4)</f>
        <v/>
      </c>
      <c r="C171" s="67" t="str">
        <f aca="false">IF($B171="","",IF(INDEX('Master Database'!$A$1:$A$600,$B171)="","",INDEX('Master Database'!$A$1:$A$600,$B171)))</f>
        <v/>
      </c>
      <c r="D171" s="68" t="str">
        <f aca="false">IF($B171="","",IF(INDEX('Master Database'!$B$1:$B$600,$B171)="","",INDEX('Master Database'!$B$1:$B$600,$B171)))</f>
        <v/>
      </c>
      <c r="E171" s="68" t="str">
        <f aca="false">IF($B171="","",IF(INDEX('Master Database'!$C$1:$C$600,$B171)="","",INDEX('Master Database'!$C$1:$C$600,$B171)))</f>
        <v/>
      </c>
      <c r="F171" s="68" t="str">
        <f aca="false">IF($B171="","",IF(INDEX('Master Database'!$D$1:$D$600,$B171)="","",INDEX('Master Database'!$D$1:$D$600,$B171)))</f>
        <v/>
      </c>
      <c r="G171" s="68" t="str">
        <f aca="false">IF($B171="","",IF(INDEX('Master Database'!$E$1:$E$600,$B171)="","",INDEX('Master Database'!$E$1:$E$600,$B171)))</f>
        <v/>
      </c>
      <c r="H171" s="68" t="str">
        <f aca="false">IF($B171="","",IF(INDEX('Master Database'!$F$1:$F$600,$B171)="","",INDEX('Master Database'!$F$1:$F$600,$B171)))</f>
        <v/>
      </c>
      <c r="I171" s="68" t="str">
        <f aca="false">IF($B171="","",IF(INDEX('Master Database'!$G$1:$G$600,$B171)="","",INDEX('Master Database'!$G$1:$G$600,$B171)))</f>
        <v/>
      </c>
      <c r="J171" s="69" t="str">
        <f aca="false">IF($B171="","",IF(INDEX('Master Database'!$H$1:$H$600,$B171)="","",INDEX('Master Database'!$H$1:$H$600,$B171)))</f>
        <v/>
      </c>
      <c r="K171" s="69" t="str">
        <f aca="false">IF($B171="","",IF(INDEX('Master Database'!$I$1:$I$600,$B171)="","",INDEX('Master Database'!$I$1:$I$600,$B171)))</f>
        <v/>
      </c>
      <c r="L171" s="69" t="str">
        <f aca="false">IF($B171="","",IF(INDEX('Master Database'!$K$1:$K$600,$B171)="","",INDEX('Master Database'!$K$1:$K$600,$B171)))</f>
        <v/>
      </c>
      <c r="M171" s="68" t="str">
        <f aca="false">IF($B171="","",IF(INDEX('Master Database'!$L$1:$L$600,$B171)="","",INDEX('Master Database'!$L$1:$L$600,$B171)))</f>
        <v/>
      </c>
      <c r="N171" s="68" t="str">
        <f aca="false">IF($B171="","",IF(INDEX('Master Database'!$P$1:$P$600,$B171)="","",INDEX('Master Database'!$P$1:$P$600,$B171)))</f>
        <v/>
      </c>
      <c r="O171" s="68" t="str">
        <f aca="false">IF($B171="","",IF(INDEX('Master Database'!$S$1:$S$600,$B171)="","",INDEX('Master Database'!$S$1:$S$600,$B171)))</f>
        <v/>
      </c>
      <c r="P171" s="68" t="str">
        <f aca="false">IF($B171="","",IF(INDEX('Master Database'!$T$1:$T$600,$B171)="","",INDEX('Master Database'!$T$1:$T$600,$B171)))</f>
        <v/>
      </c>
      <c r="Q171" s="68" t="str">
        <f aca="false">IF($B171="","",IF(INDEX('Master Database'!$Y$1:$Y$600,$B171)="","",INDEX('Master Database'!$Y$1:$Y$600,$B171)))</f>
        <v/>
      </c>
      <c r="R171" s="68" t="str">
        <f aca="false">IF($B171="","",IF(INDEX('Master Database'!$Z$1:$Z$600,$B171)="","",INDEX('Master Database'!$Z$1:$Z$600,$B171)))</f>
        <v/>
      </c>
      <c r="S171" s="70" t="str">
        <f aca="false">IF($B171="","",IF(INDEX('Master Database'!$AA$1:$AA$600,$B171)="","",INDEX('Master Database'!$AA$1:$AA$600,$B171)))</f>
        <v/>
      </c>
      <c r="T171" s="68" t="str">
        <f aca="false">IF($B171="","",IF(INDEX('Master Database'!$AE$1:$AE$600,$B171)="","",INDEX('Master Database'!$AE$1:$AE$600,$B171)))</f>
        <v/>
      </c>
      <c r="U171" s="70" t="str">
        <f aca="false">IF($B171="","",IF(INDEX('Master Database'!$AG$1:$AG$600,$B171)="","",INDEX('Master Database'!$AG$1:$AG$600,$B171)))</f>
        <v/>
      </c>
      <c r="V171" s="70" t="str">
        <f aca="false">IF($B171="","",IF(INDEX('Master Database'!$AH$1:$AH$600,$B171)="","",INDEX('Master Database'!$AH$1:$AH$600,$B171)))</f>
        <v/>
      </c>
      <c r="W171" s="70" t="str">
        <f aca="false">IF($B171="","",IF(INDEX('Master Database'!$AI$1:$AI$600,$B171)="","",INDEX('Master Database'!$AI$1:$AI$600,$B171)))</f>
        <v/>
      </c>
      <c r="X171" s="68" t="str">
        <f aca="false">IF($B171="","",IF(INDEX('Master Database'!$BG$1:$BG$600,$B171)="","",INDEX('Master Database'!$BG$1:$BG$600,$B171)))</f>
        <v/>
      </c>
      <c r="BA171" s="65" t="n">
        <f aca="false">IF('Master Database'!$A171="",0,IF(AND(OR($B$5="",ISNUMBER(SEARCH($B$5,'Master Database'!$B171&amp;" "&amp;'Master Database'!$D171))),OR($B$6="(All)",'Master Database'!$C171=$B$6),OR($B$7="(All)",'Master Database'!$E171=$B$7),OR($B$8="(All)",'Master Database'!$T171=$B$8),OR($B$9="(All)",'Master Database'!$M171=$B$9),OR($B$10="(All)",'Master Database'!$V171=$B$10),OR($E$5="(All)",'Master Database'!$F171=$E$5),OR($E$6="(All)",'Master Database'!$G171=$E$6),OR($E$7="(All)",'Master Database'!$O171=$E$7),OR($E$8="(All)",'Master Database'!$P171=$E$8),OR($E$9="(All)",'Master Database'!$S171=$E$9),OR($E$10="(All)",'Master Database'!$Y171&amp;""=$E$10&amp;""),OR($H$5="(All)",'Master Database'!$BG171=$H$5),OR($H$6&lt;&gt;"Y",ISNUMBER('Master Database'!$AG171)),OR($H$7="",AND(ISNUMBER('Master Database'!$H171),N('Master Database'!$H171)&gt;=$H$7)),OR($I$7="",AND(ISNUMBER('Master Database'!$H171),N('Master Database'!$H171)&lt;=$I$7)),OR($H$8="",AND(ISNUMBER('Master Database'!$I171),N('Master Database'!$I171)&gt;=$H$8)),OR($I$8="",AND(ISNUMBER('Master Database'!$I171),N('Master Database'!$I171)&lt;=$I$8)),OR($H$9="",AND(ISNUMBER('Master Database'!$K171),N('Master Database'!$K171)&gt;=$H$9)),OR($I$9="",AND(ISNUMBER('Master Database'!$K171),N('Master Database'!$K171)&lt;=$I$9))),1,0))</f>
        <v>0</v>
      </c>
      <c r="BB171" s="0" t="str">
        <f aca="false">IF(BA171=1,COUNTIF($BA$5:BA171,1),"")</f>
        <v/>
      </c>
    </row>
    <row r="172" customFormat="false" ht="15" hidden="false" customHeight="false" outlineLevel="0" collapsed="false">
      <c r="A172" s="67" t="str">
        <f aca="false">IF(157&lt;=SUM($BA$5:$BA$600),157,"")</f>
        <v/>
      </c>
      <c r="B172" s="67" t="str">
        <f aca="false">IF(A172="","",MATCH(A172,$BB$5:$BB$600,0)+4)</f>
        <v/>
      </c>
      <c r="C172" s="67" t="str">
        <f aca="false">IF($B172="","",IF(INDEX('Master Database'!$A$1:$A$600,$B172)="","",INDEX('Master Database'!$A$1:$A$600,$B172)))</f>
        <v/>
      </c>
      <c r="D172" s="68" t="str">
        <f aca="false">IF($B172="","",IF(INDEX('Master Database'!$B$1:$B$600,$B172)="","",INDEX('Master Database'!$B$1:$B$600,$B172)))</f>
        <v/>
      </c>
      <c r="E172" s="68" t="str">
        <f aca="false">IF($B172="","",IF(INDEX('Master Database'!$C$1:$C$600,$B172)="","",INDEX('Master Database'!$C$1:$C$600,$B172)))</f>
        <v/>
      </c>
      <c r="F172" s="68" t="str">
        <f aca="false">IF($B172="","",IF(INDEX('Master Database'!$D$1:$D$600,$B172)="","",INDEX('Master Database'!$D$1:$D$600,$B172)))</f>
        <v/>
      </c>
      <c r="G172" s="68" t="str">
        <f aca="false">IF($B172="","",IF(INDEX('Master Database'!$E$1:$E$600,$B172)="","",INDEX('Master Database'!$E$1:$E$600,$B172)))</f>
        <v/>
      </c>
      <c r="H172" s="68" t="str">
        <f aca="false">IF($B172="","",IF(INDEX('Master Database'!$F$1:$F$600,$B172)="","",INDEX('Master Database'!$F$1:$F$600,$B172)))</f>
        <v/>
      </c>
      <c r="I172" s="68" t="str">
        <f aca="false">IF($B172="","",IF(INDEX('Master Database'!$G$1:$G$600,$B172)="","",INDEX('Master Database'!$G$1:$G$600,$B172)))</f>
        <v/>
      </c>
      <c r="J172" s="69" t="str">
        <f aca="false">IF($B172="","",IF(INDEX('Master Database'!$H$1:$H$600,$B172)="","",INDEX('Master Database'!$H$1:$H$600,$B172)))</f>
        <v/>
      </c>
      <c r="K172" s="69" t="str">
        <f aca="false">IF($B172="","",IF(INDEX('Master Database'!$I$1:$I$600,$B172)="","",INDEX('Master Database'!$I$1:$I$600,$B172)))</f>
        <v/>
      </c>
      <c r="L172" s="69" t="str">
        <f aca="false">IF($B172="","",IF(INDEX('Master Database'!$K$1:$K$600,$B172)="","",INDEX('Master Database'!$K$1:$K$600,$B172)))</f>
        <v/>
      </c>
      <c r="M172" s="68" t="str">
        <f aca="false">IF($B172="","",IF(INDEX('Master Database'!$L$1:$L$600,$B172)="","",INDEX('Master Database'!$L$1:$L$600,$B172)))</f>
        <v/>
      </c>
      <c r="N172" s="68" t="str">
        <f aca="false">IF($B172="","",IF(INDEX('Master Database'!$P$1:$P$600,$B172)="","",INDEX('Master Database'!$P$1:$P$600,$B172)))</f>
        <v/>
      </c>
      <c r="O172" s="68" t="str">
        <f aca="false">IF($B172="","",IF(INDEX('Master Database'!$S$1:$S$600,$B172)="","",INDEX('Master Database'!$S$1:$S$600,$B172)))</f>
        <v/>
      </c>
      <c r="P172" s="68" t="str">
        <f aca="false">IF($B172="","",IF(INDEX('Master Database'!$T$1:$T$600,$B172)="","",INDEX('Master Database'!$T$1:$T$600,$B172)))</f>
        <v/>
      </c>
      <c r="Q172" s="68" t="str">
        <f aca="false">IF($B172="","",IF(INDEX('Master Database'!$Y$1:$Y$600,$B172)="","",INDEX('Master Database'!$Y$1:$Y$600,$B172)))</f>
        <v/>
      </c>
      <c r="R172" s="68" t="str">
        <f aca="false">IF($B172="","",IF(INDEX('Master Database'!$Z$1:$Z$600,$B172)="","",INDEX('Master Database'!$Z$1:$Z$600,$B172)))</f>
        <v/>
      </c>
      <c r="S172" s="70" t="str">
        <f aca="false">IF($B172="","",IF(INDEX('Master Database'!$AA$1:$AA$600,$B172)="","",INDEX('Master Database'!$AA$1:$AA$600,$B172)))</f>
        <v/>
      </c>
      <c r="T172" s="68" t="str">
        <f aca="false">IF($B172="","",IF(INDEX('Master Database'!$AE$1:$AE$600,$B172)="","",INDEX('Master Database'!$AE$1:$AE$600,$B172)))</f>
        <v/>
      </c>
      <c r="U172" s="70" t="str">
        <f aca="false">IF($B172="","",IF(INDEX('Master Database'!$AG$1:$AG$600,$B172)="","",INDEX('Master Database'!$AG$1:$AG$600,$B172)))</f>
        <v/>
      </c>
      <c r="V172" s="70" t="str">
        <f aca="false">IF($B172="","",IF(INDEX('Master Database'!$AH$1:$AH$600,$B172)="","",INDEX('Master Database'!$AH$1:$AH$600,$B172)))</f>
        <v/>
      </c>
      <c r="W172" s="70" t="str">
        <f aca="false">IF($B172="","",IF(INDEX('Master Database'!$AI$1:$AI$600,$B172)="","",INDEX('Master Database'!$AI$1:$AI$600,$B172)))</f>
        <v/>
      </c>
      <c r="X172" s="68" t="str">
        <f aca="false">IF($B172="","",IF(INDEX('Master Database'!$BG$1:$BG$600,$B172)="","",INDEX('Master Database'!$BG$1:$BG$600,$B172)))</f>
        <v/>
      </c>
      <c r="BA172" s="65" t="n">
        <f aca="false">IF('Master Database'!$A172="",0,IF(AND(OR($B$5="",ISNUMBER(SEARCH($B$5,'Master Database'!$B172&amp;" "&amp;'Master Database'!$D172))),OR($B$6="(All)",'Master Database'!$C172=$B$6),OR($B$7="(All)",'Master Database'!$E172=$B$7),OR($B$8="(All)",'Master Database'!$T172=$B$8),OR($B$9="(All)",'Master Database'!$M172=$B$9),OR($B$10="(All)",'Master Database'!$V172=$B$10),OR($E$5="(All)",'Master Database'!$F172=$E$5),OR($E$6="(All)",'Master Database'!$G172=$E$6),OR($E$7="(All)",'Master Database'!$O172=$E$7),OR($E$8="(All)",'Master Database'!$P172=$E$8),OR($E$9="(All)",'Master Database'!$S172=$E$9),OR($E$10="(All)",'Master Database'!$Y172&amp;""=$E$10&amp;""),OR($H$5="(All)",'Master Database'!$BG172=$H$5),OR($H$6&lt;&gt;"Y",ISNUMBER('Master Database'!$AG172)),OR($H$7="",AND(ISNUMBER('Master Database'!$H172),N('Master Database'!$H172)&gt;=$H$7)),OR($I$7="",AND(ISNUMBER('Master Database'!$H172),N('Master Database'!$H172)&lt;=$I$7)),OR($H$8="",AND(ISNUMBER('Master Database'!$I172),N('Master Database'!$I172)&gt;=$H$8)),OR($I$8="",AND(ISNUMBER('Master Database'!$I172),N('Master Database'!$I172)&lt;=$I$8)),OR($H$9="",AND(ISNUMBER('Master Database'!$K172),N('Master Database'!$K172)&gt;=$H$9)),OR($I$9="",AND(ISNUMBER('Master Database'!$K172),N('Master Database'!$K172)&lt;=$I$9))),1,0))</f>
        <v>0</v>
      </c>
      <c r="BB172" s="0" t="str">
        <f aca="false">IF(BA172=1,COUNTIF($BA$5:BA172,1),"")</f>
        <v/>
      </c>
    </row>
    <row r="173" customFormat="false" ht="15" hidden="false" customHeight="false" outlineLevel="0" collapsed="false">
      <c r="A173" s="67" t="str">
        <f aca="false">IF(158&lt;=SUM($BA$5:$BA$600),158,"")</f>
        <v/>
      </c>
      <c r="B173" s="67" t="str">
        <f aca="false">IF(A173="","",MATCH(A173,$BB$5:$BB$600,0)+4)</f>
        <v/>
      </c>
      <c r="C173" s="67" t="str">
        <f aca="false">IF($B173="","",IF(INDEX('Master Database'!$A$1:$A$600,$B173)="","",INDEX('Master Database'!$A$1:$A$600,$B173)))</f>
        <v/>
      </c>
      <c r="D173" s="68" t="str">
        <f aca="false">IF($B173="","",IF(INDEX('Master Database'!$B$1:$B$600,$B173)="","",INDEX('Master Database'!$B$1:$B$600,$B173)))</f>
        <v/>
      </c>
      <c r="E173" s="68" t="str">
        <f aca="false">IF($B173="","",IF(INDEX('Master Database'!$C$1:$C$600,$B173)="","",INDEX('Master Database'!$C$1:$C$600,$B173)))</f>
        <v/>
      </c>
      <c r="F173" s="68" t="str">
        <f aca="false">IF($B173="","",IF(INDEX('Master Database'!$D$1:$D$600,$B173)="","",INDEX('Master Database'!$D$1:$D$600,$B173)))</f>
        <v/>
      </c>
      <c r="G173" s="68" t="str">
        <f aca="false">IF($B173="","",IF(INDEX('Master Database'!$E$1:$E$600,$B173)="","",INDEX('Master Database'!$E$1:$E$600,$B173)))</f>
        <v/>
      </c>
      <c r="H173" s="68" t="str">
        <f aca="false">IF($B173="","",IF(INDEX('Master Database'!$F$1:$F$600,$B173)="","",INDEX('Master Database'!$F$1:$F$600,$B173)))</f>
        <v/>
      </c>
      <c r="I173" s="68" t="str">
        <f aca="false">IF($B173="","",IF(INDEX('Master Database'!$G$1:$G$600,$B173)="","",INDEX('Master Database'!$G$1:$G$600,$B173)))</f>
        <v/>
      </c>
      <c r="J173" s="69" t="str">
        <f aca="false">IF($B173="","",IF(INDEX('Master Database'!$H$1:$H$600,$B173)="","",INDEX('Master Database'!$H$1:$H$600,$B173)))</f>
        <v/>
      </c>
      <c r="K173" s="69" t="str">
        <f aca="false">IF($B173="","",IF(INDEX('Master Database'!$I$1:$I$600,$B173)="","",INDEX('Master Database'!$I$1:$I$600,$B173)))</f>
        <v/>
      </c>
      <c r="L173" s="69" t="str">
        <f aca="false">IF($B173="","",IF(INDEX('Master Database'!$K$1:$K$600,$B173)="","",INDEX('Master Database'!$K$1:$K$600,$B173)))</f>
        <v/>
      </c>
      <c r="M173" s="68" t="str">
        <f aca="false">IF($B173="","",IF(INDEX('Master Database'!$L$1:$L$600,$B173)="","",INDEX('Master Database'!$L$1:$L$600,$B173)))</f>
        <v/>
      </c>
      <c r="N173" s="68" t="str">
        <f aca="false">IF($B173="","",IF(INDEX('Master Database'!$P$1:$P$600,$B173)="","",INDEX('Master Database'!$P$1:$P$600,$B173)))</f>
        <v/>
      </c>
      <c r="O173" s="68" t="str">
        <f aca="false">IF($B173="","",IF(INDEX('Master Database'!$S$1:$S$600,$B173)="","",INDEX('Master Database'!$S$1:$S$600,$B173)))</f>
        <v/>
      </c>
      <c r="P173" s="68" t="str">
        <f aca="false">IF($B173="","",IF(INDEX('Master Database'!$T$1:$T$600,$B173)="","",INDEX('Master Database'!$T$1:$T$600,$B173)))</f>
        <v/>
      </c>
      <c r="Q173" s="68" t="str">
        <f aca="false">IF($B173="","",IF(INDEX('Master Database'!$Y$1:$Y$600,$B173)="","",INDEX('Master Database'!$Y$1:$Y$600,$B173)))</f>
        <v/>
      </c>
      <c r="R173" s="68" t="str">
        <f aca="false">IF($B173="","",IF(INDEX('Master Database'!$Z$1:$Z$600,$B173)="","",INDEX('Master Database'!$Z$1:$Z$600,$B173)))</f>
        <v/>
      </c>
      <c r="S173" s="70" t="str">
        <f aca="false">IF($B173="","",IF(INDEX('Master Database'!$AA$1:$AA$600,$B173)="","",INDEX('Master Database'!$AA$1:$AA$600,$B173)))</f>
        <v/>
      </c>
      <c r="T173" s="68" t="str">
        <f aca="false">IF($B173="","",IF(INDEX('Master Database'!$AE$1:$AE$600,$B173)="","",INDEX('Master Database'!$AE$1:$AE$600,$B173)))</f>
        <v/>
      </c>
      <c r="U173" s="70" t="str">
        <f aca="false">IF($B173="","",IF(INDEX('Master Database'!$AG$1:$AG$600,$B173)="","",INDEX('Master Database'!$AG$1:$AG$600,$B173)))</f>
        <v/>
      </c>
      <c r="V173" s="70" t="str">
        <f aca="false">IF($B173="","",IF(INDEX('Master Database'!$AH$1:$AH$600,$B173)="","",INDEX('Master Database'!$AH$1:$AH$600,$B173)))</f>
        <v/>
      </c>
      <c r="W173" s="70" t="str">
        <f aca="false">IF($B173="","",IF(INDEX('Master Database'!$AI$1:$AI$600,$B173)="","",INDEX('Master Database'!$AI$1:$AI$600,$B173)))</f>
        <v/>
      </c>
      <c r="X173" s="68" t="str">
        <f aca="false">IF($B173="","",IF(INDEX('Master Database'!$BG$1:$BG$600,$B173)="","",INDEX('Master Database'!$BG$1:$BG$600,$B173)))</f>
        <v/>
      </c>
      <c r="BA173" s="65" t="n">
        <f aca="false">IF('Master Database'!$A173="",0,IF(AND(OR($B$5="",ISNUMBER(SEARCH($B$5,'Master Database'!$B173&amp;" "&amp;'Master Database'!$D173))),OR($B$6="(All)",'Master Database'!$C173=$B$6),OR($B$7="(All)",'Master Database'!$E173=$B$7),OR($B$8="(All)",'Master Database'!$T173=$B$8),OR($B$9="(All)",'Master Database'!$M173=$B$9),OR($B$10="(All)",'Master Database'!$V173=$B$10),OR($E$5="(All)",'Master Database'!$F173=$E$5),OR($E$6="(All)",'Master Database'!$G173=$E$6),OR($E$7="(All)",'Master Database'!$O173=$E$7),OR($E$8="(All)",'Master Database'!$P173=$E$8),OR($E$9="(All)",'Master Database'!$S173=$E$9),OR($E$10="(All)",'Master Database'!$Y173&amp;""=$E$10&amp;""),OR($H$5="(All)",'Master Database'!$BG173=$H$5),OR($H$6&lt;&gt;"Y",ISNUMBER('Master Database'!$AG173)),OR($H$7="",AND(ISNUMBER('Master Database'!$H173),N('Master Database'!$H173)&gt;=$H$7)),OR($I$7="",AND(ISNUMBER('Master Database'!$H173),N('Master Database'!$H173)&lt;=$I$7)),OR($H$8="",AND(ISNUMBER('Master Database'!$I173),N('Master Database'!$I173)&gt;=$H$8)),OR($I$8="",AND(ISNUMBER('Master Database'!$I173),N('Master Database'!$I173)&lt;=$I$8)),OR($H$9="",AND(ISNUMBER('Master Database'!$K173),N('Master Database'!$K173)&gt;=$H$9)),OR($I$9="",AND(ISNUMBER('Master Database'!$K173),N('Master Database'!$K173)&lt;=$I$9))),1,0))</f>
        <v>0</v>
      </c>
      <c r="BB173" s="0" t="str">
        <f aca="false">IF(BA173=1,COUNTIF($BA$5:BA173,1),"")</f>
        <v/>
      </c>
    </row>
    <row r="174" customFormat="false" ht="15" hidden="false" customHeight="false" outlineLevel="0" collapsed="false">
      <c r="A174" s="67" t="str">
        <f aca="false">IF(159&lt;=SUM($BA$5:$BA$600),159,"")</f>
        <v/>
      </c>
      <c r="B174" s="67" t="str">
        <f aca="false">IF(A174="","",MATCH(A174,$BB$5:$BB$600,0)+4)</f>
        <v/>
      </c>
      <c r="C174" s="67" t="str">
        <f aca="false">IF($B174="","",IF(INDEX('Master Database'!$A$1:$A$600,$B174)="","",INDEX('Master Database'!$A$1:$A$600,$B174)))</f>
        <v/>
      </c>
      <c r="D174" s="68" t="str">
        <f aca="false">IF($B174="","",IF(INDEX('Master Database'!$B$1:$B$600,$B174)="","",INDEX('Master Database'!$B$1:$B$600,$B174)))</f>
        <v/>
      </c>
      <c r="E174" s="68" t="str">
        <f aca="false">IF($B174="","",IF(INDEX('Master Database'!$C$1:$C$600,$B174)="","",INDEX('Master Database'!$C$1:$C$600,$B174)))</f>
        <v/>
      </c>
      <c r="F174" s="68" t="str">
        <f aca="false">IF($B174="","",IF(INDEX('Master Database'!$D$1:$D$600,$B174)="","",INDEX('Master Database'!$D$1:$D$600,$B174)))</f>
        <v/>
      </c>
      <c r="G174" s="68" t="str">
        <f aca="false">IF($B174="","",IF(INDEX('Master Database'!$E$1:$E$600,$B174)="","",INDEX('Master Database'!$E$1:$E$600,$B174)))</f>
        <v/>
      </c>
      <c r="H174" s="68" t="str">
        <f aca="false">IF($B174="","",IF(INDEX('Master Database'!$F$1:$F$600,$B174)="","",INDEX('Master Database'!$F$1:$F$600,$B174)))</f>
        <v/>
      </c>
      <c r="I174" s="68" t="str">
        <f aca="false">IF($B174="","",IF(INDEX('Master Database'!$G$1:$G$600,$B174)="","",INDEX('Master Database'!$G$1:$G$600,$B174)))</f>
        <v/>
      </c>
      <c r="J174" s="69" t="str">
        <f aca="false">IF($B174="","",IF(INDEX('Master Database'!$H$1:$H$600,$B174)="","",INDEX('Master Database'!$H$1:$H$600,$B174)))</f>
        <v/>
      </c>
      <c r="K174" s="69" t="str">
        <f aca="false">IF($B174="","",IF(INDEX('Master Database'!$I$1:$I$600,$B174)="","",INDEX('Master Database'!$I$1:$I$600,$B174)))</f>
        <v/>
      </c>
      <c r="L174" s="69" t="str">
        <f aca="false">IF($B174="","",IF(INDEX('Master Database'!$K$1:$K$600,$B174)="","",INDEX('Master Database'!$K$1:$K$600,$B174)))</f>
        <v/>
      </c>
      <c r="M174" s="68" t="str">
        <f aca="false">IF($B174="","",IF(INDEX('Master Database'!$L$1:$L$600,$B174)="","",INDEX('Master Database'!$L$1:$L$600,$B174)))</f>
        <v/>
      </c>
      <c r="N174" s="68" t="str">
        <f aca="false">IF($B174="","",IF(INDEX('Master Database'!$P$1:$P$600,$B174)="","",INDEX('Master Database'!$P$1:$P$600,$B174)))</f>
        <v/>
      </c>
      <c r="O174" s="68" t="str">
        <f aca="false">IF($B174="","",IF(INDEX('Master Database'!$S$1:$S$600,$B174)="","",INDEX('Master Database'!$S$1:$S$600,$B174)))</f>
        <v/>
      </c>
      <c r="P174" s="68" t="str">
        <f aca="false">IF($B174="","",IF(INDEX('Master Database'!$T$1:$T$600,$B174)="","",INDEX('Master Database'!$T$1:$T$600,$B174)))</f>
        <v/>
      </c>
      <c r="Q174" s="68" t="str">
        <f aca="false">IF($B174="","",IF(INDEX('Master Database'!$Y$1:$Y$600,$B174)="","",INDEX('Master Database'!$Y$1:$Y$600,$B174)))</f>
        <v/>
      </c>
      <c r="R174" s="68" t="str">
        <f aca="false">IF($B174="","",IF(INDEX('Master Database'!$Z$1:$Z$600,$B174)="","",INDEX('Master Database'!$Z$1:$Z$600,$B174)))</f>
        <v/>
      </c>
      <c r="S174" s="70" t="str">
        <f aca="false">IF($B174="","",IF(INDEX('Master Database'!$AA$1:$AA$600,$B174)="","",INDEX('Master Database'!$AA$1:$AA$600,$B174)))</f>
        <v/>
      </c>
      <c r="T174" s="68" t="str">
        <f aca="false">IF($B174="","",IF(INDEX('Master Database'!$AE$1:$AE$600,$B174)="","",INDEX('Master Database'!$AE$1:$AE$600,$B174)))</f>
        <v/>
      </c>
      <c r="U174" s="70" t="str">
        <f aca="false">IF($B174="","",IF(INDEX('Master Database'!$AG$1:$AG$600,$B174)="","",INDEX('Master Database'!$AG$1:$AG$600,$B174)))</f>
        <v/>
      </c>
      <c r="V174" s="70" t="str">
        <f aca="false">IF($B174="","",IF(INDEX('Master Database'!$AH$1:$AH$600,$B174)="","",INDEX('Master Database'!$AH$1:$AH$600,$B174)))</f>
        <v/>
      </c>
      <c r="W174" s="70" t="str">
        <f aca="false">IF($B174="","",IF(INDEX('Master Database'!$AI$1:$AI$600,$B174)="","",INDEX('Master Database'!$AI$1:$AI$600,$B174)))</f>
        <v/>
      </c>
      <c r="X174" s="68" t="str">
        <f aca="false">IF($B174="","",IF(INDEX('Master Database'!$BG$1:$BG$600,$B174)="","",INDEX('Master Database'!$BG$1:$BG$600,$B174)))</f>
        <v/>
      </c>
      <c r="BA174" s="65" t="n">
        <f aca="false">IF('Master Database'!$A174="",0,IF(AND(OR($B$5="",ISNUMBER(SEARCH($B$5,'Master Database'!$B174&amp;" "&amp;'Master Database'!$D174))),OR($B$6="(All)",'Master Database'!$C174=$B$6),OR($B$7="(All)",'Master Database'!$E174=$B$7),OR($B$8="(All)",'Master Database'!$T174=$B$8),OR($B$9="(All)",'Master Database'!$M174=$B$9),OR($B$10="(All)",'Master Database'!$V174=$B$10),OR($E$5="(All)",'Master Database'!$F174=$E$5),OR($E$6="(All)",'Master Database'!$G174=$E$6),OR($E$7="(All)",'Master Database'!$O174=$E$7),OR($E$8="(All)",'Master Database'!$P174=$E$8),OR($E$9="(All)",'Master Database'!$S174=$E$9),OR($E$10="(All)",'Master Database'!$Y174&amp;""=$E$10&amp;""),OR($H$5="(All)",'Master Database'!$BG174=$H$5),OR($H$6&lt;&gt;"Y",ISNUMBER('Master Database'!$AG174)),OR($H$7="",AND(ISNUMBER('Master Database'!$H174),N('Master Database'!$H174)&gt;=$H$7)),OR($I$7="",AND(ISNUMBER('Master Database'!$H174),N('Master Database'!$H174)&lt;=$I$7)),OR($H$8="",AND(ISNUMBER('Master Database'!$I174),N('Master Database'!$I174)&gt;=$H$8)),OR($I$8="",AND(ISNUMBER('Master Database'!$I174),N('Master Database'!$I174)&lt;=$I$8)),OR($H$9="",AND(ISNUMBER('Master Database'!$K174),N('Master Database'!$K174)&gt;=$H$9)),OR($I$9="",AND(ISNUMBER('Master Database'!$K174),N('Master Database'!$K174)&lt;=$I$9))),1,0))</f>
        <v>0</v>
      </c>
      <c r="BB174" s="0" t="str">
        <f aca="false">IF(BA174=1,COUNTIF($BA$5:BA174,1),"")</f>
        <v/>
      </c>
    </row>
    <row r="175" customFormat="false" ht="15" hidden="false" customHeight="false" outlineLevel="0" collapsed="false">
      <c r="A175" s="67" t="str">
        <f aca="false">IF(160&lt;=SUM($BA$5:$BA$600),160,"")</f>
        <v/>
      </c>
      <c r="B175" s="67" t="str">
        <f aca="false">IF(A175="","",MATCH(A175,$BB$5:$BB$600,0)+4)</f>
        <v/>
      </c>
      <c r="C175" s="67" t="str">
        <f aca="false">IF($B175="","",IF(INDEX('Master Database'!$A$1:$A$600,$B175)="","",INDEX('Master Database'!$A$1:$A$600,$B175)))</f>
        <v/>
      </c>
      <c r="D175" s="68" t="str">
        <f aca="false">IF($B175="","",IF(INDEX('Master Database'!$B$1:$B$600,$B175)="","",INDEX('Master Database'!$B$1:$B$600,$B175)))</f>
        <v/>
      </c>
      <c r="E175" s="68" t="str">
        <f aca="false">IF($B175="","",IF(INDEX('Master Database'!$C$1:$C$600,$B175)="","",INDEX('Master Database'!$C$1:$C$600,$B175)))</f>
        <v/>
      </c>
      <c r="F175" s="68" t="str">
        <f aca="false">IF($B175="","",IF(INDEX('Master Database'!$D$1:$D$600,$B175)="","",INDEX('Master Database'!$D$1:$D$600,$B175)))</f>
        <v/>
      </c>
      <c r="G175" s="68" t="str">
        <f aca="false">IF($B175="","",IF(INDEX('Master Database'!$E$1:$E$600,$B175)="","",INDEX('Master Database'!$E$1:$E$600,$B175)))</f>
        <v/>
      </c>
      <c r="H175" s="68" t="str">
        <f aca="false">IF($B175="","",IF(INDEX('Master Database'!$F$1:$F$600,$B175)="","",INDEX('Master Database'!$F$1:$F$600,$B175)))</f>
        <v/>
      </c>
      <c r="I175" s="68" t="str">
        <f aca="false">IF($B175="","",IF(INDEX('Master Database'!$G$1:$G$600,$B175)="","",INDEX('Master Database'!$G$1:$G$600,$B175)))</f>
        <v/>
      </c>
      <c r="J175" s="69" t="str">
        <f aca="false">IF($B175="","",IF(INDEX('Master Database'!$H$1:$H$600,$B175)="","",INDEX('Master Database'!$H$1:$H$600,$B175)))</f>
        <v/>
      </c>
      <c r="K175" s="69" t="str">
        <f aca="false">IF($B175="","",IF(INDEX('Master Database'!$I$1:$I$600,$B175)="","",INDEX('Master Database'!$I$1:$I$600,$B175)))</f>
        <v/>
      </c>
      <c r="L175" s="69" t="str">
        <f aca="false">IF($B175="","",IF(INDEX('Master Database'!$K$1:$K$600,$B175)="","",INDEX('Master Database'!$K$1:$K$600,$B175)))</f>
        <v/>
      </c>
      <c r="M175" s="68" t="str">
        <f aca="false">IF($B175="","",IF(INDEX('Master Database'!$L$1:$L$600,$B175)="","",INDEX('Master Database'!$L$1:$L$600,$B175)))</f>
        <v/>
      </c>
      <c r="N175" s="68" t="str">
        <f aca="false">IF($B175="","",IF(INDEX('Master Database'!$P$1:$P$600,$B175)="","",INDEX('Master Database'!$P$1:$P$600,$B175)))</f>
        <v/>
      </c>
      <c r="O175" s="68" t="str">
        <f aca="false">IF($B175="","",IF(INDEX('Master Database'!$S$1:$S$600,$B175)="","",INDEX('Master Database'!$S$1:$S$600,$B175)))</f>
        <v/>
      </c>
      <c r="P175" s="68" t="str">
        <f aca="false">IF($B175="","",IF(INDEX('Master Database'!$T$1:$T$600,$B175)="","",INDEX('Master Database'!$T$1:$T$600,$B175)))</f>
        <v/>
      </c>
      <c r="Q175" s="68" t="str">
        <f aca="false">IF($B175="","",IF(INDEX('Master Database'!$Y$1:$Y$600,$B175)="","",INDEX('Master Database'!$Y$1:$Y$600,$B175)))</f>
        <v/>
      </c>
      <c r="R175" s="68" t="str">
        <f aca="false">IF($B175="","",IF(INDEX('Master Database'!$Z$1:$Z$600,$B175)="","",INDEX('Master Database'!$Z$1:$Z$600,$B175)))</f>
        <v/>
      </c>
      <c r="S175" s="70" t="str">
        <f aca="false">IF($B175="","",IF(INDEX('Master Database'!$AA$1:$AA$600,$B175)="","",INDEX('Master Database'!$AA$1:$AA$600,$B175)))</f>
        <v/>
      </c>
      <c r="T175" s="68" t="str">
        <f aca="false">IF($B175="","",IF(INDEX('Master Database'!$AE$1:$AE$600,$B175)="","",INDEX('Master Database'!$AE$1:$AE$600,$B175)))</f>
        <v/>
      </c>
      <c r="U175" s="70" t="str">
        <f aca="false">IF($B175="","",IF(INDEX('Master Database'!$AG$1:$AG$600,$B175)="","",INDEX('Master Database'!$AG$1:$AG$600,$B175)))</f>
        <v/>
      </c>
      <c r="V175" s="70" t="str">
        <f aca="false">IF($B175="","",IF(INDEX('Master Database'!$AH$1:$AH$600,$B175)="","",INDEX('Master Database'!$AH$1:$AH$600,$B175)))</f>
        <v/>
      </c>
      <c r="W175" s="70" t="str">
        <f aca="false">IF($B175="","",IF(INDEX('Master Database'!$AI$1:$AI$600,$B175)="","",INDEX('Master Database'!$AI$1:$AI$600,$B175)))</f>
        <v/>
      </c>
      <c r="X175" s="68" t="str">
        <f aca="false">IF($B175="","",IF(INDEX('Master Database'!$BG$1:$BG$600,$B175)="","",INDEX('Master Database'!$BG$1:$BG$600,$B175)))</f>
        <v/>
      </c>
      <c r="BA175" s="65" t="n">
        <f aca="false">IF('Master Database'!$A175="",0,IF(AND(OR($B$5="",ISNUMBER(SEARCH($B$5,'Master Database'!$B175&amp;" "&amp;'Master Database'!$D175))),OR($B$6="(All)",'Master Database'!$C175=$B$6),OR($B$7="(All)",'Master Database'!$E175=$B$7),OR($B$8="(All)",'Master Database'!$T175=$B$8),OR($B$9="(All)",'Master Database'!$M175=$B$9),OR($B$10="(All)",'Master Database'!$V175=$B$10),OR($E$5="(All)",'Master Database'!$F175=$E$5),OR($E$6="(All)",'Master Database'!$G175=$E$6),OR($E$7="(All)",'Master Database'!$O175=$E$7),OR($E$8="(All)",'Master Database'!$P175=$E$8),OR($E$9="(All)",'Master Database'!$S175=$E$9),OR($E$10="(All)",'Master Database'!$Y175&amp;""=$E$10&amp;""),OR($H$5="(All)",'Master Database'!$BG175=$H$5),OR($H$6&lt;&gt;"Y",ISNUMBER('Master Database'!$AG175)),OR($H$7="",AND(ISNUMBER('Master Database'!$H175),N('Master Database'!$H175)&gt;=$H$7)),OR($I$7="",AND(ISNUMBER('Master Database'!$H175),N('Master Database'!$H175)&lt;=$I$7)),OR($H$8="",AND(ISNUMBER('Master Database'!$I175),N('Master Database'!$I175)&gt;=$H$8)),OR($I$8="",AND(ISNUMBER('Master Database'!$I175),N('Master Database'!$I175)&lt;=$I$8)),OR($H$9="",AND(ISNUMBER('Master Database'!$K175),N('Master Database'!$K175)&gt;=$H$9)),OR($I$9="",AND(ISNUMBER('Master Database'!$K175),N('Master Database'!$K175)&lt;=$I$9))),1,0))</f>
        <v>0</v>
      </c>
      <c r="BB175" s="0" t="str">
        <f aca="false">IF(BA175=1,COUNTIF($BA$5:BA175,1),"")</f>
        <v/>
      </c>
    </row>
    <row r="176" customFormat="false" ht="15" hidden="false" customHeight="false" outlineLevel="0" collapsed="false">
      <c r="A176" s="67" t="str">
        <f aca="false">IF(161&lt;=SUM($BA$5:$BA$600),161,"")</f>
        <v/>
      </c>
      <c r="B176" s="67" t="str">
        <f aca="false">IF(A176="","",MATCH(A176,$BB$5:$BB$600,0)+4)</f>
        <v/>
      </c>
      <c r="C176" s="67" t="str">
        <f aca="false">IF($B176="","",IF(INDEX('Master Database'!$A$1:$A$600,$B176)="","",INDEX('Master Database'!$A$1:$A$600,$B176)))</f>
        <v/>
      </c>
      <c r="D176" s="68" t="str">
        <f aca="false">IF($B176="","",IF(INDEX('Master Database'!$B$1:$B$600,$B176)="","",INDEX('Master Database'!$B$1:$B$600,$B176)))</f>
        <v/>
      </c>
      <c r="E176" s="68" t="str">
        <f aca="false">IF($B176="","",IF(INDEX('Master Database'!$C$1:$C$600,$B176)="","",INDEX('Master Database'!$C$1:$C$600,$B176)))</f>
        <v/>
      </c>
      <c r="F176" s="68" t="str">
        <f aca="false">IF($B176="","",IF(INDEX('Master Database'!$D$1:$D$600,$B176)="","",INDEX('Master Database'!$D$1:$D$600,$B176)))</f>
        <v/>
      </c>
      <c r="G176" s="68" t="str">
        <f aca="false">IF($B176="","",IF(INDEX('Master Database'!$E$1:$E$600,$B176)="","",INDEX('Master Database'!$E$1:$E$600,$B176)))</f>
        <v/>
      </c>
      <c r="H176" s="68" t="str">
        <f aca="false">IF($B176="","",IF(INDEX('Master Database'!$F$1:$F$600,$B176)="","",INDEX('Master Database'!$F$1:$F$600,$B176)))</f>
        <v/>
      </c>
      <c r="I176" s="68" t="str">
        <f aca="false">IF($B176="","",IF(INDEX('Master Database'!$G$1:$G$600,$B176)="","",INDEX('Master Database'!$G$1:$G$600,$B176)))</f>
        <v/>
      </c>
      <c r="J176" s="69" t="str">
        <f aca="false">IF($B176="","",IF(INDEX('Master Database'!$H$1:$H$600,$B176)="","",INDEX('Master Database'!$H$1:$H$600,$B176)))</f>
        <v/>
      </c>
      <c r="K176" s="69" t="str">
        <f aca="false">IF($B176="","",IF(INDEX('Master Database'!$I$1:$I$600,$B176)="","",INDEX('Master Database'!$I$1:$I$600,$B176)))</f>
        <v/>
      </c>
      <c r="L176" s="69" t="str">
        <f aca="false">IF($B176="","",IF(INDEX('Master Database'!$K$1:$K$600,$B176)="","",INDEX('Master Database'!$K$1:$K$600,$B176)))</f>
        <v/>
      </c>
      <c r="M176" s="68" t="str">
        <f aca="false">IF($B176="","",IF(INDEX('Master Database'!$L$1:$L$600,$B176)="","",INDEX('Master Database'!$L$1:$L$600,$B176)))</f>
        <v/>
      </c>
      <c r="N176" s="68" t="str">
        <f aca="false">IF($B176="","",IF(INDEX('Master Database'!$P$1:$P$600,$B176)="","",INDEX('Master Database'!$P$1:$P$600,$B176)))</f>
        <v/>
      </c>
      <c r="O176" s="68" t="str">
        <f aca="false">IF($B176="","",IF(INDEX('Master Database'!$S$1:$S$600,$B176)="","",INDEX('Master Database'!$S$1:$S$600,$B176)))</f>
        <v/>
      </c>
      <c r="P176" s="68" t="str">
        <f aca="false">IF($B176="","",IF(INDEX('Master Database'!$T$1:$T$600,$B176)="","",INDEX('Master Database'!$T$1:$T$600,$B176)))</f>
        <v/>
      </c>
      <c r="Q176" s="68" t="str">
        <f aca="false">IF($B176="","",IF(INDEX('Master Database'!$Y$1:$Y$600,$B176)="","",INDEX('Master Database'!$Y$1:$Y$600,$B176)))</f>
        <v/>
      </c>
      <c r="R176" s="68" t="str">
        <f aca="false">IF($B176="","",IF(INDEX('Master Database'!$Z$1:$Z$600,$B176)="","",INDEX('Master Database'!$Z$1:$Z$600,$B176)))</f>
        <v/>
      </c>
      <c r="S176" s="70" t="str">
        <f aca="false">IF($B176="","",IF(INDEX('Master Database'!$AA$1:$AA$600,$B176)="","",INDEX('Master Database'!$AA$1:$AA$600,$B176)))</f>
        <v/>
      </c>
      <c r="T176" s="68" t="str">
        <f aca="false">IF($B176="","",IF(INDEX('Master Database'!$AE$1:$AE$600,$B176)="","",INDEX('Master Database'!$AE$1:$AE$600,$B176)))</f>
        <v/>
      </c>
      <c r="U176" s="70" t="str">
        <f aca="false">IF($B176="","",IF(INDEX('Master Database'!$AG$1:$AG$600,$B176)="","",INDEX('Master Database'!$AG$1:$AG$600,$B176)))</f>
        <v/>
      </c>
      <c r="V176" s="70" t="str">
        <f aca="false">IF($B176="","",IF(INDEX('Master Database'!$AH$1:$AH$600,$B176)="","",INDEX('Master Database'!$AH$1:$AH$600,$B176)))</f>
        <v/>
      </c>
      <c r="W176" s="70" t="str">
        <f aca="false">IF($B176="","",IF(INDEX('Master Database'!$AI$1:$AI$600,$B176)="","",INDEX('Master Database'!$AI$1:$AI$600,$B176)))</f>
        <v/>
      </c>
      <c r="X176" s="68" t="str">
        <f aca="false">IF($B176="","",IF(INDEX('Master Database'!$BG$1:$BG$600,$B176)="","",INDEX('Master Database'!$BG$1:$BG$600,$B176)))</f>
        <v/>
      </c>
      <c r="BA176" s="65" t="n">
        <f aca="false">IF('Master Database'!$A176="",0,IF(AND(OR($B$5="",ISNUMBER(SEARCH($B$5,'Master Database'!$B176&amp;" "&amp;'Master Database'!$D176))),OR($B$6="(All)",'Master Database'!$C176=$B$6),OR($B$7="(All)",'Master Database'!$E176=$B$7),OR($B$8="(All)",'Master Database'!$T176=$B$8),OR($B$9="(All)",'Master Database'!$M176=$B$9),OR($B$10="(All)",'Master Database'!$V176=$B$10),OR($E$5="(All)",'Master Database'!$F176=$E$5),OR($E$6="(All)",'Master Database'!$G176=$E$6),OR($E$7="(All)",'Master Database'!$O176=$E$7),OR($E$8="(All)",'Master Database'!$P176=$E$8),OR($E$9="(All)",'Master Database'!$S176=$E$9),OR($E$10="(All)",'Master Database'!$Y176&amp;""=$E$10&amp;""),OR($H$5="(All)",'Master Database'!$BG176=$H$5),OR($H$6&lt;&gt;"Y",ISNUMBER('Master Database'!$AG176)),OR($H$7="",AND(ISNUMBER('Master Database'!$H176),N('Master Database'!$H176)&gt;=$H$7)),OR($I$7="",AND(ISNUMBER('Master Database'!$H176),N('Master Database'!$H176)&lt;=$I$7)),OR($H$8="",AND(ISNUMBER('Master Database'!$I176),N('Master Database'!$I176)&gt;=$H$8)),OR($I$8="",AND(ISNUMBER('Master Database'!$I176),N('Master Database'!$I176)&lt;=$I$8)),OR($H$9="",AND(ISNUMBER('Master Database'!$K176),N('Master Database'!$K176)&gt;=$H$9)),OR($I$9="",AND(ISNUMBER('Master Database'!$K176),N('Master Database'!$K176)&lt;=$I$9))),1,0))</f>
        <v>0</v>
      </c>
      <c r="BB176" s="0" t="str">
        <f aca="false">IF(BA176=1,COUNTIF($BA$5:BA176,1),"")</f>
        <v/>
      </c>
    </row>
    <row r="177" customFormat="false" ht="15" hidden="false" customHeight="false" outlineLevel="0" collapsed="false">
      <c r="A177" s="67" t="str">
        <f aca="false">IF(162&lt;=SUM($BA$5:$BA$600),162,"")</f>
        <v/>
      </c>
      <c r="B177" s="67" t="str">
        <f aca="false">IF(A177="","",MATCH(A177,$BB$5:$BB$600,0)+4)</f>
        <v/>
      </c>
      <c r="C177" s="67" t="str">
        <f aca="false">IF($B177="","",IF(INDEX('Master Database'!$A$1:$A$600,$B177)="","",INDEX('Master Database'!$A$1:$A$600,$B177)))</f>
        <v/>
      </c>
      <c r="D177" s="68" t="str">
        <f aca="false">IF($B177="","",IF(INDEX('Master Database'!$B$1:$B$600,$B177)="","",INDEX('Master Database'!$B$1:$B$600,$B177)))</f>
        <v/>
      </c>
      <c r="E177" s="68" t="str">
        <f aca="false">IF($B177="","",IF(INDEX('Master Database'!$C$1:$C$600,$B177)="","",INDEX('Master Database'!$C$1:$C$600,$B177)))</f>
        <v/>
      </c>
      <c r="F177" s="68" t="str">
        <f aca="false">IF($B177="","",IF(INDEX('Master Database'!$D$1:$D$600,$B177)="","",INDEX('Master Database'!$D$1:$D$600,$B177)))</f>
        <v/>
      </c>
      <c r="G177" s="68" t="str">
        <f aca="false">IF($B177="","",IF(INDEX('Master Database'!$E$1:$E$600,$B177)="","",INDEX('Master Database'!$E$1:$E$600,$B177)))</f>
        <v/>
      </c>
      <c r="H177" s="68" t="str">
        <f aca="false">IF($B177="","",IF(INDEX('Master Database'!$F$1:$F$600,$B177)="","",INDEX('Master Database'!$F$1:$F$600,$B177)))</f>
        <v/>
      </c>
      <c r="I177" s="68" t="str">
        <f aca="false">IF($B177="","",IF(INDEX('Master Database'!$G$1:$G$600,$B177)="","",INDEX('Master Database'!$G$1:$G$600,$B177)))</f>
        <v/>
      </c>
      <c r="J177" s="69" t="str">
        <f aca="false">IF($B177="","",IF(INDEX('Master Database'!$H$1:$H$600,$B177)="","",INDEX('Master Database'!$H$1:$H$600,$B177)))</f>
        <v/>
      </c>
      <c r="K177" s="69" t="str">
        <f aca="false">IF($B177="","",IF(INDEX('Master Database'!$I$1:$I$600,$B177)="","",INDEX('Master Database'!$I$1:$I$600,$B177)))</f>
        <v/>
      </c>
      <c r="L177" s="69" t="str">
        <f aca="false">IF($B177="","",IF(INDEX('Master Database'!$K$1:$K$600,$B177)="","",INDEX('Master Database'!$K$1:$K$600,$B177)))</f>
        <v/>
      </c>
      <c r="M177" s="68" t="str">
        <f aca="false">IF($B177="","",IF(INDEX('Master Database'!$L$1:$L$600,$B177)="","",INDEX('Master Database'!$L$1:$L$600,$B177)))</f>
        <v/>
      </c>
      <c r="N177" s="68" t="str">
        <f aca="false">IF($B177="","",IF(INDEX('Master Database'!$P$1:$P$600,$B177)="","",INDEX('Master Database'!$P$1:$P$600,$B177)))</f>
        <v/>
      </c>
      <c r="O177" s="68" t="str">
        <f aca="false">IF($B177="","",IF(INDEX('Master Database'!$S$1:$S$600,$B177)="","",INDEX('Master Database'!$S$1:$S$600,$B177)))</f>
        <v/>
      </c>
      <c r="P177" s="68" t="str">
        <f aca="false">IF($B177="","",IF(INDEX('Master Database'!$T$1:$T$600,$B177)="","",INDEX('Master Database'!$T$1:$T$600,$B177)))</f>
        <v/>
      </c>
      <c r="Q177" s="68" t="str">
        <f aca="false">IF($B177="","",IF(INDEX('Master Database'!$Y$1:$Y$600,$B177)="","",INDEX('Master Database'!$Y$1:$Y$600,$B177)))</f>
        <v/>
      </c>
      <c r="R177" s="68" t="str">
        <f aca="false">IF($B177="","",IF(INDEX('Master Database'!$Z$1:$Z$600,$B177)="","",INDEX('Master Database'!$Z$1:$Z$600,$B177)))</f>
        <v/>
      </c>
      <c r="S177" s="70" t="str">
        <f aca="false">IF($B177="","",IF(INDEX('Master Database'!$AA$1:$AA$600,$B177)="","",INDEX('Master Database'!$AA$1:$AA$600,$B177)))</f>
        <v/>
      </c>
      <c r="T177" s="68" t="str">
        <f aca="false">IF($B177="","",IF(INDEX('Master Database'!$AE$1:$AE$600,$B177)="","",INDEX('Master Database'!$AE$1:$AE$600,$B177)))</f>
        <v/>
      </c>
      <c r="U177" s="70" t="str">
        <f aca="false">IF($B177="","",IF(INDEX('Master Database'!$AG$1:$AG$600,$B177)="","",INDEX('Master Database'!$AG$1:$AG$600,$B177)))</f>
        <v/>
      </c>
      <c r="V177" s="70" t="str">
        <f aca="false">IF($B177="","",IF(INDEX('Master Database'!$AH$1:$AH$600,$B177)="","",INDEX('Master Database'!$AH$1:$AH$600,$B177)))</f>
        <v/>
      </c>
      <c r="W177" s="70" t="str">
        <f aca="false">IF($B177="","",IF(INDEX('Master Database'!$AI$1:$AI$600,$B177)="","",INDEX('Master Database'!$AI$1:$AI$600,$B177)))</f>
        <v/>
      </c>
      <c r="X177" s="68" t="str">
        <f aca="false">IF($B177="","",IF(INDEX('Master Database'!$BG$1:$BG$600,$B177)="","",INDEX('Master Database'!$BG$1:$BG$600,$B177)))</f>
        <v/>
      </c>
      <c r="BA177" s="65" t="n">
        <f aca="false">IF('Master Database'!$A177="",0,IF(AND(OR($B$5="",ISNUMBER(SEARCH($B$5,'Master Database'!$B177&amp;" "&amp;'Master Database'!$D177))),OR($B$6="(All)",'Master Database'!$C177=$B$6),OR($B$7="(All)",'Master Database'!$E177=$B$7),OR($B$8="(All)",'Master Database'!$T177=$B$8),OR($B$9="(All)",'Master Database'!$M177=$B$9),OR($B$10="(All)",'Master Database'!$V177=$B$10),OR($E$5="(All)",'Master Database'!$F177=$E$5),OR($E$6="(All)",'Master Database'!$G177=$E$6),OR($E$7="(All)",'Master Database'!$O177=$E$7),OR($E$8="(All)",'Master Database'!$P177=$E$8),OR($E$9="(All)",'Master Database'!$S177=$E$9),OR($E$10="(All)",'Master Database'!$Y177&amp;""=$E$10&amp;""),OR($H$5="(All)",'Master Database'!$BG177=$H$5),OR($H$6&lt;&gt;"Y",ISNUMBER('Master Database'!$AG177)),OR($H$7="",AND(ISNUMBER('Master Database'!$H177),N('Master Database'!$H177)&gt;=$H$7)),OR($I$7="",AND(ISNUMBER('Master Database'!$H177),N('Master Database'!$H177)&lt;=$I$7)),OR($H$8="",AND(ISNUMBER('Master Database'!$I177),N('Master Database'!$I177)&gt;=$H$8)),OR($I$8="",AND(ISNUMBER('Master Database'!$I177),N('Master Database'!$I177)&lt;=$I$8)),OR($H$9="",AND(ISNUMBER('Master Database'!$K177),N('Master Database'!$K177)&gt;=$H$9)),OR($I$9="",AND(ISNUMBER('Master Database'!$K177),N('Master Database'!$K177)&lt;=$I$9))),1,0))</f>
        <v>0</v>
      </c>
      <c r="BB177" s="0" t="str">
        <f aca="false">IF(BA177=1,COUNTIF($BA$5:BA177,1),"")</f>
        <v/>
      </c>
    </row>
    <row r="178" customFormat="false" ht="15" hidden="false" customHeight="false" outlineLevel="0" collapsed="false">
      <c r="A178" s="67" t="str">
        <f aca="false">IF(163&lt;=SUM($BA$5:$BA$600),163,"")</f>
        <v/>
      </c>
      <c r="B178" s="67" t="str">
        <f aca="false">IF(A178="","",MATCH(A178,$BB$5:$BB$600,0)+4)</f>
        <v/>
      </c>
      <c r="C178" s="67" t="str">
        <f aca="false">IF($B178="","",IF(INDEX('Master Database'!$A$1:$A$600,$B178)="","",INDEX('Master Database'!$A$1:$A$600,$B178)))</f>
        <v/>
      </c>
      <c r="D178" s="68" t="str">
        <f aca="false">IF($B178="","",IF(INDEX('Master Database'!$B$1:$B$600,$B178)="","",INDEX('Master Database'!$B$1:$B$600,$B178)))</f>
        <v/>
      </c>
      <c r="E178" s="68" t="str">
        <f aca="false">IF($B178="","",IF(INDEX('Master Database'!$C$1:$C$600,$B178)="","",INDEX('Master Database'!$C$1:$C$600,$B178)))</f>
        <v/>
      </c>
      <c r="F178" s="68" t="str">
        <f aca="false">IF($B178="","",IF(INDEX('Master Database'!$D$1:$D$600,$B178)="","",INDEX('Master Database'!$D$1:$D$600,$B178)))</f>
        <v/>
      </c>
      <c r="G178" s="68" t="str">
        <f aca="false">IF($B178="","",IF(INDEX('Master Database'!$E$1:$E$600,$B178)="","",INDEX('Master Database'!$E$1:$E$600,$B178)))</f>
        <v/>
      </c>
      <c r="H178" s="68" t="str">
        <f aca="false">IF($B178="","",IF(INDEX('Master Database'!$F$1:$F$600,$B178)="","",INDEX('Master Database'!$F$1:$F$600,$B178)))</f>
        <v/>
      </c>
      <c r="I178" s="68" t="str">
        <f aca="false">IF($B178="","",IF(INDEX('Master Database'!$G$1:$G$600,$B178)="","",INDEX('Master Database'!$G$1:$G$600,$B178)))</f>
        <v/>
      </c>
      <c r="J178" s="69" t="str">
        <f aca="false">IF($B178="","",IF(INDEX('Master Database'!$H$1:$H$600,$B178)="","",INDEX('Master Database'!$H$1:$H$600,$B178)))</f>
        <v/>
      </c>
      <c r="K178" s="69" t="str">
        <f aca="false">IF($B178="","",IF(INDEX('Master Database'!$I$1:$I$600,$B178)="","",INDEX('Master Database'!$I$1:$I$600,$B178)))</f>
        <v/>
      </c>
      <c r="L178" s="69" t="str">
        <f aca="false">IF($B178="","",IF(INDEX('Master Database'!$K$1:$K$600,$B178)="","",INDEX('Master Database'!$K$1:$K$600,$B178)))</f>
        <v/>
      </c>
      <c r="M178" s="68" t="str">
        <f aca="false">IF($B178="","",IF(INDEX('Master Database'!$L$1:$L$600,$B178)="","",INDEX('Master Database'!$L$1:$L$600,$B178)))</f>
        <v/>
      </c>
      <c r="N178" s="68" t="str">
        <f aca="false">IF($B178="","",IF(INDEX('Master Database'!$P$1:$P$600,$B178)="","",INDEX('Master Database'!$P$1:$P$600,$B178)))</f>
        <v/>
      </c>
      <c r="O178" s="68" t="str">
        <f aca="false">IF($B178="","",IF(INDEX('Master Database'!$S$1:$S$600,$B178)="","",INDEX('Master Database'!$S$1:$S$600,$B178)))</f>
        <v/>
      </c>
      <c r="P178" s="68" t="str">
        <f aca="false">IF($B178="","",IF(INDEX('Master Database'!$T$1:$T$600,$B178)="","",INDEX('Master Database'!$T$1:$T$600,$B178)))</f>
        <v/>
      </c>
      <c r="Q178" s="68" t="str">
        <f aca="false">IF($B178="","",IF(INDEX('Master Database'!$Y$1:$Y$600,$B178)="","",INDEX('Master Database'!$Y$1:$Y$600,$B178)))</f>
        <v/>
      </c>
      <c r="R178" s="68" t="str">
        <f aca="false">IF($B178="","",IF(INDEX('Master Database'!$Z$1:$Z$600,$B178)="","",INDEX('Master Database'!$Z$1:$Z$600,$B178)))</f>
        <v/>
      </c>
      <c r="S178" s="70" t="str">
        <f aca="false">IF($B178="","",IF(INDEX('Master Database'!$AA$1:$AA$600,$B178)="","",INDEX('Master Database'!$AA$1:$AA$600,$B178)))</f>
        <v/>
      </c>
      <c r="T178" s="68" t="str">
        <f aca="false">IF($B178="","",IF(INDEX('Master Database'!$AE$1:$AE$600,$B178)="","",INDEX('Master Database'!$AE$1:$AE$600,$B178)))</f>
        <v/>
      </c>
      <c r="U178" s="70" t="str">
        <f aca="false">IF($B178="","",IF(INDEX('Master Database'!$AG$1:$AG$600,$B178)="","",INDEX('Master Database'!$AG$1:$AG$600,$B178)))</f>
        <v/>
      </c>
      <c r="V178" s="70" t="str">
        <f aca="false">IF($B178="","",IF(INDEX('Master Database'!$AH$1:$AH$600,$B178)="","",INDEX('Master Database'!$AH$1:$AH$600,$B178)))</f>
        <v/>
      </c>
      <c r="W178" s="70" t="str">
        <f aca="false">IF($B178="","",IF(INDEX('Master Database'!$AI$1:$AI$600,$B178)="","",INDEX('Master Database'!$AI$1:$AI$600,$B178)))</f>
        <v/>
      </c>
      <c r="X178" s="68" t="str">
        <f aca="false">IF($B178="","",IF(INDEX('Master Database'!$BG$1:$BG$600,$B178)="","",INDEX('Master Database'!$BG$1:$BG$600,$B178)))</f>
        <v/>
      </c>
      <c r="BA178" s="65" t="n">
        <f aca="false">IF('Master Database'!$A178="",0,IF(AND(OR($B$5="",ISNUMBER(SEARCH($B$5,'Master Database'!$B178&amp;" "&amp;'Master Database'!$D178))),OR($B$6="(All)",'Master Database'!$C178=$B$6),OR($B$7="(All)",'Master Database'!$E178=$B$7),OR($B$8="(All)",'Master Database'!$T178=$B$8),OR($B$9="(All)",'Master Database'!$M178=$B$9),OR($B$10="(All)",'Master Database'!$V178=$B$10),OR($E$5="(All)",'Master Database'!$F178=$E$5),OR($E$6="(All)",'Master Database'!$G178=$E$6),OR($E$7="(All)",'Master Database'!$O178=$E$7),OR($E$8="(All)",'Master Database'!$P178=$E$8),OR($E$9="(All)",'Master Database'!$S178=$E$9),OR($E$10="(All)",'Master Database'!$Y178&amp;""=$E$10&amp;""),OR($H$5="(All)",'Master Database'!$BG178=$H$5),OR($H$6&lt;&gt;"Y",ISNUMBER('Master Database'!$AG178)),OR($H$7="",AND(ISNUMBER('Master Database'!$H178),N('Master Database'!$H178)&gt;=$H$7)),OR($I$7="",AND(ISNUMBER('Master Database'!$H178),N('Master Database'!$H178)&lt;=$I$7)),OR($H$8="",AND(ISNUMBER('Master Database'!$I178),N('Master Database'!$I178)&gt;=$H$8)),OR($I$8="",AND(ISNUMBER('Master Database'!$I178),N('Master Database'!$I178)&lt;=$I$8)),OR($H$9="",AND(ISNUMBER('Master Database'!$K178),N('Master Database'!$K178)&gt;=$H$9)),OR($I$9="",AND(ISNUMBER('Master Database'!$K178),N('Master Database'!$K178)&lt;=$I$9))),1,0))</f>
        <v>0</v>
      </c>
      <c r="BB178" s="0" t="str">
        <f aca="false">IF(BA178=1,COUNTIF($BA$5:BA178,1),"")</f>
        <v/>
      </c>
    </row>
    <row r="179" customFormat="false" ht="15" hidden="false" customHeight="false" outlineLevel="0" collapsed="false">
      <c r="A179" s="67" t="str">
        <f aca="false">IF(164&lt;=SUM($BA$5:$BA$600),164,"")</f>
        <v/>
      </c>
      <c r="B179" s="67" t="str">
        <f aca="false">IF(A179="","",MATCH(A179,$BB$5:$BB$600,0)+4)</f>
        <v/>
      </c>
      <c r="C179" s="67" t="str">
        <f aca="false">IF($B179="","",IF(INDEX('Master Database'!$A$1:$A$600,$B179)="","",INDEX('Master Database'!$A$1:$A$600,$B179)))</f>
        <v/>
      </c>
      <c r="D179" s="68" t="str">
        <f aca="false">IF($B179="","",IF(INDEX('Master Database'!$B$1:$B$600,$B179)="","",INDEX('Master Database'!$B$1:$B$600,$B179)))</f>
        <v/>
      </c>
      <c r="E179" s="68" t="str">
        <f aca="false">IF($B179="","",IF(INDEX('Master Database'!$C$1:$C$600,$B179)="","",INDEX('Master Database'!$C$1:$C$600,$B179)))</f>
        <v/>
      </c>
      <c r="F179" s="68" t="str">
        <f aca="false">IF($B179="","",IF(INDEX('Master Database'!$D$1:$D$600,$B179)="","",INDEX('Master Database'!$D$1:$D$600,$B179)))</f>
        <v/>
      </c>
      <c r="G179" s="68" t="str">
        <f aca="false">IF($B179="","",IF(INDEX('Master Database'!$E$1:$E$600,$B179)="","",INDEX('Master Database'!$E$1:$E$600,$B179)))</f>
        <v/>
      </c>
      <c r="H179" s="68" t="str">
        <f aca="false">IF($B179="","",IF(INDEX('Master Database'!$F$1:$F$600,$B179)="","",INDEX('Master Database'!$F$1:$F$600,$B179)))</f>
        <v/>
      </c>
      <c r="I179" s="68" t="str">
        <f aca="false">IF($B179="","",IF(INDEX('Master Database'!$G$1:$G$600,$B179)="","",INDEX('Master Database'!$G$1:$G$600,$B179)))</f>
        <v/>
      </c>
      <c r="J179" s="69" t="str">
        <f aca="false">IF($B179="","",IF(INDEX('Master Database'!$H$1:$H$600,$B179)="","",INDEX('Master Database'!$H$1:$H$600,$B179)))</f>
        <v/>
      </c>
      <c r="K179" s="69" t="str">
        <f aca="false">IF($B179="","",IF(INDEX('Master Database'!$I$1:$I$600,$B179)="","",INDEX('Master Database'!$I$1:$I$600,$B179)))</f>
        <v/>
      </c>
      <c r="L179" s="69" t="str">
        <f aca="false">IF($B179="","",IF(INDEX('Master Database'!$K$1:$K$600,$B179)="","",INDEX('Master Database'!$K$1:$K$600,$B179)))</f>
        <v/>
      </c>
      <c r="M179" s="68" t="str">
        <f aca="false">IF($B179="","",IF(INDEX('Master Database'!$L$1:$L$600,$B179)="","",INDEX('Master Database'!$L$1:$L$600,$B179)))</f>
        <v/>
      </c>
      <c r="N179" s="68" t="str">
        <f aca="false">IF($B179="","",IF(INDEX('Master Database'!$P$1:$P$600,$B179)="","",INDEX('Master Database'!$P$1:$P$600,$B179)))</f>
        <v/>
      </c>
      <c r="O179" s="68" t="str">
        <f aca="false">IF($B179="","",IF(INDEX('Master Database'!$S$1:$S$600,$B179)="","",INDEX('Master Database'!$S$1:$S$600,$B179)))</f>
        <v/>
      </c>
      <c r="P179" s="68" t="str">
        <f aca="false">IF($B179="","",IF(INDEX('Master Database'!$T$1:$T$600,$B179)="","",INDEX('Master Database'!$T$1:$T$600,$B179)))</f>
        <v/>
      </c>
      <c r="Q179" s="68" t="str">
        <f aca="false">IF($B179="","",IF(INDEX('Master Database'!$Y$1:$Y$600,$B179)="","",INDEX('Master Database'!$Y$1:$Y$600,$B179)))</f>
        <v/>
      </c>
      <c r="R179" s="68" t="str">
        <f aca="false">IF($B179="","",IF(INDEX('Master Database'!$Z$1:$Z$600,$B179)="","",INDEX('Master Database'!$Z$1:$Z$600,$B179)))</f>
        <v/>
      </c>
      <c r="S179" s="70" t="str">
        <f aca="false">IF($B179="","",IF(INDEX('Master Database'!$AA$1:$AA$600,$B179)="","",INDEX('Master Database'!$AA$1:$AA$600,$B179)))</f>
        <v/>
      </c>
      <c r="T179" s="68" t="str">
        <f aca="false">IF($B179="","",IF(INDEX('Master Database'!$AE$1:$AE$600,$B179)="","",INDEX('Master Database'!$AE$1:$AE$600,$B179)))</f>
        <v/>
      </c>
      <c r="U179" s="70" t="str">
        <f aca="false">IF($B179="","",IF(INDEX('Master Database'!$AG$1:$AG$600,$B179)="","",INDEX('Master Database'!$AG$1:$AG$600,$B179)))</f>
        <v/>
      </c>
      <c r="V179" s="70" t="str">
        <f aca="false">IF($B179="","",IF(INDEX('Master Database'!$AH$1:$AH$600,$B179)="","",INDEX('Master Database'!$AH$1:$AH$600,$B179)))</f>
        <v/>
      </c>
      <c r="W179" s="70" t="str">
        <f aca="false">IF($B179="","",IF(INDEX('Master Database'!$AI$1:$AI$600,$B179)="","",INDEX('Master Database'!$AI$1:$AI$600,$B179)))</f>
        <v/>
      </c>
      <c r="X179" s="68" t="str">
        <f aca="false">IF($B179="","",IF(INDEX('Master Database'!$BG$1:$BG$600,$B179)="","",INDEX('Master Database'!$BG$1:$BG$600,$B179)))</f>
        <v/>
      </c>
      <c r="BA179" s="65" t="n">
        <f aca="false">IF('Master Database'!$A179="",0,IF(AND(OR($B$5="",ISNUMBER(SEARCH($B$5,'Master Database'!$B179&amp;" "&amp;'Master Database'!$D179))),OR($B$6="(All)",'Master Database'!$C179=$B$6),OR($B$7="(All)",'Master Database'!$E179=$B$7),OR($B$8="(All)",'Master Database'!$T179=$B$8),OR($B$9="(All)",'Master Database'!$M179=$B$9),OR($B$10="(All)",'Master Database'!$V179=$B$10),OR($E$5="(All)",'Master Database'!$F179=$E$5),OR($E$6="(All)",'Master Database'!$G179=$E$6),OR($E$7="(All)",'Master Database'!$O179=$E$7),OR($E$8="(All)",'Master Database'!$P179=$E$8),OR($E$9="(All)",'Master Database'!$S179=$E$9),OR($E$10="(All)",'Master Database'!$Y179&amp;""=$E$10&amp;""),OR($H$5="(All)",'Master Database'!$BG179=$H$5),OR($H$6&lt;&gt;"Y",ISNUMBER('Master Database'!$AG179)),OR($H$7="",AND(ISNUMBER('Master Database'!$H179),N('Master Database'!$H179)&gt;=$H$7)),OR($I$7="",AND(ISNUMBER('Master Database'!$H179),N('Master Database'!$H179)&lt;=$I$7)),OR($H$8="",AND(ISNUMBER('Master Database'!$I179),N('Master Database'!$I179)&gt;=$H$8)),OR($I$8="",AND(ISNUMBER('Master Database'!$I179),N('Master Database'!$I179)&lt;=$I$8)),OR($H$9="",AND(ISNUMBER('Master Database'!$K179),N('Master Database'!$K179)&gt;=$H$9)),OR($I$9="",AND(ISNUMBER('Master Database'!$K179),N('Master Database'!$K179)&lt;=$I$9))),1,0))</f>
        <v>0</v>
      </c>
      <c r="BB179" s="0" t="str">
        <f aca="false">IF(BA179=1,COUNTIF($BA$5:BA179,1),"")</f>
        <v/>
      </c>
    </row>
    <row r="180" customFormat="false" ht="15" hidden="false" customHeight="false" outlineLevel="0" collapsed="false">
      <c r="A180" s="67" t="str">
        <f aca="false">IF(165&lt;=SUM($BA$5:$BA$600),165,"")</f>
        <v/>
      </c>
      <c r="B180" s="67" t="str">
        <f aca="false">IF(A180="","",MATCH(A180,$BB$5:$BB$600,0)+4)</f>
        <v/>
      </c>
      <c r="C180" s="67" t="str">
        <f aca="false">IF($B180="","",IF(INDEX('Master Database'!$A$1:$A$600,$B180)="","",INDEX('Master Database'!$A$1:$A$600,$B180)))</f>
        <v/>
      </c>
      <c r="D180" s="68" t="str">
        <f aca="false">IF($B180="","",IF(INDEX('Master Database'!$B$1:$B$600,$B180)="","",INDEX('Master Database'!$B$1:$B$600,$B180)))</f>
        <v/>
      </c>
      <c r="E180" s="68" t="str">
        <f aca="false">IF($B180="","",IF(INDEX('Master Database'!$C$1:$C$600,$B180)="","",INDEX('Master Database'!$C$1:$C$600,$B180)))</f>
        <v/>
      </c>
      <c r="F180" s="68" t="str">
        <f aca="false">IF($B180="","",IF(INDEX('Master Database'!$D$1:$D$600,$B180)="","",INDEX('Master Database'!$D$1:$D$600,$B180)))</f>
        <v/>
      </c>
      <c r="G180" s="68" t="str">
        <f aca="false">IF($B180="","",IF(INDEX('Master Database'!$E$1:$E$600,$B180)="","",INDEX('Master Database'!$E$1:$E$600,$B180)))</f>
        <v/>
      </c>
      <c r="H180" s="68" t="str">
        <f aca="false">IF($B180="","",IF(INDEX('Master Database'!$F$1:$F$600,$B180)="","",INDEX('Master Database'!$F$1:$F$600,$B180)))</f>
        <v/>
      </c>
      <c r="I180" s="68" t="str">
        <f aca="false">IF($B180="","",IF(INDEX('Master Database'!$G$1:$G$600,$B180)="","",INDEX('Master Database'!$G$1:$G$600,$B180)))</f>
        <v/>
      </c>
      <c r="J180" s="69" t="str">
        <f aca="false">IF($B180="","",IF(INDEX('Master Database'!$H$1:$H$600,$B180)="","",INDEX('Master Database'!$H$1:$H$600,$B180)))</f>
        <v/>
      </c>
      <c r="K180" s="69" t="str">
        <f aca="false">IF($B180="","",IF(INDEX('Master Database'!$I$1:$I$600,$B180)="","",INDEX('Master Database'!$I$1:$I$600,$B180)))</f>
        <v/>
      </c>
      <c r="L180" s="69" t="str">
        <f aca="false">IF($B180="","",IF(INDEX('Master Database'!$K$1:$K$600,$B180)="","",INDEX('Master Database'!$K$1:$K$600,$B180)))</f>
        <v/>
      </c>
      <c r="M180" s="68" t="str">
        <f aca="false">IF($B180="","",IF(INDEX('Master Database'!$L$1:$L$600,$B180)="","",INDEX('Master Database'!$L$1:$L$600,$B180)))</f>
        <v/>
      </c>
      <c r="N180" s="68" t="str">
        <f aca="false">IF($B180="","",IF(INDEX('Master Database'!$P$1:$P$600,$B180)="","",INDEX('Master Database'!$P$1:$P$600,$B180)))</f>
        <v/>
      </c>
      <c r="O180" s="68" t="str">
        <f aca="false">IF($B180="","",IF(INDEX('Master Database'!$S$1:$S$600,$B180)="","",INDEX('Master Database'!$S$1:$S$600,$B180)))</f>
        <v/>
      </c>
      <c r="P180" s="68" t="str">
        <f aca="false">IF($B180="","",IF(INDEX('Master Database'!$T$1:$T$600,$B180)="","",INDEX('Master Database'!$T$1:$T$600,$B180)))</f>
        <v/>
      </c>
      <c r="Q180" s="68" t="str">
        <f aca="false">IF($B180="","",IF(INDEX('Master Database'!$Y$1:$Y$600,$B180)="","",INDEX('Master Database'!$Y$1:$Y$600,$B180)))</f>
        <v/>
      </c>
      <c r="R180" s="68" t="str">
        <f aca="false">IF($B180="","",IF(INDEX('Master Database'!$Z$1:$Z$600,$B180)="","",INDEX('Master Database'!$Z$1:$Z$600,$B180)))</f>
        <v/>
      </c>
      <c r="S180" s="70" t="str">
        <f aca="false">IF($B180="","",IF(INDEX('Master Database'!$AA$1:$AA$600,$B180)="","",INDEX('Master Database'!$AA$1:$AA$600,$B180)))</f>
        <v/>
      </c>
      <c r="T180" s="68" t="str">
        <f aca="false">IF($B180="","",IF(INDEX('Master Database'!$AE$1:$AE$600,$B180)="","",INDEX('Master Database'!$AE$1:$AE$600,$B180)))</f>
        <v/>
      </c>
      <c r="U180" s="70" t="str">
        <f aca="false">IF($B180="","",IF(INDEX('Master Database'!$AG$1:$AG$600,$B180)="","",INDEX('Master Database'!$AG$1:$AG$600,$B180)))</f>
        <v/>
      </c>
      <c r="V180" s="70" t="str">
        <f aca="false">IF($B180="","",IF(INDEX('Master Database'!$AH$1:$AH$600,$B180)="","",INDEX('Master Database'!$AH$1:$AH$600,$B180)))</f>
        <v/>
      </c>
      <c r="W180" s="70" t="str">
        <f aca="false">IF($B180="","",IF(INDEX('Master Database'!$AI$1:$AI$600,$B180)="","",INDEX('Master Database'!$AI$1:$AI$600,$B180)))</f>
        <v/>
      </c>
      <c r="X180" s="68" t="str">
        <f aca="false">IF($B180="","",IF(INDEX('Master Database'!$BG$1:$BG$600,$B180)="","",INDEX('Master Database'!$BG$1:$BG$600,$B180)))</f>
        <v/>
      </c>
      <c r="BA180" s="65" t="n">
        <f aca="false">IF('Master Database'!$A180="",0,IF(AND(OR($B$5="",ISNUMBER(SEARCH($B$5,'Master Database'!$B180&amp;" "&amp;'Master Database'!$D180))),OR($B$6="(All)",'Master Database'!$C180=$B$6),OR($B$7="(All)",'Master Database'!$E180=$B$7),OR($B$8="(All)",'Master Database'!$T180=$B$8),OR($B$9="(All)",'Master Database'!$M180=$B$9),OR($B$10="(All)",'Master Database'!$V180=$B$10),OR($E$5="(All)",'Master Database'!$F180=$E$5),OR($E$6="(All)",'Master Database'!$G180=$E$6),OR($E$7="(All)",'Master Database'!$O180=$E$7),OR($E$8="(All)",'Master Database'!$P180=$E$8),OR($E$9="(All)",'Master Database'!$S180=$E$9),OR($E$10="(All)",'Master Database'!$Y180&amp;""=$E$10&amp;""),OR($H$5="(All)",'Master Database'!$BG180=$H$5),OR($H$6&lt;&gt;"Y",ISNUMBER('Master Database'!$AG180)),OR($H$7="",AND(ISNUMBER('Master Database'!$H180),N('Master Database'!$H180)&gt;=$H$7)),OR($I$7="",AND(ISNUMBER('Master Database'!$H180),N('Master Database'!$H180)&lt;=$I$7)),OR($H$8="",AND(ISNUMBER('Master Database'!$I180),N('Master Database'!$I180)&gt;=$H$8)),OR($I$8="",AND(ISNUMBER('Master Database'!$I180),N('Master Database'!$I180)&lt;=$I$8)),OR($H$9="",AND(ISNUMBER('Master Database'!$K180),N('Master Database'!$K180)&gt;=$H$9)),OR($I$9="",AND(ISNUMBER('Master Database'!$K180),N('Master Database'!$K180)&lt;=$I$9))),1,0))</f>
        <v>0</v>
      </c>
      <c r="BB180" s="0" t="str">
        <f aca="false">IF(BA180=1,COUNTIF($BA$5:BA180,1),"")</f>
        <v/>
      </c>
    </row>
    <row r="181" customFormat="false" ht="15" hidden="false" customHeight="false" outlineLevel="0" collapsed="false">
      <c r="A181" s="67" t="str">
        <f aca="false">IF(166&lt;=SUM($BA$5:$BA$600),166,"")</f>
        <v/>
      </c>
      <c r="B181" s="67" t="str">
        <f aca="false">IF(A181="","",MATCH(A181,$BB$5:$BB$600,0)+4)</f>
        <v/>
      </c>
      <c r="C181" s="67" t="str">
        <f aca="false">IF($B181="","",IF(INDEX('Master Database'!$A$1:$A$600,$B181)="","",INDEX('Master Database'!$A$1:$A$600,$B181)))</f>
        <v/>
      </c>
      <c r="D181" s="68" t="str">
        <f aca="false">IF($B181="","",IF(INDEX('Master Database'!$B$1:$B$600,$B181)="","",INDEX('Master Database'!$B$1:$B$600,$B181)))</f>
        <v/>
      </c>
      <c r="E181" s="68" t="str">
        <f aca="false">IF($B181="","",IF(INDEX('Master Database'!$C$1:$C$600,$B181)="","",INDEX('Master Database'!$C$1:$C$600,$B181)))</f>
        <v/>
      </c>
      <c r="F181" s="68" t="str">
        <f aca="false">IF($B181="","",IF(INDEX('Master Database'!$D$1:$D$600,$B181)="","",INDEX('Master Database'!$D$1:$D$600,$B181)))</f>
        <v/>
      </c>
      <c r="G181" s="68" t="str">
        <f aca="false">IF($B181="","",IF(INDEX('Master Database'!$E$1:$E$600,$B181)="","",INDEX('Master Database'!$E$1:$E$600,$B181)))</f>
        <v/>
      </c>
      <c r="H181" s="68" t="str">
        <f aca="false">IF($B181="","",IF(INDEX('Master Database'!$F$1:$F$600,$B181)="","",INDEX('Master Database'!$F$1:$F$600,$B181)))</f>
        <v/>
      </c>
      <c r="I181" s="68" t="str">
        <f aca="false">IF($B181="","",IF(INDEX('Master Database'!$G$1:$G$600,$B181)="","",INDEX('Master Database'!$G$1:$G$600,$B181)))</f>
        <v/>
      </c>
      <c r="J181" s="69" t="str">
        <f aca="false">IF($B181="","",IF(INDEX('Master Database'!$H$1:$H$600,$B181)="","",INDEX('Master Database'!$H$1:$H$600,$B181)))</f>
        <v/>
      </c>
      <c r="K181" s="69" t="str">
        <f aca="false">IF($B181="","",IF(INDEX('Master Database'!$I$1:$I$600,$B181)="","",INDEX('Master Database'!$I$1:$I$600,$B181)))</f>
        <v/>
      </c>
      <c r="L181" s="69" t="str">
        <f aca="false">IF($B181="","",IF(INDEX('Master Database'!$K$1:$K$600,$B181)="","",INDEX('Master Database'!$K$1:$K$600,$B181)))</f>
        <v/>
      </c>
      <c r="M181" s="68" t="str">
        <f aca="false">IF($B181="","",IF(INDEX('Master Database'!$L$1:$L$600,$B181)="","",INDEX('Master Database'!$L$1:$L$600,$B181)))</f>
        <v/>
      </c>
      <c r="N181" s="68" t="str">
        <f aca="false">IF($B181="","",IF(INDEX('Master Database'!$P$1:$P$600,$B181)="","",INDEX('Master Database'!$P$1:$P$600,$B181)))</f>
        <v/>
      </c>
      <c r="O181" s="68" t="str">
        <f aca="false">IF($B181="","",IF(INDEX('Master Database'!$S$1:$S$600,$B181)="","",INDEX('Master Database'!$S$1:$S$600,$B181)))</f>
        <v/>
      </c>
      <c r="P181" s="68" t="str">
        <f aca="false">IF($B181="","",IF(INDEX('Master Database'!$T$1:$T$600,$B181)="","",INDEX('Master Database'!$T$1:$T$600,$B181)))</f>
        <v/>
      </c>
      <c r="Q181" s="68" t="str">
        <f aca="false">IF($B181="","",IF(INDEX('Master Database'!$Y$1:$Y$600,$B181)="","",INDEX('Master Database'!$Y$1:$Y$600,$B181)))</f>
        <v/>
      </c>
      <c r="R181" s="68" t="str">
        <f aca="false">IF($B181="","",IF(INDEX('Master Database'!$Z$1:$Z$600,$B181)="","",INDEX('Master Database'!$Z$1:$Z$600,$B181)))</f>
        <v/>
      </c>
      <c r="S181" s="70" t="str">
        <f aca="false">IF($B181="","",IF(INDEX('Master Database'!$AA$1:$AA$600,$B181)="","",INDEX('Master Database'!$AA$1:$AA$600,$B181)))</f>
        <v/>
      </c>
      <c r="T181" s="68" t="str">
        <f aca="false">IF($B181="","",IF(INDEX('Master Database'!$AE$1:$AE$600,$B181)="","",INDEX('Master Database'!$AE$1:$AE$600,$B181)))</f>
        <v/>
      </c>
      <c r="U181" s="70" t="str">
        <f aca="false">IF($B181="","",IF(INDEX('Master Database'!$AG$1:$AG$600,$B181)="","",INDEX('Master Database'!$AG$1:$AG$600,$B181)))</f>
        <v/>
      </c>
      <c r="V181" s="70" t="str">
        <f aca="false">IF($B181="","",IF(INDEX('Master Database'!$AH$1:$AH$600,$B181)="","",INDEX('Master Database'!$AH$1:$AH$600,$B181)))</f>
        <v/>
      </c>
      <c r="W181" s="70" t="str">
        <f aca="false">IF($B181="","",IF(INDEX('Master Database'!$AI$1:$AI$600,$B181)="","",INDEX('Master Database'!$AI$1:$AI$600,$B181)))</f>
        <v/>
      </c>
      <c r="X181" s="68" t="str">
        <f aca="false">IF($B181="","",IF(INDEX('Master Database'!$BG$1:$BG$600,$B181)="","",INDEX('Master Database'!$BG$1:$BG$600,$B181)))</f>
        <v/>
      </c>
      <c r="BA181" s="65" t="n">
        <f aca="false">IF('Master Database'!$A181="",0,IF(AND(OR($B$5="",ISNUMBER(SEARCH($B$5,'Master Database'!$B181&amp;" "&amp;'Master Database'!$D181))),OR($B$6="(All)",'Master Database'!$C181=$B$6),OR($B$7="(All)",'Master Database'!$E181=$B$7),OR($B$8="(All)",'Master Database'!$T181=$B$8),OR($B$9="(All)",'Master Database'!$M181=$B$9),OR($B$10="(All)",'Master Database'!$V181=$B$10),OR($E$5="(All)",'Master Database'!$F181=$E$5),OR($E$6="(All)",'Master Database'!$G181=$E$6),OR($E$7="(All)",'Master Database'!$O181=$E$7),OR($E$8="(All)",'Master Database'!$P181=$E$8),OR($E$9="(All)",'Master Database'!$S181=$E$9),OR($E$10="(All)",'Master Database'!$Y181&amp;""=$E$10&amp;""),OR($H$5="(All)",'Master Database'!$BG181=$H$5),OR($H$6&lt;&gt;"Y",ISNUMBER('Master Database'!$AG181)),OR($H$7="",AND(ISNUMBER('Master Database'!$H181),N('Master Database'!$H181)&gt;=$H$7)),OR($I$7="",AND(ISNUMBER('Master Database'!$H181),N('Master Database'!$H181)&lt;=$I$7)),OR($H$8="",AND(ISNUMBER('Master Database'!$I181),N('Master Database'!$I181)&gt;=$H$8)),OR($I$8="",AND(ISNUMBER('Master Database'!$I181),N('Master Database'!$I181)&lt;=$I$8)),OR($H$9="",AND(ISNUMBER('Master Database'!$K181),N('Master Database'!$K181)&gt;=$H$9)),OR($I$9="",AND(ISNUMBER('Master Database'!$K181),N('Master Database'!$K181)&lt;=$I$9))),1,0))</f>
        <v>0</v>
      </c>
      <c r="BB181" s="0" t="str">
        <f aca="false">IF(BA181=1,COUNTIF($BA$5:BA181,1),"")</f>
        <v/>
      </c>
    </row>
    <row r="182" customFormat="false" ht="15" hidden="false" customHeight="false" outlineLevel="0" collapsed="false">
      <c r="A182" s="67" t="str">
        <f aca="false">IF(167&lt;=SUM($BA$5:$BA$600),167,"")</f>
        <v/>
      </c>
      <c r="B182" s="67" t="str">
        <f aca="false">IF(A182="","",MATCH(A182,$BB$5:$BB$600,0)+4)</f>
        <v/>
      </c>
      <c r="C182" s="67" t="str">
        <f aca="false">IF($B182="","",IF(INDEX('Master Database'!$A$1:$A$600,$B182)="","",INDEX('Master Database'!$A$1:$A$600,$B182)))</f>
        <v/>
      </c>
      <c r="D182" s="68" t="str">
        <f aca="false">IF($B182="","",IF(INDEX('Master Database'!$B$1:$B$600,$B182)="","",INDEX('Master Database'!$B$1:$B$600,$B182)))</f>
        <v/>
      </c>
      <c r="E182" s="68" t="str">
        <f aca="false">IF($B182="","",IF(INDEX('Master Database'!$C$1:$C$600,$B182)="","",INDEX('Master Database'!$C$1:$C$600,$B182)))</f>
        <v/>
      </c>
      <c r="F182" s="68" t="str">
        <f aca="false">IF($B182="","",IF(INDEX('Master Database'!$D$1:$D$600,$B182)="","",INDEX('Master Database'!$D$1:$D$600,$B182)))</f>
        <v/>
      </c>
      <c r="G182" s="68" t="str">
        <f aca="false">IF($B182="","",IF(INDEX('Master Database'!$E$1:$E$600,$B182)="","",INDEX('Master Database'!$E$1:$E$600,$B182)))</f>
        <v/>
      </c>
      <c r="H182" s="68" t="str">
        <f aca="false">IF($B182="","",IF(INDEX('Master Database'!$F$1:$F$600,$B182)="","",INDEX('Master Database'!$F$1:$F$600,$B182)))</f>
        <v/>
      </c>
      <c r="I182" s="68" t="str">
        <f aca="false">IF($B182="","",IF(INDEX('Master Database'!$G$1:$G$600,$B182)="","",INDEX('Master Database'!$G$1:$G$600,$B182)))</f>
        <v/>
      </c>
      <c r="J182" s="69" t="str">
        <f aca="false">IF($B182="","",IF(INDEX('Master Database'!$H$1:$H$600,$B182)="","",INDEX('Master Database'!$H$1:$H$600,$B182)))</f>
        <v/>
      </c>
      <c r="K182" s="69" t="str">
        <f aca="false">IF($B182="","",IF(INDEX('Master Database'!$I$1:$I$600,$B182)="","",INDEX('Master Database'!$I$1:$I$600,$B182)))</f>
        <v/>
      </c>
      <c r="L182" s="69" t="str">
        <f aca="false">IF($B182="","",IF(INDEX('Master Database'!$K$1:$K$600,$B182)="","",INDEX('Master Database'!$K$1:$K$600,$B182)))</f>
        <v/>
      </c>
      <c r="M182" s="68" t="str">
        <f aca="false">IF($B182="","",IF(INDEX('Master Database'!$L$1:$L$600,$B182)="","",INDEX('Master Database'!$L$1:$L$600,$B182)))</f>
        <v/>
      </c>
      <c r="N182" s="68" t="str">
        <f aca="false">IF($B182="","",IF(INDEX('Master Database'!$P$1:$P$600,$B182)="","",INDEX('Master Database'!$P$1:$P$600,$B182)))</f>
        <v/>
      </c>
      <c r="O182" s="68" t="str">
        <f aca="false">IF($B182="","",IF(INDEX('Master Database'!$S$1:$S$600,$B182)="","",INDEX('Master Database'!$S$1:$S$600,$B182)))</f>
        <v/>
      </c>
      <c r="P182" s="68" t="str">
        <f aca="false">IF($B182="","",IF(INDEX('Master Database'!$T$1:$T$600,$B182)="","",INDEX('Master Database'!$T$1:$T$600,$B182)))</f>
        <v/>
      </c>
      <c r="Q182" s="68" t="str">
        <f aca="false">IF($B182="","",IF(INDEX('Master Database'!$Y$1:$Y$600,$B182)="","",INDEX('Master Database'!$Y$1:$Y$600,$B182)))</f>
        <v/>
      </c>
      <c r="R182" s="68" t="str">
        <f aca="false">IF($B182="","",IF(INDEX('Master Database'!$Z$1:$Z$600,$B182)="","",INDEX('Master Database'!$Z$1:$Z$600,$B182)))</f>
        <v/>
      </c>
      <c r="S182" s="70" t="str">
        <f aca="false">IF($B182="","",IF(INDEX('Master Database'!$AA$1:$AA$600,$B182)="","",INDEX('Master Database'!$AA$1:$AA$600,$B182)))</f>
        <v/>
      </c>
      <c r="T182" s="68" t="str">
        <f aca="false">IF($B182="","",IF(INDEX('Master Database'!$AE$1:$AE$600,$B182)="","",INDEX('Master Database'!$AE$1:$AE$600,$B182)))</f>
        <v/>
      </c>
      <c r="U182" s="70" t="str">
        <f aca="false">IF($B182="","",IF(INDEX('Master Database'!$AG$1:$AG$600,$B182)="","",INDEX('Master Database'!$AG$1:$AG$600,$B182)))</f>
        <v/>
      </c>
      <c r="V182" s="70" t="str">
        <f aca="false">IF($B182="","",IF(INDEX('Master Database'!$AH$1:$AH$600,$B182)="","",INDEX('Master Database'!$AH$1:$AH$600,$B182)))</f>
        <v/>
      </c>
      <c r="W182" s="70" t="str">
        <f aca="false">IF($B182="","",IF(INDEX('Master Database'!$AI$1:$AI$600,$B182)="","",INDEX('Master Database'!$AI$1:$AI$600,$B182)))</f>
        <v/>
      </c>
      <c r="X182" s="68" t="str">
        <f aca="false">IF($B182="","",IF(INDEX('Master Database'!$BG$1:$BG$600,$B182)="","",INDEX('Master Database'!$BG$1:$BG$600,$B182)))</f>
        <v/>
      </c>
      <c r="BA182" s="65" t="n">
        <f aca="false">IF('Master Database'!$A182="",0,IF(AND(OR($B$5="",ISNUMBER(SEARCH($B$5,'Master Database'!$B182&amp;" "&amp;'Master Database'!$D182))),OR($B$6="(All)",'Master Database'!$C182=$B$6),OR($B$7="(All)",'Master Database'!$E182=$B$7),OR($B$8="(All)",'Master Database'!$T182=$B$8),OR($B$9="(All)",'Master Database'!$M182=$B$9),OR($B$10="(All)",'Master Database'!$V182=$B$10),OR($E$5="(All)",'Master Database'!$F182=$E$5),OR($E$6="(All)",'Master Database'!$G182=$E$6),OR($E$7="(All)",'Master Database'!$O182=$E$7),OR($E$8="(All)",'Master Database'!$P182=$E$8),OR($E$9="(All)",'Master Database'!$S182=$E$9),OR($E$10="(All)",'Master Database'!$Y182&amp;""=$E$10&amp;""),OR($H$5="(All)",'Master Database'!$BG182=$H$5),OR($H$6&lt;&gt;"Y",ISNUMBER('Master Database'!$AG182)),OR($H$7="",AND(ISNUMBER('Master Database'!$H182),N('Master Database'!$H182)&gt;=$H$7)),OR($I$7="",AND(ISNUMBER('Master Database'!$H182),N('Master Database'!$H182)&lt;=$I$7)),OR($H$8="",AND(ISNUMBER('Master Database'!$I182),N('Master Database'!$I182)&gt;=$H$8)),OR($I$8="",AND(ISNUMBER('Master Database'!$I182),N('Master Database'!$I182)&lt;=$I$8)),OR($H$9="",AND(ISNUMBER('Master Database'!$K182),N('Master Database'!$K182)&gt;=$H$9)),OR($I$9="",AND(ISNUMBER('Master Database'!$K182),N('Master Database'!$K182)&lt;=$I$9))),1,0))</f>
        <v>0</v>
      </c>
      <c r="BB182" s="0" t="str">
        <f aca="false">IF(BA182=1,COUNTIF($BA$5:BA182,1),"")</f>
        <v/>
      </c>
    </row>
    <row r="183" customFormat="false" ht="15" hidden="false" customHeight="false" outlineLevel="0" collapsed="false">
      <c r="A183" s="67" t="str">
        <f aca="false">IF(168&lt;=SUM($BA$5:$BA$600),168,"")</f>
        <v/>
      </c>
      <c r="B183" s="67" t="str">
        <f aca="false">IF(A183="","",MATCH(A183,$BB$5:$BB$600,0)+4)</f>
        <v/>
      </c>
      <c r="C183" s="67" t="str">
        <f aca="false">IF($B183="","",IF(INDEX('Master Database'!$A$1:$A$600,$B183)="","",INDEX('Master Database'!$A$1:$A$600,$B183)))</f>
        <v/>
      </c>
      <c r="D183" s="68" t="str">
        <f aca="false">IF($B183="","",IF(INDEX('Master Database'!$B$1:$B$600,$B183)="","",INDEX('Master Database'!$B$1:$B$600,$B183)))</f>
        <v/>
      </c>
      <c r="E183" s="68" t="str">
        <f aca="false">IF($B183="","",IF(INDEX('Master Database'!$C$1:$C$600,$B183)="","",INDEX('Master Database'!$C$1:$C$600,$B183)))</f>
        <v/>
      </c>
      <c r="F183" s="68" t="str">
        <f aca="false">IF($B183="","",IF(INDEX('Master Database'!$D$1:$D$600,$B183)="","",INDEX('Master Database'!$D$1:$D$600,$B183)))</f>
        <v/>
      </c>
      <c r="G183" s="68" t="str">
        <f aca="false">IF($B183="","",IF(INDEX('Master Database'!$E$1:$E$600,$B183)="","",INDEX('Master Database'!$E$1:$E$600,$B183)))</f>
        <v/>
      </c>
      <c r="H183" s="68" t="str">
        <f aca="false">IF($B183="","",IF(INDEX('Master Database'!$F$1:$F$600,$B183)="","",INDEX('Master Database'!$F$1:$F$600,$B183)))</f>
        <v/>
      </c>
      <c r="I183" s="68" t="str">
        <f aca="false">IF($B183="","",IF(INDEX('Master Database'!$G$1:$G$600,$B183)="","",INDEX('Master Database'!$G$1:$G$600,$B183)))</f>
        <v/>
      </c>
      <c r="J183" s="69" t="str">
        <f aca="false">IF($B183="","",IF(INDEX('Master Database'!$H$1:$H$600,$B183)="","",INDEX('Master Database'!$H$1:$H$600,$B183)))</f>
        <v/>
      </c>
      <c r="K183" s="69" t="str">
        <f aca="false">IF($B183="","",IF(INDEX('Master Database'!$I$1:$I$600,$B183)="","",INDEX('Master Database'!$I$1:$I$600,$B183)))</f>
        <v/>
      </c>
      <c r="L183" s="69" t="str">
        <f aca="false">IF($B183="","",IF(INDEX('Master Database'!$K$1:$K$600,$B183)="","",INDEX('Master Database'!$K$1:$K$600,$B183)))</f>
        <v/>
      </c>
      <c r="M183" s="68" t="str">
        <f aca="false">IF($B183="","",IF(INDEX('Master Database'!$L$1:$L$600,$B183)="","",INDEX('Master Database'!$L$1:$L$600,$B183)))</f>
        <v/>
      </c>
      <c r="N183" s="68" t="str">
        <f aca="false">IF($B183="","",IF(INDEX('Master Database'!$P$1:$P$600,$B183)="","",INDEX('Master Database'!$P$1:$P$600,$B183)))</f>
        <v/>
      </c>
      <c r="O183" s="68" t="str">
        <f aca="false">IF($B183="","",IF(INDEX('Master Database'!$S$1:$S$600,$B183)="","",INDEX('Master Database'!$S$1:$S$600,$B183)))</f>
        <v/>
      </c>
      <c r="P183" s="68" t="str">
        <f aca="false">IF($B183="","",IF(INDEX('Master Database'!$T$1:$T$600,$B183)="","",INDEX('Master Database'!$T$1:$T$600,$B183)))</f>
        <v/>
      </c>
      <c r="Q183" s="68" t="str">
        <f aca="false">IF($B183="","",IF(INDEX('Master Database'!$Y$1:$Y$600,$B183)="","",INDEX('Master Database'!$Y$1:$Y$600,$B183)))</f>
        <v/>
      </c>
      <c r="R183" s="68" t="str">
        <f aca="false">IF($B183="","",IF(INDEX('Master Database'!$Z$1:$Z$600,$B183)="","",INDEX('Master Database'!$Z$1:$Z$600,$B183)))</f>
        <v/>
      </c>
      <c r="S183" s="70" t="str">
        <f aca="false">IF($B183="","",IF(INDEX('Master Database'!$AA$1:$AA$600,$B183)="","",INDEX('Master Database'!$AA$1:$AA$600,$B183)))</f>
        <v/>
      </c>
      <c r="T183" s="68" t="str">
        <f aca="false">IF($B183="","",IF(INDEX('Master Database'!$AE$1:$AE$600,$B183)="","",INDEX('Master Database'!$AE$1:$AE$600,$B183)))</f>
        <v/>
      </c>
      <c r="U183" s="70" t="str">
        <f aca="false">IF($B183="","",IF(INDEX('Master Database'!$AG$1:$AG$600,$B183)="","",INDEX('Master Database'!$AG$1:$AG$600,$B183)))</f>
        <v/>
      </c>
      <c r="V183" s="70" t="str">
        <f aca="false">IF($B183="","",IF(INDEX('Master Database'!$AH$1:$AH$600,$B183)="","",INDEX('Master Database'!$AH$1:$AH$600,$B183)))</f>
        <v/>
      </c>
      <c r="W183" s="70" t="str">
        <f aca="false">IF($B183="","",IF(INDEX('Master Database'!$AI$1:$AI$600,$B183)="","",INDEX('Master Database'!$AI$1:$AI$600,$B183)))</f>
        <v/>
      </c>
      <c r="X183" s="68" t="str">
        <f aca="false">IF($B183="","",IF(INDEX('Master Database'!$BG$1:$BG$600,$B183)="","",INDEX('Master Database'!$BG$1:$BG$600,$B183)))</f>
        <v/>
      </c>
      <c r="BA183" s="65" t="n">
        <f aca="false">IF('Master Database'!$A183="",0,IF(AND(OR($B$5="",ISNUMBER(SEARCH($B$5,'Master Database'!$B183&amp;" "&amp;'Master Database'!$D183))),OR($B$6="(All)",'Master Database'!$C183=$B$6),OR($B$7="(All)",'Master Database'!$E183=$B$7),OR($B$8="(All)",'Master Database'!$T183=$B$8),OR($B$9="(All)",'Master Database'!$M183=$B$9),OR($B$10="(All)",'Master Database'!$V183=$B$10),OR($E$5="(All)",'Master Database'!$F183=$E$5),OR($E$6="(All)",'Master Database'!$G183=$E$6),OR($E$7="(All)",'Master Database'!$O183=$E$7),OR($E$8="(All)",'Master Database'!$P183=$E$8),OR($E$9="(All)",'Master Database'!$S183=$E$9),OR($E$10="(All)",'Master Database'!$Y183&amp;""=$E$10&amp;""),OR($H$5="(All)",'Master Database'!$BG183=$H$5),OR($H$6&lt;&gt;"Y",ISNUMBER('Master Database'!$AG183)),OR($H$7="",AND(ISNUMBER('Master Database'!$H183),N('Master Database'!$H183)&gt;=$H$7)),OR($I$7="",AND(ISNUMBER('Master Database'!$H183),N('Master Database'!$H183)&lt;=$I$7)),OR($H$8="",AND(ISNUMBER('Master Database'!$I183),N('Master Database'!$I183)&gt;=$H$8)),OR($I$8="",AND(ISNUMBER('Master Database'!$I183),N('Master Database'!$I183)&lt;=$I$8)),OR($H$9="",AND(ISNUMBER('Master Database'!$K183),N('Master Database'!$K183)&gt;=$H$9)),OR($I$9="",AND(ISNUMBER('Master Database'!$K183),N('Master Database'!$K183)&lt;=$I$9))),1,0))</f>
        <v>0</v>
      </c>
      <c r="BB183" s="0" t="str">
        <f aca="false">IF(BA183=1,COUNTIF($BA$5:BA183,1),"")</f>
        <v/>
      </c>
    </row>
    <row r="184" customFormat="false" ht="15" hidden="false" customHeight="false" outlineLevel="0" collapsed="false">
      <c r="A184" s="67" t="str">
        <f aca="false">IF(169&lt;=SUM($BA$5:$BA$600),169,"")</f>
        <v/>
      </c>
      <c r="B184" s="67" t="str">
        <f aca="false">IF(A184="","",MATCH(A184,$BB$5:$BB$600,0)+4)</f>
        <v/>
      </c>
      <c r="C184" s="67" t="str">
        <f aca="false">IF($B184="","",IF(INDEX('Master Database'!$A$1:$A$600,$B184)="","",INDEX('Master Database'!$A$1:$A$600,$B184)))</f>
        <v/>
      </c>
      <c r="D184" s="68" t="str">
        <f aca="false">IF($B184="","",IF(INDEX('Master Database'!$B$1:$B$600,$B184)="","",INDEX('Master Database'!$B$1:$B$600,$B184)))</f>
        <v/>
      </c>
      <c r="E184" s="68" t="str">
        <f aca="false">IF($B184="","",IF(INDEX('Master Database'!$C$1:$C$600,$B184)="","",INDEX('Master Database'!$C$1:$C$600,$B184)))</f>
        <v/>
      </c>
      <c r="F184" s="68" t="str">
        <f aca="false">IF($B184="","",IF(INDEX('Master Database'!$D$1:$D$600,$B184)="","",INDEX('Master Database'!$D$1:$D$600,$B184)))</f>
        <v/>
      </c>
      <c r="G184" s="68" t="str">
        <f aca="false">IF($B184="","",IF(INDEX('Master Database'!$E$1:$E$600,$B184)="","",INDEX('Master Database'!$E$1:$E$600,$B184)))</f>
        <v/>
      </c>
      <c r="H184" s="68" t="str">
        <f aca="false">IF($B184="","",IF(INDEX('Master Database'!$F$1:$F$600,$B184)="","",INDEX('Master Database'!$F$1:$F$600,$B184)))</f>
        <v/>
      </c>
      <c r="I184" s="68" t="str">
        <f aca="false">IF($B184="","",IF(INDEX('Master Database'!$G$1:$G$600,$B184)="","",INDEX('Master Database'!$G$1:$G$600,$B184)))</f>
        <v/>
      </c>
      <c r="J184" s="69" t="str">
        <f aca="false">IF($B184="","",IF(INDEX('Master Database'!$H$1:$H$600,$B184)="","",INDEX('Master Database'!$H$1:$H$600,$B184)))</f>
        <v/>
      </c>
      <c r="K184" s="69" t="str">
        <f aca="false">IF($B184="","",IF(INDEX('Master Database'!$I$1:$I$600,$B184)="","",INDEX('Master Database'!$I$1:$I$600,$B184)))</f>
        <v/>
      </c>
      <c r="L184" s="69" t="str">
        <f aca="false">IF($B184="","",IF(INDEX('Master Database'!$K$1:$K$600,$B184)="","",INDEX('Master Database'!$K$1:$K$600,$B184)))</f>
        <v/>
      </c>
      <c r="M184" s="68" t="str">
        <f aca="false">IF($B184="","",IF(INDEX('Master Database'!$L$1:$L$600,$B184)="","",INDEX('Master Database'!$L$1:$L$600,$B184)))</f>
        <v/>
      </c>
      <c r="N184" s="68" t="str">
        <f aca="false">IF($B184="","",IF(INDEX('Master Database'!$P$1:$P$600,$B184)="","",INDEX('Master Database'!$P$1:$P$600,$B184)))</f>
        <v/>
      </c>
      <c r="O184" s="68" t="str">
        <f aca="false">IF($B184="","",IF(INDEX('Master Database'!$S$1:$S$600,$B184)="","",INDEX('Master Database'!$S$1:$S$600,$B184)))</f>
        <v/>
      </c>
      <c r="P184" s="68" t="str">
        <f aca="false">IF($B184="","",IF(INDEX('Master Database'!$T$1:$T$600,$B184)="","",INDEX('Master Database'!$T$1:$T$600,$B184)))</f>
        <v/>
      </c>
      <c r="Q184" s="68" t="str">
        <f aca="false">IF($B184="","",IF(INDEX('Master Database'!$Y$1:$Y$600,$B184)="","",INDEX('Master Database'!$Y$1:$Y$600,$B184)))</f>
        <v/>
      </c>
      <c r="R184" s="68" t="str">
        <f aca="false">IF($B184="","",IF(INDEX('Master Database'!$Z$1:$Z$600,$B184)="","",INDEX('Master Database'!$Z$1:$Z$600,$B184)))</f>
        <v/>
      </c>
      <c r="S184" s="70" t="str">
        <f aca="false">IF($B184="","",IF(INDEX('Master Database'!$AA$1:$AA$600,$B184)="","",INDEX('Master Database'!$AA$1:$AA$600,$B184)))</f>
        <v/>
      </c>
      <c r="T184" s="68" t="str">
        <f aca="false">IF($B184="","",IF(INDEX('Master Database'!$AE$1:$AE$600,$B184)="","",INDEX('Master Database'!$AE$1:$AE$600,$B184)))</f>
        <v/>
      </c>
      <c r="U184" s="70" t="str">
        <f aca="false">IF($B184="","",IF(INDEX('Master Database'!$AG$1:$AG$600,$B184)="","",INDEX('Master Database'!$AG$1:$AG$600,$B184)))</f>
        <v/>
      </c>
      <c r="V184" s="70" t="str">
        <f aca="false">IF($B184="","",IF(INDEX('Master Database'!$AH$1:$AH$600,$B184)="","",INDEX('Master Database'!$AH$1:$AH$600,$B184)))</f>
        <v/>
      </c>
      <c r="W184" s="70" t="str">
        <f aca="false">IF($B184="","",IF(INDEX('Master Database'!$AI$1:$AI$600,$B184)="","",INDEX('Master Database'!$AI$1:$AI$600,$B184)))</f>
        <v/>
      </c>
      <c r="X184" s="68" t="str">
        <f aca="false">IF($B184="","",IF(INDEX('Master Database'!$BG$1:$BG$600,$B184)="","",INDEX('Master Database'!$BG$1:$BG$600,$B184)))</f>
        <v/>
      </c>
      <c r="BA184" s="65" t="n">
        <f aca="false">IF('Master Database'!$A184="",0,IF(AND(OR($B$5="",ISNUMBER(SEARCH($B$5,'Master Database'!$B184&amp;" "&amp;'Master Database'!$D184))),OR($B$6="(All)",'Master Database'!$C184=$B$6),OR($B$7="(All)",'Master Database'!$E184=$B$7),OR($B$8="(All)",'Master Database'!$T184=$B$8),OR($B$9="(All)",'Master Database'!$M184=$B$9),OR($B$10="(All)",'Master Database'!$V184=$B$10),OR($E$5="(All)",'Master Database'!$F184=$E$5),OR($E$6="(All)",'Master Database'!$G184=$E$6),OR($E$7="(All)",'Master Database'!$O184=$E$7),OR($E$8="(All)",'Master Database'!$P184=$E$8),OR($E$9="(All)",'Master Database'!$S184=$E$9),OR($E$10="(All)",'Master Database'!$Y184&amp;""=$E$10&amp;""),OR($H$5="(All)",'Master Database'!$BG184=$H$5),OR($H$6&lt;&gt;"Y",ISNUMBER('Master Database'!$AG184)),OR($H$7="",AND(ISNUMBER('Master Database'!$H184),N('Master Database'!$H184)&gt;=$H$7)),OR($I$7="",AND(ISNUMBER('Master Database'!$H184),N('Master Database'!$H184)&lt;=$I$7)),OR($H$8="",AND(ISNUMBER('Master Database'!$I184),N('Master Database'!$I184)&gt;=$H$8)),OR($I$8="",AND(ISNUMBER('Master Database'!$I184),N('Master Database'!$I184)&lt;=$I$8)),OR($H$9="",AND(ISNUMBER('Master Database'!$K184),N('Master Database'!$K184)&gt;=$H$9)),OR($I$9="",AND(ISNUMBER('Master Database'!$K184),N('Master Database'!$K184)&lt;=$I$9))),1,0))</f>
        <v>0</v>
      </c>
      <c r="BB184" s="0" t="str">
        <f aca="false">IF(BA184=1,COUNTIF($BA$5:BA184,1),"")</f>
        <v/>
      </c>
    </row>
    <row r="185" customFormat="false" ht="15" hidden="false" customHeight="false" outlineLevel="0" collapsed="false">
      <c r="A185" s="67" t="str">
        <f aca="false">IF(170&lt;=SUM($BA$5:$BA$600),170,"")</f>
        <v/>
      </c>
      <c r="B185" s="67" t="str">
        <f aca="false">IF(A185="","",MATCH(A185,$BB$5:$BB$600,0)+4)</f>
        <v/>
      </c>
      <c r="C185" s="67" t="str">
        <f aca="false">IF($B185="","",IF(INDEX('Master Database'!$A$1:$A$600,$B185)="","",INDEX('Master Database'!$A$1:$A$600,$B185)))</f>
        <v/>
      </c>
      <c r="D185" s="68" t="str">
        <f aca="false">IF($B185="","",IF(INDEX('Master Database'!$B$1:$B$600,$B185)="","",INDEX('Master Database'!$B$1:$B$600,$B185)))</f>
        <v/>
      </c>
      <c r="E185" s="68" t="str">
        <f aca="false">IF($B185="","",IF(INDEX('Master Database'!$C$1:$C$600,$B185)="","",INDEX('Master Database'!$C$1:$C$600,$B185)))</f>
        <v/>
      </c>
      <c r="F185" s="68" t="str">
        <f aca="false">IF($B185="","",IF(INDEX('Master Database'!$D$1:$D$600,$B185)="","",INDEX('Master Database'!$D$1:$D$600,$B185)))</f>
        <v/>
      </c>
      <c r="G185" s="68" t="str">
        <f aca="false">IF($B185="","",IF(INDEX('Master Database'!$E$1:$E$600,$B185)="","",INDEX('Master Database'!$E$1:$E$600,$B185)))</f>
        <v/>
      </c>
      <c r="H185" s="68" t="str">
        <f aca="false">IF($B185="","",IF(INDEX('Master Database'!$F$1:$F$600,$B185)="","",INDEX('Master Database'!$F$1:$F$600,$B185)))</f>
        <v/>
      </c>
      <c r="I185" s="68" t="str">
        <f aca="false">IF($B185="","",IF(INDEX('Master Database'!$G$1:$G$600,$B185)="","",INDEX('Master Database'!$G$1:$G$600,$B185)))</f>
        <v/>
      </c>
      <c r="J185" s="69" t="str">
        <f aca="false">IF($B185="","",IF(INDEX('Master Database'!$H$1:$H$600,$B185)="","",INDEX('Master Database'!$H$1:$H$600,$B185)))</f>
        <v/>
      </c>
      <c r="K185" s="69" t="str">
        <f aca="false">IF($B185="","",IF(INDEX('Master Database'!$I$1:$I$600,$B185)="","",INDEX('Master Database'!$I$1:$I$600,$B185)))</f>
        <v/>
      </c>
      <c r="L185" s="69" t="str">
        <f aca="false">IF($B185="","",IF(INDEX('Master Database'!$K$1:$K$600,$B185)="","",INDEX('Master Database'!$K$1:$K$600,$B185)))</f>
        <v/>
      </c>
      <c r="M185" s="68" t="str">
        <f aca="false">IF($B185="","",IF(INDEX('Master Database'!$L$1:$L$600,$B185)="","",INDEX('Master Database'!$L$1:$L$600,$B185)))</f>
        <v/>
      </c>
      <c r="N185" s="68" t="str">
        <f aca="false">IF($B185="","",IF(INDEX('Master Database'!$P$1:$P$600,$B185)="","",INDEX('Master Database'!$P$1:$P$600,$B185)))</f>
        <v/>
      </c>
      <c r="O185" s="68" t="str">
        <f aca="false">IF($B185="","",IF(INDEX('Master Database'!$S$1:$S$600,$B185)="","",INDEX('Master Database'!$S$1:$S$600,$B185)))</f>
        <v/>
      </c>
      <c r="P185" s="68" t="str">
        <f aca="false">IF($B185="","",IF(INDEX('Master Database'!$T$1:$T$600,$B185)="","",INDEX('Master Database'!$T$1:$T$600,$B185)))</f>
        <v/>
      </c>
      <c r="Q185" s="68" t="str">
        <f aca="false">IF($B185="","",IF(INDEX('Master Database'!$Y$1:$Y$600,$B185)="","",INDEX('Master Database'!$Y$1:$Y$600,$B185)))</f>
        <v/>
      </c>
      <c r="R185" s="68" t="str">
        <f aca="false">IF($B185="","",IF(INDEX('Master Database'!$Z$1:$Z$600,$B185)="","",INDEX('Master Database'!$Z$1:$Z$600,$B185)))</f>
        <v/>
      </c>
      <c r="S185" s="70" t="str">
        <f aca="false">IF($B185="","",IF(INDEX('Master Database'!$AA$1:$AA$600,$B185)="","",INDEX('Master Database'!$AA$1:$AA$600,$B185)))</f>
        <v/>
      </c>
      <c r="T185" s="68" t="str">
        <f aca="false">IF($B185="","",IF(INDEX('Master Database'!$AE$1:$AE$600,$B185)="","",INDEX('Master Database'!$AE$1:$AE$600,$B185)))</f>
        <v/>
      </c>
      <c r="U185" s="70" t="str">
        <f aca="false">IF($B185="","",IF(INDEX('Master Database'!$AG$1:$AG$600,$B185)="","",INDEX('Master Database'!$AG$1:$AG$600,$B185)))</f>
        <v/>
      </c>
      <c r="V185" s="70" t="str">
        <f aca="false">IF($B185="","",IF(INDEX('Master Database'!$AH$1:$AH$600,$B185)="","",INDEX('Master Database'!$AH$1:$AH$600,$B185)))</f>
        <v/>
      </c>
      <c r="W185" s="70" t="str">
        <f aca="false">IF($B185="","",IF(INDEX('Master Database'!$AI$1:$AI$600,$B185)="","",INDEX('Master Database'!$AI$1:$AI$600,$B185)))</f>
        <v/>
      </c>
      <c r="X185" s="68" t="str">
        <f aca="false">IF($B185="","",IF(INDEX('Master Database'!$BG$1:$BG$600,$B185)="","",INDEX('Master Database'!$BG$1:$BG$600,$B185)))</f>
        <v/>
      </c>
      <c r="BA185" s="65" t="n">
        <f aca="false">IF('Master Database'!$A185="",0,IF(AND(OR($B$5="",ISNUMBER(SEARCH($B$5,'Master Database'!$B185&amp;" "&amp;'Master Database'!$D185))),OR($B$6="(All)",'Master Database'!$C185=$B$6),OR($B$7="(All)",'Master Database'!$E185=$B$7),OR($B$8="(All)",'Master Database'!$T185=$B$8),OR($B$9="(All)",'Master Database'!$M185=$B$9),OR($B$10="(All)",'Master Database'!$V185=$B$10),OR($E$5="(All)",'Master Database'!$F185=$E$5),OR($E$6="(All)",'Master Database'!$G185=$E$6),OR($E$7="(All)",'Master Database'!$O185=$E$7),OR($E$8="(All)",'Master Database'!$P185=$E$8),OR($E$9="(All)",'Master Database'!$S185=$E$9),OR($E$10="(All)",'Master Database'!$Y185&amp;""=$E$10&amp;""),OR($H$5="(All)",'Master Database'!$BG185=$H$5),OR($H$6&lt;&gt;"Y",ISNUMBER('Master Database'!$AG185)),OR($H$7="",AND(ISNUMBER('Master Database'!$H185),N('Master Database'!$H185)&gt;=$H$7)),OR($I$7="",AND(ISNUMBER('Master Database'!$H185),N('Master Database'!$H185)&lt;=$I$7)),OR($H$8="",AND(ISNUMBER('Master Database'!$I185),N('Master Database'!$I185)&gt;=$H$8)),OR($I$8="",AND(ISNUMBER('Master Database'!$I185),N('Master Database'!$I185)&lt;=$I$8)),OR($H$9="",AND(ISNUMBER('Master Database'!$K185),N('Master Database'!$K185)&gt;=$H$9)),OR($I$9="",AND(ISNUMBER('Master Database'!$K185),N('Master Database'!$K185)&lt;=$I$9))),1,0))</f>
        <v>0</v>
      </c>
      <c r="BB185" s="0" t="str">
        <f aca="false">IF(BA185=1,COUNTIF($BA$5:BA185,1),"")</f>
        <v/>
      </c>
    </row>
    <row r="186" customFormat="false" ht="15" hidden="false" customHeight="false" outlineLevel="0" collapsed="false">
      <c r="A186" s="67" t="str">
        <f aca="false">IF(171&lt;=SUM($BA$5:$BA$600),171,"")</f>
        <v/>
      </c>
      <c r="B186" s="67" t="str">
        <f aca="false">IF(A186="","",MATCH(A186,$BB$5:$BB$600,0)+4)</f>
        <v/>
      </c>
      <c r="C186" s="67" t="str">
        <f aca="false">IF($B186="","",IF(INDEX('Master Database'!$A$1:$A$600,$B186)="","",INDEX('Master Database'!$A$1:$A$600,$B186)))</f>
        <v/>
      </c>
      <c r="D186" s="68" t="str">
        <f aca="false">IF($B186="","",IF(INDEX('Master Database'!$B$1:$B$600,$B186)="","",INDEX('Master Database'!$B$1:$B$600,$B186)))</f>
        <v/>
      </c>
      <c r="E186" s="68" t="str">
        <f aca="false">IF($B186="","",IF(INDEX('Master Database'!$C$1:$C$600,$B186)="","",INDEX('Master Database'!$C$1:$C$600,$B186)))</f>
        <v/>
      </c>
      <c r="F186" s="68" t="str">
        <f aca="false">IF($B186="","",IF(INDEX('Master Database'!$D$1:$D$600,$B186)="","",INDEX('Master Database'!$D$1:$D$600,$B186)))</f>
        <v/>
      </c>
      <c r="G186" s="68" t="str">
        <f aca="false">IF($B186="","",IF(INDEX('Master Database'!$E$1:$E$600,$B186)="","",INDEX('Master Database'!$E$1:$E$600,$B186)))</f>
        <v/>
      </c>
      <c r="H186" s="68" t="str">
        <f aca="false">IF($B186="","",IF(INDEX('Master Database'!$F$1:$F$600,$B186)="","",INDEX('Master Database'!$F$1:$F$600,$B186)))</f>
        <v/>
      </c>
      <c r="I186" s="68" t="str">
        <f aca="false">IF($B186="","",IF(INDEX('Master Database'!$G$1:$G$600,$B186)="","",INDEX('Master Database'!$G$1:$G$600,$B186)))</f>
        <v/>
      </c>
      <c r="J186" s="69" t="str">
        <f aca="false">IF($B186="","",IF(INDEX('Master Database'!$H$1:$H$600,$B186)="","",INDEX('Master Database'!$H$1:$H$600,$B186)))</f>
        <v/>
      </c>
      <c r="K186" s="69" t="str">
        <f aca="false">IF($B186="","",IF(INDEX('Master Database'!$I$1:$I$600,$B186)="","",INDEX('Master Database'!$I$1:$I$600,$B186)))</f>
        <v/>
      </c>
      <c r="L186" s="69" t="str">
        <f aca="false">IF($B186="","",IF(INDEX('Master Database'!$K$1:$K$600,$B186)="","",INDEX('Master Database'!$K$1:$K$600,$B186)))</f>
        <v/>
      </c>
      <c r="M186" s="68" t="str">
        <f aca="false">IF($B186="","",IF(INDEX('Master Database'!$L$1:$L$600,$B186)="","",INDEX('Master Database'!$L$1:$L$600,$B186)))</f>
        <v/>
      </c>
      <c r="N186" s="68" t="str">
        <f aca="false">IF($B186="","",IF(INDEX('Master Database'!$P$1:$P$600,$B186)="","",INDEX('Master Database'!$P$1:$P$600,$B186)))</f>
        <v/>
      </c>
      <c r="O186" s="68" t="str">
        <f aca="false">IF($B186="","",IF(INDEX('Master Database'!$S$1:$S$600,$B186)="","",INDEX('Master Database'!$S$1:$S$600,$B186)))</f>
        <v/>
      </c>
      <c r="P186" s="68" t="str">
        <f aca="false">IF($B186="","",IF(INDEX('Master Database'!$T$1:$T$600,$B186)="","",INDEX('Master Database'!$T$1:$T$600,$B186)))</f>
        <v/>
      </c>
      <c r="Q186" s="68" t="str">
        <f aca="false">IF($B186="","",IF(INDEX('Master Database'!$Y$1:$Y$600,$B186)="","",INDEX('Master Database'!$Y$1:$Y$600,$B186)))</f>
        <v/>
      </c>
      <c r="R186" s="68" t="str">
        <f aca="false">IF($B186="","",IF(INDEX('Master Database'!$Z$1:$Z$600,$B186)="","",INDEX('Master Database'!$Z$1:$Z$600,$B186)))</f>
        <v/>
      </c>
      <c r="S186" s="70" t="str">
        <f aca="false">IF($B186="","",IF(INDEX('Master Database'!$AA$1:$AA$600,$B186)="","",INDEX('Master Database'!$AA$1:$AA$600,$B186)))</f>
        <v/>
      </c>
      <c r="T186" s="68" t="str">
        <f aca="false">IF($B186="","",IF(INDEX('Master Database'!$AE$1:$AE$600,$B186)="","",INDEX('Master Database'!$AE$1:$AE$600,$B186)))</f>
        <v/>
      </c>
      <c r="U186" s="70" t="str">
        <f aca="false">IF($B186="","",IF(INDEX('Master Database'!$AG$1:$AG$600,$B186)="","",INDEX('Master Database'!$AG$1:$AG$600,$B186)))</f>
        <v/>
      </c>
      <c r="V186" s="70" t="str">
        <f aca="false">IF($B186="","",IF(INDEX('Master Database'!$AH$1:$AH$600,$B186)="","",INDEX('Master Database'!$AH$1:$AH$600,$B186)))</f>
        <v/>
      </c>
      <c r="W186" s="70" t="str">
        <f aca="false">IF($B186="","",IF(INDEX('Master Database'!$AI$1:$AI$600,$B186)="","",INDEX('Master Database'!$AI$1:$AI$600,$B186)))</f>
        <v/>
      </c>
      <c r="X186" s="68" t="str">
        <f aca="false">IF($B186="","",IF(INDEX('Master Database'!$BG$1:$BG$600,$B186)="","",INDEX('Master Database'!$BG$1:$BG$600,$B186)))</f>
        <v/>
      </c>
      <c r="BA186" s="65" t="n">
        <f aca="false">IF('Master Database'!$A186="",0,IF(AND(OR($B$5="",ISNUMBER(SEARCH($B$5,'Master Database'!$B186&amp;" "&amp;'Master Database'!$D186))),OR($B$6="(All)",'Master Database'!$C186=$B$6),OR($B$7="(All)",'Master Database'!$E186=$B$7),OR($B$8="(All)",'Master Database'!$T186=$B$8),OR($B$9="(All)",'Master Database'!$M186=$B$9),OR($B$10="(All)",'Master Database'!$V186=$B$10),OR($E$5="(All)",'Master Database'!$F186=$E$5),OR($E$6="(All)",'Master Database'!$G186=$E$6),OR($E$7="(All)",'Master Database'!$O186=$E$7),OR($E$8="(All)",'Master Database'!$P186=$E$8),OR($E$9="(All)",'Master Database'!$S186=$E$9),OR($E$10="(All)",'Master Database'!$Y186&amp;""=$E$10&amp;""),OR($H$5="(All)",'Master Database'!$BG186=$H$5),OR($H$6&lt;&gt;"Y",ISNUMBER('Master Database'!$AG186)),OR($H$7="",AND(ISNUMBER('Master Database'!$H186),N('Master Database'!$H186)&gt;=$H$7)),OR($I$7="",AND(ISNUMBER('Master Database'!$H186),N('Master Database'!$H186)&lt;=$I$7)),OR($H$8="",AND(ISNUMBER('Master Database'!$I186),N('Master Database'!$I186)&gt;=$H$8)),OR($I$8="",AND(ISNUMBER('Master Database'!$I186),N('Master Database'!$I186)&lt;=$I$8)),OR($H$9="",AND(ISNUMBER('Master Database'!$K186),N('Master Database'!$K186)&gt;=$H$9)),OR($I$9="",AND(ISNUMBER('Master Database'!$K186),N('Master Database'!$K186)&lt;=$I$9))),1,0))</f>
        <v>0</v>
      </c>
      <c r="BB186" s="0" t="str">
        <f aca="false">IF(BA186=1,COUNTIF($BA$5:BA186,1),"")</f>
        <v/>
      </c>
    </row>
    <row r="187" customFormat="false" ht="15" hidden="false" customHeight="false" outlineLevel="0" collapsed="false">
      <c r="A187" s="67" t="str">
        <f aca="false">IF(172&lt;=SUM($BA$5:$BA$600),172,"")</f>
        <v/>
      </c>
      <c r="B187" s="67" t="str">
        <f aca="false">IF(A187="","",MATCH(A187,$BB$5:$BB$600,0)+4)</f>
        <v/>
      </c>
      <c r="C187" s="67" t="str">
        <f aca="false">IF($B187="","",IF(INDEX('Master Database'!$A$1:$A$600,$B187)="","",INDEX('Master Database'!$A$1:$A$600,$B187)))</f>
        <v/>
      </c>
      <c r="D187" s="68" t="str">
        <f aca="false">IF($B187="","",IF(INDEX('Master Database'!$B$1:$B$600,$B187)="","",INDEX('Master Database'!$B$1:$B$600,$B187)))</f>
        <v/>
      </c>
      <c r="E187" s="68" t="str">
        <f aca="false">IF($B187="","",IF(INDEX('Master Database'!$C$1:$C$600,$B187)="","",INDEX('Master Database'!$C$1:$C$600,$B187)))</f>
        <v/>
      </c>
      <c r="F187" s="68" t="str">
        <f aca="false">IF($B187="","",IF(INDEX('Master Database'!$D$1:$D$600,$B187)="","",INDEX('Master Database'!$D$1:$D$600,$B187)))</f>
        <v/>
      </c>
      <c r="G187" s="68" t="str">
        <f aca="false">IF($B187="","",IF(INDEX('Master Database'!$E$1:$E$600,$B187)="","",INDEX('Master Database'!$E$1:$E$600,$B187)))</f>
        <v/>
      </c>
      <c r="H187" s="68" t="str">
        <f aca="false">IF($B187="","",IF(INDEX('Master Database'!$F$1:$F$600,$B187)="","",INDEX('Master Database'!$F$1:$F$600,$B187)))</f>
        <v/>
      </c>
      <c r="I187" s="68" t="str">
        <f aca="false">IF($B187="","",IF(INDEX('Master Database'!$G$1:$G$600,$B187)="","",INDEX('Master Database'!$G$1:$G$600,$B187)))</f>
        <v/>
      </c>
      <c r="J187" s="69" t="str">
        <f aca="false">IF($B187="","",IF(INDEX('Master Database'!$H$1:$H$600,$B187)="","",INDEX('Master Database'!$H$1:$H$600,$B187)))</f>
        <v/>
      </c>
      <c r="K187" s="69" t="str">
        <f aca="false">IF($B187="","",IF(INDEX('Master Database'!$I$1:$I$600,$B187)="","",INDEX('Master Database'!$I$1:$I$600,$B187)))</f>
        <v/>
      </c>
      <c r="L187" s="69" t="str">
        <f aca="false">IF($B187="","",IF(INDEX('Master Database'!$K$1:$K$600,$B187)="","",INDEX('Master Database'!$K$1:$K$600,$B187)))</f>
        <v/>
      </c>
      <c r="M187" s="68" t="str">
        <f aca="false">IF($B187="","",IF(INDEX('Master Database'!$L$1:$L$600,$B187)="","",INDEX('Master Database'!$L$1:$L$600,$B187)))</f>
        <v/>
      </c>
      <c r="N187" s="68" t="str">
        <f aca="false">IF($B187="","",IF(INDEX('Master Database'!$P$1:$P$600,$B187)="","",INDEX('Master Database'!$P$1:$P$600,$B187)))</f>
        <v/>
      </c>
      <c r="O187" s="68" t="str">
        <f aca="false">IF($B187="","",IF(INDEX('Master Database'!$S$1:$S$600,$B187)="","",INDEX('Master Database'!$S$1:$S$600,$B187)))</f>
        <v/>
      </c>
      <c r="P187" s="68" t="str">
        <f aca="false">IF($B187="","",IF(INDEX('Master Database'!$T$1:$T$600,$B187)="","",INDEX('Master Database'!$T$1:$T$600,$B187)))</f>
        <v/>
      </c>
      <c r="Q187" s="68" t="str">
        <f aca="false">IF($B187="","",IF(INDEX('Master Database'!$Y$1:$Y$600,$B187)="","",INDEX('Master Database'!$Y$1:$Y$600,$B187)))</f>
        <v/>
      </c>
      <c r="R187" s="68" t="str">
        <f aca="false">IF($B187="","",IF(INDEX('Master Database'!$Z$1:$Z$600,$B187)="","",INDEX('Master Database'!$Z$1:$Z$600,$B187)))</f>
        <v/>
      </c>
      <c r="S187" s="70" t="str">
        <f aca="false">IF($B187="","",IF(INDEX('Master Database'!$AA$1:$AA$600,$B187)="","",INDEX('Master Database'!$AA$1:$AA$600,$B187)))</f>
        <v/>
      </c>
      <c r="T187" s="68" t="str">
        <f aca="false">IF($B187="","",IF(INDEX('Master Database'!$AE$1:$AE$600,$B187)="","",INDEX('Master Database'!$AE$1:$AE$600,$B187)))</f>
        <v/>
      </c>
      <c r="U187" s="70" t="str">
        <f aca="false">IF($B187="","",IF(INDEX('Master Database'!$AG$1:$AG$600,$B187)="","",INDEX('Master Database'!$AG$1:$AG$600,$B187)))</f>
        <v/>
      </c>
      <c r="V187" s="70" t="str">
        <f aca="false">IF($B187="","",IF(INDEX('Master Database'!$AH$1:$AH$600,$B187)="","",INDEX('Master Database'!$AH$1:$AH$600,$B187)))</f>
        <v/>
      </c>
      <c r="W187" s="70" t="str">
        <f aca="false">IF($B187="","",IF(INDEX('Master Database'!$AI$1:$AI$600,$B187)="","",INDEX('Master Database'!$AI$1:$AI$600,$B187)))</f>
        <v/>
      </c>
      <c r="X187" s="68" t="str">
        <f aca="false">IF($B187="","",IF(INDEX('Master Database'!$BG$1:$BG$600,$B187)="","",INDEX('Master Database'!$BG$1:$BG$600,$B187)))</f>
        <v/>
      </c>
      <c r="BA187" s="65" t="n">
        <f aca="false">IF('Master Database'!$A187="",0,IF(AND(OR($B$5="",ISNUMBER(SEARCH($B$5,'Master Database'!$B187&amp;" "&amp;'Master Database'!$D187))),OR($B$6="(All)",'Master Database'!$C187=$B$6),OR($B$7="(All)",'Master Database'!$E187=$B$7),OR($B$8="(All)",'Master Database'!$T187=$B$8),OR($B$9="(All)",'Master Database'!$M187=$B$9),OR($B$10="(All)",'Master Database'!$V187=$B$10),OR($E$5="(All)",'Master Database'!$F187=$E$5),OR($E$6="(All)",'Master Database'!$G187=$E$6),OR($E$7="(All)",'Master Database'!$O187=$E$7),OR($E$8="(All)",'Master Database'!$P187=$E$8),OR($E$9="(All)",'Master Database'!$S187=$E$9),OR($E$10="(All)",'Master Database'!$Y187&amp;""=$E$10&amp;""),OR($H$5="(All)",'Master Database'!$BG187=$H$5),OR($H$6&lt;&gt;"Y",ISNUMBER('Master Database'!$AG187)),OR($H$7="",AND(ISNUMBER('Master Database'!$H187),N('Master Database'!$H187)&gt;=$H$7)),OR($I$7="",AND(ISNUMBER('Master Database'!$H187),N('Master Database'!$H187)&lt;=$I$7)),OR($H$8="",AND(ISNUMBER('Master Database'!$I187),N('Master Database'!$I187)&gt;=$H$8)),OR($I$8="",AND(ISNUMBER('Master Database'!$I187),N('Master Database'!$I187)&lt;=$I$8)),OR($H$9="",AND(ISNUMBER('Master Database'!$K187),N('Master Database'!$K187)&gt;=$H$9)),OR($I$9="",AND(ISNUMBER('Master Database'!$K187),N('Master Database'!$K187)&lt;=$I$9))),1,0))</f>
        <v>0</v>
      </c>
      <c r="BB187" s="0" t="str">
        <f aca="false">IF(BA187=1,COUNTIF($BA$5:BA187,1),"")</f>
        <v/>
      </c>
    </row>
    <row r="188" customFormat="false" ht="15" hidden="false" customHeight="false" outlineLevel="0" collapsed="false">
      <c r="A188" s="67" t="str">
        <f aca="false">IF(173&lt;=SUM($BA$5:$BA$600),173,"")</f>
        <v/>
      </c>
      <c r="B188" s="67" t="str">
        <f aca="false">IF(A188="","",MATCH(A188,$BB$5:$BB$600,0)+4)</f>
        <v/>
      </c>
      <c r="C188" s="67" t="str">
        <f aca="false">IF($B188="","",IF(INDEX('Master Database'!$A$1:$A$600,$B188)="","",INDEX('Master Database'!$A$1:$A$600,$B188)))</f>
        <v/>
      </c>
      <c r="D188" s="68" t="str">
        <f aca="false">IF($B188="","",IF(INDEX('Master Database'!$B$1:$B$600,$B188)="","",INDEX('Master Database'!$B$1:$B$600,$B188)))</f>
        <v/>
      </c>
      <c r="E188" s="68" t="str">
        <f aca="false">IF($B188="","",IF(INDEX('Master Database'!$C$1:$C$600,$B188)="","",INDEX('Master Database'!$C$1:$C$600,$B188)))</f>
        <v/>
      </c>
      <c r="F188" s="68" t="str">
        <f aca="false">IF($B188="","",IF(INDEX('Master Database'!$D$1:$D$600,$B188)="","",INDEX('Master Database'!$D$1:$D$600,$B188)))</f>
        <v/>
      </c>
      <c r="G188" s="68" t="str">
        <f aca="false">IF($B188="","",IF(INDEX('Master Database'!$E$1:$E$600,$B188)="","",INDEX('Master Database'!$E$1:$E$600,$B188)))</f>
        <v/>
      </c>
      <c r="H188" s="68" t="str">
        <f aca="false">IF($B188="","",IF(INDEX('Master Database'!$F$1:$F$600,$B188)="","",INDEX('Master Database'!$F$1:$F$600,$B188)))</f>
        <v/>
      </c>
      <c r="I188" s="68" t="str">
        <f aca="false">IF($B188="","",IF(INDEX('Master Database'!$G$1:$G$600,$B188)="","",INDEX('Master Database'!$G$1:$G$600,$B188)))</f>
        <v/>
      </c>
      <c r="J188" s="69" t="str">
        <f aca="false">IF($B188="","",IF(INDEX('Master Database'!$H$1:$H$600,$B188)="","",INDEX('Master Database'!$H$1:$H$600,$B188)))</f>
        <v/>
      </c>
      <c r="K188" s="69" t="str">
        <f aca="false">IF($B188="","",IF(INDEX('Master Database'!$I$1:$I$600,$B188)="","",INDEX('Master Database'!$I$1:$I$600,$B188)))</f>
        <v/>
      </c>
      <c r="L188" s="69" t="str">
        <f aca="false">IF($B188="","",IF(INDEX('Master Database'!$K$1:$K$600,$B188)="","",INDEX('Master Database'!$K$1:$K$600,$B188)))</f>
        <v/>
      </c>
      <c r="M188" s="68" t="str">
        <f aca="false">IF($B188="","",IF(INDEX('Master Database'!$L$1:$L$600,$B188)="","",INDEX('Master Database'!$L$1:$L$600,$B188)))</f>
        <v/>
      </c>
      <c r="N188" s="68" t="str">
        <f aca="false">IF($B188="","",IF(INDEX('Master Database'!$P$1:$P$600,$B188)="","",INDEX('Master Database'!$P$1:$P$600,$B188)))</f>
        <v/>
      </c>
      <c r="O188" s="68" t="str">
        <f aca="false">IF($B188="","",IF(INDEX('Master Database'!$S$1:$S$600,$B188)="","",INDEX('Master Database'!$S$1:$S$600,$B188)))</f>
        <v/>
      </c>
      <c r="P188" s="68" t="str">
        <f aca="false">IF($B188="","",IF(INDEX('Master Database'!$T$1:$T$600,$B188)="","",INDEX('Master Database'!$T$1:$T$600,$B188)))</f>
        <v/>
      </c>
      <c r="Q188" s="68" t="str">
        <f aca="false">IF($B188="","",IF(INDEX('Master Database'!$Y$1:$Y$600,$B188)="","",INDEX('Master Database'!$Y$1:$Y$600,$B188)))</f>
        <v/>
      </c>
      <c r="R188" s="68" t="str">
        <f aca="false">IF($B188="","",IF(INDEX('Master Database'!$Z$1:$Z$600,$B188)="","",INDEX('Master Database'!$Z$1:$Z$600,$B188)))</f>
        <v/>
      </c>
      <c r="S188" s="70" t="str">
        <f aca="false">IF($B188="","",IF(INDEX('Master Database'!$AA$1:$AA$600,$B188)="","",INDEX('Master Database'!$AA$1:$AA$600,$B188)))</f>
        <v/>
      </c>
      <c r="T188" s="68" t="str">
        <f aca="false">IF($B188="","",IF(INDEX('Master Database'!$AE$1:$AE$600,$B188)="","",INDEX('Master Database'!$AE$1:$AE$600,$B188)))</f>
        <v/>
      </c>
      <c r="U188" s="70" t="str">
        <f aca="false">IF($B188="","",IF(INDEX('Master Database'!$AG$1:$AG$600,$B188)="","",INDEX('Master Database'!$AG$1:$AG$600,$B188)))</f>
        <v/>
      </c>
      <c r="V188" s="70" t="str">
        <f aca="false">IF($B188="","",IF(INDEX('Master Database'!$AH$1:$AH$600,$B188)="","",INDEX('Master Database'!$AH$1:$AH$600,$B188)))</f>
        <v/>
      </c>
      <c r="W188" s="70" t="str">
        <f aca="false">IF($B188="","",IF(INDEX('Master Database'!$AI$1:$AI$600,$B188)="","",INDEX('Master Database'!$AI$1:$AI$600,$B188)))</f>
        <v/>
      </c>
      <c r="X188" s="68" t="str">
        <f aca="false">IF($B188="","",IF(INDEX('Master Database'!$BG$1:$BG$600,$B188)="","",INDEX('Master Database'!$BG$1:$BG$600,$B188)))</f>
        <v/>
      </c>
      <c r="BA188" s="65" t="n">
        <f aca="false">IF('Master Database'!$A188="",0,IF(AND(OR($B$5="",ISNUMBER(SEARCH($B$5,'Master Database'!$B188&amp;" "&amp;'Master Database'!$D188))),OR($B$6="(All)",'Master Database'!$C188=$B$6),OR($B$7="(All)",'Master Database'!$E188=$B$7),OR($B$8="(All)",'Master Database'!$T188=$B$8),OR($B$9="(All)",'Master Database'!$M188=$B$9),OR($B$10="(All)",'Master Database'!$V188=$B$10),OR($E$5="(All)",'Master Database'!$F188=$E$5),OR($E$6="(All)",'Master Database'!$G188=$E$6),OR($E$7="(All)",'Master Database'!$O188=$E$7),OR($E$8="(All)",'Master Database'!$P188=$E$8),OR($E$9="(All)",'Master Database'!$S188=$E$9),OR($E$10="(All)",'Master Database'!$Y188&amp;""=$E$10&amp;""),OR($H$5="(All)",'Master Database'!$BG188=$H$5),OR($H$6&lt;&gt;"Y",ISNUMBER('Master Database'!$AG188)),OR($H$7="",AND(ISNUMBER('Master Database'!$H188),N('Master Database'!$H188)&gt;=$H$7)),OR($I$7="",AND(ISNUMBER('Master Database'!$H188),N('Master Database'!$H188)&lt;=$I$7)),OR($H$8="",AND(ISNUMBER('Master Database'!$I188),N('Master Database'!$I188)&gt;=$H$8)),OR($I$8="",AND(ISNUMBER('Master Database'!$I188),N('Master Database'!$I188)&lt;=$I$8)),OR($H$9="",AND(ISNUMBER('Master Database'!$K188),N('Master Database'!$K188)&gt;=$H$9)),OR($I$9="",AND(ISNUMBER('Master Database'!$K188),N('Master Database'!$K188)&lt;=$I$9))),1,0))</f>
        <v>0</v>
      </c>
      <c r="BB188" s="0" t="str">
        <f aca="false">IF(BA188=1,COUNTIF($BA$5:BA188,1),"")</f>
        <v/>
      </c>
    </row>
    <row r="189" customFormat="false" ht="15" hidden="false" customHeight="false" outlineLevel="0" collapsed="false">
      <c r="A189" s="67" t="str">
        <f aca="false">IF(174&lt;=SUM($BA$5:$BA$600),174,"")</f>
        <v/>
      </c>
      <c r="B189" s="67" t="str">
        <f aca="false">IF(A189="","",MATCH(A189,$BB$5:$BB$600,0)+4)</f>
        <v/>
      </c>
      <c r="C189" s="67" t="str">
        <f aca="false">IF($B189="","",IF(INDEX('Master Database'!$A$1:$A$600,$B189)="","",INDEX('Master Database'!$A$1:$A$600,$B189)))</f>
        <v/>
      </c>
      <c r="D189" s="68" t="str">
        <f aca="false">IF($B189="","",IF(INDEX('Master Database'!$B$1:$B$600,$B189)="","",INDEX('Master Database'!$B$1:$B$600,$B189)))</f>
        <v/>
      </c>
      <c r="E189" s="68" t="str">
        <f aca="false">IF($B189="","",IF(INDEX('Master Database'!$C$1:$C$600,$B189)="","",INDEX('Master Database'!$C$1:$C$600,$B189)))</f>
        <v/>
      </c>
      <c r="F189" s="68" t="str">
        <f aca="false">IF($B189="","",IF(INDEX('Master Database'!$D$1:$D$600,$B189)="","",INDEX('Master Database'!$D$1:$D$600,$B189)))</f>
        <v/>
      </c>
      <c r="G189" s="68" t="str">
        <f aca="false">IF($B189="","",IF(INDEX('Master Database'!$E$1:$E$600,$B189)="","",INDEX('Master Database'!$E$1:$E$600,$B189)))</f>
        <v/>
      </c>
      <c r="H189" s="68" t="str">
        <f aca="false">IF($B189="","",IF(INDEX('Master Database'!$F$1:$F$600,$B189)="","",INDEX('Master Database'!$F$1:$F$600,$B189)))</f>
        <v/>
      </c>
      <c r="I189" s="68" t="str">
        <f aca="false">IF($B189="","",IF(INDEX('Master Database'!$G$1:$G$600,$B189)="","",INDEX('Master Database'!$G$1:$G$600,$B189)))</f>
        <v/>
      </c>
      <c r="J189" s="69" t="str">
        <f aca="false">IF($B189="","",IF(INDEX('Master Database'!$H$1:$H$600,$B189)="","",INDEX('Master Database'!$H$1:$H$600,$B189)))</f>
        <v/>
      </c>
      <c r="K189" s="69" t="str">
        <f aca="false">IF($B189="","",IF(INDEX('Master Database'!$I$1:$I$600,$B189)="","",INDEX('Master Database'!$I$1:$I$600,$B189)))</f>
        <v/>
      </c>
      <c r="L189" s="69" t="str">
        <f aca="false">IF($B189="","",IF(INDEX('Master Database'!$K$1:$K$600,$B189)="","",INDEX('Master Database'!$K$1:$K$600,$B189)))</f>
        <v/>
      </c>
      <c r="M189" s="68" t="str">
        <f aca="false">IF($B189="","",IF(INDEX('Master Database'!$L$1:$L$600,$B189)="","",INDEX('Master Database'!$L$1:$L$600,$B189)))</f>
        <v/>
      </c>
      <c r="N189" s="68" t="str">
        <f aca="false">IF($B189="","",IF(INDEX('Master Database'!$P$1:$P$600,$B189)="","",INDEX('Master Database'!$P$1:$P$600,$B189)))</f>
        <v/>
      </c>
      <c r="O189" s="68" t="str">
        <f aca="false">IF($B189="","",IF(INDEX('Master Database'!$S$1:$S$600,$B189)="","",INDEX('Master Database'!$S$1:$S$600,$B189)))</f>
        <v/>
      </c>
      <c r="P189" s="68" t="str">
        <f aca="false">IF($B189="","",IF(INDEX('Master Database'!$T$1:$T$600,$B189)="","",INDEX('Master Database'!$T$1:$T$600,$B189)))</f>
        <v/>
      </c>
      <c r="Q189" s="68" t="str">
        <f aca="false">IF($B189="","",IF(INDEX('Master Database'!$Y$1:$Y$600,$B189)="","",INDEX('Master Database'!$Y$1:$Y$600,$B189)))</f>
        <v/>
      </c>
      <c r="R189" s="68" t="str">
        <f aca="false">IF($B189="","",IF(INDEX('Master Database'!$Z$1:$Z$600,$B189)="","",INDEX('Master Database'!$Z$1:$Z$600,$B189)))</f>
        <v/>
      </c>
      <c r="S189" s="70" t="str">
        <f aca="false">IF($B189="","",IF(INDEX('Master Database'!$AA$1:$AA$600,$B189)="","",INDEX('Master Database'!$AA$1:$AA$600,$B189)))</f>
        <v/>
      </c>
      <c r="T189" s="68" t="str">
        <f aca="false">IF($B189="","",IF(INDEX('Master Database'!$AE$1:$AE$600,$B189)="","",INDEX('Master Database'!$AE$1:$AE$600,$B189)))</f>
        <v/>
      </c>
      <c r="U189" s="70" t="str">
        <f aca="false">IF($B189="","",IF(INDEX('Master Database'!$AG$1:$AG$600,$B189)="","",INDEX('Master Database'!$AG$1:$AG$600,$B189)))</f>
        <v/>
      </c>
      <c r="V189" s="70" t="str">
        <f aca="false">IF($B189="","",IF(INDEX('Master Database'!$AH$1:$AH$600,$B189)="","",INDEX('Master Database'!$AH$1:$AH$600,$B189)))</f>
        <v/>
      </c>
      <c r="W189" s="70" t="str">
        <f aca="false">IF($B189="","",IF(INDEX('Master Database'!$AI$1:$AI$600,$B189)="","",INDEX('Master Database'!$AI$1:$AI$600,$B189)))</f>
        <v/>
      </c>
      <c r="X189" s="68" t="str">
        <f aca="false">IF($B189="","",IF(INDEX('Master Database'!$BG$1:$BG$600,$B189)="","",INDEX('Master Database'!$BG$1:$BG$600,$B189)))</f>
        <v/>
      </c>
      <c r="BA189" s="65" t="n">
        <f aca="false">IF('Master Database'!$A189="",0,IF(AND(OR($B$5="",ISNUMBER(SEARCH($B$5,'Master Database'!$B189&amp;" "&amp;'Master Database'!$D189))),OR($B$6="(All)",'Master Database'!$C189=$B$6),OR($B$7="(All)",'Master Database'!$E189=$B$7),OR($B$8="(All)",'Master Database'!$T189=$B$8),OR($B$9="(All)",'Master Database'!$M189=$B$9),OR($B$10="(All)",'Master Database'!$V189=$B$10),OR($E$5="(All)",'Master Database'!$F189=$E$5),OR($E$6="(All)",'Master Database'!$G189=$E$6),OR($E$7="(All)",'Master Database'!$O189=$E$7),OR($E$8="(All)",'Master Database'!$P189=$E$8),OR($E$9="(All)",'Master Database'!$S189=$E$9),OR($E$10="(All)",'Master Database'!$Y189&amp;""=$E$10&amp;""),OR($H$5="(All)",'Master Database'!$BG189=$H$5),OR($H$6&lt;&gt;"Y",ISNUMBER('Master Database'!$AG189)),OR($H$7="",AND(ISNUMBER('Master Database'!$H189),N('Master Database'!$H189)&gt;=$H$7)),OR($I$7="",AND(ISNUMBER('Master Database'!$H189),N('Master Database'!$H189)&lt;=$I$7)),OR($H$8="",AND(ISNUMBER('Master Database'!$I189),N('Master Database'!$I189)&gt;=$H$8)),OR($I$8="",AND(ISNUMBER('Master Database'!$I189),N('Master Database'!$I189)&lt;=$I$8)),OR($H$9="",AND(ISNUMBER('Master Database'!$K189),N('Master Database'!$K189)&gt;=$H$9)),OR($I$9="",AND(ISNUMBER('Master Database'!$K189),N('Master Database'!$K189)&lt;=$I$9))),1,0))</f>
        <v>0</v>
      </c>
      <c r="BB189" s="0" t="str">
        <f aca="false">IF(BA189=1,COUNTIF($BA$5:BA189,1),"")</f>
        <v/>
      </c>
    </row>
    <row r="190" customFormat="false" ht="15" hidden="false" customHeight="false" outlineLevel="0" collapsed="false">
      <c r="A190" s="67" t="str">
        <f aca="false">IF(175&lt;=SUM($BA$5:$BA$600),175,"")</f>
        <v/>
      </c>
      <c r="B190" s="67" t="str">
        <f aca="false">IF(A190="","",MATCH(A190,$BB$5:$BB$600,0)+4)</f>
        <v/>
      </c>
      <c r="C190" s="67" t="str">
        <f aca="false">IF($B190="","",IF(INDEX('Master Database'!$A$1:$A$600,$B190)="","",INDEX('Master Database'!$A$1:$A$600,$B190)))</f>
        <v/>
      </c>
      <c r="D190" s="68" t="str">
        <f aca="false">IF($B190="","",IF(INDEX('Master Database'!$B$1:$B$600,$B190)="","",INDEX('Master Database'!$B$1:$B$600,$B190)))</f>
        <v/>
      </c>
      <c r="E190" s="68" t="str">
        <f aca="false">IF($B190="","",IF(INDEX('Master Database'!$C$1:$C$600,$B190)="","",INDEX('Master Database'!$C$1:$C$600,$B190)))</f>
        <v/>
      </c>
      <c r="F190" s="68" t="str">
        <f aca="false">IF($B190="","",IF(INDEX('Master Database'!$D$1:$D$600,$B190)="","",INDEX('Master Database'!$D$1:$D$600,$B190)))</f>
        <v/>
      </c>
      <c r="G190" s="68" t="str">
        <f aca="false">IF($B190="","",IF(INDEX('Master Database'!$E$1:$E$600,$B190)="","",INDEX('Master Database'!$E$1:$E$600,$B190)))</f>
        <v/>
      </c>
      <c r="H190" s="68" t="str">
        <f aca="false">IF($B190="","",IF(INDEX('Master Database'!$F$1:$F$600,$B190)="","",INDEX('Master Database'!$F$1:$F$600,$B190)))</f>
        <v/>
      </c>
      <c r="I190" s="68" t="str">
        <f aca="false">IF($B190="","",IF(INDEX('Master Database'!$G$1:$G$600,$B190)="","",INDEX('Master Database'!$G$1:$G$600,$B190)))</f>
        <v/>
      </c>
      <c r="J190" s="69" t="str">
        <f aca="false">IF($B190="","",IF(INDEX('Master Database'!$H$1:$H$600,$B190)="","",INDEX('Master Database'!$H$1:$H$600,$B190)))</f>
        <v/>
      </c>
      <c r="K190" s="69" t="str">
        <f aca="false">IF($B190="","",IF(INDEX('Master Database'!$I$1:$I$600,$B190)="","",INDEX('Master Database'!$I$1:$I$600,$B190)))</f>
        <v/>
      </c>
      <c r="L190" s="69" t="str">
        <f aca="false">IF($B190="","",IF(INDEX('Master Database'!$K$1:$K$600,$B190)="","",INDEX('Master Database'!$K$1:$K$600,$B190)))</f>
        <v/>
      </c>
      <c r="M190" s="68" t="str">
        <f aca="false">IF($B190="","",IF(INDEX('Master Database'!$L$1:$L$600,$B190)="","",INDEX('Master Database'!$L$1:$L$600,$B190)))</f>
        <v/>
      </c>
      <c r="N190" s="68" t="str">
        <f aca="false">IF($B190="","",IF(INDEX('Master Database'!$P$1:$P$600,$B190)="","",INDEX('Master Database'!$P$1:$P$600,$B190)))</f>
        <v/>
      </c>
      <c r="O190" s="68" t="str">
        <f aca="false">IF($B190="","",IF(INDEX('Master Database'!$S$1:$S$600,$B190)="","",INDEX('Master Database'!$S$1:$S$600,$B190)))</f>
        <v/>
      </c>
      <c r="P190" s="68" t="str">
        <f aca="false">IF($B190="","",IF(INDEX('Master Database'!$T$1:$T$600,$B190)="","",INDEX('Master Database'!$T$1:$T$600,$B190)))</f>
        <v/>
      </c>
      <c r="Q190" s="68" t="str">
        <f aca="false">IF($B190="","",IF(INDEX('Master Database'!$Y$1:$Y$600,$B190)="","",INDEX('Master Database'!$Y$1:$Y$600,$B190)))</f>
        <v/>
      </c>
      <c r="R190" s="68" t="str">
        <f aca="false">IF($B190="","",IF(INDEX('Master Database'!$Z$1:$Z$600,$B190)="","",INDEX('Master Database'!$Z$1:$Z$600,$B190)))</f>
        <v/>
      </c>
      <c r="S190" s="70" t="str">
        <f aca="false">IF($B190="","",IF(INDEX('Master Database'!$AA$1:$AA$600,$B190)="","",INDEX('Master Database'!$AA$1:$AA$600,$B190)))</f>
        <v/>
      </c>
      <c r="T190" s="68" t="str">
        <f aca="false">IF($B190="","",IF(INDEX('Master Database'!$AE$1:$AE$600,$B190)="","",INDEX('Master Database'!$AE$1:$AE$600,$B190)))</f>
        <v/>
      </c>
      <c r="U190" s="70" t="str">
        <f aca="false">IF($B190="","",IF(INDEX('Master Database'!$AG$1:$AG$600,$B190)="","",INDEX('Master Database'!$AG$1:$AG$600,$B190)))</f>
        <v/>
      </c>
      <c r="V190" s="70" t="str">
        <f aca="false">IF($B190="","",IF(INDEX('Master Database'!$AH$1:$AH$600,$B190)="","",INDEX('Master Database'!$AH$1:$AH$600,$B190)))</f>
        <v/>
      </c>
      <c r="W190" s="70" t="str">
        <f aca="false">IF($B190="","",IF(INDEX('Master Database'!$AI$1:$AI$600,$B190)="","",INDEX('Master Database'!$AI$1:$AI$600,$B190)))</f>
        <v/>
      </c>
      <c r="X190" s="68" t="str">
        <f aca="false">IF($B190="","",IF(INDEX('Master Database'!$BG$1:$BG$600,$B190)="","",INDEX('Master Database'!$BG$1:$BG$600,$B190)))</f>
        <v/>
      </c>
      <c r="BA190" s="65" t="n">
        <f aca="false">IF('Master Database'!$A190="",0,IF(AND(OR($B$5="",ISNUMBER(SEARCH($B$5,'Master Database'!$B190&amp;" "&amp;'Master Database'!$D190))),OR($B$6="(All)",'Master Database'!$C190=$B$6),OR($B$7="(All)",'Master Database'!$E190=$B$7),OR($B$8="(All)",'Master Database'!$T190=$B$8),OR($B$9="(All)",'Master Database'!$M190=$B$9),OR($B$10="(All)",'Master Database'!$V190=$B$10),OR($E$5="(All)",'Master Database'!$F190=$E$5),OR($E$6="(All)",'Master Database'!$G190=$E$6),OR($E$7="(All)",'Master Database'!$O190=$E$7),OR($E$8="(All)",'Master Database'!$P190=$E$8),OR($E$9="(All)",'Master Database'!$S190=$E$9),OR($E$10="(All)",'Master Database'!$Y190&amp;""=$E$10&amp;""),OR($H$5="(All)",'Master Database'!$BG190=$H$5),OR($H$6&lt;&gt;"Y",ISNUMBER('Master Database'!$AG190)),OR($H$7="",AND(ISNUMBER('Master Database'!$H190),N('Master Database'!$H190)&gt;=$H$7)),OR($I$7="",AND(ISNUMBER('Master Database'!$H190),N('Master Database'!$H190)&lt;=$I$7)),OR($H$8="",AND(ISNUMBER('Master Database'!$I190),N('Master Database'!$I190)&gt;=$H$8)),OR($I$8="",AND(ISNUMBER('Master Database'!$I190),N('Master Database'!$I190)&lt;=$I$8)),OR($H$9="",AND(ISNUMBER('Master Database'!$K190),N('Master Database'!$K190)&gt;=$H$9)),OR($I$9="",AND(ISNUMBER('Master Database'!$K190),N('Master Database'!$K190)&lt;=$I$9))),1,0))</f>
        <v>0</v>
      </c>
      <c r="BB190" s="0" t="str">
        <f aca="false">IF(BA190=1,COUNTIF($BA$5:BA190,1),"")</f>
        <v/>
      </c>
    </row>
    <row r="191" customFormat="false" ht="15" hidden="false" customHeight="false" outlineLevel="0" collapsed="false">
      <c r="A191" s="67" t="str">
        <f aca="false">IF(176&lt;=SUM($BA$5:$BA$600),176,"")</f>
        <v/>
      </c>
      <c r="B191" s="67" t="str">
        <f aca="false">IF(A191="","",MATCH(A191,$BB$5:$BB$600,0)+4)</f>
        <v/>
      </c>
      <c r="C191" s="67" t="str">
        <f aca="false">IF($B191="","",IF(INDEX('Master Database'!$A$1:$A$600,$B191)="","",INDEX('Master Database'!$A$1:$A$600,$B191)))</f>
        <v/>
      </c>
      <c r="D191" s="68" t="str">
        <f aca="false">IF($B191="","",IF(INDEX('Master Database'!$B$1:$B$600,$B191)="","",INDEX('Master Database'!$B$1:$B$600,$B191)))</f>
        <v/>
      </c>
      <c r="E191" s="68" t="str">
        <f aca="false">IF($B191="","",IF(INDEX('Master Database'!$C$1:$C$600,$B191)="","",INDEX('Master Database'!$C$1:$C$600,$B191)))</f>
        <v/>
      </c>
      <c r="F191" s="68" t="str">
        <f aca="false">IF($B191="","",IF(INDEX('Master Database'!$D$1:$D$600,$B191)="","",INDEX('Master Database'!$D$1:$D$600,$B191)))</f>
        <v/>
      </c>
      <c r="G191" s="68" t="str">
        <f aca="false">IF($B191="","",IF(INDEX('Master Database'!$E$1:$E$600,$B191)="","",INDEX('Master Database'!$E$1:$E$600,$B191)))</f>
        <v/>
      </c>
      <c r="H191" s="68" t="str">
        <f aca="false">IF($B191="","",IF(INDEX('Master Database'!$F$1:$F$600,$B191)="","",INDEX('Master Database'!$F$1:$F$600,$B191)))</f>
        <v/>
      </c>
      <c r="I191" s="68" t="str">
        <f aca="false">IF($B191="","",IF(INDEX('Master Database'!$G$1:$G$600,$B191)="","",INDEX('Master Database'!$G$1:$G$600,$B191)))</f>
        <v/>
      </c>
      <c r="J191" s="69" t="str">
        <f aca="false">IF($B191="","",IF(INDEX('Master Database'!$H$1:$H$600,$B191)="","",INDEX('Master Database'!$H$1:$H$600,$B191)))</f>
        <v/>
      </c>
      <c r="K191" s="69" t="str">
        <f aca="false">IF($B191="","",IF(INDEX('Master Database'!$I$1:$I$600,$B191)="","",INDEX('Master Database'!$I$1:$I$600,$B191)))</f>
        <v/>
      </c>
      <c r="L191" s="69" t="str">
        <f aca="false">IF($B191="","",IF(INDEX('Master Database'!$K$1:$K$600,$B191)="","",INDEX('Master Database'!$K$1:$K$600,$B191)))</f>
        <v/>
      </c>
      <c r="M191" s="68" t="str">
        <f aca="false">IF($B191="","",IF(INDEX('Master Database'!$L$1:$L$600,$B191)="","",INDEX('Master Database'!$L$1:$L$600,$B191)))</f>
        <v/>
      </c>
      <c r="N191" s="68" t="str">
        <f aca="false">IF($B191="","",IF(INDEX('Master Database'!$P$1:$P$600,$B191)="","",INDEX('Master Database'!$P$1:$P$600,$B191)))</f>
        <v/>
      </c>
      <c r="O191" s="68" t="str">
        <f aca="false">IF($B191="","",IF(INDEX('Master Database'!$S$1:$S$600,$B191)="","",INDEX('Master Database'!$S$1:$S$600,$B191)))</f>
        <v/>
      </c>
      <c r="P191" s="68" t="str">
        <f aca="false">IF($B191="","",IF(INDEX('Master Database'!$T$1:$T$600,$B191)="","",INDEX('Master Database'!$T$1:$T$600,$B191)))</f>
        <v/>
      </c>
      <c r="Q191" s="68" t="str">
        <f aca="false">IF($B191="","",IF(INDEX('Master Database'!$Y$1:$Y$600,$B191)="","",INDEX('Master Database'!$Y$1:$Y$600,$B191)))</f>
        <v/>
      </c>
      <c r="R191" s="68" t="str">
        <f aca="false">IF($B191="","",IF(INDEX('Master Database'!$Z$1:$Z$600,$B191)="","",INDEX('Master Database'!$Z$1:$Z$600,$B191)))</f>
        <v/>
      </c>
      <c r="S191" s="70" t="str">
        <f aca="false">IF($B191="","",IF(INDEX('Master Database'!$AA$1:$AA$600,$B191)="","",INDEX('Master Database'!$AA$1:$AA$600,$B191)))</f>
        <v/>
      </c>
      <c r="T191" s="68" t="str">
        <f aca="false">IF($B191="","",IF(INDEX('Master Database'!$AE$1:$AE$600,$B191)="","",INDEX('Master Database'!$AE$1:$AE$600,$B191)))</f>
        <v/>
      </c>
      <c r="U191" s="70" t="str">
        <f aca="false">IF($B191="","",IF(INDEX('Master Database'!$AG$1:$AG$600,$B191)="","",INDEX('Master Database'!$AG$1:$AG$600,$B191)))</f>
        <v/>
      </c>
      <c r="V191" s="70" t="str">
        <f aca="false">IF($B191="","",IF(INDEX('Master Database'!$AH$1:$AH$600,$B191)="","",INDEX('Master Database'!$AH$1:$AH$600,$B191)))</f>
        <v/>
      </c>
      <c r="W191" s="70" t="str">
        <f aca="false">IF($B191="","",IF(INDEX('Master Database'!$AI$1:$AI$600,$B191)="","",INDEX('Master Database'!$AI$1:$AI$600,$B191)))</f>
        <v/>
      </c>
      <c r="X191" s="68" t="str">
        <f aca="false">IF($B191="","",IF(INDEX('Master Database'!$BG$1:$BG$600,$B191)="","",INDEX('Master Database'!$BG$1:$BG$600,$B191)))</f>
        <v/>
      </c>
      <c r="BA191" s="65" t="n">
        <f aca="false">IF('Master Database'!$A191="",0,IF(AND(OR($B$5="",ISNUMBER(SEARCH($B$5,'Master Database'!$B191&amp;" "&amp;'Master Database'!$D191))),OR($B$6="(All)",'Master Database'!$C191=$B$6),OR($B$7="(All)",'Master Database'!$E191=$B$7),OR($B$8="(All)",'Master Database'!$T191=$B$8),OR($B$9="(All)",'Master Database'!$M191=$B$9),OR($B$10="(All)",'Master Database'!$V191=$B$10),OR($E$5="(All)",'Master Database'!$F191=$E$5),OR($E$6="(All)",'Master Database'!$G191=$E$6),OR($E$7="(All)",'Master Database'!$O191=$E$7),OR($E$8="(All)",'Master Database'!$P191=$E$8),OR($E$9="(All)",'Master Database'!$S191=$E$9),OR($E$10="(All)",'Master Database'!$Y191&amp;""=$E$10&amp;""),OR($H$5="(All)",'Master Database'!$BG191=$H$5),OR($H$6&lt;&gt;"Y",ISNUMBER('Master Database'!$AG191)),OR($H$7="",AND(ISNUMBER('Master Database'!$H191),N('Master Database'!$H191)&gt;=$H$7)),OR($I$7="",AND(ISNUMBER('Master Database'!$H191),N('Master Database'!$H191)&lt;=$I$7)),OR($H$8="",AND(ISNUMBER('Master Database'!$I191),N('Master Database'!$I191)&gt;=$H$8)),OR($I$8="",AND(ISNUMBER('Master Database'!$I191),N('Master Database'!$I191)&lt;=$I$8)),OR($H$9="",AND(ISNUMBER('Master Database'!$K191),N('Master Database'!$K191)&gt;=$H$9)),OR($I$9="",AND(ISNUMBER('Master Database'!$K191),N('Master Database'!$K191)&lt;=$I$9))),1,0))</f>
        <v>0</v>
      </c>
      <c r="BB191" s="0" t="str">
        <f aca="false">IF(BA191=1,COUNTIF($BA$5:BA191,1),"")</f>
        <v/>
      </c>
    </row>
    <row r="192" customFormat="false" ht="15" hidden="false" customHeight="false" outlineLevel="0" collapsed="false">
      <c r="A192" s="67" t="str">
        <f aca="false">IF(177&lt;=SUM($BA$5:$BA$600),177,"")</f>
        <v/>
      </c>
      <c r="B192" s="67" t="str">
        <f aca="false">IF(A192="","",MATCH(A192,$BB$5:$BB$600,0)+4)</f>
        <v/>
      </c>
      <c r="C192" s="67" t="str">
        <f aca="false">IF($B192="","",IF(INDEX('Master Database'!$A$1:$A$600,$B192)="","",INDEX('Master Database'!$A$1:$A$600,$B192)))</f>
        <v/>
      </c>
      <c r="D192" s="68" t="str">
        <f aca="false">IF($B192="","",IF(INDEX('Master Database'!$B$1:$B$600,$B192)="","",INDEX('Master Database'!$B$1:$B$600,$B192)))</f>
        <v/>
      </c>
      <c r="E192" s="68" t="str">
        <f aca="false">IF($B192="","",IF(INDEX('Master Database'!$C$1:$C$600,$B192)="","",INDEX('Master Database'!$C$1:$C$600,$B192)))</f>
        <v/>
      </c>
      <c r="F192" s="68" t="str">
        <f aca="false">IF($B192="","",IF(INDEX('Master Database'!$D$1:$D$600,$B192)="","",INDEX('Master Database'!$D$1:$D$600,$B192)))</f>
        <v/>
      </c>
      <c r="G192" s="68" t="str">
        <f aca="false">IF($B192="","",IF(INDEX('Master Database'!$E$1:$E$600,$B192)="","",INDEX('Master Database'!$E$1:$E$600,$B192)))</f>
        <v/>
      </c>
      <c r="H192" s="68" t="str">
        <f aca="false">IF($B192="","",IF(INDEX('Master Database'!$F$1:$F$600,$B192)="","",INDEX('Master Database'!$F$1:$F$600,$B192)))</f>
        <v/>
      </c>
      <c r="I192" s="68" t="str">
        <f aca="false">IF($B192="","",IF(INDEX('Master Database'!$G$1:$G$600,$B192)="","",INDEX('Master Database'!$G$1:$G$600,$B192)))</f>
        <v/>
      </c>
      <c r="J192" s="69" t="str">
        <f aca="false">IF($B192="","",IF(INDEX('Master Database'!$H$1:$H$600,$B192)="","",INDEX('Master Database'!$H$1:$H$600,$B192)))</f>
        <v/>
      </c>
      <c r="K192" s="69" t="str">
        <f aca="false">IF($B192="","",IF(INDEX('Master Database'!$I$1:$I$600,$B192)="","",INDEX('Master Database'!$I$1:$I$600,$B192)))</f>
        <v/>
      </c>
      <c r="L192" s="69" t="str">
        <f aca="false">IF($B192="","",IF(INDEX('Master Database'!$K$1:$K$600,$B192)="","",INDEX('Master Database'!$K$1:$K$600,$B192)))</f>
        <v/>
      </c>
      <c r="M192" s="68" t="str">
        <f aca="false">IF($B192="","",IF(INDEX('Master Database'!$L$1:$L$600,$B192)="","",INDEX('Master Database'!$L$1:$L$600,$B192)))</f>
        <v/>
      </c>
      <c r="N192" s="68" t="str">
        <f aca="false">IF($B192="","",IF(INDEX('Master Database'!$P$1:$P$600,$B192)="","",INDEX('Master Database'!$P$1:$P$600,$B192)))</f>
        <v/>
      </c>
      <c r="O192" s="68" t="str">
        <f aca="false">IF($B192="","",IF(INDEX('Master Database'!$S$1:$S$600,$B192)="","",INDEX('Master Database'!$S$1:$S$600,$B192)))</f>
        <v/>
      </c>
      <c r="P192" s="68" t="str">
        <f aca="false">IF($B192="","",IF(INDEX('Master Database'!$T$1:$T$600,$B192)="","",INDEX('Master Database'!$T$1:$T$600,$B192)))</f>
        <v/>
      </c>
      <c r="Q192" s="68" t="str">
        <f aca="false">IF($B192="","",IF(INDEX('Master Database'!$Y$1:$Y$600,$B192)="","",INDEX('Master Database'!$Y$1:$Y$600,$B192)))</f>
        <v/>
      </c>
      <c r="R192" s="68" t="str">
        <f aca="false">IF($B192="","",IF(INDEX('Master Database'!$Z$1:$Z$600,$B192)="","",INDEX('Master Database'!$Z$1:$Z$600,$B192)))</f>
        <v/>
      </c>
      <c r="S192" s="70" t="str">
        <f aca="false">IF($B192="","",IF(INDEX('Master Database'!$AA$1:$AA$600,$B192)="","",INDEX('Master Database'!$AA$1:$AA$600,$B192)))</f>
        <v/>
      </c>
      <c r="T192" s="68" t="str">
        <f aca="false">IF($B192="","",IF(INDEX('Master Database'!$AE$1:$AE$600,$B192)="","",INDEX('Master Database'!$AE$1:$AE$600,$B192)))</f>
        <v/>
      </c>
      <c r="U192" s="70" t="str">
        <f aca="false">IF($B192="","",IF(INDEX('Master Database'!$AG$1:$AG$600,$B192)="","",INDEX('Master Database'!$AG$1:$AG$600,$B192)))</f>
        <v/>
      </c>
      <c r="V192" s="70" t="str">
        <f aca="false">IF($B192="","",IF(INDEX('Master Database'!$AH$1:$AH$600,$B192)="","",INDEX('Master Database'!$AH$1:$AH$600,$B192)))</f>
        <v/>
      </c>
      <c r="W192" s="70" t="str">
        <f aca="false">IF($B192="","",IF(INDEX('Master Database'!$AI$1:$AI$600,$B192)="","",INDEX('Master Database'!$AI$1:$AI$600,$B192)))</f>
        <v/>
      </c>
      <c r="X192" s="68" t="str">
        <f aca="false">IF($B192="","",IF(INDEX('Master Database'!$BG$1:$BG$600,$B192)="","",INDEX('Master Database'!$BG$1:$BG$600,$B192)))</f>
        <v/>
      </c>
      <c r="BA192" s="65" t="n">
        <f aca="false">IF('Master Database'!$A192="",0,IF(AND(OR($B$5="",ISNUMBER(SEARCH($B$5,'Master Database'!$B192&amp;" "&amp;'Master Database'!$D192))),OR($B$6="(All)",'Master Database'!$C192=$B$6),OR($B$7="(All)",'Master Database'!$E192=$B$7),OR($B$8="(All)",'Master Database'!$T192=$B$8),OR($B$9="(All)",'Master Database'!$M192=$B$9),OR($B$10="(All)",'Master Database'!$V192=$B$10),OR($E$5="(All)",'Master Database'!$F192=$E$5),OR($E$6="(All)",'Master Database'!$G192=$E$6),OR($E$7="(All)",'Master Database'!$O192=$E$7),OR($E$8="(All)",'Master Database'!$P192=$E$8),OR($E$9="(All)",'Master Database'!$S192=$E$9),OR($E$10="(All)",'Master Database'!$Y192&amp;""=$E$10&amp;""),OR($H$5="(All)",'Master Database'!$BG192=$H$5),OR($H$6&lt;&gt;"Y",ISNUMBER('Master Database'!$AG192)),OR($H$7="",AND(ISNUMBER('Master Database'!$H192),N('Master Database'!$H192)&gt;=$H$7)),OR($I$7="",AND(ISNUMBER('Master Database'!$H192),N('Master Database'!$H192)&lt;=$I$7)),OR($H$8="",AND(ISNUMBER('Master Database'!$I192),N('Master Database'!$I192)&gt;=$H$8)),OR($I$8="",AND(ISNUMBER('Master Database'!$I192),N('Master Database'!$I192)&lt;=$I$8)),OR($H$9="",AND(ISNUMBER('Master Database'!$K192),N('Master Database'!$K192)&gt;=$H$9)),OR($I$9="",AND(ISNUMBER('Master Database'!$K192),N('Master Database'!$K192)&lt;=$I$9))),1,0))</f>
        <v>0</v>
      </c>
      <c r="BB192" s="0" t="str">
        <f aca="false">IF(BA192=1,COUNTIF($BA$5:BA192,1),"")</f>
        <v/>
      </c>
    </row>
    <row r="193" customFormat="false" ht="15" hidden="false" customHeight="false" outlineLevel="0" collapsed="false">
      <c r="A193" s="67" t="str">
        <f aca="false">IF(178&lt;=SUM($BA$5:$BA$600),178,"")</f>
        <v/>
      </c>
      <c r="B193" s="67" t="str">
        <f aca="false">IF(A193="","",MATCH(A193,$BB$5:$BB$600,0)+4)</f>
        <v/>
      </c>
      <c r="C193" s="67" t="str">
        <f aca="false">IF($B193="","",IF(INDEX('Master Database'!$A$1:$A$600,$B193)="","",INDEX('Master Database'!$A$1:$A$600,$B193)))</f>
        <v/>
      </c>
      <c r="D193" s="68" t="str">
        <f aca="false">IF($B193="","",IF(INDEX('Master Database'!$B$1:$B$600,$B193)="","",INDEX('Master Database'!$B$1:$B$600,$B193)))</f>
        <v/>
      </c>
      <c r="E193" s="68" t="str">
        <f aca="false">IF($B193="","",IF(INDEX('Master Database'!$C$1:$C$600,$B193)="","",INDEX('Master Database'!$C$1:$C$600,$B193)))</f>
        <v/>
      </c>
      <c r="F193" s="68" t="str">
        <f aca="false">IF($B193="","",IF(INDEX('Master Database'!$D$1:$D$600,$B193)="","",INDEX('Master Database'!$D$1:$D$600,$B193)))</f>
        <v/>
      </c>
      <c r="G193" s="68" t="str">
        <f aca="false">IF($B193="","",IF(INDEX('Master Database'!$E$1:$E$600,$B193)="","",INDEX('Master Database'!$E$1:$E$600,$B193)))</f>
        <v/>
      </c>
      <c r="H193" s="68" t="str">
        <f aca="false">IF($B193="","",IF(INDEX('Master Database'!$F$1:$F$600,$B193)="","",INDEX('Master Database'!$F$1:$F$600,$B193)))</f>
        <v/>
      </c>
      <c r="I193" s="68" t="str">
        <f aca="false">IF($B193="","",IF(INDEX('Master Database'!$G$1:$G$600,$B193)="","",INDEX('Master Database'!$G$1:$G$600,$B193)))</f>
        <v/>
      </c>
      <c r="J193" s="69" t="str">
        <f aca="false">IF($B193="","",IF(INDEX('Master Database'!$H$1:$H$600,$B193)="","",INDEX('Master Database'!$H$1:$H$600,$B193)))</f>
        <v/>
      </c>
      <c r="K193" s="69" t="str">
        <f aca="false">IF($B193="","",IF(INDEX('Master Database'!$I$1:$I$600,$B193)="","",INDEX('Master Database'!$I$1:$I$600,$B193)))</f>
        <v/>
      </c>
      <c r="L193" s="69" t="str">
        <f aca="false">IF($B193="","",IF(INDEX('Master Database'!$K$1:$K$600,$B193)="","",INDEX('Master Database'!$K$1:$K$600,$B193)))</f>
        <v/>
      </c>
      <c r="M193" s="68" t="str">
        <f aca="false">IF($B193="","",IF(INDEX('Master Database'!$L$1:$L$600,$B193)="","",INDEX('Master Database'!$L$1:$L$600,$B193)))</f>
        <v/>
      </c>
      <c r="N193" s="68" t="str">
        <f aca="false">IF($B193="","",IF(INDEX('Master Database'!$P$1:$P$600,$B193)="","",INDEX('Master Database'!$P$1:$P$600,$B193)))</f>
        <v/>
      </c>
      <c r="O193" s="68" t="str">
        <f aca="false">IF($B193="","",IF(INDEX('Master Database'!$S$1:$S$600,$B193)="","",INDEX('Master Database'!$S$1:$S$600,$B193)))</f>
        <v/>
      </c>
      <c r="P193" s="68" t="str">
        <f aca="false">IF($B193="","",IF(INDEX('Master Database'!$T$1:$T$600,$B193)="","",INDEX('Master Database'!$T$1:$T$600,$B193)))</f>
        <v/>
      </c>
      <c r="Q193" s="68" t="str">
        <f aca="false">IF($B193="","",IF(INDEX('Master Database'!$Y$1:$Y$600,$B193)="","",INDEX('Master Database'!$Y$1:$Y$600,$B193)))</f>
        <v/>
      </c>
      <c r="R193" s="68" t="str">
        <f aca="false">IF($B193="","",IF(INDEX('Master Database'!$Z$1:$Z$600,$B193)="","",INDEX('Master Database'!$Z$1:$Z$600,$B193)))</f>
        <v/>
      </c>
      <c r="S193" s="70" t="str">
        <f aca="false">IF($B193="","",IF(INDEX('Master Database'!$AA$1:$AA$600,$B193)="","",INDEX('Master Database'!$AA$1:$AA$600,$B193)))</f>
        <v/>
      </c>
      <c r="T193" s="68" t="str">
        <f aca="false">IF($B193="","",IF(INDEX('Master Database'!$AE$1:$AE$600,$B193)="","",INDEX('Master Database'!$AE$1:$AE$600,$B193)))</f>
        <v/>
      </c>
      <c r="U193" s="70" t="str">
        <f aca="false">IF($B193="","",IF(INDEX('Master Database'!$AG$1:$AG$600,$B193)="","",INDEX('Master Database'!$AG$1:$AG$600,$B193)))</f>
        <v/>
      </c>
      <c r="V193" s="70" t="str">
        <f aca="false">IF($B193="","",IF(INDEX('Master Database'!$AH$1:$AH$600,$B193)="","",INDEX('Master Database'!$AH$1:$AH$600,$B193)))</f>
        <v/>
      </c>
      <c r="W193" s="70" t="str">
        <f aca="false">IF($B193="","",IF(INDEX('Master Database'!$AI$1:$AI$600,$B193)="","",INDEX('Master Database'!$AI$1:$AI$600,$B193)))</f>
        <v/>
      </c>
      <c r="X193" s="68" t="str">
        <f aca="false">IF($B193="","",IF(INDEX('Master Database'!$BG$1:$BG$600,$B193)="","",INDEX('Master Database'!$BG$1:$BG$600,$B193)))</f>
        <v/>
      </c>
      <c r="BA193" s="65" t="n">
        <f aca="false">IF('Master Database'!$A193="",0,IF(AND(OR($B$5="",ISNUMBER(SEARCH($B$5,'Master Database'!$B193&amp;" "&amp;'Master Database'!$D193))),OR($B$6="(All)",'Master Database'!$C193=$B$6),OR($B$7="(All)",'Master Database'!$E193=$B$7),OR($B$8="(All)",'Master Database'!$T193=$B$8),OR($B$9="(All)",'Master Database'!$M193=$B$9),OR($B$10="(All)",'Master Database'!$V193=$B$10),OR($E$5="(All)",'Master Database'!$F193=$E$5),OR($E$6="(All)",'Master Database'!$G193=$E$6),OR($E$7="(All)",'Master Database'!$O193=$E$7),OR($E$8="(All)",'Master Database'!$P193=$E$8),OR($E$9="(All)",'Master Database'!$S193=$E$9),OR($E$10="(All)",'Master Database'!$Y193&amp;""=$E$10&amp;""),OR($H$5="(All)",'Master Database'!$BG193=$H$5),OR($H$6&lt;&gt;"Y",ISNUMBER('Master Database'!$AG193)),OR($H$7="",AND(ISNUMBER('Master Database'!$H193),N('Master Database'!$H193)&gt;=$H$7)),OR($I$7="",AND(ISNUMBER('Master Database'!$H193),N('Master Database'!$H193)&lt;=$I$7)),OR($H$8="",AND(ISNUMBER('Master Database'!$I193),N('Master Database'!$I193)&gt;=$H$8)),OR($I$8="",AND(ISNUMBER('Master Database'!$I193),N('Master Database'!$I193)&lt;=$I$8)),OR($H$9="",AND(ISNUMBER('Master Database'!$K193),N('Master Database'!$K193)&gt;=$H$9)),OR($I$9="",AND(ISNUMBER('Master Database'!$K193),N('Master Database'!$K193)&lt;=$I$9))),1,0))</f>
        <v>0</v>
      </c>
      <c r="BB193" s="0" t="str">
        <f aca="false">IF(BA193=1,COUNTIF($BA$5:BA193,1),"")</f>
        <v/>
      </c>
    </row>
    <row r="194" customFormat="false" ht="15" hidden="false" customHeight="false" outlineLevel="0" collapsed="false">
      <c r="A194" s="67" t="str">
        <f aca="false">IF(179&lt;=SUM($BA$5:$BA$600),179,"")</f>
        <v/>
      </c>
      <c r="B194" s="67" t="str">
        <f aca="false">IF(A194="","",MATCH(A194,$BB$5:$BB$600,0)+4)</f>
        <v/>
      </c>
      <c r="C194" s="67" t="str">
        <f aca="false">IF($B194="","",IF(INDEX('Master Database'!$A$1:$A$600,$B194)="","",INDEX('Master Database'!$A$1:$A$600,$B194)))</f>
        <v/>
      </c>
      <c r="D194" s="68" t="str">
        <f aca="false">IF($B194="","",IF(INDEX('Master Database'!$B$1:$B$600,$B194)="","",INDEX('Master Database'!$B$1:$B$600,$B194)))</f>
        <v/>
      </c>
      <c r="E194" s="68" t="str">
        <f aca="false">IF($B194="","",IF(INDEX('Master Database'!$C$1:$C$600,$B194)="","",INDEX('Master Database'!$C$1:$C$600,$B194)))</f>
        <v/>
      </c>
      <c r="F194" s="68" t="str">
        <f aca="false">IF($B194="","",IF(INDEX('Master Database'!$D$1:$D$600,$B194)="","",INDEX('Master Database'!$D$1:$D$600,$B194)))</f>
        <v/>
      </c>
      <c r="G194" s="68" t="str">
        <f aca="false">IF($B194="","",IF(INDEX('Master Database'!$E$1:$E$600,$B194)="","",INDEX('Master Database'!$E$1:$E$600,$B194)))</f>
        <v/>
      </c>
      <c r="H194" s="68" t="str">
        <f aca="false">IF($B194="","",IF(INDEX('Master Database'!$F$1:$F$600,$B194)="","",INDEX('Master Database'!$F$1:$F$600,$B194)))</f>
        <v/>
      </c>
      <c r="I194" s="68" t="str">
        <f aca="false">IF($B194="","",IF(INDEX('Master Database'!$G$1:$G$600,$B194)="","",INDEX('Master Database'!$G$1:$G$600,$B194)))</f>
        <v/>
      </c>
      <c r="J194" s="69" t="str">
        <f aca="false">IF($B194="","",IF(INDEX('Master Database'!$H$1:$H$600,$B194)="","",INDEX('Master Database'!$H$1:$H$600,$B194)))</f>
        <v/>
      </c>
      <c r="K194" s="69" t="str">
        <f aca="false">IF($B194="","",IF(INDEX('Master Database'!$I$1:$I$600,$B194)="","",INDEX('Master Database'!$I$1:$I$600,$B194)))</f>
        <v/>
      </c>
      <c r="L194" s="69" t="str">
        <f aca="false">IF($B194="","",IF(INDEX('Master Database'!$K$1:$K$600,$B194)="","",INDEX('Master Database'!$K$1:$K$600,$B194)))</f>
        <v/>
      </c>
      <c r="M194" s="68" t="str">
        <f aca="false">IF($B194="","",IF(INDEX('Master Database'!$L$1:$L$600,$B194)="","",INDEX('Master Database'!$L$1:$L$600,$B194)))</f>
        <v/>
      </c>
      <c r="N194" s="68" t="str">
        <f aca="false">IF($B194="","",IF(INDEX('Master Database'!$P$1:$P$600,$B194)="","",INDEX('Master Database'!$P$1:$P$600,$B194)))</f>
        <v/>
      </c>
      <c r="O194" s="68" t="str">
        <f aca="false">IF($B194="","",IF(INDEX('Master Database'!$S$1:$S$600,$B194)="","",INDEX('Master Database'!$S$1:$S$600,$B194)))</f>
        <v/>
      </c>
      <c r="P194" s="68" t="str">
        <f aca="false">IF($B194="","",IF(INDEX('Master Database'!$T$1:$T$600,$B194)="","",INDEX('Master Database'!$T$1:$T$600,$B194)))</f>
        <v/>
      </c>
      <c r="Q194" s="68" t="str">
        <f aca="false">IF($B194="","",IF(INDEX('Master Database'!$Y$1:$Y$600,$B194)="","",INDEX('Master Database'!$Y$1:$Y$600,$B194)))</f>
        <v/>
      </c>
      <c r="R194" s="68" t="str">
        <f aca="false">IF($B194="","",IF(INDEX('Master Database'!$Z$1:$Z$600,$B194)="","",INDEX('Master Database'!$Z$1:$Z$600,$B194)))</f>
        <v/>
      </c>
      <c r="S194" s="70" t="str">
        <f aca="false">IF($B194="","",IF(INDEX('Master Database'!$AA$1:$AA$600,$B194)="","",INDEX('Master Database'!$AA$1:$AA$600,$B194)))</f>
        <v/>
      </c>
      <c r="T194" s="68" t="str">
        <f aca="false">IF($B194="","",IF(INDEX('Master Database'!$AE$1:$AE$600,$B194)="","",INDEX('Master Database'!$AE$1:$AE$600,$B194)))</f>
        <v/>
      </c>
      <c r="U194" s="70" t="str">
        <f aca="false">IF($B194="","",IF(INDEX('Master Database'!$AG$1:$AG$600,$B194)="","",INDEX('Master Database'!$AG$1:$AG$600,$B194)))</f>
        <v/>
      </c>
      <c r="V194" s="70" t="str">
        <f aca="false">IF($B194="","",IF(INDEX('Master Database'!$AH$1:$AH$600,$B194)="","",INDEX('Master Database'!$AH$1:$AH$600,$B194)))</f>
        <v/>
      </c>
      <c r="W194" s="70" t="str">
        <f aca="false">IF($B194="","",IF(INDEX('Master Database'!$AI$1:$AI$600,$B194)="","",INDEX('Master Database'!$AI$1:$AI$600,$B194)))</f>
        <v/>
      </c>
      <c r="X194" s="68" t="str">
        <f aca="false">IF($B194="","",IF(INDEX('Master Database'!$BG$1:$BG$600,$B194)="","",INDEX('Master Database'!$BG$1:$BG$600,$B194)))</f>
        <v/>
      </c>
      <c r="BA194" s="65" t="n">
        <f aca="false">IF('Master Database'!$A194="",0,IF(AND(OR($B$5="",ISNUMBER(SEARCH($B$5,'Master Database'!$B194&amp;" "&amp;'Master Database'!$D194))),OR($B$6="(All)",'Master Database'!$C194=$B$6),OR($B$7="(All)",'Master Database'!$E194=$B$7),OR($B$8="(All)",'Master Database'!$T194=$B$8),OR($B$9="(All)",'Master Database'!$M194=$B$9),OR($B$10="(All)",'Master Database'!$V194=$B$10),OR($E$5="(All)",'Master Database'!$F194=$E$5),OR($E$6="(All)",'Master Database'!$G194=$E$6),OR($E$7="(All)",'Master Database'!$O194=$E$7),OR($E$8="(All)",'Master Database'!$P194=$E$8),OR($E$9="(All)",'Master Database'!$S194=$E$9),OR($E$10="(All)",'Master Database'!$Y194&amp;""=$E$10&amp;""),OR($H$5="(All)",'Master Database'!$BG194=$H$5),OR($H$6&lt;&gt;"Y",ISNUMBER('Master Database'!$AG194)),OR($H$7="",AND(ISNUMBER('Master Database'!$H194),N('Master Database'!$H194)&gt;=$H$7)),OR($I$7="",AND(ISNUMBER('Master Database'!$H194),N('Master Database'!$H194)&lt;=$I$7)),OR($H$8="",AND(ISNUMBER('Master Database'!$I194),N('Master Database'!$I194)&gt;=$H$8)),OR($I$8="",AND(ISNUMBER('Master Database'!$I194),N('Master Database'!$I194)&lt;=$I$8)),OR($H$9="",AND(ISNUMBER('Master Database'!$K194),N('Master Database'!$K194)&gt;=$H$9)),OR($I$9="",AND(ISNUMBER('Master Database'!$K194),N('Master Database'!$K194)&lt;=$I$9))),1,0))</f>
        <v>0</v>
      </c>
      <c r="BB194" s="0" t="str">
        <f aca="false">IF(BA194=1,COUNTIF($BA$5:BA194,1),"")</f>
        <v/>
      </c>
    </row>
    <row r="195" customFormat="false" ht="15" hidden="false" customHeight="false" outlineLevel="0" collapsed="false">
      <c r="A195" s="67" t="str">
        <f aca="false">IF(180&lt;=SUM($BA$5:$BA$600),180,"")</f>
        <v/>
      </c>
      <c r="B195" s="67" t="str">
        <f aca="false">IF(A195="","",MATCH(A195,$BB$5:$BB$600,0)+4)</f>
        <v/>
      </c>
      <c r="C195" s="67" t="str">
        <f aca="false">IF($B195="","",IF(INDEX('Master Database'!$A$1:$A$600,$B195)="","",INDEX('Master Database'!$A$1:$A$600,$B195)))</f>
        <v/>
      </c>
      <c r="D195" s="68" t="str">
        <f aca="false">IF($B195="","",IF(INDEX('Master Database'!$B$1:$B$600,$B195)="","",INDEX('Master Database'!$B$1:$B$600,$B195)))</f>
        <v/>
      </c>
      <c r="E195" s="68" t="str">
        <f aca="false">IF($B195="","",IF(INDEX('Master Database'!$C$1:$C$600,$B195)="","",INDEX('Master Database'!$C$1:$C$600,$B195)))</f>
        <v/>
      </c>
      <c r="F195" s="68" t="str">
        <f aca="false">IF($B195="","",IF(INDEX('Master Database'!$D$1:$D$600,$B195)="","",INDEX('Master Database'!$D$1:$D$600,$B195)))</f>
        <v/>
      </c>
      <c r="G195" s="68" t="str">
        <f aca="false">IF($B195="","",IF(INDEX('Master Database'!$E$1:$E$600,$B195)="","",INDEX('Master Database'!$E$1:$E$600,$B195)))</f>
        <v/>
      </c>
      <c r="H195" s="68" t="str">
        <f aca="false">IF($B195="","",IF(INDEX('Master Database'!$F$1:$F$600,$B195)="","",INDEX('Master Database'!$F$1:$F$600,$B195)))</f>
        <v/>
      </c>
      <c r="I195" s="68" t="str">
        <f aca="false">IF($B195="","",IF(INDEX('Master Database'!$G$1:$G$600,$B195)="","",INDEX('Master Database'!$G$1:$G$600,$B195)))</f>
        <v/>
      </c>
      <c r="J195" s="69" t="str">
        <f aca="false">IF($B195="","",IF(INDEX('Master Database'!$H$1:$H$600,$B195)="","",INDEX('Master Database'!$H$1:$H$600,$B195)))</f>
        <v/>
      </c>
      <c r="K195" s="69" t="str">
        <f aca="false">IF($B195="","",IF(INDEX('Master Database'!$I$1:$I$600,$B195)="","",INDEX('Master Database'!$I$1:$I$600,$B195)))</f>
        <v/>
      </c>
      <c r="L195" s="69" t="str">
        <f aca="false">IF($B195="","",IF(INDEX('Master Database'!$K$1:$K$600,$B195)="","",INDEX('Master Database'!$K$1:$K$600,$B195)))</f>
        <v/>
      </c>
      <c r="M195" s="68" t="str">
        <f aca="false">IF($B195="","",IF(INDEX('Master Database'!$L$1:$L$600,$B195)="","",INDEX('Master Database'!$L$1:$L$600,$B195)))</f>
        <v/>
      </c>
      <c r="N195" s="68" t="str">
        <f aca="false">IF($B195="","",IF(INDEX('Master Database'!$P$1:$P$600,$B195)="","",INDEX('Master Database'!$P$1:$P$600,$B195)))</f>
        <v/>
      </c>
      <c r="O195" s="68" t="str">
        <f aca="false">IF($B195="","",IF(INDEX('Master Database'!$S$1:$S$600,$B195)="","",INDEX('Master Database'!$S$1:$S$600,$B195)))</f>
        <v/>
      </c>
      <c r="P195" s="68" t="str">
        <f aca="false">IF($B195="","",IF(INDEX('Master Database'!$T$1:$T$600,$B195)="","",INDEX('Master Database'!$T$1:$T$600,$B195)))</f>
        <v/>
      </c>
      <c r="Q195" s="68" t="str">
        <f aca="false">IF($B195="","",IF(INDEX('Master Database'!$Y$1:$Y$600,$B195)="","",INDEX('Master Database'!$Y$1:$Y$600,$B195)))</f>
        <v/>
      </c>
      <c r="R195" s="68" t="str">
        <f aca="false">IF($B195="","",IF(INDEX('Master Database'!$Z$1:$Z$600,$B195)="","",INDEX('Master Database'!$Z$1:$Z$600,$B195)))</f>
        <v/>
      </c>
      <c r="S195" s="70" t="str">
        <f aca="false">IF($B195="","",IF(INDEX('Master Database'!$AA$1:$AA$600,$B195)="","",INDEX('Master Database'!$AA$1:$AA$600,$B195)))</f>
        <v/>
      </c>
      <c r="T195" s="68" t="str">
        <f aca="false">IF($B195="","",IF(INDEX('Master Database'!$AE$1:$AE$600,$B195)="","",INDEX('Master Database'!$AE$1:$AE$600,$B195)))</f>
        <v/>
      </c>
      <c r="U195" s="70" t="str">
        <f aca="false">IF($B195="","",IF(INDEX('Master Database'!$AG$1:$AG$600,$B195)="","",INDEX('Master Database'!$AG$1:$AG$600,$B195)))</f>
        <v/>
      </c>
      <c r="V195" s="70" t="str">
        <f aca="false">IF($B195="","",IF(INDEX('Master Database'!$AH$1:$AH$600,$B195)="","",INDEX('Master Database'!$AH$1:$AH$600,$B195)))</f>
        <v/>
      </c>
      <c r="W195" s="70" t="str">
        <f aca="false">IF($B195="","",IF(INDEX('Master Database'!$AI$1:$AI$600,$B195)="","",INDEX('Master Database'!$AI$1:$AI$600,$B195)))</f>
        <v/>
      </c>
      <c r="X195" s="68" t="str">
        <f aca="false">IF($B195="","",IF(INDEX('Master Database'!$BG$1:$BG$600,$B195)="","",INDEX('Master Database'!$BG$1:$BG$600,$B195)))</f>
        <v/>
      </c>
      <c r="BA195" s="65" t="n">
        <f aca="false">IF('Master Database'!$A195="",0,IF(AND(OR($B$5="",ISNUMBER(SEARCH($B$5,'Master Database'!$B195&amp;" "&amp;'Master Database'!$D195))),OR($B$6="(All)",'Master Database'!$C195=$B$6),OR($B$7="(All)",'Master Database'!$E195=$B$7),OR($B$8="(All)",'Master Database'!$T195=$B$8),OR($B$9="(All)",'Master Database'!$M195=$B$9),OR($B$10="(All)",'Master Database'!$V195=$B$10),OR($E$5="(All)",'Master Database'!$F195=$E$5),OR($E$6="(All)",'Master Database'!$G195=$E$6),OR($E$7="(All)",'Master Database'!$O195=$E$7),OR($E$8="(All)",'Master Database'!$P195=$E$8),OR($E$9="(All)",'Master Database'!$S195=$E$9),OR($E$10="(All)",'Master Database'!$Y195&amp;""=$E$10&amp;""),OR($H$5="(All)",'Master Database'!$BG195=$H$5),OR($H$6&lt;&gt;"Y",ISNUMBER('Master Database'!$AG195)),OR($H$7="",AND(ISNUMBER('Master Database'!$H195),N('Master Database'!$H195)&gt;=$H$7)),OR($I$7="",AND(ISNUMBER('Master Database'!$H195),N('Master Database'!$H195)&lt;=$I$7)),OR($H$8="",AND(ISNUMBER('Master Database'!$I195),N('Master Database'!$I195)&gt;=$H$8)),OR($I$8="",AND(ISNUMBER('Master Database'!$I195),N('Master Database'!$I195)&lt;=$I$8)),OR($H$9="",AND(ISNUMBER('Master Database'!$K195),N('Master Database'!$K195)&gt;=$H$9)),OR($I$9="",AND(ISNUMBER('Master Database'!$K195),N('Master Database'!$K195)&lt;=$I$9))),1,0))</f>
        <v>0</v>
      </c>
      <c r="BB195" s="0" t="str">
        <f aca="false">IF(BA195=1,COUNTIF($BA$5:BA195,1),"")</f>
        <v/>
      </c>
    </row>
    <row r="196" customFormat="false" ht="15" hidden="false" customHeight="false" outlineLevel="0" collapsed="false">
      <c r="A196" s="67" t="str">
        <f aca="false">IF(181&lt;=SUM($BA$5:$BA$600),181,"")</f>
        <v/>
      </c>
      <c r="B196" s="67" t="str">
        <f aca="false">IF(A196="","",MATCH(A196,$BB$5:$BB$600,0)+4)</f>
        <v/>
      </c>
      <c r="C196" s="67" t="str">
        <f aca="false">IF($B196="","",IF(INDEX('Master Database'!$A$1:$A$600,$B196)="","",INDEX('Master Database'!$A$1:$A$600,$B196)))</f>
        <v/>
      </c>
      <c r="D196" s="68" t="str">
        <f aca="false">IF($B196="","",IF(INDEX('Master Database'!$B$1:$B$600,$B196)="","",INDEX('Master Database'!$B$1:$B$600,$B196)))</f>
        <v/>
      </c>
      <c r="E196" s="68" t="str">
        <f aca="false">IF($B196="","",IF(INDEX('Master Database'!$C$1:$C$600,$B196)="","",INDEX('Master Database'!$C$1:$C$600,$B196)))</f>
        <v/>
      </c>
      <c r="F196" s="68" t="str">
        <f aca="false">IF($B196="","",IF(INDEX('Master Database'!$D$1:$D$600,$B196)="","",INDEX('Master Database'!$D$1:$D$600,$B196)))</f>
        <v/>
      </c>
      <c r="G196" s="68" t="str">
        <f aca="false">IF($B196="","",IF(INDEX('Master Database'!$E$1:$E$600,$B196)="","",INDEX('Master Database'!$E$1:$E$600,$B196)))</f>
        <v/>
      </c>
      <c r="H196" s="68" t="str">
        <f aca="false">IF($B196="","",IF(INDEX('Master Database'!$F$1:$F$600,$B196)="","",INDEX('Master Database'!$F$1:$F$600,$B196)))</f>
        <v/>
      </c>
      <c r="I196" s="68" t="str">
        <f aca="false">IF($B196="","",IF(INDEX('Master Database'!$G$1:$G$600,$B196)="","",INDEX('Master Database'!$G$1:$G$600,$B196)))</f>
        <v/>
      </c>
      <c r="J196" s="69" t="str">
        <f aca="false">IF($B196="","",IF(INDEX('Master Database'!$H$1:$H$600,$B196)="","",INDEX('Master Database'!$H$1:$H$600,$B196)))</f>
        <v/>
      </c>
      <c r="K196" s="69" t="str">
        <f aca="false">IF($B196="","",IF(INDEX('Master Database'!$I$1:$I$600,$B196)="","",INDEX('Master Database'!$I$1:$I$600,$B196)))</f>
        <v/>
      </c>
      <c r="L196" s="69" t="str">
        <f aca="false">IF($B196="","",IF(INDEX('Master Database'!$K$1:$K$600,$B196)="","",INDEX('Master Database'!$K$1:$K$600,$B196)))</f>
        <v/>
      </c>
      <c r="M196" s="68" t="str">
        <f aca="false">IF($B196="","",IF(INDEX('Master Database'!$L$1:$L$600,$B196)="","",INDEX('Master Database'!$L$1:$L$600,$B196)))</f>
        <v/>
      </c>
      <c r="N196" s="68" t="str">
        <f aca="false">IF($B196="","",IF(INDEX('Master Database'!$P$1:$P$600,$B196)="","",INDEX('Master Database'!$P$1:$P$600,$B196)))</f>
        <v/>
      </c>
      <c r="O196" s="68" t="str">
        <f aca="false">IF($B196="","",IF(INDEX('Master Database'!$S$1:$S$600,$B196)="","",INDEX('Master Database'!$S$1:$S$600,$B196)))</f>
        <v/>
      </c>
      <c r="P196" s="68" t="str">
        <f aca="false">IF($B196="","",IF(INDEX('Master Database'!$T$1:$T$600,$B196)="","",INDEX('Master Database'!$T$1:$T$600,$B196)))</f>
        <v/>
      </c>
      <c r="Q196" s="68" t="str">
        <f aca="false">IF($B196="","",IF(INDEX('Master Database'!$Y$1:$Y$600,$B196)="","",INDEX('Master Database'!$Y$1:$Y$600,$B196)))</f>
        <v/>
      </c>
      <c r="R196" s="68" t="str">
        <f aca="false">IF($B196="","",IF(INDEX('Master Database'!$Z$1:$Z$600,$B196)="","",INDEX('Master Database'!$Z$1:$Z$600,$B196)))</f>
        <v/>
      </c>
      <c r="S196" s="70" t="str">
        <f aca="false">IF($B196="","",IF(INDEX('Master Database'!$AA$1:$AA$600,$B196)="","",INDEX('Master Database'!$AA$1:$AA$600,$B196)))</f>
        <v/>
      </c>
      <c r="T196" s="68" t="str">
        <f aca="false">IF($B196="","",IF(INDEX('Master Database'!$AE$1:$AE$600,$B196)="","",INDEX('Master Database'!$AE$1:$AE$600,$B196)))</f>
        <v/>
      </c>
      <c r="U196" s="70" t="str">
        <f aca="false">IF($B196="","",IF(INDEX('Master Database'!$AG$1:$AG$600,$B196)="","",INDEX('Master Database'!$AG$1:$AG$600,$B196)))</f>
        <v/>
      </c>
      <c r="V196" s="70" t="str">
        <f aca="false">IF($B196="","",IF(INDEX('Master Database'!$AH$1:$AH$600,$B196)="","",INDEX('Master Database'!$AH$1:$AH$600,$B196)))</f>
        <v/>
      </c>
      <c r="W196" s="70" t="str">
        <f aca="false">IF($B196="","",IF(INDEX('Master Database'!$AI$1:$AI$600,$B196)="","",INDEX('Master Database'!$AI$1:$AI$600,$B196)))</f>
        <v/>
      </c>
      <c r="X196" s="68" t="str">
        <f aca="false">IF($B196="","",IF(INDEX('Master Database'!$BG$1:$BG$600,$B196)="","",INDEX('Master Database'!$BG$1:$BG$600,$B196)))</f>
        <v/>
      </c>
      <c r="BA196" s="65" t="n">
        <f aca="false">IF('Master Database'!$A196="",0,IF(AND(OR($B$5="",ISNUMBER(SEARCH($B$5,'Master Database'!$B196&amp;" "&amp;'Master Database'!$D196))),OR($B$6="(All)",'Master Database'!$C196=$B$6),OR($B$7="(All)",'Master Database'!$E196=$B$7),OR($B$8="(All)",'Master Database'!$T196=$B$8),OR($B$9="(All)",'Master Database'!$M196=$B$9),OR($B$10="(All)",'Master Database'!$V196=$B$10),OR($E$5="(All)",'Master Database'!$F196=$E$5),OR($E$6="(All)",'Master Database'!$G196=$E$6),OR($E$7="(All)",'Master Database'!$O196=$E$7),OR($E$8="(All)",'Master Database'!$P196=$E$8),OR($E$9="(All)",'Master Database'!$S196=$E$9),OR($E$10="(All)",'Master Database'!$Y196&amp;""=$E$10&amp;""),OR($H$5="(All)",'Master Database'!$BG196=$H$5),OR($H$6&lt;&gt;"Y",ISNUMBER('Master Database'!$AG196)),OR($H$7="",AND(ISNUMBER('Master Database'!$H196),N('Master Database'!$H196)&gt;=$H$7)),OR($I$7="",AND(ISNUMBER('Master Database'!$H196),N('Master Database'!$H196)&lt;=$I$7)),OR($H$8="",AND(ISNUMBER('Master Database'!$I196),N('Master Database'!$I196)&gt;=$H$8)),OR($I$8="",AND(ISNUMBER('Master Database'!$I196),N('Master Database'!$I196)&lt;=$I$8)),OR($H$9="",AND(ISNUMBER('Master Database'!$K196),N('Master Database'!$K196)&gt;=$H$9)),OR($I$9="",AND(ISNUMBER('Master Database'!$K196),N('Master Database'!$K196)&lt;=$I$9))),1,0))</f>
        <v>0</v>
      </c>
      <c r="BB196" s="0" t="str">
        <f aca="false">IF(BA196=1,COUNTIF($BA$5:BA196,1),"")</f>
        <v/>
      </c>
    </row>
    <row r="197" customFormat="false" ht="15" hidden="false" customHeight="false" outlineLevel="0" collapsed="false">
      <c r="A197" s="67" t="str">
        <f aca="false">IF(182&lt;=SUM($BA$5:$BA$600),182,"")</f>
        <v/>
      </c>
      <c r="B197" s="67" t="str">
        <f aca="false">IF(A197="","",MATCH(A197,$BB$5:$BB$600,0)+4)</f>
        <v/>
      </c>
      <c r="C197" s="67" t="str">
        <f aca="false">IF($B197="","",IF(INDEX('Master Database'!$A$1:$A$600,$B197)="","",INDEX('Master Database'!$A$1:$A$600,$B197)))</f>
        <v/>
      </c>
      <c r="D197" s="68" t="str">
        <f aca="false">IF($B197="","",IF(INDEX('Master Database'!$B$1:$B$600,$B197)="","",INDEX('Master Database'!$B$1:$B$600,$B197)))</f>
        <v/>
      </c>
      <c r="E197" s="68" t="str">
        <f aca="false">IF($B197="","",IF(INDEX('Master Database'!$C$1:$C$600,$B197)="","",INDEX('Master Database'!$C$1:$C$600,$B197)))</f>
        <v/>
      </c>
      <c r="F197" s="68" t="str">
        <f aca="false">IF($B197="","",IF(INDEX('Master Database'!$D$1:$D$600,$B197)="","",INDEX('Master Database'!$D$1:$D$600,$B197)))</f>
        <v/>
      </c>
      <c r="G197" s="68" t="str">
        <f aca="false">IF($B197="","",IF(INDEX('Master Database'!$E$1:$E$600,$B197)="","",INDEX('Master Database'!$E$1:$E$600,$B197)))</f>
        <v/>
      </c>
      <c r="H197" s="68" t="str">
        <f aca="false">IF($B197="","",IF(INDEX('Master Database'!$F$1:$F$600,$B197)="","",INDEX('Master Database'!$F$1:$F$600,$B197)))</f>
        <v/>
      </c>
      <c r="I197" s="68" t="str">
        <f aca="false">IF($B197="","",IF(INDEX('Master Database'!$G$1:$G$600,$B197)="","",INDEX('Master Database'!$G$1:$G$600,$B197)))</f>
        <v/>
      </c>
      <c r="J197" s="69" t="str">
        <f aca="false">IF($B197="","",IF(INDEX('Master Database'!$H$1:$H$600,$B197)="","",INDEX('Master Database'!$H$1:$H$600,$B197)))</f>
        <v/>
      </c>
      <c r="K197" s="69" t="str">
        <f aca="false">IF($B197="","",IF(INDEX('Master Database'!$I$1:$I$600,$B197)="","",INDEX('Master Database'!$I$1:$I$600,$B197)))</f>
        <v/>
      </c>
      <c r="L197" s="69" t="str">
        <f aca="false">IF($B197="","",IF(INDEX('Master Database'!$K$1:$K$600,$B197)="","",INDEX('Master Database'!$K$1:$K$600,$B197)))</f>
        <v/>
      </c>
      <c r="M197" s="68" t="str">
        <f aca="false">IF($B197="","",IF(INDEX('Master Database'!$L$1:$L$600,$B197)="","",INDEX('Master Database'!$L$1:$L$600,$B197)))</f>
        <v/>
      </c>
      <c r="N197" s="68" t="str">
        <f aca="false">IF($B197="","",IF(INDEX('Master Database'!$P$1:$P$600,$B197)="","",INDEX('Master Database'!$P$1:$P$600,$B197)))</f>
        <v/>
      </c>
      <c r="O197" s="68" t="str">
        <f aca="false">IF($B197="","",IF(INDEX('Master Database'!$S$1:$S$600,$B197)="","",INDEX('Master Database'!$S$1:$S$600,$B197)))</f>
        <v/>
      </c>
      <c r="P197" s="68" t="str">
        <f aca="false">IF($B197="","",IF(INDEX('Master Database'!$T$1:$T$600,$B197)="","",INDEX('Master Database'!$T$1:$T$600,$B197)))</f>
        <v/>
      </c>
      <c r="Q197" s="68" t="str">
        <f aca="false">IF($B197="","",IF(INDEX('Master Database'!$Y$1:$Y$600,$B197)="","",INDEX('Master Database'!$Y$1:$Y$600,$B197)))</f>
        <v/>
      </c>
      <c r="R197" s="68" t="str">
        <f aca="false">IF($B197="","",IF(INDEX('Master Database'!$Z$1:$Z$600,$B197)="","",INDEX('Master Database'!$Z$1:$Z$600,$B197)))</f>
        <v/>
      </c>
      <c r="S197" s="70" t="str">
        <f aca="false">IF($B197="","",IF(INDEX('Master Database'!$AA$1:$AA$600,$B197)="","",INDEX('Master Database'!$AA$1:$AA$600,$B197)))</f>
        <v/>
      </c>
      <c r="T197" s="68" t="str">
        <f aca="false">IF($B197="","",IF(INDEX('Master Database'!$AE$1:$AE$600,$B197)="","",INDEX('Master Database'!$AE$1:$AE$600,$B197)))</f>
        <v/>
      </c>
      <c r="U197" s="70" t="str">
        <f aca="false">IF($B197="","",IF(INDEX('Master Database'!$AG$1:$AG$600,$B197)="","",INDEX('Master Database'!$AG$1:$AG$600,$B197)))</f>
        <v/>
      </c>
      <c r="V197" s="70" t="str">
        <f aca="false">IF($B197="","",IF(INDEX('Master Database'!$AH$1:$AH$600,$B197)="","",INDEX('Master Database'!$AH$1:$AH$600,$B197)))</f>
        <v/>
      </c>
      <c r="W197" s="70" t="str">
        <f aca="false">IF($B197="","",IF(INDEX('Master Database'!$AI$1:$AI$600,$B197)="","",INDEX('Master Database'!$AI$1:$AI$600,$B197)))</f>
        <v/>
      </c>
      <c r="X197" s="68" t="str">
        <f aca="false">IF($B197="","",IF(INDEX('Master Database'!$BG$1:$BG$600,$B197)="","",INDEX('Master Database'!$BG$1:$BG$600,$B197)))</f>
        <v/>
      </c>
      <c r="BA197" s="65" t="n">
        <f aca="false">IF('Master Database'!$A197="",0,IF(AND(OR($B$5="",ISNUMBER(SEARCH($B$5,'Master Database'!$B197&amp;" "&amp;'Master Database'!$D197))),OR($B$6="(All)",'Master Database'!$C197=$B$6),OR($B$7="(All)",'Master Database'!$E197=$B$7),OR($B$8="(All)",'Master Database'!$T197=$B$8),OR($B$9="(All)",'Master Database'!$M197=$B$9),OR($B$10="(All)",'Master Database'!$V197=$B$10),OR($E$5="(All)",'Master Database'!$F197=$E$5),OR($E$6="(All)",'Master Database'!$G197=$E$6),OR($E$7="(All)",'Master Database'!$O197=$E$7),OR($E$8="(All)",'Master Database'!$P197=$E$8),OR($E$9="(All)",'Master Database'!$S197=$E$9),OR($E$10="(All)",'Master Database'!$Y197&amp;""=$E$10&amp;""),OR($H$5="(All)",'Master Database'!$BG197=$H$5),OR($H$6&lt;&gt;"Y",ISNUMBER('Master Database'!$AG197)),OR($H$7="",AND(ISNUMBER('Master Database'!$H197),N('Master Database'!$H197)&gt;=$H$7)),OR($I$7="",AND(ISNUMBER('Master Database'!$H197),N('Master Database'!$H197)&lt;=$I$7)),OR($H$8="",AND(ISNUMBER('Master Database'!$I197),N('Master Database'!$I197)&gt;=$H$8)),OR($I$8="",AND(ISNUMBER('Master Database'!$I197),N('Master Database'!$I197)&lt;=$I$8)),OR($H$9="",AND(ISNUMBER('Master Database'!$K197),N('Master Database'!$K197)&gt;=$H$9)),OR($I$9="",AND(ISNUMBER('Master Database'!$K197),N('Master Database'!$K197)&lt;=$I$9))),1,0))</f>
        <v>0</v>
      </c>
      <c r="BB197" s="0" t="str">
        <f aca="false">IF(BA197=1,COUNTIF($BA$5:BA197,1),"")</f>
        <v/>
      </c>
    </row>
    <row r="198" customFormat="false" ht="15" hidden="false" customHeight="false" outlineLevel="0" collapsed="false">
      <c r="A198" s="67" t="str">
        <f aca="false">IF(183&lt;=SUM($BA$5:$BA$600),183,"")</f>
        <v/>
      </c>
      <c r="B198" s="67" t="str">
        <f aca="false">IF(A198="","",MATCH(A198,$BB$5:$BB$600,0)+4)</f>
        <v/>
      </c>
      <c r="C198" s="67" t="str">
        <f aca="false">IF($B198="","",IF(INDEX('Master Database'!$A$1:$A$600,$B198)="","",INDEX('Master Database'!$A$1:$A$600,$B198)))</f>
        <v/>
      </c>
      <c r="D198" s="68" t="str">
        <f aca="false">IF($B198="","",IF(INDEX('Master Database'!$B$1:$B$600,$B198)="","",INDEX('Master Database'!$B$1:$B$600,$B198)))</f>
        <v/>
      </c>
      <c r="E198" s="68" t="str">
        <f aca="false">IF($B198="","",IF(INDEX('Master Database'!$C$1:$C$600,$B198)="","",INDEX('Master Database'!$C$1:$C$600,$B198)))</f>
        <v/>
      </c>
      <c r="F198" s="68" t="str">
        <f aca="false">IF($B198="","",IF(INDEX('Master Database'!$D$1:$D$600,$B198)="","",INDEX('Master Database'!$D$1:$D$600,$B198)))</f>
        <v/>
      </c>
      <c r="G198" s="68" t="str">
        <f aca="false">IF($B198="","",IF(INDEX('Master Database'!$E$1:$E$600,$B198)="","",INDEX('Master Database'!$E$1:$E$600,$B198)))</f>
        <v/>
      </c>
      <c r="H198" s="68" t="str">
        <f aca="false">IF($B198="","",IF(INDEX('Master Database'!$F$1:$F$600,$B198)="","",INDEX('Master Database'!$F$1:$F$600,$B198)))</f>
        <v/>
      </c>
      <c r="I198" s="68" t="str">
        <f aca="false">IF($B198="","",IF(INDEX('Master Database'!$G$1:$G$600,$B198)="","",INDEX('Master Database'!$G$1:$G$600,$B198)))</f>
        <v/>
      </c>
      <c r="J198" s="69" t="str">
        <f aca="false">IF($B198="","",IF(INDEX('Master Database'!$H$1:$H$600,$B198)="","",INDEX('Master Database'!$H$1:$H$600,$B198)))</f>
        <v/>
      </c>
      <c r="K198" s="69" t="str">
        <f aca="false">IF($B198="","",IF(INDEX('Master Database'!$I$1:$I$600,$B198)="","",INDEX('Master Database'!$I$1:$I$600,$B198)))</f>
        <v/>
      </c>
      <c r="L198" s="69" t="str">
        <f aca="false">IF($B198="","",IF(INDEX('Master Database'!$K$1:$K$600,$B198)="","",INDEX('Master Database'!$K$1:$K$600,$B198)))</f>
        <v/>
      </c>
      <c r="M198" s="68" t="str">
        <f aca="false">IF($B198="","",IF(INDEX('Master Database'!$L$1:$L$600,$B198)="","",INDEX('Master Database'!$L$1:$L$600,$B198)))</f>
        <v/>
      </c>
      <c r="N198" s="68" t="str">
        <f aca="false">IF($B198="","",IF(INDEX('Master Database'!$P$1:$P$600,$B198)="","",INDEX('Master Database'!$P$1:$P$600,$B198)))</f>
        <v/>
      </c>
      <c r="O198" s="68" t="str">
        <f aca="false">IF($B198="","",IF(INDEX('Master Database'!$S$1:$S$600,$B198)="","",INDEX('Master Database'!$S$1:$S$600,$B198)))</f>
        <v/>
      </c>
      <c r="P198" s="68" t="str">
        <f aca="false">IF($B198="","",IF(INDEX('Master Database'!$T$1:$T$600,$B198)="","",INDEX('Master Database'!$T$1:$T$600,$B198)))</f>
        <v/>
      </c>
      <c r="Q198" s="68" t="str">
        <f aca="false">IF($B198="","",IF(INDEX('Master Database'!$Y$1:$Y$600,$B198)="","",INDEX('Master Database'!$Y$1:$Y$600,$B198)))</f>
        <v/>
      </c>
      <c r="R198" s="68" t="str">
        <f aca="false">IF($B198="","",IF(INDEX('Master Database'!$Z$1:$Z$600,$B198)="","",INDEX('Master Database'!$Z$1:$Z$600,$B198)))</f>
        <v/>
      </c>
      <c r="S198" s="70" t="str">
        <f aca="false">IF($B198="","",IF(INDEX('Master Database'!$AA$1:$AA$600,$B198)="","",INDEX('Master Database'!$AA$1:$AA$600,$B198)))</f>
        <v/>
      </c>
      <c r="T198" s="68" t="str">
        <f aca="false">IF($B198="","",IF(INDEX('Master Database'!$AE$1:$AE$600,$B198)="","",INDEX('Master Database'!$AE$1:$AE$600,$B198)))</f>
        <v/>
      </c>
      <c r="U198" s="70" t="str">
        <f aca="false">IF($B198="","",IF(INDEX('Master Database'!$AG$1:$AG$600,$B198)="","",INDEX('Master Database'!$AG$1:$AG$600,$B198)))</f>
        <v/>
      </c>
      <c r="V198" s="70" t="str">
        <f aca="false">IF($B198="","",IF(INDEX('Master Database'!$AH$1:$AH$600,$B198)="","",INDEX('Master Database'!$AH$1:$AH$600,$B198)))</f>
        <v/>
      </c>
      <c r="W198" s="70" t="str">
        <f aca="false">IF($B198="","",IF(INDEX('Master Database'!$AI$1:$AI$600,$B198)="","",INDEX('Master Database'!$AI$1:$AI$600,$B198)))</f>
        <v/>
      </c>
      <c r="X198" s="68" t="str">
        <f aca="false">IF($B198="","",IF(INDEX('Master Database'!$BG$1:$BG$600,$B198)="","",INDEX('Master Database'!$BG$1:$BG$600,$B198)))</f>
        <v/>
      </c>
      <c r="BA198" s="65" t="n">
        <f aca="false">IF('Master Database'!$A198="",0,IF(AND(OR($B$5="",ISNUMBER(SEARCH($B$5,'Master Database'!$B198&amp;" "&amp;'Master Database'!$D198))),OR($B$6="(All)",'Master Database'!$C198=$B$6),OR($B$7="(All)",'Master Database'!$E198=$B$7),OR($B$8="(All)",'Master Database'!$T198=$B$8),OR($B$9="(All)",'Master Database'!$M198=$B$9),OR($B$10="(All)",'Master Database'!$V198=$B$10),OR($E$5="(All)",'Master Database'!$F198=$E$5),OR($E$6="(All)",'Master Database'!$G198=$E$6),OR($E$7="(All)",'Master Database'!$O198=$E$7),OR($E$8="(All)",'Master Database'!$P198=$E$8),OR($E$9="(All)",'Master Database'!$S198=$E$9),OR($E$10="(All)",'Master Database'!$Y198&amp;""=$E$10&amp;""),OR($H$5="(All)",'Master Database'!$BG198=$H$5),OR($H$6&lt;&gt;"Y",ISNUMBER('Master Database'!$AG198)),OR($H$7="",AND(ISNUMBER('Master Database'!$H198),N('Master Database'!$H198)&gt;=$H$7)),OR($I$7="",AND(ISNUMBER('Master Database'!$H198),N('Master Database'!$H198)&lt;=$I$7)),OR($H$8="",AND(ISNUMBER('Master Database'!$I198),N('Master Database'!$I198)&gt;=$H$8)),OR($I$8="",AND(ISNUMBER('Master Database'!$I198),N('Master Database'!$I198)&lt;=$I$8)),OR($H$9="",AND(ISNUMBER('Master Database'!$K198),N('Master Database'!$K198)&gt;=$H$9)),OR($I$9="",AND(ISNUMBER('Master Database'!$K198),N('Master Database'!$K198)&lt;=$I$9))),1,0))</f>
        <v>0</v>
      </c>
      <c r="BB198" s="0" t="str">
        <f aca="false">IF(BA198=1,COUNTIF($BA$5:BA198,1),"")</f>
        <v/>
      </c>
    </row>
    <row r="199" customFormat="false" ht="15" hidden="false" customHeight="false" outlineLevel="0" collapsed="false">
      <c r="A199" s="67" t="str">
        <f aca="false">IF(184&lt;=SUM($BA$5:$BA$600),184,"")</f>
        <v/>
      </c>
      <c r="B199" s="67" t="str">
        <f aca="false">IF(A199="","",MATCH(A199,$BB$5:$BB$600,0)+4)</f>
        <v/>
      </c>
      <c r="C199" s="67" t="str">
        <f aca="false">IF($B199="","",IF(INDEX('Master Database'!$A$1:$A$600,$B199)="","",INDEX('Master Database'!$A$1:$A$600,$B199)))</f>
        <v/>
      </c>
      <c r="D199" s="68" t="str">
        <f aca="false">IF($B199="","",IF(INDEX('Master Database'!$B$1:$B$600,$B199)="","",INDEX('Master Database'!$B$1:$B$600,$B199)))</f>
        <v/>
      </c>
      <c r="E199" s="68" t="str">
        <f aca="false">IF($B199="","",IF(INDEX('Master Database'!$C$1:$C$600,$B199)="","",INDEX('Master Database'!$C$1:$C$600,$B199)))</f>
        <v/>
      </c>
      <c r="F199" s="68" t="str">
        <f aca="false">IF($B199="","",IF(INDEX('Master Database'!$D$1:$D$600,$B199)="","",INDEX('Master Database'!$D$1:$D$600,$B199)))</f>
        <v/>
      </c>
      <c r="G199" s="68" t="str">
        <f aca="false">IF($B199="","",IF(INDEX('Master Database'!$E$1:$E$600,$B199)="","",INDEX('Master Database'!$E$1:$E$600,$B199)))</f>
        <v/>
      </c>
      <c r="H199" s="68" t="str">
        <f aca="false">IF($B199="","",IF(INDEX('Master Database'!$F$1:$F$600,$B199)="","",INDEX('Master Database'!$F$1:$F$600,$B199)))</f>
        <v/>
      </c>
      <c r="I199" s="68" t="str">
        <f aca="false">IF($B199="","",IF(INDEX('Master Database'!$G$1:$G$600,$B199)="","",INDEX('Master Database'!$G$1:$G$600,$B199)))</f>
        <v/>
      </c>
      <c r="J199" s="69" t="str">
        <f aca="false">IF($B199="","",IF(INDEX('Master Database'!$H$1:$H$600,$B199)="","",INDEX('Master Database'!$H$1:$H$600,$B199)))</f>
        <v/>
      </c>
      <c r="K199" s="69" t="str">
        <f aca="false">IF($B199="","",IF(INDEX('Master Database'!$I$1:$I$600,$B199)="","",INDEX('Master Database'!$I$1:$I$600,$B199)))</f>
        <v/>
      </c>
      <c r="L199" s="69" t="str">
        <f aca="false">IF($B199="","",IF(INDEX('Master Database'!$K$1:$K$600,$B199)="","",INDEX('Master Database'!$K$1:$K$600,$B199)))</f>
        <v/>
      </c>
      <c r="M199" s="68" t="str">
        <f aca="false">IF($B199="","",IF(INDEX('Master Database'!$L$1:$L$600,$B199)="","",INDEX('Master Database'!$L$1:$L$600,$B199)))</f>
        <v/>
      </c>
      <c r="N199" s="68" t="str">
        <f aca="false">IF($B199="","",IF(INDEX('Master Database'!$P$1:$P$600,$B199)="","",INDEX('Master Database'!$P$1:$P$600,$B199)))</f>
        <v/>
      </c>
      <c r="O199" s="68" t="str">
        <f aca="false">IF($B199="","",IF(INDEX('Master Database'!$S$1:$S$600,$B199)="","",INDEX('Master Database'!$S$1:$S$600,$B199)))</f>
        <v/>
      </c>
      <c r="P199" s="68" t="str">
        <f aca="false">IF($B199="","",IF(INDEX('Master Database'!$T$1:$T$600,$B199)="","",INDEX('Master Database'!$T$1:$T$600,$B199)))</f>
        <v/>
      </c>
      <c r="Q199" s="68" t="str">
        <f aca="false">IF($B199="","",IF(INDEX('Master Database'!$Y$1:$Y$600,$B199)="","",INDEX('Master Database'!$Y$1:$Y$600,$B199)))</f>
        <v/>
      </c>
      <c r="R199" s="68" t="str">
        <f aca="false">IF($B199="","",IF(INDEX('Master Database'!$Z$1:$Z$600,$B199)="","",INDEX('Master Database'!$Z$1:$Z$600,$B199)))</f>
        <v/>
      </c>
      <c r="S199" s="70" t="str">
        <f aca="false">IF($B199="","",IF(INDEX('Master Database'!$AA$1:$AA$600,$B199)="","",INDEX('Master Database'!$AA$1:$AA$600,$B199)))</f>
        <v/>
      </c>
      <c r="T199" s="68" t="str">
        <f aca="false">IF($B199="","",IF(INDEX('Master Database'!$AE$1:$AE$600,$B199)="","",INDEX('Master Database'!$AE$1:$AE$600,$B199)))</f>
        <v/>
      </c>
      <c r="U199" s="70" t="str">
        <f aca="false">IF($B199="","",IF(INDEX('Master Database'!$AG$1:$AG$600,$B199)="","",INDEX('Master Database'!$AG$1:$AG$600,$B199)))</f>
        <v/>
      </c>
      <c r="V199" s="70" t="str">
        <f aca="false">IF($B199="","",IF(INDEX('Master Database'!$AH$1:$AH$600,$B199)="","",INDEX('Master Database'!$AH$1:$AH$600,$B199)))</f>
        <v/>
      </c>
      <c r="W199" s="70" t="str">
        <f aca="false">IF($B199="","",IF(INDEX('Master Database'!$AI$1:$AI$600,$B199)="","",INDEX('Master Database'!$AI$1:$AI$600,$B199)))</f>
        <v/>
      </c>
      <c r="X199" s="68" t="str">
        <f aca="false">IF($B199="","",IF(INDEX('Master Database'!$BG$1:$BG$600,$B199)="","",INDEX('Master Database'!$BG$1:$BG$600,$B199)))</f>
        <v/>
      </c>
      <c r="BA199" s="65" t="n">
        <f aca="false">IF('Master Database'!$A199="",0,IF(AND(OR($B$5="",ISNUMBER(SEARCH($B$5,'Master Database'!$B199&amp;" "&amp;'Master Database'!$D199))),OR($B$6="(All)",'Master Database'!$C199=$B$6),OR($B$7="(All)",'Master Database'!$E199=$B$7),OR($B$8="(All)",'Master Database'!$T199=$B$8),OR($B$9="(All)",'Master Database'!$M199=$B$9),OR($B$10="(All)",'Master Database'!$V199=$B$10),OR($E$5="(All)",'Master Database'!$F199=$E$5),OR($E$6="(All)",'Master Database'!$G199=$E$6),OR($E$7="(All)",'Master Database'!$O199=$E$7),OR($E$8="(All)",'Master Database'!$P199=$E$8),OR($E$9="(All)",'Master Database'!$S199=$E$9),OR($E$10="(All)",'Master Database'!$Y199&amp;""=$E$10&amp;""),OR($H$5="(All)",'Master Database'!$BG199=$H$5),OR($H$6&lt;&gt;"Y",ISNUMBER('Master Database'!$AG199)),OR($H$7="",AND(ISNUMBER('Master Database'!$H199),N('Master Database'!$H199)&gt;=$H$7)),OR($I$7="",AND(ISNUMBER('Master Database'!$H199),N('Master Database'!$H199)&lt;=$I$7)),OR($H$8="",AND(ISNUMBER('Master Database'!$I199),N('Master Database'!$I199)&gt;=$H$8)),OR($I$8="",AND(ISNUMBER('Master Database'!$I199),N('Master Database'!$I199)&lt;=$I$8)),OR($H$9="",AND(ISNUMBER('Master Database'!$K199),N('Master Database'!$K199)&gt;=$H$9)),OR($I$9="",AND(ISNUMBER('Master Database'!$K199),N('Master Database'!$K199)&lt;=$I$9))),1,0))</f>
        <v>0</v>
      </c>
      <c r="BB199" s="0" t="str">
        <f aca="false">IF(BA199=1,COUNTIF($BA$5:BA199,1),"")</f>
        <v/>
      </c>
    </row>
    <row r="200" customFormat="false" ht="15" hidden="false" customHeight="false" outlineLevel="0" collapsed="false">
      <c r="A200" s="67" t="str">
        <f aca="false">IF(185&lt;=SUM($BA$5:$BA$600),185,"")</f>
        <v/>
      </c>
      <c r="B200" s="67" t="str">
        <f aca="false">IF(A200="","",MATCH(A200,$BB$5:$BB$600,0)+4)</f>
        <v/>
      </c>
      <c r="C200" s="67" t="str">
        <f aca="false">IF($B200="","",IF(INDEX('Master Database'!$A$1:$A$600,$B200)="","",INDEX('Master Database'!$A$1:$A$600,$B200)))</f>
        <v/>
      </c>
      <c r="D200" s="68" t="str">
        <f aca="false">IF($B200="","",IF(INDEX('Master Database'!$B$1:$B$600,$B200)="","",INDEX('Master Database'!$B$1:$B$600,$B200)))</f>
        <v/>
      </c>
      <c r="E200" s="68" t="str">
        <f aca="false">IF($B200="","",IF(INDEX('Master Database'!$C$1:$C$600,$B200)="","",INDEX('Master Database'!$C$1:$C$600,$B200)))</f>
        <v/>
      </c>
      <c r="F200" s="68" t="str">
        <f aca="false">IF($B200="","",IF(INDEX('Master Database'!$D$1:$D$600,$B200)="","",INDEX('Master Database'!$D$1:$D$600,$B200)))</f>
        <v/>
      </c>
      <c r="G200" s="68" t="str">
        <f aca="false">IF($B200="","",IF(INDEX('Master Database'!$E$1:$E$600,$B200)="","",INDEX('Master Database'!$E$1:$E$600,$B200)))</f>
        <v/>
      </c>
      <c r="H200" s="68" t="str">
        <f aca="false">IF($B200="","",IF(INDEX('Master Database'!$F$1:$F$600,$B200)="","",INDEX('Master Database'!$F$1:$F$600,$B200)))</f>
        <v/>
      </c>
      <c r="I200" s="68" t="str">
        <f aca="false">IF($B200="","",IF(INDEX('Master Database'!$G$1:$G$600,$B200)="","",INDEX('Master Database'!$G$1:$G$600,$B200)))</f>
        <v/>
      </c>
      <c r="J200" s="69" t="str">
        <f aca="false">IF($B200="","",IF(INDEX('Master Database'!$H$1:$H$600,$B200)="","",INDEX('Master Database'!$H$1:$H$600,$B200)))</f>
        <v/>
      </c>
      <c r="K200" s="69" t="str">
        <f aca="false">IF($B200="","",IF(INDEX('Master Database'!$I$1:$I$600,$B200)="","",INDEX('Master Database'!$I$1:$I$600,$B200)))</f>
        <v/>
      </c>
      <c r="L200" s="69" t="str">
        <f aca="false">IF($B200="","",IF(INDEX('Master Database'!$K$1:$K$600,$B200)="","",INDEX('Master Database'!$K$1:$K$600,$B200)))</f>
        <v/>
      </c>
      <c r="M200" s="68" t="str">
        <f aca="false">IF($B200="","",IF(INDEX('Master Database'!$L$1:$L$600,$B200)="","",INDEX('Master Database'!$L$1:$L$600,$B200)))</f>
        <v/>
      </c>
      <c r="N200" s="68" t="str">
        <f aca="false">IF($B200="","",IF(INDEX('Master Database'!$P$1:$P$600,$B200)="","",INDEX('Master Database'!$P$1:$P$600,$B200)))</f>
        <v/>
      </c>
      <c r="O200" s="68" t="str">
        <f aca="false">IF($B200="","",IF(INDEX('Master Database'!$S$1:$S$600,$B200)="","",INDEX('Master Database'!$S$1:$S$600,$B200)))</f>
        <v/>
      </c>
      <c r="P200" s="68" t="str">
        <f aca="false">IF($B200="","",IF(INDEX('Master Database'!$T$1:$T$600,$B200)="","",INDEX('Master Database'!$T$1:$T$600,$B200)))</f>
        <v/>
      </c>
      <c r="Q200" s="68" t="str">
        <f aca="false">IF($B200="","",IF(INDEX('Master Database'!$Y$1:$Y$600,$B200)="","",INDEX('Master Database'!$Y$1:$Y$600,$B200)))</f>
        <v/>
      </c>
      <c r="R200" s="68" t="str">
        <f aca="false">IF($B200="","",IF(INDEX('Master Database'!$Z$1:$Z$600,$B200)="","",INDEX('Master Database'!$Z$1:$Z$600,$B200)))</f>
        <v/>
      </c>
      <c r="S200" s="70" t="str">
        <f aca="false">IF($B200="","",IF(INDEX('Master Database'!$AA$1:$AA$600,$B200)="","",INDEX('Master Database'!$AA$1:$AA$600,$B200)))</f>
        <v/>
      </c>
      <c r="T200" s="68" t="str">
        <f aca="false">IF($B200="","",IF(INDEX('Master Database'!$AE$1:$AE$600,$B200)="","",INDEX('Master Database'!$AE$1:$AE$600,$B200)))</f>
        <v/>
      </c>
      <c r="U200" s="70" t="str">
        <f aca="false">IF($B200="","",IF(INDEX('Master Database'!$AG$1:$AG$600,$B200)="","",INDEX('Master Database'!$AG$1:$AG$600,$B200)))</f>
        <v/>
      </c>
      <c r="V200" s="70" t="str">
        <f aca="false">IF($B200="","",IF(INDEX('Master Database'!$AH$1:$AH$600,$B200)="","",INDEX('Master Database'!$AH$1:$AH$600,$B200)))</f>
        <v/>
      </c>
      <c r="W200" s="70" t="str">
        <f aca="false">IF($B200="","",IF(INDEX('Master Database'!$AI$1:$AI$600,$B200)="","",INDEX('Master Database'!$AI$1:$AI$600,$B200)))</f>
        <v/>
      </c>
      <c r="X200" s="68" t="str">
        <f aca="false">IF($B200="","",IF(INDEX('Master Database'!$BG$1:$BG$600,$B200)="","",INDEX('Master Database'!$BG$1:$BG$600,$B200)))</f>
        <v/>
      </c>
      <c r="BA200" s="65" t="n">
        <f aca="false">IF('Master Database'!$A200="",0,IF(AND(OR($B$5="",ISNUMBER(SEARCH($B$5,'Master Database'!$B200&amp;" "&amp;'Master Database'!$D200))),OR($B$6="(All)",'Master Database'!$C200=$B$6),OR($B$7="(All)",'Master Database'!$E200=$B$7),OR($B$8="(All)",'Master Database'!$T200=$B$8),OR($B$9="(All)",'Master Database'!$M200=$B$9),OR($B$10="(All)",'Master Database'!$V200=$B$10),OR($E$5="(All)",'Master Database'!$F200=$E$5),OR($E$6="(All)",'Master Database'!$G200=$E$6),OR($E$7="(All)",'Master Database'!$O200=$E$7),OR($E$8="(All)",'Master Database'!$P200=$E$8),OR($E$9="(All)",'Master Database'!$S200=$E$9),OR($E$10="(All)",'Master Database'!$Y200&amp;""=$E$10&amp;""),OR($H$5="(All)",'Master Database'!$BG200=$H$5),OR($H$6&lt;&gt;"Y",ISNUMBER('Master Database'!$AG200)),OR($H$7="",AND(ISNUMBER('Master Database'!$H200),N('Master Database'!$H200)&gt;=$H$7)),OR($I$7="",AND(ISNUMBER('Master Database'!$H200),N('Master Database'!$H200)&lt;=$I$7)),OR($H$8="",AND(ISNUMBER('Master Database'!$I200),N('Master Database'!$I200)&gt;=$H$8)),OR($I$8="",AND(ISNUMBER('Master Database'!$I200),N('Master Database'!$I200)&lt;=$I$8)),OR($H$9="",AND(ISNUMBER('Master Database'!$K200),N('Master Database'!$K200)&gt;=$H$9)),OR($I$9="",AND(ISNUMBER('Master Database'!$K200),N('Master Database'!$K200)&lt;=$I$9))),1,0))</f>
        <v>0</v>
      </c>
      <c r="BB200" s="0" t="str">
        <f aca="false">IF(BA200=1,COUNTIF($BA$5:BA200,1),"")</f>
        <v/>
      </c>
    </row>
    <row r="201" customFormat="false" ht="15" hidden="false" customHeight="false" outlineLevel="0" collapsed="false">
      <c r="A201" s="67" t="str">
        <f aca="false">IF(186&lt;=SUM($BA$5:$BA$600),186,"")</f>
        <v/>
      </c>
      <c r="B201" s="67" t="str">
        <f aca="false">IF(A201="","",MATCH(A201,$BB$5:$BB$600,0)+4)</f>
        <v/>
      </c>
      <c r="C201" s="67" t="str">
        <f aca="false">IF($B201="","",IF(INDEX('Master Database'!$A$1:$A$600,$B201)="","",INDEX('Master Database'!$A$1:$A$600,$B201)))</f>
        <v/>
      </c>
      <c r="D201" s="68" t="str">
        <f aca="false">IF($B201="","",IF(INDEX('Master Database'!$B$1:$B$600,$B201)="","",INDEX('Master Database'!$B$1:$B$600,$B201)))</f>
        <v/>
      </c>
      <c r="E201" s="68" t="str">
        <f aca="false">IF($B201="","",IF(INDEX('Master Database'!$C$1:$C$600,$B201)="","",INDEX('Master Database'!$C$1:$C$600,$B201)))</f>
        <v/>
      </c>
      <c r="F201" s="68" t="str">
        <f aca="false">IF($B201="","",IF(INDEX('Master Database'!$D$1:$D$600,$B201)="","",INDEX('Master Database'!$D$1:$D$600,$B201)))</f>
        <v/>
      </c>
      <c r="G201" s="68" t="str">
        <f aca="false">IF($B201="","",IF(INDEX('Master Database'!$E$1:$E$600,$B201)="","",INDEX('Master Database'!$E$1:$E$600,$B201)))</f>
        <v/>
      </c>
      <c r="H201" s="68" t="str">
        <f aca="false">IF($B201="","",IF(INDEX('Master Database'!$F$1:$F$600,$B201)="","",INDEX('Master Database'!$F$1:$F$600,$B201)))</f>
        <v/>
      </c>
      <c r="I201" s="68" t="str">
        <f aca="false">IF($B201="","",IF(INDEX('Master Database'!$G$1:$G$600,$B201)="","",INDEX('Master Database'!$G$1:$G$600,$B201)))</f>
        <v/>
      </c>
      <c r="J201" s="69" t="str">
        <f aca="false">IF($B201="","",IF(INDEX('Master Database'!$H$1:$H$600,$B201)="","",INDEX('Master Database'!$H$1:$H$600,$B201)))</f>
        <v/>
      </c>
      <c r="K201" s="69" t="str">
        <f aca="false">IF($B201="","",IF(INDEX('Master Database'!$I$1:$I$600,$B201)="","",INDEX('Master Database'!$I$1:$I$600,$B201)))</f>
        <v/>
      </c>
      <c r="L201" s="69" t="str">
        <f aca="false">IF($B201="","",IF(INDEX('Master Database'!$K$1:$K$600,$B201)="","",INDEX('Master Database'!$K$1:$K$600,$B201)))</f>
        <v/>
      </c>
      <c r="M201" s="68" t="str">
        <f aca="false">IF($B201="","",IF(INDEX('Master Database'!$L$1:$L$600,$B201)="","",INDEX('Master Database'!$L$1:$L$600,$B201)))</f>
        <v/>
      </c>
      <c r="N201" s="68" t="str">
        <f aca="false">IF($B201="","",IF(INDEX('Master Database'!$P$1:$P$600,$B201)="","",INDEX('Master Database'!$P$1:$P$600,$B201)))</f>
        <v/>
      </c>
      <c r="O201" s="68" t="str">
        <f aca="false">IF($B201="","",IF(INDEX('Master Database'!$S$1:$S$600,$B201)="","",INDEX('Master Database'!$S$1:$S$600,$B201)))</f>
        <v/>
      </c>
      <c r="P201" s="68" t="str">
        <f aca="false">IF($B201="","",IF(INDEX('Master Database'!$T$1:$T$600,$B201)="","",INDEX('Master Database'!$T$1:$T$600,$B201)))</f>
        <v/>
      </c>
      <c r="Q201" s="68" t="str">
        <f aca="false">IF($B201="","",IF(INDEX('Master Database'!$Y$1:$Y$600,$B201)="","",INDEX('Master Database'!$Y$1:$Y$600,$B201)))</f>
        <v/>
      </c>
      <c r="R201" s="68" t="str">
        <f aca="false">IF($B201="","",IF(INDEX('Master Database'!$Z$1:$Z$600,$B201)="","",INDEX('Master Database'!$Z$1:$Z$600,$B201)))</f>
        <v/>
      </c>
      <c r="S201" s="70" t="str">
        <f aca="false">IF($B201="","",IF(INDEX('Master Database'!$AA$1:$AA$600,$B201)="","",INDEX('Master Database'!$AA$1:$AA$600,$B201)))</f>
        <v/>
      </c>
      <c r="T201" s="68" t="str">
        <f aca="false">IF($B201="","",IF(INDEX('Master Database'!$AE$1:$AE$600,$B201)="","",INDEX('Master Database'!$AE$1:$AE$600,$B201)))</f>
        <v/>
      </c>
      <c r="U201" s="70" t="str">
        <f aca="false">IF($B201="","",IF(INDEX('Master Database'!$AG$1:$AG$600,$B201)="","",INDEX('Master Database'!$AG$1:$AG$600,$B201)))</f>
        <v/>
      </c>
      <c r="V201" s="70" t="str">
        <f aca="false">IF($B201="","",IF(INDEX('Master Database'!$AH$1:$AH$600,$B201)="","",INDEX('Master Database'!$AH$1:$AH$600,$B201)))</f>
        <v/>
      </c>
      <c r="W201" s="70" t="str">
        <f aca="false">IF($B201="","",IF(INDEX('Master Database'!$AI$1:$AI$600,$B201)="","",INDEX('Master Database'!$AI$1:$AI$600,$B201)))</f>
        <v/>
      </c>
      <c r="X201" s="68" t="str">
        <f aca="false">IF($B201="","",IF(INDEX('Master Database'!$BG$1:$BG$600,$B201)="","",INDEX('Master Database'!$BG$1:$BG$600,$B201)))</f>
        <v/>
      </c>
      <c r="BA201" s="65" t="n">
        <f aca="false">IF('Master Database'!$A201="",0,IF(AND(OR($B$5="",ISNUMBER(SEARCH($B$5,'Master Database'!$B201&amp;" "&amp;'Master Database'!$D201))),OR($B$6="(All)",'Master Database'!$C201=$B$6),OR($B$7="(All)",'Master Database'!$E201=$B$7),OR($B$8="(All)",'Master Database'!$T201=$B$8),OR($B$9="(All)",'Master Database'!$M201=$B$9),OR($B$10="(All)",'Master Database'!$V201=$B$10),OR($E$5="(All)",'Master Database'!$F201=$E$5),OR($E$6="(All)",'Master Database'!$G201=$E$6),OR($E$7="(All)",'Master Database'!$O201=$E$7),OR($E$8="(All)",'Master Database'!$P201=$E$8),OR($E$9="(All)",'Master Database'!$S201=$E$9),OR($E$10="(All)",'Master Database'!$Y201&amp;""=$E$10&amp;""),OR($H$5="(All)",'Master Database'!$BG201=$H$5),OR($H$6&lt;&gt;"Y",ISNUMBER('Master Database'!$AG201)),OR($H$7="",AND(ISNUMBER('Master Database'!$H201),N('Master Database'!$H201)&gt;=$H$7)),OR($I$7="",AND(ISNUMBER('Master Database'!$H201),N('Master Database'!$H201)&lt;=$I$7)),OR($H$8="",AND(ISNUMBER('Master Database'!$I201),N('Master Database'!$I201)&gt;=$H$8)),OR($I$8="",AND(ISNUMBER('Master Database'!$I201),N('Master Database'!$I201)&lt;=$I$8)),OR($H$9="",AND(ISNUMBER('Master Database'!$K201),N('Master Database'!$K201)&gt;=$H$9)),OR($I$9="",AND(ISNUMBER('Master Database'!$K201),N('Master Database'!$K201)&lt;=$I$9))),1,0))</f>
        <v>0</v>
      </c>
      <c r="BB201" s="0" t="str">
        <f aca="false">IF(BA201=1,COUNTIF($BA$5:BA201,1),"")</f>
        <v/>
      </c>
    </row>
    <row r="202" customFormat="false" ht="15" hidden="false" customHeight="false" outlineLevel="0" collapsed="false">
      <c r="A202" s="67" t="str">
        <f aca="false">IF(187&lt;=SUM($BA$5:$BA$600),187,"")</f>
        <v/>
      </c>
      <c r="B202" s="67" t="str">
        <f aca="false">IF(A202="","",MATCH(A202,$BB$5:$BB$600,0)+4)</f>
        <v/>
      </c>
      <c r="C202" s="67" t="str">
        <f aca="false">IF($B202="","",IF(INDEX('Master Database'!$A$1:$A$600,$B202)="","",INDEX('Master Database'!$A$1:$A$600,$B202)))</f>
        <v/>
      </c>
      <c r="D202" s="68" t="str">
        <f aca="false">IF($B202="","",IF(INDEX('Master Database'!$B$1:$B$600,$B202)="","",INDEX('Master Database'!$B$1:$B$600,$B202)))</f>
        <v/>
      </c>
      <c r="E202" s="68" t="str">
        <f aca="false">IF($B202="","",IF(INDEX('Master Database'!$C$1:$C$600,$B202)="","",INDEX('Master Database'!$C$1:$C$600,$B202)))</f>
        <v/>
      </c>
      <c r="F202" s="68" t="str">
        <f aca="false">IF($B202="","",IF(INDEX('Master Database'!$D$1:$D$600,$B202)="","",INDEX('Master Database'!$D$1:$D$600,$B202)))</f>
        <v/>
      </c>
      <c r="G202" s="68" t="str">
        <f aca="false">IF($B202="","",IF(INDEX('Master Database'!$E$1:$E$600,$B202)="","",INDEX('Master Database'!$E$1:$E$600,$B202)))</f>
        <v/>
      </c>
      <c r="H202" s="68" t="str">
        <f aca="false">IF($B202="","",IF(INDEX('Master Database'!$F$1:$F$600,$B202)="","",INDEX('Master Database'!$F$1:$F$600,$B202)))</f>
        <v/>
      </c>
      <c r="I202" s="68" t="str">
        <f aca="false">IF($B202="","",IF(INDEX('Master Database'!$G$1:$G$600,$B202)="","",INDEX('Master Database'!$G$1:$G$600,$B202)))</f>
        <v/>
      </c>
      <c r="J202" s="69" t="str">
        <f aca="false">IF($B202="","",IF(INDEX('Master Database'!$H$1:$H$600,$B202)="","",INDEX('Master Database'!$H$1:$H$600,$B202)))</f>
        <v/>
      </c>
      <c r="K202" s="69" t="str">
        <f aca="false">IF($B202="","",IF(INDEX('Master Database'!$I$1:$I$600,$B202)="","",INDEX('Master Database'!$I$1:$I$600,$B202)))</f>
        <v/>
      </c>
      <c r="L202" s="69" t="str">
        <f aca="false">IF($B202="","",IF(INDEX('Master Database'!$K$1:$K$600,$B202)="","",INDEX('Master Database'!$K$1:$K$600,$B202)))</f>
        <v/>
      </c>
      <c r="M202" s="68" t="str">
        <f aca="false">IF($B202="","",IF(INDEX('Master Database'!$L$1:$L$600,$B202)="","",INDEX('Master Database'!$L$1:$L$600,$B202)))</f>
        <v/>
      </c>
      <c r="N202" s="68" t="str">
        <f aca="false">IF($B202="","",IF(INDEX('Master Database'!$P$1:$P$600,$B202)="","",INDEX('Master Database'!$P$1:$P$600,$B202)))</f>
        <v/>
      </c>
      <c r="O202" s="68" t="str">
        <f aca="false">IF($B202="","",IF(INDEX('Master Database'!$S$1:$S$600,$B202)="","",INDEX('Master Database'!$S$1:$S$600,$B202)))</f>
        <v/>
      </c>
      <c r="P202" s="68" t="str">
        <f aca="false">IF($B202="","",IF(INDEX('Master Database'!$T$1:$T$600,$B202)="","",INDEX('Master Database'!$T$1:$T$600,$B202)))</f>
        <v/>
      </c>
      <c r="Q202" s="68" t="str">
        <f aca="false">IF($B202="","",IF(INDEX('Master Database'!$Y$1:$Y$600,$B202)="","",INDEX('Master Database'!$Y$1:$Y$600,$B202)))</f>
        <v/>
      </c>
      <c r="R202" s="68" t="str">
        <f aca="false">IF($B202="","",IF(INDEX('Master Database'!$Z$1:$Z$600,$B202)="","",INDEX('Master Database'!$Z$1:$Z$600,$B202)))</f>
        <v/>
      </c>
      <c r="S202" s="70" t="str">
        <f aca="false">IF($B202="","",IF(INDEX('Master Database'!$AA$1:$AA$600,$B202)="","",INDEX('Master Database'!$AA$1:$AA$600,$B202)))</f>
        <v/>
      </c>
      <c r="T202" s="68" t="str">
        <f aca="false">IF($B202="","",IF(INDEX('Master Database'!$AE$1:$AE$600,$B202)="","",INDEX('Master Database'!$AE$1:$AE$600,$B202)))</f>
        <v/>
      </c>
      <c r="U202" s="70" t="str">
        <f aca="false">IF($B202="","",IF(INDEX('Master Database'!$AG$1:$AG$600,$B202)="","",INDEX('Master Database'!$AG$1:$AG$600,$B202)))</f>
        <v/>
      </c>
      <c r="V202" s="70" t="str">
        <f aca="false">IF($B202="","",IF(INDEX('Master Database'!$AH$1:$AH$600,$B202)="","",INDEX('Master Database'!$AH$1:$AH$600,$B202)))</f>
        <v/>
      </c>
      <c r="W202" s="70" t="str">
        <f aca="false">IF($B202="","",IF(INDEX('Master Database'!$AI$1:$AI$600,$B202)="","",INDEX('Master Database'!$AI$1:$AI$600,$B202)))</f>
        <v/>
      </c>
      <c r="X202" s="68" t="str">
        <f aca="false">IF($B202="","",IF(INDEX('Master Database'!$BG$1:$BG$600,$B202)="","",INDEX('Master Database'!$BG$1:$BG$600,$B202)))</f>
        <v/>
      </c>
      <c r="BA202" s="65" t="n">
        <f aca="false">IF('Master Database'!$A202="",0,IF(AND(OR($B$5="",ISNUMBER(SEARCH($B$5,'Master Database'!$B202&amp;" "&amp;'Master Database'!$D202))),OR($B$6="(All)",'Master Database'!$C202=$B$6),OR($B$7="(All)",'Master Database'!$E202=$B$7),OR($B$8="(All)",'Master Database'!$T202=$B$8),OR($B$9="(All)",'Master Database'!$M202=$B$9),OR($B$10="(All)",'Master Database'!$V202=$B$10),OR($E$5="(All)",'Master Database'!$F202=$E$5),OR($E$6="(All)",'Master Database'!$G202=$E$6),OR($E$7="(All)",'Master Database'!$O202=$E$7),OR($E$8="(All)",'Master Database'!$P202=$E$8),OR($E$9="(All)",'Master Database'!$S202=$E$9),OR($E$10="(All)",'Master Database'!$Y202&amp;""=$E$10&amp;""),OR($H$5="(All)",'Master Database'!$BG202=$H$5),OR($H$6&lt;&gt;"Y",ISNUMBER('Master Database'!$AG202)),OR($H$7="",AND(ISNUMBER('Master Database'!$H202),N('Master Database'!$H202)&gt;=$H$7)),OR($I$7="",AND(ISNUMBER('Master Database'!$H202),N('Master Database'!$H202)&lt;=$I$7)),OR($H$8="",AND(ISNUMBER('Master Database'!$I202),N('Master Database'!$I202)&gt;=$H$8)),OR($I$8="",AND(ISNUMBER('Master Database'!$I202),N('Master Database'!$I202)&lt;=$I$8)),OR($H$9="",AND(ISNUMBER('Master Database'!$K202),N('Master Database'!$K202)&gt;=$H$9)),OR($I$9="",AND(ISNUMBER('Master Database'!$K202),N('Master Database'!$K202)&lt;=$I$9))),1,0))</f>
        <v>0</v>
      </c>
      <c r="BB202" s="0" t="str">
        <f aca="false">IF(BA202=1,COUNTIF($BA$5:BA202,1),"")</f>
        <v/>
      </c>
    </row>
    <row r="203" customFormat="false" ht="15" hidden="false" customHeight="false" outlineLevel="0" collapsed="false">
      <c r="A203" s="67" t="str">
        <f aca="false">IF(188&lt;=SUM($BA$5:$BA$600),188,"")</f>
        <v/>
      </c>
      <c r="B203" s="67" t="str">
        <f aca="false">IF(A203="","",MATCH(A203,$BB$5:$BB$600,0)+4)</f>
        <v/>
      </c>
      <c r="C203" s="67" t="str">
        <f aca="false">IF($B203="","",IF(INDEX('Master Database'!$A$1:$A$600,$B203)="","",INDEX('Master Database'!$A$1:$A$600,$B203)))</f>
        <v/>
      </c>
      <c r="D203" s="68" t="str">
        <f aca="false">IF($B203="","",IF(INDEX('Master Database'!$B$1:$B$600,$B203)="","",INDEX('Master Database'!$B$1:$B$600,$B203)))</f>
        <v/>
      </c>
      <c r="E203" s="68" t="str">
        <f aca="false">IF($B203="","",IF(INDEX('Master Database'!$C$1:$C$600,$B203)="","",INDEX('Master Database'!$C$1:$C$600,$B203)))</f>
        <v/>
      </c>
      <c r="F203" s="68" t="str">
        <f aca="false">IF($B203="","",IF(INDEX('Master Database'!$D$1:$D$600,$B203)="","",INDEX('Master Database'!$D$1:$D$600,$B203)))</f>
        <v/>
      </c>
      <c r="G203" s="68" t="str">
        <f aca="false">IF($B203="","",IF(INDEX('Master Database'!$E$1:$E$600,$B203)="","",INDEX('Master Database'!$E$1:$E$600,$B203)))</f>
        <v/>
      </c>
      <c r="H203" s="68" t="str">
        <f aca="false">IF($B203="","",IF(INDEX('Master Database'!$F$1:$F$600,$B203)="","",INDEX('Master Database'!$F$1:$F$600,$B203)))</f>
        <v/>
      </c>
      <c r="I203" s="68" t="str">
        <f aca="false">IF($B203="","",IF(INDEX('Master Database'!$G$1:$G$600,$B203)="","",INDEX('Master Database'!$G$1:$G$600,$B203)))</f>
        <v/>
      </c>
      <c r="J203" s="69" t="str">
        <f aca="false">IF($B203="","",IF(INDEX('Master Database'!$H$1:$H$600,$B203)="","",INDEX('Master Database'!$H$1:$H$600,$B203)))</f>
        <v/>
      </c>
      <c r="K203" s="69" t="str">
        <f aca="false">IF($B203="","",IF(INDEX('Master Database'!$I$1:$I$600,$B203)="","",INDEX('Master Database'!$I$1:$I$600,$B203)))</f>
        <v/>
      </c>
      <c r="L203" s="69" t="str">
        <f aca="false">IF($B203="","",IF(INDEX('Master Database'!$K$1:$K$600,$B203)="","",INDEX('Master Database'!$K$1:$K$600,$B203)))</f>
        <v/>
      </c>
      <c r="M203" s="68" t="str">
        <f aca="false">IF($B203="","",IF(INDEX('Master Database'!$L$1:$L$600,$B203)="","",INDEX('Master Database'!$L$1:$L$600,$B203)))</f>
        <v/>
      </c>
      <c r="N203" s="68" t="str">
        <f aca="false">IF($B203="","",IF(INDEX('Master Database'!$P$1:$P$600,$B203)="","",INDEX('Master Database'!$P$1:$P$600,$B203)))</f>
        <v/>
      </c>
      <c r="O203" s="68" t="str">
        <f aca="false">IF($B203="","",IF(INDEX('Master Database'!$S$1:$S$600,$B203)="","",INDEX('Master Database'!$S$1:$S$600,$B203)))</f>
        <v/>
      </c>
      <c r="P203" s="68" t="str">
        <f aca="false">IF($B203="","",IF(INDEX('Master Database'!$T$1:$T$600,$B203)="","",INDEX('Master Database'!$T$1:$T$600,$B203)))</f>
        <v/>
      </c>
      <c r="Q203" s="68" t="str">
        <f aca="false">IF($B203="","",IF(INDEX('Master Database'!$Y$1:$Y$600,$B203)="","",INDEX('Master Database'!$Y$1:$Y$600,$B203)))</f>
        <v/>
      </c>
      <c r="R203" s="68" t="str">
        <f aca="false">IF($B203="","",IF(INDEX('Master Database'!$Z$1:$Z$600,$B203)="","",INDEX('Master Database'!$Z$1:$Z$600,$B203)))</f>
        <v/>
      </c>
      <c r="S203" s="70" t="str">
        <f aca="false">IF($B203="","",IF(INDEX('Master Database'!$AA$1:$AA$600,$B203)="","",INDEX('Master Database'!$AA$1:$AA$600,$B203)))</f>
        <v/>
      </c>
      <c r="T203" s="68" t="str">
        <f aca="false">IF($B203="","",IF(INDEX('Master Database'!$AE$1:$AE$600,$B203)="","",INDEX('Master Database'!$AE$1:$AE$600,$B203)))</f>
        <v/>
      </c>
      <c r="U203" s="70" t="str">
        <f aca="false">IF($B203="","",IF(INDEX('Master Database'!$AG$1:$AG$600,$B203)="","",INDEX('Master Database'!$AG$1:$AG$600,$B203)))</f>
        <v/>
      </c>
      <c r="V203" s="70" t="str">
        <f aca="false">IF($B203="","",IF(INDEX('Master Database'!$AH$1:$AH$600,$B203)="","",INDEX('Master Database'!$AH$1:$AH$600,$B203)))</f>
        <v/>
      </c>
      <c r="W203" s="70" t="str">
        <f aca="false">IF($B203="","",IF(INDEX('Master Database'!$AI$1:$AI$600,$B203)="","",INDEX('Master Database'!$AI$1:$AI$600,$B203)))</f>
        <v/>
      </c>
      <c r="X203" s="68" t="str">
        <f aca="false">IF($B203="","",IF(INDEX('Master Database'!$BG$1:$BG$600,$B203)="","",INDEX('Master Database'!$BG$1:$BG$600,$B203)))</f>
        <v/>
      </c>
      <c r="BA203" s="65" t="n">
        <f aca="false">IF('Master Database'!$A203="",0,IF(AND(OR($B$5="",ISNUMBER(SEARCH($B$5,'Master Database'!$B203&amp;" "&amp;'Master Database'!$D203))),OR($B$6="(All)",'Master Database'!$C203=$B$6),OR($B$7="(All)",'Master Database'!$E203=$B$7),OR($B$8="(All)",'Master Database'!$T203=$B$8),OR($B$9="(All)",'Master Database'!$M203=$B$9),OR($B$10="(All)",'Master Database'!$V203=$B$10),OR($E$5="(All)",'Master Database'!$F203=$E$5),OR($E$6="(All)",'Master Database'!$G203=$E$6),OR($E$7="(All)",'Master Database'!$O203=$E$7),OR($E$8="(All)",'Master Database'!$P203=$E$8),OR($E$9="(All)",'Master Database'!$S203=$E$9),OR($E$10="(All)",'Master Database'!$Y203&amp;""=$E$10&amp;""),OR($H$5="(All)",'Master Database'!$BG203=$H$5),OR($H$6&lt;&gt;"Y",ISNUMBER('Master Database'!$AG203)),OR($H$7="",AND(ISNUMBER('Master Database'!$H203),N('Master Database'!$H203)&gt;=$H$7)),OR($I$7="",AND(ISNUMBER('Master Database'!$H203),N('Master Database'!$H203)&lt;=$I$7)),OR($H$8="",AND(ISNUMBER('Master Database'!$I203),N('Master Database'!$I203)&gt;=$H$8)),OR($I$8="",AND(ISNUMBER('Master Database'!$I203),N('Master Database'!$I203)&lt;=$I$8)),OR($H$9="",AND(ISNUMBER('Master Database'!$K203),N('Master Database'!$K203)&gt;=$H$9)),OR($I$9="",AND(ISNUMBER('Master Database'!$K203),N('Master Database'!$K203)&lt;=$I$9))),1,0))</f>
        <v>0</v>
      </c>
      <c r="BB203" s="0" t="str">
        <f aca="false">IF(BA203=1,COUNTIF($BA$5:BA203,1),"")</f>
        <v/>
      </c>
    </row>
    <row r="204" customFormat="false" ht="15" hidden="false" customHeight="false" outlineLevel="0" collapsed="false">
      <c r="A204" s="67" t="str">
        <f aca="false">IF(189&lt;=SUM($BA$5:$BA$600),189,"")</f>
        <v/>
      </c>
      <c r="B204" s="67" t="str">
        <f aca="false">IF(A204="","",MATCH(A204,$BB$5:$BB$600,0)+4)</f>
        <v/>
      </c>
      <c r="C204" s="67" t="str">
        <f aca="false">IF($B204="","",IF(INDEX('Master Database'!$A$1:$A$600,$B204)="","",INDEX('Master Database'!$A$1:$A$600,$B204)))</f>
        <v/>
      </c>
      <c r="D204" s="68" t="str">
        <f aca="false">IF($B204="","",IF(INDEX('Master Database'!$B$1:$B$600,$B204)="","",INDEX('Master Database'!$B$1:$B$600,$B204)))</f>
        <v/>
      </c>
      <c r="E204" s="68" t="str">
        <f aca="false">IF($B204="","",IF(INDEX('Master Database'!$C$1:$C$600,$B204)="","",INDEX('Master Database'!$C$1:$C$600,$B204)))</f>
        <v/>
      </c>
      <c r="F204" s="68" t="str">
        <f aca="false">IF($B204="","",IF(INDEX('Master Database'!$D$1:$D$600,$B204)="","",INDEX('Master Database'!$D$1:$D$600,$B204)))</f>
        <v/>
      </c>
      <c r="G204" s="68" t="str">
        <f aca="false">IF($B204="","",IF(INDEX('Master Database'!$E$1:$E$600,$B204)="","",INDEX('Master Database'!$E$1:$E$600,$B204)))</f>
        <v/>
      </c>
      <c r="H204" s="68" t="str">
        <f aca="false">IF($B204="","",IF(INDEX('Master Database'!$F$1:$F$600,$B204)="","",INDEX('Master Database'!$F$1:$F$600,$B204)))</f>
        <v/>
      </c>
      <c r="I204" s="68" t="str">
        <f aca="false">IF($B204="","",IF(INDEX('Master Database'!$G$1:$G$600,$B204)="","",INDEX('Master Database'!$G$1:$G$600,$B204)))</f>
        <v/>
      </c>
      <c r="J204" s="69" t="str">
        <f aca="false">IF($B204="","",IF(INDEX('Master Database'!$H$1:$H$600,$B204)="","",INDEX('Master Database'!$H$1:$H$600,$B204)))</f>
        <v/>
      </c>
      <c r="K204" s="69" t="str">
        <f aca="false">IF($B204="","",IF(INDEX('Master Database'!$I$1:$I$600,$B204)="","",INDEX('Master Database'!$I$1:$I$600,$B204)))</f>
        <v/>
      </c>
      <c r="L204" s="69" t="str">
        <f aca="false">IF($B204="","",IF(INDEX('Master Database'!$K$1:$K$600,$B204)="","",INDEX('Master Database'!$K$1:$K$600,$B204)))</f>
        <v/>
      </c>
      <c r="M204" s="68" t="str">
        <f aca="false">IF($B204="","",IF(INDEX('Master Database'!$L$1:$L$600,$B204)="","",INDEX('Master Database'!$L$1:$L$600,$B204)))</f>
        <v/>
      </c>
      <c r="N204" s="68" t="str">
        <f aca="false">IF($B204="","",IF(INDEX('Master Database'!$P$1:$P$600,$B204)="","",INDEX('Master Database'!$P$1:$P$600,$B204)))</f>
        <v/>
      </c>
      <c r="O204" s="68" t="str">
        <f aca="false">IF($B204="","",IF(INDEX('Master Database'!$S$1:$S$600,$B204)="","",INDEX('Master Database'!$S$1:$S$600,$B204)))</f>
        <v/>
      </c>
      <c r="P204" s="68" t="str">
        <f aca="false">IF($B204="","",IF(INDEX('Master Database'!$T$1:$T$600,$B204)="","",INDEX('Master Database'!$T$1:$T$600,$B204)))</f>
        <v/>
      </c>
      <c r="Q204" s="68" t="str">
        <f aca="false">IF($B204="","",IF(INDEX('Master Database'!$Y$1:$Y$600,$B204)="","",INDEX('Master Database'!$Y$1:$Y$600,$B204)))</f>
        <v/>
      </c>
      <c r="R204" s="68" t="str">
        <f aca="false">IF($B204="","",IF(INDEX('Master Database'!$Z$1:$Z$600,$B204)="","",INDEX('Master Database'!$Z$1:$Z$600,$B204)))</f>
        <v/>
      </c>
      <c r="S204" s="70" t="str">
        <f aca="false">IF($B204="","",IF(INDEX('Master Database'!$AA$1:$AA$600,$B204)="","",INDEX('Master Database'!$AA$1:$AA$600,$B204)))</f>
        <v/>
      </c>
      <c r="T204" s="68" t="str">
        <f aca="false">IF($B204="","",IF(INDEX('Master Database'!$AE$1:$AE$600,$B204)="","",INDEX('Master Database'!$AE$1:$AE$600,$B204)))</f>
        <v/>
      </c>
      <c r="U204" s="70" t="str">
        <f aca="false">IF($B204="","",IF(INDEX('Master Database'!$AG$1:$AG$600,$B204)="","",INDEX('Master Database'!$AG$1:$AG$600,$B204)))</f>
        <v/>
      </c>
      <c r="V204" s="70" t="str">
        <f aca="false">IF($B204="","",IF(INDEX('Master Database'!$AH$1:$AH$600,$B204)="","",INDEX('Master Database'!$AH$1:$AH$600,$B204)))</f>
        <v/>
      </c>
      <c r="W204" s="70" t="str">
        <f aca="false">IF($B204="","",IF(INDEX('Master Database'!$AI$1:$AI$600,$B204)="","",INDEX('Master Database'!$AI$1:$AI$600,$B204)))</f>
        <v/>
      </c>
      <c r="X204" s="68" t="str">
        <f aca="false">IF($B204="","",IF(INDEX('Master Database'!$BG$1:$BG$600,$B204)="","",INDEX('Master Database'!$BG$1:$BG$600,$B204)))</f>
        <v/>
      </c>
      <c r="BA204" s="65" t="n">
        <f aca="false">IF('Master Database'!$A204="",0,IF(AND(OR($B$5="",ISNUMBER(SEARCH($B$5,'Master Database'!$B204&amp;" "&amp;'Master Database'!$D204))),OR($B$6="(All)",'Master Database'!$C204=$B$6),OR($B$7="(All)",'Master Database'!$E204=$B$7),OR($B$8="(All)",'Master Database'!$T204=$B$8),OR($B$9="(All)",'Master Database'!$M204=$B$9),OR($B$10="(All)",'Master Database'!$V204=$B$10),OR($E$5="(All)",'Master Database'!$F204=$E$5),OR($E$6="(All)",'Master Database'!$G204=$E$6),OR($E$7="(All)",'Master Database'!$O204=$E$7),OR($E$8="(All)",'Master Database'!$P204=$E$8),OR($E$9="(All)",'Master Database'!$S204=$E$9),OR($E$10="(All)",'Master Database'!$Y204&amp;""=$E$10&amp;""),OR($H$5="(All)",'Master Database'!$BG204=$H$5),OR($H$6&lt;&gt;"Y",ISNUMBER('Master Database'!$AG204)),OR($H$7="",AND(ISNUMBER('Master Database'!$H204),N('Master Database'!$H204)&gt;=$H$7)),OR($I$7="",AND(ISNUMBER('Master Database'!$H204),N('Master Database'!$H204)&lt;=$I$7)),OR($H$8="",AND(ISNUMBER('Master Database'!$I204),N('Master Database'!$I204)&gt;=$H$8)),OR($I$8="",AND(ISNUMBER('Master Database'!$I204),N('Master Database'!$I204)&lt;=$I$8)),OR($H$9="",AND(ISNUMBER('Master Database'!$K204),N('Master Database'!$K204)&gt;=$H$9)),OR($I$9="",AND(ISNUMBER('Master Database'!$K204),N('Master Database'!$K204)&lt;=$I$9))),1,0))</f>
        <v>0</v>
      </c>
      <c r="BB204" s="0" t="str">
        <f aca="false">IF(BA204=1,COUNTIF($BA$5:BA204,1),"")</f>
        <v/>
      </c>
    </row>
    <row r="205" customFormat="false" ht="15" hidden="false" customHeight="false" outlineLevel="0" collapsed="false">
      <c r="A205" s="67" t="str">
        <f aca="false">IF(190&lt;=SUM($BA$5:$BA$600),190,"")</f>
        <v/>
      </c>
      <c r="B205" s="67" t="str">
        <f aca="false">IF(A205="","",MATCH(A205,$BB$5:$BB$600,0)+4)</f>
        <v/>
      </c>
      <c r="C205" s="67" t="str">
        <f aca="false">IF($B205="","",IF(INDEX('Master Database'!$A$1:$A$600,$B205)="","",INDEX('Master Database'!$A$1:$A$600,$B205)))</f>
        <v/>
      </c>
      <c r="D205" s="68" t="str">
        <f aca="false">IF($B205="","",IF(INDEX('Master Database'!$B$1:$B$600,$B205)="","",INDEX('Master Database'!$B$1:$B$600,$B205)))</f>
        <v/>
      </c>
      <c r="E205" s="68" t="str">
        <f aca="false">IF($B205="","",IF(INDEX('Master Database'!$C$1:$C$600,$B205)="","",INDEX('Master Database'!$C$1:$C$600,$B205)))</f>
        <v/>
      </c>
      <c r="F205" s="68" t="str">
        <f aca="false">IF($B205="","",IF(INDEX('Master Database'!$D$1:$D$600,$B205)="","",INDEX('Master Database'!$D$1:$D$600,$B205)))</f>
        <v/>
      </c>
      <c r="G205" s="68" t="str">
        <f aca="false">IF($B205="","",IF(INDEX('Master Database'!$E$1:$E$600,$B205)="","",INDEX('Master Database'!$E$1:$E$600,$B205)))</f>
        <v/>
      </c>
      <c r="H205" s="68" t="str">
        <f aca="false">IF($B205="","",IF(INDEX('Master Database'!$F$1:$F$600,$B205)="","",INDEX('Master Database'!$F$1:$F$600,$B205)))</f>
        <v/>
      </c>
      <c r="I205" s="68" t="str">
        <f aca="false">IF($B205="","",IF(INDEX('Master Database'!$G$1:$G$600,$B205)="","",INDEX('Master Database'!$G$1:$G$600,$B205)))</f>
        <v/>
      </c>
      <c r="J205" s="69" t="str">
        <f aca="false">IF($B205="","",IF(INDEX('Master Database'!$H$1:$H$600,$B205)="","",INDEX('Master Database'!$H$1:$H$600,$B205)))</f>
        <v/>
      </c>
      <c r="K205" s="69" t="str">
        <f aca="false">IF($B205="","",IF(INDEX('Master Database'!$I$1:$I$600,$B205)="","",INDEX('Master Database'!$I$1:$I$600,$B205)))</f>
        <v/>
      </c>
      <c r="L205" s="69" t="str">
        <f aca="false">IF($B205="","",IF(INDEX('Master Database'!$K$1:$K$600,$B205)="","",INDEX('Master Database'!$K$1:$K$600,$B205)))</f>
        <v/>
      </c>
      <c r="M205" s="68" t="str">
        <f aca="false">IF($B205="","",IF(INDEX('Master Database'!$L$1:$L$600,$B205)="","",INDEX('Master Database'!$L$1:$L$600,$B205)))</f>
        <v/>
      </c>
      <c r="N205" s="68" t="str">
        <f aca="false">IF($B205="","",IF(INDEX('Master Database'!$P$1:$P$600,$B205)="","",INDEX('Master Database'!$P$1:$P$600,$B205)))</f>
        <v/>
      </c>
      <c r="O205" s="68" t="str">
        <f aca="false">IF($B205="","",IF(INDEX('Master Database'!$S$1:$S$600,$B205)="","",INDEX('Master Database'!$S$1:$S$600,$B205)))</f>
        <v/>
      </c>
      <c r="P205" s="68" t="str">
        <f aca="false">IF($B205="","",IF(INDEX('Master Database'!$T$1:$T$600,$B205)="","",INDEX('Master Database'!$T$1:$T$600,$B205)))</f>
        <v/>
      </c>
      <c r="Q205" s="68" t="str">
        <f aca="false">IF($B205="","",IF(INDEX('Master Database'!$Y$1:$Y$600,$B205)="","",INDEX('Master Database'!$Y$1:$Y$600,$B205)))</f>
        <v/>
      </c>
      <c r="R205" s="68" t="str">
        <f aca="false">IF($B205="","",IF(INDEX('Master Database'!$Z$1:$Z$600,$B205)="","",INDEX('Master Database'!$Z$1:$Z$600,$B205)))</f>
        <v/>
      </c>
      <c r="S205" s="70" t="str">
        <f aca="false">IF($B205="","",IF(INDEX('Master Database'!$AA$1:$AA$600,$B205)="","",INDEX('Master Database'!$AA$1:$AA$600,$B205)))</f>
        <v/>
      </c>
      <c r="T205" s="68" t="str">
        <f aca="false">IF($B205="","",IF(INDEX('Master Database'!$AE$1:$AE$600,$B205)="","",INDEX('Master Database'!$AE$1:$AE$600,$B205)))</f>
        <v/>
      </c>
      <c r="U205" s="70" t="str">
        <f aca="false">IF($B205="","",IF(INDEX('Master Database'!$AG$1:$AG$600,$B205)="","",INDEX('Master Database'!$AG$1:$AG$600,$B205)))</f>
        <v/>
      </c>
      <c r="V205" s="70" t="str">
        <f aca="false">IF($B205="","",IF(INDEX('Master Database'!$AH$1:$AH$600,$B205)="","",INDEX('Master Database'!$AH$1:$AH$600,$B205)))</f>
        <v/>
      </c>
      <c r="W205" s="70" t="str">
        <f aca="false">IF($B205="","",IF(INDEX('Master Database'!$AI$1:$AI$600,$B205)="","",INDEX('Master Database'!$AI$1:$AI$600,$B205)))</f>
        <v/>
      </c>
      <c r="X205" s="68" t="str">
        <f aca="false">IF($B205="","",IF(INDEX('Master Database'!$BG$1:$BG$600,$B205)="","",INDEX('Master Database'!$BG$1:$BG$600,$B205)))</f>
        <v/>
      </c>
      <c r="BA205" s="65" t="n">
        <f aca="false">IF('Master Database'!$A205="",0,IF(AND(OR($B$5="",ISNUMBER(SEARCH($B$5,'Master Database'!$B205&amp;" "&amp;'Master Database'!$D205))),OR($B$6="(All)",'Master Database'!$C205=$B$6),OR($B$7="(All)",'Master Database'!$E205=$B$7),OR($B$8="(All)",'Master Database'!$T205=$B$8),OR($B$9="(All)",'Master Database'!$M205=$B$9),OR($B$10="(All)",'Master Database'!$V205=$B$10),OR($E$5="(All)",'Master Database'!$F205=$E$5),OR($E$6="(All)",'Master Database'!$G205=$E$6),OR($E$7="(All)",'Master Database'!$O205=$E$7),OR($E$8="(All)",'Master Database'!$P205=$E$8),OR($E$9="(All)",'Master Database'!$S205=$E$9),OR($E$10="(All)",'Master Database'!$Y205&amp;""=$E$10&amp;""),OR($H$5="(All)",'Master Database'!$BG205=$H$5),OR($H$6&lt;&gt;"Y",ISNUMBER('Master Database'!$AG205)),OR($H$7="",AND(ISNUMBER('Master Database'!$H205),N('Master Database'!$H205)&gt;=$H$7)),OR($I$7="",AND(ISNUMBER('Master Database'!$H205),N('Master Database'!$H205)&lt;=$I$7)),OR($H$8="",AND(ISNUMBER('Master Database'!$I205),N('Master Database'!$I205)&gt;=$H$8)),OR($I$8="",AND(ISNUMBER('Master Database'!$I205),N('Master Database'!$I205)&lt;=$I$8)),OR($H$9="",AND(ISNUMBER('Master Database'!$K205),N('Master Database'!$K205)&gt;=$H$9)),OR($I$9="",AND(ISNUMBER('Master Database'!$K205),N('Master Database'!$K205)&lt;=$I$9))),1,0))</f>
        <v>0</v>
      </c>
      <c r="BB205" s="0" t="str">
        <f aca="false">IF(BA205=1,COUNTIF($BA$5:BA205,1),"")</f>
        <v/>
      </c>
    </row>
    <row r="206" customFormat="false" ht="15" hidden="false" customHeight="false" outlineLevel="0" collapsed="false">
      <c r="A206" s="67" t="str">
        <f aca="false">IF(191&lt;=SUM($BA$5:$BA$600),191,"")</f>
        <v/>
      </c>
      <c r="B206" s="67" t="str">
        <f aca="false">IF(A206="","",MATCH(A206,$BB$5:$BB$600,0)+4)</f>
        <v/>
      </c>
      <c r="C206" s="67" t="str">
        <f aca="false">IF($B206="","",IF(INDEX('Master Database'!$A$1:$A$600,$B206)="","",INDEX('Master Database'!$A$1:$A$600,$B206)))</f>
        <v/>
      </c>
      <c r="D206" s="68" t="str">
        <f aca="false">IF($B206="","",IF(INDEX('Master Database'!$B$1:$B$600,$B206)="","",INDEX('Master Database'!$B$1:$B$600,$B206)))</f>
        <v/>
      </c>
      <c r="E206" s="68" t="str">
        <f aca="false">IF($B206="","",IF(INDEX('Master Database'!$C$1:$C$600,$B206)="","",INDEX('Master Database'!$C$1:$C$600,$B206)))</f>
        <v/>
      </c>
      <c r="F206" s="68" t="str">
        <f aca="false">IF($B206="","",IF(INDEX('Master Database'!$D$1:$D$600,$B206)="","",INDEX('Master Database'!$D$1:$D$600,$B206)))</f>
        <v/>
      </c>
      <c r="G206" s="68" t="str">
        <f aca="false">IF($B206="","",IF(INDEX('Master Database'!$E$1:$E$600,$B206)="","",INDEX('Master Database'!$E$1:$E$600,$B206)))</f>
        <v/>
      </c>
      <c r="H206" s="68" t="str">
        <f aca="false">IF($B206="","",IF(INDEX('Master Database'!$F$1:$F$600,$B206)="","",INDEX('Master Database'!$F$1:$F$600,$B206)))</f>
        <v/>
      </c>
      <c r="I206" s="68" t="str">
        <f aca="false">IF($B206="","",IF(INDEX('Master Database'!$G$1:$G$600,$B206)="","",INDEX('Master Database'!$G$1:$G$600,$B206)))</f>
        <v/>
      </c>
      <c r="J206" s="69" t="str">
        <f aca="false">IF($B206="","",IF(INDEX('Master Database'!$H$1:$H$600,$B206)="","",INDEX('Master Database'!$H$1:$H$600,$B206)))</f>
        <v/>
      </c>
      <c r="K206" s="69" t="str">
        <f aca="false">IF($B206="","",IF(INDEX('Master Database'!$I$1:$I$600,$B206)="","",INDEX('Master Database'!$I$1:$I$600,$B206)))</f>
        <v/>
      </c>
      <c r="L206" s="69" t="str">
        <f aca="false">IF($B206="","",IF(INDEX('Master Database'!$K$1:$K$600,$B206)="","",INDEX('Master Database'!$K$1:$K$600,$B206)))</f>
        <v/>
      </c>
      <c r="M206" s="68" t="str">
        <f aca="false">IF($B206="","",IF(INDEX('Master Database'!$L$1:$L$600,$B206)="","",INDEX('Master Database'!$L$1:$L$600,$B206)))</f>
        <v/>
      </c>
      <c r="N206" s="68" t="str">
        <f aca="false">IF($B206="","",IF(INDEX('Master Database'!$P$1:$P$600,$B206)="","",INDEX('Master Database'!$P$1:$P$600,$B206)))</f>
        <v/>
      </c>
      <c r="O206" s="68" t="str">
        <f aca="false">IF($B206="","",IF(INDEX('Master Database'!$S$1:$S$600,$B206)="","",INDEX('Master Database'!$S$1:$S$600,$B206)))</f>
        <v/>
      </c>
      <c r="P206" s="68" t="str">
        <f aca="false">IF($B206="","",IF(INDEX('Master Database'!$T$1:$T$600,$B206)="","",INDEX('Master Database'!$T$1:$T$600,$B206)))</f>
        <v/>
      </c>
      <c r="Q206" s="68" t="str">
        <f aca="false">IF($B206="","",IF(INDEX('Master Database'!$Y$1:$Y$600,$B206)="","",INDEX('Master Database'!$Y$1:$Y$600,$B206)))</f>
        <v/>
      </c>
      <c r="R206" s="68" t="str">
        <f aca="false">IF($B206="","",IF(INDEX('Master Database'!$Z$1:$Z$600,$B206)="","",INDEX('Master Database'!$Z$1:$Z$600,$B206)))</f>
        <v/>
      </c>
      <c r="S206" s="70" t="str">
        <f aca="false">IF($B206="","",IF(INDEX('Master Database'!$AA$1:$AA$600,$B206)="","",INDEX('Master Database'!$AA$1:$AA$600,$B206)))</f>
        <v/>
      </c>
      <c r="T206" s="68" t="str">
        <f aca="false">IF($B206="","",IF(INDEX('Master Database'!$AE$1:$AE$600,$B206)="","",INDEX('Master Database'!$AE$1:$AE$600,$B206)))</f>
        <v/>
      </c>
      <c r="U206" s="70" t="str">
        <f aca="false">IF($B206="","",IF(INDEX('Master Database'!$AG$1:$AG$600,$B206)="","",INDEX('Master Database'!$AG$1:$AG$600,$B206)))</f>
        <v/>
      </c>
      <c r="V206" s="70" t="str">
        <f aca="false">IF($B206="","",IF(INDEX('Master Database'!$AH$1:$AH$600,$B206)="","",INDEX('Master Database'!$AH$1:$AH$600,$B206)))</f>
        <v/>
      </c>
      <c r="W206" s="70" t="str">
        <f aca="false">IF($B206="","",IF(INDEX('Master Database'!$AI$1:$AI$600,$B206)="","",INDEX('Master Database'!$AI$1:$AI$600,$B206)))</f>
        <v/>
      </c>
      <c r="X206" s="68" t="str">
        <f aca="false">IF($B206="","",IF(INDEX('Master Database'!$BG$1:$BG$600,$B206)="","",INDEX('Master Database'!$BG$1:$BG$600,$B206)))</f>
        <v/>
      </c>
      <c r="BA206" s="65" t="n">
        <f aca="false">IF('Master Database'!$A206="",0,IF(AND(OR($B$5="",ISNUMBER(SEARCH($B$5,'Master Database'!$B206&amp;" "&amp;'Master Database'!$D206))),OR($B$6="(All)",'Master Database'!$C206=$B$6),OR($B$7="(All)",'Master Database'!$E206=$B$7),OR($B$8="(All)",'Master Database'!$T206=$B$8),OR($B$9="(All)",'Master Database'!$M206=$B$9),OR($B$10="(All)",'Master Database'!$V206=$B$10),OR($E$5="(All)",'Master Database'!$F206=$E$5),OR($E$6="(All)",'Master Database'!$G206=$E$6),OR($E$7="(All)",'Master Database'!$O206=$E$7),OR($E$8="(All)",'Master Database'!$P206=$E$8),OR($E$9="(All)",'Master Database'!$S206=$E$9),OR($E$10="(All)",'Master Database'!$Y206&amp;""=$E$10&amp;""),OR($H$5="(All)",'Master Database'!$BG206=$H$5),OR($H$6&lt;&gt;"Y",ISNUMBER('Master Database'!$AG206)),OR($H$7="",AND(ISNUMBER('Master Database'!$H206),N('Master Database'!$H206)&gt;=$H$7)),OR($I$7="",AND(ISNUMBER('Master Database'!$H206),N('Master Database'!$H206)&lt;=$I$7)),OR($H$8="",AND(ISNUMBER('Master Database'!$I206),N('Master Database'!$I206)&gt;=$H$8)),OR($I$8="",AND(ISNUMBER('Master Database'!$I206),N('Master Database'!$I206)&lt;=$I$8)),OR($H$9="",AND(ISNUMBER('Master Database'!$K206),N('Master Database'!$K206)&gt;=$H$9)),OR($I$9="",AND(ISNUMBER('Master Database'!$K206),N('Master Database'!$K206)&lt;=$I$9))),1,0))</f>
        <v>0</v>
      </c>
      <c r="BB206" s="0" t="str">
        <f aca="false">IF(BA206=1,COUNTIF($BA$5:BA206,1),"")</f>
        <v/>
      </c>
    </row>
    <row r="207" customFormat="false" ht="15" hidden="false" customHeight="false" outlineLevel="0" collapsed="false">
      <c r="A207" s="67" t="str">
        <f aca="false">IF(192&lt;=SUM($BA$5:$BA$600),192,"")</f>
        <v/>
      </c>
      <c r="B207" s="67" t="str">
        <f aca="false">IF(A207="","",MATCH(A207,$BB$5:$BB$600,0)+4)</f>
        <v/>
      </c>
      <c r="C207" s="67" t="str">
        <f aca="false">IF($B207="","",IF(INDEX('Master Database'!$A$1:$A$600,$B207)="","",INDEX('Master Database'!$A$1:$A$600,$B207)))</f>
        <v/>
      </c>
      <c r="D207" s="68" t="str">
        <f aca="false">IF($B207="","",IF(INDEX('Master Database'!$B$1:$B$600,$B207)="","",INDEX('Master Database'!$B$1:$B$600,$B207)))</f>
        <v/>
      </c>
      <c r="E207" s="68" t="str">
        <f aca="false">IF($B207="","",IF(INDEX('Master Database'!$C$1:$C$600,$B207)="","",INDEX('Master Database'!$C$1:$C$600,$B207)))</f>
        <v/>
      </c>
      <c r="F207" s="68" t="str">
        <f aca="false">IF($B207="","",IF(INDEX('Master Database'!$D$1:$D$600,$B207)="","",INDEX('Master Database'!$D$1:$D$600,$B207)))</f>
        <v/>
      </c>
      <c r="G207" s="68" t="str">
        <f aca="false">IF($B207="","",IF(INDEX('Master Database'!$E$1:$E$600,$B207)="","",INDEX('Master Database'!$E$1:$E$600,$B207)))</f>
        <v/>
      </c>
      <c r="H207" s="68" t="str">
        <f aca="false">IF($B207="","",IF(INDEX('Master Database'!$F$1:$F$600,$B207)="","",INDEX('Master Database'!$F$1:$F$600,$B207)))</f>
        <v/>
      </c>
      <c r="I207" s="68" t="str">
        <f aca="false">IF($B207="","",IF(INDEX('Master Database'!$G$1:$G$600,$B207)="","",INDEX('Master Database'!$G$1:$G$600,$B207)))</f>
        <v/>
      </c>
      <c r="J207" s="69" t="str">
        <f aca="false">IF($B207="","",IF(INDEX('Master Database'!$H$1:$H$600,$B207)="","",INDEX('Master Database'!$H$1:$H$600,$B207)))</f>
        <v/>
      </c>
      <c r="K207" s="69" t="str">
        <f aca="false">IF($B207="","",IF(INDEX('Master Database'!$I$1:$I$600,$B207)="","",INDEX('Master Database'!$I$1:$I$600,$B207)))</f>
        <v/>
      </c>
      <c r="L207" s="69" t="str">
        <f aca="false">IF($B207="","",IF(INDEX('Master Database'!$K$1:$K$600,$B207)="","",INDEX('Master Database'!$K$1:$K$600,$B207)))</f>
        <v/>
      </c>
      <c r="M207" s="68" t="str">
        <f aca="false">IF($B207="","",IF(INDEX('Master Database'!$L$1:$L$600,$B207)="","",INDEX('Master Database'!$L$1:$L$600,$B207)))</f>
        <v/>
      </c>
      <c r="N207" s="68" t="str">
        <f aca="false">IF($B207="","",IF(INDEX('Master Database'!$P$1:$P$600,$B207)="","",INDEX('Master Database'!$P$1:$P$600,$B207)))</f>
        <v/>
      </c>
      <c r="O207" s="68" t="str">
        <f aca="false">IF($B207="","",IF(INDEX('Master Database'!$S$1:$S$600,$B207)="","",INDEX('Master Database'!$S$1:$S$600,$B207)))</f>
        <v/>
      </c>
      <c r="P207" s="68" t="str">
        <f aca="false">IF($B207="","",IF(INDEX('Master Database'!$T$1:$T$600,$B207)="","",INDEX('Master Database'!$T$1:$T$600,$B207)))</f>
        <v/>
      </c>
      <c r="Q207" s="68" t="str">
        <f aca="false">IF($B207="","",IF(INDEX('Master Database'!$Y$1:$Y$600,$B207)="","",INDEX('Master Database'!$Y$1:$Y$600,$B207)))</f>
        <v/>
      </c>
      <c r="R207" s="68" t="str">
        <f aca="false">IF($B207="","",IF(INDEX('Master Database'!$Z$1:$Z$600,$B207)="","",INDEX('Master Database'!$Z$1:$Z$600,$B207)))</f>
        <v/>
      </c>
      <c r="S207" s="70" t="str">
        <f aca="false">IF($B207="","",IF(INDEX('Master Database'!$AA$1:$AA$600,$B207)="","",INDEX('Master Database'!$AA$1:$AA$600,$B207)))</f>
        <v/>
      </c>
      <c r="T207" s="68" t="str">
        <f aca="false">IF($B207="","",IF(INDEX('Master Database'!$AE$1:$AE$600,$B207)="","",INDEX('Master Database'!$AE$1:$AE$600,$B207)))</f>
        <v/>
      </c>
      <c r="U207" s="70" t="str">
        <f aca="false">IF($B207="","",IF(INDEX('Master Database'!$AG$1:$AG$600,$B207)="","",INDEX('Master Database'!$AG$1:$AG$600,$B207)))</f>
        <v/>
      </c>
      <c r="V207" s="70" t="str">
        <f aca="false">IF($B207="","",IF(INDEX('Master Database'!$AH$1:$AH$600,$B207)="","",INDEX('Master Database'!$AH$1:$AH$600,$B207)))</f>
        <v/>
      </c>
      <c r="W207" s="70" t="str">
        <f aca="false">IF($B207="","",IF(INDEX('Master Database'!$AI$1:$AI$600,$B207)="","",INDEX('Master Database'!$AI$1:$AI$600,$B207)))</f>
        <v/>
      </c>
      <c r="X207" s="68" t="str">
        <f aca="false">IF($B207="","",IF(INDEX('Master Database'!$BG$1:$BG$600,$B207)="","",INDEX('Master Database'!$BG$1:$BG$600,$B207)))</f>
        <v/>
      </c>
      <c r="BA207" s="65" t="n">
        <f aca="false">IF('Master Database'!$A207="",0,IF(AND(OR($B$5="",ISNUMBER(SEARCH($B$5,'Master Database'!$B207&amp;" "&amp;'Master Database'!$D207))),OR($B$6="(All)",'Master Database'!$C207=$B$6),OR($B$7="(All)",'Master Database'!$E207=$B$7),OR($B$8="(All)",'Master Database'!$T207=$B$8),OR($B$9="(All)",'Master Database'!$M207=$B$9),OR($B$10="(All)",'Master Database'!$V207=$B$10),OR($E$5="(All)",'Master Database'!$F207=$E$5),OR($E$6="(All)",'Master Database'!$G207=$E$6),OR($E$7="(All)",'Master Database'!$O207=$E$7),OR($E$8="(All)",'Master Database'!$P207=$E$8),OR($E$9="(All)",'Master Database'!$S207=$E$9),OR($E$10="(All)",'Master Database'!$Y207&amp;""=$E$10&amp;""),OR($H$5="(All)",'Master Database'!$BG207=$H$5),OR($H$6&lt;&gt;"Y",ISNUMBER('Master Database'!$AG207)),OR($H$7="",AND(ISNUMBER('Master Database'!$H207),N('Master Database'!$H207)&gt;=$H$7)),OR($I$7="",AND(ISNUMBER('Master Database'!$H207),N('Master Database'!$H207)&lt;=$I$7)),OR($H$8="",AND(ISNUMBER('Master Database'!$I207),N('Master Database'!$I207)&gt;=$H$8)),OR($I$8="",AND(ISNUMBER('Master Database'!$I207),N('Master Database'!$I207)&lt;=$I$8)),OR($H$9="",AND(ISNUMBER('Master Database'!$K207),N('Master Database'!$K207)&gt;=$H$9)),OR($I$9="",AND(ISNUMBER('Master Database'!$K207),N('Master Database'!$K207)&lt;=$I$9))),1,0))</f>
        <v>0</v>
      </c>
      <c r="BB207" s="0" t="str">
        <f aca="false">IF(BA207=1,COUNTIF($BA$5:BA207,1),"")</f>
        <v/>
      </c>
    </row>
    <row r="208" customFormat="false" ht="15" hidden="false" customHeight="false" outlineLevel="0" collapsed="false">
      <c r="A208" s="67" t="str">
        <f aca="false">IF(193&lt;=SUM($BA$5:$BA$600),193,"")</f>
        <v/>
      </c>
      <c r="B208" s="67" t="str">
        <f aca="false">IF(A208="","",MATCH(A208,$BB$5:$BB$600,0)+4)</f>
        <v/>
      </c>
      <c r="C208" s="67" t="str">
        <f aca="false">IF($B208="","",IF(INDEX('Master Database'!$A$1:$A$600,$B208)="","",INDEX('Master Database'!$A$1:$A$600,$B208)))</f>
        <v/>
      </c>
      <c r="D208" s="68" t="str">
        <f aca="false">IF($B208="","",IF(INDEX('Master Database'!$B$1:$B$600,$B208)="","",INDEX('Master Database'!$B$1:$B$600,$B208)))</f>
        <v/>
      </c>
      <c r="E208" s="68" t="str">
        <f aca="false">IF($B208="","",IF(INDEX('Master Database'!$C$1:$C$600,$B208)="","",INDEX('Master Database'!$C$1:$C$600,$B208)))</f>
        <v/>
      </c>
      <c r="F208" s="68" t="str">
        <f aca="false">IF($B208="","",IF(INDEX('Master Database'!$D$1:$D$600,$B208)="","",INDEX('Master Database'!$D$1:$D$600,$B208)))</f>
        <v/>
      </c>
      <c r="G208" s="68" t="str">
        <f aca="false">IF($B208="","",IF(INDEX('Master Database'!$E$1:$E$600,$B208)="","",INDEX('Master Database'!$E$1:$E$600,$B208)))</f>
        <v/>
      </c>
      <c r="H208" s="68" t="str">
        <f aca="false">IF($B208="","",IF(INDEX('Master Database'!$F$1:$F$600,$B208)="","",INDEX('Master Database'!$F$1:$F$600,$B208)))</f>
        <v/>
      </c>
      <c r="I208" s="68" t="str">
        <f aca="false">IF($B208="","",IF(INDEX('Master Database'!$G$1:$G$600,$B208)="","",INDEX('Master Database'!$G$1:$G$600,$B208)))</f>
        <v/>
      </c>
      <c r="J208" s="69" t="str">
        <f aca="false">IF($B208="","",IF(INDEX('Master Database'!$H$1:$H$600,$B208)="","",INDEX('Master Database'!$H$1:$H$600,$B208)))</f>
        <v/>
      </c>
      <c r="K208" s="69" t="str">
        <f aca="false">IF($B208="","",IF(INDEX('Master Database'!$I$1:$I$600,$B208)="","",INDEX('Master Database'!$I$1:$I$600,$B208)))</f>
        <v/>
      </c>
      <c r="L208" s="69" t="str">
        <f aca="false">IF($B208="","",IF(INDEX('Master Database'!$K$1:$K$600,$B208)="","",INDEX('Master Database'!$K$1:$K$600,$B208)))</f>
        <v/>
      </c>
      <c r="M208" s="68" t="str">
        <f aca="false">IF($B208="","",IF(INDEX('Master Database'!$L$1:$L$600,$B208)="","",INDEX('Master Database'!$L$1:$L$600,$B208)))</f>
        <v/>
      </c>
      <c r="N208" s="68" t="str">
        <f aca="false">IF($B208="","",IF(INDEX('Master Database'!$P$1:$P$600,$B208)="","",INDEX('Master Database'!$P$1:$P$600,$B208)))</f>
        <v/>
      </c>
      <c r="O208" s="68" t="str">
        <f aca="false">IF($B208="","",IF(INDEX('Master Database'!$S$1:$S$600,$B208)="","",INDEX('Master Database'!$S$1:$S$600,$B208)))</f>
        <v/>
      </c>
      <c r="P208" s="68" t="str">
        <f aca="false">IF($B208="","",IF(INDEX('Master Database'!$T$1:$T$600,$B208)="","",INDEX('Master Database'!$T$1:$T$600,$B208)))</f>
        <v/>
      </c>
      <c r="Q208" s="68" t="str">
        <f aca="false">IF($B208="","",IF(INDEX('Master Database'!$Y$1:$Y$600,$B208)="","",INDEX('Master Database'!$Y$1:$Y$600,$B208)))</f>
        <v/>
      </c>
      <c r="R208" s="68" t="str">
        <f aca="false">IF($B208="","",IF(INDEX('Master Database'!$Z$1:$Z$600,$B208)="","",INDEX('Master Database'!$Z$1:$Z$600,$B208)))</f>
        <v/>
      </c>
      <c r="S208" s="70" t="str">
        <f aca="false">IF($B208="","",IF(INDEX('Master Database'!$AA$1:$AA$600,$B208)="","",INDEX('Master Database'!$AA$1:$AA$600,$B208)))</f>
        <v/>
      </c>
      <c r="T208" s="68" t="str">
        <f aca="false">IF($B208="","",IF(INDEX('Master Database'!$AE$1:$AE$600,$B208)="","",INDEX('Master Database'!$AE$1:$AE$600,$B208)))</f>
        <v/>
      </c>
      <c r="U208" s="70" t="str">
        <f aca="false">IF($B208="","",IF(INDEX('Master Database'!$AG$1:$AG$600,$B208)="","",INDEX('Master Database'!$AG$1:$AG$600,$B208)))</f>
        <v/>
      </c>
      <c r="V208" s="70" t="str">
        <f aca="false">IF($B208="","",IF(INDEX('Master Database'!$AH$1:$AH$600,$B208)="","",INDEX('Master Database'!$AH$1:$AH$600,$B208)))</f>
        <v/>
      </c>
      <c r="W208" s="70" t="str">
        <f aca="false">IF($B208="","",IF(INDEX('Master Database'!$AI$1:$AI$600,$B208)="","",INDEX('Master Database'!$AI$1:$AI$600,$B208)))</f>
        <v/>
      </c>
      <c r="X208" s="68" t="str">
        <f aca="false">IF($B208="","",IF(INDEX('Master Database'!$BG$1:$BG$600,$B208)="","",INDEX('Master Database'!$BG$1:$BG$600,$B208)))</f>
        <v/>
      </c>
      <c r="BA208" s="65" t="n">
        <f aca="false">IF('Master Database'!$A208="",0,IF(AND(OR($B$5="",ISNUMBER(SEARCH($B$5,'Master Database'!$B208&amp;" "&amp;'Master Database'!$D208))),OR($B$6="(All)",'Master Database'!$C208=$B$6),OR($B$7="(All)",'Master Database'!$E208=$B$7),OR($B$8="(All)",'Master Database'!$T208=$B$8),OR($B$9="(All)",'Master Database'!$M208=$B$9),OR($B$10="(All)",'Master Database'!$V208=$B$10),OR($E$5="(All)",'Master Database'!$F208=$E$5),OR($E$6="(All)",'Master Database'!$G208=$E$6),OR($E$7="(All)",'Master Database'!$O208=$E$7),OR($E$8="(All)",'Master Database'!$P208=$E$8),OR($E$9="(All)",'Master Database'!$S208=$E$9),OR($E$10="(All)",'Master Database'!$Y208&amp;""=$E$10&amp;""),OR($H$5="(All)",'Master Database'!$BG208=$H$5),OR($H$6&lt;&gt;"Y",ISNUMBER('Master Database'!$AG208)),OR($H$7="",AND(ISNUMBER('Master Database'!$H208),N('Master Database'!$H208)&gt;=$H$7)),OR($I$7="",AND(ISNUMBER('Master Database'!$H208),N('Master Database'!$H208)&lt;=$I$7)),OR($H$8="",AND(ISNUMBER('Master Database'!$I208),N('Master Database'!$I208)&gt;=$H$8)),OR($I$8="",AND(ISNUMBER('Master Database'!$I208),N('Master Database'!$I208)&lt;=$I$8)),OR($H$9="",AND(ISNUMBER('Master Database'!$K208),N('Master Database'!$K208)&gt;=$H$9)),OR($I$9="",AND(ISNUMBER('Master Database'!$K208),N('Master Database'!$K208)&lt;=$I$9))),1,0))</f>
        <v>0</v>
      </c>
      <c r="BB208" s="0" t="str">
        <f aca="false">IF(BA208=1,COUNTIF($BA$5:BA208,1),"")</f>
        <v/>
      </c>
    </row>
    <row r="209" customFormat="false" ht="15" hidden="false" customHeight="false" outlineLevel="0" collapsed="false">
      <c r="A209" s="67" t="str">
        <f aca="false">IF(194&lt;=SUM($BA$5:$BA$600),194,"")</f>
        <v/>
      </c>
      <c r="B209" s="67" t="str">
        <f aca="false">IF(A209="","",MATCH(A209,$BB$5:$BB$600,0)+4)</f>
        <v/>
      </c>
      <c r="C209" s="67" t="str">
        <f aca="false">IF($B209="","",IF(INDEX('Master Database'!$A$1:$A$600,$B209)="","",INDEX('Master Database'!$A$1:$A$600,$B209)))</f>
        <v/>
      </c>
      <c r="D209" s="68" t="str">
        <f aca="false">IF($B209="","",IF(INDEX('Master Database'!$B$1:$B$600,$B209)="","",INDEX('Master Database'!$B$1:$B$600,$B209)))</f>
        <v/>
      </c>
      <c r="E209" s="68" t="str">
        <f aca="false">IF($B209="","",IF(INDEX('Master Database'!$C$1:$C$600,$B209)="","",INDEX('Master Database'!$C$1:$C$600,$B209)))</f>
        <v/>
      </c>
      <c r="F209" s="68" t="str">
        <f aca="false">IF($B209="","",IF(INDEX('Master Database'!$D$1:$D$600,$B209)="","",INDEX('Master Database'!$D$1:$D$600,$B209)))</f>
        <v/>
      </c>
      <c r="G209" s="68" t="str">
        <f aca="false">IF($B209="","",IF(INDEX('Master Database'!$E$1:$E$600,$B209)="","",INDEX('Master Database'!$E$1:$E$600,$B209)))</f>
        <v/>
      </c>
      <c r="H209" s="68" t="str">
        <f aca="false">IF($B209="","",IF(INDEX('Master Database'!$F$1:$F$600,$B209)="","",INDEX('Master Database'!$F$1:$F$600,$B209)))</f>
        <v/>
      </c>
      <c r="I209" s="68" t="str">
        <f aca="false">IF($B209="","",IF(INDEX('Master Database'!$G$1:$G$600,$B209)="","",INDEX('Master Database'!$G$1:$G$600,$B209)))</f>
        <v/>
      </c>
      <c r="J209" s="69" t="str">
        <f aca="false">IF($B209="","",IF(INDEX('Master Database'!$H$1:$H$600,$B209)="","",INDEX('Master Database'!$H$1:$H$600,$B209)))</f>
        <v/>
      </c>
      <c r="K209" s="69" t="str">
        <f aca="false">IF($B209="","",IF(INDEX('Master Database'!$I$1:$I$600,$B209)="","",INDEX('Master Database'!$I$1:$I$600,$B209)))</f>
        <v/>
      </c>
      <c r="L209" s="69" t="str">
        <f aca="false">IF($B209="","",IF(INDEX('Master Database'!$K$1:$K$600,$B209)="","",INDEX('Master Database'!$K$1:$K$600,$B209)))</f>
        <v/>
      </c>
      <c r="M209" s="68" t="str">
        <f aca="false">IF($B209="","",IF(INDEX('Master Database'!$L$1:$L$600,$B209)="","",INDEX('Master Database'!$L$1:$L$600,$B209)))</f>
        <v/>
      </c>
      <c r="N209" s="68" t="str">
        <f aca="false">IF($B209="","",IF(INDEX('Master Database'!$P$1:$P$600,$B209)="","",INDEX('Master Database'!$P$1:$P$600,$B209)))</f>
        <v/>
      </c>
      <c r="O209" s="68" t="str">
        <f aca="false">IF($B209="","",IF(INDEX('Master Database'!$S$1:$S$600,$B209)="","",INDEX('Master Database'!$S$1:$S$600,$B209)))</f>
        <v/>
      </c>
      <c r="P209" s="68" t="str">
        <f aca="false">IF($B209="","",IF(INDEX('Master Database'!$T$1:$T$600,$B209)="","",INDEX('Master Database'!$T$1:$T$600,$B209)))</f>
        <v/>
      </c>
      <c r="Q209" s="68" t="str">
        <f aca="false">IF($B209="","",IF(INDEX('Master Database'!$Y$1:$Y$600,$B209)="","",INDEX('Master Database'!$Y$1:$Y$600,$B209)))</f>
        <v/>
      </c>
      <c r="R209" s="68" t="str">
        <f aca="false">IF($B209="","",IF(INDEX('Master Database'!$Z$1:$Z$600,$B209)="","",INDEX('Master Database'!$Z$1:$Z$600,$B209)))</f>
        <v/>
      </c>
      <c r="S209" s="70" t="str">
        <f aca="false">IF($B209="","",IF(INDEX('Master Database'!$AA$1:$AA$600,$B209)="","",INDEX('Master Database'!$AA$1:$AA$600,$B209)))</f>
        <v/>
      </c>
      <c r="T209" s="68" t="str">
        <f aca="false">IF($B209="","",IF(INDEX('Master Database'!$AE$1:$AE$600,$B209)="","",INDEX('Master Database'!$AE$1:$AE$600,$B209)))</f>
        <v/>
      </c>
      <c r="U209" s="70" t="str">
        <f aca="false">IF($B209="","",IF(INDEX('Master Database'!$AG$1:$AG$600,$B209)="","",INDEX('Master Database'!$AG$1:$AG$600,$B209)))</f>
        <v/>
      </c>
      <c r="V209" s="70" t="str">
        <f aca="false">IF($B209="","",IF(INDEX('Master Database'!$AH$1:$AH$600,$B209)="","",INDEX('Master Database'!$AH$1:$AH$600,$B209)))</f>
        <v/>
      </c>
      <c r="W209" s="70" t="str">
        <f aca="false">IF($B209="","",IF(INDEX('Master Database'!$AI$1:$AI$600,$B209)="","",INDEX('Master Database'!$AI$1:$AI$600,$B209)))</f>
        <v/>
      </c>
      <c r="X209" s="68" t="str">
        <f aca="false">IF($B209="","",IF(INDEX('Master Database'!$BG$1:$BG$600,$B209)="","",INDEX('Master Database'!$BG$1:$BG$600,$B209)))</f>
        <v/>
      </c>
      <c r="BA209" s="65" t="n">
        <f aca="false">IF('Master Database'!$A209="",0,IF(AND(OR($B$5="",ISNUMBER(SEARCH($B$5,'Master Database'!$B209&amp;" "&amp;'Master Database'!$D209))),OR($B$6="(All)",'Master Database'!$C209=$B$6),OR($B$7="(All)",'Master Database'!$E209=$B$7),OR($B$8="(All)",'Master Database'!$T209=$B$8),OR($B$9="(All)",'Master Database'!$M209=$B$9),OR($B$10="(All)",'Master Database'!$V209=$B$10),OR($E$5="(All)",'Master Database'!$F209=$E$5),OR($E$6="(All)",'Master Database'!$G209=$E$6),OR($E$7="(All)",'Master Database'!$O209=$E$7),OR($E$8="(All)",'Master Database'!$P209=$E$8),OR($E$9="(All)",'Master Database'!$S209=$E$9),OR($E$10="(All)",'Master Database'!$Y209&amp;""=$E$10&amp;""),OR($H$5="(All)",'Master Database'!$BG209=$H$5),OR($H$6&lt;&gt;"Y",ISNUMBER('Master Database'!$AG209)),OR($H$7="",AND(ISNUMBER('Master Database'!$H209),N('Master Database'!$H209)&gt;=$H$7)),OR($I$7="",AND(ISNUMBER('Master Database'!$H209),N('Master Database'!$H209)&lt;=$I$7)),OR($H$8="",AND(ISNUMBER('Master Database'!$I209),N('Master Database'!$I209)&gt;=$H$8)),OR($I$8="",AND(ISNUMBER('Master Database'!$I209),N('Master Database'!$I209)&lt;=$I$8)),OR($H$9="",AND(ISNUMBER('Master Database'!$K209),N('Master Database'!$K209)&gt;=$H$9)),OR($I$9="",AND(ISNUMBER('Master Database'!$K209),N('Master Database'!$K209)&lt;=$I$9))),1,0))</f>
        <v>0</v>
      </c>
      <c r="BB209" s="0" t="str">
        <f aca="false">IF(BA209=1,COUNTIF($BA$5:BA209,1),"")</f>
        <v/>
      </c>
    </row>
    <row r="210" customFormat="false" ht="15" hidden="false" customHeight="false" outlineLevel="0" collapsed="false">
      <c r="A210" s="67" t="str">
        <f aca="false">IF(195&lt;=SUM($BA$5:$BA$600),195,"")</f>
        <v/>
      </c>
      <c r="B210" s="67" t="str">
        <f aca="false">IF(A210="","",MATCH(A210,$BB$5:$BB$600,0)+4)</f>
        <v/>
      </c>
      <c r="C210" s="67" t="str">
        <f aca="false">IF($B210="","",IF(INDEX('Master Database'!$A$1:$A$600,$B210)="","",INDEX('Master Database'!$A$1:$A$600,$B210)))</f>
        <v/>
      </c>
      <c r="D210" s="68" t="str">
        <f aca="false">IF($B210="","",IF(INDEX('Master Database'!$B$1:$B$600,$B210)="","",INDEX('Master Database'!$B$1:$B$600,$B210)))</f>
        <v/>
      </c>
      <c r="E210" s="68" t="str">
        <f aca="false">IF($B210="","",IF(INDEX('Master Database'!$C$1:$C$600,$B210)="","",INDEX('Master Database'!$C$1:$C$600,$B210)))</f>
        <v/>
      </c>
      <c r="F210" s="68" t="str">
        <f aca="false">IF($B210="","",IF(INDEX('Master Database'!$D$1:$D$600,$B210)="","",INDEX('Master Database'!$D$1:$D$600,$B210)))</f>
        <v/>
      </c>
      <c r="G210" s="68" t="str">
        <f aca="false">IF($B210="","",IF(INDEX('Master Database'!$E$1:$E$600,$B210)="","",INDEX('Master Database'!$E$1:$E$600,$B210)))</f>
        <v/>
      </c>
      <c r="H210" s="68" t="str">
        <f aca="false">IF($B210="","",IF(INDEX('Master Database'!$F$1:$F$600,$B210)="","",INDEX('Master Database'!$F$1:$F$600,$B210)))</f>
        <v/>
      </c>
      <c r="I210" s="68" t="str">
        <f aca="false">IF($B210="","",IF(INDEX('Master Database'!$G$1:$G$600,$B210)="","",INDEX('Master Database'!$G$1:$G$600,$B210)))</f>
        <v/>
      </c>
      <c r="J210" s="69" t="str">
        <f aca="false">IF($B210="","",IF(INDEX('Master Database'!$H$1:$H$600,$B210)="","",INDEX('Master Database'!$H$1:$H$600,$B210)))</f>
        <v/>
      </c>
      <c r="K210" s="69" t="str">
        <f aca="false">IF($B210="","",IF(INDEX('Master Database'!$I$1:$I$600,$B210)="","",INDEX('Master Database'!$I$1:$I$600,$B210)))</f>
        <v/>
      </c>
      <c r="L210" s="69" t="str">
        <f aca="false">IF($B210="","",IF(INDEX('Master Database'!$K$1:$K$600,$B210)="","",INDEX('Master Database'!$K$1:$K$600,$B210)))</f>
        <v/>
      </c>
      <c r="M210" s="68" t="str">
        <f aca="false">IF($B210="","",IF(INDEX('Master Database'!$L$1:$L$600,$B210)="","",INDEX('Master Database'!$L$1:$L$600,$B210)))</f>
        <v/>
      </c>
      <c r="N210" s="68" t="str">
        <f aca="false">IF($B210="","",IF(INDEX('Master Database'!$P$1:$P$600,$B210)="","",INDEX('Master Database'!$P$1:$P$600,$B210)))</f>
        <v/>
      </c>
      <c r="O210" s="68" t="str">
        <f aca="false">IF($B210="","",IF(INDEX('Master Database'!$S$1:$S$600,$B210)="","",INDEX('Master Database'!$S$1:$S$600,$B210)))</f>
        <v/>
      </c>
      <c r="P210" s="68" t="str">
        <f aca="false">IF($B210="","",IF(INDEX('Master Database'!$T$1:$T$600,$B210)="","",INDEX('Master Database'!$T$1:$T$600,$B210)))</f>
        <v/>
      </c>
      <c r="Q210" s="68" t="str">
        <f aca="false">IF($B210="","",IF(INDEX('Master Database'!$Y$1:$Y$600,$B210)="","",INDEX('Master Database'!$Y$1:$Y$600,$B210)))</f>
        <v/>
      </c>
      <c r="R210" s="68" t="str">
        <f aca="false">IF($B210="","",IF(INDEX('Master Database'!$Z$1:$Z$600,$B210)="","",INDEX('Master Database'!$Z$1:$Z$600,$B210)))</f>
        <v/>
      </c>
      <c r="S210" s="70" t="str">
        <f aca="false">IF($B210="","",IF(INDEX('Master Database'!$AA$1:$AA$600,$B210)="","",INDEX('Master Database'!$AA$1:$AA$600,$B210)))</f>
        <v/>
      </c>
      <c r="T210" s="68" t="str">
        <f aca="false">IF($B210="","",IF(INDEX('Master Database'!$AE$1:$AE$600,$B210)="","",INDEX('Master Database'!$AE$1:$AE$600,$B210)))</f>
        <v/>
      </c>
      <c r="U210" s="70" t="str">
        <f aca="false">IF($B210="","",IF(INDEX('Master Database'!$AG$1:$AG$600,$B210)="","",INDEX('Master Database'!$AG$1:$AG$600,$B210)))</f>
        <v/>
      </c>
      <c r="V210" s="70" t="str">
        <f aca="false">IF($B210="","",IF(INDEX('Master Database'!$AH$1:$AH$600,$B210)="","",INDEX('Master Database'!$AH$1:$AH$600,$B210)))</f>
        <v/>
      </c>
      <c r="W210" s="70" t="str">
        <f aca="false">IF($B210="","",IF(INDEX('Master Database'!$AI$1:$AI$600,$B210)="","",INDEX('Master Database'!$AI$1:$AI$600,$B210)))</f>
        <v/>
      </c>
      <c r="X210" s="68" t="str">
        <f aca="false">IF($B210="","",IF(INDEX('Master Database'!$BG$1:$BG$600,$B210)="","",INDEX('Master Database'!$BG$1:$BG$600,$B210)))</f>
        <v/>
      </c>
      <c r="BA210" s="65" t="n">
        <f aca="false">IF('Master Database'!$A210="",0,IF(AND(OR($B$5="",ISNUMBER(SEARCH($B$5,'Master Database'!$B210&amp;" "&amp;'Master Database'!$D210))),OR($B$6="(All)",'Master Database'!$C210=$B$6),OR($B$7="(All)",'Master Database'!$E210=$B$7),OR($B$8="(All)",'Master Database'!$T210=$B$8),OR($B$9="(All)",'Master Database'!$M210=$B$9),OR($B$10="(All)",'Master Database'!$V210=$B$10),OR($E$5="(All)",'Master Database'!$F210=$E$5),OR($E$6="(All)",'Master Database'!$G210=$E$6),OR($E$7="(All)",'Master Database'!$O210=$E$7),OR($E$8="(All)",'Master Database'!$P210=$E$8),OR($E$9="(All)",'Master Database'!$S210=$E$9),OR($E$10="(All)",'Master Database'!$Y210&amp;""=$E$10&amp;""),OR($H$5="(All)",'Master Database'!$BG210=$H$5),OR($H$6&lt;&gt;"Y",ISNUMBER('Master Database'!$AG210)),OR($H$7="",AND(ISNUMBER('Master Database'!$H210),N('Master Database'!$H210)&gt;=$H$7)),OR($I$7="",AND(ISNUMBER('Master Database'!$H210),N('Master Database'!$H210)&lt;=$I$7)),OR($H$8="",AND(ISNUMBER('Master Database'!$I210),N('Master Database'!$I210)&gt;=$H$8)),OR($I$8="",AND(ISNUMBER('Master Database'!$I210),N('Master Database'!$I210)&lt;=$I$8)),OR($H$9="",AND(ISNUMBER('Master Database'!$K210),N('Master Database'!$K210)&gt;=$H$9)),OR($I$9="",AND(ISNUMBER('Master Database'!$K210),N('Master Database'!$K210)&lt;=$I$9))),1,0))</f>
        <v>0</v>
      </c>
      <c r="BB210" s="0" t="str">
        <f aca="false">IF(BA210=1,COUNTIF($BA$5:BA210,1),"")</f>
        <v/>
      </c>
    </row>
    <row r="211" customFormat="false" ht="15" hidden="false" customHeight="false" outlineLevel="0" collapsed="false">
      <c r="A211" s="67" t="str">
        <f aca="false">IF(196&lt;=SUM($BA$5:$BA$600),196,"")</f>
        <v/>
      </c>
      <c r="B211" s="67" t="str">
        <f aca="false">IF(A211="","",MATCH(A211,$BB$5:$BB$600,0)+4)</f>
        <v/>
      </c>
      <c r="C211" s="67" t="str">
        <f aca="false">IF($B211="","",IF(INDEX('Master Database'!$A$1:$A$600,$B211)="","",INDEX('Master Database'!$A$1:$A$600,$B211)))</f>
        <v/>
      </c>
      <c r="D211" s="68" t="str">
        <f aca="false">IF($B211="","",IF(INDEX('Master Database'!$B$1:$B$600,$B211)="","",INDEX('Master Database'!$B$1:$B$600,$B211)))</f>
        <v/>
      </c>
      <c r="E211" s="68" t="str">
        <f aca="false">IF($B211="","",IF(INDEX('Master Database'!$C$1:$C$600,$B211)="","",INDEX('Master Database'!$C$1:$C$600,$B211)))</f>
        <v/>
      </c>
      <c r="F211" s="68" t="str">
        <f aca="false">IF($B211="","",IF(INDEX('Master Database'!$D$1:$D$600,$B211)="","",INDEX('Master Database'!$D$1:$D$600,$B211)))</f>
        <v/>
      </c>
      <c r="G211" s="68" t="str">
        <f aca="false">IF($B211="","",IF(INDEX('Master Database'!$E$1:$E$600,$B211)="","",INDEX('Master Database'!$E$1:$E$600,$B211)))</f>
        <v/>
      </c>
      <c r="H211" s="68" t="str">
        <f aca="false">IF($B211="","",IF(INDEX('Master Database'!$F$1:$F$600,$B211)="","",INDEX('Master Database'!$F$1:$F$600,$B211)))</f>
        <v/>
      </c>
      <c r="I211" s="68" t="str">
        <f aca="false">IF($B211="","",IF(INDEX('Master Database'!$G$1:$G$600,$B211)="","",INDEX('Master Database'!$G$1:$G$600,$B211)))</f>
        <v/>
      </c>
      <c r="J211" s="69" t="str">
        <f aca="false">IF($B211="","",IF(INDEX('Master Database'!$H$1:$H$600,$B211)="","",INDEX('Master Database'!$H$1:$H$600,$B211)))</f>
        <v/>
      </c>
      <c r="K211" s="69" t="str">
        <f aca="false">IF($B211="","",IF(INDEX('Master Database'!$I$1:$I$600,$B211)="","",INDEX('Master Database'!$I$1:$I$600,$B211)))</f>
        <v/>
      </c>
      <c r="L211" s="69" t="str">
        <f aca="false">IF($B211="","",IF(INDEX('Master Database'!$K$1:$K$600,$B211)="","",INDEX('Master Database'!$K$1:$K$600,$B211)))</f>
        <v/>
      </c>
      <c r="M211" s="68" t="str">
        <f aca="false">IF($B211="","",IF(INDEX('Master Database'!$L$1:$L$600,$B211)="","",INDEX('Master Database'!$L$1:$L$600,$B211)))</f>
        <v/>
      </c>
      <c r="N211" s="68" t="str">
        <f aca="false">IF($B211="","",IF(INDEX('Master Database'!$P$1:$P$600,$B211)="","",INDEX('Master Database'!$P$1:$P$600,$B211)))</f>
        <v/>
      </c>
      <c r="O211" s="68" t="str">
        <f aca="false">IF($B211="","",IF(INDEX('Master Database'!$S$1:$S$600,$B211)="","",INDEX('Master Database'!$S$1:$S$600,$B211)))</f>
        <v/>
      </c>
      <c r="P211" s="68" t="str">
        <f aca="false">IF($B211="","",IF(INDEX('Master Database'!$T$1:$T$600,$B211)="","",INDEX('Master Database'!$T$1:$T$600,$B211)))</f>
        <v/>
      </c>
      <c r="Q211" s="68" t="str">
        <f aca="false">IF($B211="","",IF(INDEX('Master Database'!$Y$1:$Y$600,$B211)="","",INDEX('Master Database'!$Y$1:$Y$600,$B211)))</f>
        <v/>
      </c>
      <c r="R211" s="68" t="str">
        <f aca="false">IF($B211="","",IF(INDEX('Master Database'!$Z$1:$Z$600,$B211)="","",INDEX('Master Database'!$Z$1:$Z$600,$B211)))</f>
        <v/>
      </c>
      <c r="S211" s="70" t="str">
        <f aca="false">IF($B211="","",IF(INDEX('Master Database'!$AA$1:$AA$600,$B211)="","",INDEX('Master Database'!$AA$1:$AA$600,$B211)))</f>
        <v/>
      </c>
      <c r="T211" s="68" t="str">
        <f aca="false">IF($B211="","",IF(INDEX('Master Database'!$AE$1:$AE$600,$B211)="","",INDEX('Master Database'!$AE$1:$AE$600,$B211)))</f>
        <v/>
      </c>
      <c r="U211" s="70" t="str">
        <f aca="false">IF($B211="","",IF(INDEX('Master Database'!$AG$1:$AG$600,$B211)="","",INDEX('Master Database'!$AG$1:$AG$600,$B211)))</f>
        <v/>
      </c>
      <c r="V211" s="70" t="str">
        <f aca="false">IF($B211="","",IF(INDEX('Master Database'!$AH$1:$AH$600,$B211)="","",INDEX('Master Database'!$AH$1:$AH$600,$B211)))</f>
        <v/>
      </c>
      <c r="W211" s="70" t="str">
        <f aca="false">IF($B211="","",IF(INDEX('Master Database'!$AI$1:$AI$600,$B211)="","",INDEX('Master Database'!$AI$1:$AI$600,$B211)))</f>
        <v/>
      </c>
      <c r="X211" s="68" t="str">
        <f aca="false">IF($B211="","",IF(INDEX('Master Database'!$BG$1:$BG$600,$B211)="","",INDEX('Master Database'!$BG$1:$BG$600,$B211)))</f>
        <v/>
      </c>
      <c r="BA211" s="65" t="n">
        <f aca="false">IF('Master Database'!$A211="",0,IF(AND(OR($B$5="",ISNUMBER(SEARCH($B$5,'Master Database'!$B211&amp;" "&amp;'Master Database'!$D211))),OR($B$6="(All)",'Master Database'!$C211=$B$6),OR($B$7="(All)",'Master Database'!$E211=$B$7),OR($B$8="(All)",'Master Database'!$T211=$B$8),OR($B$9="(All)",'Master Database'!$M211=$B$9),OR($B$10="(All)",'Master Database'!$V211=$B$10),OR($E$5="(All)",'Master Database'!$F211=$E$5),OR($E$6="(All)",'Master Database'!$G211=$E$6),OR($E$7="(All)",'Master Database'!$O211=$E$7),OR($E$8="(All)",'Master Database'!$P211=$E$8),OR($E$9="(All)",'Master Database'!$S211=$E$9),OR($E$10="(All)",'Master Database'!$Y211&amp;""=$E$10&amp;""),OR($H$5="(All)",'Master Database'!$BG211=$H$5),OR($H$6&lt;&gt;"Y",ISNUMBER('Master Database'!$AG211)),OR($H$7="",AND(ISNUMBER('Master Database'!$H211),N('Master Database'!$H211)&gt;=$H$7)),OR($I$7="",AND(ISNUMBER('Master Database'!$H211),N('Master Database'!$H211)&lt;=$I$7)),OR($H$8="",AND(ISNUMBER('Master Database'!$I211),N('Master Database'!$I211)&gt;=$H$8)),OR($I$8="",AND(ISNUMBER('Master Database'!$I211),N('Master Database'!$I211)&lt;=$I$8)),OR($H$9="",AND(ISNUMBER('Master Database'!$K211),N('Master Database'!$K211)&gt;=$H$9)),OR($I$9="",AND(ISNUMBER('Master Database'!$K211),N('Master Database'!$K211)&lt;=$I$9))),1,0))</f>
        <v>0</v>
      </c>
      <c r="BB211" s="0" t="str">
        <f aca="false">IF(BA211=1,COUNTIF($BA$5:BA211,1),"")</f>
        <v/>
      </c>
    </row>
    <row r="212" customFormat="false" ht="15" hidden="false" customHeight="false" outlineLevel="0" collapsed="false">
      <c r="A212" s="67" t="str">
        <f aca="false">IF(197&lt;=SUM($BA$5:$BA$600),197,"")</f>
        <v/>
      </c>
      <c r="B212" s="67" t="str">
        <f aca="false">IF(A212="","",MATCH(A212,$BB$5:$BB$600,0)+4)</f>
        <v/>
      </c>
      <c r="C212" s="67" t="str">
        <f aca="false">IF($B212="","",IF(INDEX('Master Database'!$A$1:$A$600,$B212)="","",INDEX('Master Database'!$A$1:$A$600,$B212)))</f>
        <v/>
      </c>
      <c r="D212" s="68" t="str">
        <f aca="false">IF($B212="","",IF(INDEX('Master Database'!$B$1:$B$600,$B212)="","",INDEX('Master Database'!$B$1:$B$600,$B212)))</f>
        <v/>
      </c>
      <c r="E212" s="68" t="str">
        <f aca="false">IF($B212="","",IF(INDEX('Master Database'!$C$1:$C$600,$B212)="","",INDEX('Master Database'!$C$1:$C$600,$B212)))</f>
        <v/>
      </c>
      <c r="F212" s="68" t="str">
        <f aca="false">IF($B212="","",IF(INDEX('Master Database'!$D$1:$D$600,$B212)="","",INDEX('Master Database'!$D$1:$D$600,$B212)))</f>
        <v/>
      </c>
      <c r="G212" s="68" t="str">
        <f aca="false">IF($B212="","",IF(INDEX('Master Database'!$E$1:$E$600,$B212)="","",INDEX('Master Database'!$E$1:$E$600,$B212)))</f>
        <v/>
      </c>
      <c r="H212" s="68" t="str">
        <f aca="false">IF($B212="","",IF(INDEX('Master Database'!$F$1:$F$600,$B212)="","",INDEX('Master Database'!$F$1:$F$600,$B212)))</f>
        <v/>
      </c>
      <c r="I212" s="68" t="str">
        <f aca="false">IF($B212="","",IF(INDEX('Master Database'!$G$1:$G$600,$B212)="","",INDEX('Master Database'!$G$1:$G$600,$B212)))</f>
        <v/>
      </c>
      <c r="J212" s="69" t="str">
        <f aca="false">IF($B212="","",IF(INDEX('Master Database'!$H$1:$H$600,$B212)="","",INDEX('Master Database'!$H$1:$H$600,$B212)))</f>
        <v/>
      </c>
      <c r="K212" s="69" t="str">
        <f aca="false">IF($B212="","",IF(INDEX('Master Database'!$I$1:$I$600,$B212)="","",INDEX('Master Database'!$I$1:$I$600,$B212)))</f>
        <v/>
      </c>
      <c r="L212" s="69" t="str">
        <f aca="false">IF($B212="","",IF(INDEX('Master Database'!$K$1:$K$600,$B212)="","",INDEX('Master Database'!$K$1:$K$600,$B212)))</f>
        <v/>
      </c>
      <c r="M212" s="68" t="str">
        <f aca="false">IF($B212="","",IF(INDEX('Master Database'!$L$1:$L$600,$B212)="","",INDEX('Master Database'!$L$1:$L$600,$B212)))</f>
        <v/>
      </c>
      <c r="N212" s="68" t="str">
        <f aca="false">IF($B212="","",IF(INDEX('Master Database'!$P$1:$P$600,$B212)="","",INDEX('Master Database'!$P$1:$P$600,$B212)))</f>
        <v/>
      </c>
      <c r="O212" s="68" t="str">
        <f aca="false">IF($B212="","",IF(INDEX('Master Database'!$S$1:$S$600,$B212)="","",INDEX('Master Database'!$S$1:$S$600,$B212)))</f>
        <v/>
      </c>
      <c r="P212" s="68" t="str">
        <f aca="false">IF($B212="","",IF(INDEX('Master Database'!$T$1:$T$600,$B212)="","",INDEX('Master Database'!$T$1:$T$600,$B212)))</f>
        <v/>
      </c>
      <c r="Q212" s="68" t="str">
        <f aca="false">IF($B212="","",IF(INDEX('Master Database'!$Y$1:$Y$600,$B212)="","",INDEX('Master Database'!$Y$1:$Y$600,$B212)))</f>
        <v/>
      </c>
      <c r="R212" s="68" t="str">
        <f aca="false">IF($B212="","",IF(INDEX('Master Database'!$Z$1:$Z$600,$B212)="","",INDEX('Master Database'!$Z$1:$Z$600,$B212)))</f>
        <v/>
      </c>
      <c r="S212" s="70" t="str">
        <f aca="false">IF($B212="","",IF(INDEX('Master Database'!$AA$1:$AA$600,$B212)="","",INDEX('Master Database'!$AA$1:$AA$600,$B212)))</f>
        <v/>
      </c>
      <c r="T212" s="68" t="str">
        <f aca="false">IF($B212="","",IF(INDEX('Master Database'!$AE$1:$AE$600,$B212)="","",INDEX('Master Database'!$AE$1:$AE$600,$B212)))</f>
        <v/>
      </c>
      <c r="U212" s="70" t="str">
        <f aca="false">IF($B212="","",IF(INDEX('Master Database'!$AG$1:$AG$600,$B212)="","",INDEX('Master Database'!$AG$1:$AG$600,$B212)))</f>
        <v/>
      </c>
      <c r="V212" s="70" t="str">
        <f aca="false">IF($B212="","",IF(INDEX('Master Database'!$AH$1:$AH$600,$B212)="","",INDEX('Master Database'!$AH$1:$AH$600,$B212)))</f>
        <v/>
      </c>
      <c r="W212" s="70" t="str">
        <f aca="false">IF($B212="","",IF(INDEX('Master Database'!$AI$1:$AI$600,$B212)="","",INDEX('Master Database'!$AI$1:$AI$600,$B212)))</f>
        <v/>
      </c>
      <c r="X212" s="68" t="str">
        <f aca="false">IF($B212="","",IF(INDEX('Master Database'!$BG$1:$BG$600,$B212)="","",INDEX('Master Database'!$BG$1:$BG$600,$B212)))</f>
        <v/>
      </c>
      <c r="BA212" s="65" t="n">
        <f aca="false">IF('Master Database'!$A212="",0,IF(AND(OR($B$5="",ISNUMBER(SEARCH($B$5,'Master Database'!$B212&amp;" "&amp;'Master Database'!$D212))),OR($B$6="(All)",'Master Database'!$C212=$B$6),OR($B$7="(All)",'Master Database'!$E212=$B$7),OR($B$8="(All)",'Master Database'!$T212=$B$8),OR($B$9="(All)",'Master Database'!$M212=$B$9),OR($B$10="(All)",'Master Database'!$V212=$B$10),OR($E$5="(All)",'Master Database'!$F212=$E$5),OR($E$6="(All)",'Master Database'!$G212=$E$6),OR($E$7="(All)",'Master Database'!$O212=$E$7),OR($E$8="(All)",'Master Database'!$P212=$E$8),OR($E$9="(All)",'Master Database'!$S212=$E$9),OR($E$10="(All)",'Master Database'!$Y212&amp;""=$E$10&amp;""),OR($H$5="(All)",'Master Database'!$BG212=$H$5),OR($H$6&lt;&gt;"Y",ISNUMBER('Master Database'!$AG212)),OR($H$7="",AND(ISNUMBER('Master Database'!$H212),N('Master Database'!$H212)&gt;=$H$7)),OR($I$7="",AND(ISNUMBER('Master Database'!$H212),N('Master Database'!$H212)&lt;=$I$7)),OR($H$8="",AND(ISNUMBER('Master Database'!$I212),N('Master Database'!$I212)&gt;=$H$8)),OR($I$8="",AND(ISNUMBER('Master Database'!$I212),N('Master Database'!$I212)&lt;=$I$8)),OR($H$9="",AND(ISNUMBER('Master Database'!$K212),N('Master Database'!$K212)&gt;=$H$9)),OR($I$9="",AND(ISNUMBER('Master Database'!$K212),N('Master Database'!$K212)&lt;=$I$9))),1,0))</f>
        <v>0</v>
      </c>
      <c r="BB212" s="0" t="str">
        <f aca="false">IF(BA212=1,COUNTIF($BA$5:BA212,1),"")</f>
        <v/>
      </c>
    </row>
    <row r="213" customFormat="false" ht="15" hidden="false" customHeight="false" outlineLevel="0" collapsed="false">
      <c r="A213" s="67" t="str">
        <f aca="false">IF(198&lt;=SUM($BA$5:$BA$600),198,"")</f>
        <v/>
      </c>
      <c r="B213" s="67" t="str">
        <f aca="false">IF(A213="","",MATCH(A213,$BB$5:$BB$600,0)+4)</f>
        <v/>
      </c>
      <c r="C213" s="67" t="str">
        <f aca="false">IF($B213="","",IF(INDEX('Master Database'!$A$1:$A$600,$B213)="","",INDEX('Master Database'!$A$1:$A$600,$B213)))</f>
        <v/>
      </c>
      <c r="D213" s="68" t="str">
        <f aca="false">IF($B213="","",IF(INDEX('Master Database'!$B$1:$B$600,$B213)="","",INDEX('Master Database'!$B$1:$B$600,$B213)))</f>
        <v/>
      </c>
      <c r="E213" s="68" t="str">
        <f aca="false">IF($B213="","",IF(INDEX('Master Database'!$C$1:$C$600,$B213)="","",INDEX('Master Database'!$C$1:$C$600,$B213)))</f>
        <v/>
      </c>
      <c r="F213" s="68" t="str">
        <f aca="false">IF($B213="","",IF(INDEX('Master Database'!$D$1:$D$600,$B213)="","",INDEX('Master Database'!$D$1:$D$600,$B213)))</f>
        <v/>
      </c>
      <c r="G213" s="68" t="str">
        <f aca="false">IF($B213="","",IF(INDEX('Master Database'!$E$1:$E$600,$B213)="","",INDEX('Master Database'!$E$1:$E$600,$B213)))</f>
        <v/>
      </c>
      <c r="H213" s="68" t="str">
        <f aca="false">IF($B213="","",IF(INDEX('Master Database'!$F$1:$F$600,$B213)="","",INDEX('Master Database'!$F$1:$F$600,$B213)))</f>
        <v/>
      </c>
      <c r="I213" s="68" t="str">
        <f aca="false">IF($B213="","",IF(INDEX('Master Database'!$G$1:$G$600,$B213)="","",INDEX('Master Database'!$G$1:$G$600,$B213)))</f>
        <v/>
      </c>
      <c r="J213" s="69" t="str">
        <f aca="false">IF($B213="","",IF(INDEX('Master Database'!$H$1:$H$600,$B213)="","",INDEX('Master Database'!$H$1:$H$600,$B213)))</f>
        <v/>
      </c>
      <c r="K213" s="69" t="str">
        <f aca="false">IF($B213="","",IF(INDEX('Master Database'!$I$1:$I$600,$B213)="","",INDEX('Master Database'!$I$1:$I$600,$B213)))</f>
        <v/>
      </c>
      <c r="L213" s="69" t="str">
        <f aca="false">IF($B213="","",IF(INDEX('Master Database'!$K$1:$K$600,$B213)="","",INDEX('Master Database'!$K$1:$K$600,$B213)))</f>
        <v/>
      </c>
      <c r="M213" s="68" t="str">
        <f aca="false">IF($B213="","",IF(INDEX('Master Database'!$L$1:$L$600,$B213)="","",INDEX('Master Database'!$L$1:$L$600,$B213)))</f>
        <v/>
      </c>
      <c r="N213" s="68" t="str">
        <f aca="false">IF($B213="","",IF(INDEX('Master Database'!$P$1:$P$600,$B213)="","",INDEX('Master Database'!$P$1:$P$600,$B213)))</f>
        <v/>
      </c>
      <c r="O213" s="68" t="str">
        <f aca="false">IF($B213="","",IF(INDEX('Master Database'!$S$1:$S$600,$B213)="","",INDEX('Master Database'!$S$1:$S$600,$B213)))</f>
        <v/>
      </c>
      <c r="P213" s="68" t="str">
        <f aca="false">IF($B213="","",IF(INDEX('Master Database'!$T$1:$T$600,$B213)="","",INDEX('Master Database'!$T$1:$T$600,$B213)))</f>
        <v/>
      </c>
      <c r="Q213" s="68" t="str">
        <f aca="false">IF($B213="","",IF(INDEX('Master Database'!$Y$1:$Y$600,$B213)="","",INDEX('Master Database'!$Y$1:$Y$600,$B213)))</f>
        <v/>
      </c>
      <c r="R213" s="68" t="str">
        <f aca="false">IF($B213="","",IF(INDEX('Master Database'!$Z$1:$Z$600,$B213)="","",INDEX('Master Database'!$Z$1:$Z$600,$B213)))</f>
        <v/>
      </c>
      <c r="S213" s="70" t="str">
        <f aca="false">IF($B213="","",IF(INDEX('Master Database'!$AA$1:$AA$600,$B213)="","",INDEX('Master Database'!$AA$1:$AA$600,$B213)))</f>
        <v/>
      </c>
      <c r="T213" s="68" t="str">
        <f aca="false">IF($B213="","",IF(INDEX('Master Database'!$AE$1:$AE$600,$B213)="","",INDEX('Master Database'!$AE$1:$AE$600,$B213)))</f>
        <v/>
      </c>
      <c r="U213" s="70" t="str">
        <f aca="false">IF($B213="","",IF(INDEX('Master Database'!$AG$1:$AG$600,$B213)="","",INDEX('Master Database'!$AG$1:$AG$600,$B213)))</f>
        <v/>
      </c>
      <c r="V213" s="70" t="str">
        <f aca="false">IF($B213="","",IF(INDEX('Master Database'!$AH$1:$AH$600,$B213)="","",INDEX('Master Database'!$AH$1:$AH$600,$B213)))</f>
        <v/>
      </c>
      <c r="W213" s="70" t="str">
        <f aca="false">IF($B213="","",IF(INDEX('Master Database'!$AI$1:$AI$600,$B213)="","",INDEX('Master Database'!$AI$1:$AI$600,$B213)))</f>
        <v/>
      </c>
      <c r="X213" s="68" t="str">
        <f aca="false">IF($B213="","",IF(INDEX('Master Database'!$BG$1:$BG$600,$B213)="","",INDEX('Master Database'!$BG$1:$BG$600,$B213)))</f>
        <v/>
      </c>
      <c r="BA213" s="65" t="n">
        <f aca="false">IF('Master Database'!$A213="",0,IF(AND(OR($B$5="",ISNUMBER(SEARCH($B$5,'Master Database'!$B213&amp;" "&amp;'Master Database'!$D213))),OR($B$6="(All)",'Master Database'!$C213=$B$6),OR($B$7="(All)",'Master Database'!$E213=$B$7),OR($B$8="(All)",'Master Database'!$T213=$B$8),OR($B$9="(All)",'Master Database'!$M213=$B$9),OR($B$10="(All)",'Master Database'!$V213=$B$10),OR($E$5="(All)",'Master Database'!$F213=$E$5),OR($E$6="(All)",'Master Database'!$G213=$E$6),OR($E$7="(All)",'Master Database'!$O213=$E$7),OR($E$8="(All)",'Master Database'!$P213=$E$8),OR($E$9="(All)",'Master Database'!$S213=$E$9),OR($E$10="(All)",'Master Database'!$Y213&amp;""=$E$10&amp;""),OR($H$5="(All)",'Master Database'!$BG213=$H$5),OR($H$6&lt;&gt;"Y",ISNUMBER('Master Database'!$AG213)),OR($H$7="",AND(ISNUMBER('Master Database'!$H213),N('Master Database'!$H213)&gt;=$H$7)),OR($I$7="",AND(ISNUMBER('Master Database'!$H213),N('Master Database'!$H213)&lt;=$I$7)),OR($H$8="",AND(ISNUMBER('Master Database'!$I213),N('Master Database'!$I213)&gt;=$H$8)),OR($I$8="",AND(ISNUMBER('Master Database'!$I213),N('Master Database'!$I213)&lt;=$I$8)),OR($H$9="",AND(ISNUMBER('Master Database'!$K213),N('Master Database'!$K213)&gt;=$H$9)),OR($I$9="",AND(ISNUMBER('Master Database'!$K213),N('Master Database'!$K213)&lt;=$I$9))),1,0))</f>
        <v>0</v>
      </c>
      <c r="BB213" s="0" t="str">
        <f aca="false">IF(BA213=1,COUNTIF($BA$5:BA213,1),"")</f>
        <v/>
      </c>
    </row>
    <row r="214" customFormat="false" ht="15" hidden="false" customHeight="false" outlineLevel="0" collapsed="false">
      <c r="A214" s="67" t="str">
        <f aca="false">IF(199&lt;=SUM($BA$5:$BA$600),199,"")</f>
        <v/>
      </c>
      <c r="B214" s="67" t="str">
        <f aca="false">IF(A214="","",MATCH(A214,$BB$5:$BB$600,0)+4)</f>
        <v/>
      </c>
      <c r="C214" s="67" t="str">
        <f aca="false">IF($B214="","",IF(INDEX('Master Database'!$A$1:$A$600,$B214)="","",INDEX('Master Database'!$A$1:$A$600,$B214)))</f>
        <v/>
      </c>
      <c r="D214" s="68" t="str">
        <f aca="false">IF($B214="","",IF(INDEX('Master Database'!$B$1:$B$600,$B214)="","",INDEX('Master Database'!$B$1:$B$600,$B214)))</f>
        <v/>
      </c>
      <c r="E214" s="68" t="str">
        <f aca="false">IF($B214="","",IF(INDEX('Master Database'!$C$1:$C$600,$B214)="","",INDEX('Master Database'!$C$1:$C$600,$B214)))</f>
        <v/>
      </c>
      <c r="F214" s="68" t="str">
        <f aca="false">IF($B214="","",IF(INDEX('Master Database'!$D$1:$D$600,$B214)="","",INDEX('Master Database'!$D$1:$D$600,$B214)))</f>
        <v/>
      </c>
      <c r="G214" s="68" t="str">
        <f aca="false">IF($B214="","",IF(INDEX('Master Database'!$E$1:$E$600,$B214)="","",INDEX('Master Database'!$E$1:$E$600,$B214)))</f>
        <v/>
      </c>
      <c r="H214" s="68" t="str">
        <f aca="false">IF($B214="","",IF(INDEX('Master Database'!$F$1:$F$600,$B214)="","",INDEX('Master Database'!$F$1:$F$600,$B214)))</f>
        <v/>
      </c>
      <c r="I214" s="68" t="str">
        <f aca="false">IF($B214="","",IF(INDEX('Master Database'!$G$1:$G$600,$B214)="","",INDEX('Master Database'!$G$1:$G$600,$B214)))</f>
        <v/>
      </c>
      <c r="J214" s="69" t="str">
        <f aca="false">IF($B214="","",IF(INDEX('Master Database'!$H$1:$H$600,$B214)="","",INDEX('Master Database'!$H$1:$H$600,$B214)))</f>
        <v/>
      </c>
      <c r="K214" s="69" t="str">
        <f aca="false">IF($B214="","",IF(INDEX('Master Database'!$I$1:$I$600,$B214)="","",INDEX('Master Database'!$I$1:$I$600,$B214)))</f>
        <v/>
      </c>
      <c r="L214" s="69" t="str">
        <f aca="false">IF($B214="","",IF(INDEX('Master Database'!$K$1:$K$600,$B214)="","",INDEX('Master Database'!$K$1:$K$600,$B214)))</f>
        <v/>
      </c>
      <c r="M214" s="68" t="str">
        <f aca="false">IF($B214="","",IF(INDEX('Master Database'!$L$1:$L$600,$B214)="","",INDEX('Master Database'!$L$1:$L$600,$B214)))</f>
        <v/>
      </c>
      <c r="N214" s="68" t="str">
        <f aca="false">IF($B214="","",IF(INDEX('Master Database'!$P$1:$P$600,$B214)="","",INDEX('Master Database'!$P$1:$P$600,$B214)))</f>
        <v/>
      </c>
      <c r="O214" s="68" t="str">
        <f aca="false">IF($B214="","",IF(INDEX('Master Database'!$S$1:$S$600,$B214)="","",INDEX('Master Database'!$S$1:$S$600,$B214)))</f>
        <v/>
      </c>
      <c r="P214" s="68" t="str">
        <f aca="false">IF($B214="","",IF(INDEX('Master Database'!$T$1:$T$600,$B214)="","",INDEX('Master Database'!$T$1:$T$600,$B214)))</f>
        <v/>
      </c>
      <c r="Q214" s="68" t="str">
        <f aca="false">IF($B214="","",IF(INDEX('Master Database'!$Y$1:$Y$600,$B214)="","",INDEX('Master Database'!$Y$1:$Y$600,$B214)))</f>
        <v/>
      </c>
      <c r="R214" s="68" t="str">
        <f aca="false">IF($B214="","",IF(INDEX('Master Database'!$Z$1:$Z$600,$B214)="","",INDEX('Master Database'!$Z$1:$Z$600,$B214)))</f>
        <v/>
      </c>
      <c r="S214" s="70" t="str">
        <f aca="false">IF($B214="","",IF(INDEX('Master Database'!$AA$1:$AA$600,$B214)="","",INDEX('Master Database'!$AA$1:$AA$600,$B214)))</f>
        <v/>
      </c>
      <c r="T214" s="68" t="str">
        <f aca="false">IF($B214="","",IF(INDEX('Master Database'!$AE$1:$AE$600,$B214)="","",INDEX('Master Database'!$AE$1:$AE$600,$B214)))</f>
        <v/>
      </c>
      <c r="U214" s="70" t="str">
        <f aca="false">IF($B214="","",IF(INDEX('Master Database'!$AG$1:$AG$600,$B214)="","",INDEX('Master Database'!$AG$1:$AG$600,$B214)))</f>
        <v/>
      </c>
      <c r="V214" s="70" t="str">
        <f aca="false">IF($B214="","",IF(INDEX('Master Database'!$AH$1:$AH$600,$B214)="","",INDEX('Master Database'!$AH$1:$AH$600,$B214)))</f>
        <v/>
      </c>
      <c r="W214" s="70" t="str">
        <f aca="false">IF($B214="","",IF(INDEX('Master Database'!$AI$1:$AI$600,$B214)="","",INDEX('Master Database'!$AI$1:$AI$600,$B214)))</f>
        <v/>
      </c>
      <c r="X214" s="68" t="str">
        <f aca="false">IF($B214="","",IF(INDEX('Master Database'!$BG$1:$BG$600,$B214)="","",INDEX('Master Database'!$BG$1:$BG$600,$B214)))</f>
        <v/>
      </c>
      <c r="BA214" s="65" t="n">
        <f aca="false">IF('Master Database'!$A214="",0,IF(AND(OR($B$5="",ISNUMBER(SEARCH($B$5,'Master Database'!$B214&amp;" "&amp;'Master Database'!$D214))),OR($B$6="(All)",'Master Database'!$C214=$B$6),OR($B$7="(All)",'Master Database'!$E214=$B$7),OR($B$8="(All)",'Master Database'!$T214=$B$8),OR($B$9="(All)",'Master Database'!$M214=$B$9),OR($B$10="(All)",'Master Database'!$V214=$B$10),OR($E$5="(All)",'Master Database'!$F214=$E$5),OR($E$6="(All)",'Master Database'!$G214=$E$6),OR($E$7="(All)",'Master Database'!$O214=$E$7),OR($E$8="(All)",'Master Database'!$P214=$E$8),OR($E$9="(All)",'Master Database'!$S214=$E$9),OR($E$10="(All)",'Master Database'!$Y214&amp;""=$E$10&amp;""),OR($H$5="(All)",'Master Database'!$BG214=$H$5),OR($H$6&lt;&gt;"Y",ISNUMBER('Master Database'!$AG214)),OR($H$7="",AND(ISNUMBER('Master Database'!$H214),N('Master Database'!$H214)&gt;=$H$7)),OR($I$7="",AND(ISNUMBER('Master Database'!$H214),N('Master Database'!$H214)&lt;=$I$7)),OR($H$8="",AND(ISNUMBER('Master Database'!$I214),N('Master Database'!$I214)&gt;=$H$8)),OR($I$8="",AND(ISNUMBER('Master Database'!$I214),N('Master Database'!$I214)&lt;=$I$8)),OR($H$9="",AND(ISNUMBER('Master Database'!$K214),N('Master Database'!$K214)&gt;=$H$9)),OR($I$9="",AND(ISNUMBER('Master Database'!$K214),N('Master Database'!$K214)&lt;=$I$9))),1,0))</f>
        <v>0</v>
      </c>
      <c r="BB214" s="0" t="str">
        <f aca="false">IF(BA214=1,COUNTIF($BA$5:BA214,1),"")</f>
        <v/>
      </c>
    </row>
    <row r="215" customFormat="false" ht="15" hidden="false" customHeight="false" outlineLevel="0" collapsed="false">
      <c r="A215" s="67" t="str">
        <f aca="false">IF(200&lt;=SUM($BA$5:$BA$600),200,"")</f>
        <v/>
      </c>
      <c r="B215" s="67" t="str">
        <f aca="false">IF(A215="","",MATCH(A215,$BB$5:$BB$600,0)+4)</f>
        <v/>
      </c>
      <c r="C215" s="67" t="str">
        <f aca="false">IF($B215="","",IF(INDEX('Master Database'!$A$1:$A$600,$B215)="","",INDEX('Master Database'!$A$1:$A$600,$B215)))</f>
        <v/>
      </c>
      <c r="D215" s="68" t="str">
        <f aca="false">IF($B215="","",IF(INDEX('Master Database'!$B$1:$B$600,$B215)="","",INDEX('Master Database'!$B$1:$B$600,$B215)))</f>
        <v/>
      </c>
      <c r="E215" s="68" t="str">
        <f aca="false">IF($B215="","",IF(INDEX('Master Database'!$C$1:$C$600,$B215)="","",INDEX('Master Database'!$C$1:$C$600,$B215)))</f>
        <v/>
      </c>
      <c r="F215" s="68" t="str">
        <f aca="false">IF($B215="","",IF(INDEX('Master Database'!$D$1:$D$600,$B215)="","",INDEX('Master Database'!$D$1:$D$600,$B215)))</f>
        <v/>
      </c>
      <c r="G215" s="68" t="str">
        <f aca="false">IF($B215="","",IF(INDEX('Master Database'!$E$1:$E$600,$B215)="","",INDEX('Master Database'!$E$1:$E$600,$B215)))</f>
        <v/>
      </c>
      <c r="H215" s="68" t="str">
        <f aca="false">IF($B215="","",IF(INDEX('Master Database'!$F$1:$F$600,$B215)="","",INDEX('Master Database'!$F$1:$F$600,$B215)))</f>
        <v/>
      </c>
      <c r="I215" s="68" t="str">
        <f aca="false">IF($B215="","",IF(INDEX('Master Database'!$G$1:$G$600,$B215)="","",INDEX('Master Database'!$G$1:$G$600,$B215)))</f>
        <v/>
      </c>
      <c r="J215" s="69" t="str">
        <f aca="false">IF($B215="","",IF(INDEX('Master Database'!$H$1:$H$600,$B215)="","",INDEX('Master Database'!$H$1:$H$600,$B215)))</f>
        <v/>
      </c>
      <c r="K215" s="69" t="str">
        <f aca="false">IF($B215="","",IF(INDEX('Master Database'!$I$1:$I$600,$B215)="","",INDEX('Master Database'!$I$1:$I$600,$B215)))</f>
        <v/>
      </c>
      <c r="L215" s="69" t="str">
        <f aca="false">IF($B215="","",IF(INDEX('Master Database'!$K$1:$K$600,$B215)="","",INDEX('Master Database'!$K$1:$K$600,$B215)))</f>
        <v/>
      </c>
      <c r="M215" s="68" t="str">
        <f aca="false">IF($B215="","",IF(INDEX('Master Database'!$L$1:$L$600,$B215)="","",INDEX('Master Database'!$L$1:$L$600,$B215)))</f>
        <v/>
      </c>
      <c r="N215" s="68" t="str">
        <f aca="false">IF($B215="","",IF(INDEX('Master Database'!$P$1:$P$600,$B215)="","",INDEX('Master Database'!$P$1:$P$600,$B215)))</f>
        <v/>
      </c>
      <c r="O215" s="68" t="str">
        <f aca="false">IF($B215="","",IF(INDEX('Master Database'!$S$1:$S$600,$B215)="","",INDEX('Master Database'!$S$1:$S$600,$B215)))</f>
        <v/>
      </c>
      <c r="P215" s="68" t="str">
        <f aca="false">IF($B215="","",IF(INDEX('Master Database'!$T$1:$T$600,$B215)="","",INDEX('Master Database'!$T$1:$T$600,$B215)))</f>
        <v/>
      </c>
      <c r="Q215" s="68" t="str">
        <f aca="false">IF($B215="","",IF(INDEX('Master Database'!$Y$1:$Y$600,$B215)="","",INDEX('Master Database'!$Y$1:$Y$600,$B215)))</f>
        <v/>
      </c>
      <c r="R215" s="68" t="str">
        <f aca="false">IF($B215="","",IF(INDEX('Master Database'!$Z$1:$Z$600,$B215)="","",INDEX('Master Database'!$Z$1:$Z$600,$B215)))</f>
        <v/>
      </c>
      <c r="S215" s="70" t="str">
        <f aca="false">IF($B215="","",IF(INDEX('Master Database'!$AA$1:$AA$600,$B215)="","",INDEX('Master Database'!$AA$1:$AA$600,$B215)))</f>
        <v/>
      </c>
      <c r="T215" s="68" t="str">
        <f aca="false">IF($B215="","",IF(INDEX('Master Database'!$AE$1:$AE$600,$B215)="","",INDEX('Master Database'!$AE$1:$AE$600,$B215)))</f>
        <v/>
      </c>
      <c r="U215" s="70" t="str">
        <f aca="false">IF($B215="","",IF(INDEX('Master Database'!$AG$1:$AG$600,$B215)="","",INDEX('Master Database'!$AG$1:$AG$600,$B215)))</f>
        <v/>
      </c>
      <c r="V215" s="70" t="str">
        <f aca="false">IF($B215="","",IF(INDEX('Master Database'!$AH$1:$AH$600,$B215)="","",INDEX('Master Database'!$AH$1:$AH$600,$B215)))</f>
        <v/>
      </c>
      <c r="W215" s="70" t="str">
        <f aca="false">IF($B215="","",IF(INDEX('Master Database'!$AI$1:$AI$600,$B215)="","",INDEX('Master Database'!$AI$1:$AI$600,$B215)))</f>
        <v/>
      </c>
      <c r="X215" s="68" t="str">
        <f aca="false">IF($B215="","",IF(INDEX('Master Database'!$BG$1:$BG$600,$B215)="","",INDEX('Master Database'!$BG$1:$BG$600,$B215)))</f>
        <v/>
      </c>
      <c r="BA215" s="65" t="n">
        <f aca="false">IF('Master Database'!$A215="",0,IF(AND(OR($B$5="",ISNUMBER(SEARCH($B$5,'Master Database'!$B215&amp;" "&amp;'Master Database'!$D215))),OR($B$6="(All)",'Master Database'!$C215=$B$6),OR($B$7="(All)",'Master Database'!$E215=$B$7),OR($B$8="(All)",'Master Database'!$T215=$B$8),OR($B$9="(All)",'Master Database'!$M215=$B$9),OR($B$10="(All)",'Master Database'!$V215=$B$10),OR($E$5="(All)",'Master Database'!$F215=$E$5),OR($E$6="(All)",'Master Database'!$G215=$E$6),OR($E$7="(All)",'Master Database'!$O215=$E$7),OR($E$8="(All)",'Master Database'!$P215=$E$8),OR($E$9="(All)",'Master Database'!$S215=$E$9),OR($E$10="(All)",'Master Database'!$Y215&amp;""=$E$10&amp;""),OR($H$5="(All)",'Master Database'!$BG215=$H$5),OR($H$6&lt;&gt;"Y",ISNUMBER('Master Database'!$AG215)),OR($H$7="",AND(ISNUMBER('Master Database'!$H215),N('Master Database'!$H215)&gt;=$H$7)),OR($I$7="",AND(ISNUMBER('Master Database'!$H215),N('Master Database'!$H215)&lt;=$I$7)),OR($H$8="",AND(ISNUMBER('Master Database'!$I215),N('Master Database'!$I215)&gt;=$H$8)),OR($I$8="",AND(ISNUMBER('Master Database'!$I215),N('Master Database'!$I215)&lt;=$I$8)),OR($H$9="",AND(ISNUMBER('Master Database'!$K215),N('Master Database'!$K215)&gt;=$H$9)),OR($I$9="",AND(ISNUMBER('Master Database'!$K215),N('Master Database'!$K215)&lt;=$I$9))),1,0))</f>
        <v>0</v>
      </c>
      <c r="BB215" s="0" t="str">
        <f aca="false">IF(BA215=1,COUNTIF($BA$5:BA215,1),"")</f>
        <v/>
      </c>
    </row>
    <row r="216" customFormat="false" ht="15" hidden="false" customHeight="false" outlineLevel="0" collapsed="false">
      <c r="BA216" s="0" t="n">
        <f aca="false">IF('Master Database'!$A216="",0,IF(AND(OR($B$5="",ISNUMBER(SEARCH($B$5,'Master Database'!$B216&amp;" "&amp;'Master Database'!$D216))),OR($B$6="(All)",'Master Database'!$C216=$B$6),OR($B$7="(All)",'Master Database'!$E216=$B$7),OR($B$8="(All)",'Master Database'!$T216=$B$8),OR($B$9="(All)",'Master Database'!$M216=$B$9),OR($B$10="(All)",'Master Database'!$V216=$B$10),OR($E$5="(All)",'Master Database'!$F216=$E$5),OR($E$6="(All)",'Master Database'!$G216=$E$6),OR($E$7="(All)",'Master Database'!$O216=$E$7),OR($E$8="(All)",'Master Database'!$P216=$E$8),OR($E$9="(All)",'Master Database'!$S216=$E$9),OR($E$10="(All)",'Master Database'!$Y216&amp;""=$E$10&amp;""),OR($H$5="(All)",'Master Database'!$BG216=$H$5),OR($H$6&lt;&gt;"Y",ISNUMBER('Master Database'!$AG216)),OR($H$7="",AND(ISNUMBER('Master Database'!$H216),N('Master Database'!$H216)&gt;=$H$7)),OR($I$7="",AND(ISNUMBER('Master Database'!$H216),N('Master Database'!$H216)&lt;=$I$7)),OR($H$8="",AND(ISNUMBER('Master Database'!$I216),N('Master Database'!$I216)&gt;=$H$8)),OR($I$8="",AND(ISNUMBER('Master Database'!$I216),N('Master Database'!$I216)&lt;=$I$8)),OR($H$9="",AND(ISNUMBER('Master Database'!$K216),N('Master Database'!$K216)&gt;=$H$9)),OR($I$9="",AND(ISNUMBER('Master Database'!$K216),N('Master Database'!$K216)&lt;=$I$9))),1,0))</f>
        <v>0</v>
      </c>
      <c r="BB216" s="0" t="str">
        <f aca="false">IF(BA216=1,COUNTIF($BA$5:BA216,1),"")</f>
        <v/>
      </c>
    </row>
    <row r="217" customFormat="false" ht="15" hidden="false" customHeight="false" outlineLevel="0" collapsed="false">
      <c r="BA217" s="0" t="n">
        <f aca="false">IF('Master Database'!$A217="",0,IF(AND(OR($B$5="",ISNUMBER(SEARCH($B$5,'Master Database'!$B217&amp;" "&amp;'Master Database'!$D217))),OR($B$6="(All)",'Master Database'!$C217=$B$6),OR($B$7="(All)",'Master Database'!$E217=$B$7),OR($B$8="(All)",'Master Database'!$T217=$B$8),OR($B$9="(All)",'Master Database'!$M217=$B$9),OR($B$10="(All)",'Master Database'!$V217=$B$10),OR($E$5="(All)",'Master Database'!$F217=$E$5),OR($E$6="(All)",'Master Database'!$G217=$E$6),OR($E$7="(All)",'Master Database'!$O217=$E$7),OR($E$8="(All)",'Master Database'!$P217=$E$8),OR($E$9="(All)",'Master Database'!$S217=$E$9),OR($E$10="(All)",'Master Database'!$Y217&amp;""=$E$10&amp;""),OR($H$5="(All)",'Master Database'!$BG217=$H$5),OR($H$6&lt;&gt;"Y",ISNUMBER('Master Database'!$AG217)),OR($H$7="",AND(ISNUMBER('Master Database'!$H217),N('Master Database'!$H217)&gt;=$H$7)),OR($I$7="",AND(ISNUMBER('Master Database'!$H217),N('Master Database'!$H217)&lt;=$I$7)),OR($H$8="",AND(ISNUMBER('Master Database'!$I217),N('Master Database'!$I217)&gt;=$H$8)),OR($I$8="",AND(ISNUMBER('Master Database'!$I217),N('Master Database'!$I217)&lt;=$I$8)),OR($H$9="",AND(ISNUMBER('Master Database'!$K217),N('Master Database'!$K217)&gt;=$H$9)),OR($I$9="",AND(ISNUMBER('Master Database'!$K217),N('Master Database'!$K217)&lt;=$I$9))),1,0))</f>
        <v>0</v>
      </c>
      <c r="BB217" s="0" t="str">
        <f aca="false">IF(BA217=1,COUNTIF($BA$5:BA217,1),"")</f>
        <v/>
      </c>
    </row>
    <row r="218" customFormat="false" ht="15" hidden="false" customHeight="false" outlineLevel="0" collapsed="false">
      <c r="BA218" s="0" t="n">
        <f aca="false">IF('Master Database'!$A218="",0,IF(AND(OR($B$5="",ISNUMBER(SEARCH($B$5,'Master Database'!$B218&amp;" "&amp;'Master Database'!$D218))),OR($B$6="(All)",'Master Database'!$C218=$B$6),OR($B$7="(All)",'Master Database'!$E218=$B$7),OR($B$8="(All)",'Master Database'!$T218=$B$8),OR($B$9="(All)",'Master Database'!$M218=$B$9),OR($B$10="(All)",'Master Database'!$V218=$B$10),OR($E$5="(All)",'Master Database'!$F218=$E$5),OR($E$6="(All)",'Master Database'!$G218=$E$6),OR($E$7="(All)",'Master Database'!$O218=$E$7),OR($E$8="(All)",'Master Database'!$P218=$E$8),OR($E$9="(All)",'Master Database'!$S218=$E$9),OR($E$10="(All)",'Master Database'!$Y218&amp;""=$E$10&amp;""),OR($H$5="(All)",'Master Database'!$BG218=$H$5),OR($H$6&lt;&gt;"Y",ISNUMBER('Master Database'!$AG218)),OR($H$7="",AND(ISNUMBER('Master Database'!$H218),N('Master Database'!$H218)&gt;=$H$7)),OR($I$7="",AND(ISNUMBER('Master Database'!$H218),N('Master Database'!$H218)&lt;=$I$7)),OR($H$8="",AND(ISNUMBER('Master Database'!$I218),N('Master Database'!$I218)&gt;=$H$8)),OR($I$8="",AND(ISNUMBER('Master Database'!$I218),N('Master Database'!$I218)&lt;=$I$8)),OR($H$9="",AND(ISNUMBER('Master Database'!$K218),N('Master Database'!$K218)&gt;=$H$9)),OR($I$9="",AND(ISNUMBER('Master Database'!$K218),N('Master Database'!$K218)&lt;=$I$9))),1,0))</f>
        <v>0</v>
      </c>
      <c r="BB218" s="0" t="str">
        <f aca="false">IF(BA218=1,COUNTIF($BA$5:BA218,1),"")</f>
        <v/>
      </c>
    </row>
    <row r="219" customFormat="false" ht="15" hidden="false" customHeight="false" outlineLevel="0" collapsed="false">
      <c r="BA219" s="0" t="n">
        <f aca="false">IF('Master Database'!$A219="",0,IF(AND(OR($B$5="",ISNUMBER(SEARCH($B$5,'Master Database'!$B219&amp;" "&amp;'Master Database'!$D219))),OR($B$6="(All)",'Master Database'!$C219=$B$6),OR($B$7="(All)",'Master Database'!$E219=$B$7),OR($B$8="(All)",'Master Database'!$T219=$B$8),OR($B$9="(All)",'Master Database'!$M219=$B$9),OR($B$10="(All)",'Master Database'!$V219=$B$10),OR($E$5="(All)",'Master Database'!$F219=$E$5),OR($E$6="(All)",'Master Database'!$G219=$E$6),OR($E$7="(All)",'Master Database'!$O219=$E$7),OR($E$8="(All)",'Master Database'!$P219=$E$8),OR($E$9="(All)",'Master Database'!$S219=$E$9),OR($E$10="(All)",'Master Database'!$Y219&amp;""=$E$10&amp;""),OR($H$5="(All)",'Master Database'!$BG219=$H$5),OR($H$6&lt;&gt;"Y",ISNUMBER('Master Database'!$AG219)),OR($H$7="",AND(ISNUMBER('Master Database'!$H219),N('Master Database'!$H219)&gt;=$H$7)),OR($I$7="",AND(ISNUMBER('Master Database'!$H219),N('Master Database'!$H219)&lt;=$I$7)),OR($H$8="",AND(ISNUMBER('Master Database'!$I219),N('Master Database'!$I219)&gt;=$H$8)),OR($I$8="",AND(ISNUMBER('Master Database'!$I219),N('Master Database'!$I219)&lt;=$I$8)),OR($H$9="",AND(ISNUMBER('Master Database'!$K219),N('Master Database'!$K219)&gt;=$H$9)),OR($I$9="",AND(ISNUMBER('Master Database'!$K219),N('Master Database'!$K219)&lt;=$I$9))),1,0))</f>
        <v>0</v>
      </c>
      <c r="BB219" s="0" t="str">
        <f aca="false">IF(BA219=1,COUNTIF($BA$5:BA219,1),"")</f>
        <v/>
      </c>
    </row>
    <row r="220" customFormat="false" ht="15" hidden="false" customHeight="false" outlineLevel="0" collapsed="false">
      <c r="BA220" s="0" t="n">
        <f aca="false">IF('Master Database'!$A220="",0,IF(AND(OR($B$5="",ISNUMBER(SEARCH($B$5,'Master Database'!$B220&amp;" "&amp;'Master Database'!$D220))),OR($B$6="(All)",'Master Database'!$C220=$B$6),OR($B$7="(All)",'Master Database'!$E220=$B$7),OR($B$8="(All)",'Master Database'!$T220=$B$8),OR($B$9="(All)",'Master Database'!$M220=$B$9),OR($B$10="(All)",'Master Database'!$V220=$B$10),OR($E$5="(All)",'Master Database'!$F220=$E$5),OR($E$6="(All)",'Master Database'!$G220=$E$6),OR($E$7="(All)",'Master Database'!$O220=$E$7),OR($E$8="(All)",'Master Database'!$P220=$E$8),OR($E$9="(All)",'Master Database'!$S220=$E$9),OR($E$10="(All)",'Master Database'!$Y220&amp;""=$E$10&amp;""),OR($H$5="(All)",'Master Database'!$BG220=$H$5),OR($H$6&lt;&gt;"Y",ISNUMBER('Master Database'!$AG220)),OR($H$7="",AND(ISNUMBER('Master Database'!$H220),N('Master Database'!$H220)&gt;=$H$7)),OR($I$7="",AND(ISNUMBER('Master Database'!$H220),N('Master Database'!$H220)&lt;=$I$7)),OR($H$8="",AND(ISNUMBER('Master Database'!$I220),N('Master Database'!$I220)&gt;=$H$8)),OR($I$8="",AND(ISNUMBER('Master Database'!$I220),N('Master Database'!$I220)&lt;=$I$8)),OR($H$9="",AND(ISNUMBER('Master Database'!$K220),N('Master Database'!$K220)&gt;=$H$9)),OR($I$9="",AND(ISNUMBER('Master Database'!$K220),N('Master Database'!$K220)&lt;=$I$9))),1,0))</f>
        <v>0</v>
      </c>
      <c r="BB220" s="0" t="str">
        <f aca="false">IF(BA220=1,COUNTIF($BA$5:BA220,1),"")</f>
        <v/>
      </c>
    </row>
    <row r="221" customFormat="false" ht="15" hidden="false" customHeight="false" outlineLevel="0" collapsed="false">
      <c r="BA221" s="0" t="n">
        <f aca="false">IF('Master Database'!$A221="",0,IF(AND(OR($B$5="",ISNUMBER(SEARCH($B$5,'Master Database'!$B221&amp;" "&amp;'Master Database'!$D221))),OR($B$6="(All)",'Master Database'!$C221=$B$6),OR($B$7="(All)",'Master Database'!$E221=$B$7),OR($B$8="(All)",'Master Database'!$T221=$B$8),OR($B$9="(All)",'Master Database'!$M221=$B$9),OR($B$10="(All)",'Master Database'!$V221=$B$10),OR($E$5="(All)",'Master Database'!$F221=$E$5),OR($E$6="(All)",'Master Database'!$G221=$E$6),OR($E$7="(All)",'Master Database'!$O221=$E$7),OR($E$8="(All)",'Master Database'!$P221=$E$8),OR($E$9="(All)",'Master Database'!$S221=$E$9),OR($E$10="(All)",'Master Database'!$Y221&amp;""=$E$10&amp;""),OR($H$5="(All)",'Master Database'!$BG221=$H$5),OR($H$6&lt;&gt;"Y",ISNUMBER('Master Database'!$AG221)),OR($H$7="",AND(ISNUMBER('Master Database'!$H221),N('Master Database'!$H221)&gt;=$H$7)),OR($I$7="",AND(ISNUMBER('Master Database'!$H221),N('Master Database'!$H221)&lt;=$I$7)),OR($H$8="",AND(ISNUMBER('Master Database'!$I221),N('Master Database'!$I221)&gt;=$H$8)),OR($I$8="",AND(ISNUMBER('Master Database'!$I221),N('Master Database'!$I221)&lt;=$I$8)),OR($H$9="",AND(ISNUMBER('Master Database'!$K221),N('Master Database'!$K221)&gt;=$H$9)),OR($I$9="",AND(ISNUMBER('Master Database'!$K221),N('Master Database'!$K221)&lt;=$I$9))),1,0))</f>
        <v>0</v>
      </c>
      <c r="BB221" s="0" t="str">
        <f aca="false">IF(BA221=1,COUNTIF($BA$5:BA221,1),"")</f>
        <v/>
      </c>
    </row>
    <row r="222" customFormat="false" ht="15" hidden="false" customHeight="false" outlineLevel="0" collapsed="false">
      <c r="BA222" s="0" t="n">
        <f aca="false">IF('Master Database'!$A222="",0,IF(AND(OR($B$5="",ISNUMBER(SEARCH($B$5,'Master Database'!$B222&amp;" "&amp;'Master Database'!$D222))),OR($B$6="(All)",'Master Database'!$C222=$B$6),OR($B$7="(All)",'Master Database'!$E222=$B$7),OR($B$8="(All)",'Master Database'!$T222=$B$8),OR($B$9="(All)",'Master Database'!$M222=$B$9),OR($B$10="(All)",'Master Database'!$V222=$B$10),OR($E$5="(All)",'Master Database'!$F222=$E$5),OR($E$6="(All)",'Master Database'!$G222=$E$6),OR($E$7="(All)",'Master Database'!$O222=$E$7),OR($E$8="(All)",'Master Database'!$P222=$E$8),OR($E$9="(All)",'Master Database'!$S222=$E$9),OR($E$10="(All)",'Master Database'!$Y222&amp;""=$E$10&amp;""),OR($H$5="(All)",'Master Database'!$BG222=$H$5),OR($H$6&lt;&gt;"Y",ISNUMBER('Master Database'!$AG222)),OR($H$7="",AND(ISNUMBER('Master Database'!$H222),N('Master Database'!$H222)&gt;=$H$7)),OR($I$7="",AND(ISNUMBER('Master Database'!$H222),N('Master Database'!$H222)&lt;=$I$7)),OR($H$8="",AND(ISNUMBER('Master Database'!$I222),N('Master Database'!$I222)&gt;=$H$8)),OR($I$8="",AND(ISNUMBER('Master Database'!$I222),N('Master Database'!$I222)&lt;=$I$8)),OR($H$9="",AND(ISNUMBER('Master Database'!$K222),N('Master Database'!$K222)&gt;=$H$9)),OR($I$9="",AND(ISNUMBER('Master Database'!$K222),N('Master Database'!$K222)&lt;=$I$9))),1,0))</f>
        <v>0</v>
      </c>
      <c r="BB222" s="0" t="str">
        <f aca="false">IF(BA222=1,COUNTIF($BA$5:BA222,1),"")</f>
        <v/>
      </c>
    </row>
    <row r="223" customFormat="false" ht="15" hidden="false" customHeight="false" outlineLevel="0" collapsed="false">
      <c r="BA223" s="0" t="n">
        <f aca="false">IF('Master Database'!$A223="",0,IF(AND(OR($B$5="",ISNUMBER(SEARCH($B$5,'Master Database'!$B223&amp;" "&amp;'Master Database'!$D223))),OR($B$6="(All)",'Master Database'!$C223=$B$6),OR($B$7="(All)",'Master Database'!$E223=$B$7),OR($B$8="(All)",'Master Database'!$T223=$B$8),OR($B$9="(All)",'Master Database'!$M223=$B$9),OR($B$10="(All)",'Master Database'!$V223=$B$10),OR($E$5="(All)",'Master Database'!$F223=$E$5),OR($E$6="(All)",'Master Database'!$G223=$E$6),OR($E$7="(All)",'Master Database'!$O223=$E$7),OR($E$8="(All)",'Master Database'!$P223=$E$8),OR($E$9="(All)",'Master Database'!$S223=$E$9),OR($E$10="(All)",'Master Database'!$Y223&amp;""=$E$10&amp;""),OR($H$5="(All)",'Master Database'!$BG223=$H$5),OR($H$6&lt;&gt;"Y",ISNUMBER('Master Database'!$AG223)),OR($H$7="",AND(ISNUMBER('Master Database'!$H223),N('Master Database'!$H223)&gt;=$H$7)),OR($I$7="",AND(ISNUMBER('Master Database'!$H223),N('Master Database'!$H223)&lt;=$I$7)),OR($H$8="",AND(ISNUMBER('Master Database'!$I223),N('Master Database'!$I223)&gt;=$H$8)),OR($I$8="",AND(ISNUMBER('Master Database'!$I223),N('Master Database'!$I223)&lt;=$I$8)),OR($H$9="",AND(ISNUMBER('Master Database'!$K223),N('Master Database'!$K223)&gt;=$H$9)),OR($I$9="",AND(ISNUMBER('Master Database'!$K223),N('Master Database'!$K223)&lt;=$I$9))),1,0))</f>
        <v>0</v>
      </c>
      <c r="BB223" s="0" t="str">
        <f aca="false">IF(BA223=1,COUNTIF($BA$5:BA223,1),"")</f>
        <v/>
      </c>
    </row>
    <row r="224" customFormat="false" ht="15" hidden="false" customHeight="false" outlineLevel="0" collapsed="false">
      <c r="BA224" s="0" t="n">
        <f aca="false">IF('Master Database'!$A224="",0,IF(AND(OR($B$5="",ISNUMBER(SEARCH($B$5,'Master Database'!$B224&amp;" "&amp;'Master Database'!$D224))),OR($B$6="(All)",'Master Database'!$C224=$B$6),OR($B$7="(All)",'Master Database'!$E224=$B$7),OR($B$8="(All)",'Master Database'!$T224=$B$8),OR($B$9="(All)",'Master Database'!$M224=$B$9),OR($B$10="(All)",'Master Database'!$V224=$B$10),OR($E$5="(All)",'Master Database'!$F224=$E$5),OR($E$6="(All)",'Master Database'!$G224=$E$6),OR($E$7="(All)",'Master Database'!$O224=$E$7),OR($E$8="(All)",'Master Database'!$P224=$E$8),OR($E$9="(All)",'Master Database'!$S224=$E$9),OR($E$10="(All)",'Master Database'!$Y224&amp;""=$E$10&amp;""),OR($H$5="(All)",'Master Database'!$BG224=$H$5),OR($H$6&lt;&gt;"Y",ISNUMBER('Master Database'!$AG224)),OR($H$7="",AND(ISNUMBER('Master Database'!$H224),N('Master Database'!$H224)&gt;=$H$7)),OR($I$7="",AND(ISNUMBER('Master Database'!$H224),N('Master Database'!$H224)&lt;=$I$7)),OR($H$8="",AND(ISNUMBER('Master Database'!$I224),N('Master Database'!$I224)&gt;=$H$8)),OR($I$8="",AND(ISNUMBER('Master Database'!$I224),N('Master Database'!$I224)&lt;=$I$8)),OR($H$9="",AND(ISNUMBER('Master Database'!$K224),N('Master Database'!$K224)&gt;=$H$9)),OR($I$9="",AND(ISNUMBER('Master Database'!$K224),N('Master Database'!$K224)&lt;=$I$9))),1,0))</f>
        <v>0</v>
      </c>
      <c r="BB224" s="0" t="str">
        <f aca="false">IF(BA224=1,COUNTIF($BA$5:BA224,1),"")</f>
        <v/>
      </c>
    </row>
    <row r="225" customFormat="false" ht="15" hidden="false" customHeight="false" outlineLevel="0" collapsed="false">
      <c r="BA225" s="0" t="n">
        <f aca="false">IF('Master Database'!$A225="",0,IF(AND(OR($B$5="",ISNUMBER(SEARCH($B$5,'Master Database'!$B225&amp;" "&amp;'Master Database'!$D225))),OR($B$6="(All)",'Master Database'!$C225=$B$6),OR($B$7="(All)",'Master Database'!$E225=$B$7),OR($B$8="(All)",'Master Database'!$T225=$B$8),OR($B$9="(All)",'Master Database'!$M225=$B$9),OR($B$10="(All)",'Master Database'!$V225=$B$10),OR($E$5="(All)",'Master Database'!$F225=$E$5),OR($E$6="(All)",'Master Database'!$G225=$E$6),OR($E$7="(All)",'Master Database'!$O225=$E$7),OR($E$8="(All)",'Master Database'!$P225=$E$8),OR($E$9="(All)",'Master Database'!$S225=$E$9),OR($E$10="(All)",'Master Database'!$Y225&amp;""=$E$10&amp;""),OR($H$5="(All)",'Master Database'!$BG225=$H$5),OR($H$6&lt;&gt;"Y",ISNUMBER('Master Database'!$AG225)),OR($H$7="",AND(ISNUMBER('Master Database'!$H225),N('Master Database'!$H225)&gt;=$H$7)),OR($I$7="",AND(ISNUMBER('Master Database'!$H225),N('Master Database'!$H225)&lt;=$I$7)),OR($H$8="",AND(ISNUMBER('Master Database'!$I225),N('Master Database'!$I225)&gt;=$H$8)),OR($I$8="",AND(ISNUMBER('Master Database'!$I225),N('Master Database'!$I225)&lt;=$I$8)),OR($H$9="",AND(ISNUMBER('Master Database'!$K225),N('Master Database'!$K225)&gt;=$H$9)),OR($I$9="",AND(ISNUMBER('Master Database'!$K225),N('Master Database'!$K225)&lt;=$I$9))),1,0))</f>
        <v>0</v>
      </c>
      <c r="BB225" s="0" t="str">
        <f aca="false">IF(BA225=1,COUNTIF($BA$5:BA225,1),"")</f>
        <v/>
      </c>
    </row>
    <row r="226" customFormat="false" ht="15" hidden="false" customHeight="false" outlineLevel="0" collapsed="false">
      <c r="BA226" s="0" t="n">
        <f aca="false">IF('Master Database'!$A226="",0,IF(AND(OR($B$5="",ISNUMBER(SEARCH($B$5,'Master Database'!$B226&amp;" "&amp;'Master Database'!$D226))),OR($B$6="(All)",'Master Database'!$C226=$B$6),OR($B$7="(All)",'Master Database'!$E226=$B$7),OR($B$8="(All)",'Master Database'!$T226=$B$8),OR($B$9="(All)",'Master Database'!$M226=$B$9),OR($B$10="(All)",'Master Database'!$V226=$B$10),OR($E$5="(All)",'Master Database'!$F226=$E$5),OR($E$6="(All)",'Master Database'!$G226=$E$6),OR($E$7="(All)",'Master Database'!$O226=$E$7),OR($E$8="(All)",'Master Database'!$P226=$E$8),OR($E$9="(All)",'Master Database'!$S226=$E$9),OR($E$10="(All)",'Master Database'!$Y226&amp;""=$E$10&amp;""),OR($H$5="(All)",'Master Database'!$BG226=$H$5),OR($H$6&lt;&gt;"Y",ISNUMBER('Master Database'!$AG226)),OR($H$7="",AND(ISNUMBER('Master Database'!$H226),N('Master Database'!$H226)&gt;=$H$7)),OR($I$7="",AND(ISNUMBER('Master Database'!$H226),N('Master Database'!$H226)&lt;=$I$7)),OR($H$8="",AND(ISNUMBER('Master Database'!$I226),N('Master Database'!$I226)&gt;=$H$8)),OR($I$8="",AND(ISNUMBER('Master Database'!$I226),N('Master Database'!$I226)&lt;=$I$8)),OR($H$9="",AND(ISNUMBER('Master Database'!$K226),N('Master Database'!$K226)&gt;=$H$9)),OR($I$9="",AND(ISNUMBER('Master Database'!$K226),N('Master Database'!$K226)&lt;=$I$9))),1,0))</f>
        <v>0</v>
      </c>
      <c r="BB226" s="0" t="str">
        <f aca="false">IF(BA226=1,COUNTIF($BA$5:BA226,1),"")</f>
        <v/>
      </c>
    </row>
    <row r="227" customFormat="false" ht="15" hidden="false" customHeight="false" outlineLevel="0" collapsed="false">
      <c r="BA227" s="0" t="n">
        <f aca="false">IF('Master Database'!$A227="",0,IF(AND(OR($B$5="",ISNUMBER(SEARCH($B$5,'Master Database'!$B227&amp;" "&amp;'Master Database'!$D227))),OR($B$6="(All)",'Master Database'!$C227=$B$6),OR($B$7="(All)",'Master Database'!$E227=$B$7),OR($B$8="(All)",'Master Database'!$T227=$B$8),OR($B$9="(All)",'Master Database'!$M227=$B$9),OR($B$10="(All)",'Master Database'!$V227=$B$10),OR($E$5="(All)",'Master Database'!$F227=$E$5),OR($E$6="(All)",'Master Database'!$G227=$E$6),OR($E$7="(All)",'Master Database'!$O227=$E$7),OR($E$8="(All)",'Master Database'!$P227=$E$8),OR($E$9="(All)",'Master Database'!$S227=$E$9),OR($E$10="(All)",'Master Database'!$Y227&amp;""=$E$10&amp;""),OR($H$5="(All)",'Master Database'!$BG227=$H$5),OR($H$6&lt;&gt;"Y",ISNUMBER('Master Database'!$AG227)),OR($H$7="",AND(ISNUMBER('Master Database'!$H227),N('Master Database'!$H227)&gt;=$H$7)),OR($I$7="",AND(ISNUMBER('Master Database'!$H227),N('Master Database'!$H227)&lt;=$I$7)),OR($H$8="",AND(ISNUMBER('Master Database'!$I227),N('Master Database'!$I227)&gt;=$H$8)),OR($I$8="",AND(ISNUMBER('Master Database'!$I227),N('Master Database'!$I227)&lt;=$I$8)),OR($H$9="",AND(ISNUMBER('Master Database'!$K227),N('Master Database'!$K227)&gt;=$H$9)),OR($I$9="",AND(ISNUMBER('Master Database'!$K227),N('Master Database'!$K227)&lt;=$I$9))),1,0))</f>
        <v>0</v>
      </c>
      <c r="BB227" s="0" t="str">
        <f aca="false">IF(BA227=1,COUNTIF($BA$5:BA227,1),"")</f>
        <v/>
      </c>
    </row>
    <row r="228" customFormat="false" ht="15" hidden="false" customHeight="false" outlineLevel="0" collapsed="false">
      <c r="BA228" s="0" t="n">
        <f aca="false">IF('Master Database'!$A228="",0,IF(AND(OR($B$5="",ISNUMBER(SEARCH($B$5,'Master Database'!$B228&amp;" "&amp;'Master Database'!$D228))),OR($B$6="(All)",'Master Database'!$C228=$B$6),OR($B$7="(All)",'Master Database'!$E228=$B$7),OR($B$8="(All)",'Master Database'!$T228=$B$8),OR($B$9="(All)",'Master Database'!$M228=$B$9),OR($B$10="(All)",'Master Database'!$V228=$B$10),OR($E$5="(All)",'Master Database'!$F228=$E$5),OR($E$6="(All)",'Master Database'!$G228=$E$6),OR($E$7="(All)",'Master Database'!$O228=$E$7),OR($E$8="(All)",'Master Database'!$P228=$E$8),OR($E$9="(All)",'Master Database'!$S228=$E$9),OR($E$10="(All)",'Master Database'!$Y228&amp;""=$E$10&amp;""),OR($H$5="(All)",'Master Database'!$BG228=$H$5),OR($H$6&lt;&gt;"Y",ISNUMBER('Master Database'!$AG228)),OR($H$7="",AND(ISNUMBER('Master Database'!$H228),N('Master Database'!$H228)&gt;=$H$7)),OR($I$7="",AND(ISNUMBER('Master Database'!$H228),N('Master Database'!$H228)&lt;=$I$7)),OR($H$8="",AND(ISNUMBER('Master Database'!$I228),N('Master Database'!$I228)&gt;=$H$8)),OR($I$8="",AND(ISNUMBER('Master Database'!$I228),N('Master Database'!$I228)&lt;=$I$8)),OR($H$9="",AND(ISNUMBER('Master Database'!$K228),N('Master Database'!$K228)&gt;=$H$9)),OR($I$9="",AND(ISNUMBER('Master Database'!$K228),N('Master Database'!$K228)&lt;=$I$9))),1,0))</f>
        <v>0</v>
      </c>
      <c r="BB228" s="0" t="str">
        <f aca="false">IF(BA228=1,COUNTIF($BA$5:BA228,1),"")</f>
        <v/>
      </c>
    </row>
    <row r="229" customFormat="false" ht="15" hidden="false" customHeight="false" outlineLevel="0" collapsed="false">
      <c r="BA229" s="0" t="n">
        <f aca="false">IF('Master Database'!$A229="",0,IF(AND(OR($B$5="",ISNUMBER(SEARCH($B$5,'Master Database'!$B229&amp;" "&amp;'Master Database'!$D229))),OR($B$6="(All)",'Master Database'!$C229=$B$6),OR($B$7="(All)",'Master Database'!$E229=$B$7),OR($B$8="(All)",'Master Database'!$T229=$B$8),OR($B$9="(All)",'Master Database'!$M229=$B$9),OR($B$10="(All)",'Master Database'!$V229=$B$10),OR($E$5="(All)",'Master Database'!$F229=$E$5),OR($E$6="(All)",'Master Database'!$G229=$E$6),OR($E$7="(All)",'Master Database'!$O229=$E$7),OR($E$8="(All)",'Master Database'!$P229=$E$8),OR($E$9="(All)",'Master Database'!$S229=$E$9),OR($E$10="(All)",'Master Database'!$Y229&amp;""=$E$10&amp;""),OR($H$5="(All)",'Master Database'!$BG229=$H$5),OR($H$6&lt;&gt;"Y",ISNUMBER('Master Database'!$AG229)),OR($H$7="",AND(ISNUMBER('Master Database'!$H229),N('Master Database'!$H229)&gt;=$H$7)),OR($I$7="",AND(ISNUMBER('Master Database'!$H229),N('Master Database'!$H229)&lt;=$I$7)),OR($H$8="",AND(ISNUMBER('Master Database'!$I229),N('Master Database'!$I229)&gt;=$H$8)),OR($I$8="",AND(ISNUMBER('Master Database'!$I229),N('Master Database'!$I229)&lt;=$I$8)),OR($H$9="",AND(ISNUMBER('Master Database'!$K229),N('Master Database'!$K229)&gt;=$H$9)),OR($I$9="",AND(ISNUMBER('Master Database'!$K229),N('Master Database'!$K229)&lt;=$I$9))),1,0))</f>
        <v>0</v>
      </c>
      <c r="BB229" s="0" t="str">
        <f aca="false">IF(BA229=1,COUNTIF($BA$5:BA229,1),"")</f>
        <v/>
      </c>
    </row>
    <row r="230" customFormat="false" ht="15" hidden="false" customHeight="false" outlineLevel="0" collapsed="false">
      <c r="BA230" s="0" t="n">
        <f aca="false">IF('Master Database'!$A230="",0,IF(AND(OR($B$5="",ISNUMBER(SEARCH($B$5,'Master Database'!$B230&amp;" "&amp;'Master Database'!$D230))),OR($B$6="(All)",'Master Database'!$C230=$B$6),OR($B$7="(All)",'Master Database'!$E230=$B$7),OR($B$8="(All)",'Master Database'!$T230=$B$8),OR($B$9="(All)",'Master Database'!$M230=$B$9),OR($B$10="(All)",'Master Database'!$V230=$B$10),OR($E$5="(All)",'Master Database'!$F230=$E$5),OR($E$6="(All)",'Master Database'!$G230=$E$6),OR($E$7="(All)",'Master Database'!$O230=$E$7),OR($E$8="(All)",'Master Database'!$P230=$E$8),OR($E$9="(All)",'Master Database'!$S230=$E$9),OR($E$10="(All)",'Master Database'!$Y230&amp;""=$E$10&amp;""),OR($H$5="(All)",'Master Database'!$BG230=$H$5),OR($H$6&lt;&gt;"Y",ISNUMBER('Master Database'!$AG230)),OR($H$7="",AND(ISNUMBER('Master Database'!$H230),N('Master Database'!$H230)&gt;=$H$7)),OR($I$7="",AND(ISNUMBER('Master Database'!$H230),N('Master Database'!$H230)&lt;=$I$7)),OR($H$8="",AND(ISNUMBER('Master Database'!$I230),N('Master Database'!$I230)&gt;=$H$8)),OR($I$8="",AND(ISNUMBER('Master Database'!$I230),N('Master Database'!$I230)&lt;=$I$8)),OR($H$9="",AND(ISNUMBER('Master Database'!$K230),N('Master Database'!$K230)&gt;=$H$9)),OR($I$9="",AND(ISNUMBER('Master Database'!$K230),N('Master Database'!$K230)&lt;=$I$9))),1,0))</f>
        <v>0</v>
      </c>
      <c r="BB230" s="0" t="str">
        <f aca="false">IF(BA230=1,COUNTIF($BA$5:BA230,1),"")</f>
        <v/>
      </c>
    </row>
    <row r="231" customFormat="false" ht="15" hidden="false" customHeight="false" outlineLevel="0" collapsed="false">
      <c r="BA231" s="0" t="n">
        <f aca="false">IF('Master Database'!$A231="",0,IF(AND(OR($B$5="",ISNUMBER(SEARCH($B$5,'Master Database'!$B231&amp;" "&amp;'Master Database'!$D231))),OR($B$6="(All)",'Master Database'!$C231=$B$6),OR($B$7="(All)",'Master Database'!$E231=$B$7),OR($B$8="(All)",'Master Database'!$T231=$B$8),OR($B$9="(All)",'Master Database'!$M231=$B$9),OR($B$10="(All)",'Master Database'!$V231=$B$10),OR($E$5="(All)",'Master Database'!$F231=$E$5),OR($E$6="(All)",'Master Database'!$G231=$E$6),OR($E$7="(All)",'Master Database'!$O231=$E$7),OR($E$8="(All)",'Master Database'!$P231=$E$8),OR($E$9="(All)",'Master Database'!$S231=$E$9),OR($E$10="(All)",'Master Database'!$Y231&amp;""=$E$10&amp;""),OR($H$5="(All)",'Master Database'!$BG231=$H$5),OR($H$6&lt;&gt;"Y",ISNUMBER('Master Database'!$AG231)),OR($H$7="",AND(ISNUMBER('Master Database'!$H231),N('Master Database'!$H231)&gt;=$H$7)),OR($I$7="",AND(ISNUMBER('Master Database'!$H231),N('Master Database'!$H231)&lt;=$I$7)),OR($H$8="",AND(ISNUMBER('Master Database'!$I231),N('Master Database'!$I231)&gt;=$H$8)),OR($I$8="",AND(ISNUMBER('Master Database'!$I231),N('Master Database'!$I231)&lt;=$I$8)),OR($H$9="",AND(ISNUMBER('Master Database'!$K231),N('Master Database'!$K231)&gt;=$H$9)),OR($I$9="",AND(ISNUMBER('Master Database'!$K231),N('Master Database'!$K231)&lt;=$I$9))),1,0))</f>
        <v>0</v>
      </c>
      <c r="BB231" s="0" t="str">
        <f aca="false">IF(BA231=1,COUNTIF($BA$5:BA231,1),"")</f>
        <v/>
      </c>
    </row>
    <row r="232" customFormat="false" ht="15" hidden="false" customHeight="false" outlineLevel="0" collapsed="false">
      <c r="BA232" s="0" t="n">
        <f aca="false">IF('Master Database'!$A232="",0,IF(AND(OR($B$5="",ISNUMBER(SEARCH($B$5,'Master Database'!$B232&amp;" "&amp;'Master Database'!$D232))),OR($B$6="(All)",'Master Database'!$C232=$B$6),OR($B$7="(All)",'Master Database'!$E232=$B$7),OR($B$8="(All)",'Master Database'!$T232=$B$8),OR($B$9="(All)",'Master Database'!$M232=$B$9),OR($B$10="(All)",'Master Database'!$V232=$B$10),OR($E$5="(All)",'Master Database'!$F232=$E$5),OR($E$6="(All)",'Master Database'!$G232=$E$6),OR($E$7="(All)",'Master Database'!$O232=$E$7),OR($E$8="(All)",'Master Database'!$P232=$E$8),OR($E$9="(All)",'Master Database'!$S232=$E$9),OR($E$10="(All)",'Master Database'!$Y232&amp;""=$E$10&amp;""),OR($H$5="(All)",'Master Database'!$BG232=$H$5),OR($H$6&lt;&gt;"Y",ISNUMBER('Master Database'!$AG232)),OR($H$7="",AND(ISNUMBER('Master Database'!$H232),N('Master Database'!$H232)&gt;=$H$7)),OR($I$7="",AND(ISNUMBER('Master Database'!$H232),N('Master Database'!$H232)&lt;=$I$7)),OR($H$8="",AND(ISNUMBER('Master Database'!$I232),N('Master Database'!$I232)&gt;=$H$8)),OR($I$8="",AND(ISNUMBER('Master Database'!$I232),N('Master Database'!$I232)&lt;=$I$8)),OR($H$9="",AND(ISNUMBER('Master Database'!$K232),N('Master Database'!$K232)&gt;=$H$9)),OR($I$9="",AND(ISNUMBER('Master Database'!$K232),N('Master Database'!$K232)&lt;=$I$9))),1,0))</f>
        <v>0</v>
      </c>
      <c r="BB232" s="0" t="str">
        <f aca="false">IF(BA232=1,COUNTIF($BA$5:BA232,1),"")</f>
        <v/>
      </c>
    </row>
    <row r="233" customFormat="false" ht="15" hidden="false" customHeight="false" outlineLevel="0" collapsed="false">
      <c r="BA233" s="0" t="n">
        <f aca="false">IF('Master Database'!$A233="",0,IF(AND(OR($B$5="",ISNUMBER(SEARCH($B$5,'Master Database'!$B233&amp;" "&amp;'Master Database'!$D233))),OR($B$6="(All)",'Master Database'!$C233=$B$6),OR($B$7="(All)",'Master Database'!$E233=$B$7),OR($B$8="(All)",'Master Database'!$T233=$B$8),OR($B$9="(All)",'Master Database'!$M233=$B$9),OR($B$10="(All)",'Master Database'!$V233=$B$10),OR($E$5="(All)",'Master Database'!$F233=$E$5),OR($E$6="(All)",'Master Database'!$G233=$E$6),OR($E$7="(All)",'Master Database'!$O233=$E$7),OR($E$8="(All)",'Master Database'!$P233=$E$8),OR($E$9="(All)",'Master Database'!$S233=$E$9),OR($E$10="(All)",'Master Database'!$Y233&amp;""=$E$10&amp;""),OR($H$5="(All)",'Master Database'!$BG233=$H$5),OR($H$6&lt;&gt;"Y",ISNUMBER('Master Database'!$AG233)),OR($H$7="",AND(ISNUMBER('Master Database'!$H233),N('Master Database'!$H233)&gt;=$H$7)),OR($I$7="",AND(ISNUMBER('Master Database'!$H233),N('Master Database'!$H233)&lt;=$I$7)),OR($H$8="",AND(ISNUMBER('Master Database'!$I233),N('Master Database'!$I233)&gt;=$H$8)),OR($I$8="",AND(ISNUMBER('Master Database'!$I233),N('Master Database'!$I233)&lt;=$I$8)),OR($H$9="",AND(ISNUMBER('Master Database'!$K233),N('Master Database'!$K233)&gt;=$H$9)),OR($I$9="",AND(ISNUMBER('Master Database'!$K233),N('Master Database'!$K233)&lt;=$I$9))),1,0))</f>
        <v>0</v>
      </c>
      <c r="BB233" s="0" t="str">
        <f aca="false">IF(BA233=1,COUNTIF($BA$5:BA233,1),"")</f>
        <v/>
      </c>
    </row>
    <row r="234" customFormat="false" ht="15" hidden="false" customHeight="false" outlineLevel="0" collapsed="false">
      <c r="BA234" s="0" t="n">
        <f aca="false">IF('Master Database'!$A234="",0,IF(AND(OR($B$5="",ISNUMBER(SEARCH($B$5,'Master Database'!$B234&amp;" "&amp;'Master Database'!$D234))),OR($B$6="(All)",'Master Database'!$C234=$B$6),OR($B$7="(All)",'Master Database'!$E234=$B$7),OR($B$8="(All)",'Master Database'!$T234=$B$8),OR($B$9="(All)",'Master Database'!$M234=$B$9),OR($B$10="(All)",'Master Database'!$V234=$B$10),OR($E$5="(All)",'Master Database'!$F234=$E$5),OR($E$6="(All)",'Master Database'!$G234=$E$6),OR($E$7="(All)",'Master Database'!$O234=$E$7),OR($E$8="(All)",'Master Database'!$P234=$E$8),OR($E$9="(All)",'Master Database'!$S234=$E$9),OR($E$10="(All)",'Master Database'!$Y234&amp;""=$E$10&amp;""),OR($H$5="(All)",'Master Database'!$BG234=$H$5),OR($H$6&lt;&gt;"Y",ISNUMBER('Master Database'!$AG234)),OR($H$7="",AND(ISNUMBER('Master Database'!$H234),N('Master Database'!$H234)&gt;=$H$7)),OR($I$7="",AND(ISNUMBER('Master Database'!$H234),N('Master Database'!$H234)&lt;=$I$7)),OR($H$8="",AND(ISNUMBER('Master Database'!$I234),N('Master Database'!$I234)&gt;=$H$8)),OR($I$8="",AND(ISNUMBER('Master Database'!$I234),N('Master Database'!$I234)&lt;=$I$8)),OR($H$9="",AND(ISNUMBER('Master Database'!$K234),N('Master Database'!$K234)&gt;=$H$9)),OR($I$9="",AND(ISNUMBER('Master Database'!$K234),N('Master Database'!$K234)&lt;=$I$9))),1,0))</f>
        <v>0</v>
      </c>
      <c r="BB234" s="0" t="str">
        <f aca="false">IF(BA234=1,COUNTIF($BA$5:BA234,1),"")</f>
        <v/>
      </c>
    </row>
    <row r="235" customFormat="false" ht="15" hidden="false" customHeight="false" outlineLevel="0" collapsed="false">
      <c r="BA235" s="0" t="n">
        <f aca="false">IF('Master Database'!$A235="",0,IF(AND(OR($B$5="",ISNUMBER(SEARCH($B$5,'Master Database'!$B235&amp;" "&amp;'Master Database'!$D235))),OR($B$6="(All)",'Master Database'!$C235=$B$6),OR($B$7="(All)",'Master Database'!$E235=$B$7),OR($B$8="(All)",'Master Database'!$T235=$B$8),OR($B$9="(All)",'Master Database'!$M235=$B$9),OR($B$10="(All)",'Master Database'!$V235=$B$10),OR($E$5="(All)",'Master Database'!$F235=$E$5),OR($E$6="(All)",'Master Database'!$G235=$E$6),OR($E$7="(All)",'Master Database'!$O235=$E$7),OR($E$8="(All)",'Master Database'!$P235=$E$8),OR($E$9="(All)",'Master Database'!$S235=$E$9),OR($E$10="(All)",'Master Database'!$Y235&amp;""=$E$10&amp;""),OR($H$5="(All)",'Master Database'!$BG235=$H$5),OR($H$6&lt;&gt;"Y",ISNUMBER('Master Database'!$AG235)),OR($H$7="",AND(ISNUMBER('Master Database'!$H235),N('Master Database'!$H235)&gt;=$H$7)),OR($I$7="",AND(ISNUMBER('Master Database'!$H235),N('Master Database'!$H235)&lt;=$I$7)),OR($H$8="",AND(ISNUMBER('Master Database'!$I235),N('Master Database'!$I235)&gt;=$H$8)),OR($I$8="",AND(ISNUMBER('Master Database'!$I235),N('Master Database'!$I235)&lt;=$I$8)),OR($H$9="",AND(ISNUMBER('Master Database'!$K235),N('Master Database'!$K235)&gt;=$H$9)),OR($I$9="",AND(ISNUMBER('Master Database'!$K235),N('Master Database'!$K235)&lt;=$I$9))),1,0))</f>
        <v>0</v>
      </c>
      <c r="BB235" s="0" t="str">
        <f aca="false">IF(BA235=1,COUNTIF($BA$5:BA235,1),"")</f>
        <v/>
      </c>
    </row>
    <row r="236" customFormat="false" ht="15" hidden="false" customHeight="false" outlineLevel="0" collapsed="false">
      <c r="BA236" s="0" t="n">
        <f aca="false">IF('Master Database'!$A236="",0,IF(AND(OR($B$5="",ISNUMBER(SEARCH($B$5,'Master Database'!$B236&amp;" "&amp;'Master Database'!$D236))),OR($B$6="(All)",'Master Database'!$C236=$B$6),OR($B$7="(All)",'Master Database'!$E236=$B$7),OR($B$8="(All)",'Master Database'!$T236=$B$8),OR($B$9="(All)",'Master Database'!$M236=$B$9),OR($B$10="(All)",'Master Database'!$V236=$B$10),OR($E$5="(All)",'Master Database'!$F236=$E$5),OR($E$6="(All)",'Master Database'!$G236=$E$6),OR($E$7="(All)",'Master Database'!$O236=$E$7),OR($E$8="(All)",'Master Database'!$P236=$E$8),OR($E$9="(All)",'Master Database'!$S236=$E$9),OR($E$10="(All)",'Master Database'!$Y236&amp;""=$E$10&amp;""),OR($H$5="(All)",'Master Database'!$BG236=$H$5),OR($H$6&lt;&gt;"Y",ISNUMBER('Master Database'!$AG236)),OR($H$7="",AND(ISNUMBER('Master Database'!$H236),N('Master Database'!$H236)&gt;=$H$7)),OR($I$7="",AND(ISNUMBER('Master Database'!$H236),N('Master Database'!$H236)&lt;=$I$7)),OR($H$8="",AND(ISNUMBER('Master Database'!$I236),N('Master Database'!$I236)&gt;=$H$8)),OR($I$8="",AND(ISNUMBER('Master Database'!$I236),N('Master Database'!$I236)&lt;=$I$8)),OR($H$9="",AND(ISNUMBER('Master Database'!$K236),N('Master Database'!$K236)&gt;=$H$9)),OR($I$9="",AND(ISNUMBER('Master Database'!$K236),N('Master Database'!$K236)&lt;=$I$9))),1,0))</f>
        <v>0</v>
      </c>
      <c r="BB236" s="0" t="str">
        <f aca="false">IF(BA236=1,COUNTIF($BA$5:BA236,1),"")</f>
        <v/>
      </c>
    </row>
    <row r="237" customFormat="false" ht="15" hidden="false" customHeight="false" outlineLevel="0" collapsed="false">
      <c r="BA237" s="0" t="n">
        <f aca="false">IF('Master Database'!$A237="",0,IF(AND(OR($B$5="",ISNUMBER(SEARCH($B$5,'Master Database'!$B237&amp;" "&amp;'Master Database'!$D237))),OR($B$6="(All)",'Master Database'!$C237=$B$6),OR($B$7="(All)",'Master Database'!$E237=$B$7),OR($B$8="(All)",'Master Database'!$T237=$B$8),OR($B$9="(All)",'Master Database'!$M237=$B$9),OR($B$10="(All)",'Master Database'!$V237=$B$10),OR($E$5="(All)",'Master Database'!$F237=$E$5),OR($E$6="(All)",'Master Database'!$G237=$E$6),OR($E$7="(All)",'Master Database'!$O237=$E$7),OR($E$8="(All)",'Master Database'!$P237=$E$8),OR($E$9="(All)",'Master Database'!$S237=$E$9),OR($E$10="(All)",'Master Database'!$Y237&amp;""=$E$10&amp;""),OR($H$5="(All)",'Master Database'!$BG237=$H$5),OR($H$6&lt;&gt;"Y",ISNUMBER('Master Database'!$AG237)),OR($H$7="",AND(ISNUMBER('Master Database'!$H237),N('Master Database'!$H237)&gt;=$H$7)),OR($I$7="",AND(ISNUMBER('Master Database'!$H237),N('Master Database'!$H237)&lt;=$I$7)),OR($H$8="",AND(ISNUMBER('Master Database'!$I237),N('Master Database'!$I237)&gt;=$H$8)),OR($I$8="",AND(ISNUMBER('Master Database'!$I237),N('Master Database'!$I237)&lt;=$I$8)),OR($H$9="",AND(ISNUMBER('Master Database'!$K237),N('Master Database'!$K237)&gt;=$H$9)),OR($I$9="",AND(ISNUMBER('Master Database'!$K237),N('Master Database'!$K237)&lt;=$I$9))),1,0))</f>
        <v>0</v>
      </c>
      <c r="BB237" s="0" t="str">
        <f aca="false">IF(BA237=1,COUNTIF($BA$5:BA237,1),"")</f>
        <v/>
      </c>
    </row>
    <row r="238" customFormat="false" ht="15" hidden="false" customHeight="false" outlineLevel="0" collapsed="false">
      <c r="BA238" s="0" t="n">
        <f aca="false">IF('Master Database'!$A238="",0,IF(AND(OR($B$5="",ISNUMBER(SEARCH($B$5,'Master Database'!$B238&amp;" "&amp;'Master Database'!$D238))),OR($B$6="(All)",'Master Database'!$C238=$B$6),OR($B$7="(All)",'Master Database'!$E238=$B$7),OR($B$8="(All)",'Master Database'!$T238=$B$8),OR($B$9="(All)",'Master Database'!$M238=$B$9),OR($B$10="(All)",'Master Database'!$V238=$B$10),OR($E$5="(All)",'Master Database'!$F238=$E$5),OR($E$6="(All)",'Master Database'!$G238=$E$6),OR($E$7="(All)",'Master Database'!$O238=$E$7),OR($E$8="(All)",'Master Database'!$P238=$E$8),OR($E$9="(All)",'Master Database'!$S238=$E$9),OR($E$10="(All)",'Master Database'!$Y238&amp;""=$E$10&amp;""),OR($H$5="(All)",'Master Database'!$BG238=$H$5),OR($H$6&lt;&gt;"Y",ISNUMBER('Master Database'!$AG238)),OR($H$7="",AND(ISNUMBER('Master Database'!$H238),N('Master Database'!$H238)&gt;=$H$7)),OR($I$7="",AND(ISNUMBER('Master Database'!$H238),N('Master Database'!$H238)&lt;=$I$7)),OR($H$8="",AND(ISNUMBER('Master Database'!$I238),N('Master Database'!$I238)&gt;=$H$8)),OR($I$8="",AND(ISNUMBER('Master Database'!$I238),N('Master Database'!$I238)&lt;=$I$8)),OR($H$9="",AND(ISNUMBER('Master Database'!$K238),N('Master Database'!$K238)&gt;=$H$9)),OR($I$9="",AND(ISNUMBER('Master Database'!$K238),N('Master Database'!$K238)&lt;=$I$9))),1,0))</f>
        <v>0</v>
      </c>
      <c r="BB238" s="0" t="str">
        <f aca="false">IF(BA238=1,COUNTIF($BA$5:BA238,1),"")</f>
        <v/>
      </c>
    </row>
    <row r="239" customFormat="false" ht="15" hidden="false" customHeight="false" outlineLevel="0" collapsed="false">
      <c r="BA239" s="0" t="n">
        <f aca="false">IF('Master Database'!$A239="",0,IF(AND(OR($B$5="",ISNUMBER(SEARCH($B$5,'Master Database'!$B239&amp;" "&amp;'Master Database'!$D239))),OR($B$6="(All)",'Master Database'!$C239=$B$6),OR($B$7="(All)",'Master Database'!$E239=$B$7),OR($B$8="(All)",'Master Database'!$T239=$B$8),OR($B$9="(All)",'Master Database'!$M239=$B$9),OR($B$10="(All)",'Master Database'!$V239=$B$10),OR($E$5="(All)",'Master Database'!$F239=$E$5),OR($E$6="(All)",'Master Database'!$G239=$E$6),OR($E$7="(All)",'Master Database'!$O239=$E$7),OR($E$8="(All)",'Master Database'!$P239=$E$8),OR($E$9="(All)",'Master Database'!$S239=$E$9),OR($E$10="(All)",'Master Database'!$Y239&amp;""=$E$10&amp;""),OR($H$5="(All)",'Master Database'!$BG239=$H$5),OR($H$6&lt;&gt;"Y",ISNUMBER('Master Database'!$AG239)),OR($H$7="",AND(ISNUMBER('Master Database'!$H239),N('Master Database'!$H239)&gt;=$H$7)),OR($I$7="",AND(ISNUMBER('Master Database'!$H239),N('Master Database'!$H239)&lt;=$I$7)),OR($H$8="",AND(ISNUMBER('Master Database'!$I239),N('Master Database'!$I239)&gt;=$H$8)),OR($I$8="",AND(ISNUMBER('Master Database'!$I239),N('Master Database'!$I239)&lt;=$I$8)),OR($H$9="",AND(ISNUMBER('Master Database'!$K239),N('Master Database'!$K239)&gt;=$H$9)),OR($I$9="",AND(ISNUMBER('Master Database'!$K239),N('Master Database'!$K239)&lt;=$I$9))),1,0))</f>
        <v>0</v>
      </c>
      <c r="BB239" s="0" t="str">
        <f aca="false">IF(BA239=1,COUNTIF($BA$5:BA239,1),"")</f>
        <v/>
      </c>
    </row>
    <row r="240" customFormat="false" ht="15" hidden="false" customHeight="false" outlineLevel="0" collapsed="false">
      <c r="BA240" s="0" t="n">
        <f aca="false">IF('Master Database'!$A240="",0,IF(AND(OR($B$5="",ISNUMBER(SEARCH($B$5,'Master Database'!$B240&amp;" "&amp;'Master Database'!$D240))),OR($B$6="(All)",'Master Database'!$C240=$B$6),OR($B$7="(All)",'Master Database'!$E240=$B$7),OR($B$8="(All)",'Master Database'!$T240=$B$8),OR($B$9="(All)",'Master Database'!$M240=$B$9),OR($B$10="(All)",'Master Database'!$V240=$B$10),OR($E$5="(All)",'Master Database'!$F240=$E$5),OR($E$6="(All)",'Master Database'!$G240=$E$6),OR($E$7="(All)",'Master Database'!$O240=$E$7),OR($E$8="(All)",'Master Database'!$P240=$E$8),OR($E$9="(All)",'Master Database'!$S240=$E$9),OR($E$10="(All)",'Master Database'!$Y240&amp;""=$E$10&amp;""),OR($H$5="(All)",'Master Database'!$BG240=$H$5),OR($H$6&lt;&gt;"Y",ISNUMBER('Master Database'!$AG240)),OR($H$7="",AND(ISNUMBER('Master Database'!$H240),N('Master Database'!$H240)&gt;=$H$7)),OR($I$7="",AND(ISNUMBER('Master Database'!$H240),N('Master Database'!$H240)&lt;=$I$7)),OR($H$8="",AND(ISNUMBER('Master Database'!$I240),N('Master Database'!$I240)&gt;=$H$8)),OR($I$8="",AND(ISNUMBER('Master Database'!$I240),N('Master Database'!$I240)&lt;=$I$8)),OR($H$9="",AND(ISNUMBER('Master Database'!$K240),N('Master Database'!$K240)&gt;=$H$9)),OR($I$9="",AND(ISNUMBER('Master Database'!$K240),N('Master Database'!$K240)&lt;=$I$9))),1,0))</f>
        <v>0</v>
      </c>
      <c r="BB240" s="0" t="str">
        <f aca="false">IF(BA240=1,COUNTIF($BA$5:BA240,1),"")</f>
        <v/>
      </c>
    </row>
    <row r="241" customFormat="false" ht="15" hidden="false" customHeight="false" outlineLevel="0" collapsed="false">
      <c r="BA241" s="0" t="n">
        <f aca="false">IF('Master Database'!$A241="",0,IF(AND(OR($B$5="",ISNUMBER(SEARCH($B$5,'Master Database'!$B241&amp;" "&amp;'Master Database'!$D241))),OR($B$6="(All)",'Master Database'!$C241=$B$6),OR($B$7="(All)",'Master Database'!$E241=$B$7),OR($B$8="(All)",'Master Database'!$T241=$B$8),OR($B$9="(All)",'Master Database'!$M241=$B$9),OR($B$10="(All)",'Master Database'!$V241=$B$10),OR($E$5="(All)",'Master Database'!$F241=$E$5),OR($E$6="(All)",'Master Database'!$G241=$E$6),OR($E$7="(All)",'Master Database'!$O241=$E$7),OR($E$8="(All)",'Master Database'!$P241=$E$8),OR($E$9="(All)",'Master Database'!$S241=$E$9),OR($E$10="(All)",'Master Database'!$Y241&amp;""=$E$10&amp;""),OR($H$5="(All)",'Master Database'!$BG241=$H$5),OR($H$6&lt;&gt;"Y",ISNUMBER('Master Database'!$AG241)),OR($H$7="",AND(ISNUMBER('Master Database'!$H241),N('Master Database'!$H241)&gt;=$H$7)),OR($I$7="",AND(ISNUMBER('Master Database'!$H241),N('Master Database'!$H241)&lt;=$I$7)),OR($H$8="",AND(ISNUMBER('Master Database'!$I241),N('Master Database'!$I241)&gt;=$H$8)),OR($I$8="",AND(ISNUMBER('Master Database'!$I241),N('Master Database'!$I241)&lt;=$I$8)),OR($H$9="",AND(ISNUMBER('Master Database'!$K241),N('Master Database'!$K241)&gt;=$H$9)),OR($I$9="",AND(ISNUMBER('Master Database'!$K241),N('Master Database'!$K241)&lt;=$I$9))),1,0))</f>
        <v>0</v>
      </c>
      <c r="BB241" s="0" t="str">
        <f aca="false">IF(BA241=1,COUNTIF($BA$5:BA241,1),"")</f>
        <v/>
      </c>
    </row>
    <row r="242" customFormat="false" ht="15" hidden="false" customHeight="false" outlineLevel="0" collapsed="false">
      <c r="BA242" s="0" t="n">
        <f aca="false">IF('Master Database'!$A242="",0,IF(AND(OR($B$5="",ISNUMBER(SEARCH($B$5,'Master Database'!$B242&amp;" "&amp;'Master Database'!$D242))),OR($B$6="(All)",'Master Database'!$C242=$B$6),OR($B$7="(All)",'Master Database'!$E242=$B$7),OR($B$8="(All)",'Master Database'!$T242=$B$8),OR($B$9="(All)",'Master Database'!$M242=$B$9),OR($B$10="(All)",'Master Database'!$V242=$B$10),OR($E$5="(All)",'Master Database'!$F242=$E$5),OR($E$6="(All)",'Master Database'!$G242=$E$6),OR($E$7="(All)",'Master Database'!$O242=$E$7),OR($E$8="(All)",'Master Database'!$P242=$E$8),OR($E$9="(All)",'Master Database'!$S242=$E$9),OR($E$10="(All)",'Master Database'!$Y242&amp;""=$E$10&amp;""),OR($H$5="(All)",'Master Database'!$BG242=$H$5),OR($H$6&lt;&gt;"Y",ISNUMBER('Master Database'!$AG242)),OR($H$7="",AND(ISNUMBER('Master Database'!$H242),N('Master Database'!$H242)&gt;=$H$7)),OR($I$7="",AND(ISNUMBER('Master Database'!$H242),N('Master Database'!$H242)&lt;=$I$7)),OR($H$8="",AND(ISNUMBER('Master Database'!$I242),N('Master Database'!$I242)&gt;=$H$8)),OR($I$8="",AND(ISNUMBER('Master Database'!$I242),N('Master Database'!$I242)&lt;=$I$8)),OR($H$9="",AND(ISNUMBER('Master Database'!$K242),N('Master Database'!$K242)&gt;=$H$9)),OR($I$9="",AND(ISNUMBER('Master Database'!$K242),N('Master Database'!$K242)&lt;=$I$9))),1,0))</f>
        <v>0</v>
      </c>
      <c r="BB242" s="0" t="str">
        <f aca="false">IF(BA242=1,COUNTIF($BA$5:BA242,1),"")</f>
        <v/>
      </c>
    </row>
    <row r="243" customFormat="false" ht="15" hidden="false" customHeight="false" outlineLevel="0" collapsed="false">
      <c r="BA243" s="0" t="n">
        <f aca="false">IF('Master Database'!$A243="",0,IF(AND(OR($B$5="",ISNUMBER(SEARCH($B$5,'Master Database'!$B243&amp;" "&amp;'Master Database'!$D243))),OR($B$6="(All)",'Master Database'!$C243=$B$6),OR($B$7="(All)",'Master Database'!$E243=$B$7),OR($B$8="(All)",'Master Database'!$T243=$B$8),OR($B$9="(All)",'Master Database'!$M243=$B$9),OR($B$10="(All)",'Master Database'!$V243=$B$10),OR($E$5="(All)",'Master Database'!$F243=$E$5),OR($E$6="(All)",'Master Database'!$G243=$E$6),OR($E$7="(All)",'Master Database'!$O243=$E$7),OR($E$8="(All)",'Master Database'!$P243=$E$8),OR($E$9="(All)",'Master Database'!$S243=$E$9),OR($E$10="(All)",'Master Database'!$Y243&amp;""=$E$10&amp;""),OR($H$5="(All)",'Master Database'!$BG243=$H$5),OR($H$6&lt;&gt;"Y",ISNUMBER('Master Database'!$AG243)),OR($H$7="",AND(ISNUMBER('Master Database'!$H243),N('Master Database'!$H243)&gt;=$H$7)),OR($I$7="",AND(ISNUMBER('Master Database'!$H243),N('Master Database'!$H243)&lt;=$I$7)),OR($H$8="",AND(ISNUMBER('Master Database'!$I243),N('Master Database'!$I243)&gt;=$H$8)),OR($I$8="",AND(ISNUMBER('Master Database'!$I243),N('Master Database'!$I243)&lt;=$I$8)),OR($H$9="",AND(ISNUMBER('Master Database'!$K243),N('Master Database'!$K243)&gt;=$H$9)),OR($I$9="",AND(ISNUMBER('Master Database'!$K243),N('Master Database'!$K243)&lt;=$I$9))),1,0))</f>
        <v>0</v>
      </c>
      <c r="BB243" s="0" t="str">
        <f aca="false">IF(BA243=1,COUNTIF($BA$5:BA243,1),"")</f>
        <v/>
      </c>
    </row>
    <row r="244" customFormat="false" ht="15" hidden="false" customHeight="false" outlineLevel="0" collapsed="false">
      <c r="BA244" s="0" t="n">
        <f aca="false">IF('Master Database'!$A244="",0,IF(AND(OR($B$5="",ISNUMBER(SEARCH($B$5,'Master Database'!$B244&amp;" "&amp;'Master Database'!$D244))),OR($B$6="(All)",'Master Database'!$C244=$B$6),OR($B$7="(All)",'Master Database'!$E244=$B$7),OR($B$8="(All)",'Master Database'!$T244=$B$8),OR($B$9="(All)",'Master Database'!$M244=$B$9),OR($B$10="(All)",'Master Database'!$V244=$B$10),OR($E$5="(All)",'Master Database'!$F244=$E$5),OR($E$6="(All)",'Master Database'!$G244=$E$6),OR($E$7="(All)",'Master Database'!$O244=$E$7),OR($E$8="(All)",'Master Database'!$P244=$E$8),OR($E$9="(All)",'Master Database'!$S244=$E$9),OR($E$10="(All)",'Master Database'!$Y244&amp;""=$E$10&amp;""),OR($H$5="(All)",'Master Database'!$BG244=$H$5),OR($H$6&lt;&gt;"Y",ISNUMBER('Master Database'!$AG244)),OR($H$7="",AND(ISNUMBER('Master Database'!$H244),N('Master Database'!$H244)&gt;=$H$7)),OR($I$7="",AND(ISNUMBER('Master Database'!$H244),N('Master Database'!$H244)&lt;=$I$7)),OR($H$8="",AND(ISNUMBER('Master Database'!$I244),N('Master Database'!$I244)&gt;=$H$8)),OR($I$8="",AND(ISNUMBER('Master Database'!$I244),N('Master Database'!$I244)&lt;=$I$8)),OR($H$9="",AND(ISNUMBER('Master Database'!$K244),N('Master Database'!$K244)&gt;=$H$9)),OR($I$9="",AND(ISNUMBER('Master Database'!$K244),N('Master Database'!$K244)&lt;=$I$9))),1,0))</f>
        <v>0</v>
      </c>
      <c r="BB244" s="0" t="str">
        <f aca="false">IF(BA244=1,COUNTIF($BA$5:BA244,1),"")</f>
        <v/>
      </c>
    </row>
    <row r="245" customFormat="false" ht="15" hidden="false" customHeight="false" outlineLevel="0" collapsed="false">
      <c r="BA245" s="0" t="n">
        <f aca="false">IF('Master Database'!$A245="",0,IF(AND(OR($B$5="",ISNUMBER(SEARCH($B$5,'Master Database'!$B245&amp;" "&amp;'Master Database'!$D245))),OR($B$6="(All)",'Master Database'!$C245=$B$6),OR($B$7="(All)",'Master Database'!$E245=$B$7),OR($B$8="(All)",'Master Database'!$T245=$B$8),OR($B$9="(All)",'Master Database'!$M245=$B$9),OR($B$10="(All)",'Master Database'!$V245=$B$10),OR($E$5="(All)",'Master Database'!$F245=$E$5),OR($E$6="(All)",'Master Database'!$G245=$E$6),OR($E$7="(All)",'Master Database'!$O245=$E$7),OR($E$8="(All)",'Master Database'!$P245=$E$8),OR($E$9="(All)",'Master Database'!$S245=$E$9),OR($E$10="(All)",'Master Database'!$Y245&amp;""=$E$10&amp;""),OR($H$5="(All)",'Master Database'!$BG245=$H$5),OR($H$6&lt;&gt;"Y",ISNUMBER('Master Database'!$AG245)),OR($H$7="",AND(ISNUMBER('Master Database'!$H245),N('Master Database'!$H245)&gt;=$H$7)),OR($I$7="",AND(ISNUMBER('Master Database'!$H245),N('Master Database'!$H245)&lt;=$I$7)),OR($H$8="",AND(ISNUMBER('Master Database'!$I245),N('Master Database'!$I245)&gt;=$H$8)),OR($I$8="",AND(ISNUMBER('Master Database'!$I245),N('Master Database'!$I245)&lt;=$I$8)),OR($H$9="",AND(ISNUMBER('Master Database'!$K245),N('Master Database'!$K245)&gt;=$H$9)),OR($I$9="",AND(ISNUMBER('Master Database'!$K245),N('Master Database'!$K245)&lt;=$I$9))),1,0))</f>
        <v>0</v>
      </c>
      <c r="BB245" s="0" t="str">
        <f aca="false">IF(BA245=1,COUNTIF($BA$5:BA245,1),"")</f>
        <v/>
      </c>
    </row>
    <row r="246" customFormat="false" ht="15" hidden="false" customHeight="false" outlineLevel="0" collapsed="false">
      <c r="BA246" s="0" t="n">
        <f aca="false">IF('Master Database'!$A246="",0,IF(AND(OR($B$5="",ISNUMBER(SEARCH($B$5,'Master Database'!$B246&amp;" "&amp;'Master Database'!$D246))),OR($B$6="(All)",'Master Database'!$C246=$B$6),OR($B$7="(All)",'Master Database'!$E246=$B$7),OR($B$8="(All)",'Master Database'!$T246=$B$8),OR($B$9="(All)",'Master Database'!$M246=$B$9),OR($B$10="(All)",'Master Database'!$V246=$B$10),OR($E$5="(All)",'Master Database'!$F246=$E$5),OR($E$6="(All)",'Master Database'!$G246=$E$6),OR($E$7="(All)",'Master Database'!$O246=$E$7),OR($E$8="(All)",'Master Database'!$P246=$E$8),OR($E$9="(All)",'Master Database'!$S246=$E$9),OR($E$10="(All)",'Master Database'!$Y246&amp;""=$E$10&amp;""),OR($H$5="(All)",'Master Database'!$BG246=$H$5),OR($H$6&lt;&gt;"Y",ISNUMBER('Master Database'!$AG246)),OR($H$7="",AND(ISNUMBER('Master Database'!$H246),N('Master Database'!$H246)&gt;=$H$7)),OR($I$7="",AND(ISNUMBER('Master Database'!$H246),N('Master Database'!$H246)&lt;=$I$7)),OR($H$8="",AND(ISNUMBER('Master Database'!$I246),N('Master Database'!$I246)&gt;=$H$8)),OR($I$8="",AND(ISNUMBER('Master Database'!$I246),N('Master Database'!$I246)&lt;=$I$8)),OR($H$9="",AND(ISNUMBER('Master Database'!$K246),N('Master Database'!$K246)&gt;=$H$9)),OR($I$9="",AND(ISNUMBER('Master Database'!$K246),N('Master Database'!$K246)&lt;=$I$9))),1,0))</f>
        <v>0</v>
      </c>
      <c r="BB246" s="0" t="str">
        <f aca="false">IF(BA246=1,COUNTIF($BA$5:BA246,1),"")</f>
        <v/>
      </c>
    </row>
    <row r="247" customFormat="false" ht="15" hidden="false" customHeight="false" outlineLevel="0" collapsed="false">
      <c r="BA247" s="0" t="n">
        <f aca="false">IF('Master Database'!$A247="",0,IF(AND(OR($B$5="",ISNUMBER(SEARCH($B$5,'Master Database'!$B247&amp;" "&amp;'Master Database'!$D247))),OR($B$6="(All)",'Master Database'!$C247=$B$6),OR($B$7="(All)",'Master Database'!$E247=$B$7),OR($B$8="(All)",'Master Database'!$T247=$B$8),OR($B$9="(All)",'Master Database'!$M247=$B$9),OR($B$10="(All)",'Master Database'!$V247=$B$10),OR($E$5="(All)",'Master Database'!$F247=$E$5),OR($E$6="(All)",'Master Database'!$G247=$E$6),OR($E$7="(All)",'Master Database'!$O247=$E$7),OR($E$8="(All)",'Master Database'!$P247=$E$8),OR($E$9="(All)",'Master Database'!$S247=$E$9),OR($E$10="(All)",'Master Database'!$Y247&amp;""=$E$10&amp;""),OR($H$5="(All)",'Master Database'!$BG247=$H$5),OR($H$6&lt;&gt;"Y",ISNUMBER('Master Database'!$AG247)),OR($H$7="",AND(ISNUMBER('Master Database'!$H247),N('Master Database'!$H247)&gt;=$H$7)),OR($I$7="",AND(ISNUMBER('Master Database'!$H247),N('Master Database'!$H247)&lt;=$I$7)),OR($H$8="",AND(ISNUMBER('Master Database'!$I247),N('Master Database'!$I247)&gt;=$H$8)),OR($I$8="",AND(ISNUMBER('Master Database'!$I247),N('Master Database'!$I247)&lt;=$I$8)),OR($H$9="",AND(ISNUMBER('Master Database'!$K247),N('Master Database'!$K247)&gt;=$H$9)),OR($I$9="",AND(ISNUMBER('Master Database'!$K247),N('Master Database'!$K247)&lt;=$I$9))),1,0))</f>
        <v>0</v>
      </c>
      <c r="BB247" s="0" t="str">
        <f aca="false">IF(BA247=1,COUNTIF($BA$5:BA247,1),"")</f>
        <v/>
      </c>
    </row>
    <row r="248" customFormat="false" ht="15" hidden="false" customHeight="false" outlineLevel="0" collapsed="false">
      <c r="BA248" s="0" t="n">
        <f aca="false">IF('Master Database'!$A248="",0,IF(AND(OR($B$5="",ISNUMBER(SEARCH($B$5,'Master Database'!$B248&amp;" "&amp;'Master Database'!$D248))),OR($B$6="(All)",'Master Database'!$C248=$B$6),OR($B$7="(All)",'Master Database'!$E248=$B$7),OR($B$8="(All)",'Master Database'!$T248=$B$8),OR($B$9="(All)",'Master Database'!$M248=$B$9),OR($B$10="(All)",'Master Database'!$V248=$B$10),OR($E$5="(All)",'Master Database'!$F248=$E$5),OR($E$6="(All)",'Master Database'!$G248=$E$6),OR($E$7="(All)",'Master Database'!$O248=$E$7),OR($E$8="(All)",'Master Database'!$P248=$E$8),OR($E$9="(All)",'Master Database'!$S248=$E$9),OR($E$10="(All)",'Master Database'!$Y248&amp;""=$E$10&amp;""),OR($H$5="(All)",'Master Database'!$BG248=$H$5),OR($H$6&lt;&gt;"Y",ISNUMBER('Master Database'!$AG248)),OR($H$7="",AND(ISNUMBER('Master Database'!$H248),N('Master Database'!$H248)&gt;=$H$7)),OR($I$7="",AND(ISNUMBER('Master Database'!$H248),N('Master Database'!$H248)&lt;=$I$7)),OR($H$8="",AND(ISNUMBER('Master Database'!$I248),N('Master Database'!$I248)&gt;=$H$8)),OR($I$8="",AND(ISNUMBER('Master Database'!$I248),N('Master Database'!$I248)&lt;=$I$8)),OR($H$9="",AND(ISNUMBER('Master Database'!$K248),N('Master Database'!$K248)&gt;=$H$9)),OR($I$9="",AND(ISNUMBER('Master Database'!$K248),N('Master Database'!$K248)&lt;=$I$9))),1,0))</f>
        <v>0</v>
      </c>
      <c r="BB248" s="0" t="str">
        <f aca="false">IF(BA248=1,COUNTIF($BA$5:BA248,1),"")</f>
        <v/>
      </c>
    </row>
    <row r="249" customFormat="false" ht="15" hidden="false" customHeight="false" outlineLevel="0" collapsed="false">
      <c r="BA249" s="0" t="n">
        <f aca="false">IF('Master Database'!$A249="",0,IF(AND(OR($B$5="",ISNUMBER(SEARCH($B$5,'Master Database'!$B249&amp;" "&amp;'Master Database'!$D249))),OR($B$6="(All)",'Master Database'!$C249=$B$6),OR($B$7="(All)",'Master Database'!$E249=$B$7),OR($B$8="(All)",'Master Database'!$T249=$B$8),OR($B$9="(All)",'Master Database'!$M249=$B$9),OR($B$10="(All)",'Master Database'!$V249=$B$10),OR($E$5="(All)",'Master Database'!$F249=$E$5),OR($E$6="(All)",'Master Database'!$G249=$E$6),OR($E$7="(All)",'Master Database'!$O249=$E$7),OR($E$8="(All)",'Master Database'!$P249=$E$8),OR($E$9="(All)",'Master Database'!$S249=$E$9),OR($E$10="(All)",'Master Database'!$Y249&amp;""=$E$10&amp;""),OR($H$5="(All)",'Master Database'!$BG249=$H$5),OR($H$6&lt;&gt;"Y",ISNUMBER('Master Database'!$AG249)),OR($H$7="",AND(ISNUMBER('Master Database'!$H249),N('Master Database'!$H249)&gt;=$H$7)),OR($I$7="",AND(ISNUMBER('Master Database'!$H249),N('Master Database'!$H249)&lt;=$I$7)),OR($H$8="",AND(ISNUMBER('Master Database'!$I249),N('Master Database'!$I249)&gt;=$H$8)),OR($I$8="",AND(ISNUMBER('Master Database'!$I249),N('Master Database'!$I249)&lt;=$I$8)),OR($H$9="",AND(ISNUMBER('Master Database'!$K249),N('Master Database'!$K249)&gt;=$H$9)),OR($I$9="",AND(ISNUMBER('Master Database'!$K249),N('Master Database'!$K249)&lt;=$I$9))),1,0))</f>
        <v>0</v>
      </c>
      <c r="BB249" s="0" t="str">
        <f aca="false">IF(BA249=1,COUNTIF($BA$5:BA249,1),"")</f>
        <v/>
      </c>
    </row>
    <row r="250" customFormat="false" ht="15" hidden="false" customHeight="false" outlineLevel="0" collapsed="false">
      <c r="BA250" s="0" t="n">
        <f aca="false">IF('Master Database'!$A250="",0,IF(AND(OR($B$5="",ISNUMBER(SEARCH($B$5,'Master Database'!$B250&amp;" "&amp;'Master Database'!$D250))),OR($B$6="(All)",'Master Database'!$C250=$B$6),OR($B$7="(All)",'Master Database'!$E250=$B$7),OR($B$8="(All)",'Master Database'!$T250=$B$8),OR($B$9="(All)",'Master Database'!$M250=$B$9),OR($B$10="(All)",'Master Database'!$V250=$B$10),OR($E$5="(All)",'Master Database'!$F250=$E$5),OR($E$6="(All)",'Master Database'!$G250=$E$6),OR($E$7="(All)",'Master Database'!$O250=$E$7),OR($E$8="(All)",'Master Database'!$P250=$E$8),OR($E$9="(All)",'Master Database'!$S250=$E$9),OR($E$10="(All)",'Master Database'!$Y250&amp;""=$E$10&amp;""),OR($H$5="(All)",'Master Database'!$BG250=$H$5),OR($H$6&lt;&gt;"Y",ISNUMBER('Master Database'!$AG250)),OR($H$7="",AND(ISNUMBER('Master Database'!$H250),N('Master Database'!$H250)&gt;=$H$7)),OR($I$7="",AND(ISNUMBER('Master Database'!$H250),N('Master Database'!$H250)&lt;=$I$7)),OR($H$8="",AND(ISNUMBER('Master Database'!$I250),N('Master Database'!$I250)&gt;=$H$8)),OR($I$8="",AND(ISNUMBER('Master Database'!$I250),N('Master Database'!$I250)&lt;=$I$8)),OR($H$9="",AND(ISNUMBER('Master Database'!$K250),N('Master Database'!$K250)&gt;=$H$9)),OR($I$9="",AND(ISNUMBER('Master Database'!$K250),N('Master Database'!$K250)&lt;=$I$9))),1,0))</f>
        <v>0</v>
      </c>
      <c r="BB250" s="0" t="str">
        <f aca="false">IF(BA250=1,COUNTIF($BA$5:BA250,1),"")</f>
        <v/>
      </c>
    </row>
    <row r="251" customFormat="false" ht="15" hidden="false" customHeight="false" outlineLevel="0" collapsed="false">
      <c r="BA251" s="0" t="n">
        <f aca="false">IF('Master Database'!$A251="",0,IF(AND(OR($B$5="",ISNUMBER(SEARCH($B$5,'Master Database'!$B251&amp;" "&amp;'Master Database'!$D251))),OR($B$6="(All)",'Master Database'!$C251=$B$6),OR($B$7="(All)",'Master Database'!$E251=$B$7),OR($B$8="(All)",'Master Database'!$T251=$B$8),OR($B$9="(All)",'Master Database'!$M251=$B$9),OR($B$10="(All)",'Master Database'!$V251=$B$10),OR($E$5="(All)",'Master Database'!$F251=$E$5),OR($E$6="(All)",'Master Database'!$G251=$E$6),OR($E$7="(All)",'Master Database'!$O251=$E$7),OR($E$8="(All)",'Master Database'!$P251=$E$8),OR($E$9="(All)",'Master Database'!$S251=$E$9),OR($E$10="(All)",'Master Database'!$Y251&amp;""=$E$10&amp;""),OR($H$5="(All)",'Master Database'!$BG251=$H$5),OR($H$6&lt;&gt;"Y",ISNUMBER('Master Database'!$AG251)),OR($H$7="",AND(ISNUMBER('Master Database'!$H251),N('Master Database'!$H251)&gt;=$H$7)),OR($I$7="",AND(ISNUMBER('Master Database'!$H251),N('Master Database'!$H251)&lt;=$I$7)),OR($H$8="",AND(ISNUMBER('Master Database'!$I251),N('Master Database'!$I251)&gt;=$H$8)),OR($I$8="",AND(ISNUMBER('Master Database'!$I251),N('Master Database'!$I251)&lt;=$I$8)),OR($H$9="",AND(ISNUMBER('Master Database'!$K251),N('Master Database'!$K251)&gt;=$H$9)),OR($I$9="",AND(ISNUMBER('Master Database'!$K251),N('Master Database'!$K251)&lt;=$I$9))),1,0))</f>
        <v>0</v>
      </c>
      <c r="BB251" s="0" t="str">
        <f aca="false">IF(BA251=1,COUNTIF($BA$5:BA251,1),"")</f>
        <v/>
      </c>
    </row>
    <row r="252" customFormat="false" ht="15" hidden="false" customHeight="false" outlineLevel="0" collapsed="false">
      <c r="BA252" s="0" t="n">
        <f aca="false">IF('Master Database'!$A252="",0,IF(AND(OR($B$5="",ISNUMBER(SEARCH($B$5,'Master Database'!$B252&amp;" "&amp;'Master Database'!$D252))),OR($B$6="(All)",'Master Database'!$C252=$B$6),OR($B$7="(All)",'Master Database'!$E252=$B$7),OR($B$8="(All)",'Master Database'!$T252=$B$8),OR($B$9="(All)",'Master Database'!$M252=$B$9),OR($B$10="(All)",'Master Database'!$V252=$B$10),OR($E$5="(All)",'Master Database'!$F252=$E$5),OR($E$6="(All)",'Master Database'!$G252=$E$6),OR($E$7="(All)",'Master Database'!$O252=$E$7),OR($E$8="(All)",'Master Database'!$P252=$E$8),OR($E$9="(All)",'Master Database'!$S252=$E$9),OR($E$10="(All)",'Master Database'!$Y252&amp;""=$E$10&amp;""),OR($H$5="(All)",'Master Database'!$BG252=$H$5),OR($H$6&lt;&gt;"Y",ISNUMBER('Master Database'!$AG252)),OR($H$7="",AND(ISNUMBER('Master Database'!$H252),N('Master Database'!$H252)&gt;=$H$7)),OR($I$7="",AND(ISNUMBER('Master Database'!$H252),N('Master Database'!$H252)&lt;=$I$7)),OR($H$8="",AND(ISNUMBER('Master Database'!$I252),N('Master Database'!$I252)&gt;=$H$8)),OR($I$8="",AND(ISNUMBER('Master Database'!$I252),N('Master Database'!$I252)&lt;=$I$8)),OR($H$9="",AND(ISNUMBER('Master Database'!$K252),N('Master Database'!$K252)&gt;=$H$9)),OR($I$9="",AND(ISNUMBER('Master Database'!$K252),N('Master Database'!$K252)&lt;=$I$9))),1,0))</f>
        <v>0</v>
      </c>
      <c r="BB252" s="0" t="str">
        <f aca="false">IF(BA252=1,COUNTIF($BA$5:BA252,1),"")</f>
        <v/>
      </c>
    </row>
    <row r="253" customFormat="false" ht="15" hidden="false" customHeight="false" outlineLevel="0" collapsed="false">
      <c r="BA253" s="0" t="n">
        <f aca="false">IF('Master Database'!$A253="",0,IF(AND(OR($B$5="",ISNUMBER(SEARCH($B$5,'Master Database'!$B253&amp;" "&amp;'Master Database'!$D253))),OR($B$6="(All)",'Master Database'!$C253=$B$6),OR($B$7="(All)",'Master Database'!$E253=$B$7),OR($B$8="(All)",'Master Database'!$T253=$B$8),OR($B$9="(All)",'Master Database'!$M253=$B$9),OR($B$10="(All)",'Master Database'!$V253=$B$10),OR($E$5="(All)",'Master Database'!$F253=$E$5),OR($E$6="(All)",'Master Database'!$G253=$E$6),OR($E$7="(All)",'Master Database'!$O253=$E$7),OR($E$8="(All)",'Master Database'!$P253=$E$8),OR($E$9="(All)",'Master Database'!$S253=$E$9),OR($E$10="(All)",'Master Database'!$Y253&amp;""=$E$10&amp;""),OR($H$5="(All)",'Master Database'!$BG253=$H$5),OR($H$6&lt;&gt;"Y",ISNUMBER('Master Database'!$AG253)),OR($H$7="",AND(ISNUMBER('Master Database'!$H253),N('Master Database'!$H253)&gt;=$H$7)),OR($I$7="",AND(ISNUMBER('Master Database'!$H253),N('Master Database'!$H253)&lt;=$I$7)),OR($H$8="",AND(ISNUMBER('Master Database'!$I253),N('Master Database'!$I253)&gt;=$H$8)),OR($I$8="",AND(ISNUMBER('Master Database'!$I253),N('Master Database'!$I253)&lt;=$I$8)),OR($H$9="",AND(ISNUMBER('Master Database'!$K253),N('Master Database'!$K253)&gt;=$H$9)),OR($I$9="",AND(ISNUMBER('Master Database'!$K253),N('Master Database'!$K253)&lt;=$I$9))),1,0))</f>
        <v>0</v>
      </c>
      <c r="BB253" s="0" t="str">
        <f aca="false">IF(BA253=1,COUNTIF($BA$5:BA253,1),"")</f>
        <v/>
      </c>
    </row>
    <row r="254" customFormat="false" ht="15" hidden="false" customHeight="false" outlineLevel="0" collapsed="false">
      <c r="BA254" s="0" t="n">
        <f aca="false">IF('Master Database'!$A254="",0,IF(AND(OR($B$5="",ISNUMBER(SEARCH($B$5,'Master Database'!$B254&amp;" "&amp;'Master Database'!$D254))),OR($B$6="(All)",'Master Database'!$C254=$B$6),OR($B$7="(All)",'Master Database'!$E254=$B$7),OR($B$8="(All)",'Master Database'!$T254=$B$8),OR($B$9="(All)",'Master Database'!$M254=$B$9),OR($B$10="(All)",'Master Database'!$V254=$B$10),OR($E$5="(All)",'Master Database'!$F254=$E$5),OR($E$6="(All)",'Master Database'!$G254=$E$6),OR($E$7="(All)",'Master Database'!$O254=$E$7),OR($E$8="(All)",'Master Database'!$P254=$E$8),OR($E$9="(All)",'Master Database'!$S254=$E$9),OR($E$10="(All)",'Master Database'!$Y254&amp;""=$E$10&amp;""),OR($H$5="(All)",'Master Database'!$BG254=$H$5),OR($H$6&lt;&gt;"Y",ISNUMBER('Master Database'!$AG254)),OR($H$7="",AND(ISNUMBER('Master Database'!$H254),N('Master Database'!$H254)&gt;=$H$7)),OR($I$7="",AND(ISNUMBER('Master Database'!$H254),N('Master Database'!$H254)&lt;=$I$7)),OR($H$8="",AND(ISNUMBER('Master Database'!$I254),N('Master Database'!$I254)&gt;=$H$8)),OR($I$8="",AND(ISNUMBER('Master Database'!$I254),N('Master Database'!$I254)&lt;=$I$8)),OR($H$9="",AND(ISNUMBER('Master Database'!$K254),N('Master Database'!$K254)&gt;=$H$9)),OR($I$9="",AND(ISNUMBER('Master Database'!$K254),N('Master Database'!$K254)&lt;=$I$9))),1,0))</f>
        <v>0</v>
      </c>
      <c r="BB254" s="0" t="str">
        <f aca="false">IF(BA254=1,COUNTIF($BA$5:BA254,1),"")</f>
        <v/>
      </c>
    </row>
    <row r="255" customFormat="false" ht="15" hidden="false" customHeight="false" outlineLevel="0" collapsed="false">
      <c r="BA255" s="0" t="n">
        <f aca="false">IF('Master Database'!$A255="",0,IF(AND(OR($B$5="",ISNUMBER(SEARCH($B$5,'Master Database'!$B255&amp;" "&amp;'Master Database'!$D255))),OR($B$6="(All)",'Master Database'!$C255=$B$6),OR($B$7="(All)",'Master Database'!$E255=$B$7),OR($B$8="(All)",'Master Database'!$T255=$B$8),OR($B$9="(All)",'Master Database'!$M255=$B$9),OR($B$10="(All)",'Master Database'!$V255=$B$10),OR($E$5="(All)",'Master Database'!$F255=$E$5),OR($E$6="(All)",'Master Database'!$G255=$E$6),OR($E$7="(All)",'Master Database'!$O255=$E$7),OR($E$8="(All)",'Master Database'!$P255=$E$8),OR($E$9="(All)",'Master Database'!$S255=$E$9),OR($E$10="(All)",'Master Database'!$Y255&amp;""=$E$10&amp;""),OR($H$5="(All)",'Master Database'!$BG255=$H$5),OR($H$6&lt;&gt;"Y",ISNUMBER('Master Database'!$AG255)),OR($H$7="",AND(ISNUMBER('Master Database'!$H255),N('Master Database'!$H255)&gt;=$H$7)),OR($I$7="",AND(ISNUMBER('Master Database'!$H255),N('Master Database'!$H255)&lt;=$I$7)),OR($H$8="",AND(ISNUMBER('Master Database'!$I255),N('Master Database'!$I255)&gt;=$H$8)),OR($I$8="",AND(ISNUMBER('Master Database'!$I255),N('Master Database'!$I255)&lt;=$I$8)),OR($H$9="",AND(ISNUMBER('Master Database'!$K255),N('Master Database'!$K255)&gt;=$H$9)),OR($I$9="",AND(ISNUMBER('Master Database'!$K255),N('Master Database'!$K255)&lt;=$I$9))),1,0))</f>
        <v>0</v>
      </c>
      <c r="BB255" s="0" t="str">
        <f aca="false">IF(BA255=1,COUNTIF($BA$5:BA255,1),"")</f>
        <v/>
      </c>
    </row>
    <row r="256" customFormat="false" ht="15" hidden="false" customHeight="false" outlineLevel="0" collapsed="false">
      <c r="BA256" s="0" t="n">
        <f aca="false">IF('Master Database'!$A256="",0,IF(AND(OR($B$5="",ISNUMBER(SEARCH($B$5,'Master Database'!$B256&amp;" "&amp;'Master Database'!$D256))),OR($B$6="(All)",'Master Database'!$C256=$B$6),OR($B$7="(All)",'Master Database'!$E256=$B$7),OR($B$8="(All)",'Master Database'!$T256=$B$8),OR($B$9="(All)",'Master Database'!$M256=$B$9),OR($B$10="(All)",'Master Database'!$V256=$B$10),OR($E$5="(All)",'Master Database'!$F256=$E$5),OR($E$6="(All)",'Master Database'!$G256=$E$6),OR($E$7="(All)",'Master Database'!$O256=$E$7),OR($E$8="(All)",'Master Database'!$P256=$E$8),OR($E$9="(All)",'Master Database'!$S256=$E$9),OR($E$10="(All)",'Master Database'!$Y256&amp;""=$E$10&amp;""),OR($H$5="(All)",'Master Database'!$BG256=$H$5),OR($H$6&lt;&gt;"Y",ISNUMBER('Master Database'!$AG256)),OR($H$7="",AND(ISNUMBER('Master Database'!$H256),N('Master Database'!$H256)&gt;=$H$7)),OR($I$7="",AND(ISNUMBER('Master Database'!$H256),N('Master Database'!$H256)&lt;=$I$7)),OR($H$8="",AND(ISNUMBER('Master Database'!$I256),N('Master Database'!$I256)&gt;=$H$8)),OR($I$8="",AND(ISNUMBER('Master Database'!$I256),N('Master Database'!$I256)&lt;=$I$8)),OR($H$9="",AND(ISNUMBER('Master Database'!$K256),N('Master Database'!$K256)&gt;=$H$9)),OR($I$9="",AND(ISNUMBER('Master Database'!$K256),N('Master Database'!$K256)&lt;=$I$9))),1,0))</f>
        <v>0</v>
      </c>
      <c r="BB256" s="0" t="str">
        <f aca="false">IF(BA256=1,COUNTIF($BA$5:BA256,1),"")</f>
        <v/>
      </c>
    </row>
    <row r="257" customFormat="false" ht="15" hidden="false" customHeight="false" outlineLevel="0" collapsed="false">
      <c r="BA257" s="0" t="n">
        <f aca="false">IF('Master Database'!$A257="",0,IF(AND(OR($B$5="",ISNUMBER(SEARCH($B$5,'Master Database'!$B257&amp;" "&amp;'Master Database'!$D257))),OR($B$6="(All)",'Master Database'!$C257=$B$6),OR($B$7="(All)",'Master Database'!$E257=$B$7),OR($B$8="(All)",'Master Database'!$T257=$B$8),OR($B$9="(All)",'Master Database'!$M257=$B$9),OR($B$10="(All)",'Master Database'!$V257=$B$10),OR($E$5="(All)",'Master Database'!$F257=$E$5),OR($E$6="(All)",'Master Database'!$G257=$E$6),OR($E$7="(All)",'Master Database'!$O257=$E$7),OR($E$8="(All)",'Master Database'!$P257=$E$8),OR($E$9="(All)",'Master Database'!$S257=$E$9),OR($E$10="(All)",'Master Database'!$Y257&amp;""=$E$10&amp;""),OR($H$5="(All)",'Master Database'!$BG257=$H$5),OR($H$6&lt;&gt;"Y",ISNUMBER('Master Database'!$AG257)),OR($H$7="",AND(ISNUMBER('Master Database'!$H257),N('Master Database'!$H257)&gt;=$H$7)),OR($I$7="",AND(ISNUMBER('Master Database'!$H257),N('Master Database'!$H257)&lt;=$I$7)),OR($H$8="",AND(ISNUMBER('Master Database'!$I257),N('Master Database'!$I257)&gt;=$H$8)),OR($I$8="",AND(ISNUMBER('Master Database'!$I257),N('Master Database'!$I257)&lt;=$I$8)),OR($H$9="",AND(ISNUMBER('Master Database'!$K257),N('Master Database'!$K257)&gt;=$H$9)),OR($I$9="",AND(ISNUMBER('Master Database'!$K257),N('Master Database'!$K257)&lt;=$I$9))),1,0))</f>
        <v>0</v>
      </c>
      <c r="BB257" s="0" t="str">
        <f aca="false">IF(BA257=1,COUNTIF($BA$5:BA257,1),"")</f>
        <v/>
      </c>
    </row>
    <row r="258" customFormat="false" ht="15" hidden="false" customHeight="false" outlineLevel="0" collapsed="false">
      <c r="BA258" s="0" t="n">
        <f aca="false">IF('Master Database'!$A258="",0,IF(AND(OR($B$5="",ISNUMBER(SEARCH($B$5,'Master Database'!$B258&amp;" "&amp;'Master Database'!$D258))),OR($B$6="(All)",'Master Database'!$C258=$B$6),OR($B$7="(All)",'Master Database'!$E258=$B$7),OR($B$8="(All)",'Master Database'!$T258=$B$8),OR($B$9="(All)",'Master Database'!$M258=$B$9),OR($B$10="(All)",'Master Database'!$V258=$B$10),OR($E$5="(All)",'Master Database'!$F258=$E$5),OR($E$6="(All)",'Master Database'!$G258=$E$6),OR($E$7="(All)",'Master Database'!$O258=$E$7),OR($E$8="(All)",'Master Database'!$P258=$E$8),OR($E$9="(All)",'Master Database'!$S258=$E$9),OR($E$10="(All)",'Master Database'!$Y258&amp;""=$E$10&amp;""),OR($H$5="(All)",'Master Database'!$BG258=$H$5),OR($H$6&lt;&gt;"Y",ISNUMBER('Master Database'!$AG258)),OR($H$7="",AND(ISNUMBER('Master Database'!$H258),N('Master Database'!$H258)&gt;=$H$7)),OR($I$7="",AND(ISNUMBER('Master Database'!$H258),N('Master Database'!$H258)&lt;=$I$7)),OR($H$8="",AND(ISNUMBER('Master Database'!$I258),N('Master Database'!$I258)&gt;=$H$8)),OR($I$8="",AND(ISNUMBER('Master Database'!$I258),N('Master Database'!$I258)&lt;=$I$8)),OR($H$9="",AND(ISNUMBER('Master Database'!$K258),N('Master Database'!$K258)&gt;=$H$9)),OR($I$9="",AND(ISNUMBER('Master Database'!$K258),N('Master Database'!$K258)&lt;=$I$9))),1,0))</f>
        <v>0</v>
      </c>
      <c r="BB258" s="0" t="str">
        <f aca="false">IF(BA258=1,COUNTIF($BA$5:BA258,1),"")</f>
        <v/>
      </c>
    </row>
    <row r="259" customFormat="false" ht="15" hidden="false" customHeight="false" outlineLevel="0" collapsed="false">
      <c r="BA259" s="0" t="n">
        <f aca="false">IF('Master Database'!$A259="",0,IF(AND(OR($B$5="",ISNUMBER(SEARCH($B$5,'Master Database'!$B259&amp;" "&amp;'Master Database'!$D259))),OR($B$6="(All)",'Master Database'!$C259=$B$6),OR($B$7="(All)",'Master Database'!$E259=$B$7),OR($B$8="(All)",'Master Database'!$T259=$B$8),OR($B$9="(All)",'Master Database'!$M259=$B$9),OR($B$10="(All)",'Master Database'!$V259=$B$10),OR($E$5="(All)",'Master Database'!$F259=$E$5),OR($E$6="(All)",'Master Database'!$G259=$E$6),OR($E$7="(All)",'Master Database'!$O259=$E$7),OR($E$8="(All)",'Master Database'!$P259=$E$8),OR($E$9="(All)",'Master Database'!$S259=$E$9),OR($E$10="(All)",'Master Database'!$Y259&amp;""=$E$10&amp;""),OR($H$5="(All)",'Master Database'!$BG259=$H$5),OR($H$6&lt;&gt;"Y",ISNUMBER('Master Database'!$AG259)),OR($H$7="",AND(ISNUMBER('Master Database'!$H259),N('Master Database'!$H259)&gt;=$H$7)),OR($I$7="",AND(ISNUMBER('Master Database'!$H259),N('Master Database'!$H259)&lt;=$I$7)),OR($H$8="",AND(ISNUMBER('Master Database'!$I259),N('Master Database'!$I259)&gt;=$H$8)),OR($I$8="",AND(ISNUMBER('Master Database'!$I259),N('Master Database'!$I259)&lt;=$I$8)),OR($H$9="",AND(ISNUMBER('Master Database'!$K259),N('Master Database'!$K259)&gt;=$H$9)),OR($I$9="",AND(ISNUMBER('Master Database'!$K259),N('Master Database'!$K259)&lt;=$I$9))),1,0))</f>
        <v>0</v>
      </c>
      <c r="BB259" s="0" t="str">
        <f aca="false">IF(BA259=1,COUNTIF($BA$5:BA259,1),"")</f>
        <v/>
      </c>
    </row>
    <row r="260" customFormat="false" ht="15" hidden="false" customHeight="false" outlineLevel="0" collapsed="false">
      <c r="BA260" s="0" t="n">
        <f aca="false">IF('Master Database'!$A260="",0,IF(AND(OR($B$5="",ISNUMBER(SEARCH($B$5,'Master Database'!$B260&amp;" "&amp;'Master Database'!$D260))),OR($B$6="(All)",'Master Database'!$C260=$B$6),OR($B$7="(All)",'Master Database'!$E260=$B$7),OR($B$8="(All)",'Master Database'!$T260=$B$8),OR($B$9="(All)",'Master Database'!$M260=$B$9),OR($B$10="(All)",'Master Database'!$V260=$B$10),OR($E$5="(All)",'Master Database'!$F260=$E$5),OR($E$6="(All)",'Master Database'!$G260=$E$6),OR($E$7="(All)",'Master Database'!$O260=$E$7),OR($E$8="(All)",'Master Database'!$P260=$E$8),OR($E$9="(All)",'Master Database'!$S260=$E$9),OR($E$10="(All)",'Master Database'!$Y260&amp;""=$E$10&amp;""),OR($H$5="(All)",'Master Database'!$BG260=$H$5),OR($H$6&lt;&gt;"Y",ISNUMBER('Master Database'!$AG260)),OR($H$7="",AND(ISNUMBER('Master Database'!$H260),N('Master Database'!$H260)&gt;=$H$7)),OR($I$7="",AND(ISNUMBER('Master Database'!$H260),N('Master Database'!$H260)&lt;=$I$7)),OR($H$8="",AND(ISNUMBER('Master Database'!$I260),N('Master Database'!$I260)&gt;=$H$8)),OR($I$8="",AND(ISNUMBER('Master Database'!$I260),N('Master Database'!$I260)&lt;=$I$8)),OR($H$9="",AND(ISNUMBER('Master Database'!$K260),N('Master Database'!$K260)&gt;=$H$9)),OR($I$9="",AND(ISNUMBER('Master Database'!$K260),N('Master Database'!$K260)&lt;=$I$9))),1,0))</f>
        <v>0</v>
      </c>
      <c r="BB260" s="0" t="str">
        <f aca="false">IF(BA260=1,COUNTIF($BA$5:BA260,1),"")</f>
        <v/>
      </c>
    </row>
    <row r="261" customFormat="false" ht="15" hidden="false" customHeight="false" outlineLevel="0" collapsed="false">
      <c r="BA261" s="0" t="n">
        <f aca="false">IF('Master Database'!$A261="",0,IF(AND(OR($B$5="",ISNUMBER(SEARCH($B$5,'Master Database'!$B261&amp;" "&amp;'Master Database'!$D261))),OR($B$6="(All)",'Master Database'!$C261=$B$6),OR($B$7="(All)",'Master Database'!$E261=$B$7),OR($B$8="(All)",'Master Database'!$T261=$B$8),OR($B$9="(All)",'Master Database'!$M261=$B$9),OR($B$10="(All)",'Master Database'!$V261=$B$10),OR($E$5="(All)",'Master Database'!$F261=$E$5),OR($E$6="(All)",'Master Database'!$G261=$E$6),OR($E$7="(All)",'Master Database'!$O261=$E$7),OR($E$8="(All)",'Master Database'!$P261=$E$8),OR($E$9="(All)",'Master Database'!$S261=$E$9),OR($E$10="(All)",'Master Database'!$Y261&amp;""=$E$10&amp;""),OR($H$5="(All)",'Master Database'!$BG261=$H$5),OR($H$6&lt;&gt;"Y",ISNUMBER('Master Database'!$AG261)),OR($H$7="",AND(ISNUMBER('Master Database'!$H261),N('Master Database'!$H261)&gt;=$H$7)),OR($I$7="",AND(ISNUMBER('Master Database'!$H261),N('Master Database'!$H261)&lt;=$I$7)),OR($H$8="",AND(ISNUMBER('Master Database'!$I261),N('Master Database'!$I261)&gt;=$H$8)),OR($I$8="",AND(ISNUMBER('Master Database'!$I261),N('Master Database'!$I261)&lt;=$I$8)),OR($H$9="",AND(ISNUMBER('Master Database'!$K261),N('Master Database'!$K261)&gt;=$H$9)),OR($I$9="",AND(ISNUMBER('Master Database'!$K261),N('Master Database'!$K261)&lt;=$I$9))),1,0))</f>
        <v>0</v>
      </c>
      <c r="BB261" s="0" t="str">
        <f aca="false">IF(BA261=1,COUNTIF($BA$5:BA261,1),"")</f>
        <v/>
      </c>
    </row>
    <row r="262" customFormat="false" ht="15" hidden="false" customHeight="false" outlineLevel="0" collapsed="false">
      <c r="BA262" s="0" t="n">
        <f aca="false">IF('Master Database'!$A262="",0,IF(AND(OR($B$5="",ISNUMBER(SEARCH($B$5,'Master Database'!$B262&amp;" "&amp;'Master Database'!$D262))),OR($B$6="(All)",'Master Database'!$C262=$B$6),OR($B$7="(All)",'Master Database'!$E262=$B$7),OR($B$8="(All)",'Master Database'!$T262=$B$8),OR($B$9="(All)",'Master Database'!$M262=$B$9),OR($B$10="(All)",'Master Database'!$V262=$B$10),OR($E$5="(All)",'Master Database'!$F262=$E$5),OR($E$6="(All)",'Master Database'!$G262=$E$6),OR($E$7="(All)",'Master Database'!$O262=$E$7),OR($E$8="(All)",'Master Database'!$P262=$E$8),OR($E$9="(All)",'Master Database'!$S262=$E$9),OR($E$10="(All)",'Master Database'!$Y262&amp;""=$E$10&amp;""),OR($H$5="(All)",'Master Database'!$BG262=$H$5),OR($H$6&lt;&gt;"Y",ISNUMBER('Master Database'!$AG262)),OR($H$7="",AND(ISNUMBER('Master Database'!$H262),N('Master Database'!$H262)&gt;=$H$7)),OR($I$7="",AND(ISNUMBER('Master Database'!$H262),N('Master Database'!$H262)&lt;=$I$7)),OR($H$8="",AND(ISNUMBER('Master Database'!$I262),N('Master Database'!$I262)&gt;=$H$8)),OR($I$8="",AND(ISNUMBER('Master Database'!$I262),N('Master Database'!$I262)&lt;=$I$8)),OR($H$9="",AND(ISNUMBER('Master Database'!$K262),N('Master Database'!$K262)&gt;=$H$9)),OR($I$9="",AND(ISNUMBER('Master Database'!$K262),N('Master Database'!$K262)&lt;=$I$9))),1,0))</f>
        <v>0</v>
      </c>
      <c r="BB262" s="0" t="str">
        <f aca="false">IF(BA262=1,COUNTIF($BA$5:BA262,1),"")</f>
        <v/>
      </c>
    </row>
    <row r="263" customFormat="false" ht="15" hidden="false" customHeight="false" outlineLevel="0" collapsed="false">
      <c r="BA263" s="0" t="n">
        <f aca="false">IF('Master Database'!$A263="",0,IF(AND(OR($B$5="",ISNUMBER(SEARCH($B$5,'Master Database'!$B263&amp;" "&amp;'Master Database'!$D263))),OR($B$6="(All)",'Master Database'!$C263=$B$6),OR($B$7="(All)",'Master Database'!$E263=$B$7),OR($B$8="(All)",'Master Database'!$T263=$B$8),OR($B$9="(All)",'Master Database'!$M263=$B$9),OR($B$10="(All)",'Master Database'!$V263=$B$10),OR($E$5="(All)",'Master Database'!$F263=$E$5),OR($E$6="(All)",'Master Database'!$G263=$E$6),OR($E$7="(All)",'Master Database'!$O263=$E$7),OR($E$8="(All)",'Master Database'!$P263=$E$8),OR($E$9="(All)",'Master Database'!$S263=$E$9),OR($E$10="(All)",'Master Database'!$Y263&amp;""=$E$10&amp;""),OR($H$5="(All)",'Master Database'!$BG263=$H$5),OR($H$6&lt;&gt;"Y",ISNUMBER('Master Database'!$AG263)),OR($H$7="",AND(ISNUMBER('Master Database'!$H263),N('Master Database'!$H263)&gt;=$H$7)),OR($I$7="",AND(ISNUMBER('Master Database'!$H263),N('Master Database'!$H263)&lt;=$I$7)),OR($H$8="",AND(ISNUMBER('Master Database'!$I263),N('Master Database'!$I263)&gt;=$H$8)),OR($I$8="",AND(ISNUMBER('Master Database'!$I263),N('Master Database'!$I263)&lt;=$I$8)),OR($H$9="",AND(ISNUMBER('Master Database'!$K263),N('Master Database'!$K263)&gt;=$H$9)),OR($I$9="",AND(ISNUMBER('Master Database'!$K263),N('Master Database'!$K263)&lt;=$I$9))),1,0))</f>
        <v>0</v>
      </c>
      <c r="BB263" s="0" t="str">
        <f aca="false">IF(BA263=1,COUNTIF($BA$5:BA263,1),"")</f>
        <v/>
      </c>
    </row>
    <row r="264" customFormat="false" ht="15" hidden="false" customHeight="false" outlineLevel="0" collapsed="false">
      <c r="BA264" s="0" t="n">
        <f aca="false">IF('Master Database'!$A264="",0,IF(AND(OR($B$5="",ISNUMBER(SEARCH($B$5,'Master Database'!$B264&amp;" "&amp;'Master Database'!$D264))),OR($B$6="(All)",'Master Database'!$C264=$B$6),OR($B$7="(All)",'Master Database'!$E264=$B$7),OR($B$8="(All)",'Master Database'!$T264=$B$8),OR($B$9="(All)",'Master Database'!$M264=$B$9),OR($B$10="(All)",'Master Database'!$V264=$B$10),OR($E$5="(All)",'Master Database'!$F264=$E$5),OR($E$6="(All)",'Master Database'!$G264=$E$6),OR($E$7="(All)",'Master Database'!$O264=$E$7),OR($E$8="(All)",'Master Database'!$P264=$E$8),OR($E$9="(All)",'Master Database'!$S264=$E$9),OR($E$10="(All)",'Master Database'!$Y264&amp;""=$E$10&amp;""),OR($H$5="(All)",'Master Database'!$BG264=$H$5),OR($H$6&lt;&gt;"Y",ISNUMBER('Master Database'!$AG264)),OR($H$7="",AND(ISNUMBER('Master Database'!$H264),N('Master Database'!$H264)&gt;=$H$7)),OR($I$7="",AND(ISNUMBER('Master Database'!$H264),N('Master Database'!$H264)&lt;=$I$7)),OR($H$8="",AND(ISNUMBER('Master Database'!$I264),N('Master Database'!$I264)&gt;=$H$8)),OR($I$8="",AND(ISNUMBER('Master Database'!$I264),N('Master Database'!$I264)&lt;=$I$8)),OR($H$9="",AND(ISNUMBER('Master Database'!$K264),N('Master Database'!$K264)&gt;=$H$9)),OR($I$9="",AND(ISNUMBER('Master Database'!$K264),N('Master Database'!$K264)&lt;=$I$9))),1,0))</f>
        <v>0</v>
      </c>
      <c r="BB264" s="0" t="str">
        <f aca="false">IF(BA264=1,COUNTIF($BA$5:BA264,1),"")</f>
        <v/>
      </c>
    </row>
    <row r="265" customFormat="false" ht="15" hidden="false" customHeight="false" outlineLevel="0" collapsed="false">
      <c r="BA265" s="0" t="n">
        <f aca="false">IF('Master Database'!$A265="",0,IF(AND(OR($B$5="",ISNUMBER(SEARCH($B$5,'Master Database'!$B265&amp;" "&amp;'Master Database'!$D265))),OR($B$6="(All)",'Master Database'!$C265=$B$6),OR($B$7="(All)",'Master Database'!$E265=$B$7),OR($B$8="(All)",'Master Database'!$T265=$B$8),OR($B$9="(All)",'Master Database'!$M265=$B$9),OR($B$10="(All)",'Master Database'!$V265=$B$10),OR($E$5="(All)",'Master Database'!$F265=$E$5),OR($E$6="(All)",'Master Database'!$G265=$E$6),OR($E$7="(All)",'Master Database'!$O265=$E$7),OR($E$8="(All)",'Master Database'!$P265=$E$8),OR($E$9="(All)",'Master Database'!$S265=$E$9),OR($E$10="(All)",'Master Database'!$Y265&amp;""=$E$10&amp;""),OR($H$5="(All)",'Master Database'!$BG265=$H$5),OR($H$6&lt;&gt;"Y",ISNUMBER('Master Database'!$AG265)),OR($H$7="",AND(ISNUMBER('Master Database'!$H265),N('Master Database'!$H265)&gt;=$H$7)),OR($I$7="",AND(ISNUMBER('Master Database'!$H265),N('Master Database'!$H265)&lt;=$I$7)),OR($H$8="",AND(ISNUMBER('Master Database'!$I265),N('Master Database'!$I265)&gt;=$H$8)),OR($I$8="",AND(ISNUMBER('Master Database'!$I265),N('Master Database'!$I265)&lt;=$I$8)),OR($H$9="",AND(ISNUMBER('Master Database'!$K265),N('Master Database'!$K265)&gt;=$H$9)),OR($I$9="",AND(ISNUMBER('Master Database'!$K265),N('Master Database'!$K265)&lt;=$I$9))),1,0))</f>
        <v>0</v>
      </c>
      <c r="BB265" s="0" t="str">
        <f aca="false">IF(BA265=1,COUNTIF($BA$5:BA265,1),"")</f>
        <v/>
      </c>
    </row>
    <row r="266" customFormat="false" ht="15" hidden="false" customHeight="false" outlineLevel="0" collapsed="false">
      <c r="BA266" s="0" t="n">
        <f aca="false">IF('Master Database'!$A266="",0,IF(AND(OR($B$5="",ISNUMBER(SEARCH($B$5,'Master Database'!$B266&amp;" "&amp;'Master Database'!$D266))),OR($B$6="(All)",'Master Database'!$C266=$B$6),OR($B$7="(All)",'Master Database'!$E266=$B$7),OR($B$8="(All)",'Master Database'!$T266=$B$8),OR($B$9="(All)",'Master Database'!$M266=$B$9),OR($B$10="(All)",'Master Database'!$V266=$B$10),OR($E$5="(All)",'Master Database'!$F266=$E$5),OR($E$6="(All)",'Master Database'!$G266=$E$6),OR($E$7="(All)",'Master Database'!$O266=$E$7),OR($E$8="(All)",'Master Database'!$P266=$E$8),OR($E$9="(All)",'Master Database'!$S266=$E$9),OR($E$10="(All)",'Master Database'!$Y266&amp;""=$E$10&amp;""),OR($H$5="(All)",'Master Database'!$BG266=$H$5),OR($H$6&lt;&gt;"Y",ISNUMBER('Master Database'!$AG266)),OR($H$7="",AND(ISNUMBER('Master Database'!$H266),N('Master Database'!$H266)&gt;=$H$7)),OR($I$7="",AND(ISNUMBER('Master Database'!$H266),N('Master Database'!$H266)&lt;=$I$7)),OR($H$8="",AND(ISNUMBER('Master Database'!$I266),N('Master Database'!$I266)&gt;=$H$8)),OR($I$8="",AND(ISNUMBER('Master Database'!$I266),N('Master Database'!$I266)&lt;=$I$8)),OR($H$9="",AND(ISNUMBER('Master Database'!$K266),N('Master Database'!$K266)&gt;=$H$9)),OR($I$9="",AND(ISNUMBER('Master Database'!$K266),N('Master Database'!$K266)&lt;=$I$9))),1,0))</f>
        <v>0</v>
      </c>
      <c r="BB266" s="0" t="str">
        <f aca="false">IF(BA266=1,COUNTIF($BA$5:BA266,1),"")</f>
        <v/>
      </c>
    </row>
    <row r="267" customFormat="false" ht="15" hidden="false" customHeight="false" outlineLevel="0" collapsed="false">
      <c r="BA267" s="0" t="n">
        <f aca="false">IF('Master Database'!$A267="",0,IF(AND(OR($B$5="",ISNUMBER(SEARCH($B$5,'Master Database'!$B267&amp;" "&amp;'Master Database'!$D267))),OR($B$6="(All)",'Master Database'!$C267=$B$6),OR($B$7="(All)",'Master Database'!$E267=$B$7),OR($B$8="(All)",'Master Database'!$T267=$B$8),OR($B$9="(All)",'Master Database'!$M267=$B$9),OR($B$10="(All)",'Master Database'!$V267=$B$10),OR($E$5="(All)",'Master Database'!$F267=$E$5),OR($E$6="(All)",'Master Database'!$G267=$E$6),OR($E$7="(All)",'Master Database'!$O267=$E$7),OR($E$8="(All)",'Master Database'!$P267=$E$8),OR($E$9="(All)",'Master Database'!$S267=$E$9),OR($E$10="(All)",'Master Database'!$Y267&amp;""=$E$10&amp;""),OR($H$5="(All)",'Master Database'!$BG267=$H$5),OR($H$6&lt;&gt;"Y",ISNUMBER('Master Database'!$AG267)),OR($H$7="",AND(ISNUMBER('Master Database'!$H267),N('Master Database'!$H267)&gt;=$H$7)),OR($I$7="",AND(ISNUMBER('Master Database'!$H267),N('Master Database'!$H267)&lt;=$I$7)),OR($H$8="",AND(ISNUMBER('Master Database'!$I267),N('Master Database'!$I267)&gt;=$H$8)),OR($I$8="",AND(ISNUMBER('Master Database'!$I267),N('Master Database'!$I267)&lt;=$I$8)),OR($H$9="",AND(ISNUMBER('Master Database'!$K267),N('Master Database'!$K267)&gt;=$H$9)),OR($I$9="",AND(ISNUMBER('Master Database'!$K267),N('Master Database'!$K267)&lt;=$I$9))),1,0))</f>
        <v>0</v>
      </c>
      <c r="BB267" s="0" t="str">
        <f aca="false">IF(BA267=1,COUNTIF($BA$5:BA267,1),"")</f>
        <v/>
      </c>
    </row>
    <row r="268" customFormat="false" ht="15" hidden="false" customHeight="false" outlineLevel="0" collapsed="false">
      <c r="BA268" s="0" t="n">
        <f aca="false">IF('Master Database'!$A268="",0,IF(AND(OR($B$5="",ISNUMBER(SEARCH($B$5,'Master Database'!$B268&amp;" "&amp;'Master Database'!$D268))),OR($B$6="(All)",'Master Database'!$C268=$B$6),OR($B$7="(All)",'Master Database'!$E268=$B$7),OR($B$8="(All)",'Master Database'!$T268=$B$8),OR($B$9="(All)",'Master Database'!$M268=$B$9),OR($B$10="(All)",'Master Database'!$V268=$B$10),OR($E$5="(All)",'Master Database'!$F268=$E$5),OR($E$6="(All)",'Master Database'!$G268=$E$6),OR($E$7="(All)",'Master Database'!$O268=$E$7),OR($E$8="(All)",'Master Database'!$P268=$E$8),OR($E$9="(All)",'Master Database'!$S268=$E$9),OR($E$10="(All)",'Master Database'!$Y268&amp;""=$E$10&amp;""),OR($H$5="(All)",'Master Database'!$BG268=$H$5),OR($H$6&lt;&gt;"Y",ISNUMBER('Master Database'!$AG268)),OR($H$7="",AND(ISNUMBER('Master Database'!$H268),N('Master Database'!$H268)&gt;=$H$7)),OR($I$7="",AND(ISNUMBER('Master Database'!$H268),N('Master Database'!$H268)&lt;=$I$7)),OR($H$8="",AND(ISNUMBER('Master Database'!$I268),N('Master Database'!$I268)&gt;=$H$8)),OR($I$8="",AND(ISNUMBER('Master Database'!$I268),N('Master Database'!$I268)&lt;=$I$8)),OR($H$9="",AND(ISNUMBER('Master Database'!$K268),N('Master Database'!$K268)&gt;=$H$9)),OR($I$9="",AND(ISNUMBER('Master Database'!$K268),N('Master Database'!$K268)&lt;=$I$9))),1,0))</f>
        <v>0</v>
      </c>
      <c r="BB268" s="0" t="str">
        <f aca="false">IF(BA268=1,COUNTIF($BA$5:BA268,1),"")</f>
        <v/>
      </c>
    </row>
    <row r="269" customFormat="false" ht="15" hidden="false" customHeight="false" outlineLevel="0" collapsed="false">
      <c r="BA269" s="0" t="n">
        <f aca="false">IF('Master Database'!$A269="",0,IF(AND(OR($B$5="",ISNUMBER(SEARCH($B$5,'Master Database'!$B269&amp;" "&amp;'Master Database'!$D269))),OR($B$6="(All)",'Master Database'!$C269=$B$6),OR($B$7="(All)",'Master Database'!$E269=$B$7),OR($B$8="(All)",'Master Database'!$T269=$B$8),OR($B$9="(All)",'Master Database'!$M269=$B$9),OR($B$10="(All)",'Master Database'!$V269=$B$10),OR($E$5="(All)",'Master Database'!$F269=$E$5),OR($E$6="(All)",'Master Database'!$G269=$E$6),OR($E$7="(All)",'Master Database'!$O269=$E$7),OR($E$8="(All)",'Master Database'!$P269=$E$8),OR($E$9="(All)",'Master Database'!$S269=$E$9),OR($E$10="(All)",'Master Database'!$Y269&amp;""=$E$10&amp;""),OR($H$5="(All)",'Master Database'!$BG269=$H$5),OR($H$6&lt;&gt;"Y",ISNUMBER('Master Database'!$AG269)),OR($H$7="",AND(ISNUMBER('Master Database'!$H269),N('Master Database'!$H269)&gt;=$H$7)),OR($I$7="",AND(ISNUMBER('Master Database'!$H269),N('Master Database'!$H269)&lt;=$I$7)),OR($H$8="",AND(ISNUMBER('Master Database'!$I269),N('Master Database'!$I269)&gt;=$H$8)),OR($I$8="",AND(ISNUMBER('Master Database'!$I269),N('Master Database'!$I269)&lt;=$I$8)),OR($H$9="",AND(ISNUMBER('Master Database'!$K269),N('Master Database'!$K269)&gt;=$H$9)),OR($I$9="",AND(ISNUMBER('Master Database'!$K269),N('Master Database'!$K269)&lt;=$I$9))),1,0))</f>
        <v>0</v>
      </c>
      <c r="BB269" s="0" t="str">
        <f aca="false">IF(BA269=1,COUNTIF($BA$5:BA269,1),"")</f>
        <v/>
      </c>
    </row>
    <row r="270" customFormat="false" ht="15" hidden="false" customHeight="false" outlineLevel="0" collapsed="false">
      <c r="BA270" s="0" t="n">
        <f aca="false">IF('Master Database'!$A270="",0,IF(AND(OR($B$5="",ISNUMBER(SEARCH($B$5,'Master Database'!$B270&amp;" "&amp;'Master Database'!$D270))),OR($B$6="(All)",'Master Database'!$C270=$B$6),OR($B$7="(All)",'Master Database'!$E270=$B$7),OR($B$8="(All)",'Master Database'!$T270=$B$8),OR($B$9="(All)",'Master Database'!$M270=$B$9),OR($B$10="(All)",'Master Database'!$V270=$B$10),OR($E$5="(All)",'Master Database'!$F270=$E$5),OR($E$6="(All)",'Master Database'!$G270=$E$6),OR($E$7="(All)",'Master Database'!$O270=$E$7),OR($E$8="(All)",'Master Database'!$P270=$E$8),OR($E$9="(All)",'Master Database'!$S270=$E$9),OR($E$10="(All)",'Master Database'!$Y270&amp;""=$E$10&amp;""),OR($H$5="(All)",'Master Database'!$BG270=$H$5),OR($H$6&lt;&gt;"Y",ISNUMBER('Master Database'!$AG270)),OR($H$7="",AND(ISNUMBER('Master Database'!$H270),N('Master Database'!$H270)&gt;=$H$7)),OR($I$7="",AND(ISNUMBER('Master Database'!$H270),N('Master Database'!$H270)&lt;=$I$7)),OR($H$8="",AND(ISNUMBER('Master Database'!$I270),N('Master Database'!$I270)&gt;=$H$8)),OR($I$8="",AND(ISNUMBER('Master Database'!$I270),N('Master Database'!$I270)&lt;=$I$8)),OR($H$9="",AND(ISNUMBER('Master Database'!$K270),N('Master Database'!$K270)&gt;=$H$9)),OR($I$9="",AND(ISNUMBER('Master Database'!$K270),N('Master Database'!$K270)&lt;=$I$9))),1,0))</f>
        <v>0</v>
      </c>
      <c r="BB270" s="0" t="str">
        <f aca="false">IF(BA270=1,COUNTIF($BA$5:BA270,1),"")</f>
        <v/>
      </c>
    </row>
    <row r="271" customFormat="false" ht="15" hidden="false" customHeight="false" outlineLevel="0" collapsed="false">
      <c r="BA271" s="0" t="n">
        <f aca="false">IF('Master Database'!$A271="",0,IF(AND(OR($B$5="",ISNUMBER(SEARCH($B$5,'Master Database'!$B271&amp;" "&amp;'Master Database'!$D271))),OR($B$6="(All)",'Master Database'!$C271=$B$6),OR($B$7="(All)",'Master Database'!$E271=$B$7),OR($B$8="(All)",'Master Database'!$T271=$B$8),OR($B$9="(All)",'Master Database'!$M271=$B$9),OR($B$10="(All)",'Master Database'!$V271=$B$10),OR($E$5="(All)",'Master Database'!$F271=$E$5),OR($E$6="(All)",'Master Database'!$G271=$E$6),OR($E$7="(All)",'Master Database'!$O271=$E$7),OR($E$8="(All)",'Master Database'!$P271=$E$8),OR($E$9="(All)",'Master Database'!$S271=$E$9),OR($E$10="(All)",'Master Database'!$Y271&amp;""=$E$10&amp;""),OR($H$5="(All)",'Master Database'!$BG271=$H$5),OR($H$6&lt;&gt;"Y",ISNUMBER('Master Database'!$AG271)),OR($H$7="",AND(ISNUMBER('Master Database'!$H271),N('Master Database'!$H271)&gt;=$H$7)),OR($I$7="",AND(ISNUMBER('Master Database'!$H271),N('Master Database'!$H271)&lt;=$I$7)),OR($H$8="",AND(ISNUMBER('Master Database'!$I271),N('Master Database'!$I271)&gt;=$H$8)),OR($I$8="",AND(ISNUMBER('Master Database'!$I271),N('Master Database'!$I271)&lt;=$I$8)),OR($H$9="",AND(ISNUMBER('Master Database'!$K271),N('Master Database'!$K271)&gt;=$H$9)),OR($I$9="",AND(ISNUMBER('Master Database'!$K271),N('Master Database'!$K271)&lt;=$I$9))),1,0))</f>
        <v>0</v>
      </c>
      <c r="BB271" s="0" t="str">
        <f aca="false">IF(BA271=1,COUNTIF($BA$5:BA271,1),"")</f>
        <v/>
      </c>
    </row>
    <row r="272" customFormat="false" ht="15" hidden="false" customHeight="false" outlineLevel="0" collapsed="false">
      <c r="BA272" s="0" t="n">
        <f aca="false">IF('Master Database'!$A272="",0,IF(AND(OR($B$5="",ISNUMBER(SEARCH($B$5,'Master Database'!$B272&amp;" "&amp;'Master Database'!$D272))),OR($B$6="(All)",'Master Database'!$C272=$B$6),OR($B$7="(All)",'Master Database'!$E272=$B$7),OR($B$8="(All)",'Master Database'!$T272=$B$8),OR($B$9="(All)",'Master Database'!$M272=$B$9),OR($B$10="(All)",'Master Database'!$V272=$B$10),OR($E$5="(All)",'Master Database'!$F272=$E$5),OR($E$6="(All)",'Master Database'!$G272=$E$6),OR($E$7="(All)",'Master Database'!$O272=$E$7),OR($E$8="(All)",'Master Database'!$P272=$E$8),OR($E$9="(All)",'Master Database'!$S272=$E$9),OR($E$10="(All)",'Master Database'!$Y272&amp;""=$E$10&amp;""),OR($H$5="(All)",'Master Database'!$BG272=$H$5),OR($H$6&lt;&gt;"Y",ISNUMBER('Master Database'!$AG272)),OR($H$7="",AND(ISNUMBER('Master Database'!$H272),N('Master Database'!$H272)&gt;=$H$7)),OR($I$7="",AND(ISNUMBER('Master Database'!$H272),N('Master Database'!$H272)&lt;=$I$7)),OR($H$8="",AND(ISNUMBER('Master Database'!$I272),N('Master Database'!$I272)&gt;=$H$8)),OR($I$8="",AND(ISNUMBER('Master Database'!$I272),N('Master Database'!$I272)&lt;=$I$8)),OR($H$9="",AND(ISNUMBER('Master Database'!$K272),N('Master Database'!$K272)&gt;=$H$9)),OR($I$9="",AND(ISNUMBER('Master Database'!$K272),N('Master Database'!$K272)&lt;=$I$9))),1,0))</f>
        <v>0</v>
      </c>
      <c r="BB272" s="0" t="str">
        <f aca="false">IF(BA272=1,COUNTIF($BA$5:BA272,1),"")</f>
        <v/>
      </c>
    </row>
    <row r="273" customFormat="false" ht="15" hidden="false" customHeight="false" outlineLevel="0" collapsed="false">
      <c r="BA273" s="0" t="n">
        <f aca="false">IF('Master Database'!$A273="",0,IF(AND(OR($B$5="",ISNUMBER(SEARCH($B$5,'Master Database'!$B273&amp;" "&amp;'Master Database'!$D273))),OR($B$6="(All)",'Master Database'!$C273=$B$6),OR($B$7="(All)",'Master Database'!$E273=$B$7),OR($B$8="(All)",'Master Database'!$T273=$B$8),OR($B$9="(All)",'Master Database'!$M273=$B$9),OR($B$10="(All)",'Master Database'!$V273=$B$10),OR($E$5="(All)",'Master Database'!$F273=$E$5),OR($E$6="(All)",'Master Database'!$G273=$E$6),OR($E$7="(All)",'Master Database'!$O273=$E$7),OR($E$8="(All)",'Master Database'!$P273=$E$8),OR($E$9="(All)",'Master Database'!$S273=$E$9),OR($E$10="(All)",'Master Database'!$Y273&amp;""=$E$10&amp;""),OR($H$5="(All)",'Master Database'!$BG273=$H$5),OR($H$6&lt;&gt;"Y",ISNUMBER('Master Database'!$AG273)),OR($H$7="",AND(ISNUMBER('Master Database'!$H273),N('Master Database'!$H273)&gt;=$H$7)),OR($I$7="",AND(ISNUMBER('Master Database'!$H273),N('Master Database'!$H273)&lt;=$I$7)),OR($H$8="",AND(ISNUMBER('Master Database'!$I273),N('Master Database'!$I273)&gt;=$H$8)),OR($I$8="",AND(ISNUMBER('Master Database'!$I273),N('Master Database'!$I273)&lt;=$I$8)),OR($H$9="",AND(ISNUMBER('Master Database'!$K273),N('Master Database'!$K273)&gt;=$H$9)),OR($I$9="",AND(ISNUMBER('Master Database'!$K273),N('Master Database'!$K273)&lt;=$I$9))),1,0))</f>
        <v>0</v>
      </c>
      <c r="BB273" s="0" t="str">
        <f aca="false">IF(BA273=1,COUNTIF($BA$5:BA273,1),"")</f>
        <v/>
      </c>
    </row>
    <row r="274" customFormat="false" ht="15" hidden="false" customHeight="false" outlineLevel="0" collapsed="false">
      <c r="BA274" s="0" t="n">
        <f aca="false">IF('Master Database'!$A274="",0,IF(AND(OR($B$5="",ISNUMBER(SEARCH($B$5,'Master Database'!$B274&amp;" "&amp;'Master Database'!$D274))),OR($B$6="(All)",'Master Database'!$C274=$B$6),OR($B$7="(All)",'Master Database'!$E274=$B$7),OR($B$8="(All)",'Master Database'!$T274=$B$8),OR($B$9="(All)",'Master Database'!$M274=$B$9),OR($B$10="(All)",'Master Database'!$V274=$B$10),OR($E$5="(All)",'Master Database'!$F274=$E$5),OR($E$6="(All)",'Master Database'!$G274=$E$6),OR($E$7="(All)",'Master Database'!$O274=$E$7),OR($E$8="(All)",'Master Database'!$P274=$E$8),OR($E$9="(All)",'Master Database'!$S274=$E$9),OR($E$10="(All)",'Master Database'!$Y274&amp;""=$E$10&amp;""),OR($H$5="(All)",'Master Database'!$BG274=$H$5),OR($H$6&lt;&gt;"Y",ISNUMBER('Master Database'!$AG274)),OR($H$7="",AND(ISNUMBER('Master Database'!$H274),N('Master Database'!$H274)&gt;=$H$7)),OR($I$7="",AND(ISNUMBER('Master Database'!$H274),N('Master Database'!$H274)&lt;=$I$7)),OR($H$8="",AND(ISNUMBER('Master Database'!$I274),N('Master Database'!$I274)&gt;=$H$8)),OR($I$8="",AND(ISNUMBER('Master Database'!$I274),N('Master Database'!$I274)&lt;=$I$8)),OR($H$9="",AND(ISNUMBER('Master Database'!$K274),N('Master Database'!$K274)&gt;=$H$9)),OR($I$9="",AND(ISNUMBER('Master Database'!$K274),N('Master Database'!$K274)&lt;=$I$9))),1,0))</f>
        <v>0</v>
      </c>
      <c r="BB274" s="0" t="str">
        <f aca="false">IF(BA274=1,COUNTIF($BA$5:BA274,1),"")</f>
        <v/>
      </c>
    </row>
    <row r="275" customFormat="false" ht="15" hidden="false" customHeight="false" outlineLevel="0" collapsed="false">
      <c r="BA275" s="0" t="n">
        <f aca="false">IF('Master Database'!$A275="",0,IF(AND(OR($B$5="",ISNUMBER(SEARCH($B$5,'Master Database'!$B275&amp;" "&amp;'Master Database'!$D275))),OR($B$6="(All)",'Master Database'!$C275=$B$6),OR($B$7="(All)",'Master Database'!$E275=$B$7),OR($B$8="(All)",'Master Database'!$T275=$B$8),OR($B$9="(All)",'Master Database'!$M275=$B$9),OR($B$10="(All)",'Master Database'!$V275=$B$10),OR($E$5="(All)",'Master Database'!$F275=$E$5),OR($E$6="(All)",'Master Database'!$G275=$E$6),OR($E$7="(All)",'Master Database'!$O275=$E$7),OR($E$8="(All)",'Master Database'!$P275=$E$8),OR($E$9="(All)",'Master Database'!$S275=$E$9),OR($E$10="(All)",'Master Database'!$Y275&amp;""=$E$10&amp;""),OR($H$5="(All)",'Master Database'!$BG275=$H$5),OR($H$6&lt;&gt;"Y",ISNUMBER('Master Database'!$AG275)),OR($H$7="",AND(ISNUMBER('Master Database'!$H275),N('Master Database'!$H275)&gt;=$H$7)),OR($I$7="",AND(ISNUMBER('Master Database'!$H275),N('Master Database'!$H275)&lt;=$I$7)),OR($H$8="",AND(ISNUMBER('Master Database'!$I275),N('Master Database'!$I275)&gt;=$H$8)),OR($I$8="",AND(ISNUMBER('Master Database'!$I275),N('Master Database'!$I275)&lt;=$I$8)),OR($H$9="",AND(ISNUMBER('Master Database'!$K275),N('Master Database'!$K275)&gt;=$H$9)),OR($I$9="",AND(ISNUMBER('Master Database'!$K275),N('Master Database'!$K275)&lt;=$I$9))),1,0))</f>
        <v>0</v>
      </c>
      <c r="BB275" s="0" t="str">
        <f aca="false">IF(BA275=1,COUNTIF($BA$5:BA275,1),"")</f>
        <v/>
      </c>
    </row>
    <row r="276" customFormat="false" ht="15" hidden="false" customHeight="false" outlineLevel="0" collapsed="false">
      <c r="BA276" s="0" t="n">
        <f aca="false">IF('Master Database'!$A276="",0,IF(AND(OR($B$5="",ISNUMBER(SEARCH($B$5,'Master Database'!$B276&amp;" "&amp;'Master Database'!$D276))),OR($B$6="(All)",'Master Database'!$C276=$B$6),OR($B$7="(All)",'Master Database'!$E276=$B$7),OR($B$8="(All)",'Master Database'!$T276=$B$8),OR($B$9="(All)",'Master Database'!$M276=$B$9),OR($B$10="(All)",'Master Database'!$V276=$B$10),OR($E$5="(All)",'Master Database'!$F276=$E$5),OR($E$6="(All)",'Master Database'!$G276=$E$6),OR($E$7="(All)",'Master Database'!$O276=$E$7),OR($E$8="(All)",'Master Database'!$P276=$E$8),OR($E$9="(All)",'Master Database'!$S276=$E$9),OR($E$10="(All)",'Master Database'!$Y276&amp;""=$E$10&amp;""),OR($H$5="(All)",'Master Database'!$BG276=$H$5),OR($H$6&lt;&gt;"Y",ISNUMBER('Master Database'!$AG276)),OR($H$7="",AND(ISNUMBER('Master Database'!$H276),N('Master Database'!$H276)&gt;=$H$7)),OR($I$7="",AND(ISNUMBER('Master Database'!$H276),N('Master Database'!$H276)&lt;=$I$7)),OR($H$8="",AND(ISNUMBER('Master Database'!$I276),N('Master Database'!$I276)&gt;=$H$8)),OR($I$8="",AND(ISNUMBER('Master Database'!$I276),N('Master Database'!$I276)&lt;=$I$8)),OR($H$9="",AND(ISNUMBER('Master Database'!$K276),N('Master Database'!$K276)&gt;=$H$9)),OR($I$9="",AND(ISNUMBER('Master Database'!$K276),N('Master Database'!$K276)&lt;=$I$9))),1,0))</f>
        <v>0</v>
      </c>
      <c r="BB276" s="0" t="str">
        <f aca="false">IF(BA276=1,COUNTIF($BA$5:BA276,1),"")</f>
        <v/>
      </c>
    </row>
    <row r="277" customFormat="false" ht="15" hidden="false" customHeight="false" outlineLevel="0" collapsed="false">
      <c r="BA277" s="0" t="n">
        <f aca="false">IF('Master Database'!$A277="",0,IF(AND(OR($B$5="",ISNUMBER(SEARCH($B$5,'Master Database'!$B277&amp;" "&amp;'Master Database'!$D277))),OR($B$6="(All)",'Master Database'!$C277=$B$6),OR($B$7="(All)",'Master Database'!$E277=$B$7),OR($B$8="(All)",'Master Database'!$T277=$B$8),OR($B$9="(All)",'Master Database'!$M277=$B$9),OR($B$10="(All)",'Master Database'!$V277=$B$10),OR($E$5="(All)",'Master Database'!$F277=$E$5),OR($E$6="(All)",'Master Database'!$G277=$E$6),OR($E$7="(All)",'Master Database'!$O277=$E$7),OR($E$8="(All)",'Master Database'!$P277=$E$8),OR($E$9="(All)",'Master Database'!$S277=$E$9),OR($E$10="(All)",'Master Database'!$Y277&amp;""=$E$10&amp;""),OR($H$5="(All)",'Master Database'!$BG277=$H$5),OR($H$6&lt;&gt;"Y",ISNUMBER('Master Database'!$AG277)),OR($H$7="",AND(ISNUMBER('Master Database'!$H277),N('Master Database'!$H277)&gt;=$H$7)),OR($I$7="",AND(ISNUMBER('Master Database'!$H277),N('Master Database'!$H277)&lt;=$I$7)),OR($H$8="",AND(ISNUMBER('Master Database'!$I277),N('Master Database'!$I277)&gt;=$H$8)),OR($I$8="",AND(ISNUMBER('Master Database'!$I277),N('Master Database'!$I277)&lt;=$I$8)),OR($H$9="",AND(ISNUMBER('Master Database'!$K277),N('Master Database'!$K277)&gt;=$H$9)),OR($I$9="",AND(ISNUMBER('Master Database'!$K277),N('Master Database'!$K277)&lt;=$I$9))),1,0))</f>
        <v>0</v>
      </c>
      <c r="BB277" s="0" t="str">
        <f aca="false">IF(BA277=1,COUNTIF($BA$5:BA277,1),"")</f>
        <v/>
      </c>
    </row>
    <row r="278" customFormat="false" ht="15" hidden="false" customHeight="false" outlineLevel="0" collapsed="false">
      <c r="BA278" s="0" t="n">
        <f aca="false">IF('Master Database'!$A278="",0,IF(AND(OR($B$5="",ISNUMBER(SEARCH($B$5,'Master Database'!$B278&amp;" "&amp;'Master Database'!$D278))),OR($B$6="(All)",'Master Database'!$C278=$B$6),OR($B$7="(All)",'Master Database'!$E278=$B$7),OR($B$8="(All)",'Master Database'!$T278=$B$8),OR($B$9="(All)",'Master Database'!$M278=$B$9),OR($B$10="(All)",'Master Database'!$V278=$B$10),OR($E$5="(All)",'Master Database'!$F278=$E$5),OR($E$6="(All)",'Master Database'!$G278=$E$6),OR($E$7="(All)",'Master Database'!$O278=$E$7),OR($E$8="(All)",'Master Database'!$P278=$E$8),OR($E$9="(All)",'Master Database'!$S278=$E$9),OR($E$10="(All)",'Master Database'!$Y278&amp;""=$E$10&amp;""),OR($H$5="(All)",'Master Database'!$BG278=$H$5),OR($H$6&lt;&gt;"Y",ISNUMBER('Master Database'!$AG278)),OR($H$7="",AND(ISNUMBER('Master Database'!$H278),N('Master Database'!$H278)&gt;=$H$7)),OR($I$7="",AND(ISNUMBER('Master Database'!$H278),N('Master Database'!$H278)&lt;=$I$7)),OR($H$8="",AND(ISNUMBER('Master Database'!$I278),N('Master Database'!$I278)&gt;=$H$8)),OR($I$8="",AND(ISNUMBER('Master Database'!$I278),N('Master Database'!$I278)&lt;=$I$8)),OR($H$9="",AND(ISNUMBER('Master Database'!$K278),N('Master Database'!$K278)&gt;=$H$9)),OR($I$9="",AND(ISNUMBER('Master Database'!$K278),N('Master Database'!$K278)&lt;=$I$9))),1,0))</f>
        <v>0</v>
      </c>
      <c r="BB278" s="0" t="str">
        <f aca="false">IF(BA278=1,COUNTIF($BA$5:BA278,1),"")</f>
        <v/>
      </c>
    </row>
    <row r="279" customFormat="false" ht="15" hidden="false" customHeight="false" outlineLevel="0" collapsed="false">
      <c r="BA279" s="0" t="n">
        <f aca="false">IF('Master Database'!$A279="",0,IF(AND(OR($B$5="",ISNUMBER(SEARCH($B$5,'Master Database'!$B279&amp;" "&amp;'Master Database'!$D279))),OR($B$6="(All)",'Master Database'!$C279=$B$6),OR($B$7="(All)",'Master Database'!$E279=$B$7),OR($B$8="(All)",'Master Database'!$T279=$B$8),OR($B$9="(All)",'Master Database'!$M279=$B$9),OR($B$10="(All)",'Master Database'!$V279=$B$10),OR($E$5="(All)",'Master Database'!$F279=$E$5),OR($E$6="(All)",'Master Database'!$G279=$E$6),OR($E$7="(All)",'Master Database'!$O279=$E$7),OR($E$8="(All)",'Master Database'!$P279=$E$8),OR($E$9="(All)",'Master Database'!$S279=$E$9),OR($E$10="(All)",'Master Database'!$Y279&amp;""=$E$10&amp;""),OR($H$5="(All)",'Master Database'!$BG279=$H$5),OR($H$6&lt;&gt;"Y",ISNUMBER('Master Database'!$AG279)),OR($H$7="",AND(ISNUMBER('Master Database'!$H279),N('Master Database'!$H279)&gt;=$H$7)),OR($I$7="",AND(ISNUMBER('Master Database'!$H279),N('Master Database'!$H279)&lt;=$I$7)),OR($H$8="",AND(ISNUMBER('Master Database'!$I279),N('Master Database'!$I279)&gt;=$H$8)),OR($I$8="",AND(ISNUMBER('Master Database'!$I279),N('Master Database'!$I279)&lt;=$I$8)),OR($H$9="",AND(ISNUMBER('Master Database'!$K279),N('Master Database'!$K279)&gt;=$H$9)),OR($I$9="",AND(ISNUMBER('Master Database'!$K279),N('Master Database'!$K279)&lt;=$I$9))),1,0))</f>
        <v>0</v>
      </c>
      <c r="BB279" s="0" t="str">
        <f aca="false">IF(BA279=1,COUNTIF($BA$5:BA279,1),"")</f>
        <v/>
      </c>
    </row>
    <row r="280" customFormat="false" ht="15" hidden="false" customHeight="false" outlineLevel="0" collapsed="false">
      <c r="BA280" s="0" t="n">
        <f aca="false">IF('Master Database'!$A280="",0,IF(AND(OR($B$5="",ISNUMBER(SEARCH($B$5,'Master Database'!$B280&amp;" "&amp;'Master Database'!$D280))),OR($B$6="(All)",'Master Database'!$C280=$B$6),OR($B$7="(All)",'Master Database'!$E280=$B$7),OR($B$8="(All)",'Master Database'!$T280=$B$8),OR($B$9="(All)",'Master Database'!$M280=$B$9),OR($B$10="(All)",'Master Database'!$V280=$B$10),OR($E$5="(All)",'Master Database'!$F280=$E$5),OR($E$6="(All)",'Master Database'!$G280=$E$6),OR($E$7="(All)",'Master Database'!$O280=$E$7),OR($E$8="(All)",'Master Database'!$P280=$E$8),OR($E$9="(All)",'Master Database'!$S280=$E$9),OR($E$10="(All)",'Master Database'!$Y280&amp;""=$E$10&amp;""),OR($H$5="(All)",'Master Database'!$BG280=$H$5),OR($H$6&lt;&gt;"Y",ISNUMBER('Master Database'!$AG280)),OR($H$7="",AND(ISNUMBER('Master Database'!$H280),N('Master Database'!$H280)&gt;=$H$7)),OR($I$7="",AND(ISNUMBER('Master Database'!$H280),N('Master Database'!$H280)&lt;=$I$7)),OR($H$8="",AND(ISNUMBER('Master Database'!$I280),N('Master Database'!$I280)&gt;=$H$8)),OR($I$8="",AND(ISNUMBER('Master Database'!$I280),N('Master Database'!$I280)&lt;=$I$8)),OR($H$9="",AND(ISNUMBER('Master Database'!$K280),N('Master Database'!$K280)&gt;=$H$9)),OR($I$9="",AND(ISNUMBER('Master Database'!$K280),N('Master Database'!$K280)&lt;=$I$9))),1,0))</f>
        <v>0</v>
      </c>
      <c r="BB280" s="0" t="str">
        <f aca="false">IF(BA280=1,COUNTIF($BA$5:BA280,1),"")</f>
        <v/>
      </c>
    </row>
    <row r="281" customFormat="false" ht="15" hidden="false" customHeight="false" outlineLevel="0" collapsed="false">
      <c r="BA281" s="0" t="n">
        <f aca="false">IF('Master Database'!$A281="",0,IF(AND(OR($B$5="",ISNUMBER(SEARCH($B$5,'Master Database'!$B281&amp;" "&amp;'Master Database'!$D281))),OR($B$6="(All)",'Master Database'!$C281=$B$6),OR($B$7="(All)",'Master Database'!$E281=$B$7),OR($B$8="(All)",'Master Database'!$T281=$B$8),OR($B$9="(All)",'Master Database'!$M281=$B$9),OR($B$10="(All)",'Master Database'!$V281=$B$10),OR($E$5="(All)",'Master Database'!$F281=$E$5),OR($E$6="(All)",'Master Database'!$G281=$E$6),OR($E$7="(All)",'Master Database'!$O281=$E$7),OR($E$8="(All)",'Master Database'!$P281=$E$8),OR($E$9="(All)",'Master Database'!$S281=$E$9),OR($E$10="(All)",'Master Database'!$Y281&amp;""=$E$10&amp;""),OR($H$5="(All)",'Master Database'!$BG281=$H$5),OR($H$6&lt;&gt;"Y",ISNUMBER('Master Database'!$AG281)),OR($H$7="",AND(ISNUMBER('Master Database'!$H281),N('Master Database'!$H281)&gt;=$H$7)),OR($I$7="",AND(ISNUMBER('Master Database'!$H281),N('Master Database'!$H281)&lt;=$I$7)),OR($H$8="",AND(ISNUMBER('Master Database'!$I281),N('Master Database'!$I281)&gt;=$H$8)),OR($I$8="",AND(ISNUMBER('Master Database'!$I281),N('Master Database'!$I281)&lt;=$I$8)),OR($H$9="",AND(ISNUMBER('Master Database'!$K281),N('Master Database'!$K281)&gt;=$H$9)),OR($I$9="",AND(ISNUMBER('Master Database'!$K281),N('Master Database'!$K281)&lt;=$I$9))),1,0))</f>
        <v>0</v>
      </c>
      <c r="BB281" s="0" t="str">
        <f aca="false">IF(BA281=1,COUNTIF($BA$5:BA281,1),"")</f>
        <v/>
      </c>
    </row>
    <row r="282" customFormat="false" ht="15" hidden="false" customHeight="false" outlineLevel="0" collapsed="false">
      <c r="BA282" s="0" t="n">
        <f aca="false">IF('Master Database'!$A282="",0,IF(AND(OR($B$5="",ISNUMBER(SEARCH($B$5,'Master Database'!$B282&amp;" "&amp;'Master Database'!$D282))),OR($B$6="(All)",'Master Database'!$C282=$B$6),OR($B$7="(All)",'Master Database'!$E282=$B$7),OR($B$8="(All)",'Master Database'!$T282=$B$8),OR($B$9="(All)",'Master Database'!$M282=$B$9),OR($B$10="(All)",'Master Database'!$V282=$B$10),OR($E$5="(All)",'Master Database'!$F282=$E$5),OR($E$6="(All)",'Master Database'!$G282=$E$6),OR($E$7="(All)",'Master Database'!$O282=$E$7),OR($E$8="(All)",'Master Database'!$P282=$E$8),OR($E$9="(All)",'Master Database'!$S282=$E$9),OR($E$10="(All)",'Master Database'!$Y282&amp;""=$E$10&amp;""),OR($H$5="(All)",'Master Database'!$BG282=$H$5),OR($H$6&lt;&gt;"Y",ISNUMBER('Master Database'!$AG282)),OR($H$7="",AND(ISNUMBER('Master Database'!$H282),N('Master Database'!$H282)&gt;=$H$7)),OR($I$7="",AND(ISNUMBER('Master Database'!$H282),N('Master Database'!$H282)&lt;=$I$7)),OR($H$8="",AND(ISNUMBER('Master Database'!$I282),N('Master Database'!$I282)&gt;=$H$8)),OR($I$8="",AND(ISNUMBER('Master Database'!$I282),N('Master Database'!$I282)&lt;=$I$8)),OR($H$9="",AND(ISNUMBER('Master Database'!$K282),N('Master Database'!$K282)&gt;=$H$9)),OR($I$9="",AND(ISNUMBER('Master Database'!$K282),N('Master Database'!$K282)&lt;=$I$9))),1,0))</f>
        <v>0</v>
      </c>
      <c r="BB282" s="0" t="str">
        <f aca="false">IF(BA282=1,COUNTIF($BA$5:BA282,1),"")</f>
        <v/>
      </c>
    </row>
    <row r="283" customFormat="false" ht="15" hidden="false" customHeight="false" outlineLevel="0" collapsed="false">
      <c r="BA283" s="0" t="n">
        <f aca="false">IF('Master Database'!$A283="",0,IF(AND(OR($B$5="",ISNUMBER(SEARCH($B$5,'Master Database'!$B283&amp;" "&amp;'Master Database'!$D283))),OR($B$6="(All)",'Master Database'!$C283=$B$6),OR($B$7="(All)",'Master Database'!$E283=$B$7),OR($B$8="(All)",'Master Database'!$T283=$B$8),OR($B$9="(All)",'Master Database'!$M283=$B$9),OR($B$10="(All)",'Master Database'!$V283=$B$10),OR($E$5="(All)",'Master Database'!$F283=$E$5),OR($E$6="(All)",'Master Database'!$G283=$E$6),OR($E$7="(All)",'Master Database'!$O283=$E$7),OR($E$8="(All)",'Master Database'!$P283=$E$8),OR($E$9="(All)",'Master Database'!$S283=$E$9),OR($E$10="(All)",'Master Database'!$Y283&amp;""=$E$10&amp;""),OR($H$5="(All)",'Master Database'!$BG283=$H$5),OR($H$6&lt;&gt;"Y",ISNUMBER('Master Database'!$AG283)),OR($H$7="",AND(ISNUMBER('Master Database'!$H283),N('Master Database'!$H283)&gt;=$H$7)),OR($I$7="",AND(ISNUMBER('Master Database'!$H283),N('Master Database'!$H283)&lt;=$I$7)),OR($H$8="",AND(ISNUMBER('Master Database'!$I283),N('Master Database'!$I283)&gt;=$H$8)),OR($I$8="",AND(ISNUMBER('Master Database'!$I283),N('Master Database'!$I283)&lt;=$I$8)),OR($H$9="",AND(ISNUMBER('Master Database'!$K283),N('Master Database'!$K283)&gt;=$H$9)),OR($I$9="",AND(ISNUMBER('Master Database'!$K283),N('Master Database'!$K283)&lt;=$I$9))),1,0))</f>
        <v>0</v>
      </c>
      <c r="BB283" s="0" t="str">
        <f aca="false">IF(BA283=1,COUNTIF($BA$5:BA283,1),"")</f>
        <v/>
      </c>
    </row>
    <row r="284" customFormat="false" ht="15" hidden="false" customHeight="false" outlineLevel="0" collapsed="false">
      <c r="BA284" s="0" t="n">
        <f aca="false">IF('Master Database'!$A284="",0,IF(AND(OR($B$5="",ISNUMBER(SEARCH($B$5,'Master Database'!$B284&amp;" "&amp;'Master Database'!$D284))),OR($B$6="(All)",'Master Database'!$C284=$B$6),OR($B$7="(All)",'Master Database'!$E284=$B$7),OR($B$8="(All)",'Master Database'!$T284=$B$8),OR($B$9="(All)",'Master Database'!$M284=$B$9),OR($B$10="(All)",'Master Database'!$V284=$B$10),OR($E$5="(All)",'Master Database'!$F284=$E$5),OR($E$6="(All)",'Master Database'!$G284=$E$6),OR($E$7="(All)",'Master Database'!$O284=$E$7),OR($E$8="(All)",'Master Database'!$P284=$E$8),OR($E$9="(All)",'Master Database'!$S284=$E$9),OR($E$10="(All)",'Master Database'!$Y284&amp;""=$E$10&amp;""),OR($H$5="(All)",'Master Database'!$BG284=$H$5),OR($H$6&lt;&gt;"Y",ISNUMBER('Master Database'!$AG284)),OR($H$7="",AND(ISNUMBER('Master Database'!$H284),N('Master Database'!$H284)&gt;=$H$7)),OR($I$7="",AND(ISNUMBER('Master Database'!$H284),N('Master Database'!$H284)&lt;=$I$7)),OR($H$8="",AND(ISNUMBER('Master Database'!$I284),N('Master Database'!$I284)&gt;=$H$8)),OR($I$8="",AND(ISNUMBER('Master Database'!$I284),N('Master Database'!$I284)&lt;=$I$8)),OR($H$9="",AND(ISNUMBER('Master Database'!$K284),N('Master Database'!$K284)&gt;=$H$9)),OR($I$9="",AND(ISNUMBER('Master Database'!$K284),N('Master Database'!$K284)&lt;=$I$9))),1,0))</f>
        <v>0</v>
      </c>
      <c r="BB284" s="0" t="str">
        <f aca="false">IF(BA284=1,COUNTIF($BA$5:BA284,1),"")</f>
        <v/>
      </c>
    </row>
    <row r="285" customFormat="false" ht="15" hidden="false" customHeight="false" outlineLevel="0" collapsed="false">
      <c r="BA285" s="0" t="n">
        <f aca="false">IF('Master Database'!$A285="",0,IF(AND(OR($B$5="",ISNUMBER(SEARCH($B$5,'Master Database'!$B285&amp;" "&amp;'Master Database'!$D285))),OR($B$6="(All)",'Master Database'!$C285=$B$6),OR($B$7="(All)",'Master Database'!$E285=$B$7),OR($B$8="(All)",'Master Database'!$T285=$B$8),OR($B$9="(All)",'Master Database'!$M285=$B$9),OR($B$10="(All)",'Master Database'!$V285=$B$10),OR($E$5="(All)",'Master Database'!$F285=$E$5),OR($E$6="(All)",'Master Database'!$G285=$E$6),OR($E$7="(All)",'Master Database'!$O285=$E$7),OR($E$8="(All)",'Master Database'!$P285=$E$8),OR($E$9="(All)",'Master Database'!$S285=$E$9),OR($E$10="(All)",'Master Database'!$Y285&amp;""=$E$10&amp;""),OR($H$5="(All)",'Master Database'!$BG285=$H$5),OR($H$6&lt;&gt;"Y",ISNUMBER('Master Database'!$AG285)),OR($H$7="",AND(ISNUMBER('Master Database'!$H285),N('Master Database'!$H285)&gt;=$H$7)),OR($I$7="",AND(ISNUMBER('Master Database'!$H285),N('Master Database'!$H285)&lt;=$I$7)),OR($H$8="",AND(ISNUMBER('Master Database'!$I285),N('Master Database'!$I285)&gt;=$H$8)),OR($I$8="",AND(ISNUMBER('Master Database'!$I285),N('Master Database'!$I285)&lt;=$I$8)),OR($H$9="",AND(ISNUMBER('Master Database'!$K285),N('Master Database'!$K285)&gt;=$H$9)),OR($I$9="",AND(ISNUMBER('Master Database'!$K285),N('Master Database'!$K285)&lt;=$I$9))),1,0))</f>
        <v>0</v>
      </c>
      <c r="BB285" s="0" t="str">
        <f aca="false">IF(BA285=1,COUNTIF($BA$5:BA285,1),"")</f>
        <v/>
      </c>
    </row>
    <row r="286" customFormat="false" ht="15" hidden="false" customHeight="false" outlineLevel="0" collapsed="false">
      <c r="BA286" s="0" t="n">
        <f aca="false">IF('Master Database'!$A286="",0,IF(AND(OR($B$5="",ISNUMBER(SEARCH($B$5,'Master Database'!$B286&amp;" "&amp;'Master Database'!$D286))),OR($B$6="(All)",'Master Database'!$C286=$B$6),OR($B$7="(All)",'Master Database'!$E286=$B$7),OR($B$8="(All)",'Master Database'!$T286=$B$8),OR($B$9="(All)",'Master Database'!$M286=$B$9),OR($B$10="(All)",'Master Database'!$V286=$B$10),OR($E$5="(All)",'Master Database'!$F286=$E$5),OR($E$6="(All)",'Master Database'!$G286=$E$6),OR($E$7="(All)",'Master Database'!$O286=$E$7),OR($E$8="(All)",'Master Database'!$P286=$E$8),OR($E$9="(All)",'Master Database'!$S286=$E$9),OR($E$10="(All)",'Master Database'!$Y286&amp;""=$E$10&amp;""),OR($H$5="(All)",'Master Database'!$BG286=$H$5),OR($H$6&lt;&gt;"Y",ISNUMBER('Master Database'!$AG286)),OR($H$7="",AND(ISNUMBER('Master Database'!$H286),N('Master Database'!$H286)&gt;=$H$7)),OR($I$7="",AND(ISNUMBER('Master Database'!$H286),N('Master Database'!$H286)&lt;=$I$7)),OR($H$8="",AND(ISNUMBER('Master Database'!$I286),N('Master Database'!$I286)&gt;=$H$8)),OR($I$8="",AND(ISNUMBER('Master Database'!$I286),N('Master Database'!$I286)&lt;=$I$8)),OR($H$9="",AND(ISNUMBER('Master Database'!$K286),N('Master Database'!$K286)&gt;=$H$9)),OR($I$9="",AND(ISNUMBER('Master Database'!$K286),N('Master Database'!$K286)&lt;=$I$9))),1,0))</f>
        <v>0</v>
      </c>
      <c r="BB286" s="0" t="str">
        <f aca="false">IF(BA286=1,COUNTIF($BA$5:BA286,1),"")</f>
        <v/>
      </c>
    </row>
    <row r="287" customFormat="false" ht="15" hidden="false" customHeight="false" outlineLevel="0" collapsed="false">
      <c r="BA287" s="0" t="n">
        <f aca="false">IF('Master Database'!$A287="",0,IF(AND(OR($B$5="",ISNUMBER(SEARCH($B$5,'Master Database'!$B287&amp;" "&amp;'Master Database'!$D287))),OR($B$6="(All)",'Master Database'!$C287=$B$6),OR($B$7="(All)",'Master Database'!$E287=$B$7),OR($B$8="(All)",'Master Database'!$T287=$B$8),OR($B$9="(All)",'Master Database'!$M287=$B$9),OR($B$10="(All)",'Master Database'!$V287=$B$10),OR($E$5="(All)",'Master Database'!$F287=$E$5),OR($E$6="(All)",'Master Database'!$G287=$E$6),OR($E$7="(All)",'Master Database'!$O287=$E$7),OR($E$8="(All)",'Master Database'!$P287=$E$8),OR($E$9="(All)",'Master Database'!$S287=$E$9),OR($E$10="(All)",'Master Database'!$Y287&amp;""=$E$10&amp;""),OR($H$5="(All)",'Master Database'!$BG287=$H$5),OR($H$6&lt;&gt;"Y",ISNUMBER('Master Database'!$AG287)),OR($H$7="",AND(ISNUMBER('Master Database'!$H287),N('Master Database'!$H287)&gt;=$H$7)),OR($I$7="",AND(ISNUMBER('Master Database'!$H287),N('Master Database'!$H287)&lt;=$I$7)),OR($H$8="",AND(ISNUMBER('Master Database'!$I287),N('Master Database'!$I287)&gt;=$H$8)),OR($I$8="",AND(ISNUMBER('Master Database'!$I287),N('Master Database'!$I287)&lt;=$I$8)),OR($H$9="",AND(ISNUMBER('Master Database'!$K287),N('Master Database'!$K287)&gt;=$H$9)),OR($I$9="",AND(ISNUMBER('Master Database'!$K287),N('Master Database'!$K287)&lt;=$I$9))),1,0))</f>
        <v>0</v>
      </c>
      <c r="BB287" s="0" t="str">
        <f aca="false">IF(BA287=1,COUNTIF($BA$5:BA287,1),"")</f>
        <v/>
      </c>
    </row>
    <row r="288" customFormat="false" ht="15" hidden="false" customHeight="false" outlineLevel="0" collapsed="false">
      <c r="BA288" s="0" t="n">
        <f aca="false">IF('Master Database'!$A288="",0,IF(AND(OR($B$5="",ISNUMBER(SEARCH($B$5,'Master Database'!$B288&amp;" "&amp;'Master Database'!$D288))),OR($B$6="(All)",'Master Database'!$C288=$B$6),OR($B$7="(All)",'Master Database'!$E288=$B$7),OR($B$8="(All)",'Master Database'!$T288=$B$8),OR($B$9="(All)",'Master Database'!$M288=$B$9),OR($B$10="(All)",'Master Database'!$V288=$B$10),OR($E$5="(All)",'Master Database'!$F288=$E$5),OR($E$6="(All)",'Master Database'!$G288=$E$6),OR($E$7="(All)",'Master Database'!$O288=$E$7),OR($E$8="(All)",'Master Database'!$P288=$E$8),OR($E$9="(All)",'Master Database'!$S288=$E$9),OR($E$10="(All)",'Master Database'!$Y288&amp;""=$E$10&amp;""),OR($H$5="(All)",'Master Database'!$BG288=$H$5),OR($H$6&lt;&gt;"Y",ISNUMBER('Master Database'!$AG288)),OR($H$7="",AND(ISNUMBER('Master Database'!$H288),N('Master Database'!$H288)&gt;=$H$7)),OR($I$7="",AND(ISNUMBER('Master Database'!$H288),N('Master Database'!$H288)&lt;=$I$7)),OR($H$8="",AND(ISNUMBER('Master Database'!$I288),N('Master Database'!$I288)&gt;=$H$8)),OR($I$8="",AND(ISNUMBER('Master Database'!$I288),N('Master Database'!$I288)&lt;=$I$8)),OR($H$9="",AND(ISNUMBER('Master Database'!$K288),N('Master Database'!$K288)&gt;=$H$9)),OR($I$9="",AND(ISNUMBER('Master Database'!$K288),N('Master Database'!$K288)&lt;=$I$9))),1,0))</f>
        <v>0</v>
      </c>
      <c r="BB288" s="0" t="str">
        <f aca="false">IF(BA288=1,COUNTIF($BA$5:BA288,1),"")</f>
        <v/>
      </c>
    </row>
    <row r="289" customFormat="false" ht="15" hidden="false" customHeight="false" outlineLevel="0" collapsed="false">
      <c r="BA289" s="0" t="n">
        <f aca="false">IF('Master Database'!$A289="",0,IF(AND(OR($B$5="",ISNUMBER(SEARCH($B$5,'Master Database'!$B289&amp;" "&amp;'Master Database'!$D289))),OR($B$6="(All)",'Master Database'!$C289=$B$6),OR($B$7="(All)",'Master Database'!$E289=$B$7),OR($B$8="(All)",'Master Database'!$T289=$B$8),OR($B$9="(All)",'Master Database'!$M289=$B$9),OR($B$10="(All)",'Master Database'!$V289=$B$10),OR($E$5="(All)",'Master Database'!$F289=$E$5),OR($E$6="(All)",'Master Database'!$G289=$E$6),OR($E$7="(All)",'Master Database'!$O289=$E$7),OR($E$8="(All)",'Master Database'!$P289=$E$8),OR($E$9="(All)",'Master Database'!$S289=$E$9),OR($E$10="(All)",'Master Database'!$Y289&amp;""=$E$10&amp;""),OR($H$5="(All)",'Master Database'!$BG289=$H$5),OR($H$6&lt;&gt;"Y",ISNUMBER('Master Database'!$AG289)),OR($H$7="",AND(ISNUMBER('Master Database'!$H289),N('Master Database'!$H289)&gt;=$H$7)),OR($I$7="",AND(ISNUMBER('Master Database'!$H289),N('Master Database'!$H289)&lt;=$I$7)),OR($H$8="",AND(ISNUMBER('Master Database'!$I289),N('Master Database'!$I289)&gt;=$H$8)),OR($I$8="",AND(ISNUMBER('Master Database'!$I289),N('Master Database'!$I289)&lt;=$I$8)),OR($H$9="",AND(ISNUMBER('Master Database'!$K289),N('Master Database'!$K289)&gt;=$H$9)),OR($I$9="",AND(ISNUMBER('Master Database'!$K289),N('Master Database'!$K289)&lt;=$I$9))),1,0))</f>
        <v>0</v>
      </c>
      <c r="BB289" s="0" t="str">
        <f aca="false">IF(BA289=1,COUNTIF($BA$5:BA289,1),"")</f>
        <v/>
      </c>
    </row>
    <row r="290" customFormat="false" ht="15" hidden="false" customHeight="false" outlineLevel="0" collapsed="false">
      <c r="BA290" s="0" t="n">
        <f aca="false">IF('Master Database'!$A290="",0,IF(AND(OR($B$5="",ISNUMBER(SEARCH($B$5,'Master Database'!$B290&amp;" "&amp;'Master Database'!$D290))),OR($B$6="(All)",'Master Database'!$C290=$B$6),OR($B$7="(All)",'Master Database'!$E290=$B$7),OR($B$8="(All)",'Master Database'!$T290=$B$8),OR($B$9="(All)",'Master Database'!$M290=$B$9),OR($B$10="(All)",'Master Database'!$V290=$B$10),OR($E$5="(All)",'Master Database'!$F290=$E$5),OR($E$6="(All)",'Master Database'!$G290=$E$6),OR($E$7="(All)",'Master Database'!$O290=$E$7),OR($E$8="(All)",'Master Database'!$P290=$E$8),OR($E$9="(All)",'Master Database'!$S290=$E$9),OR($E$10="(All)",'Master Database'!$Y290&amp;""=$E$10&amp;""),OR($H$5="(All)",'Master Database'!$BG290=$H$5),OR($H$6&lt;&gt;"Y",ISNUMBER('Master Database'!$AG290)),OR($H$7="",AND(ISNUMBER('Master Database'!$H290),N('Master Database'!$H290)&gt;=$H$7)),OR($I$7="",AND(ISNUMBER('Master Database'!$H290),N('Master Database'!$H290)&lt;=$I$7)),OR($H$8="",AND(ISNUMBER('Master Database'!$I290),N('Master Database'!$I290)&gt;=$H$8)),OR($I$8="",AND(ISNUMBER('Master Database'!$I290),N('Master Database'!$I290)&lt;=$I$8)),OR($H$9="",AND(ISNUMBER('Master Database'!$K290),N('Master Database'!$K290)&gt;=$H$9)),OR($I$9="",AND(ISNUMBER('Master Database'!$K290),N('Master Database'!$K290)&lt;=$I$9))),1,0))</f>
        <v>0</v>
      </c>
      <c r="BB290" s="0" t="str">
        <f aca="false">IF(BA290=1,COUNTIF($BA$5:BA290,1),"")</f>
        <v/>
      </c>
    </row>
    <row r="291" customFormat="false" ht="15" hidden="false" customHeight="false" outlineLevel="0" collapsed="false">
      <c r="BA291" s="0" t="n">
        <f aca="false">IF('Master Database'!$A291="",0,IF(AND(OR($B$5="",ISNUMBER(SEARCH($B$5,'Master Database'!$B291&amp;" "&amp;'Master Database'!$D291))),OR($B$6="(All)",'Master Database'!$C291=$B$6),OR($B$7="(All)",'Master Database'!$E291=$B$7),OR($B$8="(All)",'Master Database'!$T291=$B$8),OR($B$9="(All)",'Master Database'!$M291=$B$9),OR($B$10="(All)",'Master Database'!$V291=$B$10),OR($E$5="(All)",'Master Database'!$F291=$E$5),OR($E$6="(All)",'Master Database'!$G291=$E$6),OR($E$7="(All)",'Master Database'!$O291=$E$7),OR($E$8="(All)",'Master Database'!$P291=$E$8),OR($E$9="(All)",'Master Database'!$S291=$E$9),OR($E$10="(All)",'Master Database'!$Y291&amp;""=$E$10&amp;""),OR($H$5="(All)",'Master Database'!$BG291=$H$5),OR($H$6&lt;&gt;"Y",ISNUMBER('Master Database'!$AG291)),OR($H$7="",AND(ISNUMBER('Master Database'!$H291),N('Master Database'!$H291)&gt;=$H$7)),OR($I$7="",AND(ISNUMBER('Master Database'!$H291),N('Master Database'!$H291)&lt;=$I$7)),OR($H$8="",AND(ISNUMBER('Master Database'!$I291),N('Master Database'!$I291)&gt;=$H$8)),OR($I$8="",AND(ISNUMBER('Master Database'!$I291),N('Master Database'!$I291)&lt;=$I$8)),OR($H$9="",AND(ISNUMBER('Master Database'!$K291),N('Master Database'!$K291)&gt;=$H$9)),OR($I$9="",AND(ISNUMBER('Master Database'!$K291),N('Master Database'!$K291)&lt;=$I$9))),1,0))</f>
        <v>0</v>
      </c>
      <c r="BB291" s="0" t="str">
        <f aca="false">IF(BA291=1,COUNTIF($BA$5:BA291,1),"")</f>
        <v/>
      </c>
    </row>
    <row r="292" customFormat="false" ht="15" hidden="false" customHeight="false" outlineLevel="0" collapsed="false">
      <c r="BA292" s="0" t="n">
        <f aca="false">IF('Master Database'!$A292="",0,IF(AND(OR($B$5="",ISNUMBER(SEARCH($B$5,'Master Database'!$B292&amp;" "&amp;'Master Database'!$D292))),OR($B$6="(All)",'Master Database'!$C292=$B$6),OR($B$7="(All)",'Master Database'!$E292=$B$7),OR($B$8="(All)",'Master Database'!$T292=$B$8),OR($B$9="(All)",'Master Database'!$M292=$B$9),OR($B$10="(All)",'Master Database'!$V292=$B$10),OR($E$5="(All)",'Master Database'!$F292=$E$5),OR($E$6="(All)",'Master Database'!$G292=$E$6),OR($E$7="(All)",'Master Database'!$O292=$E$7),OR($E$8="(All)",'Master Database'!$P292=$E$8),OR($E$9="(All)",'Master Database'!$S292=$E$9),OR($E$10="(All)",'Master Database'!$Y292&amp;""=$E$10&amp;""),OR($H$5="(All)",'Master Database'!$BG292=$H$5),OR($H$6&lt;&gt;"Y",ISNUMBER('Master Database'!$AG292)),OR($H$7="",AND(ISNUMBER('Master Database'!$H292),N('Master Database'!$H292)&gt;=$H$7)),OR($I$7="",AND(ISNUMBER('Master Database'!$H292),N('Master Database'!$H292)&lt;=$I$7)),OR($H$8="",AND(ISNUMBER('Master Database'!$I292),N('Master Database'!$I292)&gt;=$H$8)),OR($I$8="",AND(ISNUMBER('Master Database'!$I292),N('Master Database'!$I292)&lt;=$I$8)),OR($H$9="",AND(ISNUMBER('Master Database'!$K292),N('Master Database'!$K292)&gt;=$H$9)),OR($I$9="",AND(ISNUMBER('Master Database'!$K292),N('Master Database'!$K292)&lt;=$I$9))),1,0))</f>
        <v>0</v>
      </c>
      <c r="BB292" s="0" t="str">
        <f aca="false">IF(BA292=1,COUNTIF($BA$5:BA292,1),"")</f>
        <v/>
      </c>
    </row>
    <row r="293" customFormat="false" ht="15" hidden="false" customHeight="false" outlineLevel="0" collapsed="false">
      <c r="BA293" s="0" t="n">
        <f aca="false">IF('Master Database'!$A293="",0,IF(AND(OR($B$5="",ISNUMBER(SEARCH($B$5,'Master Database'!$B293&amp;" "&amp;'Master Database'!$D293))),OR($B$6="(All)",'Master Database'!$C293=$B$6),OR($B$7="(All)",'Master Database'!$E293=$B$7),OR($B$8="(All)",'Master Database'!$T293=$B$8),OR($B$9="(All)",'Master Database'!$M293=$B$9),OR($B$10="(All)",'Master Database'!$V293=$B$10),OR($E$5="(All)",'Master Database'!$F293=$E$5),OR($E$6="(All)",'Master Database'!$G293=$E$6),OR($E$7="(All)",'Master Database'!$O293=$E$7),OR($E$8="(All)",'Master Database'!$P293=$E$8),OR($E$9="(All)",'Master Database'!$S293=$E$9),OR($E$10="(All)",'Master Database'!$Y293&amp;""=$E$10&amp;""),OR($H$5="(All)",'Master Database'!$BG293=$H$5),OR($H$6&lt;&gt;"Y",ISNUMBER('Master Database'!$AG293)),OR($H$7="",AND(ISNUMBER('Master Database'!$H293),N('Master Database'!$H293)&gt;=$H$7)),OR($I$7="",AND(ISNUMBER('Master Database'!$H293),N('Master Database'!$H293)&lt;=$I$7)),OR($H$8="",AND(ISNUMBER('Master Database'!$I293),N('Master Database'!$I293)&gt;=$H$8)),OR($I$8="",AND(ISNUMBER('Master Database'!$I293),N('Master Database'!$I293)&lt;=$I$8)),OR($H$9="",AND(ISNUMBER('Master Database'!$K293),N('Master Database'!$K293)&gt;=$H$9)),OR($I$9="",AND(ISNUMBER('Master Database'!$K293),N('Master Database'!$K293)&lt;=$I$9))),1,0))</f>
        <v>0</v>
      </c>
      <c r="BB293" s="0" t="str">
        <f aca="false">IF(BA293=1,COUNTIF($BA$5:BA293,1),"")</f>
        <v/>
      </c>
    </row>
    <row r="294" customFormat="false" ht="15" hidden="false" customHeight="false" outlineLevel="0" collapsed="false">
      <c r="BA294" s="0" t="n">
        <f aca="false">IF('Master Database'!$A294="",0,IF(AND(OR($B$5="",ISNUMBER(SEARCH($B$5,'Master Database'!$B294&amp;" "&amp;'Master Database'!$D294))),OR($B$6="(All)",'Master Database'!$C294=$B$6),OR($B$7="(All)",'Master Database'!$E294=$B$7),OR($B$8="(All)",'Master Database'!$T294=$B$8),OR($B$9="(All)",'Master Database'!$M294=$B$9),OR($B$10="(All)",'Master Database'!$V294=$B$10),OR($E$5="(All)",'Master Database'!$F294=$E$5),OR($E$6="(All)",'Master Database'!$G294=$E$6),OR($E$7="(All)",'Master Database'!$O294=$E$7),OR($E$8="(All)",'Master Database'!$P294=$E$8),OR($E$9="(All)",'Master Database'!$S294=$E$9),OR($E$10="(All)",'Master Database'!$Y294&amp;""=$E$10&amp;""),OR($H$5="(All)",'Master Database'!$BG294=$H$5),OR($H$6&lt;&gt;"Y",ISNUMBER('Master Database'!$AG294)),OR($H$7="",AND(ISNUMBER('Master Database'!$H294),N('Master Database'!$H294)&gt;=$H$7)),OR($I$7="",AND(ISNUMBER('Master Database'!$H294),N('Master Database'!$H294)&lt;=$I$7)),OR($H$8="",AND(ISNUMBER('Master Database'!$I294),N('Master Database'!$I294)&gt;=$H$8)),OR($I$8="",AND(ISNUMBER('Master Database'!$I294),N('Master Database'!$I294)&lt;=$I$8)),OR($H$9="",AND(ISNUMBER('Master Database'!$K294),N('Master Database'!$K294)&gt;=$H$9)),OR($I$9="",AND(ISNUMBER('Master Database'!$K294),N('Master Database'!$K294)&lt;=$I$9))),1,0))</f>
        <v>0</v>
      </c>
      <c r="BB294" s="0" t="str">
        <f aca="false">IF(BA294=1,COUNTIF($BA$5:BA294,1),"")</f>
        <v/>
      </c>
    </row>
    <row r="295" customFormat="false" ht="15" hidden="false" customHeight="false" outlineLevel="0" collapsed="false">
      <c r="BA295" s="0" t="n">
        <f aca="false">IF('Master Database'!$A295="",0,IF(AND(OR($B$5="",ISNUMBER(SEARCH($B$5,'Master Database'!$B295&amp;" "&amp;'Master Database'!$D295))),OR($B$6="(All)",'Master Database'!$C295=$B$6),OR($B$7="(All)",'Master Database'!$E295=$B$7),OR($B$8="(All)",'Master Database'!$T295=$B$8),OR($B$9="(All)",'Master Database'!$M295=$B$9),OR($B$10="(All)",'Master Database'!$V295=$B$10),OR($E$5="(All)",'Master Database'!$F295=$E$5),OR($E$6="(All)",'Master Database'!$G295=$E$6),OR($E$7="(All)",'Master Database'!$O295=$E$7),OR($E$8="(All)",'Master Database'!$P295=$E$8),OR($E$9="(All)",'Master Database'!$S295=$E$9),OR($E$10="(All)",'Master Database'!$Y295&amp;""=$E$10&amp;""),OR($H$5="(All)",'Master Database'!$BG295=$H$5),OR($H$6&lt;&gt;"Y",ISNUMBER('Master Database'!$AG295)),OR($H$7="",AND(ISNUMBER('Master Database'!$H295),N('Master Database'!$H295)&gt;=$H$7)),OR($I$7="",AND(ISNUMBER('Master Database'!$H295),N('Master Database'!$H295)&lt;=$I$7)),OR($H$8="",AND(ISNUMBER('Master Database'!$I295),N('Master Database'!$I295)&gt;=$H$8)),OR($I$8="",AND(ISNUMBER('Master Database'!$I295),N('Master Database'!$I295)&lt;=$I$8)),OR($H$9="",AND(ISNUMBER('Master Database'!$K295),N('Master Database'!$K295)&gt;=$H$9)),OR($I$9="",AND(ISNUMBER('Master Database'!$K295),N('Master Database'!$K295)&lt;=$I$9))),1,0))</f>
        <v>0</v>
      </c>
      <c r="BB295" s="0" t="str">
        <f aca="false">IF(BA295=1,COUNTIF($BA$5:BA295,1),"")</f>
        <v/>
      </c>
    </row>
    <row r="296" customFormat="false" ht="15" hidden="false" customHeight="false" outlineLevel="0" collapsed="false">
      <c r="BA296" s="0" t="n">
        <f aca="false">IF('Master Database'!$A296="",0,IF(AND(OR($B$5="",ISNUMBER(SEARCH($B$5,'Master Database'!$B296&amp;" "&amp;'Master Database'!$D296))),OR($B$6="(All)",'Master Database'!$C296=$B$6),OR($B$7="(All)",'Master Database'!$E296=$B$7),OR($B$8="(All)",'Master Database'!$T296=$B$8),OR($B$9="(All)",'Master Database'!$M296=$B$9),OR($B$10="(All)",'Master Database'!$V296=$B$10),OR($E$5="(All)",'Master Database'!$F296=$E$5),OR($E$6="(All)",'Master Database'!$G296=$E$6),OR($E$7="(All)",'Master Database'!$O296=$E$7),OR($E$8="(All)",'Master Database'!$P296=$E$8),OR($E$9="(All)",'Master Database'!$S296=$E$9),OR($E$10="(All)",'Master Database'!$Y296&amp;""=$E$10&amp;""),OR($H$5="(All)",'Master Database'!$BG296=$H$5),OR($H$6&lt;&gt;"Y",ISNUMBER('Master Database'!$AG296)),OR($H$7="",AND(ISNUMBER('Master Database'!$H296),N('Master Database'!$H296)&gt;=$H$7)),OR($I$7="",AND(ISNUMBER('Master Database'!$H296),N('Master Database'!$H296)&lt;=$I$7)),OR($H$8="",AND(ISNUMBER('Master Database'!$I296),N('Master Database'!$I296)&gt;=$H$8)),OR($I$8="",AND(ISNUMBER('Master Database'!$I296),N('Master Database'!$I296)&lt;=$I$8)),OR($H$9="",AND(ISNUMBER('Master Database'!$K296),N('Master Database'!$K296)&gt;=$H$9)),OR($I$9="",AND(ISNUMBER('Master Database'!$K296),N('Master Database'!$K296)&lt;=$I$9))),1,0))</f>
        <v>0</v>
      </c>
      <c r="BB296" s="0" t="str">
        <f aca="false">IF(BA296=1,COUNTIF($BA$5:BA296,1),"")</f>
        <v/>
      </c>
    </row>
    <row r="297" customFormat="false" ht="15" hidden="false" customHeight="false" outlineLevel="0" collapsed="false">
      <c r="BA297" s="0" t="n">
        <f aca="false">IF('Master Database'!$A297="",0,IF(AND(OR($B$5="",ISNUMBER(SEARCH($B$5,'Master Database'!$B297&amp;" "&amp;'Master Database'!$D297))),OR($B$6="(All)",'Master Database'!$C297=$B$6),OR($B$7="(All)",'Master Database'!$E297=$B$7),OR($B$8="(All)",'Master Database'!$T297=$B$8),OR($B$9="(All)",'Master Database'!$M297=$B$9),OR($B$10="(All)",'Master Database'!$V297=$B$10),OR($E$5="(All)",'Master Database'!$F297=$E$5),OR($E$6="(All)",'Master Database'!$G297=$E$6),OR($E$7="(All)",'Master Database'!$O297=$E$7),OR($E$8="(All)",'Master Database'!$P297=$E$8),OR($E$9="(All)",'Master Database'!$S297=$E$9),OR($E$10="(All)",'Master Database'!$Y297&amp;""=$E$10&amp;""),OR($H$5="(All)",'Master Database'!$BG297=$H$5),OR($H$6&lt;&gt;"Y",ISNUMBER('Master Database'!$AG297)),OR($H$7="",AND(ISNUMBER('Master Database'!$H297),N('Master Database'!$H297)&gt;=$H$7)),OR($I$7="",AND(ISNUMBER('Master Database'!$H297),N('Master Database'!$H297)&lt;=$I$7)),OR($H$8="",AND(ISNUMBER('Master Database'!$I297),N('Master Database'!$I297)&gt;=$H$8)),OR($I$8="",AND(ISNUMBER('Master Database'!$I297),N('Master Database'!$I297)&lt;=$I$8)),OR($H$9="",AND(ISNUMBER('Master Database'!$K297),N('Master Database'!$K297)&gt;=$H$9)),OR($I$9="",AND(ISNUMBER('Master Database'!$K297),N('Master Database'!$K297)&lt;=$I$9))),1,0))</f>
        <v>0</v>
      </c>
      <c r="BB297" s="0" t="str">
        <f aca="false">IF(BA297=1,COUNTIF($BA$5:BA297,1),"")</f>
        <v/>
      </c>
    </row>
    <row r="298" customFormat="false" ht="15" hidden="false" customHeight="false" outlineLevel="0" collapsed="false">
      <c r="BA298" s="0" t="n">
        <f aca="false">IF('Master Database'!$A298="",0,IF(AND(OR($B$5="",ISNUMBER(SEARCH($B$5,'Master Database'!$B298&amp;" "&amp;'Master Database'!$D298))),OR($B$6="(All)",'Master Database'!$C298=$B$6),OR($B$7="(All)",'Master Database'!$E298=$B$7),OR($B$8="(All)",'Master Database'!$T298=$B$8),OR($B$9="(All)",'Master Database'!$M298=$B$9),OR($B$10="(All)",'Master Database'!$V298=$B$10),OR($E$5="(All)",'Master Database'!$F298=$E$5),OR($E$6="(All)",'Master Database'!$G298=$E$6),OR($E$7="(All)",'Master Database'!$O298=$E$7),OR($E$8="(All)",'Master Database'!$P298=$E$8),OR($E$9="(All)",'Master Database'!$S298=$E$9),OR($E$10="(All)",'Master Database'!$Y298&amp;""=$E$10&amp;""),OR($H$5="(All)",'Master Database'!$BG298=$H$5),OR($H$6&lt;&gt;"Y",ISNUMBER('Master Database'!$AG298)),OR($H$7="",AND(ISNUMBER('Master Database'!$H298),N('Master Database'!$H298)&gt;=$H$7)),OR($I$7="",AND(ISNUMBER('Master Database'!$H298),N('Master Database'!$H298)&lt;=$I$7)),OR($H$8="",AND(ISNUMBER('Master Database'!$I298),N('Master Database'!$I298)&gt;=$H$8)),OR($I$8="",AND(ISNUMBER('Master Database'!$I298),N('Master Database'!$I298)&lt;=$I$8)),OR($H$9="",AND(ISNUMBER('Master Database'!$K298),N('Master Database'!$K298)&gt;=$H$9)),OR($I$9="",AND(ISNUMBER('Master Database'!$K298),N('Master Database'!$K298)&lt;=$I$9))),1,0))</f>
        <v>0</v>
      </c>
      <c r="BB298" s="0" t="str">
        <f aca="false">IF(BA298=1,COUNTIF($BA$5:BA298,1),"")</f>
        <v/>
      </c>
    </row>
    <row r="299" customFormat="false" ht="15" hidden="false" customHeight="false" outlineLevel="0" collapsed="false">
      <c r="BA299" s="0" t="n">
        <f aca="false">IF('Master Database'!$A299="",0,IF(AND(OR($B$5="",ISNUMBER(SEARCH($B$5,'Master Database'!$B299&amp;" "&amp;'Master Database'!$D299))),OR($B$6="(All)",'Master Database'!$C299=$B$6),OR($B$7="(All)",'Master Database'!$E299=$B$7),OR($B$8="(All)",'Master Database'!$T299=$B$8),OR($B$9="(All)",'Master Database'!$M299=$B$9),OR($B$10="(All)",'Master Database'!$V299=$B$10),OR($E$5="(All)",'Master Database'!$F299=$E$5),OR($E$6="(All)",'Master Database'!$G299=$E$6),OR($E$7="(All)",'Master Database'!$O299=$E$7),OR($E$8="(All)",'Master Database'!$P299=$E$8),OR($E$9="(All)",'Master Database'!$S299=$E$9),OR($E$10="(All)",'Master Database'!$Y299&amp;""=$E$10&amp;""),OR($H$5="(All)",'Master Database'!$BG299=$H$5),OR($H$6&lt;&gt;"Y",ISNUMBER('Master Database'!$AG299)),OR($H$7="",AND(ISNUMBER('Master Database'!$H299),N('Master Database'!$H299)&gt;=$H$7)),OR($I$7="",AND(ISNUMBER('Master Database'!$H299),N('Master Database'!$H299)&lt;=$I$7)),OR($H$8="",AND(ISNUMBER('Master Database'!$I299),N('Master Database'!$I299)&gt;=$H$8)),OR($I$8="",AND(ISNUMBER('Master Database'!$I299),N('Master Database'!$I299)&lt;=$I$8)),OR($H$9="",AND(ISNUMBER('Master Database'!$K299),N('Master Database'!$K299)&gt;=$H$9)),OR($I$9="",AND(ISNUMBER('Master Database'!$K299),N('Master Database'!$K299)&lt;=$I$9))),1,0))</f>
        <v>0</v>
      </c>
      <c r="BB299" s="0" t="str">
        <f aca="false">IF(BA299=1,COUNTIF($BA$5:BA299,1),"")</f>
        <v/>
      </c>
    </row>
    <row r="300" customFormat="false" ht="15" hidden="false" customHeight="false" outlineLevel="0" collapsed="false">
      <c r="BA300" s="0" t="n">
        <f aca="false">IF('Master Database'!$A300="",0,IF(AND(OR($B$5="",ISNUMBER(SEARCH($B$5,'Master Database'!$B300&amp;" "&amp;'Master Database'!$D300))),OR($B$6="(All)",'Master Database'!$C300=$B$6),OR($B$7="(All)",'Master Database'!$E300=$B$7),OR($B$8="(All)",'Master Database'!$T300=$B$8),OR($B$9="(All)",'Master Database'!$M300=$B$9),OR($B$10="(All)",'Master Database'!$V300=$B$10),OR($E$5="(All)",'Master Database'!$F300=$E$5),OR($E$6="(All)",'Master Database'!$G300=$E$6),OR($E$7="(All)",'Master Database'!$O300=$E$7),OR($E$8="(All)",'Master Database'!$P300=$E$8),OR($E$9="(All)",'Master Database'!$S300=$E$9),OR($E$10="(All)",'Master Database'!$Y300&amp;""=$E$10&amp;""),OR($H$5="(All)",'Master Database'!$BG300=$H$5),OR($H$6&lt;&gt;"Y",ISNUMBER('Master Database'!$AG300)),OR($H$7="",AND(ISNUMBER('Master Database'!$H300),N('Master Database'!$H300)&gt;=$H$7)),OR($I$7="",AND(ISNUMBER('Master Database'!$H300),N('Master Database'!$H300)&lt;=$I$7)),OR($H$8="",AND(ISNUMBER('Master Database'!$I300),N('Master Database'!$I300)&gt;=$H$8)),OR($I$8="",AND(ISNUMBER('Master Database'!$I300),N('Master Database'!$I300)&lt;=$I$8)),OR($H$9="",AND(ISNUMBER('Master Database'!$K300),N('Master Database'!$K300)&gt;=$H$9)),OR($I$9="",AND(ISNUMBER('Master Database'!$K300),N('Master Database'!$K300)&lt;=$I$9))),1,0))</f>
        <v>0</v>
      </c>
      <c r="BB300" s="0" t="str">
        <f aca="false">IF(BA300=1,COUNTIF($BA$5:BA300,1),"")</f>
        <v/>
      </c>
    </row>
    <row r="301" customFormat="false" ht="15" hidden="false" customHeight="false" outlineLevel="0" collapsed="false">
      <c r="BA301" s="0" t="n">
        <f aca="false">IF('Master Database'!$A301="",0,IF(AND(OR($B$5="",ISNUMBER(SEARCH($B$5,'Master Database'!$B301&amp;" "&amp;'Master Database'!$D301))),OR($B$6="(All)",'Master Database'!$C301=$B$6),OR($B$7="(All)",'Master Database'!$E301=$B$7),OR($B$8="(All)",'Master Database'!$T301=$B$8),OR($B$9="(All)",'Master Database'!$M301=$B$9),OR($B$10="(All)",'Master Database'!$V301=$B$10),OR($E$5="(All)",'Master Database'!$F301=$E$5),OR($E$6="(All)",'Master Database'!$G301=$E$6),OR($E$7="(All)",'Master Database'!$O301=$E$7),OR($E$8="(All)",'Master Database'!$P301=$E$8),OR($E$9="(All)",'Master Database'!$S301=$E$9),OR($E$10="(All)",'Master Database'!$Y301&amp;""=$E$10&amp;""),OR($H$5="(All)",'Master Database'!$BG301=$H$5),OR($H$6&lt;&gt;"Y",ISNUMBER('Master Database'!$AG301)),OR($H$7="",AND(ISNUMBER('Master Database'!$H301),N('Master Database'!$H301)&gt;=$H$7)),OR($I$7="",AND(ISNUMBER('Master Database'!$H301),N('Master Database'!$H301)&lt;=$I$7)),OR($H$8="",AND(ISNUMBER('Master Database'!$I301),N('Master Database'!$I301)&gt;=$H$8)),OR($I$8="",AND(ISNUMBER('Master Database'!$I301),N('Master Database'!$I301)&lt;=$I$8)),OR($H$9="",AND(ISNUMBER('Master Database'!$K301),N('Master Database'!$K301)&gt;=$H$9)),OR($I$9="",AND(ISNUMBER('Master Database'!$K301),N('Master Database'!$K301)&lt;=$I$9))),1,0))</f>
        <v>0</v>
      </c>
      <c r="BB301" s="0" t="str">
        <f aca="false">IF(BA301=1,COUNTIF($BA$5:BA301,1),"")</f>
        <v/>
      </c>
    </row>
    <row r="302" customFormat="false" ht="15" hidden="false" customHeight="false" outlineLevel="0" collapsed="false">
      <c r="BA302" s="0" t="n">
        <f aca="false">IF('Master Database'!$A302="",0,IF(AND(OR($B$5="",ISNUMBER(SEARCH($B$5,'Master Database'!$B302&amp;" "&amp;'Master Database'!$D302))),OR($B$6="(All)",'Master Database'!$C302=$B$6),OR($B$7="(All)",'Master Database'!$E302=$B$7),OR($B$8="(All)",'Master Database'!$T302=$B$8),OR($B$9="(All)",'Master Database'!$M302=$B$9),OR($B$10="(All)",'Master Database'!$V302=$B$10),OR($E$5="(All)",'Master Database'!$F302=$E$5),OR($E$6="(All)",'Master Database'!$G302=$E$6),OR($E$7="(All)",'Master Database'!$O302=$E$7),OR($E$8="(All)",'Master Database'!$P302=$E$8),OR($E$9="(All)",'Master Database'!$S302=$E$9),OR($E$10="(All)",'Master Database'!$Y302&amp;""=$E$10&amp;""),OR($H$5="(All)",'Master Database'!$BG302=$H$5),OR($H$6&lt;&gt;"Y",ISNUMBER('Master Database'!$AG302)),OR($H$7="",AND(ISNUMBER('Master Database'!$H302),N('Master Database'!$H302)&gt;=$H$7)),OR($I$7="",AND(ISNUMBER('Master Database'!$H302),N('Master Database'!$H302)&lt;=$I$7)),OR($H$8="",AND(ISNUMBER('Master Database'!$I302),N('Master Database'!$I302)&gt;=$H$8)),OR($I$8="",AND(ISNUMBER('Master Database'!$I302),N('Master Database'!$I302)&lt;=$I$8)),OR($H$9="",AND(ISNUMBER('Master Database'!$K302),N('Master Database'!$K302)&gt;=$H$9)),OR($I$9="",AND(ISNUMBER('Master Database'!$K302),N('Master Database'!$K302)&lt;=$I$9))),1,0))</f>
        <v>0</v>
      </c>
      <c r="BB302" s="0" t="str">
        <f aca="false">IF(BA302=1,COUNTIF($BA$5:BA302,1),"")</f>
        <v/>
      </c>
    </row>
    <row r="303" customFormat="false" ht="15" hidden="false" customHeight="false" outlineLevel="0" collapsed="false">
      <c r="BA303" s="0" t="n">
        <f aca="false">IF('Master Database'!$A303="",0,IF(AND(OR($B$5="",ISNUMBER(SEARCH($B$5,'Master Database'!$B303&amp;" "&amp;'Master Database'!$D303))),OR($B$6="(All)",'Master Database'!$C303=$B$6),OR($B$7="(All)",'Master Database'!$E303=$B$7),OR($B$8="(All)",'Master Database'!$T303=$B$8),OR($B$9="(All)",'Master Database'!$M303=$B$9),OR($B$10="(All)",'Master Database'!$V303=$B$10),OR($E$5="(All)",'Master Database'!$F303=$E$5),OR($E$6="(All)",'Master Database'!$G303=$E$6),OR($E$7="(All)",'Master Database'!$O303=$E$7),OR($E$8="(All)",'Master Database'!$P303=$E$8),OR($E$9="(All)",'Master Database'!$S303=$E$9),OR($E$10="(All)",'Master Database'!$Y303&amp;""=$E$10&amp;""),OR($H$5="(All)",'Master Database'!$BG303=$H$5),OR($H$6&lt;&gt;"Y",ISNUMBER('Master Database'!$AG303)),OR($H$7="",AND(ISNUMBER('Master Database'!$H303),N('Master Database'!$H303)&gt;=$H$7)),OR($I$7="",AND(ISNUMBER('Master Database'!$H303),N('Master Database'!$H303)&lt;=$I$7)),OR($H$8="",AND(ISNUMBER('Master Database'!$I303),N('Master Database'!$I303)&gt;=$H$8)),OR($I$8="",AND(ISNUMBER('Master Database'!$I303),N('Master Database'!$I303)&lt;=$I$8)),OR($H$9="",AND(ISNUMBER('Master Database'!$K303),N('Master Database'!$K303)&gt;=$H$9)),OR($I$9="",AND(ISNUMBER('Master Database'!$K303),N('Master Database'!$K303)&lt;=$I$9))),1,0))</f>
        <v>0</v>
      </c>
      <c r="BB303" s="0" t="str">
        <f aca="false">IF(BA303=1,COUNTIF($BA$5:BA303,1),"")</f>
        <v/>
      </c>
    </row>
    <row r="304" customFormat="false" ht="15" hidden="false" customHeight="false" outlineLevel="0" collapsed="false">
      <c r="BA304" s="0" t="n">
        <f aca="false">IF('Master Database'!$A304="",0,IF(AND(OR($B$5="",ISNUMBER(SEARCH($B$5,'Master Database'!$B304&amp;" "&amp;'Master Database'!$D304))),OR($B$6="(All)",'Master Database'!$C304=$B$6),OR($B$7="(All)",'Master Database'!$E304=$B$7),OR($B$8="(All)",'Master Database'!$T304=$B$8),OR($B$9="(All)",'Master Database'!$M304=$B$9),OR($B$10="(All)",'Master Database'!$V304=$B$10),OR($E$5="(All)",'Master Database'!$F304=$E$5),OR($E$6="(All)",'Master Database'!$G304=$E$6),OR($E$7="(All)",'Master Database'!$O304=$E$7),OR($E$8="(All)",'Master Database'!$P304=$E$8),OR($E$9="(All)",'Master Database'!$S304=$E$9),OR($E$10="(All)",'Master Database'!$Y304&amp;""=$E$10&amp;""),OR($H$5="(All)",'Master Database'!$BG304=$H$5),OR($H$6&lt;&gt;"Y",ISNUMBER('Master Database'!$AG304)),OR($H$7="",AND(ISNUMBER('Master Database'!$H304),N('Master Database'!$H304)&gt;=$H$7)),OR($I$7="",AND(ISNUMBER('Master Database'!$H304),N('Master Database'!$H304)&lt;=$I$7)),OR($H$8="",AND(ISNUMBER('Master Database'!$I304),N('Master Database'!$I304)&gt;=$H$8)),OR($I$8="",AND(ISNUMBER('Master Database'!$I304),N('Master Database'!$I304)&lt;=$I$8)),OR($H$9="",AND(ISNUMBER('Master Database'!$K304),N('Master Database'!$K304)&gt;=$H$9)),OR($I$9="",AND(ISNUMBER('Master Database'!$K304),N('Master Database'!$K304)&lt;=$I$9))),1,0))</f>
        <v>0</v>
      </c>
      <c r="BB304" s="0" t="str">
        <f aca="false">IF(BA304=1,COUNTIF($BA$5:BA304,1),"")</f>
        <v/>
      </c>
    </row>
    <row r="305" customFormat="false" ht="15" hidden="false" customHeight="false" outlineLevel="0" collapsed="false">
      <c r="BA305" s="0" t="n">
        <f aca="false">IF('Master Database'!$A305="",0,IF(AND(OR($B$5="",ISNUMBER(SEARCH($B$5,'Master Database'!$B305&amp;" "&amp;'Master Database'!$D305))),OR($B$6="(All)",'Master Database'!$C305=$B$6),OR($B$7="(All)",'Master Database'!$E305=$B$7),OR($B$8="(All)",'Master Database'!$T305=$B$8),OR($B$9="(All)",'Master Database'!$M305=$B$9),OR($B$10="(All)",'Master Database'!$V305=$B$10),OR($E$5="(All)",'Master Database'!$F305=$E$5),OR($E$6="(All)",'Master Database'!$G305=$E$6),OR($E$7="(All)",'Master Database'!$O305=$E$7),OR($E$8="(All)",'Master Database'!$P305=$E$8),OR($E$9="(All)",'Master Database'!$S305=$E$9),OR($E$10="(All)",'Master Database'!$Y305&amp;""=$E$10&amp;""),OR($H$5="(All)",'Master Database'!$BG305=$H$5),OR($H$6&lt;&gt;"Y",ISNUMBER('Master Database'!$AG305)),OR($H$7="",AND(ISNUMBER('Master Database'!$H305),N('Master Database'!$H305)&gt;=$H$7)),OR($I$7="",AND(ISNUMBER('Master Database'!$H305),N('Master Database'!$H305)&lt;=$I$7)),OR($H$8="",AND(ISNUMBER('Master Database'!$I305),N('Master Database'!$I305)&gt;=$H$8)),OR($I$8="",AND(ISNUMBER('Master Database'!$I305),N('Master Database'!$I305)&lt;=$I$8)),OR($H$9="",AND(ISNUMBER('Master Database'!$K305),N('Master Database'!$K305)&gt;=$H$9)),OR($I$9="",AND(ISNUMBER('Master Database'!$K305),N('Master Database'!$K305)&lt;=$I$9))),1,0))</f>
        <v>0</v>
      </c>
      <c r="BB305" s="0" t="str">
        <f aca="false">IF(BA305=1,COUNTIF($BA$5:BA305,1),"")</f>
        <v/>
      </c>
    </row>
    <row r="306" customFormat="false" ht="15" hidden="false" customHeight="false" outlineLevel="0" collapsed="false">
      <c r="BA306" s="0" t="n">
        <f aca="false">IF('Master Database'!$A306="",0,IF(AND(OR($B$5="",ISNUMBER(SEARCH($B$5,'Master Database'!$B306&amp;" "&amp;'Master Database'!$D306))),OR($B$6="(All)",'Master Database'!$C306=$B$6),OR($B$7="(All)",'Master Database'!$E306=$B$7),OR($B$8="(All)",'Master Database'!$T306=$B$8),OR($B$9="(All)",'Master Database'!$M306=$B$9),OR($B$10="(All)",'Master Database'!$V306=$B$10),OR($E$5="(All)",'Master Database'!$F306=$E$5),OR($E$6="(All)",'Master Database'!$G306=$E$6),OR($E$7="(All)",'Master Database'!$O306=$E$7),OR($E$8="(All)",'Master Database'!$P306=$E$8),OR($E$9="(All)",'Master Database'!$S306=$E$9),OR($E$10="(All)",'Master Database'!$Y306&amp;""=$E$10&amp;""),OR($H$5="(All)",'Master Database'!$BG306=$H$5),OR($H$6&lt;&gt;"Y",ISNUMBER('Master Database'!$AG306)),OR($H$7="",AND(ISNUMBER('Master Database'!$H306),N('Master Database'!$H306)&gt;=$H$7)),OR($I$7="",AND(ISNUMBER('Master Database'!$H306),N('Master Database'!$H306)&lt;=$I$7)),OR($H$8="",AND(ISNUMBER('Master Database'!$I306),N('Master Database'!$I306)&gt;=$H$8)),OR($I$8="",AND(ISNUMBER('Master Database'!$I306),N('Master Database'!$I306)&lt;=$I$8)),OR($H$9="",AND(ISNUMBER('Master Database'!$K306),N('Master Database'!$K306)&gt;=$H$9)),OR($I$9="",AND(ISNUMBER('Master Database'!$K306),N('Master Database'!$K306)&lt;=$I$9))),1,0))</f>
        <v>0</v>
      </c>
      <c r="BB306" s="0" t="str">
        <f aca="false">IF(BA306=1,COUNTIF($BA$5:BA306,1),"")</f>
        <v/>
      </c>
    </row>
    <row r="307" customFormat="false" ht="15" hidden="false" customHeight="false" outlineLevel="0" collapsed="false">
      <c r="BA307" s="0" t="n">
        <f aca="false">IF('Master Database'!$A307="",0,IF(AND(OR($B$5="",ISNUMBER(SEARCH($B$5,'Master Database'!$B307&amp;" "&amp;'Master Database'!$D307))),OR($B$6="(All)",'Master Database'!$C307=$B$6),OR($B$7="(All)",'Master Database'!$E307=$B$7),OR($B$8="(All)",'Master Database'!$T307=$B$8),OR($B$9="(All)",'Master Database'!$M307=$B$9),OR($B$10="(All)",'Master Database'!$V307=$B$10),OR($E$5="(All)",'Master Database'!$F307=$E$5),OR($E$6="(All)",'Master Database'!$G307=$E$6),OR($E$7="(All)",'Master Database'!$O307=$E$7),OR($E$8="(All)",'Master Database'!$P307=$E$8),OR($E$9="(All)",'Master Database'!$S307=$E$9),OR($E$10="(All)",'Master Database'!$Y307&amp;""=$E$10&amp;""),OR($H$5="(All)",'Master Database'!$BG307=$H$5),OR($H$6&lt;&gt;"Y",ISNUMBER('Master Database'!$AG307)),OR($H$7="",AND(ISNUMBER('Master Database'!$H307),N('Master Database'!$H307)&gt;=$H$7)),OR($I$7="",AND(ISNUMBER('Master Database'!$H307),N('Master Database'!$H307)&lt;=$I$7)),OR($H$8="",AND(ISNUMBER('Master Database'!$I307),N('Master Database'!$I307)&gt;=$H$8)),OR($I$8="",AND(ISNUMBER('Master Database'!$I307),N('Master Database'!$I307)&lt;=$I$8)),OR($H$9="",AND(ISNUMBER('Master Database'!$K307),N('Master Database'!$K307)&gt;=$H$9)),OR($I$9="",AND(ISNUMBER('Master Database'!$K307),N('Master Database'!$K307)&lt;=$I$9))),1,0))</f>
        <v>0</v>
      </c>
      <c r="BB307" s="0" t="str">
        <f aca="false">IF(BA307=1,COUNTIF($BA$5:BA307,1),"")</f>
        <v/>
      </c>
    </row>
    <row r="308" customFormat="false" ht="15" hidden="false" customHeight="false" outlineLevel="0" collapsed="false">
      <c r="BA308" s="0" t="n">
        <f aca="false">IF('Master Database'!$A308="",0,IF(AND(OR($B$5="",ISNUMBER(SEARCH($B$5,'Master Database'!$B308&amp;" "&amp;'Master Database'!$D308))),OR($B$6="(All)",'Master Database'!$C308=$B$6),OR($B$7="(All)",'Master Database'!$E308=$B$7),OR($B$8="(All)",'Master Database'!$T308=$B$8),OR($B$9="(All)",'Master Database'!$M308=$B$9),OR($B$10="(All)",'Master Database'!$V308=$B$10),OR($E$5="(All)",'Master Database'!$F308=$E$5),OR($E$6="(All)",'Master Database'!$G308=$E$6),OR($E$7="(All)",'Master Database'!$O308=$E$7),OR($E$8="(All)",'Master Database'!$P308=$E$8),OR($E$9="(All)",'Master Database'!$S308=$E$9),OR($E$10="(All)",'Master Database'!$Y308&amp;""=$E$10&amp;""),OR($H$5="(All)",'Master Database'!$BG308=$H$5),OR($H$6&lt;&gt;"Y",ISNUMBER('Master Database'!$AG308)),OR($H$7="",AND(ISNUMBER('Master Database'!$H308),N('Master Database'!$H308)&gt;=$H$7)),OR($I$7="",AND(ISNUMBER('Master Database'!$H308),N('Master Database'!$H308)&lt;=$I$7)),OR($H$8="",AND(ISNUMBER('Master Database'!$I308),N('Master Database'!$I308)&gt;=$H$8)),OR($I$8="",AND(ISNUMBER('Master Database'!$I308),N('Master Database'!$I308)&lt;=$I$8)),OR($H$9="",AND(ISNUMBER('Master Database'!$K308),N('Master Database'!$K308)&gt;=$H$9)),OR($I$9="",AND(ISNUMBER('Master Database'!$K308),N('Master Database'!$K308)&lt;=$I$9))),1,0))</f>
        <v>0</v>
      </c>
      <c r="BB308" s="0" t="str">
        <f aca="false">IF(BA308=1,COUNTIF($BA$5:BA308,1),"")</f>
        <v/>
      </c>
    </row>
    <row r="309" customFormat="false" ht="15" hidden="false" customHeight="false" outlineLevel="0" collapsed="false">
      <c r="BA309" s="0" t="n">
        <f aca="false">IF('Master Database'!$A309="",0,IF(AND(OR($B$5="",ISNUMBER(SEARCH($B$5,'Master Database'!$B309&amp;" "&amp;'Master Database'!$D309))),OR($B$6="(All)",'Master Database'!$C309=$B$6),OR($B$7="(All)",'Master Database'!$E309=$B$7),OR($B$8="(All)",'Master Database'!$T309=$B$8),OR($B$9="(All)",'Master Database'!$M309=$B$9),OR($B$10="(All)",'Master Database'!$V309=$B$10),OR($E$5="(All)",'Master Database'!$F309=$E$5),OR($E$6="(All)",'Master Database'!$G309=$E$6),OR($E$7="(All)",'Master Database'!$O309=$E$7),OR($E$8="(All)",'Master Database'!$P309=$E$8),OR($E$9="(All)",'Master Database'!$S309=$E$9),OR($E$10="(All)",'Master Database'!$Y309&amp;""=$E$10&amp;""),OR($H$5="(All)",'Master Database'!$BG309=$H$5),OR($H$6&lt;&gt;"Y",ISNUMBER('Master Database'!$AG309)),OR($H$7="",AND(ISNUMBER('Master Database'!$H309),N('Master Database'!$H309)&gt;=$H$7)),OR($I$7="",AND(ISNUMBER('Master Database'!$H309),N('Master Database'!$H309)&lt;=$I$7)),OR($H$8="",AND(ISNUMBER('Master Database'!$I309),N('Master Database'!$I309)&gt;=$H$8)),OR($I$8="",AND(ISNUMBER('Master Database'!$I309),N('Master Database'!$I309)&lt;=$I$8)),OR($H$9="",AND(ISNUMBER('Master Database'!$K309),N('Master Database'!$K309)&gt;=$H$9)),OR($I$9="",AND(ISNUMBER('Master Database'!$K309),N('Master Database'!$K309)&lt;=$I$9))),1,0))</f>
        <v>0</v>
      </c>
      <c r="BB309" s="0" t="str">
        <f aca="false">IF(BA309=1,COUNTIF($BA$5:BA309,1),"")</f>
        <v/>
      </c>
    </row>
    <row r="310" customFormat="false" ht="15" hidden="false" customHeight="false" outlineLevel="0" collapsed="false">
      <c r="BA310" s="0" t="n">
        <f aca="false">IF('Master Database'!$A310="",0,IF(AND(OR($B$5="",ISNUMBER(SEARCH($B$5,'Master Database'!$B310&amp;" "&amp;'Master Database'!$D310))),OR($B$6="(All)",'Master Database'!$C310=$B$6),OR($B$7="(All)",'Master Database'!$E310=$B$7),OR($B$8="(All)",'Master Database'!$T310=$B$8),OR($B$9="(All)",'Master Database'!$M310=$B$9),OR($B$10="(All)",'Master Database'!$V310=$B$10),OR($E$5="(All)",'Master Database'!$F310=$E$5),OR($E$6="(All)",'Master Database'!$G310=$E$6),OR($E$7="(All)",'Master Database'!$O310=$E$7),OR($E$8="(All)",'Master Database'!$P310=$E$8),OR($E$9="(All)",'Master Database'!$S310=$E$9),OR($E$10="(All)",'Master Database'!$Y310&amp;""=$E$10&amp;""),OR($H$5="(All)",'Master Database'!$BG310=$H$5),OR($H$6&lt;&gt;"Y",ISNUMBER('Master Database'!$AG310)),OR($H$7="",AND(ISNUMBER('Master Database'!$H310),N('Master Database'!$H310)&gt;=$H$7)),OR($I$7="",AND(ISNUMBER('Master Database'!$H310),N('Master Database'!$H310)&lt;=$I$7)),OR($H$8="",AND(ISNUMBER('Master Database'!$I310),N('Master Database'!$I310)&gt;=$H$8)),OR($I$8="",AND(ISNUMBER('Master Database'!$I310),N('Master Database'!$I310)&lt;=$I$8)),OR($H$9="",AND(ISNUMBER('Master Database'!$K310),N('Master Database'!$K310)&gt;=$H$9)),OR($I$9="",AND(ISNUMBER('Master Database'!$K310),N('Master Database'!$K310)&lt;=$I$9))),1,0))</f>
        <v>0</v>
      </c>
      <c r="BB310" s="0" t="str">
        <f aca="false">IF(BA310=1,COUNTIF($BA$5:BA310,1),"")</f>
        <v/>
      </c>
    </row>
    <row r="311" customFormat="false" ht="15" hidden="false" customHeight="false" outlineLevel="0" collapsed="false">
      <c r="BA311" s="0" t="n">
        <f aca="false">IF('Master Database'!$A311="",0,IF(AND(OR($B$5="",ISNUMBER(SEARCH($B$5,'Master Database'!$B311&amp;" "&amp;'Master Database'!$D311))),OR($B$6="(All)",'Master Database'!$C311=$B$6),OR($B$7="(All)",'Master Database'!$E311=$B$7),OR($B$8="(All)",'Master Database'!$T311=$B$8),OR($B$9="(All)",'Master Database'!$M311=$B$9),OR($B$10="(All)",'Master Database'!$V311=$B$10),OR($E$5="(All)",'Master Database'!$F311=$E$5),OR($E$6="(All)",'Master Database'!$G311=$E$6),OR($E$7="(All)",'Master Database'!$O311=$E$7),OR($E$8="(All)",'Master Database'!$P311=$E$8),OR($E$9="(All)",'Master Database'!$S311=$E$9),OR($E$10="(All)",'Master Database'!$Y311&amp;""=$E$10&amp;""),OR($H$5="(All)",'Master Database'!$BG311=$H$5),OR($H$6&lt;&gt;"Y",ISNUMBER('Master Database'!$AG311)),OR($H$7="",AND(ISNUMBER('Master Database'!$H311),N('Master Database'!$H311)&gt;=$H$7)),OR($I$7="",AND(ISNUMBER('Master Database'!$H311),N('Master Database'!$H311)&lt;=$I$7)),OR($H$8="",AND(ISNUMBER('Master Database'!$I311),N('Master Database'!$I311)&gt;=$H$8)),OR($I$8="",AND(ISNUMBER('Master Database'!$I311),N('Master Database'!$I311)&lt;=$I$8)),OR($H$9="",AND(ISNUMBER('Master Database'!$K311),N('Master Database'!$K311)&gt;=$H$9)),OR($I$9="",AND(ISNUMBER('Master Database'!$K311),N('Master Database'!$K311)&lt;=$I$9))),1,0))</f>
        <v>0</v>
      </c>
      <c r="BB311" s="0" t="str">
        <f aca="false">IF(BA311=1,COUNTIF($BA$5:BA311,1),"")</f>
        <v/>
      </c>
    </row>
    <row r="312" customFormat="false" ht="15" hidden="false" customHeight="false" outlineLevel="0" collapsed="false">
      <c r="BA312" s="0" t="n">
        <f aca="false">IF('Master Database'!$A312="",0,IF(AND(OR($B$5="",ISNUMBER(SEARCH($B$5,'Master Database'!$B312&amp;" "&amp;'Master Database'!$D312))),OR($B$6="(All)",'Master Database'!$C312=$B$6),OR($B$7="(All)",'Master Database'!$E312=$B$7),OR($B$8="(All)",'Master Database'!$T312=$B$8),OR($B$9="(All)",'Master Database'!$M312=$B$9),OR($B$10="(All)",'Master Database'!$V312=$B$10),OR($E$5="(All)",'Master Database'!$F312=$E$5),OR($E$6="(All)",'Master Database'!$G312=$E$6),OR($E$7="(All)",'Master Database'!$O312=$E$7),OR($E$8="(All)",'Master Database'!$P312=$E$8),OR($E$9="(All)",'Master Database'!$S312=$E$9),OR($E$10="(All)",'Master Database'!$Y312&amp;""=$E$10&amp;""),OR($H$5="(All)",'Master Database'!$BG312=$H$5),OR($H$6&lt;&gt;"Y",ISNUMBER('Master Database'!$AG312)),OR($H$7="",AND(ISNUMBER('Master Database'!$H312),N('Master Database'!$H312)&gt;=$H$7)),OR($I$7="",AND(ISNUMBER('Master Database'!$H312),N('Master Database'!$H312)&lt;=$I$7)),OR($H$8="",AND(ISNUMBER('Master Database'!$I312),N('Master Database'!$I312)&gt;=$H$8)),OR($I$8="",AND(ISNUMBER('Master Database'!$I312),N('Master Database'!$I312)&lt;=$I$8)),OR($H$9="",AND(ISNUMBER('Master Database'!$K312),N('Master Database'!$K312)&gt;=$H$9)),OR($I$9="",AND(ISNUMBER('Master Database'!$K312),N('Master Database'!$K312)&lt;=$I$9))),1,0))</f>
        <v>0</v>
      </c>
      <c r="BB312" s="0" t="str">
        <f aca="false">IF(BA312=1,COUNTIF($BA$5:BA312,1),"")</f>
        <v/>
      </c>
    </row>
    <row r="313" customFormat="false" ht="15" hidden="false" customHeight="false" outlineLevel="0" collapsed="false">
      <c r="BA313" s="0" t="n">
        <f aca="false">IF('Master Database'!$A313="",0,IF(AND(OR($B$5="",ISNUMBER(SEARCH($B$5,'Master Database'!$B313&amp;" "&amp;'Master Database'!$D313))),OR($B$6="(All)",'Master Database'!$C313=$B$6),OR($B$7="(All)",'Master Database'!$E313=$B$7),OR($B$8="(All)",'Master Database'!$T313=$B$8),OR($B$9="(All)",'Master Database'!$M313=$B$9),OR($B$10="(All)",'Master Database'!$V313=$B$10),OR($E$5="(All)",'Master Database'!$F313=$E$5),OR($E$6="(All)",'Master Database'!$G313=$E$6),OR($E$7="(All)",'Master Database'!$O313=$E$7),OR($E$8="(All)",'Master Database'!$P313=$E$8),OR($E$9="(All)",'Master Database'!$S313=$E$9),OR($E$10="(All)",'Master Database'!$Y313&amp;""=$E$10&amp;""),OR($H$5="(All)",'Master Database'!$BG313=$H$5),OR($H$6&lt;&gt;"Y",ISNUMBER('Master Database'!$AG313)),OR($H$7="",AND(ISNUMBER('Master Database'!$H313),N('Master Database'!$H313)&gt;=$H$7)),OR($I$7="",AND(ISNUMBER('Master Database'!$H313),N('Master Database'!$H313)&lt;=$I$7)),OR($H$8="",AND(ISNUMBER('Master Database'!$I313),N('Master Database'!$I313)&gt;=$H$8)),OR($I$8="",AND(ISNUMBER('Master Database'!$I313),N('Master Database'!$I313)&lt;=$I$8)),OR($H$9="",AND(ISNUMBER('Master Database'!$K313),N('Master Database'!$K313)&gt;=$H$9)),OR($I$9="",AND(ISNUMBER('Master Database'!$K313),N('Master Database'!$K313)&lt;=$I$9))),1,0))</f>
        <v>0</v>
      </c>
      <c r="BB313" s="0" t="str">
        <f aca="false">IF(BA313=1,COUNTIF($BA$5:BA313,1),"")</f>
        <v/>
      </c>
    </row>
    <row r="314" customFormat="false" ht="15" hidden="false" customHeight="false" outlineLevel="0" collapsed="false">
      <c r="BA314" s="0" t="n">
        <f aca="false">IF('Master Database'!$A314="",0,IF(AND(OR($B$5="",ISNUMBER(SEARCH($B$5,'Master Database'!$B314&amp;" "&amp;'Master Database'!$D314))),OR($B$6="(All)",'Master Database'!$C314=$B$6),OR($B$7="(All)",'Master Database'!$E314=$B$7),OR($B$8="(All)",'Master Database'!$T314=$B$8),OR($B$9="(All)",'Master Database'!$M314=$B$9),OR($B$10="(All)",'Master Database'!$V314=$B$10),OR($E$5="(All)",'Master Database'!$F314=$E$5),OR($E$6="(All)",'Master Database'!$G314=$E$6),OR($E$7="(All)",'Master Database'!$O314=$E$7),OR($E$8="(All)",'Master Database'!$P314=$E$8),OR($E$9="(All)",'Master Database'!$S314=$E$9),OR($E$10="(All)",'Master Database'!$Y314&amp;""=$E$10&amp;""),OR($H$5="(All)",'Master Database'!$BG314=$H$5),OR($H$6&lt;&gt;"Y",ISNUMBER('Master Database'!$AG314)),OR($H$7="",AND(ISNUMBER('Master Database'!$H314),N('Master Database'!$H314)&gt;=$H$7)),OR($I$7="",AND(ISNUMBER('Master Database'!$H314),N('Master Database'!$H314)&lt;=$I$7)),OR($H$8="",AND(ISNUMBER('Master Database'!$I314),N('Master Database'!$I314)&gt;=$H$8)),OR($I$8="",AND(ISNUMBER('Master Database'!$I314),N('Master Database'!$I314)&lt;=$I$8)),OR($H$9="",AND(ISNUMBER('Master Database'!$K314),N('Master Database'!$K314)&gt;=$H$9)),OR($I$9="",AND(ISNUMBER('Master Database'!$K314),N('Master Database'!$K314)&lt;=$I$9))),1,0))</f>
        <v>0</v>
      </c>
      <c r="BB314" s="0" t="str">
        <f aca="false">IF(BA314=1,COUNTIF($BA$5:BA314,1),"")</f>
        <v/>
      </c>
    </row>
    <row r="315" customFormat="false" ht="15" hidden="false" customHeight="false" outlineLevel="0" collapsed="false">
      <c r="BA315" s="0" t="n">
        <f aca="false">IF('Master Database'!$A315="",0,IF(AND(OR($B$5="",ISNUMBER(SEARCH($B$5,'Master Database'!$B315&amp;" "&amp;'Master Database'!$D315))),OR($B$6="(All)",'Master Database'!$C315=$B$6),OR($B$7="(All)",'Master Database'!$E315=$B$7),OR($B$8="(All)",'Master Database'!$T315=$B$8),OR($B$9="(All)",'Master Database'!$M315=$B$9),OR($B$10="(All)",'Master Database'!$V315=$B$10),OR($E$5="(All)",'Master Database'!$F315=$E$5),OR($E$6="(All)",'Master Database'!$G315=$E$6),OR($E$7="(All)",'Master Database'!$O315=$E$7),OR($E$8="(All)",'Master Database'!$P315=$E$8),OR($E$9="(All)",'Master Database'!$S315=$E$9),OR($E$10="(All)",'Master Database'!$Y315&amp;""=$E$10&amp;""),OR($H$5="(All)",'Master Database'!$BG315=$H$5),OR($H$6&lt;&gt;"Y",ISNUMBER('Master Database'!$AG315)),OR($H$7="",AND(ISNUMBER('Master Database'!$H315),N('Master Database'!$H315)&gt;=$H$7)),OR($I$7="",AND(ISNUMBER('Master Database'!$H315),N('Master Database'!$H315)&lt;=$I$7)),OR($H$8="",AND(ISNUMBER('Master Database'!$I315),N('Master Database'!$I315)&gt;=$H$8)),OR($I$8="",AND(ISNUMBER('Master Database'!$I315),N('Master Database'!$I315)&lt;=$I$8)),OR($H$9="",AND(ISNUMBER('Master Database'!$K315),N('Master Database'!$K315)&gt;=$H$9)),OR($I$9="",AND(ISNUMBER('Master Database'!$K315),N('Master Database'!$K315)&lt;=$I$9))),1,0))</f>
        <v>0</v>
      </c>
      <c r="BB315" s="0" t="str">
        <f aca="false">IF(BA315=1,COUNTIF($BA$5:BA315,1),"")</f>
        <v/>
      </c>
    </row>
    <row r="316" customFormat="false" ht="15" hidden="false" customHeight="false" outlineLevel="0" collapsed="false">
      <c r="BA316" s="0" t="n">
        <f aca="false">IF('Master Database'!$A316="",0,IF(AND(OR($B$5="",ISNUMBER(SEARCH($B$5,'Master Database'!$B316&amp;" "&amp;'Master Database'!$D316))),OR($B$6="(All)",'Master Database'!$C316=$B$6),OR($B$7="(All)",'Master Database'!$E316=$B$7),OR($B$8="(All)",'Master Database'!$T316=$B$8),OR($B$9="(All)",'Master Database'!$M316=$B$9),OR($B$10="(All)",'Master Database'!$V316=$B$10),OR($E$5="(All)",'Master Database'!$F316=$E$5),OR($E$6="(All)",'Master Database'!$G316=$E$6),OR($E$7="(All)",'Master Database'!$O316=$E$7),OR($E$8="(All)",'Master Database'!$P316=$E$8),OR($E$9="(All)",'Master Database'!$S316=$E$9),OR($E$10="(All)",'Master Database'!$Y316&amp;""=$E$10&amp;""),OR($H$5="(All)",'Master Database'!$BG316=$H$5),OR($H$6&lt;&gt;"Y",ISNUMBER('Master Database'!$AG316)),OR($H$7="",AND(ISNUMBER('Master Database'!$H316),N('Master Database'!$H316)&gt;=$H$7)),OR($I$7="",AND(ISNUMBER('Master Database'!$H316),N('Master Database'!$H316)&lt;=$I$7)),OR($H$8="",AND(ISNUMBER('Master Database'!$I316),N('Master Database'!$I316)&gt;=$H$8)),OR($I$8="",AND(ISNUMBER('Master Database'!$I316),N('Master Database'!$I316)&lt;=$I$8)),OR($H$9="",AND(ISNUMBER('Master Database'!$K316),N('Master Database'!$K316)&gt;=$H$9)),OR($I$9="",AND(ISNUMBER('Master Database'!$K316),N('Master Database'!$K316)&lt;=$I$9))),1,0))</f>
        <v>0</v>
      </c>
      <c r="BB316" s="0" t="str">
        <f aca="false">IF(BA316=1,COUNTIF($BA$5:BA316,1),"")</f>
        <v/>
      </c>
    </row>
    <row r="317" customFormat="false" ht="15" hidden="false" customHeight="false" outlineLevel="0" collapsed="false">
      <c r="BA317" s="0" t="n">
        <f aca="false">IF('Master Database'!$A317="",0,IF(AND(OR($B$5="",ISNUMBER(SEARCH($B$5,'Master Database'!$B317&amp;" "&amp;'Master Database'!$D317))),OR($B$6="(All)",'Master Database'!$C317=$B$6),OR($B$7="(All)",'Master Database'!$E317=$B$7),OR($B$8="(All)",'Master Database'!$T317=$B$8),OR($B$9="(All)",'Master Database'!$M317=$B$9),OR($B$10="(All)",'Master Database'!$V317=$B$10),OR($E$5="(All)",'Master Database'!$F317=$E$5),OR($E$6="(All)",'Master Database'!$G317=$E$6),OR($E$7="(All)",'Master Database'!$O317=$E$7),OR($E$8="(All)",'Master Database'!$P317=$E$8),OR($E$9="(All)",'Master Database'!$S317=$E$9),OR($E$10="(All)",'Master Database'!$Y317&amp;""=$E$10&amp;""),OR($H$5="(All)",'Master Database'!$BG317=$H$5),OR($H$6&lt;&gt;"Y",ISNUMBER('Master Database'!$AG317)),OR($H$7="",AND(ISNUMBER('Master Database'!$H317),N('Master Database'!$H317)&gt;=$H$7)),OR($I$7="",AND(ISNUMBER('Master Database'!$H317),N('Master Database'!$H317)&lt;=$I$7)),OR($H$8="",AND(ISNUMBER('Master Database'!$I317),N('Master Database'!$I317)&gt;=$H$8)),OR($I$8="",AND(ISNUMBER('Master Database'!$I317),N('Master Database'!$I317)&lt;=$I$8)),OR($H$9="",AND(ISNUMBER('Master Database'!$K317),N('Master Database'!$K317)&gt;=$H$9)),OR($I$9="",AND(ISNUMBER('Master Database'!$K317),N('Master Database'!$K317)&lt;=$I$9))),1,0))</f>
        <v>0</v>
      </c>
      <c r="BB317" s="0" t="str">
        <f aca="false">IF(BA317=1,COUNTIF($BA$5:BA317,1),"")</f>
        <v/>
      </c>
    </row>
    <row r="318" customFormat="false" ht="15" hidden="false" customHeight="false" outlineLevel="0" collapsed="false">
      <c r="BA318" s="0" t="n">
        <f aca="false">IF('Master Database'!$A318="",0,IF(AND(OR($B$5="",ISNUMBER(SEARCH($B$5,'Master Database'!$B318&amp;" "&amp;'Master Database'!$D318))),OR($B$6="(All)",'Master Database'!$C318=$B$6),OR($B$7="(All)",'Master Database'!$E318=$B$7),OR($B$8="(All)",'Master Database'!$T318=$B$8),OR($B$9="(All)",'Master Database'!$M318=$B$9),OR($B$10="(All)",'Master Database'!$V318=$B$10),OR($E$5="(All)",'Master Database'!$F318=$E$5),OR($E$6="(All)",'Master Database'!$G318=$E$6),OR($E$7="(All)",'Master Database'!$O318=$E$7),OR($E$8="(All)",'Master Database'!$P318=$E$8),OR($E$9="(All)",'Master Database'!$S318=$E$9),OR($E$10="(All)",'Master Database'!$Y318&amp;""=$E$10&amp;""),OR($H$5="(All)",'Master Database'!$BG318=$H$5),OR($H$6&lt;&gt;"Y",ISNUMBER('Master Database'!$AG318)),OR($H$7="",AND(ISNUMBER('Master Database'!$H318),N('Master Database'!$H318)&gt;=$H$7)),OR($I$7="",AND(ISNUMBER('Master Database'!$H318),N('Master Database'!$H318)&lt;=$I$7)),OR($H$8="",AND(ISNUMBER('Master Database'!$I318),N('Master Database'!$I318)&gt;=$H$8)),OR($I$8="",AND(ISNUMBER('Master Database'!$I318),N('Master Database'!$I318)&lt;=$I$8)),OR($H$9="",AND(ISNUMBER('Master Database'!$K318),N('Master Database'!$K318)&gt;=$H$9)),OR($I$9="",AND(ISNUMBER('Master Database'!$K318),N('Master Database'!$K318)&lt;=$I$9))),1,0))</f>
        <v>0</v>
      </c>
      <c r="BB318" s="0" t="str">
        <f aca="false">IF(BA318=1,COUNTIF($BA$5:BA318,1),"")</f>
        <v/>
      </c>
    </row>
    <row r="319" customFormat="false" ht="15" hidden="false" customHeight="false" outlineLevel="0" collapsed="false">
      <c r="BA319" s="0" t="n">
        <f aca="false">IF('Master Database'!$A319="",0,IF(AND(OR($B$5="",ISNUMBER(SEARCH($B$5,'Master Database'!$B319&amp;" "&amp;'Master Database'!$D319))),OR($B$6="(All)",'Master Database'!$C319=$B$6),OR($B$7="(All)",'Master Database'!$E319=$B$7),OR($B$8="(All)",'Master Database'!$T319=$B$8),OR($B$9="(All)",'Master Database'!$M319=$B$9),OR($B$10="(All)",'Master Database'!$V319=$B$10),OR($E$5="(All)",'Master Database'!$F319=$E$5),OR($E$6="(All)",'Master Database'!$G319=$E$6),OR($E$7="(All)",'Master Database'!$O319=$E$7),OR($E$8="(All)",'Master Database'!$P319=$E$8),OR($E$9="(All)",'Master Database'!$S319=$E$9),OR($E$10="(All)",'Master Database'!$Y319&amp;""=$E$10&amp;""),OR($H$5="(All)",'Master Database'!$BG319=$H$5),OR($H$6&lt;&gt;"Y",ISNUMBER('Master Database'!$AG319)),OR($H$7="",AND(ISNUMBER('Master Database'!$H319),N('Master Database'!$H319)&gt;=$H$7)),OR($I$7="",AND(ISNUMBER('Master Database'!$H319),N('Master Database'!$H319)&lt;=$I$7)),OR($H$8="",AND(ISNUMBER('Master Database'!$I319),N('Master Database'!$I319)&gt;=$H$8)),OR($I$8="",AND(ISNUMBER('Master Database'!$I319),N('Master Database'!$I319)&lt;=$I$8)),OR($H$9="",AND(ISNUMBER('Master Database'!$K319),N('Master Database'!$K319)&gt;=$H$9)),OR($I$9="",AND(ISNUMBER('Master Database'!$K319),N('Master Database'!$K319)&lt;=$I$9))),1,0))</f>
        <v>0</v>
      </c>
      <c r="BB319" s="0" t="str">
        <f aca="false">IF(BA319=1,COUNTIF($BA$5:BA319,1),"")</f>
        <v/>
      </c>
    </row>
    <row r="320" customFormat="false" ht="15" hidden="false" customHeight="false" outlineLevel="0" collapsed="false">
      <c r="BA320" s="0" t="n">
        <f aca="false">IF('Master Database'!$A320="",0,IF(AND(OR($B$5="",ISNUMBER(SEARCH($B$5,'Master Database'!$B320&amp;" "&amp;'Master Database'!$D320))),OR($B$6="(All)",'Master Database'!$C320=$B$6),OR($B$7="(All)",'Master Database'!$E320=$B$7),OR($B$8="(All)",'Master Database'!$T320=$B$8),OR($B$9="(All)",'Master Database'!$M320=$B$9),OR($B$10="(All)",'Master Database'!$V320=$B$10),OR($E$5="(All)",'Master Database'!$F320=$E$5),OR($E$6="(All)",'Master Database'!$G320=$E$6),OR($E$7="(All)",'Master Database'!$O320=$E$7),OR($E$8="(All)",'Master Database'!$P320=$E$8),OR($E$9="(All)",'Master Database'!$S320=$E$9),OR($E$10="(All)",'Master Database'!$Y320&amp;""=$E$10&amp;""),OR($H$5="(All)",'Master Database'!$BG320=$H$5),OR($H$6&lt;&gt;"Y",ISNUMBER('Master Database'!$AG320)),OR($H$7="",AND(ISNUMBER('Master Database'!$H320),N('Master Database'!$H320)&gt;=$H$7)),OR($I$7="",AND(ISNUMBER('Master Database'!$H320),N('Master Database'!$H320)&lt;=$I$7)),OR($H$8="",AND(ISNUMBER('Master Database'!$I320),N('Master Database'!$I320)&gt;=$H$8)),OR($I$8="",AND(ISNUMBER('Master Database'!$I320),N('Master Database'!$I320)&lt;=$I$8)),OR($H$9="",AND(ISNUMBER('Master Database'!$K320),N('Master Database'!$K320)&gt;=$H$9)),OR($I$9="",AND(ISNUMBER('Master Database'!$K320),N('Master Database'!$K320)&lt;=$I$9))),1,0))</f>
        <v>0</v>
      </c>
      <c r="BB320" s="0" t="str">
        <f aca="false">IF(BA320=1,COUNTIF($BA$5:BA320,1),"")</f>
        <v/>
      </c>
    </row>
    <row r="321" customFormat="false" ht="15" hidden="false" customHeight="false" outlineLevel="0" collapsed="false">
      <c r="BA321" s="0" t="n">
        <f aca="false">IF('Master Database'!$A321="",0,IF(AND(OR($B$5="",ISNUMBER(SEARCH($B$5,'Master Database'!$B321&amp;" "&amp;'Master Database'!$D321))),OR($B$6="(All)",'Master Database'!$C321=$B$6),OR($B$7="(All)",'Master Database'!$E321=$B$7),OR($B$8="(All)",'Master Database'!$T321=$B$8),OR($B$9="(All)",'Master Database'!$M321=$B$9),OR($B$10="(All)",'Master Database'!$V321=$B$10),OR($E$5="(All)",'Master Database'!$F321=$E$5),OR($E$6="(All)",'Master Database'!$G321=$E$6),OR($E$7="(All)",'Master Database'!$O321=$E$7),OR($E$8="(All)",'Master Database'!$P321=$E$8),OR($E$9="(All)",'Master Database'!$S321=$E$9),OR($E$10="(All)",'Master Database'!$Y321&amp;""=$E$10&amp;""),OR($H$5="(All)",'Master Database'!$BG321=$H$5),OR($H$6&lt;&gt;"Y",ISNUMBER('Master Database'!$AG321)),OR($H$7="",AND(ISNUMBER('Master Database'!$H321),N('Master Database'!$H321)&gt;=$H$7)),OR($I$7="",AND(ISNUMBER('Master Database'!$H321),N('Master Database'!$H321)&lt;=$I$7)),OR($H$8="",AND(ISNUMBER('Master Database'!$I321),N('Master Database'!$I321)&gt;=$H$8)),OR($I$8="",AND(ISNUMBER('Master Database'!$I321),N('Master Database'!$I321)&lt;=$I$8)),OR($H$9="",AND(ISNUMBER('Master Database'!$K321),N('Master Database'!$K321)&gt;=$H$9)),OR($I$9="",AND(ISNUMBER('Master Database'!$K321),N('Master Database'!$K321)&lt;=$I$9))),1,0))</f>
        <v>0</v>
      </c>
      <c r="BB321" s="0" t="str">
        <f aca="false">IF(BA321=1,COUNTIF($BA$5:BA321,1),"")</f>
        <v/>
      </c>
    </row>
    <row r="322" customFormat="false" ht="15" hidden="false" customHeight="false" outlineLevel="0" collapsed="false">
      <c r="BA322" s="0" t="n">
        <f aca="false">IF('Master Database'!$A322="",0,IF(AND(OR($B$5="",ISNUMBER(SEARCH($B$5,'Master Database'!$B322&amp;" "&amp;'Master Database'!$D322))),OR($B$6="(All)",'Master Database'!$C322=$B$6),OR($B$7="(All)",'Master Database'!$E322=$B$7),OR($B$8="(All)",'Master Database'!$T322=$B$8),OR($B$9="(All)",'Master Database'!$M322=$B$9),OR($B$10="(All)",'Master Database'!$V322=$B$10),OR($E$5="(All)",'Master Database'!$F322=$E$5),OR($E$6="(All)",'Master Database'!$G322=$E$6),OR($E$7="(All)",'Master Database'!$O322=$E$7),OR($E$8="(All)",'Master Database'!$P322=$E$8),OR($E$9="(All)",'Master Database'!$S322=$E$9),OR($E$10="(All)",'Master Database'!$Y322&amp;""=$E$10&amp;""),OR($H$5="(All)",'Master Database'!$BG322=$H$5),OR($H$6&lt;&gt;"Y",ISNUMBER('Master Database'!$AG322)),OR($H$7="",AND(ISNUMBER('Master Database'!$H322),N('Master Database'!$H322)&gt;=$H$7)),OR($I$7="",AND(ISNUMBER('Master Database'!$H322),N('Master Database'!$H322)&lt;=$I$7)),OR($H$8="",AND(ISNUMBER('Master Database'!$I322),N('Master Database'!$I322)&gt;=$H$8)),OR($I$8="",AND(ISNUMBER('Master Database'!$I322),N('Master Database'!$I322)&lt;=$I$8)),OR($H$9="",AND(ISNUMBER('Master Database'!$K322),N('Master Database'!$K322)&gt;=$H$9)),OR($I$9="",AND(ISNUMBER('Master Database'!$K322),N('Master Database'!$K322)&lt;=$I$9))),1,0))</f>
        <v>0</v>
      </c>
      <c r="BB322" s="0" t="str">
        <f aca="false">IF(BA322=1,COUNTIF($BA$5:BA322,1),"")</f>
        <v/>
      </c>
    </row>
    <row r="323" customFormat="false" ht="15" hidden="false" customHeight="false" outlineLevel="0" collapsed="false">
      <c r="BA323" s="0" t="n">
        <f aca="false">IF('Master Database'!$A323="",0,IF(AND(OR($B$5="",ISNUMBER(SEARCH($B$5,'Master Database'!$B323&amp;" "&amp;'Master Database'!$D323))),OR($B$6="(All)",'Master Database'!$C323=$B$6),OR($B$7="(All)",'Master Database'!$E323=$B$7),OR($B$8="(All)",'Master Database'!$T323=$B$8),OR($B$9="(All)",'Master Database'!$M323=$B$9),OR($B$10="(All)",'Master Database'!$V323=$B$10),OR($E$5="(All)",'Master Database'!$F323=$E$5),OR($E$6="(All)",'Master Database'!$G323=$E$6),OR($E$7="(All)",'Master Database'!$O323=$E$7),OR($E$8="(All)",'Master Database'!$P323=$E$8),OR($E$9="(All)",'Master Database'!$S323=$E$9),OR($E$10="(All)",'Master Database'!$Y323&amp;""=$E$10&amp;""),OR($H$5="(All)",'Master Database'!$BG323=$H$5),OR($H$6&lt;&gt;"Y",ISNUMBER('Master Database'!$AG323)),OR($H$7="",AND(ISNUMBER('Master Database'!$H323),N('Master Database'!$H323)&gt;=$H$7)),OR($I$7="",AND(ISNUMBER('Master Database'!$H323),N('Master Database'!$H323)&lt;=$I$7)),OR($H$8="",AND(ISNUMBER('Master Database'!$I323),N('Master Database'!$I323)&gt;=$H$8)),OR($I$8="",AND(ISNUMBER('Master Database'!$I323),N('Master Database'!$I323)&lt;=$I$8)),OR($H$9="",AND(ISNUMBER('Master Database'!$K323),N('Master Database'!$K323)&gt;=$H$9)),OR($I$9="",AND(ISNUMBER('Master Database'!$K323),N('Master Database'!$K323)&lt;=$I$9))),1,0))</f>
        <v>0</v>
      </c>
      <c r="BB323" s="0" t="str">
        <f aca="false">IF(BA323=1,COUNTIF($BA$5:BA323,1),"")</f>
        <v/>
      </c>
    </row>
    <row r="324" customFormat="false" ht="15" hidden="false" customHeight="false" outlineLevel="0" collapsed="false">
      <c r="BA324" s="0" t="n">
        <f aca="false">IF('Master Database'!$A324="",0,IF(AND(OR($B$5="",ISNUMBER(SEARCH($B$5,'Master Database'!$B324&amp;" "&amp;'Master Database'!$D324))),OR($B$6="(All)",'Master Database'!$C324=$B$6),OR($B$7="(All)",'Master Database'!$E324=$B$7),OR($B$8="(All)",'Master Database'!$T324=$B$8),OR($B$9="(All)",'Master Database'!$M324=$B$9),OR($B$10="(All)",'Master Database'!$V324=$B$10),OR($E$5="(All)",'Master Database'!$F324=$E$5),OR($E$6="(All)",'Master Database'!$G324=$E$6),OR($E$7="(All)",'Master Database'!$O324=$E$7),OR($E$8="(All)",'Master Database'!$P324=$E$8),OR($E$9="(All)",'Master Database'!$S324=$E$9),OR($E$10="(All)",'Master Database'!$Y324&amp;""=$E$10&amp;""),OR($H$5="(All)",'Master Database'!$BG324=$H$5),OR($H$6&lt;&gt;"Y",ISNUMBER('Master Database'!$AG324)),OR($H$7="",AND(ISNUMBER('Master Database'!$H324),N('Master Database'!$H324)&gt;=$H$7)),OR($I$7="",AND(ISNUMBER('Master Database'!$H324),N('Master Database'!$H324)&lt;=$I$7)),OR($H$8="",AND(ISNUMBER('Master Database'!$I324),N('Master Database'!$I324)&gt;=$H$8)),OR($I$8="",AND(ISNUMBER('Master Database'!$I324),N('Master Database'!$I324)&lt;=$I$8)),OR($H$9="",AND(ISNUMBER('Master Database'!$K324),N('Master Database'!$K324)&gt;=$H$9)),OR($I$9="",AND(ISNUMBER('Master Database'!$K324),N('Master Database'!$K324)&lt;=$I$9))),1,0))</f>
        <v>0</v>
      </c>
      <c r="BB324" s="0" t="str">
        <f aca="false">IF(BA324=1,COUNTIF($BA$5:BA324,1),"")</f>
        <v/>
      </c>
    </row>
    <row r="325" customFormat="false" ht="15" hidden="false" customHeight="false" outlineLevel="0" collapsed="false">
      <c r="BA325" s="0" t="n">
        <f aca="false">IF('Master Database'!$A325="",0,IF(AND(OR($B$5="",ISNUMBER(SEARCH($B$5,'Master Database'!$B325&amp;" "&amp;'Master Database'!$D325))),OR($B$6="(All)",'Master Database'!$C325=$B$6),OR($B$7="(All)",'Master Database'!$E325=$B$7),OR($B$8="(All)",'Master Database'!$T325=$B$8),OR($B$9="(All)",'Master Database'!$M325=$B$9),OR($B$10="(All)",'Master Database'!$V325=$B$10),OR($E$5="(All)",'Master Database'!$F325=$E$5),OR($E$6="(All)",'Master Database'!$G325=$E$6),OR($E$7="(All)",'Master Database'!$O325=$E$7),OR($E$8="(All)",'Master Database'!$P325=$E$8),OR($E$9="(All)",'Master Database'!$S325=$E$9),OR($E$10="(All)",'Master Database'!$Y325&amp;""=$E$10&amp;""),OR($H$5="(All)",'Master Database'!$BG325=$H$5),OR($H$6&lt;&gt;"Y",ISNUMBER('Master Database'!$AG325)),OR($H$7="",AND(ISNUMBER('Master Database'!$H325),N('Master Database'!$H325)&gt;=$H$7)),OR($I$7="",AND(ISNUMBER('Master Database'!$H325),N('Master Database'!$H325)&lt;=$I$7)),OR($H$8="",AND(ISNUMBER('Master Database'!$I325),N('Master Database'!$I325)&gt;=$H$8)),OR($I$8="",AND(ISNUMBER('Master Database'!$I325),N('Master Database'!$I325)&lt;=$I$8)),OR($H$9="",AND(ISNUMBER('Master Database'!$K325),N('Master Database'!$K325)&gt;=$H$9)),OR($I$9="",AND(ISNUMBER('Master Database'!$K325),N('Master Database'!$K325)&lt;=$I$9))),1,0))</f>
        <v>0</v>
      </c>
      <c r="BB325" s="0" t="str">
        <f aca="false">IF(BA325=1,COUNTIF($BA$5:BA325,1),"")</f>
        <v/>
      </c>
    </row>
    <row r="326" customFormat="false" ht="15" hidden="false" customHeight="false" outlineLevel="0" collapsed="false">
      <c r="BA326" s="0" t="n">
        <f aca="false">IF('Master Database'!$A326="",0,IF(AND(OR($B$5="",ISNUMBER(SEARCH($B$5,'Master Database'!$B326&amp;" "&amp;'Master Database'!$D326))),OR($B$6="(All)",'Master Database'!$C326=$B$6),OR($B$7="(All)",'Master Database'!$E326=$B$7),OR($B$8="(All)",'Master Database'!$T326=$B$8),OR($B$9="(All)",'Master Database'!$M326=$B$9),OR($B$10="(All)",'Master Database'!$V326=$B$10),OR($E$5="(All)",'Master Database'!$F326=$E$5),OR($E$6="(All)",'Master Database'!$G326=$E$6),OR($E$7="(All)",'Master Database'!$O326=$E$7),OR($E$8="(All)",'Master Database'!$P326=$E$8),OR($E$9="(All)",'Master Database'!$S326=$E$9),OR($E$10="(All)",'Master Database'!$Y326&amp;""=$E$10&amp;""),OR($H$5="(All)",'Master Database'!$BG326=$H$5),OR($H$6&lt;&gt;"Y",ISNUMBER('Master Database'!$AG326)),OR($H$7="",AND(ISNUMBER('Master Database'!$H326),N('Master Database'!$H326)&gt;=$H$7)),OR($I$7="",AND(ISNUMBER('Master Database'!$H326),N('Master Database'!$H326)&lt;=$I$7)),OR($H$8="",AND(ISNUMBER('Master Database'!$I326),N('Master Database'!$I326)&gt;=$H$8)),OR($I$8="",AND(ISNUMBER('Master Database'!$I326),N('Master Database'!$I326)&lt;=$I$8)),OR($H$9="",AND(ISNUMBER('Master Database'!$K326),N('Master Database'!$K326)&gt;=$H$9)),OR($I$9="",AND(ISNUMBER('Master Database'!$K326),N('Master Database'!$K326)&lt;=$I$9))),1,0))</f>
        <v>0</v>
      </c>
      <c r="BB326" s="0" t="str">
        <f aca="false">IF(BA326=1,COUNTIF($BA$5:BA326,1),"")</f>
        <v/>
      </c>
    </row>
    <row r="327" customFormat="false" ht="15" hidden="false" customHeight="false" outlineLevel="0" collapsed="false">
      <c r="BA327" s="0" t="n">
        <f aca="false">IF('Master Database'!$A327="",0,IF(AND(OR($B$5="",ISNUMBER(SEARCH($B$5,'Master Database'!$B327&amp;" "&amp;'Master Database'!$D327))),OR($B$6="(All)",'Master Database'!$C327=$B$6),OR($B$7="(All)",'Master Database'!$E327=$B$7),OR($B$8="(All)",'Master Database'!$T327=$B$8),OR($B$9="(All)",'Master Database'!$M327=$B$9),OR($B$10="(All)",'Master Database'!$V327=$B$10),OR($E$5="(All)",'Master Database'!$F327=$E$5),OR($E$6="(All)",'Master Database'!$G327=$E$6),OR($E$7="(All)",'Master Database'!$O327=$E$7),OR($E$8="(All)",'Master Database'!$P327=$E$8),OR($E$9="(All)",'Master Database'!$S327=$E$9),OR($E$10="(All)",'Master Database'!$Y327&amp;""=$E$10&amp;""),OR($H$5="(All)",'Master Database'!$BG327=$H$5),OR($H$6&lt;&gt;"Y",ISNUMBER('Master Database'!$AG327)),OR($H$7="",AND(ISNUMBER('Master Database'!$H327),N('Master Database'!$H327)&gt;=$H$7)),OR($I$7="",AND(ISNUMBER('Master Database'!$H327),N('Master Database'!$H327)&lt;=$I$7)),OR($H$8="",AND(ISNUMBER('Master Database'!$I327),N('Master Database'!$I327)&gt;=$H$8)),OR($I$8="",AND(ISNUMBER('Master Database'!$I327),N('Master Database'!$I327)&lt;=$I$8)),OR($H$9="",AND(ISNUMBER('Master Database'!$K327),N('Master Database'!$K327)&gt;=$H$9)),OR($I$9="",AND(ISNUMBER('Master Database'!$K327),N('Master Database'!$K327)&lt;=$I$9))),1,0))</f>
        <v>0</v>
      </c>
      <c r="BB327" s="0" t="str">
        <f aca="false">IF(BA327=1,COUNTIF($BA$5:BA327,1),"")</f>
        <v/>
      </c>
    </row>
    <row r="328" customFormat="false" ht="15" hidden="false" customHeight="false" outlineLevel="0" collapsed="false">
      <c r="BA328" s="0" t="n">
        <f aca="false">IF('Master Database'!$A328="",0,IF(AND(OR($B$5="",ISNUMBER(SEARCH($B$5,'Master Database'!$B328&amp;" "&amp;'Master Database'!$D328))),OR($B$6="(All)",'Master Database'!$C328=$B$6),OR($B$7="(All)",'Master Database'!$E328=$B$7),OR($B$8="(All)",'Master Database'!$T328=$B$8),OR($B$9="(All)",'Master Database'!$M328=$B$9),OR($B$10="(All)",'Master Database'!$V328=$B$10),OR($E$5="(All)",'Master Database'!$F328=$E$5),OR($E$6="(All)",'Master Database'!$G328=$E$6),OR($E$7="(All)",'Master Database'!$O328=$E$7),OR($E$8="(All)",'Master Database'!$P328=$E$8),OR($E$9="(All)",'Master Database'!$S328=$E$9),OR($E$10="(All)",'Master Database'!$Y328&amp;""=$E$10&amp;""),OR($H$5="(All)",'Master Database'!$BG328=$H$5),OR($H$6&lt;&gt;"Y",ISNUMBER('Master Database'!$AG328)),OR($H$7="",AND(ISNUMBER('Master Database'!$H328),N('Master Database'!$H328)&gt;=$H$7)),OR($I$7="",AND(ISNUMBER('Master Database'!$H328),N('Master Database'!$H328)&lt;=$I$7)),OR($H$8="",AND(ISNUMBER('Master Database'!$I328),N('Master Database'!$I328)&gt;=$H$8)),OR($I$8="",AND(ISNUMBER('Master Database'!$I328),N('Master Database'!$I328)&lt;=$I$8)),OR($H$9="",AND(ISNUMBER('Master Database'!$K328),N('Master Database'!$K328)&gt;=$H$9)),OR($I$9="",AND(ISNUMBER('Master Database'!$K328),N('Master Database'!$K328)&lt;=$I$9))),1,0))</f>
        <v>0</v>
      </c>
      <c r="BB328" s="0" t="str">
        <f aca="false">IF(BA328=1,COUNTIF($BA$5:BA328,1),"")</f>
        <v/>
      </c>
    </row>
    <row r="329" customFormat="false" ht="15" hidden="false" customHeight="false" outlineLevel="0" collapsed="false">
      <c r="BA329" s="0" t="n">
        <f aca="false">IF('Master Database'!$A329="",0,IF(AND(OR($B$5="",ISNUMBER(SEARCH($B$5,'Master Database'!$B329&amp;" "&amp;'Master Database'!$D329))),OR($B$6="(All)",'Master Database'!$C329=$B$6),OR($B$7="(All)",'Master Database'!$E329=$B$7),OR($B$8="(All)",'Master Database'!$T329=$B$8),OR($B$9="(All)",'Master Database'!$M329=$B$9),OR($B$10="(All)",'Master Database'!$V329=$B$10),OR($E$5="(All)",'Master Database'!$F329=$E$5),OR($E$6="(All)",'Master Database'!$G329=$E$6),OR($E$7="(All)",'Master Database'!$O329=$E$7),OR($E$8="(All)",'Master Database'!$P329=$E$8),OR($E$9="(All)",'Master Database'!$S329=$E$9),OR($E$10="(All)",'Master Database'!$Y329&amp;""=$E$10&amp;""),OR($H$5="(All)",'Master Database'!$BG329=$H$5),OR($H$6&lt;&gt;"Y",ISNUMBER('Master Database'!$AG329)),OR($H$7="",AND(ISNUMBER('Master Database'!$H329),N('Master Database'!$H329)&gt;=$H$7)),OR($I$7="",AND(ISNUMBER('Master Database'!$H329),N('Master Database'!$H329)&lt;=$I$7)),OR($H$8="",AND(ISNUMBER('Master Database'!$I329),N('Master Database'!$I329)&gt;=$H$8)),OR($I$8="",AND(ISNUMBER('Master Database'!$I329),N('Master Database'!$I329)&lt;=$I$8)),OR($H$9="",AND(ISNUMBER('Master Database'!$K329),N('Master Database'!$K329)&gt;=$H$9)),OR($I$9="",AND(ISNUMBER('Master Database'!$K329),N('Master Database'!$K329)&lt;=$I$9))),1,0))</f>
        <v>0</v>
      </c>
      <c r="BB329" s="0" t="str">
        <f aca="false">IF(BA329=1,COUNTIF($BA$5:BA329,1),"")</f>
        <v/>
      </c>
    </row>
    <row r="330" customFormat="false" ht="15" hidden="false" customHeight="false" outlineLevel="0" collapsed="false">
      <c r="BA330" s="0" t="n">
        <f aca="false">IF('Master Database'!$A330="",0,IF(AND(OR($B$5="",ISNUMBER(SEARCH($B$5,'Master Database'!$B330&amp;" "&amp;'Master Database'!$D330))),OR($B$6="(All)",'Master Database'!$C330=$B$6),OR($B$7="(All)",'Master Database'!$E330=$B$7),OR($B$8="(All)",'Master Database'!$T330=$B$8),OR($B$9="(All)",'Master Database'!$M330=$B$9),OR($B$10="(All)",'Master Database'!$V330=$B$10),OR($E$5="(All)",'Master Database'!$F330=$E$5),OR($E$6="(All)",'Master Database'!$G330=$E$6),OR($E$7="(All)",'Master Database'!$O330=$E$7),OR($E$8="(All)",'Master Database'!$P330=$E$8),OR($E$9="(All)",'Master Database'!$S330=$E$9),OR($E$10="(All)",'Master Database'!$Y330&amp;""=$E$10&amp;""),OR($H$5="(All)",'Master Database'!$BG330=$H$5),OR($H$6&lt;&gt;"Y",ISNUMBER('Master Database'!$AG330)),OR($H$7="",AND(ISNUMBER('Master Database'!$H330),N('Master Database'!$H330)&gt;=$H$7)),OR($I$7="",AND(ISNUMBER('Master Database'!$H330),N('Master Database'!$H330)&lt;=$I$7)),OR($H$8="",AND(ISNUMBER('Master Database'!$I330),N('Master Database'!$I330)&gt;=$H$8)),OR($I$8="",AND(ISNUMBER('Master Database'!$I330),N('Master Database'!$I330)&lt;=$I$8)),OR($H$9="",AND(ISNUMBER('Master Database'!$K330),N('Master Database'!$K330)&gt;=$H$9)),OR($I$9="",AND(ISNUMBER('Master Database'!$K330),N('Master Database'!$K330)&lt;=$I$9))),1,0))</f>
        <v>0</v>
      </c>
      <c r="BB330" s="0" t="str">
        <f aca="false">IF(BA330=1,COUNTIF($BA$5:BA330,1),"")</f>
        <v/>
      </c>
    </row>
    <row r="331" customFormat="false" ht="15" hidden="false" customHeight="false" outlineLevel="0" collapsed="false">
      <c r="BA331" s="0" t="n">
        <f aca="false">IF('Master Database'!$A331="",0,IF(AND(OR($B$5="",ISNUMBER(SEARCH($B$5,'Master Database'!$B331&amp;" "&amp;'Master Database'!$D331))),OR($B$6="(All)",'Master Database'!$C331=$B$6),OR($B$7="(All)",'Master Database'!$E331=$B$7),OR($B$8="(All)",'Master Database'!$T331=$B$8),OR($B$9="(All)",'Master Database'!$M331=$B$9),OR($B$10="(All)",'Master Database'!$V331=$B$10),OR($E$5="(All)",'Master Database'!$F331=$E$5),OR($E$6="(All)",'Master Database'!$G331=$E$6),OR($E$7="(All)",'Master Database'!$O331=$E$7),OR($E$8="(All)",'Master Database'!$P331=$E$8),OR($E$9="(All)",'Master Database'!$S331=$E$9),OR($E$10="(All)",'Master Database'!$Y331&amp;""=$E$10&amp;""),OR($H$5="(All)",'Master Database'!$BG331=$H$5),OR($H$6&lt;&gt;"Y",ISNUMBER('Master Database'!$AG331)),OR($H$7="",AND(ISNUMBER('Master Database'!$H331),N('Master Database'!$H331)&gt;=$H$7)),OR($I$7="",AND(ISNUMBER('Master Database'!$H331),N('Master Database'!$H331)&lt;=$I$7)),OR($H$8="",AND(ISNUMBER('Master Database'!$I331),N('Master Database'!$I331)&gt;=$H$8)),OR($I$8="",AND(ISNUMBER('Master Database'!$I331),N('Master Database'!$I331)&lt;=$I$8)),OR($H$9="",AND(ISNUMBER('Master Database'!$K331),N('Master Database'!$K331)&gt;=$H$9)),OR($I$9="",AND(ISNUMBER('Master Database'!$K331),N('Master Database'!$K331)&lt;=$I$9))),1,0))</f>
        <v>0</v>
      </c>
      <c r="BB331" s="0" t="str">
        <f aca="false">IF(BA331=1,COUNTIF($BA$5:BA331,1),"")</f>
        <v/>
      </c>
    </row>
    <row r="332" customFormat="false" ht="15" hidden="false" customHeight="false" outlineLevel="0" collapsed="false">
      <c r="BA332" s="0" t="n">
        <f aca="false">IF('Master Database'!$A332="",0,IF(AND(OR($B$5="",ISNUMBER(SEARCH($B$5,'Master Database'!$B332&amp;" "&amp;'Master Database'!$D332))),OR($B$6="(All)",'Master Database'!$C332=$B$6),OR($B$7="(All)",'Master Database'!$E332=$B$7),OR($B$8="(All)",'Master Database'!$T332=$B$8),OR($B$9="(All)",'Master Database'!$M332=$B$9),OR($B$10="(All)",'Master Database'!$V332=$B$10),OR($E$5="(All)",'Master Database'!$F332=$E$5),OR($E$6="(All)",'Master Database'!$G332=$E$6),OR($E$7="(All)",'Master Database'!$O332=$E$7),OR($E$8="(All)",'Master Database'!$P332=$E$8),OR($E$9="(All)",'Master Database'!$S332=$E$9),OR($E$10="(All)",'Master Database'!$Y332&amp;""=$E$10&amp;""),OR($H$5="(All)",'Master Database'!$BG332=$H$5),OR($H$6&lt;&gt;"Y",ISNUMBER('Master Database'!$AG332)),OR($H$7="",AND(ISNUMBER('Master Database'!$H332),N('Master Database'!$H332)&gt;=$H$7)),OR($I$7="",AND(ISNUMBER('Master Database'!$H332),N('Master Database'!$H332)&lt;=$I$7)),OR($H$8="",AND(ISNUMBER('Master Database'!$I332),N('Master Database'!$I332)&gt;=$H$8)),OR($I$8="",AND(ISNUMBER('Master Database'!$I332),N('Master Database'!$I332)&lt;=$I$8)),OR($H$9="",AND(ISNUMBER('Master Database'!$K332),N('Master Database'!$K332)&gt;=$H$9)),OR($I$9="",AND(ISNUMBER('Master Database'!$K332),N('Master Database'!$K332)&lt;=$I$9))),1,0))</f>
        <v>0</v>
      </c>
      <c r="BB332" s="0" t="str">
        <f aca="false">IF(BA332=1,COUNTIF($BA$5:BA332,1),"")</f>
        <v/>
      </c>
    </row>
    <row r="333" customFormat="false" ht="15" hidden="false" customHeight="false" outlineLevel="0" collapsed="false">
      <c r="BA333" s="0" t="n">
        <f aca="false">IF('Master Database'!$A333="",0,IF(AND(OR($B$5="",ISNUMBER(SEARCH($B$5,'Master Database'!$B333&amp;" "&amp;'Master Database'!$D333))),OR($B$6="(All)",'Master Database'!$C333=$B$6),OR($B$7="(All)",'Master Database'!$E333=$B$7),OR($B$8="(All)",'Master Database'!$T333=$B$8),OR($B$9="(All)",'Master Database'!$M333=$B$9),OR($B$10="(All)",'Master Database'!$V333=$B$10),OR($E$5="(All)",'Master Database'!$F333=$E$5),OR($E$6="(All)",'Master Database'!$G333=$E$6),OR($E$7="(All)",'Master Database'!$O333=$E$7),OR($E$8="(All)",'Master Database'!$P333=$E$8),OR($E$9="(All)",'Master Database'!$S333=$E$9),OR($E$10="(All)",'Master Database'!$Y333&amp;""=$E$10&amp;""),OR($H$5="(All)",'Master Database'!$BG333=$H$5),OR($H$6&lt;&gt;"Y",ISNUMBER('Master Database'!$AG333)),OR($H$7="",AND(ISNUMBER('Master Database'!$H333),N('Master Database'!$H333)&gt;=$H$7)),OR($I$7="",AND(ISNUMBER('Master Database'!$H333),N('Master Database'!$H333)&lt;=$I$7)),OR($H$8="",AND(ISNUMBER('Master Database'!$I333),N('Master Database'!$I333)&gt;=$H$8)),OR($I$8="",AND(ISNUMBER('Master Database'!$I333),N('Master Database'!$I333)&lt;=$I$8)),OR($H$9="",AND(ISNUMBER('Master Database'!$K333),N('Master Database'!$K333)&gt;=$H$9)),OR($I$9="",AND(ISNUMBER('Master Database'!$K333),N('Master Database'!$K333)&lt;=$I$9))),1,0))</f>
        <v>0</v>
      </c>
      <c r="BB333" s="0" t="str">
        <f aca="false">IF(BA333=1,COUNTIF($BA$5:BA333,1),"")</f>
        <v/>
      </c>
    </row>
    <row r="334" customFormat="false" ht="15" hidden="false" customHeight="false" outlineLevel="0" collapsed="false">
      <c r="BA334" s="0" t="n">
        <f aca="false">IF('Master Database'!$A334="",0,IF(AND(OR($B$5="",ISNUMBER(SEARCH($B$5,'Master Database'!$B334&amp;" "&amp;'Master Database'!$D334))),OR($B$6="(All)",'Master Database'!$C334=$B$6),OR($B$7="(All)",'Master Database'!$E334=$B$7),OR($B$8="(All)",'Master Database'!$T334=$B$8),OR($B$9="(All)",'Master Database'!$M334=$B$9),OR($B$10="(All)",'Master Database'!$V334=$B$10),OR($E$5="(All)",'Master Database'!$F334=$E$5),OR($E$6="(All)",'Master Database'!$G334=$E$6),OR($E$7="(All)",'Master Database'!$O334=$E$7),OR($E$8="(All)",'Master Database'!$P334=$E$8),OR($E$9="(All)",'Master Database'!$S334=$E$9),OR($E$10="(All)",'Master Database'!$Y334&amp;""=$E$10&amp;""),OR($H$5="(All)",'Master Database'!$BG334=$H$5),OR($H$6&lt;&gt;"Y",ISNUMBER('Master Database'!$AG334)),OR($H$7="",AND(ISNUMBER('Master Database'!$H334),N('Master Database'!$H334)&gt;=$H$7)),OR($I$7="",AND(ISNUMBER('Master Database'!$H334),N('Master Database'!$H334)&lt;=$I$7)),OR($H$8="",AND(ISNUMBER('Master Database'!$I334),N('Master Database'!$I334)&gt;=$H$8)),OR($I$8="",AND(ISNUMBER('Master Database'!$I334),N('Master Database'!$I334)&lt;=$I$8)),OR($H$9="",AND(ISNUMBER('Master Database'!$K334),N('Master Database'!$K334)&gt;=$H$9)),OR($I$9="",AND(ISNUMBER('Master Database'!$K334),N('Master Database'!$K334)&lt;=$I$9))),1,0))</f>
        <v>0</v>
      </c>
      <c r="BB334" s="0" t="str">
        <f aca="false">IF(BA334=1,COUNTIF($BA$5:BA334,1),"")</f>
        <v/>
      </c>
    </row>
    <row r="335" customFormat="false" ht="15" hidden="false" customHeight="false" outlineLevel="0" collapsed="false">
      <c r="BA335" s="0" t="n">
        <f aca="false">IF('Master Database'!$A335="",0,IF(AND(OR($B$5="",ISNUMBER(SEARCH($B$5,'Master Database'!$B335&amp;" "&amp;'Master Database'!$D335))),OR($B$6="(All)",'Master Database'!$C335=$B$6),OR($B$7="(All)",'Master Database'!$E335=$B$7),OR($B$8="(All)",'Master Database'!$T335=$B$8),OR($B$9="(All)",'Master Database'!$M335=$B$9),OR($B$10="(All)",'Master Database'!$V335=$B$10),OR($E$5="(All)",'Master Database'!$F335=$E$5),OR($E$6="(All)",'Master Database'!$G335=$E$6),OR($E$7="(All)",'Master Database'!$O335=$E$7),OR($E$8="(All)",'Master Database'!$P335=$E$8),OR($E$9="(All)",'Master Database'!$S335=$E$9),OR($E$10="(All)",'Master Database'!$Y335&amp;""=$E$10&amp;""),OR($H$5="(All)",'Master Database'!$BG335=$H$5),OR($H$6&lt;&gt;"Y",ISNUMBER('Master Database'!$AG335)),OR($H$7="",AND(ISNUMBER('Master Database'!$H335),N('Master Database'!$H335)&gt;=$H$7)),OR($I$7="",AND(ISNUMBER('Master Database'!$H335),N('Master Database'!$H335)&lt;=$I$7)),OR($H$8="",AND(ISNUMBER('Master Database'!$I335),N('Master Database'!$I335)&gt;=$H$8)),OR($I$8="",AND(ISNUMBER('Master Database'!$I335),N('Master Database'!$I335)&lt;=$I$8)),OR($H$9="",AND(ISNUMBER('Master Database'!$K335),N('Master Database'!$K335)&gt;=$H$9)),OR($I$9="",AND(ISNUMBER('Master Database'!$K335),N('Master Database'!$K335)&lt;=$I$9))),1,0))</f>
        <v>0</v>
      </c>
      <c r="BB335" s="0" t="str">
        <f aca="false">IF(BA335=1,COUNTIF($BA$5:BA335,1),"")</f>
        <v/>
      </c>
    </row>
    <row r="336" customFormat="false" ht="15" hidden="false" customHeight="false" outlineLevel="0" collapsed="false">
      <c r="BA336" s="0" t="n">
        <f aca="false">IF('Master Database'!$A336="",0,IF(AND(OR($B$5="",ISNUMBER(SEARCH($B$5,'Master Database'!$B336&amp;" "&amp;'Master Database'!$D336))),OR($B$6="(All)",'Master Database'!$C336=$B$6),OR($B$7="(All)",'Master Database'!$E336=$B$7),OR($B$8="(All)",'Master Database'!$T336=$B$8),OR($B$9="(All)",'Master Database'!$M336=$B$9),OR($B$10="(All)",'Master Database'!$V336=$B$10),OR($E$5="(All)",'Master Database'!$F336=$E$5),OR($E$6="(All)",'Master Database'!$G336=$E$6),OR($E$7="(All)",'Master Database'!$O336=$E$7),OR($E$8="(All)",'Master Database'!$P336=$E$8),OR($E$9="(All)",'Master Database'!$S336=$E$9),OR($E$10="(All)",'Master Database'!$Y336&amp;""=$E$10&amp;""),OR($H$5="(All)",'Master Database'!$BG336=$H$5),OR($H$6&lt;&gt;"Y",ISNUMBER('Master Database'!$AG336)),OR($H$7="",AND(ISNUMBER('Master Database'!$H336),N('Master Database'!$H336)&gt;=$H$7)),OR($I$7="",AND(ISNUMBER('Master Database'!$H336),N('Master Database'!$H336)&lt;=$I$7)),OR($H$8="",AND(ISNUMBER('Master Database'!$I336),N('Master Database'!$I336)&gt;=$H$8)),OR($I$8="",AND(ISNUMBER('Master Database'!$I336),N('Master Database'!$I336)&lt;=$I$8)),OR($H$9="",AND(ISNUMBER('Master Database'!$K336),N('Master Database'!$K336)&gt;=$H$9)),OR($I$9="",AND(ISNUMBER('Master Database'!$K336),N('Master Database'!$K336)&lt;=$I$9))),1,0))</f>
        <v>0</v>
      </c>
      <c r="BB336" s="0" t="str">
        <f aca="false">IF(BA336=1,COUNTIF($BA$5:BA336,1),"")</f>
        <v/>
      </c>
    </row>
    <row r="337" customFormat="false" ht="15" hidden="false" customHeight="false" outlineLevel="0" collapsed="false">
      <c r="BA337" s="0" t="n">
        <f aca="false">IF('Master Database'!$A337="",0,IF(AND(OR($B$5="",ISNUMBER(SEARCH($B$5,'Master Database'!$B337&amp;" "&amp;'Master Database'!$D337))),OR($B$6="(All)",'Master Database'!$C337=$B$6),OR($B$7="(All)",'Master Database'!$E337=$B$7),OR($B$8="(All)",'Master Database'!$T337=$B$8),OR($B$9="(All)",'Master Database'!$M337=$B$9),OR($B$10="(All)",'Master Database'!$V337=$B$10),OR($E$5="(All)",'Master Database'!$F337=$E$5),OR($E$6="(All)",'Master Database'!$G337=$E$6),OR($E$7="(All)",'Master Database'!$O337=$E$7),OR($E$8="(All)",'Master Database'!$P337=$E$8),OR($E$9="(All)",'Master Database'!$S337=$E$9),OR($E$10="(All)",'Master Database'!$Y337&amp;""=$E$10&amp;""),OR($H$5="(All)",'Master Database'!$BG337=$H$5),OR($H$6&lt;&gt;"Y",ISNUMBER('Master Database'!$AG337)),OR($H$7="",AND(ISNUMBER('Master Database'!$H337),N('Master Database'!$H337)&gt;=$H$7)),OR($I$7="",AND(ISNUMBER('Master Database'!$H337),N('Master Database'!$H337)&lt;=$I$7)),OR($H$8="",AND(ISNUMBER('Master Database'!$I337),N('Master Database'!$I337)&gt;=$H$8)),OR($I$8="",AND(ISNUMBER('Master Database'!$I337),N('Master Database'!$I337)&lt;=$I$8)),OR($H$9="",AND(ISNUMBER('Master Database'!$K337),N('Master Database'!$K337)&gt;=$H$9)),OR($I$9="",AND(ISNUMBER('Master Database'!$K337),N('Master Database'!$K337)&lt;=$I$9))),1,0))</f>
        <v>0</v>
      </c>
      <c r="BB337" s="0" t="str">
        <f aca="false">IF(BA337=1,COUNTIF($BA$5:BA337,1),"")</f>
        <v/>
      </c>
    </row>
    <row r="338" customFormat="false" ht="15" hidden="false" customHeight="false" outlineLevel="0" collapsed="false">
      <c r="BA338" s="0" t="n">
        <f aca="false">IF('Master Database'!$A338="",0,IF(AND(OR($B$5="",ISNUMBER(SEARCH($B$5,'Master Database'!$B338&amp;" "&amp;'Master Database'!$D338))),OR($B$6="(All)",'Master Database'!$C338=$B$6),OR($B$7="(All)",'Master Database'!$E338=$B$7),OR($B$8="(All)",'Master Database'!$T338=$B$8),OR($B$9="(All)",'Master Database'!$M338=$B$9),OR($B$10="(All)",'Master Database'!$V338=$B$10),OR($E$5="(All)",'Master Database'!$F338=$E$5),OR($E$6="(All)",'Master Database'!$G338=$E$6),OR($E$7="(All)",'Master Database'!$O338=$E$7),OR($E$8="(All)",'Master Database'!$P338=$E$8),OR($E$9="(All)",'Master Database'!$S338=$E$9),OR($E$10="(All)",'Master Database'!$Y338&amp;""=$E$10&amp;""),OR($H$5="(All)",'Master Database'!$BG338=$H$5),OR($H$6&lt;&gt;"Y",ISNUMBER('Master Database'!$AG338)),OR($H$7="",AND(ISNUMBER('Master Database'!$H338),N('Master Database'!$H338)&gt;=$H$7)),OR($I$7="",AND(ISNUMBER('Master Database'!$H338),N('Master Database'!$H338)&lt;=$I$7)),OR($H$8="",AND(ISNUMBER('Master Database'!$I338),N('Master Database'!$I338)&gt;=$H$8)),OR($I$8="",AND(ISNUMBER('Master Database'!$I338),N('Master Database'!$I338)&lt;=$I$8)),OR($H$9="",AND(ISNUMBER('Master Database'!$K338),N('Master Database'!$K338)&gt;=$H$9)),OR($I$9="",AND(ISNUMBER('Master Database'!$K338),N('Master Database'!$K338)&lt;=$I$9))),1,0))</f>
        <v>0</v>
      </c>
      <c r="BB338" s="0" t="str">
        <f aca="false">IF(BA338=1,COUNTIF($BA$5:BA338,1),"")</f>
        <v/>
      </c>
    </row>
    <row r="339" customFormat="false" ht="15" hidden="false" customHeight="false" outlineLevel="0" collapsed="false">
      <c r="BA339" s="0" t="n">
        <f aca="false">IF('Master Database'!$A339="",0,IF(AND(OR($B$5="",ISNUMBER(SEARCH($B$5,'Master Database'!$B339&amp;" "&amp;'Master Database'!$D339))),OR($B$6="(All)",'Master Database'!$C339=$B$6),OR($B$7="(All)",'Master Database'!$E339=$B$7),OR($B$8="(All)",'Master Database'!$T339=$B$8),OR($B$9="(All)",'Master Database'!$M339=$B$9),OR($B$10="(All)",'Master Database'!$V339=$B$10),OR($E$5="(All)",'Master Database'!$F339=$E$5),OR($E$6="(All)",'Master Database'!$G339=$E$6),OR($E$7="(All)",'Master Database'!$O339=$E$7),OR($E$8="(All)",'Master Database'!$P339=$E$8),OR($E$9="(All)",'Master Database'!$S339=$E$9),OR($E$10="(All)",'Master Database'!$Y339&amp;""=$E$10&amp;""),OR($H$5="(All)",'Master Database'!$BG339=$H$5),OR($H$6&lt;&gt;"Y",ISNUMBER('Master Database'!$AG339)),OR($H$7="",AND(ISNUMBER('Master Database'!$H339),N('Master Database'!$H339)&gt;=$H$7)),OR($I$7="",AND(ISNUMBER('Master Database'!$H339),N('Master Database'!$H339)&lt;=$I$7)),OR($H$8="",AND(ISNUMBER('Master Database'!$I339),N('Master Database'!$I339)&gt;=$H$8)),OR($I$8="",AND(ISNUMBER('Master Database'!$I339),N('Master Database'!$I339)&lt;=$I$8)),OR($H$9="",AND(ISNUMBER('Master Database'!$K339),N('Master Database'!$K339)&gt;=$H$9)),OR($I$9="",AND(ISNUMBER('Master Database'!$K339),N('Master Database'!$K339)&lt;=$I$9))),1,0))</f>
        <v>0</v>
      </c>
      <c r="BB339" s="0" t="str">
        <f aca="false">IF(BA339=1,COUNTIF($BA$5:BA339,1),"")</f>
        <v/>
      </c>
    </row>
    <row r="340" customFormat="false" ht="15" hidden="false" customHeight="false" outlineLevel="0" collapsed="false">
      <c r="BA340" s="0" t="n">
        <f aca="false">IF('Master Database'!$A340="",0,IF(AND(OR($B$5="",ISNUMBER(SEARCH($B$5,'Master Database'!$B340&amp;" "&amp;'Master Database'!$D340))),OR($B$6="(All)",'Master Database'!$C340=$B$6),OR($B$7="(All)",'Master Database'!$E340=$B$7),OR($B$8="(All)",'Master Database'!$T340=$B$8),OR($B$9="(All)",'Master Database'!$M340=$B$9),OR($B$10="(All)",'Master Database'!$V340=$B$10),OR($E$5="(All)",'Master Database'!$F340=$E$5),OR($E$6="(All)",'Master Database'!$G340=$E$6),OR($E$7="(All)",'Master Database'!$O340=$E$7),OR($E$8="(All)",'Master Database'!$P340=$E$8),OR($E$9="(All)",'Master Database'!$S340=$E$9),OR($E$10="(All)",'Master Database'!$Y340&amp;""=$E$10&amp;""),OR($H$5="(All)",'Master Database'!$BG340=$H$5),OR($H$6&lt;&gt;"Y",ISNUMBER('Master Database'!$AG340)),OR($H$7="",AND(ISNUMBER('Master Database'!$H340),N('Master Database'!$H340)&gt;=$H$7)),OR($I$7="",AND(ISNUMBER('Master Database'!$H340),N('Master Database'!$H340)&lt;=$I$7)),OR($H$8="",AND(ISNUMBER('Master Database'!$I340),N('Master Database'!$I340)&gt;=$H$8)),OR($I$8="",AND(ISNUMBER('Master Database'!$I340),N('Master Database'!$I340)&lt;=$I$8)),OR($H$9="",AND(ISNUMBER('Master Database'!$K340),N('Master Database'!$K340)&gt;=$H$9)),OR($I$9="",AND(ISNUMBER('Master Database'!$K340),N('Master Database'!$K340)&lt;=$I$9))),1,0))</f>
        <v>0</v>
      </c>
      <c r="BB340" s="0" t="str">
        <f aca="false">IF(BA340=1,COUNTIF($BA$5:BA340,1),"")</f>
        <v/>
      </c>
    </row>
    <row r="341" customFormat="false" ht="15" hidden="false" customHeight="false" outlineLevel="0" collapsed="false">
      <c r="BA341" s="0" t="n">
        <f aca="false">IF('Master Database'!$A341="",0,IF(AND(OR($B$5="",ISNUMBER(SEARCH($B$5,'Master Database'!$B341&amp;" "&amp;'Master Database'!$D341))),OR($B$6="(All)",'Master Database'!$C341=$B$6),OR($B$7="(All)",'Master Database'!$E341=$B$7),OR($B$8="(All)",'Master Database'!$T341=$B$8),OR($B$9="(All)",'Master Database'!$M341=$B$9),OR($B$10="(All)",'Master Database'!$V341=$B$10),OR($E$5="(All)",'Master Database'!$F341=$E$5),OR($E$6="(All)",'Master Database'!$G341=$E$6),OR($E$7="(All)",'Master Database'!$O341=$E$7),OR($E$8="(All)",'Master Database'!$P341=$E$8),OR($E$9="(All)",'Master Database'!$S341=$E$9),OR($E$10="(All)",'Master Database'!$Y341&amp;""=$E$10&amp;""),OR($H$5="(All)",'Master Database'!$BG341=$H$5),OR($H$6&lt;&gt;"Y",ISNUMBER('Master Database'!$AG341)),OR($H$7="",AND(ISNUMBER('Master Database'!$H341),N('Master Database'!$H341)&gt;=$H$7)),OR($I$7="",AND(ISNUMBER('Master Database'!$H341),N('Master Database'!$H341)&lt;=$I$7)),OR($H$8="",AND(ISNUMBER('Master Database'!$I341),N('Master Database'!$I341)&gt;=$H$8)),OR($I$8="",AND(ISNUMBER('Master Database'!$I341),N('Master Database'!$I341)&lt;=$I$8)),OR($H$9="",AND(ISNUMBER('Master Database'!$K341),N('Master Database'!$K341)&gt;=$H$9)),OR($I$9="",AND(ISNUMBER('Master Database'!$K341),N('Master Database'!$K341)&lt;=$I$9))),1,0))</f>
        <v>0</v>
      </c>
      <c r="BB341" s="0" t="str">
        <f aca="false">IF(BA341=1,COUNTIF($BA$5:BA341,1),"")</f>
        <v/>
      </c>
    </row>
    <row r="342" customFormat="false" ht="15" hidden="false" customHeight="false" outlineLevel="0" collapsed="false">
      <c r="BA342" s="0" t="n">
        <f aca="false">IF('Master Database'!$A342="",0,IF(AND(OR($B$5="",ISNUMBER(SEARCH($B$5,'Master Database'!$B342&amp;" "&amp;'Master Database'!$D342))),OR($B$6="(All)",'Master Database'!$C342=$B$6),OR($B$7="(All)",'Master Database'!$E342=$B$7),OR($B$8="(All)",'Master Database'!$T342=$B$8),OR($B$9="(All)",'Master Database'!$M342=$B$9),OR($B$10="(All)",'Master Database'!$V342=$B$10),OR($E$5="(All)",'Master Database'!$F342=$E$5),OR($E$6="(All)",'Master Database'!$G342=$E$6),OR($E$7="(All)",'Master Database'!$O342=$E$7),OR($E$8="(All)",'Master Database'!$P342=$E$8),OR($E$9="(All)",'Master Database'!$S342=$E$9),OR($E$10="(All)",'Master Database'!$Y342&amp;""=$E$10&amp;""),OR($H$5="(All)",'Master Database'!$BG342=$H$5),OR($H$6&lt;&gt;"Y",ISNUMBER('Master Database'!$AG342)),OR($H$7="",AND(ISNUMBER('Master Database'!$H342),N('Master Database'!$H342)&gt;=$H$7)),OR($I$7="",AND(ISNUMBER('Master Database'!$H342),N('Master Database'!$H342)&lt;=$I$7)),OR($H$8="",AND(ISNUMBER('Master Database'!$I342),N('Master Database'!$I342)&gt;=$H$8)),OR($I$8="",AND(ISNUMBER('Master Database'!$I342),N('Master Database'!$I342)&lt;=$I$8)),OR($H$9="",AND(ISNUMBER('Master Database'!$K342),N('Master Database'!$K342)&gt;=$H$9)),OR($I$9="",AND(ISNUMBER('Master Database'!$K342),N('Master Database'!$K342)&lt;=$I$9))),1,0))</f>
        <v>0</v>
      </c>
      <c r="BB342" s="0" t="str">
        <f aca="false">IF(BA342=1,COUNTIF($BA$5:BA342,1),"")</f>
        <v/>
      </c>
    </row>
    <row r="343" customFormat="false" ht="15" hidden="false" customHeight="false" outlineLevel="0" collapsed="false">
      <c r="BA343" s="0" t="n">
        <f aca="false">IF('Master Database'!$A343="",0,IF(AND(OR($B$5="",ISNUMBER(SEARCH($B$5,'Master Database'!$B343&amp;" "&amp;'Master Database'!$D343))),OR($B$6="(All)",'Master Database'!$C343=$B$6),OR($B$7="(All)",'Master Database'!$E343=$B$7),OR($B$8="(All)",'Master Database'!$T343=$B$8),OR($B$9="(All)",'Master Database'!$M343=$B$9),OR($B$10="(All)",'Master Database'!$V343=$B$10),OR($E$5="(All)",'Master Database'!$F343=$E$5),OR($E$6="(All)",'Master Database'!$G343=$E$6),OR($E$7="(All)",'Master Database'!$O343=$E$7),OR($E$8="(All)",'Master Database'!$P343=$E$8),OR($E$9="(All)",'Master Database'!$S343=$E$9),OR($E$10="(All)",'Master Database'!$Y343&amp;""=$E$10&amp;""),OR($H$5="(All)",'Master Database'!$BG343=$H$5),OR($H$6&lt;&gt;"Y",ISNUMBER('Master Database'!$AG343)),OR($H$7="",AND(ISNUMBER('Master Database'!$H343),N('Master Database'!$H343)&gt;=$H$7)),OR($I$7="",AND(ISNUMBER('Master Database'!$H343),N('Master Database'!$H343)&lt;=$I$7)),OR($H$8="",AND(ISNUMBER('Master Database'!$I343),N('Master Database'!$I343)&gt;=$H$8)),OR($I$8="",AND(ISNUMBER('Master Database'!$I343),N('Master Database'!$I343)&lt;=$I$8)),OR($H$9="",AND(ISNUMBER('Master Database'!$K343),N('Master Database'!$K343)&gt;=$H$9)),OR($I$9="",AND(ISNUMBER('Master Database'!$K343),N('Master Database'!$K343)&lt;=$I$9))),1,0))</f>
        <v>0</v>
      </c>
      <c r="BB343" s="0" t="str">
        <f aca="false">IF(BA343=1,COUNTIF($BA$5:BA343,1),"")</f>
        <v/>
      </c>
    </row>
    <row r="344" customFormat="false" ht="15" hidden="false" customHeight="false" outlineLevel="0" collapsed="false">
      <c r="BA344" s="0" t="n">
        <f aca="false">IF('Master Database'!$A344="",0,IF(AND(OR($B$5="",ISNUMBER(SEARCH($B$5,'Master Database'!$B344&amp;" "&amp;'Master Database'!$D344))),OR($B$6="(All)",'Master Database'!$C344=$B$6),OR($B$7="(All)",'Master Database'!$E344=$B$7),OR($B$8="(All)",'Master Database'!$T344=$B$8),OR($B$9="(All)",'Master Database'!$M344=$B$9),OR($B$10="(All)",'Master Database'!$V344=$B$10),OR($E$5="(All)",'Master Database'!$F344=$E$5),OR($E$6="(All)",'Master Database'!$G344=$E$6),OR($E$7="(All)",'Master Database'!$O344=$E$7),OR($E$8="(All)",'Master Database'!$P344=$E$8),OR($E$9="(All)",'Master Database'!$S344=$E$9),OR($E$10="(All)",'Master Database'!$Y344&amp;""=$E$10&amp;""),OR($H$5="(All)",'Master Database'!$BG344=$H$5),OR($H$6&lt;&gt;"Y",ISNUMBER('Master Database'!$AG344)),OR($H$7="",AND(ISNUMBER('Master Database'!$H344),N('Master Database'!$H344)&gt;=$H$7)),OR($I$7="",AND(ISNUMBER('Master Database'!$H344),N('Master Database'!$H344)&lt;=$I$7)),OR($H$8="",AND(ISNUMBER('Master Database'!$I344),N('Master Database'!$I344)&gt;=$H$8)),OR($I$8="",AND(ISNUMBER('Master Database'!$I344),N('Master Database'!$I344)&lt;=$I$8)),OR($H$9="",AND(ISNUMBER('Master Database'!$K344),N('Master Database'!$K344)&gt;=$H$9)),OR($I$9="",AND(ISNUMBER('Master Database'!$K344),N('Master Database'!$K344)&lt;=$I$9))),1,0))</f>
        <v>0</v>
      </c>
      <c r="BB344" s="0" t="str">
        <f aca="false">IF(BA344=1,COUNTIF($BA$5:BA344,1),"")</f>
        <v/>
      </c>
    </row>
    <row r="345" customFormat="false" ht="15" hidden="false" customHeight="false" outlineLevel="0" collapsed="false">
      <c r="BA345" s="0" t="n">
        <f aca="false">IF('Master Database'!$A345="",0,IF(AND(OR($B$5="",ISNUMBER(SEARCH($B$5,'Master Database'!$B345&amp;" "&amp;'Master Database'!$D345))),OR($B$6="(All)",'Master Database'!$C345=$B$6),OR($B$7="(All)",'Master Database'!$E345=$B$7),OR($B$8="(All)",'Master Database'!$T345=$B$8),OR($B$9="(All)",'Master Database'!$M345=$B$9),OR($B$10="(All)",'Master Database'!$V345=$B$10),OR($E$5="(All)",'Master Database'!$F345=$E$5),OR($E$6="(All)",'Master Database'!$G345=$E$6),OR($E$7="(All)",'Master Database'!$O345=$E$7),OR($E$8="(All)",'Master Database'!$P345=$E$8),OR($E$9="(All)",'Master Database'!$S345=$E$9),OR($E$10="(All)",'Master Database'!$Y345&amp;""=$E$10&amp;""),OR($H$5="(All)",'Master Database'!$BG345=$H$5),OR($H$6&lt;&gt;"Y",ISNUMBER('Master Database'!$AG345)),OR($H$7="",AND(ISNUMBER('Master Database'!$H345),N('Master Database'!$H345)&gt;=$H$7)),OR($I$7="",AND(ISNUMBER('Master Database'!$H345),N('Master Database'!$H345)&lt;=$I$7)),OR($H$8="",AND(ISNUMBER('Master Database'!$I345),N('Master Database'!$I345)&gt;=$H$8)),OR($I$8="",AND(ISNUMBER('Master Database'!$I345),N('Master Database'!$I345)&lt;=$I$8)),OR($H$9="",AND(ISNUMBER('Master Database'!$K345),N('Master Database'!$K345)&gt;=$H$9)),OR($I$9="",AND(ISNUMBER('Master Database'!$K345),N('Master Database'!$K345)&lt;=$I$9))),1,0))</f>
        <v>0</v>
      </c>
      <c r="BB345" s="0" t="str">
        <f aca="false">IF(BA345=1,COUNTIF($BA$5:BA345,1),"")</f>
        <v/>
      </c>
    </row>
    <row r="346" customFormat="false" ht="15" hidden="false" customHeight="false" outlineLevel="0" collapsed="false">
      <c r="BA346" s="0" t="n">
        <f aca="false">IF('Master Database'!$A346="",0,IF(AND(OR($B$5="",ISNUMBER(SEARCH($B$5,'Master Database'!$B346&amp;" "&amp;'Master Database'!$D346))),OR($B$6="(All)",'Master Database'!$C346=$B$6),OR($B$7="(All)",'Master Database'!$E346=$B$7),OR($B$8="(All)",'Master Database'!$T346=$B$8),OR($B$9="(All)",'Master Database'!$M346=$B$9),OR($B$10="(All)",'Master Database'!$V346=$B$10),OR($E$5="(All)",'Master Database'!$F346=$E$5),OR($E$6="(All)",'Master Database'!$G346=$E$6),OR($E$7="(All)",'Master Database'!$O346=$E$7),OR($E$8="(All)",'Master Database'!$P346=$E$8),OR($E$9="(All)",'Master Database'!$S346=$E$9),OR($E$10="(All)",'Master Database'!$Y346&amp;""=$E$10&amp;""),OR($H$5="(All)",'Master Database'!$BG346=$H$5),OR($H$6&lt;&gt;"Y",ISNUMBER('Master Database'!$AG346)),OR($H$7="",AND(ISNUMBER('Master Database'!$H346),N('Master Database'!$H346)&gt;=$H$7)),OR($I$7="",AND(ISNUMBER('Master Database'!$H346),N('Master Database'!$H346)&lt;=$I$7)),OR($H$8="",AND(ISNUMBER('Master Database'!$I346),N('Master Database'!$I346)&gt;=$H$8)),OR($I$8="",AND(ISNUMBER('Master Database'!$I346),N('Master Database'!$I346)&lt;=$I$8)),OR($H$9="",AND(ISNUMBER('Master Database'!$K346),N('Master Database'!$K346)&gt;=$H$9)),OR($I$9="",AND(ISNUMBER('Master Database'!$K346),N('Master Database'!$K346)&lt;=$I$9))),1,0))</f>
        <v>0</v>
      </c>
      <c r="BB346" s="0" t="str">
        <f aca="false">IF(BA346=1,COUNTIF($BA$5:BA346,1),"")</f>
        <v/>
      </c>
    </row>
    <row r="347" customFormat="false" ht="15" hidden="false" customHeight="false" outlineLevel="0" collapsed="false">
      <c r="BA347" s="0" t="n">
        <f aca="false">IF('Master Database'!$A347="",0,IF(AND(OR($B$5="",ISNUMBER(SEARCH($B$5,'Master Database'!$B347&amp;" "&amp;'Master Database'!$D347))),OR($B$6="(All)",'Master Database'!$C347=$B$6),OR($B$7="(All)",'Master Database'!$E347=$B$7),OR($B$8="(All)",'Master Database'!$T347=$B$8),OR($B$9="(All)",'Master Database'!$M347=$B$9),OR($B$10="(All)",'Master Database'!$V347=$B$10),OR($E$5="(All)",'Master Database'!$F347=$E$5),OR($E$6="(All)",'Master Database'!$G347=$E$6),OR($E$7="(All)",'Master Database'!$O347=$E$7),OR($E$8="(All)",'Master Database'!$P347=$E$8),OR($E$9="(All)",'Master Database'!$S347=$E$9),OR($E$10="(All)",'Master Database'!$Y347&amp;""=$E$10&amp;""),OR($H$5="(All)",'Master Database'!$BG347=$H$5),OR($H$6&lt;&gt;"Y",ISNUMBER('Master Database'!$AG347)),OR($H$7="",AND(ISNUMBER('Master Database'!$H347),N('Master Database'!$H347)&gt;=$H$7)),OR($I$7="",AND(ISNUMBER('Master Database'!$H347),N('Master Database'!$H347)&lt;=$I$7)),OR($H$8="",AND(ISNUMBER('Master Database'!$I347),N('Master Database'!$I347)&gt;=$H$8)),OR($I$8="",AND(ISNUMBER('Master Database'!$I347),N('Master Database'!$I347)&lt;=$I$8)),OR($H$9="",AND(ISNUMBER('Master Database'!$K347),N('Master Database'!$K347)&gt;=$H$9)),OR($I$9="",AND(ISNUMBER('Master Database'!$K347),N('Master Database'!$K347)&lt;=$I$9))),1,0))</f>
        <v>0</v>
      </c>
      <c r="BB347" s="0" t="str">
        <f aca="false">IF(BA347=1,COUNTIF($BA$5:BA347,1),"")</f>
        <v/>
      </c>
    </row>
    <row r="348" customFormat="false" ht="15" hidden="false" customHeight="false" outlineLevel="0" collapsed="false">
      <c r="BA348" s="0" t="n">
        <f aca="false">IF('Master Database'!$A348="",0,IF(AND(OR($B$5="",ISNUMBER(SEARCH($B$5,'Master Database'!$B348&amp;" "&amp;'Master Database'!$D348))),OR($B$6="(All)",'Master Database'!$C348=$B$6),OR($B$7="(All)",'Master Database'!$E348=$B$7),OR($B$8="(All)",'Master Database'!$T348=$B$8),OR($B$9="(All)",'Master Database'!$M348=$B$9),OR($B$10="(All)",'Master Database'!$V348=$B$10),OR($E$5="(All)",'Master Database'!$F348=$E$5),OR($E$6="(All)",'Master Database'!$G348=$E$6),OR($E$7="(All)",'Master Database'!$O348=$E$7),OR($E$8="(All)",'Master Database'!$P348=$E$8),OR($E$9="(All)",'Master Database'!$S348=$E$9),OR($E$10="(All)",'Master Database'!$Y348&amp;""=$E$10&amp;""),OR($H$5="(All)",'Master Database'!$BG348=$H$5),OR($H$6&lt;&gt;"Y",ISNUMBER('Master Database'!$AG348)),OR($H$7="",AND(ISNUMBER('Master Database'!$H348),N('Master Database'!$H348)&gt;=$H$7)),OR($I$7="",AND(ISNUMBER('Master Database'!$H348),N('Master Database'!$H348)&lt;=$I$7)),OR($H$8="",AND(ISNUMBER('Master Database'!$I348),N('Master Database'!$I348)&gt;=$H$8)),OR($I$8="",AND(ISNUMBER('Master Database'!$I348),N('Master Database'!$I348)&lt;=$I$8)),OR($H$9="",AND(ISNUMBER('Master Database'!$K348),N('Master Database'!$K348)&gt;=$H$9)),OR($I$9="",AND(ISNUMBER('Master Database'!$K348),N('Master Database'!$K348)&lt;=$I$9))),1,0))</f>
        <v>0</v>
      </c>
      <c r="BB348" s="0" t="str">
        <f aca="false">IF(BA348=1,COUNTIF($BA$5:BA348,1),"")</f>
        <v/>
      </c>
    </row>
    <row r="349" customFormat="false" ht="15" hidden="false" customHeight="false" outlineLevel="0" collapsed="false">
      <c r="BA349" s="0" t="n">
        <f aca="false">IF('Master Database'!$A349="",0,IF(AND(OR($B$5="",ISNUMBER(SEARCH($B$5,'Master Database'!$B349&amp;" "&amp;'Master Database'!$D349))),OR($B$6="(All)",'Master Database'!$C349=$B$6),OR($B$7="(All)",'Master Database'!$E349=$B$7),OR($B$8="(All)",'Master Database'!$T349=$B$8),OR($B$9="(All)",'Master Database'!$M349=$B$9),OR($B$10="(All)",'Master Database'!$V349=$B$10),OR($E$5="(All)",'Master Database'!$F349=$E$5),OR($E$6="(All)",'Master Database'!$G349=$E$6),OR($E$7="(All)",'Master Database'!$O349=$E$7),OR($E$8="(All)",'Master Database'!$P349=$E$8),OR($E$9="(All)",'Master Database'!$S349=$E$9),OR($E$10="(All)",'Master Database'!$Y349&amp;""=$E$10&amp;""),OR($H$5="(All)",'Master Database'!$BG349=$H$5),OR($H$6&lt;&gt;"Y",ISNUMBER('Master Database'!$AG349)),OR($H$7="",AND(ISNUMBER('Master Database'!$H349),N('Master Database'!$H349)&gt;=$H$7)),OR($I$7="",AND(ISNUMBER('Master Database'!$H349),N('Master Database'!$H349)&lt;=$I$7)),OR($H$8="",AND(ISNUMBER('Master Database'!$I349),N('Master Database'!$I349)&gt;=$H$8)),OR($I$8="",AND(ISNUMBER('Master Database'!$I349),N('Master Database'!$I349)&lt;=$I$8)),OR($H$9="",AND(ISNUMBER('Master Database'!$K349),N('Master Database'!$K349)&gt;=$H$9)),OR($I$9="",AND(ISNUMBER('Master Database'!$K349),N('Master Database'!$K349)&lt;=$I$9))),1,0))</f>
        <v>0</v>
      </c>
      <c r="BB349" s="0" t="str">
        <f aca="false">IF(BA349=1,COUNTIF($BA$5:BA349,1),"")</f>
        <v/>
      </c>
    </row>
    <row r="350" customFormat="false" ht="15" hidden="false" customHeight="false" outlineLevel="0" collapsed="false">
      <c r="BA350" s="0" t="n">
        <f aca="false">IF('Master Database'!$A350="",0,IF(AND(OR($B$5="",ISNUMBER(SEARCH($B$5,'Master Database'!$B350&amp;" "&amp;'Master Database'!$D350))),OR($B$6="(All)",'Master Database'!$C350=$B$6),OR($B$7="(All)",'Master Database'!$E350=$B$7),OR($B$8="(All)",'Master Database'!$T350=$B$8),OR($B$9="(All)",'Master Database'!$M350=$B$9),OR($B$10="(All)",'Master Database'!$V350=$B$10),OR($E$5="(All)",'Master Database'!$F350=$E$5),OR($E$6="(All)",'Master Database'!$G350=$E$6),OR($E$7="(All)",'Master Database'!$O350=$E$7),OR($E$8="(All)",'Master Database'!$P350=$E$8),OR($E$9="(All)",'Master Database'!$S350=$E$9),OR($E$10="(All)",'Master Database'!$Y350&amp;""=$E$10&amp;""),OR($H$5="(All)",'Master Database'!$BG350=$H$5),OR($H$6&lt;&gt;"Y",ISNUMBER('Master Database'!$AG350)),OR($H$7="",AND(ISNUMBER('Master Database'!$H350),N('Master Database'!$H350)&gt;=$H$7)),OR($I$7="",AND(ISNUMBER('Master Database'!$H350),N('Master Database'!$H350)&lt;=$I$7)),OR($H$8="",AND(ISNUMBER('Master Database'!$I350),N('Master Database'!$I350)&gt;=$H$8)),OR($I$8="",AND(ISNUMBER('Master Database'!$I350),N('Master Database'!$I350)&lt;=$I$8)),OR($H$9="",AND(ISNUMBER('Master Database'!$K350),N('Master Database'!$K350)&gt;=$H$9)),OR($I$9="",AND(ISNUMBER('Master Database'!$K350),N('Master Database'!$K350)&lt;=$I$9))),1,0))</f>
        <v>0</v>
      </c>
      <c r="BB350" s="0" t="str">
        <f aca="false">IF(BA350=1,COUNTIF($BA$5:BA350,1),"")</f>
        <v/>
      </c>
    </row>
    <row r="351" customFormat="false" ht="15" hidden="false" customHeight="false" outlineLevel="0" collapsed="false">
      <c r="BA351" s="0" t="n">
        <f aca="false">IF('Master Database'!$A351="",0,IF(AND(OR($B$5="",ISNUMBER(SEARCH($B$5,'Master Database'!$B351&amp;" "&amp;'Master Database'!$D351))),OR($B$6="(All)",'Master Database'!$C351=$B$6),OR($B$7="(All)",'Master Database'!$E351=$B$7),OR($B$8="(All)",'Master Database'!$T351=$B$8),OR($B$9="(All)",'Master Database'!$M351=$B$9),OR($B$10="(All)",'Master Database'!$V351=$B$10),OR($E$5="(All)",'Master Database'!$F351=$E$5),OR($E$6="(All)",'Master Database'!$G351=$E$6),OR($E$7="(All)",'Master Database'!$O351=$E$7),OR($E$8="(All)",'Master Database'!$P351=$E$8),OR($E$9="(All)",'Master Database'!$S351=$E$9),OR($E$10="(All)",'Master Database'!$Y351&amp;""=$E$10&amp;""),OR($H$5="(All)",'Master Database'!$BG351=$H$5),OR($H$6&lt;&gt;"Y",ISNUMBER('Master Database'!$AG351)),OR($H$7="",AND(ISNUMBER('Master Database'!$H351),N('Master Database'!$H351)&gt;=$H$7)),OR($I$7="",AND(ISNUMBER('Master Database'!$H351),N('Master Database'!$H351)&lt;=$I$7)),OR($H$8="",AND(ISNUMBER('Master Database'!$I351),N('Master Database'!$I351)&gt;=$H$8)),OR($I$8="",AND(ISNUMBER('Master Database'!$I351),N('Master Database'!$I351)&lt;=$I$8)),OR($H$9="",AND(ISNUMBER('Master Database'!$K351),N('Master Database'!$K351)&gt;=$H$9)),OR($I$9="",AND(ISNUMBER('Master Database'!$K351),N('Master Database'!$K351)&lt;=$I$9))),1,0))</f>
        <v>0</v>
      </c>
      <c r="BB351" s="0" t="str">
        <f aca="false">IF(BA351=1,COUNTIF($BA$5:BA351,1),"")</f>
        <v/>
      </c>
    </row>
    <row r="352" customFormat="false" ht="15" hidden="false" customHeight="false" outlineLevel="0" collapsed="false">
      <c r="BA352" s="0" t="n">
        <f aca="false">IF('Master Database'!$A352="",0,IF(AND(OR($B$5="",ISNUMBER(SEARCH($B$5,'Master Database'!$B352&amp;" "&amp;'Master Database'!$D352))),OR($B$6="(All)",'Master Database'!$C352=$B$6),OR($B$7="(All)",'Master Database'!$E352=$B$7),OR($B$8="(All)",'Master Database'!$T352=$B$8),OR($B$9="(All)",'Master Database'!$M352=$B$9),OR($B$10="(All)",'Master Database'!$V352=$B$10),OR($E$5="(All)",'Master Database'!$F352=$E$5),OR($E$6="(All)",'Master Database'!$G352=$E$6),OR($E$7="(All)",'Master Database'!$O352=$E$7),OR($E$8="(All)",'Master Database'!$P352=$E$8),OR($E$9="(All)",'Master Database'!$S352=$E$9),OR($E$10="(All)",'Master Database'!$Y352&amp;""=$E$10&amp;""),OR($H$5="(All)",'Master Database'!$BG352=$H$5),OR($H$6&lt;&gt;"Y",ISNUMBER('Master Database'!$AG352)),OR($H$7="",AND(ISNUMBER('Master Database'!$H352),N('Master Database'!$H352)&gt;=$H$7)),OR($I$7="",AND(ISNUMBER('Master Database'!$H352),N('Master Database'!$H352)&lt;=$I$7)),OR($H$8="",AND(ISNUMBER('Master Database'!$I352),N('Master Database'!$I352)&gt;=$H$8)),OR($I$8="",AND(ISNUMBER('Master Database'!$I352),N('Master Database'!$I352)&lt;=$I$8)),OR($H$9="",AND(ISNUMBER('Master Database'!$K352),N('Master Database'!$K352)&gt;=$H$9)),OR($I$9="",AND(ISNUMBER('Master Database'!$K352),N('Master Database'!$K352)&lt;=$I$9))),1,0))</f>
        <v>0</v>
      </c>
      <c r="BB352" s="0" t="str">
        <f aca="false">IF(BA352=1,COUNTIF($BA$5:BA352,1),"")</f>
        <v/>
      </c>
    </row>
    <row r="353" customFormat="false" ht="15" hidden="false" customHeight="false" outlineLevel="0" collapsed="false">
      <c r="BA353" s="0" t="n">
        <f aca="false">IF('Master Database'!$A353="",0,IF(AND(OR($B$5="",ISNUMBER(SEARCH($B$5,'Master Database'!$B353&amp;" "&amp;'Master Database'!$D353))),OR($B$6="(All)",'Master Database'!$C353=$B$6),OR($B$7="(All)",'Master Database'!$E353=$B$7),OR($B$8="(All)",'Master Database'!$T353=$B$8),OR($B$9="(All)",'Master Database'!$M353=$B$9),OR($B$10="(All)",'Master Database'!$V353=$B$10),OR($E$5="(All)",'Master Database'!$F353=$E$5),OR($E$6="(All)",'Master Database'!$G353=$E$6),OR($E$7="(All)",'Master Database'!$O353=$E$7),OR($E$8="(All)",'Master Database'!$P353=$E$8),OR($E$9="(All)",'Master Database'!$S353=$E$9),OR($E$10="(All)",'Master Database'!$Y353&amp;""=$E$10&amp;""),OR($H$5="(All)",'Master Database'!$BG353=$H$5),OR($H$6&lt;&gt;"Y",ISNUMBER('Master Database'!$AG353)),OR($H$7="",AND(ISNUMBER('Master Database'!$H353),N('Master Database'!$H353)&gt;=$H$7)),OR($I$7="",AND(ISNUMBER('Master Database'!$H353),N('Master Database'!$H353)&lt;=$I$7)),OR($H$8="",AND(ISNUMBER('Master Database'!$I353),N('Master Database'!$I353)&gt;=$H$8)),OR($I$8="",AND(ISNUMBER('Master Database'!$I353),N('Master Database'!$I353)&lt;=$I$8)),OR($H$9="",AND(ISNUMBER('Master Database'!$K353),N('Master Database'!$K353)&gt;=$H$9)),OR($I$9="",AND(ISNUMBER('Master Database'!$K353),N('Master Database'!$K353)&lt;=$I$9))),1,0))</f>
        <v>0</v>
      </c>
      <c r="BB353" s="0" t="str">
        <f aca="false">IF(BA353=1,COUNTIF($BA$5:BA353,1),"")</f>
        <v/>
      </c>
    </row>
    <row r="354" customFormat="false" ht="15" hidden="false" customHeight="false" outlineLevel="0" collapsed="false">
      <c r="BA354" s="0" t="n">
        <f aca="false">IF('Master Database'!$A354="",0,IF(AND(OR($B$5="",ISNUMBER(SEARCH($B$5,'Master Database'!$B354&amp;" "&amp;'Master Database'!$D354))),OR($B$6="(All)",'Master Database'!$C354=$B$6),OR($B$7="(All)",'Master Database'!$E354=$B$7),OR($B$8="(All)",'Master Database'!$T354=$B$8),OR($B$9="(All)",'Master Database'!$M354=$B$9),OR($B$10="(All)",'Master Database'!$V354=$B$10),OR($E$5="(All)",'Master Database'!$F354=$E$5),OR($E$6="(All)",'Master Database'!$G354=$E$6),OR($E$7="(All)",'Master Database'!$O354=$E$7),OR($E$8="(All)",'Master Database'!$P354=$E$8),OR($E$9="(All)",'Master Database'!$S354=$E$9),OR($E$10="(All)",'Master Database'!$Y354&amp;""=$E$10&amp;""),OR($H$5="(All)",'Master Database'!$BG354=$H$5),OR($H$6&lt;&gt;"Y",ISNUMBER('Master Database'!$AG354)),OR($H$7="",AND(ISNUMBER('Master Database'!$H354),N('Master Database'!$H354)&gt;=$H$7)),OR($I$7="",AND(ISNUMBER('Master Database'!$H354),N('Master Database'!$H354)&lt;=$I$7)),OR($H$8="",AND(ISNUMBER('Master Database'!$I354),N('Master Database'!$I354)&gt;=$H$8)),OR($I$8="",AND(ISNUMBER('Master Database'!$I354),N('Master Database'!$I354)&lt;=$I$8)),OR($H$9="",AND(ISNUMBER('Master Database'!$K354),N('Master Database'!$K354)&gt;=$H$9)),OR($I$9="",AND(ISNUMBER('Master Database'!$K354),N('Master Database'!$K354)&lt;=$I$9))),1,0))</f>
        <v>0</v>
      </c>
      <c r="BB354" s="0" t="str">
        <f aca="false">IF(BA354=1,COUNTIF($BA$5:BA354,1),"")</f>
        <v/>
      </c>
    </row>
    <row r="355" customFormat="false" ht="15" hidden="false" customHeight="false" outlineLevel="0" collapsed="false">
      <c r="BA355" s="0" t="n">
        <f aca="false">IF('Master Database'!$A355="",0,IF(AND(OR($B$5="",ISNUMBER(SEARCH($B$5,'Master Database'!$B355&amp;" "&amp;'Master Database'!$D355))),OR($B$6="(All)",'Master Database'!$C355=$B$6),OR($B$7="(All)",'Master Database'!$E355=$B$7),OR($B$8="(All)",'Master Database'!$T355=$B$8),OR($B$9="(All)",'Master Database'!$M355=$B$9),OR($B$10="(All)",'Master Database'!$V355=$B$10),OR($E$5="(All)",'Master Database'!$F355=$E$5),OR($E$6="(All)",'Master Database'!$G355=$E$6),OR($E$7="(All)",'Master Database'!$O355=$E$7),OR($E$8="(All)",'Master Database'!$P355=$E$8),OR($E$9="(All)",'Master Database'!$S355=$E$9),OR($E$10="(All)",'Master Database'!$Y355&amp;""=$E$10&amp;""),OR($H$5="(All)",'Master Database'!$BG355=$H$5),OR($H$6&lt;&gt;"Y",ISNUMBER('Master Database'!$AG355)),OR($H$7="",AND(ISNUMBER('Master Database'!$H355),N('Master Database'!$H355)&gt;=$H$7)),OR($I$7="",AND(ISNUMBER('Master Database'!$H355),N('Master Database'!$H355)&lt;=$I$7)),OR($H$8="",AND(ISNUMBER('Master Database'!$I355),N('Master Database'!$I355)&gt;=$H$8)),OR($I$8="",AND(ISNUMBER('Master Database'!$I355),N('Master Database'!$I355)&lt;=$I$8)),OR($H$9="",AND(ISNUMBER('Master Database'!$K355),N('Master Database'!$K355)&gt;=$H$9)),OR($I$9="",AND(ISNUMBER('Master Database'!$K355),N('Master Database'!$K355)&lt;=$I$9))),1,0))</f>
        <v>0</v>
      </c>
      <c r="BB355" s="0" t="str">
        <f aca="false">IF(BA355=1,COUNTIF($BA$5:BA355,1),"")</f>
        <v/>
      </c>
    </row>
    <row r="356" customFormat="false" ht="15" hidden="false" customHeight="false" outlineLevel="0" collapsed="false">
      <c r="BA356" s="0" t="n">
        <f aca="false">IF('Master Database'!$A356="",0,IF(AND(OR($B$5="",ISNUMBER(SEARCH($B$5,'Master Database'!$B356&amp;" "&amp;'Master Database'!$D356))),OR($B$6="(All)",'Master Database'!$C356=$B$6),OR($B$7="(All)",'Master Database'!$E356=$B$7),OR($B$8="(All)",'Master Database'!$T356=$B$8),OR($B$9="(All)",'Master Database'!$M356=$B$9),OR($B$10="(All)",'Master Database'!$V356=$B$10),OR($E$5="(All)",'Master Database'!$F356=$E$5),OR($E$6="(All)",'Master Database'!$G356=$E$6),OR($E$7="(All)",'Master Database'!$O356=$E$7),OR($E$8="(All)",'Master Database'!$P356=$E$8),OR($E$9="(All)",'Master Database'!$S356=$E$9),OR($E$10="(All)",'Master Database'!$Y356&amp;""=$E$10&amp;""),OR($H$5="(All)",'Master Database'!$BG356=$H$5),OR($H$6&lt;&gt;"Y",ISNUMBER('Master Database'!$AG356)),OR($H$7="",AND(ISNUMBER('Master Database'!$H356),N('Master Database'!$H356)&gt;=$H$7)),OR($I$7="",AND(ISNUMBER('Master Database'!$H356),N('Master Database'!$H356)&lt;=$I$7)),OR($H$8="",AND(ISNUMBER('Master Database'!$I356),N('Master Database'!$I356)&gt;=$H$8)),OR($I$8="",AND(ISNUMBER('Master Database'!$I356),N('Master Database'!$I356)&lt;=$I$8)),OR($H$9="",AND(ISNUMBER('Master Database'!$K356),N('Master Database'!$K356)&gt;=$H$9)),OR($I$9="",AND(ISNUMBER('Master Database'!$K356),N('Master Database'!$K356)&lt;=$I$9))),1,0))</f>
        <v>0</v>
      </c>
      <c r="BB356" s="0" t="str">
        <f aca="false">IF(BA356=1,COUNTIF($BA$5:BA356,1),"")</f>
        <v/>
      </c>
    </row>
    <row r="357" customFormat="false" ht="15" hidden="false" customHeight="false" outlineLevel="0" collapsed="false">
      <c r="BA357" s="0" t="n">
        <f aca="false">IF('Master Database'!$A357="",0,IF(AND(OR($B$5="",ISNUMBER(SEARCH($B$5,'Master Database'!$B357&amp;" "&amp;'Master Database'!$D357))),OR($B$6="(All)",'Master Database'!$C357=$B$6),OR($B$7="(All)",'Master Database'!$E357=$B$7),OR($B$8="(All)",'Master Database'!$T357=$B$8),OR($B$9="(All)",'Master Database'!$M357=$B$9),OR($B$10="(All)",'Master Database'!$V357=$B$10),OR($E$5="(All)",'Master Database'!$F357=$E$5),OR($E$6="(All)",'Master Database'!$G357=$E$6),OR($E$7="(All)",'Master Database'!$O357=$E$7),OR($E$8="(All)",'Master Database'!$P357=$E$8),OR($E$9="(All)",'Master Database'!$S357=$E$9),OR($E$10="(All)",'Master Database'!$Y357&amp;""=$E$10&amp;""),OR($H$5="(All)",'Master Database'!$BG357=$H$5),OR($H$6&lt;&gt;"Y",ISNUMBER('Master Database'!$AG357)),OR($H$7="",AND(ISNUMBER('Master Database'!$H357),N('Master Database'!$H357)&gt;=$H$7)),OR($I$7="",AND(ISNUMBER('Master Database'!$H357),N('Master Database'!$H357)&lt;=$I$7)),OR($H$8="",AND(ISNUMBER('Master Database'!$I357),N('Master Database'!$I357)&gt;=$H$8)),OR($I$8="",AND(ISNUMBER('Master Database'!$I357),N('Master Database'!$I357)&lt;=$I$8)),OR($H$9="",AND(ISNUMBER('Master Database'!$K357),N('Master Database'!$K357)&gt;=$H$9)),OR($I$9="",AND(ISNUMBER('Master Database'!$K357),N('Master Database'!$K357)&lt;=$I$9))),1,0))</f>
        <v>0</v>
      </c>
      <c r="BB357" s="0" t="str">
        <f aca="false">IF(BA357=1,COUNTIF($BA$5:BA357,1),"")</f>
        <v/>
      </c>
    </row>
    <row r="358" customFormat="false" ht="15" hidden="false" customHeight="false" outlineLevel="0" collapsed="false">
      <c r="BA358" s="0" t="n">
        <f aca="false">IF('Master Database'!$A358="",0,IF(AND(OR($B$5="",ISNUMBER(SEARCH($B$5,'Master Database'!$B358&amp;" "&amp;'Master Database'!$D358))),OR($B$6="(All)",'Master Database'!$C358=$B$6),OR($B$7="(All)",'Master Database'!$E358=$B$7),OR($B$8="(All)",'Master Database'!$T358=$B$8),OR($B$9="(All)",'Master Database'!$M358=$B$9),OR($B$10="(All)",'Master Database'!$V358=$B$10),OR($E$5="(All)",'Master Database'!$F358=$E$5),OR($E$6="(All)",'Master Database'!$G358=$E$6),OR($E$7="(All)",'Master Database'!$O358=$E$7),OR($E$8="(All)",'Master Database'!$P358=$E$8),OR($E$9="(All)",'Master Database'!$S358=$E$9),OR($E$10="(All)",'Master Database'!$Y358&amp;""=$E$10&amp;""),OR($H$5="(All)",'Master Database'!$BG358=$H$5),OR($H$6&lt;&gt;"Y",ISNUMBER('Master Database'!$AG358)),OR($H$7="",AND(ISNUMBER('Master Database'!$H358),N('Master Database'!$H358)&gt;=$H$7)),OR($I$7="",AND(ISNUMBER('Master Database'!$H358),N('Master Database'!$H358)&lt;=$I$7)),OR($H$8="",AND(ISNUMBER('Master Database'!$I358),N('Master Database'!$I358)&gt;=$H$8)),OR($I$8="",AND(ISNUMBER('Master Database'!$I358),N('Master Database'!$I358)&lt;=$I$8)),OR($H$9="",AND(ISNUMBER('Master Database'!$K358),N('Master Database'!$K358)&gt;=$H$9)),OR($I$9="",AND(ISNUMBER('Master Database'!$K358),N('Master Database'!$K358)&lt;=$I$9))),1,0))</f>
        <v>0</v>
      </c>
      <c r="BB358" s="0" t="str">
        <f aca="false">IF(BA358=1,COUNTIF($BA$5:BA358,1),"")</f>
        <v/>
      </c>
    </row>
    <row r="359" customFormat="false" ht="15" hidden="false" customHeight="false" outlineLevel="0" collapsed="false">
      <c r="BA359" s="0" t="n">
        <f aca="false">IF('Master Database'!$A359="",0,IF(AND(OR($B$5="",ISNUMBER(SEARCH($B$5,'Master Database'!$B359&amp;" "&amp;'Master Database'!$D359))),OR($B$6="(All)",'Master Database'!$C359=$B$6),OR($B$7="(All)",'Master Database'!$E359=$B$7),OR($B$8="(All)",'Master Database'!$T359=$B$8),OR($B$9="(All)",'Master Database'!$M359=$B$9),OR($B$10="(All)",'Master Database'!$V359=$B$10),OR($E$5="(All)",'Master Database'!$F359=$E$5),OR($E$6="(All)",'Master Database'!$G359=$E$6),OR($E$7="(All)",'Master Database'!$O359=$E$7),OR($E$8="(All)",'Master Database'!$P359=$E$8),OR($E$9="(All)",'Master Database'!$S359=$E$9),OR($E$10="(All)",'Master Database'!$Y359&amp;""=$E$10&amp;""),OR($H$5="(All)",'Master Database'!$BG359=$H$5),OR($H$6&lt;&gt;"Y",ISNUMBER('Master Database'!$AG359)),OR($H$7="",AND(ISNUMBER('Master Database'!$H359),N('Master Database'!$H359)&gt;=$H$7)),OR($I$7="",AND(ISNUMBER('Master Database'!$H359),N('Master Database'!$H359)&lt;=$I$7)),OR($H$8="",AND(ISNUMBER('Master Database'!$I359),N('Master Database'!$I359)&gt;=$H$8)),OR($I$8="",AND(ISNUMBER('Master Database'!$I359),N('Master Database'!$I359)&lt;=$I$8)),OR($H$9="",AND(ISNUMBER('Master Database'!$K359),N('Master Database'!$K359)&gt;=$H$9)),OR($I$9="",AND(ISNUMBER('Master Database'!$K359),N('Master Database'!$K359)&lt;=$I$9))),1,0))</f>
        <v>0</v>
      </c>
      <c r="BB359" s="0" t="str">
        <f aca="false">IF(BA359=1,COUNTIF($BA$5:BA359,1),"")</f>
        <v/>
      </c>
    </row>
    <row r="360" customFormat="false" ht="15" hidden="false" customHeight="false" outlineLevel="0" collapsed="false">
      <c r="BA360" s="0" t="n">
        <f aca="false">IF('Master Database'!$A360="",0,IF(AND(OR($B$5="",ISNUMBER(SEARCH($B$5,'Master Database'!$B360&amp;" "&amp;'Master Database'!$D360))),OR($B$6="(All)",'Master Database'!$C360=$B$6),OR($B$7="(All)",'Master Database'!$E360=$B$7),OR($B$8="(All)",'Master Database'!$T360=$B$8),OR($B$9="(All)",'Master Database'!$M360=$B$9),OR($B$10="(All)",'Master Database'!$V360=$B$10),OR($E$5="(All)",'Master Database'!$F360=$E$5),OR($E$6="(All)",'Master Database'!$G360=$E$6),OR($E$7="(All)",'Master Database'!$O360=$E$7),OR($E$8="(All)",'Master Database'!$P360=$E$8),OR($E$9="(All)",'Master Database'!$S360=$E$9),OR($E$10="(All)",'Master Database'!$Y360&amp;""=$E$10&amp;""),OR($H$5="(All)",'Master Database'!$BG360=$H$5),OR($H$6&lt;&gt;"Y",ISNUMBER('Master Database'!$AG360)),OR($H$7="",AND(ISNUMBER('Master Database'!$H360),N('Master Database'!$H360)&gt;=$H$7)),OR($I$7="",AND(ISNUMBER('Master Database'!$H360),N('Master Database'!$H360)&lt;=$I$7)),OR($H$8="",AND(ISNUMBER('Master Database'!$I360),N('Master Database'!$I360)&gt;=$H$8)),OR($I$8="",AND(ISNUMBER('Master Database'!$I360),N('Master Database'!$I360)&lt;=$I$8)),OR($H$9="",AND(ISNUMBER('Master Database'!$K360),N('Master Database'!$K360)&gt;=$H$9)),OR($I$9="",AND(ISNUMBER('Master Database'!$K360),N('Master Database'!$K360)&lt;=$I$9))),1,0))</f>
        <v>0</v>
      </c>
      <c r="BB360" s="0" t="str">
        <f aca="false">IF(BA360=1,COUNTIF($BA$5:BA360,1),"")</f>
        <v/>
      </c>
    </row>
    <row r="361" customFormat="false" ht="15" hidden="false" customHeight="false" outlineLevel="0" collapsed="false">
      <c r="BA361" s="0" t="n">
        <f aca="false">IF('Master Database'!$A361="",0,IF(AND(OR($B$5="",ISNUMBER(SEARCH($B$5,'Master Database'!$B361&amp;" "&amp;'Master Database'!$D361))),OR($B$6="(All)",'Master Database'!$C361=$B$6),OR($B$7="(All)",'Master Database'!$E361=$B$7),OR($B$8="(All)",'Master Database'!$T361=$B$8),OR($B$9="(All)",'Master Database'!$M361=$B$9),OR($B$10="(All)",'Master Database'!$V361=$B$10),OR($E$5="(All)",'Master Database'!$F361=$E$5),OR($E$6="(All)",'Master Database'!$G361=$E$6),OR($E$7="(All)",'Master Database'!$O361=$E$7),OR($E$8="(All)",'Master Database'!$P361=$E$8),OR($E$9="(All)",'Master Database'!$S361=$E$9),OR($E$10="(All)",'Master Database'!$Y361&amp;""=$E$10&amp;""),OR($H$5="(All)",'Master Database'!$BG361=$H$5),OR($H$6&lt;&gt;"Y",ISNUMBER('Master Database'!$AG361)),OR($H$7="",AND(ISNUMBER('Master Database'!$H361),N('Master Database'!$H361)&gt;=$H$7)),OR($I$7="",AND(ISNUMBER('Master Database'!$H361),N('Master Database'!$H361)&lt;=$I$7)),OR($H$8="",AND(ISNUMBER('Master Database'!$I361),N('Master Database'!$I361)&gt;=$H$8)),OR($I$8="",AND(ISNUMBER('Master Database'!$I361),N('Master Database'!$I361)&lt;=$I$8)),OR($H$9="",AND(ISNUMBER('Master Database'!$K361),N('Master Database'!$K361)&gt;=$H$9)),OR($I$9="",AND(ISNUMBER('Master Database'!$K361),N('Master Database'!$K361)&lt;=$I$9))),1,0))</f>
        <v>0</v>
      </c>
      <c r="BB361" s="0" t="str">
        <f aca="false">IF(BA361=1,COUNTIF($BA$5:BA361,1),"")</f>
        <v/>
      </c>
    </row>
    <row r="362" customFormat="false" ht="15" hidden="false" customHeight="false" outlineLevel="0" collapsed="false">
      <c r="BA362" s="0" t="n">
        <f aca="false">IF('Master Database'!$A362="",0,IF(AND(OR($B$5="",ISNUMBER(SEARCH($B$5,'Master Database'!$B362&amp;" "&amp;'Master Database'!$D362))),OR($B$6="(All)",'Master Database'!$C362=$B$6),OR($B$7="(All)",'Master Database'!$E362=$B$7),OR($B$8="(All)",'Master Database'!$T362=$B$8),OR($B$9="(All)",'Master Database'!$M362=$B$9),OR($B$10="(All)",'Master Database'!$V362=$B$10),OR($E$5="(All)",'Master Database'!$F362=$E$5),OR($E$6="(All)",'Master Database'!$G362=$E$6),OR($E$7="(All)",'Master Database'!$O362=$E$7),OR($E$8="(All)",'Master Database'!$P362=$E$8),OR($E$9="(All)",'Master Database'!$S362=$E$9),OR($E$10="(All)",'Master Database'!$Y362&amp;""=$E$10&amp;""),OR($H$5="(All)",'Master Database'!$BG362=$H$5),OR($H$6&lt;&gt;"Y",ISNUMBER('Master Database'!$AG362)),OR($H$7="",AND(ISNUMBER('Master Database'!$H362),N('Master Database'!$H362)&gt;=$H$7)),OR($I$7="",AND(ISNUMBER('Master Database'!$H362),N('Master Database'!$H362)&lt;=$I$7)),OR($H$8="",AND(ISNUMBER('Master Database'!$I362),N('Master Database'!$I362)&gt;=$H$8)),OR($I$8="",AND(ISNUMBER('Master Database'!$I362),N('Master Database'!$I362)&lt;=$I$8)),OR($H$9="",AND(ISNUMBER('Master Database'!$K362),N('Master Database'!$K362)&gt;=$H$9)),OR($I$9="",AND(ISNUMBER('Master Database'!$K362),N('Master Database'!$K362)&lt;=$I$9))),1,0))</f>
        <v>0</v>
      </c>
      <c r="BB362" s="0" t="str">
        <f aca="false">IF(BA362=1,COUNTIF($BA$5:BA362,1),"")</f>
        <v/>
      </c>
    </row>
    <row r="363" customFormat="false" ht="15" hidden="false" customHeight="false" outlineLevel="0" collapsed="false">
      <c r="BA363" s="0" t="n">
        <f aca="false">IF('Master Database'!$A363="",0,IF(AND(OR($B$5="",ISNUMBER(SEARCH($B$5,'Master Database'!$B363&amp;" "&amp;'Master Database'!$D363))),OR($B$6="(All)",'Master Database'!$C363=$B$6),OR($B$7="(All)",'Master Database'!$E363=$B$7),OR($B$8="(All)",'Master Database'!$T363=$B$8),OR($B$9="(All)",'Master Database'!$M363=$B$9),OR($B$10="(All)",'Master Database'!$V363=$B$10),OR($E$5="(All)",'Master Database'!$F363=$E$5),OR($E$6="(All)",'Master Database'!$G363=$E$6),OR($E$7="(All)",'Master Database'!$O363=$E$7),OR($E$8="(All)",'Master Database'!$P363=$E$8),OR($E$9="(All)",'Master Database'!$S363=$E$9),OR($E$10="(All)",'Master Database'!$Y363&amp;""=$E$10&amp;""),OR($H$5="(All)",'Master Database'!$BG363=$H$5),OR($H$6&lt;&gt;"Y",ISNUMBER('Master Database'!$AG363)),OR($H$7="",AND(ISNUMBER('Master Database'!$H363),N('Master Database'!$H363)&gt;=$H$7)),OR($I$7="",AND(ISNUMBER('Master Database'!$H363),N('Master Database'!$H363)&lt;=$I$7)),OR($H$8="",AND(ISNUMBER('Master Database'!$I363),N('Master Database'!$I363)&gt;=$H$8)),OR($I$8="",AND(ISNUMBER('Master Database'!$I363),N('Master Database'!$I363)&lt;=$I$8)),OR($H$9="",AND(ISNUMBER('Master Database'!$K363),N('Master Database'!$K363)&gt;=$H$9)),OR($I$9="",AND(ISNUMBER('Master Database'!$K363),N('Master Database'!$K363)&lt;=$I$9))),1,0))</f>
        <v>0</v>
      </c>
      <c r="BB363" s="0" t="str">
        <f aca="false">IF(BA363=1,COUNTIF($BA$5:BA363,1),"")</f>
        <v/>
      </c>
    </row>
    <row r="364" customFormat="false" ht="15" hidden="false" customHeight="false" outlineLevel="0" collapsed="false">
      <c r="BA364" s="0" t="n">
        <f aca="false">IF('Master Database'!$A364="",0,IF(AND(OR($B$5="",ISNUMBER(SEARCH($B$5,'Master Database'!$B364&amp;" "&amp;'Master Database'!$D364))),OR($B$6="(All)",'Master Database'!$C364=$B$6),OR($B$7="(All)",'Master Database'!$E364=$B$7),OR($B$8="(All)",'Master Database'!$T364=$B$8),OR($B$9="(All)",'Master Database'!$M364=$B$9),OR($B$10="(All)",'Master Database'!$V364=$B$10),OR($E$5="(All)",'Master Database'!$F364=$E$5),OR($E$6="(All)",'Master Database'!$G364=$E$6),OR($E$7="(All)",'Master Database'!$O364=$E$7),OR($E$8="(All)",'Master Database'!$P364=$E$8),OR($E$9="(All)",'Master Database'!$S364=$E$9),OR($E$10="(All)",'Master Database'!$Y364&amp;""=$E$10&amp;""),OR($H$5="(All)",'Master Database'!$BG364=$H$5),OR($H$6&lt;&gt;"Y",ISNUMBER('Master Database'!$AG364)),OR($H$7="",AND(ISNUMBER('Master Database'!$H364),N('Master Database'!$H364)&gt;=$H$7)),OR($I$7="",AND(ISNUMBER('Master Database'!$H364),N('Master Database'!$H364)&lt;=$I$7)),OR($H$8="",AND(ISNUMBER('Master Database'!$I364),N('Master Database'!$I364)&gt;=$H$8)),OR($I$8="",AND(ISNUMBER('Master Database'!$I364),N('Master Database'!$I364)&lt;=$I$8)),OR($H$9="",AND(ISNUMBER('Master Database'!$K364),N('Master Database'!$K364)&gt;=$H$9)),OR($I$9="",AND(ISNUMBER('Master Database'!$K364),N('Master Database'!$K364)&lt;=$I$9))),1,0))</f>
        <v>0</v>
      </c>
      <c r="BB364" s="0" t="str">
        <f aca="false">IF(BA364=1,COUNTIF($BA$5:BA364,1),"")</f>
        <v/>
      </c>
    </row>
    <row r="365" customFormat="false" ht="15" hidden="false" customHeight="false" outlineLevel="0" collapsed="false">
      <c r="BA365" s="0" t="n">
        <f aca="false">IF('Master Database'!$A365="",0,IF(AND(OR($B$5="",ISNUMBER(SEARCH($B$5,'Master Database'!$B365&amp;" "&amp;'Master Database'!$D365))),OR($B$6="(All)",'Master Database'!$C365=$B$6),OR($B$7="(All)",'Master Database'!$E365=$B$7),OR($B$8="(All)",'Master Database'!$T365=$B$8),OR($B$9="(All)",'Master Database'!$M365=$B$9),OR($B$10="(All)",'Master Database'!$V365=$B$10),OR($E$5="(All)",'Master Database'!$F365=$E$5),OR($E$6="(All)",'Master Database'!$G365=$E$6),OR($E$7="(All)",'Master Database'!$O365=$E$7),OR($E$8="(All)",'Master Database'!$P365=$E$8),OR($E$9="(All)",'Master Database'!$S365=$E$9),OR($E$10="(All)",'Master Database'!$Y365&amp;""=$E$10&amp;""),OR($H$5="(All)",'Master Database'!$BG365=$H$5),OR($H$6&lt;&gt;"Y",ISNUMBER('Master Database'!$AG365)),OR($H$7="",AND(ISNUMBER('Master Database'!$H365),N('Master Database'!$H365)&gt;=$H$7)),OR($I$7="",AND(ISNUMBER('Master Database'!$H365),N('Master Database'!$H365)&lt;=$I$7)),OR($H$8="",AND(ISNUMBER('Master Database'!$I365),N('Master Database'!$I365)&gt;=$H$8)),OR($I$8="",AND(ISNUMBER('Master Database'!$I365),N('Master Database'!$I365)&lt;=$I$8)),OR($H$9="",AND(ISNUMBER('Master Database'!$K365),N('Master Database'!$K365)&gt;=$H$9)),OR($I$9="",AND(ISNUMBER('Master Database'!$K365),N('Master Database'!$K365)&lt;=$I$9))),1,0))</f>
        <v>0</v>
      </c>
      <c r="BB365" s="0" t="str">
        <f aca="false">IF(BA365=1,COUNTIF($BA$5:BA365,1),"")</f>
        <v/>
      </c>
    </row>
    <row r="366" customFormat="false" ht="15" hidden="false" customHeight="false" outlineLevel="0" collapsed="false">
      <c r="BA366" s="0" t="n">
        <f aca="false">IF('Master Database'!$A366="",0,IF(AND(OR($B$5="",ISNUMBER(SEARCH($B$5,'Master Database'!$B366&amp;" "&amp;'Master Database'!$D366))),OR($B$6="(All)",'Master Database'!$C366=$B$6),OR($B$7="(All)",'Master Database'!$E366=$B$7),OR($B$8="(All)",'Master Database'!$T366=$B$8),OR($B$9="(All)",'Master Database'!$M366=$B$9),OR($B$10="(All)",'Master Database'!$V366=$B$10),OR($E$5="(All)",'Master Database'!$F366=$E$5),OR($E$6="(All)",'Master Database'!$G366=$E$6),OR($E$7="(All)",'Master Database'!$O366=$E$7),OR($E$8="(All)",'Master Database'!$P366=$E$8),OR($E$9="(All)",'Master Database'!$S366=$E$9),OR($E$10="(All)",'Master Database'!$Y366&amp;""=$E$10&amp;""),OR($H$5="(All)",'Master Database'!$BG366=$H$5),OR($H$6&lt;&gt;"Y",ISNUMBER('Master Database'!$AG366)),OR($H$7="",AND(ISNUMBER('Master Database'!$H366),N('Master Database'!$H366)&gt;=$H$7)),OR($I$7="",AND(ISNUMBER('Master Database'!$H366),N('Master Database'!$H366)&lt;=$I$7)),OR($H$8="",AND(ISNUMBER('Master Database'!$I366),N('Master Database'!$I366)&gt;=$H$8)),OR($I$8="",AND(ISNUMBER('Master Database'!$I366),N('Master Database'!$I366)&lt;=$I$8)),OR($H$9="",AND(ISNUMBER('Master Database'!$K366),N('Master Database'!$K366)&gt;=$H$9)),OR($I$9="",AND(ISNUMBER('Master Database'!$K366),N('Master Database'!$K366)&lt;=$I$9))),1,0))</f>
        <v>0</v>
      </c>
      <c r="BB366" s="0" t="str">
        <f aca="false">IF(BA366=1,COUNTIF($BA$5:BA366,1),"")</f>
        <v/>
      </c>
    </row>
    <row r="367" customFormat="false" ht="15" hidden="false" customHeight="false" outlineLevel="0" collapsed="false">
      <c r="BA367" s="0" t="n">
        <f aca="false">IF('Master Database'!$A367="",0,IF(AND(OR($B$5="",ISNUMBER(SEARCH($B$5,'Master Database'!$B367&amp;" "&amp;'Master Database'!$D367))),OR($B$6="(All)",'Master Database'!$C367=$B$6),OR($B$7="(All)",'Master Database'!$E367=$B$7),OR($B$8="(All)",'Master Database'!$T367=$B$8),OR($B$9="(All)",'Master Database'!$M367=$B$9),OR($B$10="(All)",'Master Database'!$V367=$B$10),OR($E$5="(All)",'Master Database'!$F367=$E$5),OR($E$6="(All)",'Master Database'!$G367=$E$6),OR($E$7="(All)",'Master Database'!$O367=$E$7),OR($E$8="(All)",'Master Database'!$P367=$E$8),OR($E$9="(All)",'Master Database'!$S367=$E$9),OR($E$10="(All)",'Master Database'!$Y367&amp;""=$E$10&amp;""),OR($H$5="(All)",'Master Database'!$BG367=$H$5),OR($H$6&lt;&gt;"Y",ISNUMBER('Master Database'!$AG367)),OR($H$7="",AND(ISNUMBER('Master Database'!$H367),N('Master Database'!$H367)&gt;=$H$7)),OR($I$7="",AND(ISNUMBER('Master Database'!$H367),N('Master Database'!$H367)&lt;=$I$7)),OR($H$8="",AND(ISNUMBER('Master Database'!$I367),N('Master Database'!$I367)&gt;=$H$8)),OR($I$8="",AND(ISNUMBER('Master Database'!$I367),N('Master Database'!$I367)&lt;=$I$8)),OR($H$9="",AND(ISNUMBER('Master Database'!$K367),N('Master Database'!$K367)&gt;=$H$9)),OR($I$9="",AND(ISNUMBER('Master Database'!$K367),N('Master Database'!$K367)&lt;=$I$9))),1,0))</f>
        <v>0</v>
      </c>
      <c r="BB367" s="0" t="str">
        <f aca="false">IF(BA367=1,COUNTIF($BA$5:BA367,1),"")</f>
        <v/>
      </c>
    </row>
    <row r="368" customFormat="false" ht="15" hidden="false" customHeight="false" outlineLevel="0" collapsed="false">
      <c r="BA368" s="0" t="n">
        <f aca="false">IF('Master Database'!$A368="",0,IF(AND(OR($B$5="",ISNUMBER(SEARCH($B$5,'Master Database'!$B368&amp;" "&amp;'Master Database'!$D368))),OR($B$6="(All)",'Master Database'!$C368=$B$6),OR($B$7="(All)",'Master Database'!$E368=$B$7),OR($B$8="(All)",'Master Database'!$T368=$B$8),OR($B$9="(All)",'Master Database'!$M368=$B$9),OR($B$10="(All)",'Master Database'!$V368=$B$10),OR($E$5="(All)",'Master Database'!$F368=$E$5),OR($E$6="(All)",'Master Database'!$G368=$E$6),OR($E$7="(All)",'Master Database'!$O368=$E$7),OR($E$8="(All)",'Master Database'!$P368=$E$8),OR($E$9="(All)",'Master Database'!$S368=$E$9),OR($E$10="(All)",'Master Database'!$Y368&amp;""=$E$10&amp;""),OR($H$5="(All)",'Master Database'!$BG368=$H$5),OR($H$6&lt;&gt;"Y",ISNUMBER('Master Database'!$AG368)),OR($H$7="",AND(ISNUMBER('Master Database'!$H368),N('Master Database'!$H368)&gt;=$H$7)),OR($I$7="",AND(ISNUMBER('Master Database'!$H368),N('Master Database'!$H368)&lt;=$I$7)),OR($H$8="",AND(ISNUMBER('Master Database'!$I368),N('Master Database'!$I368)&gt;=$H$8)),OR($I$8="",AND(ISNUMBER('Master Database'!$I368),N('Master Database'!$I368)&lt;=$I$8)),OR($H$9="",AND(ISNUMBER('Master Database'!$K368),N('Master Database'!$K368)&gt;=$H$9)),OR($I$9="",AND(ISNUMBER('Master Database'!$K368),N('Master Database'!$K368)&lt;=$I$9))),1,0))</f>
        <v>0</v>
      </c>
      <c r="BB368" s="0" t="str">
        <f aca="false">IF(BA368=1,COUNTIF($BA$5:BA368,1),"")</f>
        <v/>
      </c>
    </row>
    <row r="369" customFormat="false" ht="15" hidden="false" customHeight="false" outlineLevel="0" collapsed="false">
      <c r="BA369" s="0" t="n">
        <f aca="false">IF('Master Database'!$A369="",0,IF(AND(OR($B$5="",ISNUMBER(SEARCH($B$5,'Master Database'!$B369&amp;" "&amp;'Master Database'!$D369))),OR($B$6="(All)",'Master Database'!$C369=$B$6),OR($B$7="(All)",'Master Database'!$E369=$B$7),OR($B$8="(All)",'Master Database'!$T369=$B$8),OR($B$9="(All)",'Master Database'!$M369=$B$9),OR($B$10="(All)",'Master Database'!$V369=$B$10),OR($E$5="(All)",'Master Database'!$F369=$E$5),OR($E$6="(All)",'Master Database'!$G369=$E$6),OR($E$7="(All)",'Master Database'!$O369=$E$7),OR($E$8="(All)",'Master Database'!$P369=$E$8),OR($E$9="(All)",'Master Database'!$S369=$E$9),OR($E$10="(All)",'Master Database'!$Y369&amp;""=$E$10&amp;""),OR($H$5="(All)",'Master Database'!$BG369=$H$5),OR($H$6&lt;&gt;"Y",ISNUMBER('Master Database'!$AG369)),OR($H$7="",AND(ISNUMBER('Master Database'!$H369),N('Master Database'!$H369)&gt;=$H$7)),OR($I$7="",AND(ISNUMBER('Master Database'!$H369),N('Master Database'!$H369)&lt;=$I$7)),OR($H$8="",AND(ISNUMBER('Master Database'!$I369),N('Master Database'!$I369)&gt;=$H$8)),OR($I$8="",AND(ISNUMBER('Master Database'!$I369),N('Master Database'!$I369)&lt;=$I$8)),OR($H$9="",AND(ISNUMBER('Master Database'!$K369),N('Master Database'!$K369)&gt;=$H$9)),OR($I$9="",AND(ISNUMBER('Master Database'!$K369),N('Master Database'!$K369)&lt;=$I$9))),1,0))</f>
        <v>0</v>
      </c>
      <c r="BB369" s="0" t="str">
        <f aca="false">IF(BA369=1,COUNTIF($BA$5:BA369,1),"")</f>
        <v/>
      </c>
    </row>
    <row r="370" customFormat="false" ht="15" hidden="false" customHeight="false" outlineLevel="0" collapsed="false">
      <c r="BA370" s="0" t="n">
        <f aca="false">IF('Master Database'!$A370="",0,IF(AND(OR($B$5="",ISNUMBER(SEARCH($B$5,'Master Database'!$B370&amp;" "&amp;'Master Database'!$D370))),OR($B$6="(All)",'Master Database'!$C370=$B$6),OR($B$7="(All)",'Master Database'!$E370=$B$7),OR($B$8="(All)",'Master Database'!$T370=$B$8),OR($B$9="(All)",'Master Database'!$M370=$B$9),OR($B$10="(All)",'Master Database'!$V370=$B$10),OR($E$5="(All)",'Master Database'!$F370=$E$5),OR($E$6="(All)",'Master Database'!$G370=$E$6),OR($E$7="(All)",'Master Database'!$O370=$E$7),OR($E$8="(All)",'Master Database'!$P370=$E$8),OR($E$9="(All)",'Master Database'!$S370=$E$9),OR($E$10="(All)",'Master Database'!$Y370&amp;""=$E$10&amp;""),OR($H$5="(All)",'Master Database'!$BG370=$H$5),OR($H$6&lt;&gt;"Y",ISNUMBER('Master Database'!$AG370)),OR($H$7="",AND(ISNUMBER('Master Database'!$H370),N('Master Database'!$H370)&gt;=$H$7)),OR($I$7="",AND(ISNUMBER('Master Database'!$H370),N('Master Database'!$H370)&lt;=$I$7)),OR($H$8="",AND(ISNUMBER('Master Database'!$I370),N('Master Database'!$I370)&gt;=$H$8)),OR($I$8="",AND(ISNUMBER('Master Database'!$I370),N('Master Database'!$I370)&lt;=$I$8)),OR($H$9="",AND(ISNUMBER('Master Database'!$K370),N('Master Database'!$K370)&gt;=$H$9)),OR($I$9="",AND(ISNUMBER('Master Database'!$K370),N('Master Database'!$K370)&lt;=$I$9))),1,0))</f>
        <v>0</v>
      </c>
      <c r="BB370" s="0" t="str">
        <f aca="false">IF(BA370=1,COUNTIF($BA$5:BA370,1),"")</f>
        <v/>
      </c>
    </row>
    <row r="371" customFormat="false" ht="15" hidden="false" customHeight="false" outlineLevel="0" collapsed="false">
      <c r="BA371" s="0" t="n">
        <f aca="false">IF('Master Database'!$A371="",0,IF(AND(OR($B$5="",ISNUMBER(SEARCH($B$5,'Master Database'!$B371&amp;" "&amp;'Master Database'!$D371))),OR($B$6="(All)",'Master Database'!$C371=$B$6),OR($B$7="(All)",'Master Database'!$E371=$B$7),OR($B$8="(All)",'Master Database'!$T371=$B$8),OR($B$9="(All)",'Master Database'!$M371=$B$9),OR($B$10="(All)",'Master Database'!$V371=$B$10),OR($E$5="(All)",'Master Database'!$F371=$E$5),OR($E$6="(All)",'Master Database'!$G371=$E$6),OR($E$7="(All)",'Master Database'!$O371=$E$7),OR($E$8="(All)",'Master Database'!$P371=$E$8),OR($E$9="(All)",'Master Database'!$S371=$E$9),OR($E$10="(All)",'Master Database'!$Y371&amp;""=$E$10&amp;""),OR($H$5="(All)",'Master Database'!$BG371=$H$5),OR($H$6&lt;&gt;"Y",ISNUMBER('Master Database'!$AG371)),OR($H$7="",AND(ISNUMBER('Master Database'!$H371),N('Master Database'!$H371)&gt;=$H$7)),OR($I$7="",AND(ISNUMBER('Master Database'!$H371),N('Master Database'!$H371)&lt;=$I$7)),OR($H$8="",AND(ISNUMBER('Master Database'!$I371),N('Master Database'!$I371)&gt;=$H$8)),OR($I$8="",AND(ISNUMBER('Master Database'!$I371),N('Master Database'!$I371)&lt;=$I$8)),OR($H$9="",AND(ISNUMBER('Master Database'!$K371),N('Master Database'!$K371)&gt;=$H$9)),OR($I$9="",AND(ISNUMBER('Master Database'!$K371),N('Master Database'!$K371)&lt;=$I$9))),1,0))</f>
        <v>0</v>
      </c>
      <c r="BB371" s="0" t="str">
        <f aca="false">IF(BA371=1,COUNTIF($BA$5:BA371,1),"")</f>
        <v/>
      </c>
    </row>
    <row r="372" customFormat="false" ht="15" hidden="false" customHeight="false" outlineLevel="0" collapsed="false">
      <c r="BA372" s="0" t="n">
        <f aca="false">IF('Master Database'!$A372="",0,IF(AND(OR($B$5="",ISNUMBER(SEARCH($B$5,'Master Database'!$B372&amp;" "&amp;'Master Database'!$D372))),OR($B$6="(All)",'Master Database'!$C372=$B$6),OR($B$7="(All)",'Master Database'!$E372=$B$7),OR($B$8="(All)",'Master Database'!$T372=$B$8),OR($B$9="(All)",'Master Database'!$M372=$B$9),OR($B$10="(All)",'Master Database'!$V372=$B$10),OR($E$5="(All)",'Master Database'!$F372=$E$5),OR($E$6="(All)",'Master Database'!$G372=$E$6),OR($E$7="(All)",'Master Database'!$O372=$E$7),OR($E$8="(All)",'Master Database'!$P372=$E$8),OR($E$9="(All)",'Master Database'!$S372=$E$9),OR($E$10="(All)",'Master Database'!$Y372&amp;""=$E$10&amp;""),OR($H$5="(All)",'Master Database'!$BG372=$H$5),OR($H$6&lt;&gt;"Y",ISNUMBER('Master Database'!$AG372)),OR($H$7="",AND(ISNUMBER('Master Database'!$H372),N('Master Database'!$H372)&gt;=$H$7)),OR($I$7="",AND(ISNUMBER('Master Database'!$H372),N('Master Database'!$H372)&lt;=$I$7)),OR($H$8="",AND(ISNUMBER('Master Database'!$I372),N('Master Database'!$I372)&gt;=$H$8)),OR($I$8="",AND(ISNUMBER('Master Database'!$I372),N('Master Database'!$I372)&lt;=$I$8)),OR($H$9="",AND(ISNUMBER('Master Database'!$K372),N('Master Database'!$K372)&gt;=$H$9)),OR($I$9="",AND(ISNUMBER('Master Database'!$K372),N('Master Database'!$K372)&lt;=$I$9))),1,0))</f>
        <v>0</v>
      </c>
      <c r="BB372" s="0" t="str">
        <f aca="false">IF(BA372=1,COUNTIF($BA$5:BA372,1),"")</f>
        <v/>
      </c>
    </row>
    <row r="373" customFormat="false" ht="15" hidden="false" customHeight="false" outlineLevel="0" collapsed="false">
      <c r="BA373" s="0" t="n">
        <f aca="false">IF('Master Database'!$A373="",0,IF(AND(OR($B$5="",ISNUMBER(SEARCH($B$5,'Master Database'!$B373&amp;" "&amp;'Master Database'!$D373))),OR($B$6="(All)",'Master Database'!$C373=$B$6),OR($B$7="(All)",'Master Database'!$E373=$B$7),OR($B$8="(All)",'Master Database'!$T373=$B$8),OR($B$9="(All)",'Master Database'!$M373=$B$9),OR($B$10="(All)",'Master Database'!$V373=$B$10),OR($E$5="(All)",'Master Database'!$F373=$E$5),OR($E$6="(All)",'Master Database'!$G373=$E$6),OR($E$7="(All)",'Master Database'!$O373=$E$7),OR($E$8="(All)",'Master Database'!$P373=$E$8),OR($E$9="(All)",'Master Database'!$S373=$E$9),OR($E$10="(All)",'Master Database'!$Y373&amp;""=$E$10&amp;""),OR($H$5="(All)",'Master Database'!$BG373=$H$5),OR($H$6&lt;&gt;"Y",ISNUMBER('Master Database'!$AG373)),OR($H$7="",AND(ISNUMBER('Master Database'!$H373),N('Master Database'!$H373)&gt;=$H$7)),OR($I$7="",AND(ISNUMBER('Master Database'!$H373),N('Master Database'!$H373)&lt;=$I$7)),OR($H$8="",AND(ISNUMBER('Master Database'!$I373),N('Master Database'!$I373)&gt;=$H$8)),OR($I$8="",AND(ISNUMBER('Master Database'!$I373),N('Master Database'!$I373)&lt;=$I$8)),OR($H$9="",AND(ISNUMBER('Master Database'!$K373),N('Master Database'!$K373)&gt;=$H$9)),OR($I$9="",AND(ISNUMBER('Master Database'!$K373),N('Master Database'!$K373)&lt;=$I$9))),1,0))</f>
        <v>0</v>
      </c>
      <c r="BB373" s="0" t="str">
        <f aca="false">IF(BA373=1,COUNTIF($BA$5:BA373,1),"")</f>
        <v/>
      </c>
    </row>
    <row r="374" customFormat="false" ht="15" hidden="false" customHeight="false" outlineLevel="0" collapsed="false">
      <c r="BA374" s="0" t="n">
        <f aca="false">IF('Master Database'!$A374="",0,IF(AND(OR($B$5="",ISNUMBER(SEARCH($B$5,'Master Database'!$B374&amp;" "&amp;'Master Database'!$D374))),OR($B$6="(All)",'Master Database'!$C374=$B$6),OR($B$7="(All)",'Master Database'!$E374=$B$7),OR($B$8="(All)",'Master Database'!$T374=$B$8),OR($B$9="(All)",'Master Database'!$M374=$B$9),OR($B$10="(All)",'Master Database'!$V374=$B$10),OR($E$5="(All)",'Master Database'!$F374=$E$5),OR($E$6="(All)",'Master Database'!$G374=$E$6),OR($E$7="(All)",'Master Database'!$O374=$E$7),OR($E$8="(All)",'Master Database'!$P374=$E$8),OR($E$9="(All)",'Master Database'!$S374=$E$9),OR($E$10="(All)",'Master Database'!$Y374&amp;""=$E$10&amp;""),OR($H$5="(All)",'Master Database'!$BG374=$H$5),OR($H$6&lt;&gt;"Y",ISNUMBER('Master Database'!$AG374)),OR($H$7="",AND(ISNUMBER('Master Database'!$H374),N('Master Database'!$H374)&gt;=$H$7)),OR($I$7="",AND(ISNUMBER('Master Database'!$H374),N('Master Database'!$H374)&lt;=$I$7)),OR($H$8="",AND(ISNUMBER('Master Database'!$I374),N('Master Database'!$I374)&gt;=$H$8)),OR($I$8="",AND(ISNUMBER('Master Database'!$I374),N('Master Database'!$I374)&lt;=$I$8)),OR($H$9="",AND(ISNUMBER('Master Database'!$K374),N('Master Database'!$K374)&gt;=$H$9)),OR($I$9="",AND(ISNUMBER('Master Database'!$K374),N('Master Database'!$K374)&lt;=$I$9))),1,0))</f>
        <v>0</v>
      </c>
      <c r="BB374" s="0" t="str">
        <f aca="false">IF(BA374=1,COUNTIF($BA$5:BA374,1),"")</f>
        <v/>
      </c>
    </row>
    <row r="375" customFormat="false" ht="15" hidden="false" customHeight="false" outlineLevel="0" collapsed="false">
      <c r="BA375" s="0" t="n">
        <f aca="false">IF('Master Database'!$A375="",0,IF(AND(OR($B$5="",ISNUMBER(SEARCH($B$5,'Master Database'!$B375&amp;" "&amp;'Master Database'!$D375))),OR($B$6="(All)",'Master Database'!$C375=$B$6),OR($B$7="(All)",'Master Database'!$E375=$B$7),OR($B$8="(All)",'Master Database'!$T375=$B$8),OR($B$9="(All)",'Master Database'!$M375=$B$9),OR($B$10="(All)",'Master Database'!$V375=$B$10),OR($E$5="(All)",'Master Database'!$F375=$E$5),OR($E$6="(All)",'Master Database'!$G375=$E$6),OR($E$7="(All)",'Master Database'!$O375=$E$7),OR($E$8="(All)",'Master Database'!$P375=$E$8),OR($E$9="(All)",'Master Database'!$S375=$E$9),OR($E$10="(All)",'Master Database'!$Y375&amp;""=$E$10&amp;""),OR($H$5="(All)",'Master Database'!$BG375=$H$5),OR($H$6&lt;&gt;"Y",ISNUMBER('Master Database'!$AG375)),OR($H$7="",AND(ISNUMBER('Master Database'!$H375),N('Master Database'!$H375)&gt;=$H$7)),OR($I$7="",AND(ISNUMBER('Master Database'!$H375),N('Master Database'!$H375)&lt;=$I$7)),OR($H$8="",AND(ISNUMBER('Master Database'!$I375),N('Master Database'!$I375)&gt;=$H$8)),OR($I$8="",AND(ISNUMBER('Master Database'!$I375),N('Master Database'!$I375)&lt;=$I$8)),OR($H$9="",AND(ISNUMBER('Master Database'!$K375),N('Master Database'!$K375)&gt;=$H$9)),OR($I$9="",AND(ISNUMBER('Master Database'!$K375),N('Master Database'!$K375)&lt;=$I$9))),1,0))</f>
        <v>0</v>
      </c>
      <c r="BB375" s="0" t="str">
        <f aca="false">IF(BA375=1,COUNTIF($BA$5:BA375,1),"")</f>
        <v/>
      </c>
    </row>
    <row r="376" customFormat="false" ht="15" hidden="false" customHeight="false" outlineLevel="0" collapsed="false">
      <c r="BA376" s="0" t="n">
        <f aca="false">IF('Master Database'!$A376="",0,IF(AND(OR($B$5="",ISNUMBER(SEARCH($B$5,'Master Database'!$B376&amp;" "&amp;'Master Database'!$D376))),OR($B$6="(All)",'Master Database'!$C376=$B$6),OR($B$7="(All)",'Master Database'!$E376=$B$7),OR($B$8="(All)",'Master Database'!$T376=$B$8),OR($B$9="(All)",'Master Database'!$M376=$B$9),OR($B$10="(All)",'Master Database'!$V376=$B$10),OR($E$5="(All)",'Master Database'!$F376=$E$5),OR($E$6="(All)",'Master Database'!$G376=$E$6),OR($E$7="(All)",'Master Database'!$O376=$E$7),OR($E$8="(All)",'Master Database'!$P376=$E$8),OR($E$9="(All)",'Master Database'!$S376=$E$9),OR($E$10="(All)",'Master Database'!$Y376&amp;""=$E$10&amp;""),OR($H$5="(All)",'Master Database'!$BG376=$H$5),OR($H$6&lt;&gt;"Y",ISNUMBER('Master Database'!$AG376)),OR($H$7="",AND(ISNUMBER('Master Database'!$H376),N('Master Database'!$H376)&gt;=$H$7)),OR($I$7="",AND(ISNUMBER('Master Database'!$H376),N('Master Database'!$H376)&lt;=$I$7)),OR($H$8="",AND(ISNUMBER('Master Database'!$I376),N('Master Database'!$I376)&gt;=$H$8)),OR($I$8="",AND(ISNUMBER('Master Database'!$I376),N('Master Database'!$I376)&lt;=$I$8)),OR($H$9="",AND(ISNUMBER('Master Database'!$K376),N('Master Database'!$K376)&gt;=$H$9)),OR($I$9="",AND(ISNUMBER('Master Database'!$K376),N('Master Database'!$K376)&lt;=$I$9))),1,0))</f>
        <v>0</v>
      </c>
      <c r="BB376" s="0" t="str">
        <f aca="false">IF(BA376=1,COUNTIF($BA$5:BA376,1),"")</f>
        <v/>
      </c>
    </row>
    <row r="377" customFormat="false" ht="15" hidden="false" customHeight="false" outlineLevel="0" collapsed="false">
      <c r="BA377" s="0" t="n">
        <f aca="false">IF('Master Database'!$A377="",0,IF(AND(OR($B$5="",ISNUMBER(SEARCH($B$5,'Master Database'!$B377&amp;" "&amp;'Master Database'!$D377))),OR($B$6="(All)",'Master Database'!$C377=$B$6),OR($B$7="(All)",'Master Database'!$E377=$B$7),OR($B$8="(All)",'Master Database'!$T377=$B$8),OR($B$9="(All)",'Master Database'!$M377=$B$9),OR($B$10="(All)",'Master Database'!$V377=$B$10),OR($E$5="(All)",'Master Database'!$F377=$E$5),OR($E$6="(All)",'Master Database'!$G377=$E$6),OR($E$7="(All)",'Master Database'!$O377=$E$7),OR($E$8="(All)",'Master Database'!$P377=$E$8),OR($E$9="(All)",'Master Database'!$S377=$E$9),OR($E$10="(All)",'Master Database'!$Y377&amp;""=$E$10&amp;""),OR($H$5="(All)",'Master Database'!$BG377=$H$5),OR($H$6&lt;&gt;"Y",ISNUMBER('Master Database'!$AG377)),OR($H$7="",AND(ISNUMBER('Master Database'!$H377),N('Master Database'!$H377)&gt;=$H$7)),OR($I$7="",AND(ISNUMBER('Master Database'!$H377),N('Master Database'!$H377)&lt;=$I$7)),OR($H$8="",AND(ISNUMBER('Master Database'!$I377),N('Master Database'!$I377)&gt;=$H$8)),OR($I$8="",AND(ISNUMBER('Master Database'!$I377),N('Master Database'!$I377)&lt;=$I$8)),OR($H$9="",AND(ISNUMBER('Master Database'!$K377),N('Master Database'!$K377)&gt;=$H$9)),OR($I$9="",AND(ISNUMBER('Master Database'!$K377),N('Master Database'!$K377)&lt;=$I$9))),1,0))</f>
        <v>0</v>
      </c>
      <c r="BB377" s="0" t="str">
        <f aca="false">IF(BA377=1,COUNTIF($BA$5:BA377,1),"")</f>
        <v/>
      </c>
    </row>
    <row r="378" customFormat="false" ht="15" hidden="false" customHeight="false" outlineLevel="0" collapsed="false">
      <c r="BA378" s="0" t="n">
        <f aca="false">IF('Master Database'!$A378="",0,IF(AND(OR($B$5="",ISNUMBER(SEARCH($B$5,'Master Database'!$B378&amp;" "&amp;'Master Database'!$D378))),OR($B$6="(All)",'Master Database'!$C378=$B$6),OR($B$7="(All)",'Master Database'!$E378=$B$7),OR($B$8="(All)",'Master Database'!$T378=$B$8),OR($B$9="(All)",'Master Database'!$M378=$B$9),OR($B$10="(All)",'Master Database'!$V378=$B$10),OR($E$5="(All)",'Master Database'!$F378=$E$5),OR($E$6="(All)",'Master Database'!$G378=$E$6),OR($E$7="(All)",'Master Database'!$O378=$E$7),OR($E$8="(All)",'Master Database'!$P378=$E$8),OR($E$9="(All)",'Master Database'!$S378=$E$9),OR($E$10="(All)",'Master Database'!$Y378&amp;""=$E$10&amp;""),OR($H$5="(All)",'Master Database'!$BG378=$H$5),OR($H$6&lt;&gt;"Y",ISNUMBER('Master Database'!$AG378)),OR($H$7="",AND(ISNUMBER('Master Database'!$H378),N('Master Database'!$H378)&gt;=$H$7)),OR($I$7="",AND(ISNUMBER('Master Database'!$H378),N('Master Database'!$H378)&lt;=$I$7)),OR($H$8="",AND(ISNUMBER('Master Database'!$I378),N('Master Database'!$I378)&gt;=$H$8)),OR($I$8="",AND(ISNUMBER('Master Database'!$I378),N('Master Database'!$I378)&lt;=$I$8)),OR($H$9="",AND(ISNUMBER('Master Database'!$K378),N('Master Database'!$K378)&gt;=$H$9)),OR($I$9="",AND(ISNUMBER('Master Database'!$K378),N('Master Database'!$K378)&lt;=$I$9))),1,0))</f>
        <v>0</v>
      </c>
      <c r="BB378" s="0" t="str">
        <f aca="false">IF(BA378=1,COUNTIF($BA$5:BA378,1),"")</f>
        <v/>
      </c>
    </row>
    <row r="379" customFormat="false" ht="15" hidden="false" customHeight="false" outlineLevel="0" collapsed="false">
      <c r="BA379" s="0" t="n">
        <f aca="false">IF('Master Database'!$A379="",0,IF(AND(OR($B$5="",ISNUMBER(SEARCH($B$5,'Master Database'!$B379&amp;" "&amp;'Master Database'!$D379))),OR($B$6="(All)",'Master Database'!$C379=$B$6),OR($B$7="(All)",'Master Database'!$E379=$B$7),OR($B$8="(All)",'Master Database'!$T379=$B$8),OR($B$9="(All)",'Master Database'!$M379=$B$9),OR($B$10="(All)",'Master Database'!$V379=$B$10),OR($E$5="(All)",'Master Database'!$F379=$E$5),OR($E$6="(All)",'Master Database'!$G379=$E$6),OR($E$7="(All)",'Master Database'!$O379=$E$7),OR($E$8="(All)",'Master Database'!$P379=$E$8),OR($E$9="(All)",'Master Database'!$S379=$E$9),OR($E$10="(All)",'Master Database'!$Y379&amp;""=$E$10&amp;""),OR($H$5="(All)",'Master Database'!$BG379=$H$5),OR($H$6&lt;&gt;"Y",ISNUMBER('Master Database'!$AG379)),OR($H$7="",AND(ISNUMBER('Master Database'!$H379),N('Master Database'!$H379)&gt;=$H$7)),OR($I$7="",AND(ISNUMBER('Master Database'!$H379),N('Master Database'!$H379)&lt;=$I$7)),OR($H$8="",AND(ISNUMBER('Master Database'!$I379),N('Master Database'!$I379)&gt;=$H$8)),OR($I$8="",AND(ISNUMBER('Master Database'!$I379),N('Master Database'!$I379)&lt;=$I$8)),OR($H$9="",AND(ISNUMBER('Master Database'!$K379),N('Master Database'!$K379)&gt;=$H$9)),OR($I$9="",AND(ISNUMBER('Master Database'!$K379),N('Master Database'!$K379)&lt;=$I$9))),1,0))</f>
        <v>0</v>
      </c>
      <c r="BB379" s="0" t="str">
        <f aca="false">IF(BA379=1,COUNTIF($BA$5:BA379,1),"")</f>
        <v/>
      </c>
    </row>
    <row r="380" customFormat="false" ht="15" hidden="false" customHeight="false" outlineLevel="0" collapsed="false">
      <c r="BA380" s="0" t="n">
        <f aca="false">IF('Master Database'!$A380="",0,IF(AND(OR($B$5="",ISNUMBER(SEARCH($B$5,'Master Database'!$B380&amp;" "&amp;'Master Database'!$D380))),OR($B$6="(All)",'Master Database'!$C380=$B$6),OR($B$7="(All)",'Master Database'!$E380=$B$7),OR($B$8="(All)",'Master Database'!$T380=$B$8),OR($B$9="(All)",'Master Database'!$M380=$B$9),OR($B$10="(All)",'Master Database'!$V380=$B$10),OR($E$5="(All)",'Master Database'!$F380=$E$5),OR($E$6="(All)",'Master Database'!$G380=$E$6),OR($E$7="(All)",'Master Database'!$O380=$E$7),OR($E$8="(All)",'Master Database'!$P380=$E$8),OR($E$9="(All)",'Master Database'!$S380=$E$9),OR($E$10="(All)",'Master Database'!$Y380&amp;""=$E$10&amp;""),OR($H$5="(All)",'Master Database'!$BG380=$H$5),OR($H$6&lt;&gt;"Y",ISNUMBER('Master Database'!$AG380)),OR($H$7="",AND(ISNUMBER('Master Database'!$H380),N('Master Database'!$H380)&gt;=$H$7)),OR($I$7="",AND(ISNUMBER('Master Database'!$H380),N('Master Database'!$H380)&lt;=$I$7)),OR($H$8="",AND(ISNUMBER('Master Database'!$I380),N('Master Database'!$I380)&gt;=$H$8)),OR($I$8="",AND(ISNUMBER('Master Database'!$I380),N('Master Database'!$I380)&lt;=$I$8)),OR($H$9="",AND(ISNUMBER('Master Database'!$K380),N('Master Database'!$K380)&gt;=$H$9)),OR($I$9="",AND(ISNUMBER('Master Database'!$K380),N('Master Database'!$K380)&lt;=$I$9))),1,0))</f>
        <v>0</v>
      </c>
      <c r="BB380" s="0" t="str">
        <f aca="false">IF(BA380=1,COUNTIF($BA$5:BA380,1),"")</f>
        <v/>
      </c>
    </row>
    <row r="381" customFormat="false" ht="15" hidden="false" customHeight="false" outlineLevel="0" collapsed="false">
      <c r="BA381" s="0" t="n">
        <f aca="false">IF('Master Database'!$A381="",0,IF(AND(OR($B$5="",ISNUMBER(SEARCH($B$5,'Master Database'!$B381&amp;" "&amp;'Master Database'!$D381))),OR($B$6="(All)",'Master Database'!$C381=$B$6),OR($B$7="(All)",'Master Database'!$E381=$B$7),OR($B$8="(All)",'Master Database'!$T381=$B$8),OR($B$9="(All)",'Master Database'!$M381=$B$9),OR($B$10="(All)",'Master Database'!$V381=$B$10),OR($E$5="(All)",'Master Database'!$F381=$E$5),OR($E$6="(All)",'Master Database'!$G381=$E$6),OR($E$7="(All)",'Master Database'!$O381=$E$7),OR($E$8="(All)",'Master Database'!$P381=$E$8),OR($E$9="(All)",'Master Database'!$S381=$E$9),OR($E$10="(All)",'Master Database'!$Y381&amp;""=$E$10&amp;""),OR($H$5="(All)",'Master Database'!$BG381=$H$5),OR($H$6&lt;&gt;"Y",ISNUMBER('Master Database'!$AG381)),OR($H$7="",AND(ISNUMBER('Master Database'!$H381),N('Master Database'!$H381)&gt;=$H$7)),OR($I$7="",AND(ISNUMBER('Master Database'!$H381),N('Master Database'!$H381)&lt;=$I$7)),OR($H$8="",AND(ISNUMBER('Master Database'!$I381),N('Master Database'!$I381)&gt;=$H$8)),OR($I$8="",AND(ISNUMBER('Master Database'!$I381),N('Master Database'!$I381)&lt;=$I$8)),OR($H$9="",AND(ISNUMBER('Master Database'!$K381),N('Master Database'!$K381)&gt;=$H$9)),OR($I$9="",AND(ISNUMBER('Master Database'!$K381),N('Master Database'!$K381)&lt;=$I$9))),1,0))</f>
        <v>0</v>
      </c>
      <c r="BB381" s="0" t="str">
        <f aca="false">IF(BA381=1,COUNTIF($BA$5:BA381,1),"")</f>
        <v/>
      </c>
    </row>
    <row r="382" customFormat="false" ht="15" hidden="false" customHeight="false" outlineLevel="0" collapsed="false">
      <c r="BA382" s="0" t="n">
        <f aca="false">IF('Master Database'!$A382="",0,IF(AND(OR($B$5="",ISNUMBER(SEARCH($B$5,'Master Database'!$B382&amp;" "&amp;'Master Database'!$D382))),OR($B$6="(All)",'Master Database'!$C382=$B$6),OR($B$7="(All)",'Master Database'!$E382=$B$7),OR($B$8="(All)",'Master Database'!$T382=$B$8),OR($B$9="(All)",'Master Database'!$M382=$B$9),OR($B$10="(All)",'Master Database'!$V382=$B$10),OR($E$5="(All)",'Master Database'!$F382=$E$5),OR($E$6="(All)",'Master Database'!$G382=$E$6),OR($E$7="(All)",'Master Database'!$O382=$E$7),OR($E$8="(All)",'Master Database'!$P382=$E$8),OR($E$9="(All)",'Master Database'!$S382=$E$9),OR($E$10="(All)",'Master Database'!$Y382&amp;""=$E$10&amp;""),OR($H$5="(All)",'Master Database'!$BG382=$H$5),OR($H$6&lt;&gt;"Y",ISNUMBER('Master Database'!$AG382)),OR($H$7="",AND(ISNUMBER('Master Database'!$H382),N('Master Database'!$H382)&gt;=$H$7)),OR($I$7="",AND(ISNUMBER('Master Database'!$H382),N('Master Database'!$H382)&lt;=$I$7)),OR($H$8="",AND(ISNUMBER('Master Database'!$I382),N('Master Database'!$I382)&gt;=$H$8)),OR($I$8="",AND(ISNUMBER('Master Database'!$I382),N('Master Database'!$I382)&lt;=$I$8)),OR($H$9="",AND(ISNUMBER('Master Database'!$K382),N('Master Database'!$K382)&gt;=$H$9)),OR($I$9="",AND(ISNUMBER('Master Database'!$K382),N('Master Database'!$K382)&lt;=$I$9))),1,0))</f>
        <v>0</v>
      </c>
      <c r="BB382" s="0" t="str">
        <f aca="false">IF(BA382=1,COUNTIF($BA$5:BA382,1),"")</f>
        <v/>
      </c>
    </row>
    <row r="383" customFormat="false" ht="15" hidden="false" customHeight="false" outlineLevel="0" collapsed="false">
      <c r="BA383" s="0" t="n">
        <f aca="false">IF('Master Database'!$A383="",0,IF(AND(OR($B$5="",ISNUMBER(SEARCH($B$5,'Master Database'!$B383&amp;" "&amp;'Master Database'!$D383))),OR($B$6="(All)",'Master Database'!$C383=$B$6),OR($B$7="(All)",'Master Database'!$E383=$B$7),OR($B$8="(All)",'Master Database'!$T383=$B$8),OR($B$9="(All)",'Master Database'!$M383=$B$9),OR($B$10="(All)",'Master Database'!$V383=$B$10),OR($E$5="(All)",'Master Database'!$F383=$E$5),OR($E$6="(All)",'Master Database'!$G383=$E$6),OR($E$7="(All)",'Master Database'!$O383=$E$7),OR($E$8="(All)",'Master Database'!$P383=$E$8),OR($E$9="(All)",'Master Database'!$S383=$E$9),OR($E$10="(All)",'Master Database'!$Y383&amp;""=$E$10&amp;""),OR($H$5="(All)",'Master Database'!$BG383=$H$5),OR($H$6&lt;&gt;"Y",ISNUMBER('Master Database'!$AG383)),OR($H$7="",AND(ISNUMBER('Master Database'!$H383),N('Master Database'!$H383)&gt;=$H$7)),OR($I$7="",AND(ISNUMBER('Master Database'!$H383),N('Master Database'!$H383)&lt;=$I$7)),OR($H$8="",AND(ISNUMBER('Master Database'!$I383),N('Master Database'!$I383)&gt;=$H$8)),OR($I$8="",AND(ISNUMBER('Master Database'!$I383),N('Master Database'!$I383)&lt;=$I$8)),OR($H$9="",AND(ISNUMBER('Master Database'!$K383),N('Master Database'!$K383)&gt;=$H$9)),OR($I$9="",AND(ISNUMBER('Master Database'!$K383),N('Master Database'!$K383)&lt;=$I$9))),1,0))</f>
        <v>0</v>
      </c>
      <c r="BB383" s="0" t="str">
        <f aca="false">IF(BA383=1,COUNTIF($BA$5:BA383,1),"")</f>
        <v/>
      </c>
    </row>
    <row r="384" customFormat="false" ht="15" hidden="false" customHeight="false" outlineLevel="0" collapsed="false">
      <c r="BA384" s="0" t="n">
        <f aca="false">IF('Master Database'!$A384="",0,IF(AND(OR($B$5="",ISNUMBER(SEARCH($B$5,'Master Database'!$B384&amp;" "&amp;'Master Database'!$D384))),OR($B$6="(All)",'Master Database'!$C384=$B$6),OR($B$7="(All)",'Master Database'!$E384=$B$7),OR($B$8="(All)",'Master Database'!$T384=$B$8),OR($B$9="(All)",'Master Database'!$M384=$B$9),OR($B$10="(All)",'Master Database'!$V384=$B$10),OR($E$5="(All)",'Master Database'!$F384=$E$5),OR($E$6="(All)",'Master Database'!$G384=$E$6),OR($E$7="(All)",'Master Database'!$O384=$E$7),OR($E$8="(All)",'Master Database'!$P384=$E$8),OR($E$9="(All)",'Master Database'!$S384=$E$9),OR($E$10="(All)",'Master Database'!$Y384&amp;""=$E$10&amp;""),OR($H$5="(All)",'Master Database'!$BG384=$H$5),OR($H$6&lt;&gt;"Y",ISNUMBER('Master Database'!$AG384)),OR($H$7="",AND(ISNUMBER('Master Database'!$H384),N('Master Database'!$H384)&gt;=$H$7)),OR($I$7="",AND(ISNUMBER('Master Database'!$H384),N('Master Database'!$H384)&lt;=$I$7)),OR($H$8="",AND(ISNUMBER('Master Database'!$I384),N('Master Database'!$I384)&gt;=$H$8)),OR($I$8="",AND(ISNUMBER('Master Database'!$I384),N('Master Database'!$I384)&lt;=$I$8)),OR($H$9="",AND(ISNUMBER('Master Database'!$K384),N('Master Database'!$K384)&gt;=$H$9)),OR($I$9="",AND(ISNUMBER('Master Database'!$K384),N('Master Database'!$K384)&lt;=$I$9))),1,0))</f>
        <v>0</v>
      </c>
      <c r="BB384" s="0" t="str">
        <f aca="false">IF(BA384=1,COUNTIF($BA$5:BA384,1),"")</f>
        <v/>
      </c>
    </row>
    <row r="385" customFormat="false" ht="15" hidden="false" customHeight="false" outlineLevel="0" collapsed="false">
      <c r="BA385" s="0" t="n">
        <f aca="false">IF('Master Database'!$A385="",0,IF(AND(OR($B$5="",ISNUMBER(SEARCH($B$5,'Master Database'!$B385&amp;" "&amp;'Master Database'!$D385))),OR($B$6="(All)",'Master Database'!$C385=$B$6),OR($B$7="(All)",'Master Database'!$E385=$B$7),OR($B$8="(All)",'Master Database'!$T385=$B$8),OR($B$9="(All)",'Master Database'!$M385=$B$9),OR($B$10="(All)",'Master Database'!$V385=$B$10),OR($E$5="(All)",'Master Database'!$F385=$E$5),OR($E$6="(All)",'Master Database'!$G385=$E$6),OR($E$7="(All)",'Master Database'!$O385=$E$7),OR($E$8="(All)",'Master Database'!$P385=$E$8),OR($E$9="(All)",'Master Database'!$S385=$E$9),OR($E$10="(All)",'Master Database'!$Y385&amp;""=$E$10&amp;""),OR($H$5="(All)",'Master Database'!$BG385=$H$5),OR($H$6&lt;&gt;"Y",ISNUMBER('Master Database'!$AG385)),OR($H$7="",AND(ISNUMBER('Master Database'!$H385),N('Master Database'!$H385)&gt;=$H$7)),OR($I$7="",AND(ISNUMBER('Master Database'!$H385),N('Master Database'!$H385)&lt;=$I$7)),OR($H$8="",AND(ISNUMBER('Master Database'!$I385),N('Master Database'!$I385)&gt;=$H$8)),OR($I$8="",AND(ISNUMBER('Master Database'!$I385),N('Master Database'!$I385)&lt;=$I$8)),OR($H$9="",AND(ISNUMBER('Master Database'!$K385),N('Master Database'!$K385)&gt;=$H$9)),OR($I$9="",AND(ISNUMBER('Master Database'!$K385),N('Master Database'!$K385)&lt;=$I$9))),1,0))</f>
        <v>0</v>
      </c>
      <c r="BB385" s="0" t="str">
        <f aca="false">IF(BA385=1,COUNTIF($BA$5:BA385,1),"")</f>
        <v/>
      </c>
    </row>
    <row r="386" customFormat="false" ht="15" hidden="false" customHeight="false" outlineLevel="0" collapsed="false">
      <c r="BA386" s="0" t="n">
        <f aca="false">IF('Master Database'!$A386="",0,IF(AND(OR($B$5="",ISNUMBER(SEARCH($B$5,'Master Database'!$B386&amp;" "&amp;'Master Database'!$D386))),OR($B$6="(All)",'Master Database'!$C386=$B$6),OR($B$7="(All)",'Master Database'!$E386=$B$7),OR($B$8="(All)",'Master Database'!$T386=$B$8),OR($B$9="(All)",'Master Database'!$M386=$B$9),OR($B$10="(All)",'Master Database'!$V386=$B$10),OR($E$5="(All)",'Master Database'!$F386=$E$5),OR($E$6="(All)",'Master Database'!$G386=$E$6),OR($E$7="(All)",'Master Database'!$O386=$E$7),OR($E$8="(All)",'Master Database'!$P386=$E$8),OR($E$9="(All)",'Master Database'!$S386=$E$9),OR($E$10="(All)",'Master Database'!$Y386&amp;""=$E$10&amp;""),OR($H$5="(All)",'Master Database'!$BG386=$H$5),OR($H$6&lt;&gt;"Y",ISNUMBER('Master Database'!$AG386)),OR($H$7="",AND(ISNUMBER('Master Database'!$H386),N('Master Database'!$H386)&gt;=$H$7)),OR($I$7="",AND(ISNUMBER('Master Database'!$H386),N('Master Database'!$H386)&lt;=$I$7)),OR($H$8="",AND(ISNUMBER('Master Database'!$I386),N('Master Database'!$I386)&gt;=$H$8)),OR($I$8="",AND(ISNUMBER('Master Database'!$I386),N('Master Database'!$I386)&lt;=$I$8)),OR($H$9="",AND(ISNUMBER('Master Database'!$K386),N('Master Database'!$K386)&gt;=$H$9)),OR($I$9="",AND(ISNUMBER('Master Database'!$K386),N('Master Database'!$K386)&lt;=$I$9))),1,0))</f>
        <v>0</v>
      </c>
      <c r="BB386" s="0" t="str">
        <f aca="false">IF(BA386=1,COUNTIF($BA$5:BA386,1),"")</f>
        <v/>
      </c>
    </row>
    <row r="387" customFormat="false" ht="15" hidden="false" customHeight="false" outlineLevel="0" collapsed="false">
      <c r="BA387" s="0" t="n">
        <f aca="false">IF('Master Database'!$A387="",0,IF(AND(OR($B$5="",ISNUMBER(SEARCH($B$5,'Master Database'!$B387&amp;" "&amp;'Master Database'!$D387))),OR($B$6="(All)",'Master Database'!$C387=$B$6),OR($B$7="(All)",'Master Database'!$E387=$B$7),OR($B$8="(All)",'Master Database'!$T387=$B$8),OR($B$9="(All)",'Master Database'!$M387=$B$9),OR($B$10="(All)",'Master Database'!$V387=$B$10),OR($E$5="(All)",'Master Database'!$F387=$E$5),OR($E$6="(All)",'Master Database'!$G387=$E$6),OR($E$7="(All)",'Master Database'!$O387=$E$7),OR($E$8="(All)",'Master Database'!$P387=$E$8),OR($E$9="(All)",'Master Database'!$S387=$E$9),OR($E$10="(All)",'Master Database'!$Y387&amp;""=$E$10&amp;""),OR($H$5="(All)",'Master Database'!$BG387=$H$5),OR($H$6&lt;&gt;"Y",ISNUMBER('Master Database'!$AG387)),OR($H$7="",AND(ISNUMBER('Master Database'!$H387),N('Master Database'!$H387)&gt;=$H$7)),OR($I$7="",AND(ISNUMBER('Master Database'!$H387),N('Master Database'!$H387)&lt;=$I$7)),OR($H$8="",AND(ISNUMBER('Master Database'!$I387),N('Master Database'!$I387)&gt;=$H$8)),OR($I$8="",AND(ISNUMBER('Master Database'!$I387),N('Master Database'!$I387)&lt;=$I$8)),OR($H$9="",AND(ISNUMBER('Master Database'!$K387),N('Master Database'!$K387)&gt;=$H$9)),OR($I$9="",AND(ISNUMBER('Master Database'!$K387),N('Master Database'!$K387)&lt;=$I$9))),1,0))</f>
        <v>0</v>
      </c>
      <c r="BB387" s="0" t="str">
        <f aca="false">IF(BA387=1,COUNTIF($BA$5:BA387,1),"")</f>
        <v/>
      </c>
    </row>
    <row r="388" customFormat="false" ht="15" hidden="false" customHeight="false" outlineLevel="0" collapsed="false">
      <c r="BA388" s="0" t="n">
        <f aca="false">IF('Master Database'!$A388="",0,IF(AND(OR($B$5="",ISNUMBER(SEARCH($B$5,'Master Database'!$B388&amp;" "&amp;'Master Database'!$D388))),OR($B$6="(All)",'Master Database'!$C388=$B$6),OR($B$7="(All)",'Master Database'!$E388=$B$7),OR($B$8="(All)",'Master Database'!$T388=$B$8),OR($B$9="(All)",'Master Database'!$M388=$B$9),OR($B$10="(All)",'Master Database'!$V388=$B$10),OR($E$5="(All)",'Master Database'!$F388=$E$5),OR($E$6="(All)",'Master Database'!$G388=$E$6),OR($E$7="(All)",'Master Database'!$O388=$E$7),OR($E$8="(All)",'Master Database'!$P388=$E$8),OR($E$9="(All)",'Master Database'!$S388=$E$9),OR($E$10="(All)",'Master Database'!$Y388&amp;""=$E$10&amp;""),OR($H$5="(All)",'Master Database'!$BG388=$H$5),OR($H$6&lt;&gt;"Y",ISNUMBER('Master Database'!$AG388)),OR($H$7="",AND(ISNUMBER('Master Database'!$H388),N('Master Database'!$H388)&gt;=$H$7)),OR($I$7="",AND(ISNUMBER('Master Database'!$H388),N('Master Database'!$H388)&lt;=$I$7)),OR($H$8="",AND(ISNUMBER('Master Database'!$I388),N('Master Database'!$I388)&gt;=$H$8)),OR($I$8="",AND(ISNUMBER('Master Database'!$I388),N('Master Database'!$I388)&lt;=$I$8)),OR($H$9="",AND(ISNUMBER('Master Database'!$K388),N('Master Database'!$K388)&gt;=$H$9)),OR($I$9="",AND(ISNUMBER('Master Database'!$K388),N('Master Database'!$K388)&lt;=$I$9))),1,0))</f>
        <v>0</v>
      </c>
      <c r="BB388" s="0" t="str">
        <f aca="false">IF(BA388=1,COUNTIF($BA$5:BA388,1),"")</f>
        <v/>
      </c>
    </row>
    <row r="389" customFormat="false" ht="15" hidden="false" customHeight="false" outlineLevel="0" collapsed="false">
      <c r="BA389" s="0" t="n">
        <f aca="false">IF('Master Database'!$A389="",0,IF(AND(OR($B$5="",ISNUMBER(SEARCH($B$5,'Master Database'!$B389&amp;" "&amp;'Master Database'!$D389))),OR($B$6="(All)",'Master Database'!$C389=$B$6),OR($B$7="(All)",'Master Database'!$E389=$B$7),OR($B$8="(All)",'Master Database'!$T389=$B$8),OR($B$9="(All)",'Master Database'!$M389=$B$9),OR($B$10="(All)",'Master Database'!$V389=$B$10),OR($E$5="(All)",'Master Database'!$F389=$E$5),OR($E$6="(All)",'Master Database'!$G389=$E$6),OR($E$7="(All)",'Master Database'!$O389=$E$7),OR($E$8="(All)",'Master Database'!$P389=$E$8),OR($E$9="(All)",'Master Database'!$S389=$E$9),OR($E$10="(All)",'Master Database'!$Y389&amp;""=$E$10&amp;""),OR($H$5="(All)",'Master Database'!$BG389=$H$5),OR($H$6&lt;&gt;"Y",ISNUMBER('Master Database'!$AG389)),OR($H$7="",AND(ISNUMBER('Master Database'!$H389),N('Master Database'!$H389)&gt;=$H$7)),OR($I$7="",AND(ISNUMBER('Master Database'!$H389),N('Master Database'!$H389)&lt;=$I$7)),OR($H$8="",AND(ISNUMBER('Master Database'!$I389),N('Master Database'!$I389)&gt;=$H$8)),OR($I$8="",AND(ISNUMBER('Master Database'!$I389),N('Master Database'!$I389)&lt;=$I$8)),OR($H$9="",AND(ISNUMBER('Master Database'!$K389),N('Master Database'!$K389)&gt;=$H$9)),OR($I$9="",AND(ISNUMBER('Master Database'!$K389),N('Master Database'!$K389)&lt;=$I$9))),1,0))</f>
        <v>0</v>
      </c>
      <c r="BB389" s="0" t="str">
        <f aca="false">IF(BA389=1,COUNTIF($BA$5:BA389,1),"")</f>
        <v/>
      </c>
    </row>
    <row r="390" customFormat="false" ht="15" hidden="false" customHeight="false" outlineLevel="0" collapsed="false">
      <c r="BA390" s="0" t="n">
        <f aca="false">IF('Master Database'!$A390="",0,IF(AND(OR($B$5="",ISNUMBER(SEARCH($B$5,'Master Database'!$B390&amp;" "&amp;'Master Database'!$D390))),OR($B$6="(All)",'Master Database'!$C390=$B$6),OR($B$7="(All)",'Master Database'!$E390=$B$7),OR($B$8="(All)",'Master Database'!$T390=$B$8),OR($B$9="(All)",'Master Database'!$M390=$B$9),OR($B$10="(All)",'Master Database'!$V390=$B$10),OR($E$5="(All)",'Master Database'!$F390=$E$5),OR($E$6="(All)",'Master Database'!$G390=$E$6),OR($E$7="(All)",'Master Database'!$O390=$E$7),OR($E$8="(All)",'Master Database'!$P390=$E$8),OR($E$9="(All)",'Master Database'!$S390=$E$9),OR($E$10="(All)",'Master Database'!$Y390&amp;""=$E$10&amp;""),OR($H$5="(All)",'Master Database'!$BG390=$H$5),OR($H$6&lt;&gt;"Y",ISNUMBER('Master Database'!$AG390)),OR($H$7="",AND(ISNUMBER('Master Database'!$H390),N('Master Database'!$H390)&gt;=$H$7)),OR($I$7="",AND(ISNUMBER('Master Database'!$H390),N('Master Database'!$H390)&lt;=$I$7)),OR($H$8="",AND(ISNUMBER('Master Database'!$I390),N('Master Database'!$I390)&gt;=$H$8)),OR($I$8="",AND(ISNUMBER('Master Database'!$I390),N('Master Database'!$I390)&lt;=$I$8)),OR($H$9="",AND(ISNUMBER('Master Database'!$K390),N('Master Database'!$K390)&gt;=$H$9)),OR($I$9="",AND(ISNUMBER('Master Database'!$K390),N('Master Database'!$K390)&lt;=$I$9))),1,0))</f>
        <v>0</v>
      </c>
      <c r="BB390" s="0" t="str">
        <f aca="false">IF(BA390=1,COUNTIF($BA$5:BA390,1),"")</f>
        <v/>
      </c>
    </row>
    <row r="391" customFormat="false" ht="15" hidden="false" customHeight="false" outlineLevel="0" collapsed="false">
      <c r="BA391" s="0" t="n">
        <f aca="false">IF('Master Database'!$A391="",0,IF(AND(OR($B$5="",ISNUMBER(SEARCH($B$5,'Master Database'!$B391&amp;" "&amp;'Master Database'!$D391))),OR($B$6="(All)",'Master Database'!$C391=$B$6),OR($B$7="(All)",'Master Database'!$E391=$B$7),OR($B$8="(All)",'Master Database'!$T391=$B$8),OR($B$9="(All)",'Master Database'!$M391=$B$9),OR($B$10="(All)",'Master Database'!$V391=$B$10),OR($E$5="(All)",'Master Database'!$F391=$E$5),OR($E$6="(All)",'Master Database'!$G391=$E$6),OR($E$7="(All)",'Master Database'!$O391=$E$7),OR($E$8="(All)",'Master Database'!$P391=$E$8),OR($E$9="(All)",'Master Database'!$S391=$E$9),OR($E$10="(All)",'Master Database'!$Y391&amp;""=$E$10&amp;""),OR($H$5="(All)",'Master Database'!$BG391=$H$5),OR($H$6&lt;&gt;"Y",ISNUMBER('Master Database'!$AG391)),OR($H$7="",AND(ISNUMBER('Master Database'!$H391),N('Master Database'!$H391)&gt;=$H$7)),OR($I$7="",AND(ISNUMBER('Master Database'!$H391),N('Master Database'!$H391)&lt;=$I$7)),OR($H$8="",AND(ISNUMBER('Master Database'!$I391),N('Master Database'!$I391)&gt;=$H$8)),OR($I$8="",AND(ISNUMBER('Master Database'!$I391),N('Master Database'!$I391)&lt;=$I$8)),OR($H$9="",AND(ISNUMBER('Master Database'!$K391),N('Master Database'!$K391)&gt;=$H$9)),OR($I$9="",AND(ISNUMBER('Master Database'!$K391),N('Master Database'!$K391)&lt;=$I$9))),1,0))</f>
        <v>0</v>
      </c>
      <c r="BB391" s="0" t="str">
        <f aca="false">IF(BA391=1,COUNTIF($BA$5:BA391,1),"")</f>
        <v/>
      </c>
    </row>
    <row r="392" customFormat="false" ht="15" hidden="false" customHeight="false" outlineLevel="0" collapsed="false">
      <c r="BA392" s="0" t="n">
        <f aca="false">IF('Master Database'!$A392="",0,IF(AND(OR($B$5="",ISNUMBER(SEARCH($B$5,'Master Database'!$B392&amp;" "&amp;'Master Database'!$D392))),OR($B$6="(All)",'Master Database'!$C392=$B$6),OR($B$7="(All)",'Master Database'!$E392=$B$7),OR($B$8="(All)",'Master Database'!$T392=$B$8),OR($B$9="(All)",'Master Database'!$M392=$B$9),OR($B$10="(All)",'Master Database'!$V392=$B$10),OR($E$5="(All)",'Master Database'!$F392=$E$5),OR($E$6="(All)",'Master Database'!$G392=$E$6),OR($E$7="(All)",'Master Database'!$O392=$E$7),OR($E$8="(All)",'Master Database'!$P392=$E$8),OR($E$9="(All)",'Master Database'!$S392=$E$9),OR($E$10="(All)",'Master Database'!$Y392&amp;""=$E$10&amp;""),OR($H$5="(All)",'Master Database'!$BG392=$H$5),OR($H$6&lt;&gt;"Y",ISNUMBER('Master Database'!$AG392)),OR($H$7="",AND(ISNUMBER('Master Database'!$H392),N('Master Database'!$H392)&gt;=$H$7)),OR($I$7="",AND(ISNUMBER('Master Database'!$H392),N('Master Database'!$H392)&lt;=$I$7)),OR($H$8="",AND(ISNUMBER('Master Database'!$I392),N('Master Database'!$I392)&gt;=$H$8)),OR($I$8="",AND(ISNUMBER('Master Database'!$I392),N('Master Database'!$I392)&lt;=$I$8)),OR($H$9="",AND(ISNUMBER('Master Database'!$K392),N('Master Database'!$K392)&gt;=$H$9)),OR($I$9="",AND(ISNUMBER('Master Database'!$K392),N('Master Database'!$K392)&lt;=$I$9))),1,0))</f>
        <v>0</v>
      </c>
      <c r="BB392" s="0" t="str">
        <f aca="false">IF(BA392=1,COUNTIF($BA$5:BA392,1),"")</f>
        <v/>
      </c>
    </row>
    <row r="393" customFormat="false" ht="15" hidden="false" customHeight="false" outlineLevel="0" collapsed="false">
      <c r="BA393" s="0" t="n">
        <f aca="false">IF('Master Database'!$A393="",0,IF(AND(OR($B$5="",ISNUMBER(SEARCH($B$5,'Master Database'!$B393&amp;" "&amp;'Master Database'!$D393))),OR($B$6="(All)",'Master Database'!$C393=$B$6),OR($B$7="(All)",'Master Database'!$E393=$B$7),OR($B$8="(All)",'Master Database'!$T393=$B$8),OR($B$9="(All)",'Master Database'!$M393=$B$9),OR($B$10="(All)",'Master Database'!$V393=$B$10),OR($E$5="(All)",'Master Database'!$F393=$E$5),OR($E$6="(All)",'Master Database'!$G393=$E$6),OR($E$7="(All)",'Master Database'!$O393=$E$7),OR($E$8="(All)",'Master Database'!$P393=$E$8),OR($E$9="(All)",'Master Database'!$S393=$E$9),OR($E$10="(All)",'Master Database'!$Y393&amp;""=$E$10&amp;""),OR($H$5="(All)",'Master Database'!$BG393=$H$5),OR($H$6&lt;&gt;"Y",ISNUMBER('Master Database'!$AG393)),OR($H$7="",AND(ISNUMBER('Master Database'!$H393),N('Master Database'!$H393)&gt;=$H$7)),OR($I$7="",AND(ISNUMBER('Master Database'!$H393),N('Master Database'!$H393)&lt;=$I$7)),OR($H$8="",AND(ISNUMBER('Master Database'!$I393),N('Master Database'!$I393)&gt;=$H$8)),OR($I$8="",AND(ISNUMBER('Master Database'!$I393),N('Master Database'!$I393)&lt;=$I$8)),OR($H$9="",AND(ISNUMBER('Master Database'!$K393),N('Master Database'!$K393)&gt;=$H$9)),OR($I$9="",AND(ISNUMBER('Master Database'!$K393),N('Master Database'!$K393)&lt;=$I$9))),1,0))</f>
        <v>0</v>
      </c>
      <c r="BB393" s="0" t="str">
        <f aca="false">IF(BA393=1,COUNTIF($BA$5:BA393,1),"")</f>
        <v/>
      </c>
    </row>
    <row r="394" customFormat="false" ht="15" hidden="false" customHeight="false" outlineLevel="0" collapsed="false">
      <c r="BA394" s="0" t="n">
        <f aca="false">IF('Master Database'!$A394="",0,IF(AND(OR($B$5="",ISNUMBER(SEARCH($B$5,'Master Database'!$B394&amp;" "&amp;'Master Database'!$D394))),OR($B$6="(All)",'Master Database'!$C394=$B$6),OR($B$7="(All)",'Master Database'!$E394=$B$7),OR($B$8="(All)",'Master Database'!$T394=$B$8),OR($B$9="(All)",'Master Database'!$M394=$B$9),OR($B$10="(All)",'Master Database'!$V394=$B$10),OR($E$5="(All)",'Master Database'!$F394=$E$5),OR($E$6="(All)",'Master Database'!$G394=$E$6),OR($E$7="(All)",'Master Database'!$O394=$E$7),OR($E$8="(All)",'Master Database'!$P394=$E$8),OR($E$9="(All)",'Master Database'!$S394=$E$9),OR($E$10="(All)",'Master Database'!$Y394&amp;""=$E$10&amp;""),OR($H$5="(All)",'Master Database'!$BG394=$H$5),OR($H$6&lt;&gt;"Y",ISNUMBER('Master Database'!$AG394)),OR($H$7="",AND(ISNUMBER('Master Database'!$H394),N('Master Database'!$H394)&gt;=$H$7)),OR($I$7="",AND(ISNUMBER('Master Database'!$H394),N('Master Database'!$H394)&lt;=$I$7)),OR($H$8="",AND(ISNUMBER('Master Database'!$I394),N('Master Database'!$I394)&gt;=$H$8)),OR($I$8="",AND(ISNUMBER('Master Database'!$I394),N('Master Database'!$I394)&lt;=$I$8)),OR($H$9="",AND(ISNUMBER('Master Database'!$K394),N('Master Database'!$K394)&gt;=$H$9)),OR($I$9="",AND(ISNUMBER('Master Database'!$K394),N('Master Database'!$K394)&lt;=$I$9))),1,0))</f>
        <v>0</v>
      </c>
      <c r="BB394" s="0" t="str">
        <f aca="false">IF(BA394=1,COUNTIF($BA$5:BA394,1),"")</f>
        <v/>
      </c>
    </row>
    <row r="395" customFormat="false" ht="15" hidden="false" customHeight="false" outlineLevel="0" collapsed="false">
      <c r="BA395" s="0" t="n">
        <f aca="false">IF('Master Database'!$A395="",0,IF(AND(OR($B$5="",ISNUMBER(SEARCH($B$5,'Master Database'!$B395&amp;" "&amp;'Master Database'!$D395))),OR($B$6="(All)",'Master Database'!$C395=$B$6),OR($B$7="(All)",'Master Database'!$E395=$B$7),OR($B$8="(All)",'Master Database'!$T395=$B$8),OR($B$9="(All)",'Master Database'!$M395=$B$9),OR($B$10="(All)",'Master Database'!$V395=$B$10),OR($E$5="(All)",'Master Database'!$F395=$E$5),OR($E$6="(All)",'Master Database'!$G395=$E$6),OR($E$7="(All)",'Master Database'!$O395=$E$7),OR($E$8="(All)",'Master Database'!$P395=$E$8),OR($E$9="(All)",'Master Database'!$S395=$E$9),OR($E$10="(All)",'Master Database'!$Y395&amp;""=$E$10&amp;""),OR($H$5="(All)",'Master Database'!$BG395=$H$5),OR($H$6&lt;&gt;"Y",ISNUMBER('Master Database'!$AG395)),OR($H$7="",AND(ISNUMBER('Master Database'!$H395),N('Master Database'!$H395)&gt;=$H$7)),OR($I$7="",AND(ISNUMBER('Master Database'!$H395),N('Master Database'!$H395)&lt;=$I$7)),OR($H$8="",AND(ISNUMBER('Master Database'!$I395),N('Master Database'!$I395)&gt;=$H$8)),OR($I$8="",AND(ISNUMBER('Master Database'!$I395),N('Master Database'!$I395)&lt;=$I$8)),OR($H$9="",AND(ISNUMBER('Master Database'!$K395),N('Master Database'!$K395)&gt;=$H$9)),OR($I$9="",AND(ISNUMBER('Master Database'!$K395),N('Master Database'!$K395)&lt;=$I$9))),1,0))</f>
        <v>0</v>
      </c>
      <c r="BB395" s="0" t="str">
        <f aca="false">IF(BA395=1,COUNTIF($BA$5:BA395,1),"")</f>
        <v/>
      </c>
    </row>
    <row r="396" customFormat="false" ht="15" hidden="false" customHeight="false" outlineLevel="0" collapsed="false">
      <c r="BA396" s="0" t="n">
        <f aca="false">IF('Master Database'!$A396="",0,IF(AND(OR($B$5="",ISNUMBER(SEARCH($B$5,'Master Database'!$B396&amp;" "&amp;'Master Database'!$D396))),OR($B$6="(All)",'Master Database'!$C396=$B$6),OR($B$7="(All)",'Master Database'!$E396=$B$7),OR($B$8="(All)",'Master Database'!$T396=$B$8),OR($B$9="(All)",'Master Database'!$M396=$B$9),OR($B$10="(All)",'Master Database'!$V396=$B$10),OR($E$5="(All)",'Master Database'!$F396=$E$5),OR($E$6="(All)",'Master Database'!$G396=$E$6),OR($E$7="(All)",'Master Database'!$O396=$E$7),OR($E$8="(All)",'Master Database'!$P396=$E$8),OR($E$9="(All)",'Master Database'!$S396=$E$9),OR($E$10="(All)",'Master Database'!$Y396&amp;""=$E$10&amp;""),OR($H$5="(All)",'Master Database'!$BG396=$H$5),OR($H$6&lt;&gt;"Y",ISNUMBER('Master Database'!$AG396)),OR($H$7="",AND(ISNUMBER('Master Database'!$H396),N('Master Database'!$H396)&gt;=$H$7)),OR($I$7="",AND(ISNUMBER('Master Database'!$H396),N('Master Database'!$H396)&lt;=$I$7)),OR($H$8="",AND(ISNUMBER('Master Database'!$I396),N('Master Database'!$I396)&gt;=$H$8)),OR($I$8="",AND(ISNUMBER('Master Database'!$I396),N('Master Database'!$I396)&lt;=$I$8)),OR($H$9="",AND(ISNUMBER('Master Database'!$K396),N('Master Database'!$K396)&gt;=$H$9)),OR($I$9="",AND(ISNUMBER('Master Database'!$K396),N('Master Database'!$K396)&lt;=$I$9))),1,0))</f>
        <v>0</v>
      </c>
      <c r="BB396" s="0" t="str">
        <f aca="false">IF(BA396=1,COUNTIF($BA$5:BA396,1),"")</f>
        <v/>
      </c>
    </row>
    <row r="397" customFormat="false" ht="15" hidden="false" customHeight="false" outlineLevel="0" collapsed="false">
      <c r="BA397" s="0" t="n">
        <f aca="false">IF('Master Database'!$A397="",0,IF(AND(OR($B$5="",ISNUMBER(SEARCH($B$5,'Master Database'!$B397&amp;" "&amp;'Master Database'!$D397))),OR($B$6="(All)",'Master Database'!$C397=$B$6),OR($B$7="(All)",'Master Database'!$E397=$B$7),OR($B$8="(All)",'Master Database'!$T397=$B$8),OR($B$9="(All)",'Master Database'!$M397=$B$9),OR($B$10="(All)",'Master Database'!$V397=$B$10),OR($E$5="(All)",'Master Database'!$F397=$E$5),OR($E$6="(All)",'Master Database'!$G397=$E$6),OR($E$7="(All)",'Master Database'!$O397=$E$7),OR($E$8="(All)",'Master Database'!$P397=$E$8),OR($E$9="(All)",'Master Database'!$S397=$E$9),OR($E$10="(All)",'Master Database'!$Y397&amp;""=$E$10&amp;""),OR($H$5="(All)",'Master Database'!$BG397=$H$5),OR($H$6&lt;&gt;"Y",ISNUMBER('Master Database'!$AG397)),OR($H$7="",AND(ISNUMBER('Master Database'!$H397),N('Master Database'!$H397)&gt;=$H$7)),OR($I$7="",AND(ISNUMBER('Master Database'!$H397),N('Master Database'!$H397)&lt;=$I$7)),OR($H$8="",AND(ISNUMBER('Master Database'!$I397),N('Master Database'!$I397)&gt;=$H$8)),OR($I$8="",AND(ISNUMBER('Master Database'!$I397),N('Master Database'!$I397)&lt;=$I$8)),OR($H$9="",AND(ISNUMBER('Master Database'!$K397),N('Master Database'!$K397)&gt;=$H$9)),OR($I$9="",AND(ISNUMBER('Master Database'!$K397),N('Master Database'!$K397)&lt;=$I$9))),1,0))</f>
        <v>0</v>
      </c>
      <c r="BB397" s="0" t="str">
        <f aca="false">IF(BA397=1,COUNTIF($BA$5:BA397,1),"")</f>
        <v/>
      </c>
    </row>
    <row r="398" customFormat="false" ht="15" hidden="false" customHeight="false" outlineLevel="0" collapsed="false">
      <c r="BA398" s="0" t="n">
        <f aca="false">IF('Master Database'!$A398="",0,IF(AND(OR($B$5="",ISNUMBER(SEARCH($B$5,'Master Database'!$B398&amp;" "&amp;'Master Database'!$D398))),OR($B$6="(All)",'Master Database'!$C398=$B$6),OR($B$7="(All)",'Master Database'!$E398=$B$7),OR($B$8="(All)",'Master Database'!$T398=$B$8),OR($B$9="(All)",'Master Database'!$M398=$B$9),OR($B$10="(All)",'Master Database'!$V398=$B$10),OR($E$5="(All)",'Master Database'!$F398=$E$5),OR($E$6="(All)",'Master Database'!$G398=$E$6),OR($E$7="(All)",'Master Database'!$O398=$E$7),OR($E$8="(All)",'Master Database'!$P398=$E$8),OR($E$9="(All)",'Master Database'!$S398=$E$9),OR($E$10="(All)",'Master Database'!$Y398&amp;""=$E$10&amp;""),OR($H$5="(All)",'Master Database'!$BG398=$H$5),OR($H$6&lt;&gt;"Y",ISNUMBER('Master Database'!$AG398)),OR($H$7="",AND(ISNUMBER('Master Database'!$H398),N('Master Database'!$H398)&gt;=$H$7)),OR($I$7="",AND(ISNUMBER('Master Database'!$H398),N('Master Database'!$H398)&lt;=$I$7)),OR($H$8="",AND(ISNUMBER('Master Database'!$I398),N('Master Database'!$I398)&gt;=$H$8)),OR($I$8="",AND(ISNUMBER('Master Database'!$I398),N('Master Database'!$I398)&lt;=$I$8)),OR($H$9="",AND(ISNUMBER('Master Database'!$K398),N('Master Database'!$K398)&gt;=$H$9)),OR($I$9="",AND(ISNUMBER('Master Database'!$K398),N('Master Database'!$K398)&lt;=$I$9))),1,0))</f>
        <v>0</v>
      </c>
      <c r="BB398" s="0" t="str">
        <f aca="false">IF(BA398=1,COUNTIF($BA$5:BA398,1),"")</f>
        <v/>
      </c>
    </row>
    <row r="399" customFormat="false" ht="15" hidden="false" customHeight="false" outlineLevel="0" collapsed="false">
      <c r="BA399" s="0" t="n">
        <f aca="false">IF('Master Database'!$A399="",0,IF(AND(OR($B$5="",ISNUMBER(SEARCH($B$5,'Master Database'!$B399&amp;" "&amp;'Master Database'!$D399))),OR($B$6="(All)",'Master Database'!$C399=$B$6),OR($B$7="(All)",'Master Database'!$E399=$B$7),OR($B$8="(All)",'Master Database'!$T399=$B$8),OR($B$9="(All)",'Master Database'!$M399=$B$9),OR($B$10="(All)",'Master Database'!$V399=$B$10),OR($E$5="(All)",'Master Database'!$F399=$E$5),OR($E$6="(All)",'Master Database'!$G399=$E$6),OR($E$7="(All)",'Master Database'!$O399=$E$7),OR($E$8="(All)",'Master Database'!$P399=$E$8),OR($E$9="(All)",'Master Database'!$S399=$E$9),OR($E$10="(All)",'Master Database'!$Y399&amp;""=$E$10&amp;""),OR($H$5="(All)",'Master Database'!$BG399=$H$5),OR($H$6&lt;&gt;"Y",ISNUMBER('Master Database'!$AG399)),OR($H$7="",AND(ISNUMBER('Master Database'!$H399),N('Master Database'!$H399)&gt;=$H$7)),OR($I$7="",AND(ISNUMBER('Master Database'!$H399),N('Master Database'!$H399)&lt;=$I$7)),OR($H$8="",AND(ISNUMBER('Master Database'!$I399),N('Master Database'!$I399)&gt;=$H$8)),OR($I$8="",AND(ISNUMBER('Master Database'!$I399),N('Master Database'!$I399)&lt;=$I$8)),OR($H$9="",AND(ISNUMBER('Master Database'!$K399),N('Master Database'!$K399)&gt;=$H$9)),OR($I$9="",AND(ISNUMBER('Master Database'!$K399),N('Master Database'!$K399)&lt;=$I$9))),1,0))</f>
        <v>0</v>
      </c>
      <c r="BB399" s="0" t="str">
        <f aca="false">IF(BA399=1,COUNTIF($BA$5:BA399,1),"")</f>
        <v/>
      </c>
    </row>
    <row r="400" customFormat="false" ht="15" hidden="false" customHeight="false" outlineLevel="0" collapsed="false">
      <c r="BA400" s="0" t="n">
        <f aca="false">IF('Master Database'!$A400="",0,IF(AND(OR($B$5="",ISNUMBER(SEARCH($B$5,'Master Database'!$B400&amp;" "&amp;'Master Database'!$D400))),OR($B$6="(All)",'Master Database'!$C400=$B$6),OR($B$7="(All)",'Master Database'!$E400=$B$7),OR($B$8="(All)",'Master Database'!$T400=$B$8),OR($B$9="(All)",'Master Database'!$M400=$B$9),OR($B$10="(All)",'Master Database'!$V400=$B$10),OR($E$5="(All)",'Master Database'!$F400=$E$5),OR($E$6="(All)",'Master Database'!$G400=$E$6),OR($E$7="(All)",'Master Database'!$O400=$E$7),OR($E$8="(All)",'Master Database'!$P400=$E$8),OR($E$9="(All)",'Master Database'!$S400=$E$9),OR($E$10="(All)",'Master Database'!$Y400&amp;""=$E$10&amp;""),OR($H$5="(All)",'Master Database'!$BG400=$H$5),OR($H$6&lt;&gt;"Y",ISNUMBER('Master Database'!$AG400)),OR($H$7="",AND(ISNUMBER('Master Database'!$H400),N('Master Database'!$H400)&gt;=$H$7)),OR($I$7="",AND(ISNUMBER('Master Database'!$H400),N('Master Database'!$H400)&lt;=$I$7)),OR($H$8="",AND(ISNUMBER('Master Database'!$I400),N('Master Database'!$I400)&gt;=$H$8)),OR($I$8="",AND(ISNUMBER('Master Database'!$I400),N('Master Database'!$I400)&lt;=$I$8)),OR($H$9="",AND(ISNUMBER('Master Database'!$K400),N('Master Database'!$K400)&gt;=$H$9)),OR($I$9="",AND(ISNUMBER('Master Database'!$K400),N('Master Database'!$K400)&lt;=$I$9))),1,0))</f>
        <v>0</v>
      </c>
      <c r="BB400" s="0" t="str">
        <f aca="false">IF(BA400=1,COUNTIF($BA$5:BA400,1),"")</f>
        <v/>
      </c>
    </row>
    <row r="401" customFormat="false" ht="15" hidden="false" customHeight="false" outlineLevel="0" collapsed="false">
      <c r="BA401" s="0" t="n">
        <f aca="false">IF('Master Database'!$A401="",0,IF(AND(OR($B$5="",ISNUMBER(SEARCH($B$5,'Master Database'!$B401&amp;" "&amp;'Master Database'!$D401))),OR($B$6="(All)",'Master Database'!$C401=$B$6),OR($B$7="(All)",'Master Database'!$E401=$B$7),OR($B$8="(All)",'Master Database'!$T401=$B$8),OR($B$9="(All)",'Master Database'!$M401=$B$9),OR($B$10="(All)",'Master Database'!$V401=$B$10),OR($E$5="(All)",'Master Database'!$F401=$E$5),OR($E$6="(All)",'Master Database'!$G401=$E$6),OR($E$7="(All)",'Master Database'!$O401=$E$7),OR($E$8="(All)",'Master Database'!$P401=$E$8),OR($E$9="(All)",'Master Database'!$S401=$E$9),OR($E$10="(All)",'Master Database'!$Y401&amp;""=$E$10&amp;""),OR($H$5="(All)",'Master Database'!$BG401=$H$5),OR($H$6&lt;&gt;"Y",ISNUMBER('Master Database'!$AG401)),OR($H$7="",AND(ISNUMBER('Master Database'!$H401),N('Master Database'!$H401)&gt;=$H$7)),OR($I$7="",AND(ISNUMBER('Master Database'!$H401),N('Master Database'!$H401)&lt;=$I$7)),OR($H$8="",AND(ISNUMBER('Master Database'!$I401),N('Master Database'!$I401)&gt;=$H$8)),OR($I$8="",AND(ISNUMBER('Master Database'!$I401),N('Master Database'!$I401)&lt;=$I$8)),OR($H$9="",AND(ISNUMBER('Master Database'!$K401),N('Master Database'!$K401)&gt;=$H$9)),OR($I$9="",AND(ISNUMBER('Master Database'!$K401),N('Master Database'!$K401)&lt;=$I$9))),1,0))</f>
        <v>0</v>
      </c>
      <c r="BB401" s="0" t="str">
        <f aca="false">IF(BA401=1,COUNTIF($BA$5:BA401,1),"")</f>
        <v/>
      </c>
    </row>
    <row r="402" customFormat="false" ht="15" hidden="false" customHeight="false" outlineLevel="0" collapsed="false">
      <c r="BA402" s="0" t="n">
        <f aca="false">IF('Master Database'!$A402="",0,IF(AND(OR($B$5="",ISNUMBER(SEARCH($B$5,'Master Database'!$B402&amp;" "&amp;'Master Database'!$D402))),OR($B$6="(All)",'Master Database'!$C402=$B$6),OR($B$7="(All)",'Master Database'!$E402=$B$7),OR($B$8="(All)",'Master Database'!$T402=$B$8),OR($B$9="(All)",'Master Database'!$M402=$B$9),OR($B$10="(All)",'Master Database'!$V402=$B$10),OR($E$5="(All)",'Master Database'!$F402=$E$5),OR($E$6="(All)",'Master Database'!$G402=$E$6),OR($E$7="(All)",'Master Database'!$O402=$E$7),OR($E$8="(All)",'Master Database'!$P402=$E$8),OR($E$9="(All)",'Master Database'!$S402=$E$9),OR($E$10="(All)",'Master Database'!$Y402&amp;""=$E$10&amp;""),OR($H$5="(All)",'Master Database'!$BG402=$H$5),OR($H$6&lt;&gt;"Y",ISNUMBER('Master Database'!$AG402)),OR($H$7="",AND(ISNUMBER('Master Database'!$H402),N('Master Database'!$H402)&gt;=$H$7)),OR($I$7="",AND(ISNUMBER('Master Database'!$H402),N('Master Database'!$H402)&lt;=$I$7)),OR($H$8="",AND(ISNUMBER('Master Database'!$I402),N('Master Database'!$I402)&gt;=$H$8)),OR($I$8="",AND(ISNUMBER('Master Database'!$I402),N('Master Database'!$I402)&lt;=$I$8)),OR($H$9="",AND(ISNUMBER('Master Database'!$K402),N('Master Database'!$K402)&gt;=$H$9)),OR($I$9="",AND(ISNUMBER('Master Database'!$K402),N('Master Database'!$K402)&lt;=$I$9))),1,0))</f>
        <v>0</v>
      </c>
      <c r="BB402" s="0" t="str">
        <f aca="false">IF(BA402=1,COUNTIF($BA$5:BA402,1),"")</f>
        <v/>
      </c>
    </row>
    <row r="403" customFormat="false" ht="15" hidden="false" customHeight="false" outlineLevel="0" collapsed="false">
      <c r="BA403" s="0" t="n">
        <f aca="false">IF('Master Database'!$A403="",0,IF(AND(OR($B$5="",ISNUMBER(SEARCH($B$5,'Master Database'!$B403&amp;" "&amp;'Master Database'!$D403))),OR($B$6="(All)",'Master Database'!$C403=$B$6),OR($B$7="(All)",'Master Database'!$E403=$B$7),OR($B$8="(All)",'Master Database'!$T403=$B$8),OR($B$9="(All)",'Master Database'!$M403=$B$9),OR($B$10="(All)",'Master Database'!$V403=$B$10),OR($E$5="(All)",'Master Database'!$F403=$E$5),OR($E$6="(All)",'Master Database'!$G403=$E$6),OR($E$7="(All)",'Master Database'!$O403=$E$7),OR($E$8="(All)",'Master Database'!$P403=$E$8),OR($E$9="(All)",'Master Database'!$S403=$E$9),OR($E$10="(All)",'Master Database'!$Y403&amp;""=$E$10&amp;""),OR($H$5="(All)",'Master Database'!$BG403=$H$5),OR($H$6&lt;&gt;"Y",ISNUMBER('Master Database'!$AG403)),OR($H$7="",AND(ISNUMBER('Master Database'!$H403),N('Master Database'!$H403)&gt;=$H$7)),OR($I$7="",AND(ISNUMBER('Master Database'!$H403),N('Master Database'!$H403)&lt;=$I$7)),OR($H$8="",AND(ISNUMBER('Master Database'!$I403),N('Master Database'!$I403)&gt;=$H$8)),OR($I$8="",AND(ISNUMBER('Master Database'!$I403),N('Master Database'!$I403)&lt;=$I$8)),OR($H$9="",AND(ISNUMBER('Master Database'!$K403),N('Master Database'!$K403)&gt;=$H$9)),OR($I$9="",AND(ISNUMBER('Master Database'!$K403),N('Master Database'!$K403)&lt;=$I$9))),1,0))</f>
        <v>0</v>
      </c>
      <c r="BB403" s="0" t="str">
        <f aca="false">IF(BA403=1,COUNTIF($BA$5:BA403,1),"")</f>
        <v/>
      </c>
    </row>
    <row r="404" customFormat="false" ht="15" hidden="false" customHeight="false" outlineLevel="0" collapsed="false">
      <c r="BA404" s="0" t="n">
        <f aca="false">IF('Master Database'!$A404="",0,IF(AND(OR($B$5="",ISNUMBER(SEARCH($B$5,'Master Database'!$B404&amp;" "&amp;'Master Database'!$D404))),OR($B$6="(All)",'Master Database'!$C404=$B$6),OR($B$7="(All)",'Master Database'!$E404=$B$7),OR($B$8="(All)",'Master Database'!$T404=$B$8),OR($B$9="(All)",'Master Database'!$M404=$B$9),OR($B$10="(All)",'Master Database'!$V404=$B$10),OR($E$5="(All)",'Master Database'!$F404=$E$5),OR($E$6="(All)",'Master Database'!$G404=$E$6),OR($E$7="(All)",'Master Database'!$O404=$E$7),OR($E$8="(All)",'Master Database'!$P404=$E$8),OR($E$9="(All)",'Master Database'!$S404=$E$9),OR($E$10="(All)",'Master Database'!$Y404&amp;""=$E$10&amp;""),OR($H$5="(All)",'Master Database'!$BG404=$H$5),OR($H$6&lt;&gt;"Y",ISNUMBER('Master Database'!$AG404)),OR($H$7="",AND(ISNUMBER('Master Database'!$H404),N('Master Database'!$H404)&gt;=$H$7)),OR($I$7="",AND(ISNUMBER('Master Database'!$H404),N('Master Database'!$H404)&lt;=$I$7)),OR($H$8="",AND(ISNUMBER('Master Database'!$I404),N('Master Database'!$I404)&gt;=$H$8)),OR($I$8="",AND(ISNUMBER('Master Database'!$I404),N('Master Database'!$I404)&lt;=$I$8)),OR($H$9="",AND(ISNUMBER('Master Database'!$K404),N('Master Database'!$K404)&gt;=$H$9)),OR($I$9="",AND(ISNUMBER('Master Database'!$K404),N('Master Database'!$K404)&lt;=$I$9))),1,0))</f>
        <v>0</v>
      </c>
      <c r="BB404" s="0" t="str">
        <f aca="false">IF(BA404=1,COUNTIF($BA$5:BA404,1),"")</f>
        <v/>
      </c>
    </row>
    <row r="405" customFormat="false" ht="15" hidden="false" customHeight="false" outlineLevel="0" collapsed="false">
      <c r="BA405" s="0" t="n">
        <f aca="false">IF('Master Database'!$A405="",0,IF(AND(OR($B$5="",ISNUMBER(SEARCH($B$5,'Master Database'!$B405&amp;" "&amp;'Master Database'!$D405))),OR($B$6="(All)",'Master Database'!$C405=$B$6),OR($B$7="(All)",'Master Database'!$E405=$B$7),OR($B$8="(All)",'Master Database'!$T405=$B$8),OR($B$9="(All)",'Master Database'!$M405=$B$9),OR($B$10="(All)",'Master Database'!$V405=$B$10),OR($E$5="(All)",'Master Database'!$F405=$E$5),OR($E$6="(All)",'Master Database'!$G405=$E$6),OR($E$7="(All)",'Master Database'!$O405=$E$7),OR($E$8="(All)",'Master Database'!$P405=$E$8),OR($E$9="(All)",'Master Database'!$S405=$E$9),OR($E$10="(All)",'Master Database'!$Y405&amp;""=$E$10&amp;""),OR($H$5="(All)",'Master Database'!$BG405=$H$5),OR($H$6&lt;&gt;"Y",ISNUMBER('Master Database'!$AG405)),OR($H$7="",AND(ISNUMBER('Master Database'!$H405),N('Master Database'!$H405)&gt;=$H$7)),OR($I$7="",AND(ISNUMBER('Master Database'!$H405),N('Master Database'!$H405)&lt;=$I$7)),OR($H$8="",AND(ISNUMBER('Master Database'!$I405),N('Master Database'!$I405)&gt;=$H$8)),OR($I$8="",AND(ISNUMBER('Master Database'!$I405),N('Master Database'!$I405)&lt;=$I$8)),OR($H$9="",AND(ISNUMBER('Master Database'!$K405),N('Master Database'!$K405)&gt;=$H$9)),OR($I$9="",AND(ISNUMBER('Master Database'!$K405),N('Master Database'!$K405)&lt;=$I$9))),1,0))</f>
        <v>0</v>
      </c>
      <c r="BB405" s="0" t="str">
        <f aca="false">IF(BA405=1,COUNTIF($BA$5:BA405,1),"")</f>
        <v/>
      </c>
    </row>
    <row r="406" customFormat="false" ht="15" hidden="false" customHeight="false" outlineLevel="0" collapsed="false">
      <c r="BA406" s="0" t="n">
        <f aca="false">IF('Master Database'!$A406="",0,IF(AND(OR($B$5="",ISNUMBER(SEARCH($B$5,'Master Database'!$B406&amp;" "&amp;'Master Database'!$D406))),OR($B$6="(All)",'Master Database'!$C406=$B$6),OR($B$7="(All)",'Master Database'!$E406=$B$7),OR($B$8="(All)",'Master Database'!$T406=$B$8),OR($B$9="(All)",'Master Database'!$M406=$B$9),OR($B$10="(All)",'Master Database'!$V406=$B$10),OR($E$5="(All)",'Master Database'!$F406=$E$5),OR($E$6="(All)",'Master Database'!$G406=$E$6),OR($E$7="(All)",'Master Database'!$O406=$E$7),OR($E$8="(All)",'Master Database'!$P406=$E$8),OR($E$9="(All)",'Master Database'!$S406=$E$9),OR($E$10="(All)",'Master Database'!$Y406&amp;""=$E$10&amp;""),OR($H$5="(All)",'Master Database'!$BG406=$H$5),OR($H$6&lt;&gt;"Y",ISNUMBER('Master Database'!$AG406)),OR($H$7="",AND(ISNUMBER('Master Database'!$H406),N('Master Database'!$H406)&gt;=$H$7)),OR($I$7="",AND(ISNUMBER('Master Database'!$H406),N('Master Database'!$H406)&lt;=$I$7)),OR($H$8="",AND(ISNUMBER('Master Database'!$I406),N('Master Database'!$I406)&gt;=$H$8)),OR($I$8="",AND(ISNUMBER('Master Database'!$I406),N('Master Database'!$I406)&lt;=$I$8)),OR($H$9="",AND(ISNUMBER('Master Database'!$K406),N('Master Database'!$K406)&gt;=$H$9)),OR($I$9="",AND(ISNUMBER('Master Database'!$K406),N('Master Database'!$K406)&lt;=$I$9))),1,0))</f>
        <v>0</v>
      </c>
      <c r="BB406" s="0" t="str">
        <f aca="false">IF(BA406=1,COUNTIF($BA$5:BA406,1),"")</f>
        <v/>
      </c>
    </row>
    <row r="407" customFormat="false" ht="15" hidden="false" customHeight="false" outlineLevel="0" collapsed="false">
      <c r="BA407" s="0" t="n">
        <f aca="false">IF('Master Database'!$A407="",0,IF(AND(OR($B$5="",ISNUMBER(SEARCH($B$5,'Master Database'!$B407&amp;" "&amp;'Master Database'!$D407))),OR($B$6="(All)",'Master Database'!$C407=$B$6),OR($B$7="(All)",'Master Database'!$E407=$B$7),OR($B$8="(All)",'Master Database'!$T407=$B$8),OR($B$9="(All)",'Master Database'!$M407=$B$9),OR($B$10="(All)",'Master Database'!$V407=$B$10),OR($E$5="(All)",'Master Database'!$F407=$E$5),OR($E$6="(All)",'Master Database'!$G407=$E$6),OR($E$7="(All)",'Master Database'!$O407=$E$7),OR($E$8="(All)",'Master Database'!$P407=$E$8),OR($E$9="(All)",'Master Database'!$S407=$E$9),OR($E$10="(All)",'Master Database'!$Y407&amp;""=$E$10&amp;""),OR($H$5="(All)",'Master Database'!$BG407=$H$5),OR($H$6&lt;&gt;"Y",ISNUMBER('Master Database'!$AG407)),OR($H$7="",AND(ISNUMBER('Master Database'!$H407),N('Master Database'!$H407)&gt;=$H$7)),OR($I$7="",AND(ISNUMBER('Master Database'!$H407),N('Master Database'!$H407)&lt;=$I$7)),OR($H$8="",AND(ISNUMBER('Master Database'!$I407),N('Master Database'!$I407)&gt;=$H$8)),OR($I$8="",AND(ISNUMBER('Master Database'!$I407),N('Master Database'!$I407)&lt;=$I$8)),OR($H$9="",AND(ISNUMBER('Master Database'!$K407),N('Master Database'!$K407)&gt;=$H$9)),OR($I$9="",AND(ISNUMBER('Master Database'!$K407),N('Master Database'!$K407)&lt;=$I$9))),1,0))</f>
        <v>0</v>
      </c>
      <c r="BB407" s="0" t="str">
        <f aca="false">IF(BA407=1,COUNTIF($BA$5:BA407,1),"")</f>
        <v/>
      </c>
    </row>
    <row r="408" customFormat="false" ht="15" hidden="false" customHeight="false" outlineLevel="0" collapsed="false">
      <c r="BA408" s="0" t="n">
        <f aca="false">IF('Master Database'!$A408="",0,IF(AND(OR($B$5="",ISNUMBER(SEARCH($B$5,'Master Database'!$B408&amp;" "&amp;'Master Database'!$D408))),OR($B$6="(All)",'Master Database'!$C408=$B$6),OR($B$7="(All)",'Master Database'!$E408=$B$7),OR($B$8="(All)",'Master Database'!$T408=$B$8),OR($B$9="(All)",'Master Database'!$M408=$B$9),OR($B$10="(All)",'Master Database'!$V408=$B$10),OR($E$5="(All)",'Master Database'!$F408=$E$5),OR($E$6="(All)",'Master Database'!$G408=$E$6),OR($E$7="(All)",'Master Database'!$O408=$E$7),OR($E$8="(All)",'Master Database'!$P408=$E$8),OR($E$9="(All)",'Master Database'!$S408=$E$9),OR($E$10="(All)",'Master Database'!$Y408&amp;""=$E$10&amp;""),OR($H$5="(All)",'Master Database'!$BG408=$H$5),OR($H$6&lt;&gt;"Y",ISNUMBER('Master Database'!$AG408)),OR($H$7="",AND(ISNUMBER('Master Database'!$H408),N('Master Database'!$H408)&gt;=$H$7)),OR($I$7="",AND(ISNUMBER('Master Database'!$H408),N('Master Database'!$H408)&lt;=$I$7)),OR($H$8="",AND(ISNUMBER('Master Database'!$I408),N('Master Database'!$I408)&gt;=$H$8)),OR($I$8="",AND(ISNUMBER('Master Database'!$I408),N('Master Database'!$I408)&lt;=$I$8)),OR($H$9="",AND(ISNUMBER('Master Database'!$K408),N('Master Database'!$K408)&gt;=$H$9)),OR($I$9="",AND(ISNUMBER('Master Database'!$K408),N('Master Database'!$K408)&lt;=$I$9))),1,0))</f>
        <v>0</v>
      </c>
      <c r="BB408" s="0" t="str">
        <f aca="false">IF(BA408=1,COUNTIF($BA$5:BA408,1),"")</f>
        <v/>
      </c>
    </row>
    <row r="409" customFormat="false" ht="15" hidden="false" customHeight="false" outlineLevel="0" collapsed="false">
      <c r="BA409" s="0" t="n">
        <f aca="false">IF('Master Database'!$A409="",0,IF(AND(OR($B$5="",ISNUMBER(SEARCH($B$5,'Master Database'!$B409&amp;" "&amp;'Master Database'!$D409))),OR($B$6="(All)",'Master Database'!$C409=$B$6),OR($B$7="(All)",'Master Database'!$E409=$B$7),OR($B$8="(All)",'Master Database'!$T409=$B$8),OR($B$9="(All)",'Master Database'!$M409=$B$9),OR($B$10="(All)",'Master Database'!$V409=$B$10),OR($E$5="(All)",'Master Database'!$F409=$E$5),OR($E$6="(All)",'Master Database'!$G409=$E$6),OR($E$7="(All)",'Master Database'!$O409=$E$7),OR($E$8="(All)",'Master Database'!$P409=$E$8),OR($E$9="(All)",'Master Database'!$S409=$E$9),OR($E$10="(All)",'Master Database'!$Y409&amp;""=$E$10&amp;""),OR($H$5="(All)",'Master Database'!$BG409=$H$5),OR($H$6&lt;&gt;"Y",ISNUMBER('Master Database'!$AG409)),OR($H$7="",AND(ISNUMBER('Master Database'!$H409),N('Master Database'!$H409)&gt;=$H$7)),OR($I$7="",AND(ISNUMBER('Master Database'!$H409),N('Master Database'!$H409)&lt;=$I$7)),OR($H$8="",AND(ISNUMBER('Master Database'!$I409),N('Master Database'!$I409)&gt;=$H$8)),OR($I$8="",AND(ISNUMBER('Master Database'!$I409),N('Master Database'!$I409)&lt;=$I$8)),OR($H$9="",AND(ISNUMBER('Master Database'!$K409),N('Master Database'!$K409)&gt;=$H$9)),OR($I$9="",AND(ISNUMBER('Master Database'!$K409),N('Master Database'!$K409)&lt;=$I$9))),1,0))</f>
        <v>0</v>
      </c>
      <c r="BB409" s="0" t="str">
        <f aca="false">IF(BA409=1,COUNTIF($BA$5:BA409,1),"")</f>
        <v/>
      </c>
    </row>
    <row r="410" customFormat="false" ht="15" hidden="false" customHeight="false" outlineLevel="0" collapsed="false">
      <c r="BA410" s="0" t="n">
        <f aca="false">IF('Master Database'!$A410="",0,IF(AND(OR($B$5="",ISNUMBER(SEARCH($B$5,'Master Database'!$B410&amp;" "&amp;'Master Database'!$D410))),OR($B$6="(All)",'Master Database'!$C410=$B$6),OR($B$7="(All)",'Master Database'!$E410=$B$7),OR($B$8="(All)",'Master Database'!$T410=$B$8),OR($B$9="(All)",'Master Database'!$M410=$B$9),OR($B$10="(All)",'Master Database'!$V410=$B$10),OR($E$5="(All)",'Master Database'!$F410=$E$5),OR($E$6="(All)",'Master Database'!$G410=$E$6),OR($E$7="(All)",'Master Database'!$O410=$E$7),OR($E$8="(All)",'Master Database'!$P410=$E$8),OR($E$9="(All)",'Master Database'!$S410=$E$9),OR($E$10="(All)",'Master Database'!$Y410&amp;""=$E$10&amp;""),OR($H$5="(All)",'Master Database'!$BG410=$H$5),OR($H$6&lt;&gt;"Y",ISNUMBER('Master Database'!$AG410)),OR($H$7="",AND(ISNUMBER('Master Database'!$H410),N('Master Database'!$H410)&gt;=$H$7)),OR($I$7="",AND(ISNUMBER('Master Database'!$H410),N('Master Database'!$H410)&lt;=$I$7)),OR($H$8="",AND(ISNUMBER('Master Database'!$I410),N('Master Database'!$I410)&gt;=$H$8)),OR($I$8="",AND(ISNUMBER('Master Database'!$I410),N('Master Database'!$I410)&lt;=$I$8)),OR($H$9="",AND(ISNUMBER('Master Database'!$K410),N('Master Database'!$K410)&gt;=$H$9)),OR($I$9="",AND(ISNUMBER('Master Database'!$K410),N('Master Database'!$K410)&lt;=$I$9))),1,0))</f>
        <v>0</v>
      </c>
      <c r="BB410" s="0" t="str">
        <f aca="false">IF(BA410=1,COUNTIF($BA$5:BA410,1),"")</f>
        <v/>
      </c>
    </row>
    <row r="411" customFormat="false" ht="15" hidden="false" customHeight="false" outlineLevel="0" collapsed="false">
      <c r="BA411" s="0" t="n">
        <f aca="false">IF('Master Database'!$A411="",0,IF(AND(OR($B$5="",ISNUMBER(SEARCH($B$5,'Master Database'!$B411&amp;" "&amp;'Master Database'!$D411))),OR($B$6="(All)",'Master Database'!$C411=$B$6),OR($B$7="(All)",'Master Database'!$E411=$B$7),OR($B$8="(All)",'Master Database'!$T411=$B$8),OR($B$9="(All)",'Master Database'!$M411=$B$9),OR($B$10="(All)",'Master Database'!$V411=$B$10),OR($E$5="(All)",'Master Database'!$F411=$E$5),OR($E$6="(All)",'Master Database'!$G411=$E$6),OR($E$7="(All)",'Master Database'!$O411=$E$7),OR($E$8="(All)",'Master Database'!$P411=$E$8),OR($E$9="(All)",'Master Database'!$S411=$E$9),OR($E$10="(All)",'Master Database'!$Y411&amp;""=$E$10&amp;""),OR($H$5="(All)",'Master Database'!$BG411=$H$5),OR($H$6&lt;&gt;"Y",ISNUMBER('Master Database'!$AG411)),OR($H$7="",AND(ISNUMBER('Master Database'!$H411),N('Master Database'!$H411)&gt;=$H$7)),OR($I$7="",AND(ISNUMBER('Master Database'!$H411),N('Master Database'!$H411)&lt;=$I$7)),OR($H$8="",AND(ISNUMBER('Master Database'!$I411),N('Master Database'!$I411)&gt;=$H$8)),OR($I$8="",AND(ISNUMBER('Master Database'!$I411),N('Master Database'!$I411)&lt;=$I$8)),OR($H$9="",AND(ISNUMBER('Master Database'!$K411),N('Master Database'!$K411)&gt;=$H$9)),OR($I$9="",AND(ISNUMBER('Master Database'!$K411),N('Master Database'!$K411)&lt;=$I$9))),1,0))</f>
        <v>0</v>
      </c>
      <c r="BB411" s="0" t="str">
        <f aca="false">IF(BA411=1,COUNTIF($BA$5:BA411,1),"")</f>
        <v/>
      </c>
    </row>
    <row r="412" customFormat="false" ht="15" hidden="false" customHeight="false" outlineLevel="0" collapsed="false">
      <c r="BA412" s="0" t="n">
        <f aca="false">IF('Master Database'!$A412="",0,IF(AND(OR($B$5="",ISNUMBER(SEARCH($B$5,'Master Database'!$B412&amp;" "&amp;'Master Database'!$D412))),OR($B$6="(All)",'Master Database'!$C412=$B$6),OR($B$7="(All)",'Master Database'!$E412=$B$7),OR($B$8="(All)",'Master Database'!$T412=$B$8),OR($B$9="(All)",'Master Database'!$M412=$B$9),OR($B$10="(All)",'Master Database'!$V412=$B$10),OR($E$5="(All)",'Master Database'!$F412=$E$5),OR($E$6="(All)",'Master Database'!$G412=$E$6),OR($E$7="(All)",'Master Database'!$O412=$E$7),OR($E$8="(All)",'Master Database'!$P412=$E$8),OR($E$9="(All)",'Master Database'!$S412=$E$9),OR($E$10="(All)",'Master Database'!$Y412&amp;""=$E$10&amp;""),OR($H$5="(All)",'Master Database'!$BG412=$H$5),OR($H$6&lt;&gt;"Y",ISNUMBER('Master Database'!$AG412)),OR($H$7="",AND(ISNUMBER('Master Database'!$H412),N('Master Database'!$H412)&gt;=$H$7)),OR($I$7="",AND(ISNUMBER('Master Database'!$H412),N('Master Database'!$H412)&lt;=$I$7)),OR($H$8="",AND(ISNUMBER('Master Database'!$I412),N('Master Database'!$I412)&gt;=$H$8)),OR($I$8="",AND(ISNUMBER('Master Database'!$I412),N('Master Database'!$I412)&lt;=$I$8)),OR($H$9="",AND(ISNUMBER('Master Database'!$K412),N('Master Database'!$K412)&gt;=$H$9)),OR($I$9="",AND(ISNUMBER('Master Database'!$K412),N('Master Database'!$K412)&lt;=$I$9))),1,0))</f>
        <v>0</v>
      </c>
      <c r="BB412" s="0" t="str">
        <f aca="false">IF(BA412=1,COUNTIF($BA$5:BA412,1),"")</f>
        <v/>
      </c>
    </row>
    <row r="413" customFormat="false" ht="15" hidden="false" customHeight="false" outlineLevel="0" collapsed="false">
      <c r="BA413" s="0" t="n">
        <f aca="false">IF('Master Database'!$A413="",0,IF(AND(OR($B$5="",ISNUMBER(SEARCH($B$5,'Master Database'!$B413&amp;" "&amp;'Master Database'!$D413))),OR($B$6="(All)",'Master Database'!$C413=$B$6),OR($B$7="(All)",'Master Database'!$E413=$B$7),OR($B$8="(All)",'Master Database'!$T413=$B$8),OR($B$9="(All)",'Master Database'!$M413=$B$9),OR($B$10="(All)",'Master Database'!$V413=$B$10),OR($E$5="(All)",'Master Database'!$F413=$E$5),OR($E$6="(All)",'Master Database'!$G413=$E$6),OR($E$7="(All)",'Master Database'!$O413=$E$7),OR($E$8="(All)",'Master Database'!$P413=$E$8),OR($E$9="(All)",'Master Database'!$S413=$E$9),OR($E$10="(All)",'Master Database'!$Y413&amp;""=$E$10&amp;""),OR($H$5="(All)",'Master Database'!$BG413=$H$5),OR($H$6&lt;&gt;"Y",ISNUMBER('Master Database'!$AG413)),OR($H$7="",AND(ISNUMBER('Master Database'!$H413),N('Master Database'!$H413)&gt;=$H$7)),OR($I$7="",AND(ISNUMBER('Master Database'!$H413),N('Master Database'!$H413)&lt;=$I$7)),OR($H$8="",AND(ISNUMBER('Master Database'!$I413),N('Master Database'!$I413)&gt;=$H$8)),OR($I$8="",AND(ISNUMBER('Master Database'!$I413),N('Master Database'!$I413)&lt;=$I$8)),OR($H$9="",AND(ISNUMBER('Master Database'!$K413),N('Master Database'!$K413)&gt;=$H$9)),OR($I$9="",AND(ISNUMBER('Master Database'!$K413),N('Master Database'!$K413)&lt;=$I$9))),1,0))</f>
        <v>0</v>
      </c>
      <c r="BB413" s="0" t="str">
        <f aca="false">IF(BA413=1,COUNTIF($BA$5:BA413,1),"")</f>
        <v/>
      </c>
    </row>
    <row r="414" customFormat="false" ht="15" hidden="false" customHeight="false" outlineLevel="0" collapsed="false">
      <c r="BA414" s="0" t="n">
        <f aca="false">IF('Master Database'!$A414="",0,IF(AND(OR($B$5="",ISNUMBER(SEARCH($B$5,'Master Database'!$B414&amp;" "&amp;'Master Database'!$D414))),OR($B$6="(All)",'Master Database'!$C414=$B$6),OR($B$7="(All)",'Master Database'!$E414=$B$7),OR($B$8="(All)",'Master Database'!$T414=$B$8),OR($B$9="(All)",'Master Database'!$M414=$B$9),OR($B$10="(All)",'Master Database'!$V414=$B$10),OR($E$5="(All)",'Master Database'!$F414=$E$5),OR($E$6="(All)",'Master Database'!$G414=$E$6),OR($E$7="(All)",'Master Database'!$O414=$E$7),OR($E$8="(All)",'Master Database'!$P414=$E$8),OR($E$9="(All)",'Master Database'!$S414=$E$9),OR($E$10="(All)",'Master Database'!$Y414&amp;""=$E$10&amp;""),OR($H$5="(All)",'Master Database'!$BG414=$H$5),OR($H$6&lt;&gt;"Y",ISNUMBER('Master Database'!$AG414)),OR($H$7="",AND(ISNUMBER('Master Database'!$H414),N('Master Database'!$H414)&gt;=$H$7)),OR($I$7="",AND(ISNUMBER('Master Database'!$H414),N('Master Database'!$H414)&lt;=$I$7)),OR($H$8="",AND(ISNUMBER('Master Database'!$I414),N('Master Database'!$I414)&gt;=$H$8)),OR($I$8="",AND(ISNUMBER('Master Database'!$I414),N('Master Database'!$I414)&lt;=$I$8)),OR($H$9="",AND(ISNUMBER('Master Database'!$K414),N('Master Database'!$K414)&gt;=$H$9)),OR($I$9="",AND(ISNUMBER('Master Database'!$K414),N('Master Database'!$K414)&lt;=$I$9))),1,0))</f>
        <v>0</v>
      </c>
      <c r="BB414" s="0" t="str">
        <f aca="false">IF(BA414=1,COUNTIF($BA$5:BA414,1),"")</f>
        <v/>
      </c>
    </row>
    <row r="415" customFormat="false" ht="15" hidden="false" customHeight="false" outlineLevel="0" collapsed="false">
      <c r="BA415" s="0" t="n">
        <f aca="false">IF('Master Database'!$A415="",0,IF(AND(OR($B$5="",ISNUMBER(SEARCH($B$5,'Master Database'!$B415&amp;" "&amp;'Master Database'!$D415))),OR($B$6="(All)",'Master Database'!$C415=$B$6),OR($B$7="(All)",'Master Database'!$E415=$B$7),OR($B$8="(All)",'Master Database'!$T415=$B$8),OR($B$9="(All)",'Master Database'!$M415=$B$9),OR($B$10="(All)",'Master Database'!$V415=$B$10),OR($E$5="(All)",'Master Database'!$F415=$E$5),OR($E$6="(All)",'Master Database'!$G415=$E$6),OR($E$7="(All)",'Master Database'!$O415=$E$7),OR($E$8="(All)",'Master Database'!$P415=$E$8),OR($E$9="(All)",'Master Database'!$S415=$E$9),OR($E$10="(All)",'Master Database'!$Y415&amp;""=$E$10&amp;""),OR($H$5="(All)",'Master Database'!$BG415=$H$5),OR($H$6&lt;&gt;"Y",ISNUMBER('Master Database'!$AG415)),OR($H$7="",AND(ISNUMBER('Master Database'!$H415),N('Master Database'!$H415)&gt;=$H$7)),OR($I$7="",AND(ISNUMBER('Master Database'!$H415),N('Master Database'!$H415)&lt;=$I$7)),OR($H$8="",AND(ISNUMBER('Master Database'!$I415),N('Master Database'!$I415)&gt;=$H$8)),OR($I$8="",AND(ISNUMBER('Master Database'!$I415),N('Master Database'!$I415)&lt;=$I$8)),OR($H$9="",AND(ISNUMBER('Master Database'!$K415),N('Master Database'!$K415)&gt;=$H$9)),OR($I$9="",AND(ISNUMBER('Master Database'!$K415),N('Master Database'!$K415)&lt;=$I$9))),1,0))</f>
        <v>0</v>
      </c>
      <c r="BB415" s="0" t="str">
        <f aca="false">IF(BA415=1,COUNTIF($BA$5:BA415,1),"")</f>
        <v/>
      </c>
    </row>
    <row r="416" customFormat="false" ht="15" hidden="false" customHeight="false" outlineLevel="0" collapsed="false">
      <c r="BA416" s="0" t="n">
        <f aca="false">IF('Master Database'!$A416="",0,IF(AND(OR($B$5="",ISNUMBER(SEARCH($B$5,'Master Database'!$B416&amp;" "&amp;'Master Database'!$D416))),OR($B$6="(All)",'Master Database'!$C416=$B$6),OR($B$7="(All)",'Master Database'!$E416=$B$7),OR($B$8="(All)",'Master Database'!$T416=$B$8),OR($B$9="(All)",'Master Database'!$M416=$B$9),OR($B$10="(All)",'Master Database'!$V416=$B$10),OR($E$5="(All)",'Master Database'!$F416=$E$5),OR($E$6="(All)",'Master Database'!$G416=$E$6),OR($E$7="(All)",'Master Database'!$O416=$E$7),OR($E$8="(All)",'Master Database'!$P416=$E$8),OR($E$9="(All)",'Master Database'!$S416=$E$9),OR($E$10="(All)",'Master Database'!$Y416&amp;""=$E$10&amp;""),OR($H$5="(All)",'Master Database'!$BG416=$H$5),OR($H$6&lt;&gt;"Y",ISNUMBER('Master Database'!$AG416)),OR($H$7="",AND(ISNUMBER('Master Database'!$H416),N('Master Database'!$H416)&gt;=$H$7)),OR($I$7="",AND(ISNUMBER('Master Database'!$H416),N('Master Database'!$H416)&lt;=$I$7)),OR($H$8="",AND(ISNUMBER('Master Database'!$I416),N('Master Database'!$I416)&gt;=$H$8)),OR($I$8="",AND(ISNUMBER('Master Database'!$I416),N('Master Database'!$I416)&lt;=$I$8)),OR($H$9="",AND(ISNUMBER('Master Database'!$K416),N('Master Database'!$K416)&gt;=$H$9)),OR($I$9="",AND(ISNUMBER('Master Database'!$K416),N('Master Database'!$K416)&lt;=$I$9))),1,0))</f>
        <v>0</v>
      </c>
      <c r="BB416" s="0" t="str">
        <f aca="false">IF(BA416=1,COUNTIF($BA$5:BA416,1),"")</f>
        <v/>
      </c>
    </row>
    <row r="417" customFormat="false" ht="15" hidden="false" customHeight="false" outlineLevel="0" collapsed="false">
      <c r="BA417" s="0" t="n">
        <f aca="false">IF('Master Database'!$A417="",0,IF(AND(OR($B$5="",ISNUMBER(SEARCH($B$5,'Master Database'!$B417&amp;" "&amp;'Master Database'!$D417))),OR($B$6="(All)",'Master Database'!$C417=$B$6),OR($B$7="(All)",'Master Database'!$E417=$B$7),OR($B$8="(All)",'Master Database'!$T417=$B$8),OR($B$9="(All)",'Master Database'!$M417=$B$9),OR($B$10="(All)",'Master Database'!$V417=$B$10),OR($E$5="(All)",'Master Database'!$F417=$E$5),OR($E$6="(All)",'Master Database'!$G417=$E$6),OR($E$7="(All)",'Master Database'!$O417=$E$7),OR($E$8="(All)",'Master Database'!$P417=$E$8),OR($E$9="(All)",'Master Database'!$S417=$E$9),OR($E$10="(All)",'Master Database'!$Y417&amp;""=$E$10&amp;""),OR($H$5="(All)",'Master Database'!$BG417=$H$5),OR($H$6&lt;&gt;"Y",ISNUMBER('Master Database'!$AG417)),OR($H$7="",AND(ISNUMBER('Master Database'!$H417),N('Master Database'!$H417)&gt;=$H$7)),OR($I$7="",AND(ISNUMBER('Master Database'!$H417),N('Master Database'!$H417)&lt;=$I$7)),OR($H$8="",AND(ISNUMBER('Master Database'!$I417),N('Master Database'!$I417)&gt;=$H$8)),OR($I$8="",AND(ISNUMBER('Master Database'!$I417),N('Master Database'!$I417)&lt;=$I$8)),OR($H$9="",AND(ISNUMBER('Master Database'!$K417),N('Master Database'!$K417)&gt;=$H$9)),OR($I$9="",AND(ISNUMBER('Master Database'!$K417),N('Master Database'!$K417)&lt;=$I$9))),1,0))</f>
        <v>0</v>
      </c>
      <c r="BB417" s="0" t="str">
        <f aca="false">IF(BA417=1,COUNTIF($BA$5:BA417,1),"")</f>
        <v/>
      </c>
    </row>
    <row r="418" customFormat="false" ht="15" hidden="false" customHeight="false" outlineLevel="0" collapsed="false">
      <c r="BA418" s="0" t="n">
        <f aca="false">IF('Master Database'!$A418="",0,IF(AND(OR($B$5="",ISNUMBER(SEARCH($B$5,'Master Database'!$B418&amp;" "&amp;'Master Database'!$D418))),OR($B$6="(All)",'Master Database'!$C418=$B$6),OR($B$7="(All)",'Master Database'!$E418=$B$7),OR($B$8="(All)",'Master Database'!$T418=$B$8),OR($B$9="(All)",'Master Database'!$M418=$B$9),OR($B$10="(All)",'Master Database'!$V418=$B$10),OR($E$5="(All)",'Master Database'!$F418=$E$5),OR($E$6="(All)",'Master Database'!$G418=$E$6),OR($E$7="(All)",'Master Database'!$O418=$E$7),OR($E$8="(All)",'Master Database'!$P418=$E$8),OR($E$9="(All)",'Master Database'!$S418=$E$9),OR($E$10="(All)",'Master Database'!$Y418&amp;""=$E$10&amp;""),OR($H$5="(All)",'Master Database'!$BG418=$H$5),OR($H$6&lt;&gt;"Y",ISNUMBER('Master Database'!$AG418)),OR($H$7="",AND(ISNUMBER('Master Database'!$H418),N('Master Database'!$H418)&gt;=$H$7)),OR($I$7="",AND(ISNUMBER('Master Database'!$H418),N('Master Database'!$H418)&lt;=$I$7)),OR($H$8="",AND(ISNUMBER('Master Database'!$I418),N('Master Database'!$I418)&gt;=$H$8)),OR($I$8="",AND(ISNUMBER('Master Database'!$I418),N('Master Database'!$I418)&lt;=$I$8)),OR($H$9="",AND(ISNUMBER('Master Database'!$K418),N('Master Database'!$K418)&gt;=$H$9)),OR($I$9="",AND(ISNUMBER('Master Database'!$K418),N('Master Database'!$K418)&lt;=$I$9))),1,0))</f>
        <v>0</v>
      </c>
      <c r="BB418" s="0" t="str">
        <f aca="false">IF(BA418=1,COUNTIF($BA$5:BA418,1),"")</f>
        <v/>
      </c>
    </row>
    <row r="419" customFormat="false" ht="15" hidden="false" customHeight="false" outlineLevel="0" collapsed="false">
      <c r="BA419" s="0" t="n">
        <f aca="false">IF('Master Database'!$A419="",0,IF(AND(OR($B$5="",ISNUMBER(SEARCH($B$5,'Master Database'!$B419&amp;" "&amp;'Master Database'!$D419))),OR($B$6="(All)",'Master Database'!$C419=$B$6),OR($B$7="(All)",'Master Database'!$E419=$B$7),OR($B$8="(All)",'Master Database'!$T419=$B$8),OR($B$9="(All)",'Master Database'!$M419=$B$9),OR($B$10="(All)",'Master Database'!$V419=$B$10),OR($E$5="(All)",'Master Database'!$F419=$E$5),OR($E$6="(All)",'Master Database'!$G419=$E$6),OR($E$7="(All)",'Master Database'!$O419=$E$7),OR($E$8="(All)",'Master Database'!$P419=$E$8),OR($E$9="(All)",'Master Database'!$S419=$E$9),OR($E$10="(All)",'Master Database'!$Y419&amp;""=$E$10&amp;""),OR($H$5="(All)",'Master Database'!$BG419=$H$5),OR($H$6&lt;&gt;"Y",ISNUMBER('Master Database'!$AG419)),OR($H$7="",AND(ISNUMBER('Master Database'!$H419),N('Master Database'!$H419)&gt;=$H$7)),OR($I$7="",AND(ISNUMBER('Master Database'!$H419),N('Master Database'!$H419)&lt;=$I$7)),OR($H$8="",AND(ISNUMBER('Master Database'!$I419),N('Master Database'!$I419)&gt;=$H$8)),OR($I$8="",AND(ISNUMBER('Master Database'!$I419),N('Master Database'!$I419)&lt;=$I$8)),OR($H$9="",AND(ISNUMBER('Master Database'!$K419),N('Master Database'!$K419)&gt;=$H$9)),OR($I$9="",AND(ISNUMBER('Master Database'!$K419),N('Master Database'!$K419)&lt;=$I$9))),1,0))</f>
        <v>0</v>
      </c>
      <c r="BB419" s="0" t="str">
        <f aca="false">IF(BA419=1,COUNTIF($BA$5:BA419,1),"")</f>
        <v/>
      </c>
    </row>
    <row r="420" customFormat="false" ht="15" hidden="false" customHeight="false" outlineLevel="0" collapsed="false">
      <c r="BA420" s="0" t="n">
        <f aca="false">IF('Master Database'!$A420="",0,IF(AND(OR($B$5="",ISNUMBER(SEARCH($B$5,'Master Database'!$B420&amp;" "&amp;'Master Database'!$D420))),OR($B$6="(All)",'Master Database'!$C420=$B$6),OR($B$7="(All)",'Master Database'!$E420=$B$7),OR($B$8="(All)",'Master Database'!$T420=$B$8),OR($B$9="(All)",'Master Database'!$M420=$B$9),OR($B$10="(All)",'Master Database'!$V420=$B$10),OR($E$5="(All)",'Master Database'!$F420=$E$5),OR($E$6="(All)",'Master Database'!$G420=$E$6),OR($E$7="(All)",'Master Database'!$O420=$E$7),OR($E$8="(All)",'Master Database'!$P420=$E$8),OR($E$9="(All)",'Master Database'!$S420=$E$9),OR($E$10="(All)",'Master Database'!$Y420&amp;""=$E$10&amp;""),OR($H$5="(All)",'Master Database'!$BG420=$H$5),OR($H$6&lt;&gt;"Y",ISNUMBER('Master Database'!$AG420)),OR($H$7="",AND(ISNUMBER('Master Database'!$H420),N('Master Database'!$H420)&gt;=$H$7)),OR($I$7="",AND(ISNUMBER('Master Database'!$H420),N('Master Database'!$H420)&lt;=$I$7)),OR($H$8="",AND(ISNUMBER('Master Database'!$I420),N('Master Database'!$I420)&gt;=$H$8)),OR($I$8="",AND(ISNUMBER('Master Database'!$I420),N('Master Database'!$I420)&lt;=$I$8)),OR($H$9="",AND(ISNUMBER('Master Database'!$K420),N('Master Database'!$K420)&gt;=$H$9)),OR($I$9="",AND(ISNUMBER('Master Database'!$K420),N('Master Database'!$K420)&lt;=$I$9))),1,0))</f>
        <v>0</v>
      </c>
      <c r="BB420" s="0" t="str">
        <f aca="false">IF(BA420=1,COUNTIF($BA$5:BA420,1),"")</f>
        <v/>
      </c>
    </row>
    <row r="421" customFormat="false" ht="15" hidden="false" customHeight="false" outlineLevel="0" collapsed="false">
      <c r="BA421" s="0" t="n">
        <f aca="false">IF('Master Database'!$A421="",0,IF(AND(OR($B$5="",ISNUMBER(SEARCH($B$5,'Master Database'!$B421&amp;" "&amp;'Master Database'!$D421))),OR($B$6="(All)",'Master Database'!$C421=$B$6),OR($B$7="(All)",'Master Database'!$E421=$B$7),OR($B$8="(All)",'Master Database'!$T421=$B$8),OR($B$9="(All)",'Master Database'!$M421=$B$9),OR($B$10="(All)",'Master Database'!$V421=$B$10),OR($E$5="(All)",'Master Database'!$F421=$E$5),OR($E$6="(All)",'Master Database'!$G421=$E$6),OR($E$7="(All)",'Master Database'!$O421=$E$7),OR($E$8="(All)",'Master Database'!$P421=$E$8),OR($E$9="(All)",'Master Database'!$S421=$E$9),OR($E$10="(All)",'Master Database'!$Y421&amp;""=$E$10&amp;""),OR($H$5="(All)",'Master Database'!$BG421=$H$5),OR($H$6&lt;&gt;"Y",ISNUMBER('Master Database'!$AG421)),OR($H$7="",AND(ISNUMBER('Master Database'!$H421),N('Master Database'!$H421)&gt;=$H$7)),OR($I$7="",AND(ISNUMBER('Master Database'!$H421),N('Master Database'!$H421)&lt;=$I$7)),OR($H$8="",AND(ISNUMBER('Master Database'!$I421),N('Master Database'!$I421)&gt;=$H$8)),OR($I$8="",AND(ISNUMBER('Master Database'!$I421),N('Master Database'!$I421)&lt;=$I$8)),OR($H$9="",AND(ISNUMBER('Master Database'!$K421),N('Master Database'!$K421)&gt;=$H$9)),OR($I$9="",AND(ISNUMBER('Master Database'!$K421),N('Master Database'!$K421)&lt;=$I$9))),1,0))</f>
        <v>0</v>
      </c>
      <c r="BB421" s="0" t="str">
        <f aca="false">IF(BA421=1,COUNTIF($BA$5:BA421,1),"")</f>
        <v/>
      </c>
    </row>
    <row r="422" customFormat="false" ht="15" hidden="false" customHeight="false" outlineLevel="0" collapsed="false">
      <c r="BA422" s="0" t="n">
        <f aca="false">IF('Master Database'!$A422="",0,IF(AND(OR($B$5="",ISNUMBER(SEARCH($B$5,'Master Database'!$B422&amp;" "&amp;'Master Database'!$D422))),OR($B$6="(All)",'Master Database'!$C422=$B$6),OR($B$7="(All)",'Master Database'!$E422=$B$7),OR($B$8="(All)",'Master Database'!$T422=$B$8),OR($B$9="(All)",'Master Database'!$M422=$B$9),OR($B$10="(All)",'Master Database'!$V422=$B$10),OR($E$5="(All)",'Master Database'!$F422=$E$5),OR($E$6="(All)",'Master Database'!$G422=$E$6),OR($E$7="(All)",'Master Database'!$O422=$E$7),OR($E$8="(All)",'Master Database'!$P422=$E$8),OR($E$9="(All)",'Master Database'!$S422=$E$9),OR($E$10="(All)",'Master Database'!$Y422&amp;""=$E$10&amp;""),OR($H$5="(All)",'Master Database'!$BG422=$H$5),OR($H$6&lt;&gt;"Y",ISNUMBER('Master Database'!$AG422)),OR($H$7="",AND(ISNUMBER('Master Database'!$H422),N('Master Database'!$H422)&gt;=$H$7)),OR($I$7="",AND(ISNUMBER('Master Database'!$H422),N('Master Database'!$H422)&lt;=$I$7)),OR($H$8="",AND(ISNUMBER('Master Database'!$I422),N('Master Database'!$I422)&gt;=$H$8)),OR($I$8="",AND(ISNUMBER('Master Database'!$I422),N('Master Database'!$I422)&lt;=$I$8)),OR($H$9="",AND(ISNUMBER('Master Database'!$K422),N('Master Database'!$K422)&gt;=$H$9)),OR($I$9="",AND(ISNUMBER('Master Database'!$K422),N('Master Database'!$K422)&lt;=$I$9))),1,0))</f>
        <v>0</v>
      </c>
      <c r="BB422" s="0" t="str">
        <f aca="false">IF(BA422=1,COUNTIF($BA$5:BA422,1),"")</f>
        <v/>
      </c>
    </row>
    <row r="423" customFormat="false" ht="15" hidden="false" customHeight="false" outlineLevel="0" collapsed="false">
      <c r="BA423" s="0" t="n">
        <f aca="false">IF('Master Database'!$A423="",0,IF(AND(OR($B$5="",ISNUMBER(SEARCH($B$5,'Master Database'!$B423&amp;" "&amp;'Master Database'!$D423))),OR($B$6="(All)",'Master Database'!$C423=$B$6),OR($B$7="(All)",'Master Database'!$E423=$B$7),OR($B$8="(All)",'Master Database'!$T423=$B$8),OR($B$9="(All)",'Master Database'!$M423=$B$9),OR($B$10="(All)",'Master Database'!$V423=$B$10),OR($E$5="(All)",'Master Database'!$F423=$E$5),OR($E$6="(All)",'Master Database'!$G423=$E$6),OR($E$7="(All)",'Master Database'!$O423=$E$7),OR($E$8="(All)",'Master Database'!$P423=$E$8),OR($E$9="(All)",'Master Database'!$S423=$E$9),OR($E$10="(All)",'Master Database'!$Y423&amp;""=$E$10&amp;""),OR($H$5="(All)",'Master Database'!$BG423=$H$5),OR($H$6&lt;&gt;"Y",ISNUMBER('Master Database'!$AG423)),OR($H$7="",AND(ISNUMBER('Master Database'!$H423),N('Master Database'!$H423)&gt;=$H$7)),OR($I$7="",AND(ISNUMBER('Master Database'!$H423),N('Master Database'!$H423)&lt;=$I$7)),OR($H$8="",AND(ISNUMBER('Master Database'!$I423),N('Master Database'!$I423)&gt;=$H$8)),OR($I$8="",AND(ISNUMBER('Master Database'!$I423),N('Master Database'!$I423)&lt;=$I$8)),OR($H$9="",AND(ISNUMBER('Master Database'!$K423),N('Master Database'!$K423)&gt;=$H$9)),OR($I$9="",AND(ISNUMBER('Master Database'!$K423),N('Master Database'!$K423)&lt;=$I$9))),1,0))</f>
        <v>0</v>
      </c>
      <c r="BB423" s="0" t="str">
        <f aca="false">IF(BA423=1,COUNTIF($BA$5:BA423,1),"")</f>
        <v/>
      </c>
    </row>
    <row r="424" customFormat="false" ht="15" hidden="false" customHeight="false" outlineLevel="0" collapsed="false">
      <c r="BA424" s="0" t="n">
        <f aca="false">IF('Master Database'!$A424="",0,IF(AND(OR($B$5="",ISNUMBER(SEARCH($B$5,'Master Database'!$B424&amp;" "&amp;'Master Database'!$D424))),OR($B$6="(All)",'Master Database'!$C424=$B$6),OR($B$7="(All)",'Master Database'!$E424=$B$7),OR($B$8="(All)",'Master Database'!$T424=$B$8),OR($B$9="(All)",'Master Database'!$M424=$B$9),OR($B$10="(All)",'Master Database'!$V424=$B$10),OR($E$5="(All)",'Master Database'!$F424=$E$5),OR($E$6="(All)",'Master Database'!$G424=$E$6),OR($E$7="(All)",'Master Database'!$O424=$E$7),OR($E$8="(All)",'Master Database'!$P424=$E$8),OR($E$9="(All)",'Master Database'!$S424=$E$9),OR($E$10="(All)",'Master Database'!$Y424&amp;""=$E$10&amp;""),OR($H$5="(All)",'Master Database'!$BG424=$H$5),OR($H$6&lt;&gt;"Y",ISNUMBER('Master Database'!$AG424)),OR($H$7="",AND(ISNUMBER('Master Database'!$H424),N('Master Database'!$H424)&gt;=$H$7)),OR($I$7="",AND(ISNUMBER('Master Database'!$H424),N('Master Database'!$H424)&lt;=$I$7)),OR($H$8="",AND(ISNUMBER('Master Database'!$I424),N('Master Database'!$I424)&gt;=$H$8)),OR($I$8="",AND(ISNUMBER('Master Database'!$I424),N('Master Database'!$I424)&lt;=$I$8)),OR($H$9="",AND(ISNUMBER('Master Database'!$K424),N('Master Database'!$K424)&gt;=$H$9)),OR($I$9="",AND(ISNUMBER('Master Database'!$K424),N('Master Database'!$K424)&lt;=$I$9))),1,0))</f>
        <v>0</v>
      </c>
      <c r="BB424" s="0" t="str">
        <f aca="false">IF(BA424=1,COUNTIF($BA$5:BA424,1),"")</f>
        <v/>
      </c>
    </row>
    <row r="425" customFormat="false" ht="15" hidden="false" customHeight="false" outlineLevel="0" collapsed="false">
      <c r="BA425" s="0" t="n">
        <f aca="false">IF('Master Database'!$A425="",0,IF(AND(OR($B$5="",ISNUMBER(SEARCH($B$5,'Master Database'!$B425&amp;" "&amp;'Master Database'!$D425))),OR($B$6="(All)",'Master Database'!$C425=$B$6),OR($B$7="(All)",'Master Database'!$E425=$B$7),OR($B$8="(All)",'Master Database'!$T425=$B$8),OR($B$9="(All)",'Master Database'!$M425=$B$9),OR($B$10="(All)",'Master Database'!$V425=$B$10),OR($E$5="(All)",'Master Database'!$F425=$E$5),OR($E$6="(All)",'Master Database'!$G425=$E$6),OR($E$7="(All)",'Master Database'!$O425=$E$7),OR($E$8="(All)",'Master Database'!$P425=$E$8),OR($E$9="(All)",'Master Database'!$S425=$E$9),OR($E$10="(All)",'Master Database'!$Y425&amp;""=$E$10&amp;""),OR($H$5="(All)",'Master Database'!$BG425=$H$5),OR($H$6&lt;&gt;"Y",ISNUMBER('Master Database'!$AG425)),OR($H$7="",AND(ISNUMBER('Master Database'!$H425),N('Master Database'!$H425)&gt;=$H$7)),OR($I$7="",AND(ISNUMBER('Master Database'!$H425),N('Master Database'!$H425)&lt;=$I$7)),OR($H$8="",AND(ISNUMBER('Master Database'!$I425),N('Master Database'!$I425)&gt;=$H$8)),OR($I$8="",AND(ISNUMBER('Master Database'!$I425),N('Master Database'!$I425)&lt;=$I$8)),OR($H$9="",AND(ISNUMBER('Master Database'!$K425),N('Master Database'!$K425)&gt;=$H$9)),OR($I$9="",AND(ISNUMBER('Master Database'!$K425),N('Master Database'!$K425)&lt;=$I$9))),1,0))</f>
        <v>0</v>
      </c>
      <c r="BB425" s="0" t="str">
        <f aca="false">IF(BA425=1,COUNTIF($BA$5:BA425,1),"")</f>
        <v/>
      </c>
    </row>
    <row r="426" customFormat="false" ht="15" hidden="false" customHeight="false" outlineLevel="0" collapsed="false">
      <c r="BA426" s="0" t="n">
        <f aca="false">IF('Master Database'!$A426="",0,IF(AND(OR($B$5="",ISNUMBER(SEARCH($B$5,'Master Database'!$B426&amp;" "&amp;'Master Database'!$D426))),OR($B$6="(All)",'Master Database'!$C426=$B$6),OR($B$7="(All)",'Master Database'!$E426=$B$7),OR($B$8="(All)",'Master Database'!$T426=$B$8),OR($B$9="(All)",'Master Database'!$M426=$B$9),OR($B$10="(All)",'Master Database'!$V426=$B$10),OR($E$5="(All)",'Master Database'!$F426=$E$5),OR($E$6="(All)",'Master Database'!$G426=$E$6),OR($E$7="(All)",'Master Database'!$O426=$E$7),OR($E$8="(All)",'Master Database'!$P426=$E$8),OR($E$9="(All)",'Master Database'!$S426=$E$9),OR($E$10="(All)",'Master Database'!$Y426&amp;""=$E$10&amp;""),OR($H$5="(All)",'Master Database'!$BG426=$H$5),OR($H$6&lt;&gt;"Y",ISNUMBER('Master Database'!$AG426)),OR($H$7="",AND(ISNUMBER('Master Database'!$H426),N('Master Database'!$H426)&gt;=$H$7)),OR($I$7="",AND(ISNUMBER('Master Database'!$H426),N('Master Database'!$H426)&lt;=$I$7)),OR($H$8="",AND(ISNUMBER('Master Database'!$I426),N('Master Database'!$I426)&gt;=$H$8)),OR($I$8="",AND(ISNUMBER('Master Database'!$I426),N('Master Database'!$I426)&lt;=$I$8)),OR($H$9="",AND(ISNUMBER('Master Database'!$K426),N('Master Database'!$K426)&gt;=$H$9)),OR($I$9="",AND(ISNUMBER('Master Database'!$K426),N('Master Database'!$K426)&lt;=$I$9))),1,0))</f>
        <v>0</v>
      </c>
      <c r="BB426" s="0" t="str">
        <f aca="false">IF(BA426=1,COUNTIF($BA$5:BA426,1),"")</f>
        <v/>
      </c>
    </row>
    <row r="427" customFormat="false" ht="15" hidden="false" customHeight="false" outlineLevel="0" collapsed="false">
      <c r="BA427" s="0" t="n">
        <f aca="false">IF('Master Database'!$A427="",0,IF(AND(OR($B$5="",ISNUMBER(SEARCH($B$5,'Master Database'!$B427&amp;" "&amp;'Master Database'!$D427))),OR($B$6="(All)",'Master Database'!$C427=$B$6),OR($B$7="(All)",'Master Database'!$E427=$B$7),OR($B$8="(All)",'Master Database'!$T427=$B$8),OR($B$9="(All)",'Master Database'!$M427=$B$9),OR($B$10="(All)",'Master Database'!$V427=$B$10),OR($E$5="(All)",'Master Database'!$F427=$E$5),OR($E$6="(All)",'Master Database'!$G427=$E$6),OR($E$7="(All)",'Master Database'!$O427=$E$7),OR($E$8="(All)",'Master Database'!$P427=$E$8),OR($E$9="(All)",'Master Database'!$S427=$E$9),OR($E$10="(All)",'Master Database'!$Y427&amp;""=$E$10&amp;""),OR($H$5="(All)",'Master Database'!$BG427=$H$5),OR($H$6&lt;&gt;"Y",ISNUMBER('Master Database'!$AG427)),OR($H$7="",AND(ISNUMBER('Master Database'!$H427),N('Master Database'!$H427)&gt;=$H$7)),OR($I$7="",AND(ISNUMBER('Master Database'!$H427),N('Master Database'!$H427)&lt;=$I$7)),OR($H$8="",AND(ISNUMBER('Master Database'!$I427),N('Master Database'!$I427)&gt;=$H$8)),OR($I$8="",AND(ISNUMBER('Master Database'!$I427),N('Master Database'!$I427)&lt;=$I$8)),OR($H$9="",AND(ISNUMBER('Master Database'!$K427),N('Master Database'!$K427)&gt;=$H$9)),OR($I$9="",AND(ISNUMBER('Master Database'!$K427),N('Master Database'!$K427)&lt;=$I$9))),1,0))</f>
        <v>0</v>
      </c>
      <c r="BB427" s="0" t="str">
        <f aca="false">IF(BA427=1,COUNTIF($BA$5:BA427,1),"")</f>
        <v/>
      </c>
    </row>
    <row r="428" customFormat="false" ht="15" hidden="false" customHeight="false" outlineLevel="0" collapsed="false">
      <c r="BA428" s="0" t="n">
        <f aca="false">IF('Master Database'!$A428="",0,IF(AND(OR($B$5="",ISNUMBER(SEARCH($B$5,'Master Database'!$B428&amp;" "&amp;'Master Database'!$D428))),OR($B$6="(All)",'Master Database'!$C428=$B$6),OR($B$7="(All)",'Master Database'!$E428=$B$7),OR($B$8="(All)",'Master Database'!$T428=$B$8),OR($B$9="(All)",'Master Database'!$M428=$B$9),OR($B$10="(All)",'Master Database'!$V428=$B$10),OR($E$5="(All)",'Master Database'!$F428=$E$5),OR($E$6="(All)",'Master Database'!$G428=$E$6),OR($E$7="(All)",'Master Database'!$O428=$E$7),OR($E$8="(All)",'Master Database'!$P428=$E$8),OR($E$9="(All)",'Master Database'!$S428=$E$9),OR($E$10="(All)",'Master Database'!$Y428&amp;""=$E$10&amp;""),OR($H$5="(All)",'Master Database'!$BG428=$H$5),OR($H$6&lt;&gt;"Y",ISNUMBER('Master Database'!$AG428)),OR($H$7="",AND(ISNUMBER('Master Database'!$H428),N('Master Database'!$H428)&gt;=$H$7)),OR($I$7="",AND(ISNUMBER('Master Database'!$H428),N('Master Database'!$H428)&lt;=$I$7)),OR($H$8="",AND(ISNUMBER('Master Database'!$I428),N('Master Database'!$I428)&gt;=$H$8)),OR($I$8="",AND(ISNUMBER('Master Database'!$I428),N('Master Database'!$I428)&lt;=$I$8)),OR($H$9="",AND(ISNUMBER('Master Database'!$K428),N('Master Database'!$K428)&gt;=$H$9)),OR($I$9="",AND(ISNUMBER('Master Database'!$K428),N('Master Database'!$K428)&lt;=$I$9))),1,0))</f>
        <v>0</v>
      </c>
      <c r="BB428" s="0" t="str">
        <f aca="false">IF(BA428=1,COUNTIF($BA$5:BA428,1),"")</f>
        <v/>
      </c>
    </row>
    <row r="429" customFormat="false" ht="15" hidden="false" customHeight="false" outlineLevel="0" collapsed="false">
      <c r="BA429" s="0" t="n">
        <f aca="false">IF('Master Database'!$A429="",0,IF(AND(OR($B$5="",ISNUMBER(SEARCH($B$5,'Master Database'!$B429&amp;" "&amp;'Master Database'!$D429))),OR($B$6="(All)",'Master Database'!$C429=$B$6),OR($B$7="(All)",'Master Database'!$E429=$B$7),OR($B$8="(All)",'Master Database'!$T429=$B$8),OR($B$9="(All)",'Master Database'!$M429=$B$9),OR($B$10="(All)",'Master Database'!$V429=$B$10),OR($E$5="(All)",'Master Database'!$F429=$E$5),OR($E$6="(All)",'Master Database'!$G429=$E$6),OR($E$7="(All)",'Master Database'!$O429=$E$7),OR($E$8="(All)",'Master Database'!$P429=$E$8),OR($E$9="(All)",'Master Database'!$S429=$E$9),OR($E$10="(All)",'Master Database'!$Y429&amp;""=$E$10&amp;""),OR($H$5="(All)",'Master Database'!$BG429=$H$5),OR($H$6&lt;&gt;"Y",ISNUMBER('Master Database'!$AG429)),OR($H$7="",AND(ISNUMBER('Master Database'!$H429),N('Master Database'!$H429)&gt;=$H$7)),OR($I$7="",AND(ISNUMBER('Master Database'!$H429),N('Master Database'!$H429)&lt;=$I$7)),OR($H$8="",AND(ISNUMBER('Master Database'!$I429),N('Master Database'!$I429)&gt;=$H$8)),OR($I$8="",AND(ISNUMBER('Master Database'!$I429),N('Master Database'!$I429)&lt;=$I$8)),OR($H$9="",AND(ISNUMBER('Master Database'!$K429),N('Master Database'!$K429)&gt;=$H$9)),OR($I$9="",AND(ISNUMBER('Master Database'!$K429),N('Master Database'!$K429)&lt;=$I$9))),1,0))</f>
        <v>0</v>
      </c>
      <c r="BB429" s="0" t="str">
        <f aca="false">IF(BA429=1,COUNTIF($BA$5:BA429,1),"")</f>
        <v/>
      </c>
    </row>
    <row r="430" customFormat="false" ht="15" hidden="false" customHeight="false" outlineLevel="0" collapsed="false">
      <c r="BA430" s="0" t="n">
        <f aca="false">IF('Master Database'!$A430="",0,IF(AND(OR($B$5="",ISNUMBER(SEARCH($B$5,'Master Database'!$B430&amp;" "&amp;'Master Database'!$D430))),OR($B$6="(All)",'Master Database'!$C430=$B$6),OR($B$7="(All)",'Master Database'!$E430=$B$7),OR($B$8="(All)",'Master Database'!$T430=$B$8),OR($B$9="(All)",'Master Database'!$M430=$B$9),OR($B$10="(All)",'Master Database'!$V430=$B$10),OR($E$5="(All)",'Master Database'!$F430=$E$5),OR($E$6="(All)",'Master Database'!$G430=$E$6),OR($E$7="(All)",'Master Database'!$O430=$E$7),OR($E$8="(All)",'Master Database'!$P430=$E$8),OR($E$9="(All)",'Master Database'!$S430=$E$9),OR($E$10="(All)",'Master Database'!$Y430&amp;""=$E$10&amp;""),OR($H$5="(All)",'Master Database'!$BG430=$H$5),OR($H$6&lt;&gt;"Y",ISNUMBER('Master Database'!$AG430)),OR($H$7="",AND(ISNUMBER('Master Database'!$H430),N('Master Database'!$H430)&gt;=$H$7)),OR($I$7="",AND(ISNUMBER('Master Database'!$H430),N('Master Database'!$H430)&lt;=$I$7)),OR($H$8="",AND(ISNUMBER('Master Database'!$I430),N('Master Database'!$I430)&gt;=$H$8)),OR($I$8="",AND(ISNUMBER('Master Database'!$I430),N('Master Database'!$I430)&lt;=$I$8)),OR($H$9="",AND(ISNUMBER('Master Database'!$K430),N('Master Database'!$K430)&gt;=$H$9)),OR($I$9="",AND(ISNUMBER('Master Database'!$K430),N('Master Database'!$K430)&lt;=$I$9))),1,0))</f>
        <v>0</v>
      </c>
      <c r="BB430" s="0" t="str">
        <f aca="false">IF(BA430=1,COUNTIF($BA$5:BA430,1),"")</f>
        <v/>
      </c>
    </row>
    <row r="431" customFormat="false" ht="15" hidden="false" customHeight="false" outlineLevel="0" collapsed="false">
      <c r="BA431" s="0" t="n">
        <f aca="false">IF('Master Database'!$A431="",0,IF(AND(OR($B$5="",ISNUMBER(SEARCH($B$5,'Master Database'!$B431&amp;" "&amp;'Master Database'!$D431))),OR($B$6="(All)",'Master Database'!$C431=$B$6),OR($B$7="(All)",'Master Database'!$E431=$B$7),OR($B$8="(All)",'Master Database'!$T431=$B$8),OR($B$9="(All)",'Master Database'!$M431=$B$9),OR($B$10="(All)",'Master Database'!$V431=$B$10),OR($E$5="(All)",'Master Database'!$F431=$E$5),OR($E$6="(All)",'Master Database'!$G431=$E$6),OR($E$7="(All)",'Master Database'!$O431=$E$7),OR($E$8="(All)",'Master Database'!$P431=$E$8),OR($E$9="(All)",'Master Database'!$S431=$E$9),OR($E$10="(All)",'Master Database'!$Y431&amp;""=$E$10&amp;""),OR($H$5="(All)",'Master Database'!$BG431=$H$5),OR($H$6&lt;&gt;"Y",ISNUMBER('Master Database'!$AG431)),OR($H$7="",AND(ISNUMBER('Master Database'!$H431),N('Master Database'!$H431)&gt;=$H$7)),OR($I$7="",AND(ISNUMBER('Master Database'!$H431),N('Master Database'!$H431)&lt;=$I$7)),OR($H$8="",AND(ISNUMBER('Master Database'!$I431),N('Master Database'!$I431)&gt;=$H$8)),OR($I$8="",AND(ISNUMBER('Master Database'!$I431),N('Master Database'!$I431)&lt;=$I$8)),OR($H$9="",AND(ISNUMBER('Master Database'!$K431),N('Master Database'!$K431)&gt;=$H$9)),OR($I$9="",AND(ISNUMBER('Master Database'!$K431),N('Master Database'!$K431)&lt;=$I$9))),1,0))</f>
        <v>0</v>
      </c>
      <c r="BB431" s="0" t="str">
        <f aca="false">IF(BA431=1,COUNTIF($BA$5:BA431,1),"")</f>
        <v/>
      </c>
    </row>
    <row r="432" customFormat="false" ht="15" hidden="false" customHeight="false" outlineLevel="0" collapsed="false">
      <c r="BA432" s="0" t="n">
        <f aca="false">IF('Master Database'!$A432="",0,IF(AND(OR($B$5="",ISNUMBER(SEARCH($B$5,'Master Database'!$B432&amp;" "&amp;'Master Database'!$D432))),OR($B$6="(All)",'Master Database'!$C432=$B$6),OR($B$7="(All)",'Master Database'!$E432=$B$7),OR($B$8="(All)",'Master Database'!$T432=$B$8),OR($B$9="(All)",'Master Database'!$M432=$B$9),OR($B$10="(All)",'Master Database'!$V432=$B$10),OR($E$5="(All)",'Master Database'!$F432=$E$5),OR($E$6="(All)",'Master Database'!$G432=$E$6),OR($E$7="(All)",'Master Database'!$O432=$E$7),OR($E$8="(All)",'Master Database'!$P432=$E$8),OR($E$9="(All)",'Master Database'!$S432=$E$9),OR($E$10="(All)",'Master Database'!$Y432&amp;""=$E$10&amp;""),OR($H$5="(All)",'Master Database'!$BG432=$H$5),OR($H$6&lt;&gt;"Y",ISNUMBER('Master Database'!$AG432)),OR($H$7="",AND(ISNUMBER('Master Database'!$H432),N('Master Database'!$H432)&gt;=$H$7)),OR($I$7="",AND(ISNUMBER('Master Database'!$H432),N('Master Database'!$H432)&lt;=$I$7)),OR($H$8="",AND(ISNUMBER('Master Database'!$I432),N('Master Database'!$I432)&gt;=$H$8)),OR($I$8="",AND(ISNUMBER('Master Database'!$I432),N('Master Database'!$I432)&lt;=$I$8)),OR($H$9="",AND(ISNUMBER('Master Database'!$K432),N('Master Database'!$K432)&gt;=$H$9)),OR($I$9="",AND(ISNUMBER('Master Database'!$K432),N('Master Database'!$K432)&lt;=$I$9))),1,0))</f>
        <v>0</v>
      </c>
      <c r="BB432" s="0" t="str">
        <f aca="false">IF(BA432=1,COUNTIF($BA$5:BA432,1),"")</f>
        <v/>
      </c>
    </row>
    <row r="433" customFormat="false" ht="15" hidden="false" customHeight="false" outlineLevel="0" collapsed="false">
      <c r="BA433" s="0" t="n">
        <f aca="false">IF('Master Database'!$A433="",0,IF(AND(OR($B$5="",ISNUMBER(SEARCH($B$5,'Master Database'!$B433&amp;" "&amp;'Master Database'!$D433))),OR($B$6="(All)",'Master Database'!$C433=$B$6),OR($B$7="(All)",'Master Database'!$E433=$B$7),OR($B$8="(All)",'Master Database'!$T433=$B$8),OR($B$9="(All)",'Master Database'!$M433=$B$9),OR($B$10="(All)",'Master Database'!$V433=$B$10),OR($E$5="(All)",'Master Database'!$F433=$E$5),OR($E$6="(All)",'Master Database'!$G433=$E$6),OR($E$7="(All)",'Master Database'!$O433=$E$7),OR($E$8="(All)",'Master Database'!$P433=$E$8),OR($E$9="(All)",'Master Database'!$S433=$E$9),OR($E$10="(All)",'Master Database'!$Y433&amp;""=$E$10&amp;""),OR($H$5="(All)",'Master Database'!$BG433=$H$5),OR($H$6&lt;&gt;"Y",ISNUMBER('Master Database'!$AG433)),OR($H$7="",AND(ISNUMBER('Master Database'!$H433),N('Master Database'!$H433)&gt;=$H$7)),OR($I$7="",AND(ISNUMBER('Master Database'!$H433),N('Master Database'!$H433)&lt;=$I$7)),OR($H$8="",AND(ISNUMBER('Master Database'!$I433),N('Master Database'!$I433)&gt;=$H$8)),OR($I$8="",AND(ISNUMBER('Master Database'!$I433),N('Master Database'!$I433)&lt;=$I$8)),OR($H$9="",AND(ISNUMBER('Master Database'!$K433),N('Master Database'!$K433)&gt;=$H$9)),OR($I$9="",AND(ISNUMBER('Master Database'!$K433),N('Master Database'!$K433)&lt;=$I$9))),1,0))</f>
        <v>0</v>
      </c>
      <c r="BB433" s="0" t="str">
        <f aca="false">IF(BA433=1,COUNTIF($BA$5:BA433,1),"")</f>
        <v/>
      </c>
    </row>
    <row r="434" customFormat="false" ht="15" hidden="false" customHeight="false" outlineLevel="0" collapsed="false">
      <c r="BA434" s="0" t="n">
        <f aca="false">IF('Master Database'!$A434="",0,IF(AND(OR($B$5="",ISNUMBER(SEARCH($B$5,'Master Database'!$B434&amp;" "&amp;'Master Database'!$D434))),OR($B$6="(All)",'Master Database'!$C434=$B$6),OR($B$7="(All)",'Master Database'!$E434=$B$7),OR($B$8="(All)",'Master Database'!$T434=$B$8),OR($B$9="(All)",'Master Database'!$M434=$B$9),OR($B$10="(All)",'Master Database'!$V434=$B$10),OR($E$5="(All)",'Master Database'!$F434=$E$5),OR($E$6="(All)",'Master Database'!$G434=$E$6),OR($E$7="(All)",'Master Database'!$O434=$E$7),OR($E$8="(All)",'Master Database'!$P434=$E$8),OR($E$9="(All)",'Master Database'!$S434=$E$9),OR($E$10="(All)",'Master Database'!$Y434&amp;""=$E$10&amp;""),OR($H$5="(All)",'Master Database'!$BG434=$H$5),OR($H$6&lt;&gt;"Y",ISNUMBER('Master Database'!$AG434)),OR($H$7="",AND(ISNUMBER('Master Database'!$H434),N('Master Database'!$H434)&gt;=$H$7)),OR($I$7="",AND(ISNUMBER('Master Database'!$H434),N('Master Database'!$H434)&lt;=$I$7)),OR($H$8="",AND(ISNUMBER('Master Database'!$I434),N('Master Database'!$I434)&gt;=$H$8)),OR($I$8="",AND(ISNUMBER('Master Database'!$I434),N('Master Database'!$I434)&lt;=$I$8)),OR($H$9="",AND(ISNUMBER('Master Database'!$K434),N('Master Database'!$K434)&gt;=$H$9)),OR($I$9="",AND(ISNUMBER('Master Database'!$K434),N('Master Database'!$K434)&lt;=$I$9))),1,0))</f>
        <v>0</v>
      </c>
      <c r="BB434" s="0" t="str">
        <f aca="false">IF(BA434=1,COUNTIF($BA$5:BA434,1),"")</f>
        <v/>
      </c>
    </row>
    <row r="435" customFormat="false" ht="15" hidden="false" customHeight="false" outlineLevel="0" collapsed="false">
      <c r="BA435" s="0" t="n">
        <f aca="false">IF('Master Database'!$A435="",0,IF(AND(OR($B$5="",ISNUMBER(SEARCH($B$5,'Master Database'!$B435&amp;" "&amp;'Master Database'!$D435))),OR($B$6="(All)",'Master Database'!$C435=$B$6),OR($B$7="(All)",'Master Database'!$E435=$B$7),OR($B$8="(All)",'Master Database'!$T435=$B$8),OR($B$9="(All)",'Master Database'!$M435=$B$9),OR($B$10="(All)",'Master Database'!$V435=$B$10),OR($E$5="(All)",'Master Database'!$F435=$E$5),OR($E$6="(All)",'Master Database'!$G435=$E$6),OR($E$7="(All)",'Master Database'!$O435=$E$7),OR($E$8="(All)",'Master Database'!$P435=$E$8),OR($E$9="(All)",'Master Database'!$S435=$E$9),OR($E$10="(All)",'Master Database'!$Y435&amp;""=$E$10&amp;""),OR($H$5="(All)",'Master Database'!$BG435=$H$5),OR($H$6&lt;&gt;"Y",ISNUMBER('Master Database'!$AG435)),OR($H$7="",AND(ISNUMBER('Master Database'!$H435),N('Master Database'!$H435)&gt;=$H$7)),OR($I$7="",AND(ISNUMBER('Master Database'!$H435),N('Master Database'!$H435)&lt;=$I$7)),OR($H$8="",AND(ISNUMBER('Master Database'!$I435),N('Master Database'!$I435)&gt;=$H$8)),OR($I$8="",AND(ISNUMBER('Master Database'!$I435),N('Master Database'!$I435)&lt;=$I$8)),OR($H$9="",AND(ISNUMBER('Master Database'!$K435),N('Master Database'!$K435)&gt;=$H$9)),OR($I$9="",AND(ISNUMBER('Master Database'!$K435),N('Master Database'!$K435)&lt;=$I$9))),1,0))</f>
        <v>0</v>
      </c>
      <c r="BB435" s="0" t="str">
        <f aca="false">IF(BA435=1,COUNTIF($BA$5:BA435,1),"")</f>
        <v/>
      </c>
    </row>
    <row r="436" customFormat="false" ht="15" hidden="false" customHeight="false" outlineLevel="0" collapsed="false">
      <c r="BA436" s="0" t="n">
        <f aca="false">IF('Master Database'!$A436="",0,IF(AND(OR($B$5="",ISNUMBER(SEARCH($B$5,'Master Database'!$B436&amp;" "&amp;'Master Database'!$D436))),OR($B$6="(All)",'Master Database'!$C436=$B$6),OR($B$7="(All)",'Master Database'!$E436=$B$7),OR($B$8="(All)",'Master Database'!$T436=$B$8),OR($B$9="(All)",'Master Database'!$M436=$B$9),OR($B$10="(All)",'Master Database'!$V436=$B$10),OR($E$5="(All)",'Master Database'!$F436=$E$5),OR($E$6="(All)",'Master Database'!$G436=$E$6),OR($E$7="(All)",'Master Database'!$O436=$E$7),OR($E$8="(All)",'Master Database'!$P436=$E$8),OR($E$9="(All)",'Master Database'!$S436=$E$9),OR($E$10="(All)",'Master Database'!$Y436&amp;""=$E$10&amp;""),OR($H$5="(All)",'Master Database'!$BG436=$H$5),OR($H$6&lt;&gt;"Y",ISNUMBER('Master Database'!$AG436)),OR($H$7="",AND(ISNUMBER('Master Database'!$H436),N('Master Database'!$H436)&gt;=$H$7)),OR($I$7="",AND(ISNUMBER('Master Database'!$H436),N('Master Database'!$H436)&lt;=$I$7)),OR($H$8="",AND(ISNUMBER('Master Database'!$I436),N('Master Database'!$I436)&gt;=$H$8)),OR($I$8="",AND(ISNUMBER('Master Database'!$I436),N('Master Database'!$I436)&lt;=$I$8)),OR($H$9="",AND(ISNUMBER('Master Database'!$K436),N('Master Database'!$K436)&gt;=$H$9)),OR($I$9="",AND(ISNUMBER('Master Database'!$K436),N('Master Database'!$K436)&lt;=$I$9))),1,0))</f>
        <v>0</v>
      </c>
      <c r="BB436" s="0" t="str">
        <f aca="false">IF(BA436=1,COUNTIF($BA$5:BA436,1),"")</f>
        <v/>
      </c>
    </row>
    <row r="437" customFormat="false" ht="15" hidden="false" customHeight="false" outlineLevel="0" collapsed="false">
      <c r="BA437" s="0" t="n">
        <f aca="false">IF('Master Database'!$A437="",0,IF(AND(OR($B$5="",ISNUMBER(SEARCH($B$5,'Master Database'!$B437&amp;" "&amp;'Master Database'!$D437))),OR($B$6="(All)",'Master Database'!$C437=$B$6),OR($B$7="(All)",'Master Database'!$E437=$B$7),OR($B$8="(All)",'Master Database'!$T437=$B$8),OR($B$9="(All)",'Master Database'!$M437=$B$9),OR($B$10="(All)",'Master Database'!$V437=$B$10),OR($E$5="(All)",'Master Database'!$F437=$E$5),OR($E$6="(All)",'Master Database'!$G437=$E$6),OR($E$7="(All)",'Master Database'!$O437=$E$7),OR($E$8="(All)",'Master Database'!$P437=$E$8),OR($E$9="(All)",'Master Database'!$S437=$E$9),OR($E$10="(All)",'Master Database'!$Y437&amp;""=$E$10&amp;""),OR($H$5="(All)",'Master Database'!$BG437=$H$5),OR($H$6&lt;&gt;"Y",ISNUMBER('Master Database'!$AG437)),OR($H$7="",AND(ISNUMBER('Master Database'!$H437),N('Master Database'!$H437)&gt;=$H$7)),OR($I$7="",AND(ISNUMBER('Master Database'!$H437),N('Master Database'!$H437)&lt;=$I$7)),OR($H$8="",AND(ISNUMBER('Master Database'!$I437),N('Master Database'!$I437)&gt;=$H$8)),OR($I$8="",AND(ISNUMBER('Master Database'!$I437),N('Master Database'!$I437)&lt;=$I$8)),OR($H$9="",AND(ISNUMBER('Master Database'!$K437),N('Master Database'!$K437)&gt;=$H$9)),OR($I$9="",AND(ISNUMBER('Master Database'!$K437),N('Master Database'!$K437)&lt;=$I$9))),1,0))</f>
        <v>0</v>
      </c>
      <c r="BB437" s="0" t="str">
        <f aca="false">IF(BA437=1,COUNTIF($BA$5:BA437,1),"")</f>
        <v/>
      </c>
    </row>
    <row r="438" customFormat="false" ht="15" hidden="false" customHeight="false" outlineLevel="0" collapsed="false">
      <c r="BA438" s="0" t="n">
        <f aca="false">IF('Master Database'!$A438="",0,IF(AND(OR($B$5="",ISNUMBER(SEARCH($B$5,'Master Database'!$B438&amp;" "&amp;'Master Database'!$D438))),OR($B$6="(All)",'Master Database'!$C438=$B$6),OR($B$7="(All)",'Master Database'!$E438=$B$7),OR($B$8="(All)",'Master Database'!$T438=$B$8),OR($B$9="(All)",'Master Database'!$M438=$B$9),OR($B$10="(All)",'Master Database'!$V438=$B$10),OR($E$5="(All)",'Master Database'!$F438=$E$5),OR($E$6="(All)",'Master Database'!$G438=$E$6),OR($E$7="(All)",'Master Database'!$O438=$E$7),OR($E$8="(All)",'Master Database'!$P438=$E$8),OR($E$9="(All)",'Master Database'!$S438=$E$9),OR($E$10="(All)",'Master Database'!$Y438&amp;""=$E$10&amp;""),OR($H$5="(All)",'Master Database'!$BG438=$H$5),OR($H$6&lt;&gt;"Y",ISNUMBER('Master Database'!$AG438)),OR($H$7="",AND(ISNUMBER('Master Database'!$H438),N('Master Database'!$H438)&gt;=$H$7)),OR($I$7="",AND(ISNUMBER('Master Database'!$H438),N('Master Database'!$H438)&lt;=$I$7)),OR($H$8="",AND(ISNUMBER('Master Database'!$I438),N('Master Database'!$I438)&gt;=$H$8)),OR($I$8="",AND(ISNUMBER('Master Database'!$I438),N('Master Database'!$I438)&lt;=$I$8)),OR($H$9="",AND(ISNUMBER('Master Database'!$K438),N('Master Database'!$K438)&gt;=$H$9)),OR($I$9="",AND(ISNUMBER('Master Database'!$K438),N('Master Database'!$K438)&lt;=$I$9))),1,0))</f>
        <v>0</v>
      </c>
      <c r="BB438" s="0" t="str">
        <f aca="false">IF(BA438=1,COUNTIF($BA$5:BA438,1),"")</f>
        <v/>
      </c>
    </row>
    <row r="439" customFormat="false" ht="15" hidden="false" customHeight="false" outlineLevel="0" collapsed="false">
      <c r="BA439" s="0" t="n">
        <f aca="false">IF('Master Database'!$A439="",0,IF(AND(OR($B$5="",ISNUMBER(SEARCH($B$5,'Master Database'!$B439&amp;" "&amp;'Master Database'!$D439))),OR($B$6="(All)",'Master Database'!$C439=$B$6),OR($B$7="(All)",'Master Database'!$E439=$B$7),OR($B$8="(All)",'Master Database'!$T439=$B$8),OR($B$9="(All)",'Master Database'!$M439=$B$9),OR($B$10="(All)",'Master Database'!$V439=$B$10),OR($E$5="(All)",'Master Database'!$F439=$E$5),OR($E$6="(All)",'Master Database'!$G439=$E$6),OR($E$7="(All)",'Master Database'!$O439=$E$7),OR($E$8="(All)",'Master Database'!$P439=$E$8),OR($E$9="(All)",'Master Database'!$S439=$E$9),OR($E$10="(All)",'Master Database'!$Y439&amp;""=$E$10&amp;""),OR($H$5="(All)",'Master Database'!$BG439=$H$5),OR($H$6&lt;&gt;"Y",ISNUMBER('Master Database'!$AG439)),OR($H$7="",AND(ISNUMBER('Master Database'!$H439),N('Master Database'!$H439)&gt;=$H$7)),OR($I$7="",AND(ISNUMBER('Master Database'!$H439),N('Master Database'!$H439)&lt;=$I$7)),OR($H$8="",AND(ISNUMBER('Master Database'!$I439),N('Master Database'!$I439)&gt;=$H$8)),OR($I$8="",AND(ISNUMBER('Master Database'!$I439),N('Master Database'!$I439)&lt;=$I$8)),OR($H$9="",AND(ISNUMBER('Master Database'!$K439),N('Master Database'!$K439)&gt;=$H$9)),OR($I$9="",AND(ISNUMBER('Master Database'!$K439),N('Master Database'!$K439)&lt;=$I$9))),1,0))</f>
        <v>0</v>
      </c>
      <c r="BB439" s="0" t="str">
        <f aca="false">IF(BA439=1,COUNTIF($BA$5:BA439,1),"")</f>
        <v/>
      </c>
    </row>
    <row r="440" customFormat="false" ht="15" hidden="false" customHeight="false" outlineLevel="0" collapsed="false">
      <c r="BA440" s="0" t="n">
        <f aca="false">IF('Master Database'!$A440="",0,IF(AND(OR($B$5="",ISNUMBER(SEARCH($B$5,'Master Database'!$B440&amp;" "&amp;'Master Database'!$D440))),OR($B$6="(All)",'Master Database'!$C440=$B$6),OR($B$7="(All)",'Master Database'!$E440=$B$7),OR($B$8="(All)",'Master Database'!$T440=$B$8),OR($B$9="(All)",'Master Database'!$M440=$B$9),OR($B$10="(All)",'Master Database'!$V440=$B$10),OR($E$5="(All)",'Master Database'!$F440=$E$5),OR($E$6="(All)",'Master Database'!$G440=$E$6),OR($E$7="(All)",'Master Database'!$O440=$E$7),OR($E$8="(All)",'Master Database'!$P440=$E$8),OR($E$9="(All)",'Master Database'!$S440=$E$9),OR($E$10="(All)",'Master Database'!$Y440&amp;""=$E$10&amp;""),OR($H$5="(All)",'Master Database'!$BG440=$H$5),OR($H$6&lt;&gt;"Y",ISNUMBER('Master Database'!$AG440)),OR($H$7="",AND(ISNUMBER('Master Database'!$H440),N('Master Database'!$H440)&gt;=$H$7)),OR($I$7="",AND(ISNUMBER('Master Database'!$H440),N('Master Database'!$H440)&lt;=$I$7)),OR($H$8="",AND(ISNUMBER('Master Database'!$I440),N('Master Database'!$I440)&gt;=$H$8)),OR($I$8="",AND(ISNUMBER('Master Database'!$I440),N('Master Database'!$I440)&lt;=$I$8)),OR($H$9="",AND(ISNUMBER('Master Database'!$K440),N('Master Database'!$K440)&gt;=$H$9)),OR($I$9="",AND(ISNUMBER('Master Database'!$K440),N('Master Database'!$K440)&lt;=$I$9))),1,0))</f>
        <v>0</v>
      </c>
      <c r="BB440" s="0" t="str">
        <f aca="false">IF(BA440=1,COUNTIF($BA$5:BA440,1),"")</f>
        <v/>
      </c>
    </row>
    <row r="441" customFormat="false" ht="15" hidden="false" customHeight="false" outlineLevel="0" collapsed="false">
      <c r="BA441" s="0" t="n">
        <f aca="false">IF('Master Database'!$A441="",0,IF(AND(OR($B$5="",ISNUMBER(SEARCH($B$5,'Master Database'!$B441&amp;" "&amp;'Master Database'!$D441))),OR($B$6="(All)",'Master Database'!$C441=$B$6),OR($B$7="(All)",'Master Database'!$E441=$B$7),OR($B$8="(All)",'Master Database'!$T441=$B$8),OR($B$9="(All)",'Master Database'!$M441=$B$9),OR($B$10="(All)",'Master Database'!$V441=$B$10),OR($E$5="(All)",'Master Database'!$F441=$E$5),OR($E$6="(All)",'Master Database'!$G441=$E$6),OR($E$7="(All)",'Master Database'!$O441=$E$7),OR($E$8="(All)",'Master Database'!$P441=$E$8),OR($E$9="(All)",'Master Database'!$S441=$E$9),OR($E$10="(All)",'Master Database'!$Y441&amp;""=$E$10&amp;""),OR($H$5="(All)",'Master Database'!$BG441=$H$5),OR($H$6&lt;&gt;"Y",ISNUMBER('Master Database'!$AG441)),OR($H$7="",AND(ISNUMBER('Master Database'!$H441),N('Master Database'!$H441)&gt;=$H$7)),OR($I$7="",AND(ISNUMBER('Master Database'!$H441),N('Master Database'!$H441)&lt;=$I$7)),OR($H$8="",AND(ISNUMBER('Master Database'!$I441),N('Master Database'!$I441)&gt;=$H$8)),OR($I$8="",AND(ISNUMBER('Master Database'!$I441),N('Master Database'!$I441)&lt;=$I$8)),OR($H$9="",AND(ISNUMBER('Master Database'!$K441),N('Master Database'!$K441)&gt;=$H$9)),OR($I$9="",AND(ISNUMBER('Master Database'!$K441),N('Master Database'!$K441)&lt;=$I$9))),1,0))</f>
        <v>0</v>
      </c>
      <c r="BB441" s="0" t="str">
        <f aca="false">IF(BA441=1,COUNTIF($BA$5:BA441,1),"")</f>
        <v/>
      </c>
    </row>
    <row r="442" customFormat="false" ht="15" hidden="false" customHeight="false" outlineLevel="0" collapsed="false">
      <c r="BA442" s="0" t="n">
        <f aca="false">IF('Master Database'!$A442="",0,IF(AND(OR($B$5="",ISNUMBER(SEARCH($B$5,'Master Database'!$B442&amp;" "&amp;'Master Database'!$D442))),OR($B$6="(All)",'Master Database'!$C442=$B$6),OR($B$7="(All)",'Master Database'!$E442=$B$7),OR($B$8="(All)",'Master Database'!$T442=$B$8),OR($B$9="(All)",'Master Database'!$M442=$B$9),OR($B$10="(All)",'Master Database'!$V442=$B$10),OR($E$5="(All)",'Master Database'!$F442=$E$5),OR($E$6="(All)",'Master Database'!$G442=$E$6),OR($E$7="(All)",'Master Database'!$O442=$E$7),OR($E$8="(All)",'Master Database'!$P442=$E$8),OR($E$9="(All)",'Master Database'!$S442=$E$9),OR($E$10="(All)",'Master Database'!$Y442&amp;""=$E$10&amp;""),OR($H$5="(All)",'Master Database'!$BG442=$H$5),OR($H$6&lt;&gt;"Y",ISNUMBER('Master Database'!$AG442)),OR($H$7="",AND(ISNUMBER('Master Database'!$H442),N('Master Database'!$H442)&gt;=$H$7)),OR($I$7="",AND(ISNUMBER('Master Database'!$H442),N('Master Database'!$H442)&lt;=$I$7)),OR($H$8="",AND(ISNUMBER('Master Database'!$I442),N('Master Database'!$I442)&gt;=$H$8)),OR($I$8="",AND(ISNUMBER('Master Database'!$I442),N('Master Database'!$I442)&lt;=$I$8)),OR($H$9="",AND(ISNUMBER('Master Database'!$K442),N('Master Database'!$K442)&gt;=$H$9)),OR($I$9="",AND(ISNUMBER('Master Database'!$K442),N('Master Database'!$K442)&lt;=$I$9))),1,0))</f>
        <v>0</v>
      </c>
      <c r="BB442" s="0" t="str">
        <f aca="false">IF(BA442=1,COUNTIF($BA$5:BA442,1),"")</f>
        <v/>
      </c>
    </row>
    <row r="443" customFormat="false" ht="15" hidden="false" customHeight="false" outlineLevel="0" collapsed="false">
      <c r="BA443" s="0" t="n">
        <f aca="false">IF('Master Database'!$A443="",0,IF(AND(OR($B$5="",ISNUMBER(SEARCH($B$5,'Master Database'!$B443&amp;" "&amp;'Master Database'!$D443))),OR($B$6="(All)",'Master Database'!$C443=$B$6),OR($B$7="(All)",'Master Database'!$E443=$B$7),OR($B$8="(All)",'Master Database'!$T443=$B$8),OR($B$9="(All)",'Master Database'!$M443=$B$9),OR($B$10="(All)",'Master Database'!$V443=$B$10),OR($E$5="(All)",'Master Database'!$F443=$E$5),OR($E$6="(All)",'Master Database'!$G443=$E$6),OR($E$7="(All)",'Master Database'!$O443=$E$7),OR($E$8="(All)",'Master Database'!$P443=$E$8),OR($E$9="(All)",'Master Database'!$S443=$E$9),OR($E$10="(All)",'Master Database'!$Y443&amp;""=$E$10&amp;""),OR($H$5="(All)",'Master Database'!$BG443=$H$5),OR($H$6&lt;&gt;"Y",ISNUMBER('Master Database'!$AG443)),OR($H$7="",AND(ISNUMBER('Master Database'!$H443),N('Master Database'!$H443)&gt;=$H$7)),OR($I$7="",AND(ISNUMBER('Master Database'!$H443),N('Master Database'!$H443)&lt;=$I$7)),OR($H$8="",AND(ISNUMBER('Master Database'!$I443),N('Master Database'!$I443)&gt;=$H$8)),OR($I$8="",AND(ISNUMBER('Master Database'!$I443),N('Master Database'!$I443)&lt;=$I$8)),OR($H$9="",AND(ISNUMBER('Master Database'!$K443),N('Master Database'!$K443)&gt;=$H$9)),OR($I$9="",AND(ISNUMBER('Master Database'!$K443),N('Master Database'!$K443)&lt;=$I$9))),1,0))</f>
        <v>0</v>
      </c>
      <c r="BB443" s="0" t="str">
        <f aca="false">IF(BA443=1,COUNTIF($BA$5:BA443,1),"")</f>
        <v/>
      </c>
    </row>
    <row r="444" customFormat="false" ht="15" hidden="false" customHeight="false" outlineLevel="0" collapsed="false">
      <c r="BA444" s="0" t="n">
        <f aca="false">IF('Master Database'!$A444="",0,IF(AND(OR($B$5="",ISNUMBER(SEARCH($B$5,'Master Database'!$B444&amp;" "&amp;'Master Database'!$D444))),OR($B$6="(All)",'Master Database'!$C444=$B$6),OR($B$7="(All)",'Master Database'!$E444=$B$7),OR($B$8="(All)",'Master Database'!$T444=$B$8),OR($B$9="(All)",'Master Database'!$M444=$B$9),OR($B$10="(All)",'Master Database'!$V444=$B$10),OR($E$5="(All)",'Master Database'!$F444=$E$5),OR($E$6="(All)",'Master Database'!$G444=$E$6),OR($E$7="(All)",'Master Database'!$O444=$E$7),OR($E$8="(All)",'Master Database'!$P444=$E$8),OR($E$9="(All)",'Master Database'!$S444=$E$9),OR($E$10="(All)",'Master Database'!$Y444&amp;""=$E$10&amp;""),OR($H$5="(All)",'Master Database'!$BG444=$H$5),OR($H$6&lt;&gt;"Y",ISNUMBER('Master Database'!$AG444)),OR($H$7="",AND(ISNUMBER('Master Database'!$H444),N('Master Database'!$H444)&gt;=$H$7)),OR($I$7="",AND(ISNUMBER('Master Database'!$H444),N('Master Database'!$H444)&lt;=$I$7)),OR($H$8="",AND(ISNUMBER('Master Database'!$I444),N('Master Database'!$I444)&gt;=$H$8)),OR($I$8="",AND(ISNUMBER('Master Database'!$I444),N('Master Database'!$I444)&lt;=$I$8)),OR($H$9="",AND(ISNUMBER('Master Database'!$K444),N('Master Database'!$K444)&gt;=$H$9)),OR($I$9="",AND(ISNUMBER('Master Database'!$K444),N('Master Database'!$K444)&lt;=$I$9))),1,0))</f>
        <v>0</v>
      </c>
      <c r="BB444" s="0" t="str">
        <f aca="false">IF(BA444=1,COUNTIF($BA$5:BA444,1),"")</f>
        <v/>
      </c>
    </row>
    <row r="445" customFormat="false" ht="15" hidden="false" customHeight="false" outlineLevel="0" collapsed="false">
      <c r="BA445" s="0" t="n">
        <f aca="false">IF('Master Database'!$A445="",0,IF(AND(OR($B$5="",ISNUMBER(SEARCH($B$5,'Master Database'!$B445&amp;" "&amp;'Master Database'!$D445))),OR($B$6="(All)",'Master Database'!$C445=$B$6),OR($B$7="(All)",'Master Database'!$E445=$B$7),OR($B$8="(All)",'Master Database'!$T445=$B$8),OR($B$9="(All)",'Master Database'!$M445=$B$9),OR($B$10="(All)",'Master Database'!$V445=$B$10),OR($E$5="(All)",'Master Database'!$F445=$E$5),OR($E$6="(All)",'Master Database'!$G445=$E$6),OR($E$7="(All)",'Master Database'!$O445=$E$7),OR($E$8="(All)",'Master Database'!$P445=$E$8),OR($E$9="(All)",'Master Database'!$S445=$E$9),OR($E$10="(All)",'Master Database'!$Y445&amp;""=$E$10&amp;""),OR($H$5="(All)",'Master Database'!$BG445=$H$5),OR($H$6&lt;&gt;"Y",ISNUMBER('Master Database'!$AG445)),OR($H$7="",AND(ISNUMBER('Master Database'!$H445),N('Master Database'!$H445)&gt;=$H$7)),OR($I$7="",AND(ISNUMBER('Master Database'!$H445),N('Master Database'!$H445)&lt;=$I$7)),OR($H$8="",AND(ISNUMBER('Master Database'!$I445),N('Master Database'!$I445)&gt;=$H$8)),OR($I$8="",AND(ISNUMBER('Master Database'!$I445),N('Master Database'!$I445)&lt;=$I$8)),OR($H$9="",AND(ISNUMBER('Master Database'!$K445),N('Master Database'!$K445)&gt;=$H$9)),OR($I$9="",AND(ISNUMBER('Master Database'!$K445),N('Master Database'!$K445)&lt;=$I$9))),1,0))</f>
        <v>0</v>
      </c>
      <c r="BB445" s="0" t="str">
        <f aca="false">IF(BA445=1,COUNTIF($BA$5:BA445,1),"")</f>
        <v/>
      </c>
    </row>
    <row r="446" customFormat="false" ht="15" hidden="false" customHeight="false" outlineLevel="0" collapsed="false">
      <c r="BA446" s="0" t="n">
        <f aca="false">IF('Master Database'!$A446="",0,IF(AND(OR($B$5="",ISNUMBER(SEARCH($B$5,'Master Database'!$B446&amp;" "&amp;'Master Database'!$D446))),OR($B$6="(All)",'Master Database'!$C446=$B$6),OR($B$7="(All)",'Master Database'!$E446=$B$7),OR($B$8="(All)",'Master Database'!$T446=$B$8),OR($B$9="(All)",'Master Database'!$M446=$B$9),OR($B$10="(All)",'Master Database'!$V446=$B$10),OR($E$5="(All)",'Master Database'!$F446=$E$5),OR($E$6="(All)",'Master Database'!$G446=$E$6),OR($E$7="(All)",'Master Database'!$O446=$E$7),OR($E$8="(All)",'Master Database'!$P446=$E$8),OR($E$9="(All)",'Master Database'!$S446=$E$9),OR($E$10="(All)",'Master Database'!$Y446&amp;""=$E$10&amp;""),OR($H$5="(All)",'Master Database'!$BG446=$H$5),OR($H$6&lt;&gt;"Y",ISNUMBER('Master Database'!$AG446)),OR($H$7="",AND(ISNUMBER('Master Database'!$H446),N('Master Database'!$H446)&gt;=$H$7)),OR($I$7="",AND(ISNUMBER('Master Database'!$H446),N('Master Database'!$H446)&lt;=$I$7)),OR($H$8="",AND(ISNUMBER('Master Database'!$I446),N('Master Database'!$I446)&gt;=$H$8)),OR($I$8="",AND(ISNUMBER('Master Database'!$I446),N('Master Database'!$I446)&lt;=$I$8)),OR($H$9="",AND(ISNUMBER('Master Database'!$K446),N('Master Database'!$K446)&gt;=$H$9)),OR($I$9="",AND(ISNUMBER('Master Database'!$K446),N('Master Database'!$K446)&lt;=$I$9))),1,0))</f>
        <v>0</v>
      </c>
      <c r="BB446" s="0" t="str">
        <f aca="false">IF(BA446=1,COUNTIF($BA$5:BA446,1),"")</f>
        <v/>
      </c>
    </row>
    <row r="447" customFormat="false" ht="15" hidden="false" customHeight="false" outlineLevel="0" collapsed="false">
      <c r="BA447" s="0" t="n">
        <f aca="false">IF('Master Database'!$A447="",0,IF(AND(OR($B$5="",ISNUMBER(SEARCH($B$5,'Master Database'!$B447&amp;" "&amp;'Master Database'!$D447))),OR($B$6="(All)",'Master Database'!$C447=$B$6),OR($B$7="(All)",'Master Database'!$E447=$B$7),OR($B$8="(All)",'Master Database'!$T447=$B$8),OR($B$9="(All)",'Master Database'!$M447=$B$9),OR($B$10="(All)",'Master Database'!$V447=$B$10),OR($E$5="(All)",'Master Database'!$F447=$E$5),OR($E$6="(All)",'Master Database'!$G447=$E$6),OR($E$7="(All)",'Master Database'!$O447=$E$7),OR($E$8="(All)",'Master Database'!$P447=$E$8),OR($E$9="(All)",'Master Database'!$S447=$E$9),OR($E$10="(All)",'Master Database'!$Y447&amp;""=$E$10&amp;""),OR($H$5="(All)",'Master Database'!$BG447=$H$5),OR($H$6&lt;&gt;"Y",ISNUMBER('Master Database'!$AG447)),OR($H$7="",AND(ISNUMBER('Master Database'!$H447),N('Master Database'!$H447)&gt;=$H$7)),OR($I$7="",AND(ISNUMBER('Master Database'!$H447),N('Master Database'!$H447)&lt;=$I$7)),OR($H$8="",AND(ISNUMBER('Master Database'!$I447),N('Master Database'!$I447)&gt;=$H$8)),OR($I$8="",AND(ISNUMBER('Master Database'!$I447),N('Master Database'!$I447)&lt;=$I$8)),OR($H$9="",AND(ISNUMBER('Master Database'!$K447),N('Master Database'!$K447)&gt;=$H$9)),OR($I$9="",AND(ISNUMBER('Master Database'!$K447),N('Master Database'!$K447)&lt;=$I$9))),1,0))</f>
        <v>0</v>
      </c>
      <c r="BB447" s="0" t="str">
        <f aca="false">IF(BA447=1,COUNTIF($BA$5:BA447,1),"")</f>
        <v/>
      </c>
    </row>
    <row r="448" customFormat="false" ht="15" hidden="false" customHeight="false" outlineLevel="0" collapsed="false">
      <c r="BA448" s="0" t="n">
        <f aca="false">IF('Master Database'!$A448="",0,IF(AND(OR($B$5="",ISNUMBER(SEARCH($B$5,'Master Database'!$B448&amp;" "&amp;'Master Database'!$D448))),OR($B$6="(All)",'Master Database'!$C448=$B$6),OR($B$7="(All)",'Master Database'!$E448=$B$7),OR($B$8="(All)",'Master Database'!$T448=$B$8),OR($B$9="(All)",'Master Database'!$M448=$B$9),OR($B$10="(All)",'Master Database'!$V448=$B$10),OR($E$5="(All)",'Master Database'!$F448=$E$5),OR($E$6="(All)",'Master Database'!$G448=$E$6),OR($E$7="(All)",'Master Database'!$O448=$E$7),OR($E$8="(All)",'Master Database'!$P448=$E$8),OR($E$9="(All)",'Master Database'!$S448=$E$9),OR($E$10="(All)",'Master Database'!$Y448&amp;""=$E$10&amp;""),OR($H$5="(All)",'Master Database'!$BG448=$H$5),OR($H$6&lt;&gt;"Y",ISNUMBER('Master Database'!$AG448)),OR($H$7="",AND(ISNUMBER('Master Database'!$H448),N('Master Database'!$H448)&gt;=$H$7)),OR($I$7="",AND(ISNUMBER('Master Database'!$H448),N('Master Database'!$H448)&lt;=$I$7)),OR($H$8="",AND(ISNUMBER('Master Database'!$I448),N('Master Database'!$I448)&gt;=$H$8)),OR($I$8="",AND(ISNUMBER('Master Database'!$I448),N('Master Database'!$I448)&lt;=$I$8)),OR($H$9="",AND(ISNUMBER('Master Database'!$K448),N('Master Database'!$K448)&gt;=$H$9)),OR($I$9="",AND(ISNUMBER('Master Database'!$K448),N('Master Database'!$K448)&lt;=$I$9))),1,0))</f>
        <v>0</v>
      </c>
      <c r="BB448" s="0" t="str">
        <f aca="false">IF(BA448=1,COUNTIF($BA$5:BA448,1),"")</f>
        <v/>
      </c>
    </row>
    <row r="449" customFormat="false" ht="15" hidden="false" customHeight="false" outlineLevel="0" collapsed="false">
      <c r="BA449" s="0" t="n">
        <f aca="false">IF('Master Database'!$A449="",0,IF(AND(OR($B$5="",ISNUMBER(SEARCH($B$5,'Master Database'!$B449&amp;" "&amp;'Master Database'!$D449))),OR($B$6="(All)",'Master Database'!$C449=$B$6),OR($B$7="(All)",'Master Database'!$E449=$B$7),OR($B$8="(All)",'Master Database'!$T449=$B$8),OR($B$9="(All)",'Master Database'!$M449=$B$9),OR($B$10="(All)",'Master Database'!$V449=$B$10),OR($E$5="(All)",'Master Database'!$F449=$E$5),OR($E$6="(All)",'Master Database'!$G449=$E$6),OR($E$7="(All)",'Master Database'!$O449=$E$7),OR($E$8="(All)",'Master Database'!$P449=$E$8),OR($E$9="(All)",'Master Database'!$S449=$E$9),OR($E$10="(All)",'Master Database'!$Y449&amp;""=$E$10&amp;""),OR($H$5="(All)",'Master Database'!$BG449=$H$5),OR($H$6&lt;&gt;"Y",ISNUMBER('Master Database'!$AG449)),OR($H$7="",AND(ISNUMBER('Master Database'!$H449),N('Master Database'!$H449)&gt;=$H$7)),OR($I$7="",AND(ISNUMBER('Master Database'!$H449),N('Master Database'!$H449)&lt;=$I$7)),OR($H$8="",AND(ISNUMBER('Master Database'!$I449),N('Master Database'!$I449)&gt;=$H$8)),OR($I$8="",AND(ISNUMBER('Master Database'!$I449),N('Master Database'!$I449)&lt;=$I$8)),OR($H$9="",AND(ISNUMBER('Master Database'!$K449),N('Master Database'!$K449)&gt;=$H$9)),OR($I$9="",AND(ISNUMBER('Master Database'!$K449),N('Master Database'!$K449)&lt;=$I$9))),1,0))</f>
        <v>0</v>
      </c>
      <c r="BB449" s="0" t="str">
        <f aca="false">IF(BA449=1,COUNTIF($BA$5:BA449,1),"")</f>
        <v/>
      </c>
    </row>
    <row r="450" customFormat="false" ht="15" hidden="false" customHeight="false" outlineLevel="0" collapsed="false">
      <c r="BA450" s="0" t="n">
        <f aca="false">IF('Master Database'!$A450="",0,IF(AND(OR($B$5="",ISNUMBER(SEARCH($B$5,'Master Database'!$B450&amp;" "&amp;'Master Database'!$D450))),OR($B$6="(All)",'Master Database'!$C450=$B$6),OR($B$7="(All)",'Master Database'!$E450=$B$7),OR($B$8="(All)",'Master Database'!$T450=$B$8),OR($B$9="(All)",'Master Database'!$M450=$B$9),OR($B$10="(All)",'Master Database'!$V450=$B$10),OR($E$5="(All)",'Master Database'!$F450=$E$5),OR($E$6="(All)",'Master Database'!$G450=$E$6),OR($E$7="(All)",'Master Database'!$O450=$E$7),OR($E$8="(All)",'Master Database'!$P450=$E$8),OR($E$9="(All)",'Master Database'!$S450=$E$9),OR($E$10="(All)",'Master Database'!$Y450&amp;""=$E$10&amp;""),OR($H$5="(All)",'Master Database'!$BG450=$H$5),OR($H$6&lt;&gt;"Y",ISNUMBER('Master Database'!$AG450)),OR($H$7="",AND(ISNUMBER('Master Database'!$H450),N('Master Database'!$H450)&gt;=$H$7)),OR($I$7="",AND(ISNUMBER('Master Database'!$H450),N('Master Database'!$H450)&lt;=$I$7)),OR($H$8="",AND(ISNUMBER('Master Database'!$I450),N('Master Database'!$I450)&gt;=$H$8)),OR($I$8="",AND(ISNUMBER('Master Database'!$I450),N('Master Database'!$I450)&lt;=$I$8)),OR($H$9="",AND(ISNUMBER('Master Database'!$K450),N('Master Database'!$K450)&gt;=$H$9)),OR($I$9="",AND(ISNUMBER('Master Database'!$K450),N('Master Database'!$K450)&lt;=$I$9))),1,0))</f>
        <v>0</v>
      </c>
      <c r="BB450" s="0" t="str">
        <f aca="false">IF(BA450=1,COUNTIF($BA$5:BA450,1),"")</f>
        <v/>
      </c>
    </row>
    <row r="451" customFormat="false" ht="15" hidden="false" customHeight="false" outlineLevel="0" collapsed="false">
      <c r="BA451" s="0" t="n">
        <f aca="false">IF('Master Database'!$A451="",0,IF(AND(OR($B$5="",ISNUMBER(SEARCH($B$5,'Master Database'!$B451&amp;" "&amp;'Master Database'!$D451))),OR($B$6="(All)",'Master Database'!$C451=$B$6),OR($B$7="(All)",'Master Database'!$E451=$B$7),OR($B$8="(All)",'Master Database'!$T451=$B$8),OR($B$9="(All)",'Master Database'!$M451=$B$9),OR($B$10="(All)",'Master Database'!$V451=$B$10),OR($E$5="(All)",'Master Database'!$F451=$E$5),OR($E$6="(All)",'Master Database'!$G451=$E$6),OR($E$7="(All)",'Master Database'!$O451=$E$7),OR($E$8="(All)",'Master Database'!$P451=$E$8),OR($E$9="(All)",'Master Database'!$S451=$E$9),OR($E$10="(All)",'Master Database'!$Y451&amp;""=$E$10&amp;""),OR($H$5="(All)",'Master Database'!$BG451=$H$5),OR($H$6&lt;&gt;"Y",ISNUMBER('Master Database'!$AG451)),OR($H$7="",AND(ISNUMBER('Master Database'!$H451),N('Master Database'!$H451)&gt;=$H$7)),OR($I$7="",AND(ISNUMBER('Master Database'!$H451),N('Master Database'!$H451)&lt;=$I$7)),OR($H$8="",AND(ISNUMBER('Master Database'!$I451),N('Master Database'!$I451)&gt;=$H$8)),OR($I$8="",AND(ISNUMBER('Master Database'!$I451),N('Master Database'!$I451)&lt;=$I$8)),OR($H$9="",AND(ISNUMBER('Master Database'!$K451),N('Master Database'!$K451)&gt;=$H$9)),OR($I$9="",AND(ISNUMBER('Master Database'!$K451),N('Master Database'!$K451)&lt;=$I$9))),1,0))</f>
        <v>0</v>
      </c>
      <c r="BB451" s="0" t="str">
        <f aca="false">IF(BA451=1,COUNTIF($BA$5:BA451,1),"")</f>
        <v/>
      </c>
    </row>
    <row r="452" customFormat="false" ht="15" hidden="false" customHeight="false" outlineLevel="0" collapsed="false">
      <c r="BA452" s="0" t="n">
        <f aca="false">IF('Master Database'!$A452="",0,IF(AND(OR($B$5="",ISNUMBER(SEARCH($B$5,'Master Database'!$B452&amp;" "&amp;'Master Database'!$D452))),OR($B$6="(All)",'Master Database'!$C452=$B$6),OR($B$7="(All)",'Master Database'!$E452=$B$7),OR($B$8="(All)",'Master Database'!$T452=$B$8),OR($B$9="(All)",'Master Database'!$M452=$B$9),OR($B$10="(All)",'Master Database'!$V452=$B$10),OR($E$5="(All)",'Master Database'!$F452=$E$5),OR($E$6="(All)",'Master Database'!$G452=$E$6),OR($E$7="(All)",'Master Database'!$O452=$E$7),OR($E$8="(All)",'Master Database'!$P452=$E$8),OR($E$9="(All)",'Master Database'!$S452=$E$9),OR($E$10="(All)",'Master Database'!$Y452&amp;""=$E$10&amp;""),OR($H$5="(All)",'Master Database'!$BG452=$H$5),OR($H$6&lt;&gt;"Y",ISNUMBER('Master Database'!$AG452)),OR($H$7="",AND(ISNUMBER('Master Database'!$H452),N('Master Database'!$H452)&gt;=$H$7)),OR($I$7="",AND(ISNUMBER('Master Database'!$H452),N('Master Database'!$H452)&lt;=$I$7)),OR($H$8="",AND(ISNUMBER('Master Database'!$I452),N('Master Database'!$I452)&gt;=$H$8)),OR($I$8="",AND(ISNUMBER('Master Database'!$I452),N('Master Database'!$I452)&lt;=$I$8)),OR($H$9="",AND(ISNUMBER('Master Database'!$K452),N('Master Database'!$K452)&gt;=$H$9)),OR($I$9="",AND(ISNUMBER('Master Database'!$K452),N('Master Database'!$K452)&lt;=$I$9))),1,0))</f>
        <v>0</v>
      </c>
      <c r="BB452" s="0" t="str">
        <f aca="false">IF(BA452=1,COUNTIF($BA$5:BA452,1),"")</f>
        <v/>
      </c>
    </row>
    <row r="453" customFormat="false" ht="15" hidden="false" customHeight="false" outlineLevel="0" collapsed="false">
      <c r="BA453" s="0" t="n">
        <f aca="false">IF('Master Database'!$A453="",0,IF(AND(OR($B$5="",ISNUMBER(SEARCH($B$5,'Master Database'!$B453&amp;" "&amp;'Master Database'!$D453))),OR($B$6="(All)",'Master Database'!$C453=$B$6),OR($B$7="(All)",'Master Database'!$E453=$B$7),OR($B$8="(All)",'Master Database'!$T453=$B$8),OR($B$9="(All)",'Master Database'!$M453=$B$9),OR($B$10="(All)",'Master Database'!$V453=$B$10),OR($E$5="(All)",'Master Database'!$F453=$E$5),OR($E$6="(All)",'Master Database'!$G453=$E$6),OR($E$7="(All)",'Master Database'!$O453=$E$7),OR($E$8="(All)",'Master Database'!$P453=$E$8),OR($E$9="(All)",'Master Database'!$S453=$E$9),OR($E$10="(All)",'Master Database'!$Y453&amp;""=$E$10&amp;""),OR($H$5="(All)",'Master Database'!$BG453=$H$5),OR($H$6&lt;&gt;"Y",ISNUMBER('Master Database'!$AG453)),OR($H$7="",AND(ISNUMBER('Master Database'!$H453),N('Master Database'!$H453)&gt;=$H$7)),OR($I$7="",AND(ISNUMBER('Master Database'!$H453),N('Master Database'!$H453)&lt;=$I$7)),OR($H$8="",AND(ISNUMBER('Master Database'!$I453),N('Master Database'!$I453)&gt;=$H$8)),OR($I$8="",AND(ISNUMBER('Master Database'!$I453),N('Master Database'!$I453)&lt;=$I$8)),OR($H$9="",AND(ISNUMBER('Master Database'!$K453),N('Master Database'!$K453)&gt;=$H$9)),OR($I$9="",AND(ISNUMBER('Master Database'!$K453),N('Master Database'!$K453)&lt;=$I$9))),1,0))</f>
        <v>0</v>
      </c>
      <c r="BB453" s="0" t="str">
        <f aca="false">IF(BA453=1,COUNTIF($BA$5:BA453,1),"")</f>
        <v/>
      </c>
    </row>
    <row r="454" customFormat="false" ht="15" hidden="false" customHeight="false" outlineLevel="0" collapsed="false">
      <c r="BA454" s="0" t="n">
        <f aca="false">IF('Master Database'!$A454="",0,IF(AND(OR($B$5="",ISNUMBER(SEARCH($B$5,'Master Database'!$B454&amp;" "&amp;'Master Database'!$D454))),OR($B$6="(All)",'Master Database'!$C454=$B$6),OR($B$7="(All)",'Master Database'!$E454=$B$7),OR($B$8="(All)",'Master Database'!$T454=$B$8),OR($B$9="(All)",'Master Database'!$M454=$B$9),OR($B$10="(All)",'Master Database'!$V454=$B$10),OR($E$5="(All)",'Master Database'!$F454=$E$5),OR($E$6="(All)",'Master Database'!$G454=$E$6),OR($E$7="(All)",'Master Database'!$O454=$E$7),OR($E$8="(All)",'Master Database'!$P454=$E$8),OR($E$9="(All)",'Master Database'!$S454=$E$9),OR($E$10="(All)",'Master Database'!$Y454&amp;""=$E$10&amp;""),OR($H$5="(All)",'Master Database'!$BG454=$H$5),OR($H$6&lt;&gt;"Y",ISNUMBER('Master Database'!$AG454)),OR($H$7="",AND(ISNUMBER('Master Database'!$H454),N('Master Database'!$H454)&gt;=$H$7)),OR($I$7="",AND(ISNUMBER('Master Database'!$H454),N('Master Database'!$H454)&lt;=$I$7)),OR($H$8="",AND(ISNUMBER('Master Database'!$I454),N('Master Database'!$I454)&gt;=$H$8)),OR($I$8="",AND(ISNUMBER('Master Database'!$I454),N('Master Database'!$I454)&lt;=$I$8)),OR($H$9="",AND(ISNUMBER('Master Database'!$K454),N('Master Database'!$K454)&gt;=$H$9)),OR($I$9="",AND(ISNUMBER('Master Database'!$K454),N('Master Database'!$K454)&lt;=$I$9))),1,0))</f>
        <v>0</v>
      </c>
      <c r="BB454" s="0" t="str">
        <f aca="false">IF(BA454=1,COUNTIF($BA$5:BA454,1),"")</f>
        <v/>
      </c>
    </row>
    <row r="455" customFormat="false" ht="15" hidden="false" customHeight="false" outlineLevel="0" collapsed="false">
      <c r="BA455" s="0" t="n">
        <f aca="false">IF('Master Database'!$A455="",0,IF(AND(OR($B$5="",ISNUMBER(SEARCH($B$5,'Master Database'!$B455&amp;" "&amp;'Master Database'!$D455))),OR($B$6="(All)",'Master Database'!$C455=$B$6),OR($B$7="(All)",'Master Database'!$E455=$B$7),OR($B$8="(All)",'Master Database'!$T455=$B$8),OR($B$9="(All)",'Master Database'!$M455=$B$9),OR($B$10="(All)",'Master Database'!$V455=$B$10),OR($E$5="(All)",'Master Database'!$F455=$E$5),OR($E$6="(All)",'Master Database'!$G455=$E$6),OR($E$7="(All)",'Master Database'!$O455=$E$7),OR($E$8="(All)",'Master Database'!$P455=$E$8),OR($E$9="(All)",'Master Database'!$S455=$E$9),OR($E$10="(All)",'Master Database'!$Y455&amp;""=$E$10&amp;""),OR($H$5="(All)",'Master Database'!$BG455=$H$5),OR($H$6&lt;&gt;"Y",ISNUMBER('Master Database'!$AG455)),OR($H$7="",AND(ISNUMBER('Master Database'!$H455),N('Master Database'!$H455)&gt;=$H$7)),OR($I$7="",AND(ISNUMBER('Master Database'!$H455),N('Master Database'!$H455)&lt;=$I$7)),OR($H$8="",AND(ISNUMBER('Master Database'!$I455),N('Master Database'!$I455)&gt;=$H$8)),OR($I$8="",AND(ISNUMBER('Master Database'!$I455),N('Master Database'!$I455)&lt;=$I$8)),OR($H$9="",AND(ISNUMBER('Master Database'!$K455),N('Master Database'!$K455)&gt;=$H$9)),OR($I$9="",AND(ISNUMBER('Master Database'!$K455),N('Master Database'!$K455)&lt;=$I$9))),1,0))</f>
        <v>0</v>
      </c>
      <c r="BB455" s="0" t="str">
        <f aca="false">IF(BA455=1,COUNTIF($BA$5:BA455,1),"")</f>
        <v/>
      </c>
    </row>
    <row r="456" customFormat="false" ht="15" hidden="false" customHeight="false" outlineLevel="0" collapsed="false">
      <c r="BA456" s="0" t="n">
        <f aca="false">IF('Master Database'!$A456="",0,IF(AND(OR($B$5="",ISNUMBER(SEARCH($B$5,'Master Database'!$B456&amp;" "&amp;'Master Database'!$D456))),OR($B$6="(All)",'Master Database'!$C456=$B$6),OR($B$7="(All)",'Master Database'!$E456=$B$7),OR($B$8="(All)",'Master Database'!$T456=$B$8),OR($B$9="(All)",'Master Database'!$M456=$B$9),OR($B$10="(All)",'Master Database'!$V456=$B$10),OR($E$5="(All)",'Master Database'!$F456=$E$5),OR($E$6="(All)",'Master Database'!$G456=$E$6),OR($E$7="(All)",'Master Database'!$O456=$E$7),OR($E$8="(All)",'Master Database'!$P456=$E$8),OR($E$9="(All)",'Master Database'!$S456=$E$9),OR($E$10="(All)",'Master Database'!$Y456&amp;""=$E$10&amp;""),OR($H$5="(All)",'Master Database'!$BG456=$H$5),OR($H$6&lt;&gt;"Y",ISNUMBER('Master Database'!$AG456)),OR($H$7="",AND(ISNUMBER('Master Database'!$H456),N('Master Database'!$H456)&gt;=$H$7)),OR($I$7="",AND(ISNUMBER('Master Database'!$H456),N('Master Database'!$H456)&lt;=$I$7)),OR($H$8="",AND(ISNUMBER('Master Database'!$I456),N('Master Database'!$I456)&gt;=$H$8)),OR($I$8="",AND(ISNUMBER('Master Database'!$I456),N('Master Database'!$I456)&lt;=$I$8)),OR($H$9="",AND(ISNUMBER('Master Database'!$K456),N('Master Database'!$K456)&gt;=$H$9)),OR($I$9="",AND(ISNUMBER('Master Database'!$K456),N('Master Database'!$K456)&lt;=$I$9))),1,0))</f>
        <v>0</v>
      </c>
      <c r="BB456" s="0" t="str">
        <f aca="false">IF(BA456=1,COUNTIF($BA$5:BA456,1),"")</f>
        <v/>
      </c>
    </row>
    <row r="457" customFormat="false" ht="15" hidden="false" customHeight="false" outlineLevel="0" collapsed="false">
      <c r="BA457" s="0" t="n">
        <f aca="false">IF('Master Database'!$A457="",0,IF(AND(OR($B$5="",ISNUMBER(SEARCH($B$5,'Master Database'!$B457&amp;" "&amp;'Master Database'!$D457))),OR($B$6="(All)",'Master Database'!$C457=$B$6),OR($B$7="(All)",'Master Database'!$E457=$B$7),OR($B$8="(All)",'Master Database'!$T457=$B$8),OR($B$9="(All)",'Master Database'!$M457=$B$9),OR($B$10="(All)",'Master Database'!$V457=$B$10),OR($E$5="(All)",'Master Database'!$F457=$E$5),OR($E$6="(All)",'Master Database'!$G457=$E$6),OR($E$7="(All)",'Master Database'!$O457=$E$7),OR($E$8="(All)",'Master Database'!$P457=$E$8),OR($E$9="(All)",'Master Database'!$S457=$E$9),OR($E$10="(All)",'Master Database'!$Y457&amp;""=$E$10&amp;""),OR($H$5="(All)",'Master Database'!$BG457=$H$5),OR($H$6&lt;&gt;"Y",ISNUMBER('Master Database'!$AG457)),OR($H$7="",AND(ISNUMBER('Master Database'!$H457),N('Master Database'!$H457)&gt;=$H$7)),OR($I$7="",AND(ISNUMBER('Master Database'!$H457),N('Master Database'!$H457)&lt;=$I$7)),OR($H$8="",AND(ISNUMBER('Master Database'!$I457),N('Master Database'!$I457)&gt;=$H$8)),OR($I$8="",AND(ISNUMBER('Master Database'!$I457),N('Master Database'!$I457)&lt;=$I$8)),OR($H$9="",AND(ISNUMBER('Master Database'!$K457),N('Master Database'!$K457)&gt;=$H$9)),OR($I$9="",AND(ISNUMBER('Master Database'!$K457),N('Master Database'!$K457)&lt;=$I$9))),1,0))</f>
        <v>0</v>
      </c>
      <c r="BB457" s="0" t="str">
        <f aca="false">IF(BA457=1,COUNTIF($BA$5:BA457,1),"")</f>
        <v/>
      </c>
    </row>
    <row r="458" customFormat="false" ht="15" hidden="false" customHeight="false" outlineLevel="0" collapsed="false">
      <c r="BA458" s="0" t="n">
        <f aca="false">IF('Master Database'!$A458="",0,IF(AND(OR($B$5="",ISNUMBER(SEARCH($B$5,'Master Database'!$B458&amp;" "&amp;'Master Database'!$D458))),OR($B$6="(All)",'Master Database'!$C458=$B$6),OR($B$7="(All)",'Master Database'!$E458=$B$7),OR($B$8="(All)",'Master Database'!$T458=$B$8),OR($B$9="(All)",'Master Database'!$M458=$B$9),OR($B$10="(All)",'Master Database'!$V458=$B$10),OR($E$5="(All)",'Master Database'!$F458=$E$5),OR($E$6="(All)",'Master Database'!$G458=$E$6),OR($E$7="(All)",'Master Database'!$O458=$E$7),OR($E$8="(All)",'Master Database'!$P458=$E$8),OR($E$9="(All)",'Master Database'!$S458=$E$9),OR($E$10="(All)",'Master Database'!$Y458&amp;""=$E$10&amp;""),OR($H$5="(All)",'Master Database'!$BG458=$H$5),OR($H$6&lt;&gt;"Y",ISNUMBER('Master Database'!$AG458)),OR($H$7="",AND(ISNUMBER('Master Database'!$H458),N('Master Database'!$H458)&gt;=$H$7)),OR($I$7="",AND(ISNUMBER('Master Database'!$H458),N('Master Database'!$H458)&lt;=$I$7)),OR($H$8="",AND(ISNUMBER('Master Database'!$I458),N('Master Database'!$I458)&gt;=$H$8)),OR($I$8="",AND(ISNUMBER('Master Database'!$I458),N('Master Database'!$I458)&lt;=$I$8)),OR($H$9="",AND(ISNUMBER('Master Database'!$K458),N('Master Database'!$K458)&gt;=$H$9)),OR($I$9="",AND(ISNUMBER('Master Database'!$K458),N('Master Database'!$K458)&lt;=$I$9))),1,0))</f>
        <v>0</v>
      </c>
      <c r="BB458" s="0" t="str">
        <f aca="false">IF(BA458=1,COUNTIF($BA$5:BA458,1),"")</f>
        <v/>
      </c>
    </row>
    <row r="459" customFormat="false" ht="15" hidden="false" customHeight="false" outlineLevel="0" collapsed="false">
      <c r="BA459" s="0" t="n">
        <f aca="false">IF('Master Database'!$A459="",0,IF(AND(OR($B$5="",ISNUMBER(SEARCH($B$5,'Master Database'!$B459&amp;" "&amp;'Master Database'!$D459))),OR($B$6="(All)",'Master Database'!$C459=$B$6),OR($B$7="(All)",'Master Database'!$E459=$B$7),OR($B$8="(All)",'Master Database'!$T459=$B$8),OR($B$9="(All)",'Master Database'!$M459=$B$9),OR($B$10="(All)",'Master Database'!$V459=$B$10),OR($E$5="(All)",'Master Database'!$F459=$E$5),OR($E$6="(All)",'Master Database'!$G459=$E$6),OR($E$7="(All)",'Master Database'!$O459=$E$7),OR($E$8="(All)",'Master Database'!$P459=$E$8),OR($E$9="(All)",'Master Database'!$S459=$E$9),OR($E$10="(All)",'Master Database'!$Y459&amp;""=$E$10&amp;""),OR($H$5="(All)",'Master Database'!$BG459=$H$5),OR($H$6&lt;&gt;"Y",ISNUMBER('Master Database'!$AG459)),OR($H$7="",AND(ISNUMBER('Master Database'!$H459),N('Master Database'!$H459)&gt;=$H$7)),OR($I$7="",AND(ISNUMBER('Master Database'!$H459),N('Master Database'!$H459)&lt;=$I$7)),OR($H$8="",AND(ISNUMBER('Master Database'!$I459),N('Master Database'!$I459)&gt;=$H$8)),OR($I$8="",AND(ISNUMBER('Master Database'!$I459),N('Master Database'!$I459)&lt;=$I$8)),OR($H$9="",AND(ISNUMBER('Master Database'!$K459),N('Master Database'!$K459)&gt;=$H$9)),OR($I$9="",AND(ISNUMBER('Master Database'!$K459),N('Master Database'!$K459)&lt;=$I$9))),1,0))</f>
        <v>0</v>
      </c>
      <c r="BB459" s="0" t="str">
        <f aca="false">IF(BA459=1,COUNTIF($BA$5:BA459,1),"")</f>
        <v/>
      </c>
    </row>
    <row r="460" customFormat="false" ht="15" hidden="false" customHeight="false" outlineLevel="0" collapsed="false">
      <c r="BA460" s="0" t="n">
        <f aca="false">IF('Master Database'!$A460="",0,IF(AND(OR($B$5="",ISNUMBER(SEARCH($B$5,'Master Database'!$B460&amp;" "&amp;'Master Database'!$D460))),OR($B$6="(All)",'Master Database'!$C460=$B$6),OR($B$7="(All)",'Master Database'!$E460=$B$7),OR($B$8="(All)",'Master Database'!$T460=$B$8),OR($B$9="(All)",'Master Database'!$M460=$B$9),OR($B$10="(All)",'Master Database'!$V460=$B$10),OR($E$5="(All)",'Master Database'!$F460=$E$5),OR($E$6="(All)",'Master Database'!$G460=$E$6),OR($E$7="(All)",'Master Database'!$O460=$E$7),OR($E$8="(All)",'Master Database'!$P460=$E$8),OR($E$9="(All)",'Master Database'!$S460=$E$9),OR($E$10="(All)",'Master Database'!$Y460&amp;""=$E$10&amp;""),OR($H$5="(All)",'Master Database'!$BG460=$H$5),OR($H$6&lt;&gt;"Y",ISNUMBER('Master Database'!$AG460)),OR($H$7="",AND(ISNUMBER('Master Database'!$H460),N('Master Database'!$H460)&gt;=$H$7)),OR($I$7="",AND(ISNUMBER('Master Database'!$H460),N('Master Database'!$H460)&lt;=$I$7)),OR($H$8="",AND(ISNUMBER('Master Database'!$I460),N('Master Database'!$I460)&gt;=$H$8)),OR($I$8="",AND(ISNUMBER('Master Database'!$I460),N('Master Database'!$I460)&lt;=$I$8)),OR($H$9="",AND(ISNUMBER('Master Database'!$K460),N('Master Database'!$K460)&gt;=$H$9)),OR($I$9="",AND(ISNUMBER('Master Database'!$K460),N('Master Database'!$K460)&lt;=$I$9))),1,0))</f>
        <v>0</v>
      </c>
      <c r="BB460" s="0" t="str">
        <f aca="false">IF(BA460=1,COUNTIF($BA$5:BA460,1),"")</f>
        <v/>
      </c>
    </row>
    <row r="461" customFormat="false" ht="15" hidden="false" customHeight="false" outlineLevel="0" collapsed="false">
      <c r="BA461" s="0" t="n">
        <f aca="false">IF('Master Database'!$A461="",0,IF(AND(OR($B$5="",ISNUMBER(SEARCH($B$5,'Master Database'!$B461&amp;" "&amp;'Master Database'!$D461))),OR($B$6="(All)",'Master Database'!$C461=$B$6),OR($B$7="(All)",'Master Database'!$E461=$B$7),OR($B$8="(All)",'Master Database'!$T461=$B$8),OR($B$9="(All)",'Master Database'!$M461=$B$9),OR($B$10="(All)",'Master Database'!$V461=$B$10),OR($E$5="(All)",'Master Database'!$F461=$E$5),OR($E$6="(All)",'Master Database'!$G461=$E$6),OR($E$7="(All)",'Master Database'!$O461=$E$7),OR($E$8="(All)",'Master Database'!$P461=$E$8),OR($E$9="(All)",'Master Database'!$S461=$E$9),OR($E$10="(All)",'Master Database'!$Y461&amp;""=$E$10&amp;""),OR($H$5="(All)",'Master Database'!$BG461=$H$5),OR($H$6&lt;&gt;"Y",ISNUMBER('Master Database'!$AG461)),OR($H$7="",AND(ISNUMBER('Master Database'!$H461),N('Master Database'!$H461)&gt;=$H$7)),OR($I$7="",AND(ISNUMBER('Master Database'!$H461),N('Master Database'!$H461)&lt;=$I$7)),OR($H$8="",AND(ISNUMBER('Master Database'!$I461),N('Master Database'!$I461)&gt;=$H$8)),OR($I$8="",AND(ISNUMBER('Master Database'!$I461),N('Master Database'!$I461)&lt;=$I$8)),OR($H$9="",AND(ISNUMBER('Master Database'!$K461),N('Master Database'!$K461)&gt;=$H$9)),OR($I$9="",AND(ISNUMBER('Master Database'!$K461),N('Master Database'!$K461)&lt;=$I$9))),1,0))</f>
        <v>0</v>
      </c>
      <c r="BB461" s="0" t="str">
        <f aca="false">IF(BA461=1,COUNTIF($BA$5:BA461,1),"")</f>
        <v/>
      </c>
    </row>
    <row r="462" customFormat="false" ht="15" hidden="false" customHeight="false" outlineLevel="0" collapsed="false">
      <c r="BA462" s="0" t="n">
        <f aca="false">IF('Master Database'!$A462="",0,IF(AND(OR($B$5="",ISNUMBER(SEARCH($B$5,'Master Database'!$B462&amp;" "&amp;'Master Database'!$D462))),OR($B$6="(All)",'Master Database'!$C462=$B$6),OR($B$7="(All)",'Master Database'!$E462=$B$7),OR($B$8="(All)",'Master Database'!$T462=$B$8),OR($B$9="(All)",'Master Database'!$M462=$B$9),OR($B$10="(All)",'Master Database'!$V462=$B$10),OR($E$5="(All)",'Master Database'!$F462=$E$5),OR($E$6="(All)",'Master Database'!$G462=$E$6),OR($E$7="(All)",'Master Database'!$O462=$E$7),OR($E$8="(All)",'Master Database'!$P462=$E$8),OR($E$9="(All)",'Master Database'!$S462=$E$9),OR($E$10="(All)",'Master Database'!$Y462&amp;""=$E$10&amp;""),OR($H$5="(All)",'Master Database'!$BG462=$H$5),OR($H$6&lt;&gt;"Y",ISNUMBER('Master Database'!$AG462)),OR($H$7="",AND(ISNUMBER('Master Database'!$H462),N('Master Database'!$H462)&gt;=$H$7)),OR($I$7="",AND(ISNUMBER('Master Database'!$H462),N('Master Database'!$H462)&lt;=$I$7)),OR($H$8="",AND(ISNUMBER('Master Database'!$I462),N('Master Database'!$I462)&gt;=$H$8)),OR($I$8="",AND(ISNUMBER('Master Database'!$I462),N('Master Database'!$I462)&lt;=$I$8)),OR($H$9="",AND(ISNUMBER('Master Database'!$K462),N('Master Database'!$K462)&gt;=$H$9)),OR($I$9="",AND(ISNUMBER('Master Database'!$K462),N('Master Database'!$K462)&lt;=$I$9))),1,0))</f>
        <v>0</v>
      </c>
      <c r="BB462" s="0" t="str">
        <f aca="false">IF(BA462=1,COUNTIF($BA$5:BA462,1),"")</f>
        <v/>
      </c>
    </row>
    <row r="463" customFormat="false" ht="15" hidden="false" customHeight="false" outlineLevel="0" collapsed="false">
      <c r="BA463" s="0" t="n">
        <f aca="false">IF('Master Database'!$A463="",0,IF(AND(OR($B$5="",ISNUMBER(SEARCH($B$5,'Master Database'!$B463&amp;" "&amp;'Master Database'!$D463))),OR($B$6="(All)",'Master Database'!$C463=$B$6),OR($B$7="(All)",'Master Database'!$E463=$B$7),OR($B$8="(All)",'Master Database'!$T463=$B$8),OR($B$9="(All)",'Master Database'!$M463=$B$9),OR($B$10="(All)",'Master Database'!$V463=$B$10),OR($E$5="(All)",'Master Database'!$F463=$E$5),OR($E$6="(All)",'Master Database'!$G463=$E$6),OR($E$7="(All)",'Master Database'!$O463=$E$7),OR($E$8="(All)",'Master Database'!$P463=$E$8),OR($E$9="(All)",'Master Database'!$S463=$E$9),OR($E$10="(All)",'Master Database'!$Y463&amp;""=$E$10&amp;""),OR($H$5="(All)",'Master Database'!$BG463=$H$5),OR($H$6&lt;&gt;"Y",ISNUMBER('Master Database'!$AG463)),OR($H$7="",AND(ISNUMBER('Master Database'!$H463),N('Master Database'!$H463)&gt;=$H$7)),OR($I$7="",AND(ISNUMBER('Master Database'!$H463),N('Master Database'!$H463)&lt;=$I$7)),OR($H$8="",AND(ISNUMBER('Master Database'!$I463),N('Master Database'!$I463)&gt;=$H$8)),OR($I$8="",AND(ISNUMBER('Master Database'!$I463),N('Master Database'!$I463)&lt;=$I$8)),OR($H$9="",AND(ISNUMBER('Master Database'!$K463),N('Master Database'!$K463)&gt;=$H$9)),OR($I$9="",AND(ISNUMBER('Master Database'!$K463),N('Master Database'!$K463)&lt;=$I$9))),1,0))</f>
        <v>0</v>
      </c>
      <c r="BB463" s="0" t="str">
        <f aca="false">IF(BA463=1,COUNTIF($BA$5:BA463,1),"")</f>
        <v/>
      </c>
    </row>
    <row r="464" customFormat="false" ht="15" hidden="false" customHeight="false" outlineLevel="0" collapsed="false">
      <c r="BA464" s="0" t="n">
        <f aca="false">IF('Master Database'!$A464="",0,IF(AND(OR($B$5="",ISNUMBER(SEARCH($B$5,'Master Database'!$B464&amp;" "&amp;'Master Database'!$D464))),OR($B$6="(All)",'Master Database'!$C464=$B$6),OR($B$7="(All)",'Master Database'!$E464=$B$7),OR($B$8="(All)",'Master Database'!$T464=$B$8),OR($B$9="(All)",'Master Database'!$M464=$B$9),OR($B$10="(All)",'Master Database'!$V464=$B$10),OR($E$5="(All)",'Master Database'!$F464=$E$5),OR($E$6="(All)",'Master Database'!$G464=$E$6),OR($E$7="(All)",'Master Database'!$O464=$E$7),OR($E$8="(All)",'Master Database'!$P464=$E$8),OR($E$9="(All)",'Master Database'!$S464=$E$9),OR($E$10="(All)",'Master Database'!$Y464&amp;""=$E$10&amp;""),OR($H$5="(All)",'Master Database'!$BG464=$H$5),OR($H$6&lt;&gt;"Y",ISNUMBER('Master Database'!$AG464)),OR($H$7="",AND(ISNUMBER('Master Database'!$H464),N('Master Database'!$H464)&gt;=$H$7)),OR($I$7="",AND(ISNUMBER('Master Database'!$H464),N('Master Database'!$H464)&lt;=$I$7)),OR($H$8="",AND(ISNUMBER('Master Database'!$I464),N('Master Database'!$I464)&gt;=$H$8)),OR($I$8="",AND(ISNUMBER('Master Database'!$I464),N('Master Database'!$I464)&lt;=$I$8)),OR($H$9="",AND(ISNUMBER('Master Database'!$K464),N('Master Database'!$K464)&gt;=$H$9)),OR($I$9="",AND(ISNUMBER('Master Database'!$K464),N('Master Database'!$K464)&lt;=$I$9))),1,0))</f>
        <v>0</v>
      </c>
      <c r="BB464" s="0" t="str">
        <f aca="false">IF(BA464=1,COUNTIF($BA$5:BA464,1),"")</f>
        <v/>
      </c>
    </row>
    <row r="465" customFormat="false" ht="15" hidden="false" customHeight="false" outlineLevel="0" collapsed="false">
      <c r="BA465" s="0" t="n">
        <f aca="false">IF('Master Database'!$A465="",0,IF(AND(OR($B$5="",ISNUMBER(SEARCH($B$5,'Master Database'!$B465&amp;" "&amp;'Master Database'!$D465))),OR($B$6="(All)",'Master Database'!$C465=$B$6),OR($B$7="(All)",'Master Database'!$E465=$B$7),OR($B$8="(All)",'Master Database'!$T465=$B$8),OR($B$9="(All)",'Master Database'!$M465=$B$9),OR($B$10="(All)",'Master Database'!$V465=$B$10),OR($E$5="(All)",'Master Database'!$F465=$E$5),OR($E$6="(All)",'Master Database'!$G465=$E$6),OR($E$7="(All)",'Master Database'!$O465=$E$7),OR($E$8="(All)",'Master Database'!$P465=$E$8),OR($E$9="(All)",'Master Database'!$S465=$E$9),OR($E$10="(All)",'Master Database'!$Y465&amp;""=$E$10&amp;""),OR($H$5="(All)",'Master Database'!$BG465=$H$5),OR($H$6&lt;&gt;"Y",ISNUMBER('Master Database'!$AG465)),OR($H$7="",AND(ISNUMBER('Master Database'!$H465),N('Master Database'!$H465)&gt;=$H$7)),OR($I$7="",AND(ISNUMBER('Master Database'!$H465),N('Master Database'!$H465)&lt;=$I$7)),OR($H$8="",AND(ISNUMBER('Master Database'!$I465),N('Master Database'!$I465)&gt;=$H$8)),OR($I$8="",AND(ISNUMBER('Master Database'!$I465),N('Master Database'!$I465)&lt;=$I$8)),OR($H$9="",AND(ISNUMBER('Master Database'!$K465),N('Master Database'!$K465)&gt;=$H$9)),OR($I$9="",AND(ISNUMBER('Master Database'!$K465),N('Master Database'!$K465)&lt;=$I$9))),1,0))</f>
        <v>0</v>
      </c>
      <c r="BB465" s="0" t="str">
        <f aca="false">IF(BA465=1,COUNTIF($BA$5:BA465,1),"")</f>
        <v/>
      </c>
    </row>
    <row r="466" customFormat="false" ht="15" hidden="false" customHeight="false" outlineLevel="0" collapsed="false">
      <c r="BA466" s="0" t="n">
        <f aca="false">IF('Master Database'!$A466="",0,IF(AND(OR($B$5="",ISNUMBER(SEARCH($B$5,'Master Database'!$B466&amp;" "&amp;'Master Database'!$D466))),OR($B$6="(All)",'Master Database'!$C466=$B$6),OR($B$7="(All)",'Master Database'!$E466=$B$7),OR($B$8="(All)",'Master Database'!$T466=$B$8),OR($B$9="(All)",'Master Database'!$M466=$B$9),OR($B$10="(All)",'Master Database'!$V466=$B$10),OR($E$5="(All)",'Master Database'!$F466=$E$5),OR($E$6="(All)",'Master Database'!$G466=$E$6),OR($E$7="(All)",'Master Database'!$O466=$E$7),OR($E$8="(All)",'Master Database'!$P466=$E$8),OR($E$9="(All)",'Master Database'!$S466=$E$9),OR($E$10="(All)",'Master Database'!$Y466&amp;""=$E$10&amp;""),OR($H$5="(All)",'Master Database'!$BG466=$H$5),OR($H$6&lt;&gt;"Y",ISNUMBER('Master Database'!$AG466)),OR($H$7="",AND(ISNUMBER('Master Database'!$H466),N('Master Database'!$H466)&gt;=$H$7)),OR($I$7="",AND(ISNUMBER('Master Database'!$H466),N('Master Database'!$H466)&lt;=$I$7)),OR($H$8="",AND(ISNUMBER('Master Database'!$I466),N('Master Database'!$I466)&gt;=$H$8)),OR($I$8="",AND(ISNUMBER('Master Database'!$I466),N('Master Database'!$I466)&lt;=$I$8)),OR($H$9="",AND(ISNUMBER('Master Database'!$K466),N('Master Database'!$K466)&gt;=$H$9)),OR($I$9="",AND(ISNUMBER('Master Database'!$K466),N('Master Database'!$K466)&lt;=$I$9))),1,0))</f>
        <v>0</v>
      </c>
      <c r="BB466" s="0" t="str">
        <f aca="false">IF(BA466=1,COUNTIF($BA$5:BA466,1),"")</f>
        <v/>
      </c>
    </row>
    <row r="467" customFormat="false" ht="15" hidden="false" customHeight="false" outlineLevel="0" collapsed="false">
      <c r="BA467" s="0" t="n">
        <f aca="false">IF('Master Database'!$A467="",0,IF(AND(OR($B$5="",ISNUMBER(SEARCH($B$5,'Master Database'!$B467&amp;" "&amp;'Master Database'!$D467))),OR($B$6="(All)",'Master Database'!$C467=$B$6),OR($B$7="(All)",'Master Database'!$E467=$B$7),OR($B$8="(All)",'Master Database'!$T467=$B$8),OR($B$9="(All)",'Master Database'!$M467=$B$9),OR($B$10="(All)",'Master Database'!$V467=$B$10),OR($E$5="(All)",'Master Database'!$F467=$E$5),OR($E$6="(All)",'Master Database'!$G467=$E$6),OR($E$7="(All)",'Master Database'!$O467=$E$7),OR($E$8="(All)",'Master Database'!$P467=$E$8),OR($E$9="(All)",'Master Database'!$S467=$E$9),OR($E$10="(All)",'Master Database'!$Y467&amp;""=$E$10&amp;""),OR($H$5="(All)",'Master Database'!$BG467=$H$5),OR($H$6&lt;&gt;"Y",ISNUMBER('Master Database'!$AG467)),OR($H$7="",AND(ISNUMBER('Master Database'!$H467),N('Master Database'!$H467)&gt;=$H$7)),OR($I$7="",AND(ISNUMBER('Master Database'!$H467),N('Master Database'!$H467)&lt;=$I$7)),OR($H$8="",AND(ISNUMBER('Master Database'!$I467),N('Master Database'!$I467)&gt;=$H$8)),OR($I$8="",AND(ISNUMBER('Master Database'!$I467),N('Master Database'!$I467)&lt;=$I$8)),OR($H$9="",AND(ISNUMBER('Master Database'!$K467),N('Master Database'!$K467)&gt;=$H$9)),OR($I$9="",AND(ISNUMBER('Master Database'!$K467),N('Master Database'!$K467)&lt;=$I$9))),1,0))</f>
        <v>0</v>
      </c>
      <c r="BB467" s="0" t="str">
        <f aca="false">IF(BA467=1,COUNTIF($BA$5:BA467,1),"")</f>
        <v/>
      </c>
    </row>
    <row r="468" customFormat="false" ht="15" hidden="false" customHeight="false" outlineLevel="0" collapsed="false">
      <c r="BA468" s="0" t="n">
        <f aca="false">IF('Master Database'!$A468="",0,IF(AND(OR($B$5="",ISNUMBER(SEARCH($B$5,'Master Database'!$B468&amp;" "&amp;'Master Database'!$D468))),OR($B$6="(All)",'Master Database'!$C468=$B$6),OR($B$7="(All)",'Master Database'!$E468=$B$7),OR($B$8="(All)",'Master Database'!$T468=$B$8),OR($B$9="(All)",'Master Database'!$M468=$B$9),OR($B$10="(All)",'Master Database'!$V468=$B$10),OR($E$5="(All)",'Master Database'!$F468=$E$5),OR($E$6="(All)",'Master Database'!$G468=$E$6),OR($E$7="(All)",'Master Database'!$O468=$E$7),OR($E$8="(All)",'Master Database'!$P468=$E$8),OR($E$9="(All)",'Master Database'!$S468=$E$9),OR($E$10="(All)",'Master Database'!$Y468&amp;""=$E$10&amp;""),OR($H$5="(All)",'Master Database'!$BG468=$H$5),OR($H$6&lt;&gt;"Y",ISNUMBER('Master Database'!$AG468)),OR($H$7="",AND(ISNUMBER('Master Database'!$H468),N('Master Database'!$H468)&gt;=$H$7)),OR($I$7="",AND(ISNUMBER('Master Database'!$H468),N('Master Database'!$H468)&lt;=$I$7)),OR($H$8="",AND(ISNUMBER('Master Database'!$I468),N('Master Database'!$I468)&gt;=$H$8)),OR($I$8="",AND(ISNUMBER('Master Database'!$I468),N('Master Database'!$I468)&lt;=$I$8)),OR($H$9="",AND(ISNUMBER('Master Database'!$K468),N('Master Database'!$K468)&gt;=$H$9)),OR($I$9="",AND(ISNUMBER('Master Database'!$K468),N('Master Database'!$K468)&lt;=$I$9))),1,0))</f>
        <v>0</v>
      </c>
      <c r="BB468" s="0" t="str">
        <f aca="false">IF(BA468=1,COUNTIF($BA$5:BA468,1),"")</f>
        <v/>
      </c>
    </row>
    <row r="469" customFormat="false" ht="15" hidden="false" customHeight="false" outlineLevel="0" collapsed="false">
      <c r="BA469" s="0" t="n">
        <f aca="false">IF('Master Database'!$A469="",0,IF(AND(OR($B$5="",ISNUMBER(SEARCH($B$5,'Master Database'!$B469&amp;" "&amp;'Master Database'!$D469))),OR($B$6="(All)",'Master Database'!$C469=$B$6),OR($B$7="(All)",'Master Database'!$E469=$B$7),OR($B$8="(All)",'Master Database'!$T469=$B$8),OR($B$9="(All)",'Master Database'!$M469=$B$9),OR($B$10="(All)",'Master Database'!$V469=$B$10),OR($E$5="(All)",'Master Database'!$F469=$E$5),OR($E$6="(All)",'Master Database'!$G469=$E$6),OR($E$7="(All)",'Master Database'!$O469=$E$7),OR($E$8="(All)",'Master Database'!$P469=$E$8),OR($E$9="(All)",'Master Database'!$S469=$E$9),OR($E$10="(All)",'Master Database'!$Y469&amp;""=$E$10&amp;""),OR($H$5="(All)",'Master Database'!$BG469=$H$5),OR($H$6&lt;&gt;"Y",ISNUMBER('Master Database'!$AG469)),OR($H$7="",AND(ISNUMBER('Master Database'!$H469),N('Master Database'!$H469)&gt;=$H$7)),OR($I$7="",AND(ISNUMBER('Master Database'!$H469),N('Master Database'!$H469)&lt;=$I$7)),OR($H$8="",AND(ISNUMBER('Master Database'!$I469),N('Master Database'!$I469)&gt;=$H$8)),OR($I$8="",AND(ISNUMBER('Master Database'!$I469),N('Master Database'!$I469)&lt;=$I$8)),OR($H$9="",AND(ISNUMBER('Master Database'!$K469),N('Master Database'!$K469)&gt;=$H$9)),OR($I$9="",AND(ISNUMBER('Master Database'!$K469),N('Master Database'!$K469)&lt;=$I$9))),1,0))</f>
        <v>0</v>
      </c>
      <c r="BB469" s="0" t="str">
        <f aca="false">IF(BA469=1,COUNTIF($BA$5:BA469,1),"")</f>
        <v/>
      </c>
    </row>
    <row r="470" customFormat="false" ht="15" hidden="false" customHeight="false" outlineLevel="0" collapsed="false">
      <c r="BA470" s="0" t="n">
        <f aca="false">IF('Master Database'!$A470="",0,IF(AND(OR($B$5="",ISNUMBER(SEARCH($B$5,'Master Database'!$B470&amp;" "&amp;'Master Database'!$D470))),OR($B$6="(All)",'Master Database'!$C470=$B$6),OR($B$7="(All)",'Master Database'!$E470=$B$7),OR($B$8="(All)",'Master Database'!$T470=$B$8),OR($B$9="(All)",'Master Database'!$M470=$B$9),OR($B$10="(All)",'Master Database'!$V470=$B$10),OR($E$5="(All)",'Master Database'!$F470=$E$5),OR($E$6="(All)",'Master Database'!$G470=$E$6),OR($E$7="(All)",'Master Database'!$O470=$E$7),OR($E$8="(All)",'Master Database'!$P470=$E$8),OR($E$9="(All)",'Master Database'!$S470=$E$9),OR($E$10="(All)",'Master Database'!$Y470&amp;""=$E$10&amp;""),OR($H$5="(All)",'Master Database'!$BG470=$H$5),OR($H$6&lt;&gt;"Y",ISNUMBER('Master Database'!$AG470)),OR($H$7="",AND(ISNUMBER('Master Database'!$H470),N('Master Database'!$H470)&gt;=$H$7)),OR($I$7="",AND(ISNUMBER('Master Database'!$H470),N('Master Database'!$H470)&lt;=$I$7)),OR($H$8="",AND(ISNUMBER('Master Database'!$I470),N('Master Database'!$I470)&gt;=$H$8)),OR($I$8="",AND(ISNUMBER('Master Database'!$I470),N('Master Database'!$I470)&lt;=$I$8)),OR($H$9="",AND(ISNUMBER('Master Database'!$K470),N('Master Database'!$K470)&gt;=$H$9)),OR($I$9="",AND(ISNUMBER('Master Database'!$K470),N('Master Database'!$K470)&lt;=$I$9))),1,0))</f>
        <v>0</v>
      </c>
      <c r="BB470" s="0" t="str">
        <f aca="false">IF(BA470=1,COUNTIF($BA$5:BA470,1),"")</f>
        <v/>
      </c>
    </row>
    <row r="471" customFormat="false" ht="15" hidden="false" customHeight="false" outlineLevel="0" collapsed="false">
      <c r="BA471" s="0" t="n">
        <f aca="false">IF('Master Database'!$A471="",0,IF(AND(OR($B$5="",ISNUMBER(SEARCH($B$5,'Master Database'!$B471&amp;" "&amp;'Master Database'!$D471))),OR($B$6="(All)",'Master Database'!$C471=$B$6),OR($B$7="(All)",'Master Database'!$E471=$B$7),OR($B$8="(All)",'Master Database'!$T471=$B$8),OR($B$9="(All)",'Master Database'!$M471=$B$9),OR($B$10="(All)",'Master Database'!$V471=$B$10),OR($E$5="(All)",'Master Database'!$F471=$E$5),OR($E$6="(All)",'Master Database'!$G471=$E$6),OR($E$7="(All)",'Master Database'!$O471=$E$7),OR($E$8="(All)",'Master Database'!$P471=$E$8),OR($E$9="(All)",'Master Database'!$S471=$E$9),OR($E$10="(All)",'Master Database'!$Y471&amp;""=$E$10&amp;""),OR($H$5="(All)",'Master Database'!$BG471=$H$5),OR($H$6&lt;&gt;"Y",ISNUMBER('Master Database'!$AG471)),OR($H$7="",AND(ISNUMBER('Master Database'!$H471),N('Master Database'!$H471)&gt;=$H$7)),OR($I$7="",AND(ISNUMBER('Master Database'!$H471),N('Master Database'!$H471)&lt;=$I$7)),OR($H$8="",AND(ISNUMBER('Master Database'!$I471),N('Master Database'!$I471)&gt;=$H$8)),OR($I$8="",AND(ISNUMBER('Master Database'!$I471),N('Master Database'!$I471)&lt;=$I$8)),OR($H$9="",AND(ISNUMBER('Master Database'!$K471),N('Master Database'!$K471)&gt;=$H$9)),OR($I$9="",AND(ISNUMBER('Master Database'!$K471),N('Master Database'!$K471)&lt;=$I$9))),1,0))</f>
        <v>0</v>
      </c>
      <c r="BB471" s="0" t="str">
        <f aca="false">IF(BA471=1,COUNTIF($BA$5:BA471,1),"")</f>
        <v/>
      </c>
    </row>
    <row r="472" customFormat="false" ht="15" hidden="false" customHeight="false" outlineLevel="0" collapsed="false">
      <c r="BA472" s="0" t="n">
        <f aca="false">IF('Master Database'!$A472="",0,IF(AND(OR($B$5="",ISNUMBER(SEARCH($B$5,'Master Database'!$B472&amp;" "&amp;'Master Database'!$D472))),OR($B$6="(All)",'Master Database'!$C472=$B$6),OR($B$7="(All)",'Master Database'!$E472=$B$7),OR($B$8="(All)",'Master Database'!$T472=$B$8),OR($B$9="(All)",'Master Database'!$M472=$B$9),OR($B$10="(All)",'Master Database'!$V472=$B$10),OR($E$5="(All)",'Master Database'!$F472=$E$5),OR($E$6="(All)",'Master Database'!$G472=$E$6),OR($E$7="(All)",'Master Database'!$O472=$E$7),OR($E$8="(All)",'Master Database'!$P472=$E$8),OR($E$9="(All)",'Master Database'!$S472=$E$9),OR($E$10="(All)",'Master Database'!$Y472&amp;""=$E$10&amp;""),OR($H$5="(All)",'Master Database'!$BG472=$H$5),OR($H$6&lt;&gt;"Y",ISNUMBER('Master Database'!$AG472)),OR($H$7="",AND(ISNUMBER('Master Database'!$H472),N('Master Database'!$H472)&gt;=$H$7)),OR($I$7="",AND(ISNUMBER('Master Database'!$H472),N('Master Database'!$H472)&lt;=$I$7)),OR($H$8="",AND(ISNUMBER('Master Database'!$I472),N('Master Database'!$I472)&gt;=$H$8)),OR($I$8="",AND(ISNUMBER('Master Database'!$I472),N('Master Database'!$I472)&lt;=$I$8)),OR($H$9="",AND(ISNUMBER('Master Database'!$K472),N('Master Database'!$K472)&gt;=$H$9)),OR($I$9="",AND(ISNUMBER('Master Database'!$K472),N('Master Database'!$K472)&lt;=$I$9))),1,0))</f>
        <v>0</v>
      </c>
      <c r="BB472" s="0" t="str">
        <f aca="false">IF(BA472=1,COUNTIF($BA$5:BA472,1),"")</f>
        <v/>
      </c>
    </row>
    <row r="473" customFormat="false" ht="15" hidden="false" customHeight="false" outlineLevel="0" collapsed="false">
      <c r="BA473" s="0" t="n">
        <f aca="false">IF('Master Database'!$A473="",0,IF(AND(OR($B$5="",ISNUMBER(SEARCH($B$5,'Master Database'!$B473&amp;" "&amp;'Master Database'!$D473))),OR($B$6="(All)",'Master Database'!$C473=$B$6),OR($B$7="(All)",'Master Database'!$E473=$B$7),OR($B$8="(All)",'Master Database'!$T473=$B$8),OR($B$9="(All)",'Master Database'!$M473=$B$9),OR($B$10="(All)",'Master Database'!$V473=$B$10),OR($E$5="(All)",'Master Database'!$F473=$E$5),OR($E$6="(All)",'Master Database'!$G473=$E$6),OR($E$7="(All)",'Master Database'!$O473=$E$7),OR($E$8="(All)",'Master Database'!$P473=$E$8),OR($E$9="(All)",'Master Database'!$S473=$E$9),OR($E$10="(All)",'Master Database'!$Y473&amp;""=$E$10&amp;""),OR($H$5="(All)",'Master Database'!$BG473=$H$5),OR($H$6&lt;&gt;"Y",ISNUMBER('Master Database'!$AG473)),OR($H$7="",AND(ISNUMBER('Master Database'!$H473),N('Master Database'!$H473)&gt;=$H$7)),OR($I$7="",AND(ISNUMBER('Master Database'!$H473),N('Master Database'!$H473)&lt;=$I$7)),OR($H$8="",AND(ISNUMBER('Master Database'!$I473),N('Master Database'!$I473)&gt;=$H$8)),OR($I$8="",AND(ISNUMBER('Master Database'!$I473),N('Master Database'!$I473)&lt;=$I$8)),OR($H$9="",AND(ISNUMBER('Master Database'!$K473),N('Master Database'!$K473)&gt;=$H$9)),OR($I$9="",AND(ISNUMBER('Master Database'!$K473),N('Master Database'!$K473)&lt;=$I$9))),1,0))</f>
        <v>0</v>
      </c>
      <c r="BB473" s="0" t="str">
        <f aca="false">IF(BA473=1,COUNTIF($BA$5:BA473,1),"")</f>
        <v/>
      </c>
    </row>
    <row r="474" customFormat="false" ht="15" hidden="false" customHeight="false" outlineLevel="0" collapsed="false">
      <c r="BA474" s="0" t="n">
        <f aca="false">IF('Master Database'!$A474="",0,IF(AND(OR($B$5="",ISNUMBER(SEARCH($B$5,'Master Database'!$B474&amp;" "&amp;'Master Database'!$D474))),OR($B$6="(All)",'Master Database'!$C474=$B$6),OR($B$7="(All)",'Master Database'!$E474=$B$7),OR($B$8="(All)",'Master Database'!$T474=$B$8),OR($B$9="(All)",'Master Database'!$M474=$B$9),OR($B$10="(All)",'Master Database'!$V474=$B$10),OR($E$5="(All)",'Master Database'!$F474=$E$5),OR($E$6="(All)",'Master Database'!$G474=$E$6),OR($E$7="(All)",'Master Database'!$O474=$E$7),OR($E$8="(All)",'Master Database'!$P474=$E$8),OR($E$9="(All)",'Master Database'!$S474=$E$9),OR($E$10="(All)",'Master Database'!$Y474&amp;""=$E$10&amp;""),OR($H$5="(All)",'Master Database'!$BG474=$H$5),OR($H$6&lt;&gt;"Y",ISNUMBER('Master Database'!$AG474)),OR($H$7="",AND(ISNUMBER('Master Database'!$H474),N('Master Database'!$H474)&gt;=$H$7)),OR($I$7="",AND(ISNUMBER('Master Database'!$H474),N('Master Database'!$H474)&lt;=$I$7)),OR($H$8="",AND(ISNUMBER('Master Database'!$I474),N('Master Database'!$I474)&gt;=$H$8)),OR($I$8="",AND(ISNUMBER('Master Database'!$I474),N('Master Database'!$I474)&lt;=$I$8)),OR($H$9="",AND(ISNUMBER('Master Database'!$K474),N('Master Database'!$K474)&gt;=$H$9)),OR($I$9="",AND(ISNUMBER('Master Database'!$K474),N('Master Database'!$K474)&lt;=$I$9))),1,0))</f>
        <v>0</v>
      </c>
      <c r="BB474" s="0" t="str">
        <f aca="false">IF(BA474=1,COUNTIF($BA$5:BA474,1),"")</f>
        <v/>
      </c>
    </row>
    <row r="475" customFormat="false" ht="15" hidden="false" customHeight="false" outlineLevel="0" collapsed="false">
      <c r="BA475" s="0" t="n">
        <f aca="false">IF('Master Database'!$A475="",0,IF(AND(OR($B$5="",ISNUMBER(SEARCH($B$5,'Master Database'!$B475&amp;" "&amp;'Master Database'!$D475))),OR($B$6="(All)",'Master Database'!$C475=$B$6),OR($B$7="(All)",'Master Database'!$E475=$B$7),OR($B$8="(All)",'Master Database'!$T475=$B$8),OR($B$9="(All)",'Master Database'!$M475=$B$9),OR($B$10="(All)",'Master Database'!$V475=$B$10),OR($E$5="(All)",'Master Database'!$F475=$E$5),OR($E$6="(All)",'Master Database'!$G475=$E$6),OR($E$7="(All)",'Master Database'!$O475=$E$7),OR($E$8="(All)",'Master Database'!$P475=$E$8),OR($E$9="(All)",'Master Database'!$S475=$E$9),OR($E$10="(All)",'Master Database'!$Y475&amp;""=$E$10&amp;""),OR($H$5="(All)",'Master Database'!$BG475=$H$5),OR($H$6&lt;&gt;"Y",ISNUMBER('Master Database'!$AG475)),OR($H$7="",AND(ISNUMBER('Master Database'!$H475),N('Master Database'!$H475)&gt;=$H$7)),OR($I$7="",AND(ISNUMBER('Master Database'!$H475),N('Master Database'!$H475)&lt;=$I$7)),OR($H$8="",AND(ISNUMBER('Master Database'!$I475),N('Master Database'!$I475)&gt;=$H$8)),OR($I$8="",AND(ISNUMBER('Master Database'!$I475),N('Master Database'!$I475)&lt;=$I$8)),OR($H$9="",AND(ISNUMBER('Master Database'!$K475),N('Master Database'!$K475)&gt;=$H$9)),OR($I$9="",AND(ISNUMBER('Master Database'!$K475),N('Master Database'!$K475)&lt;=$I$9))),1,0))</f>
        <v>0</v>
      </c>
      <c r="BB475" s="0" t="str">
        <f aca="false">IF(BA475=1,COUNTIF($BA$5:BA475,1),"")</f>
        <v/>
      </c>
    </row>
    <row r="476" customFormat="false" ht="15" hidden="false" customHeight="false" outlineLevel="0" collapsed="false">
      <c r="BA476" s="0" t="n">
        <f aca="false">IF('Master Database'!$A476="",0,IF(AND(OR($B$5="",ISNUMBER(SEARCH($B$5,'Master Database'!$B476&amp;" "&amp;'Master Database'!$D476))),OR($B$6="(All)",'Master Database'!$C476=$B$6),OR($B$7="(All)",'Master Database'!$E476=$B$7),OR($B$8="(All)",'Master Database'!$T476=$B$8),OR($B$9="(All)",'Master Database'!$M476=$B$9),OR($B$10="(All)",'Master Database'!$V476=$B$10),OR($E$5="(All)",'Master Database'!$F476=$E$5),OR($E$6="(All)",'Master Database'!$G476=$E$6),OR($E$7="(All)",'Master Database'!$O476=$E$7),OR($E$8="(All)",'Master Database'!$P476=$E$8),OR($E$9="(All)",'Master Database'!$S476=$E$9),OR($E$10="(All)",'Master Database'!$Y476&amp;""=$E$10&amp;""),OR($H$5="(All)",'Master Database'!$BG476=$H$5),OR($H$6&lt;&gt;"Y",ISNUMBER('Master Database'!$AG476)),OR($H$7="",AND(ISNUMBER('Master Database'!$H476),N('Master Database'!$H476)&gt;=$H$7)),OR($I$7="",AND(ISNUMBER('Master Database'!$H476),N('Master Database'!$H476)&lt;=$I$7)),OR($H$8="",AND(ISNUMBER('Master Database'!$I476),N('Master Database'!$I476)&gt;=$H$8)),OR($I$8="",AND(ISNUMBER('Master Database'!$I476),N('Master Database'!$I476)&lt;=$I$8)),OR($H$9="",AND(ISNUMBER('Master Database'!$K476),N('Master Database'!$K476)&gt;=$H$9)),OR($I$9="",AND(ISNUMBER('Master Database'!$K476),N('Master Database'!$K476)&lt;=$I$9))),1,0))</f>
        <v>0</v>
      </c>
      <c r="BB476" s="0" t="str">
        <f aca="false">IF(BA476=1,COUNTIF($BA$5:BA476,1),"")</f>
        <v/>
      </c>
    </row>
    <row r="477" customFormat="false" ht="15" hidden="false" customHeight="false" outlineLevel="0" collapsed="false">
      <c r="BA477" s="0" t="n">
        <f aca="false">IF('Master Database'!$A477="",0,IF(AND(OR($B$5="",ISNUMBER(SEARCH($B$5,'Master Database'!$B477&amp;" "&amp;'Master Database'!$D477))),OR($B$6="(All)",'Master Database'!$C477=$B$6),OR($B$7="(All)",'Master Database'!$E477=$B$7),OR($B$8="(All)",'Master Database'!$T477=$B$8),OR($B$9="(All)",'Master Database'!$M477=$B$9),OR($B$10="(All)",'Master Database'!$V477=$B$10),OR($E$5="(All)",'Master Database'!$F477=$E$5),OR($E$6="(All)",'Master Database'!$G477=$E$6),OR($E$7="(All)",'Master Database'!$O477=$E$7),OR($E$8="(All)",'Master Database'!$P477=$E$8),OR($E$9="(All)",'Master Database'!$S477=$E$9),OR($E$10="(All)",'Master Database'!$Y477&amp;""=$E$10&amp;""),OR($H$5="(All)",'Master Database'!$BG477=$H$5),OR($H$6&lt;&gt;"Y",ISNUMBER('Master Database'!$AG477)),OR($H$7="",AND(ISNUMBER('Master Database'!$H477),N('Master Database'!$H477)&gt;=$H$7)),OR($I$7="",AND(ISNUMBER('Master Database'!$H477),N('Master Database'!$H477)&lt;=$I$7)),OR($H$8="",AND(ISNUMBER('Master Database'!$I477),N('Master Database'!$I477)&gt;=$H$8)),OR($I$8="",AND(ISNUMBER('Master Database'!$I477),N('Master Database'!$I477)&lt;=$I$8)),OR($H$9="",AND(ISNUMBER('Master Database'!$K477),N('Master Database'!$K477)&gt;=$H$9)),OR($I$9="",AND(ISNUMBER('Master Database'!$K477),N('Master Database'!$K477)&lt;=$I$9))),1,0))</f>
        <v>0</v>
      </c>
      <c r="BB477" s="0" t="str">
        <f aca="false">IF(BA477=1,COUNTIF($BA$5:BA477,1),"")</f>
        <v/>
      </c>
    </row>
    <row r="478" customFormat="false" ht="15" hidden="false" customHeight="false" outlineLevel="0" collapsed="false">
      <c r="BA478" s="0" t="n">
        <f aca="false">IF('Master Database'!$A478="",0,IF(AND(OR($B$5="",ISNUMBER(SEARCH($B$5,'Master Database'!$B478&amp;" "&amp;'Master Database'!$D478))),OR($B$6="(All)",'Master Database'!$C478=$B$6),OR($B$7="(All)",'Master Database'!$E478=$B$7),OR($B$8="(All)",'Master Database'!$T478=$B$8),OR($B$9="(All)",'Master Database'!$M478=$B$9),OR($B$10="(All)",'Master Database'!$V478=$B$10),OR($E$5="(All)",'Master Database'!$F478=$E$5),OR($E$6="(All)",'Master Database'!$G478=$E$6),OR($E$7="(All)",'Master Database'!$O478=$E$7),OR($E$8="(All)",'Master Database'!$P478=$E$8),OR($E$9="(All)",'Master Database'!$S478=$E$9),OR($E$10="(All)",'Master Database'!$Y478&amp;""=$E$10&amp;""),OR($H$5="(All)",'Master Database'!$BG478=$H$5),OR($H$6&lt;&gt;"Y",ISNUMBER('Master Database'!$AG478)),OR($H$7="",AND(ISNUMBER('Master Database'!$H478),N('Master Database'!$H478)&gt;=$H$7)),OR($I$7="",AND(ISNUMBER('Master Database'!$H478),N('Master Database'!$H478)&lt;=$I$7)),OR($H$8="",AND(ISNUMBER('Master Database'!$I478),N('Master Database'!$I478)&gt;=$H$8)),OR($I$8="",AND(ISNUMBER('Master Database'!$I478),N('Master Database'!$I478)&lt;=$I$8)),OR($H$9="",AND(ISNUMBER('Master Database'!$K478),N('Master Database'!$K478)&gt;=$H$9)),OR($I$9="",AND(ISNUMBER('Master Database'!$K478),N('Master Database'!$K478)&lt;=$I$9))),1,0))</f>
        <v>0</v>
      </c>
      <c r="BB478" s="0" t="str">
        <f aca="false">IF(BA478=1,COUNTIF($BA$5:BA478,1),"")</f>
        <v/>
      </c>
    </row>
    <row r="479" customFormat="false" ht="15" hidden="false" customHeight="false" outlineLevel="0" collapsed="false">
      <c r="BA479" s="0" t="n">
        <f aca="false">IF('Master Database'!$A479="",0,IF(AND(OR($B$5="",ISNUMBER(SEARCH($B$5,'Master Database'!$B479&amp;" "&amp;'Master Database'!$D479))),OR($B$6="(All)",'Master Database'!$C479=$B$6),OR($B$7="(All)",'Master Database'!$E479=$B$7),OR($B$8="(All)",'Master Database'!$T479=$B$8),OR($B$9="(All)",'Master Database'!$M479=$B$9),OR($B$10="(All)",'Master Database'!$V479=$B$10),OR($E$5="(All)",'Master Database'!$F479=$E$5),OR($E$6="(All)",'Master Database'!$G479=$E$6),OR($E$7="(All)",'Master Database'!$O479=$E$7),OR($E$8="(All)",'Master Database'!$P479=$E$8),OR($E$9="(All)",'Master Database'!$S479=$E$9),OR($E$10="(All)",'Master Database'!$Y479&amp;""=$E$10&amp;""),OR($H$5="(All)",'Master Database'!$BG479=$H$5),OR($H$6&lt;&gt;"Y",ISNUMBER('Master Database'!$AG479)),OR($H$7="",AND(ISNUMBER('Master Database'!$H479),N('Master Database'!$H479)&gt;=$H$7)),OR($I$7="",AND(ISNUMBER('Master Database'!$H479),N('Master Database'!$H479)&lt;=$I$7)),OR($H$8="",AND(ISNUMBER('Master Database'!$I479),N('Master Database'!$I479)&gt;=$H$8)),OR($I$8="",AND(ISNUMBER('Master Database'!$I479),N('Master Database'!$I479)&lt;=$I$8)),OR($H$9="",AND(ISNUMBER('Master Database'!$K479),N('Master Database'!$K479)&gt;=$H$9)),OR($I$9="",AND(ISNUMBER('Master Database'!$K479),N('Master Database'!$K479)&lt;=$I$9))),1,0))</f>
        <v>0</v>
      </c>
      <c r="BB479" s="0" t="str">
        <f aca="false">IF(BA479=1,COUNTIF($BA$5:BA479,1),"")</f>
        <v/>
      </c>
    </row>
    <row r="480" customFormat="false" ht="15" hidden="false" customHeight="false" outlineLevel="0" collapsed="false">
      <c r="BA480" s="0" t="n">
        <f aca="false">IF('Master Database'!$A480="",0,IF(AND(OR($B$5="",ISNUMBER(SEARCH($B$5,'Master Database'!$B480&amp;" "&amp;'Master Database'!$D480))),OR($B$6="(All)",'Master Database'!$C480=$B$6),OR($B$7="(All)",'Master Database'!$E480=$B$7),OR($B$8="(All)",'Master Database'!$T480=$B$8),OR($B$9="(All)",'Master Database'!$M480=$B$9),OR($B$10="(All)",'Master Database'!$V480=$B$10),OR($E$5="(All)",'Master Database'!$F480=$E$5),OR($E$6="(All)",'Master Database'!$G480=$E$6),OR($E$7="(All)",'Master Database'!$O480=$E$7),OR($E$8="(All)",'Master Database'!$P480=$E$8),OR($E$9="(All)",'Master Database'!$S480=$E$9),OR($E$10="(All)",'Master Database'!$Y480&amp;""=$E$10&amp;""),OR($H$5="(All)",'Master Database'!$BG480=$H$5),OR($H$6&lt;&gt;"Y",ISNUMBER('Master Database'!$AG480)),OR($H$7="",AND(ISNUMBER('Master Database'!$H480),N('Master Database'!$H480)&gt;=$H$7)),OR($I$7="",AND(ISNUMBER('Master Database'!$H480),N('Master Database'!$H480)&lt;=$I$7)),OR($H$8="",AND(ISNUMBER('Master Database'!$I480),N('Master Database'!$I480)&gt;=$H$8)),OR($I$8="",AND(ISNUMBER('Master Database'!$I480),N('Master Database'!$I480)&lt;=$I$8)),OR($H$9="",AND(ISNUMBER('Master Database'!$K480),N('Master Database'!$K480)&gt;=$H$9)),OR($I$9="",AND(ISNUMBER('Master Database'!$K480),N('Master Database'!$K480)&lt;=$I$9))),1,0))</f>
        <v>0</v>
      </c>
      <c r="BB480" s="0" t="str">
        <f aca="false">IF(BA480=1,COUNTIF($BA$5:BA480,1),"")</f>
        <v/>
      </c>
    </row>
    <row r="481" customFormat="false" ht="15" hidden="false" customHeight="false" outlineLevel="0" collapsed="false">
      <c r="BA481" s="0" t="n">
        <f aca="false">IF('Master Database'!$A481="",0,IF(AND(OR($B$5="",ISNUMBER(SEARCH($B$5,'Master Database'!$B481&amp;" "&amp;'Master Database'!$D481))),OR($B$6="(All)",'Master Database'!$C481=$B$6),OR($B$7="(All)",'Master Database'!$E481=$B$7),OR($B$8="(All)",'Master Database'!$T481=$B$8),OR($B$9="(All)",'Master Database'!$M481=$B$9),OR($B$10="(All)",'Master Database'!$V481=$B$10),OR($E$5="(All)",'Master Database'!$F481=$E$5),OR($E$6="(All)",'Master Database'!$G481=$E$6),OR($E$7="(All)",'Master Database'!$O481=$E$7),OR($E$8="(All)",'Master Database'!$P481=$E$8),OR($E$9="(All)",'Master Database'!$S481=$E$9),OR($E$10="(All)",'Master Database'!$Y481&amp;""=$E$10&amp;""),OR($H$5="(All)",'Master Database'!$BG481=$H$5),OR($H$6&lt;&gt;"Y",ISNUMBER('Master Database'!$AG481)),OR($H$7="",AND(ISNUMBER('Master Database'!$H481),N('Master Database'!$H481)&gt;=$H$7)),OR($I$7="",AND(ISNUMBER('Master Database'!$H481),N('Master Database'!$H481)&lt;=$I$7)),OR($H$8="",AND(ISNUMBER('Master Database'!$I481),N('Master Database'!$I481)&gt;=$H$8)),OR($I$8="",AND(ISNUMBER('Master Database'!$I481),N('Master Database'!$I481)&lt;=$I$8)),OR($H$9="",AND(ISNUMBER('Master Database'!$K481),N('Master Database'!$K481)&gt;=$H$9)),OR($I$9="",AND(ISNUMBER('Master Database'!$K481),N('Master Database'!$K481)&lt;=$I$9))),1,0))</f>
        <v>0</v>
      </c>
      <c r="BB481" s="0" t="str">
        <f aca="false">IF(BA481=1,COUNTIF($BA$5:BA481,1),"")</f>
        <v/>
      </c>
    </row>
    <row r="482" customFormat="false" ht="15" hidden="false" customHeight="false" outlineLevel="0" collapsed="false">
      <c r="BA482" s="0" t="n">
        <f aca="false">IF('Master Database'!$A482="",0,IF(AND(OR($B$5="",ISNUMBER(SEARCH($B$5,'Master Database'!$B482&amp;" "&amp;'Master Database'!$D482))),OR($B$6="(All)",'Master Database'!$C482=$B$6),OR($B$7="(All)",'Master Database'!$E482=$B$7),OR($B$8="(All)",'Master Database'!$T482=$B$8),OR($B$9="(All)",'Master Database'!$M482=$B$9),OR($B$10="(All)",'Master Database'!$V482=$B$10),OR($E$5="(All)",'Master Database'!$F482=$E$5),OR($E$6="(All)",'Master Database'!$G482=$E$6),OR($E$7="(All)",'Master Database'!$O482=$E$7),OR($E$8="(All)",'Master Database'!$P482=$E$8),OR($E$9="(All)",'Master Database'!$S482=$E$9),OR($E$10="(All)",'Master Database'!$Y482&amp;""=$E$10&amp;""),OR($H$5="(All)",'Master Database'!$BG482=$H$5),OR($H$6&lt;&gt;"Y",ISNUMBER('Master Database'!$AG482)),OR($H$7="",AND(ISNUMBER('Master Database'!$H482),N('Master Database'!$H482)&gt;=$H$7)),OR($I$7="",AND(ISNUMBER('Master Database'!$H482),N('Master Database'!$H482)&lt;=$I$7)),OR($H$8="",AND(ISNUMBER('Master Database'!$I482),N('Master Database'!$I482)&gt;=$H$8)),OR($I$8="",AND(ISNUMBER('Master Database'!$I482),N('Master Database'!$I482)&lt;=$I$8)),OR($H$9="",AND(ISNUMBER('Master Database'!$K482),N('Master Database'!$K482)&gt;=$H$9)),OR($I$9="",AND(ISNUMBER('Master Database'!$K482),N('Master Database'!$K482)&lt;=$I$9))),1,0))</f>
        <v>0</v>
      </c>
      <c r="BB482" s="0" t="str">
        <f aca="false">IF(BA482=1,COUNTIF($BA$5:BA482,1),"")</f>
        <v/>
      </c>
    </row>
    <row r="483" customFormat="false" ht="15" hidden="false" customHeight="false" outlineLevel="0" collapsed="false">
      <c r="BA483" s="0" t="n">
        <f aca="false">IF('Master Database'!$A483="",0,IF(AND(OR($B$5="",ISNUMBER(SEARCH($B$5,'Master Database'!$B483&amp;" "&amp;'Master Database'!$D483))),OR($B$6="(All)",'Master Database'!$C483=$B$6),OR($B$7="(All)",'Master Database'!$E483=$B$7),OR($B$8="(All)",'Master Database'!$T483=$B$8),OR($B$9="(All)",'Master Database'!$M483=$B$9),OR($B$10="(All)",'Master Database'!$V483=$B$10),OR($E$5="(All)",'Master Database'!$F483=$E$5),OR($E$6="(All)",'Master Database'!$G483=$E$6),OR($E$7="(All)",'Master Database'!$O483=$E$7),OR($E$8="(All)",'Master Database'!$P483=$E$8),OR($E$9="(All)",'Master Database'!$S483=$E$9),OR($E$10="(All)",'Master Database'!$Y483&amp;""=$E$10&amp;""),OR($H$5="(All)",'Master Database'!$BG483=$H$5),OR($H$6&lt;&gt;"Y",ISNUMBER('Master Database'!$AG483)),OR($H$7="",AND(ISNUMBER('Master Database'!$H483),N('Master Database'!$H483)&gt;=$H$7)),OR($I$7="",AND(ISNUMBER('Master Database'!$H483),N('Master Database'!$H483)&lt;=$I$7)),OR($H$8="",AND(ISNUMBER('Master Database'!$I483),N('Master Database'!$I483)&gt;=$H$8)),OR($I$8="",AND(ISNUMBER('Master Database'!$I483),N('Master Database'!$I483)&lt;=$I$8)),OR($H$9="",AND(ISNUMBER('Master Database'!$K483),N('Master Database'!$K483)&gt;=$H$9)),OR($I$9="",AND(ISNUMBER('Master Database'!$K483),N('Master Database'!$K483)&lt;=$I$9))),1,0))</f>
        <v>0</v>
      </c>
      <c r="BB483" s="0" t="str">
        <f aca="false">IF(BA483=1,COUNTIF($BA$5:BA483,1),"")</f>
        <v/>
      </c>
    </row>
    <row r="484" customFormat="false" ht="15" hidden="false" customHeight="false" outlineLevel="0" collapsed="false">
      <c r="BA484" s="0" t="n">
        <f aca="false">IF('Master Database'!$A484="",0,IF(AND(OR($B$5="",ISNUMBER(SEARCH($B$5,'Master Database'!$B484&amp;" "&amp;'Master Database'!$D484))),OR($B$6="(All)",'Master Database'!$C484=$B$6),OR($B$7="(All)",'Master Database'!$E484=$B$7),OR($B$8="(All)",'Master Database'!$T484=$B$8),OR($B$9="(All)",'Master Database'!$M484=$B$9),OR($B$10="(All)",'Master Database'!$V484=$B$10),OR($E$5="(All)",'Master Database'!$F484=$E$5),OR($E$6="(All)",'Master Database'!$G484=$E$6),OR($E$7="(All)",'Master Database'!$O484=$E$7),OR($E$8="(All)",'Master Database'!$P484=$E$8),OR($E$9="(All)",'Master Database'!$S484=$E$9),OR($E$10="(All)",'Master Database'!$Y484&amp;""=$E$10&amp;""),OR($H$5="(All)",'Master Database'!$BG484=$H$5),OR($H$6&lt;&gt;"Y",ISNUMBER('Master Database'!$AG484)),OR($H$7="",AND(ISNUMBER('Master Database'!$H484),N('Master Database'!$H484)&gt;=$H$7)),OR($I$7="",AND(ISNUMBER('Master Database'!$H484),N('Master Database'!$H484)&lt;=$I$7)),OR($H$8="",AND(ISNUMBER('Master Database'!$I484),N('Master Database'!$I484)&gt;=$H$8)),OR($I$8="",AND(ISNUMBER('Master Database'!$I484),N('Master Database'!$I484)&lt;=$I$8)),OR($H$9="",AND(ISNUMBER('Master Database'!$K484),N('Master Database'!$K484)&gt;=$H$9)),OR($I$9="",AND(ISNUMBER('Master Database'!$K484),N('Master Database'!$K484)&lt;=$I$9))),1,0))</f>
        <v>0</v>
      </c>
      <c r="BB484" s="0" t="str">
        <f aca="false">IF(BA484=1,COUNTIF($BA$5:BA484,1),"")</f>
        <v/>
      </c>
    </row>
    <row r="485" customFormat="false" ht="15" hidden="false" customHeight="false" outlineLevel="0" collapsed="false">
      <c r="BA485" s="0" t="n">
        <f aca="false">IF('Master Database'!$A485="",0,IF(AND(OR($B$5="",ISNUMBER(SEARCH($B$5,'Master Database'!$B485&amp;" "&amp;'Master Database'!$D485))),OR($B$6="(All)",'Master Database'!$C485=$B$6),OR($B$7="(All)",'Master Database'!$E485=$B$7),OR($B$8="(All)",'Master Database'!$T485=$B$8),OR($B$9="(All)",'Master Database'!$M485=$B$9),OR($B$10="(All)",'Master Database'!$V485=$B$10),OR($E$5="(All)",'Master Database'!$F485=$E$5),OR($E$6="(All)",'Master Database'!$G485=$E$6),OR($E$7="(All)",'Master Database'!$O485=$E$7),OR($E$8="(All)",'Master Database'!$P485=$E$8),OR($E$9="(All)",'Master Database'!$S485=$E$9),OR($E$10="(All)",'Master Database'!$Y485&amp;""=$E$10&amp;""),OR($H$5="(All)",'Master Database'!$BG485=$H$5),OR($H$6&lt;&gt;"Y",ISNUMBER('Master Database'!$AG485)),OR($H$7="",AND(ISNUMBER('Master Database'!$H485),N('Master Database'!$H485)&gt;=$H$7)),OR($I$7="",AND(ISNUMBER('Master Database'!$H485),N('Master Database'!$H485)&lt;=$I$7)),OR($H$8="",AND(ISNUMBER('Master Database'!$I485),N('Master Database'!$I485)&gt;=$H$8)),OR($I$8="",AND(ISNUMBER('Master Database'!$I485),N('Master Database'!$I485)&lt;=$I$8)),OR($H$9="",AND(ISNUMBER('Master Database'!$K485),N('Master Database'!$K485)&gt;=$H$9)),OR($I$9="",AND(ISNUMBER('Master Database'!$K485),N('Master Database'!$K485)&lt;=$I$9))),1,0))</f>
        <v>0</v>
      </c>
      <c r="BB485" s="0" t="str">
        <f aca="false">IF(BA485=1,COUNTIF($BA$5:BA485,1),"")</f>
        <v/>
      </c>
    </row>
    <row r="486" customFormat="false" ht="15" hidden="false" customHeight="false" outlineLevel="0" collapsed="false">
      <c r="BA486" s="0" t="n">
        <f aca="false">IF('Master Database'!$A486="",0,IF(AND(OR($B$5="",ISNUMBER(SEARCH($B$5,'Master Database'!$B486&amp;" "&amp;'Master Database'!$D486))),OR($B$6="(All)",'Master Database'!$C486=$B$6),OR($B$7="(All)",'Master Database'!$E486=$B$7),OR($B$8="(All)",'Master Database'!$T486=$B$8),OR($B$9="(All)",'Master Database'!$M486=$B$9),OR($B$10="(All)",'Master Database'!$V486=$B$10),OR($E$5="(All)",'Master Database'!$F486=$E$5),OR($E$6="(All)",'Master Database'!$G486=$E$6),OR($E$7="(All)",'Master Database'!$O486=$E$7),OR($E$8="(All)",'Master Database'!$P486=$E$8),OR($E$9="(All)",'Master Database'!$S486=$E$9),OR($E$10="(All)",'Master Database'!$Y486&amp;""=$E$10&amp;""),OR($H$5="(All)",'Master Database'!$BG486=$H$5),OR($H$6&lt;&gt;"Y",ISNUMBER('Master Database'!$AG486)),OR($H$7="",AND(ISNUMBER('Master Database'!$H486),N('Master Database'!$H486)&gt;=$H$7)),OR($I$7="",AND(ISNUMBER('Master Database'!$H486),N('Master Database'!$H486)&lt;=$I$7)),OR($H$8="",AND(ISNUMBER('Master Database'!$I486),N('Master Database'!$I486)&gt;=$H$8)),OR($I$8="",AND(ISNUMBER('Master Database'!$I486),N('Master Database'!$I486)&lt;=$I$8)),OR($H$9="",AND(ISNUMBER('Master Database'!$K486),N('Master Database'!$K486)&gt;=$H$9)),OR($I$9="",AND(ISNUMBER('Master Database'!$K486),N('Master Database'!$K486)&lt;=$I$9))),1,0))</f>
        <v>0</v>
      </c>
      <c r="BB486" s="0" t="str">
        <f aca="false">IF(BA486=1,COUNTIF($BA$5:BA486,1),"")</f>
        <v/>
      </c>
    </row>
    <row r="487" customFormat="false" ht="15" hidden="false" customHeight="false" outlineLevel="0" collapsed="false">
      <c r="BA487" s="0" t="n">
        <f aca="false">IF('Master Database'!$A487="",0,IF(AND(OR($B$5="",ISNUMBER(SEARCH($B$5,'Master Database'!$B487&amp;" "&amp;'Master Database'!$D487))),OR($B$6="(All)",'Master Database'!$C487=$B$6),OR($B$7="(All)",'Master Database'!$E487=$B$7),OR($B$8="(All)",'Master Database'!$T487=$B$8),OR($B$9="(All)",'Master Database'!$M487=$B$9),OR($B$10="(All)",'Master Database'!$V487=$B$10),OR($E$5="(All)",'Master Database'!$F487=$E$5),OR($E$6="(All)",'Master Database'!$G487=$E$6),OR($E$7="(All)",'Master Database'!$O487=$E$7),OR($E$8="(All)",'Master Database'!$P487=$E$8),OR($E$9="(All)",'Master Database'!$S487=$E$9),OR($E$10="(All)",'Master Database'!$Y487&amp;""=$E$10&amp;""),OR($H$5="(All)",'Master Database'!$BG487=$H$5),OR($H$6&lt;&gt;"Y",ISNUMBER('Master Database'!$AG487)),OR($H$7="",AND(ISNUMBER('Master Database'!$H487),N('Master Database'!$H487)&gt;=$H$7)),OR($I$7="",AND(ISNUMBER('Master Database'!$H487),N('Master Database'!$H487)&lt;=$I$7)),OR($H$8="",AND(ISNUMBER('Master Database'!$I487),N('Master Database'!$I487)&gt;=$H$8)),OR($I$8="",AND(ISNUMBER('Master Database'!$I487),N('Master Database'!$I487)&lt;=$I$8)),OR($H$9="",AND(ISNUMBER('Master Database'!$K487),N('Master Database'!$K487)&gt;=$H$9)),OR($I$9="",AND(ISNUMBER('Master Database'!$K487),N('Master Database'!$K487)&lt;=$I$9))),1,0))</f>
        <v>0</v>
      </c>
      <c r="BB487" s="0" t="str">
        <f aca="false">IF(BA487=1,COUNTIF($BA$5:BA487,1),"")</f>
        <v/>
      </c>
    </row>
    <row r="488" customFormat="false" ht="15" hidden="false" customHeight="false" outlineLevel="0" collapsed="false">
      <c r="BA488" s="0" t="n">
        <f aca="false">IF('Master Database'!$A488="",0,IF(AND(OR($B$5="",ISNUMBER(SEARCH($B$5,'Master Database'!$B488&amp;" "&amp;'Master Database'!$D488))),OR($B$6="(All)",'Master Database'!$C488=$B$6),OR($B$7="(All)",'Master Database'!$E488=$B$7),OR($B$8="(All)",'Master Database'!$T488=$B$8),OR($B$9="(All)",'Master Database'!$M488=$B$9),OR($B$10="(All)",'Master Database'!$V488=$B$10),OR($E$5="(All)",'Master Database'!$F488=$E$5),OR($E$6="(All)",'Master Database'!$G488=$E$6),OR($E$7="(All)",'Master Database'!$O488=$E$7),OR($E$8="(All)",'Master Database'!$P488=$E$8),OR($E$9="(All)",'Master Database'!$S488=$E$9),OR($E$10="(All)",'Master Database'!$Y488&amp;""=$E$10&amp;""),OR($H$5="(All)",'Master Database'!$BG488=$H$5),OR($H$6&lt;&gt;"Y",ISNUMBER('Master Database'!$AG488)),OR($H$7="",AND(ISNUMBER('Master Database'!$H488),N('Master Database'!$H488)&gt;=$H$7)),OR($I$7="",AND(ISNUMBER('Master Database'!$H488),N('Master Database'!$H488)&lt;=$I$7)),OR($H$8="",AND(ISNUMBER('Master Database'!$I488),N('Master Database'!$I488)&gt;=$H$8)),OR($I$8="",AND(ISNUMBER('Master Database'!$I488),N('Master Database'!$I488)&lt;=$I$8)),OR($H$9="",AND(ISNUMBER('Master Database'!$K488),N('Master Database'!$K488)&gt;=$H$9)),OR($I$9="",AND(ISNUMBER('Master Database'!$K488),N('Master Database'!$K488)&lt;=$I$9))),1,0))</f>
        <v>0</v>
      </c>
      <c r="BB488" s="0" t="str">
        <f aca="false">IF(BA488=1,COUNTIF($BA$5:BA488,1),"")</f>
        <v/>
      </c>
    </row>
    <row r="489" customFormat="false" ht="15" hidden="false" customHeight="false" outlineLevel="0" collapsed="false">
      <c r="BA489" s="0" t="n">
        <f aca="false">IF('Master Database'!$A489="",0,IF(AND(OR($B$5="",ISNUMBER(SEARCH($B$5,'Master Database'!$B489&amp;" "&amp;'Master Database'!$D489))),OR($B$6="(All)",'Master Database'!$C489=$B$6),OR($B$7="(All)",'Master Database'!$E489=$B$7),OR($B$8="(All)",'Master Database'!$T489=$B$8),OR($B$9="(All)",'Master Database'!$M489=$B$9),OR($B$10="(All)",'Master Database'!$V489=$B$10),OR($E$5="(All)",'Master Database'!$F489=$E$5),OR($E$6="(All)",'Master Database'!$G489=$E$6),OR($E$7="(All)",'Master Database'!$O489=$E$7),OR($E$8="(All)",'Master Database'!$P489=$E$8),OR($E$9="(All)",'Master Database'!$S489=$E$9),OR($E$10="(All)",'Master Database'!$Y489&amp;""=$E$10&amp;""),OR($H$5="(All)",'Master Database'!$BG489=$H$5),OR($H$6&lt;&gt;"Y",ISNUMBER('Master Database'!$AG489)),OR($H$7="",AND(ISNUMBER('Master Database'!$H489),N('Master Database'!$H489)&gt;=$H$7)),OR($I$7="",AND(ISNUMBER('Master Database'!$H489),N('Master Database'!$H489)&lt;=$I$7)),OR($H$8="",AND(ISNUMBER('Master Database'!$I489),N('Master Database'!$I489)&gt;=$H$8)),OR($I$8="",AND(ISNUMBER('Master Database'!$I489),N('Master Database'!$I489)&lt;=$I$8)),OR($H$9="",AND(ISNUMBER('Master Database'!$K489),N('Master Database'!$K489)&gt;=$H$9)),OR($I$9="",AND(ISNUMBER('Master Database'!$K489),N('Master Database'!$K489)&lt;=$I$9))),1,0))</f>
        <v>0</v>
      </c>
      <c r="BB489" s="0" t="str">
        <f aca="false">IF(BA489=1,COUNTIF($BA$5:BA489,1),"")</f>
        <v/>
      </c>
    </row>
    <row r="490" customFormat="false" ht="15" hidden="false" customHeight="false" outlineLevel="0" collapsed="false">
      <c r="BA490" s="0" t="n">
        <f aca="false">IF('Master Database'!$A490="",0,IF(AND(OR($B$5="",ISNUMBER(SEARCH($B$5,'Master Database'!$B490&amp;" "&amp;'Master Database'!$D490))),OR($B$6="(All)",'Master Database'!$C490=$B$6),OR($B$7="(All)",'Master Database'!$E490=$B$7),OR($B$8="(All)",'Master Database'!$T490=$B$8),OR($B$9="(All)",'Master Database'!$M490=$B$9),OR($B$10="(All)",'Master Database'!$V490=$B$10),OR($E$5="(All)",'Master Database'!$F490=$E$5),OR($E$6="(All)",'Master Database'!$G490=$E$6),OR($E$7="(All)",'Master Database'!$O490=$E$7),OR($E$8="(All)",'Master Database'!$P490=$E$8),OR($E$9="(All)",'Master Database'!$S490=$E$9),OR($E$10="(All)",'Master Database'!$Y490&amp;""=$E$10&amp;""),OR($H$5="(All)",'Master Database'!$BG490=$H$5),OR($H$6&lt;&gt;"Y",ISNUMBER('Master Database'!$AG490)),OR($H$7="",AND(ISNUMBER('Master Database'!$H490),N('Master Database'!$H490)&gt;=$H$7)),OR($I$7="",AND(ISNUMBER('Master Database'!$H490),N('Master Database'!$H490)&lt;=$I$7)),OR($H$8="",AND(ISNUMBER('Master Database'!$I490),N('Master Database'!$I490)&gt;=$H$8)),OR($I$8="",AND(ISNUMBER('Master Database'!$I490),N('Master Database'!$I490)&lt;=$I$8)),OR($H$9="",AND(ISNUMBER('Master Database'!$K490),N('Master Database'!$K490)&gt;=$H$9)),OR($I$9="",AND(ISNUMBER('Master Database'!$K490),N('Master Database'!$K490)&lt;=$I$9))),1,0))</f>
        <v>0</v>
      </c>
      <c r="BB490" s="0" t="str">
        <f aca="false">IF(BA490=1,COUNTIF($BA$5:BA490,1),"")</f>
        <v/>
      </c>
    </row>
    <row r="491" customFormat="false" ht="15" hidden="false" customHeight="false" outlineLevel="0" collapsed="false">
      <c r="BA491" s="0" t="n">
        <f aca="false">IF('Master Database'!$A491="",0,IF(AND(OR($B$5="",ISNUMBER(SEARCH($B$5,'Master Database'!$B491&amp;" "&amp;'Master Database'!$D491))),OR($B$6="(All)",'Master Database'!$C491=$B$6),OR($B$7="(All)",'Master Database'!$E491=$B$7),OR($B$8="(All)",'Master Database'!$T491=$B$8),OR($B$9="(All)",'Master Database'!$M491=$B$9),OR($B$10="(All)",'Master Database'!$V491=$B$10),OR($E$5="(All)",'Master Database'!$F491=$E$5),OR($E$6="(All)",'Master Database'!$G491=$E$6),OR($E$7="(All)",'Master Database'!$O491=$E$7),OR($E$8="(All)",'Master Database'!$P491=$E$8),OR($E$9="(All)",'Master Database'!$S491=$E$9),OR($E$10="(All)",'Master Database'!$Y491&amp;""=$E$10&amp;""),OR($H$5="(All)",'Master Database'!$BG491=$H$5),OR($H$6&lt;&gt;"Y",ISNUMBER('Master Database'!$AG491)),OR($H$7="",AND(ISNUMBER('Master Database'!$H491),N('Master Database'!$H491)&gt;=$H$7)),OR($I$7="",AND(ISNUMBER('Master Database'!$H491),N('Master Database'!$H491)&lt;=$I$7)),OR($H$8="",AND(ISNUMBER('Master Database'!$I491),N('Master Database'!$I491)&gt;=$H$8)),OR($I$8="",AND(ISNUMBER('Master Database'!$I491),N('Master Database'!$I491)&lt;=$I$8)),OR($H$9="",AND(ISNUMBER('Master Database'!$K491),N('Master Database'!$K491)&gt;=$H$9)),OR($I$9="",AND(ISNUMBER('Master Database'!$K491),N('Master Database'!$K491)&lt;=$I$9))),1,0))</f>
        <v>0</v>
      </c>
      <c r="BB491" s="0" t="str">
        <f aca="false">IF(BA491=1,COUNTIF($BA$5:BA491,1),"")</f>
        <v/>
      </c>
    </row>
    <row r="492" customFormat="false" ht="15" hidden="false" customHeight="false" outlineLevel="0" collapsed="false">
      <c r="BA492" s="0" t="n">
        <f aca="false">IF('Master Database'!$A492="",0,IF(AND(OR($B$5="",ISNUMBER(SEARCH($B$5,'Master Database'!$B492&amp;" "&amp;'Master Database'!$D492))),OR($B$6="(All)",'Master Database'!$C492=$B$6),OR($B$7="(All)",'Master Database'!$E492=$B$7),OR($B$8="(All)",'Master Database'!$T492=$B$8),OR($B$9="(All)",'Master Database'!$M492=$B$9),OR($B$10="(All)",'Master Database'!$V492=$B$10),OR($E$5="(All)",'Master Database'!$F492=$E$5),OR($E$6="(All)",'Master Database'!$G492=$E$6),OR($E$7="(All)",'Master Database'!$O492=$E$7),OR($E$8="(All)",'Master Database'!$P492=$E$8),OR($E$9="(All)",'Master Database'!$S492=$E$9),OR($E$10="(All)",'Master Database'!$Y492&amp;""=$E$10&amp;""),OR($H$5="(All)",'Master Database'!$BG492=$H$5),OR($H$6&lt;&gt;"Y",ISNUMBER('Master Database'!$AG492)),OR($H$7="",AND(ISNUMBER('Master Database'!$H492),N('Master Database'!$H492)&gt;=$H$7)),OR($I$7="",AND(ISNUMBER('Master Database'!$H492),N('Master Database'!$H492)&lt;=$I$7)),OR($H$8="",AND(ISNUMBER('Master Database'!$I492),N('Master Database'!$I492)&gt;=$H$8)),OR($I$8="",AND(ISNUMBER('Master Database'!$I492),N('Master Database'!$I492)&lt;=$I$8)),OR($H$9="",AND(ISNUMBER('Master Database'!$K492),N('Master Database'!$K492)&gt;=$H$9)),OR($I$9="",AND(ISNUMBER('Master Database'!$K492),N('Master Database'!$K492)&lt;=$I$9))),1,0))</f>
        <v>0</v>
      </c>
      <c r="BB492" s="0" t="str">
        <f aca="false">IF(BA492=1,COUNTIF($BA$5:BA492,1),"")</f>
        <v/>
      </c>
    </row>
    <row r="493" customFormat="false" ht="15" hidden="false" customHeight="false" outlineLevel="0" collapsed="false">
      <c r="BA493" s="0" t="n">
        <f aca="false">IF('Master Database'!$A493="",0,IF(AND(OR($B$5="",ISNUMBER(SEARCH($B$5,'Master Database'!$B493&amp;" "&amp;'Master Database'!$D493))),OR($B$6="(All)",'Master Database'!$C493=$B$6),OR($B$7="(All)",'Master Database'!$E493=$B$7),OR($B$8="(All)",'Master Database'!$T493=$B$8),OR($B$9="(All)",'Master Database'!$M493=$B$9),OR($B$10="(All)",'Master Database'!$V493=$B$10),OR($E$5="(All)",'Master Database'!$F493=$E$5),OR($E$6="(All)",'Master Database'!$G493=$E$6),OR($E$7="(All)",'Master Database'!$O493=$E$7),OR($E$8="(All)",'Master Database'!$P493=$E$8),OR($E$9="(All)",'Master Database'!$S493=$E$9),OR($E$10="(All)",'Master Database'!$Y493&amp;""=$E$10&amp;""),OR($H$5="(All)",'Master Database'!$BG493=$H$5),OR($H$6&lt;&gt;"Y",ISNUMBER('Master Database'!$AG493)),OR($H$7="",AND(ISNUMBER('Master Database'!$H493),N('Master Database'!$H493)&gt;=$H$7)),OR($I$7="",AND(ISNUMBER('Master Database'!$H493),N('Master Database'!$H493)&lt;=$I$7)),OR($H$8="",AND(ISNUMBER('Master Database'!$I493),N('Master Database'!$I493)&gt;=$H$8)),OR($I$8="",AND(ISNUMBER('Master Database'!$I493),N('Master Database'!$I493)&lt;=$I$8)),OR($H$9="",AND(ISNUMBER('Master Database'!$K493),N('Master Database'!$K493)&gt;=$H$9)),OR($I$9="",AND(ISNUMBER('Master Database'!$K493),N('Master Database'!$K493)&lt;=$I$9))),1,0))</f>
        <v>0</v>
      </c>
      <c r="BB493" s="0" t="str">
        <f aca="false">IF(BA493=1,COUNTIF($BA$5:BA493,1),"")</f>
        <v/>
      </c>
    </row>
    <row r="494" customFormat="false" ht="15" hidden="false" customHeight="false" outlineLevel="0" collapsed="false">
      <c r="BA494" s="0" t="n">
        <f aca="false">IF('Master Database'!$A494="",0,IF(AND(OR($B$5="",ISNUMBER(SEARCH($B$5,'Master Database'!$B494&amp;" "&amp;'Master Database'!$D494))),OR($B$6="(All)",'Master Database'!$C494=$B$6),OR($B$7="(All)",'Master Database'!$E494=$B$7),OR($B$8="(All)",'Master Database'!$T494=$B$8),OR($B$9="(All)",'Master Database'!$M494=$B$9),OR($B$10="(All)",'Master Database'!$V494=$B$10),OR($E$5="(All)",'Master Database'!$F494=$E$5),OR($E$6="(All)",'Master Database'!$G494=$E$6),OR($E$7="(All)",'Master Database'!$O494=$E$7),OR($E$8="(All)",'Master Database'!$P494=$E$8),OR($E$9="(All)",'Master Database'!$S494=$E$9),OR($E$10="(All)",'Master Database'!$Y494&amp;""=$E$10&amp;""),OR($H$5="(All)",'Master Database'!$BG494=$H$5),OR($H$6&lt;&gt;"Y",ISNUMBER('Master Database'!$AG494)),OR($H$7="",AND(ISNUMBER('Master Database'!$H494),N('Master Database'!$H494)&gt;=$H$7)),OR($I$7="",AND(ISNUMBER('Master Database'!$H494),N('Master Database'!$H494)&lt;=$I$7)),OR($H$8="",AND(ISNUMBER('Master Database'!$I494),N('Master Database'!$I494)&gt;=$H$8)),OR($I$8="",AND(ISNUMBER('Master Database'!$I494),N('Master Database'!$I494)&lt;=$I$8)),OR($H$9="",AND(ISNUMBER('Master Database'!$K494),N('Master Database'!$K494)&gt;=$H$9)),OR($I$9="",AND(ISNUMBER('Master Database'!$K494),N('Master Database'!$K494)&lt;=$I$9))),1,0))</f>
        <v>0</v>
      </c>
      <c r="BB494" s="0" t="str">
        <f aca="false">IF(BA494=1,COUNTIF($BA$5:BA494,1),"")</f>
        <v/>
      </c>
    </row>
    <row r="495" customFormat="false" ht="15" hidden="false" customHeight="false" outlineLevel="0" collapsed="false">
      <c r="BA495" s="0" t="n">
        <f aca="false">IF('Master Database'!$A495="",0,IF(AND(OR($B$5="",ISNUMBER(SEARCH($B$5,'Master Database'!$B495&amp;" "&amp;'Master Database'!$D495))),OR($B$6="(All)",'Master Database'!$C495=$B$6),OR($B$7="(All)",'Master Database'!$E495=$B$7),OR($B$8="(All)",'Master Database'!$T495=$B$8),OR($B$9="(All)",'Master Database'!$M495=$B$9),OR($B$10="(All)",'Master Database'!$V495=$B$10),OR($E$5="(All)",'Master Database'!$F495=$E$5),OR($E$6="(All)",'Master Database'!$G495=$E$6),OR($E$7="(All)",'Master Database'!$O495=$E$7),OR($E$8="(All)",'Master Database'!$P495=$E$8),OR($E$9="(All)",'Master Database'!$S495=$E$9),OR($E$10="(All)",'Master Database'!$Y495&amp;""=$E$10&amp;""),OR($H$5="(All)",'Master Database'!$BG495=$H$5),OR($H$6&lt;&gt;"Y",ISNUMBER('Master Database'!$AG495)),OR($H$7="",AND(ISNUMBER('Master Database'!$H495),N('Master Database'!$H495)&gt;=$H$7)),OR($I$7="",AND(ISNUMBER('Master Database'!$H495),N('Master Database'!$H495)&lt;=$I$7)),OR($H$8="",AND(ISNUMBER('Master Database'!$I495),N('Master Database'!$I495)&gt;=$H$8)),OR($I$8="",AND(ISNUMBER('Master Database'!$I495),N('Master Database'!$I495)&lt;=$I$8)),OR($H$9="",AND(ISNUMBER('Master Database'!$K495),N('Master Database'!$K495)&gt;=$H$9)),OR($I$9="",AND(ISNUMBER('Master Database'!$K495),N('Master Database'!$K495)&lt;=$I$9))),1,0))</f>
        <v>0</v>
      </c>
      <c r="BB495" s="0" t="str">
        <f aca="false">IF(BA495=1,COUNTIF($BA$5:BA495,1),"")</f>
        <v/>
      </c>
    </row>
    <row r="496" customFormat="false" ht="15" hidden="false" customHeight="false" outlineLevel="0" collapsed="false">
      <c r="BA496" s="0" t="n">
        <f aca="false">IF('Master Database'!$A496="",0,IF(AND(OR($B$5="",ISNUMBER(SEARCH($B$5,'Master Database'!$B496&amp;" "&amp;'Master Database'!$D496))),OR($B$6="(All)",'Master Database'!$C496=$B$6),OR($B$7="(All)",'Master Database'!$E496=$B$7),OR($B$8="(All)",'Master Database'!$T496=$B$8),OR($B$9="(All)",'Master Database'!$M496=$B$9),OR($B$10="(All)",'Master Database'!$V496=$B$10),OR($E$5="(All)",'Master Database'!$F496=$E$5),OR($E$6="(All)",'Master Database'!$G496=$E$6),OR($E$7="(All)",'Master Database'!$O496=$E$7),OR($E$8="(All)",'Master Database'!$P496=$E$8),OR($E$9="(All)",'Master Database'!$S496=$E$9),OR($E$10="(All)",'Master Database'!$Y496&amp;""=$E$10&amp;""),OR($H$5="(All)",'Master Database'!$BG496=$H$5),OR($H$6&lt;&gt;"Y",ISNUMBER('Master Database'!$AG496)),OR($H$7="",AND(ISNUMBER('Master Database'!$H496),N('Master Database'!$H496)&gt;=$H$7)),OR($I$7="",AND(ISNUMBER('Master Database'!$H496),N('Master Database'!$H496)&lt;=$I$7)),OR($H$8="",AND(ISNUMBER('Master Database'!$I496),N('Master Database'!$I496)&gt;=$H$8)),OR($I$8="",AND(ISNUMBER('Master Database'!$I496),N('Master Database'!$I496)&lt;=$I$8)),OR($H$9="",AND(ISNUMBER('Master Database'!$K496),N('Master Database'!$K496)&gt;=$H$9)),OR($I$9="",AND(ISNUMBER('Master Database'!$K496),N('Master Database'!$K496)&lt;=$I$9))),1,0))</f>
        <v>0</v>
      </c>
      <c r="BB496" s="0" t="str">
        <f aca="false">IF(BA496=1,COUNTIF($BA$5:BA496,1),"")</f>
        <v/>
      </c>
    </row>
    <row r="497" customFormat="false" ht="15" hidden="false" customHeight="false" outlineLevel="0" collapsed="false">
      <c r="BA497" s="0" t="n">
        <f aca="false">IF('Master Database'!$A497="",0,IF(AND(OR($B$5="",ISNUMBER(SEARCH($B$5,'Master Database'!$B497&amp;" "&amp;'Master Database'!$D497))),OR($B$6="(All)",'Master Database'!$C497=$B$6),OR($B$7="(All)",'Master Database'!$E497=$B$7),OR($B$8="(All)",'Master Database'!$T497=$B$8),OR($B$9="(All)",'Master Database'!$M497=$B$9),OR($B$10="(All)",'Master Database'!$V497=$B$10),OR($E$5="(All)",'Master Database'!$F497=$E$5),OR($E$6="(All)",'Master Database'!$G497=$E$6),OR($E$7="(All)",'Master Database'!$O497=$E$7),OR($E$8="(All)",'Master Database'!$P497=$E$8),OR($E$9="(All)",'Master Database'!$S497=$E$9),OR($E$10="(All)",'Master Database'!$Y497&amp;""=$E$10&amp;""),OR($H$5="(All)",'Master Database'!$BG497=$H$5),OR($H$6&lt;&gt;"Y",ISNUMBER('Master Database'!$AG497)),OR($H$7="",AND(ISNUMBER('Master Database'!$H497),N('Master Database'!$H497)&gt;=$H$7)),OR($I$7="",AND(ISNUMBER('Master Database'!$H497),N('Master Database'!$H497)&lt;=$I$7)),OR($H$8="",AND(ISNUMBER('Master Database'!$I497),N('Master Database'!$I497)&gt;=$H$8)),OR($I$8="",AND(ISNUMBER('Master Database'!$I497),N('Master Database'!$I497)&lt;=$I$8)),OR($H$9="",AND(ISNUMBER('Master Database'!$K497),N('Master Database'!$K497)&gt;=$H$9)),OR($I$9="",AND(ISNUMBER('Master Database'!$K497),N('Master Database'!$K497)&lt;=$I$9))),1,0))</f>
        <v>0</v>
      </c>
      <c r="BB497" s="0" t="str">
        <f aca="false">IF(BA497=1,COUNTIF($BA$5:BA497,1),"")</f>
        <v/>
      </c>
    </row>
    <row r="498" customFormat="false" ht="15" hidden="false" customHeight="false" outlineLevel="0" collapsed="false">
      <c r="BA498" s="0" t="n">
        <f aca="false">IF('Master Database'!$A498="",0,IF(AND(OR($B$5="",ISNUMBER(SEARCH($B$5,'Master Database'!$B498&amp;" "&amp;'Master Database'!$D498))),OR($B$6="(All)",'Master Database'!$C498=$B$6),OR($B$7="(All)",'Master Database'!$E498=$B$7),OR($B$8="(All)",'Master Database'!$T498=$B$8),OR($B$9="(All)",'Master Database'!$M498=$B$9),OR($B$10="(All)",'Master Database'!$V498=$B$10),OR($E$5="(All)",'Master Database'!$F498=$E$5),OR($E$6="(All)",'Master Database'!$G498=$E$6),OR($E$7="(All)",'Master Database'!$O498=$E$7),OR($E$8="(All)",'Master Database'!$P498=$E$8),OR($E$9="(All)",'Master Database'!$S498=$E$9),OR($E$10="(All)",'Master Database'!$Y498&amp;""=$E$10&amp;""),OR($H$5="(All)",'Master Database'!$BG498=$H$5),OR($H$6&lt;&gt;"Y",ISNUMBER('Master Database'!$AG498)),OR($H$7="",AND(ISNUMBER('Master Database'!$H498),N('Master Database'!$H498)&gt;=$H$7)),OR($I$7="",AND(ISNUMBER('Master Database'!$H498),N('Master Database'!$H498)&lt;=$I$7)),OR($H$8="",AND(ISNUMBER('Master Database'!$I498),N('Master Database'!$I498)&gt;=$H$8)),OR($I$8="",AND(ISNUMBER('Master Database'!$I498),N('Master Database'!$I498)&lt;=$I$8)),OR($H$9="",AND(ISNUMBER('Master Database'!$K498),N('Master Database'!$K498)&gt;=$H$9)),OR($I$9="",AND(ISNUMBER('Master Database'!$K498),N('Master Database'!$K498)&lt;=$I$9))),1,0))</f>
        <v>0</v>
      </c>
      <c r="BB498" s="0" t="str">
        <f aca="false">IF(BA498=1,COUNTIF($BA$5:BA498,1),"")</f>
        <v/>
      </c>
    </row>
    <row r="499" customFormat="false" ht="15" hidden="false" customHeight="false" outlineLevel="0" collapsed="false">
      <c r="BA499" s="0" t="n">
        <f aca="false">IF('Master Database'!$A499="",0,IF(AND(OR($B$5="",ISNUMBER(SEARCH($B$5,'Master Database'!$B499&amp;" "&amp;'Master Database'!$D499))),OR($B$6="(All)",'Master Database'!$C499=$B$6),OR($B$7="(All)",'Master Database'!$E499=$B$7),OR($B$8="(All)",'Master Database'!$T499=$B$8),OR($B$9="(All)",'Master Database'!$M499=$B$9),OR($B$10="(All)",'Master Database'!$V499=$B$10),OR($E$5="(All)",'Master Database'!$F499=$E$5),OR($E$6="(All)",'Master Database'!$G499=$E$6),OR($E$7="(All)",'Master Database'!$O499=$E$7),OR($E$8="(All)",'Master Database'!$P499=$E$8),OR($E$9="(All)",'Master Database'!$S499=$E$9),OR($E$10="(All)",'Master Database'!$Y499&amp;""=$E$10&amp;""),OR($H$5="(All)",'Master Database'!$BG499=$H$5),OR($H$6&lt;&gt;"Y",ISNUMBER('Master Database'!$AG499)),OR($H$7="",AND(ISNUMBER('Master Database'!$H499),N('Master Database'!$H499)&gt;=$H$7)),OR($I$7="",AND(ISNUMBER('Master Database'!$H499),N('Master Database'!$H499)&lt;=$I$7)),OR($H$8="",AND(ISNUMBER('Master Database'!$I499),N('Master Database'!$I499)&gt;=$H$8)),OR($I$8="",AND(ISNUMBER('Master Database'!$I499),N('Master Database'!$I499)&lt;=$I$8)),OR($H$9="",AND(ISNUMBER('Master Database'!$K499),N('Master Database'!$K499)&gt;=$H$9)),OR($I$9="",AND(ISNUMBER('Master Database'!$K499),N('Master Database'!$K499)&lt;=$I$9))),1,0))</f>
        <v>0</v>
      </c>
      <c r="BB499" s="0" t="str">
        <f aca="false">IF(BA499=1,COUNTIF($BA$5:BA499,1),"")</f>
        <v/>
      </c>
    </row>
    <row r="500" customFormat="false" ht="15" hidden="false" customHeight="false" outlineLevel="0" collapsed="false">
      <c r="BA500" s="0" t="n">
        <f aca="false">IF('Master Database'!$A500="",0,IF(AND(OR($B$5="",ISNUMBER(SEARCH($B$5,'Master Database'!$B500&amp;" "&amp;'Master Database'!$D500))),OR($B$6="(All)",'Master Database'!$C500=$B$6),OR($B$7="(All)",'Master Database'!$E500=$B$7),OR($B$8="(All)",'Master Database'!$T500=$B$8),OR($B$9="(All)",'Master Database'!$M500=$B$9),OR($B$10="(All)",'Master Database'!$V500=$B$10),OR($E$5="(All)",'Master Database'!$F500=$E$5),OR($E$6="(All)",'Master Database'!$G500=$E$6),OR($E$7="(All)",'Master Database'!$O500=$E$7),OR($E$8="(All)",'Master Database'!$P500=$E$8),OR($E$9="(All)",'Master Database'!$S500=$E$9),OR($E$10="(All)",'Master Database'!$Y500&amp;""=$E$10&amp;""),OR($H$5="(All)",'Master Database'!$BG500=$H$5),OR($H$6&lt;&gt;"Y",ISNUMBER('Master Database'!$AG500)),OR($H$7="",AND(ISNUMBER('Master Database'!$H500),N('Master Database'!$H500)&gt;=$H$7)),OR($I$7="",AND(ISNUMBER('Master Database'!$H500),N('Master Database'!$H500)&lt;=$I$7)),OR($H$8="",AND(ISNUMBER('Master Database'!$I500),N('Master Database'!$I500)&gt;=$H$8)),OR($I$8="",AND(ISNUMBER('Master Database'!$I500),N('Master Database'!$I500)&lt;=$I$8)),OR($H$9="",AND(ISNUMBER('Master Database'!$K500),N('Master Database'!$K500)&gt;=$H$9)),OR($I$9="",AND(ISNUMBER('Master Database'!$K500),N('Master Database'!$K500)&lt;=$I$9))),1,0))</f>
        <v>0</v>
      </c>
      <c r="BB500" s="0" t="str">
        <f aca="false">IF(BA500=1,COUNTIF($BA$5:BA500,1),"")</f>
        <v/>
      </c>
    </row>
    <row r="501" customFormat="false" ht="15" hidden="false" customHeight="false" outlineLevel="0" collapsed="false">
      <c r="BA501" s="0" t="n">
        <f aca="false">IF('Master Database'!$A501="",0,IF(AND(OR($B$5="",ISNUMBER(SEARCH($B$5,'Master Database'!$B501&amp;" "&amp;'Master Database'!$D501))),OR($B$6="(All)",'Master Database'!$C501=$B$6),OR($B$7="(All)",'Master Database'!$E501=$B$7),OR($B$8="(All)",'Master Database'!$T501=$B$8),OR($B$9="(All)",'Master Database'!$M501=$B$9),OR($B$10="(All)",'Master Database'!$V501=$B$10),OR($E$5="(All)",'Master Database'!$F501=$E$5),OR($E$6="(All)",'Master Database'!$G501=$E$6),OR($E$7="(All)",'Master Database'!$O501=$E$7),OR($E$8="(All)",'Master Database'!$P501=$E$8),OR($E$9="(All)",'Master Database'!$S501=$E$9),OR($E$10="(All)",'Master Database'!$Y501&amp;""=$E$10&amp;""),OR($H$5="(All)",'Master Database'!$BG501=$H$5),OR($H$6&lt;&gt;"Y",ISNUMBER('Master Database'!$AG501)),OR($H$7="",AND(ISNUMBER('Master Database'!$H501),N('Master Database'!$H501)&gt;=$H$7)),OR($I$7="",AND(ISNUMBER('Master Database'!$H501),N('Master Database'!$H501)&lt;=$I$7)),OR($H$8="",AND(ISNUMBER('Master Database'!$I501),N('Master Database'!$I501)&gt;=$H$8)),OR($I$8="",AND(ISNUMBER('Master Database'!$I501),N('Master Database'!$I501)&lt;=$I$8)),OR($H$9="",AND(ISNUMBER('Master Database'!$K501),N('Master Database'!$K501)&gt;=$H$9)),OR($I$9="",AND(ISNUMBER('Master Database'!$K501),N('Master Database'!$K501)&lt;=$I$9))),1,0))</f>
        <v>0</v>
      </c>
      <c r="BB501" s="0" t="str">
        <f aca="false">IF(BA501=1,COUNTIF($BA$5:BA501,1),"")</f>
        <v/>
      </c>
    </row>
    <row r="502" customFormat="false" ht="15" hidden="false" customHeight="false" outlineLevel="0" collapsed="false">
      <c r="BA502" s="0" t="n">
        <f aca="false">IF('Master Database'!$A502="",0,IF(AND(OR($B$5="",ISNUMBER(SEARCH($B$5,'Master Database'!$B502&amp;" "&amp;'Master Database'!$D502))),OR($B$6="(All)",'Master Database'!$C502=$B$6),OR($B$7="(All)",'Master Database'!$E502=$B$7),OR($B$8="(All)",'Master Database'!$T502=$B$8),OR($B$9="(All)",'Master Database'!$M502=$B$9),OR($B$10="(All)",'Master Database'!$V502=$B$10),OR($E$5="(All)",'Master Database'!$F502=$E$5),OR($E$6="(All)",'Master Database'!$G502=$E$6),OR($E$7="(All)",'Master Database'!$O502=$E$7),OR($E$8="(All)",'Master Database'!$P502=$E$8),OR($E$9="(All)",'Master Database'!$S502=$E$9),OR($E$10="(All)",'Master Database'!$Y502&amp;""=$E$10&amp;""),OR($H$5="(All)",'Master Database'!$BG502=$H$5),OR($H$6&lt;&gt;"Y",ISNUMBER('Master Database'!$AG502)),OR($H$7="",AND(ISNUMBER('Master Database'!$H502),N('Master Database'!$H502)&gt;=$H$7)),OR($I$7="",AND(ISNUMBER('Master Database'!$H502),N('Master Database'!$H502)&lt;=$I$7)),OR($H$8="",AND(ISNUMBER('Master Database'!$I502),N('Master Database'!$I502)&gt;=$H$8)),OR($I$8="",AND(ISNUMBER('Master Database'!$I502),N('Master Database'!$I502)&lt;=$I$8)),OR($H$9="",AND(ISNUMBER('Master Database'!$K502),N('Master Database'!$K502)&gt;=$H$9)),OR($I$9="",AND(ISNUMBER('Master Database'!$K502),N('Master Database'!$K502)&lt;=$I$9))),1,0))</f>
        <v>0</v>
      </c>
      <c r="BB502" s="0" t="str">
        <f aca="false">IF(BA502=1,COUNTIF($BA$5:BA502,1),"")</f>
        <v/>
      </c>
    </row>
    <row r="503" customFormat="false" ht="15" hidden="false" customHeight="false" outlineLevel="0" collapsed="false">
      <c r="BA503" s="0" t="n">
        <f aca="false">IF('Master Database'!$A503="",0,IF(AND(OR($B$5="",ISNUMBER(SEARCH($B$5,'Master Database'!$B503&amp;" "&amp;'Master Database'!$D503))),OR($B$6="(All)",'Master Database'!$C503=$B$6),OR($B$7="(All)",'Master Database'!$E503=$B$7),OR($B$8="(All)",'Master Database'!$T503=$B$8),OR($B$9="(All)",'Master Database'!$M503=$B$9),OR($B$10="(All)",'Master Database'!$V503=$B$10),OR($E$5="(All)",'Master Database'!$F503=$E$5),OR($E$6="(All)",'Master Database'!$G503=$E$6),OR($E$7="(All)",'Master Database'!$O503=$E$7),OR($E$8="(All)",'Master Database'!$P503=$E$8),OR($E$9="(All)",'Master Database'!$S503=$E$9),OR($E$10="(All)",'Master Database'!$Y503&amp;""=$E$10&amp;""),OR($H$5="(All)",'Master Database'!$BG503=$H$5),OR($H$6&lt;&gt;"Y",ISNUMBER('Master Database'!$AG503)),OR($H$7="",AND(ISNUMBER('Master Database'!$H503),N('Master Database'!$H503)&gt;=$H$7)),OR($I$7="",AND(ISNUMBER('Master Database'!$H503),N('Master Database'!$H503)&lt;=$I$7)),OR($H$8="",AND(ISNUMBER('Master Database'!$I503),N('Master Database'!$I503)&gt;=$H$8)),OR($I$8="",AND(ISNUMBER('Master Database'!$I503),N('Master Database'!$I503)&lt;=$I$8)),OR($H$9="",AND(ISNUMBER('Master Database'!$K503),N('Master Database'!$K503)&gt;=$H$9)),OR($I$9="",AND(ISNUMBER('Master Database'!$K503),N('Master Database'!$K503)&lt;=$I$9))),1,0))</f>
        <v>0</v>
      </c>
      <c r="BB503" s="0" t="str">
        <f aca="false">IF(BA503=1,COUNTIF($BA$5:BA503,1),"")</f>
        <v/>
      </c>
    </row>
    <row r="504" customFormat="false" ht="15" hidden="false" customHeight="false" outlineLevel="0" collapsed="false">
      <c r="BA504" s="0" t="n">
        <f aca="false">IF('Master Database'!$A504="",0,IF(AND(OR($B$5="",ISNUMBER(SEARCH($B$5,'Master Database'!$B504&amp;" "&amp;'Master Database'!$D504))),OR($B$6="(All)",'Master Database'!$C504=$B$6),OR($B$7="(All)",'Master Database'!$E504=$B$7),OR($B$8="(All)",'Master Database'!$T504=$B$8),OR($B$9="(All)",'Master Database'!$M504=$B$9),OR($B$10="(All)",'Master Database'!$V504=$B$10),OR($E$5="(All)",'Master Database'!$F504=$E$5),OR($E$6="(All)",'Master Database'!$G504=$E$6),OR($E$7="(All)",'Master Database'!$O504=$E$7),OR($E$8="(All)",'Master Database'!$P504=$E$8),OR($E$9="(All)",'Master Database'!$S504=$E$9),OR($E$10="(All)",'Master Database'!$Y504&amp;""=$E$10&amp;""),OR($H$5="(All)",'Master Database'!$BG504=$H$5),OR($H$6&lt;&gt;"Y",ISNUMBER('Master Database'!$AG504)),OR($H$7="",AND(ISNUMBER('Master Database'!$H504),N('Master Database'!$H504)&gt;=$H$7)),OR($I$7="",AND(ISNUMBER('Master Database'!$H504),N('Master Database'!$H504)&lt;=$I$7)),OR($H$8="",AND(ISNUMBER('Master Database'!$I504),N('Master Database'!$I504)&gt;=$H$8)),OR($I$8="",AND(ISNUMBER('Master Database'!$I504),N('Master Database'!$I504)&lt;=$I$8)),OR($H$9="",AND(ISNUMBER('Master Database'!$K504),N('Master Database'!$K504)&gt;=$H$9)),OR($I$9="",AND(ISNUMBER('Master Database'!$K504),N('Master Database'!$K504)&lt;=$I$9))),1,0))</f>
        <v>0</v>
      </c>
      <c r="BB504" s="0" t="str">
        <f aca="false">IF(BA504=1,COUNTIF($BA$5:BA504,1),"")</f>
        <v/>
      </c>
    </row>
    <row r="505" customFormat="false" ht="15" hidden="false" customHeight="false" outlineLevel="0" collapsed="false">
      <c r="BA505" s="0" t="n">
        <f aca="false">IF('Master Database'!$A505="",0,IF(AND(OR($B$5="",ISNUMBER(SEARCH($B$5,'Master Database'!$B505&amp;" "&amp;'Master Database'!$D505))),OR($B$6="(All)",'Master Database'!$C505=$B$6),OR($B$7="(All)",'Master Database'!$E505=$B$7),OR($B$8="(All)",'Master Database'!$T505=$B$8),OR($B$9="(All)",'Master Database'!$M505=$B$9),OR($B$10="(All)",'Master Database'!$V505=$B$10),OR($E$5="(All)",'Master Database'!$F505=$E$5),OR($E$6="(All)",'Master Database'!$G505=$E$6),OR($E$7="(All)",'Master Database'!$O505=$E$7),OR($E$8="(All)",'Master Database'!$P505=$E$8),OR($E$9="(All)",'Master Database'!$S505=$E$9),OR($E$10="(All)",'Master Database'!$Y505&amp;""=$E$10&amp;""),OR($H$5="(All)",'Master Database'!$BG505=$H$5),OR($H$6&lt;&gt;"Y",ISNUMBER('Master Database'!$AG505)),OR($H$7="",AND(ISNUMBER('Master Database'!$H505),N('Master Database'!$H505)&gt;=$H$7)),OR($I$7="",AND(ISNUMBER('Master Database'!$H505),N('Master Database'!$H505)&lt;=$I$7)),OR($H$8="",AND(ISNUMBER('Master Database'!$I505),N('Master Database'!$I505)&gt;=$H$8)),OR($I$8="",AND(ISNUMBER('Master Database'!$I505),N('Master Database'!$I505)&lt;=$I$8)),OR($H$9="",AND(ISNUMBER('Master Database'!$K505),N('Master Database'!$K505)&gt;=$H$9)),OR($I$9="",AND(ISNUMBER('Master Database'!$K505),N('Master Database'!$K505)&lt;=$I$9))),1,0))</f>
        <v>0</v>
      </c>
      <c r="BB505" s="0" t="str">
        <f aca="false">IF(BA505=1,COUNTIF($BA$5:BA505,1),"")</f>
        <v/>
      </c>
    </row>
    <row r="506" customFormat="false" ht="15" hidden="false" customHeight="false" outlineLevel="0" collapsed="false">
      <c r="BA506" s="0" t="n">
        <f aca="false">IF('Master Database'!$A506="",0,IF(AND(OR($B$5="",ISNUMBER(SEARCH($B$5,'Master Database'!$B506&amp;" "&amp;'Master Database'!$D506))),OR($B$6="(All)",'Master Database'!$C506=$B$6),OR($B$7="(All)",'Master Database'!$E506=$B$7),OR($B$8="(All)",'Master Database'!$T506=$B$8),OR($B$9="(All)",'Master Database'!$M506=$B$9),OR($B$10="(All)",'Master Database'!$V506=$B$10),OR($E$5="(All)",'Master Database'!$F506=$E$5),OR($E$6="(All)",'Master Database'!$G506=$E$6),OR($E$7="(All)",'Master Database'!$O506=$E$7),OR($E$8="(All)",'Master Database'!$P506=$E$8),OR($E$9="(All)",'Master Database'!$S506=$E$9),OR($E$10="(All)",'Master Database'!$Y506&amp;""=$E$10&amp;""),OR($H$5="(All)",'Master Database'!$BG506=$H$5),OR($H$6&lt;&gt;"Y",ISNUMBER('Master Database'!$AG506)),OR($H$7="",AND(ISNUMBER('Master Database'!$H506),N('Master Database'!$H506)&gt;=$H$7)),OR($I$7="",AND(ISNUMBER('Master Database'!$H506),N('Master Database'!$H506)&lt;=$I$7)),OR($H$8="",AND(ISNUMBER('Master Database'!$I506),N('Master Database'!$I506)&gt;=$H$8)),OR($I$8="",AND(ISNUMBER('Master Database'!$I506),N('Master Database'!$I506)&lt;=$I$8)),OR($H$9="",AND(ISNUMBER('Master Database'!$K506),N('Master Database'!$K506)&gt;=$H$9)),OR($I$9="",AND(ISNUMBER('Master Database'!$K506),N('Master Database'!$K506)&lt;=$I$9))),1,0))</f>
        <v>0</v>
      </c>
      <c r="BB506" s="0" t="str">
        <f aca="false">IF(BA506=1,COUNTIF($BA$5:BA506,1),"")</f>
        <v/>
      </c>
    </row>
    <row r="507" customFormat="false" ht="15" hidden="false" customHeight="false" outlineLevel="0" collapsed="false">
      <c r="BA507" s="0" t="n">
        <f aca="false">IF('Master Database'!$A507="",0,IF(AND(OR($B$5="",ISNUMBER(SEARCH($B$5,'Master Database'!$B507&amp;" "&amp;'Master Database'!$D507))),OR($B$6="(All)",'Master Database'!$C507=$B$6),OR($B$7="(All)",'Master Database'!$E507=$B$7),OR($B$8="(All)",'Master Database'!$T507=$B$8),OR($B$9="(All)",'Master Database'!$M507=$B$9),OR($B$10="(All)",'Master Database'!$V507=$B$10),OR($E$5="(All)",'Master Database'!$F507=$E$5),OR($E$6="(All)",'Master Database'!$G507=$E$6),OR($E$7="(All)",'Master Database'!$O507=$E$7),OR($E$8="(All)",'Master Database'!$P507=$E$8),OR($E$9="(All)",'Master Database'!$S507=$E$9),OR($E$10="(All)",'Master Database'!$Y507&amp;""=$E$10&amp;""),OR($H$5="(All)",'Master Database'!$BG507=$H$5),OR($H$6&lt;&gt;"Y",ISNUMBER('Master Database'!$AG507)),OR($H$7="",AND(ISNUMBER('Master Database'!$H507),N('Master Database'!$H507)&gt;=$H$7)),OR($I$7="",AND(ISNUMBER('Master Database'!$H507),N('Master Database'!$H507)&lt;=$I$7)),OR($H$8="",AND(ISNUMBER('Master Database'!$I507),N('Master Database'!$I507)&gt;=$H$8)),OR($I$8="",AND(ISNUMBER('Master Database'!$I507),N('Master Database'!$I507)&lt;=$I$8)),OR($H$9="",AND(ISNUMBER('Master Database'!$K507),N('Master Database'!$K507)&gt;=$H$9)),OR($I$9="",AND(ISNUMBER('Master Database'!$K507),N('Master Database'!$K507)&lt;=$I$9))),1,0))</f>
        <v>0</v>
      </c>
      <c r="BB507" s="0" t="str">
        <f aca="false">IF(BA507=1,COUNTIF($BA$5:BA507,1),"")</f>
        <v/>
      </c>
    </row>
    <row r="508" customFormat="false" ht="15" hidden="false" customHeight="false" outlineLevel="0" collapsed="false">
      <c r="BA508" s="0" t="n">
        <f aca="false">IF('Master Database'!$A508="",0,IF(AND(OR($B$5="",ISNUMBER(SEARCH($B$5,'Master Database'!$B508&amp;" "&amp;'Master Database'!$D508))),OR($B$6="(All)",'Master Database'!$C508=$B$6),OR($B$7="(All)",'Master Database'!$E508=$B$7),OR($B$8="(All)",'Master Database'!$T508=$B$8),OR($B$9="(All)",'Master Database'!$M508=$B$9),OR($B$10="(All)",'Master Database'!$V508=$B$10),OR($E$5="(All)",'Master Database'!$F508=$E$5),OR($E$6="(All)",'Master Database'!$G508=$E$6),OR($E$7="(All)",'Master Database'!$O508=$E$7),OR($E$8="(All)",'Master Database'!$P508=$E$8),OR($E$9="(All)",'Master Database'!$S508=$E$9),OR($E$10="(All)",'Master Database'!$Y508&amp;""=$E$10&amp;""),OR($H$5="(All)",'Master Database'!$BG508=$H$5),OR($H$6&lt;&gt;"Y",ISNUMBER('Master Database'!$AG508)),OR($H$7="",AND(ISNUMBER('Master Database'!$H508),N('Master Database'!$H508)&gt;=$H$7)),OR($I$7="",AND(ISNUMBER('Master Database'!$H508),N('Master Database'!$H508)&lt;=$I$7)),OR($H$8="",AND(ISNUMBER('Master Database'!$I508),N('Master Database'!$I508)&gt;=$H$8)),OR($I$8="",AND(ISNUMBER('Master Database'!$I508),N('Master Database'!$I508)&lt;=$I$8)),OR($H$9="",AND(ISNUMBER('Master Database'!$K508),N('Master Database'!$K508)&gt;=$H$9)),OR($I$9="",AND(ISNUMBER('Master Database'!$K508),N('Master Database'!$K508)&lt;=$I$9))),1,0))</f>
        <v>0</v>
      </c>
      <c r="BB508" s="0" t="str">
        <f aca="false">IF(BA508=1,COUNTIF($BA$5:BA508,1),"")</f>
        <v/>
      </c>
    </row>
    <row r="509" customFormat="false" ht="15" hidden="false" customHeight="false" outlineLevel="0" collapsed="false">
      <c r="BA509" s="0" t="n">
        <f aca="false">IF('Master Database'!$A509="",0,IF(AND(OR($B$5="",ISNUMBER(SEARCH($B$5,'Master Database'!$B509&amp;" "&amp;'Master Database'!$D509))),OR($B$6="(All)",'Master Database'!$C509=$B$6),OR($B$7="(All)",'Master Database'!$E509=$B$7),OR($B$8="(All)",'Master Database'!$T509=$B$8),OR($B$9="(All)",'Master Database'!$M509=$B$9),OR($B$10="(All)",'Master Database'!$V509=$B$10),OR($E$5="(All)",'Master Database'!$F509=$E$5),OR($E$6="(All)",'Master Database'!$G509=$E$6),OR($E$7="(All)",'Master Database'!$O509=$E$7),OR($E$8="(All)",'Master Database'!$P509=$E$8),OR($E$9="(All)",'Master Database'!$S509=$E$9),OR($E$10="(All)",'Master Database'!$Y509&amp;""=$E$10&amp;""),OR($H$5="(All)",'Master Database'!$BG509=$H$5),OR($H$6&lt;&gt;"Y",ISNUMBER('Master Database'!$AG509)),OR($H$7="",AND(ISNUMBER('Master Database'!$H509),N('Master Database'!$H509)&gt;=$H$7)),OR($I$7="",AND(ISNUMBER('Master Database'!$H509),N('Master Database'!$H509)&lt;=$I$7)),OR($H$8="",AND(ISNUMBER('Master Database'!$I509),N('Master Database'!$I509)&gt;=$H$8)),OR($I$8="",AND(ISNUMBER('Master Database'!$I509),N('Master Database'!$I509)&lt;=$I$8)),OR($H$9="",AND(ISNUMBER('Master Database'!$K509),N('Master Database'!$K509)&gt;=$H$9)),OR($I$9="",AND(ISNUMBER('Master Database'!$K509),N('Master Database'!$K509)&lt;=$I$9))),1,0))</f>
        <v>0</v>
      </c>
      <c r="BB509" s="0" t="str">
        <f aca="false">IF(BA509=1,COUNTIF($BA$5:BA509,1),"")</f>
        <v/>
      </c>
    </row>
    <row r="510" customFormat="false" ht="15" hidden="false" customHeight="false" outlineLevel="0" collapsed="false">
      <c r="BA510" s="0" t="n">
        <f aca="false">IF('Master Database'!$A510="",0,IF(AND(OR($B$5="",ISNUMBER(SEARCH($B$5,'Master Database'!$B510&amp;" "&amp;'Master Database'!$D510))),OR($B$6="(All)",'Master Database'!$C510=$B$6),OR($B$7="(All)",'Master Database'!$E510=$B$7),OR($B$8="(All)",'Master Database'!$T510=$B$8),OR($B$9="(All)",'Master Database'!$M510=$B$9),OR($B$10="(All)",'Master Database'!$V510=$B$10),OR($E$5="(All)",'Master Database'!$F510=$E$5),OR($E$6="(All)",'Master Database'!$G510=$E$6),OR($E$7="(All)",'Master Database'!$O510=$E$7),OR($E$8="(All)",'Master Database'!$P510=$E$8),OR($E$9="(All)",'Master Database'!$S510=$E$9),OR($E$10="(All)",'Master Database'!$Y510&amp;""=$E$10&amp;""),OR($H$5="(All)",'Master Database'!$BG510=$H$5),OR($H$6&lt;&gt;"Y",ISNUMBER('Master Database'!$AG510)),OR($H$7="",AND(ISNUMBER('Master Database'!$H510),N('Master Database'!$H510)&gt;=$H$7)),OR($I$7="",AND(ISNUMBER('Master Database'!$H510),N('Master Database'!$H510)&lt;=$I$7)),OR($H$8="",AND(ISNUMBER('Master Database'!$I510),N('Master Database'!$I510)&gt;=$H$8)),OR($I$8="",AND(ISNUMBER('Master Database'!$I510),N('Master Database'!$I510)&lt;=$I$8)),OR($H$9="",AND(ISNUMBER('Master Database'!$K510),N('Master Database'!$K510)&gt;=$H$9)),OR($I$9="",AND(ISNUMBER('Master Database'!$K510),N('Master Database'!$K510)&lt;=$I$9))),1,0))</f>
        <v>0</v>
      </c>
      <c r="BB510" s="0" t="str">
        <f aca="false">IF(BA510=1,COUNTIF($BA$5:BA510,1),"")</f>
        <v/>
      </c>
    </row>
    <row r="511" customFormat="false" ht="15" hidden="false" customHeight="false" outlineLevel="0" collapsed="false">
      <c r="BA511" s="0" t="n">
        <f aca="false">IF('Master Database'!$A511="",0,IF(AND(OR($B$5="",ISNUMBER(SEARCH($B$5,'Master Database'!$B511&amp;" "&amp;'Master Database'!$D511))),OR($B$6="(All)",'Master Database'!$C511=$B$6),OR($B$7="(All)",'Master Database'!$E511=$B$7),OR($B$8="(All)",'Master Database'!$T511=$B$8),OR($B$9="(All)",'Master Database'!$M511=$B$9),OR($B$10="(All)",'Master Database'!$V511=$B$10),OR($E$5="(All)",'Master Database'!$F511=$E$5),OR($E$6="(All)",'Master Database'!$G511=$E$6),OR($E$7="(All)",'Master Database'!$O511=$E$7),OR($E$8="(All)",'Master Database'!$P511=$E$8),OR($E$9="(All)",'Master Database'!$S511=$E$9),OR($E$10="(All)",'Master Database'!$Y511&amp;""=$E$10&amp;""),OR($H$5="(All)",'Master Database'!$BG511=$H$5),OR($H$6&lt;&gt;"Y",ISNUMBER('Master Database'!$AG511)),OR($H$7="",AND(ISNUMBER('Master Database'!$H511),N('Master Database'!$H511)&gt;=$H$7)),OR($I$7="",AND(ISNUMBER('Master Database'!$H511),N('Master Database'!$H511)&lt;=$I$7)),OR($H$8="",AND(ISNUMBER('Master Database'!$I511),N('Master Database'!$I511)&gt;=$H$8)),OR($I$8="",AND(ISNUMBER('Master Database'!$I511),N('Master Database'!$I511)&lt;=$I$8)),OR($H$9="",AND(ISNUMBER('Master Database'!$K511),N('Master Database'!$K511)&gt;=$H$9)),OR($I$9="",AND(ISNUMBER('Master Database'!$K511),N('Master Database'!$K511)&lt;=$I$9))),1,0))</f>
        <v>0</v>
      </c>
      <c r="BB511" s="0" t="str">
        <f aca="false">IF(BA511=1,COUNTIF($BA$5:BA511,1),"")</f>
        <v/>
      </c>
    </row>
    <row r="512" customFormat="false" ht="15" hidden="false" customHeight="false" outlineLevel="0" collapsed="false">
      <c r="BA512" s="0" t="n">
        <f aca="false">IF('Master Database'!$A512="",0,IF(AND(OR($B$5="",ISNUMBER(SEARCH($B$5,'Master Database'!$B512&amp;" "&amp;'Master Database'!$D512))),OR($B$6="(All)",'Master Database'!$C512=$B$6),OR($B$7="(All)",'Master Database'!$E512=$B$7),OR($B$8="(All)",'Master Database'!$T512=$B$8),OR($B$9="(All)",'Master Database'!$M512=$B$9),OR($B$10="(All)",'Master Database'!$V512=$B$10),OR($E$5="(All)",'Master Database'!$F512=$E$5),OR($E$6="(All)",'Master Database'!$G512=$E$6),OR($E$7="(All)",'Master Database'!$O512=$E$7),OR($E$8="(All)",'Master Database'!$P512=$E$8),OR($E$9="(All)",'Master Database'!$S512=$E$9),OR($E$10="(All)",'Master Database'!$Y512&amp;""=$E$10&amp;""),OR($H$5="(All)",'Master Database'!$BG512=$H$5),OR($H$6&lt;&gt;"Y",ISNUMBER('Master Database'!$AG512)),OR($H$7="",AND(ISNUMBER('Master Database'!$H512),N('Master Database'!$H512)&gt;=$H$7)),OR($I$7="",AND(ISNUMBER('Master Database'!$H512),N('Master Database'!$H512)&lt;=$I$7)),OR($H$8="",AND(ISNUMBER('Master Database'!$I512),N('Master Database'!$I512)&gt;=$H$8)),OR($I$8="",AND(ISNUMBER('Master Database'!$I512),N('Master Database'!$I512)&lt;=$I$8)),OR($H$9="",AND(ISNUMBER('Master Database'!$K512),N('Master Database'!$K512)&gt;=$H$9)),OR($I$9="",AND(ISNUMBER('Master Database'!$K512),N('Master Database'!$K512)&lt;=$I$9))),1,0))</f>
        <v>0</v>
      </c>
      <c r="BB512" s="0" t="str">
        <f aca="false">IF(BA512=1,COUNTIF($BA$5:BA512,1),"")</f>
        <v/>
      </c>
    </row>
    <row r="513" customFormat="false" ht="15" hidden="false" customHeight="false" outlineLevel="0" collapsed="false">
      <c r="BA513" s="0" t="n">
        <f aca="false">IF('Master Database'!$A513="",0,IF(AND(OR($B$5="",ISNUMBER(SEARCH($B$5,'Master Database'!$B513&amp;" "&amp;'Master Database'!$D513))),OR($B$6="(All)",'Master Database'!$C513=$B$6),OR($B$7="(All)",'Master Database'!$E513=$B$7),OR($B$8="(All)",'Master Database'!$T513=$B$8),OR($B$9="(All)",'Master Database'!$M513=$B$9),OR($B$10="(All)",'Master Database'!$V513=$B$10),OR($E$5="(All)",'Master Database'!$F513=$E$5),OR($E$6="(All)",'Master Database'!$G513=$E$6),OR($E$7="(All)",'Master Database'!$O513=$E$7),OR($E$8="(All)",'Master Database'!$P513=$E$8),OR($E$9="(All)",'Master Database'!$S513=$E$9),OR($E$10="(All)",'Master Database'!$Y513&amp;""=$E$10&amp;""),OR($H$5="(All)",'Master Database'!$BG513=$H$5),OR($H$6&lt;&gt;"Y",ISNUMBER('Master Database'!$AG513)),OR($H$7="",AND(ISNUMBER('Master Database'!$H513),N('Master Database'!$H513)&gt;=$H$7)),OR($I$7="",AND(ISNUMBER('Master Database'!$H513),N('Master Database'!$H513)&lt;=$I$7)),OR($H$8="",AND(ISNUMBER('Master Database'!$I513),N('Master Database'!$I513)&gt;=$H$8)),OR($I$8="",AND(ISNUMBER('Master Database'!$I513),N('Master Database'!$I513)&lt;=$I$8)),OR($H$9="",AND(ISNUMBER('Master Database'!$K513),N('Master Database'!$K513)&gt;=$H$9)),OR($I$9="",AND(ISNUMBER('Master Database'!$K513),N('Master Database'!$K513)&lt;=$I$9))),1,0))</f>
        <v>0</v>
      </c>
      <c r="BB513" s="0" t="str">
        <f aca="false">IF(BA513=1,COUNTIF($BA$5:BA513,1),"")</f>
        <v/>
      </c>
    </row>
    <row r="514" customFormat="false" ht="15" hidden="false" customHeight="false" outlineLevel="0" collapsed="false">
      <c r="BA514" s="0" t="n">
        <f aca="false">IF('Master Database'!$A514="",0,IF(AND(OR($B$5="",ISNUMBER(SEARCH($B$5,'Master Database'!$B514&amp;" "&amp;'Master Database'!$D514))),OR($B$6="(All)",'Master Database'!$C514=$B$6),OR($B$7="(All)",'Master Database'!$E514=$B$7),OR($B$8="(All)",'Master Database'!$T514=$B$8),OR($B$9="(All)",'Master Database'!$M514=$B$9),OR($B$10="(All)",'Master Database'!$V514=$B$10),OR($E$5="(All)",'Master Database'!$F514=$E$5),OR($E$6="(All)",'Master Database'!$G514=$E$6),OR($E$7="(All)",'Master Database'!$O514=$E$7),OR($E$8="(All)",'Master Database'!$P514=$E$8),OR($E$9="(All)",'Master Database'!$S514=$E$9),OR($E$10="(All)",'Master Database'!$Y514&amp;""=$E$10&amp;""),OR($H$5="(All)",'Master Database'!$BG514=$H$5),OR($H$6&lt;&gt;"Y",ISNUMBER('Master Database'!$AG514)),OR($H$7="",AND(ISNUMBER('Master Database'!$H514),N('Master Database'!$H514)&gt;=$H$7)),OR($I$7="",AND(ISNUMBER('Master Database'!$H514),N('Master Database'!$H514)&lt;=$I$7)),OR($H$8="",AND(ISNUMBER('Master Database'!$I514),N('Master Database'!$I514)&gt;=$H$8)),OR($I$8="",AND(ISNUMBER('Master Database'!$I514),N('Master Database'!$I514)&lt;=$I$8)),OR($H$9="",AND(ISNUMBER('Master Database'!$K514),N('Master Database'!$K514)&gt;=$H$9)),OR($I$9="",AND(ISNUMBER('Master Database'!$K514),N('Master Database'!$K514)&lt;=$I$9))),1,0))</f>
        <v>0</v>
      </c>
      <c r="BB514" s="0" t="str">
        <f aca="false">IF(BA514=1,COUNTIF($BA$5:BA514,1),"")</f>
        <v/>
      </c>
    </row>
    <row r="515" customFormat="false" ht="15" hidden="false" customHeight="false" outlineLevel="0" collapsed="false">
      <c r="BA515" s="0" t="n">
        <f aca="false">IF('Master Database'!$A515="",0,IF(AND(OR($B$5="",ISNUMBER(SEARCH($B$5,'Master Database'!$B515&amp;" "&amp;'Master Database'!$D515))),OR($B$6="(All)",'Master Database'!$C515=$B$6),OR($B$7="(All)",'Master Database'!$E515=$B$7),OR($B$8="(All)",'Master Database'!$T515=$B$8),OR($B$9="(All)",'Master Database'!$M515=$B$9),OR($B$10="(All)",'Master Database'!$V515=$B$10),OR($E$5="(All)",'Master Database'!$F515=$E$5),OR($E$6="(All)",'Master Database'!$G515=$E$6),OR($E$7="(All)",'Master Database'!$O515=$E$7),OR($E$8="(All)",'Master Database'!$P515=$E$8),OR($E$9="(All)",'Master Database'!$S515=$E$9),OR($E$10="(All)",'Master Database'!$Y515&amp;""=$E$10&amp;""),OR($H$5="(All)",'Master Database'!$BG515=$H$5),OR($H$6&lt;&gt;"Y",ISNUMBER('Master Database'!$AG515)),OR($H$7="",AND(ISNUMBER('Master Database'!$H515),N('Master Database'!$H515)&gt;=$H$7)),OR($I$7="",AND(ISNUMBER('Master Database'!$H515),N('Master Database'!$H515)&lt;=$I$7)),OR($H$8="",AND(ISNUMBER('Master Database'!$I515),N('Master Database'!$I515)&gt;=$H$8)),OR($I$8="",AND(ISNUMBER('Master Database'!$I515),N('Master Database'!$I515)&lt;=$I$8)),OR($H$9="",AND(ISNUMBER('Master Database'!$K515),N('Master Database'!$K515)&gt;=$H$9)),OR($I$9="",AND(ISNUMBER('Master Database'!$K515),N('Master Database'!$K515)&lt;=$I$9))),1,0))</f>
        <v>0</v>
      </c>
      <c r="BB515" s="0" t="str">
        <f aca="false">IF(BA515=1,COUNTIF($BA$5:BA515,1),"")</f>
        <v/>
      </c>
    </row>
    <row r="516" customFormat="false" ht="15" hidden="false" customHeight="false" outlineLevel="0" collapsed="false">
      <c r="BA516" s="0" t="n">
        <f aca="false">IF('Master Database'!$A516="",0,IF(AND(OR($B$5="",ISNUMBER(SEARCH($B$5,'Master Database'!$B516&amp;" "&amp;'Master Database'!$D516))),OR($B$6="(All)",'Master Database'!$C516=$B$6),OR($B$7="(All)",'Master Database'!$E516=$B$7),OR($B$8="(All)",'Master Database'!$T516=$B$8),OR($B$9="(All)",'Master Database'!$M516=$B$9),OR($B$10="(All)",'Master Database'!$V516=$B$10),OR($E$5="(All)",'Master Database'!$F516=$E$5),OR($E$6="(All)",'Master Database'!$G516=$E$6),OR($E$7="(All)",'Master Database'!$O516=$E$7),OR($E$8="(All)",'Master Database'!$P516=$E$8),OR($E$9="(All)",'Master Database'!$S516=$E$9),OR($E$10="(All)",'Master Database'!$Y516&amp;""=$E$10&amp;""),OR($H$5="(All)",'Master Database'!$BG516=$H$5),OR($H$6&lt;&gt;"Y",ISNUMBER('Master Database'!$AG516)),OR($H$7="",AND(ISNUMBER('Master Database'!$H516),N('Master Database'!$H516)&gt;=$H$7)),OR($I$7="",AND(ISNUMBER('Master Database'!$H516),N('Master Database'!$H516)&lt;=$I$7)),OR($H$8="",AND(ISNUMBER('Master Database'!$I516),N('Master Database'!$I516)&gt;=$H$8)),OR($I$8="",AND(ISNUMBER('Master Database'!$I516),N('Master Database'!$I516)&lt;=$I$8)),OR($H$9="",AND(ISNUMBER('Master Database'!$K516),N('Master Database'!$K516)&gt;=$H$9)),OR($I$9="",AND(ISNUMBER('Master Database'!$K516),N('Master Database'!$K516)&lt;=$I$9))),1,0))</f>
        <v>0</v>
      </c>
      <c r="BB516" s="0" t="str">
        <f aca="false">IF(BA516=1,COUNTIF($BA$5:BA516,1),"")</f>
        <v/>
      </c>
    </row>
    <row r="517" customFormat="false" ht="15" hidden="false" customHeight="false" outlineLevel="0" collapsed="false">
      <c r="BA517" s="0" t="n">
        <f aca="false">IF('Master Database'!$A517="",0,IF(AND(OR($B$5="",ISNUMBER(SEARCH($B$5,'Master Database'!$B517&amp;" "&amp;'Master Database'!$D517))),OR($B$6="(All)",'Master Database'!$C517=$B$6),OR($B$7="(All)",'Master Database'!$E517=$B$7),OR($B$8="(All)",'Master Database'!$T517=$B$8),OR($B$9="(All)",'Master Database'!$M517=$B$9),OR($B$10="(All)",'Master Database'!$V517=$B$10),OR($E$5="(All)",'Master Database'!$F517=$E$5),OR($E$6="(All)",'Master Database'!$G517=$E$6),OR($E$7="(All)",'Master Database'!$O517=$E$7),OR($E$8="(All)",'Master Database'!$P517=$E$8),OR($E$9="(All)",'Master Database'!$S517=$E$9),OR($E$10="(All)",'Master Database'!$Y517&amp;""=$E$10&amp;""),OR($H$5="(All)",'Master Database'!$BG517=$H$5),OR($H$6&lt;&gt;"Y",ISNUMBER('Master Database'!$AG517)),OR($H$7="",AND(ISNUMBER('Master Database'!$H517),N('Master Database'!$H517)&gt;=$H$7)),OR($I$7="",AND(ISNUMBER('Master Database'!$H517),N('Master Database'!$H517)&lt;=$I$7)),OR($H$8="",AND(ISNUMBER('Master Database'!$I517),N('Master Database'!$I517)&gt;=$H$8)),OR($I$8="",AND(ISNUMBER('Master Database'!$I517),N('Master Database'!$I517)&lt;=$I$8)),OR($H$9="",AND(ISNUMBER('Master Database'!$K517),N('Master Database'!$K517)&gt;=$H$9)),OR($I$9="",AND(ISNUMBER('Master Database'!$K517),N('Master Database'!$K517)&lt;=$I$9))),1,0))</f>
        <v>0</v>
      </c>
      <c r="BB517" s="0" t="str">
        <f aca="false">IF(BA517=1,COUNTIF($BA$5:BA517,1),"")</f>
        <v/>
      </c>
    </row>
    <row r="518" customFormat="false" ht="15" hidden="false" customHeight="false" outlineLevel="0" collapsed="false">
      <c r="BA518" s="0" t="n">
        <f aca="false">IF('Master Database'!$A518="",0,IF(AND(OR($B$5="",ISNUMBER(SEARCH($B$5,'Master Database'!$B518&amp;" "&amp;'Master Database'!$D518))),OR($B$6="(All)",'Master Database'!$C518=$B$6),OR($B$7="(All)",'Master Database'!$E518=$B$7),OR($B$8="(All)",'Master Database'!$T518=$B$8),OR($B$9="(All)",'Master Database'!$M518=$B$9),OR($B$10="(All)",'Master Database'!$V518=$B$10),OR($E$5="(All)",'Master Database'!$F518=$E$5),OR($E$6="(All)",'Master Database'!$G518=$E$6),OR($E$7="(All)",'Master Database'!$O518=$E$7),OR($E$8="(All)",'Master Database'!$P518=$E$8),OR($E$9="(All)",'Master Database'!$S518=$E$9),OR($E$10="(All)",'Master Database'!$Y518&amp;""=$E$10&amp;""),OR($H$5="(All)",'Master Database'!$BG518=$H$5),OR($H$6&lt;&gt;"Y",ISNUMBER('Master Database'!$AG518)),OR($H$7="",AND(ISNUMBER('Master Database'!$H518),N('Master Database'!$H518)&gt;=$H$7)),OR($I$7="",AND(ISNUMBER('Master Database'!$H518),N('Master Database'!$H518)&lt;=$I$7)),OR($H$8="",AND(ISNUMBER('Master Database'!$I518),N('Master Database'!$I518)&gt;=$H$8)),OR($I$8="",AND(ISNUMBER('Master Database'!$I518),N('Master Database'!$I518)&lt;=$I$8)),OR($H$9="",AND(ISNUMBER('Master Database'!$K518),N('Master Database'!$K518)&gt;=$H$9)),OR($I$9="",AND(ISNUMBER('Master Database'!$K518),N('Master Database'!$K518)&lt;=$I$9))),1,0))</f>
        <v>0</v>
      </c>
      <c r="BB518" s="0" t="str">
        <f aca="false">IF(BA518=1,COUNTIF($BA$5:BA518,1),"")</f>
        <v/>
      </c>
    </row>
    <row r="519" customFormat="false" ht="15" hidden="false" customHeight="false" outlineLevel="0" collapsed="false">
      <c r="BA519" s="0" t="n">
        <f aca="false">IF('Master Database'!$A519="",0,IF(AND(OR($B$5="",ISNUMBER(SEARCH($B$5,'Master Database'!$B519&amp;" "&amp;'Master Database'!$D519))),OR($B$6="(All)",'Master Database'!$C519=$B$6),OR($B$7="(All)",'Master Database'!$E519=$B$7),OR($B$8="(All)",'Master Database'!$T519=$B$8),OR($B$9="(All)",'Master Database'!$M519=$B$9),OR($B$10="(All)",'Master Database'!$V519=$B$10),OR($E$5="(All)",'Master Database'!$F519=$E$5),OR($E$6="(All)",'Master Database'!$G519=$E$6),OR($E$7="(All)",'Master Database'!$O519=$E$7),OR($E$8="(All)",'Master Database'!$P519=$E$8),OR($E$9="(All)",'Master Database'!$S519=$E$9),OR($E$10="(All)",'Master Database'!$Y519&amp;""=$E$10&amp;""),OR($H$5="(All)",'Master Database'!$BG519=$H$5),OR($H$6&lt;&gt;"Y",ISNUMBER('Master Database'!$AG519)),OR($H$7="",AND(ISNUMBER('Master Database'!$H519),N('Master Database'!$H519)&gt;=$H$7)),OR($I$7="",AND(ISNUMBER('Master Database'!$H519),N('Master Database'!$H519)&lt;=$I$7)),OR($H$8="",AND(ISNUMBER('Master Database'!$I519),N('Master Database'!$I519)&gt;=$H$8)),OR($I$8="",AND(ISNUMBER('Master Database'!$I519),N('Master Database'!$I519)&lt;=$I$8)),OR($H$9="",AND(ISNUMBER('Master Database'!$K519),N('Master Database'!$K519)&gt;=$H$9)),OR($I$9="",AND(ISNUMBER('Master Database'!$K519),N('Master Database'!$K519)&lt;=$I$9))),1,0))</f>
        <v>0</v>
      </c>
      <c r="BB519" s="0" t="str">
        <f aca="false">IF(BA519=1,COUNTIF($BA$5:BA519,1),"")</f>
        <v/>
      </c>
    </row>
    <row r="520" customFormat="false" ht="15" hidden="false" customHeight="false" outlineLevel="0" collapsed="false">
      <c r="BA520" s="0" t="n">
        <f aca="false">IF('Master Database'!$A520="",0,IF(AND(OR($B$5="",ISNUMBER(SEARCH($B$5,'Master Database'!$B520&amp;" "&amp;'Master Database'!$D520))),OR($B$6="(All)",'Master Database'!$C520=$B$6),OR($B$7="(All)",'Master Database'!$E520=$B$7),OR($B$8="(All)",'Master Database'!$T520=$B$8),OR($B$9="(All)",'Master Database'!$M520=$B$9),OR($B$10="(All)",'Master Database'!$V520=$B$10),OR($E$5="(All)",'Master Database'!$F520=$E$5),OR($E$6="(All)",'Master Database'!$G520=$E$6),OR($E$7="(All)",'Master Database'!$O520=$E$7),OR($E$8="(All)",'Master Database'!$P520=$E$8),OR($E$9="(All)",'Master Database'!$S520=$E$9),OR($E$10="(All)",'Master Database'!$Y520&amp;""=$E$10&amp;""),OR($H$5="(All)",'Master Database'!$BG520=$H$5),OR($H$6&lt;&gt;"Y",ISNUMBER('Master Database'!$AG520)),OR($H$7="",AND(ISNUMBER('Master Database'!$H520),N('Master Database'!$H520)&gt;=$H$7)),OR($I$7="",AND(ISNUMBER('Master Database'!$H520),N('Master Database'!$H520)&lt;=$I$7)),OR($H$8="",AND(ISNUMBER('Master Database'!$I520),N('Master Database'!$I520)&gt;=$H$8)),OR($I$8="",AND(ISNUMBER('Master Database'!$I520),N('Master Database'!$I520)&lt;=$I$8)),OR($H$9="",AND(ISNUMBER('Master Database'!$K520),N('Master Database'!$K520)&gt;=$H$9)),OR($I$9="",AND(ISNUMBER('Master Database'!$K520),N('Master Database'!$K520)&lt;=$I$9))),1,0))</f>
        <v>0</v>
      </c>
      <c r="BB520" s="0" t="str">
        <f aca="false">IF(BA520=1,COUNTIF($BA$5:BA520,1),"")</f>
        <v/>
      </c>
    </row>
    <row r="521" customFormat="false" ht="15" hidden="false" customHeight="false" outlineLevel="0" collapsed="false">
      <c r="BA521" s="0" t="n">
        <f aca="false">IF('Master Database'!$A521="",0,IF(AND(OR($B$5="",ISNUMBER(SEARCH($B$5,'Master Database'!$B521&amp;" "&amp;'Master Database'!$D521))),OR($B$6="(All)",'Master Database'!$C521=$B$6),OR($B$7="(All)",'Master Database'!$E521=$B$7),OR($B$8="(All)",'Master Database'!$T521=$B$8),OR($B$9="(All)",'Master Database'!$M521=$B$9),OR($B$10="(All)",'Master Database'!$V521=$B$10),OR($E$5="(All)",'Master Database'!$F521=$E$5),OR($E$6="(All)",'Master Database'!$G521=$E$6),OR($E$7="(All)",'Master Database'!$O521=$E$7),OR($E$8="(All)",'Master Database'!$P521=$E$8),OR($E$9="(All)",'Master Database'!$S521=$E$9),OR($E$10="(All)",'Master Database'!$Y521&amp;""=$E$10&amp;""),OR($H$5="(All)",'Master Database'!$BG521=$H$5),OR($H$6&lt;&gt;"Y",ISNUMBER('Master Database'!$AG521)),OR($H$7="",AND(ISNUMBER('Master Database'!$H521),N('Master Database'!$H521)&gt;=$H$7)),OR($I$7="",AND(ISNUMBER('Master Database'!$H521),N('Master Database'!$H521)&lt;=$I$7)),OR($H$8="",AND(ISNUMBER('Master Database'!$I521),N('Master Database'!$I521)&gt;=$H$8)),OR($I$8="",AND(ISNUMBER('Master Database'!$I521),N('Master Database'!$I521)&lt;=$I$8)),OR($H$9="",AND(ISNUMBER('Master Database'!$K521),N('Master Database'!$K521)&gt;=$H$9)),OR($I$9="",AND(ISNUMBER('Master Database'!$K521),N('Master Database'!$K521)&lt;=$I$9))),1,0))</f>
        <v>0</v>
      </c>
      <c r="BB521" s="0" t="str">
        <f aca="false">IF(BA521=1,COUNTIF($BA$5:BA521,1),"")</f>
        <v/>
      </c>
    </row>
    <row r="522" customFormat="false" ht="15" hidden="false" customHeight="false" outlineLevel="0" collapsed="false">
      <c r="BA522" s="0" t="n">
        <f aca="false">IF('Master Database'!$A522="",0,IF(AND(OR($B$5="",ISNUMBER(SEARCH($B$5,'Master Database'!$B522&amp;" "&amp;'Master Database'!$D522))),OR($B$6="(All)",'Master Database'!$C522=$B$6),OR($B$7="(All)",'Master Database'!$E522=$B$7),OR($B$8="(All)",'Master Database'!$T522=$B$8),OR($B$9="(All)",'Master Database'!$M522=$B$9),OR($B$10="(All)",'Master Database'!$V522=$B$10),OR($E$5="(All)",'Master Database'!$F522=$E$5),OR($E$6="(All)",'Master Database'!$G522=$E$6),OR($E$7="(All)",'Master Database'!$O522=$E$7),OR($E$8="(All)",'Master Database'!$P522=$E$8),OR($E$9="(All)",'Master Database'!$S522=$E$9),OR($E$10="(All)",'Master Database'!$Y522&amp;""=$E$10&amp;""),OR($H$5="(All)",'Master Database'!$BG522=$H$5),OR($H$6&lt;&gt;"Y",ISNUMBER('Master Database'!$AG522)),OR($H$7="",AND(ISNUMBER('Master Database'!$H522),N('Master Database'!$H522)&gt;=$H$7)),OR($I$7="",AND(ISNUMBER('Master Database'!$H522),N('Master Database'!$H522)&lt;=$I$7)),OR($H$8="",AND(ISNUMBER('Master Database'!$I522),N('Master Database'!$I522)&gt;=$H$8)),OR($I$8="",AND(ISNUMBER('Master Database'!$I522),N('Master Database'!$I522)&lt;=$I$8)),OR($H$9="",AND(ISNUMBER('Master Database'!$K522),N('Master Database'!$K522)&gt;=$H$9)),OR($I$9="",AND(ISNUMBER('Master Database'!$K522),N('Master Database'!$K522)&lt;=$I$9))),1,0))</f>
        <v>0</v>
      </c>
      <c r="BB522" s="0" t="str">
        <f aca="false">IF(BA522=1,COUNTIF($BA$5:BA522,1),"")</f>
        <v/>
      </c>
    </row>
    <row r="523" customFormat="false" ht="15" hidden="false" customHeight="false" outlineLevel="0" collapsed="false">
      <c r="BA523" s="0" t="n">
        <f aca="false">IF('Master Database'!$A523="",0,IF(AND(OR($B$5="",ISNUMBER(SEARCH($B$5,'Master Database'!$B523&amp;" "&amp;'Master Database'!$D523))),OR($B$6="(All)",'Master Database'!$C523=$B$6),OR($B$7="(All)",'Master Database'!$E523=$B$7),OR($B$8="(All)",'Master Database'!$T523=$B$8),OR($B$9="(All)",'Master Database'!$M523=$B$9),OR($B$10="(All)",'Master Database'!$V523=$B$10),OR($E$5="(All)",'Master Database'!$F523=$E$5),OR($E$6="(All)",'Master Database'!$G523=$E$6),OR($E$7="(All)",'Master Database'!$O523=$E$7),OR($E$8="(All)",'Master Database'!$P523=$E$8),OR($E$9="(All)",'Master Database'!$S523=$E$9),OR($E$10="(All)",'Master Database'!$Y523&amp;""=$E$10&amp;""),OR($H$5="(All)",'Master Database'!$BG523=$H$5),OR($H$6&lt;&gt;"Y",ISNUMBER('Master Database'!$AG523)),OR($H$7="",AND(ISNUMBER('Master Database'!$H523),N('Master Database'!$H523)&gt;=$H$7)),OR($I$7="",AND(ISNUMBER('Master Database'!$H523),N('Master Database'!$H523)&lt;=$I$7)),OR($H$8="",AND(ISNUMBER('Master Database'!$I523),N('Master Database'!$I523)&gt;=$H$8)),OR($I$8="",AND(ISNUMBER('Master Database'!$I523),N('Master Database'!$I523)&lt;=$I$8)),OR($H$9="",AND(ISNUMBER('Master Database'!$K523),N('Master Database'!$K523)&gt;=$H$9)),OR($I$9="",AND(ISNUMBER('Master Database'!$K523),N('Master Database'!$K523)&lt;=$I$9))),1,0))</f>
        <v>0</v>
      </c>
      <c r="BB523" s="0" t="str">
        <f aca="false">IF(BA523=1,COUNTIF($BA$5:BA523,1),"")</f>
        <v/>
      </c>
    </row>
    <row r="524" customFormat="false" ht="15" hidden="false" customHeight="false" outlineLevel="0" collapsed="false">
      <c r="BA524" s="0" t="n">
        <f aca="false">IF('Master Database'!$A524="",0,IF(AND(OR($B$5="",ISNUMBER(SEARCH($B$5,'Master Database'!$B524&amp;" "&amp;'Master Database'!$D524))),OR($B$6="(All)",'Master Database'!$C524=$B$6),OR($B$7="(All)",'Master Database'!$E524=$B$7),OR($B$8="(All)",'Master Database'!$T524=$B$8),OR($B$9="(All)",'Master Database'!$M524=$B$9),OR($B$10="(All)",'Master Database'!$V524=$B$10),OR($E$5="(All)",'Master Database'!$F524=$E$5),OR($E$6="(All)",'Master Database'!$G524=$E$6),OR($E$7="(All)",'Master Database'!$O524=$E$7),OR($E$8="(All)",'Master Database'!$P524=$E$8),OR($E$9="(All)",'Master Database'!$S524=$E$9),OR($E$10="(All)",'Master Database'!$Y524&amp;""=$E$10&amp;""),OR($H$5="(All)",'Master Database'!$BG524=$H$5),OR($H$6&lt;&gt;"Y",ISNUMBER('Master Database'!$AG524)),OR($H$7="",AND(ISNUMBER('Master Database'!$H524),N('Master Database'!$H524)&gt;=$H$7)),OR($I$7="",AND(ISNUMBER('Master Database'!$H524),N('Master Database'!$H524)&lt;=$I$7)),OR($H$8="",AND(ISNUMBER('Master Database'!$I524),N('Master Database'!$I524)&gt;=$H$8)),OR($I$8="",AND(ISNUMBER('Master Database'!$I524),N('Master Database'!$I524)&lt;=$I$8)),OR($H$9="",AND(ISNUMBER('Master Database'!$K524),N('Master Database'!$K524)&gt;=$H$9)),OR($I$9="",AND(ISNUMBER('Master Database'!$K524),N('Master Database'!$K524)&lt;=$I$9))),1,0))</f>
        <v>0</v>
      </c>
      <c r="BB524" s="0" t="str">
        <f aca="false">IF(BA524=1,COUNTIF($BA$5:BA524,1),"")</f>
        <v/>
      </c>
    </row>
    <row r="525" customFormat="false" ht="15" hidden="false" customHeight="false" outlineLevel="0" collapsed="false">
      <c r="BA525" s="0" t="n">
        <f aca="false">IF('Master Database'!$A525="",0,IF(AND(OR($B$5="",ISNUMBER(SEARCH($B$5,'Master Database'!$B525&amp;" "&amp;'Master Database'!$D525))),OR($B$6="(All)",'Master Database'!$C525=$B$6),OR($B$7="(All)",'Master Database'!$E525=$B$7),OR($B$8="(All)",'Master Database'!$T525=$B$8),OR($B$9="(All)",'Master Database'!$M525=$B$9),OR($B$10="(All)",'Master Database'!$V525=$B$10),OR($E$5="(All)",'Master Database'!$F525=$E$5),OR($E$6="(All)",'Master Database'!$G525=$E$6),OR($E$7="(All)",'Master Database'!$O525=$E$7),OR($E$8="(All)",'Master Database'!$P525=$E$8),OR($E$9="(All)",'Master Database'!$S525=$E$9),OR($E$10="(All)",'Master Database'!$Y525&amp;""=$E$10&amp;""),OR($H$5="(All)",'Master Database'!$BG525=$H$5),OR($H$6&lt;&gt;"Y",ISNUMBER('Master Database'!$AG525)),OR($H$7="",AND(ISNUMBER('Master Database'!$H525),N('Master Database'!$H525)&gt;=$H$7)),OR($I$7="",AND(ISNUMBER('Master Database'!$H525),N('Master Database'!$H525)&lt;=$I$7)),OR($H$8="",AND(ISNUMBER('Master Database'!$I525),N('Master Database'!$I525)&gt;=$H$8)),OR($I$8="",AND(ISNUMBER('Master Database'!$I525),N('Master Database'!$I525)&lt;=$I$8)),OR($H$9="",AND(ISNUMBER('Master Database'!$K525),N('Master Database'!$K525)&gt;=$H$9)),OR($I$9="",AND(ISNUMBER('Master Database'!$K525),N('Master Database'!$K525)&lt;=$I$9))),1,0))</f>
        <v>0</v>
      </c>
      <c r="BB525" s="0" t="str">
        <f aca="false">IF(BA525=1,COUNTIF($BA$5:BA525,1),"")</f>
        <v/>
      </c>
    </row>
    <row r="526" customFormat="false" ht="15" hidden="false" customHeight="false" outlineLevel="0" collapsed="false">
      <c r="BA526" s="0" t="n">
        <f aca="false">IF('Master Database'!$A526="",0,IF(AND(OR($B$5="",ISNUMBER(SEARCH($B$5,'Master Database'!$B526&amp;" "&amp;'Master Database'!$D526))),OR($B$6="(All)",'Master Database'!$C526=$B$6),OR($B$7="(All)",'Master Database'!$E526=$B$7),OR($B$8="(All)",'Master Database'!$T526=$B$8),OR($B$9="(All)",'Master Database'!$M526=$B$9),OR($B$10="(All)",'Master Database'!$V526=$B$10),OR($E$5="(All)",'Master Database'!$F526=$E$5),OR($E$6="(All)",'Master Database'!$G526=$E$6),OR($E$7="(All)",'Master Database'!$O526=$E$7),OR($E$8="(All)",'Master Database'!$P526=$E$8),OR($E$9="(All)",'Master Database'!$S526=$E$9),OR($E$10="(All)",'Master Database'!$Y526&amp;""=$E$10&amp;""),OR($H$5="(All)",'Master Database'!$BG526=$H$5),OR($H$6&lt;&gt;"Y",ISNUMBER('Master Database'!$AG526)),OR($H$7="",AND(ISNUMBER('Master Database'!$H526),N('Master Database'!$H526)&gt;=$H$7)),OR($I$7="",AND(ISNUMBER('Master Database'!$H526),N('Master Database'!$H526)&lt;=$I$7)),OR($H$8="",AND(ISNUMBER('Master Database'!$I526),N('Master Database'!$I526)&gt;=$H$8)),OR($I$8="",AND(ISNUMBER('Master Database'!$I526),N('Master Database'!$I526)&lt;=$I$8)),OR($H$9="",AND(ISNUMBER('Master Database'!$K526),N('Master Database'!$K526)&gt;=$H$9)),OR($I$9="",AND(ISNUMBER('Master Database'!$K526),N('Master Database'!$K526)&lt;=$I$9))),1,0))</f>
        <v>0</v>
      </c>
      <c r="BB526" s="0" t="str">
        <f aca="false">IF(BA526=1,COUNTIF($BA$5:BA526,1),"")</f>
        <v/>
      </c>
    </row>
    <row r="527" customFormat="false" ht="15" hidden="false" customHeight="false" outlineLevel="0" collapsed="false">
      <c r="BA527" s="0" t="n">
        <f aca="false">IF('Master Database'!$A527="",0,IF(AND(OR($B$5="",ISNUMBER(SEARCH($B$5,'Master Database'!$B527&amp;" "&amp;'Master Database'!$D527))),OR($B$6="(All)",'Master Database'!$C527=$B$6),OR($B$7="(All)",'Master Database'!$E527=$B$7),OR($B$8="(All)",'Master Database'!$T527=$B$8),OR($B$9="(All)",'Master Database'!$M527=$B$9),OR($B$10="(All)",'Master Database'!$V527=$B$10),OR($E$5="(All)",'Master Database'!$F527=$E$5),OR($E$6="(All)",'Master Database'!$G527=$E$6),OR($E$7="(All)",'Master Database'!$O527=$E$7),OR($E$8="(All)",'Master Database'!$P527=$E$8),OR($E$9="(All)",'Master Database'!$S527=$E$9),OR($E$10="(All)",'Master Database'!$Y527&amp;""=$E$10&amp;""),OR($H$5="(All)",'Master Database'!$BG527=$H$5),OR($H$6&lt;&gt;"Y",ISNUMBER('Master Database'!$AG527)),OR($H$7="",AND(ISNUMBER('Master Database'!$H527),N('Master Database'!$H527)&gt;=$H$7)),OR($I$7="",AND(ISNUMBER('Master Database'!$H527),N('Master Database'!$H527)&lt;=$I$7)),OR($H$8="",AND(ISNUMBER('Master Database'!$I527),N('Master Database'!$I527)&gt;=$H$8)),OR($I$8="",AND(ISNUMBER('Master Database'!$I527),N('Master Database'!$I527)&lt;=$I$8)),OR($H$9="",AND(ISNUMBER('Master Database'!$K527),N('Master Database'!$K527)&gt;=$H$9)),OR($I$9="",AND(ISNUMBER('Master Database'!$K527),N('Master Database'!$K527)&lt;=$I$9))),1,0))</f>
        <v>0</v>
      </c>
      <c r="BB527" s="0" t="str">
        <f aca="false">IF(BA527=1,COUNTIF($BA$5:BA527,1),"")</f>
        <v/>
      </c>
    </row>
    <row r="528" customFormat="false" ht="15" hidden="false" customHeight="false" outlineLevel="0" collapsed="false">
      <c r="BA528" s="0" t="n">
        <f aca="false">IF('Master Database'!$A528="",0,IF(AND(OR($B$5="",ISNUMBER(SEARCH($B$5,'Master Database'!$B528&amp;" "&amp;'Master Database'!$D528))),OR($B$6="(All)",'Master Database'!$C528=$B$6),OR($B$7="(All)",'Master Database'!$E528=$B$7),OR($B$8="(All)",'Master Database'!$T528=$B$8),OR($B$9="(All)",'Master Database'!$M528=$B$9),OR($B$10="(All)",'Master Database'!$V528=$B$10),OR($E$5="(All)",'Master Database'!$F528=$E$5),OR($E$6="(All)",'Master Database'!$G528=$E$6),OR($E$7="(All)",'Master Database'!$O528=$E$7),OR($E$8="(All)",'Master Database'!$P528=$E$8),OR($E$9="(All)",'Master Database'!$S528=$E$9),OR($E$10="(All)",'Master Database'!$Y528&amp;""=$E$10&amp;""),OR($H$5="(All)",'Master Database'!$BG528=$H$5),OR($H$6&lt;&gt;"Y",ISNUMBER('Master Database'!$AG528)),OR($H$7="",AND(ISNUMBER('Master Database'!$H528),N('Master Database'!$H528)&gt;=$H$7)),OR($I$7="",AND(ISNUMBER('Master Database'!$H528),N('Master Database'!$H528)&lt;=$I$7)),OR($H$8="",AND(ISNUMBER('Master Database'!$I528),N('Master Database'!$I528)&gt;=$H$8)),OR($I$8="",AND(ISNUMBER('Master Database'!$I528),N('Master Database'!$I528)&lt;=$I$8)),OR($H$9="",AND(ISNUMBER('Master Database'!$K528),N('Master Database'!$K528)&gt;=$H$9)),OR($I$9="",AND(ISNUMBER('Master Database'!$K528),N('Master Database'!$K528)&lt;=$I$9))),1,0))</f>
        <v>0</v>
      </c>
      <c r="BB528" s="0" t="str">
        <f aca="false">IF(BA528=1,COUNTIF($BA$5:BA528,1),"")</f>
        <v/>
      </c>
    </row>
    <row r="529" customFormat="false" ht="15" hidden="false" customHeight="false" outlineLevel="0" collapsed="false">
      <c r="BA529" s="0" t="n">
        <f aca="false">IF('Master Database'!$A529="",0,IF(AND(OR($B$5="",ISNUMBER(SEARCH($B$5,'Master Database'!$B529&amp;" "&amp;'Master Database'!$D529))),OR($B$6="(All)",'Master Database'!$C529=$B$6),OR($B$7="(All)",'Master Database'!$E529=$B$7),OR($B$8="(All)",'Master Database'!$T529=$B$8),OR($B$9="(All)",'Master Database'!$M529=$B$9),OR($B$10="(All)",'Master Database'!$V529=$B$10),OR($E$5="(All)",'Master Database'!$F529=$E$5),OR($E$6="(All)",'Master Database'!$G529=$E$6),OR($E$7="(All)",'Master Database'!$O529=$E$7),OR($E$8="(All)",'Master Database'!$P529=$E$8),OR($E$9="(All)",'Master Database'!$S529=$E$9),OR($E$10="(All)",'Master Database'!$Y529&amp;""=$E$10&amp;""),OR($H$5="(All)",'Master Database'!$BG529=$H$5),OR($H$6&lt;&gt;"Y",ISNUMBER('Master Database'!$AG529)),OR($H$7="",AND(ISNUMBER('Master Database'!$H529),N('Master Database'!$H529)&gt;=$H$7)),OR($I$7="",AND(ISNUMBER('Master Database'!$H529),N('Master Database'!$H529)&lt;=$I$7)),OR($H$8="",AND(ISNUMBER('Master Database'!$I529),N('Master Database'!$I529)&gt;=$H$8)),OR($I$8="",AND(ISNUMBER('Master Database'!$I529),N('Master Database'!$I529)&lt;=$I$8)),OR($H$9="",AND(ISNUMBER('Master Database'!$K529),N('Master Database'!$K529)&gt;=$H$9)),OR($I$9="",AND(ISNUMBER('Master Database'!$K529),N('Master Database'!$K529)&lt;=$I$9))),1,0))</f>
        <v>0</v>
      </c>
      <c r="BB529" s="0" t="str">
        <f aca="false">IF(BA529=1,COUNTIF($BA$5:BA529,1),"")</f>
        <v/>
      </c>
    </row>
    <row r="530" customFormat="false" ht="15" hidden="false" customHeight="false" outlineLevel="0" collapsed="false">
      <c r="BA530" s="0" t="n">
        <f aca="false">IF('Master Database'!$A530="",0,IF(AND(OR($B$5="",ISNUMBER(SEARCH($B$5,'Master Database'!$B530&amp;" "&amp;'Master Database'!$D530))),OR($B$6="(All)",'Master Database'!$C530=$B$6),OR($B$7="(All)",'Master Database'!$E530=$B$7),OR($B$8="(All)",'Master Database'!$T530=$B$8),OR($B$9="(All)",'Master Database'!$M530=$B$9),OR($B$10="(All)",'Master Database'!$V530=$B$10),OR($E$5="(All)",'Master Database'!$F530=$E$5),OR($E$6="(All)",'Master Database'!$G530=$E$6),OR($E$7="(All)",'Master Database'!$O530=$E$7),OR($E$8="(All)",'Master Database'!$P530=$E$8),OR($E$9="(All)",'Master Database'!$S530=$E$9),OR($E$10="(All)",'Master Database'!$Y530&amp;""=$E$10&amp;""),OR($H$5="(All)",'Master Database'!$BG530=$H$5),OR($H$6&lt;&gt;"Y",ISNUMBER('Master Database'!$AG530)),OR($H$7="",AND(ISNUMBER('Master Database'!$H530),N('Master Database'!$H530)&gt;=$H$7)),OR($I$7="",AND(ISNUMBER('Master Database'!$H530),N('Master Database'!$H530)&lt;=$I$7)),OR($H$8="",AND(ISNUMBER('Master Database'!$I530),N('Master Database'!$I530)&gt;=$H$8)),OR($I$8="",AND(ISNUMBER('Master Database'!$I530),N('Master Database'!$I530)&lt;=$I$8)),OR($H$9="",AND(ISNUMBER('Master Database'!$K530),N('Master Database'!$K530)&gt;=$H$9)),OR($I$9="",AND(ISNUMBER('Master Database'!$K530),N('Master Database'!$K530)&lt;=$I$9))),1,0))</f>
        <v>0</v>
      </c>
      <c r="BB530" s="0" t="str">
        <f aca="false">IF(BA530=1,COUNTIF($BA$5:BA530,1),"")</f>
        <v/>
      </c>
    </row>
    <row r="531" customFormat="false" ht="15" hidden="false" customHeight="false" outlineLevel="0" collapsed="false">
      <c r="BA531" s="0" t="n">
        <f aca="false">IF('Master Database'!$A531="",0,IF(AND(OR($B$5="",ISNUMBER(SEARCH($B$5,'Master Database'!$B531&amp;" "&amp;'Master Database'!$D531))),OR($B$6="(All)",'Master Database'!$C531=$B$6),OR($B$7="(All)",'Master Database'!$E531=$B$7),OR($B$8="(All)",'Master Database'!$T531=$B$8),OR($B$9="(All)",'Master Database'!$M531=$B$9),OR($B$10="(All)",'Master Database'!$V531=$B$10),OR($E$5="(All)",'Master Database'!$F531=$E$5),OR($E$6="(All)",'Master Database'!$G531=$E$6),OR($E$7="(All)",'Master Database'!$O531=$E$7),OR($E$8="(All)",'Master Database'!$P531=$E$8),OR($E$9="(All)",'Master Database'!$S531=$E$9),OR($E$10="(All)",'Master Database'!$Y531&amp;""=$E$10&amp;""),OR($H$5="(All)",'Master Database'!$BG531=$H$5),OR($H$6&lt;&gt;"Y",ISNUMBER('Master Database'!$AG531)),OR($H$7="",AND(ISNUMBER('Master Database'!$H531),N('Master Database'!$H531)&gt;=$H$7)),OR($I$7="",AND(ISNUMBER('Master Database'!$H531),N('Master Database'!$H531)&lt;=$I$7)),OR($H$8="",AND(ISNUMBER('Master Database'!$I531),N('Master Database'!$I531)&gt;=$H$8)),OR($I$8="",AND(ISNUMBER('Master Database'!$I531),N('Master Database'!$I531)&lt;=$I$8)),OR($H$9="",AND(ISNUMBER('Master Database'!$K531),N('Master Database'!$K531)&gt;=$H$9)),OR($I$9="",AND(ISNUMBER('Master Database'!$K531),N('Master Database'!$K531)&lt;=$I$9))),1,0))</f>
        <v>0</v>
      </c>
      <c r="BB531" s="0" t="str">
        <f aca="false">IF(BA531=1,COUNTIF($BA$5:BA531,1),"")</f>
        <v/>
      </c>
    </row>
    <row r="532" customFormat="false" ht="15" hidden="false" customHeight="false" outlineLevel="0" collapsed="false">
      <c r="BA532" s="0" t="n">
        <f aca="false">IF('Master Database'!$A532="",0,IF(AND(OR($B$5="",ISNUMBER(SEARCH($B$5,'Master Database'!$B532&amp;" "&amp;'Master Database'!$D532))),OR($B$6="(All)",'Master Database'!$C532=$B$6),OR($B$7="(All)",'Master Database'!$E532=$B$7),OR($B$8="(All)",'Master Database'!$T532=$B$8),OR($B$9="(All)",'Master Database'!$M532=$B$9),OR($B$10="(All)",'Master Database'!$V532=$B$10),OR($E$5="(All)",'Master Database'!$F532=$E$5),OR($E$6="(All)",'Master Database'!$G532=$E$6),OR($E$7="(All)",'Master Database'!$O532=$E$7),OR($E$8="(All)",'Master Database'!$P532=$E$8),OR($E$9="(All)",'Master Database'!$S532=$E$9),OR($E$10="(All)",'Master Database'!$Y532&amp;""=$E$10&amp;""),OR($H$5="(All)",'Master Database'!$BG532=$H$5),OR($H$6&lt;&gt;"Y",ISNUMBER('Master Database'!$AG532)),OR($H$7="",AND(ISNUMBER('Master Database'!$H532),N('Master Database'!$H532)&gt;=$H$7)),OR($I$7="",AND(ISNUMBER('Master Database'!$H532),N('Master Database'!$H532)&lt;=$I$7)),OR($H$8="",AND(ISNUMBER('Master Database'!$I532),N('Master Database'!$I532)&gt;=$H$8)),OR($I$8="",AND(ISNUMBER('Master Database'!$I532),N('Master Database'!$I532)&lt;=$I$8)),OR($H$9="",AND(ISNUMBER('Master Database'!$K532),N('Master Database'!$K532)&gt;=$H$9)),OR($I$9="",AND(ISNUMBER('Master Database'!$K532),N('Master Database'!$K532)&lt;=$I$9))),1,0))</f>
        <v>0</v>
      </c>
      <c r="BB532" s="0" t="str">
        <f aca="false">IF(BA532=1,COUNTIF($BA$5:BA532,1),"")</f>
        <v/>
      </c>
    </row>
    <row r="533" customFormat="false" ht="15" hidden="false" customHeight="false" outlineLevel="0" collapsed="false">
      <c r="BA533" s="0" t="n">
        <f aca="false">IF('Master Database'!$A533="",0,IF(AND(OR($B$5="",ISNUMBER(SEARCH($B$5,'Master Database'!$B533&amp;" "&amp;'Master Database'!$D533))),OR($B$6="(All)",'Master Database'!$C533=$B$6),OR($B$7="(All)",'Master Database'!$E533=$B$7),OR($B$8="(All)",'Master Database'!$T533=$B$8),OR($B$9="(All)",'Master Database'!$M533=$B$9),OR($B$10="(All)",'Master Database'!$V533=$B$10),OR($E$5="(All)",'Master Database'!$F533=$E$5),OR($E$6="(All)",'Master Database'!$G533=$E$6),OR($E$7="(All)",'Master Database'!$O533=$E$7),OR($E$8="(All)",'Master Database'!$P533=$E$8),OR($E$9="(All)",'Master Database'!$S533=$E$9),OR($E$10="(All)",'Master Database'!$Y533&amp;""=$E$10&amp;""),OR($H$5="(All)",'Master Database'!$BG533=$H$5),OR($H$6&lt;&gt;"Y",ISNUMBER('Master Database'!$AG533)),OR($H$7="",AND(ISNUMBER('Master Database'!$H533),N('Master Database'!$H533)&gt;=$H$7)),OR($I$7="",AND(ISNUMBER('Master Database'!$H533),N('Master Database'!$H533)&lt;=$I$7)),OR($H$8="",AND(ISNUMBER('Master Database'!$I533),N('Master Database'!$I533)&gt;=$H$8)),OR($I$8="",AND(ISNUMBER('Master Database'!$I533),N('Master Database'!$I533)&lt;=$I$8)),OR($H$9="",AND(ISNUMBER('Master Database'!$K533),N('Master Database'!$K533)&gt;=$H$9)),OR($I$9="",AND(ISNUMBER('Master Database'!$K533),N('Master Database'!$K533)&lt;=$I$9))),1,0))</f>
        <v>0</v>
      </c>
      <c r="BB533" s="0" t="str">
        <f aca="false">IF(BA533=1,COUNTIF($BA$5:BA533,1),"")</f>
        <v/>
      </c>
    </row>
    <row r="534" customFormat="false" ht="15" hidden="false" customHeight="false" outlineLevel="0" collapsed="false">
      <c r="BA534" s="0" t="n">
        <f aca="false">IF('Master Database'!$A534="",0,IF(AND(OR($B$5="",ISNUMBER(SEARCH($B$5,'Master Database'!$B534&amp;" "&amp;'Master Database'!$D534))),OR($B$6="(All)",'Master Database'!$C534=$B$6),OR($B$7="(All)",'Master Database'!$E534=$B$7),OR($B$8="(All)",'Master Database'!$T534=$B$8),OR($B$9="(All)",'Master Database'!$M534=$B$9),OR($B$10="(All)",'Master Database'!$V534=$B$10),OR($E$5="(All)",'Master Database'!$F534=$E$5),OR($E$6="(All)",'Master Database'!$G534=$E$6),OR($E$7="(All)",'Master Database'!$O534=$E$7),OR($E$8="(All)",'Master Database'!$P534=$E$8),OR($E$9="(All)",'Master Database'!$S534=$E$9),OR($E$10="(All)",'Master Database'!$Y534&amp;""=$E$10&amp;""),OR($H$5="(All)",'Master Database'!$BG534=$H$5),OR($H$6&lt;&gt;"Y",ISNUMBER('Master Database'!$AG534)),OR($H$7="",AND(ISNUMBER('Master Database'!$H534),N('Master Database'!$H534)&gt;=$H$7)),OR($I$7="",AND(ISNUMBER('Master Database'!$H534),N('Master Database'!$H534)&lt;=$I$7)),OR($H$8="",AND(ISNUMBER('Master Database'!$I534),N('Master Database'!$I534)&gt;=$H$8)),OR($I$8="",AND(ISNUMBER('Master Database'!$I534),N('Master Database'!$I534)&lt;=$I$8)),OR($H$9="",AND(ISNUMBER('Master Database'!$K534),N('Master Database'!$K534)&gt;=$H$9)),OR($I$9="",AND(ISNUMBER('Master Database'!$K534),N('Master Database'!$K534)&lt;=$I$9))),1,0))</f>
        <v>0</v>
      </c>
      <c r="BB534" s="0" t="str">
        <f aca="false">IF(BA534=1,COUNTIF($BA$5:BA534,1),"")</f>
        <v/>
      </c>
    </row>
    <row r="535" customFormat="false" ht="15" hidden="false" customHeight="false" outlineLevel="0" collapsed="false">
      <c r="BA535" s="0" t="n">
        <f aca="false">IF('Master Database'!$A535="",0,IF(AND(OR($B$5="",ISNUMBER(SEARCH($B$5,'Master Database'!$B535&amp;" "&amp;'Master Database'!$D535))),OR($B$6="(All)",'Master Database'!$C535=$B$6),OR($B$7="(All)",'Master Database'!$E535=$B$7),OR($B$8="(All)",'Master Database'!$T535=$B$8),OR($B$9="(All)",'Master Database'!$M535=$B$9),OR($B$10="(All)",'Master Database'!$V535=$B$10),OR($E$5="(All)",'Master Database'!$F535=$E$5),OR($E$6="(All)",'Master Database'!$G535=$E$6),OR($E$7="(All)",'Master Database'!$O535=$E$7),OR($E$8="(All)",'Master Database'!$P535=$E$8),OR($E$9="(All)",'Master Database'!$S535=$E$9),OR($E$10="(All)",'Master Database'!$Y535&amp;""=$E$10&amp;""),OR($H$5="(All)",'Master Database'!$BG535=$H$5),OR($H$6&lt;&gt;"Y",ISNUMBER('Master Database'!$AG535)),OR($H$7="",AND(ISNUMBER('Master Database'!$H535),N('Master Database'!$H535)&gt;=$H$7)),OR($I$7="",AND(ISNUMBER('Master Database'!$H535),N('Master Database'!$H535)&lt;=$I$7)),OR($H$8="",AND(ISNUMBER('Master Database'!$I535),N('Master Database'!$I535)&gt;=$H$8)),OR($I$8="",AND(ISNUMBER('Master Database'!$I535),N('Master Database'!$I535)&lt;=$I$8)),OR($H$9="",AND(ISNUMBER('Master Database'!$K535),N('Master Database'!$K535)&gt;=$H$9)),OR($I$9="",AND(ISNUMBER('Master Database'!$K535),N('Master Database'!$K535)&lt;=$I$9))),1,0))</f>
        <v>0</v>
      </c>
      <c r="BB535" s="0" t="str">
        <f aca="false">IF(BA535=1,COUNTIF($BA$5:BA535,1),"")</f>
        <v/>
      </c>
    </row>
    <row r="536" customFormat="false" ht="15" hidden="false" customHeight="false" outlineLevel="0" collapsed="false">
      <c r="BA536" s="0" t="n">
        <f aca="false">IF('Master Database'!$A536="",0,IF(AND(OR($B$5="",ISNUMBER(SEARCH($B$5,'Master Database'!$B536&amp;" "&amp;'Master Database'!$D536))),OR($B$6="(All)",'Master Database'!$C536=$B$6),OR($B$7="(All)",'Master Database'!$E536=$B$7),OR($B$8="(All)",'Master Database'!$T536=$B$8),OR($B$9="(All)",'Master Database'!$M536=$B$9),OR($B$10="(All)",'Master Database'!$V536=$B$10),OR($E$5="(All)",'Master Database'!$F536=$E$5),OR($E$6="(All)",'Master Database'!$G536=$E$6),OR($E$7="(All)",'Master Database'!$O536=$E$7),OR($E$8="(All)",'Master Database'!$P536=$E$8),OR($E$9="(All)",'Master Database'!$S536=$E$9),OR($E$10="(All)",'Master Database'!$Y536&amp;""=$E$10&amp;""),OR($H$5="(All)",'Master Database'!$BG536=$H$5),OR($H$6&lt;&gt;"Y",ISNUMBER('Master Database'!$AG536)),OR($H$7="",AND(ISNUMBER('Master Database'!$H536),N('Master Database'!$H536)&gt;=$H$7)),OR($I$7="",AND(ISNUMBER('Master Database'!$H536),N('Master Database'!$H536)&lt;=$I$7)),OR($H$8="",AND(ISNUMBER('Master Database'!$I536),N('Master Database'!$I536)&gt;=$H$8)),OR($I$8="",AND(ISNUMBER('Master Database'!$I536),N('Master Database'!$I536)&lt;=$I$8)),OR($H$9="",AND(ISNUMBER('Master Database'!$K536),N('Master Database'!$K536)&gt;=$H$9)),OR($I$9="",AND(ISNUMBER('Master Database'!$K536),N('Master Database'!$K536)&lt;=$I$9))),1,0))</f>
        <v>0</v>
      </c>
      <c r="BB536" s="0" t="str">
        <f aca="false">IF(BA536=1,COUNTIF($BA$5:BA536,1),"")</f>
        <v/>
      </c>
    </row>
    <row r="537" customFormat="false" ht="15" hidden="false" customHeight="false" outlineLevel="0" collapsed="false">
      <c r="BA537" s="0" t="n">
        <f aca="false">IF('Master Database'!$A537="",0,IF(AND(OR($B$5="",ISNUMBER(SEARCH($B$5,'Master Database'!$B537&amp;" "&amp;'Master Database'!$D537))),OR($B$6="(All)",'Master Database'!$C537=$B$6),OR($B$7="(All)",'Master Database'!$E537=$B$7),OR($B$8="(All)",'Master Database'!$T537=$B$8),OR($B$9="(All)",'Master Database'!$M537=$B$9),OR($B$10="(All)",'Master Database'!$V537=$B$10),OR($E$5="(All)",'Master Database'!$F537=$E$5),OR($E$6="(All)",'Master Database'!$G537=$E$6),OR($E$7="(All)",'Master Database'!$O537=$E$7),OR($E$8="(All)",'Master Database'!$P537=$E$8),OR($E$9="(All)",'Master Database'!$S537=$E$9),OR($E$10="(All)",'Master Database'!$Y537&amp;""=$E$10&amp;""),OR($H$5="(All)",'Master Database'!$BG537=$H$5),OR($H$6&lt;&gt;"Y",ISNUMBER('Master Database'!$AG537)),OR($H$7="",AND(ISNUMBER('Master Database'!$H537),N('Master Database'!$H537)&gt;=$H$7)),OR($I$7="",AND(ISNUMBER('Master Database'!$H537),N('Master Database'!$H537)&lt;=$I$7)),OR($H$8="",AND(ISNUMBER('Master Database'!$I537),N('Master Database'!$I537)&gt;=$H$8)),OR($I$8="",AND(ISNUMBER('Master Database'!$I537),N('Master Database'!$I537)&lt;=$I$8)),OR($H$9="",AND(ISNUMBER('Master Database'!$K537),N('Master Database'!$K537)&gt;=$H$9)),OR($I$9="",AND(ISNUMBER('Master Database'!$K537),N('Master Database'!$K537)&lt;=$I$9))),1,0))</f>
        <v>0</v>
      </c>
      <c r="BB537" s="0" t="str">
        <f aca="false">IF(BA537=1,COUNTIF($BA$5:BA537,1),"")</f>
        <v/>
      </c>
    </row>
    <row r="538" customFormat="false" ht="15" hidden="false" customHeight="false" outlineLevel="0" collapsed="false">
      <c r="BA538" s="0" t="n">
        <f aca="false">IF('Master Database'!$A538="",0,IF(AND(OR($B$5="",ISNUMBER(SEARCH($B$5,'Master Database'!$B538&amp;" "&amp;'Master Database'!$D538))),OR($B$6="(All)",'Master Database'!$C538=$B$6),OR($B$7="(All)",'Master Database'!$E538=$B$7),OR($B$8="(All)",'Master Database'!$T538=$B$8),OR($B$9="(All)",'Master Database'!$M538=$B$9),OR($B$10="(All)",'Master Database'!$V538=$B$10),OR($E$5="(All)",'Master Database'!$F538=$E$5),OR($E$6="(All)",'Master Database'!$G538=$E$6),OR($E$7="(All)",'Master Database'!$O538=$E$7),OR($E$8="(All)",'Master Database'!$P538=$E$8),OR($E$9="(All)",'Master Database'!$S538=$E$9),OR($E$10="(All)",'Master Database'!$Y538&amp;""=$E$10&amp;""),OR($H$5="(All)",'Master Database'!$BG538=$H$5),OR($H$6&lt;&gt;"Y",ISNUMBER('Master Database'!$AG538)),OR($H$7="",AND(ISNUMBER('Master Database'!$H538),N('Master Database'!$H538)&gt;=$H$7)),OR($I$7="",AND(ISNUMBER('Master Database'!$H538),N('Master Database'!$H538)&lt;=$I$7)),OR($H$8="",AND(ISNUMBER('Master Database'!$I538),N('Master Database'!$I538)&gt;=$H$8)),OR($I$8="",AND(ISNUMBER('Master Database'!$I538),N('Master Database'!$I538)&lt;=$I$8)),OR($H$9="",AND(ISNUMBER('Master Database'!$K538),N('Master Database'!$K538)&gt;=$H$9)),OR($I$9="",AND(ISNUMBER('Master Database'!$K538),N('Master Database'!$K538)&lt;=$I$9))),1,0))</f>
        <v>0</v>
      </c>
      <c r="BB538" s="0" t="str">
        <f aca="false">IF(BA538=1,COUNTIF($BA$5:BA538,1),"")</f>
        <v/>
      </c>
    </row>
    <row r="539" customFormat="false" ht="15" hidden="false" customHeight="false" outlineLevel="0" collapsed="false">
      <c r="BA539" s="0" t="n">
        <f aca="false">IF('Master Database'!$A539="",0,IF(AND(OR($B$5="",ISNUMBER(SEARCH($B$5,'Master Database'!$B539&amp;" "&amp;'Master Database'!$D539))),OR($B$6="(All)",'Master Database'!$C539=$B$6),OR($B$7="(All)",'Master Database'!$E539=$B$7),OR($B$8="(All)",'Master Database'!$T539=$B$8),OR($B$9="(All)",'Master Database'!$M539=$B$9),OR($B$10="(All)",'Master Database'!$V539=$B$10),OR($E$5="(All)",'Master Database'!$F539=$E$5),OR($E$6="(All)",'Master Database'!$G539=$E$6),OR($E$7="(All)",'Master Database'!$O539=$E$7),OR($E$8="(All)",'Master Database'!$P539=$E$8),OR($E$9="(All)",'Master Database'!$S539=$E$9),OR($E$10="(All)",'Master Database'!$Y539&amp;""=$E$10&amp;""),OR($H$5="(All)",'Master Database'!$BG539=$H$5),OR($H$6&lt;&gt;"Y",ISNUMBER('Master Database'!$AG539)),OR($H$7="",AND(ISNUMBER('Master Database'!$H539),N('Master Database'!$H539)&gt;=$H$7)),OR($I$7="",AND(ISNUMBER('Master Database'!$H539),N('Master Database'!$H539)&lt;=$I$7)),OR($H$8="",AND(ISNUMBER('Master Database'!$I539),N('Master Database'!$I539)&gt;=$H$8)),OR($I$8="",AND(ISNUMBER('Master Database'!$I539),N('Master Database'!$I539)&lt;=$I$8)),OR($H$9="",AND(ISNUMBER('Master Database'!$K539),N('Master Database'!$K539)&gt;=$H$9)),OR($I$9="",AND(ISNUMBER('Master Database'!$K539),N('Master Database'!$K539)&lt;=$I$9))),1,0))</f>
        <v>0</v>
      </c>
      <c r="BB539" s="0" t="str">
        <f aca="false">IF(BA539=1,COUNTIF($BA$5:BA539,1),"")</f>
        <v/>
      </c>
    </row>
    <row r="540" customFormat="false" ht="15" hidden="false" customHeight="false" outlineLevel="0" collapsed="false">
      <c r="BA540" s="0" t="n">
        <f aca="false">IF('Master Database'!$A540="",0,IF(AND(OR($B$5="",ISNUMBER(SEARCH($B$5,'Master Database'!$B540&amp;" "&amp;'Master Database'!$D540))),OR($B$6="(All)",'Master Database'!$C540=$B$6),OR($B$7="(All)",'Master Database'!$E540=$B$7),OR($B$8="(All)",'Master Database'!$T540=$B$8),OR($B$9="(All)",'Master Database'!$M540=$B$9),OR($B$10="(All)",'Master Database'!$V540=$B$10),OR($E$5="(All)",'Master Database'!$F540=$E$5),OR($E$6="(All)",'Master Database'!$G540=$E$6),OR($E$7="(All)",'Master Database'!$O540=$E$7),OR($E$8="(All)",'Master Database'!$P540=$E$8),OR($E$9="(All)",'Master Database'!$S540=$E$9),OR($E$10="(All)",'Master Database'!$Y540&amp;""=$E$10&amp;""),OR($H$5="(All)",'Master Database'!$BG540=$H$5),OR($H$6&lt;&gt;"Y",ISNUMBER('Master Database'!$AG540)),OR($H$7="",AND(ISNUMBER('Master Database'!$H540),N('Master Database'!$H540)&gt;=$H$7)),OR($I$7="",AND(ISNUMBER('Master Database'!$H540),N('Master Database'!$H540)&lt;=$I$7)),OR($H$8="",AND(ISNUMBER('Master Database'!$I540),N('Master Database'!$I540)&gt;=$H$8)),OR($I$8="",AND(ISNUMBER('Master Database'!$I540),N('Master Database'!$I540)&lt;=$I$8)),OR($H$9="",AND(ISNUMBER('Master Database'!$K540),N('Master Database'!$K540)&gt;=$H$9)),OR($I$9="",AND(ISNUMBER('Master Database'!$K540),N('Master Database'!$K540)&lt;=$I$9))),1,0))</f>
        <v>0</v>
      </c>
      <c r="BB540" s="0" t="str">
        <f aca="false">IF(BA540=1,COUNTIF($BA$5:BA540,1),"")</f>
        <v/>
      </c>
    </row>
    <row r="541" customFormat="false" ht="15" hidden="false" customHeight="false" outlineLevel="0" collapsed="false">
      <c r="BA541" s="0" t="n">
        <f aca="false">IF('Master Database'!$A541="",0,IF(AND(OR($B$5="",ISNUMBER(SEARCH($B$5,'Master Database'!$B541&amp;" "&amp;'Master Database'!$D541))),OR($B$6="(All)",'Master Database'!$C541=$B$6),OR($B$7="(All)",'Master Database'!$E541=$B$7),OR($B$8="(All)",'Master Database'!$T541=$B$8),OR($B$9="(All)",'Master Database'!$M541=$B$9),OR($B$10="(All)",'Master Database'!$V541=$B$10),OR($E$5="(All)",'Master Database'!$F541=$E$5),OR($E$6="(All)",'Master Database'!$G541=$E$6),OR($E$7="(All)",'Master Database'!$O541=$E$7),OR($E$8="(All)",'Master Database'!$P541=$E$8),OR($E$9="(All)",'Master Database'!$S541=$E$9),OR($E$10="(All)",'Master Database'!$Y541&amp;""=$E$10&amp;""),OR($H$5="(All)",'Master Database'!$BG541=$H$5),OR($H$6&lt;&gt;"Y",ISNUMBER('Master Database'!$AG541)),OR($H$7="",AND(ISNUMBER('Master Database'!$H541),N('Master Database'!$H541)&gt;=$H$7)),OR($I$7="",AND(ISNUMBER('Master Database'!$H541),N('Master Database'!$H541)&lt;=$I$7)),OR($H$8="",AND(ISNUMBER('Master Database'!$I541),N('Master Database'!$I541)&gt;=$H$8)),OR($I$8="",AND(ISNUMBER('Master Database'!$I541),N('Master Database'!$I541)&lt;=$I$8)),OR($H$9="",AND(ISNUMBER('Master Database'!$K541),N('Master Database'!$K541)&gt;=$H$9)),OR($I$9="",AND(ISNUMBER('Master Database'!$K541),N('Master Database'!$K541)&lt;=$I$9))),1,0))</f>
        <v>0</v>
      </c>
      <c r="BB541" s="0" t="str">
        <f aca="false">IF(BA541=1,COUNTIF($BA$5:BA541,1),"")</f>
        <v/>
      </c>
    </row>
    <row r="542" customFormat="false" ht="15" hidden="false" customHeight="false" outlineLevel="0" collapsed="false">
      <c r="BA542" s="0" t="n">
        <f aca="false">IF('Master Database'!$A542="",0,IF(AND(OR($B$5="",ISNUMBER(SEARCH($B$5,'Master Database'!$B542&amp;" "&amp;'Master Database'!$D542))),OR($B$6="(All)",'Master Database'!$C542=$B$6),OR($B$7="(All)",'Master Database'!$E542=$B$7),OR($B$8="(All)",'Master Database'!$T542=$B$8),OR($B$9="(All)",'Master Database'!$M542=$B$9),OR($B$10="(All)",'Master Database'!$V542=$B$10),OR($E$5="(All)",'Master Database'!$F542=$E$5),OR($E$6="(All)",'Master Database'!$G542=$E$6),OR($E$7="(All)",'Master Database'!$O542=$E$7),OR($E$8="(All)",'Master Database'!$P542=$E$8),OR($E$9="(All)",'Master Database'!$S542=$E$9),OR($E$10="(All)",'Master Database'!$Y542&amp;""=$E$10&amp;""),OR($H$5="(All)",'Master Database'!$BG542=$H$5),OR($H$6&lt;&gt;"Y",ISNUMBER('Master Database'!$AG542)),OR($H$7="",AND(ISNUMBER('Master Database'!$H542),N('Master Database'!$H542)&gt;=$H$7)),OR($I$7="",AND(ISNUMBER('Master Database'!$H542),N('Master Database'!$H542)&lt;=$I$7)),OR($H$8="",AND(ISNUMBER('Master Database'!$I542),N('Master Database'!$I542)&gt;=$H$8)),OR($I$8="",AND(ISNUMBER('Master Database'!$I542),N('Master Database'!$I542)&lt;=$I$8)),OR($H$9="",AND(ISNUMBER('Master Database'!$K542),N('Master Database'!$K542)&gt;=$H$9)),OR($I$9="",AND(ISNUMBER('Master Database'!$K542),N('Master Database'!$K542)&lt;=$I$9))),1,0))</f>
        <v>0</v>
      </c>
      <c r="BB542" s="0" t="str">
        <f aca="false">IF(BA542=1,COUNTIF($BA$5:BA542,1),"")</f>
        <v/>
      </c>
    </row>
    <row r="543" customFormat="false" ht="15" hidden="false" customHeight="false" outlineLevel="0" collapsed="false">
      <c r="BA543" s="0" t="n">
        <f aca="false">IF('Master Database'!$A543="",0,IF(AND(OR($B$5="",ISNUMBER(SEARCH($B$5,'Master Database'!$B543&amp;" "&amp;'Master Database'!$D543))),OR($B$6="(All)",'Master Database'!$C543=$B$6),OR($B$7="(All)",'Master Database'!$E543=$B$7),OR($B$8="(All)",'Master Database'!$T543=$B$8),OR($B$9="(All)",'Master Database'!$M543=$B$9),OR($B$10="(All)",'Master Database'!$V543=$B$10),OR($E$5="(All)",'Master Database'!$F543=$E$5),OR($E$6="(All)",'Master Database'!$G543=$E$6),OR($E$7="(All)",'Master Database'!$O543=$E$7),OR($E$8="(All)",'Master Database'!$P543=$E$8),OR($E$9="(All)",'Master Database'!$S543=$E$9),OR($E$10="(All)",'Master Database'!$Y543&amp;""=$E$10&amp;""),OR($H$5="(All)",'Master Database'!$BG543=$H$5),OR($H$6&lt;&gt;"Y",ISNUMBER('Master Database'!$AG543)),OR($H$7="",AND(ISNUMBER('Master Database'!$H543),N('Master Database'!$H543)&gt;=$H$7)),OR($I$7="",AND(ISNUMBER('Master Database'!$H543),N('Master Database'!$H543)&lt;=$I$7)),OR($H$8="",AND(ISNUMBER('Master Database'!$I543),N('Master Database'!$I543)&gt;=$H$8)),OR($I$8="",AND(ISNUMBER('Master Database'!$I543),N('Master Database'!$I543)&lt;=$I$8)),OR($H$9="",AND(ISNUMBER('Master Database'!$K543),N('Master Database'!$K543)&gt;=$H$9)),OR($I$9="",AND(ISNUMBER('Master Database'!$K543),N('Master Database'!$K543)&lt;=$I$9))),1,0))</f>
        <v>0</v>
      </c>
      <c r="BB543" s="0" t="str">
        <f aca="false">IF(BA543=1,COUNTIF($BA$5:BA543,1),"")</f>
        <v/>
      </c>
    </row>
    <row r="544" customFormat="false" ht="15" hidden="false" customHeight="false" outlineLevel="0" collapsed="false">
      <c r="BA544" s="0" t="n">
        <f aca="false">IF('Master Database'!$A544="",0,IF(AND(OR($B$5="",ISNUMBER(SEARCH($B$5,'Master Database'!$B544&amp;" "&amp;'Master Database'!$D544))),OR($B$6="(All)",'Master Database'!$C544=$B$6),OR($B$7="(All)",'Master Database'!$E544=$B$7),OR($B$8="(All)",'Master Database'!$T544=$B$8),OR($B$9="(All)",'Master Database'!$M544=$B$9),OR($B$10="(All)",'Master Database'!$V544=$B$10),OR($E$5="(All)",'Master Database'!$F544=$E$5),OR($E$6="(All)",'Master Database'!$G544=$E$6),OR($E$7="(All)",'Master Database'!$O544=$E$7),OR($E$8="(All)",'Master Database'!$P544=$E$8),OR($E$9="(All)",'Master Database'!$S544=$E$9),OR($E$10="(All)",'Master Database'!$Y544&amp;""=$E$10&amp;""),OR($H$5="(All)",'Master Database'!$BG544=$H$5),OR($H$6&lt;&gt;"Y",ISNUMBER('Master Database'!$AG544)),OR($H$7="",AND(ISNUMBER('Master Database'!$H544),N('Master Database'!$H544)&gt;=$H$7)),OR($I$7="",AND(ISNUMBER('Master Database'!$H544),N('Master Database'!$H544)&lt;=$I$7)),OR($H$8="",AND(ISNUMBER('Master Database'!$I544),N('Master Database'!$I544)&gt;=$H$8)),OR($I$8="",AND(ISNUMBER('Master Database'!$I544),N('Master Database'!$I544)&lt;=$I$8)),OR($H$9="",AND(ISNUMBER('Master Database'!$K544),N('Master Database'!$K544)&gt;=$H$9)),OR($I$9="",AND(ISNUMBER('Master Database'!$K544),N('Master Database'!$K544)&lt;=$I$9))),1,0))</f>
        <v>0</v>
      </c>
      <c r="BB544" s="0" t="str">
        <f aca="false">IF(BA544=1,COUNTIF($BA$5:BA544,1),"")</f>
        <v/>
      </c>
    </row>
    <row r="545" customFormat="false" ht="15" hidden="false" customHeight="false" outlineLevel="0" collapsed="false">
      <c r="BA545" s="0" t="n">
        <f aca="false">IF('Master Database'!$A545="",0,IF(AND(OR($B$5="",ISNUMBER(SEARCH($B$5,'Master Database'!$B545&amp;" "&amp;'Master Database'!$D545))),OR($B$6="(All)",'Master Database'!$C545=$B$6),OR($B$7="(All)",'Master Database'!$E545=$B$7),OR($B$8="(All)",'Master Database'!$T545=$B$8),OR($B$9="(All)",'Master Database'!$M545=$B$9),OR($B$10="(All)",'Master Database'!$V545=$B$10),OR($E$5="(All)",'Master Database'!$F545=$E$5),OR($E$6="(All)",'Master Database'!$G545=$E$6),OR($E$7="(All)",'Master Database'!$O545=$E$7),OR($E$8="(All)",'Master Database'!$P545=$E$8),OR($E$9="(All)",'Master Database'!$S545=$E$9),OR($E$10="(All)",'Master Database'!$Y545&amp;""=$E$10&amp;""),OR($H$5="(All)",'Master Database'!$BG545=$H$5),OR($H$6&lt;&gt;"Y",ISNUMBER('Master Database'!$AG545)),OR($H$7="",AND(ISNUMBER('Master Database'!$H545),N('Master Database'!$H545)&gt;=$H$7)),OR($I$7="",AND(ISNUMBER('Master Database'!$H545),N('Master Database'!$H545)&lt;=$I$7)),OR($H$8="",AND(ISNUMBER('Master Database'!$I545),N('Master Database'!$I545)&gt;=$H$8)),OR($I$8="",AND(ISNUMBER('Master Database'!$I545),N('Master Database'!$I545)&lt;=$I$8)),OR($H$9="",AND(ISNUMBER('Master Database'!$K545),N('Master Database'!$K545)&gt;=$H$9)),OR($I$9="",AND(ISNUMBER('Master Database'!$K545),N('Master Database'!$K545)&lt;=$I$9))),1,0))</f>
        <v>0</v>
      </c>
      <c r="BB545" s="0" t="str">
        <f aca="false">IF(BA545=1,COUNTIF($BA$5:BA545,1),"")</f>
        <v/>
      </c>
    </row>
    <row r="546" customFormat="false" ht="15" hidden="false" customHeight="false" outlineLevel="0" collapsed="false">
      <c r="BA546" s="0" t="n">
        <f aca="false">IF('Master Database'!$A546="",0,IF(AND(OR($B$5="",ISNUMBER(SEARCH($B$5,'Master Database'!$B546&amp;" "&amp;'Master Database'!$D546))),OR($B$6="(All)",'Master Database'!$C546=$B$6),OR($B$7="(All)",'Master Database'!$E546=$B$7),OR($B$8="(All)",'Master Database'!$T546=$B$8),OR($B$9="(All)",'Master Database'!$M546=$B$9),OR($B$10="(All)",'Master Database'!$V546=$B$10),OR($E$5="(All)",'Master Database'!$F546=$E$5),OR($E$6="(All)",'Master Database'!$G546=$E$6),OR($E$7="(All)",'Master Database'!$O546=$E$7),OR($E$8="(All)",'Master Database'!$P546=$E$8),OR($E$9="(All)",'Master Database'!$S546=$E$9),OR($E$10="(All)",'Master Database'!$Y546&amp;""=$E$10&amp;""),OR($H$5="(All)",'Master Database'!$BG546=$H$5),OR($H$6&lt;&gt;"Y",ISNUMBER('Master Database'!$AG546)),OR($H$7="",AND(ISNUMBER('Master Database'!$H546),N('Master Database'!$H546)&gt;=$H$7)),OR($I$7="",AND(ISNUMBER('Master Database'!$H546),N('Master Database'!$H546)&lt;=$I$7)),OR($H$8="",AND(ISNUMBER('Master Database'!$I546),N('Master Database'!$I546)&gt;=$H$8)),OR($I$8="",AND(ISNUMBER('Master Database'!$I546),N('Master Database'!$I546)&lt;=$I$8)),OR($H$9="",AND(ISNUMBER('Master Database'!$K546),N('Master Database'!$K546)&gt;=$H$9)),OR($I$9="",AND(ISNUMBER('Master Database'!$K546),N('Master Database'!$K546)&lt;=$I$9))),1,0))</f>
        <v>0</v>
      </c>
      <c r="BB546" s="0" t="str">
        <f aca="false">IF(BA546=1,COUNTIF($BA$5:BA546,1),"")</f>
        <v/>
      </c>
    </row>
    <row r="547" customFormat="false" ht="15" hidden="false" customHeight="false" outlineLevel="0" collapsed="false">
      <c r="BA547" s="0" t="n">
        <f aca="false">IF('Master Database'!$A547="",0,IF(AND(OR($B$5="",ISNUMBER(SEARCH($B$5,'Master Database'!$B547&amp;" "&amp;'Master Database'!$D547))),OR($B$6="(All)",'Master Database'!$C547=$B$6),OR($B$7="(All)",'Master Database'!$E547=$B$7),OR($B$8="(All)",'Master Database'!$T547=$B$8),OR($B$9="(All)",'Master Database'!$M547=$B$9),OR($B$10="(All)",'Master Database'!$V547=$B$10),OR($E$5="(All)",'Master Database'!$F547=$E$5),OR($E$6="(All)",'Master Database'!$G547=$E$6),OR($E$7="(All)",'Master Database'!$O547=$E$7),OR($E$8="(All)",'Master Database'!$P547=$E$8),OR($E$9="(All)",'Master Database'!$S547=$E$9),OR($E$10="(All)",'Master Database'!$Y547&amp;""=$E$10&amp;""),OR($H$5="(All)",'Master Database'!$BG547=$H$5),OR($H$6&lt;&gt;"Y",ISNUMBER('Master Database'!$AG547)),OR($H$7="",AND(ISNUMBER('Master Database'!$H547),N('Master Database'!$H547)&gt;=$H$7)),OR($I$7="",AND(ISNUMBER('Master Database'!$H547),N('Master Database'!$H547)&lt;=$I$7)),OR($H$8="",AND(ISNUMBER('Master Database'!$I547),N('Master Database'!$I547)&gt;=$H$8)),OR($I$8="",AND(ISNUMBER('Master Database'!$I547),N('Master Database'!$I547)&lt;=$I$8)),OR($H$9="",AND(ISNUMBER('Master Database'!$K547),N('Master Database'!$K547)&gt;=$H$9)),OR($I$9="",AND(ISNUMBER('Master Database'!$K547),N('Master Database'!$K547)&lt;=$I$9))),1,0))</f>
        <v>0</v>
      </c>
      <c r="BB547" s="0" t="str">
        <f aca="false">IF(BA547=1,COUNTIF($BA$5:BA547,1),"")</f>
        <v/>
      </c>
    </row>
    <row r="548" customFormat="false" ht="15" hidden="false" customHeight="false" outlineLevel="0" collapsed="false">
      <c r="BA548" s="0" t="n">
        <f aca="false">IF('Master Database'!$A548="",0,IF(AND(OR($B$5="",ISNUMBER(SEARCH($B$5,'Master Database'!$B548&amp;" "&amp;'Master Database'!$D548))),OR($B$6="(All)",'Master Database'!$C548=$B$6),OR($B$7="(All)",'Master Database'!$E548=$B$7),OR($B$8="(All)",'Master Database'!$T548=$B$8),OR($B$9="(All)",'Master Database'!$M548=$B$9),OR($B$10="(All)",'Master Database'!$V548=$B$10),OR($E$5="(All)",'Master Database'!$F548=$E$5),OR($E$6="(All)",'Master Database'!$G548=$E$6),OR($E$7="(All)",'Master Database'!$O548=$E$7),OR($E$8="(All)",'Master Database'!$P548=$E$8),OR($E$9="(All)",'Master Database'!$S548=$E$9),OR($E$10="(All)",'Master Database'!$Y548&amp;""=$E$10&amp;""),OR($H$5="(All)",'Master Database'!$BG548=$H$5),OR($H$6&lt;&gt;"Y",ISNUMBER('Master Database'!$AG548)),OR($H$7="",AND(ISNUMBER('Master Database'!$H548),N('Master Database'!$H548)&gt;=$H$7)),OR($I$7="",AND(ISNUMBER('Master Database'!$H548),N('Master Database'!$H548)&lt;=$I$7)),OR($H$8="",AND(ISNUMBER('Master Database'!$I548),N('Master Database'!$I548)&gt;=$H$8)),OR($I$8="",AND(ISNUMBER('Master Database'!$I548),N('Master Database'!$I548)&lt;=$I$8)),OR($H$9="",AND(ISNUMBER('Master Database'!$K548),N('Master Database'!$K548)&gt;=$H$9)),OR($I$9="",AND(ISNUMBER('Master Database'!$K548),N('Master Database'!$K548)&lt;=$I$9))),1,0))</f>
        <v>0</v>
      </c>
      <c r="BB548" s="0" t="str">
        <f aca="false">IF(BA548=1,COUNTIF($BA$5:BA548,1),"")</f>
        <v/>
      </c>
    </row>
    <row r="549" customFormat="false" ht="15" hidden="false" customHeight="false" outlineLevel="0" collapsed="false">
      <c r="BA549" s="0" t="n">
        <f aca="false">IF('Master Database'!$A549="",0,IF(AND(OR($B$5="",ISNUMBER(SEARCH($B$5,'Master Database'!$B549&amp;" "&amp;'Master Database'!$D549))),OR($B$6="(All)",'Master Database'!$C549=$B$6),OR($B$7="(All)",'Master Database'!$E549=$B$7),OR($B$8="(All)",'Master Database'!$T549=$B$8),OR($B$9="(All)",'Master Database'!$M549=$B$9),OR($B$10="(All)",'Master Database'!$V549=$B$10),OR($E$5="(All)",'Master Database'!$F549=$E$5),OR($E$6="(All)",'Master Database'!$G549=$E$6),OR($E$7="(All)",'Master Database'!$O549=$E$7),OR($E$8="(All)",'Master Database'!$P549=$E$8),OR($E$9="(All)",'Master Database'!$S549=$E$9),OR($E$10="(All)",'Master Database'!$Y549&amp;""=$E$10&amp;""),OR($H$5="(All)",'Master Database'!$BG549=$H$5),OR($H$6&lt;&gt;"Y",ISNUMBER('Master Database'!$AG549)),OR($H$7="",AND(ISNUMBER('Master Database'!$H549),N('Master Database'!$H549)&gt;=$H$7)),OR($I$7="",AND(ISNUMBER('Master Database'!$H549),N('Master Database'!$H549)&lt;=$I$7)),OR($H$8="",AND(ISNUMBER('Master Database'!$I549),N('Master Database'!$I549)&gt;=$H$8)),OR($I$8="",AND(ISNUMBER('Master Database'!$I549),N('Master Database'!$I549)&lt;=$I$8)),OR($H$9="",AND(ISNUMBER('Master Database'!$K549),N('Master Database'!$K549)&gt;=$H$9)),OR($I$9="",AND(ISNUMBER('Master Database'!$K549),N('Master Database'!$K549)&lt;=$I$9))),1,0))</f>
        <v>0</v>
      </c>
      <c r="BB549" s="0" t="str">
        <f aca="false">IF(BA549=1,COUNTIF($BA$5:BA549,1),"")</f>
        <v/>
      </c>
    </row>
    <row r="550" customFormat="false" ht="15" hidden="false" customHeight="false" outlineLevel="0" collapsed="false">
      <c r="BA550" s="0" t="n">
        <f aca="false">IF('Master Database'!$A550="",0,IF(AND(OR($B$5="",ISNUMBER(SEARCH($B$5,'Master Database'!$B550&amp;" "&amp;'Master Database'!$D550))),OR($B$6="(All)",'Master Database'!$C550=$B$6),OR($B$7="(All)",'Master Database'!$E550=$B$7),OR($B$8="(All)",'Master Database'!$T550=$B$8),OR($B$9="(All)",'Master Database'!$M550=$B$9),OR($B$10="(All)",'Master Database'!$V550=$B$10),OR($E$5="(All)",'Master Database'!$F550=$E$5),OR($E$6="(All)",'Master Database'!$G550=$E$6),OR($E$7="(All)",'Master Database'!$O550=$E$7),OR($E$8="(All)",'Master Database'!$P550=$E$8),OR($E$9="(All)",'Master Database'!$S550=$E$9),OR($E$10="(All)",'Master Database'!$Y550&amp;""=$E$10&amp;""),OR($H$5="(All)",'Master Database'!$BG550=$H$5),OR($H$6&lt;&gt;"Y",ISNUMBER('Master Database'!$AG550)),OR($H$7="",AND(ISNUMBER('Master Database'!$H550),N('Master Database'!$H550)&gt;=$H$7)),OR($I$7="",AND(ISNUMBER('Master Database'!$H550),N('Master Database'!$H550)&lt;=$I$7)),OR($H$8="",AND(ISNUMBER('Master Database'!$I550),N('Master Database'!$I550)&gt;=$H$8)),OR($I$8="",AND(ISNUMBER('Master Database'!$I550),N('Master Database'!$I550)&lt;=$I$8)),OR($H$9="",AND(ISNUMBER('Master Database'!$K550),N('Master Database'!$K550)&gt;=$H$9)),OR($I$9="",AND(ISNUMBER('Master Database'!$K550),N('Master Database'!$K550)&lt;=$I$9))),1,0))</f>
        <v>0</v>
      </c>
      <c r="BB550" s="0" t="str">
        <f aca="false">IF(BA550=1,COUNTIF($BA$5:BA550,1),"")</f>
        <v/>
      </c>
    </row>
    <row r="551" customFormat="false" ht="15" hidden="false" customHeight="false" outlineLevel="0" collapsed="false">
      <c r="BA551" s="0" t="n">
        <f aca="false">IF('Master Database'!$A551="",0,IF(AND(OR($B$5="",ISNUMBER(SEARCH($B$5,'Master Database'!$B551&amp;" "&amp;'Master Database'!$D551))),OR($B$6="(All)",'Master Database'!$C551=$B$6),OR($B$7="(All)",'Master Database'!$E551=$B$7),OR($B$8="(All)",'Master Database'!$T551=$B$8),OR($B$9="(All)",'Master Database'!$M551=$B$9),OR($B$10="(All)",'Master Database'!$V551=$B$10),OR($E$5="(All)",'Master Database'!$F551=$E$5),OR($E$6="(All)",'Master Database'!$G551=$E$6),OR($E$7="(All)",'Master Database'!$O551=$E$7),OR($E$8="(All)",'Master Database'!$P551=$E$8),OR($E$9="(All)",'Master Database'!$S551=$E$9),OR($E$10="(All)",'Master Database'!$Y551&amp;""=$E$10&amp;""),OR($H$5="(All)",'Master Database'!$BG551=$H$5),OR($H$6&lt;&gt;"Y",ISNUMBER('Master Database'!$AG551)),OR($H$7="",AND(ISNUMBER('Master Database'!$H551),N('Master Database'!$H551)&gt;=$H$7)),OR($I$7="",AND(ISNUMBER('Master Database'!$H551),N('Master Database'!$H551)&lt;=$I$7)),OR($H$8="",AND(ISNUMBER('Master Database'!$I551),N('Master Database'!$I551)&gt;=$H$8)),OR($I$8="",AND(ISNUMBER('Master Database'!$I551),N('Master Database'!$I551)&lt;=$I$8)),OR($H$9="",AND(ISNUMBER('Master Database'!$K551),N('Master Database'!$K551)&gt;=$H$9)),OR($I$9="",AND(ISNUMBER('Master Database'!$K551),N('Master Database'!$K551)&lt;=$I$9))),1,0))</f>
        <v>0</v>
      </c>
      <c r="BB551" s="0" t="str">
        <f aca="false">IF(BA551=1,COUNTIF($BA$5:BA551,1),"")</f>
        <v/>
      </c>
    </row>
    <row r="552" customFormat="false" ht="15" hidden="false" customHeight="false" outlineLevel="0" collapsed="false">
      <c r="BA552" s="0" t="n">
        <f aca="false">IF('Master Database'!$A552="",0,IF(AND(OR($B$5="",ISNUMBER(SEARCH($B$5,'Master Database'!$B552&amp;" "&amp;'Master Database'!$D552))),OR($B$6="(All)",'Master Database'!$C552=$B$6),OR($B$7="(All)",'Master Database'!$E552=$B$7),OR($B$8="(All)",'Master Database'!$T552=$B$8),OR($B$9="(All)",'Master Database'!$M552=$B$9),OR($B$10="(All)",'Master Database'!$V552=$B$10),OR($E$5="(All)",'Master Database'!$F552=$E$5),OR($E$6="(All)",'Master Database'!$G552=$E$6),OR($E$7="(All)",'Master Database'!$O552=$E$7),OR($E$8="(All)",'Master Database'!$P552=$E$8),OR($E$9="(All)",'Master Database'!$S552=$E$9),OR($E$10="(All)",'Master Database'!$Y552&amp;""=$E$10&amp;""),OR($H$5="(All)",'Master Database'!$BG552=$H$5),OR($H$6&lt;&gt;"Y",ISNUMBER('Master Database'!$AG552)),OR($H$7="",AND(ISNUMBER('Master Database'!$H552),N('Master Database'!$H552)&gt;=$H$7)),OR($I$7="",AND(ISNUMBER('Master Database'!$H552),N('Master Database'!$H552)&lt;=$I$7)),OR($H$8="",AND(ISNUMBER('Master Database'!$I552),N('Master Database'!$I552)&gt;=$H$8)),OR($I$8="",AND(ISNUMBER('Master Database'!$I552),N('Master Database'!$I552)&lt;=$I$8)),OR($H$9="",AND(ISNUMBER('Master Database'!$K552),N('Master Database'!$K552)&gt;=$H$9)),OR($I$9="",AND(ISNUMBER('Master Database'!$K552),N('Master Database'!$K552)&lt;=$I$9))),1,0))</f>
        <v>0</v>
      </c>
      <c r="BB552" s="0" t="str">
        <f aca="false">IF(BA552=1,COUNTIF($BA$5:BA552,1),"")</f>
        <v/>
      </c>
    </row>
    <row r="553" customFormat="false" ht="15" hidden="false" customHeight="false" outlineLevel="0" collapsed="false">
      <c r="BA553" s="0" t="n">
        <f aca="false">IF('Master Database'!$A553="",0,IF(AND(OR($B$5="",ISNUMBER(SEARCH($B$5,'Master Database'!$B553&amp;" "&amp;'Master Database'!$D553))),OR($B$6="(All)",'Master Database'!$C553=$B$6),OR($B$7="(All)",'Master Database'!$E553=$B$7),OR($B$8="(All)",'Master Database'!$T553=$B$8),OR($B$9="(All)",'Master Database'!$M553=$B$9),OR($B$10="(All)",'Master Database'!$V553=$B$10),OR($E$5="(All)",'Master Database'!$F553=$E$5),OR($E$6="(All)",'Master Database'!$G553=$E$6),OR($E$7="(All)",'Master Database'!$O553=$E$7),OR($E$8="(All)",'Master Database'!$P553=$E$8),OR($E$9="(All)",'Master Database'!$S553=$E$9),OR($E$10="(All)",'Master Database'!$Y553&amp;""=$E$10&amp;""),OR($H$5="(All)",'Master Database'!$BG553=$H$5),OR($H$6&lt;&gt;"Y",ISNUMBER('Master Database'!$AG553)),OR($H$7="",AND(ISNUMBER('Master Database'!$H553),N('Master Database'!$H553)&gt;=$H$7)),OR($I$7="",AND(ISNUMBER('Master Database'!$H553),N('Master Database'!$H553)&lt;=$I$7)),OR($H$8="",AND(ISNUMBER('Master Database'!$I553),N('Master Database'!$I553)&gt;=$H$8)),OR($I$8="",AND(ISNUMBER('Master Database'!$I553),N('Master Database'!$I553)&lt;=$I$8)),OR($H$9="",AND(ISNUMBER('Master Database'!$K553),N('Master Database'!$K553)&gt;=$H$9)),OR($I$9="",AND(ISNUMBER('Master Database'!$K553),N('Master Database'!$K553)&lt;=$I$9))),1,0))</f>
        <v>0</v>
      </c>
      <c r="BB553" s="0" t="str">
        <f aca="false">IF(BA553=1,COUNTIF($BA$5:BA553,1),"")</f>
        <v/>
      </c>
    </row>
    <row r="554" customFormat="false" ht="15" hidden="false" customHeight="false" outlineLevel="0" collapsed="false">
      <c r="BA554" s="0" t="n">
        <f aca="false">IF('Master Database'!$A554="",0,IF(AND(OR($B$5="",ISNUMBER(SEARCH($B$5,'Master Database'!$B554&amp;" "&amp;'Master Database'!$D554))),OR($B$6="(All)",'Master Database'!$C554=$B$6),OR($B$7="(All)",'Master Database'!$E554=$B$7),OR($B$8="(All)",'Master Database'!$T554=$B$8),OR($B$9="(All)",'Master Database'!$M554=$B$9),OR($B$10="(All)",'Master Database'!$V554=$B$10),OR($E$5="(All)",'Master Database'!$F554=$E$5),OR($E$6="(All)",'Master Database'!$G554=$E$6),OR($E$7="(All)",'Master Database'!$O554=$E$7),OR($E$8="(All)",'Master Database'!$P554=$E$8),OR($E$9="(All)",'Master Database'!$S554=$E$9),OR($E$10="(All)",'Master Database'!$Y554&amp;""=$E$10&amp;""),OR($H$5="(All)",'Master Database'!$BG554=$H$5),OR($H$6&lt;&gt;"Y",ISNUMBER('Master Database'!$AG554)),OR($H$7="",AND(ISNUMBER('Master Database'!$H554),N('Master Database'!$H554)&gt;=$H$7)),OR($I$7="",AND(ISNUMBER('Master Database'!$H554),N('Master Database'!$H554)&lt;=$I$7)),OR($H$8="",AND(ISNUMBER('Master Database'!$I554),N('Master Database'!$I554)&gt;=$H$8)),OR($I$8="",AND(ISNUMBER('Master Database'!$I554),N('Master Database'!$I554)&lt;=$I$8)),OR($H$9="",AND(ISNUMBER('Master Database'!$K554),N('Master Database'!$K554)&gt;=$H$9)),OR($I$9="",AND(ISNUMBER('Master Database'!$K554),N('Master Database'!$K554)&lt;=$I$9))),1,0))</f>
        <v>0</v>
      </c>
      <c r="BB554" s="0" t="str">
        <f aca="false">IF(BA554=1,COUNTIF($BA$5:BA554,1),"")</f>
        <v/>
      </c>
    </row>
    <row r="555" customFormat="false" ht="15" hidden="false" customHeight="false" outlineLevel="0" collapsed="false">
      <c r="BA555" s="0" t="n">
        <f aca="false">IF('Master Database'!$A555="",0,IF(AND(OR($B$5="",ISNUMBER(SEARCH($B$5,'Master Database'!$B555&amp;" "&amp;'Master Database'!$D555))),OR($B$6="(All)",'Master Database'!$C555=$B$6),OR($B$7="(All)",'Master Database'!$E555=$B$7),OR($B$8="(All)",'Master Database'!$T555=$B$8),OR($B$9="(All)",'Master Database'!$M555=$B$9),OR($B$10="(All)",'Master Database'!$V555=$B$10),OR($E$5="(All)",'Master Database'!$F555=$E$5),OR($E$6="(All)",'Master Database'!$G555=$E$6),OR($E$7="(All)",'Master Database'!$O555=$E$7),OR($E$8="(All)",'Master Database'!$P555=$E$8),OR($E$9="(All)",'Master Database'!$S555=$E$9),OR($E$10="(All)",'Master Database'!$Y555&amp;""=$E$10&amp;""),OR($H$5="(All)",'Master Database'!$BG555=$H$5),OR($H$6&lt;&gt;"Y",ISNUMBER('Master Database'!$AG555)),OR($H$7="",AND(ISNUMBER('Master Database'!$H555),N('Master Database'!$H555)&gt;=$H$7)),OR($I$7="",AND(ISNUMBER('Master Database'!$H555),N('Master Database'!$H555)&lt;=$I$7)),OR($H$8="",AND(ISNUMBER('Master Database'!$I555),N('Master Database'!$I555)&gt;=$H$8)),OR($I$8="",AND(ISNUMBER('Master Database'!$I555),N('Master Database'!$I555)&lt;=$I$8)),OR($H$9="",AND(ISNUMBER('Master Database'!$K555),N('Master Database'!$K555)&gt;=$H$9)),OR($I$9="",AND(ISNUMBER('Master Database'!$K555),N('Master Database'!$K555)&lt;=$I$9))),1,0))</f>
        <v>0</v>
      </c>
      <c r="BB555" s="0" t="str">
        <f aca="false">IF(BA555=1,COUNTIF($BA$5:BA555,1),"")</f>
        <v/>
      </c>
    </row>
    <row r="556" customFormat="false" ht="15" hidden="false" customHeight="false" outlineLevel="0" collapsed="false">
      <c r="BA556" s="0" t="n">
        <f aca="false">IF('Master Database'!$A556="",0,IF(AND(OR($B$5="",ISNUMBER(SEARCH($B$5,'Master Database'!$B556&amp;" "&amp;'Master Database'!$D556))),OR($B$6="(All)",'Master Database'!$C556=$B$6),OR($B$7="(All)",'Master Database'!$E556=$B$7),OR($B$8="(All)",'Master Database'!$T556=$B$8),OR($B$9="(All)",'Master Database'!$M556=$B$9),OR($B$10="(All)",'Master Database'!$V556=$B$10),OR($E$5="(All)",'Master Database'!$F556=$E$5),OR($E$6="(All)",'Master Database'!$G556=$E$6),OR($E$7="(All)",'Master Database'!$O556=$E$7),OR($E$8="(All)",'Master Database'!$P556=$E$8),OR($E$9="(All)",'Master Database'!$S556=$E$9),OR($E$10="(All)",'Master Database'!$Y556&amp;""=$E$10&amp;""),OR($H$5="(All)",'Master Database'!$BG556=$H$5),OR($H$6&lt;&gt;"Y",ISNUMBER('Master Database'!$AG556)),OR($H$7="",AND(ISNUMBER('Master Database'!$H556),N('Master Database'!$H556)&gt;=$H$7)),OR($I$7="",AND(ISNUMBER('Master Database'!$H556),N('Master Database'!$H556)&lt;=$I$7)),OR($H$8="",AND(ISNUMBER('Master Database'!$I556),N('Master Database'!$I556)&gt;=$H$8)),OR($I$8="",AND(ISNUMBER('Master Database'!$I556),N('Master Database'!$I556)&lt;=$I$8)),OR($H$9="",AND(ISNUMBER('Master Database'!$K556),N('Master Database'!$K556)&gt;=$H$9)),OR($I$9="",AND(ISNUMBER('Master Database'!$K556),N('Master Database'!$K556)&lt;=$I$9))),1,0))</f>
        <v>0</v>
      </c>
      <c r="BB556" s="0" t="str">
        <f aca="false">IF(BA556=1,COUNTIF($BA$5:BA556,1),"")</f>
        <v/>
      </c>
    </row>
    <row r="557" customFormat="false" ht="15" hidden="false" customHeight="false" outlineLevel="0" collapsed="false">
      <c r="BA557" s="0" t="n">
        <f aca="false">IF('Master Database'!$A557="",0,IF(AND(OR($B$5="",ISNUMBER(SEARCH($B$5,'Master Database'!$B557&amp;" "&amp;'Master Database'!$D557))),OR($B$6="(All)",'Master Database'!$C557=$B$6),OR($B$7="(All)",'Master Database'!$E557=$B$7),OR($B$8="(All)",'Master Database'!$T557=$B$8),OR($B$9="(All)",'Master Database'!$M557=$B$9),OR($B$10="(All)",'Master Database'!$V557=$B$10),OR($E$5="(All)",'Master Database'!$F557=$E$5),OR($E$6="(All)",'Master Database'!$G557=$E$6),OR($E$7="(All)",'Master Database'!$O557=$E$7),OR($E$8="(All)",'Master Database'!$P557=$E$8),OR($E$9="(All)",'Master Database'!$S557=$E$9),OR($E$10="(All)",'Master Database'!$Y557&amp;""=$E$10&amp;""),OR($H$5="(All)",'Master Database'!$BG557=$H$5),OR($H$6&lt;&gt;"Y",ISNUMBER('Master Database'!$AG557)),OR($H$7="",AND(ISNUMBER('Master Database'!$H557),N('Master Database'!$H557)&gt;=$H$7)),OR($I$7="",AND(ISNUMBER('Master Database'!$H557),N('Master Database'!$H557)&lt;=$I$7)),OR($H$8="",AND(ISNUMBER('Master Database'!$I557),N('Master Database'!$I557)&gt;=$H$8)),OR($I$8="",AND(ISNUMBER('Master Database'!$I557),N('Master Database'!$I557)&lt;=$I$8)),OR($H$9="",AND(ISNUMBER('Master Database'!$K557),N('Master Database'!$K557)&gt;=$H$9)),OR($I$9="",AND(ISNUMBER('Master Database'!$K557),N('Master Database'!$K557)&lt;=$I$9))),1,0))</f>
        <v>0</v>
      </c>
      <c r="BB557" s="0" t="str">
        <f aca="false">IF(BA557=1,COUNTIF($BA$5:BA557,1),"")</f>
        <v/>
      </c>
    </row>
    <row r="558" customFormat="false" ht="15" hidden="false" customHeight="false" outlineLevel="0" collapsed="false">
      <c r="BA558" s="0" t="n">
        <f aca="false">IF('Master Database'!$A558="",0,IF(AND(OR($B$5="",ISNUMBER(SEARCH($B$5,'Master Database'!$B558&amp;" "&amp;'Master Database'!$D558))),OR($B$6="(All)",'Master Database'!$C558=$B$6),OR($B$7="(All)",'Master Database'!$E558=$B$7),OR($B$8="(All)",'Master Database'!$T558=$B$8),OR($B$9="(All)",'Master Database'!$M558=$B$9),OR($B$10="(All)",'Master Database'!$V558=$B$10),OR($E$5="(All)",'Master Database'!$F558=$E$5),OR($E$6="(All)",'Master Database'!$G558=$E$6),OR($E$7="(All)",'Master Database'!$O558=$E$7),OR($E$8="(All)",'Master Database'!$P558=$E$8),OR($E$9="(All)",'Master Database'!$S558=$E$9),OR($E$10="(All)",'Master Database'!$Y558&amp;""=$E$10&amp;""),OR($H$5="(All)",'Master Database'!$BG558=$H$5),OR($H$6&lt;&gt;"Y",ISNUMBER('Master Database'!$AG558)),OR($H$7="",AND(ISNUMBER('Master Database'!$H558),N('Master Database'!$H558)&gt;=$H$7)),OR($I$7="",AND(ISNUMBER('Master Database'!$H558),N('Master Database'!$H558)&lt;=$I$7)),OR($H$8="",AND(ISNUMBER('Master Database'!$I558),N('Master Database'!$I558)&gt;=$H$8)),OR($I$8="",AND(ISNUMBER('Master Database'!$I558),N('Master Database'!$I558)&lt;=$I$8)),OR($H$9="",AND(ISNUMBER('Master Database'!$K558),N('Master Database'!$K558)&gt;=$H$9)),OR($I$9="",AND(ISNUMBER('Master Database'!$K558),N('Master Database'!$K558)&lt;=$I$9))),1,0))</f>
        <v>0</v>
      </c>
      <c r="BB558" s="0" t="str">
        <f aca="false">IF(BA558=1,COUNTIF($BA$5:BA558,1),"")</f>
        <v/>
      </c>
    </row>
    <row r="559" customFormat="false" ht="15" hidden="false" customHeight="false" outlineLevel="0" collapsed="false">
      <c r="BA559" s="0" t="n">
        <f aca="false">IF('Master Database'!$A559="",0,IF(AND(OR($B$5="",ISNUMBER(SEARCH($B$5,'Master Database'!$B559&amp;" "&amp;'Master Database'!$D559))),OR($B$6="(All)",'Master Database'!$C559=$B$6),OR($B$7="(All)",'Master Database'!$E559=$B$7),OR($B$8="(All)",'Master Database'!$T559=$B$8),OR($B$9="(All)",'Master Database'!$M559=$B$9),OR($B$10="(All)",'Master Database'!$V559=$B$10),OR($E$5="(All)",'Master Database'!$F559=$E$5),OR($E$6="(All)",'Master Database'!$G559=$E$6),OR($E$7="(All)",'Master Database'!$O559=$E$7),OR($E$8="(All)",'Master Database'!$P559=$E$8),OR($E$9="(All)",'Master Database'!$S559=$E$9),OR($E$10="(All)",'Master Database'!$Y559&amp;""=$E$10&amp;""),OR($H$5="(All)",'Master Database'!$BG559=$H$5),OR($H$6&lt;&gt;"Y",ISNUMBER('Master Database'!$AG559)),OR($H$7="",AND(ISNUMBER('Master Database'!$H559),N('Master Database'!$H559)&gt;=$H$7)),OR($I$7="",AND(ISNUMBER('Master Database'!$H559),N('Master Database'!$H559)&lt;=$I$7)),OR($H$8="",AND(ISNUMBER('Master Database'!$I559),N('Master Database'!$I559)&gt;=$H$8)),OR($I$8="",AND(ISNUMBER('Master Database'!$I559),N('Master Database'!$I559)&lt;=$I$8)),OR($H$9="",AND(ISNUMBER('Master Database'!$K559),N('Master Database'!$K559)&gt;=$H$9)),OR($I$9="",AND(ISNUMBER('Master Database'!$K559),N('Master Database'!$K559)&lt;=$I$9))),1,0))</f>
        <v>0</v>
      </c>
      <c r="BB559" s="0" t="str">
        <f aca="false">IF(BA559=1,COUNTIF($BA$5:BA559,1),"")</f>
        <v/>
      </c>
    </row>
    <row r="560" customFormat="false" ht="15" hidden="false" customHeight="false" outlineLevel="0" collapsed="false">
      <c r="BA560" s="0" t="n">
        <f aca="false">IF('Master Database'!$A560="",0,IF(AND(OR($B$5="",ISNUMBER(SEARCH($B$5,'Master Database'!$B560&amp;" "&amp;'Master Database'!$D560))),OR($B$6="(All)",'Master Database'!$C560=$B$6),OR($B$7="(All)",'Master Database'!$E560=$B$7),OR($B$8="(All)",'Master Database'!$T560=$B$8),OR($B$9="(All)",'Master Database'!$M560=$B$9),OR($B$10="(All)",'Master Database'!$V560=$B$10),OR($E$5="(All)",'Master Database'!$F560=$E$5),OR($E$6="(All)",'Master Database'!$G560=$E$6),OR($E$7="(All)",'Master Database'!$O560=$E$7),OR($E$8="(All)",'Master Database'!$P560=$E$8),OR($E$9="(All)",'Master Database'!$S560=$E$9),OR($E$10="(All)",'Master Database'!$Y560&amp;""=$E$10&amp;""),OR($H$5="(All)",'Master Database'!$BG560=$H$5),OR($H$6&lt;&gt;"Y",ISNUMBER('Master Database'!$AG560)),OR($H$7="",AND(ISNUMBER('Master Database'!$H560),N('Master Database'!$H560)&gt;=$H$7)),OR($I$7="",AND(ISNUMBER('Master Database'!$H560),N('Master Database'!$H560)&lt;=$I$7)),OR($H$8="",AND(ISNUMBER('Master Database'!$I560),N('Master Database'!$I560)&gt;=$H$8)),OR($I$8="",AND(ISNUMBER('Master Database'!$I560),N('Master Database'!$I560)&lt;=$I$8)),OR($H$9="",AND(ISNUMBER('Master Database'!$K560),N('Master Database'!$K560)&gt;=$H$9)),OR($I$9="",AND(ISNUMBER('Master Database'!$K560),N('Master Database'!$K560)&lt;=$I$9))),1,0))</f>
        <v>0</v>
      </c>
      <c r="BB560" s="0" t="str">
        <f aca="false">IF(BA560=1,COUNTIF($BA$5:BA560,1),"")</f>
        <v/>
      </c>
    </row>
    <row r="561" customFormat="false" ht="15" hidden="false" customHeight="false" outlineLevel="0" collapsed="false">
      <c r="BA561" s="0" t="n">
        <f aca="false">IF('Master Database'!$A561="",0,IF(AND(OR($B$5="",ISNUMBER(SEARCH($B$5,'Master Database'!$B561&amp;" "&amp;'Master Database'!$D561))),OR($B$6="(All)",'Master Database'!$C561=$B$6),OR($B$7="(All)",'Master Database'!$E561=$B$7),OR($B$8="(All)",'Master Database'!$T561=$B$8),OR($B$9="(All)",'Master Database'!$M561=$B$9),OR($B$10="(All)",'Master Database'!$V561=$B$10),OR($E$5="(All)",'Master Database'!$F561=$E$5),OR($E$6="(All)",'Master Database'!$G561=$E$6),OR($E$7="(All)",'Master Database'!$O561=$E$7),OR($E$8="(All)",'Master Database'!$P561=$E$8),OR($E$9="(All)",'Master Database'!$S561=$E$9),OR($E$10="(All)",'Master Database'!$Y561&amp;""=$E$10&amp;""),OR($H$5="(All)",'Master Database'!$BG561=$H$5),OR($H$6&lt;&gt;"Y",ISNUMBER('Master Database'!$AG561)),OR($H$7="",AND(ISNUMBER('Master Database'!$H561),N('Master Database'!$H561)&gt;=$H$7)),OR($I$7="",AND(ISNUMBER('Master Database'!$H561),N('Master Database'!$H561)&lt;=$I$7)),OR($H$8="",AND(ISNUMBER('Master Database'!$I561),N('Master Database'!$I561)&gt;=$H$8)),OR($I$8="",AND(ISNUMBER('Master Database'!$I561),N('Master Database'!$I561)&lt;=$I$8)),OR($H$9="",AND(ISNUMBER('Master Database'!$K561),N('Master Database'!$K561)&gt;=$H$9)),OR($I$9="",AND(ISNUMBER('Master Database'!$K561),N('Master Database'!$K561)&lt;=$I$9))),1,0))</f>
        <v>0</v>
      </c>
      <c r="BB561" s="0" t="str">
        <f aca="false">IF(BA561=1,COUNTIF($BA$5:BA561,1),"")</f>
        <v/>
      </c>
    </row>
    <row r="562" customFormat="false" ht="15" hidden="false" customHeight="false" outlineLevel="0" collapsed="false">
      <c r="BA562" s="0" t="n">
        <f aca="false">IF('Master Database'!$A562="",0,IF(AND(OR($B$5="",ISNUMBER(SEARCH($B$5,'Master Database'!$B562&amp;" "&amp;'Master Database'!$D562))),OR($B$6="(All)",'Master Database'!$C562=$B$6),OR($B$7="(All)",'Master Database'!$E562=$B$7),OR($B$8="(All)",'Master Database'!$T562=$B$8),OR($B$9="(All)",'Master Database'!$M562=$B$9),OR($B$10="(All)",'Master Database'!$V562=$B$10),OR($E$5="(All)",'Master Database'!$F562=$E$5),OR($E$6="(All)",'Master Database'!$G562=$E$6),OR($E$7="(All)",'Master Database'!$O562=$E$7),OR($E$8="(All)",'Master Database'!$P562=$E$8),OR($E$9="(All)",'Master Database'!$S562=$E$9),OR($E$10="(All)",'Master Database'!$Y562&amp;""=$E$10&amp;""),OR($H$5="(All)",'Master Database'!$BG562=$H$5),OR($H$6&lt;&gt;"Y",ISNUMBER('Master Database'!$AG562)),OR($H$7="",AND(ISNUMBER('Master Database'!$H562),N('Master Database'!$H562)&gt;=$H$7)),OR($I$7="",AND(ISNUMBER('Master Database'!$H562),N('Master Database'!$H562)&lt;=$I$7)),OR($H$8="",AND(ISNUMBER('Master Database'!$I562),N('Master Database'!$I562)&gt;=$H$8)),OR($I$8="",AND(ISNUMBER('Master Database'!$I562),N('Master Database'!$I562)&lt;=$I$8)),OR($H$9="",AND(ISNUMBER('Master Database'!$K562),N('Master Database'!$K562)&gt;=$H$9)),OR($I$9="",AND(ISNUMBER('Master Database'!$K562),N('Master Database'!$K562)&lt;=$I$9))),1,0))</f>
        <v>0</v>
      </c>
      <c r="BB562" s="0" t="str">
        <f aca="false">IF(BA562=1,COUNTIF($BA$5:BA562,1),"")</f>
        <v/>
      </c>
    </row>
    <row r="563" customFormat="false" ht="15" hidden="false" customHeight="false" outlineLevel="0" collapsed="false">
      <c r="BA563" s="0" t="n">
        <f aca="false">IF('Master Database'!$A563="",0,IF(AND(OR($B$5="",ISNUMBER(SEARCH($B$5,'Master Database'!$B563&amp;" "&amp;'Master Database'!$D563))),OR($B$6="(All)",'Master Database'!$C563=$B$6),OR($B$7="(All)",'Master Database'!$E563=$B$7),OR($B$8="(All)",'Master Database'!$T563=$B$8),OR($B$9="(All)",'Master Database'!$M563=$B$9),OR($B$10="(All)",'Master Database'!$V563=$B$10),OR($E$5="(All)",'Master Database'!$F563=$E$5),OR($E$6="(All)",'Master Database'!$G563=$E$6),OR($E$7="(All)",'Master Database'!$O563=$E$7),OR($E$8="(All)",'Master Database'!$P563=$E$8),OR($E$9="(All)",'Master Database'!$S563=$E$9),OR($E$10="(All)",'Master Database'!$Y563&amp;""=$E$10&amp;""),OR($H$5="(All)",'Master Database'!$BG563=$H$5),OR($H$6&lt;&gt;"Y",ISNUMBER('Master Database'!$AG563)),OR($H$7="",AND(ISNUMBER('Master Database'!$H563),N('Master Database'!$H563)&gt;=$H$7)),OR($I$7="",AND(ISNUMBER('Master Database'!$H563),N('Master Database'!$H563)&lt;=$I$7)),OR($H$8="",AND(ISNUMBER('Master Database'!$I563),N('Master Database'!$I563)&gt;=$H$8)),OR($I$8="",AND(ISNUMBER('Master Database'!$I563),N('Master Database'!$I563)&lt;=$I$8)),OR($H$9="",AND(ISNUMBER('Master Database'!$K563),N('Master Database'!$K563)&gt;=$H$9)),OR($I$9="",AND(ISNUMBER('Master Database'!$K563),N('Master Database'!$K563)&lt;=$I$9))),1,0))</f>
        <v>0</v>
      </c>
      <c r="BB563" s="0" t="str">
        <f aca="false">IF(BA563=1,COUNTIF($BA$5:BA563,1),"")</f>
        <v/>
      </c>
    </row>
    <row r="564" customFormat="false" ht="15" hidden="false" customHeight="false" outlineLevel="0" collapsed="false">
      <c r="BA564" s="0" t="n">
        <f aca="false">IF('Master Database'!$A564="",0,IF(AND(OR($B$5="",ISNUMBER(SEARCH($B$5,'Master Database'!$B564&amp;" "&amp;'Master Database'!$D564))),OR($B$6="(All)",'Master Database'!$C564=$B$6),OR($B$7="(All)",'Master Database'!$E564=$B$7),OR($B$8="(All)",'Master Database'!$T564=$B$8),OR($B$9="(All)",'Master Database'!$M564=$B$9),OR($B$10="(All)",'Master Database'!$V564=$B$10),OR($E$5="(All)",'Master Database'!$F564=$E$5),OR($E$6="(All)",'Master Database'!$G564=$E$6),OR($E$7="(All)",'Master Database'!$O564=$E$7),OR($E$8="(All)",'Master Database'!$P564=$E$8),OR($E$9="(All)",'Master Database'!$S564=$E$9),OR($E$10="(All)",'Master Database'!$Y564&amp;""=$E$10&amp;""),OR($H$5="(All)",'Master Database'!$BG564=$H$5),OR($H$6&lt;&gt;"Y",ISNUMBER('Master Database'!$AG564)),OR($H$7="",AND(ISNUMBER('Master Database'!$H564),N('Master Database'!$H564)&gt;=$H$7)),OR($I$7="",AND(ISNUMBER('Master Database'!$H564),N('Master Database'!$H564)&lt;=$I$7)),OR($H$8="",AND(ISNUMBER('Master Database'!$I564),N('Master Database'!$I564)&gt;=$H$8)),OR($I$8="",AND(ISNUMBER('Master Database'!$I564),N('Master Database'!$I564)&lt;=$I$8)),OR($H$9="",AND(ISNUMBER('Master Database'!$K564),N('Master Database'!$K564)&gt;=$H$9)),OR($I$9="",AND(ISNUMBER('Master Database'!$K564),N('Master Database'!$K564)&lt;=$I$9))),1,0))</f>
        <v>0</v>
      </c>
      <c r="BB564" s="0" t="str">
        <f aca="false">IF(BA564=1,COUNTIF($BA$5:BA564,1),"")</f>
        <v/>
      </c>
    </row>
    <row r="565" customFormat="false" ht="15" hidden="false" customHeight="false" outlineLevel="0" collapsed="false">
      <c r="BA565" s="0" t="n">
        <f aca="false">IF('Master Database'!$A565="",0,IF(AND(OR($B$5="",ISNUMBER(SEARCH($B$5,'Master Database'!$B565&amp;" "&amp;'Master Database'!$D565))),OR($B$6="(All)",'Master Database'!$C565=$B$6),OR($B$7="(All)",'Master Database'!$E565=$B$7),OR($B$8="(All)",'Master Database'!$T565=$B$8),OR($B$9="(All)",'Master Database'!$M565=$B$9),OR($B$10="(All)",'Master Database'!$V565=$B$10),OR($E$5="(All)",'Master Database'!$F565=$E$5),OR($E$6="(All)",'Master Database'!$G565=$E$6),OR($E$7="(All)",'Master Database'!$O565=$E$7),OR($E$8="(All)",'Master Database'!$P565=$E$8),OR($E$9="(All)",'Master Database'!$S565=$E$9),OR($E$10="(All)",'Master Database'!$Y565&amp;""=$E$10&amp;""),OR($H$5="(All)",'Master Database'!$BG565=$H$5),OR($H$6&lt;&gt;"Y",ISNUMBER('Master Database'!$AG565)),OR($H$7="",AND(ISNUMBER('Master Database'!$H565),N('Master Database'!$H565)&gt;=$H$7)),OR($I$7="",AND(ISNUMBER('Master Database'!$H565),N('Master Database'!$H565)&lt;=$I$7)),OR($H$8="",AND(ISNUMBER('Master Database'!$I565),N('Master Database'!$I565)&gt;=$H$8)),OR($I$8="",AND(ISNUMBER('Master Database'!$I565),N('Master Database'!$I565)&lt;=$I$8)),OR($H$9="",AND(ISNUMBER('Master Database'!$K565),N('Master Database'!$K565)&gt;=$H$9)),OR($I$9="",AND(ISNUMBER('Master Database'!$K565),N('Master Database'!$K565)&lt;=$I$9))),1,0))</f>
        <v>0</v>
      </c>
      <c r="BB565" s="0" t="str">
        <f aca="false">IF(BA565=1,COUNTIF($BA$5:BA565,1),"")</f>
        <v/>
      </c>
    </row>
    <row r="566" customFormat="false" ht="15" hidden="false" customHeight="false" outlineLevel="0" collapsed="false">
      <c r="BA566" s="0" t="n">
        <f aca="false">IF('Master Database'!$A566="",0,IF(AND(OR($B$5="",ISNUMBER(SEARCH($B$5,'Master Database'!$B566&amp;" "&amp;'Master Database'!$D566))),OR($B$6="(All)",'Master Database'!$C566=$B$6),OR($B$7="(All)",'Master Database'!$E566=$B$7),OR($B$8="(All)",'Master Database'!$T566=$B$8),OR($B$9="(All)",'Master Database'!$M566=$B$9),OR($B$10="(All)",'Master Database'!$V566=$B$10),OR($E$5="(All)",'Master Database'!$F566=$E$5),OR($E$6="(All)",'Master Database'!$G566=$E$6),OR($E$7="(All)",'Master Database'!$O566=$E$7),OR($E$8="(All)",'Master Database'!$P566=$E$8),OR($E$9="(All)",'Master Database'!$S566=$E$9),OR($E$10="(All)",'Master Database'!$Y566&amp;""=$E$10&amp;""),OR($H$5="(All)",'Master Database'!$BG566=$H$5),OR($H$6&lt;&gt;"Y",ISNUMBER('Master Database'!$AG566)),OR($H$7="",AND(ISNUMBER('Master Database'!$H566),N('Master Database'!$H566)&gt;=$H$7)),OR($I$7="",AND(ISNUMBER('Master Database'!$H566),N('Master Database'!$H566)&lt;=$I$7)),OR($H$8="",AND(ISNUMBER('Master Database'!$I566),N('Master Database'!$I566)&gt;=$H$8)),OR($I$8="",AND(ISNUMBER('Master Database'!$I566),N('Master Database'!$I566)&lt;=$I$8)),OR($H$9="",AND(ISNUMBER('Master Database'!$K566),N('Master Database'!$K566)&gt;=$H$9)),OR($I$9="",AND(ISNUMBER('Master Database'!$K566),N('Master Database'!$K566)&lt;=$I$9))),1,0))</f>
        <v>0</v>
      </c>
      <c r="BB566" s="0" t="str">
        <f aca="false">IF(BA566=1,COUNTIF($BA$5:BA566,1),"")</f>
        <v/>
      </c>
    </row>
    <row r="567" customFormat="false" ht="15" hidden="false" customHeight="false" outlineLevel="0" collapsed="false">
      <c r="BA567" s="0" t="n">
        <f aca="false">IF('Master Database'!$A567="",0,IF(AND(OR($B$5="",ISNUMBER(SEARCH($B$5,'Master Database'!$B567&amp;" "&amp;'Master Database'!$D567))),OR($B$6="(All)",'Master Database'!$C567=$B$6),OR($B$7="(All)",'Master Database'!$E567=$B$7),OR($B$8="(All)",'Master Database'!$T567=$B$8),OR($B$9="(All)",'Master Database'!$M567=$B$9),OR($B$10="(All)",'Master Database'!$V567=$B$10),OR($E$5="(All)",'Master Database'!$F567=$E$5),OR($E$6="(All)",'Master Database'!$G567=$E$6),OR($E$7="(All)",'Master Database'!$O567=$E$7),OR($E$8="(All)",'Master Database'!$P567=$E$8),OR($E$9="(All)",'Master Database'!$S567=$E$9),OR($E$10="(All)",'Master Database'!$Y567&amp;""=$E$10&amp;""),OR($H$5="(All)",'Master Database'!$BG567=$H$5),OR($H$6&lt;&gt;"Y",ISNUMBER('Master Database'!$AG567)),OR($H$7="",AND(ISNUMBER('Master Database'!$H567),N('Master Database'!$H567)&gt;=$H$7)),OR($I$7="",AND(ISNUMBER('Master Database'!$H567),N('Master Database'!$H567)&lt;=$I$7)),OR($H$8="",AND(ISNUMBER('Master Database'!$I567),N('Master Database'!$I567)&gt;=$H$8)),OR($I$8="",AND(ISNUMBER('Master Database'!$I567),N('Master Database'!$I567)&lt;=$I$8)),OR($H$9="",AND(ISNUMBER('Master Database'!$K567),N('Master Database'!$K567)&gt;=$H$9)),OR($I$9="",AND(ISNUMBER('Master Database'!$K567),N('Master Database'!$K567)&lt;=$I$9))),1,0))</f>
        <v>0</v>
      </c>
      <c r="BB567" s="0" t="str">
        <f aca="false">IF(BA567=1,COUNTIF($BA$5:BA567,1),"")</f>
        <v/>
      </c>
    </row>
    <row r="568" customFormat="false" ht="15" hidden="false" customHeight="false" outlineLevel="0" collapsed="false">
      <c r="BA568" s="0" t="n">
        <f aca="false">IF('Master Database'!$A568="",0,IF(AND(OR($B$5="",ISNUMBER(SEARCH($B$5,'Master Database'!$B568&amp;" "&amp;'Master Database'!$D568))),OR($B$6="(All)",'Master Database'!$C568=$B$6),OR($B$7="(All)",'Master Database'!$E568=$B$7),OR($B$8="(All)",'Master Database'!$T568=$B$8),OR($B$9="(All)",'Master Database'!$M568=$B$9),OR($B$10="(All)",'Master Database'!$V568=$B$10),OR($E$5="(All)",'Master Database'!$F568=$E$5),OR($E$6="(All)",'Master Database'!$G568=$E$6),OR($E$7="(All)",'Master Database'!$O568=$E$7),OR($E$8="(All)",'Master Database'!$P568=$E$8),OR($E$9="(All)",'Master Database'!$S568=$E$9),OR($E$10="(All)",'Master Database'!$Y568&amp;""=$E$10&amp;""),OR($H$5="(All)",'Master Database'!$BG568=$H$5),OR($H$6&lt;&gt;"Y",ISNUMBER('Master Database'!$AG568)),OR($H$7="",AND(ISNUMBER('Master Database'!$H568),N('Master Database'!$H568)&gt;=$H$7)),OR($I$7="",AND(ISNUMBER('Master Database'!$H568),N('Master Database'!$H568)&lt;=$I$7)),OR($H$8="",AND(ISNUMBER('Master Database'!$I568),N('Master Database'!$I568)&gt;=$H$8)),OR($I$8="",AND(ISNUMBER('Master Database'!$I568),N('Master Database'!$I568)&lt;=$I$8)),OR($H$9="",AND(ISNUMBER('Master Database'!$K568),N('Master Database'!$K568)&gt;=$H$9)),OR($I$9="",AND(ISNUMBER('Master Database'!$K568),N('Master Database'!$K568)&lt;=$I$9))),1,0))</f>
        <v>0</v>
      </c>
      <c r="BB568" s="0" t="str">
        <f aca="false">IF(BA568=1,COUNTIF($BA$5:BA568,1),"")</f>
        <v/>
      </c>
    </row>
    <row r="569" customFormat="false" ht="15" hidden="false" customHeight="false" outlineLevel="0" collapsed="false">
      <c r="BA569" s="0" t="n">
        <f aca="false">IF('Master Database'!$A569="",0,IF(AND(OR($B$5="",ISNUMBER(SEARCH($B$5,'Master Database'!$B569&amp;" "&amp;'Master Database'!$D569))),OR($B$6="(All)",'Master Database'!$C569=$B$6),OR($B$7="(All)",'Master Database'!$E569=$B$7),OR($B$8="(All)",'Master Database'!$T569=$B$8),OR($B$9="(All)",'Master Database'!$M569=$B$9),OR($B$10="(All)",'Master Database'!$V569=$B$10),OR($E$5="(All)",'Master Database'!$F569=$E$5),OR($E$6="(All)",'Master Database'!$G569=$E$6),OR($E$7="(All)",'Master Database'!$O569=$E$7),OR($E$8="(All)",'Master Database'!$P569=$E$8),OR($E$9="(All)",'Master Database'!$S569=$E$9),OR($E$10="(All)",'Master Database'!$Y569&amp;""=$E$10&amp;""),OR($H$5="(All)",'Master Database'!$BG569=$H$5),OR($H$6&lt;&gt;"Y",ISNUMBER('Master Database'!$AG569)),OR($H$7="",AND(ISNUMBER('Master Database'!$H569),N('Master Database'!$H569)&gt;=$H$7)),OR($I$7="",AND(ISNUMBER('Master Database'!$H569),N('Master Database'!$H569)&lt;=$I$7)),OR($H$8="",AND(ISNUMBER('Master Database'!$I569),N('Master Database'!$I569)&gt;=$H$8)),OR($I$8="",AND(ISNUMBER('Master Database'!$I569),N('Master Database'!$I569)&lt;=$I$8)),OR($H$9="",AND(ISNUMBER('Master Database'!$K569),N('Master Database'!$K569)&gt;=$H$9)),OR($I$9="",AND(ISNUMBER('Master Database'!$K569),N('Master Database'!$K569)&lt;=$I$9))),1,0))</f>
        <v>0</v>
      </c>
      <c r="BB569" s="0" t="str">
        <f aca="false">IF(BA569=1,COUNTIF($BA$5:BA569,1),"")</f>
        <v/>
      </c>
    </row>
    <row r="570" customFormat="false" ht="15" hidden="false" customHeight="false" outlineLevel="0" collapsed="false">
      <c r="BA570" s="0" t="n">
        <f aca="false">IF('Master Database'!$A570="",0,IF(AND(OR($B$5="",ISNUMBER(SEARCH($B$5,'Master Database'!$B570&amp;" "&amp;'Master Database'!$D570))),OR($B$6="(All)",'Master Database'!$C570=$B$6),OR($B$7="(All)",'Master Database'!$E570=$B$7),OR($B$8="(All)",'Master Database'!$T570=$B$8),OR($B$9="(All)",'Master Database'!$M570=$B$9),OR($B$10="(All)",'Master Database'!$V570=$B$10),OR($E$5="(All)",'Master Database'!$F570=$E$5),OR($E$6="(All)",'Master Database'!$G570=$E$6),OR($E$7="(All)",'Master Database'!$O570=$E$7),OR($E$8="(All)",'Master Database'!$P570=$E$8),OR($E$9="(All)",'Master Database'!$S570=$E$9),OR($E$10="(All)",'Master Database'!$Y570&amp;""=$E$10&amp;""),OR($H$5="(All)",'Master Database'!$BG570=$H$5),OR($H$6&lt;&gt;"Y",ISNUMBER('Master Database'!$AG570)),OR($H$7="",AND(ISNUMBER('Master Database'!$H570),N('Master Database'!$H570)&gt;=$H$7)),OR($I$7="",AND(ISNUMBER('Master Database'!$H570),N('Master Database'!$H570)&lt;=$I$7)),OR($H$8="",AND(ISNUMBER('Master Database'!$I570),N('Master Database'!$I570)&gt;=$H$8)),OR($I$8="",AND(ISNUMBER('Master Database'!$I570),N('Master Database'!$I570)&lt;=$I$8)),OR($H$9="",AND(ISNUMBER('Master Database'!$K570),N('Master Database'!$K570)&gt;=$H$9)),OR($I$9="",AND(ISNUMBER('Master Database'!$K570),N('Master Database'!$K570)&lt;=$I$9))),1,0))</f>
        <v>0</v>
      </c>
      <c r="BB570" s="0" t="str">
        <f aca="false">IF(BA570=1,COUNTIF($BA$5:BA570,1),"")</f>
        <v/>
      </c>
    </row>
    <row r="571" customFormat="false" ht="15" hidden="false" customHeight="false" outlineLevel="0" collapsed="false">
      <c r="BA571" s="0" t="n">
        <f aca="false">IF('Master Database'!$A571="",0,IF(AND(OR($B$5="",ISNUMBER(SEARCH($B$5,'Master Database'!$B571&amp;" "&amp;'Master Database'!$D571))),OR($B$6="(All)",'Master Database'!$C571=$B$6),OR($B$7="(All)",'Master Database'!$E571=$B$7),OR($B$8="(All)",'Master Database'!$T571=$B$8),OR($B$9="(All)",'Master Database'!$M571=$B$9),OR($B$10="(All)",'Master Database'!$V571=$B$10),OR($E$5="(All)",'Master Database'!$F571=$E$5),OR($E$6="(All)",'Master Database'!$G571=$E$6),OR($E$7="(All)",'Master Database'!$O571=$E$7),OR($E$8="(All)",'Master Database'!$P571=$E$8),OR($E$9="(All)",'Master Database'!$S571=$E$9),OR($E$10="(All)",'Master Database'!$Y571&amp;""=$E$10&amp;""),OR($H$5="(All)",'Master Database'!$BG571=$H$5),OR($H$6&lt;&gt;"Y",ISNUMBER('Master Database'!$AG571)),OR($H$7="",AND(ISNUMBER('Master Database'!$H571),N('Master Database'!$H571)&gt;=$H$7)),OR($I$7="",AND(ISNUMBER('Master Database'!$H571),N('Master Database'!$H571)&lt;=$I$7)),OR($H$8="",AND(ISNUMBER('Master Database'!$I571),N('Master Database'!$I571)&gt;=$H$8)),OR($I$8="",AND(ISNUMBER('Master Database'!$I571),N('Master Database'!$I571)&lt;=$I$8)),OR($H$9="",AND(ISNUMBER('Master Database'!$K571),N('Master Database'!$K571)&gt;=$H$9)),OR($I$9="",AND(ISNUMBER('Master Database'!$K571),N('Master Database'!$K571)&lt;=$I$9))),1,0))</f>
        <v>0</v>
      </c>
      <c r="BB571" s="0" t="str">
        <f aca="false">IF(BA571=1,COUNTIF($BA$5:BA571,1),"")</f>
        <v/>
      </c>
    </row>
    <row r="572" customFormat="false" ht="15" hidden="false" customHeight="false" outlineLevel="0" collapsed="false">
      <c r="BA572" s="0" t="n">
        <f aca="false">IF('Master Database'!$A572="",0,IF(AND(OR($B$5="",ISNUMBER(SEARCH($B$5,'Master Database'!$B572&amp;" "&amp;'Master Database'!$D572))),OR($B$6="(All)",'Master Database'!$C572=$B$6),OR($B$7="(All)",'Master Database'!$E572=$B$7),OR($B$8="(All)",'Master Database'!$T572=$B$8),OR($B$9="(All)",'Master Database'!$M572=$B$9),OR($B$10="(All)",'Master Database'!$V572=$B$10),OR($E$5="(All)",'Master Database'!$F572=$E$5),OR($E$6="(All)",'Master Database'!$G572=$E$6),OR($E$7="(All)",'Master Database'!$O572=$E$7),OR($E$8="(All)",'Master Database'!$P572=$E$8),OR($E$9="(All)",'Master Database'!$S572=$E$9),OR($E$10="(All)",'Master Database'!$Y572&amp;""=$E$10&amp;""),OR($H$5="(All)",'Master Database'!$BG572=$H$5),OR($H$6&lt;&gt;"Y",ISNUMBER('Master Database'!$AG572)),OR($H$7="",AND(ISNUMBER('Master Database'!$H572),N('Master Database'!$H572)&gt;=$H$7)),OR($I$7="",AND(ISNUMBER('Master Database'!$H572),N('Master Database'!$H572)&lt;=$I$7)),OR($H$8="",AND(ISNUMBER('Master Database'!$I572),N('Master Database'!$I572)&gt;=$H$8)),OR($I$8="",AND(ISNUMBER('Master Database'!$I572),N('Master Database'!$I572)&lt;=$I$8)),OR($H$9="",AND(ISNUMBER('Master Database'!$K572),N('Master Database'!$K572)&gt;=$H$9)),OR($I$9="",AND(ISNUMBER('Master Database'!$K572),N('Master Database'!$K572)&lt;=$I$9))),1,0))</f>
        <v>0</v>
      </c>
      <c r="BB572" s="0" t="str">
        <f aca="false">IF(BA572=1,COUNTIF($BA$5:BA572,1),"")</f>
        <v/>
      </c>
    </row>
    <row r="573" customFormat="false" ht="15" hidden="false" customHeight="false" outlineLevel="0" collapsed="false">
      <c r="BA573" s="0" t="n">
        <f aca="false">IF('Master Database'!$A573="",0,IF(AND(OR($B$5="",ISNUMBER(SEARCH($B$5,'Master Database'!$B573&amp;" "&amp;'Master Database'!$D573))),OR($B$6="(All)",'Master Database'!$C573=$B$6),OR($B$7="(All)",'Master Database'!$E573=$B$7),OR($B$8="(All)",'Master Database'!$T573=$B$8),OR($B$9="(All)",'Master Database'!$M573=$B$9),OR($B$10="(All)",'Master Database'!$V573=$B$10),OR($E$5="(All)",'Master Database'!$F573=$E$5),OR($E$6="(All)",'Master Database'!$G573=$E$6),OR($E$7="(All)",'Master Database'!$O573=$E$7),OR($E$8="(All)",'Master Database'!$P573=$E$8),OR($E$9="(All)",'Master Database'!$S573=$E$9),OR($E$10="(All)",'Master Database'!$Y573&amp;""=$E$10&amp;""),OR($H$5="(All)",'Master Database'!$BG573=$H$5),OR($H$6&lt;&gt;"Y",ISNUMBER('Master Database'!$AG573)),OR($H$7="",AND(ISNUMBER('Master Database'!$H573),N('Master Database'!$H573)&gt;=$H$7)),OR($I$7="",AND(ISNUMBER('Master Database'!$H573),N('Master Database'!$H573)&lt;=$I$7)),OR($H$8="",AND(ISNUMBER('Master Database'!$I573),N('Master Database'!$I573)&gt;=$H$8)),OR($I$8="",AND(ISNUMBER('Master Database'!$I573),N('Master Database'!$I573)&lt;=$I$8)),OR($H$9="",AND(ISNUMBER('Master Database'!$K573),N('Master Database'!$K573)&gt;=$H$9)),OR($I$9="",AND(ISNUMBER('Master Database'!$K573),N('Master Database'!$K573)&lt;=$I$9))),1,0))</f>
        <v>0</v>
      </c>
      <c r="BB573" s="0" t="str">
        <f aca="false">IF(BA573=1,COUNTIF($BA$5:BA573,1),"")</f>
        <v/>
      </c>
    </row>
    <row r="574" customFormat="false" ht="15" hidden="false" customHeight="false" outlineLevel="0" collapsed="false">
      <c r="BA574" s="0" t="n">
        <f aca="false">IF('Master Database'!$A574="",0,IF(AND(OR($B$5="",ISNUMBER(SEARCH($B$5,'Master Database'!$B574&amp;" "&amp;'Master Database'!$D574))),OR($B$6="(All)",'Master Database'!$C574=$B$6),OR($B$7="(All)",'Master Database'!$E574=$B$7),OR($B$8="(All)",'Master Database'!$T574=$B$8),OR($B$9="(All)",'Master Database'!$M574=$B$9),OR($B$10="(All)",'Master Database'!$V574=$B$10),OR($E$5="(All)",'Master Database'!$F574=$E$5),OR($E$6="(All)",'Master Database'!$G574=$E$6),OR($E$7="(All)",'Master Database'!$O574=$E$7),OR($E$8="(All)",'Master Database'!$P574=$E$8),OR($E$9="(All)",'Master Database'!$S574=$E$9),OR($E$10="(All)",'Master Database'!$Y574&amp;""=$E$10&amp;""),OR($H$5="(All)",'Master Database'!$BG574=$H$5),OR($H$6&lt;&gt;"Y",ISNUMBER('Master Database'!$AG574)),OR($H$7="",AND(ISNUMBER('Master Database'!$H574),N('Master Database'!$H574)&gt;=$H$7)),OR($I$7="",AND(ISNUMBER('Master Database'!$H574),N('Master Database'!$H574)&lt;=$I$7)),OR($H$8="",AND(ISNUMBER('Master Database'!$I574),N('Master Database'!$I574)&gt;=$H$8)),OR($I$8="",AND(ISNUMBER('Master Database'!$I574),N('Master Database'!$I574)&lt;=$I$8)),OR($H$9="",AND(ISNUMBER('Master Database'!$K574),N('Master Database'!$K574)&gt;=$H$9)),OR($I$9="",AND(ISNUMBER('Master Database'!$K574),N('Master Database'!$K574)&lt;=$I$9))),1,0))</f>
        <v>0</v>
      </c>
      <c r="BB574" s="0" t="str">
        <f aca="false">IF(BA574=1,COUNTIF($BA$5:BA574,1),"")</f>
        <v/>
      </c>
    </row>
    <row r="575" customFormat="false" ht="15" hidden="false" customHeight="false" outlineLevel="0" collapsed="false">
      <c r="BA575" s="0" t="n">
        <f aca="false">IF('Master Database'!$A575="",0,IF(AND(OR($B$5="",ISNUMBER(SEARCH($B$5,'Master Database'!$B575&amp;" "&amp;'Master Database'!$D575))),OR($B$6="(All)",'Master Database'!$C575=$B$6),OR($B$7="(All)",'Master Database'!$E575=$B$7),OR($B$8="(All)",'Master Database'!$T575=$B$8),OR($B$9="(All)",'Master Database'!$M575=$B$9),OR($B$10="(All)",'Master Database'!$V575=$B$10),OR($E$5="(All)",'Master Database'!$F575=$E$5),OR($E$6="(All)",'Master Database'!$G575=$E$6),OR($E$7="(All)",'Master Database'!$O575=$E$7),OR($E$8="(All)",'Master Database'!$P575=$E$8),OR($E$9="(All)",'Master Database'!$S575=$E$9),OR($E$10="(All)",'Master Database'!$Y575&amp;""=$E$10&amp;""),OR($H$5="(All)",'Master Database'!$BG575=$H$5),OR($H$6&lt;&gt;"Y",ISNUMBER('Master Database'!$AG575)),OR($H$7="",AND(ISNUMBER('Master Database'!$H575),N('Master Database'!$H575)&gt;=$H$7)),OR($I$7="",AND(ISNUMBER('Master Database'!$H575),N('Master Database'!$H575)&lt;=$I$7)),OR($H$8="",AND(ISNUMBER('Master Database'!$I575),N('Master Database'!$I575)&gt;=$H$8)),OR($I$8="",AND(ISNUMBER('Master Database'!$I575),N('Master Database'!$I575)&lt;=$I$8)),OR($H$9="",AND(ISNUMBER('Master Database'!$K575),N('Master Database'!$K575)&gt;=$H$9)),OR($I$9="",AND(ISNUMBER('Master Database'!$K575),N('Master Database'!$K575)&lt;=$I$9))),1,0))</f>
        <v>0</v>
      </c>
      <c r="BB575" s="0" t="str">
        <f aca="false">IF(BA575=1,COUNTIF($BA$5:BA575,1),"")</f>
        <v/>
      </c>
    </row>
    <row r="576" customFormat="false" ht="15" hidden="false" customHeight="false" outlineLevel="0" collapsed="false">
      <c r="BA576" s="0" t="n">
        <f aca="false">IF('Master Database'!$A576="",0,IF(AND(OR($B$5="",ISNUMBER(SEARCH($B$5,'Master Database'!$B576&amp;" "&amp;'Master Database'!$D576))),OR($B$6="(All)",'Master Database'!$C576=$B$6),OR($B$7="(All)",'Master Database'!$E576=$B$7),OR($B$8="(All)",'Master Database'!$T576=$B$8),OR($B$9="(All)",'Master Database'!$M576=$B$9),OR($B$10="(All)",'Master Database'!$V576=$B$10),OR($E$5="(All)",'Master Database'!$F576=$E$5),OR($E$6="(All)",'Master Database'!$G576=$E$6),OR($E$7="(All)",'Master Database'!$O576=$E$7),OR($E$8="(All)",'Master Database'!$P576=$E$8),OR($E$9="(All)",'Master Database'!$S576=$E$9),OR($E$10="(All)",'Master Database'!$Y576&amp;""=$E$10&amp;""),OR($H$5="(All)",'Master Database'!$BG576=$H$5),OR($H$6&lt;&gt;"Y",ISNUMBER('Master Database'!$AG576)),OR($H$7="",AND(ISNUMBER('Master Database'!$H576),N('Master Database'!$H576)&gt;=$H$7)),OR($I$7="",AND(ISNUMBER('Master Database'!$H576),N('Master Database'!$H576)&lt;=$I$7)),OR($H$8="",AND(ISNUMBER('Master Database'!$I576),N('Master Database'!$I576)&gt;=$H$8)),OR($I$8="",AND(ISNUMBER('Master Database'!$I576),N('Master Database'!$I576)&lt;=$I$8)),OR($H$9="",AND(ISNUMBER('Master Database'!$K576),N('Master Database'!$K576)&gt;=$H$9)),OR($I$9="",AND(ISNUMBER('Master Database'!$K576),N('Master Database'!$K576)&lt;=$I$9))),1,0))</f>
        <v>0</v>
      </c>
      <c r="BB576" s="0" t="str">
        <f aca="false">IF(BA576=1,COUNTIF($BA$5:BA576,1),"")</f>
        <v/>
      </c>
    </row>
    <row r="577" customFormat="false" ht="15" hidden="false" customHeight="false" outlineLevel="0" collapsed="false">
      <c r="BA577" s="0" t="n">
        <f aca="false">IF('Master Database'!$A577="",0,IF(AND(OR($B$5="",ISNUMBER(SEARCH($B$5,'Master Database'!$B577&amp;" "&amp;'Master Database'!$D577))),OR($B$6="(All)",'Master Database'!$C577=$B$6),OR($B$7="(All)",'Master Database'!$E577=$B$7),OR($B$8="(All)",'Master Database'!$T577=$B$8),OR($B$9="(All)",'Master Database'!$M577=$B$9),OR($B$10="(All)",'Master Database'!$V577=$B$10),OR($E$5="(All)",'Master Database'!$F577=$E$5),OR($E$6="(All)",'Master Database'!$G577=$E$6),OR($E$7="(All)",'Master Database'!$O577=$E$7),OR($E$8="(All)",'Master Database'!$P577=$E$8),OR($E$9="(All)",'Master Database'!$S577=$E$9),OR($E$10="(All)",'Master Database'!$Y577&amp;""=$E$10&amp;""),OR($H$5="(All)",'Master Database'!$BG577=$H$5),OR($H$6&lt;&gt;"Y",ISNUMBER('Master Database'!$AG577)),OR($H$7="",AND(ISNUMBER('Master Database'!$H577),N('Master Database'!$H577)&gt;=$H$7)),OR($I$7="",AND(ISNUMBER('Master Database'!$H577),N('Master Database'!$H577)&lt;=$I$7)),OR($H$8="",AND(ISNUMBER('Master Database'!$I577),N('Master Database'!$I577)&gt;=$H$8)),OR($I$8="",AND(ISNUMBER('Master Database'!$I577),N('Master Database'!$I577)&lt;=$I$8)),OR($H$9="",AND(ISNUMBER('Master Database'!$K577),N('Master Database'!$K577)&gt;=$H$9)),OR($I$9="",AND(ISNUMBER('Master Database'!$K577),N('Master Database'!$K577)&lt;=$I$9))),1,0))</f>
        <v>0</v>
      </c>
      <c r="BB577" s="0" t="str">
        <f aca="false">IF(BA577=1,COUNTIF($BA$5:BA577,1),"")</f>
        <v/>
      </c>
    </row>
    <row r="578" customFormat="false" ht="15" hidden="false" customHeight="false" outlineLevel="0" collapsed="false">
      <c r="BA578" s="0" t="n">
        <f aca="false">IF('Master Database'!$A578="",0,IF(AND(OR($B$5="",ISNUMBER(SEARCH($B$5,'Master Database'!$B578&amp;" "&amp;'Master Database'!$D578))),OR($B$6="(All)",'Master Database'!$C578=$B$6),OR($B$7="(All)",'Master Database'!$E578=$B$7),OR($B$8="(All)",'Master Database'!$T578=$B$8),OR($B$9="(All)",'Master Database'!$M578=$B$9),OR($B$10="(All)",'Master Database'!$V578=$B$10),OR($E$5="(All)",'Master Database'!$F578=$E$5),OR($E$6="(All)",'Master Database'!$G578=$E$6),OR($E$7="(All)",'Master Database'!$O578=$E$7),OR($E$8="(All)",'Master Database'!$P578=$E$8),OR($E$9="(All)",'Master Database'!$S578=$E$9),OR($E$10="(All)",'Master Database'!$Y578&amp;""=$E$10&amp;""),OR($H$5="(All)",'Master Database'!$BG578=$H$5),OR($H$6&lt;&gt;"Y",ISNUMBER('Master Database'!$AG578)),OR($H$7="",AND(ISNUMBER('Master Database'!$H578),N('Master Database'!$H578)&gt;=$H$7)),OR($I$7="",AND(ISNUMBER('Master Database'!$H578),N('Master Database'!$H578)&lt;=$I$7)),OR($H$8="",AND(ISNUMBER('Master Database'!$I578),N('Master Database'!$I578)&gt;=$H$8)),OR($I$8="",AND(ISNUMBER('Master Database'!$I578),N('Master Database'!$I578)&lt;=$I$8)),OR($H$9="",AND(ISNUMBER('Master Database'!$K578),N('Master Database'!$K578)&gt;=$H$9)),OR($I$9="",AND(ISNUMBER('Master Database'!$K578),N('Master Database'!$K578)&lt;=$I$9))),1,0))</f>
        <v>0</v>
      </c>
      <c r="BB578" s="0" t="str">
        <f aca="false">IF(BA578=1,COUNTIF($BA$5:BA578,1),"")</f>
        <v/>
      </c>
    </row>
    <row r="579" customFormat="false" ht="15" hidden="false" customHeight="false" outlineLevel="0" collapsed="false">
      <c r="BA579" s="0" t="n">
        <f aca="false">IF('Master Database'!$A579="",0,IF(AND(OR($B$5="",ISNUMBER(SEARCH($B$5,'Master Database'!$B579&amp;" "&amp;'Master Database'!$D579))),OR($B$6="(All)",'Master Database'!$C579=$B$6),OR($B$7="(All)",'Master Database'!$E579=$B$7),OR($B$8="(All)",'Master Database'!$T579=$B$8),OR($B$9="(All)",'Master Database'!$M579=$B$9),OR($B$10="(All)",'Master Database'!$V579=$B$10),OR($E$5="(All)",'Master Database'!$F579=$E$5),OR($E$6="(All)",'Master Database'!$G579=$E$6),OR($E$7="(All)",'Master Database'!$O579=$E$7),OR($E$8="(All)",'Master Database'!$P579=$E$8),OR($E$9="(All)",'Master Database'!$S579=$E$9),OR($E$10="(All)",'Master Database'!$Y579&amp;""=$E$10&amp;""),OR($H$5="(All)",'Master Database'!$BG579=$H$5),OR($H$6&lt;&gt;"Y",ISNUMBER('Master Database'!$AG579)),OR($H$7="",AND(ISNUMBER('Master Database'!$H579),N('Master Database'!$H579)&gt;=$H$7)),OR($I$7="",AND(ISNUMBER('Master Database'!$H579),N('Master Database'!$H579)&lt;=$I$7)),OR($H$8="",AND(ISNUMBER('Master Database'!$I579),N('Master Database'!$I579)&gt;=$H$8)),OR($I$8="",AND(ISNUMBER('Master Database'!$I579),N('Master Database'!$I579)&lt;=$I$8)),OR($H$9="",AND(ISNUMBER('Master Database'!$K579),N('Master Database'!$K579)&gt;=$H$9)),OR($I$9="",AND(ISNUMBER('Master Database'!$K579),N('Master Database'!$K579)&lt;=$I$9))),1,0))</f>
        <v>0</v>
      </c>
      <c r="BB579" s="0" t="str">
        <f aca="false">IF(BA579=1,COUNTIF($BA$5:BA579,1),"")</f>
        <v/>
      </c>
    </row>
    <row r="580" customFormat="false" ht="15" hidden="false" customHeight="false" outlineLevel="0" collapsed="false">
      <c r="BA580" s="0" t="n">
        <f aca="false">IF('Master Database'!$A580="",0,IF(AND(OR($B$5="",ISNUMBER(SEARCH($B$5,'Master Database'!$B580&amp;" "&amp;'Master Database'!$D580))),OR($B$6="(All)",'Master Database'!$C580=$B$6),OR($B$7="(All)",'Master Database'!$E580=$B$7),OR($B$8="(All)",'Master Database'!$T580=$B$8),OR($B$9="(All)",'Master Database'!$M580=$B$9),OR($B$10="(All)",'Master Database'!$V580=$B$10),OR($E$5="(All)",'Master Database'!$F580=$E$5),OR($E$6="(All)",'Master Database'!$G580=$E$6),OR($E$7="(All)",'Master Database'!$O580=$E$7),OR($E$8="(All)",'Master Database'!$P580=$E$8),OR($E$9="(All)",'Master Database'!$S580=$E$9),OR($E$10="(All)",'Master Database'!$Y580&amp;""=$E$10&amp;""),OR($H$5="(All)",'Master Database'!$BG580=$H$5),OR($H$6&lt;&gt;"Y",ISNUMBER('Master Database'!$AG580)),OR($H$7="",AND(ISNUMBER('Master Database'!$H580),N('Master Database'!$H580)&gt;=$H$7)),OR($I$7="",AND(ISNUMBER('Master Database'!$H580),N('Master Database'!$H580)&lt;=$I$7)),OR($H$8="",AND(ISNUMBER('Master Database'!$I580),N('Master Database'!$I580)&gt;=$H$8)),OR($I$8="",AND(ISNUMBER('Master Database'!$I580),N('Master Database'!$I580)&lt;=$I$8)),OR($H$9="",AND(ISNUMBER('Master Database'!$K580),N('Master Database'!$K580)&gt;=$H$9)),OR($I$9="",AND(ISNUMBER('Master Database'!$K580),N('Master Database'!$K580)&lt;=$I$9))),1,0))</f>
        <v>0</v>
      </c>
      <c r="BB580" s="0" t="str">
        <f aca="false">IF(BA580=1,COUNTIF($BA$5:BA580,1),"")</f>
        <v/>
      </c>
    </row>
    <row r="581" customFormat="false" ht="15" hidden="false" customHeight="false" outlineLevel="0" collapsed="false">
      <c r="BA581" s="0" t="n">
        <f aca="false">IF('Master Database'!$A581="",0,IF(AND(OR($B$5="",ISNUMBER(SEARCH($B$5,'Master Database'!$B581&amp;" "&amp;'Master Database'!$D581))),OR($B$6="(All)",'Master Database'!$C581=$B$6),OR($B$7="(All)",'Master Database'!$E581=$B$7),OR($B$8="(All)",'Master Database'!$T581=$B$8),OR($B$9="(All)",'Master Database'!$M581=$B$9),OR($B$10="(All)",'Master Database'!$V581=$B$10),OR($E$5="(All)",'Master Database'!$F581=$E$5),OR($E$6="(All)",'Master Database'!$G581=$E$6),OR($E$7="(All)",'Master Database'!$O581=$E$7),OR($E$8="(All)",'Master Database'!$P581=$E$8),OR($E$9="(All)",'Master Database'!$S581=$E$9),OR($E$10="(All)",'Master Database'!$Y581&amp;""=$E$10&amp;""),OR($H$5="(All)",'Master Database'!$BG581=$H$5),OR($H$6&lt;&gt;"Y",ISNUMBER('Master Database'!$AG581)),OR($H$7="",AND(ISNUMBER('Master Database'!$H581),N('Master Database'!$H581)&gt;=$H$7)),OR($I$7="",AND(ISNUMBER('Master Database'!$H581),N('Master Database'!$H581)&lt;=$I$7)),OR($H$8="",AND(ISNUMBER('Master Database'!$I581),N('Master Database'!$I581)&gt;=$H$8)),OR($I$8="",AND(ISNUMBER('Master Database'!$I581),N('Master Database'!$I581)&lt;=$I$8)),OR($H$9="",AND(ISNUMBER('Master Database'!$K581),N('Master Database'!$K581)&gt;=$H$9)),OR($I$9="",AND(ISNUMBER('Master Database'!$K581),N('Master Database'!$K581)&lt;=$I$9))),1,0))</f>
        <v>0</v>
      </c>
      <c r="BB581" s="0" t="str">
        <f aca="false">IF(BA581=1,COUNTIF($BA$5:BA581,1),"")</f>
        <v/>
      </c>
    </row>
    <row r="582" customFormat="false" ht="15" hidden="false" customHeight="false" outlineLevel="0" collapsed="false">
      <c r="BA582" s="0" t="n">
        <f aca="false">IF('Master Database'!$A582="",0,IF(AND(OR($B$5="",ISNUMBER(SEARCH($B$5,'Master Database'!$B582&amp;" "&amp;'Master Database'!$D582))),OR($B$6="(All)",'Master Database'!$C582=$B$6),OR($B$7="(All)",'Master Database'!$E582=$B$7),OR($B$8="(All)",'Master Database'!$T582=$B$8),OR($B$9="(All)",'Master Database'!$M582=$B$9),OR($B$10="(All)",'Master Database'!$V582=$B$10),OR($E$5="(All)",'Master Database'!$F582=$E$5),OR($E$6="(All)",'Master Database'!$G582=$E$6),OR($E$7="(All)",'Master Database'!$O582=$E$7),OR($E$8="(All)",'Master Database'!$P582=$E$8),OR($E$9="(All)",'Master Database'!$S582=$E$9),OR($E$10="(All)",'Master Database'!$Y582&amp;""=$E$10&amp;""),OR($H$5="(All)",'Master Database'!$BG582=$H$5),OR($H$6&lt;&gt;"Y",ISNUMBER('Master Database'!$AG582)),OR($H$7="",AND(ISNUMBER('Master Database'!$H582),N('Master Database'!$H582)&gt;=$H$7)),OR($I$7="",AND(ISNUMBER('Master Database'!$H582),N('Master Database'!$H582)&lt;=$I$7)),OR($H$8="",AND(ISNUMBER('Master Database'!$I582),N('Master Database'!$I582)&gt;=$H$8)),OR($I$8="",AND(ISNUMBER('Master Database'!$I582),N('Master Database'!$I582)&lt;=$I$8)),OR($H$9="",AND(ISNUMBER('Master Database'!$K582),N('Master Database'!$K582)&gt;=$H$9)),OR($I$9="",AND(ISNUMBER('Master Database'!$K582),N('Master Database'!$K582)&lt;=$I$9))),1,0))</f>
        <v>0</v>
      </c>
      <c r="BB582" s="0" t="str">
        <f aca="false">IF(BA582=1,COUNTIF($BA$5:BA582,1),"")</f>
        <v/>
      </c>
    </row>
    <row r="583" customFormat="false" ht="15" hidden="false" customHeight="false" outlineLevel="0" collapsed="false">
      <c r="BA583" s="0" t="n">
        <f aca="false">IF('Master Database'!$A583="",0,IF(AND(OR($B$5="",ISNUMBER(SEARCH($B$5,'Master Database'!$B583&amp;" "&amp;'Master Database'!$D583))),OR($B$6="(All)",'Master Database'!$C583=$B$6),OR($B$7="(All)",'Master Database'!$E583=$B$7),OR($B$8="(All)",'Master Database'!$T583=$B$8),OR($B$9="(All)",'Master Database'!$M583=$B$9),OR($B$10="(All)",'Master Database'!$V583=$B$10),OR($E$5="(All)",'Master Database'!$F583=$E$5),OR($E$6="(All)",'Master Database'!$G583=$E$6),OR($E$7="(All)",'Master Database'!$O583=$E$7),OR($E$8="(All)",'Master Database'!$P583=$E$8),OR($E$9="(All)",'Master Database'!$S583=$E$9),OR($E$10="(All)",'Master Database'!$Y583&amp;""=$E$10&amp;""),OR($H$5="(All)",'Master Database'!$BG583=$H$5),OR($H$6&lt;&gt;"Y",ISNUMBER('Master Database'!$AG583)),OR($H$7="",AND(ISNUMBER('Master Database'!$H583),N('Master Database'!$H583)&gt;=$H$7)),OR($I$7="",AND(ISNUMBER('Master Database'!$H583),N('Master Database'!$H583)&lt;=$I$7)),OR($H$8="",AND(ISNUMBER('Master Database'!$I583),N('Master Database'!$I583)&gt;=$H$8)),OR($I$8="",AND(ISNUMBER('Master Database'!$I583),N('Master Database'!$I583)&lt;=$I$8)),OR($H$9="",AND(ISNUMBER('Master Database'!$K583),N('Master Database'!$K583)&gt;=$H$9)),OR($I$9="",AND(ISNUMBER('Master Database'!$K583),N('Master Database'!$K583)&lt;=$I$9))),1,0))</f>
        <v>0</v>
      </c>
      <c r="BB583" s="0" t="str">
        <f aca="false">IF(BA583=1,COUNTIF($BA$5:BA583,1),"")</f>
        <v/>
      </c>
    </row>
    <row r="584" customFormat="false" ht="15" hidden="false" customHeight="false" outlineLevel="0" collapsed="false">
      <c r="BA584" s="0" t="n">
        <f aca="false">IF('Master Database'!$A584="",0,IF(AND(OR($B$5="",ISNUMBER(SEARCH($B$5,'Master Database'!$B584&amp;" "&amp;'Master Database'!$D584))),OR($B$6="(All)",'Master Database'!$C584=$B$6),OR($B$7="(All)",'Master Database'!$E584=$B$7),OR($B$8="(All)",'Master Database'!$T584=$B$8),OR($B$9="(All)",'Master Database'!$M584=$B$9),OR($B$10="(All)",'Master Database'!$V584=$B$10),OR($E$5="(All)",'Master Database'!$F584=$E$5),OR($E$6="(All)",'Master Database'!$G584=$E$6),OR($E$7="(All)",'Master Database'!$O584=$E$7),OR($E$8="(All)",'Master Database'!$P584=$E$8),OR($E$9="(All)",'Master Database'!$S584=$E$9),OR($E$10="(All)",'Master Database'!$Y584&amp;""=$E$10&amp;""),OR($H$5="(All)",'Master Database'!$BG584=$H$5),OR($H$6&lt;&gt;"Y",ISNUMBER('Master Database'!$AG584)),OR($H$7="",AND(ISNUMBER('Master Database'!$H584),N('Master Database'!$H584)&gt;=$H$7)),OR($I$7="",AND(ISNUMBER('Master Database'!$H584),N('Master Database'!$H584)&lt;=$I$7)),OR($H$8="",AND(ISNUMBER('Master Database'!$I584),N('Master Database'!$I584)&gt;=$H$8)),OR($I$8="",AND(ISNUMBER('Master Database'!$I584),N('Master Database'!$I584)&lt;=$I$8)),OR($H$9="",AND(ISNUMBER('Master Database'!$K584),N('Master Database'!$K584)&gt;=$H$9)),OR($I$9="",AND(ISNUMBER('Master Database'!$K584),N('Master Database'!$K584)&lt;=$I$9))),1,0))</f>
        <v>0</v>
      </c>
      <c r="BB584" s="0" t="str">
        <f aca="false">IF(BA584=1,COUNTIF($BA$5:BA584,1),"")</f>
        <v/>
      </c>
    </row>
    <row r="585" customFormat="false" ht="15" hidden="false" customHeight="false" outlineLevel="0" collapsed="false">
      <c r="BA585" s="0" t="n">
        <f aca="false">IF('Master Database'!$A585="",0,IF(AND(OR($B$5="",ISNUMBER(SEARCH($B$5,'Master Database'!$B585&amp;" "&amp;'Master Database'!$D585))),OR($B$6="(All)",'Master Database'!$C585=$B$6),OR($B$7="(All)",'Master Database'!$E585=$B$7),OR($B$8="(All)",'Master Database'!$T585=$B$8),OR($B$9="(All)",'Master Database'!$M585=$B$9),OR($B$10="(All)",'Master Database'!$V585=$B$10),OR($E$5="(All)",'Master Database'!$F585=$E$5),OR($E$6="(All)",'Master Database'!$G585=$E$6),OR($E$7="(All)",'Master Database'!$O585=$E$7),OR($E$8="(All)",'Master Database'!$P585=$E$8),OR($E$9="(All)",'Master Database'!$S585=$E$9),OR($E$10="(All)",'Master Database'!$Y585&amp;""=$E$10&amp;""),OR($H$5="(All)",'Master Database'!$BG585=$H$5),OR($H$6&lt;&gt;"Y",ISNUMBER('Master Database'!$AG585)),OR($H$7="",AND(ISNUMBER('Master Database'!$H585),N('Master Database'!$H585)&gt;=$H$7)),OR($I$7="",AND(ISNUMBER('Master Database'!$H585),N('Master Database'!$H585)&lt;=$I$7)),OR($H$8="",AND(ISNUMBER('Master Database'!$I585),N('Master Database'!$I585)&gt;=$H$8)),OR($I$8="",AND(ISNUMBER('Master Database'!$I585),N('Master Database'!$I585)&lt;=$I$8)),OR($H$9="",AND(ISNUMBER('Master Database'!$K585),N('Master Database'!$K585)&gt;=$H$9)),OR($I$9="",AND(ISNUMBER('Master Database'!$K585),N('Master Database'!$K585)&lt;=$I$9))),1,0))</f>
        <v>0</v>
      </c>
      <c r="BB585" s="0" t="str">
        <f aca="false">IF(BA585=1,COUNTIF($BA$5:BA585,1),"")</f>
        <v/>
      </c>
    </row>
    <row r="586" customFormat="false" ht="15" hidden="false" customHeight="false" outlineLevel="0" collapsed="false">
      <c r="BA586" s="0" t="n">
        <f aca="false">IF('Master Database'!$A586="",0,IF(AND(OR($B$5="",ISNUMBER(SEARCH($B$5,'Master Database'!$B586&amp;" "&amp;'Master Database'!$D586))),OR($B$6="(All)",'Master Database'!$C586=$B$6),OR($B$7="(All)",'Master Database'!$E586=$B$7),OR($B$8="(All)",'Master Database'!$T586=$B$8),OR($B$9="(All)",'Master Database'!$M586=$B$9),OR($B$10="(All)",'Master Database'!$V586=$B$10),OR($E$5="(All)",'Master Database'!$F586=$E$5),OR($E$6="(All)",'Master Database'!$G586=$E$6),OR($E$7="(All)",'Master Database'!$O586=$E$7),OR($E$8="(All)",'Master Database'!$P586=$E$8),OR($E$9="(All)",'Master Database'!$S586=$E$9),OR($E$10="(All)",'Master Database'!$Y586&amp;""=$E$10&amp;""),OR($H$5="(All)",'Master Database'!$BG586=$H$5),OR($H$6&lt;&gt;"Y",ISNUMBER('Master Database'!$AG586)),OR($H$7="",AND(ISNUMBER('Master Database'!$H586),N('Master Database'!$H586)&gt;=$H$7)),OR($I$7="",AND(ISNUMBER('Master Database'!$H586),N('Master Database'!$H586)&lt;=$I$7)),OR($H$8="",AND(ISNUMBER('Master Database'!$I586),N('Master Database'!$I586)&gt;=$H$8)),OR($I$8="",AND(ISNUMBER('Master Database'!$I586),N('Master Database'!$I586)&lt;=$I$8)),OR($H$9="",AND(ISNUMBER('Master Database'!$K586),N('Master Database'!$K586)&gt;=$H$9)),OR($I$9="",AND(ISNUMBER('Master Database'!$K586),N('Master Database'!$K586)&lt;=$I$9))),1,0))</f>
        <v>0</v>
      </c>
      <c r="BB586" s="0" t="str">
        <f aca="false">IF(BA586=1,COUNTIF($BA$5:BA586,1),"")</f>
        <v/>
      </c>
    </row>
    <row r="587" customFormat="false" ht="15" hidden="false" customHeight="false" outlineLevel="0" collapsed="false">
      <c r="BA587" s="0" t="n">
        <f aca="false">IF('Master Database'!$A587="",0,IF(AND(OR($B$5="",ISNUMBER(SEARCH($B$5,'Master Database'!$B587&amp;" "&amp;'Master Database'!$D587))),OR($B$6="(All)",'Master Database'!$C587=$B$6),OR($B$7="(All)",'Master Database'!$E587=$B$7),OR($B$8="(All)",'Master Database'!$T587=$B$8),OR($B$9="(All)",'Master Database'!$M587=$B$9),OR($B$10="(All)",'Master Database'!$V587=$B$10),OR($E$5="(All)",'Master Database'!$F587=$E$5),OR($E$6="(All)",'Master Database'!$G587=$E$6),OR($E$7="(All)",'Master Database'!$O587=$E$7),OR($E$8="(All)",'Master Database'!$P587=$E$8),OR($E$9="(All)",'Master Database'!$S587=$E$9),OR($E$10="(All)",'Master Database'!$Y587&amp;""=$E$10&amp;""),OR($H$5="(All)",'Master Database'!$BG587=$H$5),OR($H$6&lt;&gt;"Y",ISNUMBER('Master Database'!$AG587)),OR($H$7="",AND(ISNUMBER('Master Database'!$H587),N('Master Database'!$H587)&gt;=$H$7)),OR($I$7="",AND(ISNUMBER('Master Database'!$H587),N('Master Database'!$H587)&lt;=$I$7)),OR($H$8="",AND(ISNUMBER('Master Database'!$I587),N('Master Database'!$I587)&gt;=$H$8)),OR($I$8="",AND(ISNUMBER('Master Database'!$I587),N('Master Database'!$I587)&lt;=$I$8)),OR($H$9="",AND(ISNUMBER('Master Database'!$K587),N('Master Database'!$K587)&gt;=$H$9)),OR($I$9="",AND(ISNUMBER('Master Database'!$K587),N('Master Database'!$K587)&lt;=$I$9))),1,0))</f>
        <v>0</v>
      </c>
      <c r="BB587" s="0" t="str">
        <f aca="false">IF(BA587=1,COUNTIF($BA$5:BA587,1),"")</f>
        <v/>
      </c>
    </row>
    <row r="588" customFormat="false" ht="15" hidden="false" customHeight="false" outlineLevel="0" collapsed="false">
      <c r="BA588" s="0" t="n">
        <f aca="false">IF('Master Database'!$A588="",0,IF(AND(OR($B$5="",ISNUMBER(SEARCH($B$5,'Master Database'!$B588&amp;" "&amp;'Master Database'!$D588))),OR($B$6="(All)",'Master Database'!$C588=$B$6),OR($B$7="(All)",'Master Database'!$E588=$B$7),OR($B$8="(All)",'Master Database'!$T588=$B$8),OR($B$9="(All)",'Master Database'!$M588=$B$9),OR($B$10="(All)",'Master Database'!$V588=$B$10),OR($E$5="(All)",'Master Database'!$F588=$E$5),OR($E$6="(All)",'Master Database'!$G588=$E$6),OR($E$7="(All)",'Master Database'!$O588=$E$7),OR($E$8="(All)",'Master Database'!$P588=$E$8),OR($E$9="(All)",'Master Database'!$S588=$E$9),OR($E$10="(All)",'Master Database'!$Y588&amp;""=$E$10&amp;""),OR($H$5="(All)",'Master Database'!$BG588=$H$5),OR($H$6&lt;&gt;"Y",ISNUMBER('Master Database'!$AG588)),OR($H$7="",AND(ISNUMBER('Master Database'!$H588),N('Master Database'!$H588)&gt;=$H$7)),OR($I$7="",AND(ISNUMBER('Master Database'!$H588),N('Master Database'!$H588)&lt;=$I$7)),OR($H$8="",AND(ISNUMBER('Master Database'!$I588),N('Master Database'!$I588)&gt;=$H$8)),OR($I$8="",AND(ISNUMBER('Master Database'!$I588),N('Master Database'!$I588)&lt;=$I$8)),OR($H$9="",AND(ISNUMBER('Master Database'!$K588),N('Master Database'!$K588)&gt;=$H$9)),OR($I$9="",AND(ISNUMBER('Master Database'!$K588),N('Master Database'!$K588)&lt;=$I$9))),1,0))</f>
        <v>0</v>
      </c>
      <c r="BB588" s="0" t="str">
        <f aca="false">IF(BA588=1,COUNTIF($BA$5:BA588,1),"")</f>
        <v/>
      </c>
    </row>
    <row r="589" customFormat="false" ht="15" hidden="false" customHeight="false" outlineLevel="0" collapsed="false">
      <c r="BA589" s="0" t="n">
        <f aca="false">IF('Master Database'!$A589="",0,IF(AND(OR($B$5="",ISNUMBER(SEARCH($B$5,'Master Database'!$B589&amp;" "&amp;'Master Database'!$D589))),OR($B$6="(All)",'Master Database'!$C589=$B$6),OR($B$7="(All)",'Master Database'!$E589=$B$7),OR($B$8="(All)",'Master Database'!$T589=$B$8),OR($B$9="(All)",'Master Database'!$M589=$B$9),OR($B$10="(All)",'Master Database'!$V589=$B$10),OR($E$5="(All)",'Master Database'!$F589=$E$5),OR($E$6="(All)",'Master Database'!$G589=$E$6),OR($E$7="(All)",'Master Database'!$O589=$E$7),OR($E$8="(All)",'Master Database'!$P589=$E$8),OR($E$9="(All)",'Master Database'!$S589=$E$9),OR($E$10="(All)",'Master Database'!$Y589&amp;""=$E$10&amp;""),OR($H$5="(All)",'Master Database'!$BG589=$H$5),OR($H$6&lt;&gt;"Y",ISNUMBER('Master Database'!$AG589)),OR($H$7="",AND(ISNUMBER('Master Database'!$H589),N('Master Database'!$H589)&gt;=$H$7)),OR($I$7="",AND(ISNUMBER('Master Database'!$H589),N('Master Database'!$H589)&lt;=$I$7)),OR($H$8="",AND(ISNUMBER('Master Database'!$I589),N('Master Database'!$I589)&gt;=$H$8)),OR($I$8="",AND(ISNUMBER('Master Database'!$I589),N('Master Database'!$I589)&lt;=$I$8)),OR($H$9="",AND(ISNUMBER('Master Database'!$K589),N('Master Database'!$K589)&gt;=$H$9)),OR($I$9="",AND(ISNUMBER('Master Database'!$K589),N('Master Database'!$K589)&lt;=$I$9))),1,0))</f>
        <v>0</v>
      </c>
      <c r="BB589" s="0" t="str">
        <f aca="false">IF(BA589=1,COUNTIF($BA$5:BA589,1),"")</f>
        <v/>
      </c>
    </row>
    <row r="590" customFormat="false" ht="15" hidden="false" customHeight="false" outlineLevel="0" collapsed="false">
      <c r="BA590" s="0" t="n">
        <f aca="false">IF('Master Database'!$A590="",0,IF(AND(OR($B$5="",ISNUMBER(SEARCH($B$5,'Master Database'!$B590&amp;" "&amp;'Master Database'!$D590))),OR($B$6="(All)",'Master Database'!$C590=$B$6),OR($B$7="(All)",'Master Database'!$E590=$B$7),OR($B$8="(All)",'Master Database'!$T590=$B$8),OR($B$9="(All)",'Master Database'!$M590=$B$9),OR($B$10="(All)",'Master Database'!$V590=$B$10),OR($E$5="(All)",'Master Database'!$F590=$E$5),OR($E$6="(All)",'Master Database'!$G590=$E$6),OR($E$7="(All)",'Master Database'!$O590=$E$7),OR($E$8="(All)",'Master Database'!$P590=$E$8),OR($E$9="(All)",'Master Database'!$S590=$E$9),OR($E$10="(All)",'Master Database'!$Y590&amp;""=$E$10&amp;""),OR($H$5="(All)",'Master Database'!$BG590=$H$5),OR($H$6&lt;&gt;"Y",ISNUMBER('Master Database'!$AG590)),OR($H$7="",AND(ISNUMBER('Master Database'!$H590),N('Master Database'!$H590)&gt;=$H$7)),OR($I$7="",AND(ISNUMBER('Master Database'!$H590),N('Master Database'!$H590)&lt;=$I$7)),OR($H$8="",AND(ISNUMBER('Master Database'!$I590),N('Master Database'!$I590)&gt;=$H$8)),OR($I$8="",AND(ISNUMBER('Master Database'!$I590),N('Master Database'!$I590)&lt;=$I$8)),OR($H$9="",AND(ISNUMBER('Master Database'!$K590),N('Master Database'!$K590)&gt;=$H$9)),OR($I$9="",AND(ISNUMBER('Master Database'!$K590),N('Master Database'!$K590)&lt;=$I$9))),1,0))</f>
        <v>0</v>
      </c>
      <c r="BB590" s="0" t="str">
        <f aca="false">IF(BA590=1,COUNTIF($BA$5:BA590,1),"")</f>
        <v/>
      </c>
    </row>
    <row r="591" customFormat="false" ht="15" hidden="false" customHeight="false" outlineLevel="0" collapsed="false">
      <c r="BA591" s="0" t="n">
        <f aca="false">IF('Master Database'!$A591="",0,IF(AND(OR($B$5="",ISNUMBER(SEARCH($B$5,'Master Database'!$B591&amp;" "&amp;'Master Database'!$D591))),OR($B$6="(All)",'Master Database'!$C591=$B$6),OR($B$7="(All)",'Master Database'!$E591=$B$7),OR($B$8="(All)",'Master Database'!$T591=$B$8),OR($B$9="(All)",'Master Database'!$M591=$B$9),OR($B$10="(All)",'Master Database'!$V591=$B$10),OR($E$5="(All)",'Master Database'!$F591=$E$5),OR($E$6="(All)",'Master Database'!$G591=$E$6),OR($E$7="(All)",'Master Database'!$O591=$E$7),OR($E$8="(All)",'Master Database'!$P591=$E$8),OR($E$9="(All)",'Master Database'!$S591=$E$9),OR($E$10="(All)",'Master Database'!$Y591&amp;""=$E$10&amp;""),OR($H$5="(All)",'Master Database'!$BG591=$H$5),OR($H$6&lt;&gt;"Y",ISNUMBER('Master Database'!$AG591)),OR($H$7="",AND(ISNUMBER('Master Database'!$H591),N('Master Database'!$H591)&gt;=$H$7)),OR($I$7="",AND(ISNUMBER('Master Database'!$H591),N('Master Database'!$H591)&lt;=$I$7)),OR($H$8="",AND(ISNUMBER('Master Database'!$I591),N('Master Database'!$I591)&gt;=$H$8)),OR($I$8="",AND(ISNUMBER('Master Database'!$I591),N('Master Database'!$I591)&lt;=$I$8)),OR($H$9="",AND(ISNUMBER('Master Database'!$K591),N('Master Database'!$K591)&gt;=$H$9)),OR($I$9="",AND(ISNUMBER('Master Database'!$K591),N('Master Database'!$K591)&lt;=$I$9))),1,0))</f>
        <v>0</v>
      </c>
      <c r="BB591" s="0" t="str">
        <f aca="false">IF(BA591=1,COUNTIF($BA$5:BA591,1),"")</f>
        <v/>
      </c>
    </row>
    <row r="592" customFormat="false" ht="15" hidden="false" customHeight="false" outlineLevel="0" collapsed="false">
      <c r="BA592" s="0" t="n">
        <f aca="false">IF('Master Database'!$A592="",0,IF(AND(OR($B$5="",ISNUMBER(SEARCH($B$5,'Master Database'!$B592&amp;" "&amp;'Master Database'!$D592))),OR($B$6="(All)",'Master Database'!$C592=$B$6),OR($B$7="(All)",'Master Database'!$E592=$B$7),OR($B$8="(All)",'Master Database'!$T592=$B$8),OR($B$9="(All)",'Master Database'!$M592=$B$9),OR($B$10="(All)",'Master Database'!$V592=$B$10),OR($E$5="(All)",'Master Database'!$F592=$E$5),OR($E$6="(All)",'Master Database'!$G592=$E$6),OR($E$7="(All)",'Master Database'!$O592=$E$7),OR($E$8="(All)",'Master Database'!$P592=$E$8),OR($E$9="(All)",'Master Database'!$S592=$E$9),OR($E$10="(All)",'Master Database'!$Y592&amp;""=$E$10&amp;""),OR($H$5="(All)",'Master Database'!$BG592=$H$5),OR($H$6&lt;&gt;"Y",ISNUMBER('Master Database'!$AG592)),OR($H$7="",AND(ISNUMBER('Master Database'!$H592),N('Master Database'!$H592)&gt;=$H$7)),OR($I$7="",AND(ISNUMBER('Master Database'!$H592),N('Master Database'!$H592)&lt;=$I$7)),OR($H$8="",AND(ISNUMBER('Master Database'!$I592),N('Master Database'!$I592)&gt;=$H$8)),OR($I$8="",AND(ISNUMBER('Master Database'!$I592),N('Master Database'!$I592)&lt;=$I$8)),OR($H$9="",AND(ISNUMBER('Master Database'!$K592),N('Master Database'!$K592)&gt;=$H$9)),OR($I$9="",AND(ISNUMBER('Master Database'!$K592),N('Master Database'!$K592)&lt;=$I$9))),1,0))</f>
        <v>0</v>
      </c>
      <c r="BB592" s="0" t="str">
        <f aca="false">IF(BA592=1,COUNTIF($BA$5:BA592,1),"")</f>
        <v/>
      </c>
    </row>
    <row r="593" customFormat="false" ht="15" hidden="false" customHeight="false" outlineLevel="0" collapsed="false">
      <c r="BA593" s="0" t="n">
        <f aca="false">IF('Master Database'!$A593="",0,IF(AND(OR($B$5="",ISNUMBER(SEARCH($B$5,'Master Database'!$B593&amp;" "&amp;'Master Database'!$D593))),OR($B$6="(All)",'Master Database'!$C593=$B$6),OR($B$7="(All)",'Master Database'!$E593=$B$7),OR($B$8="(All)",'Master Database'!$T593=$B$8),OR($B$9="(All)",'Master Database'!$M593=$B$9),OR($B$10="(All)",'Master Database'!$V593=$B$10),OR($E$5="(All)",'Master Database'!$F593=$E$5),OR($E$6="(All)",'Master Database'!$G593=$E$6),OR($E$7="(All)",'Master Database'!$O593=$E$7),OR($E$8="(All)",'Master Database'!$P593=$E$8),OR($E$9="(All)",'Master Database'!$S593=$E$9),OR($E$10="(All)",'Master Database'!$Y593&amp;""=$E$10&amp;""),OR($H$5="(All)",'Master Database'!$BG593=$H$5),OR($H$6&lt;&gt;"Y",ISNUMBER('Master Database'!$AG593)),OR($H$7="",AND(ISNUMBER('Master Database'!$H593),N('Master Database'!$H593)&gt;=$H$7)),OR($I$7="",AND(ISNUMBER('Master Database'!$H593),N('Master Database'!$H593)&lt;=$I$7)),OR($H$8="",AND(ISNUMBER('Master Database'!$I593),N('Master Database'!$I593)&gt;=$H$8)),OR($I$8="",AND(ISNUMBER('Master Database'!$I593),N('Master Database'!$I593)&lt;=$I$8)),OR($H$9="",AND(ISNUMBER('Master Database'!$K593),N('Master Database'!$K593)&gt;=$H$9)),OR($I$9="",AND(ISNUMBER('Master Database'!$K593),N('Master Database'!$K593)&lt;=$I$9))),1,0))</f>
        <v>0</v>
      </c>
      <c r="BB593" s="0" t="str">
        <f aca="false">IF(BA593=1,COUNTIF($BA$5:BA593,1),"")</f>
        <v/>
      </c>
    </row>
    <row r="594" customFormat="false" ht="15" hidden="false" customHeight="false" outlineLevel="0" collapsed="false">
      <c r="BA594" s="0" t="n">
        <f aca="false">IF('Master Database'!$A594="",0,IF(AND(OR($B$5="",ISNUMBER(SEARCH($B$5,'Master Database'!$B594&amp;" "&amp;'Master Database'!$D594))),OR($B$6="(All)",'Master Database'!$C594=$B$6),OR($B$7="(All)",'Master Database'!$E594=$B$7),OR($B$8="(All)",'Master Database'!$T594=$B$8),OR($B$9="(All)",'Master Database'!$M594=$B$9),OR($B$10="(All)",'Master Database'!$V594=$B$10),OR($E$5="(All)",'Master Database'!$F594=$E$5),OR($E$6="(All)",'Master Database'!$G594=$E$6),OR($E$7="(All)",'Master Database'!$O594=$E$7),OR($E$8="(All)",'Master Database'!$P594=$E$8),OR($E$9="(All)",'Master Database'!$S594=$E$9),OR($E$10="(All)",'Master Database'!$Y594&amp;""=$E$10&amp;""),OR($H$5="(All)",'Master Database'!$BG594=$H$5),OR($H$6&lt;&gt;"Y",ISNUMBER('Master Database'!$AG594)),OR($H$7="",AND(ISNUMBER('Master Database'!$H594),N('Master Database'!$H594)&gt;=$H$7)),OR($I$7="",AND(ISNUMBER('Master Database'!$H594),N('Master Database'!$H594)&lt;=$I$7)),OR($H$8="",AND(ISNUMBER('Master Database'!$I594),N('Master Database'!$I594)&gt;=$H$8)),OR($I$8="",AND(ISNUMBER('Master Database'!$I594),N('Master Database'!$I594)&lt;=$I$8)),OR($H$9="",AND(ISNUMBER('Master Database'!$K594),N('Master Database'!$K594)&gt;=$H$9)),OR($I$9="",AND(ISNUMBER('Master Database'!$K594),N('Master Database'!$K594)&lt;=$I$9))),1,0))</f>
        <v>0</v>
      </c>
      <c r="BB594" s="0" t="str">
        <f aca="false">IF(BA594=1,COUNTIF($BA$5:BA594,1),"")</f>
        <v/>
      </c>
    </row>
    <row r="595" customFormat="false" ht="15" hidden="false" customHeight="false" outlineLevel="0" collapsed="false">
      <c r="BA595" s="0" t="n">
        <f aca="false">IF('Master Database'!$A595="",0,IF(AND(OR($B$5="",ISNUMBER(SEARCH($B$5,'Master Database'!$B595&amp;" "&amp;'Master Database'!$D595))),OR($B$6="(All)",'Master Database'!$C595=$B$6),OR($B$7="(All)",'Master Database'!$E595=$B$7),OR($B$8="(All)",'Master Database'!$T595=$B$8),OR($B$9="(All)",'Master Database'!$M595=$B$9),OR($B$10="(All)",'Master Database'!$V595=$B$10),OR($E$5="(All)",'Master Database'!$F595=$E$5),OR($E$6="(All)",'Master Database'!$G595=$E$6),OR($E$7="(All)",'Master Database'!$O595=$E$7),OR($E$8="(All)",'Master Database'!$P595=$E$8),OR($E$9="(All)",'Master Database'!$S595=$E$9),OR($E$10="(All)",'Master Database'!$Y595&amp;""=$E$10&amp;""),OR($H$5="(All)",'Master Database'!$BG595=$H$5),OR($H$6&lt;&gt;"Y",ISNUMBER('Master Database'!$AG595)),OR($H$7="",AND(ISNUMBER('Master Database'!$H595),N('Master Database'!$H595)&gt;=$H$7)),OR($I$7="",AND(ISNUMBER('Master Database'!$H595),N('Master Database'!$H595)&lt;=$I$7)),OR($H$8="",AND(ISNUMBER('Master Database'!$I595),N('Master Database'!$I595)&gt;=$H$8)),OR($I$8="",AND(ISNUMBER('Master Database'!$I595),N('Master Database'!$I595)&lt;=$I$8)),OR($H$9="",AND(ISNUMBER('Master Database'!$K595),N('Master Database'!$K595)&gt;=$H$9)),OR($I$9="",AND(ISNUMBER('Master Database'!$K595),N('Master Database'!$K595)&lt;=$I$9))),1,0))</f>
        <v>0</v>
      </c>
      <c r="BB595" s="0" t="str">
        <f aca="false">IF(BA595=1,COUNTIF($BA$5:BA595,1),"")</f>
        <v/>
      </c>
    </row>
    <row r="596" customFormat="false" ht="15" hidden="false" customHeight="false" outlineLevel="0" collapsed="false">
      <c r="BA596" s="0" t="n">
        <f aca="false">IF('Master Database'!$A596="",0,IF(AND(OR($B$5="",ISNUMBER(SEARCH($B$5,'Master Database'!$B596&amp;" "&amp;'Master Database'!$D596))),OR($B$6="(All)",'Master Database'!$C596=$B$6),OR($B$7="(All)",'Master Database'!$E596=$B$7),OR($B$8="(All)",'Master Database'!$T596=$B$8),OR($B$9="(All)",'Master Database'!$M596=$B$9),OR($B$10="(All)",'Master Database'!$V596=$B$10),OR($E$5="(All)",'Master Database'!$F596=$E$5),OR($E$6="(All)",'Master Database'!$G596=$E$6),OR($E$7="(All)",'Master Database'!$O596=$E$7),OR($E$8="(All)",'Master Database'!$P596=$E$8),OR($E$9="(All)",'Master Database'!$S596=$E$9),OR($E$10="(All)",'Master Database'!$Y596&amp;""=$E$10&amp;""),OR($H$5="(All)",'Master Database'!$BG596=$H$5),OR($H$6&lt;&gt;"Y",ISNUMBER('Master Database'!$AG596)),OR($H$7="",AND(ISNUMBER('Master Database'!$H596),N('Master Database'!$H596)&gt;=$H$7)),OR($I$7="",AND(ISNUMBER('Master Database'!$H596),N('Master Database'!$H596)&lt;=$I$7)),OR($H$8="",AND(ISNUMBER('Master Database'!$I596),N('Master Database'!$I596)&gt;=$H$8)),OR($I$8="",AND(ISNUMBER('Master Database'!$I596),N('Master Database'!$I596)&lt;=$I$8)),OR($H$9="",AND(ISNUMBER('Master Database'!$K596),N('Master Database'!$K596)&gt;=$H$9)),OR($I$9="",AND(ISNUMBER('Master Database'!$K596),N('Master Database'!$K596)&lt;=$I$9))),1,0))</f>
        <v>0</v>
      </c>
      <c r="BB596" s="0" t="str">
        <f aca="false">IF(BA596=1,COUNTIF($BA$5:BA596,1),"")</f>
        <v/>
      </c>
    </row>
    <row r="597" customFormat="false" ht="15" hidden="false" customHeight="false" outlineLevel="0" collapsed="false">
      <c r="BA597" s="0" t="n">
        <f aca="false">IF('Master Database'!$A597="",0,IF(AND(OR($B$5="",ISNUMBER(SEARCH($B$5,'Master Database'!$B597&amp;" "&amp;'Master Database'!$D597))),OR($B$6="(All)",'Master Database'!$C597=$B$6),OR($B$7="(All)",'Master Database'!$E597=$B$7),OR($B$8="(All)",'Master Database'!$T597=$B$8),OR($B$9="(All)",'Master Database'!$M597=$B$9),OR($B$10="(All)",'Master Database'!$V597=$B$10),OR($E$5="(All)",'Master Database'!$F597=$E$5),OR($E$6="(All)",'Master Database'!$G597=$E$6),OR($E$7="(All)",'Master Database'!$O597=$E$7),OR($E$8="(All)",'Master Database'!$P597=$E$8),OR($E$9="(All)",'Master Database'!$S597=$E$9),OR($E$10="(All)",'Master Database'!$Y597&amp;""=$E$10&amp;""),OR($H$5="(All)",'Master Database'!$BG597=$H$5),OR($H$6&lt;&gt;"Y",ISNUMBER('Master Database'!$AG597)),OR($H$7="",AND(ISNUMBER('Master Database'!$H597),N('Master Database'!$H597)&gt;=$H$7)),OR($I$7="",AND(ISNUMBER('Master Database'!$H597),N('Master Database'!$H597)&lt;=$I$7)),OR($H$8="",AND(ISNUMBER('Master Database'!$I597),N('Master Database'!$I597)&gt;=$H$8)),OR($I$8="",AND(ISNUMBER('Master Database'!$I597),N('Master Database'!$I597)&lt;=$I$8)),OR($H$9="",AND(ISNUMBER('Master Database'!$K597),N('Master Database'!$K597)&gt;=$H$9)),OR($I$9="",AND(ISNUMBER('Master Database'!$K597),N('Master Database'!$K597)&lt;=$I$9))),1,0))</f>
        <v>0</v>
      </c>
      <c r="BB597" s="0" t="str">
        <f aca="false">IF(BA597=1,COUNTIF($BA$5:BA597,1),"")</f>
        <v/>
      </c>
    </row>
    <row r="598" customFormat="false" ht="15" hidden="false" customHeight="false" outlineLevel="0" collapsed="false">
      <c r="BA598" s="0" t="n">
        <f aca="false">IF('Master Database'!$A598="",0,IF(AND(OR($B$5="",ISNUMBER(SEARCH($B$5,'Master Database'!$B598&amp;" "&amp;'Master Database'!$D598))),OR($B$6="(All)",'Master Database'!$C598=$B$6),OR($B$7="(All)",'Master Database'!$E598=$B$7),OR($B$8="(All)",'Master Database'!$T598=$B$8),OR($B$9="(All)",'Master Database'!$M598=$B$9),OR($B$10="(All)",'Master Database'!$V598=$B$10),OR($E$5="(All)",'Master Database'!$F598=$E$5),OR($E$6="(All)",'Master Database'!$G598=$E$6),OR($E$7="(All)",'Master Database'!$O598=$E$7),OR($E$8="(All)",'Master Database'!$P598=$E$8),OR($E$9="(All)",'Master Database'!$S598=$E$9),OR($E$10="(All)",'Master Database'!$Y598&amp;""=$E$10&amp;""),OR($H$5="(All)",'Master Database'!$BG598=$H$5),OR($H$6&lt;&gt;"Y",ISNUMBER('Master Database'!$AG598)),OR($H$7="",AND(ISNUMBER('Master Database'!$H598),N('Master Database'!$H598)&gt;=$H$7)),OR($I$7="",AND(ISNUMBER('Master Database'!$H598),N('Master Database'!$H598)&lt;=$I$7)),OR($H$8="",AND(ISNUMBER('Master Database'!$I598),N('Master Database'!$I598)&gt;=$H$8)),OR($I$8="",AND(ISNUMBER('Master Database'!$I598),N('Master Database'!$I598)&lt;=$I$8)),OR($H$9="",AND(ISNUMBER('Master Database'!$K598),N('Master Database'!$K598)&gt;=$H$9)),OR($I$9="",AND(ISNUMBER('Master Database'!$K598),N('Master Database'!$K598)&lt;=$I$9))),1,0))</f>
        <v>0</v>
      </c>
      <c r="BB598" s="0" t="str">
        <f aca="false">IF(BA598=1,COUNTIF($BA$5:BA598,1),"")</f>
        <v/>
      </c>
    </row>
    <row r="599" customFormat="false" ht="15" hidden="false" customHeight="false" outlineLevel="0" collapsed="false">
      <c r="BA599" s="0" t="n">
        <f aca="false">IF('Master Database'!$A599="",0,IF(AND(OR($B$5="",ISNUMBER(SEARCH($B$5,'Master Database'!$B599&amp;" "&amp;'Master Database'!$D599))),OR($B$6="(All)",'Master Database'!$C599=$B$6),OR($B$7="(All)",'Master Database'!$E599=$B$7),OR($B$8="(All)",'Master Database'!$T599=$B$8),OR($B$9="(All)",'Master Database'!$M599=$B$9),OR($B$10="(All)",'Master Database'!$V599=$B$10),OR($E$5="(All)",'Master Database'!$F599=$E$5),OR($E$6="(All)",'Master Database'!$G599=$E$6),OR($E$7="(All)",'Master Database'!$O599=$E$7),OR($E$8="(All)",'Master Database'!$P599=$E$8),OR($E$9="(All)",'Master Database'!$S599=$E$9),OR($E$10="(All)",'Master Database'!$Y599&amp;""=$E$10&amp;""),OR($H$5="(All)",'Master Database'!$BG599=$H$5),OR($H$6&lt;&gt;"Y",ISNUMBER('Master Database'!$AG599)),OR($H$7="",AND(ISNUMBER('Master Database'!$H599),N('Master Database'!$H599)&gt;=$H$7)),OR($I$7="",AND(ISNUMBER('Master Database'!$H599),N('Master Database'!$H599)&lt;=$I$7)),OR($H$8="",AND(ISNUMBER('Master Database'!$I599),N('Master Database'!$I599)&gt;=$H$8)),OR($I$8="",AND(ISNUMBER('Master Database'!$I599),N('Master Database'!$I599)&lt;=$I$8)),OR($H$9="",AND(ISNUMBER('Master Database'!$K599),N('Master Database'!$K599)&gt;=$H$9)),OR($I$9="",AND(ISNUMBER('Master Database'!$K599),N('Master Database'!$K599)&lt;=$I$9))),1,0))</f>
        <v>0</v>
      </c>
      <c r="BB599" s="0" t="str">
        <f aca="false">IF(BA599=1,COUNTIF($BA$5:BA599,1),"")</f>
        <v/>
      </c>
    </row>
    <row r="600" customFormat="false" ht="15" hidden="false" customHeight="false" outlineLevel="0" collapsed="false">
      <c r="BA600" s="0" t="n">
        <f aca="false">IF('Master Database'!$A600="",0,IF(AND(OR($B$5="",ISNUMBER(SEARCH($B$5,'Master Database'!$B600&amp;" "&amp;'Master Database'!$D600))),OR($B$6="(All)",'Master Database'!$C600=$B$6),OR($B$7="(All)",'Master Database'!$E600=$B$7),OR($B$8="(All)",'Master Database'!$T600=$B$8),OR($B$9="(All)",'Master Database'!$M600=$B$9),OR($B$10="(All)",'Master Database'!$V600=$B$10),OR($E$5="(All)",'Master Database'!$F600=$E$5),OR($E$6="(All)",'Master Database'!$G600=$E$6),OR($E$7="(All)",'Master Database'!$O600=$E$7),OR($E$8="(All)",'Master Database'!$P600=$E$8),OR($E$9="(All)",'Master Database'!$S600=$E$9),OR($E$10="(All)",'Master Database'!$Y600&amp;""=$E$10&amp;""),OR($H$5="(All)",'Master Database'!$BG600=$H$5),OR($H$6&lt;&gt;"Y",ISNUMBER('Master Database'!$AG600)),OR($H$7="",AND(ISNUMBER('Master Database'!$H600),N('Master Database'!$H600)&gt;=$H$7)),OR($I$7="",AND(ISNUMBER('Master Database'!$H600),N('Master Database'!$H600)&lt;=$I$7)),OR($H$8="",AND(ISNUMBER('Master Database'!$I600),N('Master Database'!$I600)&gt;=$H$8)),OR($I$8="",AND(ISNUMBER('Master Database'!$I600),N('Master Database'!$I600)&lt;=$I$8)),OR($H$9="",AND(ISNUMBER('Master Database'!$K600),N('Master Database'!$K600)&gt;=$H$9)),OR($I$9="",AND(ISNUMBER('Master Database'!$K600),N('Master Database'!$K600)&lt;=$I$9))),1,0))</f>
        <v>0</v>
      </c>
      <c r="BB600" s="0" t="str">
        <f aca="false">IF(BA600=1,COUNTIF($BA$5:BA600,1),"")</f>
        <v/>
      </c>
    </row>
  </sheetData>
  <conditionalFormatting sqref="A16:X215">
    <cfRule type="expression" priority="2" aboveAverage="0" equalAverage="0" bottom="0" percent="0" rank="0" text="" dxfId="7">
      <formula>AND($A16&lt;&gt;"",MOD($A16,2)=0)</formula>
    </cfRule>
  </conditionalFormatting>
  <dataValidations count="12">
    <dataValidation allowBlank="true" errorStyle="stop" operator="between" showDropDown="false" showErrorMessage="false" showInputMessage="false" sqref="B6" type="list">
      <formula1>Lookup_Codes!$X$5:$X$11</formula1>
      <formula2>0</formula2>
    </dataValidation>
    <dataValidation allowBlank="true" errorStyle="stop" operator="between" showDropDown="false" showErrorMessage="false" showInputMessage="false" sqref="B7" type="list">
      <formula1>Lookup_Codes!$Y$5:$Y$11</formula1>
      <formula2>0</formula2>
    </dataValidation>
    <dataValidation allowBlank="true" errorStyle="stop" operator="between" showDropDown="false" showErrorMessage="false" showInputMessage="false" sqref="B8" type="list">
      <formula1>Lookup_Codes!$Z$5:$Z$18</formula1>
      <formula2>0</formula2>
    </dataValidation>
    <dataValidation allowBlank="true" errorStyle="stop" operator="between" showDropDown="false" showErrorMessage="false" showInputMessage="false" sqref="B9" type="list">
      <formula1>Lookup_Codes!$AA$5:$AA$16</formula1>
      <formula2>0</formula2>
    </dataValidation>
    <dataValidation allowBlank="true" errorStyle="stop" operator="between" showDropDown="false" showErrorMessage="false" showInputMessage="false" sqref="B10" type="list">
      <formula1>Lookup_Codes!$AB$5:$AB$17</formula1>
      <formula2>0</formula2>
    </dataValidation>
    <dataValidation allowBlank="true" errorStyle="stop" operator="between" showDropDown="false" showErrorMessage="false" showInputMessage="false" sqref="E5" type="list">
      <formula1>Lookup_Codes!$AC$5:$AC$28</formula1>
      <formula2>0</formula2>
    </dataValidation>
    <dataValidation allowBlank="true" errorStyle="stop" operator="between" showDropDown="false" showErrorMessage="false" showInputMessage="false" sqref="E6" type="list">
      <formula1>Lookup_Codes!$AD$5:$AD$21</formula1>
      <formula2>0</formula2>
    </dataValidation>
    <dataValidation allowBlank="true" errorStyle="stop" operator="between" showDropDown="false" showErrorMessage="false" showInputMessage="false" sqref="E7" type="list">
      <formula1>Lookup_Codes!$AE$5:$AE$8</formula1>
      <formula2>0</formula2>
    </dataValidation>
    <dataValidation allowBlank="true" errorStyle="stop" operator="between" showDropDown="false" showErrorMessage="false" showInputMessage="false" sqref="E8" type="list">
      <formula1>Lookup_Codes!$AF$5:$AF$12</formula1>
      <formula2>0</formula2>
    </dataValidation>
    <dataValidation allowBlank="true" errorStyle="stop" operator="between" showDropDown="false" showErrorMessage="false" showInputMessage="false" sqref="E9" type="list">
      <formula1>Lookup_Codes!$AG$5:$AG$11</formula1>
      <formula2>0</formula2>
    </dataValidation>
    <dataValidation allowBlank="true" errorStyle="stop" operator="between" showDropDown="false" showErrorMessage="false" showInputMessage="false" sqref="E10" type="list">
      <formula1>Lookup_Codes!$AH$5:$AH$9</formula1>
      <formula2>0</formula2>
    </dataValidation>
    <dataValidation allowBlank="true" errorStyle="stop" operator="between" showDropDown="false" showErrorMessage="false" showInputMessage="false" sqref="H5:H6" type="list">
      <formula1>Lookup_Codes!$AI$5:$AI$7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4"/>
    <col collapsed="false" customWidth="true" hidden="false" outlineLevel="0" max="4" min="4" style="0" width="32"/>
    <col collapsed="false" customWidth="true" hidden="false" outlineLevel="0" max="5" min="5" style="0" width="9"/>
    <col collapsed="false" customWidth="true" hidden="false" outlineLevel="0" max="6" min="6" style="0" width="24"/>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8"/>
    <col collapsed="false" customWidth="true" hidden="false" outlineLevel="0" max="11" min="11" style="0" width="10"/>
    <col collapsed="false" customWidth="true" hidden="false" outlineLevel="0" max="12" min="12" style="0" width="8"/>
    <col collapsed="false" customWidth="true" hidden="false" outlineLevel="0" max="13" min="13" style="0" width="13"/>
    <col collapsed="false" customWidth="true" hidden="false" outlineLevel="0" max="14" min="14" style="0" width="8"/>
    <col collapsed="false" customWidth="true" hidden="false" outlineLevel="0" max="15" min="15" style="0" width="13"/>
    <col collapsed="false" customWidth="true" hidden="false" outlineLevel="0" max="16" min="16" style="0" width="9"/>
    <col collapsed="false" customWidth="true" hidden="false" outlineLevel="0" max="21" min="17" style="0" width="8"/>
    <col collapsed="false" customWidth="true" hidden="false" outlineLevel="0" max="22" min="22" style="0" width="34"/>
  </cols>
  <sheetData>
    <row r="1" customFormat="false" ht="18" hidden="false" customHeight="true" outlineLevel="0" collapsed="false">
      <c r="A1" s="7" t="s">
        <v>911</v>
      </c>
    </row>
    <row r="2" customFormat="false" ht="15" hidden="false" customHeight="false" outlineLevel="0" collapsed="false">
      <c r="A2" s="8" t="s">
        <v>912</v>
      </c>
    </row>
    <row r="4" customFormat="false" ht="36" hidden="false" customHeight="true" outlineLevel="0" collapsed="false">
      <c r="A4" s="39" t="s">
        <v>913</v>
      </c>
      <c r="B4" s="39" t="s">
        <v>914</v>
      </c>
      <c r="C4" s="41" t="s">
        <v>915</v>
      </c>
      <c r="D4" s="41" t="s">
        <v>916</v>
      </c>
      <c r="E4" s="40" t="s">
        <v>917</v>
      </c>
      <c r="F4" s="41" t="s">
        <v>918</v>
      </c>
      <c r="G4" s="41" t="s">
        <v>919</v>
      </c>
      <c r="H4" s="40" t="s">
        <v>920</v>
      </c>
      <c r="I4" s="39" t="s">
        <v>921</v>
      </c>
      <c r="J4" s="39" t="s">
        <v>922</v>
      </c>
      <c r="K4" s="40" t="s">
        <v>197</v>
      </c>
      <c r="L4" s="40" t="s">
        <v>923</v>
      </c>
      <c r="M4" s="39" t="s">
        <v>924</v>
      </c>
      <c r="N4" s="40" t="s">
        <v>925</v>
      </c>
      <c r="O4" s="41" t="s">
        <v>926</v>
      </c>
      <c r="P4" s="39" t="s">
        <v>927</v>
      </c>
      <c r="Q4" s="40" t="s">
        <v>928</v>
      </c>
      <c r="R4" s="40" t="s">
        <v>929</v>
      </c>
      <c r="S4" s="40" t="s">
        <v>930</v>
      </c>
      <c r="T4" s="40" t="s">
        <v>931</v>
      </c>
      <c r="U4" s="40" t="s">
        <v>932</v>
      </c>
      <c r="V4" s="39" t="s">
        <v>933</v>
      </c>
    </row>
    <row r="5" customFormat="false" ht="15" hidden="false" customHeight="false" outlineLevel="0" collapsed="false">
      <c r="A5" s="71" t="s">
        <v>934</v>
      </c>
      <c r="B5" s="71" t="s">
        <v>935</v>
      </c>
      <c r="C5" s="71" t="s">
        <v>121</v>
      </c>
      <c r="D5" s="71" t="s">
        <v>121</v>
      </c>
      <c r="E5" s="71" t="s">
        <v>936</v>
      </c>
      <c r="F5" s="71" t="str">
        <f aca="false">IF(E5="","",IFERROR(INDEX(Vendor_Register!$B$5:$B$205,MATCH(E5,Vendor_Register!$A$5:$A$205,0)),"(not in register)"))</f>
        <v>(Example vendor)</v>
      </c>
      <c r="G5" s="71" t="str">
        <f aca="false">IF(E5="","",IFERROR(INDEX(Vendor_Register!$E$5:$E$205,MATCH(E5,Vendor_Register!$A$5:$A$205,0)),"(not in register)"))</f>
        <v>NIOC/NISOC Approved</v>
      </c>
      <c r="H5" s="71" t="n">
        <v>1404</v>
      </c>
      <c r="I5" s="71" t="s">
        <v>937</v>
      </c>
      <c r="J5" s="71" t="n">
        <v>90</v>
      </c>
      <c r="K5" s="71" t="s">
        <v>208</v>
      </c>
      <c r="L5" s="71" t="s">
        <v>363</v>
      </c>
      <c r="M5" s="72" t="n">
        <v>317500</v>
      </c>
      <c r="N5" s="71" t="s">
        <v>369</v>
      </c>
      <c r="O5" s="72" t="n">
        <f aca="false">IF(NOT(ISNUMBER(M5)),"",IFERROR(IF(L5="EUR",M5,IF(L5="IRR",M5/INDEX('Assumptions &amp; FX Reference'!$C$5:$C$25,MATCH(H5,'Assumptions &amp; FX Reference'!$A$5:$A$25,0)),IF(L5="USD",M5*INDEX('Assumptions &amp; FX Reference'!$B$5:$B$25,MATCH(H5,'Assumptions &amp; FX Reference'!$A$5:$A$25,0))/INDEX('Assumptions &amp; FX Reference'!$C$5:$C$25,MATCH(H5,'Assumptions &amp; FX Reference'!$A$5:$A$25,0)),""))),"(FX missing)"))</f>
        <v>317500</v>
      </c>
      <c r="P5" s="71" t="n">
        <v>32</v>
      </c>
      <c r="Q5" s="71" t="s">
        <v>369</v>
      </c>
      <c r="R5" s="71" t="s">
        <v>369</v>
      </c>
      <c r="S5" s="71" t="s">
        <v>369</v>
      </c>
      <c r="T5" s="71" t="s">
        <v>369</v>
      </c>
      <c r="U5" s="71" t="s">
        <v>312</v>
      </c>
      <c r="V5" s="71" t="s">
        <v>938</v>
      </c>
    </row>
    <row r="6" customFormat="false" ht="15" hidden="false" customHeight="false" outlineLevel="0" collapsed="false">
      <c r="A6" s="42" t="s">
        <v>939</v>
      </c>
      <c r="B6" s="42" t="n">
        <v>94</v>
      </c>
      <c r="C6" s="45" t="str">
        <f aca="false">IF(B6="","",IFERROR(INDEX('Master Database'!$D$5:$D$600,MATCH(B6,'Master Database'!$A$5:$A$600,0)),"(row not found)"))</f>
        <v>P-111 A/B</v>
      </c>
      <c r="D6" s="45" t="str">
        <f aca="false">IF(B6="","",IFERROR(INDEX('Master Database'!$B$5:$B$600,MATCH(B6,'Master Database'!$A$5:$A$600,0)),"(row not found)"))</f>
        <v>Off Spec. Crude Pumps</v>
      </c>
      <c r="E6" s="42" t="s">
        <v>940</v>
      </c>
      <c r="F6" s="45" t="str">
        <f aca="false">IF(E6="","",IFERROR(INDEX(Vendor_Register!$B$5:$B$205,MATCH(E6,Vendor_Register!$A$5:$A$205,0)),"(not in register)"))</f>
        <v>آریا سپهر کیهان</v>
      </c>
      <c r="G6" s="45" t="str">
        <f aca="false">IF(E6="","",IFERROR(INDEX(Vendor_Register!$E$5:$E$205,MATCH(E6,Vendor_Register!$A$5:$A$205,0)),"(not in register)"))</f>
        <v>Not checked</v>
      </c>
      <c r="H6" s="42" t="n">
        <v>1403</v>
      </c>
      <c r="I6" s="42" t="s">
        <v>941</v>
      </c>
      <c r="J6" s="42"/>
      <c r="K6" s="50" t="s">
        <v>208</v>
      </c>
      <c r="L6" s="42" t="s">
        <v>363</v>
      </c>
      <c r="M6" s="46" t="n">
        <v>43000</v>
      </c>
      <c r="N6" s="42" t="s">
        <v>942</v>
      </c>
      <c r="O6" s="47" t="n">
        <f aca="false">IF(NOT(ISNUMBER(M6)),"",IFERROR(IF(L6="EUR",M6,IF(L6="IRR",M6/INDEX('Assumptions &amp; FX Reference'!$C$5:$C$25,MATCH(H6,'Assumptions &amp; FX Reference'!$A$5:$A$25,0)),IF(L6="USD",M6*INDEX('Assumptions &amp; FX Reference'!$B$5:$B$25,MATCH(H6,'Assumptions &amp; FX Reference'!$A$5:$A$25,0))/INDEX('Assumptions &amp; FX Reference'!$C$5:$C$25,MATCH(H6,'Assumptions &amp; FX Reference'!$A$5:$A$25,0)),""))),"(FX missing)"))</f>
        <v>43000</v>
      </c>
      <c r="P6" s="42"/>
      <c r="Q6" s="42"/>
      <c r="R6" s="42"/>
      <c r="S6" s="42"/>
      <c r="T6" s="42"/>
      <c r="U6" s="42"/>
      <c r="V6" s="42" t="s">
        <v>943</v>
      </c>
    </row>
    <row r="7" customFormat="false" ht="15" hidden="false" customHeight="false" outlineLevel="0" collapsed="false">
      <c r="A7" s="42" t="s">
        <v>944</v>
      </c>
      <c r="B7" s="42" t="n">
        <v>94</v>
      </c>
      <c r="C7" s="45" t="str">
        <f aca="false">IF(B7="","",IFERROR(INDEX('Master Database'!$D$5:$D$600,MATCH(B7,'Master Database'!$A$5:$A$600,0)),"(row not found)"))</f>
        <v>P-111 A/B</v>
      </c>
      <c r="D7" s="45" t="str">
        <f aca="false">IF(B7="","",IFERROR(INDEX('Master Database'!$B$5:$B$600,MATCH(B7,'Master Database'!$A$5:$A$600,0)),"(row not found)"))</f>
        <v>Off Spec. Crude Pumps</v>
      </c>
      <c r="E7" s="42" t="s">
        <v>945</v>
      </c>
      <c r="F7" s="45" t="str">
        <f aca="false">IF(E7="","",IFERROR(INDEX(Vendor_Register!$B$5:$B$205,MATCH(E7,Vendor_Register!$A$5:$A$205,0)),"(not in register)"))</f>
        <v>پمپیران</v>
      </c>
      <c r="G7" s="45" t="str">
        <f aca="false">IF(E7="","",IFERROR(INDEX(Vendor_Register!$E$5:$E$205,MATCH(E7,Vendor_Register!$A$5:$A$205,0)),"(not in register)"))</f>
        <v>Not checked</v>
      </c>
      <c r="H7" s="42" t="n">
        <v>1404</v>
      </c>
      <c r="I7" s="42" t="s">
        <v>946</v>
      </c>
      <c r="J7" s="42"/>
      <c r="K7" s="50" t="s">
        <v>208</v>
      </c>
      <c r="L7" s="42" t="s">
        <v>363</v>
      </c>
      <c r="M7" s="46" t="n">
        <v>180000</v>
      </c>
      <c r="N7" s="42" t="s">
        <v>942</v>
      </c>
      <c r="O7" s="47" t="n">
        <f aca="false">IF(NOT(ISNUMBER(M7)),"",IFERROR(IF(L7="EUR",M7,IF(L7="IRR",M7/INDEX('Assumptions &amp; FX Reference'!$C$5:$C$25,MATCH(H7,'Assumptions &amp; FX Reference'!$A$5:$A$25,0)),IF(L7="USD",M7*INDEX('Assumptions &amp; FX Reference'!$B$5:$B$25,MATCH(H7,'Assumptions &amp; FX Reference'!$A$5:$A$25,0))/INDEX('Assumptions &amp; FX Reference'!$C$5:$C$25,MATCH(H7,'Assumptions &amp; FX Reference'!$A$5:$A$25,0)),""))),"(FX missing)"))</f>
        <v>180000</v>
      </c>
      <c r="P7" s="42"/>
      <c r="Q7" s="42"/>
      <c r="R7" s="42"/>
      <c r="S7" s="42"/>
      <c r="T7" s="42"/>
      <c r="U7" s="42"/>
      <c r="V7" s="42" t="s">
        <v>947</v>
      </c>
    </row>
    <row r="8" customFormat="false" ht="15" hidden="false" customHeight="false" outlineLevel="0" collapsed="false">
      <c r="A8" s="42" t="s">
        <v>948</v>
      </c>
      <c r="B8" s="42" t="n">
        <v>94</v>
      </c>
      <c r="C8" s="45" t="str">
        <f aca="false">IF(B8="","",IFERROR(INDEX('Master Database'!$D$5:$D$600,MATCH(B8,'Master Database'!$A$5:$A$600,0)),"(row not found)"))</f>
        <v>P-111 A/B</v>
      </c>
      <c r="D8" s="45" t="str">
        <f aca="false">IF(B8="","",IFERROR(INDEX('Master Database'!$B$5:$B$600,MATCH(B8,'Master Database'!$A$5:$A$600,0)),"(row not found)"))</f>
        <v>Off Spec. Crude Pumps</v>
      </c>
      <c r="E8" s="42" t="s">
        <v>949</v>
      </c>
      <c r="F8" s="45" t="str">
        <f aca="false">IF(E8="","",IFERROR(INDEX(Vendor_Register!$B$5:$B$205,MATCH(E8,Vendor_Register!$A$5:$A$205,0)),"(not in register)"))</f>
        <v>کالای پمپ</v>
      </c>
      <c r="G8" s="45" t="str">
        <f aca="false">IF(E8="","",IFERROR(INDEX(Vendor_Register!$E$5:$E$205,MATCH(E8,Vendor_Register!$A$5:$A$205,0)),"(not in register)"))</f>
        <v>Not checked</v>
      </c>
      <c r="H8" s="42"/>
      <c r="I8" s="42"/>
      <c r="J8" s="42"/>
      <c r="K8" s="42"/>
      <c r="L8" s="42"/>
      <c r="M8" s="46"/>
      <c r="N8" s="42"/>
      <c r="O8" s="47" t="str">
        <f aca="false">IF(NOT(ISNUMBER(M8)),"",IFERROR(IF(L8="EUR",M8,IF(L8="IRR",M8/INDEX('Assumptions &amp; FX Reference'!$C$5:$C$25,MATCH(H8,'Assumptions &amp; FX Reference'!$A$5:$A$25,0)),IF(L8="USD",M8*INDEX('Assumptions &amp; FX Reference'!$B$5:$B$25,MATCH(H8,'Assumptions &amp; FX Reference'!$A$5:$A$25,0))/INDEX('Assumptions &amp; FX Reference'!$C$5:$C$25,MATCH(H8,'Assumptions &amp; FX Reference'!$A$5:$A$25,0)),""))),"(FX missing)"))</f>
        <v/>
      </c>
      <c r="P8" s="42"/>
      <c r="Q8" s="42"/>
      <c r="R8" s="42"/>
      <c r="S8" s="42"/>
      <c r="T8" s="42"/>
      <c r="U8" s="42"/>
      <c r="V8" s="42" t="s">
        <v>950</v>
      </c>
    </row>
    <row r="9" customFormat="false" ht="15" hidden="false" customHeight="false" outlineLevel="0" collapsed="false">
      <c r="A9" s="42" t="s">
        <v>951</v>
      </c>
      <c r="B9" s="42" t="n">
        <v>94</v>
      </c>
      <c r="C9" s="45" t="str">
        <f aca="false">IF(B9="","",IFERROR(INDEX('Master Database'!$D$5:$D$600,MATCH(B9,'Master Database'!$A$5:$A$600,0)),"(row not found)"))</f>
        <v>P-111 A/B</v>
      </c>
      <c r="D9" s="45" t="str">
        <f aca="false">IF(B9="","",IFERROR(INDEX('Master Database'!$B$5:$B$600,MATCH(B9,'Master Database'!$A$5:$A$600,0)),"(row not found)"))</f>
        <v>Off Spec. Crude Pumps</v>
      </c>
      <c r="E9" s="42" t="s">
        <v>952</v>
      </c>
      <c r="F9" s="45" t="str">
        <f aca="false">IF(E9="","",IFERROR(INDEX(Vendor_Register!$B$5:$B$205,MATCH(E9,Vendor_Register!$A$5:$A$205,0)),"(not in register)"))</f>
        <v>دالاهو پارس کیش (دمکو)</v>
      </c>
      <c r="G9" s="45" t="str">
        <f aca="false">IF(E9="","",IFERROR(INDEX(Vendor_Register!$E$5:$E$205,MATCH(E9,Vendor_Register!$A$5:$A$205,0)),"(not in register)"))</f>
        <v>Not checked</v>
      </c>
      <c r="H9" s="42"/>
      <c r="I9" s="42"/>
      <c r="J9" s="42"/>
      <c r="K9" s="42"/>
      <c r="L9" s="42"/>
      <c r="M9" s="46"/>
      <c r="N9" s="42"/>
      <c r="O9" s="47" t="str">
        <f aca="false">IF(NOT(ISNUMBER(M9)),"",IFERROR(IF(L9="EUR",M9,IF(L9="IRR",M9/INDEX('Assumptions &amp; FX Reference'!$C$5:$C$25,MATCH(H9,'Assumptions &amp; FX Reference'!$A$5:$A$25,0)),IF(L9="USD",M9*INDEX('Assumptions &amp; FX Reference'!$B$5:$B$25,MATCH(H9,'Assumptions &amp; FX Reference'!$A$5:$A$25,0))/INDEX('Assumptions &amp; FX Reference'!$C$5:$C$25,MATCH(H9,'Assumptions &amp; FX Reference'!$A$5:$A$25,0)),""))),"(FX missing)"))</f>
        <v/>
      </c>
      <c r="P9" s="42"/>
      <c r="Q9" s="42"/>
      <c r="R9" s="42"/>
      <c r="S9" s="42"/>
      <c r="T9" s="42"/>
      <c r="U9" s="42"/>
      <c r="V9" s="42" t="s">
        <v>953</v>
      </c>
    </row>
    <row r="10" customFormat="false" ht="15" hidden="false" customHeight="false" outlineLevel="0" collapsed="false">
      <c r="A10" s="42" t="s">
        <v>954</v>
      </c>
      <c r="B10" s="42" t="n">
        <v>95</v>
      </c>
      <c r="C10" s="45" t="str">
        <f aca="false">IF(B10="","",IFERROR(INDEX('Master Database'!$D$5:$D$600,MATCH(B10,'Master Database'!$A$5:$A$600,0)),"(row not found)"))</f>
        <v>P-122 A/B</v>
      </c>
      <c r="D10" s="45" t="str">
        <f aca="false">IF(B10="","",IFERROR(INDEX('Master Database'!$B$5:$B$600,MATCH(B10,'Master Database'!$A$5:$A$600,0)),"(row not found)"))</f>
        <v>Deaerated Water Pumps</v>
      </c>
      <c r="E10" s="42" t="s">
        <v>940</v>
      </c>
      <c r="F10" s="45" t="str">
        <f aca="false">IF(E10="","",IFERROR(INDEX(Vendor_Register!$B$5:$B$205,MATCH(E10,Vendor_Register!$A$5:$A$205,0)),"(not in register)"))</f>
        <v>آریا سپهر کیهان</v>
      </c>
      <c r="G10" s="45" t="str">
        <f aca="false">IF(E10="","",IFERROR(INDEX(Vendor_Register!$E$5:$E$205,MATCH(E10,Vendor_Register!$A$5:$A$205,0)),"(not in register)"))</f>
        <v>Not checked</v>
      </c>
      <c r="H10" s="42" t="n">
        <v>1403</v>
      </c>
      <c r="I10" s="42" t="s">
        <v>941</v>
      </c>
      <c r="J10" s="42"/>
      <c r="K10" s="50" t="s">
        <v>208</v>
      </c>
      <c r="L10" s="42" t="s">
        <v>363</v>
      </c>
      <c r="M10" s="46" t="n">
        <v>14100</v>
      </c>
      <c r="N10" s="42" t="s">
        <v>942</v>
      </c>
      <c r="O10" s="47" t="n">
        <f aca="false">IF(NOT(ISNUMBER(M10)),"",IFERROR(IF(L10="EUR",M10,IF(L10="IRR",M10/INDEX('Assumptions &amp; FX Reference'!$C$5:$C$25,MATCH(H10,'Assumptions &amp; FX Reference'!$A$5:$A$25,0)),IF(L10="USD",M10*INDEX('Assumptions &amp; FX Reference'!$B$5:$B$25,MATCH(H10,'Assumptions &amp; FX Reference'!$A$5:$A$25,0))/INDEX('Assumptions &amp; FX Reference'!$C$5:$C$25,MATCH(H10,'Assumptions &amp; FX Reference'!$A$5:$A$25,0)),""))),"(FX missing)"))</f>
        <v>14100</v>
      </c>
      <c r="P10" s="42"/>
      <c r="Q10" s="42"/>
      <c r="R10" s="42"/>
      <c r="S10" s="42"/>
      <c r="T10" s="42"/>
      <c r="U10" s="42"/>
      <c r="V10" s="42" t="s">
        <v>955</v>
      </c>
    </row>
    <row r="11" customFormat="false" ht="15" hidden="false" customHeight="false" outlineLevel="0" collapsed="false">
      <c r="A11" s="42" t="s">
        <v>956</v>
      </c>
      <c r="B11" s="42" t="n">
        <v>95</v>
      </c>
      <c r="C11" s="45" t="str">
        <f aca="false">IF(B11="","",IFERROR(INDEX('Master Database'!$D$5:$D$600,MATCH(B11,'Master Database'!$A$5:$A$600,0)),"(row not found)"))</f>
        <v>P-122 A/B</v>
      </c>
      <c r="D11" s="45" t="str">
        <f aca="false">IF(B11="","",IFERROR(INDEX('Master Database'!$B$5:$B$600,MATCH(B11,'Master Database'!$A$5:$A$600,0)),"(row not found)"))</f>
        <v>Deaerated Water Pumps</v>
      </c>
      <c r="E11" s="42" t="s">
        <v>945</v>
      </c>
      <c r="F11" s="45" t="str">
        <f aca="false">IF(E11="","",IFERROR(INDEX(Vendor_Register!$B$5:$B$205,MATCH(E11,Vendor_Register!$A$5:$A$205,0)),"(not in register)"))</f>
        <v>پمپیران</v>
      </c>
      <c r="G11" s="45" t="str">
        <f aca="false">IF(E11="","",IFERROR(INDEX(Vendor_Register!$E$5:$E$205,MATCH(E11,Vendor_Register!$A$5:$A$205,0)),"(not in register)"))</f>
        <v>Not checked</v>
      </c>
      <c r="H11" s="42" t="n">
        <v>1404</v>
      </c>
      <c r="I11" s="42" t="s">
        <v>946</v>
      </c>
      <c r="J11" s="42"/>
      <c r="K11" s="50" t="s">
        <v>208</v>
      </c>
      <c r="L11" s="42" t="s">
        <v>363</v>
      </c>
      <c r="M11" s="46" t="n">
        <v>16000</v>
      </c>
      <c r="N11" s="42" t="s">
        <v>942</v>
      </c>
      <c r="O11" s="47" t="n">
        <f aca="false">IF(NOT(ISNUMBER(M11)),"",IFERROR(IF(L11="EUR",M11,IF(L11="IRR",M11/INDEX('Assumptions &amp; FX Reference'!$C$5:$C$25,MATCH(H11,'Assumptions &amp; FX Reference'!$A$5:$A$25,0)),IF(L11="USD",M11*INDEX('Assumptions &amp; FX Reference'!$B$5:$B$25,MATCH(H11,'Assumptions &amp; FX Reference'!$A$5:$A$25,0))/INDEX('Assumptions &amp; FX Reference'!$C$5:$C$25,MATCH(H11,'Assumptions &amp; FX Reference'!$A$5:$A$25,0)),""))),"(FX missing)"))</f>
        <v>16000</v>
      </c>
      <c r="P11" s="42"/>
      <c r="Q11" s="42"/>
      <c r="R11" s="42"/>
      <c r="S11" s="42"/>
      <c r="T11" s="42"/>
      <c r="U11" s="42"/>
      <c r="V11" s="42" t="s">
        <v>957</v>
      </c>
    </row>
    <row r="12" customFormat="false" ht="15" hidden="false" customHeight="false" outlineLevel="0" collapsed="false">
      <c r="A12" s="42" t="s">
        <v>958</v>
      </c>
      <c r="B12" s="42" t="n">
        <v>95</v>
      </c>
      <c r="C12" s="45" t="str">
        <f aca="false">IF(B12="","",IFERROR(INDEX('Master Database'!$D$5:$D$600,MATCH(B12,'Master Database'!$A$5:$A$600,0)),"(row not found)"))</f>
        <v>P-122 A/B</v>
      </c>
      <c r="D12" s="45" t="str">
        <f aca="false">IF(B12="","",IFERROR(INDEX('Master Database'!$B$5:$B$600,MATCH(B12,'Master Database'!$A$5:$A$600,0)),"(row not found)"))</f>
        <v>Deaerated Water Pumps</v>
      </c>
      <c r="E12" s="42" t="s">
        <v>949</v>
      </c>
      <c r="F12" s="45" t="str">
        <f aca="false">IF(E12="","",IFERROR(INDEX(Vendor_Register!$B$5:$B$205,MATCH(E12,Vendor_Register!$A$5:$A$205,0)),"(not in register)"))</f>
        <v>کالای پمپ</v>
      </c>
      <c r="G12" s="45" t="str">
        <f aca="false">IF(E12="","",IFERROR(INDEX(Vendor_Register!$E$5:$E$205,MATCH(E12,Vendor_Register!$A$5:$A$205,0)),"(not in register)"))</f>
        <v>Not checked</v>
      </c>
      <c r="H12" s="42"/>
      <c r="I12" s="42"/>
      <c r="J12" s="42"/>
      <c r="K12" s="42"/>
      <c r="L12" s="42"/>
      <c r="M12" s="46"/>
      <c r="N12" s="42"/>
      <c r="O12" s="47" t="str">
        <f aca="false">IF(NOT(ISNUMBER(M12)),"",IFERROR(IF(L12="EUR",M12,IF(L12="IRR",M12/INDEX('Assumptions &amp; FX Reference'!$C$5:$C$25,MATCH(H12,'Assumptions &amp; FX Reference'!$A$5:$A$25,0)),IF(L12="USD",M12*INDEX('Assumptions &amp; FX Reference'!$B$5:$B$25,MATCH(H12,'Assumptions &amp; FX Reference'!$A$5:$A$25,0))/INDEX('Assumptions &amp; FX Reference'!$C$5:$C$25,MATCH(H12,'Assumptions &amp; FX Reference'!$A$5:$A$25,0)),""))),"(FX missing)"))</f>
        <v/>
      </c>
      <c r="P12" s="42"/>
      <c r="Q12" s="42"/>
      <c r="R12" s="42"/>
      <c r="S12" s="42"/>
      <c r="T12" s="42"/>
      <c r="U12" s="42"/>
      <c r="V12" s="42" t="s">
        <v>959</v>
      </c>
    </row>
    <row r="13" customFormat="false" ht="15" hidden="false" customHeight="false" outlineLevel="0" collapsed="false">
      <c r="A13" s="42" t="s">
        <v>960</v>
      </c>
      <c r="B13" s="42" t="n">
        <v>95</v>
      </c>
      <c r="C13" s="45" t="str">
        <f aca="false">IF(B13="","",IFERROR(INDEX('Master Database'!$D$5:$D$600,MATCH(B13,'Master Database'!$A$5:$A$600,0)),"(row not found)"))</f>
        <v>P-122 A/B</v>
      </c>
      <c r="D13" s="45" t="str">
        <f aca="false">IF(B13="","",IFERROR(INDEX('Master Database'!$B$5:$B$600,MATCH(B13,'Master Database'!$A$5:$A$600,0)),"(row not found)"))</f>
        <v>Deaerated Water Pumps</v>
      </c>
      <c r="E13" s="42" t="s">
        <v>952</v>
      </c>
      <c r="F13" s="45" t="str">
        <f aca="false">IF(E13="","",IFERROR(INDEX(Vendor_Register!$B$5:$B$205,MATCH(E13,Vendor_Register!$A$5:$A$205,0)),"(not in register)"))</f>
        <v>دالاهو پارس کیش (دمکو)</v>
      </c>
      <c r="G13" s="45" t="str">
        <f aca="false">IF(E13="","",IFERROR(INDEX(Vendor_Register!$E$5:$E$205,MATCH(E13,Vendor_Register!$A$5:$A$205,0)),"(not in register)"))</f>
        <v>Not checked</v>
      </c>
      <c r="H13" s="42"/>
      <c r="I13" s="42"/>
      <c r="J13" s="42"/>
      <c r="K13" s="42"/>
      <c r="L13" s="42"/>
      <c r="M13" s="46"/>
      <c r="N13" s="42"/>
      <c r="O13" s="47" t="str">
        <f aca="false">IF(NOT(ISNUMBER(M13)),"",IFERROR(IF(L13="EUR",M13,IF(L13="IRR",M13/INDEX('Assumptions &amp; FX Reference'!$C$5:$C$25,MATCH(H13,'Assumptions &amp; FX Reference'!$A$5:$A$25,0)),IF(L13="USD",M13*INDEX('Assumptions &amp; FX Reference'!$B$5:$B$25,MATCH(H13,'Assumptions &amp; FX Reference'!$A$5:$A$25,0))/INDEX('Assumptions &amp; FX Reference'!$C$5:$C$25,MATCH(H13,'Assumptions &amp; FX Reference'!$A$5:$A$25,0)),""))),"(FX missing)"))</f>
        <v/>
      </c>
      <c r="P13" s="42"/>
      <c r="Q13" s="42"/>
      <c r="R13" s="42"/>
      <c r="S13" s="42"/>
      <c r="T13" s="42"/>
      <c r="U13" s="42"/>
      <c r="V13" s="42" t="s">
        <v>961</v>
      </c>
    </row>
    <row r="14" customFormat="false" ht="15" hidden="false" customHeight="false" outlineLevel="0" collapsed="false">
      <c r="A14" s="42" t="s">
        <v>962</v>
      </c>
      <c r="B14" s="42" t="n">
        <v>96</v>
      </c>
      <c r="C14" s="45" t="str">
        <f aca="false">IF(B14="","",IFERROR(INDEX('Master Database'!$D$5:$D$600,MATCH(B14,'Master Database'!$A$5:$A$600,0)),"(row not found)"))</f>
        <v>P-124</v>
      </c>
      <c r="D14" s="45" t="str">
        <f aca="false">IF(B14="","",IFERROR(INDEX('Master Database'!$B$5:$B$600,MATCH(B14,'Master Database'!$A$5:$A$600,0)),"(row not found)"))</f>
        <v>Dilution Water Pump</v>
      </c>
      <c r="E14" s="42" t="s">
        <v>940</v>
      </c>
      <c r="F14" s="45" t="str">
        <f aca="false">IF(E14="","",IFERROR(INDEX(Vendor_Register!$B$5:$B$205,MATCH(E14,Vendor_Register!$A$5:$A$205,0)),"(not in register)"))</f>
        <v>آریا سپهر کیهان</v>
      </c>
      <c r="G14" s="45" t="str">
        <f aca="false">IF(E14="","",IFERROR(INDEX(Vendor_Register!$E$5:$E$205,MATCH(E14,Vendor_Register!$A$5:$A$205,0)),"(not in register)"))</f>
        <v>Not checked</v>
      </c>
      <c r="H14" s="42" t="n">
        <v>1403</v>
      </c>
      <c r="I14" s="42" t="s">
        <v>941</v>
      </c>
      <c r="J14" s="42"/>
      <c r="K14" s="50" t="s">
        <v>208</v>
      </c>
      <c r="L14" s="42" t="s">
        <v>363</v>
      </c>
      <c r="M14" s="46" t="n">
        <v>28500</v>
      </c>
      <c r="N14" s="42" t="s">
        <v>942</v>
      </c>
      <c r="O14" s="47" t="n">
        <f aca="false">IF(NOT(ISNUMBER(M14)),"",IFERROR(IF(L14="EUR",M14,IF(L14="IRR",M14/INDEX('Assumptions &amp; FX Reference'!$C$5:$C$25,MATCH(H14,'Assumptions &amp; FX Reference'!$A$5:$A$25,0)),IF(L14="USD",M14*INDEX('Assumptions &amp; FX Reference'!$B$5:$B$25,MATCH(H14,'Assumptions &amp; FX Reference'!$A$5:$A$25,0))/INDEX('Assumptions &amp; FX Reference'!$C$5:$C$25,MATCH(H14,'Assumptions &amp; FX Reference'!$A$5:$A$25,0)),""))),"(FX missing)"))</f>
        <v>28500</v>
      </c>
      <c r="P14" s="42"/>
      <c r="Q14" s="42"/>
      <c r="R14" s="42"/>
      <c r="S14" s="42"/>
      <c r="T14" s="42"/>
      <c r="U14" s="42"/>
      <c r="V14" s="42" t="s">
        <v>963</v>
      </c>
    </row>
    <row r="15" customFormat="false" ht="15" hidden="false" customHeight="false" outlineLevel="0" collapsed="false">
      <c r="A15" s="42" t="s">
        <v>964</v>
      </c>
      <c r="B15" s="42" t="n">
        <v>96</v>
      </c>
      <c r="C15" s="45" t="str">
        <f aca="false">IF(B15="","",IFERROR(INDEX('Master Database'!$D$5:$D$600,MATCH(B15,'Master Database'!$A$5:$A$600,0)),"(row not found)"))</f>
        <v>P-124</v>
      </c>
      <c r="D15" s="45" t="str">
        <f aca="false">IF(B15="","",IFERROR(INDEX('Master Database'!$B$5:$B$600,MATCH(B15,'Master Database'!$A$5:$A$600,0)),"(row not found)"))</f>
        <v>Dilution Water Pump</v>
      </c>
      <c r="E15" s="42" t="s">
        <v>945</v>
      </c>
      <c r="F15" s="45" t="str">
        <f aca="false">IF(E15="","",IFERROR(INDEX(Vendor_Register!$B$5:$B$205,MATCH(E15,Vendor_Register!$A$5:$A$205,0)),"(not in register)"))</f>
        <v>پمپیران</v>
      </c>
      <c r="G15" s="45" t="str">
        <f aca="false">IF(E15="","",IFERROR(INDEX(Vendor_Register!$E$5:$E$205,MATCH(E15,Vendor_Register!$A$5:$A$205,0)),"(not in register)"))</f>
        <v>Not checked</v>
      </c>
      <c r="H15" s="42" t="n">
        <v>1404</v>
      </c>
      <c r="I15" s="42" t="s">
        <v>946</v>
      </c>
      <c r="J15" s="42"/>
      <c r="K15" s="50" t="s">
        <v>208</v>
      </c>
      <c r="L15" s="42" t="s">
        <v>363</v>
      </c>
      <c r="M15" s="46" t="n">
        <v>16000</v>
      </c>
      <c r="N15" s="42" t="s">
        <v>942</v>
      </c>
      <c r="O15" s="47" t="n">
        <f aca="false">IF(NOT(ISNUMBER(M15)),"",IFERROR(IF(L15="EUR",M15,IF(L15="IRR",M15/INDEX('Assumptions &amp; FX Reference'!$C$5:$C$25,MATCH(H15,'Assumptions &amp; FX Reference'!$A$5:$A$25,0)),IF(L15="USD",M15*INDEX('Assumptions &amp; FX Reference'!$B$5:$B$25,MATCH(H15,'Assumptions &amp; FX Reference'!$A$5:$A$25,0))/INDEX('Assumptions &amp; FX Reference'!$C$5:$C$25,MATCH(H15,'Assumptions &amp; FX Reference'!$A$5:$A$25,0)),""))),"(FX missing)"))</f>
        <v>16000</v>
      </c>
      <c r="P15" s="42"/>
      <c r="Q15" s="42"/>
      <c r="R15" s="42"/>
      <c r="S15" s="42"/>
      <c r="T15" s="42"/>
      <c r="U15" s="42"/>
      <c r="V15" s="42" t="s">
        <v>965</v>
      </c>
    </row>
    <row r="16" customFormat="false" ht="15" hidden="false" customHeight="false" outlineLevel="0" collapsed="false">
      <c r="A16" s="42" t="s">
        <v>966</v>
      </c>
      <c r="B16" s="42" t="n">
        <v>96</v>
      </c>
      <c r="C16" s="45" t="str">
        <f aca="false">IF(B16="","",IFERROR(INDEX('Master Database'!$D$5:$D$600,MATCH(B16,'Master Database'!$A$5:$A$600,0)),"(row not found)"))</f>
        <v>P-124</v>
      </c>
      <c r="D16" s="45" t="str">
        <f aca="false">IF(B16="","",IFERROR(INDEX('Master Database'!$B$5:$B$600,MATCH(B16,'Master Database'!$A$5:$A$600,0)),"(row not found)"))</f>
        <v>Dilution Water Pump</v>
      </c>
      <c r="E16" s="42" t="s">
        <v>949</v>
      </c>
      <c r="F16" s="45" t="str">
        <f aca="false">IF(E16="","",IFERROR(INDEX(Vendor_Register!$B$5:$B$205,MATCH(E16,Vendor_Register!$A$5:$A$205,0)),"(not in register)"))</f>
        <v>کالای پمپ</v>
      </c>
      <c r="G16" s="45" t="str">
        <f aca="false">IF(E16="","",IFERROR(INDEX(Vendor_Register!$E$5:$E$205,MATCH(E16,Vendor_Register!$A$5:$A$205,0)),"(not in register)"))</f>
        <v>Not checked</v>
      </c>
      <c r="H16" s="42"/>
      <c r="I16" s="42"/>
      <c r="J16" s="42"/>
      <c r="K16" s="42"/>
      <c r="L16" s="42"/>
      <c r="M16" s="46"/>
      <c r="N16" s="42"/>
      <c r="O16" s="47" t="str">
        <f aca="false">IF(NOT(ISNUMBER(M16)),"",IFERROR(IF(L16="EUR",M16,IF(L16="IRR",M16/INDEX('Assumptions &amp; FX Reference'!$C$5:$C$25,MATCH(H16,'Assumptions &amp; FX Reference'!$A$5:$A$25,0)),IF(L16="USD",M16*INDEX('Assumptions &amp; FX Reference'!$B$5:$B$25,MATCH(H16,'Assumptions &amp; FX Reference'!$A$5:$A$25,0))/INDEX('Assumptions &amp; FX Reference'!$C$5:$C$25,MATCH(H16,'Assumptions &amp; FX Reference'!$A$5:$A$25,0)),""))),"(FX missing)"))</f>
        <v/>
      </c>
      <c r="P16" s="42"/>
      <c r="Q16" s="42"/>
      <c r="R16" s="42"/>
      <c r="S16" s="42"/>
      <c r="T16" s="42"/>
      <c r="U16" s="42"/>
      <c r="V16" s="42" t="s">
        <v>967</v>
      </c>
    </row>
    <row r="17" customFormat="false" ht="15" hidden="false" customHeight="false" outlineLevel="0" collapsed="false">
      <c r="A17" s="42" t="s">
        <v>968</v>
      </c>
      <c r="B17" s="42" t="n">
        <v>96</v>
      </c>
      <c r="C17" s="45" t="str">
        <f aca="false">IF(B17="","",IFERROR(INDEX('Master Database'!$D$5:$D$600,MATCH(B17,'Master Database'!$A$5:$A$600,0)),"(row not found)"))</f>
        <v>P-124</v>
      </c>
      <c r="D17" s="45" t="str">
        <f aca="false">IF(B17="","",IFERROR(INDEX('Master Database'!$B$5:$B$600,MATCH(B17,'Master Database'!$A$5:$A$600,0)),"(row not found)"))</f>
        <v>Dilution Water Pump</v>
      </c>
      <c r="E17" s="42" t="s">
        <v>952</v>
      </c>
      <c r="F17" s="45" t="str">
        <f aca="false">IF(E17="","",IFERROR(INDEX(Vendor_Register!$B$5:$B$205,MATCH(E17,Vendor_Register!$A$5:$A$205,0)),"(not in register)"))</f>
        <v>دالاهو پارس کیش (دمکو)</v>
      </c>
      <c r="G17" s="45" t="str">
        <f aca="false">IF(E17="","",IFERROR(INDEX(Vendor_Register!$E$5:$E$205,MATCH(E17,Vendor_Register!$A$5:$A$205,0)),"(not in register)"))</f>
        <v>Not checked</v>
      </c>
      <c r="H17" s="42"/>
      <c r="I17" s="42"/>
      <c r="J17" s="42"/>
      <c r="K17" s="42"/>
      <c r="L17" s="42"/>
      <c r="M17" s="46"/>
      <c r="N17" s="42"/>
      <c r="O17" s="47" t="str">
        <f aca="false">IF(NOT(ISNUMBER(M17)),"",IFERROR(IF(L17="EUR",M17,IF(L17="IRR",M17/INDEX('Assumptions &amp; FX Reference'!$C$5:$C$25,MATCH(H17,'Assumptions &amp; FX Reference'!$A$5:$A$25,0)),IF(L17="USD",M17*INDEX('Assumptions &amp; FX Reference'!$B$5:$B$25,MATCH(H17,'Assumptions &amp; FX Reference'!$A$5:$A$25,0))/INDEX('Assumptions &amp; FX Reference'!$C$5:$C$25,MATCH(H17,'Assumptions &amp; FX Reference'!$A$5:$A$25,0)),""))),"(FX missing)"))</f>
        <v/>
      </c>
      <c r="P17" s="42"/>
      <c r="Q17" s="42"/>
      <c r="R17" s="42"/>
      <c r="S17" s="42"/>
      <c r="T17" s="42"/>
      <c r="U17" s="42"/>
      <c r="V17" s="42" t="s">
        <v>969</v>
      </c>
    </row>
    <row r="18" customFormat="false" ht="15" hidden="false" customHeight="false" outlineLevel="0" collapsed="false">
      <c r="A18" s="42" t="s">
        <v>970</v>
      </c>
      <c r="B18" s="42" t="n">
        <v>97</v>
      </c>
      <c r="C18" s="45" t="str">
        <f aca="false">IF(B18="","",IFERROR(INDEX('Master Database'!$D$5:$D$600,MATCH(B18,'Master Database'!$A$5:$A$600,0)),"(row not found)"))</f>
        <v>P-125 A/B</v>
      </c>
      <c r="D18" s="45" t="str">
        <f aca="false">IF(B18="","",IFERROR(INDEX('Master Database'!$B$5:$B$600,MATCH(B18,'Master Database'!$A$5:$A$600,0)),"(row not found)"))</f>
        <v>Dilution Water Pumps</v>
      </c>
      <c r="E18" s="42" t="s">
        <v>940</v>
      </c>
      <c r="F18" s="45" t="str">
        <f aca="false">IF(E18="","",IFERROR(INDEX(Vendor_Register!$B$5:$B$205,MATCH(E18,Vendor_Register!$A$5:$A$205,0)),"(not in register)"))</f>
        <v>آریا سپهر کیهان</v>
      </c>
      <c r="G18" s="45" t="str">
        <f aca="false">IF(E18="","",IFERROR(INDEX(Vendor_Register!$E$5:$E$205,MATCH(E18,Vendor_Register!$A$5:$A$205,0)),"(not in register)"))</f>
        <v>Not checked</v>
      </c>
      <c r="H18" s="42" t="n">
        <v>1403</v>
      </c>
      <c r="I18" s="42" t="s">
        <v>941</v>
      </c>
      <c r="J18" s="42"/>
      <c r="K18" s="50" t="s">
        <v>208</v>
      </c>
      <c r="L18" s="42" t="s">
        <v>363</v>
      </c>
      <c r="M18" s="46" t="n">
        <v>27000</v>
      </c>
      <c r="N18" s="42" t="s">
        <v>942</v>
      </c>
      <c r="O18" s="47" t="n">
        <f aca="false">IF(NOT(ISNUMBER(M18)),"",IFERROR(IF(L18="EUR",M18,IF(L18="IRR",M18/INDEX('Assumptions &amp; FX Reference'!$C$5:$C$25,MATCH(H18,'Assumptions &amp; FX Reference'!$A$5:$A$25,0)),IF(L18="USD",M18*INDEX('Assumptions &amp; FX Reference'!$B$5:$B$25,MATCH(H18,'Assumptions &amp; FX Reference'!$A$5:$A$25,0))/INDEX('Assumptions &amp; FX Reference'!$C$5:$C$25,MATCH(H18,'Assumptions &amp; FX Reference'!$A$5:$A$25,0)),""))),"(FX missing)"))</f>
        <v>27000</v>
      </c>
      <c r="P18" s="42"/>
      <c r="Q18" s="42"/>
      <c r="R18" s="42"/>
      <c r="S18" s="42"/>
      <c r="T18" s="42"/>
      <c r="U18" s="42"/>
      <c r="V18" s="42" t="s">
        <v>971</v>
      </c>
    </row>
    <row r="19" customFormat="false" ht="15" hidden="false" customHeight="false" outlineLevel="0" collapsed="false">
      <c r="A19" s="42" t="s">
        <v>972</v>
      </c>
      <c r="B19" s="42" t="n">
        <v>97</v>
      </c>
      <c r="C19" s="45" t="str">
        <f aca="false">IF(B19="","",IFERROR(INDEX('Master Database'!$D$5:$D$600,MATCH(B19,'Master Database'!$A$5:$A$600,0)),"(row not found)"))</f>
        <v>P-125 A/B</v>
      </c>
      <c r="D19" s="45" t="str">
        <f aca="false">IF(B19="","",IFERROR(INDEX('Master Database'!$B$5:$B$600,MATCH(B19,'Master Database'!$A$5:$A$600,0)),"(row not found)"))</f>
        <v>Dilution Water Pumps</v>
      </c>
      <c r="E19" s="42" t="s">
        <v>945</v>
      </c>
      <c r="F19" s="45" t="str">
        <f aca="false">IF(E19="","",IFERROR(INDEX(Vendor_Register!$B$5:$B$205,MATCH(E19,Vendor_Register!$A$5:$A$205,0)),"(not in register)"))</f>
        <v>پمپیران</v>
      </c>
      <c r="G19" s="45" t="str">
        <f aca="false">IF(E19="","",IFERROR(INDEX(Vendor_Register!$E$5:$E$205,MATCH(E19,Vendor_Register!$A$5:$A$205,0)),"(not in register)"))</f>
        <v>Not checked</v>
      </c>
      <c r="H19" s="42" t="n">
        <v>1404</v>
      </c>
      <c r="I19" s="42" t="s">
        <v>946</v>
      </c>
      <c r="J19" s="42"/>
      <c r="K19" s="50" t="s">
        <v>208</v>
      </c>
      <c r="L19" s="42" t="s">
        <v>363</v>
      </c>
      <c r="M19" s="46" t="n">
        <v>16000</v>
      </c>
      <c r="N19" s="42" t="s">
        <v>942</v>
      </c>
      <c r="O19" s="47" t="n">
        <f aca="false">IF(NOT(ISNUMBER(M19)),"",IFERROR(IF(L19="EUR",M19,IF(L19="IRR",M19/INDEX('Assumptions &amp; FX Reference'!$C$5:$C$25,MATCH(H19,'Assumptions &amp; FX Reference'!$A$5:$A$25,0)),IF(L19="USD",M19*INDEX('Assumptions &amp; FX Reference'!$B$5:$B$25,MATCH(H19,'Assumptions &amp; FX Reference'!$A$5:$A$25,0))/INDEX('Assumptions &amp; FX Reference'!$C$5:$C$25,MATCH(H19,'Assumptions &amp; FX Reference'!$A$5:$A$25,0)),""))),"(FX missing)"))</f>
        <v>16000</v>
      </c>
      <c r="P19" s="42"/>
      <c r="Q19" s="42"/>
      <c r="R19" s="42"/>
      <c r="S19" s="42"/>
      <c r="T19" s="42"/>
      <c r="U19" s="42"/>
      <c r="V19" s="42" t="s">
        <v>973</v>
      </c>
    </row>
    <row r="20" customFormat="false" ht="15" hidden="false" customHeight="false" outlineLevel="0" collapsed="false">
      <c r="A20" s="42" t="s">
        <v>974</v>
      </c>
      <c r="B20" s="42" t="n">
        <v>97</v>
      </c>
      <c r="C20" s="45" t="str">
        <f aca="false">IF(B20="","",IFERROR(INDEX('Master Database'!$D$5:$D$600,MATCH(B20,'Master Database'!$A$5:$A$600,0)),"(row not found)"))</f>
        <v>P-125 A/B</v>
      </c>
      <c r="D20" s="45" t="str">
        <f aca="false">IF(B20="","",IFERROR(INDEX('Master Database'!$B$5:$B$600,MATCH(B20,'Master Database'!$A$5:$A$600,0)),"(row not found)"))</f>
        <v>Dilution Water Pumps</v>
      </c>
      <c r="E20" s="42" t="s">
        <v>949</v>
      </c>
      <c r="F20" s="45" t="str">
        <f aca="false">IF(E20="","",IFERROR(INDEX(Vendor_Register!$B$5:$B$205,MATCH(E20,Vendor_Register!$A$5:$A$205,0)),"(not in register)"))</f>
        <v>کالای پمپ</v>
      </c>
      <c r="G20" s="45" t="str">
        <f aca="false">IF(E20="","",IFERROR(INDEX(Vendor_Register!$E$5:$E$205,MATCH(E20,Vendor_Register!$A$5:$A$205,0)),"(not in register)"))</f>
        <v>Not checked</v>
      </c>
      <c r="H20" s="42"/>
      <c r="I20" s="42"/>
      <c r="J20" s="42"/>
      <c r="K20" s="42"/>
      <c r="L20" s="42"/>
      <c r="M20" s="46"/>
      <c r="N20" s="42"/>
      <c r="O20" s="47" t="str">
        <f aca="false">IF(NOT(ISNUMBER(M20)),"",IFERROR(IF(L20="EUR",M20,IF(L20="IRR",M20/INDEX('Assumptions &amp; FX Reference'!$C$5:$C$25,MATCH(H20,'Assumptions &amp; FX Reference'!$A$5:$A$25,0)),IF(L20="USD",M20*INDEX('Assumptions &amp; FX Reference'!$B$5:$B$25,MATCH(H20,'Assumptions &amp; FX Reference'!$A$5:$A$25,0))/INDEX('Assumptions &amp; FX Reference'!$C$5:$C$25,MATCH(H20,'Assumptions &amp; FX Reference'!$A$5:$A$25,0)),""))),"(FX missing)"))</f>
        <v/>
      </c>
      <c r="P20" s="42"/>
      <c r="Q20" s="42"/>
      <c r="R20" s="42"/>
      <c r="S20" s="42"/>
      <c r="T20" s="42"/>
      <c r="U20" s="42"/>
      <c r="V20" s="42" t="s">
        <v>975</v>
      </c>
    </row>
    <row r="21" customFormat="false" ht="15" hidden="false" customHeight="false" outlineLevel="0" collapsed="false">
      <c r="A21" s="42" t="s">
        <v>976</v>
      </c>
      <c r="B21" s="42" t="n">
        <v>97</v>
      </c>
      <c r="C21" s="45" t="str">
        <f aca="false">IF(B21="","",IFERROR(INDEX('Master Database'!$D$5:$D$600,MATCH(B21,'Master Database'!$A$5:$A$600,0)),"(row not found)"))</f>
        <v>P-125 A/B</v>
      </c>
      <c r="D21" s="45" t="str">
        <f aca="false">IF(B21="","",IFERROR(INDEX('Master Database'!$B$5:$B$600,MATCH(B21,'Master Database'!$A$5:$A$600,0)),"(row not found)"))</f>
        <v>Dilution Water Pumps</v>
      </c>
      <c r="E21" s="42" t="s">
        <v>952</v>
      </c>
      <c r="F21" s="45" t="str">
        <f aca="false">IF(E21="","",IFERROR(INDEX(Vendor_Register!$B$5:$B$205,MATCH(E21,Vendor_Register!$A$5:$A$205,0)),"(not in register)"))</f>
        <v>دالاهو پارس کیش (دمکو)</v>
      </c>
      <c r="G21" s="45" t="str">
        <f aca="false">IF(E21="","",IFERROR(INDEX(Vendor_Register!$E$5:$E$205,MATCH(E21,Vendor_Register!$A$5:$A$205,0)),"(not in register)"))</f>
        <v>Not checked</v>
      </c>
      <c r="H21" s="42"/>
      <c r="I21" s="42"/>
      <c r="J21" s="42"/>
      <c r="K21" s="42"/>
      <c r="L21" s="42"/>
      <c r="M21" s="46"/>
      <c r="N21" s="42"/>
      <c r="O21" s="47" t="str">
        <f aca="false">IF(NOT(ISNUMBER(M21)),"",IFERROR(IF(L21="EUR",M21,IF(L21="IRR",M21/INDEX('Assumptions &amp; FX Reference'!$C$5:$C$25,MATCH(H21,'Assumptions &amp; FX Reference'!$A$5:$A$25,0)),IF(L21="USD",M21*INDEX('Assumptions &amp; FX Reference'!$B$5:$B$25,MATCH(H21,'Assumptions &amp; FX Reference'!$A$5:$A$25,0))/INDEX('Assumptions &amp; FX Reference'!$C$5:$C$25,MATCH(H21,'Assumptions &amp; FX Reference'!$A$5:$A$25,0)),""))),"(FX missing)"))</f>
        <v/>
      </c>
      <c r="P21" s="42"/>
      <c r="Q21" s="42"/>
      <c r="R21" s="42"/>
      <c r="S21" s="42"/>
      <c r="T21" s="42"/>
      <c r="U21" s="42"/>
      <c r="V21" s="42" t="s">
        <v>977</v>
      </c>
    </row>
    <row r="22" customFormat="false" ht="15" hidden="false" customHeight="false" outlineLevel="0" collapsed="false">
      <c r="A22" s="42" t="s">
        <v>978</v>
      </c>
      <c r="B22" s="42" t="n">
        <v>98</v>
      </c>
      <c r="C22" s="45" t="str">
        <f aca="false">IF(B22="","",IFERROR(INDEX('Master Database'!$D$5:$D$600,MATCH(B22,'Master Database'!$A$5:$A$600,0)),"(row not found)"))</f>
        <v>P-136 A/B</v>
      </c>
      <c r="D22" s="45" t="str">
        <f aca="false">IF(B22="","",IFERROR(INDEX('Master Database'!$B$5:$B$600,MATCH(B22,'Master Database'!$A$5:$A$600,0)),"(row not found)"))</f>
        <v>Disposal Water InjectionPumps</v>
      </c>
      <c r="E22" s="42" t="s">
        <v>940</v>
      </c>
      <c r="F22" s="45" t="str">
        <f aca="false">IF(E22="","",IFERROR(INDEX(Vendor_Register!$B$5:$B$205,MATCH(E22,Vendor_Register!$A$5:$A$205,0)),"(not in register)"))</f>
        <v>آریا سپهر کیهان</v>
      </c>
      <c r="G22" s="45" t="str">
        <f aca="false">IF(E22="","",IFERROR(INDEX(Vendor_Register!$E$5:$E$205,MATCH(E22,Vendor_Register!$A$5:$A$205,0)),"(not in register)"))</f>
        <v>Not checked</v>
      </c>
      <c r="H22" s="42" t="n">
        <v>1403</v>
      </c>
      <c r="I22" s="42" t="s">
        <v>941</v>
      </c>
      <c r="J22" s="42"/>
      <c r="K22" s="50" t="s">
        <v>208</v>
      </c>
      <c r="L22" s="42" t="s">
        <v>363</v>
      </c>
      <c r="M22" s="46" t="n">
        <v>335000</v>
      </c>
      <c r="N22" s="42" t="s">
        <v>942</v>
      </c>
      <c r="O22" s="47" t="n">
        <f aca="false">IF(NOT(ISNUMBER(M22)),"",IFERROR(IF(L22="EUR",M22,IF(L22="IRR",M22/INDEX('Assumptions &amp; FX Reference'!$C$5:$C$25,MATCH(H22,'Assumptions &amp; FX Reference'!$A$5:$A$25,0)),IF(L22="USD",M22*INDEX('Assumptions &amp; FX Reference'!$B$5:$B$25,MATCH(H22,'Assumptions &amp; FX Reference'!$A$5:$A$25,0))/INDEX('Assumptions &amp; FX Reference'!$C$5:$C$25,MATCH(H22,'Assumptions &amp; FX Reference'!$A$5:$A$25,0)),""))),"(FX missing)"))</f>
        <v>335000</v>
      </c>
      <c r="P22" s="42"/>
      <c r="Q22" s="42"/>
      <c r="R22" s="42"/>
      <c r="S22" s="42"/>
      <c r="T22" s="42"/>
      <c r="U22" s="42"/>
      <c r="V22" s="42" t="s">
        <v>979</v>
      </c>
    </row>
    <row r="23" customFormat="false" ht="15" hidden="false" customHeight="false" outlineLevel="0" collapsed="false">
      <c r="A23" s="42" t="s">
        <v>980</v>
      </c>
      <c r="B23" s="42" t="n">
        <v>98</v>
      </c>
      <c r="C23" s="45" t="str">
        <f aca="false">IF(B23="","",IFERROR(INDEX('Master Database'!$D$5:$D$600,MATCH(B23,'Master Database'!$A$5:$A$600,0)),"(row not found)"))</f>
        <v>P-136 A/B</v>
      </c>
      <c r="D23" s="45" t="str">
        <f aca="false">IF(B23="","",IFERROR(INDEX('Master Database'!$B$5:$B$600,MATCH(B23,'Master Database'!$A$5:$A$600,0)),"(row not found)"))</f>
        <v>Disposal Water InjectionPumps</v>
      </c>
      <c r="E23" s="42" t="s">
        <v>945</v>
      </c>
      <c r="F23" s="45" t="str">
        <f aca="false">IF(E23="","",IFERROR(INDEX(Vendor_Register!$B$5:$B$205,MATCH(E23,Vendor_Register!$A$5:$A$205,0)),"(not in register)"))</f>
        <v>پمپیران</v>
      </c>
      <c r="G23" s="45" t="str">
        <f aca="false">IF(E23="","",IFERROR(INDEX(Vendor_Register!$E$5:$E$205,MATCH(E23,Vendor_Register!$A$5:$A$205,0)),"(not in register)"))</f>
        <v>Not checked</v>
      </c>
      <c r="H23" s="42" t="n">
        <v>1404</v>
      </c>
      <c r="I23" s="42" t="s">
        <v>946</v>
      </c>
      <c r="J23" s="42"/>
      <c r="K23" s="50" t="s">
        <v>208</v>
      </c>
      <c r="L23" s="42" t="s">
        <v>363</v>
      </c>
      <c r="M23" s="46" t="n">
        <v>300000</v>
      </c>
      <c r="N23" s="42" t="s">
        <v>942</v>
      </c>
      <c r="O23" s="47" t="n">
        <f aca="false">IF(NOT(ISNUMBER(M23)),"",IFERROR(IF(L23="EUR",M23,IF(L23="IRR",M23/INDEX('Assumptions &amp; FX Reference'!$C$5:$C$25,MATCH(H23,'Assumptions &amp; FX Reference'!$A$5:$A$25,0)),IF(L23="USD",M23*INDEX('Assumptions &amp; FX Reference'!$B$5:$B$25,MATCH(H23,'Assumptions &amp; FX Reference'!$A$5:$A$25,0))/INDEX('Assumptions &amp; FX Reference'!$C$5:$C$25,MATCH(H23,'Assumptions &amp; FX Reference'!$A$5:$A$25,0)),""))),"(FX missing)"))</f>
        <v>300000</v>
      </c>
      <c r="P23" s="42"/>
      <c r="Q23" s="42"/>
      <c r="R23" s="42"/>
      <c r="S23" s="42"/>
      <c r="T23" s="42"/>
      <c r="U23" s="42"/>
      <c r="V23" s="42" t="s">
        <v>981</v>
      </c>
    </row>
    <row r="24" customFormat="false" ht="15" hidden="false" customHeight="false" outlineLevel="0" collapsed="false">
      <c r="A24" s="42" t="s">
        <v>982</v>
      </c>
      <c r="B24" s="42" t="n">
        <v>98</v>
      </c>
      <c r="C24" s="45" t="str">
        <f aca="false">IF(B24="","",IFERROR(INDEX('Master Database'!$D$5:$D$600,MATCH(B24,'Master Database'!$A$5:$A$600,0)),"(row not found)"))</f>
        <v>P-136 A/B</v>
      </c>
      <c r="D24" s="45" t="str">
        <f aca="false">IF(B24="","",IFERROR(INDEX('Master Database'!$B$5:$B$600,MATCH(B24,'Master Database'!$A$5:$A$600,0)),"(row not found)"))</f>
        <v>Disposal Water InjectionPumps</v>
      </c>
      <c r="E24" s="42" t="s">
        <v>949</v>
      </c>
      <c r="F24" s="45" t="str">
        <f aca="false">IF(E24="","",IFERROR(INDEX(Vendor_Register!$B$5:$B$205,MATCH(E24,Vendor_Register!$A$5:$A$205,0)),"(not in register)"))</f>
        <v>کالای پمپ</v>
      </c>
      <c r="G24" s="45" t="str">
        <f aca="false">IF(E24="","",IFERROR(INDEX(Vendor_Register!$E$5:$E$205,MATCH(E24,Vendor_Register!$A$5:$A$205,0)),"(not in register)"))</f>
        <v>Not checked</v>
      </c>
      <c r="H24" s="42"/>
      <c r="I24" s="42"/>
      <c r="J24" s="42"/>
      <c r="K24" s="42"/>
      <c r="L24" s="42"/>
      <c r="M24" s="46"/>
      <c r="N24" s="42"/>
      <c r="O24" s="47" t="str">
        <f aca="false">IF(NOT(ISNUMBER(M24)),"",IFERROR(IF(L24="EUR",M24,IF(L24="IRR",M24/INDEX('Assumptions &amp; FX Reference'!$C$5:$C$25,MATCH(H24,'Assumptions &amp; FX Reference'!$A$5:$A$25,0)),IF(L24="USD",M24*INDEX('Assumptions &amp; FX Reference'!$B$5:$B$25,MATCH(H24,'Assumptions &amp; FX Reference'!$A$5:$A$25,0))/INDEX('Assumptions &amp; FX Reference'!$C$5:$C$25,MATCH(H24,'Assumptions &amp; FX Reference'!$A$5:$A$25,0)),""))),"(FX missing)"))</f>
        <v/>
      </c>
      <c r="P24" s="42"/>
      <c r="Q24" s="42"/>
      <c r="R24" s="42"/>
      <c r="S24" s="42"/>
      <c r="T24" s="42"/>
      <c r="U24" s="42"/>
      <c r="V24" s="42" t="s">
        <v>983</v>
      </c>
    </row>
    <row r="25" customFormat="false" ht="15" hidden="false" customHeight="false" outlineLevel="0" collapsed="false">
      <c r="A25" s="42" t="s">
        <v>984</v>
      </c>
      <c r="B25" s="42" t="n">
        <v>98</v>
      </c>
      <c r="C25" s="45" t="str">
        <f aca="false">IF(B25="","",IFERROR(INDEX('Master Database'!$D$5:$D$600,MATCH(B25,'Master Database'!$A$5:$A$600,0)),"(row not found)"))</f>
        <v>P-136 A/B</v>
      </c>
      <c r="D25" s="45" t="str">
        <f aca="false">IF(B25="","",IFERROR(INDEX('Master Database'!$B$5:$B$600,MATCH(B25,'Master Database'!$A$5:$A$600,0)),"(row not found)"))</f>
        <v>Disposal Water InjectionPumps</v>
      </c>
      <c r="E25" s="42" t="s">
        <v>952</v>
      </c>
      <c r="F25" s="45" t="str">
        <f aca="false">IF(E25="","",IFERROR(INDEX(Vendor_Register!$B$5:$B$205,MATCH(E25,Vendor_Register!$A$5:$A$205,0)),"(not in register)"))</f>
        <v>دالاهو پارس کیش (دمکو)</v>
      </c>
      <c r="G25" s="45" t="str">
        <f aca="false">IF(E25="","",IFERROR(INDEX(Vendor_Register!$E$5:$E$205,MATCH(E25,Vendor_Register!$A$5:$A$205,0)),"(not in register)"))</f>
        <v>Not checked</v>
      </c>
      <c r="H25" s="42"/>
      <c r="I25" s="42"/>
      <c r="J25" s="42"/>
      <c r="K25" s="42"/>
      <c r="L25" s="42"/>
      <c r="M25" s="46"/>
      <c r="N25" s="42"/>
      <c r="O25" s="47" t="str">
        <f aca="false">IF(NOT(ISNUMBER(M25)),"",IFERROR(IF(L25="EUR",M25,IF(L25="IRR",M25/INDEX('Assumptions &amp; FX Reference'!$C$5:$C$25,MATCH(H25,'Assumptions &amp; FX Reference'!$A$5:$A$25,0)),IF(L25="USD",M25*INDEX('Assumptions &amp; FX Reference'!$B$5:$B$25,MATCH(H25,'Assumptions &amp; FX Reference'!$A$5:$A$25,0))/INDEX('Assumptions &amp; FX Reference'!$C$5:$C$25,MATCH(H25,'Assumptions &amp; FX Reference'!$A$5:$A$25,0)),""))),"(FX missing)"))</f>
        <v/>
      </c>
      <c r="P25" s="42"/>
      <c r="Q25" s="42"/>
      <c r="R25" s="42"/>
      <c r="S25" s="42"/>
      <c r="T25" s="42"/>
      <c r="U25" s="42"/>
      <c r="V25" s="42" t="s">
        <v>985</v>
      </c>
    </row>
    <row r="26" customFormat="false" ht="15" hidden="false" customHeight="false" outlineLevel="0" collapsed="false">
      <c r="A26" s="42" t="s">
        <v>986</v>
      </c>
      <c r="B26" s="42" t="n">
        <v>99</v>
      </c>
      <c r="C26" s="45" t="str">
        <f aca="false">IF(B26="","",IFERROR(INDEX('Master Database'!$D$5:$D$600,MATCH(B26,'Master Database'!$A$5:$A$600,0)),"(row not found)"))</f>
        <v>P-137 A/B</v>
      </c>
      <c r="D26" s="45" t="str">
        <f aca="false">IF(B26="","",IFERROR(INDEX('Master Database'!$B$5:$B$600,MATCH(B26,'Master Database'!$A$5:$A$600,0)),"(row not found)"))</f>
        <v>Dirty Oil Pumps</v>
      </c>
      <c r="E26" s="42" t="s">
        <v>940</v>
      </c>
      <c r="F26" s="45" t="str">
        <f aca="false">IF(E26="","",IFERROR(INDEX(Vendor_Register!$B$5:$B$205,MATCH(E26,Vendor_Register!$A$5:$A$205,0)),"(not in register)"))</f>
        <v>آریا سپهر کیهان</v>
      </c>
      <c r="G26" s="45" t="str">
        <f aca="false">IF(E26="","",IFERROR(INDEX(Vendor_Register!$E$5:$E$205,MATCH(E26,Vendor_Register!$A$5:$A$205,0)),"(not in register)"))</f>
        <v>Not checked</v>
      </c>
      <c r="H26" s="42" t="n">
        <v>1403</v>
      </c>
      <c r="I26" s="42" t="s">
        <v>941</v>
      </c>
      <c r="J26" s="42"/>
      <c r="K26" s="50" t="s">
        <v>208</v>
      </c>
      <c r="L26" s="42" t="s">
        <v>363</v>
      </c>
      <c r="M26" s="46" t="n">
        <v>30000</v>
      </c>
      <c r="N26" s="42" t="s">
        <v>942</v>
      </c>
      <c r="O26" s="47" t="n">
        <f aca="false">IF(NOT(ISNUMBER(M26)),"",IFERROR(IF(L26="EUR",M26,IF(L26="IRR",M26/INDEX('Assumptions &amp; FX Reference'!$C$5:$C$25,MATCH(H26,'Assumptions &amp; FX Reference'!$A$5:$A$25,0)),IF(L26="USD",M26*INDEX('Assumptions &amp; FX Reference'!$B$5:$B$25,MATCH(H26,'Assumptions &amp; FX Reference'!$A$5:$A$25,0))/INDEX('Assumptions &amp; FX Reference'!$C$5:$C$25,MATCH(H26,'Assumptions &amp; FX Reference'!$A$5:$A$25,0)),""))),"(FX missing)"))</f>
        <v>30000</v>
      </c>
      <c r="P26" s="42"/>
      <c r="Q26" s="42"/>
      <c r="R26" s="42"/>
      <c r="S26" s="42"/>
      <c r="T26" s="42"/>
      <c r="U26" s="42"/>
      <c r="V26" s="42" t="s">
        <v>987</v>
      </c>
    </row>
    <row r="27" customFormat="false" ht="15" hidden="false" customHeight="false" outlineLevel="0" collapsed="false">
      <c r="A27" s="42" t="s">
        <v>988</v>
      </c>
      <c r="B27" s="42" t="n">
        <v>99</v>
      </c>
      <c r="C27" s="45" t="str">
        <f aca="false">IF(B27="","",IFERROR(INDEX('Master Database'!$D$5:$D$600,MATCH(B27,'Master Database'!$A$5:$A$600,0)),"(row not found)"))</f>
        <v>P-137 A/B</v>
      </c>
      <c r="D27" s="45" t="str">
        <f aca="false">IF(B27="","",IFERROR(INDEX('Master Database'!$B$5:$B$600,MATCH(B27,'Master Database'!$A$5:$A$600,0)),"(row not found)"))</f>
        <v>Dirty Oil Pumps</v>
      </c>
      <c r="E27" s="42" t="s">
        <v>945</v>
      </c>
      <c r="F27" s="45" t="str">
        <f aca="false">IF(E27="","",IFERROR(INDEX(Vendor_Register!$B$5:$B$205,MATCH(E27,Vendor_Register!$A$5:$A$205,0)),"(not in register)"))</f>
        <v>پمپیران</v>
      </c>
      <c r="G27" s="45" t="str">
        <f aca="false">IF(E27="","",IFERROR(INDEX(Vendor_Register!$E$5:$E$205,MATCH(E27,Vendor_Register!$A$5:$A$205,0)),"(not in register)"))</f>
        <v>Not checked</v>
      </c>
      <c r="H27" s="42"/>
      <c r="I27" s="42"/>
      <c r="J27" s="42"/>
      <c r="K27" s="42"/>
      <c r="L27" s="42"/>
      <c r="M27" s="46"/>
      <c r="N27" s="42"/>
      <c r="O27" s="47" t="str">
        <f aca="false">IF(NOT(ISNUMBER(M27)),"",IFERROR(IF(L27="EUR",M27,IF(L27="IRR",M27/INDEX('Assumptions &amp; FX Reference'!$C$5:$C$25,MATCH(H27,'Assumptions &amp; FX Reference'!$A$5:$A$25,0)),IF(L27="USD",M27*INDEX('Assumptions &amp; FX Reference'!$B$5:$B$25,MATCH(H27,'Assumptions &amp; FX Reference'!$A$5:$A$25,0))/INDEX('Assumptions &amp; FX Reference'!$C$5:$C$25,MATCH(H27,'Assumptions &amp; FX Reference'!$A$5:$A$25,0)),""))),"(FX missing)"))</f>
        <v/>
      </c>
      <c r="P27" s="42"/>
      <c r="Q27" s="42"/>
      <c r="R27" s="42"/>
      <c r="S27" s="42"/>
      <c r="T27" s="42"/>
      <c r="U27" s="42"/>
      <c r="V27" s="42" t="s">
        <v>989</v>
      </c>
    </row>
    <row r="28" customFormat="false" ht="15" hidden="false" customHeight="false" outlineLevel="0" collapsed="false">
      <c r="A28" s="42" t="s">
        <v>990</v>
      </c>
      <c r="B28" s="42" t="n">
        <v>99</v>
      </c>
      <c r="C28" s="45" t="str">
        <f aca="false">IF(B28="","",IFERROR(INDEX('Master Database'!$D$5:$D$600,MATCH(B28,'Master Database'!$A$5:$A$600,0)),"(row not found)"))</f>
        <v>P-137 A/B</v>
      </c>
      <c r="D28" s="45" t="str">
        <f aca="false">IF(B28="","",IFERROR(INDEX('Master Database'!$B$5:$B$600,MATCH(B28,'Master Database'!$A$5:$A$600,0)),"(row not found)"))</f>
        <v>Dirty Oil Pumps</v>
      </c>
      <c r="E28" s="42" t="s">
        <v>949</v>
      </c>
      <c r="F28" s="45" t="str">
        <f aca="false">IF(E28="","",IFERROR(INDEX(Vendor_Register!$B$5:$B$205,MATCH(E28,Vendor_Register!$A$5:$A$205,0)),"(not in register)"))</f>
        <v>کالای پمپ</v>
      </c>
      <c r="G28" s="45" t="str">
        <f aca="false">IF(E28="","",IFERROR(INDEX(Vendor_Register!$E$5:$E$205,MATCH(E28,Vendor_Register!$A$5:$A$205,0)),"(not in register)"))</f>
        <v>Not checked</v>
      </c>
      <c r="H28" s="42"/>
      <c r="I28" s="42"/>
      <c r="J28" s="42"/>
      <c r="K28" s="42"/>
      <c r="L28" s="42"/>
      <c r="M28" s="46"/>
      <c r="N28" s="42"/>
      <c r="O28" s="47" t="str">
        <f aca="false">IF(NOT(ISNUMBER(M28)),"",IFERROR(IF(L28="EUR",M28,IF(L28="IRR",M28/INDEX('Assumptions &amp; FX Reference'!$C$5:$C$25,MATCH(H28,'Assumptions &amp; FX Reference'!$A$5:$A$25,0)),IF(L28="USD",M28*INDEX('Assumptions &amp; FX Reference'!$B$5:$B$25,MATCH(H28,'Assumptions &amp; FX Reference'!$A$5:$A$25,0))/INDEX('Assumptions &amp; FX Reference'!$C$5:$C$25,MATCH(H28,'Assumptions &amp; FX Reference'!$A$5:$A$25,0)),""))),"(FX missing)"))</f>
        <v/>
      </c>
      <c r="P28" s="42"/>
      <c r="Q28" s="42"/>
      <c r="R28" s="42"/>
      <c r="S28" s="42"/>
      <c r="T28" s="42"/>
      <c r="U28" s="42"/>
      <c r="V28" s="42" t="s">
        <v>991</v>
      </c>
    </row>
    <row r="29" customFormat="false" ht="15" hidden="false" customHeight="false" outlineLevel="0" collapsed="false">
      <c r="A29" s="42" t="s">
        <v>992</v>
      </c>
      <c r="B29" s="42" t="n">
        <v>99</v>
      </c>
      <c r="C29" s="45" t="str">
        <f aca="false">IF(B29="","",IFERROR(INDEX('Master Database'!$D$5:$D$600,MATCH(B29,'Master Database'!$A$5:$A$600,0)),"(row not found)"))</f>
        <v>P-137 A/B</v>
      </c>
      <c r="D29" s="45" t="str">
        <f aca="false">IF(B29="","",IFERROR(INDEX('Master Database'!$B$5:$B$600,MATCH(B29,'Master Database'!$A$5:$A$600,0)),"(row not found)"))</f>
        <v>Dirty Oil Pumps</v>
      </c>
      <c r="E29" s="42" t="s">
        <v>952</v>
      </c>
      <c r="F29" s="45" t="str">
        <f aca="false">IF(E29="","",IFERROR(INDEX(Vendor_Register!$B$5:$B$205,MATCH(E29,Vendor_Register!$A$5:$A$205,0)),"(not in register)"))</f>
        <v>دالاهو پارس کیش (دمکو)</v>
      </c>
      <c r="G29" s="45" t="str">
        <f aca="false">IF(E29="","",IFERROR(INDEX(Vendor_Register!$E$5:$E$205,MATCH(E29,Vendor_Register!$A$5:$A$205,0)),"(not in register)"))</f>
        <v>Not checked</v>
      </c>
      <c r="H29" s="42"/>
      <c r="I29" s="42"/>
      <c r="J29" s="42"/>
      <c r="K29" s="42"/>
      <c r="L29" s="42"/>
      <c r="M29" s="46"/>
      <c r="N29" s="42"/>
      <c r="O29" s="47" t="str">
        <f aca="false">IF(NOT(ISNUMBER(M29)),"",IFERROR(IF(L29="EUR",M29,IF(L29="IRR",M29/INDEX('Assumptions &amp; FX Reference'!$C$5:$C$25,MATCH(H29,'Assumptions &amp; FX Reference'!$A$5:$A$25,0)),IF(L29="USD",M29*INDEX('Assumptions &amp; FX Reference'!$B$5:$B$25,MATCH(H29,'Assumptions &amp; FX Reference'!$A$5:$A$25,0))/INDEX('Assumptions &amp; FX Reference'!$C$5:$C$25,MATCH(H29,'Assumptions &amp; FX Reference'!$A$5:$A$25,0)),""))),"(FX missing)"))</f>
        <v/>
      </c>
      <c r="P29" s="42"/>
      <c r="Q29" s="42"/>
      <c r="R29" s="42"/>
      <c r="S29" s="42"/>
      <c r="T29" s="42"/>
      <c r="U29" s="42"/>
      <c r="V29" s="42" t="s">
        <v>993</v>
      </c>
    </row>
    <row r="30" customFormat="false" ht="15" hidden="false" customHeight="false" outlineLevel="0" collapsed="false">
      <c r="A30" s="42" t="s">
        <v>994</v>
      </c>
      <c r="B30" s="42" t="n">
        <v>100</v>
      </c>
      <c r="C30" s="45" t="str">
        <f aca="false">IF(B30="","",IFERROR(INDEX('Master Database'!$D$5:$D$600,MATCH(B30,'Master Database'!$A$5:$A$600,0)),"(row not found)"))</f>
        <v>P-138 A/B</v>
      </c>
      <c r="D30" s="45" t="str">
        <f aca="false">IF(B30="","",IFERROR(INDEX('Master Database'!$B$5:$B$600,MATCH(B30,'Master Database'!$A$5:$A$600,0)),"(row not found)"))</f>
        <v>Evaporation Pond Water Return Pumps</v>
      </c>
      <c r="E30" s="42" t="s">
        <v>940</v>
      </c>
      <c r="F30" s="45" t="str">
        <f aca="false">IF(E30="","",IFERROR(INDEX(Vendor_Register!$B$5:$B$205,MATCH(E30,Vendor_Register!$A$5:$A$205,0)),"(not in register)"))</f>
        <v>آریا سپهر کیهان</v>
      </c>
      <c r="G30" s="45" t="str">
        <f aca="false">IF(E30="","",IFERROR(INDEX(Vendor_Register!$E$5:$E$205,MATCH(E30,Vendor_Register!$A$5:$A$205,0)),"(not in register)"))</f>
        <v>Not checked</v>
      </c>
      <c r="H30" s="42" t="n">
        <v>1403</v>
      </c>
      <c r="I30" s="42" t="s">
        <v>941</v>
      </c>
      <c r="J30" s="42"/>
      <c r="K30" s="50" t="s">
        <v>208</v>
      </c>
      <c r="L30" s="42" t="s">
        <v>363</v>
      </c>
      <c r="M30" s="46" t="n">
        <v>28000</v>
      </c>
      <c r="N30" s="42" t="s">
        <v>942</v>
      </c>
      <c r="O30" s="47" t="n">
        <f aca="false">IF(NOT(ISNUMBER(M30)),"",IFERROR(IF(L30="EUR",M30,IF(L30="IRR",M30/INDEX('Assumptions &amp; FX Reference'!$C$5:$C$25,MATCH(H30,'Assumptions &amp; FX Reference'!$A$5:$A$25,0)),IF(L30="USD",M30*INDEX('Assumptions &amp; FX Reference'!$B$5:$B$25,MATCH(H30,'Assumptions &amp; FX Reference'!$A$5:$A$25,0))/INDEX('Assumptions &amp; FX Reference'!$C$5:$C$25,MATCH(H30,'Assumptions &amp; FX Reference'!$A$5:$A$25,0)),""))),"(FX missing)"))</f>
        <v>28000</v>
      </c>
      <c r="P30" s="42"/>
      <c r="Q30" s="42"/>
      <c r="R30" s="42"/>
      <c r="S30" s="42"/>
      <c r="T30" s="42"/>
      <c r="U30" s="42"/>
      <c r="V30" s="42" t="s">
        <v>995</v>
      </c>
    </row>
    <row r="31" customFormat="false" ht="15" hidden="false" customHeight="false" outlineLevel="0" collapsed="false">
      <c r="A31" s="42" t="s">
        <v>996</v>
      </c>
      <c r="B31" s="42" t="n">
        <v>100</v>
      </c>
      <c r="C31" s="45" t="str">
        <f aca="false">IF(B31="","",IFERROR(INDEX('Master Database'!$D$5:$D$600,MATCH(B31,'Master Database'!$A$5:$A$600,0)),"(row not found)"))</f>
        <v>P-138 A/B</v>
      </c>
      <c r="D31" s="45" t="str">
        <f aca="false">IF(B31="","",IFERROR(INDEX('Master Database'!$B$5:$B$600,MATCH(B31,'Master Database'!$A$5:$A$600,0)),"(row not found)"))</f>
        <v>Evaporation Pond Water Return Pumps</v>
      </c>
      <c r="E31" s="42" t="s">
        <v>945</v>
      </c>
      <c r="F31" s="45" t="str">
        <f aca="false">IF(E31="","",IFERROR(INDEX(Vendor_Register!$B$5:$B$205,MATCH(E31,Vendor_Register!$A$5:$A$205,0)),"(not in register)"))</f>
        <v>پمپیران</v>
      </c>
      <c r="G31" s="45" t="str">
        <f aca="false">IF(E31="","",IFERROR(INDEX(Vendor_Register!$E$5:$E$205,MATCH(E31,Vendor_Register!$A$5:$A$205,0)),"(not in register)"))</f>
        <v>Not checked</v>
      </c>
      <c r="H31" s="42" t="n">
        <v>1404</v>
      </c>
      <c r="I31" s="42" t="s">
        <v>946</v>
      </c>
      <c r="J31" s="42"/>
      <c r="K31" s="50" t="s">
        <v>208</v>
      </c>
      <c r="L31" s="42" t="s">
        <v>363</v>
      </c>
      <c r="M31" s="46" t="n">
        <v>30000</v>
      </c>
      <c r="N31" s="42" t="s">
        <v>942</v>
      </c>
      <c r="O31" s="47" t="n">
        <f aca="false">IF(NOT(ISNUMBER(M31)),"",IFERROR(IF(L31="EUR",M31,IF(L31="IRR",M31/INDEX('Assumptions &amp; FX Reference'!$C$5:$C$25,MATCH(H31,'Assumptions &amp; FX Reference'!$A$5:$A$25,0)),IF(L31="USD",M31*INDEX('Assumptions &amp; FX Reference'!$B$5:$B$25,MATCH(H31,'Assumptions &amp; FX Reference'!$A$5:$A$25,0))/INDEX('Assumptions &amp; FX Reference'!$C$5:$C$25,MATCH(H31,'Assumptions &amp; FX Reference'!$A$5:$A$25,0)),""))),"(FX missing)"))</f>
        <v>30000</v>
      </c>
      <c r="P31" s="42"/>
      <c r="Q31" s="42"/>
      <c r="R31" s="42"/>
      <c r="S31" s="42"/>
      <c r="T31" s="42"/>
      <c r="U31" s="42"/>
      <c r="V31" s="42" t="s">
        <v>997</v>
      </c>
    </row>
    <row r="32" customFormat="false" ht="15" hidden="false" customHeight="false" outlineLevel="0" collapsed="false">
      <c r="A32" s="42" t="s">
        <v>998</v>
      </c>
      <c r="B32" s="42" t="n">
        <v>100</v>
      </c>
      <c r="C32" s="45" t="str">
        <f aca="false">IF(B32="","",IFERROR(INDEX('Master Database'!$D$5:$D$600,MATCH(B32,'Master Database'!$A$5:$A$600,0)),"(row not found)"))</f>
        <v>P-138 A/B</v>
      </c>
      <c r="D32" s="45" t="str">
        <f aca="false">IF(B32="","",IFERROR(INDEX('Master Database'!$B$5:$B$600,MATCH(B32,'Master Database'!$A$5:$A$600,0)),"(row not found)"))</f>
        <v>Evaporation Pond Water Return Pumps</v>
      </c>
      <c r="E32" s="42" t="s">
        <v>949</v>
      </c>
      <c r="F32" s="45" t="str">
        <f aca="false">IF(E32="","",IFERROR(INDEX(Vendor_Register!$B$5:$B$205,MATCH(E32,Vendor_Register!$A$5:$A$205,0)),"(not in register)"))</f>
        <v>کالای پمپ</v>
      </c>
      <c r="G32" s="45" t="str">
        <f aca="false">IF(E32="","",IFERROR(INDEX(Vendor_Register!$E$5:$E$205,MATCH(E32,Vendor_Register!$A$5:$A$205,0)),"(not in register)"))</f>
        <v>Not checked</v>
      </c>
      <c r="H32" s="42"/>
      <c r="I32" s="42"/>
      <c r="J32" s="42"/>
      <c r="K32" s="42"/>
      <c r="L32" s="42"/>
      <c r="M32" s="46"/>
      <c r="N32" s="42"/>
      <c r="O32" s="47" t="str">
        <f aca="false">IF(NOT(ISNUMBER(M32)),"",IFERROR(IF(L32="EUR",M32,IF(L32="IRR",M32/INDEX('Assumptions &amp; FX Reference'!$C$5:$C$25,MATCH(H32,'Assumptions &amp; FX Reference'!$A$5:$A$25,0)),IF(L32="USD",M32*INDEX('Assumptions &amp; FX Reference'!$B$5:$B$25,MATCH(H32,'Assumptions &amp; FX Reference'!$A$5:$A$25,0))/INDEX('Assumptions &amp; FX Reference'!$C$5:$C$25,MATCH(H32,'Assumptions &amp; FX Reference'!$A$5:$A$25,0)),""))),"(FX missing)"))</f>
        <v/>
      </c>
      <c r="P32" s="42"/>
      <c r="Q32" s="42"/>
      <c r="R32" s="42"/>
      <c r="S32" s="42"/>
      <c r="T32" s="42"/>
      <c r="U32" s="42"/>
      <c r="V32" s="42" t="s">
        <v>999</v>
      </c>
    </row>
    <row r="33" customFormat="false" ht="15" hidden="false" customHeight="false" outlineLevel="0" collapsed="false">
      <c r="A33" s="42" t="s">
        <v>1000</v>
      </c>
      <c r="B33" s="42" t="n">
        <v>100</v>
      </c>
      <c r="C33" s="45" t="str">
        <f aca="false">IF(B33="","",IFERROR(INDEX('Master Database'!$D$5:$D$600,MATCH(B33,'Master Database'!$A$5:$A$600,0)),"(row not found)"))</f>
        <v>P-138 A/B</v>
      </c>
      <c r="D33" s="45" t="str">
        <f aca="false">IF(B33="","",IFERROR(INDEX('Master Database'!$B$5:$B$600,MATCH(B33,'Master Database'!$A$5:$A$600,0)),"(row not found)"))</f>
        <v>Evaporation Pond Water Return Pumps</v>
      </c>
      <c r="E33" s="42" t="s">
        <v>952</v>
      </c>
      <c r="F33" s="45" t="str">
        <f aca="false">IF(E33="","",IFERROR(INDEX(Vendor_Register!$B$5:$B$205,MATCH(E33,Vendor_Register!$A$5:$A$205,0)),"(not in register)"))</f>
        <v>دالاهو پارس کیش (دمکو)</v>
      </c>
      <c r="G33" s="45" t="str">
        <f aca="false">IF(E33="","",IFERROR(INDEX(Vendor_Register!$E$5:$E$205,MATCH(E33,Vendor_Register!$A$5:$A$205,0)),"(not in register)"))</f>
        <v>Not checked</v>
      </c>
      <c r="H33" s="42"/>
      <c r="I33" s="42"/>
      <c r="J33" s="42"/>
      <c r="K33" s="42"/>
      <c r="L33" s="42"/>
      <c r="M33" s="46"/>
      <c r="N33" s="42"/>
      <c r="O33" s="47" t="str">
        <f aca="false">IF(NOT(ISNUMBER(M33)),"",IFERROR(IF(L33="EUR",M33,IF(L33="IRR",M33/INDEX('Assumptions &amp; FX Reference'!$C$5:$C$25,MATCH(H33,'Assumptions &amp; FX Reference'!$A$5:$A$25,0)),IF(L33="USD",M33*INDEX('Assumptions &amp; FX Reference'!$B$5:$B$25,MATCH(H33,'Assumptions &amp; FX Reference'!$A$5:$A$25,0))/INDEX('Assumptions &amp; FX Reference'!$C$5:$C$25,MATCH(H33,'Assumptions &amp; FX Reference'!$A$5:$A$25,0)),""))),"(FX missing)"))</f>
        <v/>
      </c>
      <c r="P33" s="42"/>
      <c r="Q33" s="42"/>
      <c r="R33" s="42"/>
      <c r="S33" s="42"/>
      <c r="T33" s="42"/>
      <c r="U33" s="42"/>
      <c r="V33" s="42" t="s">
        <v>1001</v>
      </c>
    </row>
    <row r="34" customFormat="false" ht="15" hidden="false" customHeight="false" outlineLevel="0" collapsed="false">
      <c r="A34" s="42" t="s">
        <v>1002</v>
      </c>
      <c r="B34" s="42" t="n">
        <v>101</v>
      </c>
      <c r="C34" s="45" t="str">
        <f aca="false">IF(B34="","",IFERROR(INDEX('Master Database'!$D$5:$D$600,MATCH(B34,'Master Database'!$A$5:$A$600,0)),"(row not found)"))</f>
        <v>P-139 A/B/C</v>
      </c>
      <c r="D34" s="45" t="str">
        <f aca="false">IF(B34="","",IFERROR(INDEX('Master Database'!$B$5:$B$600,MATCH(B34,'Master Database'!$A$5:$A$600,0)),"(row not found)"))</f>
        <v>Disposal Water InjectionPumps</v>
      </c>
      <c r="E34" s="42" t="s">
        <v>940</v>
      </c>
      <c r="F34" s="45" t="str">
        <f aca="false">IF(E34="","",IFERROR(INDEX(Vendor_Register!$B$5:$B$205,MATCH(E34,Vendor_Register!$A$5:$A$205,0)),"(not in register)"))</f>
        <v>آریا سپهر کیهان</v>
      </c>
      <c r="G34" s="45" t="str">
        <f aca="false">IF(E34="","",IFERROR(INDEX(Vendor_Register!$E$5:$E$205,MATCH(E34,Vendor_Register!$A$5:$A$205,0)),"(not in register)"))</f>
        <v>Not checked</v>
      </c>
      <c r="H34" s="42" t="n">
        <v>1403</v>
      </c>
      <c r="I34" s="42" t="s">
        <v>941</v>
      </c>
      <c r="J34" s="42"/>
      <c r="K34" s="50" t="s">
        <v>208</v>
      </c>
      <c r="L34" s="42" t="s">
        <v>363</v>
      </c>
      <c r="M34" s="46" t="n">
        <v>225000</v>
      </c>
      <c r="N34" s="42" t="s">
        <v>942</v>
      </c>
      <c r="O34" s="47" t="n">
        <f aca="false">IF(NOT(ISNUMBER(M34)),"",IFERROR(IF(L34="EUR",M34,IF(L34="IRR",M34/INDEX('Assumptions &amp; FX Reference'!$C$5:$C$25,MATCH(H34,'Assumptions &amp; FX Reference'!$A$5:$A$25,0)),IF(L34="USD",M34*INDEX('Assumptions &amp; FX Reference'!$B$5:$B$25,MATCH(H34,'Assumptions &amp; FX Reference'!$A$5:$A$25,0))/INDEX('Assumptions &amp; FX Reference'!$C$5:$C$25,MATCH(H34,'Assumptions &amp; FX Reference'!$A$5:$A$25,0)),""))),"(FX missing)"))</f>
        <v>225000</v>
      </c>
      <c r="P34" s="42"/>
      <c r="Q34" s="42"/>
      <c r="R34" s="42"/>
      <c r="S34" s="42"/>
      <c r="T34" s="42"/>
      <c r="U34" s="42"/>
      <c r="V34" s="42" t="s">
        <v>1003</v>
      </c>
    </row>
    <row r="35" customFormat="false" ht="15" hidden="false" customHeight="false" outlineLevel="0" collapsed="false">
      <c r="A35" s="42" t="s">
        <v>1004</v>
      </c>
      <c r="B35" s="42" t="n">
        <v>101</v>
      </c>
      <c r="C35" s="45" t="str">
        <f aca="false">IF(B35="","",IFERROR(INDEX('Master Database'!$D$5:$D$600,MATCH(B35,'Master Database'!$A$5:$A$600,0)),"(row not found)"))</f>
        <v>P-139 A/B/C</v>
      </c>
      <c r="D35" s="45" t="str">
        <f aca="false">IF(B35="","",IFERROR(INDEX('Master Database'!$B$5:$B$600,MATCH(B35,'Master Database'!$A$5:$A$600,0)),"(row not found)"))</f>
        <v>Disposal Water InjectionPumps</v>
      </c>
      <c r="E35" s="42" t="s">
        <v>945</v>
      </c>
      <c r="F35" s="45" t="str">
        <f aca="false">IF(E35="","",IFERROR(INDEX(Vendor_Register!$B$5:$B$205,MATCH(E35,Vendor_Register!$A$5:$A$205,0)),"(not in register)"))</f>
        <v>پمپیران</v>
      </c>
      <c r="G35" s="45" t="str">
        <f aca="false">IF(E35="","",IFERROR(INDEX(Vendor_Register!$E$5:$E$205,MATCH(E35,Vendor_Register!$A$5:$A$205,0)),"(not in register)"))</f>
        <v>Not checked</v>
      </c>
      <c r="H35" s="42" t="n">
        <v>1404</v>
      </c>
      <c r="I35" s="42" t="s">
        <v>946</v>
      </c>
      <c r="J35" s="42"/>
      <c r="K35" s="50" t="s">
        <v>208</v>
      </c>
      <c r="L35" s="42" t="s">
        <v>363</v>
      </c>
      <c r="M35" s="46" t="n">
        <v>270000</v>
      </c>
      <c r="N35" s="42" t="s">
        <v>942</v>
      </c>
      <c r="O35" s="47" t="n">
        <f aca="false">IF(NOT(ISNUMBER(M35)),"",IFERROR(IF(L35="EUR",M35,IF(L35="IRR",M35/INDEX('Assumptions &amp; FX Reference'!$C$5:$C$25,MATCH(H35,'Assumptions &amp; FX Reference'!$A$5:$A$25,0)),IF(L35="USD",M35*INDEX('Assumptions &amp; FX Reference'!$B$5:$B$25,MATCH(H35,'Assumptions &amp; FX Reference'!$A$5:$A$25,0))/INDEX('Assumptions &amp; FX Reference'!$C$5:$C$25,MATCH(H35,'Assumptions &amp; FX Reference'!$A$5:$A$25,0)),""))),"(FX missing)"))</f>
        <v>270000</v>
      </c>
      <c r="P35" s="42"/>
      <c r="Q35" s="42"/>
      <c r="R35" s="42"/>
      <c r="S35" s="42"/>
      <c r="T35" s="42"/>
      <c r="U35" s="42"/>
      <c r="V35" s="42" t="s">
        <v>1005</v>
      </c>
    </row>
    <row r="36" customFormat="false" ht="15" hidden="false" customHeight="false" outlineLevel="0" collapsed="false">
      <c r="A36" s="42" t="s">
        <v>1006</v>
      </c>
      <c r="B36" s="42" t="n">
        <v>101</v>
      </c>
      <c r="C36" s="45" t="str">
        <f aca="false">IF(B36="","",IFERROR(INDEX('Master Database'!$D$5:$D$600,MATCH(B36,'Master Database'!$A$5:$A$600,0)),"(row not found)"))</f>
        <v>P-139 A/B/C</v>
      </c>
      <c r="D36" s="45" t="str">
        <f aca="false">IF(B36="","",IFERROR(INDEX('Master Database'!$B$5:$B$600,MATCH(B36,'Master Database'!$A$5:$A$600,0)),"(row not found)"))</f>
        <v>Disposal Water InjectionPumps</v>
      </c>
      <c r="E36" s="42" t="s">
        <v>949</v>
      </c>
      <c r="F36" s="45" t="str">
        <f aca="false">IF(E36="","",IFERROR(INDEX(Vendor_Register!$B$5:$B$205,MATCH(E36,Vendor_Register!$A$5:$A$205,0)),"(not in register)"))</f>
        <v>کالای پمپ</v>
      </c>
      <c r="G36" s="45" t="str">
        <f aca="false">IF(E36="","",IFERROR(INDEX(Vendor_Register!$E$5:$E$205,MATCH(E36,Vendor_Register!$A$5:$A$205,0)),"(not in register)"))</f>
        <v>Not checked</v>
      </c>
      <c r="H36" s="42"/>
      <c r="I36" s="42"/>
      <c r="J36" s="42"/>
      <c r="K36" s="42"/>
      <c r="L36" s="42"/>
      <c r="M36" s="46"/>
      <c r="N36" s="42"/>
      <c r="O36" s="47" t="str">
        <f aca="false">IF(NOT(ISNUMBER(M36)),"",IFERROR(IF(L36="EUR",M36,IF(L36="IRR",M36/INDEX('Assumptions &amp; FX Reference'!$C$5:$C$25,MATCH(H36,'Assumptions &amp; FX Reference'!$A$5:$A$25,0)),IF(L36="USD",M36*INDEX('Assumptions &amp; FX Reference'!$B$5:$B$25,MATCH(H36,'Assumptions &amp; FX Reference'!$A$5:$A$25,0))/INDEX('Assumptions &amp; FX Reference'!$C$5:$C$25,MATCH(H36,'Assumptions &amp; FX Reference'!$A$5:$A$25,0)),""))),"(FX missing)"))</f>
        <v/>
      </c>
      <c r="P36" s="42"/>
      <c r="Q36" s="42"/>
      <c r="R36" s="42"/>
      <c r="S36" s="42"/>
      <c r="T36" s="42"/>
      <c r="U36" s="42"/>
      <c r="V36" s="42" t="s">
        <v>1007</v>
      </c>
    </row>
    <row r="37" customFormat="false" ht="15" hidden="false" customHeight="false" outlineLevel="0" collapsed="false">
      <c r="A37" s="42" t="s">
        <v>1008</v>
      </c>
      <c r="B37" s="42" t="n">
        <v>101</v>
      </c>
      <c r="C37" s="45" t="str">
        <f aca="false">IF(B37="","",IFERROR(INDEX('Master Database'!$D$5:$D$600,MATCH(B37,'Master Database'!$A$5:$A$600,0)),"(row not found)"))</f>
        <v>P-139 A/B/C</v>
      </c>
      <c r="D37" s="45" t="str">
        <f aca="false">IF(B37="","",IFERROR(INDEX('Master Database'!$B$5:$B$600,MATCH(B37,'Master Database'!$A$5:$A$600,0)),"(row not found)"))</f>
        <v>Disposal Water InjectionPumps</v>
      </c>
      <c r="E37" s="42" t="s">
        <v>952</v>
      </c>
      <c r="F37" s="45" t="str">
        <f aca="false">IF(E37="","",IFERROR(INDEX(Vendor_Register!$B$5:$B$205,MATCH(E37,Vendor_Register!$A$5:$A$205,0)),"(not in register)"))</f>
        <v>دالاهو پارس کیش (دمکو)</v>
      </c>
      <c r="G37" s="45" t="str">
        <f aca="false">IF(E37="","",IFERROR(INDEX(Vendor_Register!$E$5:$E$205,MATCH(E37,Vendor_Register!$A$5:$A$205,0)),"(not in register)"))</f>
        <v>Not checked</v>
      </c>
      <c r="H37" s="42"/>
      <c r="I37" s="42"/>
      <c r="J37" s="42"/>
      <c r="K37" s="42"/>
      <c r="L37" s="42"/>
      <c r="M37" s="46"/>
      <c r="N37" s="42"/>
      <c r="O37" s="47" t="str">
        <f aca="false">IF(NOT(ISNUMBER(M37)),"",IFERROR(IF(L37="EUR",M37,IF(L37="IRR",M37/INDEX('Assumptions &amp; FX Reference'!$C$5:$C$25,MATCH(H37,'Assumptions &amp; FX Reference'!$A$5:$A$25,0)),IF(L37="USD",M37*INDEX('Assumptions &amp; FX Reference'!$B$5:$B$25,MATCH(H37,'Assumptions &amp; FX Reference'!$A$5:$A$25,0))/INDEX('Assumptions &amp; FX Reference'!$C$5:$C$25,MATCH(H37,'Assumptions &amp; FX Reference'!$A$5:$A$25,0)),""))),"(FX missing)"))</f>
        <v/>
      </c>
      <c r="P37" s="42"/>
      <c r="Q37" s="42"/>
      <c r="R37" s="42"/>
      <c r="S37" s="42"/>
      <c r="T37" s="42"/>
      <c r="U37" s="42"/>
      <c r="V37" s="42" t="s">
        <v>1009</v>
      </c>
    </row>
    <row r="38" customFormat="false" ht="15" hidden="false" customHeight="false" outlineLevel="0" collapsed="false">
      <c r="A38" s="42" t="s">
        <v>1010</v>
      </c>
      <c r="B38" s="42" t="n">
        <v>102</v>
      </c>
      <c r="C38" s="45" t="str">
        <f aca="false">IF(B38="","",IFERROR(INDEX('Master Database'!$D$5:$D$600,MATCH(B38,'Master Database'!$A$5:$A$600,0)),"(row not found)"))</f>
        <v>P-151 A/B</v>
      </c>
      <c r="D38" s="45" t="str">
        <f aca="false">IF(B38="","",IFERROR(INDEX('Master Database'!$B$5:$B$600,MATCH(B38,'Master Database'!$A$5:$A$600,0)),"(row not found)"))</f>
        <v>Flare K.O. Drum Pumps</v>
      </c>
      <c r="E38" s="42" t="s">
        <v>940</v>
      </c>
      <c r="F38" s="45" t="str">
        <f aca="false">IF(E38="","",IFERROR(INDEX(Vendor_Register!$B$5:$B$205,MATCH(E38,Vendor_Register!$A$5:$A$205,0)),"(not in register)"))</f>
        <v>آریا سپهر کیهان</v>
      </c>
      <c r="G38" s="45" t="str">
        <f aca="false">IF(E38="","",IFERROR(INDEX(Vendor_Register!$E$5:$E$205,MATCH(E38,Vendor_Register!$A$5:$A$205,0)),"(not in register)"))</f>
        <v>Not checked</v>
      </c>
      <c r="H38" s="42" t="n">
        <v>1403</v>
      </c>
      <c r="I38" s="42" t="s">
        <v>941</v>
      </c>
      <c r="J38" s="42"/>
      <c r="K38" s="50" t="s">
        <v>208</v>
      </c>
      <c r="L38" s="42" t="s">
        <v>363</v>
      </c>
      <c r="M38" s="46" t="n">
        <v>21000</v>
      </c>
      <c r="N38" s="42" t="s">
        <v>942</v>
      </c>
      <c r="O38" s="47" t="n">
        <f aca="false">IF(NOT(ISNUMBER(M38)),"",IFERROR(IF(L38="EUR",M38,IF(L38="IRR",M38/INDEX('Assumptions &amp; FX Reference'!$C$5:$C$25,MATCH(H38,'Assumptions &amp; FX Reference'!$A$5:$A$25,0)),IF(L38="USD",M38*INDEX('Assumptions &amp; FX Reference'!$B$5:$B$25,MATCH(H38,'Assumptions &amp; FX Reference'!$A$5:$A$25,0))/INDEX('Assumptions &amp; FX Reference'!$C$5:$C$25,MATCH(H38,'Assumptions &amp; FX Reference'!$A$5:$A$25,0)),""))),"(FX missing)"))</f>
        <v>21000</v>
      </c>
      <c r="P38" s="42"/>
      <c r="Q38" s="42"/>
      <c r="R38" s="42"/>
      <c r="S38" s="42"/>
      <c r="T38" s="42"/>
      <c r="U38" s="42"/>
      <c r="V38" s="42" t="s">
        <v>1011</v>
      </c>
    </row>
    <row r="39" customFormat="false" ht="15" hidden="false" customHeight="false" outlineLevel="0" collapsed="false">
      <c r="A39" s="42" t="s">
        <v>1012</v>
      </c>
      <c r="B39" s="42" t="n">
        <v>102</v>
      </c>
      <c r="C39" s="45" t="str">
        <f aca="false">IF(B39="","",IFERROR(INDEX('Master Database'!$D$5:$D$600,MATCH(B39,'Master Database'!$A$5:$A$600,0)),"(row not found)"))</f>
        <v>P-151 A/B</v>
      </c>
      <c r="D39" s="45" t="str">
        <f aca="false">IF(B39="","",IFERROR(INDEX('Master Database'!$B$5:$B$600,MATCH(B39,'Master Database'!$A$5:$A$600,0)),"(row not found)"))</f>
        <v>Flare K.O. Drum Pumps</v>
      </c>
      <c r="E39" s="42" t="s">
        <v>945</v>
      </c>
      <c r="F39" s="45" t="str">
        <f aca="false">IF(E39="","",IFERROR(INDEX(Vendor_Register!$B$5:$B$205,MATCH(E39,Vendor_Register!$A$5:$A$205,0)),"(not in register)"))</f>
        <v>پمپیران</v>
      </c>
      <c r="G39" s="45" t="str">
        <f aca="false">IF(E39="","",IFERROR(INDEX(Vendor_Register!$E$5:$E$205,MATCH(E39,Vendor_Register!$A$5:$A$205,0)),"(not in register)"))</f>
        <v>Not checked</v>
      </c>
      <c r="H39" s="42" t="n">
        <v>1404</v>
      </c>
      <c r="I39" s="42" t="s">
        <v>946</v>
      </c>
      <c r="J39" s="42"/>
      <c r="K39" s="50" t="s">
        <v>208</v>
      </c>
      <c r="L39" s="42" t="s">
        <v>363</v>
      </c>
      <c r="M39" s="46" t="n">
        <v>30000</v>
      </c>
      <c r="N39" s="42" t="s">
        <v>942</v>
      </c>
      <c r="O39" s="47" t="n">
        <f aca="false">IF(NOT(ISNUMBER(M39)),"",IFERROR(IF(L39="EUR",M39,IF(L39="IRR",M39/INDEX('Assumptions &amp; FX Reference'!$C$5:$C$25,MATCH(H39,'Assumptions &amp; FX Reference'!$A$5:$A$25,0)),IF(L39="USD",M39*INDEX('Assumptions &amp; FX Reference'!$B$5:$B$25,MATCH(H39,'Assumptions &amp; FX Reference'!$A$5:$A$25,0))/INDEX('Assumptions &amp; FX Reference'!$C$5:$C$25,MATCH(H39,'Assumptions &amp; FX Reference'!$A$5:$A$25,0)),""))),"(FX missing)"))</f>
        <v>30000</v>
      </c>
      <c r="P39" s="42"/>
      <c r="Q39" s="42"/>
      <c r="R39" s="42"/>
      <c r="S39" s="42"/>
      <c r="T39" s="42"/>
      <c r="U39" s="42"/>
      <c r="V39" s="42" t="s">
        <v>1013</v>
      </c>
    </row>
    <row r="40" customFormat="false" ht="15" hidden="false" customHeight="false" outlineLevel="0" collapsed="false">
      <c r="A40" s="42" t="s">
        <v>1014</v>
      </c>
      <c r="B40" s="42" t="n">
        <v>102</v>
      </c>
      <c r="C40" s="45" t="str">
        <f aca="false">IF(B40="","",IFERROR(INDEX('Master Database'!$D$5:$D$600,MATCH(B40,'Master Database'!$A$5:$A$600,0)),"(row not found)"))</f>
        <v>P-151 A/B</v>
      </c>
      <c r="D40" s="45" t="str">
        <f aca="false">IF(B40="","",IFERROR(INDEX('Master Database'!$B$5:$B$600,MATCH(B40,'Master Database'!$A$5:$A$600,0)),"(row not found)"))</f>
        <v>Flare K.O. Drum Pumps</v>
      </c>
      <c r="E40" s="42" t="s">
        <v>949</v>
      </c>
      <c r="F40" s="45" t="str">
        <f aca="false">IF(E40="","",IFERROR(INDEX(Vendor_Register!$B$5:$B$205,MATCH(E40,Vendor_Register!$A$5:$A$205,0)),"(not in register)"))</f>
        <v>کالای پمپ</v>
      </c>
      <c r="G40" s="45" t="str">
        <f aca="false">IF(E40="","",IFERROR(INDEX(Vendor_Register!$E$5:$E$205,MATCH(E40,Vendor_Register!$A$5:$A$205,0)),"(not in register)"))</f>
        <v>Not checked</v>
      </c>
      <c r="H40" s="42"/>
      <c r="I40" s="42"/>
      <c r="J40" s="42"/>
      <c r="K40" s="42"/>
      <c r="L40" s="42"/>
      <c r="M40" s="46"/>
      <c r="N40" s="42"/>
      <c r="O40" s="47" t="str">
        <f aca="false">IF(NOT(ISNUMBER(M40)),"",IFERROR(IF(L40="EUR",M40,IF(L40="IRR",M40/INDEX('Assumptions &amp; FX Reference'!$C$5:$C$25,MATCH(H40,'Assumptions &amp; FX Reference'!$A$5:$A$25,0)),IF(L40="USD",M40*INDEX('Assumptions &amp; FX Reference'!$B$5:$B$25,MATCH(H40,'Assumptions &amp; FX Reference'!$A$5:$A$25,0))/INDEX('Assumptions &amp; FX Reference'!$C$5:$C$25,MATCH(H40,'Assumptions &amp; FX Reference'!$A$5:$A$25,0)),""))),"(FX missing)"))</f>
        <v/>
      </c>
      <c r="P40" s="42"/>
      <c r="Q40" s="42"/>
      <c r="R40" s="42"/>
      <c r="S40" s="42"/>
      <c r="T40" s="42"/>
      <c r="U40" s="42"/>
      <c r="V40" s="42" t="s">
        <v>1015</v>
      </c>
    </row>
    <row r="41" customFormat="false" ht="15" hidden="false" customHeight="false" outlineLevel="0" collapsed="false">
      <c r="A41" s="42" t="s">
        <v>1016</v>
      </c>
      <c r="B41" s="42" t="n">
        <v>102</v>
      </c>
      <c r="C41" s="45" t="str">
        <f aca="false">IF(B41="","",IFERROR(INDEX('Master Database'!$D$5:$D$600,MATCH(B41,'Master Database'!$A$5:$A$600,0)),"(row not found)"))</f>
        <v>P-151 A/B</v>
      </c>
      <c r="D41" s="45" t="str">
        <f aca="false">IF(B41="","",IFERROR(INDEX('Master Database'!$B$5:$B$600,MATCH(B41,'Master Database'!$A$5:$A$600,0)),"(row not found)"))</f>
        <v>Flare K.O. Drum Pumps</v>
      </c>
      <c r="E41" s="42" t="s">
        <v>952</v>
      </c>
      <c r="F41" s="45" t="str">
        <f aca="false">IF(E41="","",IFERROR(INDEX(Vendor_Register!$B$5:$B$205,MATCH(E41,Vendor_Register!$A$5:$A$205,0)),"(not in register)"))</f>
        <v>دالاهو پارس کیش (دمکو)</v>
      </c>
      <c r="G41" s="45" t="str">
        <f aca="false">IF(E41="","",IFERROR(INDEX(Vendor_Register!$E$5:$E$205,MATCH(E41,Vendor_Register!$A$5:$A$205,0)),"(not in register)"))</f>
        <v>Not checked</v>
      </c>
      <c r="H41" s="42"/>
      <c r="I41" s="42"/>
      <c r="J41" s="42"/>
      <c r="K41" s="42"/>
      <c r="L41" s="42"/>
      <c r="M41" s="46"/>
      <c r="N41" s="42"/>
      <c r="O41" s="47" t="str">
        <f aca="false">IF(NOT(ISNUMBER(M41)),"",IFERROR(IF(L41="EUR",M41,IF(L41="IRR",M41/INDEX('Assumptions &amp; FX Reference'!$C$5:$C$25,MATCH(H41,'Assumptions &amp; FX Reference'!$A$5:$A$25,0)),IF(L41="USD",M41*INDEX('Assumptions &amp; FX Reference'!$B$5:$B$25,MATCH(H41,'Assumptions &amp; FX Reference'!$A$5:$A$25,0))/INDEX('Assumptions &amp; FX Reference'!$C$5:$C$25,MATCH(H41,'Assumptions &amp; FX Reference'!$A$5:$A$25,0)),""))),"(FX missing)"))</f>
        <v/>
      </c>
      <c r="P41" s="42"/>
      <c r="Q41" s="42"/>
      <c r="R41" s="42"/>
      <c r="S41" s="42"/>
      <c r="T41" s="42"/>
      <c r="U41" s="42"/>
      <c r="V41" s="42" t="s">
        <v>1017</v>
      </c>
    </row>
    <row r="42" customFormat="false" ht="15" hidden="false" customHeight="false" outlineLevel="0" collapsed="false">
      <c r="A42" s="42" t="s">
        <v>1018</v>
      </c>
      <c r="B42" s="42" t="n">
        <v>103</v>
      </c>
      <c r="C42" s="45" t="str">
        <f aca="false">IF(B42="","",IFERROR(INDEX('Master Database'!$D$5:$D$600,MATCH(B42,'Master Database'!$A$5:$A$600,0)),"(row not found)"))</f>
        <v>P-161 A/B</v>
      </c>
      <c r="D42" s="45" t="str">
        <f aca="false">IF(B42="","",IFERROR(INDEX('Master Database'!$B$5:$B$600,MATCH(B42,'Master Database'!$A$5:$A$600,0)),"(row not found)"))</f>
        <v>Closed Drain Drum Pumps</v>
      </c>
      <c r="E42" s="42" t="s">
        <v>940</v>
      </c>
      <c r="F42" s="45" t="str">
        <f aca="false">IF(E42="","",IFERROR(INDEX(Vendor_Register!$B$5:$B$205,MATCH(E42,Vendor_Register!$A$5:$A$205,0)),"(not in register)"))</f>
        <v>آریا سپهر کیهان</v>
      </c>
      <c r="G42" s="45" t="str">
        <f aca="false">IF(E42="","",IFERROR(INDEX(Vendor_Register!$E$5:$E$205,MATCH(E42,Vendor_Register!$A$5:$A$205,0)),"(not in register)"))</f>
        <v>Not checked</v>
      </c>
      <c r="H42" s="42" t="n">
        <v>1403</v>
      </c>
      <c r="I42" s="42" t="s">
        <v>941</v>
      </c>
      <c r="J42" s="42"/>
      <c r="K42" s="50" t="s">
        <v>208</v>
      </c>
      <c r="L42" s="42" t="s">
        <v>363</v>
      </c>
      <c r="M42" s="46" t="n">
        <v>32000</v>
      </c>
      <c r="N42" s="42" t="s">
        <v>942</v>
      </c>
      <c r="O42" s="47" t="n">
        <f aca="false">IF(NOT(ISNUMBER(M42)),"",IFERROR(IF(L42="EUR",M42,IF(L42="IRR",M42/INDEX('Assumptions &amp; FX Reference'!$C$5:$C$25,MATCH(H42,'Assumptions &amp; FX Reference'!$A$5:$A$25,0)),IF(L42="USD",M42*INDEX('Assumptions &amp; FX Reference'!$B$5:$B$25,MATCH(H42,'Assumptions &amp; FX Reference'!$A$5:$A$25,0))/INDEX('Assumptions &amp; FX Reference'!$C$5:$C$25,MATCH(H42,'Assumptions &amp; FX Reference'!$A$5:$A$25,0)),""))),"(FX missing)"))</f>
        <v>32000</v>
      </c>
      <c r="P42" s="42"/>
      <c r="Q42" s="42"/>
      <c r="R42" s="42"/>
      <c r="S42" s="42"/>
      <c r="T42" s="42"/>
      <c r="U42" s="42"/>
      <c r="V42" s="42" t="s">
        <v>1019</v>
      </c>
    </row>
    <row r="43" customFormat="false" ht="15" hidden="false" customHeight="false" outlineLevel="0" collapsed="false">
      <c r="A43" s="42" t="s">
        <v>1020</v>
      </c>
      <c r="B43" s="42" t="n">
        <v>103</v>
      </c>
      <c r="C43" s="45" t="str">
        <f aca="false">IF(B43="","",IFERROR(INDEX('Master Database'!$D$5:$D$600,MATCH(B43,'Master Database'!$A$5:$A$600,0)),"(row not found)"))</f>
        <v>P-161 A/B</v>
      </c>
      <c r="D43" s="45" t="str">
        <f aca="false">IF(B43="","",IFERROR(INDEX('Master Database'!$B$5:$B$600,MATCH(B43,'Master Database'!$A$5:$A$600,0)),"(row not found)"))</f>
        <v>Closed Drain Drum Pumps</v>
      </c>
      <c r="E43" s="42" t="s">
        <v>945</v>
      </c>
      <c r="F43" s="45" t="str">
        <f aca="false">IF(E43="","",IFERROR(INDEX(Vendor_Register!$B$5:$B$205,MATCH(E43,Vendor_Register!$A$5:$A$205,0)),"(not in register)"))</f>
        <v>پمپیران</v>
      </c>
      <c r="G43" s="45" t="str">
        <f aca="false">IF(E43="","",IFERROR(INDEX(Vendor_Register!$E$5:$E$205,MATCH(E43,Vendor_Register!$A$5:$A$205,0)),"(not in register)"))</f>
        <v>Not checked</v>
      </c>
      <c r="H43" s="42" t="n">
        <v>1404</v>
      </c>
      <c r="I43" s="42" t="s">
        <v>946</v>
      </c>
      <c r="J43" s="42"/>
      <c r="K43" s="50" t="s">
        <v>208</v>
      </c>
      <c r="L43" s="42" t="s">
        <v>363</v>
      </c>
      <c r="M43" s="46" t="n">
        <v>30000</v>
      </c>
      <c r="N43" s="42" t="s">
        <v>942</v>
      </c>
      <c r="O43" s="47" t="n">
        <f aca="false">IF(NOT(ISNUMBER(M43)),"",IFERROR(IF(L43="EUR",M43,IF(L43="IRR",M43/INDEX('Assumptions &amp; FX Reference'!$C$5:$C$25,MATCH(H43,'Assumptions &amp; FX Reference'!$A$5:$A$25,0)),IF(L43="USD",M43*INDEX('Assumptions &amp; FX Reference'!$B$5:$B$25,MATCH(H43,'Assumptions &amp; FX Reference'!$A$5:$A$25,0))/INDEX('Assumptions &amp; FX Reference'!$C$5:$C$25,MATCH(H43,'Assumptions &amp; FX Reference'!$A$5:$A$25,0)),""))),"(FX missing)"))</f>
        <v>30000</v>
      </c>
      <c r="P43" s="42"/>
      <c r="Q43" s="42"/>
      <c r="R43" s="42"/>
      <c r="S43" s="42"/>
      <c r="T43" s="42"/>
      <c r="U43" s="42"/>
      <c r="V43" s="42" t="s">
        <v>1021</v>
      </c>
    </row>
    <row r="44" customFormat="false" ht="15" hidden="false" customHeight="false" outlineLevel="0" collapsed="false">
      <c r="A44" s="42" t="s">
        <v>1022</v>
      </c>
      <c r="B44" s="42" t="n">
        <v>103</v>
      </c>
      <c r="C44" s="45" t="str">
        <f aca="false">IF(B44="","",IFERROR(INDEX('Master Database'!$D$5:$D$600,MATCH(B44,'Master Database'!$A$5:$A$600,0)),"(row not found)"))</f>
        <v>P-161 A/B</v>
      </c>
      <c r="D44" s="45" t="str">
        <f aca="false">IF(B44="","",IFERROR(INDEX('Master Database'!$B$5:$B$600,MATCH(B44,'Master Database'!$A$5:$A$600,0)),"(row not found)"))</f>
        <v>Closed Drain Drum Pumps</v>
      </c>
      <c r="E44" s="42" t="s">
        <v>949</v>
      </c>
      <c r="F44" s="45" t="str">
        <f aca="false">IF(E44="","",IFERROR(INDEX(Vendor_Register!$B$5:$B$205,MATCH(E44,Vendor_Register!$A$5:$A$205,0)),"(not in register)"))</f>
        <v>کالای پمپ</v>
      </c>
      <c r="G44" s="45" t="str">
        <f aca="false">IF(E44="","",IFERROR(INDEX(Vendor_Register!$E$5:$E$205,MATCH(E44,Vendor_Register!$A$5:$A$205,0)),"(not in register)"))</f>
        <v>Not checked</v>
      </c>
      <c r="H44" s="42"/>
      <c r="I44" s="42"/>
      <c r="J44" s="42"/>
      <c r="K44" s="42"/>
      <c r="L44" s="42"/>
      <c r="M44" s="46"/>
      <c r="N44" s="42"/>
      <c r="O44" s="47" t="str">
        <f aca="false">IF(NOT(ISNUMBER(M44)),"",IFERROR(IF(L44="EUR",M44,IF(L44="IRR",M44/INDEX('Assumptions &amp; FX Reference'!$C$5:$C$25,MATCH(H44,'Assumptions &amp; FX Reference'!$A$5:$A$25,0)),IF(L44="USD",M44*INDEX('Assumptions &amp; FX Reference'!$B$5:$B$25,MATCH(H44,'Assumptions &amp; FX Reference'!$A$5:$A$25,0))/INDEX('Assumptions &amp; FX Reference'!$C$5:$C$25,MATCH(H44,'Assumptions &amp; FX Reference'!$A$5:$A$25,0)),""))),"(FX missing)"))</f>
        <v/>
      </c>
      <c r="P44" s="42"/>
      <c r="Q44" s="42"/>
      <c r="R44" s="42"/>
      <c r="S44" s="42"/>
      <c r="T44" s="42"/>
      <c r="U44" s="42"/>
      <c r="V44" s="42" t="s">
        <v>1023</v>
      </c>
    </row>
    <row r="45" customFormat="false" ht="15" hidden="false" customHeight="false" outlineLevel="0" collapsed="false">
      <c r="A45" s="42" t="s">
        <v>1024</v>
      </c>
      <c r="B45" s="42" t="n">
        <v>103</v>
      </c>
      <c r="C45" s="45" t="str">
        <f aca="false">IF(B45="","",IFERROR(INDEX('Master Database'!$D$5:$D$600,MATCH(B45,'Master Database'!$A$5:$A$600,0)),"(row not found)"))</f>
        <v>P-161 A/B</v>
      </c>
      <c r="D45" s="45" t="str">
        <f aca="false">IF(B45="","",IFERROR(INDEX('Master Database'!$B$5:$B$600,MATCH(B45,'Master Database'!$A$5:$A$600,0)),"(row not found)"))</f>
        <v>Closed Drain Drum Pumps</v>
      </c>
      <c r="E45" s="42" t="s">
        <v>952</v>
      </c>
      <c r="F45" s="45" t="str">
        <f aca="false">IF(E45="","",IFERROR(INDEX(Vendor_Register!$B$5:$B$205,MATCH(E45,Vendor_Register!$A$5:$A$205,0)),"(not in register)"))</f>
        <v>دالاهو پارس کیش (دمکو)</v>
      </c>
      <c r="G45" s="45" t="str">
        <f aca="false">IF(E45="","",IFERROR(INDEX(Vendor_Register!$E$5:$E$205,MATCH(E45,Vendor_Register!$A$5:$A$205,0)),"(not in register)"))</f>
        <v>Not checked</v>
      </c>
      <c r="H45" s="42"/>
      <c r="I45" s="42"/>
      <c r="J45" s="42"/>
      <c r="K45" s="42"/>
      <c r="L45" s="42"/>
      <c r="M45" s="46"/>
      <c r="N45" s="42"/>
      <c r="O45" s="47" t="str">
        <f aca="false">IF(NOT(ISNUMBER(M45)),"",IFERROR(IF(L45="EUR",M45,IF(L45="IRR",M45/INDEX('Assumptions &amp; FX Reference'!$C$5:$C$25,MATCH(H45,'Assumptions &amp; FX Reference'!$A$5:$A$25,0)),IF(L45="USD",M45*INDEX('Assumptions &amp; FX Reference'!$B$5:$B$25,MATCH(H45,'Assumptions &amp; FX Reference'!$A$5:$A$25,0))/INDEX('Assumptions &amp; FX Reference'!$C$5:$C$25,MATCH(H45,'Assumptions &amp; FX Reference'!$A$5:$A$25,0)),""))),"(FX missing)"))</f>
        <v/>
      </c>
      <c r="P45" s="42"/>
      <c r="Q45" s="42"/>
      <c r="R45" s="42"/>
      <c r="S45" s="42"/>
      <c r="T45" s="42"/>
      <c r="U45" s="42"/>
      <c r="V45" s="42" t="s">
        <v>1025</v>
      </c>
    </row>
    <row r="46" customFormat="false" ht="15" hidden="false" customHeight="false" outlineLevel="0" collapsed="false">
      <c r="A46" s="42" t="s">
        <v>1026</v>
      </c>
      <c r="B46" s="42" t="n">
        <v>104</v>
      </c>
      <c r="C46" s="45" t="str">
        <f aca="false">IF(B46="","",IFERROR(INDEX('Master Database'!$D$5:$D$600,MATCH(B46,'Master Database'!$A$5:$A$600,0)),"(row not found)"))</f>
        <v>P-162</v>
      </c>
      <c r="D46" s="45" t="str">
        <f aca="false">IF(B46="","",IFERROR(INDEX('Master Database'!$B$5:$B$600,MATCH(B46,'Master Database'!$A$5:$A$600,0)),"(row not found)"))</f>
        <v>C. D. Drum / Flare K.O. Drum Sump Pump</v>
      </c>
      <c r="E46" s="42" t="s">
        <v>940</v>
      </c>
      <c r="F46" s="45" t="str">
        <f aca="false">IF(E46="","",IFERROR(INDEX(Vendor_Register!$B$5:$B$205,MATCH(E46,Vendor_Register!$A$5:$A$205,0)),"(not in register)"))</f>
        <v>آریا سپهر کیهان</v>
      </c>
      <c r="G46" s="45" t="str">
        <f aca="false">IF(E46="","",IFERROR(INDEX(Vendor_Register!$E$5:$E$205,MATCH(E46,Vendor_Register!$A$5:$A$205,0)),"(not in register)"))</f>
        <v>Not checked</v>
      </c>
      <c r="H46" s="42" t="n">
        <v>1403</v>
      </c>
      <c r="I46" s="42" t="s">
        <v>941</v>
      </c>
      <c r="J46" s="42"/>
      <c r="K46" s="50" t="s">
        <v>208</v>
      </c>
      <c r="L46" s="42" t="s">
        <v>363</v>
      </c>
      <c r="M46" s="46" t="n">
        <v>24000</v>
      </c>
      <c r="N46" s="42" t="s">
        <v>942</v>
      </c>
      <c r="O46" s="47" t="n">
        <f aca="false">IF(NOT(ISNUMBER(M46)),"",IFERROR(IF(L46="EUR",M46,IF(L46="IRR",M46/INDEX('Assumptions &amp; FX Reference'!$C$5:$C$25,MATCH(H46,'Assumptions &amp; FX Reference'!$A$5:$A$25,0)),IF(L46="USD",M46*INDEX('Assumptions &amp; FX Reference'!$B$5:$B$25,MATCH(H46,'Assumptions &amp; FX Reference'!$A$5:$A$25,0))/INDEX('Assumptions &amp; FX Reference'!$C$5:$C$25,MATCH(H46,'Assumptions &amp; FX Reference'!$A$5:$A$25,0)),""))),"(FX missing)"))</f>
        <v>24000</v>
      </c>
      <c r="P46" s="42"/>
      <c r="Q46" s="42"/>
      <c r="R46" s="42"/>
      <c r="S46" s="42"/>
      <c r="T46" s="42"/>
      <c r="U46" s="42"/>
      <c r="V46" s="42" t="s">
        <v>1027</v>
      </c>
    </row>
    <row r="47" customFormat="false" ht="15" hidden="false" customHeight="false" outlineLevel="0" collapsed="false">
      <c r="A47" s="42" t="s">
        <v>1028</v>
      </c>
      <c r="B47" s="42" t="n">
        <v>104</v>
      </c>
      <c r="C47" s="45" t="str">
        <f aca="false">IF(B47="","",IFERROR(INDEX('Master Database'!$D$5:$D$600,MATCH(B47,'Master Database'!$A$5:$A$600,0)),"(row not found)"))</f>
        <v>P-162</v>
      </c>
      <c r="D47" s="45" t="str">
        <f aca="false">IF(B47="","",IFERROR(INDEX('Master Database'!$B$5:$B$600,MATCH(B47,'Master Database'!$A$5:$A$600,0)),"(row not found)"))</f>
        <v>C. D. Drum / Flare K.O. Drum Sump Pump</v>
      </c>
      <c r="E47" s="42" t="s">
        <v>945</v>
      </c>
      <c r="F47" s="45" t="str">
        <f aca="false">IF(E47="","",IFERROR(INDEX(Vendor_Register!$B$5:$B$205,MATCH(E47,Vendor_Register!$A$5:$A$205,0)),"(not in register)"))</f>
        <v>پمپیران</v>
      </c>
      <c r="G47" s="45" t="str">
        <f aca="false">IF(E47="","",IFERROR(INDEX(Vendor_Register!$E$5:$E$205,MATCH(E47,Vendor_Register!$A$5:$A$205,0)),"(not in register)"))</f>
        <v>Not checked</v>
      </c>
      <c r="H47" s="42" t="n">
        <v>1404</v>
      </c>
      <c r="I47" s="42" t="s">
        <v>946</v>
      </c>
      <c r="J47" s="42"/>
      <c r="K47" s="50" t="s">
        <v>208</v>
      </c>
      <c r="L47" s="42" t="s">
        <v>363</v>
      </c>
      <c r="M47" s="46" t="n">
        <v>45000</v>
      </c>
      <c r="N47" s="42" t="s">
        <v>942</v>
      </c>
      <c r="O47" s="47" t="n">
        <f aca="false">IF(NOT(ISNUMBER(M47)),"",IFERROR(IF(L47="EUR",M47,IF(L47="IRR",M47/INDEX('Assumptions &amp; FX Reference'!$C$5:$C$25,MATCH(H47,'Assumptions &amp; FX Reference'!$A$5:$A$25,0)),IF(L47="USD",M47*INDEX('Assumptions &amp; FX Reference'!$B$5:$B$25,MATCH(H47,'Assumptions &amp; FX Reference'!$A$5:$A$25,0))/INDEX('Assumptions &amp; FX Reference'!$C$5:$C$25,MATCH(H47,'Assumptions &amp; FX Reference'!$A$5:$A$25,0)),""))),"(FX missing)"))</f>
        <v>45000</v>
      </c>
      <c r="P47" s="42"/>
      <c r="Q47" s="42"/>
      <c r="R47" s="42"/>
      <c r="S47" s="42"/>
      <c r="T47" s="42"/>
      <c r="U47" s="42"/>
      <c r="V47" s="42" t="s">
        <v>1029</v>
      </c>
    </row>
    <row r="48" customFormat="false" ht="15" hidden="false" customHeight="false" outlineLevel="0" collapsed="false">
      <c r="A48" s="42" t="s">
        <v>1030</v>
      </c>
      <c r="B48" s="42" t="n">
        <v>104</v>
      </c>
      <c r="C48" s="45" t="str">
        <f aca="false">IF(B48="","",IFERROR(INDEX('Master Database'!$D$5:$D$600,MATCH(B48,'Master Database'!$A$5:$A$600,0)),"(row not found)"))</f>
        <v>P-162</v>
      </c>
      <c r="D48" s="45" t="str">
        <f aca="false">IF(B48="","",IFERROR(INDEX('Master Database'!$B$5:$B$600,MATCH(B48,'Master Database'!$A$5:$A$600,0)),"(row not found)"))</f>
        <v>C. D. Drum / Flare K.O. Drum Sump Pump</v>
      </c>
      <c r="E48" s="42" t="s">
        <v>949</v>
      </c>
      <c r="F48" s="45" t="str">
        <f aca="false">IF(E48="","",IFERROR(INDEX(Vendor_Register!$B$5:$B$205,MATCH(E48,Vendor_Register!$A$5:$A$205,0)),"(not in register)"))</f>
        <v>کالای پمپ</v>
      </c>
      <c r="G48" s="45" t="str">
        <f aca="false">IF(E48="","",IFERROR(INDEX(Vendor_Register!$E$5:$E$205,MATCH(E48,Vendor_Register!$A$5:$A$205,0)),"(not in register)"))</f>
        <v>Not checked</v>
      </c>
      <c r="H48" s="42"/>
      <c r="I48" s="42"/>
      <c r="J48" s="42"/>
      <c r="K48" s="42"/>
      <c r="L48" s="42"/>
      <c r="M48" s="46"/>
      <c r="N48" s="42"/>
      <c r="O48" s="47" t="str">
        <f aca="false">IF(NOT(ISNUMBER(M48)),"",IFERROR(IF(L48="EUR",M48,IF(L48="IRR",M48/INDEX('Assumptions &amp; FX Reference'!$C$5:$C$25,MATCH(H48,'Assumptions &amp; FX Reference'!$A$5:$A$25,0)),IF(L48="USD",M48*INDEX('Assumptions &amp; FX Reference'!$B$5:$B$25,MATCH(H48,'Assumptions &amp; FX Reference'!$A$5:$A$25,0))/INDEX('Assumptions &amp; FX Reference'!$C$5:$C$25,MATCH(H48,'Assumptions &amp; FX Reference'!$A$5:$A$25,0)),""))),"(FX missing)"))</f>
        <v/>
      </c>
      <c r="P48" s="42"/>
      <c r="Q48" s="42"/>
      <c r="R48" s="42"/>
      <c r="S48" s="42"/>
      <c r="T48" s="42"/>
      <c r="U48" s="42"/>
      <c r="V48" s="42" t="s">
        <v>1031</v>
      </c>
    </row>
    <row r="49" customFormat="false" ht="15" hidden="false" customHeight="false" outlineLevel="0" collapsed="false">
      <c r="A49" s="42" t="s">
        <v>1032</v>
      </c>
      <c r="B49" s="42" t="n">
        <v>104</v>
      </c>
      <c r="C49" s="45" t="str">
        <f aca="false">IF(B49="","",IFERROR(INDEX('Master Database'!$D$5:$D$600,MATCH(B49,'Master Database'!$A$5:$A$600,0)),"(row not found)"))</f>
        <v>P-162</v>
      </c>
      <c r="D49" s="45" t="str">
        <f aca="false">IF(B49="","",IFERROR(INDEX('Master Database'!$B$5:$B$600,MATCH(B49,'Master Database'!$A$5:$A$600,0)),"(row not found)"))</f>
        <v>C. D. Drum / Flare K.O. Drum Sump Pump</v>
      </c>
      <c r="E49" s="42" t="s">
        <v>952</v>
      </c>
      <c r="F49" s="45" t="str">
        <f aca="false">IF(E49="","",IFERROR(INDEX(Vendor_Register!$B$5:$B$205,MATCH(E49,Vendor_Register!$A$5:$A$205,0)),"(not in register)"))</f>
        <v>دالاهو پارس کیش (دمکو)</v>
      </c>
      <c r="G49" s="45" t="str">
        <f aca="false">IF(E49="","",IFERROR(INDEX(Vendor_Register!$E$5:$E$205,MATCH(E49,Vendor_Register!$A$5:$A$205,0)),"(not in register)"))</f>
        <v>Not checked</v>
      </c>
      <c r="H49" s="42"/>
      <c r="I49" s="42"/>
      <c r="J49" s="42"/>
      <c r="K49" s="42"/>
      <c r="L49" s="42"/>
      <c r="M49" s="46"/>
      <c r="N49" s="42"/>
      <c r="O49" s="47" t="str">
        <f aca="false">IF(NOT(ISNUMBER(M49)),"",IFERROR(IF(L49="EUR",M49,IF(L49="IRR",M49/INDEX('Assumptions &amp; FX Reference'!$C$5:$C$25,MATCH(H49,'Assumptions &amp; FX Reference'!$A$5:$A$25,0)),IF(L49="USD",M49*INDEX('Assumptions &amp; FX Reference'!$B$5:$B$25,MATCH(H49,'Assumptions &amp; FX Reference'!$A$5:$A$25,0))/INDEX('Assumptions &amp; FX Reference'!$C$5:$C$25,MATCH(H49,'Assumptions &amp; FX Reference'!$A$5:$A$25,0)),""))),"(FX missing)"))</f>
        <v/>
      </c>
      <c r="P49" s="42"/>
      <c r="Q49" s="42"/>
      <c r="R49" s="42"/>
      <c r="S49" s="42"/>
      <c r="T49" s="42"/>
      <c r="U49" s="42"/>
      <c r="V49" s="42" t="s">
        <v>1033</v>
      </c>
    </row>
    <row r="50" customFormat="false" ht="15" hidden="false" customHeight="false" outlineLevel="0" collapsed="false">
      <c r="A50" s="42" t="s">
        <v>1034</v>
      </c>
      <c r="B50" s="42" t="n">
        <v>105</v>
      </c>
      <c r="C50" s="45" t="str">
        <f aca="false">IF(B50="","",IFERROR(INDEX('Master Database'!$D$5:$D$600,MATCH(B50,'Master Database'!$A$5:$A$600,0)),"(row not found)"))</f>
        <v>P-163 A/B</v>
      </c>
      <c r="D50" s="45" t="str">
        <f aca="false">IF(B50="","",IFERROR(INDEX('Master Database'!$B$5:$B$600,MATCH(B50,'Master Database'!$A$5:$A$600,0)),"(row not found)"))</f>
        <v>O.W.S. Oil Pumps</v>
      </c>
      <c r="E50" s="42" t="s">
        <v>940</v>
      </c>
      <c r="F50" s="45" t="str">
        <f aca="false">IF(E50="","",IFERROR(INDEX(Vendor_Register!$B$5:$B$205,MATCH(E50,Vendor_Register!$A$5:$A$205,0)),"(not in register)"))</f>
        <v>آریا سپهر کیهان</v>
      </c>
      <c r="G50" s="45" t="str">
        <f aca="false">IF(E50="","",IFERROR(INDEX(Vendor_Register!$E$5:$E$205,MATCH(E50,Vendor_Register!$A$5:$A$205,0)),"(not in register)"))</f>
        <v>Not checked</v>
      </c>
      <c r="H50" s="42"/>
      <c r="I50" s="42"/>
      <c r="J50" s="42"/>
      <c r="K50" s="42"/>
      <c r="L50" s="42"/>
      <c r="M50" s="46"/>
      <c r="N50" s="42"/>
      <c r="O50" s="47" t="str">
        <f aca="false">IF(NOT(ISNUMBER(M50)),"",IFERROR(IF(L50="EUR",M50,IF(L50="IRR",M50/INDEX('Assumptions &amp; FX Reference'!$C$5:$C$25,MATCH(H50,'Assumptions &amp; FX Reference'!$A$5:$A$25,0)),IF(L50="USD",M50*INDEX('Assumptions &amp; FX Reference'!$B$5:$B$25,MATCH(H50,'Assumptions &amp; FX Reference'!$A$5:$A$25,0))/INDEX('Assumptions &amp; FX Reference'!$C$5:$C$25,MATCH(H50,'Assumptions &amp; FX Reference'!$A$5:$A$25,0)),""))),"(FX missing)"))</f>
        <v/>
      </c>
      <c r="P50" s="42"/>
      <c r="Q50" s="42"/>
      <c r="R50" s="42"/>
      <c r="S50" s="42"/>
      <c r="T50" s="42"/>
      <c r="U50" s="42"/>
      <c r="V50" s="42" t="s">
        <v>1035</v>
      </c>
    </row>
    <row r="51" customFormat="false" ht="15" hidden="false" customHeight="false" outlineLevel="0" collapsed="false">
      <c r="A51" s="42" t="s">
        <v>1036</v>
      </c>
      <c r="B51" s="42" t="n">
        <v>105</v>
      </c>
      <c r="C51" s="45" t="str">
        <f aca="false">IF(B51="","",IFERROR(INDEX('Master Database'!$D$5:$D$600,MATCH(B51,'Master Database'!$A$5:$A$600,0)),"(row not found)"))</f>
        <v>P-163 A/B</v>
      </c>
      <c r="D51" s="45" t="str">
        <f aca="false">IF(B51="","",IFERROR(INDEX('Master Database'!$B$5:$B$600,MATCH(B51,'Master Database'!$A$5:$A$600,0)),"(row not found)"))</f>
        <v>O.W.S. Oil Pumps</v>
      </c>
      <c r="E51" s="42" t="s">
        <v>945</v>
      </c>
      <c r="F51" s="45" t="str">
        <f aca="false">IF(E51="","",IFERROR(INDEX(Vendor_Register!$B$5:$B$205,MATCH(E51,Vendor_Register!$A$5:$A$205,0)),"(not in register)"))</f>
        <v>پمپیران</v>
      </c>
      <c r="G51" s="45" t="str">
        <f aca="false">IF(E51="","",IFERROR(INDEX(Vendor_Register!$E$5:$E$205,MATCH(E51,Vendor_Register!$A$5:$A$205,0)),"(not in register)"))</f>
        <v>Not checked</v>
      </c>
      <c r="H51" s="42"/>
      <c r="I51" s="42"/>
      <c r="J51" s="42"/>
      <c r="K51" s="42"/>
      <c r="L51" s="42"/>
      <c r="M51" s="46"/>
      <c r="N51" s="42"/>
      <c r="O51" s="47" t="str">
        <f aca="false">IF(NOT(ISNUMBER(M51)),"",IFERROR(IF(L51="EUR",M51,IF(L51="IRR",M51/INDEX('Assumptions &amp; FX Reference'!$C$5:$C$25,MATCH(H51,'Assumptions &amp; FX Reference'!$A$5:$A$25,0)),IF(L51="USD",M51*INDEX('Assumptions &amp; FX Reference'!$B$5:$B$25,MATCH(H51,'Assumptions &amp; FX Reference'!$A$5:$A$25,0))/INDEX('Assumptions &amp; FX Reference'!$C$5:$C$25,MATCH(H51,'Assumptions &amp; FX Reference'!$A$5:$A$25,0)),""))),"(FX missing)"))</f>
        <v/>
      </c>
      <c r="P51" s="42"/>
      <c r="Q51" s="42"/>
      <c r="R51" s="42"/>
      <c r="S51" s="42"/>
      <c r="T51" s="42"/>
      <c r="U51" s="42"/>
      <c r="V51" s="42" t="s">
        <v>1037</v>
      </c>
    </row>
    <row r="52" customFormat="false" ht="15" hidden="false" customHeight="false" outlineLevel="0" collapsed="false">
      <c r="A52" s="42" t="s">
        <v>1038</v>
      </c>
      <c r="B52" s="42" t="n">
        <v>105</v>
      </c>
      <c r="C52" s="45" t="str">
        <f aca="false">IF(B52="","",IFERROR(INDEX('Master Database'!$D$5:$D$600,MATCH(B52,'Master Database'!$A$5:$A$600,0)),"(row not found)"))</f>
        <v>P-163 A/B</v>
      </c>
      <c r="D52" s="45" t="str">
        <f aca="false">IF(B52="","",IFERROR(INDEX('Master Database'!$B$5:$B$600,MATCH(B52,'Master Database'!$A$5:$A$600,0)),"(row not found)"))</f>
        <v>O.W.S. Oil Pumps</v>
      </c>
      <c r="E52" s="42" t="s">
        <v>949</v>
      </c>
      <c r="F52" s="45" t="str">
        <f aca="false">IF(E52="","",IFERROR(INDEX(Vendor_Register!$B$5:$B$205,MATCH(E52,Vendor_Register!$A$5:$A$205,0)),"(not in register)"))</f>
        <v>کالای پمپ</v>
      </c>
      <c r="G52" s="45" t="str">
        <f aca="false">IF(E52="","",IFERROR(INDEX(Vendor_Register!$E$5:$E$205,MATCH(E52,Vendor_Register!$A$5:$A$205,0)),"(not in register)"))</f>
        <v>Not checked</v>
      </c>
      <c r="H52" s="42"/>
      <c r="I52" s="42"/>
      <c r="J52" s="42"/>
      <c r="K52" s="42"/>
      <c r="L52" s="42"/>
      <c r="M52" s="46"/>
      <c r="N52" s="42"/>
      <c r="O52" s="47" t="str">
        <f aca="false">IF(NOT(ISNUMBER(M52)),"",IFERROR(IF(L52="EUR",M52,IF(L52="IRR",M52/INDEX('Assumptions &amp; FX Reference'!$C$5:$C$25,MATCH(H52,'Assumptions &amp; FX Reference'!$A$5:$A$25,0)),IF(L52="USD",M52*INDEX('Assumptions &amp; FX Reference'!$B$5:$B$25,MATCH(H52,'Assumptions &amp; FX Reference'!$A$5:$A$25,0))/INDEX('Assumptions &amp; FX Reference'!$C$5:$C$25,MATCH(H52,'Assumptions &amp; FX Reference'!$A$5:$A$25,0)),""))),"(FX missing)"))</f>
        <v/>
      </c>
      <c r="P52" s="42"/>
      <c r="Q52" s="42"/>
      <c r="R52" s="42"/>
      <c r="S52" s="42"/>
      <c r="T52" s="42"/>
      <c r="U52" s="42"/>
      <c r="V52" s="42" t="s">
        <v>1039</v>
      </c>
    </row>
    <row r="53" customFormat="false" ht="15" hidden="false" customHeight="false" outlineLevel="0" collapsed="false">
      <c r="A53" s="42" t="s">
        <v>1040</v>
      </c>
      <c r="B53" s="42" t="n">
        <v>105</v>
      </c>
      <c r="C53" s="45" t="str">
        <f aca="false">IF(B53="","",IFERROR(INDEX('Master Database'!$D$5:$D$600,MATCH(B53,'Master Database'!$A$5:$A$600,0)),"(row not found)"))</f>
        <v>P-163 A/B</v>
      </c>
      <c r="D53" s="45" t="str">
        <f aca="false">IF(B53="","",IFERROR(INDEX('Master Database'!$B$5:$B$600,MATCH(B53,'Master Database'!$A$5:$A$600,0)),"(row not found)"))</f>
        <v>O.W.S. Oil Pumps</v>
      </c>
      <c r="E53" s="42" t="s">
        <v>952</v>
      </c>
      <c r="F53" s="45" t="str">
        <f aca="false">IF(E53="","",IFERROR(INDEX(Vendor_Register!$B$5:$B$205,MATCH(E53,Vendor_Register!$A$5:$A$205,0)),"(not in register)"))</f>
        <v>دالاهو پارس کیش (دمکو)</v>
      </c>
      <c r="G53" s="45" t="str">
        <f aca="false">IF(E53="","",IFERROR(INDEX(Vendor_Register!$E$5:$E$205,MATCH(E53,Vendor_Register!$A$5:$A$205,0)),"(not in register)"))</f>
        <v>Not checked</v>
      </c>
      <c r="H53" s="42"/>
      <c r="I53" s="42"/>
      <c r="J53" s="42"/>
      <c r="K53" s="42"/>
      <c r="L53" s="42"/>
      <c r="M53" s="46"/>
      <c r="N53" s="42"/>
      <c r="O53" s="47" t="str">
        <f aca="false">IF(NOT(ISNUMBER(M53)),"",IFERROR(IF(L53="EUR",M53,IF(L53="IRR",M53/INDEX('Assumptions &amp; FX Reference'!$C$5:$C$25,MATCH(H53,'Assumptions &amp; FX Reference'!$A$5:$A$25,0)),IF(L53="USD",M53*INDEX('Assumptions &amp; FX Reference'!$B$5:$B$25,MATCH(H53,'Assumptions &amp; FX Reference'!$A$5:$A$25,0))/INDEX('Assumptions &amp; FX Reference'!$C$5:$C$25,MATCH(H53,'Assumptions &amp; FX Reference'!$A$5:$A$25,0)),""))),"(FX missing)"))</f>
        <v/>
      </c>
      <c r="P53" s="42"/>
      <c r="Q53" s="42"/>
      <c r="R53" s="42"/>
      <c r="S53" s="42"/>
      <c r="T53" s="42"/>
      <c r="U53" s="42"/>
      <c r="V53" s="42" t="s">
        <v>1041</v>
      </c>
    </row>
    <row r="54" customFormat="false" ht="15" hidden="false" customHeight="false" outlineLevel="0" collapsed="false">
      <c r="A54" s="42" t="s">
        <v>1042</v>
      </c>
      <c r="B54" s="42" t="n">
        <v>106</v>
      </c>
      <c r="C54" s="45" t="str">
        <f aca="false">IF(B54="","",IFERROR(INDEX('Master Database'!$D$5:$D$600,MATCH(B54,'Master Database'!$A$5:$A$600,0)),"(row not found)"))</f>
        <v>P-164 A/B</v>
      </c>
      <c r="D54" s="45" t="str">
        <f aca="false">IF(B54="","",IFERROR(INDEX('Master Database'!$B$5:$B$600,MATCH(B54,'Master Database'!$A$5:$A$600,0)),"(row not found)"))</f>
        <v>O.W.S. Water Pumps</v>
      </c>
      <c r="E54" s="42" t="s">
        <v>940</v>
      </c>
      <c r="F54" s="45" t="str">
        <f aca="false">IF(E54="","",IFERROR(INDEX(Vendor_Register!$B$5:$B$205,MATCH(E54,Vendor_Register!$A$5:$A$205,0)),"(not in register)"))</f>
        <v>آریا سپهر کیهان</v>
      </c>
      <c r="G54" s="45" t="str">
        <f aca="false">IF(E54="","",IFERROR(INDEX(Vendor_Register!$E$5:$E$205,MATCH(E54,Vendor_Register!$A$5:$A$205,0)),"(not in register)"))</f>
        <v>Not checked</v>
      </c>
      <c r="H54" s="42" t="n">
        <v>1403</v>
      </c>
      <c r="I54" s="42" t="s">
        <v>941</v>
      </c>
      <c r="J54" s="42"/>
      <c r="K54" s="50" t="s">
        <v>208</v>
      </c>
      <c r="L54" s="42" t="s">
        <v>363</v>
      </c>
      <c r="M54" s="46" t="n">
        <v>29200</v>
      </c>
      <c r="N54" s="42" t="s">
        <v>942</v>
      </c>
      <c r="O54" s="47" t="n">
        <f aca="false">IF(NOT(ISNUMBER(M54)),"",IFERROR(IF(L54="EUR",M54,IF(L54="IRR",M54/INDEX('Assumptions &amp; FX Reference'!$C$5:$C$25,MATCH(H54,'Assumptions &amp; FX Reference'!$A$5:$A$25,0)),IF(L54="USD",M54*INDEX('Assumptions &amp; FX Reference'!$B$5:$B$25,MATCH(H54,'Assumptions &amp; FX Reference'!$A$5:$A$25,0))/INDEX('Assumptions &amp; FX Reference'!$C$5:$C$25,MATCH(H54,'Assumptions &amp; FX Reference'!$A$5:$A$25,0)),""))),"(FX missing)"))</f>
        <v>29200</v>
      </c>
      <c r="P54" s="42"/>
      <c r="Q54" s="42"/>
      <c r="R54" s="42"/>
      <c r="S54" s="42"/>
      <c r="T54" s="42"/>
      <c r="U54" s="42"/>
      <c r="V54" s="42" t="s">
        <v>1043</v>
      </c>
    </row>
    <row r="55" customFormat="false" ht="15" hidden="false" customHeight="false" outlineLevel="0" collapsed="false">
      <c r="A55" s="42" t="s">
        <v>1044</v>
      </c>
      <c r="B55" s="42" t="n">
        <v>106</v>
      </c>
      <c r="C55" s="45" t="str">
        <f aca="false">IF(B55="","",IFERROR(INDEX('Master Database'!$D$5:$D$600,MATCH(B55,'Master Database'!$A$5:$A$600,0)),"(row not found)"))</f>
        <v>P-164 A/B</v>
      </c>
      <c r="D55" s="45" t="str">
        <f aca="false">IF(B55="","",IFERROR(INDEX('Master Database'!$B$5:$B$600,MATCH(B55,'Master Database'!$A$5:$A$600,0)),"(row not found)"))</f>
        <v>O.W.S. Water Pumps</v>
      </c>
      <c r="E55" s="42" t="s">
        <v>945</v>
      </c>
      <c r="F55" s="45" t="str">
        <f aca="false">IF(E55="","",IFERROR(INDEX(Vendor_Register!$B$5:$B$205,MATCH(E55,Vendor_Register!$A$5:$A$205,0)),"(not in register)"))</f>
        <v>پمپیران</v>
      </c>
      <c r="G55" s="45" t="str">
        <f aca="false">IF(E55="","",IFERROR(INDEX(Vendor_Register!$E$5:$E$205,MATCH(E55,Vendor_Register!$A$5:$A$205,0)),"(not in register)"))</f>
        <v>Not checked</v>
      </c>
      <c r="H55" s="42" t="n">
        <v>1404</v>
      </c>
      <c r="I55" s="42" t="s">
        <v>946</v>
      </c>
      <c r="J55" s="42"/>
      <c r="K55" s="50" t="s">
        <v>208</v>
      </c>
      <c r="L55" s="42" t="s">
        <v>363</v>
      </c>
      <c r="M55" s="46" t="n">
        <v>30000</v>
      </c>
      <c r="N55" s="42" t="s">
        <v>942</v>
      </c>
      <c r="O55" s="47" t="n">
        <f aca="false">IF(NOT(ISNUMBER(M55)),"",IFERROR(IF(L55="EUR",M55,IF(L55="IRR",M55/INDEX('Assumptions &amp; FX Reference'!$C$5:$C$25,MATCH(H55,'Assumptions &amp; FX Reference'!$A$5:$A$25,0)),IF(L55="USD",M55*INDEX('Assumptions &amp; FX Reference'!$B$5:$B$25,MATCH(H55,'Assumptions &amp; FX Reference'!$A$5:$A$25,0))/INDEX('Assumptions &amp; FX Reference'!$C$5:$C$25,MATCH(H55,'Assumptions &amp; FX Reference'!$A$5:$A$25,0)),""))),"(FX missing)"))</f>
        <v>30000</v>
      </c>
      <c r="P55" s="42"/>
      <c r="Q55" s="42"/>
      <c r="R55" s="42"/>
      <c r="S55" s="42"/>
      <c r="T55" s="42"/>
      <c r="U55" s="42"/>
      <c r="V55" s="42" t="s">
        <v>1045</v>
      </c>
    </row>
    <row r="56" customFormat="false" ht="15" hidden="false" customHeight="false" outlineLevel="0" collapsed="false">
      <c r="A56" s="42" t="s">
        <v>1046</v>
      </c>
      <c r="B56" s="42" t="n">
        <v>106</v>
      </c>
      <c r="C56" s="45" t="str">
        <f aca="false">IF(B56="","",IFERROR(INDEX('Master Database'!$D$5:$D$600,MATCH(B56,'Master Database'!$A$5:$A$600,0)),"(row not found)"))</f>
        <v>P-164 A/B</v>
      </c>
      <c r="D56" s="45" t="str">
        <f aca="false">IF(B56="","",IFERROR(INDEX('Master Database'!$B$5:$B$600,MATCH(B56,'Master Database'!$A$5:$A$600,0)),"(row not found)"))</f>
        <v>O.W.S. Water Pumps</v>
      </c>
      <c r="E56" s="42" t="s">
        <v>949</v>
      </c>
      <c r="F56" s="45" t="str">
        <f aca="false">IF(E56="","",IFERROR(INDEX(Vendor_Register!$B$5:$B$205,MATCH(E56,Vendor_Register!$A$5:$A$205,0)),"(not in register)"))</f>
        <v>کالای پمپ</v>
      </c>
      <c r="G56" s="45" t="str">
        <f aca="false">IF(E56="","",IFERROR(INDEX(Vendor_Register!$E$5:$E$205,MATCH(E56,Vendor_Register!$A$5:$A$205,0)),"(not in register)"))</f>
        <v>Not checked</v>
      </c>
      <c r="H56" s="42"/>
      <c r="I56" s="42"/>
      <c r="J56" s="42"/>
      <c r="K56" s="42"/>
      <c r="L56" s="42"/>
      <c r="M56" s="46"/>
      <c r="N56" s="42"/>
      <c r="O56" s="47" t="str">
        <f aca="false">IF(NOT(ISNUMBER(M56)),"",IFERROR(IF(L56="EUR",M56,IF(L56="IRR",M56/INDEX('Assumptions &amp; FX Reference'!$C$5:$C$25,MATCH(H56,'Assumptions &amp; FX Reference'!$A$5:$A$25,0)),IF(L56="USD",M56*INDEX('Assumptions &amp; FX Reference'!$B$5:$B$25,MATCH(H56,'Assumptions &amp; FX Reference'!$A$5:$A$25,0))/INDEX('Assumptions &amp; FX Reference'!$C$5:$C$25,MATCH(H56,'Assumptions &amp; FX Reference'!$A$5:$A$25,0)),""))),"(FX missing)"))</f>
        <v/>
      </c>
      <c r="P56" s="42"/>
      <c r="Q56" s="42"/>
      <c r="R56" s="42"/>
      <c r="S56" s="42"/>
      <c r="T56" s="42"/>
      <c r="U56" s="42"/>
      <c r="V56" s="42" t="s">
        <v>1047</v>
      </c>
    </row>
    <row r="57" customFormat="false" ht="15" hidden="false" customHeight="false" outlineLevel="0" collapsed="false">
      <c r="A57" s="42" t="s">
        <v>1048</v>
      </c>
      <c r="B57" s="42" t="n">
        <v>106</v>
      </c>
      <c r="C57" s="45" t="str">
        <f aca="false">IF(B57="","",IFERROR(INDEX('Master Database'!$D$5:$D$600,MATCH(B57,'Master Database'!$A$5:$A$600,0)),"(row not found)"))</f>
        <v>P-164 A/B</v>
      </c>
      <c r="D57" s="45" t="str">
        <f aca="false">IF(B57="","",IFERROR(INDEX('Master Database'!$B$5:$B$600,MATCH(B57,'Master Database'!$A$5:$A$600,0)),"(row not found)"))</f>
        <v>O.W.S. Water Pumps</v>
      </c>
      <c r="E57" s="42" t="s">
        <v>952</v>
      </c>
      <c r="F57" s="45" t="str">
        <f aca="false">IF(E57="","",IFERROR(INDEX(Vendor_Register!$B$5:$B$205,MATCH(E57,Vendor_Register!$A$5:$A$205,0)),"(not in register)"))</f>
        <v>دالاهو پارس کیش (دمکو)</v>
      </c>
      <c r="G57" s="45" t="str">
        <f aca="false">IF(E57="","",IFERROR(INDEX(Vendor_Register!$E$5:$E$205,MATCH(E57,Vendor_Register!$A$5:$A$205,0)),"(not in register)"))</f>
        <v>Not checked</v>
      </c>
      <c r="H57" s="42"/>
      <c r="I57" s="42"/>
      <c r="J57" s="42"/>
      <c r="K57" s="42"/>
      <c r="L57" s="42"/>
      <c r="M57" s="46"/>
      <c r="N57" s="42"/>
      <c r="O57" s="47" t="str">
        <f aca="false">IF(NOT(ISNUMBER(M57)),"",IFERROR(IF(L57="EUR",M57,IF(L57="IRR",M57/INDEX('Assumptions &amp; FX Reference'!$C$5:$C$25,MATCH(H57,'Assumptions &amp; FX Reference'!$A$5:$A$25,0)),IF(L57="USD",M57*INDEX('Assumptions &amp; FX Reference'!$B$5:$B$25,MATCH(H57,'Assumptions &amp; FX Reference'!$A$5:$A$25,0))/INDEX('Assumptions &amp; FX Reference'!$C$5:$C$25,MATCH(H57,'Assumptions &amp; FX Reference'!$A$5:$A$25,0)),""))),"(FX missing)"))</f>
        <v/>
      </c>
      <c r="P57" s="42"/>
      <c r="Q57" s="42"/>
      <c r="R57" s="42"/>
      <c r="S57" s="42"/>
      <c r="T57" s="42"/>
      <c r="U57" s="42"/>
      <c r="V57" s="42" t="s">
        <v>1049</v>
      </c>
    </row>
    <row r="58" customFormat="false" ht="15" hidden="false" customHeight="false" outlineLevel="0" collapsed="false">
      <c r="A58" s="42" t="s">
        <v>1050</v>
      </c>
      <c r="B58" s="42" t="n">
        <v>107</v>
      </c>
      <c r="C58" s="45" t="str">
        <f aca="false">IF(B58="","",IFERROR(INDEX('Master Database'!$D$5:$D$600,MATCH(B58,'Master Database'!$A$5:$A$600,0)),"(row not found)"))</f>
        <v>P-165 A/B</v>
      </c>
      <c r="D58" s="45" t="str">
        <f aca="false">IF(B58="","",IFERROR(INDEX('Master Database'!$B$5:$B$600,MATCH(B58,'Master Database'!$A$5:$A$600,0)),"(row not found)"))</f>
        <v>Oily Water Basin Pumps</v>
      </c>
      <c r="E58" s="42" t="s">
        <v>940</v>
      </c>
      <c r="F58" s="45" t="str">
        <f aca="false">IF(E58="","",IFERROR(INDEX(Vendor_Register!$B$5:$B$205,MATCH(E58,Vendor_Register!$A$5:$A$205,0)),"(not in register)"))</f>
        <v>آریا سپهر کیهان</v>
      </c>
      <c r="G58" s="45" t="str">
        <f aca="false">IF(E58="","",IFERROR(INDEX(Vendor_Register!$E$5:$E$205,MATCH(E58,Vendor_Register!$A$5:$A$205,0)),"(not in register)"))</f>
        <v>Not checked</v>
      </c>
      <c r="H58" s="42" t="n">
        <v>1403</v>
      </c>
      <c r="I58" s="42" t="s">
        <v>941</v>
      </c>
      <c r="J58" s="42"/>
      <c r="K58" s="50" t="s">
        <v>208</v>
      </c>
      <c r="L58" s="42" t="s">
        <v>363</v>
      </c>
      <c r="M58" s="46" t="n">
        <v>22500</v>
      </c>
      <c r="N58" s="42" t="s">
        <v>942</v>
      </c>
      <c r="O58" s="47" t="n">
        <f aca="false">IF(NOT(ISNUMBER(M58)),"",IFERROR(IF(L58="EUR",M58,IF(L58="IRR",M58/INDEX('Assumptions &amp; FX Reference'!$C$5:$C$25,MATCH(H58,'Assumptions &amp; FX Reference'!$A$5:$A$25,0)),IF(L58="USD",M58*INDEX('Assumptions &amp; FX Reference'!$B$5:$B$25,MATCH(H58,'Assumptions &amp; FX Reference'!$A$5:$A$25,0))/INDEX('Assumptions &amp; FX Reference'!$C$5:$C$25,MATCH(H58,'Assumptions &amp; FX Reference'!$A$5:$A$25,0)),""))),"(FX missing)"))</f>
        <v>22500</v>
      </c>
      <c r="P58" s="42"/>
      <c r="Q58" s="42"/>
      <c r="R58" s="42"/>
      <c r="S58" s="42"/>
      <c r="T58" s="42"/>
      <c r="U58" s="42"/>
      <c r="V58" s="42" t="s">
        <v>1051</v>
      </c>
    </row>
    <row r="59" customFormat="false" ht="15" hidden="false" customHeight="false" outlineLevel="0" collapsed="false">
      <c r="A59" s="42" t="s">
        <v>1052</v>
      </c>
      <c r="B59" s="42" t="n">
        <v>107</v>
      </c>
      <c r="C59" s="45" t="str">
        <f aca="false">IF(B59="","",IFERROR(INDEX('Master Database'!$D$5:$D$600,MATCH(B59,'Master Database'!$A$5:$A$600,0)),"(row not found)"))</f>
        <v>P-165 A/B</v>
      </c>
      <c r="D59" s="45" t="str">
        <f aca="false">IF(B59="","",IFERROR(INDEX('Master Database'!$B$5:$B$600,MATCH(B59,'Master Database'!$A$5:$A$600,0)),"(row not found)"))</f>
        <v>Oily Water Basin Pumps</v>
      </c>
      <c r="E59" s="42" t="s">
        <v>945</v>
      </c>
      <c r="F59" s="45" t="str">
        <f aca="false">IF(E59="","",IFERROR(INDEX(Vendor_Register!$B$5:$B$205,MATCH(E59,Vendor_Register!$A$5:$A$205,0)),"(not in register)"))</f>
        <v>پمپیران</v>
      </c>
      <c r="G59" s="45" t="str">
        <f aca="false">IF(E59="","",IFERROR(INDEX(Vendor_Register!$E$5:$E$205,MATCH(E59,Vendor_Register!$A$5:$A$205,0)),"(not in register)"))</f>
        <v>Not checked</v>
      </c>
      <c r="H59" s="42" t="n">
        <v>1404</v>
      </c>
      <c r="I59" s="42" t="s">
        <v>946</v>
      </c>
      <c r="J59" s="42"/>
      <c r="K59" s="50" t="s">
        <v>208</v>
      </c>
      <c r="L59" s="42" t="s">
        <v>363</v>
      </c>
      <c r="M59" s="46" t="n">
        <v>30000</v>
      </c>
      <c r="N59" s="42" t="s">
        <v>942</v>
      </c>
      <c r="O59" s="47" t="n">
        <f aca="false">IF(NOT(ISNUMBER(M59)),"",IFERROR(IF(L59="EUR",M59,IF(L59="IRR",M59/INDEX('Assumptions &amp; FX Reference'!$C$5:$C$25,MATCH(H59,'Assumptions &amp; FX Reference'!$A$5:$A$25,0)),IF(L59="USD",M59*INDEX('Assumptions &amp; FX Reference'!$B$5:$B$25,MATCH(H59,'Assumptions &amp; FX Reference'!$A$5:$A$25,0))/INDEX('Assumptions &amp; FX Reference'!$C$5:$C$25,MATCH(H59,'Assumptions &amp; FX Reference'!$A$5:$A$25,0)),""))),"(FX missing)"))</f>
        <v>30000</v>
      </c>
      <c r="P59" s="42"/>
      <c r="Q59" s="42"/>
      <c r="R59" s="42"/>
      <c r="S59" s="42"/>
      <c r="T59" s="42"/>
      <c r="U59" s="42"/>
      <c r="V59" s="42" t="s">
        <v>1053</v>
      </c>
    </row>
    <row r="60" customFormat="false" ht="15" hidden="false" customHeight="false" outlineLevel="0" collapsed="false">
      <c r="A60" s="42" t="s">
        <v>1054</v>
      </c>
      <c r="B60" s="42" t="n">
        <v>107</v>
      </c>
      <c r="C60" s="45" t="str">
        <f aca="false">IF(B60="","",IFERROR(INDEX('Master Database'!$D$5:$D$600,MATCH(B60,'Master Database'!$A$5:$A$600,0)),"(row not found)"))</f>
        <v>P-165 A/B</v>
      </c>
      <c r="D60" s="45" t="str">
        <f aca="false">IF(B60="","",IFERROR(INDEX('Master Database'!$B$5:$B$600,MATCH(B60,'Master Database'!$A$5:$A$600,0)),"(row not found)"))</f>
        <v>Oily Water Basin Pumps</v>
      </c>
      <c r="E60" s="42" t="s">
        <v>949</v>
      </c>
      <c r="F60" s="45" t="str">
        <f aca="false">IF(E60="","",IFERROR(INDEX(Vendor_Register!$B$5:$B$205,MATCH(E60,Vendor_Register!$A$5:$A$205,0)),"(not in register)"))</f>
        <v>کالای پمپ</v>
      </c>
      <c r="G60" s="45" t="str">
        <f aca="false">IF(E60="","",IFERROR(INDEX(Vendor_Register!$E$5:$E$205,MATCH(E60,Vendor_Register!$A$5:$A$205,0)),"(not in register)"))</f>
        <v>Not checked</v>
      </c>
      <c r="H60" s="42"/>
      <c r="I60" s="42"/>
      <c r="J60" s="42"/>
      <c r="K60" s="42"/>
      <c r="L60" s="42"/>
      <c r="M60" s="46"/>
      <c r="N60" s="42"/>
      <c r="O60" s="47" t="str">
        <f aca="false">IF(NOT(ISNUMBER(M60)),"",IFERROR(IF(L60="EUR",M60,IF(L60="IRR",M60/INDEX('Assumptions &amp; FX Reference'!$C$5:$C$25,MATCH(H60,'Assumptions &amp; FX Reference'!$A$5:$A$25,0)),IF(L60="USD",M60*INDEX('Assumptions &amp; FX Reference'!$B$5:$B$25,MATCH(H60,'Assumptions &amp; FX Reference'!$A$5:$A$25,0))/INDEX('Assumptions &amp; FX Reference'!$C$5:$C$25,MATCH(H60,'Assumptions &amp; FX Reference'!$A$5:$A$25,0)),""))),"(FX missing)"))</f>
        <v/>
      </c>
      <c r="P60" s="42"/>
      <c r="Q60" s="42"/>
      <c r="R60" s="42"/>
      <c r="S60" s="42"/>
      <c r="T60" s="42"/>
      <c r="U60" s="42"/>
      <c r="V60" s="42" t="s">
        <v>1055</v>
      </c>
    </row>
    <row r="61" customFormat="false" ht="15" hidden="false" customHeight="false" outlineLevel="0" collapsed="false">
      <c r="A61" s="42" t="s">
        <v>1056</v>
      </c>
      <c r="B61" s="42" t="n">
        <v>107</v>
      </c>
      <c r="C61" s="45" t="str">
        <f aca="false">IF(B61="","",IFERROR(INDEX('Master Database'!$D$5:$D$600,MATCH(B61,'Master Database'!$A$5:$A$600,0)),"(row not found)"))</f>
        <v>P-165 A/B</v>
      </c>
      <c r="D61" s="45" t="str">
        <f aca="false">IF(B61="","",IFERROR(INDEX('Master Database'!$B$5:$B$600,MATCH(B61,'Master Database'!$A$5:$A$600,0)),"(row not found)"))</f>
        <v>Oily Water Basin Pumps</v>
      </c>
      <c r="E61" s="42" t="s">
        <v>952</v>
      </c>
      <c r="F61" s="45" t="str">
        <f aca="false">IF(E61="","",IFERROR(INDEX(Vendor_Register!$B$5:$B$205,MATCH(E61,Vendor_Register!$A$5:$A$205,0)),"(not in register)"))</f>
        <v>دالاهو پارس کیش (دمکو)</v>
      </c>
      <c r="G61" s="45" t="str">
        <f aca="false">IF(E61="","",IFERROR(INDEX(Vendor_Register!$E$5:$E$205,MATCH(E61,Vendor_Register!$A$5:$A$205,0)),"(not in register)"))</f>
        <v>Not checked</v>
      </c>
      <c r="H61" s="42"/>
      <c r="I61" s="42"/>
      <c r="J61" s="42"/>
      <c r="K61" s="42"/>
      <c r="L61" s="42"/>
      <c r="M61" s="46"/>
      <c r="N61" s="42"/>
      <c r="O61" s="47" t="str">
        <f aca="false">IF(NOT(ISNUMBER(M61)),"",IFERROR(IF(L61="EUR",M61,IF(L61="IRR",M61/INDEX('Assumptions &amp; FX Reference'!$C$5:$C$25,MATCH(H61,'Assumptions &amp; FX Reference'!$A$5:$A$25,0)),IF(L61="USD",M61*INDEX('Assumptions &amp; FX Reference'!$B$5:$B$25,MATCH(H61,'Assumptions &amp; FX Reference'!$A$5:$A$25,0))/INDEX('Assumptions &amp; FX Reference'!$C$5:$C$25,MATCH(H61,'Assumptions &amp; FX Reference'!$A$5:$A$25,0)),""))),"(FX missing)"))</f>
        <v/>
      </c>
      <c r="P61" s="42"/>
      <c r="Q61" s="42"/>
      <c r="R61" s="42"/>
      <c r="S61" s="42"/>
      <c r="T61" s="42"/>
      <c r="U61" s="42"/>
      <c r="V61" s="42" t="s">
        <v>1057</v>
      </c>
    </row>
    <row r="62" customFormat="false" ht="15" hidden="false" customHeight="false" outlineLevel="0" collapsed="false">
      <c r="A62" s="42" t="s">
        <v>1058</v>
      </c>
      <c r="B62" s="42" t="n">
        <v>108</v>
      </c>
      <c r="C62" s="45" t="str">
        <f aca="false">IF(B62="","",IFERROR(INDEX('Master Database'!$D$5:$D$600,MATCH(B62,'Master Database'!$A$5:$A$600,0)),"(row not found)"))</f>
        <v>P-171</v>
      </c>
      <c r="D62" s="45" t="str">
        <f aca="false">IF(B62="","",IFERROR(INDEX('Master Database'!$B$5:$B$600,MATCH(B62,'Master Database'!$A$5:$A$600,0)),"(row not found)"))</f>
        <v>Fuel Oil Pump</v>
      </c>
      <c r="E62" s="42" t="s">
        <v>940</v>
      </c>
      <c r="F62" s="45" t="str">
        <f aca="false">IF(E62="","",IFERROR(INDEX(Vendor_Register!$B$5:$B$205,MATCH(E62,Vendor_Register!$A$5:$A$205,0)),"(not in register)"))</f>
        <v>آریا سپهر کیهان</v>
      </c>
      <c r="G62" s="45" t="str">
        <f aca="false">IF(E62="","",IFERROR(INDEX(Vendor_Register!$E$5:$E$205,MATCH(E62,Vendor_Register!$A$5:$A$205,0)),"(not in register)"))</f>
        <v>Not checked</v>
      </c>
      <c r="H62" s="42" t="n">
        <v>1403</v>
      </c>
      <c r="I62" s="42" t="s">
        <v>941</v>
      </c>
      <c r="J62" s="42"/>
      <c r="K62" s="50" t="s">
        <v>208</v>
      </c>
      <c r="L62" s="42" t="s">
        <v>363</v>
      </c>
      <c r="M62" s="46" t="n">
        <v>12000</v>
      </c>
      <c r="N62" s="42" t="s">
        <v>942</v>
      </c>
      <c r="O62" s="47" t="n">
        <f aca="false">IF(NOT(ISNUMBER(M62)),"",IFERROR(IF(L62="EUR",M62,IF(L62="IRR",M62/INDEX('Assumptions &amp; FX Reference'!$C$5:$C$25,MATCH(H62,'Assumptions &amp; FX Reference'!$A$5:$A$25,0)),IF(L62="USD",M62*INDEX('Assumptions &amp; FX Reference'!$B$5:$B$25,MATCH(H62,'Assumptions &amp; FX Reference'!$A$5:$A$25,0))/INDEX('Assumptions &amp; FX Reference'!$C$5:$C$25,MATCH(H62,'Assumptions &amp; FX Reference'!$A$5:$A$25,0)),""))),"(FX missing)"))</f>
        <v>12000</v>
      </c>
      <c r="P62" s="42"/>
      <c r="Q62" s="42"/>
      <c r="R62" s="42"/>
      <c r="S62" s="42"/>
      <c r="T62" s="42"/>
      <c r="U62" s="42"/>
      <c r="V62" s="42" t="s">
        <v>1059</v>
      </c>
    </row>
    <row r="63" customFormat="false" ht="15" hidden="false" customHeight="false" outlineLevel="0" collapsed="false">
      <c r="A63" s="42" t="s">
        <v>1060</v>
      </c>
      <c r="B63" s="42" t="n">
        <v>108</v>
      </c>
      <c r="C63" s="45" t="str">
        <f aca="false">IF(B63="","",IFERROR(INDEX('Master Database'!$D$5:$D$600,MATCH(B63,'Master Database'!$A$5:$A$600,0)),"(row not found)"))</f>
        <v>P-171</v>
      </c>
      <c r="D63" s="45" t="str">
        <f aca="false">IF(B63="","",IFERROR(INDEX('Master Database'!$B$5:$B$600,MATCH(B63,'Master Database'!$A$5:$A$600,0)),"(row not found)"))</f>
        <v>Fuel Oil Pump</v>
      </c>
      <c r="E63" s="42" t="s">
        <v>945</v>
      </c>
      <c r="F63" s="45" t="str">
        <f aca="false">IF(E63="","",IFERROR(INDEX(Vendor_Register!$B$5:$B$205,MATCH(E63,Vendor_Register!$A$5:$A$205,0)),"(not in register)"))</f>
        <v>پمپیران</v>
      </c>
      <c r="G63" s="45" t="str">
        <f aca="false">IF(E63="","",IFERROR(INDEX(Vendor_Register!$E$5:$E$205,MATCH(E63,Vendor_Register!$A$5:$A$205,0)),"(not in register)"))</f>
        <v>Not checked</v>
      </c>
      <c r="H63" s="42" t="n">
        <v>1404</v>
      </c>
      <c r="I63" s="42" t="s">
        <v>946</v>
      </c>
      <c r="J63" s="42"/>
      <c r="K63" s="50" t="s">
        <v>208</v>
      </c>
      <c r="L63" s="42" t="s">
        <v>363</v>
      </c>
      <c r="M63" s="46" t="n">
        <v>30000</v>
      </c>
      <c r="N63" s="42" t="s">
        <v>942</v>
      </c>
      <c r="O63" s="47" t="n">
        <f aca="false">IF(NOT(ISNUMBER(M63)),"",IFERROR(IF(L63="EUR",M63,IF(L63="IRR",M63/INDEX('Assumptions &amp; FX Reference'!$C$5:$C$25,MATCH(H63,'Assumptions &amp; FX Reference'!$A$5:$A$25,0)),IF(L63="USD",M63*INDEX('Assumptions &amp; FX Reference'!$B$5:$B$25,MATCH(H63,'Assumptions &amp; FX Reference'!$A$5:$A$25,0))/INDEX('Assumptions &amp; FX Reference'!$C$5:$C$25,MATCH(H63,'Assumptions &amp; FX Reference'!$A$5:$A$25,0)),""))),"(FX missing)"))</f>
        <v>30000</v>
      </c>
      <c r="P63" s="42"/>
      <c r="Q63" s="42"/>
      <c r="R63" s="42"/>
      <c r="S63" s="42"/>
      <c r="T63" s="42"/>
      <c r="U63" s="42"/>
      <c r="V63" s="42" t="s">
        <v>1061</v>
      </c>
    </row>
    <row r="64" customFormat="false" ht="15" hidden="false" customHeight="false" outlineLevel="0" collapsed="false">
      <c r="A64" s="42" t="s">
        <v>1062</v>
      </c>
      <c r="B64" s="42" t="n">
        <v>108</v>
      </c>
      <c r="C64" s="45" t="str">
        <f aca="false">IF(B64="","",IFERROR(INDEX('Master Database'!$D$5:$D$600,MATCH(B64,'Master Database'!$A$5:$A$600,0)),"(row not found)"))</f>
        <v>P-171</v>
      </c>
      <c r="D64" s="45" t="str">
        <f aca="false">IF(B64="","",IFERROR(INDEX('Master Database'!$B$5:$B$600,MATCH(B64,'Master Database'!$A$5:$A$600,0)),"(row not found)"))</f>
        <v>Fuel Oil Pump</v>
      </c>
      <c r="E64" s="42" t="s">
        <v>949</v>
      </c>
      <c r="F64" s="45" t="str">
        <f aca="false">IF(E64="","",IFERROR(INDEX(Vendor_Register!$B$5:$B$205,MATCH(E64,Vendor_Register!$A$5:$A$205,0)),"(not in register)"))</f>
        <v>کالای پمپ</v>
      </c>
      <c r="G64" s="45" t="str">
        <f aca="false">IF(E64="","",IFERROR(INDEX(Vendor_Register!$E$5:$E$205,MATCH(E64,Vendor_Register!$A$5:$A$205,0)),"(not in register)"))</f>
        <v>Not checked</v>
      </c>
      <c r="H64" s="42"/>
      <c r="I64" s="42"/>
      <c r="J64" s="42"/>
      <c r="K64" s="42"/>
      <c r="L64" s="42"/>
      <c r="M64" s="46"/>
      <c r="N64" s="42"/>
      <c r="O64" s="47" t="str">
        <f aca="false">IF(NOT(ISNUMBER(M64)),"",IFERROR(IF(L64="EUR",M64,IF(L64="IRR",M64/INDEX('Assumptions &amp; FX Reference'!$C$5:$C$25,MATCH(H64,'Assumptions &amp; FX Reference'!$A$5:$A$25,0)),IF(L64="USD",M64*INDEX('Assumptions &amp; FX Reference'!$B$5:$B$25,MATCH(H64,'Assumptions &amp; FX Reference'!$A$5:$A$25,0))/INDEX('Assumptions &amp; FX Reference'!$C$5:$C$25,MATCH(H64,'Assumptions &amp; FX Reference'!$A$5:$A$25,0)),""))),"(FX missing)"))</f>
        <v/>
      </c>
      <c r="P64" s="42"/>
      <c r="Q64" s="42"/>
      <c r="R64" s="42"/>
      <c r="S64" s="42"/>
      <c r="T64" s="42"/>
      <c r="U64" s="42"/>
      <c r="V64" s="42" t="s">
        <v>1063</v>
      </c>
    </row>
    <row r="65" customFormat="false" ht="15" hidden="false" customHeight="false" outlineLevel="0" collapsed="false">
      <c r="A65" s="42" t="s">
        <v>1064</v>
      </c>
      <c r="B65" s="42" t="n">
        <v>108</v>
      </c>
      <c r="C65" s="45" t="str">
        <f aca="false">IF(B65="","",IFERROR(INDEX('Master Database'!$D$5:$D$600,MATCH(B65,'Master Database'!$A$5:$A$600,0)),"(row not found)"))</f>
        <v>P-171</v>
      </c>
      <c r="D65" s="45" t="str">
        <f aca="false">IF(B65="","",IFERROR(INDEX('Master Database'!$B$5:$B$600,MATCH(B65,'Master Database'!$A$5:$A$600,0)),"(row not found)"))</f>
        <v>Fuel Oil Pump</v>
      </c>
      <c r="E65" s="42" t="s">
        <v>952</v>
      </c>
      <c r="F65" s="45" t="str">
        <f aca="false">IF(E65="","",IFERROR(INDEX(Vendor_Register!$B$5:$B$205,MATCH(E65,Vendor_Register!$A$5:$A$205,0)),"(not in register)"))</f>
        <v>دالاهو پارس کیش (دمکو)</v>
      </c>
      <c r="G65" s="45" t="str">
        <f aca="false">IF(E65="","",IFERROR(INDEX(Vendor_Register!$E$5:$E$205,MATCH(E65,Vendor_Register!$A$5:$A$205,0)),"(not in register)"))</f>
        <v>Not checked</v>
      </c>
      <c r="H65" s="42"/>
      <c r="I65" s="42"/>
      <c r="J65" s="42"/>
      <c r="K65" s="42"/>
      <c r="L65" s="42"/>
      <c r="M65" s="46"/>
      <c r="N65" s="42"/>
      <c r="O65" s="47" t="str">
        <f aca="false">IF(NOT(ISNUMBER(M65)),"",IFERROR(IF(L65="EUR",M65,IF(L65="IRR",M65/INDEX('Assumptions &amp; FX Reference'!$C$5:$C$25,MATCH(H65,'Assumptions &amp; FX Reference'!$A$5:$A$25,0)),IF(L65="USD",M65*INDEX('Assumptions &amp; FX Reference'!$B$5:$B$25,MATCH(H65,'Assumptions &amp; FX Reference'!$A$5:$A$25,0))/INDEX('Assumptions &amp; FX Reference'!$C$5:$C$25,MATCH(H65,'Assumptions &amp; FX Reference'!$A$5:$A$25,0)),""))),"(FX missing)"))</f>
        <v/>
      </c>
      <c r="P65" s="42"/>
      <c r="Q65" s="42"/>
      <c r="R65" s="42"/>
      <c r="S65" s="42"/>
      <c r="T65" s="42"/>
      <c r="U65" s="42"/>
      <c r="V65" s="42" t="s">
        <v>1065</v>
      </c>
    </row>
    <row r="66" customFormat="false" ht="15" hidden="false" customHeight="false" outlineLevel="0" collapsed="false">
      <c r="A66" s="42" t="s">
        <v>1066</v>
      </c>
      <c r="B66" s="42" t="n">
        <v>109</v>
      </c>
      <c r="C66" s="45" t="str">
        <f aca="false">IF(B66="","",IFERROR(INDEX('Master Database'!$D$5:$D$600,MATCH(B66,'Master Database'!$A$5:$A$600,0)),"(row not found)"))</f>
        <v>P-191</v>
      </c>
      <c r="D66" s="45" t="str">
        <f aca="false">IF(B66="","",IFERROR(INDEX('Master Database'!$B$5:$B$600,MATCH(B66,'Master Database'!$A$5:$A$600,0)),"(row not found)"))</f>
        <v>Fire Water Loading Pump</v>
      </c>
      <c r="E66" s="42" t="s">
        <v>940</v>
      </c>
      <c r="F66" s="45" t="str">
        <f aca="false">IF(E66="","",IFERROR(INDEX(Vendor_Register!$B$5:$B$205,MATCH(E66,Vendor_Register!$A$5:$A$205,0)),"(not in register)"))</f>
        <v>آریا سپهر کیهان</v>
      </c>
      <c r="G66" s="45" t="str">
        <f aca="false">IF(E66="","",IFERROR(INDEX(Vendor_Register!$E$5:$E$205,MATCH(E66,Vendor_Register!$A$5:$A$205,0)),"(not in register)"))</f>
        <v>Not checked</v>
      </c>
      <c r="H66" s="42" t="n">
        <v>1403</v>
      </c>
      <c r="I66" s="42" t="s">
        <v>941</v>
      </c>
      <c r="J66" s="42"/>
      <c r="K66" s="50" t="s">
        <v>208</v>
      </c>
      <c r="L66" s="42" t="s">
        <v>363</v>
      </c>
      <c r="M66" s="46" t="n">
        <v>19000</v>
      </c>
      <c r="N66" s="42" t="s">
        <v>942</v>
      </c>
      <c r="O66" s="47" t="n">
        <f aca="false">IF(NOT(ISNUMBER(M66)),"",IFERROR(IF(L66="EUR",M66,IF(L66="IRR",M66/INDEX('Assumptions &amp; FX Reference'!$C$5:$C$25,MATCH(H66,'Assumptions &amp; FX Reference'!$A$5:$A$25,0)),IF(L66="USD",M66*INDEX('Assumptions &amp; FX Reference'!$B$5:$B$25,MATCH(H66,'Assumptions &amp; FX Reference'!$A$5:$A$25,0))/INDEX('Assumptions &amp; FX Reference'!$C$5:$C$25,MATCH(H66,'Assumptions &amp; FX Reference'!$A$5:$A$25,0)),""))),"(FX missing)"))</f>
        <v>19000</v>
      </c>
      <c r="P66" s="42"/>
      <c r="Q66" s="42"/>
      <c r="R66" s="42"/>
      <c r="S66" s="42"/>
      <c r="T66" s="42"/>
      <c r="U66" s="42"/>
      <c r="V66" s="42" t="s">
        <v>1067</v>
      </c>
    </row>
    <row r="67" customFormat="false" ht="15" hidden="false" customHeight="false" outlineLevel="0" collapsed="false">
      <c r="A67" s="42" t="s">
        <v>1068</v>
      </c>
      <c r="B67" s="42" t="n">
        <v>109</v>
      </c>
      <c r="C67" s="45" t="str">
        <f aca="false">IF(B67="","",IFERROR(INDEX('Master Database'!$D$5:$D$600,MATCH(B67,'Master Database'!$A$5:$A$600,0)),"(row not found)"))</f>
        <v>P-191</v>
      </c>
      <c r="D67" s="45" t="str">
        <f aca="false">IF(B67="","",IFERROR(INDEX('Master Database'!$B$5:$B$600,MATCH(B67,'Master Database'!$A$5:$A$600,0)),"(row not found)"))</f>
        <v>Fire Water Loading Pump</v>
      </c>
      <c r="E67" s="42" t="s">
        <v>945</v>
      </c>
      <c r="F67" s="45" t="str">
        <f aca="false">IF(E67="","",IFERROR(INDEX(Vendor_Register!$B$5:$B$205,MATCH(E67,Vendor_Register!$A$5:$A$205,0)),"(not in register)"))</f>
        <v>پمپیران</v>
      </c>
      <c r="G67" s="45" t="str">
        <f aca="false">IF(E67="","",IFERROR(INDEX(Vendor_Register!$E$5:$E$205,MATCH(E67,Vendor_Register!$A$5:$A$205,0)),"(not in register)"))</f>
        <v>Not checked</v>
      </c>
      <c r="H67" s="42" t="n">
        <v>1404</v>
      </c>
      <c r="I67" s="42" t="s">
        <v>946</v>
      </c>
      <c r="J67" s="42"/>
      <c r="K67" s="50" t="s">
        <v>208</v>
      </c>
      <c r="L67" s="42" t="s">
        <v>363</v>
      </c>
      <c r="M67" s="46" t="n">
        <v>13000</v>
      </c>
      <c r="N67" s="42" t="s">
        <v>942</v>
      </c>
      <c r="O67" s="47" t="n">
        <f aca="false">IF(NOT(ISNUMBER(M67)),"",IFERROR(IF(L67="EUR",M67,IF(L67="IRR",M67/INDEX('Assumptions &amp; FX Reference'!$C$5:$C$25,MATCH(H67,'Assumptions &amp; FX Reference'!$A$5:$A$25,0)),IF(L67="USD",M67*INDEX('Assumptions &amp; FX Reference'!$B$5:$B$25,MATCH(H67,'Assumptions &amp; FX Reference'!$A$5:$A$25,0))/INDEX('Assumptions &amp; FX Reference'!$C$5:$C$25,MATCH(H67,'Assumptions &amp; FX Reference'!$A$5:$A$25,0)),""))),"(FX missing)"))</f>
        <v>13000</v>
      </c>
      <c r="P67" s="42"/>
      <c r="Q67" s="42"/>
      <c r="R67" s="42"/>
      <c r="S67" s="42"/>
      <c r="T67" s="42"/>
      <c r="U67" s="42"/>
      <c r="V67" s="42" t="s">
        <v>1069</v>
      </c>
    </row>
    <row r="68" customFormat="false" ht="15" hidden="false" customHeight="false" outlineLevel="0" collapsed="false">
      <c r="A68" s="42" t="s">
        <v>1070</v>
      </c>
      <c r="B68" s="42" t="n">
        <v>109</v>
      </c>
      <c r="C68" s="45" t="str">
        <f aca="false">IF(B68="","",IFERROR(INDEX('Master Database'!$D$5:$D$600,MATCH(B68,'Master Database'!$A$5:$A$600,0)),"(row not found)"))</f>
        <v>P-191</v>
      </c>
      <c r="D68" s="45" t="str">
        <f aca="false">IF(B68="","",IFERROR(INDEX('Master Database'!$B$5:$B$600,MATCH(B68,'Master Database'!$A$5:$A$600,0)),"(row not found)"))</f>
        <v>Fire Water Loading Pump</v>
      </c>
      <c r="E68" s="42" t="s">
        <v>949</v>
      </c>
      <c r="F68" s="45" t="str">
        <f aca="false">IF(E68="","",IFERROR(INDEX(Vendor_Register!$B$5:$B$205,MATCH(E68,Vendor_Register!$A$5:$A$205,0)),"(not in register)"))</f>
        <v>کالای پمپ</v>
      </c>
      <c r="G68" s="45" t="str">
        <f aca="false">IF(E68="","",IFERROR(INDEX(Vendor_Register!$E$5:$E$205,MATCH(E68,Vendor_Register!$A$5:$A$205,0)),"(not in register)"))</f>
        <v>Not checked</v>
      </c>
      <c r="H68" s="42"/>
      <c r="I68" s="42"/>
      <c r="J68" s="42"/>
      <c r="K68" s="42"/>
      <c r="L68" s="42"/>
      <c r="M68" s="46"/>
      <c r="N68" s="42"/>
      <c r="O68" s="47" t="str">
        <f aca="false">IF(NOT(ISNUMBER(M68)),"",IFERROR(IF(L68="EUR",M68,IF(L68="IRR",M68/INDEX('Assumptions &amp; FX Reference'!$C$5:$C$25,MATCH(H68,'Assumptions &amp; FX Reference'!$A$5:$A$25,0)),IF(L68="USD",M68*INDEX('Assumptions &amp; FX Reference'!$B$5:$B$25,MATCH(H68,'Assumptions &amp; FX Reference'!$A$5:$A$25,0))/INDEX('Assumptions &amp; FX Reference'!$C$5:$C$25,MATCH(H68,'Assumptions &amp; FX Reference'!$A$5:$A$25,0)),""))),"(FX missing)"))</f>
        <v/>
      </c>
      <c r="P68" s="42"/>
      <c r="Q68" s="42"/>
      <c r="R68" s="42"/>
      <c r="S68" s="42"/>
      <c r="T68" s="42"/>
      <c r="U68" s="42"/>
      <c r="V68" s="42" t="s">
        <v>1071</v>
      </c>
    </row>
    <row r="69" customFormat="false" ht="15" hidden="false" customHeight="false" outlineLevel="0" collapsed="false">
      <c r="A69" s="42" t="s">
        <v>1072</v>
      </c>
      <c r="B69" s="42" t="n">
        <v>109</v>
      </c>
      <c r="C69" s="45" t="str">
        <f aca="false">IF(B69="","",IFERROR(INDEX('Master Database'!$D$5:$D$600,MATCH(B69,'Master Database'!$A$5:$A$600,0)),"(row not found)"))</f>
        <v>P-191</v>
      </c>
      <c r="D69" s="45" t="str">
        <f aca="false">IF(B69="","",IFERROR(INDEX('Master Database'!$B$5:$B$600,MATCH(B69,'Master Database'!$A$5:$A$600,0)),"(row not found)"))</f>
        <v>Fire Water Loading Pump</v>
      </c>
      <c r="E69" s="42" t="s">
        <v>952</v>
      </c>
      <c r="F69" s="45" t="str">
        <f aca="false">IF(E69="","",IFERROR(INDEX(Vendor_Register!$B$5:$B$205,MATCH(E69,Vendor_Register!$A$5:$A$205,0)),"(not in register)"))</f>
        <v>دالاهو پارس کیش (دمکو)</v>
      </c>
      <c r="G69" s="45" t="str">
        <f aca="false">IF(E69="","",IFERROR(INDEX(Vendor_Register!$E$5:$E$205,MATCH(E69,Vendor_Register!$A$5:$A$205,0)),"(not in register)"))</f>
        <v>Not checked</v>
      </c>
      <c r="H69" s="42"/>
      <c r="I69" s="42"/>
      <c r="J69" s="42"/>
      <c r="K69" s="42"/>
      <c r="L69" s="42"/>
      <c r="M69" s="46"/>
      <c r="N69" s="42"/>
      <c r="O69" s="47" t="str">
        <f aca="false">IF(NOT(ISNUMBER(M69)),"",IFERROR(IF(L69="EUR",M69,IF(L69="IRR",M69/INDEX('Assumptions &amp; FX Reference'!$C$5:$C$25,MATCH(H69,'Assumptions &amp; FX Reference'!$A$5:$A$25,0)),IF(L69="USD",M69*INDEX('Assumptions &amp; FX Reference'!$B$5:$B$25,MATCH(H69,'Assumptions &amp; FX Reference'!$A$5:$A$25,0))/INDEX('Assumptions &amp; FX Reference'!$C$5:$C$25,MATCH(H69,'Assumptions &amp; FX Reference'!$A$5:$A$25,0)),""))),"(FX missing)"))</f>
        <v/>
      </c>
      <c r="P69" s="42"/>
      <c r="Q69" s="42"/>
      <c r="R69" s="42"/>
      <c r="S69" s="42"/>
      <c r="T69" s="42"/>
      <c r="U69" s="42"/>
      <c r="V69" s="42" t="s">
        <v>1073</v>
      </c>
    </row>
    <row r="70" customFormat="false" ht="15" hidden="false" customHeight="false" outlineLevel="0" collapsed="false">
      <c r="A70" s="42" t="s">
        <v>1074</v>
      </c>
      <c r="B70" s="42" t="n">
        <v>110</v>
      </c>
      <c r="C70" s="45" t="str">
        <f aca="false">IF(B70="","",IFERROR(INDEX('Master Database'!$D$5:$D$600,MATCH(B70,'Master Database'!$A$5:$A$600,0)),"(row not found)"))</f>
        <v>P-192</v>
      </c>
      <c r="D70" s="45" t="str">
        <f aca="false">IF(B70="","",IFERROR(INDEX('Master Database'!$B$5:$B$600,MATCH(B70,'Master Database'!$A$5:$A$600,0)),"(row not found)"))</f>
        <v>Fire Water Pump-Elect. Motor Driven</v>
      </c>
      <c r="E70" s="42" t="s">
        <v>940</v>
      </c>
      <c r="F70" s="45" t="str">
        <f aca="false">IF(E70="","",IFERROR(INDEX(Vendor_Register!$B$5:$B$205,MATCH(E70,Vendor_Register!$A$5:$A$205,0)),"(not in register)"))</f>
        <v>آریا سپهر کیهان</v>
      </c>
      <c r="G70" s="45" t="str">
        <f aca="false">IF(E70="","",IFERROR(INDEX(Vendor_Register!$E$5:$E$205,MATCH(E70,Vendor_Register!$A$5:$A$205,0)),"(not in register)"))</f>
        <v>Not checked</v>
      </c>
      <c r="H70" s="42" t="n">
        <v>1403</v>
      </c>
      <c r="I70" s="42" t="s">
        <v>941</v>
      </c>
      <c r="J70" s="42"/>
      <c r="K70" s="50" t="s">
        <v>208</v>
      </c>
      <c r="L70" s="42" t="s">
        <v>363</v>
      </c>
      <c r="M70" s="46" t="n">
        <v>200000</v>
      </c>
      <c r="N70" s="42" t="s">
        <v>942</v>
      </c>
      <c r="O70" s="47" t="n">
        <f aca="false">IF(NOT(ISNUMBER(M70)),"",IFERROR(IF(L70="EUR",M70,IF(L70="IRR",M70/INDEX('Assumptions &amp; FX Reference'!$C$5:$C$25,MATCH(H70,'Assumptions &amp; FX Reference'!$A$5:$A$25,0)),IF(L70="USD",M70*INDEX('Assumptions &amp; FX Reference'!$B$5:$B$25,MATCH(H70,'Assumptions &amp; FX Reference'!$A$5:$A$25,0))/INDEX('Assumptions &amp; FX Reference'!$C$5:$C$25,MATCH(H70,'Assumptions &amp; FX Reference'!$A$5:$A$25,0)),""))),"(FX missing)"))</f>
        <v>200000</v>
      </c>
      <c r="P70" s="42"/>
      <c r="Q70" s="42"/>
      <c r="R70" s="42"/>
      <c r="S70" s="42"/>
      <c r="T70" s="42"/>
      <c r="U70" s="42"/>
      <c r="V70" s="42" t="s">
        <v>1075</v>
      </c>
    </row>
    <row r="71" customFormat="false" ht="15" hidden="false" customHeight="false" outlineLevel="0" collapsed="false">
      <c r="A71" s="42" t="s">
        <v>1076</v>
      </c>
      <c r="B71" s="42" t="n">
        <v>110</v>
      </c>
      <c r="C71" s="45" t="str">
        <f aca="false">IF(B71="","",IFERROR(INDEX('Master Database'!$D$5:$D$600,MATCH(B71,'Master Database'!$A$5:$A$600,0)),"(row not found)"))</f>
        <v>P-192</v>
      </c>
      <c r="D71" s="45" t="str">
        <f aca="false">IF(B71="","",IFERROR(INDEX('Master Database'!$B$5:$B$600,MATCH(B71,'Master Database'!$A$5:$A$600,0)),"(row not found)"))</f>
        <v>Fire Water Pump-Elect. Motor Driven</v>
      </c>
      <c r="E71" s="42" t="s">
        <v>945</v>
      </c>
      <c r="F71" s="45" t="str">
        <f aca="false">IF(E71="","",IFERROR(INDEX(Vendor_Register!$B$5:$B$205,MATCH(E71,Vendor_Register!$A$5:$A$205,0)),"(not in register)"))</f>
        <v>پمپیران</v>
      </c>
      <c r="G71" s="45" t="str">
        <f aca="false">IF(E71="","",IFERROR(INDEX(Vendor_Register!$E$5:$E$205,MATCH(E71,Vendor_Register!$A$5:$A$205,0)),"(not in register)"))</f>
        <v>Not checked</v>
      </c>
      <c r="H71" s="42" t="n">
        <v>1404</v>
      </c>
      <c r="I71" s="42" t="s">
        <v>946</v>
      </c>
      <c r="J71" s="42"/>
      <c r="K71" s="50" t="s">
        <v>208</v>
      </c>
      <c r="L71" s="42" t="s">
        <v>363</v>
      </c>
      <c r="M71" s="46" t="n">
        <v>30000</v>
      </c>
      <c r="N71" s="42" t="s">
        <v>942</v>
      </c>
      <c r="O71" s="47" t="n">
        <f aca="false">IF(NOT(ISNUMBER(M71)),"",IFERROR(IF(L71="EUR",M71,IF(L71="IRR",M71/INDEX('Assumptions &amp; FX Reference'!$C$5:$C$25,MATCH(H71,'Assumptions &amp; FX Reference'!$A$5:$A$25,0)),IF(L71="USD",M71*INDEX('Assumptions &amp; FX Reference'!$B$5:$B$25,MATCH(H71,'Assumptions &amp; FX Reference'!$A$5:$A$25,0))/INDEX('Assumptions &amp; FX Reference'!$C$5:$C$25,MATCH(H71,'Assumptions &amp; FX Reference'!$A$5:$A$25,0)),""))),"(FX missing)"))</f>
        <v>30000</v>
      </c>
      <c r="P71" s="42"/>
      <c r="Q71" s="42"/>
      <c r="R71" s="42"/>
      <c r="S71" s="42"/>
      <c r="T71" s="42"/>
      <c r="U71" s="42"/>
      <c r="V71" s="42" t="s">
        <v>1077</v>
      </c>
    </row>
    <row r="72" customFormat="false" ht="15" hidden="false" customHeight="false" outlineLevel="0" collapsed="false">
      <c r="A72" s="42" t="s">
        <v>1078</v>
      </c>
      <c r="B72" s="42" t="n">
        <v>110</v>
      </c>
      <c r="C72" s="45" t="str">
        <f aca="false">IF(B72="","",IFERROR(INDEX('Master Database'!$D$5:$D$600,MATCH(B72,'Master Database'!$A$5:$A$600,0)),"(row not found)"))</f>
        <v>P-192</v>
      </c>
      <c r="D72" s="45" t="str">
        <f aca="false">IF(B72="","",IFERROR(INDEX('Master Database'!$B$5:$B$600,MATCH(B72,'Master Database'!$A$5:$A$600,0)),"(row not found)"))</f>
        <v>Fire Water Pump-Elect. Motor Driven</v>
      </c>
      <c r="E72" s="42" t="s">
        <v>949</v>
      </c>
      <c r="F72" s="45" t="str">
        <f aca="false">IF(E72="","",IFERROR(INDEX(Vendor_Register!$B$5:$B$205,MATCH(E72,Vendor_Register!$A$5:$A$205,0)),"(not in register)"))</f>
        <v>کالای پمپ</v>
      </c>
      <c r="G72" s="45" t="str">
        <f aca="false">IF(E72="","",IFERROR(INDEX(Vendor_Register!$E$5:$E$205,MATCH(E72,Vendor_Register!$A$5:$A$205,0)),"(not in register)"))</f>
        <v>Not checked</v>
      </c>
      <c r="H72" s="42" t="n">
        <v>1403</v>
      </c>
      <c r="I72" s="42" t="s">
        <v>1079</v>
      </c>
      <c r="J72" s="42"/>
      <c r="K72" s="50" t="s">
        <v>208</v>
      </c>
      <c r="L72" s="42" t="s">
        <v>363</v>
      </c>
      <c r="M72" s="46" t="n">
        <v>698980.33</v>
      </c>
      <c r="N72" s="42" t="s">
        <v>942</v>
      </c>
      <c r="O72" s="47" t="n">
        <f aca="false">IF(NOT(ISNUMBER(M72)),"",IFERROR(IF(L72="EUR",M72,IF(L72="IRR",M72/INDEX('Assumptions &amp; FX Reference'!$C$5:$C$25,MATCH(H72,'Assumptions &amp; FX Reference'!$A$5:$A$25,0)),IF(L72="USD",M72*INDEX('Assumptions &amp; FX Reference'!$B$5:$B$25,MATCH(H72,'Assumptions &amp; FX Reference'!$A$5:$A$25,0))/INDEX('Assumptions &amp; FX Reference'!$C$5:$C$25,MATCH(H72,'Assumptions &amp; FX Reference'!$A$5:$A$25,0)),""))),"(FX missing)"))</f>
        <v>698980.33</v>
      </c>
      <c r="P72" s="42"/>
      <c r="Q72" s="42"/>
      <c r="R72" s="42"/>
      <c r="S72" s="42"/>
      <c r="T72" s="42"/>
      <c r="U72" s="42"/>
      <c r="V72" s="42" t="s">
        <v>1080</v>
      </c>
    </row>
    <row r="73" customFormat="false" ht="15" hidden="false" customHeight="false" outlineLevel="0" collapsed="false">
      <c r="A73" s="42" t="s">
        <v>1081</v>
      </c>
      <c r="B73" s="42" t="n">
        <v>110</v>
      </c>
      <c r="C73" s="45" t="str">
        <f aca="false">IF(B73="","",IFERROR(INDEX('Master Database'!$D$5:$D$600,MATCH(B73,'Master Database'!$A$5:$A$600,0)),"(row not found)"))</f>
        <v>P-192</v>
      </c>
      <c r="D73" s="45" t="str">
        <f aca="false">IF(B73="","",IFERROR(INDEX('Master Database'!$B$5:$B$600,MATCH(B73,'Master Database'!$A$5:$A$600,0)),"(row not found)"))</f>
        <v>Fire Water Pump-Elect. Motor Driven</v>
      </c>
      <c r="E73" s="42" t="s">
        <v>952</v>
      </c>
      <c r="F73" s="45" t="str">
        <f aca="false">IF(E73="","",IFERROR(INDEX(Vendor_Register!$B$5:$B$205,MATCH(E73,Vendor_Register!$A$5:$A$205,0)),"(not in register)"))</f>
        <v>دالاهو پارس کیش (دمکو)</v>
      </c>
      <c r="G73" s="45" t="str">
        <f aca="false">IF(E73="","",IFERROR(INDEX(Vendor_Register!$E$5:$E$205,MATCH(E73,Vendor_Register!$A$5:$A$205,0)),"(not in register)"))</f>
        <v>Not checked</v>
      </c>
      <c r="H73" s="42"/>
      <c r="I73" s="42"/>
      <c r="J73" s="42"/>
      <c r="K73" s="42"/>
      <c r="L73" s="42"/>
      <c r="M73" s="46"/>
      <c r="N73" s="42"/>
      <c r="O73" s="47" t="str">
        <f aca="false">IF(NOT(ISNUMBER(M73)),"",IFERROR(IF(L73="EUR",M73,IF(L73="IRR",M73/INDEX('Assumptions &amp; FX Reference'!$C$5:$C$25,MATCH(H73,'Assumptions &amp; FX Reference'!$A$5:$A$25,0)),IF(L73="USD",M73*INDEX('Assumptions &amp; FX Reference'!$B$5:$B$25,MATCH(H73,'Assumptions &amp; FX Reference'!$A$5:$A$25,0))/INDEX('Assumptions &amp; FX Reference'!$C$5:$C$25,MATCH(H73,'Assumptions &amp; FX Reference'!$A$5:$A$25,0)),""))),"(FX missing)"))</f>
        <v/>
      </c>
      <c r="P73" s="42"/>
      <c r="Q73" s="42"/>
      <c r="R73" s="42"/>
      <c r="S73" s="42"/>
      <c r="T73" s="42"/>
      <c r="U73" s="42"/>
      <c r="V73" s="42" t="s">
        <v>1082</v>
      </c>
    </row>
    <row r="74" customFormat="false" ht="15" hidden="false" customHeight="false" outlineLevel="0" collapsed="false">
      <c r="A74" s="42" t="s">
        <v>1083</v>
      </c>
      <c r="B74" s="42" t="n">
        <v>111</v>
      </c>
      <c r="C74" s="45" t="str">
        <f aca="false">IF(B74="","",IFERROR(INDEX('Master Database'!$D$5:$D$600,MATCH(B74,'Master Database'!$A$5:$A$600,0)),"(row not found)"))</f>
        <v>P-193</v>
      </c>
      <c r="D74" s="45" t="str">
        <f aca="false">IF(B74="","",IFERROR(INDEX('Master Database'!$B$5:$B$600,MATCH(B74,'Master Database'!$A$5:$A$600,0)),"(row not found)"))</f>
        <v>Fire Water Pump-Diesel Engine Driven</v>
      </c>
      <c r="E74" s="42" t="s">
        <v>940</v>
      </c>
      <c r="F74" s="45" t="str">
        <f aca="false">IF(E74="","",IFERROR(INDEX(Vendor_Register!$B$5:$B$205,MATCH(E74,Vendor_Register!$A$5:$A$205,0)),"(not in register)"))</f>
        <v>آریا سپهر کیهان</v>
      </c>
      <c r="G74" s="45" t="str">
        <f aca="false">IF(E74="","",IFERROR(INDEX(Vendor_Register!$E$5:$E$205,MATCH(E74,Vendor_Register!$A$5:$A$205,0)),"(not in register)"))</f>
        <v>Not checked</v>
      </c>
      <c r="H74" s="42" t="n">
        <v>1403</v>
      </c>
      <c r="I74" s="42" t="s">
        <v>941</v>
      </c>
      <c r="J74" s="42"/>
      <c r="K74" s="50" t="s">
        <v>208</v>
      </c>
      <c r="L74" s="42" t="s">
        <v>363</v>
      </c>
      <c r="M74" s="46" t="n">
        <v>225000</v>
      </c>
      <c r="N74" s="42" t="s">
        <v>942</v>
      </c>
      <c r="O74" s="47" t="n">
        <f aca="false">IF(NOT(ISNUMBER(M74)),"",IFERROR(IF(L74="EUR",M74,IF(L74="IRR",M74/INDEX('Assumptions &amp; FX Reference'!$C$5:$C$25,MATCH(H74,'Assumptions &amp; FX Reference'!$A$5:$A$25,0)),IF(L74="USD",M74*INDEX('Assumptions &amp; FX Reference'!$B$5:$B$25,MATCH(H74,'Assumptions &amp; FX Reference'!$A$5:$A$25,0))/INDEX('Assumptions &amp; FX Reference'!$C$5:$C$25,MATCH(H74,'Assumptions &amp; FX Reference'!$A$5:$A$25,0)),""))),"(FX missing)"))</f>
        <v>225000</v>
      </c>
      <c r="P74" s="42"/>
      <c r="Q74" s="42"/>
      <c r="R74" s="42"/>
      <c r="S74" s="42"/>
      <c r="T74" s="42"/>
      <c r="U74" s="42"/>
      <c r="V74" s="42" t="s">
        <v>1084</v>
      </c>
    </row>
    <row r="75" customFormat="false" ht="15" hidden="false" customHeight="false" outlineLevel="0" collapsed="false">
      <c r="A75" s="42" t="s">
        <v>1085</v>
      </c>
      <c r="B75" s="42" t="n">
        <v>111</v>
      </c>
      <c r="C75" s="45" t="str">
        <f aca="false">IF(B75="","",IFERROR(INDEX('Master Database'!$D$5:$D$600,MATCH(B75,'Master Database'!$A$5:$A$600,0)),"(row not found)"))</f>
        <v>P-193</v>
      </c>
      <c r="D75" s="45" t="str">
        <f aca="false">IF(B75="","",IFERROR(INDEX('Master Database'!$B$5:$B$600,MATCH(B75,'Master Database'!$A$5:$A$600,0)),"(row not found)"))</f>
        <v>Fire Water Pump-Diesel Engine Driven</v>
      </c>
      <c r="E75" s="42" t="s">
        <v>945</v>
      </c>
      <c r="F75" s="45" t="str">
        <f aca="false">IF(E75="","",IFERROR(INDEX(Vendor_Register!$B$5:$B$205,MATCH(E75,Vendor_Register!$A$5:$A$205,0)),"(not in register)"))</f>
        <v>پمپیران</v>
      </c>
      <c r="G75" s="45" t="str">
        <f aca="false">IF(E75="","",IFERROR(INDEX(Vendor_Register!$E$5:$E$205,MATCH(E75,Vendor_Register!$A$5:$A$205,0)),"(not in register)"))</f>
        <v>Not checked</v>
      </c>
      <c r="H75" s="42" t="n">
        <v>1404</v>
      </c>
      <c r="I75" s="42" t="s">
        <v>946</v>
      </c>
      <c r="J75" s="42"/>
      <c r="K75" s="50" t="s">
        <v>208</v>
      </c>
      <c r="L75" s="42" t="s">
        <v>363</v>
      </c>
      <c r="M75" s="46" t="n">
        <v>120000</v>
      </c>
      <c r="N75" s="42" t="s">
        <v>942</v>
      </c>
      <c r="O75" s="47" t="n">
        <f aca="false">IF(NOT(ISNUMBER(M75)),"",IFERROR(IF(L75="EUR",M75,IF(L75="IRR",M75/INDEX('Assumptions &amp; FX Reference'!$C$5:$C$25,MATCH(H75,'Assumptions &amp; FX Reference'!$A$5:$A$25,0)),IF(L75="USD",M75*INDEX('Assumptions &amp; FX Reference'!$B$5:$B$25,MATCH(H75,'Assumptions &amp; FX Reference'!$A$5:$A$25,0))/INDEX('Assumptions &amp; FX Reference'!$C$5:$C$25,MATCH(H75,'Assumptions &amp; FX Reference'!$A$5:$A$25,0)),""))),"(FX missing)"))</f>
        <v>120000</v>
      </c>
      <c r="P75" s="42"/>
      <c r="Q75" s="42"/>
      <c r="R75" s="42"/>
      <c r="S75" s="42"/>
      <c r="T75" s="42"/>
      <c r="U75" s="42"/>
      <c r="V75" s="42" t="s">
        <v>1086</v>
      </c>
    </row>
    <row r="76" customFormat="false" ht="15" hidden="false" customHeight="false" outlineLevel="0" collapsed="false">
      <c r="A76" s="42" t="s">
        <v>1087</v>
      </c>
      <c r="B76" s="42" t="n">
        <v>111</v>
      </c>
      <c r="C76" s="45" t="str">
        <f aca="false">IF(B76="","",IFERROR(INDEX('Master Database'!$D$5:$D$600,MATCH(B76,'Master Database'!$A$5:$A$600,0)),"(row not found)"))</f>
        <v>P-193</v>
      </c>
      <c r="D76" s="45" t="str">
        <f aca="false">IF(B76="","",IFERROR(INDEX('Master Database'!$B$5:$B$600,MATCH(B76,'Master Database'!$A$5:$A$600,0)),"(row not found)"))</f>
        <v>Fire Water Pump-Diesel Engine Driven</v>
      </c>
      <c r="E76" s="42" t="s">
        <v>949</v>
      </c>
      <c r="F76" s="45" t="str">
        <f aca="false">IF(E76="","",IFERROR(INDEX(Vendor_Register!$B$5:$B$205,MATCH(E76,Vendor_Register!$A$5:$A$205,0)),"(not in register)"))</f>
        <v>کالای پمپ</v>
      </c>
      <c r="G76" s="45" t="str">
        <f aca="false">IF(E76="","",IFERROR(INDEX(Vendor_Register!$E$5:$E$205,MATCH(E76,Vendor_Register!$A$5:$A$205,0)),"(not in register)"))</f>
        <v>Not checked</v>
      </c>
      <c r="H76" s="42" t="n">
        <v>1403</v>
      </c>
      <c r="I76" s="42" t="s">
        <v>1079</v>
      </c>
      <c r="J76" s="42"/>
      <c r="K76" s="50" t="s">
        <v>208</v>
      </c>
      <c r="L76" s="42" t="s">
        <v>363</v>
      </c>
      <c r="M76" s="46" t="n">
        <v>263921.27</v>
      </c>
      <c r="N76" s="42" t="s">
        <v>942</v>
      </c>
      <c r="O76" s="47" t="n">
        <f aca="false">IF(NOT(ISNUMBER(M76)),"",IFERROR(IF(L76="EUR",M76,IF(L76="IRR",M76/INDEX('Assumptions &amp; FX Reference'!$C$5:$C$25,MATCH(H76,'Assumptions &amp; FX Reference'!$A$5:$A$25,0)),IF(L76="USD",M76*INDEX('Assumptions &amp; FX Reference'!$B$5:$B$25,MATCH(H76,'Assumptions &amp; FX Reference'!$A$5:$A$25,0))/INDEX('Assumptions &amp; FX Reference'!$C$5:$C$25,MATCH(H76,'Assumptions &amp; FX Reference'!$A$5:$A$25,0)),""))),"(FX missing)"))</f>
        <v>263921.27</v>
      </c>
      <c r="P76" s="42"/>
      <c r="Q76" s="42"/>
      <c r="R76" s="42"/>
      <c r="S76" s="42"/>
      <c r="T76" s="42"/>
      <c r="U76" s="42"/>
      <c r="V76" s="42" t="s">
        <v>1088</v>
      </c>
    </row>
    <row r="77" customFormat="false" ht="15" hidden="false" customHeight="false" outlineLevel="0" collapsed="false">
      <c r="A77" s="42" t="s">
        <v>1089</v>
      </c>
      <c r="B77" s="42" t="n">
        <v>111</v>
      </c>
      <c r="C77" s="45" t="str">
        <f aca="false">IF(B77="","",IFERROR(INDEX('Master Database'!$D$5:$D$600,MATCH(B77,'Master Database'!$A$5:$A$600,0)),"(row not found)"))</f>
        <v>P-193</v>
      </c>
      <c r="D77" s="45" t="str">
        <f aca="false">IF(B77="","",IFERROR(INDEX('Master Database'!$B$5:$B$600,MATCH(B77,'Master Database'!$A$5:$A$600,0)),"(row not found)"))</f>
        <v>Fire Water Pump-Diesel Engine Driven</v>
      </c>
      <c r="E77" s="42" t="s">
        <v>952</v>
      </c>
      <c r="F77" s="45" t="str">
        <f aca="false">IF(E77="","",IFERROR(INDEX(Vendor_Register!$B$5:$B$205,MATCH(E77,Vendor_Register!$A$5:$A$205,0)),"(not in register)"))</f>
        <v>دالاهو پارس کیش (دمکو)</v>
      </c>
      <c r="G77" s="45" t="str">
        <f aca="false">IF(E77="","",IFERROR(INDEX(Vendor_Register!$E$5:$E$205,MATCH(E77,Vendor_Register!$A$5:$A$205,0)),"(not in register)"))</f>
        <v>Not checked</v>
      </c>
      <c r="H77" s="42"/>
      <c r="I77" s="42"/>
      <c r="J77" s="42"/>
      <c r="K77" s="42"/>
      <c r="L77" s="42"/>
      <c r="M77" s="46"/>
      <c r="N77" s="42"/>
      <c r="O77" s="47" t="str">
        <f aca="false">IF(NOT(ISNUMBER(M77)),"",IFERROR(IF(L77="EUR",M77,IF(L77="IRR",M77/INDEX('Assumptions &amp; FX Reference'!$C$5:$C$25,MATCH(H77,'Assumptions &amp; FX Reference'!$A$5:$A$25,0)),IF(L77="USD",M77*INDEX('Assumptions &amp; FX Reference'!$B$5:$B$25,MATCH(H77,'Assumptions &amp; FX Reference'!$A$5:$A$25,0))/INDEX('Assumptions &amp; FX Reference'!$C$5:$C$25,MATCH(H77,'Assumptions &amp; FX Reference'!$A$5:$A$25,0)),""))),"(FX missing)"))</f>
        <v/>
      </c>
      <c r="P77" s="42"/>
      <c r="Q77" s="42"/>
      <c r="R77" s="42"/>
      <c r="S77" s="42"/>
      <c r="T77" s="42"/>
      <c r="U77" s="42"/>
      <c r="V77" s="42" t="s">
        <v>1090</v>
      </c>
    </row>
    <row r="78" customFormat="false" ht="15" hidden="false" customHeight="false" outlineLevel="0" collapsed="false">
      <c r="A78" s="42" t="s">
        <v>1091</v>
      </c>
      <c r="B78" s="42" t="n">
        <v>112</v>
      </c>
      <c r="C78" s="45" t="str">
        <f aca="false">IF(B78="","",IFERROR(INDEX('Master Database'!$D$5:$D$600,MATCH(B78,'Master Database'!$A$5:$A$600,0)),"(row not found)"))</f>
        <v>P-194 A/B</v>
      </c>
      <c r="D78" s="45" t="str">
        <f aca="false">IF(B78="","",IFERROR(INDEX('Master Database'!$B$5:$B$600,MATCH(B78,'Master Database'!$A$5:$A$600,0)),"(row not found)"))</f>
        <v>Fire Water Jockey Pumps</v>
      </c>
      <c r="E78" s="42" t="s">
        <v>940</v>
      </c>
      <c r="F78" s="45" t="str">
        <f aca="false">IF(E78="","",IFERROR(INDEX(Vendor_Register!$B$5:$B$205,MATCH(E78,Vendor_Register!$A$5:$A$205,0)),"(not in register)"))</f>
        <v>آریا سپهر کیهان</v>
      </c>
      <c r="G78" s="45" t="str">
        <f aca="false">IF(E78="","",IFERROR(INDEX(Vendor_Register!$E$5:$E$205,MATCH(E78,Vendor_Register!$A$5:$A$205,0)),"(not in register)"))</f>
        <v>Not checked</v>
      </c>
      <c r="H78" s="42" t="n">
        <v>1403</v>
      </c>
      <c r="I78" s="42" t="s">
        <v>941</v>
      </c>
      <c r="J78" s="42"/>
      <c r="K78" s="50" t="s">
        <v>208</v>
      </c>
      <c r="L78" s="42" t="s">
        <v>363</v>
      </c>
      <c r="M78" s="46" t="n">
        <v>19000</v>
      </c>
      <c r="N78" s="42" t="s">
        <v>942</v>
      </c>
      <c r="O78" s="47" t="n">
        <f aca="false">IF(NOT(ISNUMBER(M78)),"",IFERROR(IF(L78="EUR",M78,IF(L78="IRR",M78/INDEX('Assumptions &amp; FX Reference'!$C$5:$C$25,MATCH(H78,'Assumptions &amp; FX Reference'!$A$5:$A$25,0)),IF(L78="USD",M78*INDEX('Assumptions &amp; FX Reference'!$B$5:$B$25,MATCH(H78,'Assumptions &amp; FX Reference'!$A$5:$A$25,0))/INDEX('Assumptions &amp; FX Reference'!$C$5:$C$25,MATCH(H78,'Assumptions &amp; FX Reference'!$A$5:$A$25,0)),""))),"(FX missing)"))</f>
        <v>19000</v>
      </c>
      <c r="P78" s="42"/>
      <c r="Q78" s="42"/>
      <c r="R78" s="42"/>
      <c r="S78" s="42"/>
      <c r="T78" s="42"/>
      <c r="U78" s="42"/>
      <c r="V78" s="42" t="s">
        <v>1092</v>
      </c>
    </row>
    <row r="79" customFormat="false" ht="15" hidden="false" customHeight="false" outlineLevel="0" collapsed="false">
      <c r="A79" s="42" t="s">
        <v>1093</v>
      </c>
      <c r="B79" s="42" t="n">
        <v>112</v>
      </c>
      <c r="C79" s="45" t="str">
        <f aca="false">IF(B79="","",IFERROR(INDEX('Master Database'!$D$5:$D$600,MATCH(B79,'Master Database'!$A$5:$A$600,0)),"(row not found)"))</f>
        <v>P-194 A/B</v>
      </c>
      <c r="D79" s="45" t="str">
        <f aca="false">IF(B79="","",IFERROR(INDEX('Master Database'!$B$5:$B$600,MATCH(B79,'Master Database'!$A$5:$A$600,0)),"(row not found)"))</f>
        <v>Fire Water Jockey Pumps</v>
      </c>
      <c r="E79" s="42" t="s">
        <v>945</v>
      </c>
      <c r="F79" s="45" t="str">
        <f aca="false">IF(E79="","",IFERROR(INDEX(Vendor_Register!$B$5:$B$205,MATCH(E79,Vendor_Register!$A$5:$A$205,0)),"(not in register)"))</f>
        <v>پمپیران</v>
      </c>
      <c r="G79" s="45" t="str">
        <f aca="false">IF(E79="","",IFERROR(INDEX(Vendor_Register!$E$5:$E$205,MATCH(E79,Vendor_Register!$A$5:$A$205,0)),"(not in register)"))</f>
        <v>Not checked</v>
      </c>
      <c r="H79" s="42" t="n">
        <v>1404</v>
      </c>
      <c r="I79" s="42" t="s">
        <v>946</v>
      </c>
      <c r="J79" s="42"/>
      <c r="K79" s="50" t="s">
        <v>208</v>
      </c>
      <c r="L79" s="42" t="s">
        <v>363</v>
      </c>
      <c r="M79" s="46" t="n">
        <v>21000</v>
      </c>
      <c r="N79" s="42" t="s">
        <v>942</v>
      </c>
      <c r="O79" s="47" t="n">
        <f aca="false">IF(NOT(ISNUMBER(M79)),"",IFERROR(IF(L79="EUR",M79,IF(L79="IRR",M79/INDEX('Assumptions &amp; FX Reference'!$C$5:$C$25,MATCH(H79,'Assumptions &amp; FX Reference'!$A$5:$A$25,0)),IF(L79="USD",M79*INDEX('Assumptions &amp; FX Reference'!$B$5:$B$25,MATCH(H79,'Assumptions &amp; FX Reference'!$A$5:$A$25,0))/INDEX('Assumptions &amp; FX Reference'!$C$5:$C$25,MATCH(H79,'Assumptions &amp; FX Reference'!$A$5:$A$25,0)),""))),"(FX missing)"))</f>
        <v>21000</v>
      </c>
      <c r="P79" s="42"/>
      <c r="Q79" s="42"/>
      <c r="R79" s="42"/>
      <c r="S79" s="42"/>
      <c r="T79" s="42"/>
      <c r="U79" s="42"/>
      <c r="V79" s="42" t="s">
        <v>1094</v>
      </c>
    </row>
    <row r="80" customFormat="false" ht="15" hidden="false" customHeight="false" outlineLevel="0" collapsed="false">
      <c r="A80" s="42" t="s">
        <v>1095</v>
      </c>
      <c r="B80" s="42" t="n">
        <v>112</v>
      </c>
      <c r="C80" s="45" t="str">
        <f aca="false">IF(B80="","",IFERROR(INDEX('Master Database'!$D$5:$D$600,MATCH(B80,'Master Database'!$A$5:$A$600,0)),"(row not found)"))</f>
        <v>P-194 A/B</v>
      </c>
      <c r="D80" s="45" t="str">
        <f aca="false">IF(B80="","",IFERROR(INDEX('Master Database'!$B$5:$B$600,MATCH(B80,'Master Database'!$A$5:$A$600,0)),"(row not found)"))</f>
        <v>Fire Water Jockey Pumps</v>
      </c>
      <c r="E80" s="42" t="s">
        <v>949</v>
      </c>
      <c r="F80" s="45" t="str">
        <f aca="false">IF(E80="","",IFERROR(INDEX(Vendor_Register!$B$5:$B$205,MATCH(E80,Vendor_Register!$A$5:$A$205,0)),"(not in register)"))</f>
        <v>کالای پمپ</v>
      </c>
      <c r="G80" s="45" t="str">
        <f aca="false">IF(E80="","",IFERROR(INDEX(Vendor_Register!$E$5:$E$205,MATCH(E80,Vendor_Register!$A$5:$A$205,0)),"(not in register)"))</f>
        <v>Not checked</v>
      </c>
      <c r="H80" s="42" t="n">
        <v>1403</v>
      </c>
      <c r="I80" s="42" t="s">
        <v>1079</v>
      </c>
      <c r="J80" s="42"/>
      <c r="K80" s="50" t="s">
        <v>208</v>
      </c>
      <c r="L80" s="42" t="s">
        <v>363</v>
      </c>
      <c r="M80" s="46" t="n">
        <v>40424.2</v>
      </c>
      <c r="N80" s="42" t="s">
        <v>942</v>
      </c>
      <c r="O80" s="47" t="n">
        <f aca="false">IF(NOT(ISNUMBER(M80)),"",IFERROR(IF(L80="EUR",M80,IF(L80="IRR",M80/INDEX('Assumptions &amp; FX Reference'!$C$5:$C$25,MATCH(H80,'Assumptions &amp; FX Reference'!$A$5:$A$25,0)),IF(L80="USD",M80*INDEX('Assumptions &amp; FX Reference'!$B$5:$B$25,MATCH(H80,'Assumptions &amp; FX Reference'!$A$5:$A$25,0))/INDEX('Assumptions &amp; FX Reference'!$C$5:$C$25,MATCH(H80,'Assumptions &amp; FX Reference'!$A$5:$A$25,0)),""))),"(FX missing)"))</f>
        <v>40424.2</v>
      </c>
      <c r="P80" s="42"/>
      <c r="Q80" s="42"/>
      <c r="R80" s="42"/>
      <c r="S80" s="42"/>
      <c r="T80" s="42"/>
      <c r="U80" s="42"/>
      <c r="V80" s="42" t="s">
        <v>1096</v>
      </c>
    </row>
    <row r="81" customFormat="false" ht="15" hidden="false" customHeight="false" outlineLevel="0" collapsed="false">
      <c r="A81" s="42" t="s">
        <v>1097</v>
      </c>
      <c r="B81" s="42" t="n">
        <v>112</v>
      </c>
      <c r="C81" s="45" t="str">
        <f aca="false">IF(B81="","",IFERROR(INDEX('Master Database'!$D$5:$D$600,MATCH(B81,'Master Database'!$A$5:$A$600,0)),"(row not found)"))</f>
        <v>P-194 A/B</v>
      </c>
      <c r="D81" s="45" t="str">
        <f aca="false">IF(B81="","",IFERROR(INDEX('Master Database'!$B$5:$B$600,MATCH(B81,'Master Database'!$A$5:$A$600,0)),"(row not found)"))</f>
        <v>Fire Water Jockey Pumps</v>
      </c>
      <c r="E81" s="42" t="s">
        <v>952</v>
      </c>
      <c r="F81" s="45" t="str">
        <f aca="false">IF(E81="","",IFERROR(INDEX(Vendor_Register!$B$5:$B$205,MATCH(E81,Vendor_Register!$A$5:$A$205,0)),"(not in register)"))</f>
        <v>دالاهو پارس کیش (دمکو)</v>
      </c>
      <c r="G81" s="45" t="str">
        <f aca="false">IF(E81="","",IFERROR(INDEX(Vendor_Register!$E$5:$E$205,MATCH(E81,Vendor_Register!$A$5:$A$205,0)),"(not in register)"))</f>
        <v>Not checked</v>
      </c>
      <c r="H81" s="42"/>
      <c r="I81" s="42"/>
      <c r="J81" s="42"/>
      <c r="K81" s="42"/>
      <c r="L81" s="42"/>
      <c r="M81" s="46"/>
      <c r="N81" s="42"/>
      <c r="O81" s="47" t="str">
        <f aca="false">IF(NOT(ISNUMBER(M81)),"",IFERROR(IF(L81="EUR",M81,IF(L81="IRR",M81/INDEX('Assumptions &amp; FX Reference'!$C$5:$C$25,MATCH(H81,'Assumptions &amp; FX Reference'!$A$5:$A$25,0)),IF(L81="USD",M81*INDEX('Assumptions &amp; FX Reference'!$B$5:$B$25,MATCH(H81,'Assumptions &amp; FX Reference'!$A$5:$A$25,0))/INDEX('Assumptions &amp; FX Reference'!$C$5:$C$25,MATCH(H81,'Assumptions &amp; FX Reference'!$A$5:$A$25,0)),""))),"(FX missing)"))</f>
        <v/>
      </c>
      <c r="P81" s="42"/>
      <c r="Q81" s="42"/>
      <c r="R81" s="42"/>
      <c r="S81" s="42"/>
      <c r="T81" s="42"/>
      <c r="U81" s="42"/>
      <c r="V81" s="42" t="s">
        <v>1098</v>
      </c>
    </row>
    <row r="82" customFormat="false" ht="15" hidden="false" customHeight="false" outlineLevel="0" collapsed="false">
      <c r="A82" s="42" t="s">
        <v>1099</v>
      </c>
      <c r="B82" s="42" t="n">
        <v>113</v>
      </c>
      <c r="C82" s="45" t="str">
        <f aca="false">IF(B82="","",IFERROR(INDEX('Master Database'!$D$5:$D$600,MATCH(B82,'Master Database'!$A$5:$A$600,0)),"(row not found)"))</f>
        <v>P-210 A/B</v>
      </c>
      <c r="D82" s="45" t="str">
        <f aca="false">IF(B82="","",IFERROR(INDEX('Master Database'!$B$5:$B$600,MATCH(B82,'Master Database'!$A$5:$A$600,0)),"(row not found)"))</f>
        <v>Chemical Loading Pumps</v>
      </c>
      <c r="E82" s="42" t="s">
        <v>940</v>
      </c>
      <c r="F82" s="45" t="str">
        <f aca="false">IF(E82="","",IFERROR(INDEX(Vendor_Register!$B$5:$B$205,MATCH(E82,Vendor_Register!$A$5:$A$205,0)),"(not in register)"))</f>
        <v>آریا سپهر کیهان</v>
      </c>
      <c r="G82" s="45" t="str">
        <f aca="false">IF(E82="","",IFERROR(INDEX(Vendor_Register!$E$5:$E$205,MATCH(E82,Vendor_Register!$A$5:$A$205,0)),"(not in register)"))</f>
        <v>Not checked</v>
      </c>
      <c r="H82" s="42"/>
      <c r="I82" s="42"/>
      <c r="J82" s="42"/>
      <c r="K82" s="42"/>
      <c r="L82" s="42"/>
      <c r="M82" s="46"/>
      <c r="N82" s="42"/>
      <c r="O82" s="47" t="str">
        <f aca="false">IF(NOT(ISNUMBER(M82)),"",IFERROR(IF(L82="EUR",M82,IF(L82="IRR",M82/INDEX('Assumptions &amp; FX Reference'!$C$5:$C$25,MATCH(H82,'Assumptions &amp; FX Reference'!$A$5:$A$25,0)),IF(L82="USD",M82*INDEX('Assumptions &amp; FX Reference'!$B$5:$B$25,MATCH(H82,'Assumptions &amp; FX Reference'!$A$5:$A$25,0))/INDEX('Assumptions &amp; FX Reference'!$C$5:$C$25,MATCH(H82,'Assumptions &amp; FX Reference'!$A$5:$A$25,0)),""))),"(FX missing)"))</f>
        <v/>
      </c>
      <c r="P82" s="42"/>
      <c r="Q82" s="42"/>
      <c r="R82" s="42"/>
      <c r="S82" s="42"/>
      <c r="T82" s="42"/>
      <c r="U82" s="42"/>
      <c r="V82" s="42" t="s">
        <v>1100</v>
      </c>
    </row>
    <row r="83" customFormat="false" ht="15" hidden="false" customHeight="false" outlineLevel="0" collapsed="false">
      <c r="A83" s="42" t="s">
        <v>1101</v>
      </c>
      <c r="B83" s="42" t="n">
        <v>113</v>
      </c>
      <c r="C83" s="45" t="str">
        <f aca="false">IF(B83="","",IFERROR(INDEX('Master Database'!$D$5:$D$600,MATCH(B83,'Master Database'!$A$5:$A$600,0)),"(row not found)"))</f>
        <v>P-210 A/B</v>
      </c>
      <c r="D83" s="45" t="str">
        <f aca="false">IF(B83="","",IFERROR(INDEX('Master Database'!$B$5:$B$600,MATCH(B83,'Master Database'!$A$5:$A$600,0)),"(row not found)"))</f>
        <v>Chemical Loading Pumps</v>
      </c>
      <c r="E83" s="42" t="s">
        <v>945</v>
      </c>
      <c r="F83" s="45" t="str">
        <f aca="false">IF(E83="","",IFERROR(INDEX(Vendor_Register!$B$5:$B$205,MATCH(E83,Vendor_Register!$A$5:$A$205,0)),"(not in register)"))</f>
        <v>پمپیران</v>
      </c>
      <c r="G83" s="45" t="str">
        <f aca="false">IF(E83="","",IFERROR(INDEX(Vendor_Register!$E$5:$E$205,MATCH(E83,Vendor_Register!$A$5:$A$205,0)),"(not in register)"))</f>
        <v>Not checked</v>
      </c>
      <c r="H83" s="42"/>
      <c r="I83" s="42"/>
      <c r="J83" s="42"/>
      <c r="K83" s="42"/>
      <c r="L83" s="42"/>
      <c r="M83" s="46"/>
      <c r="N83" s="42"/>
      <c r="O83" s="47" t="str">
        <f aca="false">IF(NOT(ISNUMBER(M83)),"",IFERROR(IF(L83="EUR",M83,IF(L83="IRR",M83/INDEX('Assumptions &amp; FX Reference'!$C$5:$C$25,MATCH(H83,'Assumptions &amp; FX Reference'!$A$5:$A$25,0)),IF(L83="USD",M83*INDEX('Assumptions &amp; FX Reference'!$B$5:$B$25,MATCH(H83,'Assumptions &amp; FX Reference'!$A$5:$A$25,0))/INDEX('Assumptions &amp; FX Reference'!$C$5:$C$25,MATCH(H83,'Assumptions &amp; FX Reference'!$A$5:$A$25,0)),""))),"(FX missing)"))</f>
        <v/>
      </c>
      <c r="P83" s="42"/>
      <c r="Q83" s="42"/>
      <c r="R83" s="42"/>
      <c r="S83" s="42"/>
      <c r="T83" s="42"/>
      <c r="U83" s="42"/>
      <c r="V83" s="42" t="s">
        <v>1102</v>
      </c>
    </row>
    <row r="84" customFormat="false" ht="15" hidden="false" customHeight="false" outlineLevel="0" collapsed="false">
      <c r="A84" s="42" t="s">
        <v>1103</v>
      </c>
      <c r="B84" s="42" t="n">
        <v>113</v>
      </c>
      <c r="C84" s="45" t="str">
        <f aca="false">IF(B84="","",IFERROR(INDEX('Master Database'!$D$5:$D$600,MATCH(B84,'Master Database'!$A$5:$A$600,0)),"(row not found)"))</f>
        <v>P-210 A/B</v>
      </c>
      <c r="D84" s="45" t="str">
        <f aca="false">IF(B84="","",IFERROR(INDEX('Master Database'!$B$5:$B$600,MATCH(B84,'Master Database'!$A$5:$A$600,0)),"(row not found)"))</f>
        <v>Chemical Loading Pumps</v>
      </c>
      <c r="E84" s="42" t="s">
        <v>949</v>
      </c>
      <c r="F84" s="45" t="str">
        <f aca="false">IF(E84="","",IFERROR(INDEX(Vendor_Register!$B$5:$B$205,MATCH(E84,Vendor_Register!$A$5:$A$205,0)),"(not in register)"))</f>
        <v>کالای پمپ</v>
      </c>
      <c r="G84" s="45" t="str">
        <f aca="false">IF(E84="","",IFERROR(INDEX(Vendor_Register!$E$5:$E$205,MATCH(E84,Vendor_Register!$A$5:$A$205,0)),"(not in register)"))</f>
        <v>Not checked</v>
      </c>
      <c r="H84" s="42"/>
      <c r="I84" s="42"/>
      <c r="J84" s="42"/>
      <c r="K84" s="42"/>
      <c r="L84" s="42"/>
      <c r="M84" s="46"/>
      <c r="N84" s="42"/>
      <c r="O84" s="47" t="str">
        <f aca="false">IF(NOT(ISNUMBER(M84)),"",IFERROR(IF(L84="EUR",M84,IF(L84="IRR",M84/INDEX('Assumptions &amp; FX Reference'!$C$5:$C$25,MATCH(H84,'Assumptions &amp; FX Reference'!$A$5:$A$25,0)),IF(L84="USD",M84*INDEX('Assumptions &amp; FX Reference'!$B$5:$B$25,MATCH(H84,'Assumptions &amp; FX Reference'!$A$5:$A$25,0))/INDEX('Assumptions &amp; FX Reference'!$C$5:$C$25,MATCH(H84,'Assumptions &amp; FX Reference'!$A$5:$A$25,0)),""))),"(FX missing)"))</f>
        <v/>
      </c>
      <c r="P84" s="42"/>
      <c r="Q84" s="42"/>
      <c r="R84" s="42"/>
      <c r="S84" s="42"/>
      <c r="T84" s="42"/>
      <c r="U84" s="42"/>
      <c r="V84" s="42" t="s">
        <v>1104</v>
      </c>
    </row>
    <row r="85" customFormat="false" ht="15" hidden="false" customHeight="false" outlineLevel="0" collapsed="false">
      <c r="A85" s="42" t="s">
        <v>1105</v>
      </c>
      <c r="B85" s="42" t="n">
        <v>113</v>
      </c>
      <c r="C85" s="45" t="str">
        <f aca="false">IF(B85="","",IFERROR(INDEX('Master Database'!$D$5:$D$600,MATCH(B85,'Master Database'!$A$5:$A$600,0)),"(row not found)"))</f>
        <v>P-210 A/B</v>
      </c>
      <c r="D85" s="45" t="str">
        <f aca="false">IF(B85="","",IFERROR(INDEX('Master Database'!$B$5:$B$600,MATCH(B85,'Master Database'!$A$5:$A$600,0)),"(row not found)"))</f>
        <v>Chemical Loading Pumps</v>
      </c>
      <c r="E85" s="42" t="s">
        <v>952</v>
      </c>
      <c r="F85" s="45" t="str">
        <f aca="false">IF(E85="","",IFERROR(INDEX(Vendor_Register!$B$5:$B$205,MATCH(E85,Vendor_Register!$A$5:$A$205,0)),"(not in register)"))</f>
        <v>دالاهو پارس کیش (دمکو)</v>
      </c>
      <c r="G85" s="45" t="str">
        <f aca="false">IF(E85="","",IFERROR(INDEX(Vendor_Register!$E$5:$E$205,MATCH(E85,Vendor_Register!$A$5:$A$205,0)),"(not in register)"))</f>
        <v>Not checked</v>
      </c>
      <c r="H85" s="42"/>
      <c r="I85" s="42"/>
      <c r="J85" s="42"/>
      <c r="K85" s="42"/>
      <c r="L85" s="42"/>
      <c r="M85" s="46"/>
      <c r="N85" s="42"/>
      <c r="O85" s="47" t="str">
        <f aca="false">IF(NOT(ISNUMBER(M85)),"",IFERROR(IF(L85="EUR",M85,IF(L85="IRR",M85/INDEX('Assumptions &amp; FX Reference'!$C$5:$C$25,MATCH(H85,'Assumptions &amp; FX Reference'!$A$5:$A$25,0)),IF(L85="USD",M85*INDEX('Assumptions &amp; FX Reference'!$B$5:$B$25,MATCH(H85,'Assumptions &amp; FX Reference'!$A$5:$A$25,0))/INDEX('Assumptions &amp; FX Reference'!$C$5:$C$25,MATCH(H85,'Assumptions &amp; FX Reference'!$A$5:$A$25,0)),""))),"(FX missing)"))</f>
        <v/>
      </c>
      <c r="P85" s="42"/>
      <c r="Q85" s="42"/>
      <c r="R85" s="42"/>
      <c r="S85" s="42"/>
      <c r="T85" s="42"/>
      <c r="U85" s="42"/>
      <c r="V85" s="42" t="s">
        <v>1106</v>
      </c>
    </row>
    <row r="86" customFormat="false" ht="15" hidden="false" customHeight="false" outlineLevel="0" collapsed="false">
      <c r="A86" s="42" t="s">
        <v>1107</v>
      </c>
      <c r="B86" s="42" t="n">
        <v>114</v>
      </c>
      <c r="C86" s="45" t="str">
        <f aca="false">IF(B86="","",IFERROR(INDEX('Master Database'!$D$5:$D$600,MATCH(B86,'Master Database'!$A$5:$A$600,0)),"(row not found)"))</f>
        <v>P-211</v>
      </c>
      <c r="D86" s="45" t="str">
        <f aca="false">IF(B86="","",IFERROR(INDEX('Master Database'!$B$5:$B$600,MATCH(B86,'Master Database'!$A$5:$A$600,0)),"(row not found)"))</f>
        <v>Chemical Loading Pumps</v>
      </c>
      <c r="E86" s="42" t="s">
        <v>940</v>
      </c>
      <c r="F86" s="45" t="str">
        <f aca="false">IF(E86="","",IFERROR(INDEX(Vendor_Register!$B$5:$B$205,MATCH(E86,Vendor_Register!$A$5:$A$205,0)),"(not in register)"))</f>
        <v>آریا سپهر کیهان</v>
      </c>
      <c r="G86" s="45" t="str">
        <f aca="false">IF(E86="","",IFERROR(INDEX(Vendor_Register!$E$5:$E$205,MATCH(E86,Vendor_Register!$A$5:$A$205,0)),"(not in register)"))</f>
        <v>Not checked</v>
      </c>
      <c r="H86" s="42"/>
      <c r="I86" s="42"/>
      <c r="J86" s="42"/>
      <c r="K86" s="42"/>
      <c r="L86" s="42"/>
      <c r="M86" s="46"/>
      <c r="N86" s="42"/>
      <c r="O86" s="47" t="str">
        <f aca="false">IF(NOT(ISNUMBER(M86)),"",IFERROR(IF(L86="EUR",M86,IF(L86="IRR",M86/INDEX('Assumptions &amp; FX Reference'!$C$5:$C$25,MATCH(H86,'Assumptions &amp; FX Reference'!$A$5:$A$25,0)),IF(L86="USD",M86*INDEX('Assumptions &amp; FX Reference'!$B$5:$B$25,MATCH(H86,'Assumptions &amp; FX Reference'!$A$5:$A$25,0))/INDEX('Assumptions &amp; FX Reference'!$C$5:$C$25,MATCH(H86,'Assumptions &amp; FX Reference'!$A$5:$A$25,0)),""))),"(FX missing)"))</f>
        <v/>
      </c>
      <c r="P86" s="42"/>
      <c r="Q86" s="42"/>
      <c r="R86" s="42"/>
      <c r="S86" s="42"/>
      <c r="T86" s="42"/>
      <c r="U86" s="42"/>
      <c r="V86" s="42" t="s">
        <v>1108</v>
      </c>
    </row>
    <row r="87" customFormat="false" ht="15" hidden="false" customHeight="false" outlineLevel="0" collapsed="false">
      <c r="A87" s="42" t="s">
        <v>1109</v>
      </c>
      <c r="B87" s="42" t="n">
        <v>114</v>
      </c>
      <c r="C87" s="45" t="str">
        <f aca="false">IF(B87="","",IFERROR(INDEX('Master Database'!$D$5:$D$600,MATCH(B87,'Master Database'!$A$5:$A$600,0)),"(row not found)"))</f>
        <v>P-211</v>
      </c>
      <c r="D87" s="45" t="str">
        <f aca="false">IF(B87="","",IFERROR(INDEX('Master Database'!$B$5:$B$600,MATCH(B87,'Master Database'!$A$5:$A$600,0)),"(row not found)"))</f>
        <v>Chemical Loading Pumps</v>
      </c>
      <c r="E87" s="42" t="s">
        <v>945</v>
      </c>
      <c r="F87" s="45" t="str">
        <f aca="false">IF(E87="","",IFERROR(INDEX(Vendor_Register!$B$5:$B$205,MATCH(E87,Vendor_Register!$A$5:$A$205,0)),"(not in register)"))</f>
        <v>پمپیران</v>
      </c>
      <c r="G87" s="45" t="str">
        <f aca="false">IF(E87="","",IFERROR(INDEX(Vendor_Register!$E$5:$E$205,MATCH(E87,Vendor_Register!$A$5:$A$205,0)),"(not in register)"))</f>
        <v>Not checked</v>
      </c>
      <c r="H87" s="42"/>
      <c r="I87" s="42"/>
      <c r="J87" s="42"/>
      <c r="K87" s="42"/>
      <c r="L87" s="42"/>
      <c r="M87" s="46"/>
      <c r="N87" s="42"/>
      <c r="O87" s="47" t="str">
        <f aca="false">IF(NOT(ISNUMBER(M87)),"",IFERROR(IF(L87="EUR",M87,IF(L87="IRR",M87/INDEX('Assumptions &amp; FX Reference'!$C$5:$C$25,MATCH(H87,'Assumptions &amp; FX Reference'!$A$5:$A$25,0)),IF(L87="USD",M87*INDEX('Assumptions &amp; FX Reference'!$B$5:$B$25,MATCH(H87,'Assumptions &amp; FX Reference'!$A$5:$A$25,0))/INDEX('Assumptions &amp; FX Reference'!$C$5:$C$25,MATCH(H87,'Assumptions &amp; FX Reference'!$A$5:$A$25,0)),""))),"(FX missing)"))</f>
        <v/>
      </c>
      <c r="P87" s="42"/>
      <c r="Q87" s="42"/>
      <c r="R87" s="42"/>
      <c r="S87" s="42"/>
      <c r="T87" s="42"/>
      <c r="U87" s="42"/>
      <c r="V87" s="42" t="s">
        <v>1110</v>
      </c>
    </row>
    <row r="88" customFormat="false" ht="15" hidden="false" customHeight="false" outlineLevel="0" collapsed="false">
      <c r="A88" s="42" t="s">
        <v>1111</v>
      </c>
      <c r="B88" s="42" t="n">
        <v>114</v>
      </c>
      <c r="C88" s="45" t="str">
        <f aca="false">IF(B88="","",IFERROR(INDEX('Master Database'!$D$5:$D$600,MATCH(B88,'Master Database'!$A$5:$A$600,0)),"(row not found)"))</f>
        <v>P-211</v>
      </c>
      <c r="D88" s="45" t="str">
        <f aca="false">IF(B88="","",IFERROR(INDEX('Master Database'!$B$5:$B$600,MATCH(B88,'Master Database'!$A$5:$A$600,0)),"(row not found)"))</f>
        <v>Chemical Loading Pumps</v>
      </c>
      <c r="E88" s="42" t="s">
        <v>949</v>
      </c>
      <c r="F88" s="45" t="str">
        <f aca="false">IF(E88="","",IFERROR(INDEX(Vendor_Register!$B$5:$B$205,MATCH(E88,Vendor_Register!$A$5:$A$205,0)),"(not in register)"))</f>
        <v>کالای پمپ</v>
      </c>
      <c r="G88" s="45" t="str">
        <f aca="false">IF(E88="","",IFERROR(INDEX(Vendor_Register!$E$5:$E$205,MATCH(E88,Vendor_Register!$A$5:$A$205,0)),"(not in register)"))</f>
        <v>Not checked</v>
      </c>
      <c r="H88" s="42"/>
      <c r="I88" s="42"/>
      <c r="J88" s="42"/>
      <c r="K88" s="42"/>
      <c r="L88" s="42"/>
      <c r="M88" s="46"/>
      <c r="N88" s="42"/>
      <c r="O88" s="47" t="str">
        <f aca="false">IF(NOT(ISNUMBER(M88)),"",IFERROR(IF(L88="EUR",M88,IF(L88="IRR",M88/INDEX('Assumptions &amp; FX Reference'!$C$5:$C$25,MATCH(H88,'Assumptions &amp; FX Reference'!$A$5:$A$25,0)),IF(L88="USD",M88*INDEX('Assumptions &amp; FX Reference'!$B$5:$B$25,MATCH(H88,'Assumptions &amp; FX Reference'!$A$5:$A$25,0))/INDEX('Assumptions &amp; FX Reference'!$C$5:$C$25,MATCH(H88,'Assumptions &amp; FX Reference'!$A$5:$A$25,0)),""))),"(FX missing)"))</f>
        <v/>
      </c>
      <c r="P88" s="42"/>
      <c r="Q88" s="42"/>
      <c r="R88" s="42"/>
      <c r="S88" s="42"/>
      <c r="T88" s="42"/>
      <c r="U88" s="42"/>
      <c r="V88" s="42" t="s">
        <v>1112</v>
      </c>
    </row>
    <row r="89" customFormat="false" ht="15" hidden="false" customHeight="false" outlineLevel="0" collapsed="false">
      <c r="A89" s="42" t="s">
        <v>1113</v>
      </c>
      <c r="B89" s="42" t="n">
        <v>114</v>
      </c>
      <c r="C89" s="45" t="str">
        <f aca="false">IF(B89="","",IFERROR(INDEX('Master Database'!$D$5:$D$600,MATCH(B89,'Master Database'!$A$5:$A$600,0)),"(row not found)"))</f>
        <v>P-211</v>
      </c>
      <c r="D89" s="45" t="str">
        <f aca="false">IF(B89="","",IFERROR(INDEX('Master Database'!$B$5:$B$600,MATCH(B89,'Master Database'!$A$5:$A$600,0)),"(row not found)"))</f>
        <v>Chemical Loading Pumps</v>
      </c>
      <c r="E89" s="42" t="s">
        <v>952</v>
      </c>
      <c r="F89" s="45" t="str">
        <f aca="false">IF(E89="","",IFERROR(INDEX(Vendor_Register!$B$5:$B$205,MATCH(E89,Vendor_Register!$A$5:$A$205,0)),"(not in register)"))</f>
        <v>دالاهو پارس کیش (دمکو)</v>
      </c>
      <c r="G89" s="45" t="str">
        <f aca="false">IF(E89="","",IFERROR(INDEX(Vendor_Register!$E$5:$E$205,MATCH(E89,Vendor_Register!$A$5:$A$205,0)),"(not in register)"))</f>
        <v>Not checked</v>
      </c>
      <c r="H89" s="42"/>
      <c r="I89" s="42"/>
      <c r="J89" s="42"/>
      <c r="K89" s="42"/>
      <c r="L89" s="42"/>
      <c r="M89" s="46"/>
      <c r="N89" s="42"/>
      <c r="O89" s="47" t="str">
        <f aca="false">IF(NOT(ISNUMBER(M89)),"",IFERROR(IF(L89="EUR",M89,IF(L89="IRR",M89/INDEX('Assumptions &amp; FX Reference'!$C$5:$C$25,MATCH(H89,'Assumptions &amp; FX Reference'!$A$5:$A$25,0)),IF(L89="USD",M89*INDEX('Assumptions &amp; FX Reference'!$B$5:$B$25,MATCH(H89,'Assumptions &amp; FX Reference'!$A$5:$A$25,0))/INDEX('Assumptions &amp; FX Reference'!$C$5:$C$25,MATCH(H89,'Assumptions &amp; FX Reference'!$A$5:$A$25,0)),""))),"(FX missing)"))</f>
        <v/>
      </c>
      <c r="P89" s="42"/>
      <c r="Q89" s="42"/>
      <c r="R89" s="42"/>
      <c r="S89" s="42"/>
      <c r="T89" s="42"/>
      <c r="U89" s="42"/>
      <c r="V89" s="42" t="s">
        <v>1114</v>
      </c>
    </row>
    <row r="90" customFormat="false" ht="15" hidden="false" customHeight="false" outlineLevel="0" collapsed="false">
      <c r="A90" s="42"/>
      <c r="B90" s="42"/>
      <c r="C90" s="45" t="str">
        <f aca="false">IF(B90="","",IFERROR(INDEX('Master Database'!$D$5:$D$600,MATCH(B90,'Master Database'!$A$5:$A$600,0)),"(row not found)"))</f>
        <v/>
      </c>
      <c r="D90" s="45" t="str">
        <f aca="false">IF(B90="","",IFERROR(INDEX('Master Database'!$B$5:$B$600,MATCH(B90,'Master Database'!$A$5:$A$600,0)),"(row not found)"))</f>
        <v/>
      </c>
      <c r="E90" s="42"/>
      <c r="F90" s="45" t="str">
        <f aca="false">IF(E90="","",IFERROR(INDEX(Vendor_Register!$B$5:$B$205,MATCH(E90,Vendor_Register!$A$5:$A$205,0)),"(not in register)"))</f>
        <v/>
      </c>
      <c r="G90" s="45" t="str">
        <f aca="false">IF(E90="","",IFERROR(INDEX(Vendor_Register!$E$5:$E$205,MATCH(E90,Vendor_Register!$A$5:$A$205,0)),"(not in register)"))</f>
        <v/>
      </c>
      <c r="H90" s="42"/>
      <c r="I90" s="42"/>
      <c r="J90" s="42"/>
      <c r="K90" s="42"/>
      <c r="L90" s="42"/>
      <c r="M90" s="46"/>
      <c r="N90" s="42"/>
      <c r="O90" s="47" t="str">
        <f aca="false">IF(NOT(ISNUMBER(M90)),"",IFERROR(IF(L90="EUR",M90,IF(L90="IRR",M90/INDEX('Assumptions &amp; FX Reference'!$C$5:$C$25,MATCH(H90,'Assumptions &amp; FX Reference'!$A$5:$A$25,0)),IF(L90="USD",M90*INDEX('Assumptions &amp; FX Reference'!$B$5:$B$25,MATCH(H90,'Assumptions &amp; FX Reference'!$A$5:$A$25,0))/INDEX('Assumptions &amp; FX Reference'!$C$5:$C$25,MATCH(H90,'Assumptions &amp; FX Reference'!$A$5:$A$25,0)),""))),"(FX missing)"))</f>
        <v/>
      </c>
      <c r="P90" s="42"/>
      <c r="Q90" s="42"/>
      <c r="R90" s="42"/>
      <c r="S90" s="42"/>
      <c r="T90" s="42"/>
      <c r="U90" s="42"/>
      <c r="V90" s="42"/>
    </row>
    <row r="91" customFormat="false" ht="15" hidden="false" customHeight="false" outlineLevel="0" collapsed="false">
      <c r="A91" s="42"/>
      <c r="B91" s="42"/>
      <c r="C91" s="45" t="str">
        <f aca="false">IF(B91="","",IFERROR(INDEX('Master Database'!$D$5:$D$600,MATCH(B91,'Master Database'!$A$5:$A$600,0)),"(row not found)"))</f>
        <v/>
      </c>
      <c r="D91" s="45" t="str">
        <f aca="false">IF(B91="","",IFERROR(INDEX('Master Database'!$B$5:$B$600,MATCH(B91,'Master Database'!$A$5:$A$600,0)),"(row not found)"))</f>
        <v/>
      </c>
      <c r="E91" s="42"/>
      <c r="F91" s="45" t="str">
        <f aca="false">IF(E91="","",IFERROR(INDEX(Vendor_Register!$B$5:$B$205,MATCH(E91,Vendor_Register!$A$5:$A$205,0)),"(not in register)"))</f>
        <v/>
      </c>
      <c r="G91" s="45" t="str">
        <f aca="false">IF(E91="","",IFERROR(INDEX(Vendor_Register!$E$5:$E$205,MATCH(E91,Vendor_Register!$A$5:$A$205,0)),"(not in register)"))</f>
        <v/>
      </c>
      <c r="H91" s="42"/>
      <c r="I91" s="42"/>
      <c r="J91" s="42"/>
      <c r="K91" s="42"/>
      <c r="L91" s="42"/>
      <c r="M91" s="46"/>
      <c r="N91" s="42"/>
      <c r="O91" s="47" t="str">
        <f aca="false">IF(NOT(ISNUMBER(M91)),"",IFERROR(IF(L91="EUR",M91,IF(L91="IRR",M91/INDEX('Assumptions &amp; FX Reference'!$C$5:$C$25,MATCH(H91,'Assumptions &amp; FX Reference'!$A$5:$A$25,0)),IF(L91="USD",M91*INDEX('Assumptions &amp; FX Reference'!$B$5:$B$25,MATCH(H91,'Assumptions &amp; FX Reference'!$A$5:$A$25,0))/INDEX('Assumptions &amp; FX Reference'!$C$5:$C$25,MATCH(H91,'Assumptions &amp; FX Reference'!$A$5:$A$25,0)),""))),"(FX missing)"))</f>
        <v/>
      </c>
      <c r="P91" s="42"/>
      <c r="Q91" s="42"/>
      <c r="R91" s="42"/>
      <c r="S91" s="42"/>
      <c r="T91" s="42"/>
      <c r="U91" s="42"/>
      <c r="V91" s="42"/>
    </row>
    <row r="92" customFormat="false" ht="15" hidden="false" customHeight="false" outlineLevel="0" collapsed="false">
      <c r="A92" s="42"/>
      <c r="B92" s="42"/>
      <c r="C92" s="45" t="str">
        <f aca="false">IF(B92="","",IFERROR(INDEX('Master Database'!$D$5:$D$600,MATCH(B92,'Master Database'!$A$5:$A$600,0)),"(row not found)"))</f>
        <v/>
      </c>
      <c r="D92" s="45" t="str">
        <f aca="false">IF(B92="","",IFERROR(INDEX('Master Database'!$B$5:$B$600,MATCH(B92,'Master Database'!$A$5:$A$600,0)),"(row not found)"))</f>
        <v/>
      </c>
      <c r="E92" s="42"/>
      <c r="F92" s="45" t="str">
        <f aca="false">IF(E92="","",IFERROR(INDEX(Vendor_Register!$B$5:$B$205,MATCH(E92,Vendor_Register!$A$5:$A$205,0)),"(not in register)"))</f>
        <v/>
      </c>
      <c r="G92" s="45" t="str">
        <f aca="false">IF(E92="","",IFERROR(INDEX(Vendor_Register!$E$5:$E$205,MATCH(E92,Vendor_Register!$A$5:$A$205,0)),"(not in register)"))</f>
        <v/>
      </c>
      <c r="H92" s="42"/>
      <c r="I92" s="42"/>
      <c r="J92" s="42"/>
      <c r="K92" s="42"/>
      <c r="L92" s="42"/>
      <c r="M92" s="46"/>
      <c r="N92" s="42"/>
      <c r="O92" s="47" t="str">
        <f aca="false">IF(NOT(ISNUMBER(M92)),"",IFERROR(IF(L92="EUR",M92,IF(L92="IRR",M92/INDEX('Assumptions &amp; FX Reference'!$C$5:$C$25,MATCH(H92,'Assumptions &amp; FX Reference'!$A$5:$A$25,0)),IF(L92="USD",M92*INDEX('Assumptions &amp; FX Reference'!$B$5:$B$25,MATCH(H92,'Assumptions &amp; FX Reference'!$A$5:$A$25,0))/INDEX('Assumptions &amp; FX Reference'!$C$5:$C$25,MATCH(H92,'Assumptions &amp; FX Reference'!$A$5:$A$25,0)),""))),"(FX missing)"))</f>
        <v/>
      </c>
      <c r="P92" s="42"/>
      <c r="Q92" s="42"/>
      <c r="R92" s="42"/>
      <c r="S92" s="42"/>
      <c r="T92" s="42"/>
      <c r="U92" s="42"/>
      <c r="V92" s="42"/>
    </row>
    <row r="93" customFormat="false" ht="15" hidden="false" customHeight="false" outlineLevel="0" collapsed="false">
      <c r="A93" s="42"/>
      <c r="B93" s="42"/>
      <c r="C93" s="45" t="str">
        <f aca="false">IF(B93="","",IFERROR(INDEX('Master Database'!$D$5:$D$600,MATCH(B93,'Master Database'!$A$5:$A$600,0)),"(row not found)"))</f>
        <v/>
      </c>
      <c r="D93" s="45" t="str">
        <f aca="false">IF(B93="","",IFERROR(INDEX('Master Database'!$B$5:$B$600,MATCH(B93,'Master Database'!$A$5:$A$600,0)),"(row not found)"))</f>
        <v/>
      </c>
      <c r="E93" s="42"/>
      <c r="F93" s="45" t="str">
        <f aca="false">IF(E93="","",IFERROR(INDEX(Vendor_Register!$B$5:$B$205,MATCH(E93,Vendor_Register!$A$5:$A$205,0)),"(not in register)"))</f>
        <v/>
      </c>
      <c r="G93" s="45" t="str">
        <f aca="false">IF(E93="","",IFERROR(INDEX(Vendor_Register!$E$5:$E$205,MATCH(E93,Vendor_Register!$A$5:$A$205,0)),"(not in register)"))</f>
        <v/>
      </c>
      <c r="H93" s="42"/>
      <c r="I93" s="42"/>
      <c r="J93" s="42"/>
      <c r="K93" s="42"/>
      <c r="L93" s="42"/>
      <c r="M93" s="46"/>
      <c r="N93" s="42"/>
      <c r="O93" s="47" t="str">
        <f aca="false">IF(NOT(ISNUMBER(M93)),"",IFERROR(IF(L93="EUR",M93,IF(L93="IRR",M93/INDEX('Assumptions &amp; FX Reference'!$C$5:$C$25,MATCH(H93,'Assumptions &amp; FX Reference'!$A$5:$A$25,0)),IF(L93="USD",M93*INDEX('Assumptions &amp; FX Reference'!$B$5:$B$25,MATCH(H93,'Assumptions &amp; FX Reference'!$A$5:$A$25,0))/INDEX('Assumptions &amp; FX Reference'!$C$5:$C$25,MATCH(H93,'Assumptions &amp; FX Reference'!$A$5:$A$25,0)),""))),"(FX missing)"))</f>
        <v/>
      </c>
      <c r="P93" s="42"/>
      <c r="Q93" s="42"/>
      <c r="R93" s="42"/>
      <c r="S93" s="42"/>
      <c r="T93" s="42"/>
      <c r="U93" s="42"/>
      <c r="V93" s="42"/>
    </row>
    <row r="94" customFormat="false" ht="15" hidden="false" customHeight="false" outlineLevel="0" collapsed="false">
      <c r="A94" s="42"/>
      <c r="B94" s="42"/>
      <c r="C94" s="45" t="str">
        <f aca="false">IF(B94="","",IFERROR(INDEX('Master Database'!$D$5:$D$600,MATCH(B94,'Master Database'!$A$5:$A$600,0)),"(row not found)"))</f>
        <v/>
      </c>
      <c r="D94" s="45" t="str">
        <f aca="false">IF(B94="","",IFERROR(INDEX('Master Database'!$B$5:$B$600,MATCH(B94,'Master Database'!$A$5:$A$600,0)),"(row not found)"))</f>
        <v/>
      </c>
      <c r="E94" s="42"/>
      <c r="F94" s="45" t="str">
        <f aca="false">IF(E94="","",IFERROR(INDEX(Vendor_Register!$B$5:$B$205,MATCH(E94,Vendor_Register!$A$5:$A$205,0)),"(not in register)"))</f>
        <v/>
      </c>
      <c r="G94" s="45" t="str">
        <f aca="false">IF(E94="","",IFERROR(INDEX(Vendor_Register!$E$5:$E$205,MATCH(E94,Vendor_Register!$A$5:$A$205,0)),"(not in register)"))</f>
        <v/>
      </c>
      <c r="H94" s="42"/>
      <c r="I94" s="42"/>
      <c r="J94" s="42"/>
      <c r="K94" s="42"/>
      <c r="L94" s="42"/>
      <c r="M94" s="46"/>
      <c r="N94" s="42"/>
      <c r="O94" s="47" t="str">
        <f aca="false">IF(NOT(ISNUMBER(M94)),"",IFERROR(IF(L94="EUR",M94,IF(L94="IRR",M94/INDEX('Assumptions &amp; FX Reference'!$C$5:$C$25,MATCH(H94,'Assumptions &amp; FX Reference'!$A$5:$A$25,0)),IF(L94="USD",M94*INDEX('Assumptions &amp; FX Reference'!$B$5:$B$25,MATCH(H94,'Assumptions &amp; FX Reference'!$A$5:$A$25,0))/INDEX('Assumptions &amp; FX Reference'!$C$5:$C$25,MATCH(H94,'Assumptions &amp; FX Reference'!$A$5:$A$25,0)),""))),"(FX missing)"))</f>
        <v/>
      </c>
      <c r="P94" s="42"/>
      <c r="Q94" s="42"/>
      <c r="R94" s="42"/>
      <c r="S94" s="42"/>
      <c r="T94" s="42"/>
      <c r="U94" s="42"/>
      <c r="V94" s="42"/>
    </row>
    <row r="95" customFormat="false" ht="15" hidden="false" customHeight="false" outlineLevel="0" collapsed="false">
      <c r="A95" s="42"/>
      <c r="B95" s="42"/>
      <c r="C95" s="45" t="str">
        <f aca="false">IF(B95="","",IFERROR(INDEX('Master Database'!$D$5:$D$600,MATCH(B95,'Master Database'!$A$5:$A$600,0)),"(row not found)"))</f>
        <v/>
      </c>
      <c r="D95" s="45" t="str">
        <f aca="false">IF(B95="","",IFERROR(INDEX('Master Database'!$B$5:$B$600,MATCH(B95,'Master Database'!$A$5:$A$600,0)),"(row not found)"))</f>
        <v/>
      </c>
      <c r="E95" s="42"/>
      <c r="F95" s="45" t="str">
        <f aca="false">IF(E95="","",IFERROR(INDEX(Vendor_Register!$B$5:$B$205,MATCH(E95,Vendor_Register!$A$5:$A$205,0)),"(not in register)"))</f>
        <v/>
      </c>
      <c r="G95" s="45" t="str">
        <f aca="false">IF(E95="","",IFERROR(INDEX(Vendor_Register!$E$5:$E$205,MATCH(E95,Vendor_Register!$A$5:$A$205,0)),"(not in register)"))</f>
        <v/>
      </c>
      <c r="H95" s="42"/>
      <c r="I95" s="42"/>
      <c r="J95" s="42"/>
      <c r="K95" s="42"/>
      <c r="L95" s="42"/>
      <c r="M95" s="46"/>
      <c r="N95" s="42"/>
      <c r="O95" s="47" t="str">
        <f aca="false">IF(NOT(ISNUMBER(M95)),"",IFERROR(IF(L95="EUR",M95,IF(L95="IRR",M95/INDEX('Assumptions &amp; FX Reference'!$C$5:$C$25,MATCH(H95,'Assumptions &amp; FX Reference'!$A$5:$A$25,0)),IF(L95="USD",M95*INDEX('Assumptions &amp; FX Reference'!$B$5:$B$25,MATCH(H95,'Assumptions &amp; FX Reference'!$A$5:$A$25,0))/INDEX('Assumptions &amp; FX Reference'!$C$5:$C$25,MATCH(H95,'Assumptions &amp; FX Reference'!$A$5:$A$25,0)),""))),"(FX missing)"))</f>
        <v/>
      </c>
      <c r="P95" s="42"/>
      <c r="Q95" s="42"/>
      <c r="R95" s="42"/>
      <c r="S95" s="42"/>
      <c r="T95" s="42"/>
      <c r="U95" s="42"/>
      <c r="V95" s="42"/>
    </row>
    <row r="96" customFormat="false" ht="15" hidden="false" customHeight="false" outlineLevel="0" collapsed="false">
      <c r="A96" s="42"/>
      <c r="B96" s="42"/>
      <c r="C96" s="45" t="str">
        <f aca="false">IF(B96="","",IFERROR(INDEX('Master Database'!$D$5:$D$600,MATCH(B96,'Master Database'!$A$5:$A$600,0)),"(row not found)"))</f>
        <v/>
      </c>
      <c r="D96" s="45" t="str">
        <f aca="false">IF(B96="","",IFERROR(INDEX('Master Database'!$B$5:$B$600,MATCH(B96,'Master Database'!$A$5:$A$600,0)),"(row not found)"))</f>
        <v/>
      </c>
      <c r="E96" s="42"/>
      <c r="F96" s="45" t="str">
        <f aca="false">IF(E96="","",IFERROR(INDEX(Vendor_Register!$B$5:$B$205,MATCH(E96,Vendor_Register!$A$5:$A$205,0)),"(not in register)"))</f>
        <v/>
      </c>
      <c r="G96" s="45" t="str">
        <f aca="false">IF(E96="","",IFERROR(INDEX(Vendor_Register!$E$5:$E$205,MATCH(E96,Vendor_Register!$A$5:$A$205,0)),"(not in register)"))</f>
        <v/>
      </c>
      <c r="H96" s="42"/>
      <c r="I96" s="42"/>
      <c r="J96" s="42"/>
      <c r="K96" s="42"/>
      <c r="L96" s="42"/>
      <c r="M96" s="46"/>
      <c r="N96" s="42"/>
      <c r="O96" s="47" t="str">
        <f aca="false">IF(NOT(ISNUMBER(M96)),"",IFERROR(IF(L96="EUR",M96,IF(L96="IRR",M96/INDEX('Assumptions &amp; FX Reference'!$C$5:$C$25,MATCH(H96,'Assumptions &amp; FX Reference'!$A$5:$A$25,0)),IF(L96="USD",M96*INDEX('Assumptions &amp; FX Reference'!$B$5:$B$25,MATCH(H96,'Assumptions &amp; FX Reference'!$A$5:$A$25,0))/INDEX('Assumptions &amp; FX Reference'!$C$5:$C$25,MATCH(H96,'Assumptions &amp; FX Reference'!$A$5:$A$25,0)),""))),"(FX missing)"))</f>
        <v/>
      </c>
      <c r="P96" s="42"/>
      <c r="Q96" s="42"/>
      <c r="R96" s="42"/>
      <c r="S96" s="42"/>
      <c r="T96" s="42"/>
      <c r="U96" s="42"/>
      <c r="V96" s="42"/>
    </row>
    <row r="97" customFormat="false" ht="15" hidden="false" customHeight="false" outlineLevel="0" collapsed="false">
      <c r="A97" s="42"/>
      <c r="B97" s="42"/>
      <c r="C97" s="45" t="str">
        <f aca="false">IF(B97="","",IFERROR(INDEX('Master Database'!$D$5:$D$600,MATCH(B97,'Master Database'!$A$5:$A$600,0)),"(row not found)"))</f>
        <v/>
      </c>
      <c r="D97" s="45" t="str">
        <f aca="false">IF(B97="","",IFERROR(INDEX('Master Database'!$B$5:$B$600,MATCH(B97,'Master Database'!$A$5:$A$600,0)),"(row not found)"))</f>
        <v/>
      </c>
      <c r="E97" s="42"/>
      <c r="F97" s="45" t="str">
        <f aca="false">IF(E97="","",IFERROR(INDEX(Vendor_Register!$B$5:$B$205,MATCH(E97,Vendor_Register!$A$5:$A$205,0)),"(not in register)"))</f>
        <v/>
      </c>
      <c r="G97" s="45" t="str">
        <f aca="false">IF(E97="","",IFERROR(INDEX(Vendor_Register!$E$5:$E$205,MATCH(E97,Vendor_Register!$A$5:$A$205,0)),"(not in register)"))</f>
        <v/>
      </c>
      <c r="H97" s="42"/>
      <c r="I97" s="42"/>
      <c r="J97" s="42"/>
      <c r="K97" s="42"/>
      <c r="L97" s="42"/>
      <c r="M97" s="46"/>
      <c r="N97" s="42"/>
      <c r="O97" s="47" t="str">
        <f aca="false">IF(NOT(ISNUMBER(M97)),"",IFERROR(IF(L97="EUR",M97,IF(L97="IRR",M97/INDEX('Assumptions &amp; FX Reference'!$C$5:$C$25,MATCH(H97,'Assumptions &amp; FX Reference'!$A$5:$A$25,0)),IF(L97="USD",M97*INDEX('Assumptions &amp; FX Reference'!$B$5:$B$25,MATCH(H97,'Assumptions &amp; FX Reference'!$A$5:$A$25,0))/INDEX('Assumptions &amp; FX Reference'!$C$5:$C$25,MATCH(H97,'Assumptions &amp; FX Reference'!$A$5:$A$25,0)),""))),"(FX missing)"))</f>
        <v/>
      </c>
      <c r="P97" s="42"/>
      <c r="Q97" s="42"/>
      <c r="R97" s="42"/>
      <c r="S97" s="42"/>
      <c r="T97" s="42"/>
      <c r="U97" s="42"/>
      <c r="V97" s="42"/>
    </row>
    <row r="98" customFormat="false" ht="15" hidden="false" customHeight="false" outlineLevel="0" collapsed="false">
      <c r="A98" s="42"/>
      <c r="B98" s="42"/>
      <c r="C98" s="45" t="str">
        <f aca="false">IF(B98="","",IFERROR(INDEX('Master Database'!$D$5:$D$600,MATCH(B98,'Master Database'!$A$5:$A$600,0)),"(row not found)"))</f>
        <v/>
      </c>
      <c r="D98" s="45" t="str">
        <f aca="false">IF(B98="","",IFERROR(INDEX('Master Database'!$B$5:$B$600,MATCH(B98,'Master Database'!$A$5:$A$600,0)),"(row not found)"))</f>
        <v/>
      </c>
      <c r="E98" s="42"/>
      <c r="F98" s="45" t="str">
        <f aca="false">IF(E98="","",IFERROR(INDEX(Vendor_Register!$B$5:$B$205,MATCH(E98,Vendor_Register!$A$5:$A$205,0)),"(not in register)"))</f>
        <v/>
      </c>
      <c r="G98" s="45" t="str">
        <f aca="false">IF(E98="","",IFERROR(INDEX(Vendor_Register!$E$5:$E$205,MATCH(E98,Vendor_Register!$A$5:$A$205,0)),"(not in register)"))</f>
        <v/>
      </c>
      <c r="H98" s="42"/>
      <c r="I98" s="42"/>
      <c r="J98" s="42"/>
      <c r="K98" s="42"/>
      <c r="L98" s="42"/>
      <c r="M98" s="46"/>
      <c r="N98" s="42"/>
      <c r="O98" s="47" t="str">
        <f aca="false">IF(NOT(ISNUMBER(M98)),"",IFERROR(IF(L98="EUR",M98,IF(L98="IRR",M98/INDEX('Assumptions &amp; FX Reference'!$C$5:$C$25,MATCH(H98,'Assumptions &amp; FX Reference'!$A$5:$A$25,0)),IF(L98="USD",M98*INDEX('Assumptions &amp; FX Reference'!$B$5:$B$25,MATCH(H98,'Assumptions &amp; FX Reference'!$A$5:$A$25,0))/INDEX('Assumptions &amp; FX Reference'!$C$5:$C$25,MATCH(H98,'Assumptions &amp; FX Reference'!$A$5:$A$25,0)),""))),"(FX missing)"))</f>
        <v/>
      </c>
      <c r="P98" s="42"/>
      <c r="Q98" s="42"/>
      <c r="R98" s="42"/>
      <c r="S98" s="42"/>
      <c r="T98" s="42"/>
      <c r="U98" s="42"/>
      <c r="V98" s="42"/>
    </row>
    <row r="99" customFormat="false" ht="15" hidden="false" customHeight="false" outlineLevel="0" collapsed="false">
      <c r="A99" s="42"/>
      <c r="B99" s="42"/>
      <c r="C99" s="45" t="str">
        <f aca="false">IF(B99="","",IFERROR(INDEX('Master Database'!$D$5:$D$600,MATCH(B99,'Master Database'!$A$5:$A$600,0)),"(row not found)"))</f>
        <v/>
      </c>
      <c r="D99" s="45" t="str">
        <f aca="false">IF(B99="","",IFERROR(INDEX('Master Database'!$B$5:$B$600,MATCH(B99,'Master Database'!$A$5:$A$600,0)),"(row not found)"))</f>
        <v/>
      </c>
      <c r="E99" s="42"/>
      <c r="F99" s="45" t="str">
        <f aca="false">IF(E99="","",IFERROR(INDEX(Vendor_Register!$B$5:$B$205,MATCH(E99,Vendor_Register!$A$5:$A$205,0)),"(not in register)"))</f>
        <v/>
      </c>
      <c r="G99" s="45" t="str">
        <f aca="false">IF(E99="","",IFERROR(INDEX(Vendor_Register!$E$5:$E$205,MATCH(E99,Vendor_Register!$A$5:$A$205,0)),"(not in register)"))</f>
        <v/>
      </c>
      <c r="H99" s="42"/>
      <c r="I99" s="42"/>
      <c r="J99" s="42"/>
      <c r="K99" s="42"/>
      <c r="L99" s="42"/>
      <c r="M99" s="46"/>
      <c r="N99" s="42"/>
      <c r="O99" s="47" t="str">
        <f aca="false">IF(NOT(ISNUMBER(M99)),"",IFERROR(IF(L99="EUR",M99,IF(L99="IRR",M99/INDEX('Assumptions &amp; FX Reference'!$C$5:$C$25,MATCH(H99,'Assumptions &amp; FX Reference'!$A$5:$A$25,0)),IF(L99="USD",M99*INDEX('Assumptions &amp; FX Reference'!$B$5:$B$25,MATCH(H99,'Assumptions &amp; FX Reference'!$A$5:$A$25,0))/INDEX('Assumptions &amp; FX Reference'!$C$5:$C$25,MATCH(H99,'Assumptions &amp; FX Reference'!$A$5:$A$25,0)),""))),"(FX missing)"))</f>
        <v/>
      </c>
      <c r="P99" s="42"/>
      <c r="Q99" s="42"/>
      <c r="R99" s="42"/>
      <c r="S99" s="42"/>
      <c r="T99" s="42"/>
      <c r="U99" s="42"/>
      <c r="V99" s="42"/>
    </row>
    <row r="100" customFormat="false" ht="15" hidden="false" customHeight="false" outlineLevel="0" collapsed="false">
      <c r="A100" s="42"/>
      <c r="B100" s="42"/>
      <c r="C100" s="45" t="str">
        <f aca="false">IF(B100="","",IFERROR(INDEX('Master Database'!$D$5:$D$600,MATCH(B100,'Master Database'!$A$5:$A$600,0)),"(row not found)"))</f>
        <v/>
      </c>
      <c r="D100" s="45" t="str">
        <f aca="false">IF(B100="","",IFERROR(INDEX('Master Database'!$B$5:$B$600,MATCH(B100,'Master Database'!$A$5:$A$600,0)),"(row not found)"))</f>
        <v/>
      </c>
      <c r="E100" s="42"/>
      <c r="F100" s="45" t="str">
        <f aca="false">IF(E100="","",IFERROR(INDEX(Vendor_Register!$B$5:$B$205,MATCH(E100,Vendor_Register!$A$5:$A$205,0)),"(not in register)"))</f>
        <v/>
      </c>
      <c r="G100" s="45" t="str">
        <f aca="false">IF(E100="","",IFERROR(INDEX(Vendor_Register!$E$5:$E$205,MATCH(E100,Vendor_Register!$A$5:$A$205,0)),"(not in register)"))</f>
        <v/>
      </c>
      <c r="H100" s="42"/>
      <c r="I100" s="42"/>
      <c r="J100" s="42"/>
      <c r="K100" s="42"/>
      <c r="L100" s="42"/>
      <c r="M100" s="46"/>
      <c r="N100" s="42"/>
      <c r="O100" s="47" t="str">
        <f aca="false">IF(NOT(ISNUMBER(M100)),"",IFERROR(IF(L100="EUR",M100,IF(L100="IRR",M100/INDEX('Assumptions &amp; FX Reference'!$C$5:$C$25,MATCH(H100,'Assumptions &amp; FX Reference'!$A$5:$A$25,0)),IF(L100="USD",M100*INDEX('Assumptions &amp; FX Reference'!$B$5:$B$25,MATCH(H100,'Assumptions &amp; FX Reference'!$A$5:$A$25,0))/INDEX('Assumptions &amp; FX Reference'!$C$5:$C$25,MATCH(H100,'Assumptions &amp; FX Reference'!$A$5:$A$25,0)),""))),"(FX missing)"))</f>
        <v/>
      </c>
      <c r="P100" s="42"/>
      <c r="Q100" s="42"/>
      <c r="R100" s="42"/>
      <c r="S100" s="42"/>
      <c r="T100" s="42"/>
      <c r="U100" s="42"/>
      <c r="V100" s="42"/>
    </row>
    <row r="101" customFormat="false" ht="15" hidden="false" customHeight="false" outlineLevel="0" collapsed="false">
      <c r="A101" s="42"/>
      <c r="B101" s="42"/>
      <c r="C101" s="45" t="str">
        <f aca="false">IF(B101="","",IFERROR(INDEX('Master Database'!$D$5:$D$600,MATCH(B101,'Master Database'!$A$5:$A$600,0)),"(row not found)"))</f>
        <v/>
      </c>
      <c r="D101" s="45" t="str">
        <f aca="false">IF(B101="","",IFERROR(INDEX('Master Database'!$B$5:$B$600,MATCH(B101,'Master Database'!$A$5:$A$600,0)),"(row not found)"))</f>
        <v/>
      </c>
      <c r="E101" s="42"/>
      <c r="F101" s="45" t="str">
        <f aca="false">IF(E101="","",IFERROR(INDEX(Vendor_Register!$B$5:$B$205,MATCH(E101,Vendor_Register!$A$5:$A$205,0)),"(not in register)"))</f>
        <v/>
      </c>
      <c r="G101" s="45" t="str">
        <f aca="false">IF(E101="","",IFERROR(INDEX(Vendor_Register!$E$5:$E$205,MATCH(E101,Vendor_Register!$A$5:$A$205,0)),"(not in register)"))</f>
        <v/>
      </c>
      <c r="H101" s="42"/>
      <c r="I101" s="42"/>
      <c r="J101" s="42"/>
      <c r="K101" s="42"/>
      <c r="L101" s="42"/>
      <c r="M101" s="46"/>
      <c r="N101" s="42"/>
      <c r="O101" s="47" t="str">
        <f aca="false">IF(NOT(ISNUMBER(M101)),"",IFERROR(IF(L101="EUR",M101,IF(L101="IRR",M101/INDEX('Assumptions &amp; FX Reference'!$C$5:$C$25,MATCH(H101,'Assumptions &amp; FX Reference'!$A$5:$A$25,0)),IF(L101="USD",M101*INDEX('Assumptions &amp; FX Reference'!$B$5:$B$25,MATCH(H101,'Assumptions &amp; FX Reference'!$A$5:$A$25,0))/INDEX('Assumptions &amp; FX Reference'!$C$5:$C$25,MATCH(H101,'Assumptions &amp; FX Reference'!$A$5:$A$25,0)),""))),"(FX missing)"))</f>
        <v/>
      </c>
      <c r="P101" s="42"/>
      <c r="Q101" s="42"/>
      <c r="R101" s="42"/>
      <c r="S101" s="42"/>
      <c r="T101" s="42"/>
      <c r="U101" s="42"/>
      <c r="V101" s="42"/>
    </row>
    <row r="102" customFormat="false" ht="15" hidden="false" customHeight="false" outlineLevel="0" collapsed="false">
      <c r="A102" s="42"/>
      <c r="B102" s="42"/>
      <c r="C102" s="45" t="str">
        <f aca="false">IF(B102="","",IFERROR(INDEX('Master Database'!$D$5:$D$600,MATCH(B102,'Master Database'!$A$5:$A$600,0)),"(row not found)"))</f>
        <v/>
      </c>
      <c r="D102" s="45" t="str">
        <f aca="false">IF(B102="","",IFERROR(INDEX('Master Database'!$B$5:$B$600,MATCH(B102,'Master Database'!$A$5:$A$600,0)),"(row not found)"))</f>
        <v/>
      </c>
      <c r="E102" s="42"/>
      <c r="F102" s="45" t="str">
        <f aca="false">IF(E102="","",IFERROR(INDEX(Vendor_Register!$B$5:$B$205,MATCH(E102,Vendor_Register!$A$5:$A$205,0)),"(not in register)"))</f>
        <v/>
      </c>
      <c r="G102" s="45" t="str">
        <f aca="false">IF(E102="","",IFERROR(INDEX(Vendor_Register!$E$5:$E$205,MATCH(E102,Vendor_Register!$A$5:$A$205,0)),"(not in register)"))</f>
        <v/>
      </c>
      <c r="H102" s="42"/>
      <c r="I102" s="42"/>
      <c r="J102" s="42"/>
      <c r="K102" s="42"/>
      <c r="L102" s="42"/>
      <c r="M102" s="46"/>
      <c r="N102" s="42"/>
      <c r="O102" s="47" t="str">
        <f aca="false">IF(NOT(ISNUMBER(M102)),"",IFERROR(IF(L102="EUR",M102,IF(L102="IRR",M102/INDEX('Assumptions &amp; FX Reference'!$C$5:$C$25,MATCH(H102,'Assumptions &amp; FX Reference'!$A$5:$A$25,0)),IF(L102="USD",M102*INDEX('Assumptions &amp; FX Reference'!$B$5:$B$25,MATCH(H102,'Assumptions &amp; FX Reference'!$A$5:$A$25,0))/INDEX('Assumptions &amp; FX Reference'!$C$5:$C$25,MATCH(H102,'Assumptions &amp; FX Reference'!$A$5:$A$25,0)),""))),"(FX missing)"))</f>
        <v/>
      </c>
      <c r="P102" s="42"/>
      <c r="Q102" s="42"/>
      <c r="R102" s="42"/>
      <c r="S102" s="42"/>
      <c r="T102" s="42"/>
      <c r="U102" s="42"/>
      <c r="V102" s="42"/>
    </row>
    <row r="103" customFormat="false" ht="15" hidden="false" customHeight="false" outlineLevel="0" collapsed="false">
      <c r="A103" s="42"/>
      <c r="B103" s="42"/>
      <c r="C103" s="45" t="str">
        <f aca="false">IF(B103="","",IFERROR(INDEX('Master Database'!$D$5:$D$600,MATCH(B103,'Master Database'!$A$5:$A$600,0)),"(row not found)"))</f>
        <v/>
      </c>
      <c r="D103" s="45" t="str">
        <f aca="false">IF(B103="","",IFERROR(INDEX('Master Database'!$B$5:$B$600,MATCH(B103,'Master Database'!$A$5:$A$600,0)),"(row not found)"))</f>
        <v/>
      </c>
      <c r="E103" s="42"/>
      <c r="F103" s="45" t="str">
        <f aca="false">IF(E103="","",IFERROR(INDEX(Vendor_Register!$B$5:$B$205,MATCH(E103,Vendor_Register!$A$5:$A$205,0)),"(not in register)"))</f>
        <v/>
      </c>
      <c r="G103" s="45" t="str">
        <f aca="false">IF(E103="","",IFERROR(INDEX(Vendor_Register!$E$5:$E$205,MATCH(E103,Vendor_Register!$A$5:$A$205,0)),"(not in register)"))</f>
        <v/>
      </c>
      <c r="H103" s="42"/>
      <c r="I103" s="42"/>
      <c r="J103" s="42"/>
      <c r="K103" s="42"/>
      <c r="L103" s="42"/>
      <c r="M103" s="46"/>
      <c r="N103" s="42"/>
      <c r="O103" s="47" t="str">
        <f aca="false">IF(NOT(ISNUMBER(M103)),"",IFERROR(IF(L103="EUR",M103,IF(L103="IRR",M103/INDEX('Assumptions &amp; FX Reference'!$C$5:$C$25,MATCH(H103,'Assumptions &amp; FX Reference'!$A$5:$A$25,0)),IF(L103="USD",M103*INDEX('Assumptions &amp; FX Reference'!$B$5:$B$25,MATCH(H103,'Assumptions &amp; FX Reference'!$A$5:$A$25,0))/INDEX('Assumptions &amp; FX Reference'!$C$5:$C$25,MATCH(H103,'Assumptions &amp; FX Reference'!$A$5:$A$25,0)),""))),"(FX missing)"))</f>
        <v/>
      </c>
      <c r="P103" s="42"/>
      <c r="Q103" s="42"/>
      <c r="R103" s="42"/>
      <c r="S103" s="42"/>
      <c r="T103" s="42"/>
      <c r="U103" s="42"/>
      <c r="V103" s="42"/>
    </row>
    <row r="104" customFormat="false" ht="15" hidden="false" customHeight="false" outlineLevel="0" collapsed="false">
      <c r="A104" s="42"/>
      <c r="B104" s="42"/>
      <c r="C104" s="45" t="str">
        <f aca="false">IF(B104="","",IFERROR(INDEX('Master Database'!$D$5:$D$600,MATCH(B104,'Master Database'!$A$5:$A$600,0)),"(row not found)"))</f>
        <v/>
      </c>
      <c r="D104" s="45" t="str">
        <f aca="false">IF(B104="","",IFERROR(INDEX('Master Database'!$B$5:$B$600,MATCH(B104,'Master Database'!$A$5:$A$600,0)),"(row not found)"))</f>
        <v/>
      </c>
      <c r="E104" s="42"/>
      <c r="F104" s="45" t="str">
        <f aca="false">IF(E104="","",IFERROR(INDEX(Vendor_Register!$B$5:$B$205,MATCH(E104,Vendor_Register!$A$5:$A$205,0)),"(not in register)"))</f>
        <v/>
      </c>
      <c r="G104" s="45" t="str">
        <f aca="false">IF(E104="","",IFERROR(INDEX(Vendor_Register!$E$5:$E$205,MATCH(E104,Vendor_Register!$A$5:$A$205,0)),"(not in register)"))</f>
        <v/>
      </c>
      <c r="H104" s="42"/>
      <c r="I104" s="42"/>
      <c r="J104" s="42"/>
      <c r="K104" s="42"/>
      <c r="L104" s="42"/>
      <c r="M104" s="46"/>
      <c r="N104" s="42"/>
      <c r="O104" s="47" t="str">
        <f aca="false">IF(NOT(ISNUMBER(M104)),"",IFERROR(IF(L104="EUR",M104,IF(L104="IRR",M104/INDEX('Assumptions &amp; FX Reference'!$C$5:$C$25,MATCH(H104,'Assumptions &amp; FX Reference'!$A$5:$A$25,0)),IF(L104="USD",M104*INDEX('Assumptions &amp; FX Reference'!$B$5:$B$25,MATCH(H104,'Assumptions &amp; FX Reference'!$A$5:$A$25,0))/INDEX('Assumptions &amp; FX Reference'!$C$5:$C$25,MATCH(H104,'Assumptions &amp; FX Reference'!$A$5:$A$25,0)),""))),"(FX missing)"))</f>
        <v/>
      </c>
      <c r="P104" s="42"/>
      <c r="Q104" s="42"/>
      <c r="R104" s="42"/>
      <c r="S104" s="42"/>
      <c r="T104" s="42"/>
      <c r="U104" s="42"/>
      <c r="V104" s="42"/>
    </row>
    <row r="105" customFormat="false" ht="15" hidden="false" customHeight="false" outlineLevel="0" collapsed="false">
      <c r="A105" s="42"/>
      <c r="B105" s="42"/>
      <c r="C105" s="45" t="str">
        <f aca="false">IF(B105="","",IFERROR(INDEX('Master Database'!$D$5:$D$600,MATCH(B105,'Master Database'!$A$5:$A$600,0)),"(row not found)"))</f>
        <v/>
      </c>
      <c r="D105" s="45" t="str">
        <f aca="false">IF(B105="","",IFERROR(INDEX('Master Database'!$B$5:$B$600,MATCH(B105,'Master Database'!$A$5:$A$600,0)),"(row not found)"))</f>
        <v/>
      </c>
      <c r="E105" s="42"/>
      <c r="F105" s="45" t="str">
        <f aca="false">IF(E105="","",IFERROR(INDEX(Vendor_Register!$B$5:$B$205,MATCH(E105,Vendor_Register!$A$5:$A$205,0)),"(not in register)"))</f>
        <v/>
      </c>
      <c r="G105" s="45" t="str">
        <f aca="false">IF(E105="","",IFERROR(INDEX(Vendor_Register!$E$5:$E$205,MATCH(E105,Vendor_Register!$A$5:$A$205,0)),"(not in register)"))</f>
        <v/>
      </c>
      <c r="H105" s="42"/>
      <c r="I105" s="42"/>
      <c r="J105" s="42"/>
      <c r="K105" s="42"/>
      <c r="L105" s="42"/>
      <c r="M105" s="46"/>
      <c r="N105" s="42"/>
      <c r="O105" s="47" t="str">
        <f aca="false">IF(NOT(ISNUMBER(M105)),"",IFERROR(IF(L105="EUR",M105,IF(L105="IRR",M105/INDEX('Assumptions &amp; FX Reference'!$C$5:$C$25,MATCH(H105,'Assumptions &amp; FX Reference'!$A$5:$A$25,0)),IF(L105="USD",M105*INDEX('Assumptions &amp; FX Reference'!$B$5:$B$25,MATCH(H105,'Assumptions &amp; FX Reference'!$A$5:$A$25,0))/INDEX('Assumptions &amp; FX Reference'!$C$5:$C$25,MATCH(H105,'Assumptions &amp; FX Reference'!$A$5:$A$25,0)),""))),"(FX missing)"))</f>
        <v/>
      </c>
      <c r="P105" s="42"/>
      <c r="Q105" s="42"/>
      <c r="R105" s="42"/>
      <c r="S105" s="42"/>
      <c r="T105" s="42"/>
      <c r="U105" s="42"/>
      <c r="V105" s="42"/>
    </row>
    <row r="106" customFormat="false" ht="15" hidden="false" customHeight="false" outlineLevel="0" collapsed="false">
      <c r="A106" s="42"/>
      <c r="B106" s="42"/>
      <c r="C106" s="45" t="str">
        <f aca="false">IF(B106="","",IFERROR(INDEX('Master Database'!$D$5:$D$600,MATCH(B106,'Master Database'!$A$5:$A$600,0)),"(row not found)"))</f>
        <v/>
      </c>
      <c r="D106" s="45" t="str">
        <f aca="false">IF(B106="","",IFERROR(INDEX('Master Database'!$B$5:$B$600,MATCH(B106,'Master Database'!$A$5:$A$600,0)),"(row not found)"))</f>
        <v/>
      </c>
      <c r="E106" s="42"/>
      <c r="F106" s="45" t="str">
        <f aca="false">IF(E106="","",IFERROR(INDEX(Vendor_Register!$B$5:$B$205,MATCH(E106,Vendor_Register!$A$5:$A$205,0)),"(not in register)"))</f>
        <v/>
      </c>
      <c r="G106" s="45" t="str">
        <f aca="false">IF(E106="","",IFERROR(INDEX(Vendor_Register!$E$5:$E$205,MATCH(E106,Vendor_Register!$A$5:$A$205,0)),"(not in register)"))</f>
        <v/>
      </c>
      <c r="H106" s="42"/>
      <c r="I106" s="42"/>
      <c r="J106" s="42"/>
      <c r="K106" s="42"/>
      <c r="L106" s="42"/>
      <c r="M106" s="46"/>
      <c r="N106" s="42"/>
      <c r="O106" s="47" t="str">
        <f aca="false">IF(NOT(ISNUMBER(M106)),"",IFERROR(IF(L106="EUR",M106,IF(L106="IRR",M106/INDEX('Assumptions &amp; FX Reference'!$C$5:$C$25,MATCH(H106,'Assumptions &amp; FX Reference'!$A$5:$A$25,0)),IF(L106="USD",M106*INDEX('Assumptions &amp; FX Reference'!$B$5:$B$25,MATCH(H106,'Assumptions &amp; FX Reference'!$A$5:$A$25,0))/INDEX('Assumptions &amp; FX Reference'!$C$5:$C$25,MATCH(H106,'Assumptions &amp; FX Reference'!$A$5:$A$25,0)),""))),"(FX missing)"))</f>
        <v/>
      </c>
      <c r="P106" s="42"/>
      <c r="Q106" s="42"/>
      <c r="R106" s="42"/>
      <c r="S106" s="42"/>
      <c r="T106" s="42"/>
      <c r="U106" s="42"/>
      <c r="V106" s="42"/>
    </row>
    <row r="107" customFormat="false" ht="15" hidden="false" customHeight="false" outlineLevel="0" collapsed="false">
      <c r="A107" s="42"/>
      <c r="B107" s="42"/>
      <c r="C107" s="45" t="str">
        <f aca="false">IF(B107="","",IFERROR(INDEX('Master Database'!$D$5:$D$600,MATCH(B107,'Master Database'!$A$5:$A$600,0)),"(row not found)"))</f>
        <v/>
      </c>
      <c r="D107" s="45" t="str">
        <f aca="false">IF(B107="","",IFERROR(INDEX('Master Database'!$B$5:$B$600,MATCH(B107,'Master Database'!$A$5:$A$600,0)),"(row not found)"))</f>
        <v/>
      </c>
      <c r="E107" s="42"/>
      <c r="F107" s="45" t="str">
        <f aca="false">IF(E107="","",IFERROR(INDEX(Vendor_Register!$B$5:$B$205,MATCH(E107,Vendor_Register!$A$5:$A$205,0)),"(not in register)"))</f>
        <v/>
      </c>
      <c r="G107" s="45" t="str">
        <f aca="false">IF(E107="","",IFERROR(INDEX(Vendor_Register!$E$5:$E$205,MATCH(E107,Vendor_Register!$A$5:$A$205,0)),"(not in register)"))</f>
        <v/>
      </c>
      <c r="H107" s="42"/>
      <c r="I107" s="42"/>
      <c r="J107" s="42"/>
      <c r="K107" s="42"/>
      <c r="L107" s="42"/>
      <c r="M107" s="46"/>
      <c r="N107" s="42"/>
      <c r="O107" s="47" t="str">
        <f aca="false">IF(NOT(ISNUMBER(M107)),"",IFERROR(IF(L107="EUR",M107,IF(L107="IRR",M107/INDEX('Assumptions &amp; FX Reference'!$C$5:$C$25,MATCH(H107,'Assumptions &amp; FX Reference'!$A$5:$A$25,0)),IF(L107="USD",M107*INDEX('Assumptions &amp; FX Reference'!$B$5:$B$25,MATCH(H107,'Assumptions &amp; FX Reference'!$A$5:$A$25,0))/INDEX('Assumptions &amp; FX Reference'!$C$5:$C$25,MATCH(H107,'Assumptions &amp; FX Reference'!$A$5:$A$25,0)),""))),"(FX missing)"))</f>
        <v/>
      </c>
      <c r="P107" s="42"/>
      <c r="Q107" s="42"/>
      <c r="R107" s="42"/>
      <c r="S107" s="42"/>
      <c r="T107" s="42"/>
      <c r="U107" s="42"/>
      <c r="V107" s="42"/>
    </row>
    <row r="108" customFormat="false" ht="15" hidden="false" customHeight="false" outlineLevel="0" collapsed="false">
      <c r="A108" s="42"/>
      <c r="B108" s="42"/>
      <c r="C108" s="45" t="str">
        <f aca="false">IF(B108="","",IFERROR(INDEX('Master Database'!$D$5:$D$600,MATCH(B108,'Master Database'!$A$5:$A$600,0)),"(row not found)"))</f>
        <v/>
      </c>
      <c r="D108" s="45" t="str">
        <f aca="false">IF(B108="","",IFERROR(INDEX('Master Database'!$B$5:$B$600,MATCH(B108,'Master Database'!$A$5:$A$600,0)),"(row not found)"))</f>
        <v/>
      </c>
      <c r="E108" s="42"/>
      <c r="F108" s="45" t="str">
        <f aca="false">IF(E108="","",IFERROR(INDEX(Vendor_Register!$B$5:$B$205,MATCH(E108,Vendor_Register!$A$5:$A$205,0)),"(not in register)"))</f>
        <v/>
      </c>
      <c r="G108" s="45" t="str">
        <f aca="false">IF(E108="","",IFERROR(INDEX(Vendor_Register!$E$5:$E$205,MATCH(E108,Vendor_Register!$A$5:$A$205,0)),"(not in register)"))</f>
        <v/>
      </c>
      <c r="H108" s="42"/>
      <c r="I108" s="42"/>
      <c r="J108" s="42"/>
      <c r="K108" s="42"/>
      <c r="L108" s="42"/>
      <c r="M108" s="46"/>
      <c r="N108" s="42"/>
      <c r="O108" s="47" t="str">
        <f aca="false">IF(NOT(ISNUMBER(M108)),"",IFERROR(IF(L108="EUR",M108,IF(L108="IRR",M108/INDEX('Assumptions &amp; FX Reference'!$C$5:$C$25,MATCH(H108,'Assumptions &amp; FX Reference'!$A$5:$A$25,0)),IF(L108="USD",M108*INDEX('Assumptions &amp; FX Reference'!$B$5:$B$25,MATCH(H108,'Assumptions &amp; FX Reference'!$A$5:$A$25,0))/INDEX('Assumptions &amp; FX Reference'!$C$5:$C$25,MATCH(H108,'Assumptions &amp; FX Reference'!$A$5:$A$25,0)),""))),"(FX missing)"))</f>
        <v/>
      </c>
      <c r="P108" s="42"/>
      <c r="Q108" s="42"/>
      <c r="R108" s="42"/>
      <c r="S108" s="42"/>
      <c r="T108" s="42"/>
      <c r="U108" s="42"/>
      <c r="V108" s="42"/>
    </row>
    <row r="109" customFormat="false" ht="15" hidden="false" customHeight="false" outlineLevel="0" collapsed="false">
      <c r="A109" s="42"/>
      <c r="B109" s="42"/>
      <c r="C109" s="45" t="str">
        <f aca="false">IF(B109="","",IFERROR(INDEX('Master Database'!$D$5:$D$600,MATCH(B109,'Master Database'!$A$5:$A$600,0)),"(row not found)"))</f>
        <v/>
      </c>
      <c r="D109" s="45" t="str">
        <f aca="false">IF(B109="","",IFERROR(INDEX('Master Database'!$B$5:$B$600,MATCH(B109,'Master Database'!$A$5:$A$600,0)),"(row not found)"))</f>
        <v/>
      </c>
      <c r="E109" s="42"/>
      <c r="F109" s="45" t="str">
        <f aca="false">IF(E109="","",IFERROR(INDEX(Vendor_Register!$B$5:$B$205,MATCH(E109,Vendor_Register!$A$5:$A$205,0)),"(not in register)"))</f>
        <v/>
      </c>
      <c r="G109" s="45" t="str">
        <f aca="false">IF(E109="","",IFERROR(INDEX(Vendor_Register!$E$5:$E$205,MATCH(E109,Vendor_Register!$A$5:$A$205,0)),"(not in register)"))</f>
        <v/>
      </c>
      <c r="H109" s="42"/>
      <c r="I109" s="42"/>
      <c r="J109" s="42"/>
      <c r="K109" s="42"/>
      <c r="L109" s="42"/>
      <c r="M109" s="46"/>
      <c r="N109" s="42"/>
      <c r="O109" s="47" t="str">
        <f aca="false">IF(NOT(ISNUMBER(M109)),"",IFERROR(IF(L109="EUR",M109,IF(L109="IRR",M109/INDEX('Assumptions &amp; FX Reference'!$C$5:$C$25,MATCH(H109,'Assumptions &amp; FX Reference'!$A$5:$A$25,0)),IF(L109="USD",M109*INDEX('Assumptions &amp; FX Reference'!$B$5:$B$25,MATCH(H109,'Assumptions &amp; FX Reference'!$A$5:$A$25,0))/INDEX('Assumptions &amp; FX Reference'!$C$5:$C$25,MATCH(H109,'Assumptions &amp; FX Reference'!$A$5:$A$25,0)),""))),"(FX missing)"))</f>
        <v/>
      </c>
      <c r="P109" s="42"/>
      <c r="Q109" s="42"/>
      <c r="R109" s="42"/>
      <c r="S109" s="42"/>
      <c r="T109" s="42"/>
      <c r="U109" s="42"/>
      <c r="V109" s="42"/>
    </row>
    <row r="110" customFormat="false" ht="15" hidden="false" customHeight="false" outlineLevel="0" collapsed="false">
      <c r="A110" s="42"/>
      <c r="B110" s="42"/>
      <c r="C110" s="45" t="str">
        <f aca="false">IF(B110="","",IFERROR(INDEX('Master Database'!$D$5:$D$600,MATCH(B110,'Master Database'!$A$5:$A$600,0)),"(row not found)"))</f>
        <v/>
      </c>
      <c r="D110" s="45" t="str">
        <f aca="false">IF(B110="","",IFERROR(INDEX('Master Database'!$B$5:$B$600,MATCH(B110,'Master Database'!$A$5:$A$600,0)),"(row not found)"))</f>
        <v/>
      </c>
      <c r="E110" s="42"/>
      <c r="F110" s="45" t="str">
        <f aca="false">IF(E110="","",IFERROR(INDEX(Vendor_Register!$B$5:$B$205,MATCH(E110,Vendor_Register!$A$5:$A$205,0)),"(not in register)"))</f>
        <v/>
      </c>
      <c r="G110" s="45" t="str">
        <f aca="false">IF(E110="","",IFERROR(INDEX(Vendor_Register!$E$5:$E$205,MATCH(E110,Vendor_Register!$A$5:$A$205,0)),"(not in register)"))</f>
        <v/>
      </c>
      <c r="H110" s="42"/>
      <c r="I110" s="42"/>
      <c r="J110" s="42"/>
      <c r="K110" s="42"/>
      <c r="L110" s="42"/>
      <c r="M110" s="46"/>
      <c r="N110" s="42"/>
      <c r="O110" s="47" t="str">
        <f aca="false">IF(NOT(ISNUMBER(M110)),"",IFERROR(IF(L110="EUR",M110,IF(L110="IRR",M110/INDEX('Assumptions &amp; FX Reference'!$C$5:$C$25,MATCH(H110,'Assumptions &amp; FX Reference'!$A$5:$A$25,0)),IF(L110="USD",M110*INDEX('Assumptions &amp; FX Reference'!$B$5:$B$25,MATCH(H110,'Assumptions &amp; FX Reference'!$A$5:$A$25,0))/INDEX('Assumptions &amp; FX Reference'!$C$5:$C$25,MATCH(H110,'Assumptions &amp; FX Reference'!$A$5:$A$25,0)),""))),"(FX missing)"))</f>
        <v/>
      </c>
      <c r="P110" s="42"/>
      <c r="Q110" s="42"/>
      <c r="R110" s="42"/>
      <c r="S110" s="42"/>
      <c r="T110" s="42"/>
      <c r="U110" s="42"/>
      <c r="V110" s="42"/>
    </row>
    <row r="111" customFormat="false" ht="15" hidden="false" customHeight="false" outlineLevel="0" collapsed="false">
      <c r="A111" s="42"/>
      <c r="B111" s="42"/>
      <c r="C111" s="45" t="str">
        <f aca="false">IF(B111="","",IFERROR(INDEX('Master Database'!$D$5:$D$600,MATCH(B111,'Master Database'!$A$5:$A$600,0)),"(row not found)"))</f>
        <v/>
      </c>
      <c r="D111" s="45" t="str">
        <f aca="false">IF(B111="","",IFERROR(INDEX('Master Database'!$B$5:$B$600,MATCH(B111,'Master Database'!$A$5:$A$600,0)),"(row not found)"))</f>
        <v/>
      </c>
      <c r="E111" s="42"/>
      <c r="F111" s="45" t="str">
        <f aca="false">IF(E111="","",IFERROR(INDEX(Vendor_Register!$B$5:$B$205,MATCH(E111,Vendor_Register!$A$5:$A$205,0)),"(not in register)"))</f>
        <v/>
      </c>
      <c r="G111" s="45" t="str">
        <f aca="false">IF(E111="","",IFERROR(INDEX(Vendor_Register!$E$5:$E$205,MATCH(E111,Vendor_Register!$A$5:$A$205,0)),"(not in register)"))</f>
        <v/>
      </c>
      <c r="H111" s="42"/>
      <c r="I111" s="42"/>
      <c r="J111" s="42"/>
      <c r="K111" s="42"/>
      <c r="L111" s="42"/>
      <c r="M111" s="46"/>
      <c r="N111" s="42"/>
      <c r="O111" s="47" t="str">
        <f aca="false">IF(NOT(ISNUMBER(M111)),"",IFERROR(IF(L111="EUR",M111,IF(L111="IRR",M111/INDEX('Assumptions &amp; FX Reference'!$C$5:$C$25,MATCH(H111,'Assumptions &amp; FX Reference'!$A$5:$A$25,0)),IF(L111="USD",M111*INDEX('Assumptions &amp; FX Reference'!$B$5:$B$25,MATCH(H111,'Assumptions &amp; FX Reference'!$A$5:$A$25,0))/INDEX('Assumptions &amp; FX Reference'!$C$5:$C$25,MATCH(H111,'Assumptions &amp; FX Reference'!$A$5:$A$25,0)),""))),"(FX missing)"))</f>
        <v/>
      </c>
      <c r="P111" s="42"/>
      <c r="Q111" s="42"/>
      <c r="R111" s="42"/>
      <c r="S111" s="42"/>
      <c r="T111" s="42"/>
      <c r="U111" s="42"/>
      <c r="V111" s="42"/>
    </row>
    <row r="112" customFormat="false" ht="15" hidden="false" customHeight="false" outlineLevel="0" collapsed="false">
      <c r="A112" s="42"/>
      <c r="B112" s="42"/>
      <c r="C112" s="45" t="str">
        <f aca="false">IF(B112="","",IFERROR(INDEX('Master Database'!$D$5:$D$600,MATCH(B112,'Master Database'!$A$5:$A$600,0)),"(row not found)"))</f>
        <v/>
      </c>
      <c r="D112" s="45" t="str">
        <f aca="false">IF(B112="","",IFERROR(INDEX('Master Database'!$B$5:$B$600,MATCH(B112,'Master Database'!$A$5:$A$600,0)),"(row not found)"))</f>
        <v/>
      </c>
      <c r="E112" s="42"/>
      <c r="F112" s="45" t="str">
        <f aca="false">IF(E112="","",IFERROR(INDEX(Vendor_Register!$B$5:$B$205,MATCH(E112,Vendor_Register!$A$5:$A$205,0)),"(not in register)"))</f>
        <v/>
      </c>
      <c r="G112" s="45" t="str">
        <f aca="false">IF(E112="","",IFERROR(INDEX(Vendor_Register!$E$5:$E$205,MATCH(E112,Vendor_Register!$A$5:$A$205,0)),"(not in register)"))</f>
        <v/>
      </c>
      <c r="H112" s="42"/>
      <c r="I112" s="42"/>
      <c r="J112" s="42"/>
      <c r="K112" s="42"/>
      <c r="L112" s="42"/>
      <c r="M112" s="46"/>
      <c r="N112" s="42"/>
      <c r="O112" s="47" t="str">
        <f aca="false">IF(NOT(ISNUMBER(M112)),"",IFERROR(IF(L112="EUR",M112,IF(L112="IRR",M112/INDEX('Assumptions &amp; FX Reference'!$C$5:$C$25,MATCH(H112,'Assumptions &amp; FX Reference'!$A$5:$A$25,0)),IF(L112="USD",M112*INDEX('Assumptions &amp; FX Reference'!$B$5:$B$25,MATCH(H112,'Assumptions &amp; FX Reference'!$A$5:$A$25,0))/INDEX('Assumptions &amp; FX Reference'!$C$5:$C$25,MATCH(H112,'Assumptions &amp; FX Reference'!$A$5:$A$25,0)),""))),"(FX missing)"))</f>
        <v/>
      </c>
      <c r="P112" s="42"/>
      <c r="Q112" s="42"/>
      <c r="R112" s="42"/>
      <c r="S112" s="42"/>
      <c r="T112" s="42"/>
      <c r="U112" s="42"/>
      <c r="V112" s="42"/>
    </row>
    <row r="113" customFormat="false" ht="15" hidden="false" customHeight="false" outlineLevel="0" collapsed="false">
      <c r="A113" s="42"/>
      <c r="B113" s="42"/>
      <c r="C113" s="45" t="str">
        <f aca="false">IF(B113="","",IFERROR(INDEX('Master Database'!$D$5:$D$600,MATCH(B113,'Master Database'!$A$5:$A$600,0)),"(row not found)"))</f>
        <v/>
      </c>
      <c r="D113" s="45" t="str">
        <f aca="false">IF(B113="","",IFERROR(INDEX('Master Database'!$B$5:$B$600,MATCH(B113,'Master Database'!$A$5:$A$600,0)),"(row not found)"))</f>
        <v/>
      </c>
      <c r="E113" s="42"/>
      <c r="F113" s="45" t="str">
        <f aca="false">IF(E113="","",IFERROR(INDEX(Vendor_Register!$B$5:$B$205,MATCH(E113,Vendor_Register!$A$5:$A$205,0)),"(not in register)"))</f>
        <v/>
      </c>
      <c r="G113" s="45" t="str">
        <f aca="false">IF(E113="","",IFERROR(INDEX(Vendor_Register!$E$5:$E$205,MATCH(E113,Vendor_Register!$A$5:$A$205,0)),"(not in register)"))</f>
        <v/>
      </c>
      <c r="H113" s="42"/>
      <c r="I113" s="42"/>
      <c r="J113" s="42"/>
      <c r="K113" s="42"/>
      <c r="L113" s="42"/>
      <c r="M113" s="46"/>
      <c r="N113" s="42"/>
      <c r="O113" s="47" t="str">
        <f aca="false">IF(NOT(ISNUMBER(M113)),"",IFERROR(IF(L113="EUR",M113,IF(L113="IRR",M113/INDEX('Assumptions &amp; FX Reference'!$C$5:$C$25,MATCH(H113,'Assumptions &amp; FX Reference'!$A$5:$A$25,0)),IF(L113="USD",M113*INDEX('Assumptions &amp; FX Reference'!$B$5:$B$25,MATCH(H113,'Assumptions &amp; FX Reference'!$A$5:$A$25,0))/INDEX('Assumptions &amp; FX Reference'!$C$5:$C$25,MATCH(H113,'Assumptions &amp; FX Reference'!$A$5:$A$25,0)),""))),"(FX missing)"))</f>
        <v/>
      </c>
      <c r="P113" s="42"/>
      <c r="Q113" s="42"/>
      <c r="R113" s="42"/>
      <c r="S113" s="42"/>
      <c r="T113" s="42"/>
      <c r="U113" s="42"/>
      <c r="V113" s="42"/>
    </row>
    <row r="114" customFormat="false" ht="15" hidden="false" customHeight="false" outlineLevel="0" collapsed="false">
      <c r="A114" s="42"/>
      <c r="B114" s="42"/>
      <c r="C114" s="45" t="str">
        <f aca="false">IF(B114="","",IFERROR(INDEX('Master Database'!$D$5:$D$600,MATCH(B114,'Master Database'!$A$5:$A$600,0)),"(row not found)"))</f>
        <v/>
      </c>
      <c r="D114" s="45" t="str">
        <f aca="false">IF(B114="","",IFERROR(INDEX('Master Database'!$B$5:$B$600,MATCH(B114,'Master Database'!$A$5:$A$600,0)),"(row not found)"))</f>
        <v/>
      </c>
      <c r="E114" s="42"/>
      <c r="F114" s="45" t="str">
        <f aca="false">IF(E114="","",IFERROR(INDEX(Vendor_Register!$B$5:$B$205,MATCH(E114,Vendor_Register!$A$5:$A$205,0)),"(not in register)"))</f>
        <v/>
      </c>
      <c r="G114" s="45" t="str">
        <f aca="false">IF(E114="","",IFERROR(INDEX(Vendor_Register!$E$5:$E$205,MATCH(E114,Vendor_Register!$A$5:$A$205,0)),"(not in register)"))</f>
        <v/>
      </c>
      <c r="H114" s="42"/>
      <c r="I114" s="42"/>
      <c r="J114" s="42"/>
      <c r="K114" s="42"/>
      <c r="L114" s="42"/>
      <c r="M114" s="46"/>
      <c r="N114" s="42"/>
      <c r="O114" s="47" t="str">
        <f aca="false">IF(NOT(ISNUMBER(M114)),"",IFERROR(IF(L114="EUR",M114,IF(L114="IRR",M114/INDEX('Assumptions &amp; FX Reference'!$C$5:$C$25,MATCH(H114,'Assumptions &amp; FX Reference'!$A$5:$A$25,0)),IF(L114="USD",M114*INDEX('Assumptions &amp; FX Reference'!$B$5:$B$25,MATCH(H114,'Assumptions &amp; FX Reference'!$A$5:$A$25,0))/INDEX('Assumptions &amp; FX Reference'!$C$5:$C$25,MATCH(H114,'Assumptions &amp; FX Reference'!$A$5:$A$25,0)),""))),"(FX missing)"))</f>
        <v/>
      </c>
      <c r="P114" s="42"/>
      <c r="Q114" s="42"/>
      <c r="R114" s="42"/>
      <c r="S114" s="42"/>
      <c r="T114" s="42"/>
      <c r="U114" s="42"/>
      <c r="V114" s="42"/>
    </row>
    <row r="115" customFormat="false" ht="15" hidden="false" customHeight="false" outlineLevel="0" collapsed="false">
      <c r="A115" s="42"/>
      <c r="B115" s="42"/>
      <c r="C115" s="45" t="str">
        <f aca="false">IF(B115="","",IFERROR(INDEX('Master Database'!$D$5:$D$600,MATCH(B115,'Master Database'!$A$5:$A$600,0)),"(row not found)"))</f>
        <v/>
      </c>
      <c r="D115" s="45" t="str">
        <f aca="false">IF(B115="","",IFERROR(INDEX('Master Database'!$B$5:$B$600,MATCH(B115,'Master Database'!$A$5:$A$600,0)),"(row not found)"))</f>
        <v/>
      </c>
      <c r="E115" s="42"/>
      <c r="F115" s="45" t="str">
        <f aca="false">IF(E115="","",IFERROR(INDEX(Vendor_Register!$B$5:$B$205,MATCH(E115,Vendor_Register!$A$5:$A$205,0)),"(not in register)"))</f>
        <v/>
      </c>
      <c r="G115" s="45" t="str">
        <f aca="false">IF(E115="","",IFERROR(INDEX(Vendor_Register!$E$5:$E$205,MATCH(E115,Vendor_Register!$A$5:$A$205,0)),"(not in register)"))</f>
        <v/>
      </c>
      <c r="H115" s="42"/>
      <c r="I115" s="42"/>
      <c r="J115" s="42"/>
      <c r="K115" s="42"/>
      <c r="L115" s="42"/>
      <c r="M115" s="46"/>
      <c r="N115" s="42"/>
      <c r="O115" s="47" t="str">
        <f aca="false">IF(NOT(ISNUMBER(M115)),"",IFERROR(IF(L115="EUR",M115,IF(L115="IRR",M115/INDEX('Assumptions &amp; FX Reference'!$C$5:$C$25,MATCH(H115,'Assumptions &amp; FX Reference'!$A$5:$A$25,0)),IF(L115="USD",M115*INDEX('Assumptions &amp; FX Reference'!$B$5:$B$25,MATCH(H115,'Assumptions &amp; FX Reference'!$A$5:$A$25,0))/INDEX('Assumptions &amp; FX Reference'!$C$5:$C$25,MATCH(H115,'Assumptions &amp; FX Reference'!$A$5:$A$25,0)),""))),"(FX missing)"))</f>
        <v/>
      </c>
      <c r="P115" s="42"/>
      <c r="Q115" s="42"/>
      <c r="R115" s="42"/>
      <c r="S115" s="42"/>
      <c r="T115" s="42"/>
      <c r="U115" s="42"/>
      <c r="V115" s="42"/>
    </row>
    <row r="116" customFormat="false" ht="15" hidden="false" customHeight="false" outlineLevel="0" collapsed="false">
      <c r="A116" s="42"/>
      <c r="B116" s="42"/>
      <c r="C116" s="45" t="str">
        <f aca="false">IF(B116="","",IFERROR(INDEX('Master Database'!$D$5:$D$600,MATCH(B116,'Master Database'!$A$5:$A$600,0)),"(row not found)"))</f>
        <v/>
      </c>
      <c r="D116" s="45" t="str">
        <f aca="false">IF(B116="","",IFERROR(INDEX('Master Database'!$B$5:$B$600,MATCH(B116,'Master Database'!$A$5:$A$600,0)),"(row not found)"))</f>
        <v/>
      </c>
      <c r="E116" s="42"/>
      <c r="F116" s="45" t="str">
        <f aca="false">IF(E116="","",IFERROR(INDEX(Vendor_Register!$B$5:$B$205,MATCH(E116,Vendor_Register!$A$5:$A$205,0)),"(not in register)"))</f>
        <v/>
      </c>
      <c r="G116" s="45" t="str">
        <f aca="false">IF(E116="","",IFERROR(INDEX(Vendor_Register!$E$5:$E$205,MATCH(E116,Vendor_Register!$A$5:$A$205,0)),"(not in register)"))</f>
        <v/>
      </c>
      <c r="H116" s="42"/>
      <c r="I116" s="42"/>
      <c r="J116" s="42"/>
      <c r="K116" s="42"/>
      <c r="L116" s="42"/>
      <c r="M116" s="46"/>
      <c r="N116" s="42"/>
      <c r="O116" s="47" t="str">
        <f aca="false">IF(NOT(ISNUMBER(M116)),"",IFERROR(IF(L116="EUR",M116,IF(L116="IRR",M116/INDEX('Assumptions &amp; FX Reference'!$C$5:$C$25,MATCH(H116,'Assumptions &amp; FX Reference'!$A$5:$A$25,0)),IF(L116="USD",M116*INDEX('Assumptions &amp; FX Reference'!$B$5:$B$25,MATCH(H116,'Assumptions &amp; FX Reference'!$A$5:$A$25,0))/INDEX('Assumptions &amp; FX Reference'!$C$5:$C$25,MATCH(H116,'Assumptions &amp; FX Reference'!$A$5:$A$25,0)),""))),"(FX missing)"))</f>
        <v/>
      </c>
      <c r="P116" s="42"/>
      <c r="Q116" s="42"/>
      <c r="R116" s="42"/>
      <c r="S116" s="42"/>
      <c r="T116" s="42"/>
      <c r="U116" s="42"/>
      <c r="V116" s="42"/>
    </row>
    <row r="117" customFormat="false" ht="15" hidden="false" customHeight="false" outlineLevel="0" collapsed="false">
      <c r="A117" s="42"/>
      <c r="B117" s="42"/>
      <c r="C117" s="45" t="str">
        <f aca="false">IF(B117="","",IFERROR(INDEX('Master Database'!$D$5:$D$600,MATCH(B117,'Master Database'!$A$5:$A$600,0)),"(row not found)"))</f>
        <v/>
      </c>
      <c r="D117" s="45" t="str">
        <f aca="false">IF(B117="","",IFERROR(INDEX('Master Database'!$B$5:$B$600,MATCH(B117,'Master Database'!$A$5:$A$600,0)),"(row not found)"))</f>
        <v/>
      </c>
      <c r="E117" s="42"/>
      <c r="F117" s="45" t="str">
        <f aca="false">IF(E117="","",IFERROR(INDEX(Vendor_Register!$B$5:$B$205,MATCH(E117,Vendor_Register!$A$5:$A$205,0)),"(not in register)"))</f>
        <v/>
      </c>
      <c r="G117" s="45" t="str">
        <f aca="false">IF(E117="","",IFERROR(INDEX(Vendor_Register!$E$5:$E$205,MATCH(E117,Vendor_Register!$A$5:$A$205,0)),"(not in register)"))</f>
        <v/>
      </c>
      <c r="H117" s="42"/>
      <c r="I117" s="42"/>
      <c r="J117" s="42"/>
      <c r="K117" s="42"/>
      <c r="L117" s="42"/>
      <c r="M117" s="46"/>
      <c r="N117" s="42"/>
      <c r="O117" s="47" t="str">
        <f aca="false">IF(NOT(ISNUMBER(M117)),"",IFERROR(IF(L117="EUR",M117,IF(L117="IRR",M117/INDEX('Assumptions &amp; FX Reference'!$C$5:$C$25,MATCH(H117,'Assumptions &amp; FX Reference'!$A$5:$A$25,0)),IF(L117="USD",M117*INDEX('Assumptions &amp; FX Reference'!$B$5:$B$25,MATCH(H117,'Assumptions &amp; FX Reference'!$A$5:$A$25,0))/INDEX('Assumptions &amp; FX Reference'!$C$5:$C$25,MATCH(H117,'Assumptions &amp; FX Reference'!$A$5:$A$25,0)),""))),"(FX missing)"))</f>
        <v/>
      </c>
      <c r="P117" s="42"/>
      <c r="Q117" s="42"/>
      <c r="R117" s="42"/>
      <c r="S117" s="42"/>
      <c r="T117" s="42"/>
      <c r="U117" s="42"/>
      <c r="V117" s="42"/>
    </row>
    <row r="118" customFormat="false" ht="15" hidden="false" customHeight="false" outlineLevel="0" collapsed="false">
      <c r="A118" s="42"/>
      <c r="B118" s="42"/>
      <c r="C118" s="45" t="str">
        <f aca="false">IF(B118="","",IFERROR(INDEX('Master Database'!$D$5:$D$600,MATCH(B118,'Master Database'!$A$5:$A$600,0)),"(row not found)"))</f>
        <v/>
      </c>
      <c r="D118" s="45" t="str">
        <f aca="false">IF(B118="","",IFERROR(INDEX('Master Database'!$B$5:$B$600,MATCH(B118,'Master Database'!$A$5:$A$600,0)),"(row not found)"))</f>
        <v/>
      </c>
      <c r="E118" s="42"/>
      <c r="F118" s="45" t="str">
        <f aca="false">IF(E118="","",IFERROR(INDEX(Vendor_Register!$B$5:$B$205,MATCH(E118,Vendor_Register!$A$5:$A$205,0)),"(not in register)"))</f>
        <v/>
      </c>
      <c r="G118" s="45" t="str">
        <f aca="false">IF(E118="","",IFERROR(INDEX(Vendor_Register!$E$5:$E$205,MATCH(E118,Vendor_Register!$A$5:$A$205,0)),"(not in register)"))</f>
        <v/>
      </c>
      <c r="H118" s="42"/>
      <c r="I118" s="42"/>
      <c r="J118" s="42"/>
      <c r="K118" s="42"/>
      <c r="L118" s="42"/>
      <c r="M118" s="46"/>
      <c r="N118" s="42"/>
      <c r="O118" s="47" t="str">
        <f aca="false">IF(NOT(ISNUMBER(M118)),"",IFERROR(IF(L118="EUR",M118,IF(L118="IRR",M118/INDEX('Assumptions &amp; FX Reference'!$C$5:$C$25,MATCH(H118,'Assumptions &amp; FX Reference'!$A$5:$A$25,0)),IF(L118="USD",M118*INDEX('Assumptions &amp; FX Reference'!$B$5:$B$25,MATCH(H118,'Assumptions &amp; FX Reference'!$A$5:$A$25,0))/INDEX('Assumptions &amp; FX Reference'!$C$5:$C$25,MATCH(H118,'Assumptions &amp; FX Reference'!$A$5:$A$25,0)),""))),"(FX missing)"))</f>
        <v/>
      </c>
      <c r="P118" s="42"/>
      <c r="Q118" s="42"/>
      <c r="R118" s="42"/>
      <c r="S118" s="42"/>
      <c r="T118" s="42"/>
      <c r="U118" s="42"/>
      <c r="V118" s="42"/>
    </row>
    <row r="119" customFormat="false" ht="15" hidden="false" customHeight="false" outlineLevel="0" collapsed="false">
      <c r="A119" s="42"/>
      <c r="B119" s="42"/>
      <c r="C119" s="45" t="str">
        <f aca="false">IF(B119="","",IFERROR(INDEX('Master Database'!$D$5:$D$600,MATCH(B119,'Master Database'!$A$5:$A$600,0)),"(row not found)"))</f>
        <v/>
      </c>
      <c r="D119" s="45" t="str">
        <f aca="false">IF(B119="","",IFERROR(INDEX('Master Database'!$B$5:$B$600,MATCH(B119,'Master Database'!$A$5:$A$600,0)),"(row not found)"))</f>
        <v/>
      </c>
      <c r="E119" s="42"/>
      <c r="F119" s="45" t="str">
        <f aca="false">IF(E119="","",IFERROR(INDEX(Vendor_Register!$B$5:$B$205,MATCH(E119,Vendor_Register!$A$5:$A$205,0)),"(not in register)"))</f>
        <v/>
      </c>
      <c r="G119" s="45" t="str">
        <f aca="false">IF(E119="","",IFERROR(INDEX(Vendor_Register!$E$5:$E$205,MATCH(E119,Vendor_Register!$A$5:$A$205,0)),"(not in register)"))</f>
        <v/>
      </c>
      <c r="H119" s="42"/>
      <c r="I119" s="42"/>
      <c r="J119" s="42"/>
      <c r="K119" s="42"/>
      <c r="L119" s="42"/>
      <c r="M119" s="46"/>
      <c r="N119" s="42"/>
      <c r="O119" s="47" t="str">
        <f aca="false">IF(NOT(ISNUMBER(M119)),"",IFERROR(IF(L119="EUR",M119,IF(L119="IRR",M119/INDEX('Assumptions &amp; FX Reference'!$C$5:$C$25,MATCH(H119,'Assumptions &amp; FX Reference'!$A$5:$A$25,0)),IF(L119="USD",M119*INDEX('Assumptions &amp; FX Reference'!$B$5:$B$25,MATCH(H119,'Assumptions &amp; FX Reference'!$A$5:$A$25,0))/INDEX('Assumptions &amp; FX Reference'!$C$5:$C$25,MATCH(H119,'Assumptions &amp; FX Reference'!$A$5:$A$25,0)),""))),"(FX missing)"))</f>
        <v/>
      </c>
      <c r="P119" s="42"/>
      <c r="Q119" s="42"/>
      <c r="R119" s="42"/>
      <c r="S119" s="42"/>
      <c r="T119" s="42"/>
      <c r="U119" s="42"/>
      <c r="V119" s="42"/>
    </row>
    <row r="120" customFormat="false" ht="15" hidden="false" customHeight="false" outlineLevel="0" collapsed="false">
      <c r="A120" s="42"/>
      <c r="B120" s="42"/>
      <c r="C120" s="45" t="str">
        <f aca="false">IF(B120="","",IFERROR(INDEX('Master Database'!$D$5:$D$600,MATCH(B120,'Master Database'!$A$5:$A$600,0)),"(row not found)"))</f>
        <v/>
      </c>
      <c r="D120" s="45" t="str">
        <f aca="false">IF(B120="","",IFERROR(INDEX('Master Database'!$B$5:$B$600,MATCH(B120,'Master Database'!$A$5:$A$600,0)),"(row not found)"))</f>
        <v/>
      </c>
      <c r="E120" s="42"/>
      <c r="F120" s="45" t="str">
        <f aca="false">IF(E120="","",IFERROR(INDEX(Vendor_Register!$B$5:$B$205,MATCH(E120,Vendor_Register!$A$5:$A$205,0)),"(not in register)"))</f>
        <v/>
      </c>
      <c r="G120" s="45" t="str">
        <f aca="false">IF(E120="","",IFERROR(INDEX(Vendor_Register!$E$5:$E$205,MATCH(E120,Vendor_Register!$A$5:$A$205,0)),"(not in register)"))</f>
        <v/>
      </c>
      <c r="H120" s="42"/>
      <c r="I120" s="42"/>
      <c r="J120" s="42"/>
      <c r="K120" s="42"/>
      <c r="L120" s="42"/>
      <c r="M120" s="46"/>
      <c r="N120" s="42"/>
      <c r="O120" s="47" t="str">
        <f aca="false">IF(NOT(ISNUMBER(M120)),"",IFERROR(IF(L120="EUR",M120,IF(L120="IRR",M120/INDEX('Assumptions &amp; FX Reference'!$C$5:$C$25,MATCH(H120,'Assumptions &amp; FX Reference'!$A$5:$A$25,0)),IF(L120="USD",M120*INDEX('Assumptions &amp; FX Reference'!$B$5:$B$25,MATCH(H120,'Assumptions &amp; FX Reference'!$A$5:$A$25,0))/INDEX('Assumptions &amp; FX Reference'!$C$5:$C$25,MATCH(H120,'Assumptions &amp; FX Reference'!$A$5:$A$25,0)),""))),"(FX missing)"))</f>
        <v/>
      </c>
      <c r="P120" s="42"/>
      <c r="Q120" s="42"/>
      <c r="R120" s="42"/>
      <c r="S120" s="42"/>
      <c r="T120" s="42"/>
      <c r="U120" s="42"/>
      <c r="V120" s="42"/>
    </row>
    <row r="121" customFormat="false" ht="15" hidden="false" customHeight="false" outlineLevel="0" collapsed="false">
      <c r="A121" s="42"/>
      <c r="B121" s="42"/>
      <c r="C121" s="45" t="str">
        <f aca="false">IF(B121="","",IFERROR(INDEX('Master Database'!$D$5:$D$600,MATCH(B121,'Master Database'!$A$5:$A$600,0)),"(row not found)"))</f>
        <v/>
      </c>
      <c r="D121" s="45" t="str">
        <f aca="false">IF(B121="","",IFERROR(INDEX('Master Database'!$B$5:$B$600,MATCH(B121,'Master Database'!$A$5:$A$600,0)),"(row not found)"))</f>
        <v/>
      </c>
      <c r="E121" s="42"/>
      <c r="F121" s="45" t="str">
        <f aca="false">IF(E121="","",IFERROR(INDEX(Vendor_Register!$B$5:$B$205,MATCH(E121,Vendor_Register!$A$5:$A$205,0)),"(not in register)"))</f>
        <v/>
      </c>
      <c r="G121" s="45" t="str">
        <f aca="false">IF(E121="","",IFERROR(INDEX(Vendor_Register!$E$5:$E$205,MATCH(E121,Vendor_Register!$A$5:$A$205,0)),"(not in register)"))</f>
        <v/>
      </c>
      <c r="H121" s="42"/>
      <c r="I121" s="42"/>
      <c r="J121" s="42"/>
      <c r="K121" s="42"/>
      <c r="L121" s="42"/>
      <c r="M121" s="46"/>
      <c r="N121" s="42"/>
      <c r="O121" s="47" t="str">
        <f aca="false">IF(NOT(ISNUMBER(M121)),"",IFERROR(IF(L121="EUR",M121,IF(L121="IRR",M121/INDEX('Assumptions &amp; FX Reference'!$C$5:$C$25,MATCH(H121,'Assumptions &amp; FX Reference'!$A$5:$A$25,0)),IF(L121="USD",M121*INDEX('Assumptions &amp; FX Reference'!$B$5:$B$25,MATCH(H121,'Assumptions &amp; FX Reference'!$A$5:$A$25,0))/INDEX('Assumptions &amp; FX Reference'!$C$5:$C$25,MATCH(H121,'Assumptions &amp; FX Reference'!$A$5:$A$25,0)),""))),"(FX missing)"))</f>
        <v/>
      </c>
      <c r="P121" s="42"/>
      <c r="Q121" s="42"/>
      <c r="R121" s="42"/>
      <c r="S121" s="42"/>
      <c r="T121" s="42"/>
      <c r="U121" s="42"/>
      <c r="V121" s="42"/>
    </row>
    <row r="122" customFormat="false" ht="15" hidden="false" customHeight="false" outlineLevel="0" collapsed="false">
      <c r="A122" s="42"/>
      <c r="B122" s="42"/>
      <c r="C122" s="45" t="str">
        <f aca="false">IF(B122="","",IFERROR(INDEX('Master Database'!$D$5:$D$600,MATCH(B122,'Master Database'!$A$5:$A$600,0)),"(row not found)"))</f>
        <v/>
      </c>
      <c r="D122" s="45" t="str">
        <f aca="false">IF(B122="","",IFERROR(INDEX('Master Database'!$B$5:$B$600,MATCH(B122,'Master Database'!$A$5:$A$600,0)),"(row not found)"))</f>
        <v/>
      </c>
      <c r="E122" s="42"/>
      <c r="F122" s="45" t="str">
        <f aca="false">IF(E122="","",IFERROR(INDEX(Vendor_Register!$B$5:$B$205,MATCH(E122,Vendor_Register!$A$5:$A$205,0)),"(not in register)"))</f>
        <v/>
      </c>
      <c r="G122" s="45" t="str">
        <f aca="false">IF(E122="","",IFERROR(INDEX(Vendor_Register!$E$5:$E$205,MATCH(E122,Vendor_Register!$A$5:$A$205,0)),"(not in register)"))</f>
        <v/>
      </c>
      <c r="H122" s="42"/>
      <c r="I122" s="42"/>
      <c r="J122" s="42"/>
      <c r="K122" s="42"/>
      <c r="L122" s="42"/>
      <c r="M122" s="46"/>
      <c r="N122" s="42"/>
      <c r="O122" s="47" t="str">
        <f aca="false">IF(NOT(ISNUMBER(M122)),"",IFERROR(IF(L122="EUR",M122,IF(L122="IRR",M122/INDEX('Assumptions &amp; FX Reference'!$C$5:$C$25,MATCH(H122,'Assumptions &amp; FX Reference'!$A$5:$A$25,0)),IF(L122="USD",M122*INDEX('Assumptions &amp; FX Reference'!$B$5:$B$25,MATCH(H122,'Assumptions &amp; FX Reference'!$A$5:$A$25,0))/INDEX('Assumptions &amp; FX Reference'!$C$5:$C$25,MATCH(H122,'Assumptions &amp; FX Reference'!$A$5:$A$25,0)),""))),"(FX missing)"))</f>
        <v/>
      </c>
      <c r="P122" s="42"/>
      <c r="Q122" s="42"/>
      <c r="R122" s="42"/>
      <c r="S122" s="42"/>
      <c r="T122" s="42"/>
      <c r="U122" s="42"/>
      <c r="V122" s="42"/>
    </row>
    <row r="123" customFormat="false" ht="15" hidden="false" customHeight="false" outlineLevel="0" collapsed="false">
      <c r="A123" s="42"/>
      <c r="B123" s="42"/>
      <c r="C123" s="45" t="str">
        <f aca="false">IF(B123="","",IFERROR(INDEX('Master Database'!$D$5:$D$600,MATCH(B123,'Master Database'!$A$5:$A$600,0)),"(row not found)"))</f>
        <v/>
      </c>
      <c r="D123" s="45" t="str">
        <f aca="false">IF(B123="","",IFERROR(INDEX('Master Database'!$B$5:$B$600,MATCH(B123,'Master Database'!$A$5:$A$600,0)),"(row not found)"))</f>
        <v/>
      </c>
      <c r="E123" s="42"/>
      <c r="F123" s="45" t="str">
        <f aca="false">IF(E123="","",IFERROR(INDEX(Vendor_Register!$B$5:$B$205,MATCH(E123,Vendor_Register!$A$5:$A$205,0)),"(not in register)"))</f>
        <v/>
      </c>
      <c r="G123" s="45" t="str">
        <f aca="false">IF(E123="","",IFERROR(INDEX(Vendor_Register!$E$5:$E$205,MATCH(E123,Vendor_Register!$A$5:$A$205,0)),"(not in register)"))</f>
        <v/>
      </c>
      <c r="H123" s="42"/>
      <c r="I123" s="42"/>
      <c r="J123" s="42"/>
      <c r="K123" s="42"/>
      <c r="L123" s="42"/>
      <c r="M123" s="46"/>
      <c r="N123" s="42"/>
      <c r="O123" s="47" t="str">
        <f aca="false">IF(NOT(ISNUMBER(M123)),"",IFERROR(IF(L123="EUR",M123,IF(L123="IRR",M123/INDEX('Assumptions &amp; FX Reference'!$C$5:$C$25,MATCH(H123,'Assumptions &amp; FX Reference'!$A$5:$A$25,0)),IF(L123="USD",M123*INDEX('Assumptions &amp; FX Reference'!$B$5:$B$25,MATCH(H123,'Assumptions &amp; FX Reference'!$A$5:$A$25,0))/INDEX('Assumptions &amp; FX Reference'!$C$5:$C$25,MATCH(H123,'Assumptions &amp; FX Reference'!$A$5:$A$25,0)),""))),"(FX missing)"))</f>
        <v/>
      </c>
      <c r="P123" s="42"/>
      <c r="Q123" s="42"/>
      <c r="R123" s="42"/>
      <c r="S123" s="42"/>
      <c r="T123" s="42"/>
      <c r="U123" s="42"/>
      <c r="V123" s="42"/>
    </row>
    <row r="124" customFormat="false" ht="15" hidden="false" customHeight="false" outlineLevel="0" collapsed="false">
      <c r="A124" s="42"/>
      <c r="B124" s="42"/>
      <c r="C124" s="45" t="str">
        <f aca="false">IF(B124="","",IFERROR(INDEX('Master Database'!$D$5:$D$600,MATCH(B124,'Master Database'!$A$5:$A$600,0)),"(row not found)"))</f>
        <v/>
      </c>
      <c r="D124" s="45" t="str">
        <f aca="false">IF(B124="","",IFERROR(INDEX('Master Database'!$B$5:$B$600,MATCH(B124,'Master Database'!$A$5:$A$600,0)),"(row not found)"))</f>
        <v/>
      </c>
      <c r="E124" s="42"/>
      <c r="F124" s="45" t="str">
        <f aca="false">IF(E124="","",IFERROR(INDEX(Vendor_Register!$B$5:$B$205,MATCH(E124,Vendor_Register!$A$5:$A$205,0)),"(not in register)"))</f>
        <v/>
      </c>
      <c r="G124" s="45" t="str">
        <f aca="false">IF(E124="","",IFERROR(INDEX(Vendor_Register!$E$5:$E$205,MATCH(E124,Vendor_Register!$A$5:$A$205,0)),"(not in register)"))</f>
        <v/>
      </c>
      <c r="H124" s="42"/>
      <c r="I124" s="42"/>
      <c r="J124" s="42"/>
      <c r="K124" s="42"/>
      <c r="L124" s="42"/>
      <c r="M124" s="46"/>
      <c r="N124" s="42"/>
      <c r="O124" s="47" t="str">
        <f aca="false">IF(NOT(ISNUMBER(M124)),"",IFERROR(IF(L124="EUR",M124,IF(L124="IRR",M124/INDEX('Assumptions &amp; FX Reference'!$C$5:$C$25,MATCH(H124,'Assumptions &amp; FX Reference'!$A$5:$A$25,0)),IF(L124="USD",M124*INDEX('Assumptions &amp; FX Reference'!$B$5:$B$25,MATCH(H124,'Assumptions &amp; FX Reference'!$A$5:$A$25,0))/INDEX('Assumptions &amp; FX Reference'!$C$5:$C$25,MATCH(H124,'Assumptions &amp; FX Reference'!$A$5:$A$25,0)),""))),"(FX missing)"))</f>
        <v/>
      </c>
      <c r="P124" s="42"/>
      <c r="Q124" s="42"/>
      <c r="R124" s="42"/>
      <c r="S124" s="42"/>
      <c r="T124" s="42"/>
      <c r="U124" s="42"/>
      <c r="V124" s="42"/>
    </row>
    <row r="125" customFormat="false" ht="15" hidden="false" customHeight="false" outlineLevel="0" collapsed="false">
      <c r="A125" s="42"/>
      <c r="B125" s="42"/>
      <c r="C125" s="45" t="str">
        <f aca="false">IF(B125="","",IFERROR(INDEX('Master Database'!$D$5:$D$600,MATCH(B125,'Master Database'!$A$5:$A$600,0)),"(row not found)"))</f>
        <v/>
      </c>
      <c r="D125" s="45" t="str">
        <f aca="false">IF(B125="","",IFERROR(INDEX('Master Database'!$B$5:$B$600,MATCH(B125,'Master Database'!$A$5:$A$600,0)),"(row not found)"))</f>
        <v/>
      </c>
      <c r="E125" s="42"/>
      <c r="F125" s="45" t="str">
        <f aca="false">IF(E125="","",IFERROR(INDEX(Vendor_Register!$B$5:$B$205,MATCH(E125,Vendor_Register!$A$5:$A$205,0)),"(not in register)"))</f>
        <v/>
      </c>
      <c r="G125" s="45" t="str">
        <f aca="false">IF(E125="","",IFERROR(INDEX(Vendor_Register!$E$5:$E$205,MATCH(E125,Vendor_Register!$A$5:$A$205,0)),"(not in register)"))</f>
        <v/>
      </c>
      <c r="H125" s="42"/>
      <c r="I125" s="42"/>
      <c r="J125" s="42"/>
      <c r="K125" s="42"/>
      <c r="L125" s="42"/>
      <c r="M125" s="46"/>
      <c r="N125" s="42"/>
      <c r="O125" s="47" t="str">
        <f aca="false">IF(NOT(ISNUMBER(M125)),"",IFERROR(IF(L125="EUR",M125,IF(L125="IRR",M125/INDEX('Assumptions &amp; FX Reference'!$C$5:$C$25,MATCH(H125,'Assumptions &amp; FX Reference'!$A$5:$A$25,0)),IF(L125="USD",M125*INDEX('Assumptions &amp; FX Reference'!$B$5:$B$25,MATCH(H125,'Assumptions &amp; FX Reference'!$A$5:$A$25,0))/INDEX('Assumptions &amp; FX Reference'!$C$5:$C$25,MATCH(H125,'Assumptions &amp; FX Reference'!$A$5:$A$25,0)),""))),"(FX missing)"))</f>
        <v/>
      </c>
      <c r="P125" s="42"/>
      <c r="Q125" s="42"/>
      <c r="R125" s="42"/>
      <c r="S125" s="42"/>
      <c r="T125" s="42"/>
      <c r="U125" s="42"/>
      <c r="V125" s="42"/>
    </row>
    <row r="126" customFormat="false" ht="15" hidden="false" customHeight="false" outlineLevel="0" collapsed="false">
      <c r="A126" s="42"/>
      <c r="B126" s="42"/>
      <c r="C126" s="45" t="str">
        <f aca="false">IF(B126="","",IFERROR(INDEX('Master Database'!$D$5:$D$600,MATCH(B126,'Master Database'!$A$5:$A$600,0)),"(row not found)"))</f>
        <v/>
      </c>
      <c r="D126" s="45" t="str">
        <f aca="false">IF(B126="","",IFERROR(INDEX('Master Database'!$B$5:$B$600,MATCH(B126,'Master Database'!$A$5:$A$600,0)),"(row not found)"))</f>
        <v/>
      </c>
      <c r="E126" s="42"/>
      <c r="F126" s="45" t="str">
        <f aca="false">IF(E126="","",IFERROR(INDEX(Vendor_Register!$B$5:$B$205,MATCH(E126,Vendor_Register!$A$5:$A$205,0)),"(not in register)"))</f>
        <v/>
      </c>
      <c r="G126" s="45" t="str">
        <f aca="false">IF(E126="","",IFERROR(INDEX(Vendor_Register!$E$5:$E$205,MATCH(E126,Vendor_Register!$A$5:$A$205,0)),"(not in register)"))</f>
        <v/>
      </c>
      <c r="H126" s="42"/>
      <c r="I126" s="42"/>
      <c r="J126" s="42"/>
      <c r="K126" s="42"/>
      <c r="L126" s="42"/>
      <c r="M126" s="46"/>
      <c r="N126" s="42"/>
      <c r="O126" s="47" t="str">
        <f aca="false">IF(NOT(ISNUMBER(M126)),"",IFERROR(IF(L126="EUR",M126,IF(L126="IRR",M126/INDEX('Assumptions &amp; FX Reference'!$C$5:$C$25,MATCH(H126,'Assumptions &amp; FX Reference'!$A$5:$A$25,0)),IF(L126="USD",M126*INDEX('Assumptions &amp; FX Reference'!$B$5:$B$25,MATCH(H126,'Assumptions &amp; FX Reference'!$A$5:$A$25,0))/INDEX('Assumptions &amp; FX Reference'!$C$5:$C$25,MATCH(H126,'Assumptions &amp; FX Reference'!$A$5:$A$25,0)),""))),"(FX missing)"))</f>
        <v/>
      </c>
      <c r="P126" s="42"/>
      <c r="Q126" s="42"/>
      <c r="R126" s="42"/>
      <c r="S126" s="42"/>
      <c r="T126" s="42"/>
      <c r="U126" s="42"/>
      <c r="V126" s="42"/>
    </row>
    <row r="127" customFormat="false" ht="15" hidden="false" customHeight="false" outlineLevel="0" collapsed="false">
      <c r="A127" s="42"/>
      <c r="B127" s="42"/>
      <c r="C127" s="45" t="str">
        <f aca="false">IF(B127="","",IFERROR(INDEX('Master Database'!$D$5:$D$600,MATCH(B127,'Master Database'!$A$5:$A$600,0)),"(row not found)"))</f>
        <v/>
      </c>
      <c r="D127" s="45" t="str">
        <f aca="false">IF(B127="","",IFERROR(INDEX('Master Database'!$B$5:$B$600,MATCH(B127,'Master Database'!$A$5:$A$600,0)),"(row not found)"))</f>
        <v/>
      </c>
      <c r="E127" s="42"/>
      <c r="F127" s="45" t="str">
        <f aca="false">IF(E127="","",IFERROR(INDEX(Vendor_Register!$B$5:$B$205,MATCH(E127,Vendor_Register!$A$5:$A$205,0)),"(not in register)"))</f>
        <v/>
      </c>
      <c r="G127" s="45" t="str">
        <f aca="false">IF(E127="","",IFERROR(INDEX(Vendor_Register!$E$5:$E$205,MATCH(E127,Vendor_Register!$A$5:$A$205,0)),"(not in register)"))</f>
        <v/>
      </c>
      <c r="H127" s="42"/>
      <c r="I127" s="42"/>
      <c r="J127" s="42"/>
      <c r="K127" s="42"/>
      <c r="L127" s="42"/>
      <c r="M127" s="46"/>
      <c r="N127" s="42"/>
      <c r="O127" s="47" t="str">
        <f aca="false">IF(NOT(ISNUMBER(M127)),"",IFERROR(IF(L127="EUR",M127,IF(L127="IRR",M127/INDEX('Assumptions &amp; FX Reference'!$C$5:$C$25,MATCH(H127,'Assumptions &amp; FX Reference'!$A$5:$A$25,0)),IF(L127="USD",M127*INDEX('Assumptions &amp; FX Reference'!$B$5:$B$25,MATCH(H127,'Assumptions &amp; FX Reference'!$A$5:$A$25,0))/INDEX('Assumptions &amp; FX Reference'!$C$5:$C$25,MATCH(H127,'Assumptions &amp; FX Reference'!$A$5:$A$25,0)),""))),"(FX missing)"))</f>
        <v/>
      </c>
      <c r="P127" s="42"/>
      <c r="Q127" s="42"/>
      <c r="R127" s="42"/>
      <c r="S127" s="42"/>
      <c r="T127" s="42"/>
      <c r="U127" s="42"/>
      <c r="V127" s="42"/>
    </row>
    <row r="128" customFormat="false" ht="15" hidden="false" customHeight="false" outlineLevel="0" collapsed="false">
      <c r="A128" s="42"/>
      <c r="B128" s="42"/>
      <c r="C128" s="45" t="str">
        <f aca="false">IF(B128="","",IFERROR(INDEX('Master Database'!$D$5:$D$600,MATCH(B128,'Master Database'!$A$5:$A$600,0)),"(row not found)"))</f>
        <v/>
      </c>
      <c r="D128" s="45" t="str">
        <f aca="false">IF(B128="","",IFERROR(INDEX('Master Database'!$B$5:$B$600,MATCH(B128,'Master Database'!$A$5:$A$600,0)),"(row not found)"))</f>
        <v/>
      </c>
      <c r="E128" s="42"/>
      <c r="F128" s="45" t="str">
        <f aca="false">IF(E128="","",IFERROR(INDEX(Vendor_Register!$B$5:$B$205,MATCH(E128,Vendor_Register!$A$5:$A$205,0)),"(not in register)"))</f>
        <v/>
      </c>
      <c r="G128" s="45" t="str">
        <f aca="false">IF(E128="","",IFERROR(INDEX(Vendor_Register!$E$5:$E$205,MATCH(E128,Vendor_Register!$A$5:$A$205,0)),"(not in register)"))</f>
        <v/>
      </c>
      <c r="H128" s="42"/>
      <c r="I128" s="42"/>
      <c r="J128" s="42"/>
      <c r="K128" s="42"/>
      <c r="L128" s="42"/>
      <c r="M128" s="46"/>
      <c r="N128" s="42"/>
      <c r="O128" s="47" t="str">
        <f aca="false">IF(NOT(ISNUMBER(M128)),"",IFERROR(IF(L128="EUR",M128,IF(L128="IRR",M128/INDEX('Assumptions &amp; FX Reference'!$C$5:$C$25,MATCH(H128,'Assumptions &amp; FX Reference'!$A$5:$A$25,0)),IF(L128="USD",M128*INDEX('Assumptions &amp; FX Reference'!$B$5:$B$25,MATCH(H128,'Assumptions &amp; FX Reference'!$A$5:$A$25,0))/INDEX('Assumptions &amp; FX Reference'!$C$5:$C$25,MATCH(H128,'Assumptions &amp; FX Reference'!$A$5:$A$25,0)),""))),"(FX missing)"))</f>
        <v/>
      </c>
      <c r="P128" s="42"/>
      <c r="Q128" s="42"/>
      <c r="R128" s="42"/>
      <c r="S128" s="42"/>
      <c r="T128" s="42"/>
      <c r="U128" s="42"/>
      <c r="V128" s="42"/>
    </row>
    <row r="129" customFormat="false" ht="15" hidden="false" customHeight="false" outlineLevel="0" collapsed="false">
      <c r="A129" s="42"/>
      <c r="B129" s="42"/>
      <c r="C129" s="45" t="str">
        <f aca="false">IF(B129="","",IFERROR(INDEX('Master Database'!$D$5:$D$600,MATCH(B129,'Master Database'!$A$5:$A$600,0)),"(row not found)"))</f>
        <v/>
      </c>
      <c r="D129" s="45" t="str">
        <f aca="false">IF(B129="","",IFERROR(INDEX('Master Database'!$B$5:$B$600,MATCH(B129,'Master Database'!$A$5:$A$600,0)),"(row not found)"))</f>
        <v/>
      </c>
      <c r="E129" s="42"/>
      <c r="F129" s="45" t="str">
        <f aca="false">IF(E129="","",IFERROR(INDEX(Vendor_Register!$B$5:$B$205,MATCH(E129,Vendor_Register!$A$5:$A$205,0)),"(not in register)"))</f>
        <v/>
      </c>
      <c r="G129" s="45" t="str">
        <f aca="false">IF(E129="","",IFERROR(INDEX(Vendor_Register!$E$5:$E$205,MATCH(E129,Vendor_Register!$A$5:$A$205,0)),"(not in register)"))</f>
        <v/>
      </c>
      <c r="H129" s="42"/>
      <c r="I129" s="42"/>
      <c r="J129" s="42"/>
      <c r="K129" s="42"/>
      <c r="L129" s="42"/>
      <c r="M129" s="46"/>
      <c r="N129" s="42"/>
      <c r="O129" s="47" t="str">
        <f aca="false">IF(NOT(ISNUMBER(M129)),"",IFERROR(IF(L129="EUR",M129,IF(L129="IRR",M129/INDEX('Assumptions &amp; FX Reference'!$C$5:$C$25,MATCH(H129,'Assumptions &amp; FX Reference'!$A$5:$A$25,0)),IF(L129="USD",M129*INDEX('Assumptions &amp; FX Reference'!$B$5:$B$25,MATCH(H129,'Assumptions &amp; FX Reference'!$A$5:$A$25,0))/INDEX('Assumptions &amp; FX Reference'!$C$5:$C$25,MATCH(H129,'Assumptions &amp; FX Reference'!$A$5:$A$25,0)),""))),"(FX missing)"))</f>
        <v/>
      </c>
      <c r="P129" s="42"/>
      <c r="Q129" s="42"/>
      <c r="R129" s="42"/>
      <c r="S129" s="42"/>
      <c r="T129" s="42"/>
      <c r="U129" s="42"/>
      <c r="V129" s="42"/>
    </row>
    <row r="130" customFormat="false" ht="15" hidden="false" customHeight="false" outlineLevel="0" collapsed="false">
      <c r="A130" s="42"/>
      <c r="B130" s="42"/>
      <c r="C130" s="45" t="str">
        <f aca="false">IF(B130="","",IFERROR(INDEX('Master Database'!$D$5:$D$600,MATCH(B130,'Master Database'!$A$5:$A$600,0)),"(row not found)"))</f>
        <v/>
      </c>
      <c r="D130" s="45" t="str">
        <f aca="false">IF(B130="","",IFERROR(INDEX('Master Database'!$B$5:$B$600,MATCH(B130,'Master Database'!$A$5:$A$600,0)),"(row not found)"))</f>
        <v/>
      </c>
      <c r="E130" s="42"/>
      <c r="F130" s="45" t="str">
        <f aca="false">IF(E130="","",IFERROR(INDEX(Vendor_Register!$B$5:$B$205,MATCH(E130,Vendor_Register!$A$5:$A$205,0)),"(not in register)"))</f>
        <v/>
      </c>
      <c r="G130" s="45" t="str">
        <f aca="false">IF(E130="","",IFERROR(INDEX(Vendor_Register!$E$5:$E$205,MATCH(E130,Vendor_Register!$A$5:$A$205,0)),"(not in register)"))</f>
        <v/>
      </c>
      <c r="H130" s="42"/>
      <c r="I130" s="42"/>
      <c r="J130" s="42"/>
      <c r="K130" s="42"/>
      <c r="L130" s="42"/>
      <c r="M130" s="46"/>
      <c r="N130" s="42"/>
      <c r="O130" s="47" t="str">
        <f aca="false">IF(NOT(ISNUMBER(M130)),"",IFERROR(IF(L130="EUR",M130,IF(L130="IRR",M130/INDEX('Assumptions &amp; FX Reference'!$C$5:$C$25,MATCH(H130,'Assumptions &amp; FX Reference'!$A$5:$A$25,0)),IF(L130="USD",M130*INDEX('Assumptions &amp; FX Reference'!$B$5:$B$25,MATCH(H130,'Assumptions &amp; FX Reference'!$A$5:$A$25,0))/INDEX('Assumptions &amp; FX Reference'!$C$5:$C$25,MATCH(H130,'Assumptions &amp; FX Reference'!$A$5:$A$25,0)),""))),"(FX missing)"))</f>
        <v/>
      </c>
      <c r="P130" s="42"/>
      <c r="Q130" s="42"/>
      <c r="R130" s="42"/>
      <c r="S130" s="42"/>
      <c r="T130" s="42"/>
      <c r="U130" s="42"/>
      <c r="V130" s="42"/>
    </row>
    <row r="131" customFormat="false" ht="15" hidden="false" customHeight="false" outlineLevel="0" collapsed="false">
      <c r="A131" s="42"/>
      <c r="B131" s="42"/>
      <c r="C131" s="45" t="str">
        <f aca="false">IF(B131="","",IFERROR(INDEX('Master Database'!$D$5:$D$600,MATCH(B131,'Master Database'!$A$5:$A$600,0)),"(row not found)"))</f>
        <v/>
      </c>
      <c r="D131" s="45" t="str">
        <f aca="false">IF(B131="","",IFERROR(INDEX('Master Database'!$B$5:$B$600,MATCH(B131,'Master Database'!$A$5:$A$600,0)),"(row not found)"))</f>
        <v/>
      </c>
      <c r="E131" s="42"/>
      <c r="F131" s="45" t="str">
        <f aca="false">IF(E131="","",IFERROR(INDEX(Vendor_Register!$B$5:$B$205,MATCH(E131,Vendor_Register!$A$5:$A$205,0)),"(not in register)"))</f>
        <v/>
      </c>
      <c r="G131" s="45" t="str">
        <f aca="false">IF(E131="","",IFERROR(INDEX(Vendor_Register!$E$5:$E$205,MATCH(E131,Vendor_Register!$A$5:$A$205,0)),"(not in register)"))</f>
        <v/>
      </c>
      <c r="H131" s="42"/>
      <c r="I131" s="42"/>
      <c r="J131" s="42"/>
      <c r="K131" s="42"/>
      <c r="L131" s="42"/>
      <c r="M131" s="46"/>
      <c r="N131" s="42"/>
      <c r="O131" s="47" t="str">
        <f aca="false">IF(NOT(ISNUMBER(M131)),"",IFERROR(IF(L131="EUR",M131,IF(L131="IRR",M131/INDEX('Assumptions &amp; FX Reference'!$C$5:$C$25,MATCH(H131,'Assumptions &amp; FX Reference'!$A$5:$A$25,0)),IF(L131="USD",M131*INDEX('Assumptions &amp; FX Reference'!$B$5:$B$25,MATCH(H131,'Assumptions &amp; FX Reference'!$A$5:$A$25,0))/INDEX('Assumptions &amp; FX Reference'!$C$5:$C$25,MATCH(H131,'Assumptions &amp; FX Reference'!$A$5:$A$25,0)),""))),"(FX missing)"))</f>
        <v/>
      </c>
      <c r="P131" s="42"/>
      <c r="Q131" s="42"/>
      <c r="R131" s="42"/>
      <c r="S131" s="42"/>
      <c r="T131" s="42"/>
      <c r="U131" s="42"/>
      <c r="V131" s="42"/>
    </row>
    <row r="132" customFormat="false" ht="15" hidden="false" customHeight="false" outlineLevel="0" collapsed="false">
      <c r="A132" s="42"/>
      <c r="B132" s="42"/>
      <c r="C132" s="45" t="str">
        <f aca="false">IF(B132="","",IFERROR(INDEX('Master Database'!$D$5:$D$600,MATCH(B132,'Master Database'!$A$5:$A$600,0)),"(row not found)"))</f>
        <v/>
      </c>
      <c r="D132" s="45" t="str">
        <f aca="false">IF(B132="","",IFERROR(INDEX('Master Database'!$B$5:$B$600,MATCH(B132,'Master Database'!$A$5:$A$600,0)),"(row not found)"))</f>
        <v/>
      </c>
      <c r="E132" s="42"/>
      <c r="F132" s="45" t="str">
        <f aca="false">IF(E132="","",IFERROR(INDEX(Vendor_Register!$B$5:$B$205,MATCH(E132,Vendor_Register!$A$5:$A$205,0)),"(not in register)"))</f>
        <v/>
      </c>
      <c r="G132" s="45" t="str">
        <f aca="false">IF(E132="","",IFERROR(INDEX(Vendor_Register!$E$5:$E$205,MATCH(E132,Vendor_Register!$A$5:$A$205,0)),"(not in register)"))</f>
        <v/>
      </c>
      <c r="H132" s="42"/>
      <c r="I132" s="42"/>
      <c r="J132" s="42"/>
      <c r="K132" s="42"/>
      <c r="L132" s="42"/>
      <c r="M132" s="46"/>
      <c r="N132" s="42"/>
      <c r="O132" s="47" t="str">
        <f aca="false">IF(NOT(ISNUMBER(M132)),"",IFERROR(IF(L132="EUR",M132,IF(L132="IRR",M132/INDEX('Assumptions &amp; FX Reference'!$C$5:$C$25,MATCH(H132,'Assumptions &amp; FX Reference'!$A$5:$A$25,0)),IF(L132="USD",M132*INDEX('Assumptions &amp; FX Reference'!$B$5:$B$25,MATCH(H132,'Assumptions &amp; FX Reference'!$A$5:$A$25,0))/INDEX('Assumptions &amp; FX Reference'!$C$5:$C$25,MATCH(H132,'Assumptions &amp; FX Reference'!$A$5:$A$25,0)),""))),"(FX missing)"))</f>
        <v/>
      </c>
      <c r="P132" s="42"/>
      <c r="Q132" s="42"/>
      <c r="R132" s="42"/>
      <c r="S132" s="42"/>
      <c r="T132" s="42"/>
      <c r="U132" s="42"/>
      <c r="V132" s="42"/>
    </row>
    <row r="133" customFormat="false" ht="15" hidden="false" customHeight="false" outlineLevel="0" collapsed="false">
      <c r="A133" s="42"/>
      <c r="B133" s="42"/>
      <c r="C133" s="45" t="str">
        <f aca="false">IF(B133="","",IFERROR(INDEX('Master Database'!$D$5:$D$600,MATCH(B133,'Master Database'!$A$5:$A$600,0)),"(row not found)"))</f>
        <v/>
      </c>
      <c r="D133" s="45" t="str">
        <f aca="false">IF(B133="","",IFERROR(INDEX('Master Database'!$B$5:$B$600,MATCH(B133,'Master Database'!$A$5:$A$600,0)),"(row not found)"))</f>
        <v/>
      </c>
      <c r="E133" s="42"/>
      <c r="F133" s="45" t="str">
        <f aca="false">IF(E133="","",IFERROR(INDEX(Vendor_Register!$B$5:$B$205,MATCH(E133,Vendor_Register!$A$5:$A$205,0)),"(not in register)"))</f>
        <v/>
      </c>
      <c r="G133" s="45" t="str">
        <f aca="false">IF(E133="","",IFERROR(INDEX(Vendor_Register!$E$5:$E$205,MATCH(E133,Vendor_Register!$A$5:$A$205,0)),"(not in register)"))</f>
        <v/>
      </c>
      <c r="H133" s="42"/>
      <c r="I133" s="42"/>
      <c r="J133" s="42"/>
      <c r="K133" s="42"/>
      <c r="L133" s="42"/>
      <c r="M133" s="46"/>
      <c r="N133" s="42"/>
      <c r="O133" s="47" t="str">
        <f aca="false">IF(NOT(ISNUMBER(M133)),"",IFERROR(IF(L133="EUR",M133,IF(L133="IRR",M133/INDEX('Assumptions &amp; FX Reference'!$C$5:$C$25,MATCH(H133,'Assumptions &amp; FX Reference'!$A$5:$A$25,0)),IF(L133="USD",M133*INDEX('Assumptions &amp; FX Reference'!$B$5:$B$25,MATCH(H133,'Assumptions &amp; FX Reference'!$A$5:$A$25,0))/INDEX('Assumptions &amp; FX Reference'!$C$5:$C$25,MATCH(H133,'Assumptions &amp; FX Reference'!$A$5:$A$25,0)),""))),"(FX missing)"))</f>
        <v/>
      </c>
      <c r="P133" s="42"/>
      <c r="Q133" s="42"/>
      <c r="R133" s="42"/>
      <c r="S133" s="42"/>
      <c r="T133" s="42"/>
      <c r="U133" s="42"/>
      <c r="V133" s="42"/>
    </row>
    <row r="134" customFormat="false" ht="15" hidden="false" customHeight="false" outlineLevel="0" collapsed="false">
      <c r="A134" s="42"/>
      <c r="B134" s="42"/>
      <c r="C134" s="45" t="str">
        <f aca="false">IF(B134="","",IFERROR(INDEX('Master Database'!$D$5:$D$600,MATCH(B134,'Master Database'!$A$5:$A$600,0)),"(row not found)"))</f>
        <v/>
      </c>
      <c r="D134" s="45" t="str">
        <f aca="false">IF(B134="","",IFERROR(INDEX('Master Database'!$B$5:$B$600,MATCH(B134,'Master Database'!$A$5:$A$600,0)),"(row not found)"))</f>
        <v/>
      </c>
      <c r="E134" s="42"/>
      <c r="F134" s="45" t="str">
        <f aca="false">IF(E134="","",IFERROR(INDEX(Vendor_Register!$B$5:$B$205,MATCH(E134,Vendor_Register!$A$5:$A$205,0)),"(not in register)"))</f>
        <v/>
      </c>
      <c r="G134" s="45" t="str">
        <f aca="false">IF(E134="","",IFERROR(INDEX(Vendor_Register!$E$5:$E$205,MATCH(E134,Vendor_Register!$A$5:$A$205,0)),"(not in register)"))</f>
        <v/>
      </c>
      <c r="H134" s="42"/>
      <c r="I134" s="42"/>
      <c r="J134" s="42"/>
      <c r="K134" s="42"/>
      <c r="L134" s="42"/>
      <c r="M134" s="46"/>
      <c r="N134" s="42"/>
      <c r="O134" s="47" t="str">
        <f aca="false">IF(NOT(ISNUMBER(M134)),"",IFERROR(IF(L134="EUR",M134,IF(L134="IRR",M134/INDEX('Assumptions &amp; FX Reference'!$C$5:$C$25,MATCH(H134,'Assumptions &amp; FX Reference'!$A$5:$A$25,0)),IF(L134="USD",M134*INDEX('Assumptions &amp; FX Reference'!$B$5:$B$25,MATCH(H134,'Assumptions &amp; FX Reference'!$A$5:$A$25,0))/INDEX('Assumptions &amp; FX Reference'!$C$5:$C$25,MATCH(H134,'Assumptions &amp; FX Reference'!$A$5:$A$25,0)),""))),"(FX missing)"))</f>
        <v/>
      </c>
      <c r="P134" s="42"/>
      <c r="Q134" s="42"/>
      <c r="R134" s="42"/>
      <c r="S134" s="42"/>
      <c r="T134" s="42"/>
      <c r="U134" s="42"/>
      <c r="V134" s="42"/>
    </row>
    <row r="135" customFormat="false" ht="15" hidden="false" customHeight="false" outlineLevel="0" collapsed="false">
      <c r="A135" s="42"/>
      <c r="B135" s="42"/>
      <c r="C135" s="45" t="str">
        <f aca="false">IF(B135="","",IFERROR(INDEX('Master Database'!$D$5:$D$600,MATCH(B135,'Master Database'!$A$5:$A$600,0)),"(row not found)"))</f>
        <v/>
      </c>
      <c r="D135" s="45" t="str">
        <f aca="false">IF(B135="","",IFERROR(INDEX('Master Database'!$B$5:$B$600,MATCH(B135,'Master Database'!$A$5:$A$600,0)),"(row not found)"))</f>
        <v/>
      </c>
      <c r="E135" s="42"/>
      <c r="F135" s="45" t="str">
        <f aca="false">IF(E135="","",IFERROR(INDEX(Vendor_Register!$B$5:$B$205,MATCH(E135,Vendor_Register!$A$5:$A$205,0)),"(not in register)"))</f>
        <v/>
      </c>
      <c r="G135" s="45" t="str">
        <f aca="false">IF(E135="","",IFERROR(INDEX(Vendor_Register!$E$5:$E$205,MATCH(E135,Vendor_Register!$A$5:$A$205,0)),"(not in register)"))</f>
        <v/>
      </c>
      <c r="H135" s="42"/>
      <c r="I135" s="42"/>
      <c r="J135" s="42"/>
      <c r="K135" s="42"/>
      <c r="L135" s="42"/>
      <c r="M135" s="46"/>
      <c r="N135" s="42"/>
      <c r="O135" s="47" t="str">
        <f aca="false">IF(NOT(ISNUMBER(M135)),"",IFERROR(IF(L135="EUR",M135,IF(L135="IRR",M135/INDEX('Assumptions &amp; FX Reference'!$C$5:$C$25,MATCH(H135,'Assumptions &amp; FX Reference'!$A$5:$A$25,0)),IF(L135="USD",M135*INDEX('Assumptions &amp; FX Reference'!$B$5:$B$25,MATCH(H135,'Assumptions &amp; FX Reference'!$A$5:$A$25,0))/INDEX('Assumptions &amp; FX Reference'!$C$5:$C$25,MATCH(H135,'Assumptions &amp; FX Reference'!$A$5:$A$25,0)),""))),"(FX missing)"))</f>
        <v/>
      </c>
      <c r="P135" s="42"/>
      <c r="Q135" s="42"/>
      <c r="R135" s="42"/>
      <c r="S135" s="42"/>
      <c r="T135" s="42"/>
      <c r="U135" s="42"/>
      <c r="V135" s="42"/>
    </row>
    <row r="136" customFormat="false" ht="15" hidden="false" customHeight="false" outlineLevel="0" collapsed="false">
      <c r="A136" s="42"/>
      <c r="B136" s="42"/>
      <c r="C136" s="45" t="str">
        <f aca="false">IF(B136="","",IFERROR(INDEX('Master Database'!$D$5:$D$600,MATCH(B136,'Master Database'!$A$5:$A$600,0)),"(row not found)"))</f>
        <v/>
      </c>
      <c r="D136" s="45" t="str">
        <f aca="false">IF(B136="","",IFERROR(INDEX('Master Database'!$B$5:$B$600,MATCH(B136,'Master Database'!$A$5:$A$600,0)),"(row not found)"))</f>
        <v/>
      </c>
      <c r="E136" s="42"/>
      <c r="F136" s="45" t="str">
        <f aca="false">IF(E136="","",IFERROR(INDEX(Vendor_Register!$B$5:$B$205,MATCH(E136,Vendor_Register!$A$5:$A$205,0)),"(not in register)"))</f>
        <v/>
      </c>
      <c r="G136" s="45" t="str">
        <f aca="false">IF(E136="","",IFERROR(INDEX(Vendor_Register!$E$5:$E$205,MATCH(E136,Vendor_Register!$A$5:$A$205,0)),"(not in register)"))</f>
        <v/>
      </c>
      <c r="H136" s="42"/>
      <c r="I136" s="42"/>
      <c r="J136" s="42"/>
      <c r="K136" s="42"/>
      <c r="L136" s="42"/>
      <c r="M136" s="46"/>
      <c r="N136" s="42"/>
      <c r="O136" s="47" t="str">
        <f aca="false">IF(NOT(ISNUMBER(M136)),"",IFERROR(IF(L136="EUR",M136,IF(L136="IRR",M136/INDEX('Assumptions &amp; FX Reference'!$C$5:$C$25,MATCH(H136,'Assumptions &amp; FX Reference'!$A$5:$A$25,0)),IF(L136="USD",M136*INDEX('Assumptions &amp; FX Reference'!$B$5:$B$25,MATCH(H136,'Assumptions &amp; FX Reference'!$A$5:$A$25,0))/INDEX('Assumptions &amp; FX Reference'!$C$5:$C$25,MATCH(H136,'Assumptions &amp; FX Reference'!$A$5:$A$25,0)),""))),"(FX missing)"))</f>
        <v/>
      </c>
      <c r="P136" s="42"/>
      <c r="Q136" s="42"/>
      <c r="R136" s="42"/>
      <c r="S136" s="42"/>
      <c r="T136" s="42"/>
      <c r="U136" s="42"/>
      <c r="V136" s="42"/>
    </row>
    <row r="137" customFormat="false" ht="15" hidden="false" customHeight="false" outlineLevel="0" collapsed="false">
      <c r="A137" s="42"/>
      <c r="B137" s="42"/>
      <c r="C137" s="45" t="str">
        <f aca="false">IF(B137="","",IFERROR(INDEX('Master Database'!$D$5:$D$600,MATCH(B137,'Master Database'!$A$5:$A$600,0)),"(row not found)"))</f>
        <v/>
      </c>
      <c r="D137" s="45" t="str">
        <f aca="false">IF(B137="","",IFERROR(INDEX('Master Database'!$B$5:$B$600,MATCH(B137,'Master Database'!$A$5:$A$600,0)),"(row not found)"))</f>
        <v/>
      </c>
      <c r="E137" s="42"/>
      <c r="F137" s="45" t="str">
        <f aca="false">IF(E137="","",IFERROR(INDEX(Vendor_Register!$B$5:$B$205,MATCH(E137,Vendor_Register!$A$5:$A$205,0)),"(not in register)"))</f>
        <v/>
      </c>
      <c r="G137" s="45" t="str">
        <f aca="false">IF(E137="","",IFERROR(INDEX(Vendor_Register!$E$5:$E$205,MATCH(E137,Vendor_Register!$A$5:$A$205,0)),"(not in register)"))</f>
        <v/>
      </c>
      <c r="H137" s="42"/>
      <c r="I137" s="42"/>
      <c r="J137" s="42"/>
      <c r="K137" s="42"/>
      <c r="L137" s="42"/>
      <c r="M137" s="46"/>
      <c r="N137" s="42"/>
      <c r="O137" s="47" t="str">
        <f aca="false">IF(NOT(ISNUMBER(M137)),"",IFERROR(IF(L137="EUR",M137,IF(L137="IRR",M137/INDEX('Assumptions &amp; FX Reference'!$C$5:$C$25,MATCH(H137,'Assumptions &amp; FX Reference'!$A$5:$A$25,0)),IF(L137="USD",M137*INDEX('Assumptions &amp; FX Reference'!$B$5:$B$25,MATCH(H137,'Assumptions &amp; FX Reference'!$A$5:$A$25,0))/INDEX('Assumptions &amp; FX Reference'!$C$5:$C$25,MATCH(H137,'Assumptions &amp; FX Reference'!$A$5:$A$25,0)),""))),"(FX missing)"))</f>
        <v/>
      </c>
      <c r="P137" s="42"/>
      <c r="Q137" s="42"/>
      <c r="R137" s="42"/>
      <c r="S137" s="42"/>
      <c r="T137" s="42"/>
      <c r="U137" s="42"/>
      <c r="V137" s="42"/>
    </row>
    <row r="138" customFormat="false" ht="15" hidden="false" customHeight="false" outlineLevel="0" collapsed="false">
      <c r="A138" s="42"/>
      <c r="B138" s="42"/>
      <c r="C138" s="45" t="str">
        <f aca="false">IF(B138="","",IFERROR(INDEX('Master Database'!$D$5:$D$600,MATCH(B138,'Master Database'!$A$5:$A$600,0)),"(row not found)"))</f>
        <v/>
      </c>
      <c r="D138" s="45" t="str">
        <f aca="false">IF(B138="","",IFERROR(INDEX('Master Database'!$B$5:$B$600,MATCH(B138,'Master Database'!$A$5:$A$600,0)),"(row not found)"))</f>
        <v/>
      </c>
      <c r="E138" s="42"/>
      <c r="F138" s="45" t="str">
        <f aca="false">IF(E138="","",IFERROR(INDEX(Vendor_Register!$B$5:$B$205,MATCH(E138,Vendor_Register!$A$5:$A$205,0)),"(not in register)"))</f>
        <v/>
      </c>
      <c r="G138" s="45" t="str">
        <f aca="false">IF(E138="","",IFERROR(INDEX(Vendor_Register!$E$5:$E$205,MATCH(E138,Vendor_Register!$A$5:$A$205,0)),"(not in register)"))</f>
        <v/>
      </c>
      <c r="H138" s="42"/>
      <c r="I138" s="42"/>
      <c r="J138" s="42"/>
      <c r="K138" s="42"/>
      <c r="L138" s="42"/>
      <c r="M138" s="46"/>
      <c r="N138" s="42"/>
      <c r="O138" s="47" t="str">
        <f aca="false">IF(NOT(ISNUMBER(M138)),"",IFERROR(IF(L138="EUR",M138,IF(L138="IRR",M138/INDEX('Assumptions &amp; FX Reference'!$C$5:$C$25,MATCH(H138,'Assumptions &amp; FX Reference'!$A$5:$A$25,0)),IF(L138="USD",M138*INDEX('Assumptions &amp; FX Reference'!$B$5:$B$25,MATCH(H138,'Assumptions &amp; FX Reference'!$A$5:$A$25,0))/INDEX('Assumptions &amp; FX Reference'!$C$5:$C$25,MATCH(H138,'Assumptions &amp; FX Reference'!$A$5:$A$25,0)),""))),"(FX missing)"))</f>
        <v/>
      </c>
      <c r="P138" s="42"/>
      <c r="Q138" s="42"/>
      <c r="R138" s="42"/>
      <c r="S138" s="42"/>
      <c r="T138" s="42"/>
      <c r="U138" s="42"/>
      <c r="V138" s="42"/>
    </row>
    <row r="139" customFormat="false" ht="15" hidden="false" customHeight="false" outlineLevel="0" collapsed="false">
      <c r="A139" s="42"/>
      <c r="B139" s="42"/>
      <c r="C139" s="45" t="str">
        <f aca="false">IF(B139="","",IFERROR(INDEX('Master Database'!$D$5:$D$600,MATCH(B139,'Master Database'!$A$5:$A$600,0)),"(row not found)"))</f>
        <v/>
      </c>
      <c r="D139" s="45" t="str">
        <f aca="false">IF(B139="","",IFERROR(INDEX('Master Database'!$B$5:$B$600,MATCH(B139,'Master Database'!$A$5:$A$600,0)),"(row not found)"))</f>
        <v/>
      </c>
      <c r="E139" s="42"/>
      <c r="F139" s="45" t="str">
        <f aca="false">IF(E139="","",IFERROR(INDEX(Vendor_Register!$B$5:$B$205,MATCH(E139,Vendor_Register!$A$5:$A$205,0)),"(not in register)"))</f>
        <v/>
      </c>
      <c r="G139" s="45" t="str">
        <f aca="false">IF(E139="","",IFERROR(INDEX(Vendor_Register!$E$5:$E$205,MATCH(E139,Vendor_Register!$A$5:$A$205,0)),"(not in register)"))</f>
        <v/>
      </c>
      <c r="H139" s="42"/>
      <c r="I139" s="42"/>
      <c r="J139" s="42"/>
      <c r="K139" s="42"/>
      <c r="L139" s="42"/>
      <c r="M139" s="46"/>
      <c r="N139" s="42"/>
      <c r="O139" s="47" t="str">
        <f aca="false">IF(NOT(ISNUMBER(M139)),"",IFERROR(IF(L139="EUR",M139,IF(L139="IRR",M139/INDEX('Assumptions &amp; FX Reference'!$C$5:$C$25,MATCH(H139,'Assumptions &amp; FX Reference'!$A$5:$A$25,0)),IF(L139="USD",M139*INDEX('Assumptions &amp; FX Reference'!$B$5:$B$25,MATCH(H139,'Assumptions &amp; FX Reference'!$A$5:$A$25,0))/INDEX('Assumptions &amp; FX Reference'!$C$5:$C$25,MATCH(H139,'Assumptions &amp; FX Reference'!$A$5:$A$25,0)),""))),"(FX missing)"))</f>
        <v/>
      </c>
      <c r="P139" s="42"/>
      <c r="Q139" s="42"/>
      <c r="R139" s="42"/>
      <c r="S139" s="42"/>
      <c r="T139" s="42"/>
      <c r="U139" s="42"/>
      <c r="V139" s="42"/>
    </row>
    <row r="140" customFormat="false" ht="15" hidden="false" customHeight="false" outlineLevel="0" collapsed="false">
      <c r="A140" s="42"/>
      <c r="B140" s="42"/>
      <c r="C140" s="45" t="str">
        <f aca="false">IF(B140="","",IFERROR(INDEX('Master Database'!$D$5:$D$600,MATCH(B140,'Master Database'!$A$5:$A$600,0)),"(row not found)"))</f>
        <v/>
      </c>
      <c r="D140" s="45" t="str">
        <f aca="false">IF(B140="","",IFERROR(INDEX('Master Database'!$B$5:$B$600,MATCH(B140,'Master Database'!$A$5:$A$600,0)),"(row not found)"))</f>
        <v/>
      </c>
      <c r="E140" s="42"/>
      <c r="F140" s="45" t="str">
        <f aca="false">IF(E140="","",IFERROR(INDEX(Vendor_Register!$B$5:$B$205,MATCH(E140,Vendor_Register!$A$5:$A$205,0)),"(not in register)"))</f>
        <v/>
      </c>
      <c r="G140" s="45" t="str">
        <f aca="false">IF(E140="","",IFERROR(INDEX(Vendor_Register!$E$5:$E$205,MATCH(E140,Vendor_Register!$A$5:$A$205,0)),"(not in register)"))</f>
        <v/>
      </c>
      <c r="H140" s="42"/>
      <c r="I140" s="42"/>
      <c r="J140" s="42"/>
      <c r="K140" s="42"/>
      <c r="L140" s="42"/>
      <c r="M140" s="46"/>
      <c r="N140" s="42"/>
      <c r="O140" s="47" t="str">
        <f aca="false">IF(NOT(ISNUMBER(M140)),"",IFERROR(IF(L140="EUR",M140,IF(L140="IRR",M140/INDEX('Assumptions &amp; FX Reference'!$C$5:$C$25,MATCH(H140,'Assumptions &amp; FX Reference'!$A$5:$A$25,0)),IF(L140="USD",M140*INDEX('Assumptions &amp; FX Reference'!$B$5:$B$25,MATCH(H140,'Assumptions &amp; FX Reference'!$A$5:$A$25,0))/INDEX('Assumptions &amp; FX Reference'!$C$5:$C$25,MATCH(H140,'Assumptions &amp; FX Reference'!$A$5:$A$25,0)),""))),"(FX missing)"))</f>
        <v/>
      </c>
      <c r="P140" s="42"/>
      <c r="Q140" s="42"/>
      <c r="R140" s="42"/>
      <c r="S140" s="42"/>
      <c r="T140" s="42"/>
      <c r="U140" s="42"/>
      <c r="V140" s="42"/>
    </row>
    <row r="141" customFormat="false" ht="15" hidden="false" customHeight="false" outlineLevel="0" collapsed="false">
      <c r="A141" s="42"/>
      <c r="B141" s="42"/>
      <c r="C141" s="45" t="str">
        <f aca="false">IF(B141="","",IFERROR(INDEX('Master Database'!$D$5:$D$600,MATCH(B141,'Master Database'!$A$5:$A$600,0)),"(row not found)"))</f>
        <v/>
      </c>
      <c r="D141" s="45" t="str">
        <f aca="false">IF(B141="","",IFERROR(INDEX('Master Database'!$B$5:$B$600,MATCH(B141,'Master Database'!$A$5:$A$600,0)),"(row not found)"))</f>
        <v/>
      </c>
      <c r="E141" s="42"/>
      <c r="F141" s="45" t="str">
        <f aca="false">IF(E141="","",IFERROR(INDEX(Vendor_Register!$B$5:$B$205,MATCH(E141,Vendor_Register!$A$5:$A$205,0)),"(not in register)"))</f>
        <v/>
      </c>
      <c r="G141" s="45" t="str">
        <f aca="false">IF(E141="","",IFERROR(INDEX(Vendor_Register!$E$5:$E$205,MATCH(E141,Vendor_Register!$A$5:$A$205,0)),"(not in register)"))</f>
        <v/>
      </c>
      <c r="H141" s="42"/>
      <c r="I141" s="42"/>
      <c r="J141" s="42"/>
      <c r="K141" s="42"/>
      <c r="L141" s="42"/>
      <c r="M141" s="46"/>
      <c r="N141" s="42"/>
      <c r="O141" s="47" t="str">
        <f aca="false">IF(NOT(ISNUMBER(M141)),"",IFERROR(IF(L141="EUR",M141,IF(L141="IRR",M141/INDEX('Assumptions &amp; FX Reference'!$C$5:$C$25,MATCH(H141,'Assumptions &amp; FX Reference'!$A$5:$A$25,0)),IF(L141="USD",M141*INDEX('Assumptions &amp; FX Reference'!$B$5:$B$25,MATCH(H141,'Assumptions &amp; FX Reference'!$A$5:$A$25,0))/INDEX('Assumptions &amp; FX Reference'!$C$5:$C$25,MATCH(H141,'Assumptions &amp; FX Reference'!$A$5:$A$25,0)),""))),"(FX missing)"))</f>
        <v/>
      </c>
      <c r="P141" s="42"/>
      <c r="Q141" s="42"/>
      <c r="R141" s="42"/>
      <c r="S141" s="42"/>
      <c r="T141" s="42"/>
      <c r="U141" s="42"/>
      <c r="V141" s="42"/>
    </row>
    <row r="142" customFormat="false" ht="15" hidden="false" customHeight="false" outlineLevel="0" collapsed="false">
      <c r="A142" s="42"/>
      <c r="B142" s="42"/>
      <c r="C142" s="45" t="str">
        <f aca="false">IF(B142="","",IFERROR(INDEX('Master Database'!$D$5:$D$600,MATCH(B142,'Master Database'!$A$5:$A$600,0)),"(row not found)"))</f>
        <v/>
      </c>
      <c r="D142" s="45" t="str">
        <f aca="false">IF(B142="","",IFERROR(INDEX('Master Database'!$B$5:$B$600,MATCH(B142,'Master Database'!$A$5:$A$600,0)),"(row not found)"))</f>
        <v/>
      </c>
      <c r="E142" s="42"/>
      <c r="F142" s="45" t="str">
        <f aca="false">IF(E142="","",IFERROR(INDEX(Vendor_Register!$B$5:$B$205,MATCH(E142,Vendor_Register!$A$5:$A$205,0)),"(not in register)"))</f>
        <v/>
      </c>
      <c r="G142" s="45" t="str">
        <f aca="false">IF(E142="","",IFERROR(INDEX(Vendor_Register!$E$5:$E$205,MATCH(E142,Vendor_Register!$A$5:$A$205,0)),"(not in register)"))</f>
        <v/>
      </c>
      <c r="H142" s="42"/>
      <c r="I142" s="42"/>
      <c r="J142" s="42"/>
      <c r="K142" s="42"/>
      <c r="L142" s="42"/>
      <c r="M142" s="46"/>
      <c r="N142" s="42"/>
      <c r="O142" s="47" t="str">
        <f aca="false">IF(NOT(ISNUMBER(M142)),"",IFERROR(IF(L142="EUR",M142,IF(L142="IRR",M142/INDEX('Assumptions &amp; FX Reference'!$C$5:$C$25,MATCH(H142,'Assumptions &amp; FX Reference'!$A$5:$A$25,0)),IF(L142="USD",M142*INDEX('Assumptions &amp; FX Reference'!$B$5:$B$25,MATCH(H142,'Assumptions &amp; FX Reference'!$A$5:$A$25,0))/INDEX('Assumptions &amp; FX Reference'!$C$5:$C$25,MATCH(H142,'Assumptions &amp; FX Reference'!$A$5:$A$25,0)),""))),"(FX missing)"))</f>
        <v/>
      </c>
      <c r="P142" s="42"/>
      <c r="Q142" s="42"/>
      <c r="R142" s="42"/>
      <c r="S142" s="42"/>
      <c r="T142" s="42"/>
      <c r="U142" s="42"/>
      <c r="V142" s="42"/>
    </row>
    <row r="143" customFormat="false" ht="15" hidden="false" customHeight="false" outlineLevel="0" collapsed="false">
      <c r="A143" s="42"/>
      <c r="B143" s="42"/>
      <c r="C143" s="45" t="str">
        <f aca="false">IF(B143="","",IFERROR(INDEX('Master Database'!$D$5:$D$600,MATCH(B143,'Master Database'!$A$5:$A$600,0)),"(row not found)"))</f>
        <v/>
      </c>
      <c r="D143" s="45" t="str">
        <f aca="false">IF(B143="","",IFERROR(INDEX('Master Database'!$B$5:$B$600,MATCH(B143,'Master Database'!$A$5:$A$600,0)),"(row not found)"))</f>
        <v/>
      </c>
      <c r="E143" s="42"/>
      <c r="F143" s="45" t="str">
        <f aca="false">IF(E143="","",IFERROR(INDEX(Vendor_Register!$B$5:$B$205,MATCH(E143,Vendor_Register!$A$5:$A$205,0)),"(not in register)"))</f>
        <v/>
      </c>
      <c r="G143" s="45" t="str">
        <f aca="false">IF(E143="","",IFERROR(INDEX(Vendor_Register!$E$5:$E$205,MATCH(E143,Vendor_Register!$A$5:$A$205,0)),"(not in register)"))</f>
        <v/>
      </c>
      <c r="H143" s="42"/>
      <c r="I143" s="42"/>
      <c r="J143" s="42"/>
      <c r="K143" s="42"/>
      <c r="L143" s="42"/>
      <c r="M143" s="46"/>
      <c r="N143" s="42"/>
      <c r="O143" s="47" t="str">
        <f aca="false">IF(NOT(ISNUMBER(M143)),"",IFERROR(IF(L143="EUR",M143,IF(L143="IRR",M143/INDEX('Assumptions &amp; FX Reference'!$C$5:$C$25,MATCH(H143,'Assumptions &amp; FX Reference'!$A$5:$A$25,0)),IF(L143="USD",M143*INDEX('Assumptions &amp; FX Reference'!$B$5:$B$25,MATCH(H143,'Assumptions &amp; FX Reference'!$A$5:$A$25,0))/INDEX('Assumptions &amp; FX Reference'!$C$5:$C$25,MATCH(H143,'Assumptions &amp; FX Reference'!$A$5:$A$25,0)),""))),"(FX missing)"))</f>
        <v/>
      </c>
      <c r="P143" s="42"/>
      <c r="Q143" s="42"/>
      <c r="R143" s="42"/>
      <c r="S143" s="42"/>
      <c r="T143" s="42"/>
      <c r="U143" s="42"/>
      <c r="V143" s="42"/>
    </row>
    <row r="144" customFormat="false" ht="15" hidden="false" customHeight="false" outlineLevel="0" collapsed="false">
      <c r="A144" s="42"/>
      <c r="B144" s="42"/>
      <c r="C144" s="45" t="str">
        <f aca="false">IF(B144="","",IFERROR(INDEX('Master Database'!$D$5:$D$600,MATCH(B144,'Master Database'!$A$5:$A$600,0)),"(row not found)"))</f>
        <v/>
      </c>
      <c r="D144" s="45" t="str">
        <f aca="false">IF(B144="","",IFERROR(INDEX('Master Database'!$B$5:$B$600,MATCH(B144,'Master Database'!$A$5:$A$600,0)),"(row not found)"))</f>
        <v/>
      </c>
      <c r="E144" s="42"/>
      <c r="F144" s="45" t="str">
        <f aca="false">IF(E144="","",IFERROR(INDEX(Vendor_Register!$B$5:$B$205,MATCH(E144,Vendor_Register!$A$5:$A$205,0)),"(not in register)"))</f>
        <v/>
      </c>
      <c r="G144" s="45" t="str">
        <f aca="false">IF(E144="","",IFERROR(INDEX(Vendor_Register!$E$5:$E$205,MATCH(E144,Vendor_Register!$A$5:$A$205,0)),"(not in register)"))</f>
        <v/>
      </c>
      <c r="H144" s="42"/>
      <c r="I144" s="42"/>
      <c r="J144" s="42"/>
      <c r="K144" s="42"/>
      <c r="L144" s="42"/>
      <c r="M144" s="46"/>
      <c r="N144" s="42"/>
      <c r="O144" s="47" t="str">
        <f aca="false">IF(NOT(ISNUMBER(M144)),"",IFERROR(IF(L144="EUR",M144,IF(L144="IRR",M144/INDEX('Assumptions &amp; FX Reference'!$C$5:$C$25,MATCH(H144,'Assumptions &amp; FX Reference'!$A$5:$A$25,0)),IF(L144="USD",M144*INDEX('Assumptions &amp; FX Reference'!$B$5:$B$25,MATCH(H144,'Assumptions &amp; FX Reference'!$A$5:$A$25,0))/INDEX('Assumptions &amp; FX Reference'!$C$5:$C$25,MATCH(H144,'Assumptions &amp; FX Reference'!$A$5:$A$25,0)),""))),"(FX missing)"))</f>
        <v/>
      </c>
      <c r="P144" s="42"/>
      <c r="Q144" s="42"/>
      <c r="R144" s="42"/>
      <c r="S144" s="42"/>
      <c r="T144" s="42"/>
      <c r="U144" s="42"/>
      <c r="V144" s="42"/>
    </row>
    <row r="145" customFormat="false" ht="15" hidden="false" customHeight="false" outlineLevel="0" collapsed="false">
      <c r="A145" s="42"/>
      <c r="B145" s="42"/>
      <c r="C145" s="45" t="str">
        <f aca="false">IF(B145="","",IFERROR(INDEX('Master Database'!$D$5:$D$600,MATCH(B145,'Master Database'!$A$5:$A$600,0)),"(row not found)"))</f>
        <v/>
      </c>
      <c r="D145" s="45" t="str">
        <f aca="false">IF(B145="","",IFERROR(INDEX('Master Database'!$B$5:$B$600,MATCH(B145,'Master Database'!$A$5:$A$600,0)),"(row not found)"))</f>
        <v/>
      </c>
      <c r="E145" s="42"/>
      <c r="F145" s="45" t="str">
        <f aca="false">IF(E145="","",IFERROR(INDEX(Vendor_Register!$B$5:$B$205,MATCH(E145,Vendor_Register!$A$5:$A$205,0)),"(not in register)"))</f>
        <v/>
      </c>
      <c r="G145" s="45" t="str">
        <f aca="false">IF(E145="","",IFERROR(INDEX(Vendor_Register!$E$5:$E$205,MATCH(E145,Vendor_Register!$A$5:$A$205,0)),"(not in register)"))</f>
        <v/>
      </c>
      <c r="H145" s="42"/>
      <c r="I145" s="42"/>
      <c r="J145" s="42"/>
      <c r="K145" s="42"/>
      <c r="L145" s="42"/>
      <c r="M145" s="46"/>
      <c r="N145" s="42"/>
      <c r="O145" s="47" t="str">
        <f aca="false">IF(NOT(ISNUMBER(M145)),"",IFERROR(IF(L145="EUR",M145,IF(L145="IRR",M145/INDEX('Assumptions &amp; FX Reference'!$C$5:$C$25,MATCH(H145,'Assumptions &amp; FX Reference'!$A$5:$A$25,0)),IF(L145="USD",M145*INDEX('Assumptions &amp; FX Reference'!$B$5:$B$25,MATCH(H145,'Assumptions &amp; FX Reference'!$A$5:$A$25,0))/INDEX('Assumptions &amp; FX Reference'!$C$5:$C$25,MATCH(H145,'Assumptions &amp; FX Reference'!$A$5:$A$25,0)),""))),"(FX missing)"))</f>
        <v/>
      </c>
      <c r="P145" s="42"/>
      <c r="Q145" s="42"/>
      <c r="R145" s="42"/>
      <c r="S145" s="42"/>
      <c r="T145" s="42"/>
      <c r="U145" s="42"/>
      <c r="V145" s="42"/>
    </row>
    <row r="146" customFormat="false" ht="15" hidden="false" customHeight="false" outlineLevel="0" collapsed="false">
      <c r="A146" s="42"/>
      <c r="B146" s="42"/>
      <c r="C146" s="45" t="str">
        <f aca="false">IF(B146="","",IFERROR(INDEX('Master Database'!$D$5:$D$600,MATCH(B146,'Master Database'!$A$5:$A$600,0)),"(row not found)"))</f>
        <v/>
      </c>
      <c r="D146" s="45" t="str">
        <f aca="false">IF(B146="","",IFERROR(INDEX('Master Database'!$B$5:$B$600,MATCH(B146,'Master Database'!$A$5:$A$600,0)),"(row not found)"))</f>
        <v/>
      </c>
      <c r="E146" s="42"/>
      <c r="F146" s="45" t="str">
        <f aca="false">IF(E146="","",IFERROR(INDEX(Vendor_Register!$B$5:$B$205,MATCH(E146,Vendor_Register!$A$5:$A$205,0)),"(not in register)"))</f>
        <v/>
      </c>
      <c r="G146" s="45" t="str">
        <f aca="false">IF(E146="","",IFERROR(INDEX(Vendor_Register!$E$5:$E$205,MATCH(E146,Vendor_Register!$A$5:$A$205,0)),"(not in register)"))</f>
        <v/>
      </c>
      <c r="H146" s="42"/>
      <c r="I146" s="42"/>
      <c r="J146" s="42"/>
      <c r="K146" s="42"/>
      <c r="L146" s="42"/>
      <c r="M146" s="46"/>
      <c r="N146" s="42"/>
      <c r="O146" s="47" t="str">
        <f aca="false">IF(NOT(ISNUMBER(M146)),"",IFERROR(IF(L146="EUR",M146,IF(L146="IRR",M146/INDEX('Assumptions &amp; FX Reference'!$C$5:$C$25,MATCH(H146,'Assumptions &amp; FX Reference'!$A$5:$A$25,0)),IF(L146="USD",M146*INDEX('Assumptions &amp; FX Reference'!$B$5:$B$25,MATCH(H146,'Assumptions &amp; FX Reference'!$A$5:$A$25,0))/INDEX('Assumptions &amp; FX Reference'!$C$5:$C$25,MATCH(H146,'Assumptions &amp; FX Reference'!$A$5:$A$25,0)),""))),"(FX missing)"))</f>
        <v/>
      </c>
      <c r="P146" s="42"/>
      <c r="Q146" s="42"/>
      <c r="R146" s="42"/>
      <c r="S146" s="42"/>
      <c r="T146" s="42"/>
      <c r="U146" s="42"/>
      <c r="V146" s="42"/>
    </row>
    <row r="147" customFormat="false" ht="15" hidden="false" customHeight="false" outlineLevel="0" collapsed="false">
      <c r="A147" s="42"/>
      <c r="B147" s="42"/>
      <c r="C147" s="45" t="str">
        <f aca="false">IF(B147="","",IFERROR(INDEX('Master Database'!$D$5:$D$600,MATCH(B147,'Master Database'!$A$5:$A$600,0)),"(row not found)"))</f>
        <v/>
      </c>
      <c r="D147" s="45" t="str">
        <f aca="false">IF(B147="","",IFERROR(INDEX('Master Database'!$B$5:$B$600,MATCH(B147,'Master Database'!$A$5:$A$600,0)),"(row not found)"))</f>
        <v/>
      </c>
      <c r="E147" s="42"/>
      <c r="F147" s="45" t="str">
        <f aca="false">IF(E147="","",IFERROR(INDEX(Vendor_Register!$B$5:$B$205,MATCH(E147,Vendor_Register!$A$5:$A$205,0)),"(not in register)"))</f>
        <v/>
      </c>
      <c r="G147" s="45" t="str">
        <f aca="false">IF(E147="","",IFERROR(INDEX(Vendor_Register!$E$5:$E$205,MATCH(E147,Vendor_Register!$A$5:$A$205,0)),"(not in register)"))</f>
        <v/>
      </c>
      <c r="H147" s="42"/>
      <c r="I147" s="42"/>
      <c r="J147" s="42"/>
      <c r="K147" s="42"/>
      <c r="L147" s="42"/>
      <c r="M147" s="46"/>
      <c r="N147" s="42"/>
      <c r="O147" s="47" t="str">
        <f aca="false">IF(NOT(ISNUMBER(M147)),"",IFERROR(IF(L147="EUR",M147,IF(L147="IRR",M147/INDEX('Assumptions &amp; FX Reference'!$C$5:$C$25,MATCH(H147,'Assumptions &amp; FX Reference'!$A$5:$A$25,0)),IF(L147="USD",M147*INDEX('Assumptions &amp; FX Reference'!$B$5:$B$25,MATCH(H147,'Assumptions &amp; FX Reference'!$A$5:$A$25,0))/INDEX('Assumptions &amp; FX Reference'!$C$5:$C$25,MATCH(H147,'Assumptions &amp; FX Reference'!$A$5:$A$25,0)),""))),"(FX missing)"))</f>
        <v/>
      </c>
      <c r="P147" s="42"/>
      <c r="Q147" s="42"/>
      <c r="R147" s="42"/>
      <c r="S147" s="42"/>
      <c r="T147" s="42"/>
      <c r="U147" s="42"/>
      <c r="V147" s="42"/>
    </row>
    <row r="148" customFormat="false" ht="15" hidden="false" customHeight="false" outlineLevel="0" collapsed="false">
      <c r="A148" s="42"/>
      <c r="B148" s="42"/>
      <c r="C148" s="45" t="str">
        <f aca="false">IF(B148="","",IFERROR(INDEX('Master Database'!$D$5:$D$600,MATCH(B148,'Master Database'!$A$5:$A$600,0)),"(row not found)"))</f>
        <v/>
      </c>
      <c r="D148" s="45" t="str">
        <f aca="false">IF(B148="","",IFERROR(INDEX('Master Database'!$B$5:$B$600,MATCH(B148,'Master Database'!$A$5:$A$600,0)),"(row not found)"))</f>
        <v/>
      </c>
      <c r="E148" s="42"/>
      <c r="F148" s="45" t="str">
        <f aca="false">IF(E148="","",IFERROR(INDEX(Vendor_Register!$B$5:$B$205,MATCH(E148,Vendor_Register!$A$5:$A$205,0)),"(not in register)"))</f>
        <v/>
      </c>
      <c r="G148" s="45" t="str">
        <f aca="false">IF(E148="","",IFERROR(INDEX(Vendor_Register!$E$5:$E$205,MATCH(E148,Vendor_Register!$A$5:$A$205,0)),"(not in register)"))</f>
        <v/>
      </c>
      <c r="H148" s="42"/>
      <c r="I148" s="42"/>
      <c r="J148" s="42"/>
      <c r="K148" s="42"/>
      <c r="L148" s="42"/>
      <c r="M148" s="46"/>
      <c r="N148" s="42"/>
      <c r="O148" s="47" t="str">
        <f aca="false">IF(NOT(ISNUMBER(M148)),"",IFERROR(IF(L148="EUR",M148,IF(L148="IRR",M148/INDEX('Assumptions &amp; FX Reference'!$C$5:$C$25,MATCH(H148,'Assumptions &amp; FX Reference'!$A$5:$A$25,0)),IF(L148="USD",M148*INDEX('Assumptions &amp; FX Reference'!$B$5:$B$25,MATCH(H148,'Assumptions &amp; FX Reference'!$A$5:$A$25,0))/INDEX('Assumptions &amp; FX Reference'!$C$5:$C$25,MATCH(H148,'Assumptions &amp; FX Reference'!$A$5:$A$25,0)),""))),"(FX missing)"))</f>
        <v/>
      </c>
      <c r="P148" s="42"/>
      <c r="Q148" s="42"/>
      <c r="R148" s="42"/>
      <c r="S148" s="42"/>
      <c r="T148" s="42"/>
      <c r="U148" s="42"/>
      <c r="V148" s="42"/>
    </row>
    <row r="149" customFormat="false" ht="15" hidden="false" customHeight="false" outlineLevel="0" collapsed="false">
      <c r="A149" s="42"/>
      <c r="B149" s="42"/>
      <c r="C149" s="45" t="str">
        <f aca="false">IF(B149="","",IFERROR(INDEX('Master Database'!$D$5:$D$600,MATCH(B149,'Master Database'!$A$5:$A$600,0)),"(row not found)"))</f>
        <v/>
      </c>
      <c r="D149" s="45" t="str">
        <f aca="false">IF(B149="","",IFERROR(INDEX('Master Database'!$B$5:$B$600,MATCH(B149,'Master Database'!$A$5:$A$600,0)),"(row not found)"))</f>
        <v/>
      </c>
      <c r="E149" s="42"/>
      <c r="F149" s="45" t="str">
        <f aca="false">IF(E149="","",IFERROR(INDEX(Vendor_Register!$B$5:$B$205,MATCH(E149,Vendor_Register!$A$5:$A$205,0)),"(not in register)"))</f>
        <v/>
      </c>
      <c r="G149" s="45" t="str">
        <f aca="false">IF(E149="","",IFERROR(INDEX(Vendor_Register!$E$5:$E$205,MATCH(E149,Vendor_Register!$A$5:$A$205,0)),"(not in register)"))</f>
        <v/>
      </c>
      <c r="H149" s="42"/>
      <c r="I149" s="42"/>
      <c r="J149" s="42"/>
      <c r="K149" s="42"/>
      <c r="L149" s="42"/>
      <c r="M149" s="46"/>
      <c r="N149" s="42"/>
      <c r="O149" s="47" t="str">
        <f aca="false">IF(NOT(ISNUMBER(M149)),"",IFERROR(IF(L149="EUR",M149,IF(L149="IRR",M149/INDEX('Assumptions &amp; FX Reference'!$C$5:$C$25,MATCH(H149,'Assumptions &amp; FX Reference'!$A$5:$A$25,0)),IF(L149="USD",M149*INDEX('Assumptions &amp; FX Reference'!$B$5:$B$25,MATCH(H149,'Assumptions &amp; FX Reference'!$A$5:$A$25,0))/INDEX('Assumptions &amp; FX Reference'!$C$5:$C$25,MATCH(H149,'Assumptions &amp; FX Reference'!$A$5:$A$25,0)),""))),"(FX missing)"))</f>
        <v/>
      </c>
      <c r="P149" s="42"/>
      <c r="Q149" s="42"/>
      <c r="R149" s="42"/>
      <c r="S149" s="42"/>
      <c r="T149" s="42"/>
      <c r="U149" s="42"/>
      <c r="V149" s="42"/>
    </row>
    <row r="150" customFormat="false" ht="15" hidden="false" customHeight="false" outlineLevel="0" collapsed="false">
      <c r="A150" s="42"/>
      <c r="B150" s="42"/>
      <c r="C150" s="45" t="str">
        <f aca="false">IF(B150="","",IFERROR(INDEX('Master Database'!$D$5:$D$600,MATCH(B150,'Master Database'!$A$5:$A$600,0)),"(row not found)"))</f>
        <v/>
      </c>
      <c r="D150" s="45" t="str">
        <f aca="false">IF(B150="","",IFERROR(INDEX('Master Database'!$B$5:$B$600,MATCH(B150,'Master Database'!$A$5:$A$600,0)),"(row not found)"))</f>
        <v/>
      </c>
      <c r="E150" s="42"/>
      <c r="F150" s="45" t="str">
        <f aca="false">IF(E150="","",IFERROR(INDEX(Vendor_Register!$B$5:$B$205,MATCH(E150,Vendor_Register!$A$5:$A$205,0)),"(not in register)"))</f>
        <v/>
      </c>
      <c r="G150" s="45" t="str">
        <f aca="false">IF(E150="","",IFERROR(INDEX(Vendor_Register!$E$5:$E$205,MATCH(E150,Vendor_Register!$A$5:$A$205,0)),"(not in register)"))</f>
        <v/>
      </c>
      <c r="H150" s="42"/>
      <c r="I150" s="42"/>
      <c r="J150" s="42"/>
      <c r="K150" s="42"/>
      <c r="L150" s="42"/>
      <c r="M150" s="46"/>
      <c r="N150" s="42"/>
      <c r="O150" s="47" t="str">
        <f aca="false">IF(NOT(ISNUMBER(M150)),"",IFERROR(IF(L150="EUR",M150,IF(L150="IRR",M150/INDEX('Assumptions &amp; FX Reference'!$C$5:$C$25,MATCH(H150,'Assumptions &amp; FX Reference'!$A$5:$A$25,0)),IF(L150="USD",M150*INDEX('Assumptions &amp; FX Reference'!$B$5:$B$25,MATCH(H150,'Assumptions &amp; FX Reference'!$A$5:$A$25,0))/INDEX('Assumptions &amp; FX Reference'!$C$5:$C$25,MATCH(H150,'Assumptions &amp; FX Reference'!$A$5:$A$25,0)),""))),"(FX missing)"))</f>
        <v/>
      </c>
      <c r="P150" s="42"/>
      <c r="Q150" s="42"/>
      <c r="R150" s="42"/>
      <c r="S150" s="42"/>
      <c r="T150" s="42"/>
      <c r="U150" s="42"/>
      <c r="V150" s="42"/>
    </row>
    <row r="151" customFormat="false" ht="15" hidden="false" customHeight="false" outlineLevel="0" collapsed="false">
      <c r="A151" s="42"/>
      <c r="B151" s="42"/>
      <c r="C151" s="45" t="str">
        <f aca="false">IF(B151="","",IFERROR(INDEX('Master Database'!$D$5:$D$600,MATCH(B151,'Master Database'!$A$5:$A$600,0)),"(row not found)"))</f>
        <v/>
      </c>
      <c r="D151" s="45" t="str">
        <f aca="false">IF(B151="","",IFERROR(INDEX('Master Database'!$B$5:$B$600,MATCH(B151,'Master Database'!$A$5:$A$600,0)),"(row not found)"))</f>
        <v/>
      </c>
      <c r="E151" s="42"/>
      <c r="F151" s="45" t="str">
        <f aca="false">IF(E151="","",IFERROR(INDEX(Vendor_Register!$B$5:$B$205,MATCH(E151,Vendor_Register!$A$5:$A$205,0)),"(not in register)"))</f>
        <v/>
      </c>
      <c r="G151" s="45" t="str">
        <f aca="false">IF(E151="","",IFERROR(INDEX(Vendor_Register!$E$5:$E$205,MATCH(E151,Vendor_Register!$A$5:$A$205,0)),"(not in register)"))</f>
        <v/>
      </c>
      <c r="H151" s="42"/>
      <c r="I151" s="42"/>
      <c r="J151" s="42"/>
      <c r="K151" s="42"/>
      <c r="L151" s="42"/>
      <c r="M151" s="46"/>
      <c r="N151" s="42"/>
      <c r="O151" s="47" t="str">
        <f aca="false">IF(NOT(ISNUMBER(M151)),"",IFERROR(IF(L151="EUR",M151,IF(L151="IRR",M151/INDEX('Assumptions &amp; FX Reference'!$C$5:$C$25,MATCH(H151,'Assumptions &amp; FX Reference'!$A$5:$A$25,0)),IF(L151="USD",M151*INDEX('Assumptions &amp; FX Reference'!$B$5:$B$25,MATCH(H151,'Assumptions &amp; FX Reference'!$A$5:$A$25,0))/INDEX('Assumptions &amp; FX Reference'!$C$5:$C$25,MATCH(H151,'Assumptions &amp; FX Reference'!$A$5:$A$25,0)),""))),"(FX missing)"))</f>
        <v/>
      </c>
      <c r="P151" s="42"/>
      <c r="Q151" s="42"/>
      <c r="R151" s="42"/>
      <c r="S151" s="42"/>
      <c r="T151" s="42"/>
      <c r="U151" s="42"/>
      <c r="V151" s="42"/>
    </row>
    <row r="152" customFormat="false" ht="15" hidden="false" customHeight="false" outlineLevel="0" collapsed="false">
      <c r="A152" s="42"/>
      <c r="B152" s="42"/>
      <c r="C152" s="45" t="str">
        <f aca="false">IF(B152="","",IFERROR(INDEX('Master Database'!$D$5:$D$600,MATCH(B152,'Master Database'!$A$5:$A$600,0)),"(row not found)"))</f>
        <v/>
      </c>
      <c r="D152" s="45" t="str">
        <f aca="false">IF(B152="","",IFERROR(INDEX('Master Database'!$B$5:$B$600,MATCH(B152,'Master Database'!$A$5:$A$600,0)),"(row not found)"))</f>
        <v/>
      </c>
      <c r="E152" s="42"/>
      <c r="F152" s="45" t="str">
        <f aca="false">IF(E152="","",IFERROR(INDEX(Vendor_Register!$B$5:$B$205,MATCH(E152,Vendor_Register!$A$5:$A$205,0)),"(not in register)"))</f>
        <v/>
      </c>
      <c r="G152" s="45" t="str">
        <f aca="false">IF(E152="","",IFERROR(INDEX(Vendor_Register!$E$5:$E$205,MATCH(E152,Vendor_Register!$A$5:$A$205,0)),"(not in register)"))</f>
        <v/>
      </c>
      <c r="H152" s="42"/>
      <c r="I152" s="42"/>
      <c r="J152" s="42"/>
      <c r="K152" s="42"/>
      <c r="L152" s="42"/>
      <c r="M152" s="46"/>
      <c r="N152" s="42"/>
      <c r="O152" s="47" t="str">
        <f aca="false">IF(NOT(ISNUMBER(M152)),"",IFERROR(IF(L152="EUR",M152,IF(L152="IRR",M152/INDEX('Assumptions &amp; FX Reference'!$C$5:$C$25,MATCH(H152,'Assumptions &amp; FX Reference'!$A$5:$A$25,0)),IF(L152="USD",M152*INDEX('Assumptions &amp; FX Reference'!$B$5:$B$25,MATCH(H152,'Assumptions &amp; FX Reference'!$A$5:$A$25,0))/INDEX('Assumptions &amp; FX Reference'!$C$5:$C$25,MATCH(H152,'Assumptions &amp; FX Reference'!$A$5:$A$25,0)),""))),"(FX missing)"))</f>
        <v/>
      </c>
      <c r="P152" s="42"/>
      <c r="Q152" s="42"/>
      <c r="R152" s="42"/>
      <c r="S152" s="42"/>
      <c r="T152" s="42"/>
      <c r="U152" s="42"/>
      <c r="V152" s="42"/>
    </row>
    <row r="153" customFormat="false" ht="15" hidden="false" customHeight="false" outlineLevel="0" collapsed="false">
      <c r="A153" s="42"/>
      <c r="B153" s="42"/>
      <c r="C153" s="45" t="str">
        <f aca="false">IF(B153="","",IFERROR(INDEX('Master Database'!$D$5:$D$600,MATCH(B153,'Master Database'!$A$5:$A$600,0)),"(row not found)"))</f>
        <v/>
      </c>
      <c r="D153" s="45" t="str">
        <f aca="false">IF(B153="","",IFERROR(INDEX('Master Database'!$B$5:$B$600,MATCH(B153,'Master Database'!$A$5:$A$600,0)),"(row not found)"))</f>
        <v/>
      </c>
      <c r="E153" s="42"/>
      <c r="F153" s="45" t="str">
        <f aca="false">IF(E153="","",IFERROR(INDEX(Vendor_Register!$B$5:$B$205,MATCH(E153,Vendor_Register!$A$5:$A$205,0)),"(not in register)"))</f>
        <v/>
      </c>
      <c r="G153" s="45" t="str">
        <f aca="false">IF(E153="","",IFERROR(INDEX(Vendor_Register!$E$5:$E$205,MATCH(E153,Vendor_Register!$A$5:$A$205,0)),"(not in register)"))</f>
        <v/>
      </c>
      <c r="H153" s="42"/>
      <c r="I153" s="42"/>
      <c r="J153" s="42"/>
      <c r="K153" s="42"/>
      <c r="L153" s="42"/>
      <c r="M153" s="46"/>
      <c r="N153" s="42"/>
      <c r="O153" s="47" t="str">
        <f aca="false">IF(NOT(ISNUMBER(M153)),"",IFERROR(IF(L153="EUR",M153,IF(L153="IRR",M153/INDEX('Assumptions &amp; FX Reference'!$C$5:$C$25,MATCH(H153,'Assumptions &amp; FX Reference'!$A$5:$A$25,0)),IF(L153="USD",M153*INDEX('Assumptions &amp; FX Reference'!$B$5:$B$25,MATCH(H153,'Assumptions &amp; FX Reference'!$A$5:$A$25,0))/INDEX('Assumptions &amp; FX Reference'!$C$5:$C$25,MATCH(H153,'Assumptions &amp; FX Reference'!$A$5:$A$25,0)),""))),"(FX missing)"))</f>
        <v/>
      </c>
      <c r="P153" s="42"/>
      <c r="Q153" s="42"/>
      <c r="R153" s="42"/>
      <c r="S153" s="42"/>
      <c r="T153" s="42"/>
      <c r="U153" s="42"/>
      <c r="V153" s="42"/>
    </row>
    <row r="154" customFormat="false" ht="15" hidden="false" customHeight="false" outlineLevel="0" collapsed="false">
      <c r="A154" s="42"/>
      <c r="B154" s="42"/>
      <c r="C154" s="45" t="str">
        <f aca="false">IF(B154="","",IFERROR(INDEX('Master Database'!$D$5:$D$600,MATCH(B154,'Master Database'!$A$5:$A$600,0)),"(row not found)"))</f>
        <v/>
      </c>
      <c r="D154" s="45" t="str">
        <f aca="false">IF(B154="","",IFERROR(INDEX('Master Database'!$B$5:$B$600,MATCH(B154,'Master Database'!$A$5:$A$600,0)),"(row not found)"))</f>
        <v/>
      </c>
      <c r="E154" s="42"/>
      <c r="F154" s="45" t="str">
        <f aca="false">IF(E154="","",IFERROR(INDEX(Vendor_Register!$B$5:$B$205,MATCH(E154,Vendor_Register!$A$5:$A$205,0)),"(not in register)"))</f>
        <v/>
      </c>
      <c r="G154" s="45" t="str">
        <f aca="false">IF(E154="","",IFERROR(INDEX(Vendor_Register!$E$5:$E$205,MATCH(E154,Vendor_Register!$A$5:$A$205,0)),"(not in register)"))</f>
        <v/>
      </c>
      <c r="H154" s="42"/>
      <c r="I154" s="42"/>
      <c r="J154" s="42"/>
      <c r="K154" s="42"/>
      <c r="L154" s="42"/>
      <c r="M154" s="46"/>
      <c r="N154" s="42"/>
      <c r="O154" s="47" t="str">
        <f aca="false">IF(NOT(ISNUMBER(M154)),"",IFERROR(IF(L154="EUR",M154,IF(L154="IRR",M154/INDEX('Assumptions &amp; FX Reference'!$C$5:$C$25,MATCH(H154,'Assumptions &amp; FX Reference'!$A$5:$A$25,0)),IF(L154="USD",M154*INDEX('Assumptions &amp; FX Reference'!$B$5:$B$25,MATCH(H154,'Assumptions &amp; FX Reference'!$A$5:$A$25,0))/INDEX('Assumptions &amp; FX Reference'!$C$5:$C$25,MATCH(H154,'Assumptions &amp; FX Reference'!$A$5:$A$25,0)),""))),"(FX missing)"))</f>
        <v/>
      </c>
      <c r="P154" s="42"/>
      <c r="Q154" s="42"/>
      <c r="R154" s="42"/>
      <c r="S154" s="42"/>
      <c r="T154" s="42"/>
      <c r="U154" s="42"/>
      <c r="V154" s="42"/>
    </row>
    <row r="155" customFormat="false" ht="15" hidden="false" customHeight="false" outlineLevel="0" collapsed="false">
      <c r="A155" s="42"/>
      <c r="B155" s="42"/>
      <c r="C155" s="45" t="str">
        <f aca="false">IF(B155="","",IFERROR(INDEX('Master Database'!$D$5:$D$600,MATCH(B155,'Master Database'!$A$5:$A$600,0)),"(row not found)"))</f>
        <v/>
      </c>
      <c r="D155" s="45" t="str">
        <f aca="false">IF(B155="","",IFERROR(INDEX('Master Database'!$B$5:$B$600,MATCH(B155,'Master Database'!$A$5:$A$600,0)),"(row not found)"))</f>
        <v/>
      </c>
      <c r="E155" s="42"/>
      <c r="F155" s="45" t="str">
        <f aca="false">IF(E155="","",IFERROR(INDEX(Vendor_Register!$B$5:$B$205,MATCH(E155,Vendor_Register!$A$5:$A$205,0)),"(not in register)"))</f>
        <v/>
      </c>
      <c r="G155" s="45" t="str">
        <f aca="false">IF(E155="","",IFERROR(INDEX(Vendor_Register!$E$5:$E$205,MATCH(E155,Vendor_Register!$A$5:$A$205,0)),"(not in register)"))</f>
        <v/>
      </c>
      <c r="H155" s="42"/>
      <c r="I155" s="42"/>
      <c r="J155" s="42"/>
      <c r="K155" s="42"/>
      <c r="L155" s="42"/>
      <c r="M155" s="46"/>
      <c r="N155" s="42"/>
      <c r="O155" s="47" t="str">
        <f aca="false">IF(NOT(ISNUMBER(M155)),"",IFERROR(IF(L155="EUR",M155,IF(L155="IRR",M155/INDEX('Assumptions &amp; FX Reference'!$C$5:$C$25,MATCH(H155,'Assumptions &amp; FX Reference'!$A$5:$A$25,0)),IF(L155="USD",M155*INDEX('Assumptions &amp; FX Reference'!$B$5:$B$25,MATCH(H155,'Assumptions &amp; FX Reference'!$A$5:$A$25,0))/INDEX('Assumptions &amp; FX Reference'!$C$5:$C$25,MATCH(H155,'Assumptions &amp; FX Reference'!$A$5:$A$25,0)),""))),"(FX missing)"))</f>
        <v/>
      </c>
      <c r="P155" s="42"/>
      <c r="Q155" s="42"/>
      <c r="R155" s="42"/>
      <c r="S155" s="42"/>
      <c r="T155" s="42"/>
      <c r="U155" s="42"/>
      <c r="V155" s="42"/>
    </row>
    <row r="156" customFormat="false" ht="15" hidden="false" customHeight="false" outlineLevel="0" collapsed="false">
      <c r="A156" s="42"/>
      <c r="B156" s="42"/>
      <c r="C156" s="45" t="str">
        <f aca="false">IF(B156="","",IFERROR(INDEX('Master Database'!$D$5:$D$600,MATCH(B156,'Master Database'!$A$5:$A$600,0)),"(row not found)"))</f>
        <v/>
      </c>
      <c r="D156" s="45" t="str">
        <f aca="false">IF(B156="","",IFERROR(INDEX('Master Database'!$B$5:$B$600,MATCH(B156,'Master Database'!$A$5:$A$600,0)),"(row not found)"))</f>
        <v/>
      </c>
      <c r="E156" s="42"/>
      <c r="F156" s="45" t="str">
        <f aca="false">IF(E156="","",IFERROR(INDEX(Vendor_Register!$B$5:$B$205,MATCH(E156,Vendor_Register!$A$5:$A$205,0)),"(not in register)"))</f>
        <v/>
      </c>
      <c r="G156" s="45" t="str">
        <f aca="false">IF(E156="","",IFERROR(INDEX(Vendor_Register!$E$5:$E$205,MATCH(E156,Vendor_Register!$A$5:$A$205,0)),"(not in register)"))</f>
        <v/>
      </c>
      <c r="H156" s="42"/>
      <c r="I156" s="42"/>
      <c r="J156" s="42"/>
      <c r="K156" s="42"/>
      <c r="L156" s="42"/>
      <c r="M156" s="46"/>
      <c r="N156" s="42"/>
      <c r="O156" s="47" t="str">
        <f aca="false">IF(NOT(ISNUMBER(M156)),"",IFERROR(IF(L156="EUR",M156,IF(L156="IRR",M156/INDEX('Assumptions &amp; FX Reference'!$C$5:$C$25,MATCH(H156,'Assumptions &amp; FX Reference'!$A$5:$A$25,0)),IF(L156="USD",M156*INDEX('Assumptions &amp; FX Reference'!$B$5:$B$25,MATCH(H156,'Assumptions &amp; FX Reference'!$A$5:$A$25,0))/INDEX('Assumptions &amp; FX Reference'!$C$5:$C$25,MATCH(H156,'Assumptions &amp; FX Reference'!$A$5:$A$25,0)),""))),"(FX missing)"))</f>
        <v/>
      </c>
      <c r="P156" s="42"/>
      <c r="Q156" s="42"/>
      <c r="R156" s="42"/>
      <c r="S156" s="42"/>
      <c r="T156" s="42"/>
      <c r="U156" s="42"/>
      <c r="V156" s="42"/>
    </row>
    <row r="157" customFormat="false" ht="15" hidden="false" customHeight="false" outlineLevel="0" collapsed="false">
      <c r="A157" s="42"/>
      <c r="B157" s="42"/>
      <c r="C157" s="45" t="str">
        <f aca="false">IF(B157="","",IFERROR(INDEX('Master Database'!$D$5:$D$600,MATCH(B157,'Master Database'!$A$5:$A$600,0)),"(row not found)"))</f>
        <v/>
      </c>
      <c r="D157" s="45" t="str">
        <f aca="false">IF(B157="","",IFERROR(INDEX('Master Database'!$B$5:$B$600,MATCH(B157,'Master Database'!$A$5:$A$600,0)),"(row not found)"))</f>
        <v/>
      </c>
      <c r="E157" s="42"/>
      <c r="F157" s="45" t="str">
        <f aca="false">IF(E157="","",IFERROR(INDEX(Vendor_Register!$B$5:$B$205,MATCH(E157,Vendor_Register!$A$5:$A$205,0)),"(not in register)"))</f>
        <v/>
      </c>
      <c r="G157" s="45" t="str">
        <f aca="false">IF(E157="","",IFERROR(INDEX(Vendor_Register!$E$5:$E$205,MATCH(E157,Vendor_Register!$A$5:$A$205,0)),"(not in register)"))</f>
        <v/>
      </c>
      <c r="H157" s="42"/>
      <c r="I157" s="42"/>
      <c r="J157" s="42"/>
      <c r="K157" s="42"/>
      <c r="L157" s="42"/>
      <c r="M157" s="46"/>
      <c r="N157" s="42"/>
      <c r="O157" s="47" t="str">
        <f aca="false">IF(NOT(ISNUMBER(M157)),"",IFERROR(IF(L157="EUR",M157,IF(L157="IRR",M157/INDEX('Assumptions &amp; FX Reference'!$C$5:$C$25,MATCH(H157,'Assumptions &amp; FX Reference'!$A$5:$A$25,0)),IF(L157="USD",M157*INDEX('Assumptions &amp; FX Reference'!$B$5:$B$25,MATCH(H157,'Assumptions &amp; FX Reference'!$A$5:$A$25,0))/INDEX('Assumptions &amp; FX Reference'!$C$5:$C$25,MATCH(H157,'Assumptions &amp; FX Reference'!$A$5:$A$25,0)),""))),"(FX missing)"))</f>
        <v/>
      </c>
      <c r="P157" s="42"/>
      <c r="Q157" s="42"/>
      <c r="R157" s="42"/>
      <c r="S157" s="42"/>
      <c r="T157" s="42"/>
      <c r="U157" s="42"/>
      <c r="V157" s="42"/>
    </row>
    <row r="158" customFormat="false" ht="15" hidden="false" customHeight="false" outlineLevel="0" collapsed="false">
      <c r="A158" s="42"/>
      <c r="B158" s="42"/>
      <c r="C158" s="45" t="str">
        <f aca="false">IF(B158="","",IFERROR(INDEX('Master Database'!$D$5:$D$600,MATCH(B158,'Master Database'!$A$5:$A$600,0)),"(row not found)"))</f>
        <v/>
      </c>
      <c r="D158" s="45" t="str">
        <f aca="false">IF(B158="","",IFERROR(INDEX('Master Database'!$B$5:$B$600,MATCH(B158,'Master Database'!$A$5:$A$600,0)),"(row not found)"))</f>
        <v/>
      </c>
      <c r="E158" s="42"/>
      <c r="F158" s="45" t="str">
        <f aca="false">IF(E158="","",IFERROR(INDEX(Vendor_Register!$B$5:$B$205,MATCH(E158,Vendor_Register!$A$5:$A$205,0)),"(not in register)"))</f>
        <v/>
      </c>
      <c r="G158" s="45" t="str">
        <f aca="false">IF(E158="","",IFERROR(INDEX(Vendor_Register!$E$5:$E$205,MATCH(E158,Vendor_Register!$A$5:$A$205,0)),"(not in register)"))</f>
        <v/>
      </c>
      <c r="H158" s="42"/>
      <c r="I158" s="42"/>
      <c r="J158" s="42"/>
      <c r="K158" s="42"/>
      <c r="L158" s="42"/>
      <c r="M158" s="46"/>
      <c r="N158" s="42"/>
      <c r="O158" s="47" t="str">
        <f aca="false">IF(NOT(ISNUMBER(M158)),"",IFERROR(IF(L158="EUR",M158,IF(L158="IRR",M158/INDEX('Assumptions &amp; FX Reference'!$C$5:$C$25,MATCH(H158,'Assumptions &amp; FX Reference'!$A$5:$A$25,0)),IF(L158="USD",M158*INDEX('Assumptions &amp; FX Reference'!$B$5:$B$25,MATCH(H158,'Assumptions &amp; FX Reference'!$A$5:$A$25,0))/INDEX('Assumptions &amp; FX Reference'!$C$5:$C$25,MATCH(H158,'Assumptions &amp; FX Reference'!$A$5:$A$25,0)),""))),"(FX missing)"))</f>
        <v/>
      </c>
      <c r="P158" s="42"/>
      <c r="Q158" s="42"/>
      <c r="R158" s="42"/>
      <c r="S158" s="42"/>
      <c r="T158" s="42"/>
      <c r="U158" s="42"/>
      <c r="V158" s="42"/>
    </row>
    <row r="159" customFormat="false" ht="15" hidden="false" customHeight="false" outlineLevel="0" collapsed="false">
      <c r="A159" s="42"/>
      <c r="B159" s="42"/>
      <c r="C159" s="45" t="str">
        <f aca="false">IF(B159="","",IFERROR(INDEX('Master Database'!$D$5:$D$600,MATCH(B159,'Master Database'!$A$5:$A$600,0)),"(row not found)"))</f>
        <v/>
      </c>
      <c r="D159" s="45" t="str">
        <f aca="false">IF(B159="","",IFERROR(INDEX('Master Database'!$B$5:$B$600,MATCH(B159,'Master Database'!$A$5:$A$600,0)),"(row not found)"))</f>
        <v/>
      </c>
      <c r="E159" s="42"/>
      <c r="F159" s="45" t="str">
        <f aca="false">IF(E159="","",IFERROR(INDEX(Vendor_Register!$B$5:$B$205,MATCH(E159,Vendor_Register!$A$5:$A$205,0)),"(not in register)"))</f>
        <v/>
      </c>
      <c r="G159" s="45" t="str">
        <f aca="false">IF(E159="","",IFERROR(INDEX(Vendor_Register!$E$5:$E$205,MATCH(E159,Vendor_Register!$A$5:$A$205,0)),"(not in register)"))</f>
        <v/>
      </c>
      <c r="H159" s="42"/>
      <c r="I159" s="42"/>
      <c r="J159" s="42"/>
      <c r="K159" s="42"/>
      <c r="L159" s="42"/>
      <c r="M159" s="46"/>
      <c r="N159" s="42"/>
      <c r="O159" s="47" t="str">
        <f aca="false">IF(NOT(ISNUMBER(M159)),"",IFERROR(IF(L159="EUR",M159,IF(L159="IRR",M159/INDEX('Assumptions &amp; FX Reference'!$C$5:$C$25,MATCH(H159,'Assumptions &amp; FX Reference'!$A$5:$A$25,0)),IF(L159="USD",M159*INDEX('Assumptions &amp; FX Reference'!$B$5:$B$25,MATCH(H159,'Assumptions &amp; FX Reference'!$A$5:$A$25,0))/INDEX('Assumptions &amp; FX Reference'!$C$5:$C$25,MATCH(H159,'Assumptions &amp; FX Reference'!$A$5:$A$25,0)),""))),"(FX missing)"))</f>
        <v/>
      </c>
      <c r="P159" s="42"/>
      <c r="Q159" s="42"/>
      <c r="R159" s="42"/>
      <c r="S159" s="42"/>
      <c r="T159" s="42"/>
      <c r="U159" s="42"/>
      <c r="V159" s="42"/>
    </row>
    <row r="160" customFormat="false" ht="15" hidden="false" customHeight="false" outlineLevel="0" collapsed="false">
      <c r="A160" s="42"/>
      <c r="B160" s="42"/>
      <c r="C160" s="45" t="str">
        <f aca="false">IF(B160="","",IFERROR(INDEX('Master Database'!$D$5:$D$600,MATCH(B160,'Master Database'!$A$5:$A$600,0)),"(row not found)"))</f>
        <v/>
      </c>
      <c r="D160" s="45" t="str">
        <f aca="false">IF(B160="","",IFERROR(INDEX('Master Database'!$B$5:$B$600,MATCH(B160,'Master Database'!$A$5:$A$600,0)),"(row not found)"))</f>
        <v/>
      </c>
      <c r="E160" s="42"/>
      <c r="F160" s="45" t="str">
        <f aca="false">IF(E160="","",IFERROR(INDEX(Vendor_Register!$B$5:$B$205,MATCH(E160,Vendor_Register!$A$5:$A$205,0)),"(not in register)"))</f>
        <v/>
      </c>
      <c r="G160" s="45" t="str">
        <f aca="false">IF(E160="","",IFERROR(INDEX(Vendor_Register!$E$5:$E$205,MATCH(E160,Vendor_Register!$A$5:$A$205,0)),"(not in register)"))</f>
        <v/>
      </c>
      <c r="H160" s="42"/>
      <c r="I160" s="42"/>
      <c r="J160" s="42"/>
      <c r="K160" s="42"/>
      <c r="L160" s="42"/>
      <c r="M160" s="46"/>
      <c r="N160" s="42"/>
      <c r="O160" s="47" t="str">
        <f aca="false">IF(NOT(ISNUMBER(M160)),"",IFERROR(IF(L160="EUR",M160,IF(L160="IRR",M160/INDEX('Assumptions &amp; FX Reference'!$C$5:$C$25,MATCH(H160,'Assumptions &amp; FX Reference'!$A$5:$A$25,0)),IF(L160="USD",M160*INDEX('Assumptions &amp; FX Reference'!$B$5:$B$25,MATCH(H160,'Assumptions &amp; FX Reference'!$A$5:$A$25,0))/INDEX('Assumptions &amp; FX Reference'!$C$5:$C$25,MATCH(H160,'Assumptions &amp; FX Reference'!$A$5:$A$25,0)),""))),"(FX missing)"))</f>
        <v/>
      </c>
      <c r="P160" s="42"/>
      <c r="Q160" s="42"/>
      <c r="R160" s="42"/>
      <c r="S160" s="42"/>
      <c r="T160" s="42"/>
      <c r="U160" s="42"/>
      <c r="V160" s="42"/>
    </row>
    <row r="161" customFormat="false" ht="15" hidden="false" customHeight="false" outlineLevel="0" collapsed="false">
      <c r="A161" s="42"/>
      <c r="B161" s="42"/>
      <c r="C161" s="45" t="str">
        <f aca="false">IF(B161="","",IFERROR(INDEX('Master Database'!$D$5:$D$600,MATCH(B161,'Master Database'!$A$5:$A$600,0)),"(row not found)"))</f>
        <v/>
      </c>
      <c r="D161" s="45" t="str">
        <f aca="false">IF(B161="","",IFERROR(INDEX('Master Database'!$B$5:$B$600,MATCH(B161,'Master Database'!$A$5:$A$600,0)),"(row not found)"))</f>
        <v/>
      </c>
      <c r="E161" s="42"/>
      <c r="F161" s="45" t="str">
        <f aca="false">IF(E161="","",IFERROR(INDEX(Vendor_Register!$B$5:$B$205,MATCH(E161,Vendor_Register!$A$5:$A$205,0)),"(not in register)"))</f>
        <v/>
      </c>
      <c r="G161" s="45" t="str">
        <f aca="false">IF(E161="","",IFERROR(INDEX(Vendor_Register!$E$5:$E$205,MATCH(E161,Vendor_Register!$A$5:$A$205,0)),"(not in register)"))</f>
        <v/>
      </c>
      <c r="H161" s="42"/>
      <c r="I161" s="42"/>
      <c r="J161" s="42"/>
      <c r="K161" s="42"/>
      <c r="L161" s="42"/>
      <c r="M161" s="46"/>
      <c r="N161" s="42"/>
      <c r="O161" s="47" t="str">
        <f aca="false">IF(NOT(ISNUMBER(M161)),"",IFERROR(IF(L161="EUR",M161,IF(L161="IRR",M161/INDEX('Assumptions &amp; FX Reference'!$C$5:$C$25,MATCH(H161,'Assumptions &amp; FX Reference'!$A$5:$A$25,0)),IF(L161="USD",M161*INDEX('Assumptions &amp; FX Reference'!$B$5:$B$25,MATCH(H161,'Assumptions &amp; FX Reference'!$A$5:$A$25,0))/INDEX('Assumptions &amp; FX Reference'!$C$5:$C$25,MATCH(H161,'Assumptions &amp; FX Reference'!$A$5:$A$25,0)),""))),"(FX missing)"))</f>
        <v/>
      </c>
      <c r="P161" s="42"/>
      <c r="Q161" s="42"/>
      <c r="R161" s="42"/>
      <c r="S161" s="42"/>
      <c r="T161" s="42"/>
      <c r="U161" s="42"/>
      <c r="V161" s="42"/>
    </row>
    <row r="162" customFormat="false" ht="15" hidden="false" customHeight="false" outlineLevel="0" collapsed="false">
      <c r="A162" s="42"/>
      <c r="B162" s="42"/>
      <c r="C162" s="45" t="str">
        <f aca="false">IF(B162="","",IFERROR(INDEX('Master Database'!$D$5:$D$600,MATCH(B162,'Master Database'!$A$5:$A$600,0)),"(row not found)"))</f>
        <v/>
      </c>
      <c r="D162" s="45" t="str">
        <f aca="false">IF(B162="","",IFERROR(INDEX('Master Database'!$B$5:$B$600,MATCH(B162,'Master Database'!$A$5:$A$600,0)),"(row not found)"))</f>
        <v/>
      </c>
      <c r="E162" s="42"/>
      <c r="F162" s="45" t="str">
        <f aca="false">IF(E162="","",IFERROR(INDEX(Vendor_Register!$B$5:$B$205,MATCH(E162,Vendor_Register!$A$5:$A$205,0)),"(not in register)"))</f>
        <v/>
      </c>
      <c r="G162" s="45" t="str">
        <f aca="false">IF(E162="","",IFERROR(INDEX(Vendor_Register!$E$5:$E$205,MATCH(E162,Vendor_Register!$A$5:$A$205,0)),"(not in register)"))</f>
        <v/>
      </c>
      <c r="H162" s="42"/>
      <c r="I162" s="42"/>
      <c r="J162" s="42"/>
      <c r="K162" s="42"/>
      <c r="L162" s="42"/>
      <c r="M162" s="46"/>
      <c r="N162" s="42"/>
      <c r="O162" s="47" t="str">
        <f aca="false">IF(NOT(ISNUMBER(M162)),"",IFERROR(IF(L162="EUR",M162,IF(L162="IRR",M162/INDEX('Assumptions &amp; FX Reference'!$C$5:$C$25,MATCH(H162,'Assumptions &amp; FX Reference'!$A$5:$A$25,0)),IF(L162="USD",M162*INDEX('Assumptions &amp; FX Reference'!$B$5:$B$25,MATCH(H162,'Assumptions &amp; FX Reference'!$A$5:$A$25,0))/INDEX('Assumptions &amp; FX Reference'!$C$5:$C$25,MATCH(H162,'Assumptions &amp; FX Reference'!$A$5:$A$25,0)),""))),"(FX missing)"))</f>
        <v/>
      </c>
      <c r="P162" s="42"/>
      <c r="Q162" s="42"/>
      <c r="R162" s="42"/>
      <c r="S162" s="42"/>
      <c r="T162" s="42"/>
      <c r="U162" s="42"/>
      <c r="V162" s="42"/>
    </row>
    <row r="163" customFormat="false" ht="15" hidden="false" customHeight="false" outlineLevel="0" collapsed="false">
      <c r="A163" s="42"/>
      <c r="B163" s="42"/>
      <c r="C163" s="45" t="str">
        <f aca="false">IF(B163="","",IFERROR(INDEX('Master Database'!$D$5:$D$600,MATCH(B163,'Master Database'!$A$5:$A$600,0)),"(row not found)"))</f>
        <v/>
      </c>
      <c r="D163" s="45" t="str">
        <f aca="false">IF(B163="","",IFERROR(INDEX('Master Database'!$B$5:$B$600,MATCH(B163,'Master Database'!$A$5:$A$600,0)),"(row not found)"))</f>
        <v/>
      </c>
      <c r="E163" s="42"/>
      <c r="F163" s="45" t="str">
        <f aca="false">IF(E163="","",IFERROR(INDEX(Vendor_Register!$B$5:$B$205,MATCH(E163,Vendor_Register!$A$5:$A$205,0)),"(not in register)"))</f>
        <v/>
      </c>
      <c r="G163" s="45" t="str">
        <f aca="false">IF(E163="","",IFERROR(INDEX(Vendor_Register!$E$5:$E$205,MATCH(E163,Vendor_Register!$A$5:$A$205,0)),"(not in register)"))</f>
        <v/>
      </c>
      <c r="H163" s="42"/>
      <c r="I163" s="42"/>
      <c r="J163" s="42"/>
      <c r="K163" s="42"/>
      <c r="L163" s="42"/>
      <c r="M163" s="46"/>
      <c r="N163" s="42"/>
      <c r="O163" s="47" t="str">
        <f aca="false">IF(NOT(ISNUMBER(M163)),"",IFERROR(IF(L163="EUR",M163,IF(L163="IRR",M163/INDEX('Assumptions &amp; FX Reference'!$C$5:$C$25,MATCH(H163,'Assumptions &amp; FX Reference'!$A$5:$A$25,0)),IF(L163="USD",M163*INDEX('Assumptions &amp; FX Reference'!$B$5:$B$25,MATCH(H163,'Assumptions &amp; FX Reference'!$A$5:$A$25,0))/INDEX('Assumptions &amp; FX Reference'!$C$5:$C$25,MATCH(H163,'Assumptions &amp; FX Reference'!$A$5:$A$25,0)),""))),"(FX missing)"))</f>
        <v/>
      </c>
      <c r="P163" s="42"/>
      <c r="Q163" s="42"/>
      <c r="R163" s="42"/>
      <c r="S163" s="42"/>
      <c r="T163" s="42"/>
      <c r="U163" s="42"/>
      <c r="V163" s="42"/>
    </row>
    <row r="164" customFormat="false" ht="15" hidden="false" customHeight="false" outlineLevel="0" collapsed="false">
      <c r="A164" s="42"/>
      <c r="B164" s="42"/>
      <c r="C164" s="45" t="str">
        <f aca="false">IF(B164="","",IFERROR(INDEX('Master Database'!$D$5:$D$600,MATCH(B164,'Master Database'!$A$5:$A$600,0)),"(row not found)"))</f>
        <v/>
      </c>
      <c r="D164" s="45" t="str">
        <f aca="false">IF(B164="","",IFERROR(INDEX('Master Database'!$B$5:$B$600,MATCH(B164,'Master Database'!$A$5:$A$600,0)),"(row not found)"))</f>
        <v/>
      </c>
      <c r="E164" s="42"/>
      <c r="F164" s="45" t="str">
        <f aca="false">IF(E164="","",IFERROR(INDEX(Vendor_Register!$B$5:$B$205,MATCH(E164,Vendor_Register!$A$5:$A$205,0)),"(not in register)"))</f>
        <v/>
      </c>
      <c r="G164" s="45" t="str">
        <f aca="false">IF(E164="","",IFERROR(INDEX(Vendor_Register!$E$5:$E$205,MATCH(E164,Vendor_Register!$A$5:$A$205,0)),"(not in register)"))</f>
        <v/>
      </c>
      <c r="H164" s="42"/>
      <c r="I164" s="42"/>
      <c r="J164" s="42"/>
      <c r="K164" s="42"/>
      <c r="L164" s="42"/>
      <c r="M164" s="46"/>
      <c r="N164" s="42"/>
      <c r="O164" s="47" t="str">
        <f aca="false">IF(NOT(ISNUMBER(M164)),"",IFERROR(IF(L164="EUR",M164,IF(L164="IRR",M164/INDEX('Assumptions &amp; FX Reference'!$C$5:$C$25,MATCH(H164,'Assumptions &amp; FX Reference'!$A$5:$A$25,0)),IF(L164="USD",M164*INDEX('Assumptions &amp; FX Reference'!$B$5:$B$25,MATCH(H164,'Assumptions &amp; FX Reference'!$A$5:$A$25,0))/INDEX('Assumptions &amp; FX Reference'!$C$5:$C$25,MATCH(H164,'Assumptions &amp; FX Reference'!$A$5:$A$25,0)),""))),"(FX missing)"))</f>
        <v/>
      </c>
      <c r="P164" s="42"/>
      <c r="Q164" s="42"/>
      <c r="R164" s="42"/>
      <c r="S164" s="42"/>
      <c r="T164" s="42"/>
      <c r="U164" s="42"/>
      <c r="V164" s="42"/>
    </row>
    <row r="165" customFormat="false" ht="15" hidden="false" customHeight="false" outlineLevel="0" collapsed="false">
      <c r="A165" s="42"/>
      <c r="B165" s="42"/>
      <c r="C165" s="45" t="str">
        <f aca="false">IF(B165="","",IFERROR(INDEX('Master Database'!$D$5:$D$600,MATCH(B165,'Master Database'!$A$5:$A$600,0)),"(row not found)"))</f>
        <v/>
      </c>
      <c r="D165" s="45" t="str">
        <f aca="false">IF(B165="","",IFERROR(INDEX('Master Database'!$B$5:$B$600,MATCH(B165,'Master Database'!$A$5:$A$600,0)),"(row not found)"))</f>
        <v/>
      </c>
      <c r="E165" s="42"/>
      <c r="F165" s="45" t="str">
        <f aca="false">IF(E165="","",IFERROR(INDEX(Vendor_Register!$B$5:$B$205,MATCH(E165,Vendor_Register!$A$5:$A$205,0)),"(not in register)"))</f>
        <v/>
      </c>
      <c r="G165" s="45" t="str">
        <f aca="false">IF(E165="","",IFERROR(INDEX(Vendor_Register!$E$5:$E$205,MATCH(E165,Vendor_Register!$A$5:$A$205,0)),"(not in register)"))</f>
        <v/>
      </c>
      <c r="H165" s="42"/>
      <c r="I165" s="42"/>
      <c r="J165" s="42"/>
      <c r="K165" s="42"/>
      <c r="L165" s="42"/>
      <c r="M165" s="46"/>
      <c r="N165" s="42"/>
      <c r="O165" s="47" t="str">
        <f aca="false">IF(NOT(ISNUMBER(M165)),"",IFERROR(IF(L165="EUR",M165,IF(L165="IRR",M165/INDEX('Assumptions &amp; FX Reference'!$C$5:$C$25,MATCH(H165,'Assumptions &amp; FX Reference'!$A$5:$A$25,0)),IF(L165="USD",M165*INDEX('Assumptions &amp; FX Reference'!$B$5:$B$25,MATCH(H165,'Assumptions &amp; FX Reference'!$A$5:$A$25,0))/INDEX('Assumptions &amp; FX Reference'!$C$5:$C$25,MATCH(H165,'Assumptions &amp; FX Reference'!$A$5:$A$25,0)),""))),"(FX missing)"))</f>
        <v/>
      </c>
      <c r="P165" s="42"/>
      <c r="Q165" s="42"/>
      <c r="R165" s="42"/>
      <c r="S165" s="42"/>
      <c r="T165" s="42"/>
      <c r="U165" s="42"/>
      <c r="V165" s="42"/>
    </row>
    <row r="166" customFormat="false" ht="15" hidden="false" customHeight="false" outlineLevel="0" collapsed="false">
      <c r="A166" s="42"/>
      <c r="B166" s="42"/>
      <c r="C166" s="45" t="str">
        <f aca="false">IF(B166="","",IFERROR(INDEX('Master Database'!$D$5:$D$600,MATCH(B166,'Master Database'!$A$5:$A$600,0)),"(row not found)"))</f>
        <v/>
      </c>
      <c r="D166" s="45" t="str">
        <f aca="false">IF(B166="","",IFERROR(INDEX('Master Database'!$B$5:$B$600,MATCH(B166,'Master Database'!$A$5:$A$600,0)),"(row not found)"))</f>
        <v/>
      </c>
      <c r="E166" s="42"/>
      <c r="F166" s="45" t="str">
        <f aca="false">IF(E166="","",IFERROR(INDEX(Vendor_Register!$B$5:$B$205,MATCH(E166,Vendor_Register!$A$5:$A$205,0)),"(not in register)"))</f>
        <v/>
      </c>
      <c r="G166" s="45" t="str">
        <f aca="false">IF(E166="","",IFERROR(INDEX(Vendor_Register!$E$5:$E$205,MATCH(E166,Vendor_Register!$A$5:$A$205,0)),"(not in register)"))</f>
        <v/>
      </c>
      <c r="H166" s="42"/>
      <c r="I166" s="42"/>
      <c r="J166" s="42"/>
      <c r="K166" s="42"/>
      <c r="L166" s="42"/>
      <c r="M166" s="46"/>
      <c r="N166" s="42"/>
      <c r="O166" s="47" t="str">
        <f aca="false">IF(NOT(ISNUMBER(M166)),"",IFERROR(IF(L166="EUR",M166,IF(L166="IRR",M166/INDEX('Assumptions &amp; FX Reference'!$C$5:$C$25,MATCH(H166,'Assumptions &amp; FX Reference'!$A$5:$A$25,0)),IF(L166="USD",M166*INDEX('Assumptions &amp; FX Reference'!$B$5:$B$25,MATCH(H166,'Assumptions &amp; FX Reference'!$A$5:$A$25,0))/INDEX('Assumptions &amp; FX Reference'!$C$5:$C$25,MATCH(H166,'Assumptions &amp; FX Reference'!$A$5:$A$25,0)),""))),"(FX missing)"))</f>
        <v/>
      </c>
      <c r="P166" s="42"/>
      <c r="Q166" s="42"/>
      <c r="R166" s="42"/>
      <c r="S166" s="42"/>
      <c r="T166" s="42"/>
      <c r="U166" s="42"/>
      <c r="V166" s="42"/>
    </row>
    <row r="167" customFormat="false" ht="15" hidden="false" customHeight="false" outlineLevel="0" collapsed="false">
      <c r="A167" s="42"/>
      <c r="B167" s="42"/>
      <c r="C167" s="45" t="str">
        <f aca="false">IF(B167="","",IFERROR(INDEX('Master Database'!$D$5:$D$600,MATCH(B167,'Master Database'!$A$5:$A$600,0)),"(row not found)"))</f>
        <v/>
      </c>
      <c r="D167" s="45" t="str">
        <f aca="false">IF(B167="","",IFERROR(INDEX('Master Database'!$B$5:$B$600,MATCH(B167,'Master Database'!$A$5:$A$600,0)),"(row not found)"))</f>
        <v/>
      </c>
      <c r="E167" s="42"/>
      <c r="F167" s="45" t="str">
        <f aca="false">IF(E167="","",IFERROR(INDEX(Vendor_Register!$B$5:$B$205,MATCH(E167,Vendor_Register!$A$5:$A$205,0)),"(not in register)"))</f>
        <v/>
      </c>
      <c r="G167" s="45" t="str">
        <f aca="false">IF(E167="","",IFERROR(INDEX(Vendor_Register!$E$5:$E$205,MATCH(E167,Vendor_Register!$A$5:$A$205,0)),"(not in register)"))</f>
        <v/>
      </c>
      <c r="H167" s="42"/>
      <c r="I167" s="42"/>
      <c r="J167" s="42"/>
      <c r="K167" s="42"/>
      <c r="L167" s="42"/>
      <c r="M167" s="46"/>
      <c r="N167" s="42"/>
      <c r="O167" s="47" t="str">
        <f aca="false">IF(NOT(ISNUMBER(M167)),"",IFERROR(IF(L167="EUR",M167,IF(L167="IRR",M167/INDEX('Assumptions &amp; FX Reference'!$C$5:$C$25,MATCH(H167,'Assumptions &amp; FX Reference'!$A$5:$A$25,0)),IF(L167="USD",M167*INDEX('Assumptions &amp; FX Reference'!$B$5:$B$25,MATCH(H167,'Assumptions &amp; FX Reference'!$A$5:$A$25,0))/INDEX('Assumptions &amp; FX Reference'!$C$5:$C$25,MATCH(H167,'Assumptions &amp; FX Reference'!$A$5:$A$25,0)),""))),"(FX missing)"))</f>
        <v/>
      </c>
      <c r="P167" s="42"/>
      <c r="Q167" s="42"/>
      <c r="R167" s="42"/>
      <c r="S167" s="42"/>
      <c r="T167" s="42"/>
      <c r="U167" s="42"/>
      <c r="V167" s="42"/>
    </row>
    <row r="168" customFormat="false" ht="15" hidden="false" customHeight="false" outlineLevel="0" collapsed="false">
      <c r="A168" s="42"/>
      <c r="B168" s="42"/>
      <c r="C168" s="45" t="str">
        <f aca="false">IF(B168="","",IFERROR(INDEX('Master Database'!$D$5:$D$600,MATCH(B168,'Master Database'!$A$5:$A$600,0)),"(row not found)"))</f>
        <v/>
      </c>
      <c r="D168" s="45" t="str">
        <f aca="false">IF(B168="","",IFERROR(INDEX('Master Database'!$B$5:$B$600,MATCH(B168,'Master Database'!$A$5:$A$600,0)),"(row not found)"))</f>
        <v/>
      </c>
      <c r="E168" s="42"/>
      <c r="F168" s="45" t="str">
        <f aca="false">IF(E168="","",IFERROR(INDEX(Vendor_Register!$B$5:$B$205,MATCH(E168,Vendor_Register!$A$5:$A$205,0)),"(not in register)"))</f>
        <v/>
      </c>
      <c r="G168" s="45" t="str">
        <f aca="false">IF(E168="","",IFERROR(INDEX(Vendor_Register!$E$5:$E$205,MATCH(E168,Vendor_Register!$A$5:$A$205,0)),"(not in register)"))</f>
        <v/>
      </c>
      <c r="H168" s="42"/>
      <c r="I168" s="42"/>
      <c r="J168" s="42"/>
      <c r="K168" s="42"/>
      <c r="L168" s="42"/>
      <c r="M168" s="46"/>
      <c r="N168" s="42"/>
      <c r="O168" s="47" t="str">
        <f aca="false">IF(NOT(ISNUMBER(M168)),"",IFERROR(IF(L168="EUR",M168,IF(L168="IRR",M168/INDEX('Assumptions &amp; FX Reference'!$C$5:$C$25,MATCH(H168,'Assumptions &amp; FX Reference'!$A$5:$A$25,0)),IF(L168="USD",M168*INDEX('Assumptions &amp; FX Reference'!$B$5:$B$25,MATCH(H168,'Assumptions &amp; FX Reference'!$A$5:$A$25,0))/INDEX('Assumptions &amp; FX Reference'!$C$5:$C$25,MATCH(H168,'Assumptions &amp; FX Reference'!$A$5:$A$25,0)),""))),"(FX missing)"))</f>
        <v/>
      </c>
      <c r="P168" s="42"/>
      <c r="Q168" s="42"/>
      <c r="R168" s="42"/>
      <c r="S168" s="42"/>
      <c r="T168" s="42"/>
      <c r="U168" s="42"/>
      <c r="V168" s="42"/>
    </row>
    <row r="169" customFormat="false" ht="15" hidden="false" customHeight="false" outlineLevel="0" collapsed="false">
      <c r="A169" s="42"/>
      <c r="B169" s="42"/>
      <c r="C169" s="45" t="str">
        <f aca="false">IF(B169="","",IFERROR(INDEX('Master Database'!$D$5:$D$600,MATCH(B169,'Master Database'!$A$5:$A$600,0)),"(row not found)"))</f>
        <v/>
      </c>
      <c r="D169" s="45" t="str">
        <f aca="false">IF(B169="","",IFERROR(INDEX('Master Database'!$B$5:$B$600,MATCH(B169,'Master Database'!$A$5:$A$600,0)),"(row not found)"))</f>
        <v/>
      </c>
      <c r="E169" s="42"/>
      <c r="F169" s="45" t="str">
        <f aca="false">IF(E169="","",IFERROR(INDEX(Vendor_Register!$B$5:$B$205,MATCH(E169,Vendor_Register!$A$5:$A$205,0)),"(not in register)"))</f>
        <v/>
      </c>
      <c r="G169" s="45" t="str">
        <f aca="false">IF(E169="","",IFERROR(INDEX(Vendor_Register!$E$5:$E$205,MATCH(E169,Vendor_Register!$A$5:$A$205,0)),"(not in register)"))</f>
        <v/>
      </c>
      <c r="H169" s="42"/>
      <c r="I169" s="42"/>
      <c r="J169" s="42"/>
      <c r="K169" s="42"/>
      <c r="L169" s="42"/>
      <c r="M169" s="46"/>
      <c r="N169" s="42"/>
      <c r="O169" s="47" t="str">
        <f aca="false">IF(NOT(ISNUMBER(M169)),"",IFERROR(IF(L169="EUR",M169,IF(L169="IRR",M169/INDEX('Assumptions &amp; FX Reference'!$C$5:$C$25,MATCH(H169,'Assumptions &amp; FX Reference'!$A$5:$A$25,0)),IF(L169="USD",M169*INDEX('Assumptions &amp; FX Reference'!$B$5:$B$25,MATCH(H169,'Assumptions &amp; FX Reference'!$A$5:$A$25,0))/INDEX('Assumptions &amp; FX Reference'!$C$5:$C$25,MATCH(H169,'Assumptions &amp; FX Reference'!$A$5:$A$25,0)),""))),"(FX missing)"))</f>
        <v/>
      </c>
      <c r="P169" s="42"/>
      <c r="Q169" s="42"/>
      <c r="R169" s="42"/>
      <c r="S169" s="42"/>
      <c r="T169" s="42"/>
      <c r="U169" s="42"/>
      <c r="V169" s="42"/>
    </row>
    <row r="170" customFormat="false" ht="15" hidden="false" customHeight="false" outlineLevel="0" collapsed="false">
      <c r="A170" s="42"/>
      <c r="B170" s="42"/>
      <c r="C170" s="45" t="str">
        <f aca="false">IF(B170="","",IFERROR(INDEX('Master Database'!$D$5:$D$600,MATCH(B170,'Master Database'!$A$5:$A$600,0)),"(row not found)"))</f>
        <v/>
      </c>
      <c r="D170" s="45" t="str">
        <f aca="false">IF(B170="","",IFERROR(INDEX('Master Database'!$B$5:$B$600,MATCH(B170,'Master Database'!$A$5:$A$600,0)),"(row not found)"))</f>
        <v/>
      </c>
      <c r="E170" s="42"/>
      <c r="F170" s="45" t="str">
        <f aca="false">IF(E170="","",IFERROR(INDEX(Vendor_Register!$B$5:$B$205,MATCH(E170,Vendor_Register!$A$5:$A$205,0)),"(not in register)"))</f>
        <v/>
      </c>
      <c r="G170" s="45" t="str">
        <f aca="false">IF(E170="","",IFERROR(INDEX(Vendor_Register!$E$5:$E$205,MATCH(E170,Vendor_Register!$A$5:$A$205,0)),"(not in register)"))</f>
        <v/>
      </c>
      <c r="H170" s="42"/>
      <c r="I170" s="42"/>
      <c r="J170" s="42"/>
      <c r="K170" s="42"/>
      <c r="L170" s="42"/>
      <c r="M170" s="46"/>
      <c r="N170" s="42"/>
      <c r="O170" s="47" t="str">
        <f aca="false">IF(NOT(ISNUMBER(M170)),"",IFERROR(IF(L170="EUR",M170,IF(L170="IRR",M170/INDEX('Assumptions &amp; FX Reference'!$C$5:$C$25,MATCH(H170,'Assumptions &amp; FX Reference'!$A$5:$A$25,0)),IF(L170="USD",M170*INDEX('Assumptions &amp; FX Reference'!$B$5:$B$25,MATCH(H170,'Assumptions &amp; FX Reference'!$A$5:$A$25,0))/INDEX('Assumptions &amp; FX Reference'!$C$5:$C$25,MATCH(H170,'Assumptions &amp; FX Reference'!$A$5:$A$25,0)),""))),"(FX missing)"))</f>
        <v/>
      </c>
      <c r="P170" s="42"/>
      <c r="Q170" s="42"/>
      <c r="R170" s="42"/>
      <c r="S170" s="42"/>
      <c r="T170" s="42"/>
      <c r="U170" s="42"/>
      <c r="V170" s="42"/>
    </row>
    <row r="171" customFormat="false" ht="15" hidden="false" customHeight="false" outlineLevel="0" collapsed="false">
      <c r="A171" s="42"/>
      <c r="B171" s="42"/>
      <c r="C171" s="45" t="str">
        <f aca="false">IF(B171="","",IFERROR(INDEX('Master Database'!$D$5:$D$600,MATCH(B171,'Master Database'!$A$5:$A$600,0)),"(row not found)"))</f>
        <v/>
      </c>
      <c r="D171" s="45" t="str">
        <f aca="false">IF(B171="","",IFERROR(INDEX('Master Database'!$B$5:$B$600,MATCH(B171,'Master Database'!$A$5:$A$600,0)),"(row not found)"))</f>
        <v/>
      </c>
      <c r="E171" s="42"/>
      <c r="F171" s="45" t="str">
        <f aca="false">IF(E171="","",IFERROR(INDEX(Vendor_Register!$B$5:$B$205,MATCH(E171,Vendor_Register!$A$5:$A$205,0)),"(not in register)"))</f>
        <v/>
      </c>
      <c r="G171" s="45" t="str">
        <f aca="false">IF(E171="","",IFERROR(INDEX(Vendor_Register!$E$5:$E$205,MATCH(E171,Vendor_Register!$A$5:$A$205,0)),"(not in register)"))</f>
        <v/>
      </c>
      <c r="H171" s="42"/>
      <c r="I171" s="42"/>
      <c r="J171" s="42"/>
      <c r="K171" s="42"/>
      <c r="L171" s="42"/>
      <c r="M171" s="46"/>
      <c r="N171" s="42"/>
      <c r="O171" s="47" t="str">
        <f aca="false">IF(NOT(ISNUMBER(M171)),"",IFERROR(IF(L171="EUR",M171,IF(L171="IRR",M171/INDEX('Assumptions &amp; FX Reference'!$C$5:$C$25,MATCH(H171,'Assumptions &amp; FX Reference'!$A$5:$A$25,0)),IF(L171="USD",M171*INDEX('Assumptions &amp; FX Reference'!$B$5:$B$25,MATCH(H171,'Assumptions &amp; FX Reference'!$A$5:$A$25,0))/INDEX('Assumptions &amp; FX Reference'!$C$5:$C$25,MATCH(H171,'Assumptions &amp; FX Reference'!$A$5:$A$25,0)),""))),"(FX missing)"))</f>
        <v/>
      </c>
      <c r="P171" s="42"/>
      <c r="Q171" s="42"/>
      <c r="R171" s="42"/>
      <c r="S171" s="42"/>
      <c r="T171" s="42"/>
      <c r="U171" s="42"/>
      <c r="V171" s="42"/>
    </row>
    <row r="172" customFormat="false" ht="15" hidden="false" customHeight="false" outlineLevel="0" collapsed="false">
      <c r="A172" s="42"/>
      <c r="B172" s="42"/>
      <c r="C172" s="45" t="str">
        <f aca="false">IF(B172="","",IFERROR(INDEX('Master Database'!$D$5:$D$600,MATCH(B172,'Master Database'!$A$5:$A$600,0)),"(row not found)"))</f>
        <v/>
      </c>
      <c r="D172" s="45" t="str">
        <f aca="false">IF(B172="","",IFERROR(INDEX('Master Database'!$B$5:$B$600,MATCH(B172,'Master Database'!$A$5:$A$600,0)),"(row not found)"))</f>
        <v/>
      </c>
      <c r="E172" s="42"/>
      <c r="F172" s="45" t="str">
        <f aca="false">IF(E172="","",IFERROR(INDEX(Vendor_Register!$B$5:$B$205,MATCH(E172,Vendor_Register!$A$5:$A$205,0)),"(not in register)"))</f>
        <v/>
      </c>
      <c r="G172" s="45" t="str">
        <f aca="false">IF(E172="","",IFERROR(INDEX(Vendor_Register!$E$5:$E$205,MATCH(E172,Vendor_Register!$A$5:$A$205,0)),"(not in register)"))</f>
        <v/>
      </c>
      <c r="H172" s="42"/>
      <c r="I172" s="42"/>
      <c r="J172" s="42"/>
      <c r="K172" s="42"/>
      <c r="L172" s="42"/>
      <c r="M172" s="46"/>
      <c r="N172" s="42"/>
      <c r="O172" s="47" t="str">
        <f aca="false">IF(NOT(ISNUMBER(M172)),"",IFERROR(IF(L172="EUR",M172,IF(L172="IRR",M172/INDEX('Assumptions &amp; FX Reference'!$C$5:$C$25,MATCH(H172,'Assumptions &amp; FX Reference'!$A$5:$A$25,0)),IF(L172="USD",M172*INDEX('Assumptions &amp; FX Reference'!$B$5:$B$25,MATCH(H172,'Assumptions &amp; FX Reference'!$A$5:$A$25,0))/INDEX('Assumptions &amp; FX Reference'!$C$5:$C$25,MATCH(H172,'Assumptions &amp; FX Reference'!$A$5:$A$25,0)),""))),"(FX missing)"))</f>
        <v/>
      </c>
      <c r="P172" s="42"/>
      <c r="Q172" s="42"/>
      <c r="R172" s="42"/>
      <c r="S172" s="42"/>
      <c r="T172" s="42"/>
      <c r="U172" s="42"/>
      <c r="V172" s="42"/>
    </row>
    <row r="173" customFormat="false" ht="15" hidden="false" customHeight="false" outlineLevel="0" collapsed="false">
      <c r="A173" s="42"/>
      <c r="B173" s="42"/>
      <c r="C173" s="45" t="str">
        <f aca="false">IF(B173="","",IFERROR(INDEX('Master Database'!$D$5:$D$600,MATCH(B173,'Master Database'!$A$5:$A$600,0)),"(row not found)"))</f>
        <v/>
      </c>
      <c r="D173" s="45" t="str">
        <f aca="false">IF(B173="","",IFERROR(INDEX('Master Database'!$B$5:$B$600,MATCH(B173,'Master Database'!$A$5:$A$600,0)),"(row not found)"))</f>
        <v/>
      </c>
      <c r="E173" s="42"/>
      <c r="F173" s="45" t="str">
        <f aca="false">IF(E173="","",IFERROR(INDEX(Vendor_Register!$B$5:$B$205,MATCH(E173,Vendor_Register!$A$5:$A$205,0)),"(not in register)"))</f>
        <v/>
      </c>
      <c r="G173" s="45" t="str">
        <f aca="false">IF(E173="","",IFERROR(INDEX(Vendor_Register!$E$5:$E$205,MATCH(E173,Vendor_Register!$A$5:$A$205,0)),"(not in register)"))</f>
        <v/>
      </c>
      <c r="H173" s="42"/>
      <c r="I173" s="42"/>
      <c r="J173" s="42"/>
      <c r="K173" s="42"/>
      <c r="L173" s="42"/>
      <c r="M173" s="46"/>
      <c r="N173" s="42"/>
      <c r="O173" s="47" t="str">
        <f aca="false">IF(NOT(ISNUMBER(M173)),"",IFERROR(IF(L173="EUR",M173,IF(L173="IRR",M173/INDEX('Assumptions &amp; FX Reference'!$C$5:$C$25,MATCH(H173,'Assumptions &amp; FX Reference'!$A$5:$A$25,0)),IF(L173="USD",M173*INDEX('Assumptions &amp; FX Reference'!$B$5:$B$25,MATCH(H173,'Assumptions &amp; FX Reference'!$A$5:$A$25,0))/INDEX('Assumptions &amp; FX Reference'!$C$5:$C$25,MATCH(H173,'Assumptions &amp; FX Reference'!$A$5:$A$25,0)),""))),"(FX missing)"))</f>
        <v/>
      </c>
      <c r="P173" s="42"/>
      <c r="Q173" s="42"/>
      <c r="R173" s="42"/>
      <c r="S173" s="42"/>
      <c r="T173" s="42"/>
      <c r="U173" s="42"/>
      <c r="V173" s="42"/>
    </row>
    <row r="174" customFormat="false" ht="15" hidden="false" customHeight="false" outlineLevel="0" collapsed="false">
      <c r="A174" s="42"/>
      <c r="B174" s="42"/>
      <c r="C174" s="45" t="str">
        <f aca="false">IF(B174="","",IFERROR(INDEX('Master Database'!$D$5:$D$600,MATCH(B174,'Master Database'!$A$5:$A$600,0)),"(row not found)"))</f>
        <v/>
      </c>
      <c r="D174" s="45" t="str">
        <f aca="false">IF(B174="","",IFERROR(INDEX('Master Database'!$B$5:$B$600,MATCH(B174,'Master Database'!$A$5:$A$600,0)),"(row not found)"))</f>
        <v/>
      </c>
      <c r="E174" s="42"/>
      <c r="F174" s="45" t="str">
        <f aca="false">IF(E174="","",IFERROR(INDEX(Vendor_Register!$B$5:$B$205,MATCH(E174,Vendor_Register!$A$5:$A$205,0)),"(not in register)"))</f>
        <v/>
      </c>
      <c r="G174" s="45" t="str">
        <f aca="false">IF(E174="","",IFERROR(INDEX(Vendor_Register!$E$5:$E$205,MATCH(E174,Vendor_Register!$A$5:$A$205,0)),"(not in register)"))</f>
        <v/>
      </c>
      <c r="H174" s="42"/>
      <c r="I174" s="42"/>
      <c r="J174" s="42"/>
      <c r="K174" s="42"/>
      <c r="L174" s="42"/>
      <c r="M174" s="46"/>
      <c r="N174" s="42"/>
      <c r="O174" s="47" t="str">
        <f aca="false">IF(NOT(ISNUMBER(M174)),"",IFERROR(IF(L174="EUR",M174,IF(L174="IRR",M174/INDEX('Assumptions &amp; FX Reference'!$C$5:$C$25,MATCH(H174,'Assumptions &amp; FX Reference'!$A$5:$A$25,0)),IF(L174="USD",M174*INDEX('Assumptions &amp; FX Reference'!$B$5:$B$25,MATCH(H174,'Assumptions &amp; FX Reference'!$A$5:$A$25,0))/INDEX('Assumptions &amp; FX Reference'!$C$5:$C$25,MATCH(H174,'Assumptions &amp; FX Reference'!$A$5:$A$25,0)),""))),"(FX missing)"))</f>
        <v/>
      </c>
      <c r="P174" s="42"/>
      <c r="Q174" s="42"/>
      <c r="R174" s="42"/>
      <c r="S174" s="42"/>
      <c r="T174" s="42"/>
      <c r="U174" s="42"/>
      <c r="V174" s="42"/>
    </row>
    <row r="175" customFormat="false" ht="15" hidden="false" customHeight="false" outlineLevel="0" collapsed="false">
      <c r="A175" s="42"/>
      <c r="B175" s="42"/>
      <c r="C175" s="45" t="str">
        <f aca="false">IF(B175="","",IFERROR(INDEX('Master Database'!$D$5:$D$600,MATCH(B175,'Master Database'!$A$5:$A$600,0)),"(row not found)"))</f>
        <v/>
      </c>
      <c r="D175" s="45" t="str">
        <f aca="false">IF(B175="","",IFERROR(INDEX('Master Database'!$B$5:$B$600,MATCH(B175,'Master Database'!$A$5:$A$600,0)),"(row not found)"))</f>
        <v/>
      </c>
      <c r="E175" s="42"/>
      <c r="F175" s="45" t="str">
        <f aca="false">IF(E175="","",IFERROR(INDEX(Vendor_Register!$B$5:$B$205,MATCH(E175,Vendor_Register!$A$5:$A$205,0)),"(not in register)"))</f>
        <v/>
      </c>
      <c r="G175" s="45" t="str">
        <f aca="false">IF(E175="","",IFERROR(INDEX(Vendor_Register!$E$5:$E$205,MATCH(E175,Vendor_Register!$A$5:$A$205,0)),"(not in register)"))</f>
        <v/>
      </c>
      <c r="H175" s="42"/>
      <c r="I175" s="42"/>
      <c r="J175" s="42"/>
      <c r="K175" s="42"/>
      <c r="L175" s="42"/>
      <c r="M175" s="46"/>
      <c r="N175" s="42"/>
      <c r="O175" s="47" t="str">
        <f aca="false">IF(NOT(ISNUMBER(M175)),"",IFERROR(IF(L175="EUR",M175,IF(L175="IRR",M175/INDEX('Assumptions &amp; FX Reference'!$C$5:$C$25,MATCH(H175,'Assumptions &amp; FX Reference'!$A$5:$A$25,0)),IF(L175="USD",M175*INDEX('Assumptions &amp; FX Reference'!$B$5:$B$25,MATCH(H175,'Assumptions &amp; FX Reference'!$A$5:$A$25,0))/INDEX('Assumptions &amp; FX Reference'!$C$5:$C$25,MATCH(H175,'Assumptions &amp; FX Reference'!$A$5:$A$25,0)),""))),"(FX missing)"))</f>
        <v/>
      </c>
      <c r="P175" s="42"/>
      <c r="Q175" s="42"/>
      <c r="R175" s="42"/>
      <c r="S175" s="42"/>
      <c r="T175" s="42"/>
      <c r="U175" s="42"/>
      <c r="V175" s="42"/>
    </row>
    <row r="176" customFormat="false" ht="15" hidden="false" customHeight="false" outlineLevel="0" collapsed="false">
      <c r="A176" s="42"/>
      <c r="B176" s="42"/>
      <c r="C176" s="45" t="str">
        <f aca="false">IF(B176="","",IFERROR(INDEX('Master Database'!$D$5:$D$600,MATCH(B176,'Master Database'!$A$5:$A$600,0)),"(row not found)"))</f>
        <v/>
      </c>
      <c r="D176" s="45" t="str">
        <f aca="false">IF(B176="","",IFERROR(INDEX('Master Database'!$B$5:$B$600,MATCH(B176,'Master Database'!$A$5:$A$600,0)),"(row not found)"))</f>
        <v/>
      </c>
      <c r="E176" s="42"/>
      <c r="F176" s="45" t="str">
        <f aca="false">IF(E176="","",IFERROR(INDEX(Vendor_Register!$B$5:$B$205,MATCH(E176,Vendor_Register!$A$5:$A$205,0)),"(not in register)"))</f>
        <v/>
      </c>
      <c r="G176" s="45" t="str">
        <f aca="false">IF(E176="","",IFERROR(INDEX(Vendor_Register!$E$5:$E$205,MATCH(E176,Vendor_Register!$A$5:$A$205,0)),"(not in register)"))</f>
        <v/>
      </c>
      <c r="H176" s="42"/>
      <c r="I176" s="42"/>
      <c r="J176" s="42"/>
      <c r="K176" s="42"/>
      <c r="L176" s="42"/>
      <c r="M176" s="46"/>
      <c r="N176" s="42"/>
      <c r="O176" s="47" t="str">
        <f aca="false">IF(NOT(ISNUMBER(M176)),"",IFERROR(IF(L176="EUR",M176,IF(L176="IRR",M176/INDEX('Assumptions &amp; FX Reference'!$C$5:$C$25,MATCH(H176,'Assumptions &amp; FX Reference'!$A$5:$A$25,0)),IF(L176="USD",M176*INDEX('Assumptions &amp; FX Reference'!$B$5:$B$25,MATCH(H176,'Assumptions &amp; FX Reference'!$A$5:$A$25,0))/INDEX('Assumptions &amp; FX Reference'!$C$5:$C$25,MATCH(H176,'Assumptions &amp; FX Reference'!$A$5:$A$25,0)),""))),"(FX missing)"))</f>
        <v/>
      </c>
      <c r="P176" s="42"/>
      <c r="Q176" s="42"/>
      <c r="R176" s="42"/>
      <c r="S176" s="42"/>
      <c r="T176" s="42"/>
      <c r="U176" s="42"/>
      <c r="V176" s="42"/>
    </row>
    <row r="177" customFormat="false" ht="15" hidden="false" customHeight="false" outlineLevel="0" collapsed="false">
      <c r="A177" s="42"/>
      <c r="B177" s="42"/>
      <c r="C177" s="45" t="str">
        <f aca="false">IF(B177="","",IFERROR(INDEX('Master Database'!$D$5:$D$600,MATCH(B177,'Master Database'!$A$5:$A$600,0)),"(row not found)"))</f>
        <v/>
      </c>
      <c r="D177" s="45" t="str">
        <f aca="false">IF(B177="","",IFERROR(INDEX('Master Database'!$B$5:$B$600,MATCH(B177,'Master Database'!$A$5:$A$600,0)),"(row not found)"))</f>
        <v/>
      </c>
      <c r="E177" s="42"/>
      <c r="F177" s="45" t="str">
        <f aca="false">IF(E177="","",IFERROR(INDEX(Vendor_Register!$B$5:$B$205,MATCH(E177,Vendor_Register!$A$5:$A$205,0)),"(not in register)"))</f>
        <v/>
      </c>
      <c r="G177" s="45" t="str">
        <f aca="false">IF(E177="","",IFERROR(INDEX(Vendor_Register!$E$5:$E$205,MATCH(E177,Vendor_Register!$A$5:$A$205,0)),"(not in register)"))</f>
        <v/>
      </c>
      <c r="H177" s="42"/>
      <c r="I177" s="42"/>
      <c r="J177" s="42"/>
      <c r="K177" s="42"/>
      <c r="L177" s="42"/>
      <c r="M177" s="46"/>
      <c r="N177" s="42"/>
      <c r="O177" s="47" t="str">
        <f aca="false">IF(NOT(ISNUMBER(M177)),"",IFERROR(IF(L177="EUR",M177,IF(L177="IRR",M177/INDEX('Assumptions &amp; FX Reference'!$C$5:$C$25,MATCH(H177,'Assumptions &amp; FX Reference'!$A$5:$A$25,0)),IF(L177="USD",M177*INDEX('Assumptions &amp; FX Reference'!$B$5:$B$25,MATCH(H177,'Assumptions &amp; FX Reference'!$A$5:$A$25,0))/INDEX('Assumptions &amp; FX Reference'!$C$5:$C$25,MATCH(H177,'Assumptions &amp; FX Reference'!$A$5:$A$25,0)),""))),"(FX missing)"))</f>
        <v/>
      </c>
      <c r="P177" s="42"/>
      <c r="Q177" s="42"/>
      <c r="R177" s="42"/>
      <c r="S177" s="42"/>
      <c r="T177" s="42"/>
      <c r="U177" s="42"/>
      <c r="V177" s="42"/>
    </row>
    <row r="178" customFormat="false" ht="15" hidden="false" customHeight="false" outlineLevel="0" collapsed="false">
      <c r="A178" s="42"/>
      <c r="B178" s="42"/>
      <c r="C178" s="45" t="str">
        <f aca="false">IF(B178="","",IFERROR(INDEX('Master Database'!$D$5:$D$600,MATCH(B178,'Master Database'!$A$5:$A$600,0)),"(row not found)"))</f>
        <v/>
      </c>
      <c r="D178" s="45" t="str">
        <f aca="false">IF(B178="","",IFERROR(INDEX('Master Database'!$B$5:$B$600,MATCH(B178,'Master Database'!$A$5:$A$600,0)),"(row not found)"))</f>
        <v/>
      </c>
      <c r="E178" s="42"/>
      <c r="F178" s="45" t="str">
        <f aca="false">IF(E178="","",IFERROR(INDEX(Vendor_Register!$B$5:$B$205,MATCH(E178,Vendor_Register!$A$5:$A$205,0)),"(not in register)"))</f>
        <v/>
      </c>
      <c r="G178" s="45" t="str">
        <f aca="false">IF(E178="","",IFERROR(INDEX(Vendor_Register!$E$5:$E$205,MATCH(E178,Vendor_Register!$A$5:$A$205,0)),"(not in register)"))</f>
        <v/>
      </c>
      <c r="H178" s="42"/>
      <c r="I178" s="42"/>
      <c r="J178" s="42"/>
      <c r="K178" s="42"/>
      <c r="L178" s="42"/>
      <c r="M178" s="46"/>
      <c r="N178" s="42"/>
      <c r="O178" s="47" t="str">
        <f aca="false">IF(NOT(ISNUMBER(M178)),"",IFERROR(IF(L178="EUR",M178,IF(L178="IRR",M178/INDEX('Assumptions &amp; FX Reference'!$C$5:$C$25,MATCH(H178,'Assumptions &amp; FX Reference'!$A$5:$A$25,0)),IF(L178="USD",M178*INDEX('Assumptions &amp; FX Reference'!$B$5:$B$25,MATCH(H178,'Assumptions &amp; FX Reference'!$A$5:$A$25,0))/INDEX('Assumptions &amp; FX Reference'!$C$5:$C$25,MATCH(H178,'Assumptions &amp; FX Reference'!$A$5:$A$25,0)),""))),"(FX missing)"))</f>
        <v/>
      </c>
      <c r="P178" s="42"/>
      <c r="Q178" s="42"/>
      <c r="R178" s="42"/>
      <c r="S178" s="42"/>
      <c r="T178" s="42"/>
      <c r="U178" s="42"/>
      <c r="V178" s="42"/>
    </row>
    <row r="179" customFormat="false" ht="15" hidden="false" customHeight="false" outlineLevel="0" collapsed="false">
      <c r="A179" s="42"/>
      <c r="B179" s="42"/>
      <c r="C179" s="45" t="str">
        <f aca="false">IF(B179="","",IFERROR(INDEX('Master Database'!$D$5:$D$600,MATCH(B179,'Master Database'!$A$5:$A$600,0)),"(row not found)"))</f>
        <v/>
      </c>
      <c r="D179" s="45" t="str">
        <f aca="false">IF(B179="","",IFERROR(INDEX('Master Database'!$B$5:$B$600,MATCH(B179,'Master Database'!$A$5:$A$600,0)),"(row not found)"))</f>
        <v/>
      </c>
      <c r="E179" s="42"/>
      <c r="F179" s="45" t="str">
        <f aca="false">IF(E179="","",IFERROR(INDEX(Vendor_Register!$B$5:$B$205,MATCH(E179,Vendor_Register!$A$5:$A$205,0)),"(not in register)"))</f>
        <v/>
      </c>
      <c r="G179" s="45" t="str">
        <f aca="false">IF(E179="","",IFERROR(INDEX(Vendor_Register!$E$5:$E$205,MATCH(E179,Vendor_Register!$A$5:$A$205,0)),"(not in register)"))</f>
        <v/>
      </c>
      <c r="H179" s="42"/>
      <c r="I179" s="42"/>
      <c r="J179" s="42"/>
      <c r="K179" s="42"/>
      <c r="L179" s="42"/>
      <c r="M179" s="46"/>
      <c r="N179" s="42"/>
      <c r="O179" s="47" t="str">
        <f aca="false">IF(NOT(ISNUMBER(M179)),"",IFERROR(IF(L179="EUR",M179,IF(L179="IRR",M179/INDEX('Assumptions &amp; FX Reference'!$C$5:$C$25,MATCH(H179,'Assumptions &amp; FX Reference'!$A$5:$A$25,0)),IF(L179="USD",M179*INDEX('Assumptions &amp; FX Reference'!$B$5:$B$25,MATCH(H179,'Assumptions &amp; FX Reference'!$A$5:$A$25,0))/INDEX('Assumptions &amp; FX Reference'!$C$5:$C$25,MATCH(H179,'Assumptions &amp; FX Reference'!$A$5:$A$25,0)),""))),"(FX missing)"))</f>
        <v/>
      </c>
      <c r="P179" s="42"/>
      <c r="Q179" s="42"/>
      <c r="R179" s="42"/>
      <c r="S179" s="42"/>
      <c r="T179" s="42"/>
      <c r="U179" s="42"/>
      <c r="V179" s="42"/>
    </row>
    <row r="180" customFormat="false" ht="15" hidden="false" customHeight="false" outlineLevel="0" collapsed="false">
      <c r="A180" s="42"/>
      <c r="B180" s="42"/>
      <c r="C180" s="45" t="str">
        <f aca="false">IF(B180="","",IFERROR(INDEX('Master Database'!$D$5:$D$600,MATCH(B180,'Master Database'!$A$5:$A$600,0)),"(row not found)"))</f>
        <v/>
      </c>
      <c r="D180" s="45" t="str">
        <f aca="false">IF(B180="","",IFERROR(INDEX('Master Database'!$B$5:$B$600,MATCH(B180,'Master Database'!$A$5:$A$600,0)),"(row not found)"))</f>
        <v/>
      </c>
      <c r="E180" s="42"/>
      <c r="F180" s="45" t="str">
        <f aca="false">IF(E180="","",IFERROR(INDEX(Vendor_Register!$B$5:$B$205,MATCH(E180,Vendor_Register!$A$5:$A$205,0)),"(not in register)"))</f>
        <v/>
      </c>
      <c r="G180" s="45" t="str">
        <f aca="false">IF(E180="","",IFERROR(INDEX(Vendor_Register!$E$5:$E$205,MATCH(E180,Vendor_Register!$A$5:$A$205,0)),"(not in register)"))</f>
        <v/>
      </c>
      <c r="H180" s="42"/>
      <c r="I180" s="42"/>
      <c r="J180" s="42"/>
      <c r="K180" s="42"/>
      <c r="L180" s="42"/>
      <c r="M180" s="46"/>
      <c r="N180" s="42"/>
      <c r="O180" s="47" t="str">
        <f aca="false">IF(NOT(ISNUMBER(M180)),"",IFERROR(IF(L180="EUR",M180,IF(L180="IRR",M180/INDEX('Assumptions &amp; FX Reference'!$C$5:$C$25,MATCH(H180,'Assumptions &amp; FX Reference'!$A$5:$A$25,0)),IF(L180="USD",M180*INDEX('Assumptions &amp; FX Reference'!$B$5:$B$25,MATCH(H180,'Assumptions &amp; FX Reference'!$A$5:$A$25,0))/INDEX('Assumptions &amp; FX Reference'!$C$5:$C$25,MATCH(H180,'Assumptions &amp; FX Reference'!$A$5:$A$25,0)),""))),"(FX missing)"))</f>
        <v/>
      </c>
      <c r="P180" s="42"/>
      <c r="Q180" s="42"/>
      <c r="R180" s="42"/>
      <c r="S180" s="42"/>
      <c r="T180" s="42"/>
      <c r="U180" s="42"/>
      <c r="V180" s="42"/>
    </row>
    <row r="181" customFormat="false" ht="15" hidden="false" customHeight="false" outlineLevel="0" collapsed="false">
      <c r="A181" s="42"/>
      <c r="B181" s="42"/>
      <c r="C181" s="45" t="str">
        <f aca="false">IF(B181="","",IFERROR(INDEX('Master Database'!$D$5:$D$600,MATCH(B181,'Master Database'!$A$5:$A$600,0)),"(row not found)"))</f>
        <v/>
      </c>
      <c r="D181" s="45" t="str">
        <f aca="false">IF(B181="","",IFERROR(INDEX('Master Database'!$B$5:$B$600,MATCH(B181,'Master Database'!$A$5:$A$600,0)),"(row not found)"))</f>
        <v/>
      </c>
      <c r="E181" s="42"/>
      <c r="F181" s="45" t="str">
        <f aca="false">IF(E181="","",IFERROR(INDEX(Vendor_Register!$B$5:$B$205,MATCH(E181,Vendor_Register!$A$5:$A$205,0)),"(not in register)"))</f>
        <v/>
      </c>
      <c r="G181" s="45" t="str">
        <f aca="false">IF(E181="","",IFERROR(INDEX(Vendor_Register!$E$5:$E$205,MATCH(E181,Vendor_Register!$A$5:$A$205,0)),"(not in register)"))</f>
        <v/>
      </c>
      <c r="H181" s="42"/>
      <c r="I181" s="42"/>
      <c r="J181" s="42"/>
      <c r="K181" s="42"/>
      <c r="L181" s="42"/>
      <c r="M181" s="46"/>
      <c r="N181" s="42"/>
      <c r="O181" s="47" t="str">
        <f aca="false">IF(NOT(ISNUMBER(M181)),"",IFERROR(IF(L181="EUR",M181,IF(L181="IRR",M181/INDEX('Assumptions &amp; FX Reference'!$C$5:$C$25,MATCH(H181,'Assumptions &amp; FX Reference'!$A$5:$A$25,0)),IF(L181="USD",M181*INDEX('Assumptions &amp; FX Reference'!$B$5:$B$25,MATCH(H181,'Assumptions &amp; FX Reference'!$A$5:$A$25,0))/INDEX('Assumptions &amp; FX Reference'!$C$5:$C$25,MATCH(H181,'Assumptions &amp; FX Reference'!$A$5:$A$25,0)),""))),"(FX missing)"))</f>
        <v/>
      </c>
      <c r="P181" s="42"/>
      <c r="Q181" s="42"/>
      <c r="R181" s="42"/>
      <c r="S181" s="42"/>
      <c r="T181" s="42"/>
      <c r="U181" s="42"/>
      <c r="V181" s="42"/>
    </row>
    <row r="182" customFormat="false" ht="15" hidden="false" customHeight="false" outlineLevel="0" collapsed="false">
      <c r="A182" s="42"/>
      <c r="B182" s="42"/>
      <c r="C182" s="45" t="str">
        <f aca="false">IF(B182="","",IFERROR(INDEX('Master Database'!$D$5:$D$600,MATCH(B182,'Master Database'!$A$5:$A$600,0)),"(row not found)"))</f>
        <v/>
      </c>
      <c r="D182" s="45" t="str">
        <f aca="false">IF(B182="","",IFERROR(INDEX('Master Database'!$B$5:$B$600,MATCH(B182,'Master Database'!$A$5:$A$600,0)),"(row not found)"))</f>
        <v/>
      </c>
      <c r="E182" s="42"/>
      <c r="F182" s="45" t="str">
        <f aca="false">IF(E182="","",IFERROR(INDEX(Vendor_Register!$B$5:$B$205,MATCH(E182,Vendor_Register!$A$5:$A$205,0)),"(not in register)"))</f>
        <v/>
      </c>
      <c r="G182" s="45" t="str">
        <f aca="false">IF(E182="","",IFERROR(INDEX(Vendor_Register!$E$5:$E$205,MATCH(E182,Vendor_Register!$A$5:$A$205,0)),"(not in register)"))</f>
        <v/>
      </c>
      <c r="H182" s="42"/>
      <c r="I182" s="42"/>
      <c r="J182" s="42"/>
      <c r="K182" s="42"/>
      <c r="L182" s="42"/>
      <c r="M182" s="46"/>
      <c r="N182" s="42"/>
      <c r="O182" s="47" t="str">
        <f aca="false">IF(NOT(ISNUMBER(M182)),"",IFERROR(IF(L182="EUR",M182,IF(L182="IRR",M182/INDEX('Assumptions &amp; FX Reference'!$C$5:$C$25,MATCH(H182,'Assumptions &amp; FX Reference'!$A$5:$A$25,0)),IF(L182="USD",M182*INDEX('Assumptions &amp; FX Reference'!$B$5:$B$25,MATCH(H182,'Assumptions &amp; FX Reference'!$A$5:$A$25,0))/INDEX('Assumptions &amp; FX Reference'!$C$5:$C$25,MATCH(H182,'Assumptions &amp; FX Reference'!$A$5:$A$25,0)),""))),"(FX missing)"))</f>
        <v/>
      </c>
      <c r="P182" s="42"/>
      <c r="Q182" s="42"/>
      <c r="R182" s="42"/>
      <c r="S182" s="42"/>
      <c r="T182" s="42"/>
      <c r="U182" s="42"/>
      <c r="V182" s="42"/>
    </row>
    <row r="183" customFormat="false" ht="15" hidden="false" customHeight="false" outlineLevel="0" collapsed="false">
      <c r="A183" s="42"/>
      <c r="B183" s="42"/>
      <c r="C183" s="45" t="str">
        <f aca="false">IF(B183="","",IFERROR(INDEX('Master Database'!$D$5:$D$600,MATCH(B183,'Master Database'!$A$5:$A$600,0)),"(row not found)"))</f>
        <v/>
      </c>
      <c r="D183" s="45" t="str">
        <f aca="false">IF(B183="","",IFERROR(INDEX('Master Database'!$B$5:$B$600,MATCH(B183,'Master Database'!$A$5:$A$600,0)),"(row not found)"))</f>
        <v/>
      </c>
      <c r="E183" s="42"/>
      <c r="F183" s="45" t="str">
        <f aca="false">IF(E183="","",IFERROR(INDEX(Vendor_Register!$B$5:$B$205,MATCH(E183,Vendor_Register!$A$5:$A$205,0)),"(not in register)"))</f>
        <v/>
      </c>
      <c r="G183" s="45" t="str">
        <f aca="false">IF(E183="","",IFERROR(INDEX(Vendor_Register!$E$5:$E$205,MATCH(E183,Vendor_Register!$A$5:$A$205,0)),"(not in register)"))</f>
        <v/>
      </c>
      <c r="H183" s="42"/>
      <c r="I183" s="42"/>
      <c r="J183" s="42"/>
      <c r="K183" s="42"/>
      <c r="L183" s="42"/>
      <c r="M183" s="46"/>
      <c r="N183" s="42"/>
      <c r="O183" s="47" t="str">
        <f aca="false">IF(NOT(ISNUMBER(M183)),"",IFERROR(IF(L183="EUR",M183,IF(L183="IRR",M183/INDEX('Assumptions &amp; FX Reference'!$C$5:$C$25,MATCH(H183,'Assumptions &amp; FX Reference'!$A$5:$A$25,0)),IF(L183="USD",M183*INDEX('Assumptions &amp; FX Reference'!$B$5:$B$25,MATCH(H183,'Assumptions &amp; FX Reference'!$A$5:$A$25,0))/INDEX('Assumptions &amp; FX Reference'!$C$5:$C$25,MATCH(H183,'Assumptions &amp; FX Reference'!$A$5:$A$25,0)),""))),"(FX missing)"))</f>
        <v/>
      </c>
      <c r="P183" s="42"/>
      <c r="Q183" s="42"/>
      <c r="R183" s="42"/>
      <c r="S183" s="42"/>
      <c r="T183" s="42"/>
      <c r="U183" s="42"/>
      <c r="V183" s="42"/>
    </row>
    <row r="184" customFormat="false" ht="15" hidden="false" customHeight="false" outlineLevel="0" collapsed="false">
      <c r="A184" s="42"/>
      <c r="B184" s="42"/>
      <c r="C184" s="45" t="str">
        <f aca="false">IF(B184="","",IFERROR(INDEX('Master Database'!$D$5:$D$600,MATCH(B184,'Master Database'!$A$5:$A$600,0)),"(row not found)"))</f>
        <v/>
      </c>
      <c r="D184" s="45" t="str">
        <f aca="false">IF(B184="","",IFERROR(INDEX('Master Database'!$B$5:$B$600,MATCH(B184,'Master Database'!$A$5:$A$600,0)),"(row not found)"))</f>
        <v/>
      </c>
      <c r="E184" s="42"/>
      <c r="F184" s="45" t="str">
        <f aca="false">IF(E184="","",IFERROR(INDEX(Vendor_Register!$B$5:$B$205,MATCH(E184,Vendor_Register!$A$5:$A$205,0)),"(not in register)"))</f>
        <v/>
      </c>
      <c r="G184" s="45" t="str">
        <f aca="false">IF(E184="","",IFERROR(INDEX(Vendor_Register!$E$5:$E$205,MATCH(E184,Vendor_Register!$A$5:$A$205,0)),"(not in register)"))</f>
        <v/>
      </c>
      <c r="H184" s="42"/>
      <c r="I184" s="42"/>
      <c r="J184" s="42"/>
      <c r="K184" s="42"/>
      <c r="L184" s="42"/>
      <c r="M184" s="46"/>
      <c r="N184" s="42"/>
      <c r="O184" s="47" t="str">
        <f aca="false">IF(NOT(ISNUMBER(M184)),"",IFERROR(IF(L184="EUR",M184,IF(L184="IRR",M184/INDEX('Assumptions &amp; FX Reference'!$C$5:$C$25,MATCH(H184,'Assumptions &amp; FX Reference'!$A$5:$A$25,0)),IF(L184="USD",M184*INDEX('Assumptions &amp; FX Reference'!$B$5:$B$25,MATCH(H184,'Assumptions &amp; FX Reference'!$A$5:$A$25,0))/INDEX('Assumptions &amp; FX Reference'!$C$5:$C$25,MATCH(H184,'Assumptions &amp; FX Reference'!$A$5:$A$25,0)),""))),"(FX missing)"))</f>
        <v/>
      </c>
      <c r="P184" s="42"/>
      <c r="Q184" s="42"/>
      <c r="R184" s="42"/>
      <c r="S184" s="42"/>
      <c r="T184" s="42"/>
      <c r="U184" s="42"/>
      <c r="V184" s="42"/>
    </row>
    <row r="185" customFormat="false" ht="15" hidden="false" customHeight="false" outlineLevel="0" collapsed="false">
      <c r="A185" s="42"/>
      <c r="B185" s="42"/>
      <c r="C185" s="45" t="str">
        <f aca="false">IF(B185="","",IFERROR(INDEX('Master Database'!$D$5:$D$600,MATCH(B185,'Master Database'!$A$5:$A$600,0)),"(row not found)"))</f>
        <v/>
      </c>
      <c r="D185" s="45" t="str">
        <f aca="false">IF(B185="","",IFERROR(INDEX('Master Database'!$B$5:$B$600,MATCH(B185,'Master Database'!$A$5:$A$600,0)),"(row not found)"))</f>
        <v/>
      </c>
      <c r="E185" s="42"/>
      <c r="F185" s="45" t="str">
        <f aca="false">IF(E185="","",IFERROR(INDEX(Vendor_Register!$B$5:$B$205,MATCH(E185,Vendor_Register!$A$5:$A$205,0)),"(not in register)"))</f>
        <v/>
      </c>
      <c r="G185" s="45" t="str">
        <f aca="false">IF(E185="","",IFERROR(INDEX(Vendor_Register!$E$5:$E$205,MATCH(E185,Vendor_Register!$A$5:$A$205,0)),"(not in register)"))</f>
        <v/>
      </c>
      <c r="H185" s="42"/>
      <c r="I185" s="42"/>
      <c r="J185" s="42"/>
      <c r="K185" s="42"/>
      <c r="L185" s="42"/>
      <c r="M185" s="46"/>
      <c r="N185" s="42"/>
      <c r="O185" s="47" t="str">
        <f aca="false">IF(NOT(ISNUMBER(M185)),"",IFERROR(IF(L185="EUR",M185,IF(L185="IRR",M185/INDEX('Assumptions &amp; FX Reference'!$C$5:$C$25,MATCH(H185,'Assumptions &amp; FX Reference'!$A$5:$A$25,0)),IF(L185="USD",M185*INDEX('Assumptions &amp; FX Reference'!$B$5:$B$25,MATCH(H185,'Assumptions &amp; FX Reference'!$A$5:$A$25,0))/INDEX('Assumptions &amp; FX Reference'!$C$5:$C$25,MATCH(H185,'Assumptions &amp; FX Reference'!$A$5:$A$25,0)),""))),"(FX missing)"))</f>
        <v/>
      </c>
      <c r="P185" s="42"/>
      <c r="Q185" s="42"/>
      <c r="R185" s="42"/>
      <c r="S185" s="42"/>
      <c r="T185" s="42"/>
      <c r="U185" s="42"/>
      <c r="V185" s="42"/>
    </row>
    <row r="186" customFormat="false" ht="15" hidden="false" customHeight="false" outlineLevel="0" collapsed="false">
      <c r="A186" s="42"/>
      <c r="B186" s="42"/>
      <c r="C186" s="45" t="str">
        <f aca="false">IF(B186="","",IFERROR(INDEX('Master Database'!$D$5:$D$600,MATCH(B186,'Master Database'!$A$5:$A$600,0)),"(row not found)"))</f>
        <v/>
      </c>
      <c r="D186" s="45" t="str">
        <f aca="false">IF(B186="","",IFERROR(INDEX('Master Database'!$B$5:$B$600,MATCH(B186,'Master Database'!$A$5:$A$600,0)),"(row not found)"))</f>
        <v/>
      </c>
      <c r="E186" s="42"/>
      <c r="F186" s="45" t="str">
        <f aca="false">IF(E186="","",IFERROR(INDEX(Vendor_Register!$B$5:$B$205,MATCH(E186,Vendor_Register!$A$5:$A$205,0)),"(not in register)"))</f>
        <v/>
      </c>
      <c r="G186" s="45" t="str">
        <f aca="false">IF(E186="","",IFERROR(INDEX(Vendor_Register!$E$5:$E$205,MATCH(E186,Vendor_Register!$A$5:$A$205,0)),"(not in register)"))</f>
        <v/>
      </c>
      <c r="H186" s="42"/>
      <c r="I186" s="42"/>
      <c r="J186" s="42"/>
      <c r="K186" s="42"/>
      <c r="L186" s="42"/>
      <c r="M186" s="46"/>
      <c r="N186" s="42"/>
      <c r="O186" s="47" t="str">
        <f aca="false">IF(NOT(ISNUMBER(M186)),"",IFERROR(IF(L186="EUR",M186,IF(L186="IRR",M186/INDEX('Assumptions &amp; FX Reference'!$C$5:$C$25,MATCH(H186,'Assumptions &amp; FX Reference'!$A$5:$A$25,0)),IF(L186="USD",M186*INDEX('Assumptions &amp; FX Reference'!$B$5:$B$25,MATCH(H186,'Assumptions &amp; FX Reference'!$A$5:$A$25,0))/INDEX('Assumptions &amp; FX Reference'!$C$5:$C$25,MATCH(H186,'Assumptions &amp; FX Reference'!$A$5:$A$25,0)),""))),"(FX missing)"))</f>
        <v/>
      </c>
      <c r="P186" s="42"/>
      <c r="Q186" s="42"/>
      <c r="R186" s="42"/>
      <c r="S186" s="42"/>
      <c r="T186" s="42"/>
      <c r="U186" s="42"/>
      <c r="V186" s="42"/>
    </row>
    <row r="187" customFormat="false" ht="15" hidden="false" customHeight="false" outlineLevel="0" collapsed="false">
      <c r="A187" s="42"/>
      <c r="B187" s="42"/>
      <c r="C187" s="45" t="str">
        <f aca="false">IF(B187="","",IFERROR(INDEX('Master Database'!$D$5:$D$600,MATCH(B187,'Master Database'!$A$5:$A$600,0)),"(row not found)"))</f>
        <v/>
      </c>
      <c r="D187" s="45" t="str">
        <f aca="false">IF(B187="","",IFERROR(INDEX('Master Database'!$B$5:$B$600,MATCH(B187,'Master Database'!$A$5:$A$600,0)),"(row not found)"))</f>
        <v/>
      </c>
      <c r="E187" s="42"/>
      <c r="F187" s="45" t="str">
        <f aca="false">IF(E187="","",IFERROR(INDEX(Vendor_Register!$B$5:$B$205,MATCH(E187,Vendor_Register!$A$5:$A$205,0)),"(not in register)"))</f>
        <v/>
      </c>
      <c r="G187" s="45" t="str">
        <f aca="false">IF(E187="","",IFERROR(INDEX(Vendor_Register!$E$5:$E$205,MATCH(E187,Vendor_Register!$A$5:$A$205,0)),"(not in register)"))</f>
        <v/>
      </c>
      <c r="H187" s="42"/>
      <c r="I187" s="42"/>
      <c r="J187" s="42"/>
      <c r="K187" s="42"/>
      <c r="L187" s="42"/>
      <c r="M187" s="46"/>
      <c r="N187" s="42"/>
      <c r="O187" s="47" t="str">
        <f aca="false">IF(NOT(ISNUMBER(M187)),"",IFERROR(IF(L187="EUR",M187,IF(L187="IRR",M187/INDEX('Assumptions &amp; FX Reference'!$C$5:$C$25,MATCH(H187,'Assumptions &amp; FX Reference'!$A$5:$A$25,0)),IF(L187="USD",M187*INDEX('Assumptions &amp; FX Reference'!$B$5:$B$25,MATCH(H187,'Assumptions &amp; FX Reference'!$A$5:$A$25,0))/INDEX('Assumptions &amp; FX Reference'!$C$5:$C$25,MATCH(H187,'Assumptions &amp; FX Reference'!$A$5:$A$25,0)),""))),"(FX missing)"))</f>
        <v/>
      </c>
      <c r="P187" s="42"/>
      <c r="Q187" s="42"/>
      <c r="R187" s="42"/>
      <c r="S187" s="42"/>
      <c r="T187" s="42"/>
      <c r="U187" s="42"/>
      <c r="V187" s="42"/>
    </row>
    <row r="188" customFormat="false" ht="15" hidden="false" customHeight="false" outlineLevel="0" collapsed="false">
      <c r="A188" s="42"/>
      <c r="B188" s="42"/>
      <c r="C188" s="45" t="str">
        <f aca="false">IF(B188="","",IFERROR(INDEX('Master Database'!$D$5:$D$600,MATCH(B188,'Master Database'!$A$5:$A$600,0)),"(row not found)"))</f>
        <v/>
      </c>
      <c r="D188" s="45" t="str">
        <f aca="false">IF(B188="","",IFERROR(INDEX('Master Database'!$B$5:$B$600,MATCH(B188,'Master Database'!$A$5:$A$600,0)),"(row not found)"))</f>
        <v/>
      </c>
      <c r="E188" s="42"/>
      <c r="F188" s="45" t="str">
        <f aca="false">IF(E188="","",IFERROR(INDEX(Vendor_Register!$B$5:$B$205,MATCH(E188,Vendor_Register!$A$5:$A$205,0)),"(not in register)"))</f>
        <v/>
      </c>
      <c r="G188" s="45" t="str">
        <f aca="false">IF(E188="","",IFERROR(INDEX(Vendor_Register!$E$5:$E$205,MATCH(E188,Vendor_Register!$A$5:$A$205,0)),"(not in register)"))</f>
        <v/>
      </c>
      <c r="H188" s="42"/>
      <c r="I188" s="42"/>
      <c r="J188" s="42"/>
      <c r="K188" s="42"/>
      <c r="L188" s="42"/>
      <c r="M188" s="46"/>
      <c r="N188" s="42"/>
      <c r="O188" s="47" t="str">
        <f aca="false">IF(NOT(ISNUMBER(M188)),"",IFERROR(IF(L188="EUR",M188,IF(L188="IRR",M188/INDEX('Assumptions &amp; FX Reference'!$C$5:$C$25,MATCH(H188,'Assumptions &amp; FX Reference'!$A$5:$A$25,0)),IF(L188="USD",M188*INDEX('Assumptions &amp; FX Reference'!$B$5:$B$25,MATCH(H188,'Assumptions &amp; FX Reference'!$A$5:$A$25,0))/INDEX('Assumptions &amp; FX Reference'!$C$5:$C$25,MATCH(H188,'Assumptions &amp; FX Reference'!$A$5:$A$25,0)),""))),"(FX missing)"))</f>
        <v/>
      </c>
      <c r="P188" s="42"/>
      <c r="Q188" s="42"/>
      <c r="R188" s="42"/>
      <c r="S188" s="42"/>
      <c r="T188" s="42"/>
      <c r="U188" s="42"/>
      <c r="V188" s="42"/>
    </row>
    <row r="189" customFormat="false" ht="15" hidden="false" customHeight="false" outlineLevel="0" collapsed="false">
      <c r="A189" s="42"/>
      <c r="B189" s="42"/>
      <c r="C189" s="45" t="str">
        <f aca="false">IF(B189="","",IFERROR(INDEX('Master Database'!$D$5:$D$600,MATCH(B189,'Master Database'!$A$5:$A$600,0)),"(row not found)"))</f>
        <v/>
      </c>
      <c r="D189" s="45" t="str">
        <f aca="false">IF(B189="","",IFERROR(INDEX('Master Database'!$B$5:$B$600,MATCH(B189,'Master Database'!$A$5:$A$600,0)),"(row not found)"))</f>
        <v/>
      </c>
      <c r="E189" s="42"/>
      <c r="F189" s="45" t="str">
        <f aca="false">IF(E189="","",IFERROR(INDEX(Vendor_Register!$B$5:$B$205,MATCH(E189,Vendor_Register!$A$5:$A$205,0)),"(not in register)"))</f>
        <v/>
      </c>
      <c r="G189" s="45" t="str">
        <f aca="false">IF(E189="","",IFERROR(INDEX(Vendor_Register!$E$5:$E$205,MATCH(E189,Vendor_Register!$A$5:$A$205,0)),"(not in register)"))</f>
        <v/>
      </c>
      <c r="H189" s="42"/>
      <c r="I189" s="42"/>
      <c r="J189" s="42"/>
      <c r="K189" s="42"/>
      <c r="L189" s="42"/>
      <c r="M189" s="46"/>
      <c r="N189" s="42"/>
      <c r="O189" s="47" t="str">
        <f aca="false">IF(NOT(ISNUMBER(M189)),"",IFERROR(IF(L189="EUR",M189,IF(L189="IRR",M189/INDEX('Assumptions &amp; FX Reference'!$C$5:$C$25,MATCH(H189,'Assumptions &amp; FX Reference'!$A$5:$A$25,0)),IF(L189="USD",M189*INDEX('Assumptions &amp; FX Reference'!$B$5:$B$25,MATCH(H189,'Assumptions &amp; FX Reference'!$A$5:$A$25,0))/INDEX('Assumptions &amp; FX Reference'!$C$5:$C$25,MATCH(H189,'Assumptions &amp; FX Reference'!$A$5:$A$25,0)),""))),"(FX missing)"))</f>
        <v/>
      </c>
      <c r="P189" s="42"/>
      <c r="Q189" s="42"/>
      <c r="R189" s="42"/>
      <c r="S189" s="42"/>
      <c r="T189" s="42"/>
      <c r="U189" s="42"/>
      <c r="V189" s="42"/>
    </row>
    <row r="190" customFormat="false" ht="15" hidden="false" customHeight="false" outlineLevel="0" collapsed="false">
      <c r="A190" s="42"/>
      <c r="B190" s="42"/>
      <c r="C190" s="45" t="str">
        <f aca="false">IF(B190="","",IFERROR(INDEX('Master Database'!$D$5:$D$600,MATCH(B190,'Master Database'!$A$5:$A$600,0)),"(row not found)"))</f>
        <v/>
      </c>
      <c r="D190" s="45" t="str">
        <f aca="false">IF(B190="","",IFERROR(INDEX('Master Database'!$B$5:$B$600,MATCH(B190,'Master Database'!$A$5:$A$600,0)),"(row not found)"))</f>
        <v/>
      </c>
      <c r="E190" s="42"/>
      <c r="F190" s="45" t="str">
        <f aca="false">IF(E190="","",IFERROR(INDEX(Vendor_Register!$B$5:$B$205,MATCH(E190,Vendor_Register!$A$5:$A$205,0)),"(not in register)"))</f>
        <v/>
      </c>
      <c r="G190" s="45" t="str">
        <f aca="false">IF(E190="","",IFERROR(INDEX(Vendor_Register!$E$5:$E$205,MATCH(E190,Vendor_Register!$A$5:$A$205,0)),"(not in register)"))</f>
        <v/>
      </c>
      <c r="H190" s="42"/>
      <c r="I190" s="42"/>
      <c r="J190" s="42"/>
      <c r="K190" s="42"/>
      <c r="L190" s="42"/>
      <c r="M190" s="46"/>
      <c r="N190" s="42"/>
      <c r="O190" s="47" t="str">
        <f aca="false">IF(NOT(ISNUMBER(M190)),"",IFERROR(IF(L190="EUR",M190,IF(L190="IRR",M190/INDEX('Assumptions &amp; FX Reference'!$C$5:$C$25,MATCH(H190,'Assumptions &amp; FX Reference'!$A$5:$A$25,0)),IF(L190="USD",M190*INDEX('Assumptions &amp; FX Reference'!$B$5:$B$25,MATCH(H190,'Assumptions &amp; FX Reference'!$A$5:$A$25,0))/INDEX('Assumptions &amp; FX Reference'!$C$5:$C$25,MATCH(H190,'Assumptions &amp; FX Reference'!$A$5:$A$25,0)),""))),"(FX missing)"))</f>
        <v/>
      </c>
      <c r="P190" s="42"/>
      <c r="Q190" s="42"/>
      <c r="R190" s="42"/>
      <c r="S190" s="42"/>
      <c r="T190" s="42"/>
      <c r="U190" s="42"/>
      <c r="V190" s="42"/>
    </row>
    <row r="191" customFormat="false" ht="15" hidden="false" customHeight="false" outlineLevel="0" collapsed="false">
      <c r="A191" s="42"/>
      <c r="B191" s="42"/>
      <c r="C191" s="45" t="str">
        <f aca="false">IF(B191="","",IFERROR(INDEX('Master Database'!$D$5:$D$600,MATCH(B191,'Master Database'!$A$5:$A$600,0)),"(row not found)"))</f>
        <v/>
      </c>
      <c r="D191" s="45" t="str">
        <f aca="false">IF(B191="","",IFERROR(INDEX('Master Database'!$B$5:$B$600,MATCH(B191,'Master Database'!$A$5:$A$600,0)),"(row not found)"))</f>
        <v/>
      </c>
      <c r="E191" s="42"/>
      <c r="F191" s="45" t="str">
        <f aca="false">IF(E191="","",IFERROR(INDEX(Vendor_Register!$B$5:$B$205,MATCH(E191,Vendor_Register!$A$5:$A$205,0)),"(not in register)"))</f>
        <v/>
      </c>
      <c r="G191" s="45" t="str">
        <f aca="false">IF(E191="","",IFERROR(INDEX(Vendor_Register!$E$5:$E$205,MATCH(E191,Vendor_Register!$A$5:$A$205,0)),"(not in register)"))</f>
        <v/>
      </c>
      <c r="H191" s="42"/>
      <c r="I191" s="42"/>
      <c r="J191" s="42"/>
      <c r="K191" s="42"/>
      <c r="L191" s="42"/>
      <c r="M191" s="46"/>
      <c r="N191" s="42"/>
      <c r="O191" s="47" t="str">
        <f aca="false">IF(NOT(ISNUMBER(M191)),"",IFERROR(IF(L191="EUR",M191,IF(L191="IRR",M191/INDEX('Assumptions &amp; FX Reference'!$C$5:$C$25,MATCH(H191,'Assumptions &amp; FX Reference'!$A$5:$A$25,0)),IF(L191="USD",M191*INDEX('Assumptions &amp; FX Reference'!$B$5:$B$25,MATCH(H191,'Assumptions &amp; FX Reference'!$A$5:$A$25,0))/INDEX('Assumptions &amp; FX Reference'!$C$5:$C$25,MATCH(H191,'Assumptions &amp; FX Reference'!$A$5:$A$25,0)),""))),"(FX missing)"))</f>
        <v/>
      </c>
      <c r="P191" s="42"/>
      <c r="Q191" s="42"/>
      <c r="R191" s="42"/>
      <c r="S191" s="42"/>
      <c r="T191" s="42"/>
      <c r="U191" s="42"/>
      <c r="V191" s="42"/>
    </row>
    <row r="192" customFormat="false" ht="15" hidden="false" customHeight="false" outlineLevel="0" collapsed="false">
      <c r="A192" s="42"/>
      <c r="B192" s="42"/>
      <c r="C192" s="45" t="str">
        <f aca="false">IF(B192="","",IFERROR(INDEX('Master Database'!$D$5:$D$600,MATCH(B192,'Master Database'!$A$5:$A$600,0)),"(row not found)"))</f>
        <v/>
      </c>
      <c r="D192" s="45" t="str">
        <f aca="false">IF(B192="","",IFERROR(INDEX('Master Database'!$B$5:$B$600,MATCH(B192,'Master Database'!$A$5:$A$600,0)),"(row not found)"))</f>
        <v/>
      </c>
      <c r="E192" s="42"/>
      <c r="F192" s="45" t="str">
        <f aca="false">IF(E192="","",IFERROR(INDEX(Vendor_Register!$B$5:$B$205,MATCH(E192,Vendor_Register!$A$5:$A$205,0)),"(not in register)"))</f>
        <v/>
      </c>
      <c r="G192" s="45" t="str">
        <f aca="false">IF(E192="","",IFERROR(INDEX(Vendor_Register!$E$5:$E$205,MATCH(E192,Vendor_Register!$A$5:$A$205,0)),"(not in register)"))</f>
        <v/>
      </c>
      <c r="H192" s="42"/>
      <c r="I192" s="42"/>
      <c r="J192" s="42"/>
      <c r="K192" s="42"/>
      <c r="L192" s="42"/>
      <c r="M192" s="46"/>
      <c r="N192" s="42"/>
      <c r="O192" s="47" t="str">
        <f aca="false">IF(NOT(ISNUMBER(M192)),"",IFERROR(IF(L192="EUR",M192,IF(L192="IRR",M192/INDEX('Assumptions &amp; FX Reference'!$C$5:$C$25,MATCH(H192,'Assumptions &amp; FX Reference'!$A$5:$A$25,0)),IF(L192="USD",M192*INDEX('Assumptions &amp; FX Reference'!$B$5:$B$25,MATCH(H192,'Assumptions &amp; FX Reference'!$A$5:$A$25,0))/INDEX('Assumptions &amp; FX Reference'!$C$5:$C$25,MATCH(H192,'Assumptions &amp; FX Reference'!$A$5:$A$25,0)),""))),"(FX missing)"))</f>
        <v/>
      </c>
      <c r="P192" s="42"/>
      <c r="Q192" s="42"/>
      <c r="R192" s="42"/>
      <c r="S192" s="42"/>
      <c r="T192" s="42"/>
      <c r="U192" s="42"/>
      <c r="V192" s="42"/>
    </row>
    <row r="193" customFormat="false" ht="15" hidden="false" customHeight="false" outlineLevel="0" collapsed="false">
      <c r="A193" s="42"/>
      <c r="B193" s="42"/>
      <c r="C193" s="45" t="str">
        <f aca="false">IF(B193="","",IFERROR(INDEX('Master Database'!$D$5:$D$600,MATCH(B193,'Master Database'!$A$5:$A$600,0)),"(row not found)"))</f>
        <v/>
      </c>
      <c r="D193" s="45" t="str">
        <f aca="false">IF(B193="","",IFERROR(INDEX('Master Database'!$B$5:$B$600,MATCH(B193,'Master Database'!$A$5:$A$600,0)),"(row not found)"))</f>
        <v/>
      </c>
      <c r="E193" s="42"/>
      <c r="F193" s="45" t="str">
        <f aca="false">IF(E193="","",IFERROR(INDEX(Vendor_Register!$B$5:$B$205,MATCH(E193,Vendor_Register!$A$5:$A$205,0)),"(not in register)"))</f>
        <v/>
      </c>
      <c r="G193" s="45" t="str">
        <f aca="false">IF(E193="","",IFERROR(INDEX(Vendor_Register!$E$5:$E$205,MATCH(E193,Vendor_Register!$A$5:$A$205,0)),"(not in register)"))</f>
        <v/>
      </c>
      <c r="H193" s="42"/>
      <c r="I193" s="42"/>
      <c r="J193" s="42"/>
      <c r="K193" s="42"/>
      <c r="L193" s="42"/>
      <c r="M193" s="46"/>
      <c r="N193" s="42"/>
      <c r="O193" s="47" t="str">
        <f aca="false">IF(NOT(ISNUMBER(M193)),"",IFERROR(IF(L193="EUR",M193,IF(L193="IRR",M193/INDEX('Assumptions &amp; FX Reference'!$C$5:$C$25,MATCH(H193,'Assumptions &amp; FX Reference'!$A$5:$A$25,0)),IF(L193="USD",M193*INDEX('Assumptions &amp; FX Reference'!$B$5:$B$25,MATCH(H193,'Assumptions &amp; FX Reference'!$A$5:$A$25,0))/INDEX('Assumptions &amp; FX Reference'!$C$5:$C$25,MATCH(H193,'Assumptions &amp; FX Reference'!$A$5:$A$25,0)),""))),"(FX missing)"))</f>
        <v/>
      </c>
      <c r="P193" s="42"/>
      <c r="Q193" s="42"/>
      <c r="R193" s="42"/>
      <c r="S193" s="42"/>
      <c r="T193" s="42"/>
      <c r="U193" s="42"/>
      <c r="V193" s="42"/>
    </row>
    <row r="194" customFormat="false" ht="15" hidden="false" customHeight="false" outlineLevel="0" collapsed="false">
      <c r="A194" s="42"/>
      <c r="B194" s="42"/>
      <c r="C194" s="45" t="str">
        <f aca="false">IF(B194="","",IFERROR(INDEX('Master Database'!$D$5:$D$600,MATCH(B194,'Master Database'!$A$5:$A$600,0)),"(row not found)"))</f>
        <v/>
      </c>
      <c r="D194" s="45" t="str">
        <f aca="false">IF(B194="","",IFERROR(INDEX('Master Database'!$B$5:$B$600,MATCH(B194,'Master Database'!$A$5:$A$600,0)),"(row not found)"))</f>
        <v/>
      </c>
      <c r="E194" s="42"/>
      <c r="F194" s="45" t="str">
        <f aca="false">IF(E194="","",IFERROR(INDEX(Vendor_Register!$B$5:$B$205,MATCH(E194,Vendor_Register!$A$5:$A$205,0)),"(not in register)"))</f>
        <v/>
      </c>
      <c r="G194" s="45" t="str">
        <f aca="false">IF(E194="","",IFERROR(INDEX(Vendor_Register!$E$5:$E$205,MATCH(E194,Vendor_Register!$A$5:$A$205,0)),"(not in register)"))</f>
        <v/>
      </c>
      <c r="H194" s="42"/>
      <c r="I194" s="42"/>
      <c r="J194" s="42"/>
      <c r="K194" s="42"/>
      <c r="L194" s="42"/>
      <c r="M194" s="46"/>
      <c r="N194" s="42"/>
      <c r="O194" s="47" t="str">
        <f aca="false">IF(NOT(ISNUMBER(M194)),"",IFERROR(IF(L194="EUR",M194,IF(L194="IRR",M194/INDEX('Assumptions &amp; FX Reference'!$C$5:$C$25,MATCH(H194,'Assumptions &amp; FX Reference'!$A$5:$A$25,0)),IF(L194="USD",M194*INDEX('Assumptions &amp; FX Reference'!$B$5:$B$25,MATCH(H194,'Assumptions &amp; FX Reference'!$A$5:$A$25,0))/INDEX('Assumptions &amp; FX Reference'!$C$5:$C$25,MATCH(H194,'Assumptions &amp; FX Reference'!$A$5:$A$25,0)),""))),"(FX missing)"))</f>
        <v/>
      </c>
      <c r="P194" s="42"/>
      <c r="Q194" s="42"/>
      <c r="R194" s="42"/>
      <c r="S194" s="42"/>
      <c r="T194" s="42"/>
      <c r="U194" s="42"/>
      <c r="V194" s="42"/>
    </row>
    <row r="195" customFormat="false" ht="15" hidden="false" customHeight="false" outlineLevel="0" collapsed="false">
      <c r="A195" s="42"/>
      <c r="B195" s="42"/>
      <c r="C195" s="45" t="str">
        <f aca="false">IF(B195="","",IFERROR(INDEX('Master Database'!$D$5:$D$600,MATCH(B195,'Master Database'!$A$5:$A$600,0)),"(row not found)"))</f>
        <v/>
      </c>
      <c r="D195" s="45" t="str">
        <f aca="false">IF(B195="","",IFERROR(INDEX('Master Database'!$B$5:$B$600,MATCH(B195,'Master Database'!$A$5:$A$600,0)),"(row not found)"))</f>
        <v/>
      </c>
      <c r="E195" s="42"/>
      <c r="F195" s="45" t="str">
        <f aca="false">IF(E195="","",IFERROR(INDEX(Vendor_Register!$B$5:$B$205,MATCH(E195,Vendor_Register!$A$5:$A$205,0)),"(not in register)"))</f>
        <v/>
      </c>
      <c r="G195" s="45" t="str">
        <f aca="false">IF(E195="","",IFERROR(INDEX(Vendor_Register!$E$5:$E$205,MATCH(E195,Vendor_Register!$A$5:$A$205,0)),"(not in register)"))</f>
        <v/>
      </c>
      <c r="H195" s="42"/>
      <c r="I195" s="42"/>
      <c r="J195" s="42"/>
      <c r="K195" s="42"/>
      <c r="L195" s="42"/>
      <c r="M195" s="46"/>
      <c r="N195" s="42"/>
      <c r="O195" s="47" t="str">
        <f aca="false">IF(NOT(ISNUMBER(M195)),"",IFERROR(IF(L195="EUR",M195,IF(L195="IRR",M195/INDEX('Assumptions &amp; FX Reference'!$C$5:$C$25,MATCH(H195,'Assumptions &amp; FX Reference'!$A$5:$A$25,0)),IF(L195="USD",M195*INDEX('Assumptions &amp; FX Reference'!$B$5:$B$25,MATCH(H195,'Assumptions &amp; FX Reference'!$A$5:$A$25,0))/INDEX('Assumptions &amp; FX Reference'!$C$5:$C$25,MATCH(H195,'Assumptions &amp; FX Reference'!$A$5:$A$25,0)),""))),"(FX missing)"))</f>
        <v/>
      </c>
      <c r="P195" s="42"/>
      <c r="Q195" s="42"/>
      <c r="R195" s="42"/>
      <c r="S195" s="42"/>
      <c r="T195" s="42"/>
      <c r="U195" s="42"/>
      <c r="V195" s="42"/>
    </row>
    <row r="196" customFormat="false" ht="15" hidden="false" customHeight="false" outlineLevel="0" collapsed="false">
      <c r="A196" s="42"/>
      <c r="B196" s="42"/>
      <c r="C196" s="45" t="str">
        <f aca="false">IF(B196="","",IFERROR(INDEX('Master Database'!$D$5:$D$600,MATCH(B196,'Master Database'!$A$5:$A$600,0)),"(row not found)"))</f>
        <v/>
      </c>
      <c r="D196" s="45" t="str">
        <f aca="false">IF(B196="","",IFERROR(INDEX('Master Database'!$B$5:$B$600,MATCH(B196,'Master Database'!$A$5:$A$600,0)),"(row not found)"))</f>
        <v/>
      </c>
      <c r="E196" s="42"/>
      <c r="F196" s="45" t="str">
        <f aca="false">IF(E196="","",IFERROR(INDEX(Vendor_Register!$B$5:$B$205,MATCH(E196,Vendor_Register!$A$5:$A$205,0)),"(not in register)"))</f>
        <v/>
      </c>
      <c r="G196" s="45" t="str">
        <f aca="false">IF(E196="","",IFERROR(INDEX(Vendor_Register!$E$5:$E$205,MATCH(E196,Vendor_Register!$A$5:$A$205,0)),"(not in register)"))</f>
        <v/>
      </c>
      <c r="H196" s="42"/>
      <c r="I196" s="42"/>
      <c r="J196" s="42"/>
      <c r="K196" s="42"/>
      <c r="L196" s="42"/>
      <c r="M196" s="46"/>
      <c r="N196" s="42"/>
      <c r="O196" s="47" t="str">
        <f aca="false">IF(NOT(ISNUMBER(M196)),"",IFERROR(IF(L196="EUR",M196,IF(L196="IRR",M196/INDEX('Assumptions &amp; FX Reference'!$C$5:$C$25,MATCH(H196,'Assumptions &amp; FX Reference'!$A$5:$A$25,0)),IF(L196="USD",M196*INDEX('Assumptions &amp; FX Reference'!$B$5:$B$25,MATCH(H196,'Assumptions &amp; FX Reference'!$A$5:$A$25,0))/INDEX('Assumptions &amp; FX Reference'!$C$5:$C$25,MATCH(H196,'Assumptions &amp; FX Reference'!$A$5:$A$25,0)),""))),"(FX missing)"))</f>
        <v/>
      </c>
      <c r="P196" s="42"/>
      <c r="Q196" s="42"/>
      <c r="R196" s="42"/>
      <c r="S196" s="42"/>
      <c r="T196" s="42"/>
      <c r="U196" s="42"/>
      <c r="V196" s="42"/>
    </row>
    <row r="197" customFormat="false" ht="15" hidden="false" customHeight="false" outlineLevel="0" collapsed="false">
      <c r="A197" s="42"/>
      <c r="B197" s="42"/>
      <c r="C197" s="45" t="str">
        <f aca="false">IF(B197="","",IFERROR(INDEX('Master Database'!$D$5:$D$600,MATCH(B197,'Master Database'!$A$5:$A$600,0)),"(row not found)"))</f>
        <v/>
      </c>
      <c r="D197" s="45" t="str">
        <f aca="false">IF(B197="","",IFERROR(INDEX('Master Database'!$B$5:$B$600,MATCH(B197,'Master Database'!$A$5:$A$600,0)),"(row not found)"))</f>
        <v/>
      </c>
      <c r="E197" s="42"/>
      <c r="F197" s="45" t="str">
        <f aca="false">IF(E197="","",IFERROR(INDEX(Vendor_Register!$B$5:$B$205,MATCH(E197,Vendor_Register!$A$5:$A$205,0)),"(not in register)"))</f>
        <v/>
      </c>
      <c r="G197" s="45" t="str">
        <f aca="false">IF(E197="","",IFERROR(INDEX(Vendor_Register!$E$5:$E$205,MATCH(E197,Vendor_Register!$A$5:$A$205,0)),"(not in register)"))</f>
        <v/>
      </c>
      <c r="H197" s="42"/>
      <c r="I197" s="42"/>
      <c r="J197" s="42"/>
      <c r="K197" s="42"/>
      <c r="L197" s="42"/>
      <c r="M197" s="46"/>
      <c r="N197" s="42"/>
      <c r="O197" s="47" t="str">
        <f aca="false">IF(NOT(ISNUMBER(M197)),"",IFERROR(IF(L197="EUR",M197,IF(L197="IRR",M197/INDEX('Assumptions &amp; FX Reference'!$C$5:$C$25,MATCH(H197,'Assumptions &amp; FX Reference'!$A$5:$A$25,0)),IF(L197="USD",M197*INDEX('Assumptions &amp; FX Reference'!$B$5:$B$25,MATCH(H197,'Assumptions &amp; FX Reference'!$A$5:$A$25,0))/INDEX('Assumptions &amp; FX Reference'!$C$5:$C$25,MATCH(H197,'Assumptions &amp; FX Reference'!$A$5:$A$25,0)),""))),"(FX missing)"))</f>
        <v/>
      </c>
      <c r="P197" s="42"/>
      <c r="Q197" s="42"/>
      <c r="R197" s="42"/>
      <c r="S197" s="42"/>
      <c r="T197" s="42"/>
      <c r="U197" s="42"/>
      <c r="V197" s="42"/>
    </row>
    <row r="198" customFormat="false" ht="15" hidden="false" customHeight="false" outlineLevel="0" collapsed="false">
      <c r="A198" s="42"/>
      <c r="B198" s="42"/>
      <c r="C198" s="45" t="str">
        <f aca="false">IF(B198="","",IFERROR(INDEX('Master Database'!$D$5:$D$600,MATCH(B198,'Master Database'!$A$5:$A$600,0)),"(row not found)"))</f>
        <v/>
      </c>
      <c r="D198" s="45" t="str">
        <f aca="false">IF(B198="","",IFERROR(INDEX('Master Database'!$B$5:$B$600,MATCH(B198,'Master Database'!$A$5:$A$600,0)),"(row not found)"))</f>
        <v/>
      </c>
      <c r="E198" s="42"/>
      <c r="F198" s="45" t="str">
        <f aca="false">IF(E198="","",IFERROR(INDEX(Vendor_Register!$B$5:$B$205,MATCH(E198,Vendor_Register!$A$5:$A$205,0)),"(not in register)"))</f>
        <v/>
      </c>
      <c r="G198" s="45" t="str">
        <f aca="false">IF(E198="","",IFERROR(INDEX(Vendor_Register!$E$5:$E$205,MATCH(E198,Vendor_Register!$A$5:$A$205,0)),"(not in register)"))</f>
        <v/>
      </c>
      <c r="H198" s="42"/>
      <c r="I198" s="42"/>
      <c r="J198" s="42"/>
      <c r="K198" s="42"/>
      <c r="L198" s="42"/>
      <c r="M198" s="46"/>
      <c r="N198" s="42"/>
      <c r="O198" s="47" t="str">
        <f aca="false">IF(NOT(ISNUMBER(M198)),"",IFERROR(IF(L198="EUR",M198,IF(L198="IRR",M198/INDEX('Assumptions &amp; FX Reference'!$C$5:$C$25,MATCH(H198,'Assumptions &amp; FX Reference'!$A$5:$A$25,0)),IF(L198="USD",M198*INDEX('Assumptions &amp; FX Reference'!$B$5:$B$25,MATCH(H198,'Assumptions &amp; FX Reference'!$A$5:$A$25,0))/INDEX('Assumptions &amp; FX Reference'!$C$5:$C$25,MATCH(H198,'Assumptions &amp; FX Reference'!$A$5:$A$25,0)),""))),"(FX missing)"))</f>
        <v/>
      </c>
      <c r="P198" s="42"/>
      <c r="Q198" s="42"/>
      <c r="R198" s="42"/>
      <c r="S198" s="42"/>
      <c r="T198" s="42"/>
      <c r="U198" s="42"/>
      <c r="V198" s="42"/>
    </row>
    <row r="199" customFormat="false" ht="15" hidden="false" customHeight="false" outlineLevel="0" collapsed="false">
      <c r="A199" s="42"/>
      <c r="B199" s="42"/>
      <c r="C199" s="45" t="str">
        <f aca="false">IF(B199="","",IFERROR(INDEX('Master Database'!$D$5:$D$600,MATCH(B199,'Master Database'!$A$5:$A$600,0)),"(row not found)"))</f>
        <v/>
      </c>
      <c r="D199" s="45" t="str">
        <f aca="false">IF(B199="","",IFERROR(INDEX('Master Database'!$B$5:$B$600,MATCH(B199,'Master Database'!$A$5:$A$600,0)),"(row not found)"))</f>
        <v/>
      </c>
      <c r="E199" s="42"/>
      <c r="F199" s="45" t="str">
        <f aca="false">IF(E199="","",IFERROR(INDEX(Vendor_Register!$B$5:$B$205,MATCH(E199,Vendor_Register!$A$5:$A$205,0)),"(not in register)"))</f>
        <v/>
      </c>
      <c r="G199" s="45" t="str">
        <f aca="false">IF(E199="","",IFERROR(INDEX(Vendor_Register!$E$5:$E$205,MATCH(E199,Vendor_Register!$A$5:$A$205,0)),"(not in register)"))</f>
        <v/>
      </c>
      <c r="H199" s="42"/>
      <c r="I199" s="42"/>
      <c r="J199" s="42"/>
      <c r="K199" s="42"/>
      <c r="L199" s="42"/>
      <c r="M199" s="46"/>
      <c r="N199" s="42"/>
      <c r="O199" s="47" t="str">
        <f aca="false">IF(NOT(ISNUMBER(M199)),"",IFERROR(IF(L199="EUR",M199,IF(L199="IRR",M199/INDEX('Assumptions &amp; FX Reference'!$C$5:$C$25,MATCH(H199,'Assumptions &amp; FX Reference'!$A$5:$A$25,0)),IF(L199="USD",M199*INDEX('Assumptions &amp; FX Reference'!$B$5:$B$25,MATCH(H199,'Assumptions &amp; FX Reference'!$A$5:$A$25,0))/INDEX('Assumptions &amp; FX Reference'!$C$5:$C$25,MATCH(H199,'Assumptions &amp; FX Reference'!$A$5:$A$25,0)),""))),"(FX missing)"))</f>
        <v/>
      </c>
      <c r="P199" s="42"/>
      <c r="Q199" s="42"/>
      <c r="R199" s="42"/>
      <c r="S199" s="42"/>
      <c r="T199" s="42"/>
      <c r="U199" s="42"/>
      <c r="V199" s="42"/>
    </row>
    <row r="200" customFormat="false" ht="15" hidden="false" customHeight="false" outlineLevel="0" collapsed="false">
      <c r="A200" s="42"/>
      <c r="B200" s="42"/>
      <c r="C200" s="45" t="str">
        <f aca="false">IF(B200="","",IFERROR(INDEX('Master Database'!$D$5:$D$600,MATCH(B200,'Master Database'!$A$5:$A$600,0)),"(row not found)"))</f>
        <v/>
      </c>
      <c r="D200" s="45" t="str">
        <f aca="false">IF(B200="","",IFERROR(INDEX('Master Database'!$B$5:$B$600,MATCH(B200,'Master Database'!$A$5:$A$600,0)),"(row not found)"))</f>
        <v/>
      </c>
      <c r="E200" s="42"/>
      <c r="F200" s="45" t="str">
        <f aca="false">IF(E200="","",IFERROR(INDEX(Vendor_Register!$B$5:$B$205,MATCH(E200,Vendor_Register!$A$5:$A$205,0)),"(not in register)"))</f>
        <v/>
      </c>
      <c r="G200" s="45" t="str">
        <f aca="false">IF(E200="","",IFERROR(INDEX(Vendor_Register!$E$5:$E$205,MATCH(E200,Vendor_Register!$A$5:$A$205,0)),"(not in register)"))</f>
        <v/>
      </c>
      <c r="H200" s="42"/>
      <c r="I200" s="42"/>
      <c r="J200" s="42"/>
      <c r="K200" s="42"/>
      <c r="L200" s="42"/>
      <c r="M200" s="46"/>
      <c r="N200" s="42"/>
      <c r="O200" s="47" t="str">
        <f aca="false">IF(NOT(ISNUMBER(M200)),"",IFERROR(IF(L200="EUR",M200,IF(L200="IRR",M200/INDEX('Assumptions &amp; FX Reference'!$C$5:$C$25,MATCH(H200,'Assumptions &amp; FX Reference'!$A$5:$A$25,0)),IF(L200="USD",M200*INDEX('Assumptions &amp; FX Reference'!$B$5:$B$25,MATCH(H200,'Assumptions &amp; FX Reference'!$A$5:$A$25,0))/INDEX('Assumptions &amp; FX Reference'!$C$5:$C$25,MATCH(H200,'Assumptions &amp; FX Reference'!$A$5:$A$25,0)),""))),"(FX missing)"))</f>
        <v/>
      </c>
      <c r="P200" s="42"/>
      <c r="Q200" s="42"/>
      <c r="R200" s="42"/>
      <c r="S200" s="42"/>
      <c r="T200" s="42"/>
      <c r="U200" s="42"/>
      <c r="V200" s="42"/>
    </row>
    <row r="201" customFormat="false" ht="15" hidden="false" customHeight="false" outlineLevel="0" collapsed="false">
      <c r="A201" s="42"/>
      <c r="B201" s="42"/>
      <c r="C201" s="45" t="str">
        <f aca="false">IF(B201="","",IFERROR(INDEX('Master Database'!$D$5:$D$600,MATCH(B201,'Master Database'!$A$5:$A$600,0)),"(row not found)"))</f>
        <v/>
      </c>
      <c r="D201" s="45" t="str">
        <f aca="false">IF(B201="","",IFERROR(INDEX('Master Database'!$B$5:$B$600,MATCH(B201,'Master Database'!$A$5:$A$600,0)),"(row not found)"))</f>
        <v/>
      </c>
      <c r="E201" s="42"/>
      <c r="F201" s="45" t="str">
        <f aca="false">IF(E201="","",IFERROR(INDEX(Vendor_Register!$B$5:$B$205,MATCH(E201,Vendor_Register!$A$5:$A$205,0)),"(not in register)"))</f>
        <v/>
      </c>
      <c r="G201" s="45" t="str">
        <f aca="false">IF(E201="","",IFERROR(INDEX(Vendor_Register!$E$5:$E$205,MATCH(E201,Vendor_Register!$A$5:$A$205,0)),"(not in register)"))</f>
        <v/>
      </c>
      <c r="H201" s="42"/>
      <c r="I201" s="42"/>
      <c r="J201" s="42"/>
      <c r="K201" s="42"/>
      <c r="L201" s="42"/>
      <c r="M201" s="46"/>
      <c r="N201" s="42"/>
      <c r="O201" s="47" t="str">
        <f aca="false">IF(NOT(ISNUMBER(M201)),"",IFERROR(IF(L201="EUR",M201,IF(L201="IRR",M201/INDEX('Assumptions &amp; FX Reference'!$C$5:$C$25,MATCH(H201,'Assumptions &amp; FX Reference'!$A$5:$A$25,0)),IF(L201="USD",M201*INDEX('Assumptions &amp; FX Reference'!$B$5:$B$25,MATCH(H201,'Assumptions &amp; FX Reference'!$A$5:$A$25,0))/INDEX('Assumptions &amp; FX Reference'!$C$5:$C$25,MATCH(H201,'Assumptions &amp; FX Reference'!$A$5:$A$25,0)),""))),"(FX missing)"))</f>
        <v/>
      </c>
      <c r="P201" s="42"/>
      <c r="Q201" s="42"/>
      <c r="R201" s="42"/>
      <c r="S201" s="42"/>
      <c r="T201" s="42"/>
      <c r="U201" s="42"/>
      <c r="V201" s="42"/>
    </row>
    <row r="202" customFormat="false" ht="15" hidden="false" customHeight="false" outlineLevel="0" collapsed="false">
      <c r="A202" s="42"/>
      <c r="B202" s="42"/>
      <c r="C202" s="45" t="str">
        <f aca="false">IF(B202="","",IFERROR(INDEX('Master Database'!$D$5:$D$600,MATCH(B202,'Master Database'!$A$5:$A$600,0)),"(row not found)"))</f>
        <v/>
      </c>
      <c r="D202" s="45" t="str">
        <f aca="false">IF(B202="","",IFERROR(INDEX('Master Database'!$B$5:$B$600,MATCH(B202,'Master Database'!$A$5:$A$600,0)),"(row not found)"))</f>
        <v/>
      </c>
      <c r="E202" s="42"/>
      <c r="F202" s="45" t="str">
        <f aca="false">IF(E202="","",IFERROR(INDEX(Vendor_Register!$B$5:$B$205,MATCH(E202,Vendor_Register!$A$5:$A$205,0)),"(not in register)"))</f>
        <v/>
      </c>
      <c r="G202" s="45" t="str">
        <f aca="false">IF(E202="","",IFERROR(INDEX(Vendor_Register!$E$5:$E$205,MATCH(E202,Vendor_Register!$A$5:$A$205,0)),"(not in register)"))</f>
        <v/>
      </c>
      <c r="H202" s="42"/>
      <c r="I202" s="42"/>
      <c r="J202" s="42"/>
      <c r="K202" s="42"/>
      <c r="L202" s="42"/>
      <c r="M202" s="46"/>
      <c r="N202" s="42"/>
      <c r="O202" s="47" t="str">
        <f aca="false">IF(NOT(ISNUMBER(M202)),"",IFERROR(IF(L202="EUR",M202,IF(L202="IRR",M202/INDEX('Assumptions &amp; FX Reference'!$C$5:$C$25,MATCH(H202,'Assumptions &amp; FX Reference'!$A$5:$A$25,0)),IF(L202="USD",M202*INDEX('Assumptions &amp; FX Reference'!$B$5:$B$25,MATCH(H202,'Assumptions &amp; FX Reference'!$A$5:$A$25,0))/INDEX('Assumptions &amp; FX Reference'!$C$5:$C$25,MATCH(H202,'Assumptions &amp; FX Reference'!$A$5:$A$25,0)),""))),"(FX missing)"))</f>
        <v/>
      </c>
      <c r="P202" s="42"/>
      <c r="Q202" s="42"/>
      <c r="R202" s="42"/>
      <c r="S202" s="42"/>
      <c r="T202" s="42"/>
      <c r="U202" s="42"/>
      <c r="V202" s="42"/>
    </row>
    <row r="203" customFormat="false" ht="15" hidden="false" customHeight="false" outlineLevel="0" collapsed="false">
      <c r="A203" s="42"/>
      <c r="B203" s="42"/>
      <c r="C203" s="45" t="str">
        <f aca="false">IF(B203="","",IFERROR(INDEX('Master Database'!$D$5:$D$600,MATCH(B203,'Master Database'!$A$5:$A$600,0)),"(row not found)"))</f>
        <v/>
      </c>
      <c r="D203" s="45" t="str">
        <f aca="false">IF(B203="","",IFERROR(INDEX('Master Database'!$B$5:$B$600,MATCH(B203,'Master Database'!$A$5:$A$600,0)),"(row not found)"))</f>
        <v/>
      </c>
      <c r="E203" s="42"/>
      <c r="F203" s="45" t="str">
        <f aca="false">IF(E203="","",IFERROR(INDEX(Vendor_Register!$B$5:$B$205,MATCH(E203,Vendor_Register!$A$5:$A$205,0)),"(not in register)"))</f>
        <v/>
      </c>
      <c r="G203" s="45" t="str">
        <f aca="false">IF(E203="","",IFERROR(INDEX(Vendor_Register!$E$5:$E$205,MATCH(E203,Vendor_Register!$A$5:$A$205,0)),"(not in register)"))</f>
        <v/>
      </c>
      <c r="H203" s="42"/>
      <c r="I203" s="42"/>
      <c r="J203" s="42"/>
      <c r="K203" s="42"/>
      <c r="L203" s="42"/>
      <c r="M203" s="46"/>
      <c r="N203" s="42"/>
      <c r="O203" s="47" t="str">
        <f aca="false">IF(NOT(ISNUMBER(M203)),"",IFERROR(IF(L203="EUR",M203,IF(L203="IRR",M203/INDEX('Assumptions &amp; FX Reference'!$C$5:$C$25,MATCH(H203,'Assumptions &amp; FX Reference'!$A$5:$A$25,0)),IF(L203="USD",M203*INDEX('Assumptions &amp; FX Reference'!$B$5:$B$25,MATCH(H203,'Assumptions &amp; FX Reference'!$A$5:$A$25,0))/INDEX('Assumptions &amp; FX Reference'!$C$5:$C$25,MATCH(H203,'Assumptions &amp; FX Reference'!$A$5:$A$25,0)),""))),"(FX missing)"))</f>
        <v/>
      </c>
      <c r="P203" s="42"/>
      <c r="Q203" s="42"/>
      <c r="R203" s="42"/>
      <c r="S203" s="42"/>
      <c r="T203" s="42"/>
      <c r="U203" s="42"/>
      <c r="V203" s="42"/>
    </row>
    <row r="204" customFormat="false" ht="15" hidden="false" customHeight="false" outlineLevel="0" collapsed="false">
      <c r="A204" s="42"/>
      <c r="B204" s="42"/>
      <c r="C204" s="45" t="str">
        <f aca="false">IF(B204="","",IFERROR(INDEX('Master Database'!$D$5:$D$600,MATCH(B204,'Master Database'!$A$5:$A$600,0)),"(row not found)"))</f>
        <v/>
      </c>
      <c r="D204" s="45" t="str">
        <f aca="false">IF(B204="","",IFERROR(INDEX('Master Database'!$B$5:$B$600,MATCH(B204,'Master Database'!$A$5:$A$600,0)),"(row not found)"))</f>
        <v/>
      </c>
      <c r="E204" s="42"/>
      <c r="F204" s="45" t="str">
        <f aca="false">IF(E204="","",IFERROR(INDEX(Vendor_Register!$B$5:$B$205,MATCH(E204,Vendor_Register!$A$5:$A$205,0)),"(not in register)"))</f>
        <v/>
      </c>
      <c r="G204" s="45" t="str">
        <f aca="false">IF(E204="","",IFERROR(INDEX(Vendor_Register!$E$5:$E$205,MATCH(E204,Vendor_Register!$A$5:$A$205,0)),"(not in register)"))</f>
        <v/>
      </c>
      <c r="H204" s="42"/>
      <c r="I204" s="42"/>
      <c r="J204" s="42"/>
      <c r="K204" s="42"/>
      <c r="L204" s="42"/>
      <c r="M204" s="46"/>
      <c r="N204" s="42"/>
      <c r="O204" s="47" t="str">
        <f aca="false">IF(NOT(ISNUMBER(M204)),"",IFERROR(IF(L204="EUR",M204,IF(L204="IRR",M204/INDEX('Assumptions &amp; FX Reference'!$C$5:$C$25,MATCH(H204,'Assumptions &amp; FX Reference'!$A$5:$A$25,0)),IF(L204="USD",M204*INDEX('Assumptions &amp; FX Reference'!$B$5:$B$25,MATCH(H204,'Assumptions &amp; FX Reference'!$A$5:$A$25,0))/INDEX('Assumptions &amp; FX Reference'!$C$5:$C$25,MATCH(H204,'Assumptions &amp; FX Reference'!$A$5:$A$25,0)),""))),"(FX missing)"))</f>
        <v/>
      </c>
      <c r="P204" s="42"/>
      <c r="Q204" s="42"/>
      <c r="R204" s="42"/>
      <c r="S204" s="42"/>
      <c r="T204" s="42"/>
      <c r="U204" s="42"/>
      <c r="V204" s="42"/>
    </row>
    <row r="205" customFormat="false" ht="15" hidden="false" customHeight="false" outlineLevel="0" collapsed="false">
      <c r="A205" s="42"/>
      <c r="B205" s="42"/>
      <c r="C205" s="45" t="str">
        <f aca="false">IF(B205="","",IFERROR(INDEX('Master Database'!$D$5:$D$600,MATCH(B205,'Master Database'!$A$5:$A$600,0)),"(row not found)"))</f>
        <v/>
      </c>
      <c r="D205" s="45" t="str">
        <f aca="false">IF(B205="","",IFERROR(INDEX('Master Database'!$B$5:$B$600,MATCH(B205,'Master Database'!$A$5:$A$600,0)),"(row not found)"))</f>
        <v/>
      </c>
      <c r="E205" s="42"/>
      <c r="F205" s="45" t="str">
        <f aca="false">IF(E205="","",IFERROR(INDEX(Vendor_Register!$B$5:$B$205,MATCH(E205,Vendor_Register!$A$5:$A$205,0)),"(not in register)"))</f>
        <v/>
      </c>
      <c r="G205" s="45" t="str">
        <f aca="false">IF(E205="","",IFERROR(INDEX(Vendor_Register!$E$5:$E$205,MATCH(E205,Vendor_Register!$A$5:$A$205,0)),"(not in register)"))</f>
        <v/>
      </c>
      <c r="H205" s="42"/>
      <c r="I205" s="42"/>
      <c r="J205" s="42"/>
      <c r="K205" s="42"/>
      <c r="L205" s="42"/>
      <c r="M205" s="46"/>
      <c r="N205" s="42"/>
      <c r="O205" s="47" t="str">
        <f aca="false">IF(NOT(ISNUMBER(M205)),"",IFERROR(IF(L205="EUR",M205,IF(L205="IRR",M205/INDEX('Assumptions &amp; FX Reference'!$C$5:$C$25,MATCH(H205,'Assumptions &amp; FX Reference'!$A$5:$A$25,0)),IF(L205="USD",M205*INDEX('Assumptions &amp; FX Reference'!$B$5:$B$25,MATCH(H205,'Assumptions &amp; FX Reference'!$A$5:$A$25,0))/INDEX('Assumptions &amp; FX Reference'!$C$5:$C$25,MATCH(H205,'Assumptions &amp; FX Reference'!$A$5:$A$25,0)),""))),"(FX missing)"))</f>
        <v/>
      </c>
      <c r="P205" s="42"/>
      <c r="Q205" s="42"/>
      <c r="R205" s="42"/>
      <c r="S205" s="42"/>
      <c r="T205" s="42"/>
      <c r="U205" s="42"/>
      <c r="V205" s="42"/>
    </row>
    <row r="206" customFormat="false" ht="15" hidden="false" customHeight="false" outlineLevel="0" collapsed="false">
      <c r="A206" s="42"/>
      <c r="B206" s="42"/>
      <c r="C206" s="45" t="str">
        <f aca="false">IF(B206="","",IFERROR(INDEX('Master Database'!$D$5:$D$600,MATCH(B206,'Master Database'!$A$5:$A$600,0)),"(row not found)"))</f>
        <v/>
      </c>
      <c r="D206" s="45" t="str">
        <f aca="false">IF(B206="","",IFERROR(INDEX('Master Database'!$B$5:$B$600,MATCH(B206,'Master Database'!$A$5:$A$600,0)),"(row not found)"))</f>
        <v/>
      </c>
      <c r="E206" s="42"/>
      <c r="F206" s="45" t="str">
        <f aca="false">IF(E206="","",IFERROR(INDEX(Vendor_Register!$B$5:$B$205,MATCH(E206,Vendor_Register!$A$5:$A$205,0)),"(not in register)"))</f>
        <v/>
      </c>
      <c r="G206" s="45" t="str">
        <f aca="false">IF(E206="","",IFERROR(INDEX(Vendor_Register!$E$5:$E$205,MATCH(E206,Vendor_Register!$A$5:$A$205,0)),"(not in register)"))</f>
        <v/>
      </c>
      <c r="H206" s="42"/>
      <c r="I206" s="42"/>
      <c r="J206" s="42"/>
      <c r="K206" s="42"/>
      <c r="L206" s="42"/>
      <c r="M206" s="46"/>
      <c r="N206" s="42"/>
      <c r="O206" s="47" t="str">
        <f aca="false">IF(NOT(ISNUMBER(M206)),"",IFERROR(IF(L206="EUR",M206,IF(L206="IRR",M206/INDEX('Assumptions &amp; FX Reference'!$C$5:$C$25,MATCH(H206,'Assumptions &amp; FX Reference'!$A$5:$A$25,0)),IF(L206="USD",M206*INDEX('Assumptions &amp; FX Reference'!$B$5:$B$25,MATCH(H206,'Assumptions &amp; FX Reference'!$A$5:$A$25,0))/INDEX('Assumptions &amp; FX Reference'!$C$5:$C$25,MATCH(H206,'Assumptions &amp; FX Reference'!$A$5:$A$25,0)),""))),"(FX missing)"))</f>
        <v/>
      </c>
      <c r="P206" s="42"/>
      <c r="Q206" s="42"/>
      <c r="R206" s="42"/>
      <c r="S206" s="42"/>
      <c r="T206" s="42"/>
      <c r="U206" s="42"/>
      <c r="V206" s="42"/>
    </row>
    <row r="207" customFormat="false" ht="15" hidden="false" customHeight="false" outlineLevel="0" collapsed="false">
      <c r="A207" s="42"/>
      <c r="B207" s="42"/>
      <c r="C207" s="45" t="str">
        <f aca="false">IF(B207="","",IFERROR(INDEX('Master Database'!$D$5:$D$600,MATCH(B207,'Master Database'!$A$5:$A$600,0)),"(row not found)"))</f>
        <v/>
      </c>
      <c r="D207" s="45" t="str">
        <f aca="false">IF(B207="","",IFERROR(INDEX('Master Database'!$B$5:$B$600,MATCH(B207,'Master Database'!$A$5:$A$600,0)),"(row not found)"))</f>
        <v/>
      </c>
      <c r="E207" s="42"/>
      <c r="F207" s="45" t="str">
        <f aca="false">IF(E207="","",IFERROR(INDEX(Vendor_Register!$B$5:$B$205,MATCH(E207,Vendor_Register!$A$5:$A$205,0)),"(not in register)"))</f>
        <v/>
      </c>
      <c r="G207" s="45" t="str">
        <f aca="false">IF(E207="","",IFERROR(INDEX(Vendor_Register!$E$5:$E$205,MATCH(E207,Vendor_Register!$A$5:$A$205,0)),"(not in register)"))</f>
        <v/>
      </c>
      <c r="H207" s="42"/>
      <c r="I207" s="42"/>
      <c r="J207" s="42"/>
      <c r="K207" s="42"/>
      <c r="L207" s="42"/>
      <c r="M207" s="46"/>
      <c r="N207" s="42"/>
      <c r="O207" s="47" t="str">
        <f aca="false">IF(NOT(ISNUMBER(M207)),"",IFERROR(IF(L207="EUR",M207,IF(L207="IRR",M207/INDEX('Assumptions &amp; FX Reference'!$C$5:$C$25,MATCH(H207,'Assumptions &amp; FX Reference'!$A$5:$A$25,0)),IF(L207="USD",M207*INDEX('Assumptions &amp; FX Reference'!$B$5:$B$25,MATCH(H207,'Assumptions &amp; FX Reference'!$A$5:$A$25,0))/INDEX('Assumptions &amp; FX Reference'!$C$5:$C$25,MATCH(H207,'Assumptions &amp; FX Reference'!$A$5:$A$25,0)),""))),"(FX missing)"))</f>
        <v/>
      </c>
      <c r="P207" s="42"/>
      <c r="Q207" s="42"/>
      <c r="R207" s="42"/>
      <c r="S207" s="42"/>
      <c r="T207" s="42"/>
      <c r="U207" s="42"/>
      <c r="V207" s="42"/>
    </row>
    <row r="208" customFormat="false" ht="15" hidden="false" customHeight="false" outlineLevel="0" collapsed="false">
      <c r="A208" s="42"/>
      <c r="B208" s="42"/>
      <c r="C208" s="45" t="str">
        <f aca="false">IF(B208="","",IFERROR(INDEX('Master Database'!$D$5:$D$600,MATCH(B208,'Master Database'!$A$5:$A$600,0)),"(row not found)"))</f>
        <v/>
      </c>
      <c r="D208" s="45" t="str">
        <f aca="false">IF(B208="","",IFERROR(INDEX('Master Database'!$B$5:$B$600,MATCH(B208,'Master Database'!$A$5:$A$600,0)),"(row not found)"))</f>
        <v/>
      </c>
      <c r="E208" s="42"/>
      <c r="F208" s="45" t="str">
        <f aca="false">IF(E208="","",IFERROR(INDEX(Vendor_Register!$B$5:$B$205,MATCH(E208,Vendor_Register!$A$5:$A$205,0)),"(not in register)"))</f>
        <v/>
      </c>
      <c r="G208" s="45" t="str">
        <f aca="false">IF(E208="","",IFERROR(INDEX(Vendor_Register!$E$5:$E$205,MATCH(E208,Vendor_Register!$A$5:$A$205,0)),"(not in register)"))</f>
        <v/>
      </c>
      <c r="H208" s="42"/>
      <c r="I208" s="42"/>
      <c r="J208" s="42"/>
      <c r="K208" s="42"/>
      <c r="L208" s="42"/>
      <c r="M208" s="46"/>
      <c r="N208" s="42"/>
      <c r="O208" s="47" t="str">
        <f aca="false">IF(NOT(ISNUMBER(M208)),"",IFERROR(IF(L208="EUR",M208,IF(L208="IRR",M208/INDEX('Assumptions &amp; FX Reference'!$C$5:$C$25,MATCH(H208,'Assumptions &amp; FX Reference'!$A$5:$A$25,0)),IF(L208="USD",M208*INDEX('Assumptions &amp; FX Reference'!$B$5:$B$25,MATCH(H208,'Assumptions &amp; FX Reference'!$A$5:$A$25,0))/INDEX('Assumptions &amp; FX Reference'!$C$5:$C$25,MATCH(H208,'Assumptions &amp; FX Reference'!$A$5:$A$25,0)),""))),"(FX missing)"))</f>
        <v/>
      </c>
      <c r="P208" s="42"/>
      <c r="Q208" s="42"/>
      <c r="R208" s="42"/>
      <c r="S208" s="42"/>
      <c r="T208" s="42"/>
      <c r="U208" s="42"/>
      <c r="V208" s="42"/>
    </row>
    <row r="209" customFormat="false" ht="15" hidden="false" customHeight="false" outlineLevel="0" collapsed="false">
      <c r="A209" s="42"/>
      <c r="B209" s="42"/>
      <c r="C209" s="45" t="str">
        <f aca="false">IF(B209="","",IFERROR(INDEX('Master Database'!$D$5:$D$600,MATCH(B209,'Master Database'!$A$5:$A$600,0)),"(row not found)"))</f>
        <v/>
      </c>
      <c r="D209" s="45" t="str">
        <f aca="false">IF(B209="","",IFERROR(INDEX('Master Database'!$B$5:$B$600,MATCH(B209,'Master Database'!$A$5:$A$600,0)),"(row not found)"))</f>
        <v/>
      </c>
      <c r="E209" s="42"/>
      <c r="F209" s="45" t="str">
        <f aca="false">IF(E209="","",IFERROR(INDEX(Vendor_Register!$B$5:$B$205,MATCH(E209,Vendor_Register!$A$5:$A$205,0)),"(not in register)"))</f>
        <v/>
      </c>
      <c r="G209" s="45" t="str">
        <f aca="false">IF(E209="","",IFERROR(INDEX(Vendor_Register!$E$5:$E$205,MATCH(E209,Vendor_Register!$A$5:$A$205,0)),"(not in register)"))</f>
        <v/>
      </c>
      <c r="H209" s="42"/>
      <c r="I209" s="42"/>
      <c r="J209" s="42"/>
      <c r="K209" s="42"/>
      <c r="L209" s="42"/>
      <c r="M209" s="46"/>
      <c r="N209" s="42"/>
      <c r="O209" s="47" t="str">
        <f aca="false">IF(NOT(ISNUMBER(M209)),"",IFERROR(IF(L209="EUR",M209,IF(L209="IRR",M209/INDEX('Assumptions &amp; FX Reference'!$C$5:$C$25,MATCH(H209,'Assumptions &amp; FX Reference'!$A$5:$A$25,0)),IF(L209="USD",M209*INDEX('Assumptions &amp; FX Reference'!$B$5:$B$25,MATCH(H209,'Assumptions &amp; FX Reference'!$A$5:$A$25,0))/INDEX('Assumptions &amp; FX Reference'!$C$5:$C$25,MATCH(H209,'Assumptions &amp; FX Reference'!$A$5:$A$25,0)),""))),"(FX missing)"))</f>
        <v/>
      </c>
      <c r="P209" s="42"/>
      <c r="Q209" s="42"/>
      <c r="R209" s="42"/>
      <c r="S209" s="42"/>
      <c r="T209" s="42"/>
      <c r="U209" s="42"/>
      <c r="V209" s="42"/>
    </row>
    <row r="210" customFormat="false" ht="15" hidden="false" customHeight="false" outlineLevel="0" collapsed="false">
      <c r="A210" s="42"/>
      <c r="B210" s="42"/>
      <c r="C210" s="45" t="str">
        <f aca="false">IF(B210="","",IFERROR(INDEX('Master Database'!$D$5:$D$600,MATCH(B210,'Master Database'!$A$5:$A$600,0)),"(row not found)"))</f>
        <v/>
      </c>
      <c r="D210" s="45" t="str">
        <f aca="false">IF(B210="","",IFERROR(INDEX('Master Database'!$B$5:$B$600,MATCH(B210,'Master Database'!$A$5:$A$600,0)),"(row not found)"))</f>
        <v/>
      </c>
      <c r="E210" s="42"/>
      <c r="F210" s="45" t="str">
        <f aca="false">IF(E210="","",IFERROR(INDEX(Vendor_Register!$B$5:$B$205,MATCH(E210,Vendor_Register!$A$5:$A$205,0)),"(not in register)"))</f>
        <v/>
      </c>
      <c r="G210" s="45" t="str">
        <f aca="false">IF(E210="","",IFERROR(INDEX(Vendor_Register!$E$5:$E$205,MATCH(E210,Vendor_Register!$A$5:$A$205,0)),"(not in register)"))</f>
        <v/>
      </c>
      <c r="H210" s="42"/>
      <c r="I210" s="42"/>
      <c r="J210" s="42"/>
      <c r="K210" s="42"/>
      <c r="L210" s="42"/>
      <c r="M210" s="46"/>
      <c r="N210" s="42"/>
      <c r="O210" s="47" t="str">
        <f aca="false">IF(NOT(ISNUMBER(M210)),"",IFERROR(IF(L210="EUR",M210,IF(L210="IRR",M210/INDEX('Assumptions &amp; FX Reference'!$C$5:$C$25,MATCH(H210,'Assumptions &amp; FX Reference'!$A$5:$A$25,0)),IF(L210="USD",M210*INDEX('Assumptions &amp; FX Reference'!$B$5:$B$25,MATCH(H210,'Assumptions &amp; FX Reference'!$A$5:$A$25,0))/INDEX('Assumptions &amp; FX Reference'!$C$5:$C$25,MATCH(H210,'Assumptions &amp; FX Reference'!$A$5:$A$25,0)),""))),"(FX missing)"))</f>
        <v/>
      </c>
      <c r="P210" s="42"/>
      <c r="Q210" s="42"/>
      <c r="R210" s="42"/>
      <c r="S210" s="42"/>
      <c r="T210" s="42"/>
      <c r="U210" s="42"/>
      <c r="V210" s="42"/>
    </row>
    <row r="211" customFormat="false" ht="15" hidden="false" customHeight="false" outlineLevel="0" collapsed="false">
      <c r="A211" s="42"/>
      <c r="B211" s="42"/>
      <c r="C211" s="45" t="str">
        <f aca="false">IF(B211="","",IFERROR(INDEX('Master Database'!$D$5:$D$600,MATCH(B211,'Master Database'!$A$5:$A$600,0)),"(row not found)"))</f>
        <v/>
      </c>
      <c r="D211" s="45" t="str">
        <f aca="false">IF(B211="","",IFERROR(INDEX('Master Database'!$B$5:$B$600,MATCH(B211,'Master Database'!$A$5:$A$600,0)),"(row not found)"))</f>
        <v/>
      </c>
      <c r="E211" s="42"/>
      <c r="F211" s="45" t="str">
        <f aca="false">IF(E211="","",IFERROR(INDEX(Vendor_Register!$B$5:$B$205,MATCH(E211,Vendor_Register!$A$5:$A$205,0)),"(not in register)"))</f>
        <v/>
      </c>
      <c r="G211" s="45" t="str">
        <f aca="false">IF(E211="","",IFERROR(INDEX(Vendor_Register!$E$5:$E$205,MATCH(E211,Vendor_Register!$A$5:$A$205,0)),"(not in register)"))</f>
        <v/>
      </c>
      <c r="H211" s="42"/>
      <c r="I211" s="42"/>
      <c r="J211" s="42"/>
      <c r="K211" s="42"/>
      <c r="L211" s="42"/>
      <c r="M211" s="46"/>
      <c r="N211" s="42"/>
      <c r="O211" s="47" t="str">
        <f aca="false">IF(NOT(ISNUMBER(M211)),"",IFERROR(IF(L211="EUR",M211,IF(L211="IRR",M211/INDEX('Assumptions &amp; FX Reference'!$C$5:$C$25,MATCH(H211,'Assumptions &amp; FX Reference'!$A$5:$A$25,0)),IF(L211="USD",M211*INDEX('Assumptions &amp; FX Reference'!$B$5:$B$25,MATCH(H211,'Assumptions &amp; FX Reference'!$A$5:$A$25,0))/INDEX('Assumptions &amp; FX Reference'!$C$5:$C$25,MATCH(H211,'Assumptions &amp; FX Reference'!$A$5:$A$25,0)),""))),"(FX missing)"))</f>
        <v/>
      </c>
      <c r="P211" s="42"/>
      <c r="Q211" s="42"/>
      <c r="R211" s="42"/>
      <c r="S211" s="42"/>
      <c r="T211" s="42"/>
      <c r="U211" s="42"/>
      <c r="V211" s="42"/>
    </row>
    <row r="212" customFormat="false" ht="15" hidden="false" customHeight="false" outlineLevel="0" collapsed="false">
      <c r="A212" s="42"/>
      <c r="B212" s="42"/>
      <c r="C212" s="45" t="str">
        <f aca="false">IF(B212="","",IFERROR(INDEX('Master Database'!$D$5:$D$600,MATCH(B212,'Master Database'!$A$5:$A$600,0)),"(row not found)"))</f>
        <v/>
      </c>
      <c r="D212" s="45" t="str">
        <f aca="false">IF(B212="","",IFERROR(INDEX('Master Database'!$B$5:$B$600,MATCH(B212,'Master Database'!$A$5:$A$600,0)),"(row not found)"))</f>
        <v/>
      </c>
      <c r="E212" s="42"/>
      <c r="F212" s="45" t="str">
        <f aca="false">IF(E212="","",IFERROR(INDEX(Vendor_Register!$B$5:$B$205,MATCH(E212,Vendor_Register!$A$5:$A$205,0)),"(not in register)"))</f>
        <v/>
      </c>
      <c r="G212" s="45" t="str">
        <f aca="false">IF(E212="","",IFERROR(INDEX(Vendor_Register!$E$5:$E$205,MATCH(E212,Vendor_Register!$A$5:$A$205,0)),"(not in register)"))</f>
        <v/>
      </c>
      <c r="H212" s="42"/>
      <c r="I212" s="42"/>
      <c r="J212" s="42"/>
      <c r="K212" s="42"/>
      <c r="L212" s="42"/>
      <c r="M212" s="46"/>
      <c r="N212" s="42"/>
      <c r="O212" s="47" t="str">
        <f aca="false">IF(NOT(ISNUMBER(M212)),"",IFERROR(IF(L212="EUR",M212,IF(L212="IRR",M212/INDEX('Assumptions &amp; FX Reference'!$C$5:$C$25,MATCH(H212,'Assumptions &amp; FX Reference'!$A$5:$A$25,0)),IF(L212="USD",M212*INDEX('Assumptions &amp; FX Reference'!$B$5:$B$25,MATCH(H212,'Assumptions &amp; FX Reference'!$A$5:$A$25,0))/INDEX('Assumptions &amp; FX Reference'!$C$5:$C$25,MATCH(H212,'Assumptions &amp; FX Reference'!$A$5:$A$25,0)),""))),"(FX missing)"))</f>
        <v/>
      </c>
      <c r="P212" s="42"/>
      <c r="Q212" s="42"/>
      <c r="R212" s="42"/>
      <c r="S212" s="42"/>
      <c r="T212" s="42"/>
      <c r="U212" s="42"/>
      <c r="V212" s="42"/>
    </row>
    <row r="213" customFormat="false" ht="15" hidden="false" customHeight="false" outlineLevel="0" collapsed="false">
      <c r="A213" s="42"/>
      <c r="B213" s="42"/>
      <c r="C213" s="45" t="str">
        <f aca="false">IF(B213="","",IFERROR(INDEX('Master Database'!$D$5:$D$600,MATCH(B213,'Master Database'!$A$5:$A$600,0)),"(row not found)"))</f>
        <v/>
      </c>
      <c r="D213" s="45" t="str">
        <f aca="false">IF(B213="","",IFERROR(INDEX('Master Database'!$B$5:$B$600,MATCH(B213,'Master Database'!$A$5:$A$600,0)),"(row not found)"))</f>
        <v/>
      </c>
      <c r="E213" s="42"/>
      <c r="F213" s="45" t="str">
        <f aca="false">IF(E213="","",IFERROR(INDEX(Vendor_Register!$B$5:$B$205,MATCH(E213,Vendor_Register!$A$5:$A$205,0)),"(not in register)"))</f>
        <v/>
      </c>
      <c r="G213" s="45" t="str">
        <f aca="false">IF(E213="","",IFERROR(INDEX(Vendor_Register!$E$5:$E$205,MATCH(E213,Vendor_Register!$A$5:$A$205,0)),"(not in register)"))</f>
        <v/>
      </c>
      <c r="H213" s="42"/>
      <c r="I213" s="42"/>
      <c r="J213" s="42"/>
      <c r="K213" s="42"/>
      <c r="L213" s="42"/>
      <c r="M213" s="46"/>
      <c r="N213" s="42"/>
      <c r="O213" s="47" t="str">
        <f aca="false">IF(NOT(ISNUMBER(M213)),"",IFERROR(IF(L213="EUR",M213,IF(L213="IRR",M213/INDEX('Assumptions &amp; FX Reference'!$C$5:$C$25,MATCH(H213,'Assumptions &amp; FX Reference'!$A$5:$A$25,0)),IF(L213="USD",M213*INDEX('Assumptions &amp; FX Reference'!$B$5:$B$25,MATCH(H213,'Assumptions &amp; FX Reference'!$A$5:$A$25,0))/INDEX('Assumptions &amp; FX Reference'!$C$5:$C$25,MATCH(H213,'Assumptions &amp; FX Reference'!$A$5:$A$25,0)),""))),"(FX missing)"))</f>
        <v/>
      </c>
      <c r="P213" s="42"/>
      <c r="Q213" s="42"/>
      <c r="R213" s="42"/>
      <c r="S213" s="42"/>
      <c r="T213" s="42"/>
      <c r="U213" s="42"/>
      <c r="V213" s="42"/>
    </row>
    <row r="214" customFormat="false" ht="15" hidden="false" customHeight="false" outlineLevel="0" collapsed="false">
      <c r="A214" s="42"/>
      <c r="B214" s="42"/>
      <c r="C214" s="45" t="str">
        <f aca="false">IF(B214="","",IFERROR(INDEX('Master Database'!$D$5:$D$600,MATCH(B214,'Master Database'!$A$5:$A$600,0)),"(row not found)"))</f>
        <v/>
      </c>
      <c r="D214" s="45" t="str">
        <f aca="false">IF(B214="","",IFERROR(INDEX('Master Database'!$B$5:$B$600,MATCH(B214,'Master Database'!$A$5:$A$600,0)),"(row not found)"))</f>
        <v/>
      </c>
      <c r="E214" s="42"/>
      <c r="F214" s="45" t="str">
        <f aca="false">IF(E214="","",IFERROR(INDEX(Vendor_Register!$B$5:$B$205,MATCH(E214,Vendor_Register!$A$5:$A$205,0)),"(not in register)"))</f>
        <v/>
      </c>
      <c r="G214" s="45" t="str">
        <f aca="false">IF(E214="","",IFERROR(INDEX(Vendor_Register!$E$5:$E$205,MATCH(E214,Vendor_Register!$A$5:$A$205,0)),"(not in register)"))</f>
        <v/>
      </c>
      <c r="H214" s="42"/>
      <c r="I214" s="42"/>
      <c r="J214" s="42"/>
      <c r="K214" s="42"/>
      <c r="L214" s="42"/>
      <c r="M214" s="46"/>
      <c r="N214" s="42"/>
      <c r="O214" s="47" t="str">
        <f aca="false">IF(NOT(ISNUMBER(M214)),"",IFERROR(IF(L214="EUR",M214,IF(L214="IRR",M214/INDEX('Assumptions &amp; FX Reference'!$C$5:$C$25,MATCH(H214,'Assumptions &amp; FX Reference'!$A$5:$A$25,0)),IF(L214="USD",M214*INDEX('Assumptions &amp; FX Reference'!$B$5:$B$25,MATCH(H214,'Assumptions &amp; FX Reference'!$A$5:$A$25,0))/INDEX('Assumptions &amp; FX Reference'!$C$5:$C$25,MATCH(H214,'Assumptions &amp; FX Reference'!$A$5:$A$25,0)),""))),"(FX missing)"))</f>
        <v/>
      </c>
      <c r="P214" s="42"/>
      <c r="Q214" s="42"/>
      <c r="R214" s="42"/>
      <c r="S214" s="42"/>
      <c r="T214" s="42"/>
      <c r="U214" s="42"/>
      <c r="V214" s="42"/>
    </row>
    <row r="215" customFormat="false" ht="15" hidden="false" customHeight="false" outlineLevel="0" collapsed="false">
      <c r="A215" s="42"/>
      <c r="B215" s="42"/>
      <c r="C215" s="45" t="str">
        <f aca="false">IF(B215="","",IFERROR(INDEX('Master Database'!$D$5:$D$600,MATCH(B215,'Master Database'!$A$5:$A$600,0)),"(row not found)"))</f>
        <v/>
      </c>
      <c r="D215" s="45" t="str">
        <f aca="false">IF(B215="","",IFERROR(INDEX('Master Database'!$B$5:$B$600,MATCH(B215,'Master Database'!$A$5:$A$600,0)),"(row not found)"))</f>
        <v/>
      </c>
      <c r="E215" s="42"/>
      <c r="F215" s="45" t="str">
        <f aca="false">IF(E215="","",IFERROR(INDEX(Vendor_Register!$B$5:$B$205,MATCH(E215,Vendor_Register!$A$5:$A$205,0)),"(not in register)"))</f>
        <v/>
      </c>
      <c r="G215" s="45" t="str">
        <f aca="false">IF(E215="","",IFERROR(INDEX(Vendor_Register!$E$5:$E$205,MATCH(E215,Vendor_Register!$A$5:$A$205,0)),"(not in register)"))</f>
        <v/>
      </c>
      <c r="H215" s="42"/>
      <c r="I215" s="42"/>
      <c r="J215" s="42"/>
      <c r="K215" s="42"/>
      <c r="L215" s="42"/>
      <c r="M215" s="46"/>
      <c r="N215" s="42"/>
      <c r="O215" s="47" t="str">
        <f aca="false">IF(NOT(ISNUMBER(M215)),"",IFERROR(IF(L215="EUR",M215,IF(L215="IRR",M215/INDEX('Assumptions &amp; FX Reference'!$C$5:$C$25,MATCH(H215,'Assumptions &amp; FX Reference'!$A$5:$A$25,0)),IF(L215="USD",M215*INDEX('Assumptions &amp; FX Reference'!$B$5:$B$25,MATCH(H215,'Assumptions &amp; FX Reference'!$A$5:$A$25,0))/INDEX('Assumptions &amp; FX Reference'!$C$5:$C$25,MATCH(H215,'Assumptions &amp; FX Reference'!$A$5:$A$25,0)),""))),"(FX missing)"))</f>
        <v/>
      </c>
      <c r="P215" s="42"/>
      <c r="Q215" s="42"/>
      <c r="R215" s="42"/>
      <c r="S215" s="42"/>
      <c r="T215" s="42"/>
      <c r="U215" s="42"/>
      <c r="V215" s="42"/>
    </row>
    <row r="216" customFormat="false" ht="15" hidden="false" customHeight="false" outlineLevel="0" collapsed="false">
      <c r="A216" s="42"/>
      <c r="B216" s="42"/>
      <c r="C216" s="45" t="str">
        <f aca="false">IF(B216="","",IFERROR(INDEX('Master Database'!$D$5:$D$600,MATCH(B216,'Master Database'!$A$5:$A$600,0)),"(row not found)"))</f>
        <v/>
      </c>
      <c r="D216" s="45" t="str">
        <f aca="false">IF(B216="","",IFERROR(INDEX('Master Database'!$B$5:$B$600,MATCH(B216,'Master Database'!$A$5:$A$600,0)),"(row not found)"))</f>
        <v/>
      </c>
      <c r="E216" s="42"/>
      <c r="F216" s="45" t="str">
        <f aca="false">IF(E216="","",IFERROR(INDEX(Vendor_Register!$B$5:$B$205,MATCH(E216,Vendor_Register!$A$5:$A$205,0)),"(not in register)"))</f>
        <v/>
      </c>
      <c r="G216" s="45" t="str">
        <f aca="false">IF(E216="","",IFERROR(INDEX(Vendor_Register!$E$5:$E$205,MATCH(E216,Vendor_Register!$A$5:$A$205,0)),"(not in register)"))</f>
        <v/>
      </c>
      <c r="H216" s="42"/>
      <c r="I216" s="42"/>
      <c r="J216" s="42"/>
      <c r="K216" s="42"/>
      <c r="L216" s="42"/>
      <c r="M216" s="46"/>
      <c r="N216" s="42"/>
      <c r="O216" s="47" t="str">
        <f aca="false">IF(NOT(ISNUMBER(M216)),"",IFERROR(IF(L216="EUR",M216,IF(L216="IRR",M216/INDEX('Assumptions &amp; FX Reference'!$C$5:$C$25,MATCH(H216,'Assumptions &amp; FX Reference'!$A$5:$A$25,0)),IF(L216="USD",M216*INDEX('Assumptions &amp; FX Reference'!$B$5:$B$25,MATCH(H216,'Assumptions &amp; FX Reference'!$A$5:$A$25,0))/INDEX('Assumptions &amp; FX Reference'!$C$5:$C$25,MATCH(H216,'Assumptions &amp; FX Reference'!$A$5:$A$25,0)),""))),"(FX missing)"))</f>
        <v/>
      </c>
      <c r="P216" s="42"/>
      <c r="Q216" s="42"/>
      <c r="R216" s="42"/>
      <c r="S216" s="42"/>
      <c r="T216" s="42"/>
      <c r="U216" s="42"/>
      <c r="V216" s="42"/>
    </row>
    <row r="217" customFormat="false" ht="15" hidden="false" customHeight="false" outlineLevel="0" collapsed="false">
      <c r="A217" s="42"/>
      <c r="B217" s="42"/>
      <c r="C217" s="45" t="str">
        <f aca="false">IF(B217="","",IFERROR(INDEX('Master Database'!$D$5:$D$600,MATCH(B217,'Master Database'!$A$5:$A$600,0)),"(row not found)"))</f>
        <v/>
      </c>
      <c r="D217" s="45" t="str">
        <f aca="false">IF(B217="","",IFERROR(INDEX('Master Database'!$B$5:$B$600,MATCH(B217,'Master Database'!$A$5:$A$600,0)),"(row not found)"))</f>
        <v/>
      </c>
      <c r="E217" s="42"/>
      <c r="F217" s="45" t="str">
        <f aca="false">IF(E217="","",IFERROR(INDEX(Vendor_Register!$B$5:$B$205,MATCH(E217,Vendor_Register!$A$5:$A$205,0)),"(not in register)"))</f>
        <v/>
      </c>
      <c r="G217" s="45" t="str">
        <f aca="false">IF(E217="","",IFERROR(INDEX(Vendor_Register!$E$5:$E$205,MATCH(E217,Vendor_Register!$A$5:$A$205,0)),"(not in register)"))</f>
        <v/>
      </c>
      <c r="H217" s="42"/>
      <c r="I217" s="42"/>
      <c r="J217" s="42"/>
      <c r="K217" s="42"/>
      <c r="L217" s="42"/>
      <c r="M217" s="46"/>
      <c r="N217" s="42"/>
      <c r="O217" s="47" t="str">
        <f aca="false">IF(NOT(ISNUMBER(M217)),"",IFERROR(IF(L217="EUR",M217,IF(L217="IRR",M217/INDEX('Assumptions &amp; FX Reference'!$C$5:$C$25,MATCH(H217,'Assumptions &amp; FX Reference'!$A$5:$A$25,0)),IF(L217="USD",M217*INDEX('Assumptions &amp; FX Reference'!$B$5:$B$25,MATCH(H217,'Assumptions &amp; FX Reference'!$A$5:$A$25,0))/INDEX('Assumptions &amp; FX Reference'!$C$5:$C$25,MATCH(H217,'Assumptions &amp; FX Reference'!$A$5:$A$25,0)),""))),"(FX missing)"))</f>
        <v/>
      </c>
      <c r="P217" s="42"/>
      <c r="Q217" s="42"/>
      <c r="R217" s="42"/>
      <c r="S217" s="42"/>
      <c r="T217" s="42"/>
      <c r="U217" s="42"/>
      <c r="V217" s="42"/>
    </row>
    <row r="218" customFormat="false" ht="15" hidden="false" customHeight="false" outlineLevel="0" collapsed="false">
      <c r="A218" s="42"/>
      <c r="B218" s="42"/>
      <c r="C218" s="45" t="str">
        <f aca="false">IF(B218="","",IFERROR(INDEX('Master Database'!$D$5:$D$600,MATCH(B218,'Master Database'!$A$5:$A$600,0)),"(row not found)"))</f>
        <v/>
      </c>
      <c r="D218" s="45" t="str">
        <f aca="false">IF(B218="","",IFERROR(INDEX('Master Database'!$B$5:$B$600,MATCH(B218,'Master Database'!$A$5:$A$600,0)),"(row not found)"))</f>
        <v/>
      </c>
      <c r="E218" s="42"/>
      <c r="F218" s="45" t="str">
        <f aca="false">IF(E218="","",IFERROR(INDEX(Vendor_Register!$B$5:$B$205,MATCH(E218,Vendor_Register!$A$5:$A$205,0)),"(not in register)"))</f>
        <v/>
      </c>
      <c r="G218" s="45" t="str">
        <f aca="false">IF(E218="","",IFERROR(INDEX(Vendor_Register!$E$5:$E$205,MATCH(E218,Vendor_Register!$A$5:$A$205,0)),"(not in register)"))</f>
        <v/>
      </c>
      <c r="H218" s="42"/>
      <c r="I218" s="42"/>
      <c r="J218" s="42"/>
      <c r="K218" s="42"/>
      <c r="L218" s="42"/>
      <c r="M218" s="46"/>
      <c r="N218" s="42"/>
      <c r="O218" s="47" t="str">
        <f aca="false">IF(NOT(ISNUMBER(M218)),"",IFERROR(IF(L218="EUR",M218,IF(L218="IRR",M218/INDEX('Assumptions &amp; FX Reference'!$C$5:$C$25,MATCH(H218,'Assumptions &amp; FX Reference'!$A$5:$A$25,0)),IF(L218="USD",M218*INDEX('Assumptions &amp; FX Reference'!$B$5:$B$25,MATCH(H218,'Assumptions &amp; FX Reference'!$A$5:$A$25,0))/INDEX('Assumptions &amp; FX Reference'!$C$5:$C$25,MATCH(H218,'Assumptions &amp; FX Reference'!$A$5:$A$25,0)),""))),"(FX missing)"))</f>
        <v/>
      </c>
      <c r="P218" s="42"/>
      <c r="Q218" s="42"/>
      <c r="R218" s="42"/>
      <c r="S218" s="42"/>
      <c r="T218" s="42"/>
      <c r="U218" s="42"/>
      <c r="V218" s="42"/>
    </row>
    <row r="219" customFormat="false" ht="15" hidden="false" customHeight="false" outlineLevel="0" collapsed="false">
      <c r="A219" s="42"/>
      <c r="B219" s="42"/>
      <c r="C219" s="45" t="str">
        <f aca="false">IF(B219="","",IFERROR(INDEX('Master Database'!$D$5:$D$600,MATCH(B219,'Master Database'!$A$5:$A$600,0)),"(row not found)"))</f>
        <v/>
      </c>
      <c r="D219" s="45" t="str">
        <f aca="false">IF(B219="","",IFERROR(INDEX('Master Database'!$B$5:$B$600,MATCH(B219,'Master Database'!$A$5:$A$600,0)),"(row not found)"))</f>
        <v/>
      </c>
      <c r="E219" s="42"/>
      <c r="F219" s="45" t="str">
        <f aca="false">IF(E219="","",IFERROR(INDEX(Vendor_Register!$B$5:$B$205,MATCH(E219,Vendor_Register!$A$5:$A$205,0)),"(not in register)"))</f>
        <v/>
      </c>
      <c r="G219" s="45" t="str">
        <f aca="false">IF(E219="","",IFERROR(INDEX(Vendor_Register!$E$5:$E$205,MATCH(E219,Vendor_Register!$A$5:$A$205,0)),"(not in register)"))</f>
        <v/>
      </c>
      <c r="H219" s="42"/>
      <c r="I219" s="42"/>
      <c r="J219" s="42"/>
      <c r="K219" s="42"/>
      <c r="L219" s="42"/>
      <c r="M219" s="46"/>
      <c r="N219" s="42"/>
      <c r="O219" s="47" t="str">
        <f aca="false">IF(NOT(ISNUMBER(M219)),"",IFERROR(IF(L219="EUR",M219,IF(L219="IRR",M219/INDEX('Assumptions &amp; FX Reference'!$C$5:$C$25,MATCH(H219,'Assumptions &amp; FX Reference'!$A$5:$A$25,0)),IF(L219="USD",M219*INDEX('Assumptions &amp; FX Reference'!$B$5:$B$25,MATCH(H219,'Assumptions &amp; FX Reference'!$A$5:$A$25,0))/INDEX('Assumptions &amp; FX Reference'!$C$5:$C$25,MATCH(H219,'Assumptions &amp; FX Reference'!$A$5:$A$25,0)),""))),"(FX missing)"))</f>
        <v/>
      </c>
      <c r="P219" s="42"/>
      <c r="Q219" s="42"/>
      <c r="R219" s="42"/>
      <c r="S219" s="42"/>
      <c r="T219" s="42"/>
      <c r="U219" s="42"/>
      <c r="V219" s="42"/>
    </row>
    <row r="220" customFormat="false" ht="15" hidden="false" customHeight="false" outlineLevel="0" collapsed="false">
      <c r="A220" s="42"/>
      <c r="B220" s="42"/>
      <c r="C220" s="45" t="str">
        <f aca="false">IF(B220="","",IFERROR(INDEX('Master Database'!$D$5:$D$600,MATCH(B220,'Master Database'!$A$5:$A$600,0)),"(row not found)"))</f>
        <v/>
      </c>
      <c r="D220" s="45" t="str">
        <f aca="false">IF(B220="","",IFERROR(INDEX('Master Database'!$B$5:$B$600,MATCH(B220,'Master Database'!$A$5:$A$600,0)),"(row not found)"))</f>
        <v/>
      </c>
      <c r="E220" s="42"/>
      <c r="F220" s="45" t="str">
        <f aca="false">IF(E220="","",IFERROR(INDEX(Vendor_Register!$B$5:$B$205,MATCH(E220,Vendor_Register!$A$5:$A$205,0)),"(not in register)"))</f>
        <v/>
      </c>
      <c r="G220" s="45" t="str">
        <f aca="false">IF(E220="","",IFERROR(INDEX(Vendor_Register!$E$5:$E$205,MATCH(E220,Vendor_Register!$A$5:$A$205,0)),"(not in register)"))</f>
        <v/>
      </c>
      <c r="H220" s="42"/>
      <c r="I220" s="42"/>
      <c r="J220" s="42"/>
      <c r="K220" s="42"/>
      <c r="L220" s="42"/>
      <c r="M220" s="46"/>
      <c r="N220" s="42"/>
      <c r="O220" s="47" t="str">
        <f aca="false">IF(NOT(ISNUMBER(M220)),"",IFERROR(IF(L220="EUR",M220,IF(L220="IRR",M220/INDEX('Assumptions &amp; FX Reference'!$C$5:$C$25,MATCH(H220,'Assumptions &amp; FX Reference'!$A$5:$A$25,0)),IF(L220="USD",M220*INDEX('Assumptions &amp; FX Reference'!$B$5:$B$25,MATCH(H220,'Assumptions &amp; FX Reference'!$A$5:$A$25,0))/INDEX('Assumptions &amp; FX Reference'!$C$5:$C$25,MATCH(H220,'Assumptions &amp; FX Reference'!$A$5:$A$25,0)),""))),"(FX missing)"))</f>
        <v/>
      </c>
      <c r="P220" s="42"/>
      <c r="Q220" s="42"/>
      <c r="R220" s="42"/>
      <c r="S220" s="42"/>
      <c r="T220" s="42"/>
      <c r="U220" s="42"/>
      <c r="V220" s="42"/>
    </row>
    <row r="221" customFormat="false" ht="15" hidden="false" customHeight="false" outlineLevel="0" collapsed="false">
      <c r="A221" s="42"/>
      <c r="B221" s="42"/>
      <c r="C221" s="45" t="str">
        <f aca="false">IF(B221="","",IFERROR(INDEX('Master Database'!$D$5:$D$600,MATCH(B221,'Master Database'!$A$5:$A$600,0)),"(row not found)"))</f>
        <v/>
      </c>
      <c r="D221" s="45" t="str">
        <f aca="false">IF(B221="","",IFERROR(INDEX('Master Database'!$B$5:$B$600,MATCH(B221,'Master Database'!$A$5:$A$600,0)),"(row not found)"))</f>
        <v/>
      </c>
      <c r="E221" s="42"/>
      <c r="F221" s="45" t="str">
        <f aca="false">IF(E221="","",IFERROR(INDEX(Vendor_Register!$B$5:$B$205,MATCH(E221,Vendor_Register!$A$5:$A$205,0)),"(not in register)"))</f>
        <v/>
      </c>
      <c r="G221" s="45" t="str">
        <f aca="false">IF(E221="","",IFERROR(INDEX(Vendor_Register!$E$5:$E$205,MATCH(E221,Vendor_Register!$A$5:$A$205,0)),"(not in register)"))</f>
        <v/>
      </c>
      <c r="H221" s="42"/>
      <c r="I221" s="42"/>
      <c r="J221" s="42"/>
      <c r="K221" s="42"/>
      <c r="L221" s="42"/>
      <c r="M221" s="46"/>
      <c r="N221" s="42"/>
      <c r="O221" s="47" t="str">
        <f aca="false">IF(NOT(ISNUMBER(M221)),"",IFERROR(IF(L221="EUR",M221,IF(L221="IRR",M221/INDEX('Assumptions &amp; FX Reference'!$C$5:$C$25,MATCH(H221,'Assumptions &amp; FX Reference'!$A$5:$A$25,0)),IF(L221="USD",M221*INDEX('Assumptions &amp; FX Reference'!$B$5:$B$25,MATCH(H221,'Assumptions &amp; FX Reference'!$A$5:$A$25,0))/INDEX('Assumptions &amp; FX Reference'!$C$5:$C$25,MATCH(H221,'Assumptions &amp; FX Reference'!$A$5:$A$25,0)),""))),"(FX missing)"))</f>
        <v/>
      </c>
      <c r="P221" s="42"/>
      <c r="Q221" s="42"/>
      <c r="R221" s="42"/>
      <c r="S221" s="42"/>
      <c r="T221" s="42"/>
      <c r="U221" s="42"/>
      <c r="V221" s="42"/>
    </row>
    <row r="222" customFormat="false" ht="15" hidden="false" customHeight="false" outlineLevel="0" collapsed="false">
      <c r="A222" s="42"/>
      <c r="B222" s="42"/>
      <c r="C222" s="45" t="str">
        <f aca="false">IF(B222="","",IFERROR(INDEX('Master Database'!$D$5:$D$600,MATCH(B222,'Master Database'!$A$5:$A$600,0)),"(row not found)"))</f>
        <v/>
      </c>
      <c r="D222" s="45" t="str">
        <f aca="false">IF(B222="","",IFERROR(INDEX('Master Database'!$B$5:$B$600,MATCH(B222,'Master Database'!$A$5:$A$600,0)),"(row not found)"))</f>
        <v/>
      </c>
      <c r="E222" s="42"/>
      <c r="F222" s="45" t="str">
        <f aca="false">IF(E222="","",IFERROR(INDEX(Vendor_Register!$B$5:$B$205,MATCH(E222,Vendor_Register!$A$5:$A$205,0)),"(not in register)"))</f>
        <v/>
      </c>
      <c r="G222" s="45" t="str">
        <f aca="false">IF(E222="","",IFERROR(INDEX(Vendor_Register!$E$5:$E$205,MATCH(E222,Vendor_Register!$A$5:$A$205,0)),"(not in register)"))</f>
        <v/>
      </c>
      <c r="H222" s="42"/>
      <c r="I222" s="42"/>
      <c r="J222" s="42"/>
      <c r="K222" s="42"/>
      <c r="L222" s="42"/>
      <c r="M222" s="46"/>
      <c r="N222" s="42"/>
      <c r="O222" s="47" t="str">
        <f aca="false">IF(NOT(ISNUMBER(M222)),"",IFERROR(IF(L222="EUR",M222,IF(L222="IRR",M222/INDEX('Assumptions &amp; FX Reference'!$C$5:$C$25,MATCH(H222,'Assumptions &amp; FX Reference'!$A$5:$A$25,0)),IF(L222="USD",M222*INDEX('Assumptions &amp; FX Reference'!$B$5:$B$25,MATCH(H222,'Assumptions &amp; FX Reference'!$A$5:$A$25,0))/INDEX('Assumptions &amp; FX Reference'!$C$5:$C$25,MATCH(H222,'Assumptions &amp; FX Reference'!$A$5:$A$25,0)),""))),"(FX missing)"))</f>
        <v/>
      </c>
      <c r="P222" s="42"/>
      <c r="Q222" s="42"/>
      <c r="R222" s="42"/>
      <c r="S222" s="42"/>
      <c r="T222" s="42"/>
      <c r="U222" s="42"/>
      <c r="V222" s="42"/>
    </row>
    <row r="223" customFormat="false" ht="15" hidden="false" customHeight="false" outlineLevel="0" collapsed="false">
      <c r="A223" s="42"/>
      <c r="B223" s="42"/>
      <c r="C223" s="45" t="str">
        <f aca="false">IF(B223="","",IFERROR(INDEX('Master Database'!$D$5:$D$600,MATCH(B223,'Master Database'!$A$5:$A$600,0)),"(row not found)"))</f>
        <v/>
      </c>
      <c r="D223" s="45" t="str">
        <f aca="false">IF(B223="","",IFERROR(INDEX('Master Database'!$B$5:$B$600,MATCH(B223,'Master Database'!$A$5:$A$600,0)),"(row not found)"))</f>
        <v/>
      </c>
      <c r="E223" s="42"/>
      <c r="F223" s="45" t="str">
        <f aca="false">IF(E223="","",IFERROR(INDEX(Vendor_Register!$B$5:$B$205,MATCH(E223,Vendor_Register!$A$5:$A$205,0)),"(not in register)"))</f>
        <v/>
      </c>
      <c r="G223" s="45" t="str">
        <f aca="false">IF(E223="","",IFERROR(INDEX(Vendor_Register!$E$5:$E$205,MATCH(E223,Vendor_Register!$A$5:$A$205,0)),"(not in register)"))</f>
        <v/>
      </c>
      <c r="H223" s="42"/>
      <c r="I223" s="42"/>
      <c r="J223" s="42"/>
      <c r="K223" s="42"/>
      <c r="L223" s="42"/>
      <c r="M223" s="46"/>
      <c r="N223" s="42"/>
      <c r="O223" s="47" t="str">
        <f aca="false">IF(NOT(ISNUMBER(M223)),"",IFERROR(IF(L223="EUR",M223,IF(L223="IRR",M223/INDEX('Assumptions &amp; FX Reference'!$C$5:$C$25,MATCH(H223,'Assumptions &amp; FX Reference'!$A$5:$A$25,0)),IF(L223="USD",M223*INDEX('Assumptions &amp; FX Reference'!$B$5:$B$25,MATCH(H223,'Assumptions &amp; FX Reference'!$A$5:$A$25,0))/INDEX('Assumptions &amp; FX Reference'!$C$5:$C$25,MATCH(H223,'Assumptions &amp; FX Reference'!$A$5:$A$25,0)),""))),"(FX missing)"))</f>
        <v/>
      </c>
      <c r="P223" s="42"/>
      <c r="Q223" s="42"/>
      <c r="R223" s="42"/>
      <c r="S223" s="42"/>
      <c r="T223" s="42"/>
      <c r="U223" s="42"/>
      <c r="V223" s="42"/>
    </row>
    <row r="224" customFormat="false" ht="15" hidden="false" customHeight="false" outlineLevel="0" collapsed="false">
      <c r="A224" s="42"/>
      <c r="B224" s="42"/>
      <c r="C224" s="45" t="str">
        <f aca="false">IF(B224="","",IFERROR(INDEX('Master Database'!$D$5:$D$600,MATCH(B224,'Master Database'!$A$5:$A$600,0)),"(row not found)"))</f>
        <v/>
      </c>
      <c r="D224" s="45" t="str">
        <f aca="false">IF(B224="","",IFERROR(INDEX('Master Database'!$B$5:$B$600,MATCH(B224,'Master Database'!$A$5:$A$600,0)),"(row not found)"))</f>
        <v/>
      </c>
      <c r="E224" s="42"/>
      <c r="F224" s="45" t="str">
        <f aca="false">IF(E224="","",IFERROR(INDEX(Vendor_Register!$B$5:$B$205,MATCH(E224,Vendor_Register!$A$5:$A$205,0)),"(not in register)"))</f>
        <v/>
      </c>
      <c r="G224" s="45" t="str">
        <f aca="false">IF(E224="","",IFERROR(INDEX(Vendor_Register!$E$5:$E$205,MATCH(E224,Vendor_Register!$A$5:$A$205,0)),"(not in register)"))</f>
        <v/>
      </c>
      <c r="H224" s="42"/>
      <c r="I224" s="42"/>
      <c r="J224" s="42"/>
      <c r="K224" s="42"/>
      <c r="L224" s="42"/>
      <c r="M224" s="46"/>
      <c r="N224" s="42"/>
      <c r="O224" s="47" t="str">
        <f aca="false">IF(NOT(ISNUMBER(M224)),"",IFERROR(IF(L224="EUR",M224,IF(L224="IRR",M224/INDEX('Assumptions &amp; FX Reference'!$C$5:$C$25,MATCH(H224,'Assumptions &amp; FX Reference'!$A$5:$A$25,0)),IF(L224="USD",M224*INDEX('Assumptions &amp; FX Reference'!$B$5:$B$25,MATCH(H224,'Assumptions &amp; FX Reference'!$A$5:$A$25,0))/INDEX('Assumptions &amp; FX Reference'!$C$5:$C$25,MATCH(H224,'Assumptions &amp; FX Reference'!$A$5:$A$25,0)),""))),"(FX missing)"))</f>
        <v/>
      </c>
      <c r="P224" s="42"/>
      <c r="Q224" s="42"/>
      <c r="R224" s="42"/>
      <c r="S224" s="42"/>
      <c r="T224" s="42"/>
      <c r="U224" s="42"/>
      <c r="V224" s="42"/>
    </row>
    <row r="225" customFormat="false" ht="15" hidden="false" customHeight="false" outlineLevel="0" collapsed="false">
      <c r="A225" s="42"/>
      <c r="B225" s="42"/>
      <c r="C225" s="45" t="str">
        <f aca="false">IF(B225="","",IFERROR(INDEX('Master Database'!$D$5:$D$600,MATCH(B225,'Master Database'!$A$5:$A$600,0)),"(row not found)"))</f>
        <v/>
      </c>
      <c r="D225" s="45" t="str">
        <f aca="false">IF(B225="","",IFERROR(INDEX('Master Database'!$B$5:$B$600,MATCH(B225,'Master Database'!$A$5:$A$600,0)),"(row not found)"))</f>
        <v/>
      </c>
      <c r="E225" s="42"/>
      <c r="F225" s="45" t="str">
        <f aca="false">IF(E225="","",IFERROR(INDEX(Vendor_Register!$B$5:$B$205,MATCH(E225,Vendor_Register!$A$5:$A$205,0)),"(not in register)"))</f>
        <v/>
      </c>
      <c r="G225" s="45" t="str">
        <f aca="false">IF(E225="","",IFERROR(INDEX(Vendor_Register!$E$5:$E$205,MATCH(E225,Vendor_Register!$A$5:$A$205,0)),"(not in register)"))</f>
        <v/>
      </c>
      <c r="H225" s="42"/>
      <c r="I225" s="42"/>
      <c r="J225" s="42"/>
      <c r="K225" s="42"/>
      <c r="L225" s="42"/>
      <c r="M225" s="46"/>
      <c r="N225" s="42"/>
      <c r="O225" s="47" t="str">
        <f aca="false">IF(NOT(ISNUMBER(M225)),"",IFERROR(IF(L225="EUR",M225,IF(L225="IRR",M225/INDEX('Assumptions &amp; FX Reference'!$C$5:$C$25,MATCH(H225,'Assumptions &amp; FX Reference'!$A$5:$A$25,0)),IF(L225="USD",M225*INDEX('Assumptions &amp; FX Reference'!$B$5:$B$25,MATCH(H225,'Assumptions &amp; FX Reference'!$A$5:$A$25,0))/INDEX('Assumptions &amp; FX Reference'!$C$5:$C$25,MATCH(H225,'Assumptions &amp; FX Reference'!$A$5:$A$25,0)),""))),"(FX missing)"))</f>
        <v/>
      </c>
      <c r="P225" s="42"/>
      <c r="Q225" s="42"/>
      <c r="R225" s="42"/>
      <c r="S225" s="42"/>
      <c r="T225" s="42"/>
      <c r="U225" s="42"/>
      <c r="V225" s="42"/>
    </row>
    <row r="226" customFormat="false" ht="15" hidden="false" customHeight="false" outlineLevel="0" collapsed="false">
      <c r="A226" s="42"/>
      <c r="B226" s="42"/>
      <c r="C226" s="45" t="str">
        <f aca="false">IF(B226="","",IFERROR(INDEX('Master Database'!$D$5:$D$600,MATCH(B226,'Master Database'!$A$5:$A$600,0)),"(row not found)"))</f>
        <v/>
      </c>
      <c r="D226" s="45" t="str">
        <f aca="false">IF(B226="","",IFERROR(INDEX('Master Database'!$B$5:$B$600,MATCH(B226,'Master Database'!$A$5:$A$600,0)),"(row not found)"))</f>
        <v/>
      </c>
      <c r="E226" s="42"/>
      <c r="F226" s="45" t="str">
        <f aca="false">IF(E226="","",IFERROR(INDEX(Vendor_Register!$B$5:$B$205,MATCH(E226,Vendor_Register!$A$5:$A$205,0)),"(not in register)"))</f>
        <v/>
      </c>
      <c r="G226" s="45" t="str">
        <f aca="false">IF(E226="","",IFERROR(INDEX(Vendor_Register!$E$5:$E$205,MATCH(E226,Vendor_Register!$A$5:$A$205,0)),"(not in register)"))</f>
        <v/>
      </c>
      <c r="H226" s="42"/>
      <c r="I226" s="42"/>
      <c r="J226" s="42"/>
      <c r="K226" s="42"/>
      <c r="L226" s="42"/>
      <c r="M226" s="46"/>
      <c r="N226" s="42"/>
      <c r="O226" s="47" t="str">
        <f aca="false">IF(NOT(ISNUMBER(M226)),"",IFERROR(IF(L226="EUR",M226,IF(L226="IRR",M226/INDEX('Assumptions &amp; FX Reference'!$C$5:$C$25,MATCH(H226,'Assumptions &amp; FX Reference'!$A$5:$A$25,0)),IF(L226="USD",M226*INDEX('Assumptions &amp; FX Reference'!$B$5:$B$25,MATCH(H226,'Assumptions &amp; FX Reference'!$A$5:$A$25,0))/INDEX('Assumptions &amp; FX Reference'!$C$5:$C$25,MATCH(H226,'Assumptions &amp; FX Reference'!$A$5:$A$25,0)),""))),"(FX missing)"))</f>
        <v/>
      </c>
      <c r="P226" s="42"/>
      <c r="Q226" s="42"/>
      <c r="R226" s="42"/>
      <c r="S226" s="42"/>
      <c r="T226" s="42"/>
      <c r="U226" s="42"/>
      <c r="V226" s="42"/>
    </row>
    <row r="227" customFormat="false" ht="15" hidden="false" customHeight="false" outlineLevel="0" collapsed="false">
      <c r="A227" s="42"/>
      <c r="B227" s="42"/>
      <c r="C227" s="45" t="str">
        <f aca="false">IF(B227="","",IFERROR(INDEX('Master Database'!$D$5:$D$600,MATCH(B227,'Master Database'!$A$5:$A$600,0)),"(row not found)"))</f>
        <v/>
      </c>
      <c r="D227" s="45" t="str">
        <f aca="false">IF(B227="","",IFERROR(INDEX('Master Database'!$B$5:$B$600,MATCH(B227,'Master Database'!$A$5:$A$600,0)),"(row not found)"))</f>
        <v/>
      </c>
      <c r="E227" s="42"/>
      <c r="F227" s="45" t="str">
        <f aca="false">IF(E227="","",IFERROR(INDEX(Vendor_Register!$B$5:$B$205,MATCH(E227,Vendor_Register!$A$5:$A$205,0)),"(not in register)"))</f>
        <v/>
      </c>
      <c r="G227" s="45" t="str">
        <f aca="false">IF(E227="","",IFERROR(INDEX(Vendor_Register!$E$5:$E$205,MATCH(E227,Vendor_Register!$A$5:$A$205,0)),"(not in register)"))</f>
        <v/>
      </c>
      <c r="H227" s="42"/>
      <c r="I227" s="42"/>
      <c r="J227" s="42"/>
      <c r="K227" s="42"/>
      <c r="L227" s="42"/>
      <c r="M227" s="46"/>
      <c r="N227" s="42"/>
      <c r="O227" s="47" t="str">
        <f aca="false">IF(NOT(ISNUMBER(M227)),"",IFERROR(IF(L227="EUR",M227,IF(L227="IRR",M227/INDEX('Assumptions &amp; FX Reference'!$C$5:$C$25,MATCH(H227,'Assumptions &amp; FX Reference'!$A$5:$A$25,0)),IF(L227="USD",M227*INDEX('Assumptions &amp; FX Reference'!$B$5:$B$25,MATCH(H227,'Assumptions &amp; FX Reference'!$A$5:$A$25,0))/INDEX('Assumptions &amp; FX Reference'!$C$5:$C$25,MATCH(H227,'Assumptions &amp; FX Reference'!$A$5:$A$25,0)),""))),"(FX missing)"))</f>
        <v/>
      </c>
      <c r="P227" s="42"/>
      <c r="Q227" s="42"/>
      <c r="R227" s="42"/>
      <c r="S227" s="42"/>
      <c r="T227" s="42"/>
      <c r="U227" s="42"/>
      <c r="V227" s="42"/>
    </row>
    <row r="228" customFormat="false" ht="15" hidden="false" customHeight="false" outlineLevel="0" collapsed="false">
      <c r="A228" s="42"/>
      <c r="B228" s="42"/>
      <c r="C228" s="45" t="str">
        <f aca="false">IF(B228="","",IFERROR(INDEX('Master Database'!$D$5:$D$600,MATCH(B228,'Master Database'!$A$5:$A$600,0)),"(row not found)"))</f>
        <v/>
      </c>
      <c r="D228" s="45" t="str">
        <f aca="false">IF(B228="","",IFERROR(INDEX('Master Database'!$B$5:$B$600,MATCH(B228,'Master Database'!$A$5:$A$600,0)),"(row not found)"))</f>
        <v/>
      </c>
      <c r="E228" s="42"/>
      <c r="F228" s="45" t="str">
        <f aca="false">IF(E228="","",IFERROR(INDEX(Vendor_Register!$B$5:$B$205,MATCH(E228,Vendor_Register!$A$5:$A$205,0)),"(not in register)"))</f>
        <v/>
      </c>
      <c r="G228" s="45" t="str">
        <f aca="false">IF(E228="","",IFERROR(INDEX(Vendor_Register!$E$5:$E$205,MATCH(E228,Vendor_Register!$A$5:$A$205,0)),"(not in register)"))</f>
        <v/>
      </c>
      <c r="H228" s="42"/>
      <c r="I228" s="42"/>
      <c r="J228" s="42"/>
      <c r="K228" s="42"/>
      <c r="L228" s="42"/>
      <c r="M228" s="46"/>
      <c r="N228" s="42"/>
      <c r="O228" s="47" t="str">
        <f aca="false">IF(NOT(ISNUMBER(M228)),"",IFERROR(IF(L228="EUR",M228,IF(L228="IRR",M228/INDEX('Assumptions &amp; FX Reference'!$C$5:$C$25,MATCH(H228,'Assumptions &amp; FX Reference'!$A$5:$A$25,0)),IF(L228="USD",M228*INDEX('Assumptions &amp; FX Reference'!$B$5:$B$25,MATCH(H228,'Assumptions &amp; FX Reference'!$A$5:$A$25,0))/INDEX('Assumptions &amp; FX Reference'!$C$5:$C$25,MATCH(H228,'Assumptions &amp; FX Reference'!$A$5:$A$25,0)),""))),"(FX missing)"))</f>
        <v/>
      </c>
      <c r="P228" s="42"/>
      <c r="Q228" s="42"/>
      <c r="R228" s="42"/>
      <c r="S228" s="42"/>
      <c r="T228" s="42"/>
      <c r="U228" s="42"/>
      <c r="V228" s="42"/>
    </row>
    <row r="229" customFormat="false" ht="15" hidden="false" customHeight="false" outlineLevel="0" collapsed="false">
      <c r="A229" s="42"/>
      <c r="B229" s="42"/>
      <c r="C229" s="45" t="str">
        <f aca="false">IF(B229="","",IFERROR(INDEX('Master Database'!$D$5:$D$600,MATCH(B229,'Master Database'!$A$5:$A$600,0)),"(row not found)"))</f>
        <v/>
      </c>
      <c r="D229" s="45" t="str">
        <f aca="false">IF(B229="","",IFERROR(INDEX('Master Database'!$B$5:$B$600,MATCH(B229,'Master Database'!$A$5:$A$600,0)),"(row not found)"))</f>
        <v/>
      </c>
      <c r="E229" s="42"/>
      <c r="F229" s="45" t="str">
        <f aca="false">IF(E229="","",IFERROR(INDEX(Vendor_Register!$B$5:$B$205,MATCH(E229,Vendor_Register!$A$5:$A$205,0)),"(not in register)"))</f>
        <v/>
      </c>
      <c r="G229" s="45" t="str">
        <f aca="false">IF(E229="","",IFERROR(INDEX(Vendor_Register!$E$5:$E$205,MATCH(E229,Vendor_Register!$A$5:$A$205,0)),"(not in register)"))</f>
        <v/>
      </c>
      <c r="H229" s="42"/>
      <c r="I229" s="42"/>
      <c r="J229" s="42"/>
      <c r="K229" s="42"/>
      <c r="L229" s="42"/>
      <c r="M229" s="46"/>
      <c r="N229" s="42"/>
      <c r="O229" s="47" t="str">
        <f aca="false">IF(NOT(ISNUMBER(M229)),"",IFERROR(IF(L229="EUR",M229,IF(L229="IRR",M229/INDEX('Assumptions &amp; FX Reference'!$C$5:$C$25,MATCH(H229,'Assumptions &amp; FX Reference'!$A$5:$A$25,0)),IF(L229="USD",M229*INDEX('Assumptions &amp; FX Reference'!$B$5:$B$25,MATCH(H229,'Assumptions &amp; FX Reference'!$A$5:$A$25,0))/INDEX('Assumptions &amp; FX Reference'!$C$5:$C$25,MATCH(H229,'Assumptions &amp; FX Reference'!$A$5:$A$25,0)),""))),"(FX missing)"))</f>
        <v/>
      </c>
      <c r="P229" s="42"/>
      <c r="Q229" s="42"/>
      <c r="R229" s="42"/>
      <c r="S229" s="42"/>
      <c r="T229" s="42"/>
      <c r="U229" s="42"/>
      <c r="V229" s="42"/>
    </row>
    <row r="230" customFormat="false" ht="15" hidden="false" customHeight="false" outlineLevel="0" collapsed="false">
      <c r="A230" s="42"/>
      <c r="B230" s="42"/>
      <c r="C230" s="45" t="str">
        <f aca="false">IF(B230="","",IFERROR(INDEX('Master Database'!$D$5:$D$600,MATCH(B230,'Master Database'!$A$5:$A$600,0)),"(row not found)"))</f>
        <v/>
      </c>
      <c r="D230" s="45" t="str">
        <f aca="false">IF(B230="","",IFERROR(INDEX('Master Database'!$B$5:$B$600,MATCH(B230,'Master Database'!$A$5:$A$600,0)),"(row not found)"))</f>
        <v/>
      </c>
      <c r="E230" s="42"/>
      <c r="F230" s="45" t="str">
        <f aca="false">IF(E230="","",IFERROR(INDEX(Vendor_Register!$B$5:$B$205,MATCH(E230,Vendor_Register!$A$5:$A$205,0)),"(not in register)"))</f>
        <v/>
      </c>
      <c r="G230" s="45" t="str">
        <f aca="false">IF(E230="","",IFERROR(INDEX(Vendor_Register!$E$5:$E$205,MATCH(E230,Vendor_Register!$A$5:$A$205,0)),"(not in register)"))</f>
        <v/>
      </c>
      <c r="H230" s="42"/>
      <c r="I230" s="42"/>
      <c r="J230" s="42"/>
      <c r="K230" s="42"/>
      <c r="L230" s="42"/>
      <c r="M230" s="46"/>
      <c r="N230" s="42"/>
      <c r="O230" s="47" t="str">
        <f aca="false">IF(NOT(ISNUMBER(M230)),"",IFERROR(IF(L230="EUR",M230,IF(L230="IRR",M230/INDEX('Assumptions &amp; FX Reference'!$C$5:$C$25,MATCH(H230,'Assumptions &amp; FX Reference'!$A$5:$A$25,0)),IF(L230="USD",M230*INDEX('Assumptions &amp; FX Reference'!$B$5:$B$25,MATCH(H230,'Assumptions &amp; FX Reference'!$A$5:$A$25,0))/INDEX('Assumptions &amp; FX Reference'!$C$5:$C$25,MATCH(H230,'Assumptions &amp; FX Reference'!$A$5:$A$25,0)),""))),"(FX missing)"))</f>
        <v/>
      </c>
      <c r="P230" s="42"/>
      <c r="Q230" s="42"/>
      <c r="R230" s="42"/>
      <c r="S230" s="42"/>
      <c r="T230" s="42"/>
      <c r="U230" s="42"/>
      <c r="V230" s="42"/>
    </row>
    <row r="231" customFormat="false" ht="15" hidden="false" customHeight="false" outlineLevel="0" collapsed="false">
      <c r="A231" s="42"/>
      <c r="B231" s="42"/>
      <c r="C231" s="45" t="str">
        <f aca="false">IF(B231="","",IFERROR(INDEX('Master Database'!$D$5:$D$600,MATCH(B231,'Master Database'!$A$5:$A$600,0)),"(row not found)"))</f>
        <v/>
      </c>
      <c r="D231" s="45" t="str">
        <f aca="false">IF(B231="","",IFERROR(INDEX('Master Database'!$B$5:$B$600,MATCH(B231,'Master Database'!$A$5:$A$600,0)),"(row not found)"))</f>
        <v/>
      </c>
      <c r="E231" s="42"/>
      <c r="F231" s="45" t="str">
        <f aca="false">IF(E231="","",IFERROR(INDEX(Vendor_Register!$B$5:$B$205,MATCH(E231,Vendor_Register!$A$5:$A$205,0)),"(not in register)"))</f>
        <v/>
      </c>
      <c r="G231" s="45" t="str">
        <f aca="false">IF(E231="","",IFERROR(INDEX(Vendor_Register!$E$5:$E$205,MATCH(E231,Vendor_Register!$A$5:$A$205,0)),"(not in register)"))</f>
        <v/>
      </c>
      <c r="H231" s="42"/>
      <c r="I231" s="42"/>
      <c r="J231" s="42"/>
      <c r="K231" s="42"/>
      <c r="L231" s="42"/>
      <c r="M231" s="46"/>
      <c r="N231" s="42"/>
      <c r="O231" s="47" t="str">
        <f aca="false">IF(NOT(ISNUMBER(M231)),"",IFERROR(IF(L231="EUR",M231,IF(L231="IRR",M231/INDEX('Assumptions &amp; FX Reference'!$C$5:$C$25,MATCH(H231,'Assumptions &amp; FX Reference'!$A$5:$A$25,0)),IF(L231="USD",M231*INDEX('Assumptions &amp; FX Reference'!$B$5:$B$25,MATCH(H231,'Assumptions &amp; FX Reference'!$A$5:$A$25,0))/INDEX('Assumptions &amp; FX Reference'!$C$5:$C$25,MATCH(H231,'Assumptions &amp; FX Reference'!$A$5:$A$25,0)),""))),"(FX missing)"))</f>
        <v/>
      </c>
      <c r="P231" s="42"/>
      <c r="Q231" s="42"/>
      <c r="R231" s="42"/>
      <c r="S231" s="42"/>
      <c r="T231" s="42"/>
      <c r="U231" s="42"/>
      <c r="V231" s="42"/>
    </row>
    <row r="232" customFormat="false" ht="15" hidden="false" customHeight="false" outlineLevel="0" collapsed="false">
      <c r="A232" s="42"/>
      <c r="B232" s="42"/>
      <c r="C232" s="45" t="str">
        <f aca="false">IF(B232="","",IFERROR(INDEX('Master Database'!$D$5:$D$600,MATCH(B232,'Master Database'!$A$5:$A$600,0)),"(row not found)"))</f>
        <v/>
      </c>
      <c r="D232" s="45" t="str">
        <f aca="false">IF(B232="","",IFERROR(INDEX('Master Database'!$B$5:$B$600,MATCH(B232,'Master Database'!$A$5:$A$600,0)),"(row not found)"))</f>
        <v/>
      </c>
      <c r="E232" s="42"/>
      <c r="F232" s="45" t="str">
        <f aca="false">IF(E232="","",IFERROR(INDEX(Vendor_Register!$B$5:$B$205,MATCH(E232,Vendor_Register!$A$5:$A$205,0)),"(not in register)"))</f>
        <v/>
      </c>
      <c r="G232" s="45" t="str">
        <f aca="false">IF(E232="","",IFERROR(INDEX(Vendor_Register!$E$5:$E$205,MATCH(E232,Vendor_Register!$A$5:$A$205,0)),"(not in register)"))</f>
        <v/>
      </c>
      <c r="H232" s="42"/>
      <c r="I232" s="42"/>
      <c r="J232" s="42"/>
      <c r="K232" s="42"/>
      <c r="L232" s="42"/>
      <c r="M232" s="46"/>
      <c r="N232" s="42"/>
      <c r="O232" s="47" t="str">
        <f aca="false">IF(NOT(ISNUMBER(M232)),"",IFERROR(IF(L232="EUR",M232,IF(L232="IRR",M232/INDEX('Assumptions &amp; FX Reference'!$C$5:$C$25,MATCH(H232,'Assumptions &amp; FX Reference'!$A$5:$A$25,0)),IF(L232="USD",M232*INDEX('Assumptions &amp; FX Reference'!$B$5:$B$25,MATCH(H232,'Assumptions &amp; FX Reference'!$A$5:$A$25,0))/INDEX('Assumptions &amp; FX Reference'!$C$5:$C$25,MATCH(H232,'Assumptions &amp; FX Reference'!$A$5:$A$25,0)),""))),"(FX missing)"))</f>
        <v/>
      </c>
      <c r="P232" s="42"/>
      <c r="Q232" s="42"/>
      <c r="R232" s="42"/>
      <c r="S232" s="42"/>
      <c r="T232" s="42"/>
      <c r="U232" s="42"/>
      <c r="V232" s="42"/>
    </row>
    <row r="233" customFormat="false" ht="15" hidden="false" customHeight="false" outlineLevel="0" collapsed="false">
      <c r="A233" s="42"/>
      <c r="B233" s="42"/>
      <c r="C233" s="45" t="str">
        <f aca="false">IF(B233="","",IFERROR(INDEX('Master Database'!$D$5:$D$600,MATCH(B233,'Master Database'!$A$5:$A$600,0)),"(row not found)"))</f>
        <v/>
      </c>
      <c r="D233" s="45" t="str">
        <f aca="false">IF(B233="","",IFERROR(INDEX('Master Database'!$B$5:$B$600,MATCH(B233,'Master Database'!$A$5:$A$600,0)),"(row not found)"))</f>
        <v/>
      </c>
      <c r="E233" s="42"/>
      <c r="F233" s="45" t="str">
        <f aca="false">IF(E233="","",IFERROR(INDEX(Vendor_Register!$B$5:$B$205,MATCH(E233,Vendor_Register!$A$5:$A$205,0)),"(not in register)"))</f>
        <v/>
      </c>
      <c r="G233" s="45" t="str">
        <f aca="false">IF(E233="","",IFERROR(INDEX(Vendor_Register!$E$5:$E$205,MATCH(E233,Vendor_Register!$A$5:$A$205,0)),"(not in register)"))</f>
        <v/>
      </c>
      <c r="H233" s="42"/>
      <c r="I233" s="42"/>
      <c r="J233" s="42"/>
      <c r="K233" s="42"/>
      <c r="L233" s="42"/>
      <c r="M233" s="46"/>
      <c r="N233" s="42"/>
      <c r="O233" s="47" t="str">
        <f aca="false">IF(NOT(ISNUMBER(M233)),"",IFERROR(IF(L233="EUR",M233,IF(L233="IRR",M233/INDEX('Assumptions &amp; FX Reference'!$C$5:$C$25,MATCH(H233,'Assumptions &amp; FX Reference'!$A$5:$A$25,0)),IF(L233="USD",M233*INDEX('Assumptions &amp; FX Reference'!$B$5:$B$25,MATCH(H233,'Assumptions &amp; FX Reference'!$A$5:$A$25,0))/INDEX('Assumptions &amp; FX Reference'!$C$5:$C$25,MATCH(H233,'Assumptions &amp; FX Reference'!$A$5:$A$25,0)),""))),"(FX missing)"))</f>
        <v/>
      </c>
      <c r="P233" s="42"/>
      <c r="Q233" s="42"/>
      <c r="R233" s="42"/>
      <c r="S233" s="42"/>
      <c r="T233" s="42"/>
      <c r="U233" s="42"/>
      <c r="V233" s="42"/>
    </row>
    <row r="234" customFormat="false" ht="15" hidden="false" customHeight="false" outlineLevel="0" collapsed="false">
      <c r="A234" s="42"/>
      <c r="B234" s="42"/>
      <c r="C234" s="45" t="str">
        <f aca="false">IF(B234="","",IFERROR(INDEX('Master Database'!$D$5:$D$600,MATCH(B234,'Master Database'!$A$5:$A$600,0)),"(row not found)"))</f>
        <v/>
      </c>
      <c r="D234" s="45" t="str">
        <f aca="false">IF(B234="","",IFERROR(INDEX('Master Database'!$B$5:$B$600,MATCH(B234,'Master Database'!$A$5:$A$600,0)),"(row not found)"))</f>
        <v/>
      </c>
      <c r="E234" s="42"/>
      <c r="F234" s="45" t="str">
        <f aca="false">IF(E234="","",IFERROR(INDEX(Vendor_Register!$B$5:$B$205,MATCH(E234,Vendor_Register!$A$5:$A$205,0)),"(not in register)"))</f>
        <v/>
      </c>
      <c r="G234" s="45" t="str">
        <f aca="false">IF(E234="","",IFERROR(INDEX(Vendor_Register!$E$5:$E$205,MATCH(E234,Vendor_Register!$A$5:$A$205,0)),"(not in register)"))</f>
        <v/>
      </c>
      <c r="H234" s="42"/>
      <c r="I234" s="42"/>
      <c r="J234" s="42"/>
      <c r="K234" s="42"/>
      <c r="L234" s="42"/>
      <c r="M234" s="46"/>
      <c r="N234" s="42"/>
      <c r="O234" s="47" t="str">
        <f aca="false">IF(NOT(ISNUMBER(M234)),"",IFERROR(IF(L234="EUR",M234,IF(L234="IRR",M234/INDEX('Assumptions &amp; FX Reference'!$C$5:$C$25,MATCH(H234,'Assumptions &amp; FX Reference'!$A$5:$A$25,0)),IF(L234="USD",M234*INDEX('Assumptions &amp; FX Reference'!$B$5:$B$25,MATCH(H234,'Assumptions &amp; FX Reference'!$A$5:$A$25,0))/INDEX('Assumptions &amp; FX Reference'!$C$5:$C$25,MATCH(H234,'Assumptions &amp; FX Reference'!$A$5:$A$25,0)),""))),"(FX missing)"))</f>
        <v/>
      </c>
      <c r="P234" s="42"/>
      <c r="Q234" s="42"/>
      <c r="R234" s="42"/>
      <c r="S234" s="42"/>
      <c r="T234" s="42"/>
      <c r="U234" s="42"/>
      <c r="V234" s="42"/>
    </row>
    <row r="235" customFormat="false" ht="15" hidden="false" customHeight="false" outlineLevel="0" collapsed="false">
      <c r="A235" s="42"/>
      <c r="B235" s="42"/>
      <c r="C235" s="45" t="str">
        <f aca="false">IF(B235="","",IFERROR(INDEX('Master Database'!$D$5:$D$600,MATCH(B235,'Master Database'!$A$5:$A$600,0)),"(row not found)"))</f>
        <v/>
      </c>
      <c r="D235" s="45" t="str">
        <f aca="false">IF(B235="","",IFERROR(INDEX('Master Database'!$B$5:$B$600,MATCH(B235,'Master Database'!$A$5:$A$600,0)),"(row not found)"))</f>
        <v/>
      </c>
      <c r="E235" s="42"/>
      <c r="F235" s="45" t="str">
        <f aca="false">IF(E235="","",IFERROR(INDEX(Vendor_Register!$B$5:$B$205,MATCH(E235,Vendor_Register!$A$5:$A$205,0)),"(not in register)"))</f>
        <v/>
      </c>
      <c r="G235" s="45" t="str">
        <f aca="false">IF(E235="","",IFERROR(INDEX(Vendor_Register!$E$5:$E$205,MATCH(E235,Vendor_Register!$A$5:$A$205,0)),"(not in register)"))</f>
        <v/>
      </c>
      <c r="H235" s="42"/>
      <c r="I235" s="42"/>
      <c r="J235" s="42"/>
      <c r="K235" s="42"/>
      <c r="L235" s="42"/>
      <c r="M235" s="46"/>
      <c r="N235" s="42"/>
      <c r="O235" s="47" t="str">
        <f aca="false">IF(NOT(ISNUMBER(M235)),"",IFERROR(IF(L235="EUR",M235,IF(L235="IRR",M235/INDEX('Assumptions &amp; FX Reference'!$C$5:$C$25,MATCH(H235,'Assumptions &amp; FX Reference'!$A$5:$A$25,0)),IF(L235="USD",M235*INDEX('Assumptions &amp; FX Reference'!$B$5:$B$25,MATCH(H235,'Assumptions &amp; FX Reference'!$A$5:$A$25,0))/INDEX('Assumptions &amp; FX Reference'!$C$5:$C$25,MATCH(H235,'Assumptions &amp; FX Reference'!$A$5:$A$25,0)),""))),"(FX missing)"))</f>
        <v/>
      </c>
      <c r="P235" s="42"/>
      <c r="Q235" s="42"/>
      <c r="R235" s="42"/>
      <c r="S235" s="42"/>
      <c r="T235" s="42"/>
      <c r="U235" s="42"/>
      <c r="V235" s="42"/>
    </row>
    <row r="236" customFormat="false" ht="15" hidden="false" customHeight="false" outlineLevel="0" collapsed="false">
      <c r="A236" s="42"/>
      <c r="B236" s="42"/>
      <c r="C236" s="45" t="str">
        <f aca="false">IF(B236="","",IFERROR(INDEX('Master Database'!$D$5:$D$600,MATCH(B236,'Master Database'!$A$5:$A$600,0)),"(row not found)"))</f>
        <v/>
      </c>
      <c r="D236" s="45" t="str">
        <f aca="false">IF(B236="","",IFERROR(INDEX('Master Database'!$B$5:$B$600,MATCH(B236,'Master Database'!$A$5:$A$600,0)),"(row not found)"))</f>
        <v/>
      </c>
      <c r="E236" s="42"/>
      <c r="F236" s="45" t="str">
        <f aca="false">IF(E236="","",IFERROR(INDEX(Vendor_Register!$B$5:$B$205,MATCH(E236,Vendor_Register!$A$5:$A$205,0)),"(not in register)"))</f>
        <v/>
      </c>
      <c r="G236" s="45" t="str">
        <f aca="false">IF(E236="","",IFERROR(INDEX(Vendor_Register!$E$5:$E$205,MATCH(E236,Vendor_Register!$A$5:$A$205,0)),"(not in register)"))</f>
        <v/>
      </c>
      <c r="H236" s="42"/>
      <c r="I236" s="42"/>
      <c r="J236" s="42"/>
      <c r="K236" s="42"/>
      <c r="L236" s="42"/>
      <c r="M236" s="46"/>
      <c r="N236" s="42"/>
      <c r="O236" s="47" t="str">
        <f aca="false">IF(NOT(ISNUMBER(M236)),"",IFERROR(IF(L236="EUR",M236,IF(L236="IRR",M236/INDEX('Assumptions &amp; FX Reference'!$C$5:$C$25,MATCH(H236,'Assumptions &amp; FX Reference'!$A$5:$A$25,0)),IF(L236="USD",M236*INDEX('Assumptions &amp; FX Reference'!$B$5:$B$25,MATCH(H236,'Assumptions &amp; FX Reference'!$A$5:$A$25,0))/INDEX('Assumptions &amp; FX Reference'!$C$5:$C$25,MATCH(H236,'Assumptions &amp; FX Reference'!$A$5:$A$25,0)),""))),"(FX missing)"))</f>
        <v/>
      </c>
      <c r="P236" s="42"/>
      <c r="Q236" s="42"/>
      <c r="R236" s="42"/>
      <c r="S236" s="42"/>
      <c r="T236" s="42"/>
      <c r="U236" s="42"/>
      <c r="V236" s="42"/>
    </row>
    <row r="237" customFormat="false" ht="15" hidden="false" customHeight="false" outlineLevel="0" collapsed="false">
      <c r="A237" s="42"/>
      <c r="B237" s="42"/>
      <c r="C237" s="45" t="str">
        <f aca="false">IF(B237="","",IFERROR(INDEX('Master Database'!$D$5:$D$600,MATCH(B237,'Master Database'!$A$5:$A$600,0)),"(row not found)"))</f>
        <v/>
      </c>
      <c r="D237" s="45" t="str">
        <f aca="false">IF(B237="","",IFERROR(INDEX('Master Database'!$B$5:$B$600,MATCH(B237,'Master Database'!$A$5:$A$600,0)),"(row not found)"))</f>
        <v/>
      </c>
      <c r="E237" s="42"/>
      <c r="F237" s="45" t="str">
        <f aca="false">IF(E237="","",IFERROR(INDEX(Vendor_Register!$B$5:$B$205,MATCH(E237,Vendor_Register!$A$5:$A$205,0)),"(not in register)"))</f>
        <v/>
      </c>
      <c r="G237" s="45" t="str">
        <f aca="false">IF(E237="","",IFERROR(INDEX(Vendor_Register!$E$5:$E$205,MATCH(E237,Vendor_Register!$A$5:$A$205,0)),"(not in register)"))</f>
        <v/>
      </c>
      <c r="H237" s="42"/>
      <c r="I237" s="42"/>
      <c r="J237" s="42"/>
      <c r="K237" s="42"/>
      <c r="L237" s="42"/>
      <c r="M237" s="46"/>
      <c r="N237" s="42"/>
      <c r="O237" s="47" t="str">
        <f aca="false">IF(NOT(ISNUMBER(M237)),"",IFERROR(IF(L237="EUR",M237,IF(L237="IRR",M237/INDEX('Assumptions &amp; FX Reference'!$C$5:$C$25,MATCH(H237,'Assumptions &amp; FX Reference'!$A$5:$A$25,0)),IF(L237="USD",M237*INDEX('Assumptions &amp; FX Reference'!$B$5:$B$25,MATCH(H237,'Assumptions &amp; FX Reference'!$A$5:$A$25,0))/INDEX('Assumptions &amp; FX Reference'!$C$5:$C$25,MATCH(H237,'Assumptions &amp; FX Reference'!$A$5:$A$25,0)),""))),"(FX missing)"))</f>
        <v/>
      </c>
      <c r="P237" s="42"/>
      <c r="Q237" s="42"/>
      <c r="R237" s="42"/>
      <c r="S237" s="42"/>
      <c r="T237" s="42"/>
      <c r="U237" s="42"/>
      <c r="V237" s="42"/>
    </row>
    <row r="238" customFormat="false" ht="15" hidden="false" customHeight="false" outlineLevel="0" collapsed="false">
      <c r="A238" s="42"/>
      <c r="B238" s="42"/>
      <c r="C238" s="45" t="str">
        <f aca="false">IF(B238="","",IFERROR(INDEX('Master Database'!$D$5:$D$600,MATCH(B238,'Master Database'!$A$5:$A$600,0)),"(row not found)"))</f>
        <v/>
      </c>
      <c r="D238" s="45" t="str">
        <f aca="false">IF(B238="","",IFERROR(INDEX('Master Database'!$B$5:$B$600,MATCH(B238,'Master Database'!$A$5:$A$600,0)),"(row not found)"))</f>
        <v/>
      </c>
      <c r="E238" s="42"/>
      <c r="F238" s="45" t="str">
        <f aca="false">IF(E238="","",IFERROR(INDEX(Vendor_Register!$B$5:$B$205,MATCH(E238,Vendor_Register!$A$5:$A$205,0)),"(not in register)"))</f>
        <v/>
      </c>
      <c r="G238" s="45" t="str">
        <f aca="false">IF(E238="","",IFERROR(INDEX(Vendor_Register!$E$5:$E$205,MATCH(E238,Vendor_Register!$A$5:$A$205,0)),"(not in register)"))</f>
        <v/>
      </c>
      <c r="H238" s="42"/>
      <c r="I238" s="42"/>
      <c r="J238" s="42"/>
      <c r="K238" s="42"/>
      <c r="L238" s="42"/>
      <c r="M238" s="46"/>
      <c r="N238" s="42"/>
      <c r="O238" s="47" t="str">
        <f aca="false">IF(NOT(ISNUMBER(M238)),"",IFERROR(IF(L238="EUR",M238,IF(L238="IRR",M238/INDEX('Assumptions &amp; FX Reference'!$C$5:$C$25,MATCH(H238,'Assumptions &amp; FX Reference'!$A$5:$A$25,0)),IF(L238="USD",M238*INDEX('Assumptions &amp; FX Reference'!$B$5:$B$25,MATCH(H238,'Assumptions &amp; FX Reference'!$A$5:$A$25,0))/INDEX('Assumptions &amp; FX Reference'!$C$5:$C$25,MATCH(H238,'Assumptions &amp; FX Reference'!$A$5:$A$25,0)),""))),"(FX missing)"))</f>
        <v/>
      </c>
      <c r="P238" s="42"/>
      <c r="Q238" s="42"/>
      <c r="R238" s="42"/>
      <c r="S238" s="42"/>
      <c r="T238" s="42"/>
      <c r="U238" s="42"/>
      <c r="V238" s="42"/>
    </row>
    <row r="239" customFormat="false" ht="15" hidden="false" customHeight="false" outlineLevel="0" collapsed="false">
      <c r="A239" s="42"/>
      <c r="B239" s="42"/>
      <c r="C239" s="45" t="str">
        <f aca="false">IF(B239="","",IFERROR(INDEX('Master Database'!$D$5:$D$600,MATCH(B239,'Master Database'!$A$5:$A$600,0)),"(row not found)"))</f>
        <v/>
      </c>
      <c r="D239" s="45" t="str">
        <f aca="false">IF(B239="","",IFERROR(INDEX('Master Database'!$B$5:$B$600,MATCH(B239,'Master Database'!$A$5:$A$600,0)),"(row not found)"))</f>
        <v/>
      </c>
      <c r="E239" s="42"/>
      <c r="F239" s="45" t="str">
        <f aca="false">IF(E239="","",IFERROR(INDEX(Vendor_Register!$B$5:$B$205,MATCH(E239,Vendor_Register!$A$5:$A$205,0)),"(not in register)"))</f>
        <v/>
      </c>
      <c r="G239" s="45" t="str">
        <f aca="false">IF(E239="","",IFERROR(INDEX(Vendor_Register!$E$5:$E$205,MATCH(E239,Vendor_Register!$A$5:$A$205,0)),"(not in register)"))</f>
        <v/>
      </c>
      <c r="H239" s="42"/>
      <c r="I239" s="42"/>
      <c r="J239" s="42"/>
      <c r="K239" s="42"/>
      <c r="L239" s="42"/>
      <c r="M239" s="46"/>
      <c r="N239" s="42"/>
      <c r="O239" s="47" t="str">
        <f aca="false">IF(NOT(ISNUMBER(M239)),"",IFERROR(IF(L239="EUR",M239,IF(L239="IRR",M239/INDEX('Assumptions &amp; FX Reference'!$C$5:$C$25,MATCH(H239,'Assumptions &amp; FX Reference'!$A$5:$A$25,0)),IF(L239="USD",M239*INDEX('Assumptions &amp; FX Reference'!$B$5:$B$25,MATCH(H239,'Assumptions &amp; FX Reference'!$A$5:$A$25,0))/INDEX('Assumptions &amp; FX Reference'!$C$5:$C$25,MATCH(H239,'Assumptions &amp; FX Reference'!$A$5:$A$25,0)),""))),"(FX missing)"))</f>
        <v/>
      </c>
      <c r="P239" s="42"/>
      <c r="Q239" s="42"/>
      <c r="R239" s="42"/>
      <c r="S239" s="42"/>
      <c r="T239" s="42"/>
      <c r="U239" s="42"/>
      <c r="V239" s="42"/>
    </row>
    <row r="240" customFormat="false" ht="15" hidden="false" customHeight="false" outlineLevel="0" collapsed="false">
      <c r="A240" s="42"/>
      <c r="B240" s="42"/>
      <c r="C240" s="45" t="str">
        <f aca="false">IF(B240="","",IFERROR(INDEX('Master Database'!$D$5:$D$600,MATCH(B240,'Master Database'!$A$5:$A$600,0)),"(row not found)"))</f>
        <v/>
      </c>
      <c r="D240" s="45" t="str">
        <f aca="false">IF(B240="","",IFERROR(INDEX('Master Database'!$B$5:$B$600,MATCH(B240,'Master Database'!$A$5:$A$600,0)),"(row not found)"))</f>
        <v/>
      </c>
      <c r="E240" s="42"/>
      <c r="F240" s="45" t="str">
        <f aca="false">IF(E240="","",IFERROR(INDEX(Vendor_Register!$B$5:$B$205,MATCH(E240,Vendor_Register!$A$5:$A$205,0)),"(not in register)"))</f>
        <v/>
      </c>
      <c r="G240" s="45" t="str">
        <f aca="false">IF(E240="","",IFERROR(INDEX(Vendor_Register!$E$5:$E$205,MATCH(E240,Vendor_Register!$A$5:$A$205,0)),"(not in register)"))</f>
        <v/>
      </c>
      <c r="H240" s="42"/>
      <c r="I240" s="42"/>
      <c r="J240" s="42"/>
      <c r="K240" s="42"/>
      <c r="L240" s="42"/>
      <c r="M240" s="46"/>
      <c r="N240" s="42"/>
      <c r="O240" s="47" t="str">
        <f aca="false">IF(NOT(ISNUMBER(M240)),"",IFERROR(IF(L240="EUR",M240,IF(L240="IRR",M240/INDEX('Assumptions &amp; FX Reference'!$C$5:$C$25,MATCH(H240,'Assumptions &amp; FX Reference'!$A$5:$A$25,0)),IF(L240="USD",M240*INDEX('Assumptions &amp; FX Reference'!$B$5:$B$25,MATCH(H240,'Assumptions &amp; FX Reference'!$A$5:$A$25,0))/INDEX('Assumptions &amp; FX Reference'!$C$5:$C$25,MATCH(H240,'Assumptions &amp; FX Reference'!$A$5:$A$25,0)),""))),"(FX missing)"))</f>
        <v/>
      </c>
      <c r="P240" s="42"/>
      <c r="Q240" s="42"/>
      <c r="R240" s="42"/>
      <c r="S240" s="42"/>
      <c r="T240" s="42"/>
      <c r="U240" s="42"/>
      <c r="V240" s="42"/>
    </row>
    <row r="241" customFormat="false" ht="15" hidden="false" customHeight="false" outlineLevel="0" collapsed="false">
      <c r="A241" s="42"/>
      <c r="B241" s="42"/>
      <c r="C241" s="45" t="str">
        <f aca="false">IF(B241="","",IFERROR(INDEX('Master Database'!$D$5:$D$600,MATCH(B241,'Master Database'!$A$5:$A$600,0)),"(row not found)"))</f>
        <v/>
      </c>
      <c r="D241" s="45" t="str">
        <f aca="false">IF(B241="","",IFERROR(INDEX('Master Database'!$B$5:$B$600,MATCH(B241,'Master Database'!$A$5:$A$600,0)),"(row not found)"))</f>
        <v/>
      </c>
      <c r="E241" s="42"/>
      <c r="F241" s="45" t="str">
        <f aca="false">IF(E241="","",IFERROR(INDEX(Vendor_Register!$B$5:$B$205,MATCH(E241,Vendor_Register!$A$5:$A$205,0)),"(not in register)"))</f>
        <v/>
      </c>
      <c r="G241" s="45" t="str">
        <f aca="false">IF(E241="","",IFERROR(INDEX(Vendor_Register!$E$5:$E$205,MATCH(E241,Vendor_Register!$A$5:$A$205,0)),"(not in register)"))</f>
        <v/>
      </c>
      <c r="H241" s="42"/>
      <c r="I241" s="42"/>
      <c r="J241" s="42"/>
      <c r="K241" s="42"/>
      <c r="L241" s="42"/>
      <c r="M241" s="46"/>
      <c r="N241" s="42"/>
      <c r="O241" s="47" t="str">
        <f aca="false">IF(NOT(ISNUMBER(M241)),"",IFERROR(IF(L241="EUR",M241,IF(L241="IRR",M241/INDEX('Assumptions &amp; FX Reference'!$C$5:$C$25,MATCH(H241,'Assumptions &amp; FX Reference'!$A$5:$A$25,0)),IF(L241="USD",M241*INDEX('Assumptions &amp; FX Reference'!$B$5:$B$25,MATCH(H241,'Assumptions &amp; FX Reference'!$A$5:$A$25,0))/INDEX('Assumptions &amp; FX Reference'!$C$5:$C$25,MATCH(H241,'Assumptions &amp; FX Reference'!$A$5:$A$25,0)),""))),"(FX missing)"))</f>
        <v/>
      </c>
      <c r="P241" s="42"/>
      <c r="Q241" s="42"/>
      <c r="R241" s="42"/>
      <c r="S241" s="42"/>
      <c r="T241" s="42"/>
      <c r="U241" s="42"/>
      <c r="V241" s="42"/>
    </row>
    <row r="242" customFormat="false" ht="15" hidden="false" customHeight="false" outlineLevel="0" collapsed="false">
      <c r="A242" s="42"/>
      <c r="B242" s="42"/>
      <c r="C242" s="45" t="str">
        <f aca="false">IF(B242="","",IFERROR(INDEX('Master Database'!$D$5:$D$600,MATCH(B242,'Master Database'!$A$5:$A$600,0)),"(row not found)"))</f>
        <v/>
      </c>
      <c r="D242" s="45" t="str">
        <f aca="false">IF(B242="","",IFERROR(INDEX('Master Database'!$B$5:$B$600,MATCH(B242,'Master Database'!$A$5:$A$600,0)),"(row not found)"))</f>
        <v/>
      </c>
      <c r="E242" s="42"/>
      <c r="F242" s="45" t="str">
        <f aca="false">IF(E242="","",IFERROR(INDEX(Vendor_Register!$B$5:$B$205,MATCH(E242,Vendor_Register!$A$5:$A$205,0)),"(not in register)"))</f>
        <v/>
      </c>
      <c r="G242" s="45" t="str">
        <f aca="false">IF(E242="","",IFERROR(INDEX(Vendor_Register!$E$5:$E$205,MATCH(E242,Vendor_Register!$A$5:$A$205,0)),"(not in register)"))</f>
        <v/>
      </c>
      <c r="H242" s="42"/>
      <c r="I242" s="42"/>
      <c r="J242" s="42"/>
      <c r="K242" s="42"/>
      <c r="L242" s="42"/>
      <c r="M242" s="46"/>
      <c r="N242" s="42"/>
      <c r="O242" s="47" t="str">
        <f aca="false">IF(NOT(ISNUMBER(M242)),"",IFERROR(IF(L242="EUR",M242,IF(L242="IRR",M242/INDEX('Assumptions &amp; FX Reference'!$C$5:$C$25,MATCH(H242,'Assumptions &amp; FX Reference'!$A$5:$A$25,0)),IF(L242="USD",M242*INDEX('Assumptions &amp; FX Reference'!$B$5:$B$25,MATCH(H242,'Assumptions &amp; FX Reference'!$A$5:$A$25,0))/INDEX('Assumptions &amp; FX Reference'!$C$5:$C$25,MATCH(H242,'Assumptions &amp; FX Reference'!$A$5:$A$25,0)),""))),"(FX missing)"))</f>
        <v/>
      </c>
      <c r="P242" s="42"/>
      <c r="Q242" s="42"/>
      <c r="R242" s="42"/>
      <c r="S242" s="42"/>
      <c r="T242" s="42"/>
      <c r="U242" s="42"/>
      <c r="V242" s="42"/>
    </row>
    <row r="243" customFormat="false" ht="15" hidden="false" customHeight="false" outlineLevel="0" collapsed="false">
      <c r="A243" s="42"/>
      <c r="B243" s="42"/>
      <c r="C243" s="45" t="str">
        <f aca="false">IF(B243="","",IFERROR(INDEX('Master Database'!$D$5:$D$600,MATCH(B243,'Master Database'!$A$5:$A$600,0)),"(row not found)"))</f>
        <v/>
      </c>
      <c r="D243" s="45" t="str">
        <f aca="false">IF(B243="","",IFERROR(INDEX('Master Database'!$B$5:$B$600,MATCH(B243,'Master Database'!$A$5:$A$600,0)),"(row not found)"))</f>
        <v/>
      </c>
      <c r="E243" s="42"/>
      <c r="F243" s="45" t="str">
        <f aca="false">IF(E243="","",IFERROR(INDEX(Vendor_Register!$B$5:$B$205,MATCH(E243,Vendor_Register!$A$5:$A$205,0)),"(not in register)"))</f>
        <v/>
      </c>
      <c r="G243" s="45" t="str">
        <f aca="false">IF(E243="","",IFERROR(INDEX(Vendor_Register!$E$5:$E$205,MATCH(E243,Vendor_Register!$A$5:$A$205,0)),"(not in register)"))</f>
        <v/>
      </c>
      <c r="H243" s="42"/>
      <c r="I243" s="42"/>
      <c r="J243" s="42"/>
      <c r="K243" s="42"/>
      <c r="L243" s="42"/>
      <c r="M243" s="46"/>
      <c r="N243" s="42"/>
      <c r="O243" s="47" t="str">
        <f aca="false">IF(NOT(ISNUMBER(M243)),"",IFERROR(IF(L243="EUR",M243,IF(L243="IRR",M243/INDEX('Assumptions &amp; FX Reference'!$C$5:$C$25,MATCH(H243,'Assumptions &amp; FX Reference'!$A$5:$A$25,0)),IF(L243="USD",M243*INDEX('Assumptions &amp; FX Reference'!$B$5:$B$25,MATCH(H243,'Assumptions &amp; FX Reference'!$A$5:$A$25,0))/INDEX('Assumptions &amp; FX Reference'!$C$5:$C$25,MATCH(H243,'Assumptions &amp; FX Reference'!$A$5:$A$25,0)),""))),"(FX missing)"))</f>
        <v/>
      </c>
      <c r="P243" s="42"/>
      <c r="Q243" s="42"/>
      <c r="R243" s="42"/>
      <c r="S243" s="42"/>
      <c r="T243" s="42"/>
      <c r="U243" s="42"/>
      <c r="V243" s="42"/>
    </row>
    <row r="244" customFormat="false" ht="15" hidden="false" customHeight="false" outlineLevel="0" collapsed="false">
      <c r="A244" s="42"/>
      <c r="B244" s="42"/>
      <c r="C244" s="45" t="str">
        <f aca="false">IF(B244="","",IFERROR(INDEX('Master Database'!$D$5:$D$600,MATCH(B244,'Master Database'!$A$5:$A$600,0)),"(row not found)"))</f>
        <v/>
      </c>
      <c r="D244" s="45" t="str">
        <f aca="false">IF(B244="","",IFERROR(INDEX('Master Database'!$B$5:$B$600,MATCH(B244,'Master Database'!$A$5:$A$600,0)),"(row not found)"))</f>
        <v/>
      </c>
      <c r="E244" s="42"/>
      <c r="F244" s="45" t="str">
        <f aca="false">IF(E244="","",IFERROR(INDEX(Vendor_Register!$B$5:$B$205,MATCH(E244,Vendor_Register!$A$5:$A$205,0)),"(not in register)"))</f>
        <v/>
      </c>
      <c r="G244" s="45" t="str">
        <f aca="false">IF(E244="","",IFERROR(INDEX(Vendor_Register!$E$5:$E$205,MATCH(E244,Vendor_Register!$A$5:$A$205,0)),"(not in register)"))</f>
        <v/>
      </c>
      <c r="H244" s="42"/>
      <c r="I244" s="42"/>
      <c r="J244" s="42"/>
      <c r="K244" s="42"/>
      <c r="L244" s="42"/>
      <c r="M244" s="46"/>
      <c r="N244" s="42"/>
      <c r="O244" s="47" t="str">
        <f aca="false">IF(NOT(ISNUMBER(M244)),"",IFERROR(IF(L244="EUR",M244,IF(L244="IRR",M244/INDEX('Assumptions &amp; FX Reference'!$C$5:$C$25,MATCH(H244,'Assumptions &amp; FX Reference'!$A$5:$A$25,0)),IF(L244="USD",M244*INDEX('Assumptions &amp; FX Reference'!$B$5:$B$25,MATCH(H244,'Assumptions &amp; FX Reference'!$A$5:$A$25,0))/INDEX('Assumptions &amp; FX Reference'!$C$5:$C$25,MATCH(H244,'Assumptions &amp; FX Reference'!$A$5:$A$25,0)),""))),"(FX missing)"))</f>
        <v/>
      </c>
      <c r="P244" s="42"/>
      <c r="Q244" s="42"/>
      <c r="R244" s="42"/>
      <c r="S244" s="42"/>
      <c r="T244" s="42"/>
      <c r="U244" s="42"/>
      <c r="V244" s="42"/>
    </row>
    <row r="245" customFormat="false" ht="15" hidden="false" customHeight="false" outlineLevel="0" collapsed="false">
      <c r="A245" s="42"/>
      <c r="B245" s="42"/>
      <c r="C245" s="45" t="str">
        <f aca="false">IF(B245="","",IFERROR(INDEX('Master Database'!$D$5:$D$600,MATCH(B245,'Master Database'!$A$5:$A$600,0)),"(row not found)"))</f>
        <v/>
      </c>
      <c r="D245" s="45" t="str">
        <f aca="false">IF(B245="","",IFERROR(INDEX('Master Database'!$B$5:$B$600,MATCH(B245,'Master Database'!$A$5:$A$600,0)),"(row not found)"))</f>
        <v/>
      </c>
      <c r="E245" s="42"/>
      <c r="F245" s="45" t="str">
        <f aca="false">IF(E245="","",IFERROR(INDEX(Vendor_Register!$B$5:$B$205,MATCH(E245,Vendor_Register!$A$5:$A$205,0)),"(not in register)"))</f>
        <v/>
      </c>
      <c r="G245" s="45" t="str">
        <f aca="false">IF(E245="","",IFERROR(INDEX(Vendor_Register!$E$5:$E$205,MATCH(E245,Vendor_Register!$A$5:$A$205,0)),"(not in register)"))</f>
        <v/>
      </c>
      <c r="H245" s="42"/>
      <c r="I245" s="42"/>
      <c r="J245" s="42"/>
      <c r="K245" s="42"/>
      <c r="L245" s="42"/>
      <c r="M245" s="46"/>
      <c r="N245" s="42"/>
      <c r="O245" s="47" t="str">
        <f aca="false">IF(NOT(ISNUMBER(M245)),"",IFERROR(IF(L245="EUR",M245,IF(L245="IRR",M245/INDEX('Assumptions &amp; FX Reference'!$C$5:$C$25,MATCH(H245,'Assumptions &amp; FX Reference'!$A$5:$A$25,0)),IF(L245="USD",M245*INDEX('Assumptions &amp; FX Reference'!$B$5:$B$25,MATCH(H245,'Assumptions &amp; FX Reference'!$A$5:$A$25,0))/INDEX('Assumptions &amp; FX Reference'!$C$5:$C$25,MATCH(H245,'Assumptions &amp; FX Reference'!$A$5:$A$25,0)),""))),"(FX missing)"))</f>
        <v/>
      </c>
      <c r="P245" s="42"/>
      <c r="Q245" s="42"/>
      <c r="R245" s="42"/>
      <c r="S245" s="42"/>
      <c r="T245" s="42"/>
      <c r="U245" s="42"/>
      <c r="V245" s="42"/>
    </row>
    <row r="246" customFormat="false" ht="15" hidden="false" customHeight="false" outlineLevel="0" collapsed="false">
      <c r="A246" s="42"/>
      <c r="B246" s="42"/>
      <c r="C246" s="45" t="str">
        <f aca="false">IF(B246="","",IFERROR(INDEX('Master Database'!$D$5:$D$600,MATCH(B246,'Master Database'!$A$5:$A$600,0)),"(row not found)"))</f>
        <v/>
      </c>
      <c r="D246" s="45" t="str">
        <f aca="false">IF(B246="","",IFERROR(INDEX('Master Database'!$B$5:$B$600,MATCH(B246,'Master Database'!$A$5:$A$600,0)),"(row not found)"))</f>
        <v/>
      </c>
      <c r="E246" s="42"/>
      <c r="F246" s="45" t="str">
        <f aca="false">IF(E246="","",IFERROR(INDEX(Vendor_Register!$B$5:$B$205,MATCH(E246,Vendor_Register!$A$5:$A$205,0)),"(not in register)"))</f>
        <v/>
      </c>
      <c r="G246" s="45" t="str">
        <f aca="false">IF(E246="","",IFERROR(INDEX(Vendor_Register!$E$5:$E$205,MATCH(E246,Vendor_Register!$A$5:$A$205,0)),"(not in register)"))</f>
        <v/>
      </c>
      <c r="H246" s="42"/>
      <c r="I246" s="42"/>
      <c r="J246" s="42"/>
      <c r="K246" s="42"/>
      <c r="L246" s="42"/>
      <c r="M246" s="46"/>
      <c r="N246" s="42"/>
      <c r="O246" s="47" t="str">
        <f aca="false">IF(NOT(ISNUMBER(M246)),"",IFERROR(IF(L246="EUR",M246,IF(L246="IRR",M246/INDEX('Assumptions &amp; FX Reference'!$C$5:$C$25,MATCH(H246,'Assumptions &amp; FX Reference'!$A$5:$A$25,0)),IF(L246="USD",M246*INDEX('Assumptions &amp; FX Reference'!$B$5:$B$25,MATCH(H246,'Assumptions &amp; FX Reference'!$A$5:$A$25,0))/INDEX('Assumptions &amp; FX Reference'!$C$5:$C$25,MATCH(H246,'Assumptions &amp; FX Reference'!$A$5:$A$25,0)),""))),"(FX missing)"))</f>
        <v/>
      </c>
      <c r="P246" s="42"/>
      <c r="Q246" s="42"/>
      <c r="R246" s="42"/>
      <c r="S246" s="42"/>
      <c r="T246" s="42"/>
      <c r="U246" s="42"/>
      <c r="V246" s="42"/>
    </row>
    <row r="247" customFormat="false" ht="15" hidden="false" customHeight="false" outlineLevel="0" collapsed="false">
      <c r="A247" s="42"/>
      <c r="B247" s="42"/>
      <c r="C247" s="45" t="str">
        <f aca="false">IF(B247="","",IFERROR(INDEX('Master Database'!$D$5:$D$600,MATCH(B247,'Master Database'!$A$5:$A$600,0)),"(row not found)"))</f>
        <v/>
      </c>
      <c r="D247" s="45" t="str">
        <f aca="false">IF(B247="","",IFERROR(INDEX('Master Database'!$B$5:$B$600,MATCH(B247,'Master Database'!$A$5:$A$600,0)),"(row not found)"))</f>
        <v/>
      </c>
      <c r="E247" s="42"/>
      <c r="F247" s="45" t="str">
        <f aca="false">IF(E247="","",IFERROR(INDEX(Vendor_Register!$B$5:$B$205,MATCH(E247,Vendor_Register!$A$5:$A$205,0)),"(not in register)"))</f>
        <v/>
      </c>
      <c r="G247" s="45" t="str">
        <f aca="false">IF(E247="","",IFERROR(INDEX(Vendor_Register!$E$5:$E$205,MATCH(E247,Vendor_Register!$A$5:$A$205,0)),"(not in register)"))</f>
        <v/>
      </c>
      <c r="H247" s="42"/>
      <c r="I247" s="42"/>
      <c r="J247" s="42"/>
      <c r="K247" s="42"/>
      <c r="L247" s="42"/>
      <c r="M247" s="46"/>
      <c r="N247" s="42"/>
      <c r="O247" s="47" t="str">
        <f aca="false">IF(NOT(ISNUMBER(M247)),"",IFERROR(IF(L247="EUR",M247,IF(L247="IRR",M247/INDEX('Assumptions &amp; FX Reference'!$C$5:$C$25,MATCH(H247,'Assumptions &amp; FX Reference'!$A$5:$A$25,0)),IF(L247="USD",M247*INDEX('Assumptions &amp; FX Reference'!$B$5:$B$25,MATCH(H247,'Assumptions &amp; FX Reference'!$A$5:$A$25,0))/INDEX('Assumptions &amp; FX Reference'!$C$5:$C$25,MATCH(H247,'Assumptions &amp; FX Reference'!$A$5:$A$25,0)),""))),"(FX missing)"))</f>
        <v/>
      </c>
      <c r="P247" s="42"/>
      <c r="Q247" s="42"/>
      <c r="R247" s="42"/>
      <c r="S247" s="42"/>
      <c r="T247" s="42"/>
      <c r="U247" s="42"/>
      <c r="V247" s="42"/>
    </row>
    <row r="248" customFormat="false" ht="15" hidden="false" customHeight="false" outlineLevel="0" collapsed="false">
      <c r="A248" s="42"/>
      <c r="B248" s="42"/>
      <c r="C248" s="45" t="str">
        <f aca="false">IF(B248="","",IFERROR(INDEX('Master Database'!$D$5:$D$600,MATCH(B248,'Master Database'!$A$5:$A$600,0)),"(row not found)"))</f>
        <v/>
      </c>
      <c r="D248" s="45" t="str">
        <f aca="false">IF(B248="","",IFERROR(INDEX('Master Database'!$B$5:$B$600,MATCH(B248,'Master Database'!$A$5:$A$600,0)),"(row not found)"))</f>
        <v/>
      </c>
      <c r="E248" s="42"/>
      <c r="F248" s="45" t="str">
        <f aca="false">IF(E248="","",IFERROR(INDEX(Vendor_Register!$B$5:$B$205,MATCH(E248,Vendor_Register!$A$5:$A$205,0)),"(not in register)"))</f>
        <v/>
      </c>
      <c r="G248" s="45" t="str">
        <f aca="false">IF(E248="","",IFERROR(INDEX(Vendor_Register!$E$5:$E$205,MATCH(E248,Vendor_Register!$A$5:$A$205,0)),"(not in register)"))</f>
        <v/>
      </c>
      <c r="H248" s="42"/>
      <c r="I248" s="42"/>
      <c r="J248" s="42"/>
      <c r="K248" s="42"/>
      <c r="L248" s="42"/>
      <c r="M248" s="46"/>
      <c r="N248" s="42"/>
      <c r="O248" s="47" t="str">
        <f aca="false">IF(NOT(ISNUMBER(M248)),"",IFERROR(IF(L248="EUR",M248,IF(L248="IRR",M248/INDEX('Assumptions &amp; FX Reference'!$C$5:$C$25,MATCH(H248,'Assumptions &amp; FX Reference'!$A$5:$A$25,0)),IF(L248="USD",M248*INDEX('Assumptions &amp; FX Reference'!$B$5:$B$25,MATCH(H248,'Assumptions &amp; FX Reference'!$A$5:$A$25,0))/INDEX('Assumptions &amp; FX Reference'!$C$5:$C$25,MATCH(H248,'Assumptions &amp; FX Reference'!$A$5:$A$25,0)),""))),"(FX missing)"))</f>
        <v/>
      </c>
      <c r="P248" s="42"/>
      <c r="Q248" s="42"/>
      <c r="R248" s="42"/>
      <c r="S248" s="42"/>
      <c r="T248" s="42"/>
      <c r="U248" s="42"/>
      <c r="V248" s="42"/>
    </row>
    <row r="249" customFormat="false" ht="15" hidden="false" customHeight="false" outlineLevel="0" collapsed="false">
      <c r="A249" s="42"/>
      <c r="B249" s="42"/>
      <c r="C249" s="45" t="str">
        <f aca="false">IF(B249="","",IFERROR(INDEX('Master Database'!$D$5:$D$600,MATCH(B249,'Master Database'!$A$5:$A$600,0)),"(row not found)"))</f>
        <v/>
      </c>
      <c r="D249" s="45" t="str">
        <f aca="false">IF(B249="","",IFERROR(INDEX('Master Database'!$B$5:$B$600,MATCH(B249,'Master Database'!$A$5:$A$600,0)),"(row not found)"))</f>
        <v/>
      </c>
      <c r="E249" s="42"/>
      <c r="F249" s="45" t="str">
        <f aca="false">IF(E249="","",IFERROR(INDEX(Vendor_Register!$B$5:$B$205,MATCH(E249,Vendor_Register!$A$5:$A$205,0)),"(not in register)"))</f>
        <v/>
      </c>
      <c r="G249" s="45" t="str">
        <f aca="false">IF(E249="","",IFERROR(INDEX(Vendor_Register!$E$5:$E$205,MATCH(E249,Vendor_Register!$A$5:$A$205,0)),"(not in register)"))</f>
        <v/>
      </c>
      <c r="H249" s="42"/>
      <c r="I249" s="42"/>
      <c r="J249" s="42"/>
      <c r="K249" s="42"/>
      <c r="L249" s="42"/>
      <c r="M249" s="46"/>
      <c r="N249" s="42"/>
      <c r="O249" s="47" t="str">
        <f aca="false">IF(NOT(ISNUMBER(M249)),"",IFERROR(IF(L249="EUR",M249,IF(L249="IRR",M249/INDEX('Assumptions &amp; FX Reference'!$C$5:$C$25,MATCH(H249,'Assumptions &amp; FX Reference'!$A$5:$A$25,0)),IF(L249="USD",M249*INDEX('Assumptions &amp; FX Reference'!$B$5:$B$25,MATCH(H249,'Assumptions &amp; FX Reference'!$A$5:$A$25,0))/INDEX('Assumptions &amp; FX Reference'!$C$5:$C$25,MATCH(H249,'Assumptions &amp; FX Reference'!$A$5:$A$25,0)),""))),"(FX missing)"))</f>
        <v/>
      </c>
      <c r="P249" s="42"/>
      <c r="Q249" s="42"/>
      <c r="R249" s="42"/>
      <c r="S249" s="42"/>
      <c r="T249" s="42"/>
      <c r="U249" s="42"/>
      <c r="V249" s="42"/>
    </row>
    <row r="250" customFormat="false" ht="15" hidden="false" customHeight="false" outlineLevel="0" collapsed="false">
      <c r="A250" s="42"/>
      <c r="B250" s="42"/>
      <c r="C250" s="45" t="str">
        <f aca="false">IF(B250="","",IFERROR(INDEX('Master Database'!$D$5:$D$600,MATCH(B250,'Master Database'!$A$5:$A$600,0)),"(row not found)"))</f>
        <v/>
      </c>
      <c r="D250" s="45" t="str">
        <f aca="false">IF(B250="","",IFERROR(INDEX('Master Database'!$B$5:$B$600,MATCH(B250,'Master Database'!$A$5:$A$600,0)),"(row not found)"))</f>
        <v/>
      </c>
      <c r="E250" s="42"/>
      <c r="F250" s="45" t="str">
        <f aca="false">IF(E250="","",IFERROR(INDEX(Vendor_Register!$B$5:$B$205,MATCH(E250,Vendor_Register!$A$5:$A$205,0)),"(not in register)"))</f>
        <v/>
      </c>
      <c r="G250" s="45" t="str">
        <f aca="false">IF(E250="","",IFERROR(INDEX(Vendor_Register!$E$5:$E$205,MATCH(E250,Vendor_Register!$A$5:$A$205,0)),"(not in register)"))</f>
        <v/>
      </c>
      <c r="H250" s="42"/>
      <c r="I250" s="42"/>
      <c r="J250" s="42"/>
      <c r="K250" s="42"/>
      <c r="L250" s="42"/>
      <c r="M250" s="46"/>
      <c r="N250" s="42"/>
      <c r="O250" s="47" t="str">
        <f aca="false">IF(NOT(ISNUMBER(M250)),"",IFERROR(IF(L250="EUR",M250,IF(L250="IRR",M250/INDEX('Assumptions &amp; FX Reference'!$C$5:$C$25,MATCH(H250,'Assumptions &amp; FX Reference'!$A$5:$A$25,0)),IF(L250="USD",M250*INDEX('Assumptions &amp; FX Reference'!$B$5:$B$25,MATCH(H250,'Assumptions &amp; FX Reference'!$A$5:$A$25,0))/INDEX('Assumptions &amp; FX Reference'!$C$5:$C$25,MATCH(H250,'Assumptions &amp; FX Reference'!$A$5:$A$25,0)),""))),"(FX missing)"))</f>
        <v/>
      </c>
      <c r="P250" s="42"/>
      <c r="Q250" s="42"/>
      <c r="R250" s="42"/>
      <c r="S250" s="42"/>
      <c r="T250" s="42"/>
      <c r="U250" s="42"/>
      <c r="V250" s="42"/>
    </row>
    <row r="251" customFormat="false" ht="15" hidden="false" customHeight="false" outlineLevel="0" collapsed="false">
      <c r="A251" s="42"/>
      <c r="B251" s="42"/>
      <c r="C251" s="45" t="str">
        <f aca="false">IF(B251="","",IFERROR(INDEX('Master Database'!$D$5:$D$600,MATCH(B251,'Master Database'!$A$5:$A$600,0)),"(row not found)"))</f>
        <v/>
      </c>
      <c r="D251" s="45" t="str">
        <f aca="false">IF(B251="","",IFERROR(INDEX('Master Database'!$B$5:$B$600,MATCH(B251,'Master Database'!$A$5:$A$600,0)),"(row not found)"))</f>
        <v/>
      </c>
      <c r="E251" s="42"/>
      <c r="F251" s="45" t="str">
        <f aca="false">IF(E251="","",IFERROR(INDEX(Vendor_Register!$B$5:$B$205,MATCH(E251,Vendor_Register!$A$5:$A$205,0)),"(not in register)"))</f>
        <v/>
      </c>
      <c r="G251" s="45" t="str">
        <f aca="false">IF(E251="","",IFERROR(INDEX(Vendor_Register!$E$5:$E$205,MATCH(E251,Vendor_Register!$A$5:$A$205,0)),"(not in register)"))</f>
        <v/>
      </c>
      <c r="H251" s="42"/>
      <c r="I251" s="42"/>
      <c r="J251" s="42"/>
      <c r="K251" s="42"/>
      <c r="L251" s="42"/>
      <c r="M251" s="46"/>
      <c r="N251" s="42"/>
      <c r="O251" s="47" t="str">
        <f aca="false">IF(NOT(ISNUMBER(M251)),"",IFERROR(IF(L251="EUR",M251,IF(L251="IRR",M251/INDEX('Assumptions &amp; FX Reference'!$C$5:$C$25,MATCH(H251,'Assumptions &amp; FX Reference'!$A$5:$A$25,0)),IF(L251="USD",M251*INDEX('Assumptions &amp; FX Reference'!$B$5:$B$25,MATCH(H251,'Assumptions &amp; FX Reference'!$A$5:$A$25,0))/INDEX('Assumptions &amp; FX Reference'!$C$5:$C$25,MATCH(H251,'Assumptions &amp; FX Reference'!$A$5:$A$25,0)),""))),"(FX missing)"))</f>
        <v/>
      </c>
      <c r="P251" s="42"/>
      <c r="Q251" s="42"/>
      <c r="R251" s="42"/>
      <c r="S251" s="42"/>
      <c r="T251" s="42"/>
      <c r="U251" s="42"/>
      <c r="V251" s="42"/>
    </row>
    <row r="252" customFormat="false" ht="15" hidden="false" customHeight="false" outlineLevel="0" collapsed="false">
      <c r="A252" s="42"/>
      <c r="B252" s="42"/>
      <c r="C252" s="45" t="str">
        <f aca="false">IF(B252="","",IFERROR(INDEX('Master Database'!$D$5:$D$600,MATCH(B252,'Master Database'!$A$5:$A$600,0)),"(row not found)"))</f>
        <v/>
      </c>
      <c r="D252" s="45" t="str">
        <f aca="false">IF(B252="","",IFERROR(INDEX('Master Database'!$B$5:$B$600,MATCH(B252,'Master Database'!$A$5:$A$600,0)),"(row not found)"))</f>
        <v/>
      </c>
      <c r="E252" s="42"/>
      <c r="F252" s="45" t="str">
        <f aca="false">IF(E252="","",IFERROR(INDEX(Vendor_Register!$B$5:$B$205,MATCH(E252,Vendor_Register!$A$5:$A$205,0)),"(not in register)"))</f>
        <v/>
      </c>
      <c r="G252" s="45" t="str">
        <f aca="false">IF(E252="","",IFERROR(INDEX(Vendor_Register!$E$5:$E$205,MATCH(E252,Vendor_Register!$A$5:$A$205,0)),"(not in register)"))</f>
        <v/>
      </c>
      <c r="H252" s="42"/>
      <c r="I252" s="42"/>
      <c r="J252" s="42"/>
      <c r="K252" s="42"/>
      <c r="L252" s="42"/>
      <c r="M252" s="46"/>
      <c r="N252" s="42"/>
      <c r="O252" s="47" t="str">
        <f aca="false">IF(NOT(ISNUMBER(M252)),"",IFERROR(IF(L252="EUR",M252,IF(L252="IRR",M252/INDEX('Assumptions &amp; FX Reference'!$C$5:$C$25,MATCH(H252,'Assumptions &amp; FX Reference'!$A$5:$A$25,0)),IF(L252="USD",M252*INDEX('Assumptions &amp; FX Reference'!$B$5:$B$25,MATCH(H252,'Assumptions &amp; FX Reference'!$A$5:$A$25,0))/INDEX('Assumptions &amp; FX Reference'!$C$5:$C$25,MATCH(H252,'Assumptions &amp; FX Reference'!$A$5:$A$25,0)),""))),"(FX missing)"))</f>
        <v/>
      </c>
      <c r="P252" s="42"/>
      <c r="Q252" s="42"/>
      <c r="R252" s="42"/>
      <c r="S252" s="42"/>
      <c r="T252" s="42"/>
      <c r="U252" s="42"/>
      <c r="V252" s="42"/>
    </row>
    <row r="253" customFormat="false" ht="15" hidden="false" customHeight="false" outlineLevel="0" collapsed="false">
      <c r="A253" s="42"/>
      <c r="B253" s="42"/>
      <c r="C253" s="45" t="str">
        <f aca="false">IF(B253="","",IFERROR(INDEX('Master Database'!$D$5:$D$600,MATCH(B253,'Master Database'!$A$5:$A$600,0)),"(row not found)"))</f>
        <v/>
      </c>
      <c r="D253" s="45" t="str">
        <f aca="false">IF(B253="","",IFERROR(INDEX('Master Database'!$B$5:$B$600,MATCH(B253,'Master Database'!$A$5:$A$600,0)),"(row not found)"))</f>
        <v/>
      </c>
      <c r="E253" s="42"/>
      <c r="F253" s="45" t="str">
        <f aca="false">IF(E253="","",IFERROR(INDEX(Vendor_Register!$B$5:$B$205,MATCH(E253,Vendor_Register!$A$5:$A$205,0)),"(not in register)"))</f>
        <v/>
      </c>
      <c r="G253" s="45" t="str">
        <f aca="false">IF(E253="","",IFERROR(INDEX(Vendor_Register!$E$5:$E$205,MATCH(E253,Vendor_Register!$A$5:$A$205,0)),"(not in register)"))</f>
        <v/>
      </c>
      <c r="H253" s="42"/>
      <c r="I253" s="42"/>
      <c r="J253" s="42"/>
      <c r="K253" s="42"/>
      <c r="L253" s="42"/>
      <c r="M253" s="46"/>
      <c r="N253" s="42"/>
      <c r="O253" s="47" t="str">
        <f aca="false">IF(NOT(ISNUMBER(M253)),"",IFERROR(IF(L253="EUR",M253,IF(L253="IRR",M253/INDEX('Assumptions &amp; FX Reference'!$C$5:$C$25,MATCH(H253,'Assumptions &amp; FX Reference'!$A$5:$A$25,0)),IF(L253="USD",M253*INDEX('Assumptions &amp; FX Reference'!$B$5:$B$25,MATCH(H253,'Assumptions &amp; FX Reference'!$A$5:$A$25,0))/INDEX('Assumptions &amp; FX Reference'!$C$5:$C$25,MATCH(H253,'Assumptions &amp; FX Reference'!$A$5:$A$25,0)),""))),"(FX missing)"))</f>
        <v/>
      </c>
      <c r="P253" s="42"/>
      <c r="Q253" s="42"/>
      <c r="R253" s="42"/>
      <c r="S253" s="42"/>
      <c r="T253" s="42"/>
      <c r="U253" s="42"/>
      <c r="V253" s="42"/>
    </row>
    <row r="254" customFormat="false" ht="15" hidden="false" customHeight="false" outlineLevel="0" collapsed="false">
      <c r="A254" s="42"/>
      <c r="B254" s="42"/>
      <c r="C254" s="45" t="str">
        <f aca="false">IF(B254="","",IFERROR(INDEX('Master Database'!$D$5:$D$600,MATCH(B254,'Master Database'!$A$5:$A$600,0)),"(row not found)"))</f>
        <v/>
      </c>
      <c r="D254" s="45" t="str">
        <f aca="false">IF(B254="","",IFERROR(INDEX('Master Database'!$B$5:$B$600,MATCH(B254,'Master Database'!$A$5:$A$600,0)),"(row not found)"))</f>
        <v/>
      </c>
      <c r="E254" s="42"/>
      <c r="F254" s="45" t="str">
        <f aca="false">IF(E254="","",IFERROR(INDEX(Vendor_Register!$B$5:$B$205,MATCH(E254,Vendor_Register!$A$5:$A$205,0)),"(not in register)"))</f>
        <v/>
      </c>
      <c r="G254" s="45" t="str">
        <f aca="false">IF(E254="","",IFERROR(INDEX(Vendor_Register!$E$5:$E$205,MATCH(E254,Vendor_Register!$A$5:$A$205,0)),"(not in register)"))</f>
        <v/>
      </c>
      <c r="H254" s="42"/>
      <c r="I254" s="42"/>
      <c r="J254" s="42"/>
      <c r="K254" s="42"/>
      <c r="L254" s="42"/>
      <c r="M254" s="46"/>
      <c r="N254" s="42"/>
      <c r="O254" s="47" t="str">
        <f aca="false">IF(NOT(ISNUMBER(M254)),"",IFERROR(IF(L254="EUR",M254,IF(L254="IRR",M254/INDEX('Assumptions &amp; FX Reference'!$C$5:$C$25,MATCH(H254,'Assumptions &amp; FX Reference'!$A$5:$A$25,0)),IF(L254="USD",M254*INDEX('Assumptions &amp; FX Reference'!$B$5:$B$25,MATCH(H254,'Assumptions &amp; FX Reference'!$A$5:$A$25,0))/INDEX('Assumptions &amp; FX Reference'!$C$5:$C$25,MATCH(H254,'Assumptions &amp; FX Reference'!$A$5:$A$25,0)),""))),"(FX missing)"))</f>
        <v/>
      </c>
      <c r="P254" s="42"/>
      <c r="Q254" s="42"/>
      <c r="R254" s="42"/>
      <c r="S254" s="42"/>
      <c r="T254" s="42"/>
      <c r="U254" s="42"/>
      <c r="V254" s="42"/>
    </row>
    <row r="255" customFormat="false" ht="15" hidden="false" customHeight="false" outlineLevel="0" collapsed="false">
      <c r="A255" s="42"/>
      <c r="B255" s="42"/>
      <c r="C255" s="45" t="str">
        <f aca="false">IF(B255="","",IFERROR(INDEX('Master Database'!$D$5:$D$600,MATCH(B255,'Master Database'!$A$5:$A$600,0)),"(row not found)"))</f>
        <v/>
      </c>
      <c r="D255" s="45" t="str">
        <f aca="false">IF(B255="","",IFERROR(INDEX('Master Database'!$B$5:$B$600,MATCH(B255,'Master Database'!$A$5:$A$600,0)),"(row not found)"))</f>
        <v/>
      </c>
      <c r="E255" s="42"/>
      <c r="F255" s="45" t="str">
        <f aca="false">IF(E255="","",IFERROR(INDEX(Vendor_Register!$B$5:$B$205,MATCH(E255,Vendor_Register!$A$5:$A$205,0)),"(not in register)"))</f>
        <v/>
      </c>
      <c r="G255" s="45" t="str">
        <f aca="false">IF(E255="","",IFERROR(INDEX(Vendor_Register!$E$5:$E$205,MATCH(E255,Vendor_Register!$A$5:$A$205,0)),"(not in register)"))</f>
        <v/>
      </c>
      <c r="H255" s="42"/>
      <c r="I255" s="42"/>
      <c r="J255" s="42"/>
      <c r="K255" s="42"/>
      <c r="L255" s="42"/>
      <c r="M255" s="46"/>
      <c r="N255" s="42"/>
      <c r="O255" s="47" t="str">
        <f aca="false">IF(NOT(ISNUMBER(M255)),"",IFERROR(IF(L255="EUR",M255,IF(L255="IRR",M255/INDEX('Assumptions &amp; FX Reference'!$C$5:$C$25,MATCH(H255,'Assumptions &amp; FX Reference'!$A$5:$A$25,0)),IF(L255="USD",M255*INDEX('Assumptions &amp; FX Reference'!$B$5:$B$25,MATCH(H255,'Assumptions &amp; FX Reference'!$A$5:$A$25,0))/INDEX('Assumptions &amp; FX Reference'!$C$5:$C$25,MATCH(H255,'Assumptions &amp; FX Reference'!$A$5:$A$25,0)),""))),"(FX missing)"))</f>
        <v/>
      </c>
      <c r="P255" s="42"/>
      <c r="Q255" s="42"/>
      <c r="R255" s="42"/>
      <c r="S255" s="42"/>
      <c r="T255" s="42"/>
      <c r="U255" s="42"/>
      <c r="V255" s="42"/>
    </row>
    <row r="256" customFormat="false" ht="15" hidden="false" customHeight="false" outlineLevel="0" collapsed="false">
      <c r="A256" s="42"/>
      <c r="B256" s="42"/>
      <c r="C256" s="45" t="str">
        <f aca="false">IF(B256="","",IFERROR(INDEX('Master Database'!$D$5:$D$600,MATCH(B256,'Master Database'!$A$5:$A$600,0)),"(row not found)"))</f>
        <v/>
      </c>
      <c r="D256" s="45" t="str">
        <f aca="false">IF(B256="","",IFERROR(INDEX('Master Database'!$B$5:$B$600,MATCH(B256,'Master Database'!$A$5:$A$600,0)),"(row not found)"))</f>
        <v/>
      </c>
      <c r="E256" s="42"/>
      <c r="F256" s="45" t="str">
        <f aca="false">IF(E256="","",IFERROR(INDEX(Vendor_Register!$B$5:$B$205,MATCH(E256,Vendor_Register!$A$5:$A$205,0)),"(not in register)"))</f>
        <v/>
      </c>
      <c r="G256" s="45" t="str">
        <f aca="false">IF(E256="","",IFERROR(INDEX(Vendor_Register!$E$5:$E$205,MATCH(E256,Vendor_Register!$A$5:$A$205,0)),"(not in register)"))</f>
        <v/>
      </c>
      <c r="H256" s="42"/>
      <c r="I256" s="42"/>
      <c r="J256" s="42"/>
      <c r="K256" s="42"/>
      <c r="L256" s="42"/>
      <c r="M256" s="46"/>
      <c r="N256" s="42"/>
      <c r="O256" s="47" t="str">
        <f aca="false">IF(NOT(ISNUMBER(M256)),"",IFERROR(IF(L256="EUR",M256,IF(L256="IRR",M256/INDEX('Assumptions &amp; FX Reference'!$C$5:$C$25,MATCH(H256,'Assumptions &amp; FX Reference'!$A$5:$A$25,0)),IF(L256="USD",M256*INDEX('Assumptions &amp; FX Reference'!$B$5:$B$25,MATCH(H256,'Assumptions &amp; FX Reference'!$A$5:$A$25,0))/INDEX('Assumptions &amp; FX Reference'!$C$5:$C$25,MATCH(H256,'Assumptions &amp; FX Reference'!$A$5:$A$25,0)),""))),"(FX missing)"))</f>
        <v/>
      </c>
      <c r="P256" s="42"/>
      <c r="Q256" s="42"/>
      <c r="R256" s="42"/>
      <c r="S256" s="42"/>
      <c r="T256" s="42"/>
      <c r="U256" s="42"/>
      <c r="V256" s="42"/>
    </row>
    <row r="257" customFormat="false" ht="15" hidden="false" customHeight="false" outlineLevel="0" collapsed="false">
      <c r="A257" s="42"/>
      <c r="B257" s="42"/>
      <c r="C257" s="45" t="str">
        <f aca="false">IF(B257="","",IFERROR(INDEX('Master Database'!$D$5:$D$600,MATCH(B257,'Master Database'!$A$5:$A$600,0)),"(row not found)"))</f>
        <v/>
      </c>
      <c r="D257" s="45" t="str">
        <f aca="false">IF(B257="","",IFERROR(INDEX('Master Database'!$B$5:$B$600,MATCH(B257,'Master Database'!$A$5:$A$600,0)),"(row not found)"))</f>
        <v/>
      </c>
      <c r="E257" s="42"/>
      <c r="F257" s="45" t="str">
        <f aca="false">IF(E257="","",IFERROR(INDEX(Vendor_Register!$B$5:$B$205,MATCH(E257,Vendor_Register!$A$5:$A$205,0)),"(not in register)"))</f>
        <v/>
      </c>
      <c r="G257" s="45" t="str">
        <f aca="false">IF(E257="","",IFERROR(INDEX(Vendor_Register!$E$5:$E$205,MATCH(E257,Vendor_Register!$A$5:$A$205,0)),"(not in register)"))</f>
        <v/>
      </c>
      <c r="H257" s="42"/>
      <c r="I257" s="42"/>
      <c r="J257" s="42"/>
      <c r="K257" s="42"/>
      <c r="L257" s="42"/>
      <c r="M257" s="46"/>
      <c r="N257" s="42"/>
      <c r="O257" s="47" t="str">
        <f aca="false">IF(NOT(ISNUMBER(M257)),"",IFERROR(IF(L257="EUR",M257,IF(L257="IRR",M257/INDEX('Assumptions &amp; FX Reference'!$C$5:$C$25,MATCH(H257,'Assumptions &amp; FX Reference'!$A$5:$A$25,0)),IF(L257="USD",M257*INDEX('Assumptions &amp; FX Reference'!$B$5:$B$25,MATCH(H257,'Assumptions &amp; FX Reference'!$A$5:$A$25,0))/INDEX('Assumptions &amp; FX Reference'!$C$5:$C$25,MATCH(H257,'Assumptions &amp; FX Reference'!$A$5:$A$25,0)),""))),"(FX missing)"))</f>
        <v/>
      </c>
      <c r="P257" s="42"/>
      <c r="Q257" s="42"/>
      <c r="R257" s="42"/>
      <c r="S257" s="42"/>
      <c r="T257" s="42"/>
      <c r="U257" s="42"/>
      <c r="V257" s="42"/>
    </row>
    <row r="258" customFormat="false" ht="15" hidden="false" customHeight="false" outlineLevel="0" collapsed="false">
      <c r="A258" s="42"/>
      <c r="B258" s="42"/>
      <c r="C258" s="45" t="str">
        <f aca="false">IF(B258="","",IFERROR(INDEX('Master Database'!$D$5:$D$600,MATCH(B258,'Master Database'!$A$5:$A$600,0)),"(row not found)"))</f>
        <v/>
      </c>
      <c r="D258" s="45" t="str">
        <f aca="false">IF(B258="","",IFERROR(INDEX('Master Database'!$B$5:$B$600,MATCH(B258,'Master Database'!$A$5:$A$600,0)),"(row not found)"))</f>
        <v/>
      </c>
      <c r="E258" s="42"/>
      <c r="F258" s="45" t="str">
        <f aca="false">IF(E258="","",IFERROR(INDEX(Vendor_Register!$B$5:$B$205,MATCH(E258,Vendor_Register!$A$5:$A$205,0)),"(not in register)"))</f>
        <v/>
      </c>
      <c r="G258" s="45" t="str">
        <f aca="false">IF(E258="","",IFERROR(INDEX(Vendor_Register!$E$5:$E$205,MATCH(E258,Vendor_Register!$A$5:$A$205,0)),"(not in register)"))</f>
        <v/>
      </c>
      <c r="H258" s="42"/>
      <c r="I258" s="42"/>
      <c r="J258" s="42"/>
      <c r="K258" s="42"/>
      <c r="L258" s="42"/>
      <c r="M258" s="46"/>
      <c r="N258" s="42"/>
      <c r="O258" s="47" t="str">
        <f aca="false">IF(NOT(ISNUMBER(M258)),"",IFERROR(IF(L258="EUR",M258,IF(L258="IRR",M258/INDEX('Assumptions &amp; FX Reference'!$C$5:$C$25,MATCH(H258,'Assumptions &amp; FX Reference'!$A$5:$A$25,0)),IF(L258="USD",M258*INDEX('Assumptions &amp; FX Reference'!$B$5:$B$25,MATCH(H258,'Assumptions &amp; FX Reference'!$A$5:$A$25,0))/INDEX('Assumptions &amp; FX Reference'!$C$5:$C$25,MATCH(H258,'Assumptions &amp; FX Reference'!$A$5:$A$25,0)),""))),"(FX missing)"))</f>
        <v/>
      </c>
      <c r="P258" s="42"/>
      <c r="Q258" s="42"/>
      <c r="R258" s="42"/>
      <c r="S258" s="42"/>
      <c r="T258" s="42"/>
      <c r="U258" s="42"/>
      <c r="V258" s="42"/>
    </row>
    <row r="259" customFormat="false" ht="15" hidden="false" customHeight="false" outlineLevel="0" collapsed="false">
      <c r="A259" s="42"/>
      <c r="B259" s="42"/>
      <c r="C259" s="45" t="str">
        <f aca="false">IF(B259="","",IFERROR(INDEX('Master Database'!$D$5:$D$600,MATCH(B259,'Master Database'!$A$5:$A$600,0)),"(row not found)"))</f>
        <v/>
      </c>
      <c r="D259" s="45" t="str">
        <f aca="false">IF(B259="","",IFERROR(INDEX('Master Database'!$B$5:$B$600,MATCH(B259,'Master Database'!$A$5:$A$600,0)),"(row not found)"))</f>
        <v/>
      </c>
      <c r="E259" s="42"/>
      <c r="F259" s="45" t="str">
        <f aca="false">IF(E259="","",IFERROR(INDEX(Vendor_Register!$B$5:$B$205,MATCH(E259,Vendor_Register!$A$5:$A$205,0)),"(not in register)"))</f>
        <v/>
      </c>
      <c r="G259" s="45" t="str">
        <f aca="false">IF(E259="","",IFERROR(INDEX(Vendor_Register!$E$5:$E$205,MATCH(E259,Vendor_Register!$A$5:$A$205,0)),"(not in register)"))</f>
        <v/>
      </c>
      <c r="H259" s="42"/>
      <c r="I259" s="42"/>
      <c r="J259" s="42"/>
      <c r="K259" s="42"/>
      <c r="L259" s="42"/>
      <c r="M259" s="46"/>
      <c r="N259" s="42"/>
      <c r="O259" s="47" t="str">
        <f aca="false">IF(NOT(ISNUMBER(M259)),"",IFERROR(IF(L259="EUR",M259,IF(L259="IRR",M259/INDEX('Assumptions &amp; FX Reference'!$C$5:$C$25,MATCH(H259,'Assumptions &amp; FX Reference'!$A$5:$A$25,0)),IF(L259="USD",M259*INDEX('Assumptions &amp; FX Reference'!$B$5:$B$25,MATCH(H259,'Assumptions &amp; FX Reference'!$A$5:$A$25,0))/INDEX('Assumptions &amp; FX Reference'!$C$5:$C$25,MATCH(H259,'Assumptions &amp; FX Reference'!$A$5:$A$25,0)),""))),"(FX missing)"))</f>
        <v/>
      </c>
      <c r="P259" s="42"/>
      <c r="Q259" s="42"/>
      <c r="R259" s="42"/>
      <c r="S259" s="42"/>
      <c r="T259" s="42"/>
      <c r="U259" s="42"/>
      <c r="V259" s="42"/>
    </row>
    <row r="260" customFormat="false" ht="15" hidden="false" customHeight="false" outlineLevel="0" collapsed="false">
      <c r="A260" s="42"/>
      <c r="B260" s="42"/>
      <c r="C260" s="45" t="str">
        <f aca="false">IF(B260="","",IFERROR(INDEX('Master Database'!$D$5:$D$600,MATCH(B260,'Master Database'!$A$5:$A$600,0)),"(row not found)"))</f>
        <v/>
      </c>
      <c r="D260" s="45" t="str">
        <f aca="false">IF(B260="","",IFERROR(INDEX('Master Database'!$B$5:$B$600,MATCH(B260,'Master Database'!$A$5:$A$600,0)),"(row not found)"))</f>
        <v/>
      </c>
      <c r="E260" s="42"/>
      <c r="F260" s="45" t="str">
        <f aca="false">IF(E260="","",IFERROR(INDEX(Vendor_Register!$B$5:$B$205,MATCH(E260,Vendor_Register!$A$5:$A$205,0)),"(not in register)"))</f>
        <v/>
      </c>
      <c r="G260" s="45" t="str">
        <f aca="false">IF(E260="","",IFERROR(INDEX(Vendor_Register!$E$5:$E$205,MATCH(E260,Vendor_Register!$A$5:$A$205,0)),"(not in register)"))</f>
        <v/>
      </c>
      <c r="H260" s="42"/>
      <c r="I260" s="42"/>
      <c r="J260" s="42"/>
      <c r="K260" s="42"/>
      <c r="L260" s="42"/>
      <c r="M260" s="46"/>
      <c r="N260" s="42"/>
      <c r="O260" s="47" t="str">
        <f aca="false">IF(NOT(ISNUMBER(M260)),"",IFERROR(IF(L260="EUR",M260,IF(L260="IRR",M260/INDEX('Assumptions &amp; FX Reference'!$C$5:$C$25,MATCH(H260,'Assumptions &amp; FX Reference'!$A$5:$A$25,0)),IF(L260="USD",M260*INDEX('Assumptions &amp; FX Reference'!$B$5:$B$25,MATCH(H260,'Assumptions &amp; FX Reference'!$A$5:$A$25,0))/INDEX('Assumptions &amp; FX Reference'!$C$5:$C$25,MATCH(H260,'Assumptions &amp; FX Reference'!$A$5:$A$25,0)),""))),"(FX missing)"))</f>
        <v/>
      </c>
      <c r="P260" s="42"/>
      <c r="Q260" s="42"/>
      <c r="R260" s="42"/>
      <c r="S260" s="42"/>
      <c r="T260" s="42"/>
      <c r="U260" s="42"/>
      <c r="V260" s="42"/>
    </row>
    <row r="261" customFormat="false" ht="15" hidden="false" customHeight="false" outlineLevel="0" collapsed="false">
      <c r="A261" s="42"/>
      <c r="B261" s="42"/>
      <c r="C261" s="45" t="str">
        <f aca="false">IF(B261="","",IFERROR(INDEX('Master Database'!$D$5:$D$600,MATCH(B261,'Master Database'!$A$5:$A$600,0)),"(row not found)"))</f>
        <v/>
      </c>
      <c r="D261" s="45" t="str">
        <f aca="false">IF(B261="","",IFERROR(INDEX('Master Database'!$B$5:$B$600,MATCH(B261,'Master Database'!$A$5:$A$600,0)),"(row not found)"))</f>
        <v/>
      </c>
      <c r="E261" s="42"/>
      <c r="F261" s="45" t="str">
        <f aca="false">IF(E261="","",IFERROR(INDEX(Vendor_Register!$B$5:$B$205,MATCH(E261,Vendor_Register!$A$5:$A$205,0)),"(not in register)"))</f>
        <v/>
      </c>
      <c r="G261" s="45" t="str">
        <f aca="false">IF(E261="","",IFERROR(INDEX(Vendor_Register!$E$5:$E$205,MATCH(E261,Vendor_Register!$A$5:$A$205,0)),"(not in register)"))</f>
        <v/>
      </c>
      <c r="H261" s="42"/>
      <c r="I261" s="42"/>
      <c r="J261" s="42"/>
      <c r="K261" s="42"/>
      <c r="L261" s="42"/>
      <c r="M261" s="46"/>
      <c r="N261" s="42"/>
      <c r="O261" s="47" t="str">
        <f aca="false">IF(NOT(ISNUMBER(M261)),"",IFERROR(IF(L261="EUR",M261,IF(L261="IRR",M261/INDEX('Assumptions &amp; FX Reference'!$C$5:$C$25,MATCH(H261,'Assumptions &amp; FX Reference'!$A$5:$A$25,0)),IF(L261="USD",M261*INDEX('Assumptions &amp; FX Reference'!$B$5:$B$25,MATCH(H261,'Assumptions &amp; FX Reference'!$A$5:$A$25,0))/INDEX('Assumptions &amp; FX Reference'!$C$5:$C$25,MATCH(H261,'Assumptions &amp; FX Reference'!$A$5:$A$25,0)),""))),"(FX missing)"))</f>
        <v/>
      </c>
      <c r="P261" s="42"/>
      <c r="Q261" s="42"/>
      <c r="R261" s="42"/>
      <c r="S261" s="42"/>
      <c r="T261" s="42"/>
      <c r="U261" s="42"/>
      <c r="V261" s="42"/>
    </row>
    <row r="262" customFormat="false" ht="15" hidden="false" customHeight="false" outlineLevel="0" collapsed="false">
      <c r="A262" s="42"/>
      <c r="B262" s="42"/>
      <c r="C262" s="45" t="str">
        <f aca="false">IF(B262="","",IFERROR(INDEX('Master Database'!$D$5:$D$600,MATCH(B262,'Master Database'!$A$5:$A$600,0)),"(row not found)"))</f>
        <v/>
      </c>
      <c r="D262" s="45" t="str">
        <f aca="false">IF(B262="","",IFERROR(INDEX('Master Database'!$B$5:$B$600,MATCH(B262,'Master Database'!$A$5:$A$600,0)),"(row not found)"))</f>
        <v/>
      </c>
      <c r="E262" s="42"/>
      <c r="F262" s="45" t="str">
        <f aca="false">IF(E262="","",IFERROR(INDEX(Vendor_Register!$B$5:$B$205,MATCH(E262,Vendor_Register!$A$5:$A$205,0)),"(not in register)"))</f>
        <v/>
      </c>
      <c r="G262" s="45" t="str">
        <f aca="false">IF(E262="","",IFERROR(INDEX(Vendor_Register!$E$5:$E$205,MATCH(E262,Vendor_Register!$A$5:$A$205,0)),"(not in register)"))</f>
        <v/>
      </c>
      <c r="H262" s="42"/>
      <c r="I262" s="42"/>
      <c r="J262" s="42"/>
      <c r="K262" s="42"/>
      <c r="L262" s="42"/>
      <c r="M262" s="46"/>
      <c r="N262" s="42"/>
      <c r="O262" s="47" t="str">
        <f aca="false">IF(NOT(ISNUMBER(M262)),"",IFERROR(IF(L262="EUR",M262,IF(L262="IRR",M262/INDEX('Assumptions &amp; FX Reference'!$C$5:$C$25,MATCH(H262,'Assumptions &amp; FX Reference'!$A$5:$A$25,0)),IF(L262="USD",M262*INDEX('Assumptions &amp; FX Reference'!$B$5:$B$25,MATCH(H262,'Assumptions &amp; FX Reference'!$A$5:$A$25,0))/INDEX('Assumptions &amp; FX Reference'!$C$5:$C$25,MATCH(H262,'Assumptions &amp; FX Reference'!$A$5:$A$25,0)),""))),"(FX missing)"))</f>
        <v/>
      </c>
      <c r="P262" s="42"/>
      <c r="Q262" s="42"/>
      <c r="R262" s="42"/>
      <c r="S262" s="42"/>
      <c r="T262" s="42"/>
      <c r="U262" s="42"/>
      <c r="V262" s="42"/>
    </row>
    <row r="263" customFormat="false" ht="15" hidden="false" customHeight="false" outlineLevel="0" collapsed="false">
      <c r="A263" s="42"/>
      <c r="B263" s="42"/>
      <c r="C263" s="45" t="str">
        <f aca="false">IF(B263="","",IFERROR(INDEX('Master Database'!$D$5:$D$600,MATCH(B263,'Master Database'!$A$5:$A$600,0)),"(row not found)"))</f>
        <v/>
      </c>
      <c r="D263" s="45" t="str">
        <f aca="false">IF(B263="","",IFERROR(INDEX('Master Database'!$B$5:$B$600,MATCH(B263,'Master Database'!$A$5:$A$600,0)),"(row not found)"))</f>
        <v/>
      </c>
      <c r="E263" s="42"/>
      <c r="F263" s="45" t="str">
        <f aca="false">IF(E263="","",IFERROR(INDEX(Vendor_Register!$B$5:$B$205,MATCH(E263,Vendor_Register!$A$5:$A$205,0)),"(not in register)"))</f>
        <v/>
      </c>
      <c r="G263" s="45" t="str">
        <f aca="false">IF(E263="","",IFERROR(INDEX(Vendor_Register!$E$5:$E$205,MATCH(E263,Vendor_Register!$A$5:$A$205,0)),"(not in register)"))</f>
        <v/>
      </c>
      <c r="H263" s="42"/>
      <c r="I263" s="42"/>
      <c r="J263" s="42"/>
      <c r="K263" s="42"/>
      <c r="L263" s="42"/>
      <c r="M263" s="46"/>
      <c r="N263" s="42"/>
      <c r="O263" s="47" t="str">
        <f aca="false">IF(NOT(ISNUMBER(M263)),"",IFERROR(IF(L263="EUR",M263,IF(L263="IRR",M263/INDEX('Assumptions &amp; FX Reference'!$C$5:$C$25,MATCH(H263,'Assumptions &amp; FX Reference'!$A$5:$A$25,0)),IF(L263="USD",M263*INDEX('Assumptions &amp; FX Reference'!$B$5:$B$25,MATCH(H263,'Assumptions &amp; FX Reference'!$A$5:$A$25,0))/INDEX('Assumptions &amp; FX Reference'!$C$5:$C$25,MATCH(H263,'Assumptions &amp; FX Reference'!$A$5:$A$25,0)),""))),"(FX missing)"))</f>
        <v/>
      </c>
      <c r="P263" s="42"/>
      <c r="Q263" s="42"/>
      <c r="R263" s="42"/>
      <c r="S263" s="42"/>
      <c r="T263" s="42"/>
      <c r="U263" s="42"/>
      <c r="V263" s="42"/>
    </row>
    <row r="264" customFormat="false" ht="15" hidden="false" customHeight="false" outlineLevel="0" collapsed="false">
      <c r="A264" s="42"/>
      <c r="B264" s="42"/>
      <c r="C264" s="45" t="str">
        <f aca="false">IF(B264="","",IFERROR(INDEX('Master Database'!$D$5:$D$600,MATCH(B264,'Master Database'!$A$5:$A$600,0)),"(row not found)"))</f>
        <v/>
      </c>
      <c r="D264" s="45" t="str">
        <f aca="false">IF(B264="","",IFERROR(INDEX('Master Database'!$B$5:$B$600,MATCH(B264,'Master Database'!$A$5:$A$600,0)),"(row not found)"))</f>
        <v/>
      </c>
      <c r="E264" s="42"/>
      <c r="F264" s="45" t="str">
        <f aca="false">IF(E264="","",IFERROR(INDEX(Vendor_Register!$B$5:$B$205,MATCH(E264,Vendor_Register!$A$5:$A$205,0)),"(not in register)"))</f>
        <v/>
      </c>
      <c r="G264" s="45" t="str">
        <f aca="false">IF(E264="","",IFERROR(INDEX(Vendor_Register!$E$5:$E$205,MATCH(E264,Vendor_Register!$A$5:$A$205,0)),"(not in register)"))</f>
        <v/>
      </c>
      <c r="H264" s="42"/>
      <c r="I264" s="42"/>
      <c r="J264" s="42"/>
      <c r="K264" s="42"/>
      <c r="L264" s="42"/>
      <c r="M264" s="46"/>
      <c r="N264" s="42"/>
      <c r="O264" s="47" t="str">
        <f aca="false">IF(NOT(ISNUMBER(M264)),"",IFERROR(IF(L264="EUR",M264,IF(L264="IRR",M264/INDEX('Assumptions &amp; FX Reference'!$C$5:$C$25,MATCH(H264,'Assumptions &amp; FX Reference'!$A$5:$A$25,0)),IF(L264="USD",M264*INDEX('Assumptions &amp; FX Reference'!$B$5:$B$25,MATCH(H264,'Assumptions &amp; FX Reference'!$A$5:$A$25,0))/INDEX('Assumptions &amp; FX Reference'!$C$5:$C$25,MATCH(H264,'Assumptions &amp; FX Reference'!$A$5:$A$25,0)),""))),"(FX missing)"))</f>
        <v/>
      </c>
      <c r="P264" s="42"/>
      <c r="Q264" s="42"/>
      <c r="R264" s="42"/>
      <c r="S264" s="42"/>
      <c r="T264" s="42"/>
      <c r="U264" s="42"/>
      <c r="V264" s="42"/>
    </row>
    <row r="265" customFormat="false" ht="15" hidden="false" customHeight="false" outlineLevel="0" collapsed="false">
      <c r="A265" s="42"/>
      <c r="B265" s="42"/>
      <c r="C265" s="45" t="str">
        <f aca="false">IF(B265="","",IFERROR(INDEX('Master Database'!$D$5:$D$600,MATCH(B265,'Master Database'!$A$5:$A$600,0)),"(row not found)"))</f>
        <v/>
      </c>
      <c r="D265" s="45" t="str">
        <f aca="false">IF(B265="","",IFERROR(INDEX('Master Database'!$B$5:$B$600,MATCH(B265,'Master Database'!$A$5:$A$600,0)),"(row not found)"))</f>
        <v/>
      </c>
      <c r="E265" s="42"/>
      <c r="F265" s="45" t="str">
        <f aca="false">IF(E265="","",IFERROR(INDEX(Vendor_Register!$B$5:$B$205,MATCH(E265,Vendor_Register!$A$5:$A$205,0)),"(not in register)"))</f>
        <v/>
      </c>
      <c r="G265" s="45" t="str">
        <f aca="false">IF(E265="","",IFERROR(INDEX(Vendor_Register!$E$5:$E$205,MATCH(E265,Vendor_Register!$A$5:$A$205,0)),"(not in register)"))</f>
        <v/>
      </c>
      <c r="H265" s="42"/>
      <c r="I265" s="42"/>
      <c r="J265" s="42"/>
      <c r="K265" s="42"/>
      <c r="L265" s="42"/>
      <c r="M265" s="46"/>
      <c r="N265" s="42"/>
      <c r="O265" s="47" t="str">
        <f aca="false">IF(NOT(ISNUMBER(M265)),"",IFERROR(IF(L265="EUR",M265,IF(L265="IRR",M265/INDEX('Assumptions &amp; FX Reference'!$C$5:$C$25,MATCH(H265,'Assumptions &amp; FX Reference'!$A$5:$A$25,0)),IF(L265="USD",M265*INDEX('Assumptions &amp; FX Reference'!$B$5:$B$25,MATCH(H265,'Assumptions &amp; FX Reference'!$A$5:$A$25,0))/INDEX('Assumptions &amp; FX Reference'!$C$5:$C$25,MATCH(H265,'Assumptions &amp; FX Reference'!$A$5:$A$25,0)),""))),"(FX missing)"))</f>
        <v/>
      </c>
      <c r="P265" s="42"/>
      <c r="Q265" s="42"/>
      <c r="R265" s="42"/>
      <c r="S265" s="42"/>
      <c r="T265" s="42"/>
      <c r="U265" s="42"/>
      <c r="V265" s="42"/>
    </row>
    <row r="266" customFormat="false" ht="15" hidden="false" customHeight="false" outlineLevel="0" collapsed="false">
      <c r="A266" s="42"/>
      <c r="B266" s="42"/>
      <c r="C266" s="45" t="str">
        <f aca="false">IF(B266="","",IFERROR(INDEX('Master Database'!$D$5:$D$600,MATCH(B266,'Master Database'!$A$5:$A$600,0)),"(row not found)"))</f>
        <v/>
      </c>
      <c r="D266" s="45" t="str">
        <f aca="false">IF(B266="","",IFERROR(INDEX('Master Database'!$B$5:$B$600,MATCH(B266,'Master Database'!$A$5:$A$600,0)),"(row not found)"))</f>
        <v/>
      </c>
      <c r="E266" s="42"/>
      <c r="F266" s="45" t="str">
        <f aca="false">IF(E266="","",IFERROR(INDEX(Vendor_Register!$B$5:$B$205,MATCH(E266,Vendor_Register!$A$5:$A$205,0)),"(not in register)"))</f>
        <v/>
      </c>
      <c r="G266" s="45" t="str">
        <f aca="false">IF(E266="","",IFERROR(INDEX(Vendor_Register!$E$5:$E$205,MATCH(E266,Vendor_Register!$A$5:$A$205,0)),"(not in register)"))</f>
        <v/>
      </c>
      <c r="H266" s="42"/>
      <c r="I266" s="42"/>
      <c r="J266" s="42"/>
      <c r="K266" s="42"/>
      <c r="L266" s="42"/>
      <c r="M266" s="46"/>
      <c r="N266" s="42"/>
      <c r="O266" s="47" t="str">
        <f aca="false">IF(NOT(ISNUMBER(M266)),"",IFERROR(IF(L266="EUR",M266,IF(L266="IRR",M266/INDEX('Assumptions &amp; FX Reference'!$C$5:$C$25,MATCH(H266,'Assumptions &amp; FX Reference'!$A$5:$A$25,0)),IF(L266="USD",M266*INDEX('Assumptions &amp; FX Reference'!$B$5:$B$25,MATCH(H266,'Assumptions &amp; FX Reference'!$A$5:$A$25,0))/INDEX('Assumptions &amp; FX Reference'!$C$5:$C$25,MATCH(H266,'Assumptions &amp; FX Reference'!$A$5:$A$25,0)),""))),"(FX missing)"))</f>
        <v/>
      </c>
      <c r="P266" s="42"/>
      <c r="Q266" s="42"/>
      <c r="R266" s="42"/>
      <c r="S266" s="42"/>
      <c r="T266" s="42"/>
      <c r="U266" s="42"/>
      <c r="V266" s="42"/>
    </row>
    <row r="267" customFormat="false" ht="15" hidden="false" customHeight="false" outlineLevel="0" collapsed="false">
      <c r="A267" s="42"/>
      <c r="B267" s="42"/>
      <c r="C267" s="45" t="str">
        <f aca="false">IF(B267="","",IFERROR(INDEX('Master Database'!$D$5:$D$600,MATCH(B267,'Master Database'!$A$5:$A$600,0)),"(row not found)"))</f>
        <v/>
      </c>
      <c r="D267" s="45" t="str">
        <f aca="false">IF(B267="","",IFERROR(INDEX('Master Database'!$B$5:$B$600,MATCH(B267,'Master Database'!$A$5:$A$600,0)),"(row not found)"))</f>
        <v/>
      </c>
      <c r="E267" s="42"/>
      <c r="F267" s="45" t="str">
        <f aca="false">IF(E267="","",IFERROR(INDEX(Vendor_Register!$B$5:$B$205,MATCH(E267,Vendor_Register!$A$5:$A$205,0)),"(not in register)"))</f>
        <v/>
      </c>
      <c r="G267" s="45" t="str">
        <f aca="false">IF(E267="","",IFERROR(INDEX(Vendor_Register!$E$5:$E$205,MATCH(E267,Vendor_Register!$A$5:$A$205,0)),"(not in register)"))</f>
        <v/>
      </c>
      <c r="H267" s="42"/>
      <c r="I267" s="42"/>
      <c r="J267" s="42"/>
      <c r="K267" s="42"/>
      <c r="L267" s="42"/>
      <c r="M267" s="46"/>
      <c r="N267" s="42"/>
      <c r="O267" s="47" t="str">
        <f aca="false">IF(NOT(ISNUMBER(M267)),"",IFERROR(IF(L267="EUR",M267,IF(L267="IRR",M267/INDEX('Assumptions &amp; FX Reference'!$C$5:$C$25,MATCH(H267,'Assumptions &amp; FX Reference'!$A$5:$A$25,0)),IF(L267="USD",M267*INDEX('Assumptions &amp; FX Reference'!$B$5:$B$25,MATCH(H267,'Assumptions &amp; FX Reference'!$A$5:$A$25,0))/INDEX('Assumptions &amp; FX Reference'!$C$5:$C$25,MATCH(H267,'Assumptions &amp; FX Reference'!$A$5:$A$25,0)),""))),"(FX missing)"))</f>
        <v/>
      </c>
      <c r="P267" s="42"/>
      <c r="Q267" s="42"/>
      <c r="R267" s="42"/>
      <c r="S267" s="42"/>
      <c r="T267" s="42"/>
      <c r="U267" s="42"/>
      <c r="V267" s="42"/>
    </row>
    <row r="268" customFormat="false" ht="15" hidden="false" customHeight="false" outlineLevel="0" collapsed="false">
      <c r="A268" s="42"/>
      <c r="B268" s="42"/>
      <c r="C268" s="45" t="str">
        <f aca="false">IF(B268="","",IFERROR(INDEX('Master Database'!$D$5:$D$600,MATCH(B268,'Master Database'!$A$5:$A$600,0)),"(row not found)"))</f>
        <v/>
      </c>
      <c r="D268" s="45" t="str">
        <f aca="false">IF(B268="","",IFERROR(INDEX('Master Database'!$B$5:$B$600,MATCH(B268,'Master Database'!$A$5:$A$600,0)),"(row not found)"))</f>
        <v/>
      </c>
      <c r="E268" s="42"/>
      <c r="F268" s="45" t="str">
        <f aca="false">IF(E268="","",IFERROR(INDEX(Vendor_Register!$B$5:$B$205,MATCH(E268,Vendor_Register!$A$5:$A$205,0)),"(not in register)"))</f>
        <v/>
      </c>
      <c r="G268" s="45" t="str">
        <f aca="false">IF(E268="","",IFERROR(INDEX(Vendor_Register!$E$5:$E$205,MATCH(E268,Vendor_Register!$A$5:$A$205,0)),"(not in register)"))</f>
        <v/>
      </c>
      <c r="H268" s="42"/>
      <c r="I268" s="42"/>
      <c r="J268" s="42"/>
      <c r="K268" s="42"/>
      <c r="L268" s="42"/>
      <c r="M268" s="46"/>
      <c r="N268" s="42"/>
      <c r="O268" s="47" t="str">
        <f aca="false">IF(NOT(ISNUMBER(M268)),"",IFERROR(IF(L268="EUR",M268,IF(L268="IRR",M268/INDEX('Assumptions &amp; FX Reference'!$C$5:$C$25,MATCH(H268,'Assumptions &amp; FX Reference'!$A$5:$A$25,0)),IF(L268="USD",M268*INDEX('Assumptions &amp; FX Reference'!$B$5:$B$25,MATCH(H268,'Assumptions &amp; FX Reference'!$A$5:$A$25,0))/INDEX('Assumptions &amp; FX Reference'!$C$5:$C$25,MATCH(H268,'Assumptions &amp; FX Reference'!$A$5:$A$25,0)),""))),"(FX missing)"))</f>
        <v/>
      </c>
      <c r="P268" s="42"/>
      <c r="Q268" s="42"/>
      <c r="R268" s="42"/>
      <c r="S268" s="42"/>
      <c r="T268" s="42"/>
      <c r="U268" s="42"/>
      <c r="V268" s="42"/>
    </row>
    <row r="269" customFormat="false" ht="15" hidden="false" customHeight="false" outlineLevel="0" collapsed="false">
      <c r="A269" s="42"/>
      <c r="B269" s="42"/>
      <c r="C269" s="45" t="str">
        <f aca="false">IF(B269="","",IFERROR(INDEX('Master Database'!$D$5:$D$600,MATCH(B269,'Master Database'!$A$5:$A$600,0)),"(row not found)"))</f>
        <v/>
      </c>
      <c r="D269" s="45" t="str">
        <f aca="false">IF(B269="","",IFERROR(INDEX('Master Database'!$B$5:$B$600,MATCH(B269,'Master Database'!$A$5:$A$600,0)),"(row not found)"))</f>
        <v/>
      </c>
      <c r="E269" s="42"/>
      <c r="F269" s="45" t="str">
        <f aca="false">IF(E269="","",IFERROR(INDEX(Vendor_Register!$B$5:$B$205,MATCH(E269,Vendor_Register!$A$5:$A$205,0)),"(not in register)"))</f>
        <v/>
      </c>
      <c r="G269" s="45" t="str">
        <f aca="false">IF(E269="","",IFERROR(INDEX(Vendor_Register!$E$5:$E$205,MATCH(E269,Vendor_Register!$A$5:$A$205,0)),"(not in register)"))</f>
        <v/>
      </c>
      <c r="H269" s="42"/>
      <c r="I269" s="42"/>
      <c r="J269" s="42"/>
      <c r="K269" s="42"/>
      <c r="L269" s="42"/>
      <c r="M269" s="46"/>
      <c r="N269" s="42"/>
      <c r="O269" s="47" t="str">
        <f aca="false">IF(NOT(ISNUMBER(M269)),"",IFERROR(IF(L269="EUR",M269,IF(L269="IRR",M269/INDEX('Assumptions &amp; FX Reference'!$C$5:$C$25,MATCH(H269,'Assumptions &amp; FX Reference'!$A$5:$A$25,0)),IF(L269="USD",M269*INDEX('Assumptions &amp; FX Reference'!$B$5:$B$25,MATCH(H269,'Assumptions &amp; FX Reference'!$A$5:$A$25,0))/INDEX('Assumptions &amp; FX Reference'!$C$5:$C$25,MATCH(H269,'Assumptions &amp; FX Reference'!$A$5:$A$25,0)),""))),"(FX missing)"))</f>
        <v/>
      </c>
      <c r="P269" s="42"/>
      <c r="Q269" s="42"/>
      <c r="R269" s="42"/>
      <c r="S269" s="42"/>
      <c r="T269" s="42"/>
      <c r="U269" s="42"/>
      <c r="V269" s="42"/>
    </row>
    <row r="270" customFormat="false" ht="15" hidden="false" customHeight="false" outlineLevel="0" collapsed="false">
      <c r="A270" s="42"/>
      <c r="B270" s="42"/>
      <c r="C270" s="45" t="str">
        <f aca="false">IF(B270="","",IFERROR(INDEX('Master Database'!$D$5:$D$600,MATCH(B270,'Master Database'!$A$5:$A$600,0)),"(row not found)"))</f>
        <v/>
      </c>
      <c r="D270" s="45" t="str">
        <f aca="false">IF(B270="","",IFERROR(INDEX('Master Database'!$B$5:$B$600,MATCH(B270,'Master Database'!$A$5:$A$600,0)),"(row not found)"))</f>
        <v/>
      </c>
      <c r="E270" s="42"/>
      <c r="F270" s="45" t="str">
        <f aca="false">IF(E270="","",IFERROR(INDEX(Vendor_Register!$B$5:$B$205,MATCH(E270,Vendor_Register!$A$5:$A$205,0)),"(not in register)"))</f>
        <v/>
      </c>
      <c r="G270" s="45" t="str">
        <f aca="false">IF(E270="","",IFERROR(INDEX(Vendor_Register!$E$5:$E$205,MATCH(E270,Vendor_Register!$A$5:$A$205,0)),"(not in register)"))</f>
        <v/>
      </c>
      <c r="H270" s="42"/>
      <c r="I270" s="42"/>
      <c r="J270" s="42"/>
      <c r="K270" s="42"/>
      <c r="L270" s="42"/>
      <c r="M270" s="46"/>
      <c r="N270" s="42"/>
      <c r="O270" s="47" t="str">
        <f aca="false">IF(NOT(ISNUMBER(M270)),"",IFERROR(IF(L270="EUR",M270,IF(L270="IRR",M270/INDEX('Assumptions &amp; FX Reference'!$C$5:$C$25,MATCH(H270,'Assumptions &amp; FX Reference'!$A$5:$A$25,0)),IF(L270="USD",M270*INDEX('Assumptions &amp; FX Reference'!$B$5:$B$25,MATCH(H270,'Assumptions &amp; FX Reference'!$A$5:$A$25,0))/INDEX('Assumptions &amp; FX Reference'!$C$5:$C$25,MATCH(H270,'Assumptions &amp; FX Reference'!$A$5:$A$25,0)),""))),"(FX missing)"))</f>
        <v/>
      </c>
      <c r="P270" s="42"/>
      <c r="Q270" s="42"/>
      <c r="R270" s="42"/>
      <c r="S270" s="42"/>
      <c r="T270" s="42"/>
      <c r="U270" s="42"/>
      <c r="V270" s="42"/>
    </row>
    <row r="271" customFormat="false" ht="15" hidden="false" customHeight="false" outlineLevel="0" collapsed="false">
      <c r="A271" s="42"/>
      <c r="B271" s="42"/>
      <c r="C271" s="45" t="str">
        <f aca="false">IF(B271="","",IFERROR(INDEX('Master Database'!$D$5:$D$600,MATCH(B271,'Master Database'!$A$5:$A$600,0)),"(row not found)"))</f>
        <v/>
      </c>
      <c r="D271" s="45" t="str">
        <f aca="false">IF(B271="","",IFERROR(INDEX('Master Database'!$B$5:$B$600,MATCH(B271,'Master Database'!$A$5:$A$600,0)),"(row not found)"))</f>
        <v/>
      </c>
      <c r="E271" s="42"/>
      <c r="F271" s="45" t="str">
        <f aca="false">IF(E271="","",IFERROR(INDEX(Vendor_Register!$B$5:$B$205,MATCH(E271,Vendor_Register!$A$5:$A$205,0)),"(not in register)"))</f>
        <v/>
      </c>
      <c r="G271" s="45" t="str">
        <f aca="false">IF(E271="","",IFERROR(INDEX(Vendor_Register!$E$5:$E$205,MATCH(E271,Vendor_Register!$A$5:$A$205,0)),"(not in register)"))</f>
        <v/>
      </c>
      <c r="H271" s="42"/>
      <c r="I271" s="42"/>
      <c r="J271" s="42"/>
      <c r="K271" s="42"/>
      <c r="L271" s="42"/>
      <c r="M271" s="46"/>
      <c r="N271" s="42"/>
      <c r="O271" s="47" t="str">
        <f aca="false">IF(NOT(ISNUMBER(M271)),"",IFERROR(IF(L271="EUR",M271,IF(L271="IRR",M271/INDEX('Assumptions &amp; FX Reference'!$C$5:$C$25,MATCH(H271,'Assumptions &amp; FX Reference'!$A$5:$A$25,0)),IF(L271="USD",M271*INDEX('Assumptions &amp; FX Reference'!$B$5:$B$25,MATCH(H271,'Assumptions &amp; FX Reference'!$A$5:$A$25,0))/INDEX('Assumptions &amp; FX Reference'!$C$5:$C$25,MATCH(H271,'Assumptions &amp; FX Reference'!$A$5:$A$25,0)),""))),"(FX missing)"))</f>
        <v/>
      </c>
      <c r="P271" s="42"/>
      <c r="Q271" s="42"/>
      <c r="R271" s="42"/>
      <c r="S271" s="42"/>
      <c r="T271" s="42"/>
      <c r="U271" s="42"/>
      <c r="V271" s="42"/>
    </row>
    <row r="272" customFormat="false" ht="15" hidden="false" customHeight="false" outlineLevel="0" collapsed="false">
      <c r="A272" s="42"/>
      <c r="B272" s="42"/>
      <c r="C272" s="45" t="str">
        <f aca="false">IF(B272="","",IFERROR(INDEX('Master Database'!$D$5:$D$600,MATCH(B272,'Master Database'!$A$5:$A$600,0)),"(row not found)"))</f>
        <v/>
      </c>
      <c r="D272" s="45" t="str">
        <f aca="false">IF(B272="","",IFERROR(INDEX('Master Database'!$B$5:$B$600,MATCH(B272,'Master Database'!$A$5:$A$600,0)),"(row not found)"))</f>
        <v/>
      </c>
      <c r="E272" s="42"/>
      <c r="F272" s="45" t="str">
        <f aca="false">IF(E272="","",IFERROR(INDEX(Vendor_Register!$B$5:$B$205,MATCH(E272,Vendor_Register!$A$5:$A$205,0)),"(not in register)"))</f>
        <v/>
      </c>
      <c r="G272" s="45" t="str">
        <f aca="false">IF(E272="","",IFERROR(INDEX(Vendor_Register!$E$5:$E$205,MATCH(E272,Vendor_Register!$A$5:$A$205,0)),"(not in register)"))</f>
        <v/>
      </c>
      <c r="H272" s="42"/>
      <c r="I272" s="42"/>
      <c r="J272" s="42"/>
      <c r="K272" s="42"/>
      <c r="L272" s="42"/>
      <c r="M272" s="46"/>
      <c r="N272" s="42"/>
      <c r="O272" s="47" t="str">
        <f aca="false">IF(NOT(ISNUMBER(M272)),"",IFERROR(IF(L272="EUR",M272,IF(L272="IRR",M272/INDEX('Assumptions &amp; FX Reference'!$C$5:$C$25,MATCH(H272,'Assumptions &amp; FX Reference'!$A$5:$A$25,0)),IF(L272="USD",M272*INDEX('Assumptions &amp; FX Reference'!$B$5:$B$25,MATCH(H272,'Assumptions &amp; FX Reference'!$A$5:$A$25,0))/INDEX('Assumptions &amp; FX Reference'!$C$5:$C$25,MATCH(H272,'Assumptions &amp; FX Reference'!$A$5:$A$25,0)),""))),"(FX missing)"))</f>
        <v/>
      </c>
      <c r="P272" s="42"/>
      <c r="Q272" s="42"/>
      <c r="R272" s="42"/>
      <c r="S272" s="42"/>
      <c r="T272" s="42"/>
      <c r="U272" s="42"/>
      <c r="V272" s="42"/>
    </row>
    <row r="273" customFormat="false" ht="15" hidden="false" customHeight="false" outlineLevel="0" collapsed="false">
      <c r="A273" s="42"/>
      <c r="B273" s="42"/>
      <c r="C273" s="45" t="str">
        <f aca="false">IF(B273="","",IFERROR(INDEX('Master Database'!$D$5:$D$600,MATCH(B273,'Master Database'!$A$5:$A$600,0)),"(row not found)"))</f>
        <v/>
      </c>
      <c r="D273" s="45" t="str">
        <f aca="false">IF(B273="","",IFERROR(INDEX('Master Database'!$B$5:$B$600,MATCH(B273,'Master Database'!$A$5:$A$600,0)),"(row not found)"))</f>
        <v/>
      </c>
      <c r="E273" s="42"/>
      <c r="F273" s="45" t="str">
        <f aca="false">IF(E273="","",IFERROR(INDEX(Vendor_Register!$B$5:$B$205,MATCH(E273,Vendor_Register!$A$5:$A$205,0)),"(not in register)"))</f>
        <v/>
      </c>
      <c r="G273" s="45" t="str">
        <f aca="false">IF(E273="","",IFERROR(INDEX(Vendor_Register!$E$5:$E$205,MATCH(E273,Vendor_Register!$A$5:$A$205,0)),"(not in register)"))</f>
        <v/>
      </c>
      <c r="H273" s="42"/>
      <c r="I273" s="42"/>
      <c r="J273" s="42"/>
      <c r="K273" s="42"/>
      <c r="L273" s="42"/>
      <c r="M273" s="46"/>
      <c r="N273" s="42"/>
      <c r="O273" s="47" t="str">
        <f aca="false">IF(NOT(ISNUMBER(M273)),"",IFERROR(IF(L273="EUR",M273,IF(L273="IRR",M273/INDEX('Assumptions &amp; FX Reference'!$C$5:$C$25,MATCH(H273,'Assumptions &amp; FX Reference'!$A$5:$A$25,0)),IF(L273="USD",M273*INDEX('Assumptions &amp; FX Reference'!$B$5:$B$25,MATCH(H273,'Assumptions &amp; FX Reference'!$A$5:$A$25,0))/INDEX('Assumptions &amp; FX Reference'!$C$5:$C$25,MATCH(H273,'Assumptions &amp; FX Reference'!$A$5:$A$25,0)),""))),"(FX missing)"))</f>
        <v/>
      </c>
      <c r="P273" s="42"/>
      <c r="Q273" s="42"/>
      <c r="R273" s="42"/>
      <c r="S273" s="42"/>
      <c r="T273" s="42"/>
      <c r="U273" s="42"/>
      <c r="V273" s="42"/>
    </row>
    <row r="274" customFormat="false" ht="15" hidden="false" customHeight="false" outlineLevel="0" collapsed="false">
      <c r="A274" s="42"/>
      <c r="B274" s="42"/>
      <c r="C274" s="45" t="str">
        <f aca="false">IF(B274="","",IFERROR(INDEX('Master Database'!$D$5:$D$600,MATCH(B274,'Master Database'!$A$5:$A$600,0)),"(row not found)"))</f>
        <v/>
      </c>
      <c r="D274" s="45" t="str">
        <f aca="false">IF(B274="","",IFERROR(INDEX('Master Database'!$B$5:$B$600,MATCH(B274,'Master Database'!$A$5:$A$600,0)),"(row not found)"))</f>
        <v/>
      </c>
      <c r="E274" s="42"/>
      <c r="F274" s="45" t="str">
        <f aca="false">IF(E274="","",IFERROR(INDEX(Vendor_Register!$B$5:$B$205,MATCH(E274,Vendor_Register!$A$5:$A$205,0)),"(not in register)"))</f>
        <v/>
      </c>
      <c r="G274" s="45" t="str">
        <f aca="false">IF(E274="","",IFERROR(INDEX(Vendor_Register!$E$5:$E$205,MATCH(E274,Vendor_Register!$A$5:$A$205,0)),"(not in register)"))</f>
        <v/>
      </c>
      <c r="H274" s="42"/>
      <c r="I274" s="42"/>
      <c r="J274" s="42"/>
      <c r="K274" s="42"/>
      <c r="L274" s="42"/>
      <c r="M274" s="46"/>
      <c r="N274" s="42"/>
      <c r="O274" s="47" t="str">
        <f aca="false">IF(NOT(ISNUMBER(M274)),"",IFERROR(IF(L274="EUR",M274,IF(L274="IRR",M274/INDEX('Assumptions &amp; FX Reference'!$C$5:$C$25,MATCH(H274,'Assumptions &amp; FX Reference'!$A$5:$A$25,0)),IF(L274="USD",M274*INDEX('Assumptions &amp; FX Reference'!$B$5:$B$25,MATCH(H274,'Assumptions &amp; FX Reference'!$A$5:$A$25,0))/INDEX('Assumptions &amp; FX Reference'!$C$5:$C$25,MATCH(H274,'Assumptions &amp; FX Reference'!$A$5:$A$25,0)),""))),"(FX missing)"))</f>
        <v/>
      </c>
      <c r="P274" s="42"/>
      <c r="Q274" s="42"/>
      <c r="R274" s="42"/>
      <c r="S274" s="42"/>
      <c r="T274" s="42"/>
      <c r="U274" s="42"/>
      <c r="V274" s="42"/>
    </row>
    <row r="275" customFormat="false" ht="15" hidden="false" customHeight="false" outlineLevel="0" collapsed="false">
      <c r="A275" s="42"/>
      <c r="B275" s="42"/>
      <c r="C275" s="45" t="str">
        <f aca="false">IF(B275="","",IFERROR(INDEX('Master Database'!$D$5:$D$600,MATCH(B275,'Master Database'!$A$5:$A$600,0)),"(row not found)"))</f>
        <v/>
      </c>
      <c r="D275" s="45" t="str">
        <f aca="false">IF(B275="","",IFERROR(INDEX('Master Database'!$B$5:$B$600,MATCH(B275,'Master Database'!$A$5:$A$600,0)),"(row not found)"))</f>
        <v/>
      </c>
      <c r="E275" s="42"/>
      <c r="F275" s="45" t="str">
        <f aca="false">IF(E275="","",IFERROR(INDEX(Vendor_Register!$B$5:$B$205,MATCH(E275,Vendor_Register!$A$5:$A$205,0)),"(not in register)"))</f>
        <v/>
      </c>
      <c r="G275" s="45" t="str">
        <f aca="false">IF(E275="","",IFERROR(INDEX(Vendor_Register!$E$5:$E$205,MATCH(E275,Vendor_Register!$A$5:$A$205,0)),"(not in register)"))</f>
        <v/>
      </c>
      <c r="H275" s="42"/>
      <c r="I275" s="42"/>
      <c r="J275" s="42"/>
      <c r="K275" s="42"/>
      <c r="L275" s="42"/>
      <c r="M275" s="46"/>
      <c r="N275" s="42"/>
      <c r="O275" s="47" t="str">
        <f aca="false">IF(NOT(ISNUMBER(M275)),"",IFERROR(IF(L275="EUR",M275,IF(L275="IRR",M275/INDEX('Assumptions &amp; FX Reference'!$C$5:$C$25,MATCH(H275,'Assumptions &amp; FX Reference'!$A$5:$A$25,0)),IF(L275="USD",M275*INDEX('Assumptions &amp; FX Reference'!$B$5:$B$25,MATCH(H275,'Assumptions &amp; FX Reference'!$A$5:$A$25,0))/INDEX('Assumptions &amp; FX Reference'!$C$5:$C$25,MATCH(H275,'Assumptions &amp; FX Reference'!$A$5:$A$25,0)),""))),"(FX missing)"))</f>
        <v/>
      </c>
      <c r="P275" s="42"/>
      <c r="Q275" s="42"/>
      <c r="R275" s="42"/>
      <c r="S275" s="42"/>
      <c r="T275" s="42"/>
      <c r="U275" s="42"/>
      <c r="V275" s="42"/>
    </row>
    <row r="276" customFormat="false" ht="15" hidden="false" customHeight="false" outlineLevel="0" collapsed="false">
      <c r="A276" s="42"/>
      <c r="B276" s="42"/>
      <c r="C276" s="45" t="str">
        <f aca="false">IF(B276="","",IFERROR(INDEX('Master Database'!$D$5:$D$600,MATCH(B276,'Master Database'!$A$5:$A$600,0)),"(row not found)"))</f>
        <v/>
      </c>
      <c r="D276" s="45" t="str">
        <f aca="false">IF(B276="","",IFERROR(INDEX('Master Database'!$B$5:$B$600,MATCH(B276,'Master Database'!$A$5:$A$600,0)),"(row not found)"))</f>
        <v/>
      </c>
      <c r="E276" s="42"/>
      <c r="F276" s="45" t="str">
        <f aca="false">IF(E276="","",IFERROR(INDEX(Vendor_Register!$B$5:$B$205,MATCH(E276,Vendor_Register!$A$5:$A$205,0)),"(not in register)"))</f>
        <v/>
      </c>
      <c r="G276" s="45" t="str">
        <f aca="false">IF(E276="","",IFERROR(INDEX(Vendor_Register!$E$5:$E$205,MATCH(E276,Vendor_Register!$A$5:$A$205,0)),"(not in register)"))</f>
        <v/>
      </c>
      <c r="H276" s="42"/>
      <c r="I276" s="42"/>
      <c r="J276" s="42"/>
      <c r="K276" s="42"/>
      <c r="L276" s="42"/>
      <c r="M276" s="46"/>
      <c r="N276" s="42"/>
      <c r="O276" s="47" t="str">
        <f aca="false">IF(NOT(ISNUMBER(M276)),"",IFERROR(IF(L276="EUR",M276,IF(L276="IRR",M276/INDEX('Assumptions &amp; FX Reference'!$C$5:$C$25,MATCH(H276,'Assumptions &amp; FX Reference'!$A$5:$A$25,0)),IF(L276="USD",M276*INDEX('Assumptions &amp; FX Reference'!$B$5:$B$25,MATCH(H276,'Assumptions &amp; FX Reference'!$A$5:$A$25,0))/INDEX('Assumptions &amp; FX Reference'!$C$5:$C$25,MATCH(H276,'Assumptions &amp; FX Reference'!$A$5:$A$25,0)),""))),"(FX missing)"))</f>
        <v/>
      </c>
      <c r="P276" s="42"/>
      <c r="Q276" s="42"/>
      <c r="R276" s="42"/>
      <c r="S276" s="42"/>
      <c r="T276" s="42"/>
      <c r="U276" s="42"/>
      <c r="V276" s="42"/>
    </row>
    <row r="277" customFormat="false" ht="15" hidden="false" customHeight="false" outlineLevel="0" collapsed="false">
      <c r="A277" s="42"/>
      <c r="B277" s="42"/>
      <c r="C277" s="45" t="str">
        <f aca="false">IF(B277="","",IFERROR(INDEX('Master Database'!$D$5:$D$600,MATCH(B277,'Master Database'!$A$5:$A$600,0)),"(row not found)"))</f>
        <v/>
      </c>
      <c r="D277" s="45" t="str">
        <f aca="false">IF(B277="","",IFERROR(INDEX('Master Database'!$B$5:$B$600,MATCH(B277,'Master Database'!$A$5:$A$600,0)),"(row not found)"))</f>
        <v/>
      </c>
      <c r="E277" s="42"/>
      <c r="F277" s="45" t="str">
        <f aca="false">IF(E277="","",IFERROR(INDEX(Vendor_Register!$B$5:$B$205,MATCH(E277,Vendor_Register!$A$5:$A$205,0)),"(not in register)"))</f>
        <v/>
      </c>
      <c r="G277" s="45" t="str">
        <f aca="false">IF(E277="","",IFERROR(INDEX(Vendor_Register!$E$5:$E$205,MATCH(E277,Vendor_Register!$A$5:$A$205,0)),"(not in register)"))</f>
        <v/>
      </c>
      <c r="H277" s="42"/>
      <c r="I277" s="42"/>
      <c r="J277" s="42"/>
      <c r="K277" s="42"/>
      <c r="L277" s="42"/>
      <c r="M277" s="46"/>
      <c r="N277" s="42"/>
      <c r="O277" s="47" t="str">
        <f aca="false">IF(NOT(ISNUMBER(M277)),"",IFERROR(IF(L277="EUR",M277,IF(L277="IRR",M277/INDEX('Assumptions &amp; FX Reference'!$C$5:$C$25,MATCH(H277,'Assumptions &amp; FX Reference'!$A$5:$A$25,0)),IF(L277="USD",M277*INDEX('Assumptions &amp; FX Reference'!$B$5:$B$25,MATCH(H277,'Assumptions &amp; FX Reference'!$A$5:$A$25,0))/INDEX('Assumptions &amp; FX Reference'!$C$5:$C$25,MATCH(H277,'Assumptions &amp; FX Reference'!$A$5:$A$25,0)),""))),"(FX missing)"))</f>
        <v/>
      </c>
      <c r="P277" s="42"/>
      <c r="Q277" s="42"/>
      <c r="R277" s="42"/>
      <c r="S277" s="42"/>
      <c r="T277" s="42"/>
      <c r="U277" s="42"/>
      <c r="V277" s="42"/>
    </row>
    <row r="278" customFormat="false" ht="15" hidden="false" customHeight="false" outlineLevel="0" collapsed="false">
      <c r="A278" s="42"/>
      <c r="B278" s="42"/>
      <c r="C278" s="45" t="str">
        <f aca="false">IF(B278="","",IFERROR(INDEX('Master Database'!$D$5:$D$600,MATCH(B278,'Master Database'!$A$5:$A$600,0)),"(row not found)"))</f>
        <v/>
      </c>
      <c r="D278" s="45" t="str">
        <f aca="false">IF(B278="","",IFERROR(INDEX('Master Database'!$B$5:$B$600,MATCH(B278,'Master Database'!$A$5:$A$600,0)),"(row not found)"))</f>
        <v/>
      </c>
      <c r="E278" s="42"/>
      <c r="F278" s="45" t="str">
        <f aca="false">IF(E278="","",IFERROR(INDEX(Vendor_Register!$B$5:$B$205,MATCH(E278,Vendor_Register!$A$5:$A$205,0)),"(not in register)"))</f>
        <v/>
      </c>
      <c r="G278" s="45" t="str">
        <f aca="false">IF(E278="","",IFERROR(INDEX(Vendor_Register!$E$5:$E$205,MATCH(E278,Vendor_Register!$A$5:$A$205,0)),"(not in register)"))</f>
        <v/>
      </c>
      <c r="H278" s="42"/>
      <c r="I278" s="42"/>
      <c r="J278" s="42"/>
      <c r="K278" s="42"/>
      <c r="L278" s="42"/>
      <c r="M278" s="46"/>
      <c r="N278" s="42"/>
      <c r="O278" s="47" t="str">
        <f aca="false">IF(NOT(ISNUMBER(M278)),"",IFERROR(IF(L278="EUR",M278,IF(L278="IRR",M278/INDEX('Assumptions &amp; FX Reference'!$C$5:$C$25,MATCH(H278,'Assumptions &amp; FX Reference'!$A$5:$A$25,0)),IF(L278="USD",M278*INDEX('Assumptions &amp; FX Reference'!$B$5:$B$25,MATCH(H278,'Assumptions &amp; FX Reference'!$A$5:$A$25,0))/INDEX('Assumptions &amp; FX Reference'!$C$5:$C$25,MATCH(H278,'Assumptions &amp; FX Reference'!$A$5:$A$25,0)),""))),"(FX missing)"))</f>
        <v/>
      </c>
      <c r="P278" s="42"/>
      <c r="Q278" s="42"/>
      <c r="R278" s="42"/>
      <c r="S278" s="42"/>
      <c r="T278" s="42"/>
      <c r="U278" s="42"/>
      <c r="V278" s="42"/>
    </row>
    <row r="279" customFormat="false" ht="15" hidden="false" customHeight="false" outlineLevel="0" collapsed="false">
      <c r="A279" s="42"/>
      <c r="B279" s="42"/>
      <c r="C279" s="45" t="str">
        <f aca="false">IF(B279="","",IFERROR(INDEX('Master Database'!$D$5:$D$600,MATCH(B279,'Master Database'!$A$5:$A$600,0)),"(row not found)"))</f>
        <v/>
      </c>
      <c r="D279" s="45" t="str">
        <f aca="false">IF(B279="","",IFERROR(INDEX('Master Database'!$B$5:$B$600,MATCH(B279,'Master Database'!$A$5:$A$600,0)),"(row not found)"))</f>
        <v/>
      </c>
      <c r="E279" s="42"/>
      <c r="F279" s="45" t="str">
        <f aca="false">IF(E279="","",IFERROR(INDEX(Vendor_Register!$B$5:$B$205,MATCH(E279,Vendor_Register!$A$5:$A$205,0)),"(not in register)"))</f>
        <v/>
      </c>
      <c r="G279" s="45" t="str">
        <f aca="false">IF(E279="","",IFERROR(INDEX(Vendor_Register!$E$5:$E$205,MATCH(E279,Vendor_Register!$A$5:$A$205,0)),"(not in register)"))</f>
        <v/>
      </c>
      <c r="H279" s="42"/>
      <c r="I279" s="42"/>
      <c r="J279" s="42"/>
      <c r="K279" s="42"/>
      <c r="L279" s="42"/>
      <c r="M279" s="46"/>
      <c r="N279" s="42"/>
      <c r="O279" s="47" t="str">
        <f aca="false">IF(NOT(ISNUMBER(M279)),"",IFERROR(IF(L279="EUR",M279,IF(L279="IRR",M279/INDEX('Assumptions &amp; FX Reference'!$C$5:$C$25,MATCH(H279,'Assumptions &amp; FX Reference'!$A$5:$A$25,0)),IF(L279="USD",M279*INDEX('Assumptions &amp; FX Reference'!$B$5:$B$25,MATCH(H279,'Assumptions &amp; FX Reference'!$A$5:$A$25,0))/INDEX('Assumptions &amp; FX Reference'!$C$5:$C$25,MATCH(H279,'Assumptions &amp; FX Reference'!$A$5:$A$25,0)),""))),"(FX missing)"))</f>
        <v/>
      </c>
      <c r="P279" s="42"/>
      <c r="Q279" s="42"/>
      <c r="R279" s="42"/>
      <c r="S279" s="42"/>
      <c r="T279" s="42"/>
      <c r="U279" s="42"/>
      <c r="V279" s="42"/>
    </row>
    <row r="280" customFormat="false" ht="15" hidden="false" customHeight="false" outlineLevel="0" collapsed="false">
      <c r="A280" s="42"/>
      <c r="B280" s="42"/>
      <c r="C280" s="45" t="str">
        <f aca="false">IF(B280="","",IFERROR(INDEX('Master Database'!$D$5:$D$600,MATCH(B280,'Master Database'!$A$5:$A$600,0)),"(row not found)"))</f>
        <v/>
      </c>
      <c r="D280" s="45" t="str">
        <f aca="false">IF(B280="","",IFERROR(INDEX('Master Database'!$B$5:$B$600,MATCH(B280,'Master Database'!$A$5:$A$600,0)),"(row not found)"))</f>
        <v/>
      </c>
      <c r="E280" s="42"/>
      <c r="F280" s="45" t="str">
        <f aca="false">IF(E280="","",IFERROR(INDEX(Vendor_Register!$B$5:$B$205,MATCH(E280,Vendor_Register!$A$5:$A$205,0)),"(not in register)"))</f>
        <v/>
      </c>
      <c r="G280" s="45" t="str">
        <f aca="false">IF(E280="","",IFERROR(INDEX(Vendor_Register!$E$5:$E$205,MATCH(E280,Vendor_Register!$A$5:$A$205,0)),"(not in register)"))</f>
        <v/>
      </c>
      <c r="H280" s="42"/>
      <c r="I280" s="42"/>
      <c r="J280" s="42"/>
      <c r="K280" s="42"/>
      <c r="L280" s="42"/>
      <c r="M280" s="46"/>
      <c r="N280" s="42"/>
      <c r="O280" s="47" t="str">
        <f aca="false">IF(NOT(ISNUMBER(M280)),"",IFERROR(IF(L280="EUR",M280,IF(L280="IRR",M280/INDEX('Assumptions &amp; FX Reference'!$C$5:$C$25,MATCH(H280,'Assumptions &amp; FX Reference'!$A$5:$A$25,0)),IF(L280="USD",M280*INDEX('Assumptions &amp; FX Reference'!$B$5:$B$25,MATCH(H280,'Assumptions &amp; FX Reference'!$A$5:$A$25,0))/INDEX('Assumptions &amp; FX Reference'!$C$5:$C$25,MATCH(H280,'Assumptions &amp; FX Reference'!$A$5:$A$25,0)),""))),"(FX missing)"))</f>
        <v/>
      </c>
      <c r="P280" s="42"/>
      <c r="Q280" s="42"/>
      <c r="R280" s="42"/>
      <c r="S280" s="42"/>
      <c r="T280" s="42"/>
      <c r="U280" s="42"/>
      <c r="V280" s="42"/>
    </row>
    <row r="281" customFormat="false" ht="15" hidden="false" customHeight="false" outlineLevel="0" collapsed="false">
      <c r="A281" s="42"/>
      <c r="B281" s="42"/>
      <c r="C281" s="45" t="str">
        <f aca="false">IF(B281="","",IFERROR(INDEX('Master Database'!$D$5:$D$600,MATCH(B281,'Master Database'!$A$5:$A$600,0)),"(row not found)"))</f>
        <v/>
      </c>
      <c r="D281" s="45" t="str">
        <f aca="false">IF(B281="","",IFERROR(INDEX('Master Database'!$B$5:$B$600,MATCH(B281,'Master Database'!$A$5:$A$600,0)),"(row not found)"))</f>
        <v/>
      </c>
      <c r="E281" s="42"/>
      <c r="F281" s="45" t="str">
        <f aca="false">IF(E281="","",IFERROR(INDEX(Vendor_Register!$B$5:$B$205,MATCH(E281,Vendor_Register!$A$5:$A$205,0)),"(not in register)"))</f>
        <v/>
      </c>
      <c r="G281" s="45" t="str">
        <f aca="false">IF(E281="","",IFERROR(INDEX(Vendor_Register!$E$5:$E$205,MATCH(E281,Vendor_Register!$A$5:$A$205,0)),"(not in register)"))</f>
        <v/>
      </c>
      <c r="H281" s="42"/>
      <c r="I281" s="42"/>
      <c r="J281" s="42"/>
      <c r="K281" s="42"/>
      <c r="L281" s="42"/>
      <c r="M281" s="46"/>
      <c r="N281" s="42"/>
      <c r="O281" s="47" t="str">
        <f aca="false">IF(NOT(ISNUMBER(M281)),"",IFERROR(IF(L281="EUR",M281,IF(L281="IRR",M281/INDEX('Assumptions &amp; FX Reference'!$C$5:$C$25,MATCH(H281,'Assumptions &amp; FX Reference'!$A$5:$A$25,0)),IF(L281="USD",M281*INDEX('Assumptions &amp; FX Reference'!$B$5:$B$25,MATCH(H281,'Assumptions &amp; FX Reference'!$A$5:$A$25,0))/INDEX('Assumptions &amp; FX Reference'!$C$5:$C$25,MATCH(H281,'Assumptions &amp; FX Reference'!$A$5:$A$25,0)),""))),"(FX missing)"))</f>
        <v/>
      </c>
      <c r="P281" s="42"/>
      <c r="Q281" s="42"/>
      <c r="R281" s="42"/>
      <c r="S281" s="42"/>
      <c r="T281" s="42"/>
      <c r="U281" s="42"/>
      <c r="V281" s="42"/>
    </row>
    <row r="282" customFormat="false" ht="15" hidden="false" customHeight="false" outlineLevel="0" collapsed="false">
      <c r="A282" s="42"/>
      <c r="B282" s="42"/>
      <c r="C282" s="45" t="str">
        <f aca="false">IF(B282="","",IFERROR(INDEX('Master Database'!$D$5:$D$600,MATCH(B282,'Master Database'!$A$5:$A$600,0)),"(row not found)"))</f>
        <v/>
      </c>
      <c r="D282" s="45" t="str">
        <f aca="false">IF(B282="","",IFERROR(INDEX('Master Database'!$B$5:$B$600,MATCH(B282,'Master Database'!$A$5:$A$600,0)),"(row not found)"))</f>
        <v/>
      </c>
      <c r="E282" s="42"/>
      <c r="F282" s="45" t="str">
        <f aca="false">IF(E282="","",IFERROR(INDEX(Vendor_Register!$B$5:$B$205,MATCH(E282,Vendor_Register!$A$5:$A$205,0)),"(not in register)"))</f>
        <v/>
      </c>
      <c r="G282" s="45" t="str">
        <f aca="false">IF(E282="","",IFERROR(INDEX(Vendor_Register!$E$5:$E$205,MATCH(E282,Vendor_Register!$A$5:$A$205,0)),"(not in register)"))</f>
        <v/>
      </c>
      <c r="H282" s="42"/>
      <c r="I282" s="42"/>
      <c r="J282" s="42"/>
      <c r="K282" s="42"/>
      <c r="L282" s="42"/>
      <c r="M282" s="46"/>
      <c r="N282" s="42"/>
      <c r="O282" s="47" t="str">
        <f aca="false">IF(NOT(ISNUMBER(M282)),"",IFERROR(IF(L282="EUR",M282,IF(L282="IRR",M282/INDEX('Assumptions &amp; FX Reference'!$C$5:$C$25,MATCH(H282,'Assumptions &amp; FX Reference'!$A$5:$A$25,0)),IF(L282="USD",M282*INDEX('Assumptions &amp; FX Reference'!$B$5:$B$25,MATCH(H282,'Assumptions &amp; FX Reference'!$A$5:$A$25,0))/INDEX('Assumptions &amp; FX Reference'!$C$5:$C$25,MATCH(H282,'Assumptions &amp; FX Reference'!$A$5:$A$25,0)),""))),"(FX missing)"))</f>
        <v/>
      </c>
      <c r="P282" s="42"/>
      <c r="Q282" s="42"/>
      <c r="R282" s="42"/>
      <c r="S282" s="42"/>
      <c r="T282" s="42"/>
      <c r="U282" s="42"/>
      <c r="V282" s="42"/>
    </row>
    <row r="283" customFormat="false" ht="15" hidden="false" customHeight="false" outlineLevel="0" collapsed="false">
      <c r="A283" s="42"/>
      <c r="B283" s="42"/>
      <c r="C283" s="45" t="str">
        <f aca="false">IF(B283="","",IFERROR(INDEX('Master Database'!$D$5:$D$600,MATCH(B283,'Master Database'!$A$5:$A$600,0)),"(row not found)"))</f>
        <v/>
      </c>
      <c r="D283" s="45" t="str">
        <f aca="false">IF(B283="","",IFERROR(INDEX('Master Database'!$B$5:$B$600,MATCH(B283,'Master Database'!$A$5:$A$600,0)),"(row not found)"))</f>
        <v/>
      </c>
      <c r="E283" s="42"/>
      <c r="F283" s="45" t="str">
        <f aca="false">IF(E283="","",IFERROR(INDEX(Vendor_Register!$B$5:$B$205,MATCH(E283,Vendor_Register!$A$5:$A$205,0)),"(not in register)"))</f>
        <v/>
      </c>
      <c r="G283" s="45" t="str">
        <f aca="false">IF(E283="","",IFERROR(INDEX(Vendor_Register!$E$5:$E$205,MATCH(E283,Vendor_Register!$A$5:$A$205,0)),"(not in register)"))</f>
        <v/>
      </c>
      <c r="H283" s="42"/>
      <c r="I283" s="42"/>
      <c r="J283" s="42"/>
      <c r="K283" s="42"/>
      <c r="L283" s="42"/>
      <c r="M283" s="46"/>
      <c r="N283" s="42"/>
      <c r="O283" s="47" t="str">
        <f aca="false">IF(NOT(ISNUMBER(M283)),"",IFERROR(IF(L283="EUR",M283,IF(L283="IRR",M283/INDEX('Assumptions &amp; FX Reference'!$C$5:$C$25,MATCH(H283,'Assumptions &amp; FX Reference'!$A$5:$A$25,0)),IF(L283="USD",M283*INDEX('Assumptions &amp; FX Reference'!$B$5:$B$25,MATCH(H283,'Assumptions &amp; FX Reference'!$A$5:$A$25,0))/INDEX('Assumptions &amp; FX Reference'!$C$5:$C$25,MATCH(H283,'Assumptions &amp; FX Reference'!$A$5:$A$25,0)),""))),"(FX missing)"))</f>
        <v/>
      </c>
      <c r="P283" s="42"/>
      <c r="Q283" s="42"/>
      <c r="R283" s="42"/>
      <c r="S283" s="42"/>
      <c r="T283" s="42"/>
      <c r="U283" s="42"/>
      <c r="V283" s="42"/>
    </row>
    <row r="284" customFormat="false" ht="15" hidden="false" customHeight="false" outlineLevel="0" collapsed="false">
      <c r="A284" s="42"/>
      <c r="B284" s="42"/>
      <c r="C284" s="45" t="str">
        <f aca="false">IF(B284="","",IFERROR(INDEX('Master Database'!$D$5:$D$600,MATCH(B284,'Master Database'!$A$5:$A$600,0)),"(row not found)"))</f>
        <v/>
      </c>
      <c r="D284" s="45" t="str">
        <f aca="false">IF(B284="","",IFERROR(INDEX('Master Database'!$B$5:$B$600,MATCH(B284,'Master Database'!$A$5:$A$600,0)),"(row not found)"))</f>
        <v/>
      </c>
      <c r="E284" s="42"/>
      <c r="F284" s="45" t="str">
        <f aca="false">IF(E284="","",IFERROR(INDEX(Vendor_Register!$B$5:$B$205,MATCH(E284,Vendor_Register!$A$5:$A$205,0)),"(not in register)"))</f>
        <v/>
      </c>
      <c r="G284" s="45" t="str">
        <f aca="false">IF(E284="","",IFERROR(INDEX(Vendor_Register!$E$5:$E$205,MATCH(E284,Vendor_Register!$A$5:$A$205,0)),"(not in register)"))</f>
        <v/>
      </c>
      <c r="H284" s="42"/>
      <c r="I284" s="42"/>
      <c r="J284" s="42"/>
      <c r="K284" s="42"/>
      <c r="L284" s="42"/>
      <c r="M284" s="46"/>
      <c r="N284" s="42"/>
      <c r="O284" s="47" t="str">
        <f aca="false">IF(NOT(ISNUMBER(M284)),"",IFERROR(IF(L284="EUR",M284,IF(L284="IRR",M284/INDEX('Assumptions &amp; FX Reference'!$C$5:$C$25,MATCH(H284,'Assumptions &amp; FX Reference'!$A$5:$A$25,0)),IF(L284="USD",M284*INDEX('Assumptions &amp; FX Reference'!$B$5:$B$25,MATCH(H284,'Assumptions &amp; FX Reference'!$A$5:$A$25,0))/INDEX('Assumptions &amp; FX Reference'!$C$5:$C$25,MATCH(H284,'Assumptions &amp; FX Reference'!$A$5:$A$25,0)),""))),"(FX missing)"))</f>
        <v/>
      </c>
      <c r="P284" s="42"/>
      <c r="Q284" s="42"/>
      <c r="R284" s="42"/>
      <c r="S284" s="42"/>
      <c r="T284" s="42"/>
      <c r="U284" s="42"/>
      <c r="V284" s="42"/>
    </row>
    <row r="285" customFormat="false" ht="15" hidden="false" customHeight="false" outlineLevel="0" collapsed="false">
      <c r="A285" s="42"/>
      <c r="B285" s="42"/>
      <c r="C285" s="45" t="str">
        <f aca="false">IF(B285="","",IFERROR(INDEX('Master Database'!$D$5:$D$600,MATCH(B285,'Master Database'!$A$5:$A$600,0)),"(row not found)"))</f>
        <v/>
      </c>
      <c r="D285" s="45" t="str">
        <f aca="false">IF(B285="","",IFERROR(INDEX('Master Database'!$B$5:$B$600,MATCH(B285,'Master Database'!$A$5:$A$600,0)),"(row not found)"))</f>
        <v/>
      </c>
      <c r="E285" s="42"/>
      <c r="F285" s="45" t="str">
        <f aca="false">IF(E285="","",IFERROR(INDEX(Vendor_Register!$B$5:$B$205,MATCH(E285,Vendor_Register!$A$5:$A$205,0)),"(not in register)"))</f>
        <v/>
      </c>
      <c r="G285" s="45" t="str">
        <f aca="false">IF(E285="","",IFERROR(INDEX(Vendor_Register!$E$5:$E$205,MATCH(E285,Vendor_Register!$A$5:$A$205,0)),"(not in register)"))</f>
        <v/>
      </c>
      <c r="H285" s="42"/>
      <c r="I285" s="42"/>
      <c r="J285" s="42"/>
      <c r="K285" s="42"/>
      <c r="L285" s="42"/>
      <c r="M285" s="46"/>
      <c r="N285" s="42"/>
      <c r="O285" s="47" t="str">
        <f aca="false">IF(NOT(ISNUMBER(M285)),"",IFERROR(IF(L285="EUR",M285,IF(L285="IRR",M285/INDEX('Assumptions &amp; FX Reference'!$C$5:$C$25,MATCH(H285,'Assumptions &amp; FX Reference'!$A$5:$A$25,0)),IF(L285="USD",M285*INDEX('Assumptions &amp; FX Reference'!$B$5:$B$25,MATCH(H285,'Assumptions &amp; FX Reference'!$A$5:$A$25,0))/INDEX('Assumptions &amp; FX Reference'!$C$5:$C$25,MATCH(H285,'Assumptions &amp; FX Reference'!$A$5:$A$25,0)),""))),"(FX missing)"))</f>
        <v/>
      </c>
      <c r="P285" s="42"/>
      <c r="Q285" s="42"/>
      <c r="R285" s="42"/>
      <c r="S285" s="42"/>
      <c r="T285" s="42"/>
      <c r="U285" s="42"/>
      <c r="V285" s="42"/>
    </row>
    <row r="286" customFormat="false" ht="15" hidden="false" customHeight="false" outlineLevel="0" collapsed="false">
      <c r="A286" s="42"/>
      <c r="B286" s="42"/>
      <c r="C286" s="45" t="str">
        <f aca="false">IF(B286="","",IFERROR(INDEX('Master Database'!$D$5:$D$600,MATCH(B286,'Master Database'!$A$5:$A$600,0)),"(row not found)"))</f>
        <v/>
      </c>
      <c r="D286" s="45" t="str">
        <f aca="false">IF(B286="","",IFERROR(INDEX('Master Database'!$B$5:$B$600,MATCH(B286,'Master Database'!$A$5:$A$600,0)),"(row not found)"))</f>
        <v/>
      </c>
      <c r="E286" s="42"/>
      <c r="F286" s="45" t="str">
        <f aca="false">IF(E286="","",IFERROR(INDEX(Vendor_Register!$B$5:$B$205,MATCH(E286,Vendor_Register!$A$5:$A$205,0)),"(not in register)"))</f>
        <v/>
      </c>
      <c r="G286" s="45" t="str">
        <f aca="false">IF(E286="","",IFERROR(INDEX(Vendor_Register!$E$5:$E$205,MATCH(E286,Vendor_Register!$A$5:$A$205,0)),"(not in register)"))</f>
        <v/>
      </c>
      <c r="H286" s="42"/>
      <c r="I286" s="42"/>
      <c r="J286" s="42"/>
      <c r="K286" s="42"/>
      <c r="L286" s="42"/>
      <c r="M286" s="46"/>
      <c r="N286" s="42"/>
      <c r="O286" s="47" t="str">
        <f aca="false">IF(NOT(ISNUMBER(M286)),"",IFERROR(IF(L286="EUR",M286,IF(L286="IRR",M286/INDEX('Assumptions &amp; FX Reference'!$C$5:$C$25,MATCH(H286,'Assumptions &amp; FX Reference'!$A$5:$A$25,0)),IF(L286="USD",M286*INDEX('Assumptions &amp; FX Reference'!$B$5:$B$25,MATCH(H286,'Assumptions &amp; FX Reference'!$A$5:$A$25,0))/INDEX('Assumptions &amp; FX Reference'!$C$5:$C$25,MATCH(H286,'Assumptions &amp; FX Reference'!$A$5:$A$25,0)),""))),"(FX missing)"))</f>
        <v/>
      </c>
      <c r="P286" s="42"/>
      <c r="Q286" s="42"/>
      <c r="R286" s="42"/>
      <c r="S286" s="42"/>
      <c r="T286" s="42"/>
      <c r="U286" s="42"/>
      <c r="V286" s="42"/>
    </row>
    <row r="287" customFormat="false" ht="15" hidden="false" customHeight="false" outlineLevel="0" collapsed="false">
      <c r="A287" s="42"/>
      <c r="B287" s="42"/>
      <c r="C287" s="45" t="str">
        <f aca="false">IF(B287="","",IFERROR(INDEX('Master Database'!$D$5:$D$600,MATCH(B287,'Master Database'!$A$5:$A$600,0)),"(row not found)"))</f>
        <v/>
      </c>
      <c r="D287" s="45" t="str">
        <f aca="false">IF(B287="","",IFERROR(INDEX('Master Database'!$B$5:$B$600,MATCH(B287,'Master Database'!$A$5:$A$600,0)),"(row not found)"))</f>
        <v/>
      </c>
      <c r="E287" s="42"/>
      <c r="F287" s="45" t="str">
        <f aca="false">IF(E287="","",IFERROR(INDEX(Vendor_Register!$B$5:$B$205,MATCH(E287,Vendor_Register!$A$5:$A$205,0)),"(not in register)"))</f>
        <v/>
      </c>
      <c r="G287" s="45" t="str">
        <f aca="false">IF(E287="","",IFERROR(INDEX(Vendor_Register!$E$5:$E$205,MATCH(E287,Vendor_Register!$A$5:$A$205,0)),"(not in register)"))</f>
        <v/>
      </c>
      <c r="H287" s="42"/>
      <c r="I287" s="42"/>
      <c r="J287" s="42"/>
      <c r="K287" s="42"/>
      <c r="L287" s="42"/>
      <c r="M287" s="46"/>
      <c r="N287" s="42"/>
      <c r="O287" s="47" t="str">
        <f aca="false">IF(NOT(ISNUMBER(M287)),"",IFERROR(IF(L287="EUR",M287,IF(L287="IRR",M287/INDEX('Assumptions &amp; FX Reference'!$C$5:$C$25,MATCH(H287,'Assumptions &amp; FX Reference'!$A$5:$A$25,0)),IF(L287="USD",M287*INDEX('Assumptions &amp; FX Reference'!$B$5:$B$25,MATCH(H287,'Assumptions &amp; FX Reference'!$A$5:$A$25,0))/INDEX('Assumptions &amp; FX Reference'!$C$5:$C$25,MATCH(H287,'Assumptions &amp; FX Reference'!$A$5:$A$25,0)),""))),"(FX missing)"))</f>
        <v/>
      </c>
      <c r="P287" s="42"/>
      <c r="Q287" s="42"/>
      <c r="R287" s="42"/>
      <c r="S287" s="42"/>
      <c r="T287" s="42"/>
      <c r="U287" s="42"/>
      <c r="V287" s="42"/>
    </row>
    <row r="288" customFormat="false" ht="15" hidden="false" customHeight="false" outlineLevel="0" collapsed="false">
      <c r="A288" s="42"/>
      <c r="B288" s="42"/>
      <c r="C288" s="45" t="str">
        <f aca="false">IF(B288="","",IFERROR(INDEX('Master Database'!$D$5:$D$600,MATCH(B288,'Master Database'!$A$5:$A$600,0)),"(row not found)"))</f>
        <v/>
      </c>
      <c r="D288" s="45" t="str">
        <f aca="false">IF(B288="","",IFERROR(INDEX('Master Database'!$B$5:$B$600,MATCH(B288,'Master Database'!$A$5:$A$600,0)),"(row not found)"))</f>
        <v/>
      </c>
      <c r="E288" s="42"/>
      <c r="F288" s="45" t="str">
        <f aca="false">IF(E288="","",IFERROR(INDEX(Vendor_Register!$B$5:$B$205,MATCH(E288,Vendor_Register!$A$5:$A$205,0)),"(not in register)"))</f>
        <v/>
      </c>
      <c r="G288" s="45" t="str">
        <f aca="false">IF(E288="","",IFERROR(INDEX(Vendor_Register!$E$5:$E$205,MATCH(E288,Vendor_Register!$A$5:$A$205,0)),"(not in register)"))</f>
        <v/>
      </c>
      <c r="H288" s="42"/>
      <c r="I288" s="42"/>
      <c r="J288" s="42"/>
      <c r="K288" s="42"/>
      <c r="L288" s="42"/>
      <c r="M288" s="46"/>
      <c r="N288" s="42"/>
      <c r="O288" s="47" t="str">
        <f aca="false">IF(NOT(ISNUMBER(M288)),"",IFERROR(IF(L288="EUR",M288,IF(L288="IRR",M288/INDEX('Assumptions &amp; FX Reference'!$C$5:$C$25,MATCH(H288,'Assumptions &amp; FX Reference'!$A$5:$A$25,0)),IF(L288="USD",M288*INDEX('Assumptions &amp; FX Reference'!$B$5:$B$25,MATCH(H288,'Assumptions &amp; FX Reference'!$A$5:$A$25,0))/INDEX('Assumptions &amp; FX Reference'!$C$5:$C$25,MATCH(H288,'Assumptions &amp; FX Reference'!$A$5:$A$25,0)),""))),"(FX missing)"))</f>
        <v/>
      </c>
      <c r="P288" s="42"/>
      <c r="Q288" s="42"/>
      <c r="R288" s="42"/>
      <c r="S288" s="42"/>
      <c r="T288" s="42"/>
      <c r="U288" s="42"/>
      <c r="V288" s="42"/>
    </row>
    <row r="289" customFormat="false" ht="15" hidden="false" customHeight="false" outlineLevel="0" collapsed="false">
      <c r="A289" s="42"/>
      <c r="B289" s="42"/>
      <c r="C289" s="45" t="str">
        <f aca="false">IF(B289="","",IFERROR(INDEX('Master Database'!$D$5:$D$600,MATCH(B289,'Master Database'!$A$5:$A$600,0)),"(row not found)"))</f>
        <v/>
      </c>
      <c r="D289" s="45" t="str">
        <f aca="false">IF(B289="","",IFERROR(INDEX('Master Database'!$B$5:$B$600,MATCH(B289,'Master Database'!$A$5:$A$600,0)),"(row not found)"))</f>
        <v/>
      </c>
      <c r="E289" s="42"/>
      <c r="F289" s="45" t="str">
        <f aca="false">IF(E289="","",IFERROR(INDEX(Vendor_Register!$B$5:$B$205,MATCH(E289,Vendor_Register!$A$5:$A$205,0)),"(not in register)"))</f>
        <v/>
      </c>
      <c r="G289" s="45" t="str">
        <f aca="false">IF(E289="","",IFERROR(INDEX(Vendor_Register!$E$5:$E$205,MATCH(E289,Vendor_Register!$A$5:$A$205,0)),"(not in register)"))</f>
        <v/>
      </c>
      <c r="H289" s="42"/>
      <c r="I289" s="42"/>
      <c r="J289" s="42"/>
      <c r="K289" s="42"/>
      <c r="L289" s="42"/>
      <c r="M289" s="46"/>
      <c r="N289" s="42"/>
      <c r="O289" s="47" t="str">
        <f aca="false">IF(NOT(ISNUMBER(M289)),"",IFERROR(IF(L289="EUR",M289,IF(L289="IRR",M289/INDEX('Assumptions &amp; FX Reference'!$C$5:$C$25,MATCH(H289,'Assumptions &amp; FX Reference'!$A$5:$A$25,0)),IF(L289="USD",M289*INDEX('Assumptions &amp; FX Reference'!$B$5:$B$25,MATCH(H289,'Assumptions &amp; FX Reference'!$A$5:$A$25,0))/INDEX('Assumptions &amp; FX Reference'!$C$5:$C$25,MATCH(H289,'Assumptions &amp; FX Reference'!$A$5:$A$25,0)),""))),"(FX missing)"))</f>
        <v/>
      </c>
      <c r="P289" s="42"/>
      <c r="Q289" s="42"/>
      <c r="R289" s="42"/>
      <c r="S289" s="42"/>
      <c r="T289" s="42"/>
      <c r="U289" s="42"/>
      <c r="V289" s="42"/>
    </row>
    <row r="290" customFormat="false" ht="15" hidden="false" customHeight="false" outlineLevel="0" collapsed="false">
      <c r="A290" s="42"/>
      <c r="B290" s="42"/>
      <c r="C290" s="45" t="str">
        <f aca="false">IF(B290="","",IFERROR(INDEX('Master Database'!$D$5:$D$600,MATCH(B290,'Master Database'!$A$5:$A$600,0)),"(row not found)"))</f>
        <v/>
      </c>
      <c r="D290" s="45" t="str">
        <f aca="false">IF(B290="","",IFERROR(INDEX('Master Database'!$B$5:$B$600,MATCH(B290,'Master Database'!$A$5:$A$600,0)),"(row not found)"))</f>
        <v/>
      </c>
      <c r="E290" s="42"/>
      <c r="F290" s="45" t="str">
        <f aca="false">IF(E290="","",IFERROR(INDEX(Vendor_Register!$B$5:$B$205,MATCH(E290,Vendor_Register!$A$5:$A$205,0)),"(not in register)"))</f>
        <v/>
      </c>
      <c r="G290" s="45" t="str">
        <f aca="false">IF(E290="","",IFERROR(INDEX(Vendor_Register!$E$5:$E$205,MATCH(E290,Vendor_Register!$A$5:$A$205,0)),"(not in register)"))</f>
        <v/>
      </c>
      <c r="H290" s="42"/>
      <c r="I290" s="42"/>
      <c r="J290" s="42"/>
      <c r="K290" s="42"/>
      <c r="L290" s="42"/>
      <c r="M290" s="46"/>
      <c r="N290" s="42"/>
      <c r="O290" s="47" t="str">
        <f aca="false">IF(NOT(ISNUMBER(M290)),"",IFERROR(IF(L290="EUR",M290,IF(L290="IRR",M290/INDEX('Assumptions &amp; FX Reference'!$C$5:$C$25,MATCH(H290,'Assumptions &amp; FX Reference'!$A$5:$A$25,0)),IF(L290="USD",M290*INDEX('Assumptions &amp; FX Reference'!$B$5:$B$25,MATCH(H290,'Assumptions &amp; FX Reference'!$A$5:$A$25,0))/INDEX('Assumptions &amp; FX Reference'!$C$5:$C$25,MATCH(H290,'Assumptions &amp; FX Reference'!$A$5:$A$25,0)),""))),"(FX missing)"))</f>
        <v/>
      </c>
      <c r="P290" s="42"/>
      <c r="Q290" s="42"/>
      <c r="R290" s="42"/>
      <c r="S290" s="42"/>
      <c r="T290" s="42"/>
      <c r="U290" s="42"/>
      <c r="V290" s="42"/>
    </row>
    <row r="291" customFormat="false" ht="15" hidden="false" customHeight="false" outlineLevel="0" collapsed="false">
      <c r="A291" s="42"/>
      <c r="B291" s="42"/>
      <c r="C291" s="45" t="str">
        <f aca="false">IF(B291="","",IFERROR(INDEX('Master Database'!$D$5:$D$600,MATCH(B291,'Master Database'!$A$5:$A$600,0)),"(row not found)"))</f>
        <v/>
      </c>
      <c r="D291" s="45" t="str">
        <f aca="false">IF(B291="","",IFERROR(INDEX('Master Database'!$B$5:$B$600,MATCH(B291,'Master Database'!$A$5:$A$600,0)),"(row not found)"))</f>
        <v/>
      </c>
      <c r="E291" s="42"/>
      <c r="F291" s="45" t="str">
        <f aca="false">IF(E291="","",IFERROR(INDEX(Vendor_Register!$B$5:$B$205,MATCH(E291,Vendor_Register!$A$5:$A$205,0)),"(not in register)"))</f>
        <v/>
      </c>
      <c r="G291" s="45" t="str">
        <f aca="false">IF(E291="","",IFERROR(INDEX(Vendor_Register!$E$5:$E$205,MATCH(E291,Vendor_Register!$A$5:$A$205,0)),"(not in register)"))</f>
        <v/>
      </c>
      <c r="H291" s="42"/>
      <c r="I291" s="42"/>
      <c r="J291" s="42"/>
      <c r="K291" s="42"/>
      <c r="L291" s="42"/>
      <c r="M291" s="46"/>
      <c r="N291" s="42"/>
      <c r="O291" s="47" t="str">
        <f aca="false">IF(NOT(ISNUMBER(M291)),"",IFERROR(IF(L291="EUR",M291,IF(L291="IRR",M291/INDEX('Assumptions &amp; FX Reference'!$C$5:$C$25,MATCH(H291,'Assumptions &amp; FX Reference'!$A$5:$A$25,0)),IF(L291="USD",M291*INDEX('Assumptions &amp; FX Reference'!$B$5:$B$25,MATCH(H291,'Assumptions &amp; FX Reference'!$A$5:$A$25,0))/INDEX('Assumptions &amp; FX Reference'!$C$5:$C$25,MATCH(H291,'Assumptions &amp; FX Reference'!$A$5:$A$25,0)),""))),"(FX missing)"))</f>
        <v/>
      </c>
      <c r="P291" s="42"/>
      <c r="Q291" s="42"/>
      <c r="R291" s="42"/>
      <c r="S291" s="42"/>
      <c r="T291" s="42"/>
      <c r="U291" s="42"/>
      <c r="V291" s="42"/>
    </row>
    <row r="292" customFormat="false" ht="15" hidden="false" customHeight="false" outlineLevel="0" collapsed="false">
      <c r="A292" s="42"/>
      <c r="B292" s="42"/>
      <c r="C292" s="45" t="str">
        <f aca="false">IF(B292="","",IFERROR(INDEX('Master Database'!$D$5:$D$600,MATCH(B292,'Master Database'!$A$5:$A$600,0)),"(row not found)"))</f>
        <v/>
      </c>
      <c r="D292" s="45" t="str">
        <f aca="false">IF(B292="","",IFERROR(INDEX('Master Database'!$B$5:$B$600,MATCH(B292,'Master Database'!$A$5:$A$600,0)),"(row not found)"))</f>
        <v/>
      </c>
      <c r="E292" s="42"/>
      <c r="F292" s="45" t="str">
        <f aca="false">IF(E292="","",IFERROR(INDEX(Vendor_Register!$B$5:$B$205,MATCH(E292,Vendor_Register!$A$5:$A$205,0)),"(not in register)"))</f>
        <v/>
      </c>
      <c r="G292" s="45" t="str">
        <f aca="false">IF(E292="","",IFERROR(INDEX(Vendor_Register!$E$5:$E$205,MATCH(E292,Vendor_Register!$A$5:$A$205,0)),"(not in register)"))</f>
        <v/>
      </c>
      <c r="H292" s="42"/>
      <c r="I292" s="42"/>
      <c r="J292" s="42"/>
      <c r="K292" s="42"/>
      <c r="L292" s="42"/>
      <c r="M292" s="46"/>
      <c r="N292" s="42"/>
      <c r="O292" s="47" t="str">
        <f aca="false">IF(NOT(ISNUMBER(M292)),"",IFERROR(IF(L292="EUR",M292,IF(L292="IRR",M292/INDEX('Assumptions &amp; FX Reference'!$C$5:$C$25,MATCH(H292,'Assumptions &amp; FX Reference'!$A$5:$A$25,0)),IF(L292="USD",M292*INDEX('Assumptions &amp; FX Reference'!$B$5:$B$25,MATCH(H292,'Assumptions &amp; FX Reference'!$A$5:$A$25,0))/INDEX('Assumptions &amp; FX Reference'!$C$5:$C$25,MATCH(H292,'Assumptions &amp; FX Reference'!$A$5:$A$25,0)),""))),"(FX missing)"))</f>
        <v/>
      </c>
      <c r="P292" s="42"/>
      <c r="Q292" s="42"/>
      <c r="R292" s="42"/>
      <c r="S292" s="42"/>
      <c r="T292" s="42"/>
      <c r="U292" s="42"/>
      <c r="V292" s="42"/>
    </row>
    <row r="293" customFormat="false" ht="15" hidden="false" customHeight="false" outlineLevel="0" collapsed="false">
      <c r="A293" s="42"/>
      <c r="B293" s="42"/>
      <c r="C293" s="45" t="str">
        <f aca="false">IF(B293="","",IFERROR(INDEX('Master Database'!$D$5:$D$600,MATCH(B293,'Master Database'!$A$5:$A$600,0)),"(row not found)"))</f>
        <v/>
      </c>
      <c r="D293" s="45" t="str">
        <f aca="false">IF(B293="","",IFERROR(INDEX('Master Database'!$B$5:$B$600,MATCH(B293,'Master Database'!$A$5:$A$600,0)),"(row not found)"))</f>
        <v/>
      </c>
      <c r="E293" s="42"/>
      <c r="F293" s="45" t="str">
        <f aca="false">IF(E293="","",IFERROR(INDEX(Vendor_Register!$B$5:$B$205,MATCH(E293,Vendor_Register!$A$5:$A$205,0)),"(not in register)"))</f>
        <v/>
      </c>
      <c r="G293" s="45" t="str">
        <f aca="false">IF(E293="","",IFERROR(INDEX(Vendor_Register!$E$5:$E$205,MATCH(E293,Vendor_Register!$A$5:$A$205,0)),"(not in register)"))</f>
        <v/>
      </c>
      <c r="H293" s="42"/>
      <c r="I293" s="42"/>
      <c r="J293" s="42"/>
      <c r="K293" s="42"/>
      <c r="L293" s="42"/>
      <c r="M293" s="46"/>
      <c r="N293" s="42"/>
      <c r="O293" s="47" t="str">
        <f aca="false">IF(NOT(ISNUMBER(M293)),"",IFERROR(IF(L293="EUR",M293,IF(L293="IRR",M293/INDEX('Assumptions &amp; FX Reference'!$C$5:$C$25,MATCH(H293,'Assumptions &amp; FX Reference'!$A$5:$A$25,0)),IF(L293="USD",M293*INDEX('Assumptions &amp; FX Reference'!$B$5:$B$25,MATCH(H293,'Assumptions &amp; FX Reference'!$A$5:$A$25,0))/INDEX('Assumptions &amp; FX Reference'!$C$5:$C$25,MATCH(H293,'Assumptions &amp; FX Reference'!$A$5:$A$25,0)),""))),"(FX missing)"))</f>
        <v/>
      </c>
      <c r="P293" s="42"/>
      <c r="Q293" s="42"/>
      <c r="R293" s="42"/>
      <c r="S293" s="42"/>
      <c r="T293" s="42"/>
      <c r="U293" s="42"/>
      <c r="V293" s="42"/>
    </row>
    <row r="294" customFormat="false" ht="15" hidden="false" customHeight="false" outlineLevel="0" collapsed="false">
      <c r="A294" s="42"/>
      <c r="B294" s="42"/>
      <c r="C294" s="45" t="str">
        <f aca="false">IF(B294="","",IFERROR(INDEX('Master Database'!$D$5:$D$600,MATCH(B294,'Master Database'!$A$5:$A$600,0)),"(row not found)"))</f>
        <v/>
      </c>
      <c r="D294" s="45" t="str">
        <f aca="false">IF(B294="","",IFERROR(INDEX('Master Database'!$B$5:$B$600,MATCH(B294,'Master Database'!$A$5:$A$600,0)),"(row not found)"))</f>
        <v/>
      </c>
      <c r="E294" s="42"/>
      <c r="F294" s="45" t="str">
        <f aca="false">IF(E294="","",IFERROR(INDEX(Vendor_Register!$B$5:$B$205,MATCH(E294,Vendor_Register!$A$5:$A$205,0)),"(not in register)"))</f>
        <v/>
      </c>
      <c r="G294" s="45" t="str">
        <f aca="false">IF(E294="","",IFERROR(INDEX(Vendor_Register!$E$5:$E$205,MATCH(E294,Vendor_Register!$A$5:$A$205,0)),"(not in register)"))</f>
        <v/>
      </c>
      <c r="H294" s="42"/>
      <c r="I294" s="42"/>
      <c r="J294" s="42"/>
      <c r="K294" s="42"/>
      <c r="L294" s="42"/>
      <c r="M294" s="46"/>
      <c r="N294" s="42"/>
      <c r="O294" s="47" t="str">
        <f aca="false">IF(NOT(ISNUMBER(M294)),"",IFERROR(IF(L294="EUR",M294,IF(L294="IRR",M294/INDEX('Assumptions &amp; FX Reference'!$C$5:$C$25,MATCH(H294,'Assumptions &amp; FX Reference'!$A$5:$A$25,0)),IF(L294="USD",M294*INDEX('Assumptions &amp; FX Reference'!$B$5:$B$25,MATCH(H294,'Assumptions &amp; FX Reference'!$A$5:$A$25,0))/INDEX('Assumptions &amp; FX Reference'!$C$5:$C$25,MATCH(H294,'Assumptions &amp; FX Reference'!$A$5:$A$25,0)),""))),"(FX missing)"))</f>
        <v/>
      </c>
      <c r="P294" s="42"/>
      <c r="Q294" s="42"/>
      <c r="R294" s="42"/>
      <c r="S294" s="42"/>
      <c r="T294" s="42"/>
      <c r="U294" s="42"/>
      <c r="V294" s="42"/>
    </row>
    <row r="295" customFormat="false" ht="15" hidden="false" customHeight="false" outlineLevel="0" collapsed="false">
      <c r="A295" s="42"/>
      <c r="B295" s="42"/>
      <c r="C295" s="45" t="str">
        <f aca="false">IF(B295="","",IFERROR(INDEX('Master Database'!$D$5:$D$600,MATCH(B295,'Master Database'!$A$5:$A$600,0)),"(row not found)"))</f>
        <v/>
      </c>
      <c r="D295" s="45" t="str">
        <f aca="false">IF(B295="","",IFERROR(INDEX('Master Database'!$B$5:$B$600,MATCH(B295,'Master Database'!$A$5:$A$600,0)),"(row not found)"))</f>
        <v/>
      </c>
      <c r="E295" s="42"/>
      <c r="F295" s="45" t="str">
        <f aca="false">IF(E295="","",IFERROR(INDEX(Vendor_Register!$B$5:$B$205,MATCH(E295,Vendor_Register!$A$5:$A$205,0)),"(not in register)"))</f>
        <v/>
      </c>
      <c r="G295" s="45" t="str">
        <f aca="false">IF(E295="","",IFERROR(INDEX(Vendor_Register!$E$5:$E$205,MATCH(E295,Vendor_Register!$A$5:$A$205,0)),"(not in register)"))</f>
        <v/>
      </c>
      <c r="H295" s="42"/>
      <c r="I295" s="42"/>
      <c r="J295" s="42"/>
      <c r="K295" s="42"/>
      <c r="L295" s="42"/>
      <c r="M295" s="46"/>
      <c r="N295" s="42"/>
      <c r="O295" s="47" t="str">
        <f aca="false">IF(NOT(ISNUMBER(M295)),"",IFERROR(IF(L295="EUR",M295,IF(L295="IRR",M295/INDEX('Assumptions &amp; FX Reference'!$C$5:$C$25,MATCH(H295,'Assumptions &amp; FX Reference'!$A$5:$A$25,0)),IF(L295="USD",M295*INDEX('Assumptions &amp; FX Reference'!$B$5:$B$25,MATCH(H295,'Assumptions &amp; FX Reference'!$A$5:$A$25,0))/INDEX('Assumptions &amp; FX Reference'!$C$5:$C$25,MATCH(H295,'Assumptions &amp; FX Reference'!$A$5:$A$25,0)),""))),"(FX missing)"))</f>
        <v/>
      </c>
      <c r="P295" s="42"/>
      <c r="Q295" s="42"/>
      <c r="R295" s="42"/>
      <c r="S295" s="42"/>
      <c r="T295" s="42"/>
      <c r="U295" s="42"/>
      <c r="V295" s="42"/>
    </row>
    <row r="296" customFormat="false" ht="15" hidden="false" customHeight="false" outlineLevel="0" collapsed="false">
      <c r="A296" s="42"/>
      <c r="B296" s="42"/>
      <c r="C296" s="45" t="str">
        <f aca="false">IF(B296="","",IFERROR(INDEX('Master Database'!$D$5:$D$600,MATCH(B296,'Master Database'!$A$5:$A$600,0)),"(row not found)"))</f>
        <v/>
      </c>
      <c r="D296" s="45" t="str">
        <f aca="false">IF(B296="","",IFERROR(INDEX('Master Database'!$B$5:$B$600,MATCH(B296,'Master Database'!$A$5:$A$600,0)),"(row not found)"))</f>
        <v/>
      </c>
      <c r="E296" s="42"/>
      <c r="F296" s="45" t="str">
        <f aca="false">IF(E296="","",IFERROR(INDEX(Vendor_Register!$B$5:$B$205,MATCH(E296,Vendor_Register!$A$5:$A$205,0)),"(not in register)"))</f>
        <v/>
      </c>
      <c r="G296" s="45" t="str">
        <f aca="false">IF(E296="","",IFERROR(INDEX(Vendor_Register!$E$5:$E$205,MATCH(E296,Vendor_Register!$A$5:$A$205,0)),"(not in register)"))</f>
        <v/>
      </c>
      <c r="H296" s="42"/>
      <c r="I296" s="42"/>
      <c r="J296" s="42"/>
      <c r="K296" s="42"/>
      <c r="L296" s="42"/>
      <c r="M296" s="46"/>
      <c r="N296" s="42"/>
      <c r="O296" s="47" t="str">
        <f aca="false">IF(NOT(ISNUMBER(M296)),"",IFERROR(IF(L296="EUR",M296,IF(L296="IRR",M296/INDEX('Assumptions &amp; FX Reference'!$C$5:$C$25,MATCH(H296,'Assumptions &amp; FX Reference'!$A$5:$A$25,0)),IF(L296="USD",M296*INDEX('Assumptions &amp; FX Reference'!$B$5:$B$25,MATCH(H296,'Assumptions &amp; FX Reference'!$A$5:$A$25,0))/INDEX('Assumptions &amp; FX Reference'!$C$5:$C$25,MATCH(H296,'Assumptions &amp; FX Reference'!$A$5:$A$25,0)),""))),"(FX missing)"))</f>
        <v/>
      </c>
      <c r="P296" s="42"/>
      <c r="Q296" s="42"/>
      <c r="R296" s="42"/>
      <c r="S296" s="42"/>
      <c r="T296" s="42"/>
      <c r="U296" s="42"/>
      <c r="V296" s="42"/>
    </row>
    <row r="297" customFormat="false" ht="15" hidden="false" customHeight="false" outlineLevel="0" collapsed="false">
      <c r="A297" s="42"/>
      <c r="B297" s="42"/>
      <c r="C297" s="45" t="str">
        <f aca="false">IF(B297="","",IFERROR(INDEX('Master Database'!$D$5:$D$600,MATCH(B297,'Master Database'!$A$5:$A$600,0)),"(row not found)"))</f>
        <v/>
      </c>
      <c r="D297" s="45" t="str">
        <f aca="false">IF(B297="","",IFERROR(INDEX('Master Database'!$B$5:$B$600,MATCH(B297,'Master Database'!$A$5:$A$600,0)),"(row not found)"))</f>
        <v/>
      </c>
      <c r="E297" s="42"/>
      <c r="F297" s="45" t="str">
        <f aca="false">IF(E297="","",IFERROR(INDEX(Vendor_Register!$B$5:$B$205,MATCH(E297,Vendor_Register!$A$5:$A$205,0)),"(not in register)"))</f>
        <v/>
      </c>
      <c r="G297" s="45" t="str">
        <f aca="false">IF(E297="","",IFERROR(INDEX(Vendor_Register!$E$5:$E$205,MATCH(E297,Vendor_Register!$A$5:$A$205,0)),"(not in register)"))</f>
        <v/>
      </c>
      <c r="H297" s="42"/>
      <c r="I297" s="42"/>
      <c r="J297" s="42"/>
      <c r="K297" s="42"/>
      <c r="L297" s="42"/>
      <c r="M297" s="46"/>
      <c r="N297" s="42"/>
      <c r="O297" s="47" t="str">
        <f aca="false">IF(NOT(ISNUMBER(M297)),"",IFERROR(IF(L297="EUR",M297,IF(L297="IRR",M297/INDEX('Assumptions &amp; FX Reference'!$C$5:$C$25,MATCH(H297,'Assumptions &amp; FX Reference'!$A$5:$A$25,0)),IF(L297="USD",M297*INDEX('Assumptions &amp; FX Reference'!$B$5:$B$25,MATCH(H297,'Assumptions &amp; FX Reference'!$A$5:$A$25,0))/INDEX('Assumptions &amp; FX Reference'!$C$5:$C$25,MATCH(H297,'Assumptions &amp; FX Reference'!$A$5:$A$25,0)),""))),"(FX missing)"))</f>
        <v/>
      </c>
      <c r="P297" s="42"/>
      <c r="Q297" s="42"/>
      <c r="R297" s="42"/>
      <c r="S297" s="42"/>
      <c r="T297" s="42"/>
      <c r="U297" s="42"/>
      <c r="V297" s="42"/>
    </row>
    <row r="298" customFormat="false" ht="15" hidden="false" customHeight="false" outlineLevel="0" collapsed="false">
      <c r="A298" s="42"/>
      <c r="B298" s="42"/>
      <c r="C298" s="45" t="str">
        <f aca="false">IF(B298="","",IFERROR(INDEX('Master Database'!$D$5:$D$600,MATCH(B298,'Master Database'!$A$5:$A$600,0)),"(row not found)"))</f>
        <v/>
      </c>
      <c r="D298" s="45" t="str">
        <f aca="false">IF(B298="","",IFERROR(INDEX('Master Database'!$B$5:$B$600,MATCH(B298,'Master Database'!$A$5:$A$600,0)),"(row not found)"))</f>
        <v/>
      </c>
      <c r="E298" s="42"/>
      <c r="F298" s="45" t="str">
        <f aca="false">IF(E298="","",IFERROR(INDEX(Vendor_Register!$B$5:$B$205,MATCH(E298,Vendor_Register!$A$5:$A$205,0)),"(not in register)"))</f>
        <v/>
      </c>
      <c r="G298" s="45" t="str">
        <f aca="false">IF(E298="","",IFERROR(INDEX(Vendor_Register!$E$5:$E$205,MATCH(E298,Vendor_Register!$A$5:$A$205,0)),"(not in register)"))</f>
        <v/>
      </c>
      <c r="H298" s="42"/>
      <c r="I298" s="42"/>
      <c r="J298" s="42"/>
      <c r="K298" s="42"/>
      <c r="L298" s="42"/>
      <c r="M298" s="46"/>
      <c r="N298" s="42"/>
      <c r="O298" s="47" t="str">
        <f aca="false">IF(NOT(ISNUMBER(M298)),"",IFERROR(IF(L298="EUR",M298,IF(L298="IRR",M298/INDEX('Assumptions &amp; FX Reference'!$C$5:$C$25,MATCH(H298,'Assumptions &amp; FX Reference'!$A$5:$A$25,0)),IF(L298="USD",M298*INDEX('Assumptions &amp; FX Reference'!$B$5:$B$25,MATCH(H298,'Assumptions &amp; FX Reference'!$A$5:$A$25,0))/INDEX('Assumptions &amp; FX Reference'!$C$5:$C$25,MATCH(H298,'Assumptions &amp; FX Reference'!$A$5:$A$25,0)),""))),"(FX missing)"))</f>
        <v/>
      </c>
      <c r="P298" s="42"/>
      <c r="Q298" s="42"/>
      <c r="R298" s="42"/>
      <c r="S298" s="42"/>
      <c r="T298" s="42"/>
      <c r="U298" s="42"/>
      <c r="V298" s="42"/>
    </row>
    <row r="299" customFormat="false" ht="15" hidden="false" customHeight="false" outlineLevel="0" collapsed="false">
      <c r="A299" s="42"/>
      <c r="B299" s="42"/>
      <c r="C299" s="45" t="str">
        <f aca="false">IF(B299="","",IFERROR(INDEX('Master Database'!$D$5:$D$600,MATCH(B299,'Master Database'!$A$5:$A$600,0)),"(row not found)"))</f>
        <v/>
      </c>
      <c r="D299" s="45" t="str">
        <f aca="false">IF(B299="","",IFERROR(INDEX('Master Database'!$B$5:$B$600,MATCH(B299,'Master Database'!$A$5:$A$600,0)),"(row not found)"))</f>
        <v/>
      </c>
      <c r="E299" s="42"/>
      <c r="F299" s="45" t="str">
        <f aca="false">IF(E299="","",IFERROR(INDEX(Vendor_Register!$B$5:$B$205,MATCH(E299,Vendor_Register!$A$5:$A$205,0)),"(not in register)"))</f>
        <v/>
      </c>
      <c r="G299" s="45" t="str">
        <f aca="false">IF(E299="","",IFERROR(INDEX(Vendor_Register!$E$5:$E$205,MATCH(E299,Vendor_Register!$A$5:$A$205,0)),"(not in register)"))</f>
        <v/>
      </c>
      <c r="H299" s="42"/>
      <c r="I299" s="42"/>
      <c r="J299" s="42"/>
      <c r="K299" s="42"/>
      <c r="L299" s="42"/>
      <c r="M299" s="46"/>
      <c r="N299" s="42"/>
      <c r="O299" s="47" t="str">
        <f aca="false">IF(NOT(ISNUMBER(M299)),"",IFERROR(IF(L299="EUR",M299,IF(L299="IRR",M299/INDEX('Assumptions &amp; FX Reference'!$C$5:$C$25,MATCH(H299,'Assumptions &amp; FX Reference'!$A$5:$A$25,0)),IF(L299="USD",M299*INDEX('Assumptions &amp; FX Reference'!$B$5:$B$25,MATCH(H299,'Assumptions &amp; FX Reference'!$A$5:$A$25,0))/INDEX('Assumptions &amp; FX Reference'!$C$5:$C$25,MATCH(H299,'Assumptions &amp; FX Reference'!$A$5:$A$25,0)),""))),"(FX missing)"))</f>
        <v/>
      </c>
      <c r="P299" s="42"/>
      <c r="Q299" s="42"/>
      <c r="R299" s="42"/>
      <c r="S299" s="42"/>
      <c r="T299" s="42"/>
      <c r="U299" s="42"/>
      <c r="V299" s="42"/>
    </row>
    <row r="300" customFormat="false" ht="15" hidden="false" customHeight="false" outlineLevel="0" collapsed="false">
      <c r="A300" s="42"/>
      <c r="B300" s="42"/>
      <c r="C300" s="45" t="str">
        <f aca="false">IF(B300="","",IFERROR(INDEX('Master Database'!$D$5:$D$600,MATCH(B300,'Master Database'!$A$5:$A$600,0)),"(row not found)"))</f>
        <v/>
      </c>
      <c r="D300" s="45" t="str">
        <f aca="false">IF(B300="","",IFERROR(INDEX('Master Database'!$B$5:$B$600,MATCH(B300,'Master Database'!$A$5:$A$600,0)),"(row not found)"))</f>
        <v/>
      </c>
      <c r="E300" s="42"/>
      <c r="F300" s="45" t="str">
        <f aca="false">IF(E300="","",IFERROR(INDEX(Vendor_Register!$B$5:$B$205,MATCH(E300,Vendor_Register!$A$5:$A$205,0)),"(not in register)"))</f>
        <v/>
      </c>
      <c r="G300" s="45" t="str">
        <f aca="false">IF(E300="","",IFERROR(INDEX(Vendor_Register!$E$5:$E$205,MATCH(E300,Vendor_Register!$A$5:$A$205,0)),"(not in register)"))</f>
        <v/>
      </c>
      <c r="H300" s="42"/>
      <c r="I300" s="42"/>
      <c r="J300" s="42"/>
      <c r="K300" s="42"/>
      <c r="L300" s="42"/>
      <c r="M300" s="46"/>
      <c r="N300" s="42"/>
      <c r="O300" s="47" t="str">
        <f aca="false">IF(NOT(ISNUMBER(M300)),"",IFERROR(IF(L300="EUR",M300,IF(L300="IRR",M300/INDEX('Assumptions &amp; FX Reference'!$C$5:$C$25,MATCH(H300,'Assumptions &amp; FX Reference'!$A$5:$A$25,0)),IF(L300="USD",M300*INDEX('Assumptions &amp; FX Reference'!$B$5:$B$25,MATCH(H300,'Assumptions &amp; FX Reference'!$A$5:$A$25,0))/INDEX('Assumptions &amp; FX Reference'!$C$5:$C$25,MATCH(H300,'Assumptions &amp; FX Reference'!$A$5:$A$25,0)),""))),"(FX missing)"))</f>
        <v/>
      </c>
      <c r="P300" s="42"/>
      <c r="Q300" s="42"/>
      <c r="R300" s="42"/>
      <c r="S300" s="42"/>
      <c r="T300" s="42"/>
      <c r="U300" s="42"/>
      <c r="V300" s="42"/>
    </row>
    <row r="301" customFormat="false" ht="15" hidden="false" customHeight="false" outlineLevel="0" collapsed="false">
      <c r="A301" s="42"/>
      <c r="B301" s="42"/>
      <c r="C301" s="45" t="str">
        <f aca="false">IF(B301="","",IFERROR(INDEX('Master Database'!$D$5:$D$600,MATCH(B301,'Master Database'!$A$5:$A$600,0)),"(row not found)"))</f>
        <v/>
      </c>
      <c r="D301" s="45" t="str">
        <f aca="false">IF(B301="","",IFERROR(INDEX('Master Database'!$B$5:$B$600,MATCH(B301,'Master Database'!$A$5:$A$600,0)),"(row not found)"))</f>
        <v/>
      </c>
      <c r="E301" s="42"/>
      <c r="F301" s="45" t="str">
        <f aca="false">IF(E301="","",IFERROR(INDEX(Vendor_Register!$B$5:$B$205,MATCH(E301,Vendor_Register!$A$5:$A$205,0)),"(not in register)"))</f>
        <v/>
      </c>
      <c r="G301" s="45" t="str">
        <f aca="false">IF(E301="","",IFERROR(INDEX(Vendor_Register!$E$5:$E$205,MATCH(E301,Vendor_Register!$A$5:$A$205,0)),"(not in register)"))</f>
        <v/>
      </c>
      <c r="H301" s="42"/>
      <c r="I301" s="42"/>
      <c r="J301" s="42"/>
      <c r="K301" s="42"/>
      <c r="L301" s="42"/>
      <c r="M301" s="46"/>
      <c r="N301" s="42"/>
      <c r="O301" s="47" t="str">
        <f aca="false">IF(NOT(ISNUMBER(M301)),"",IFERROR(IF(L301="EUR",M301,IF(L301="IRR",M301/INDEX('Assumptions &amp; FX Reference'!$C$5:$C$25,MATCH(H301,'Assumptions &amp; FX Reference'!$A$5:$A$25,0)),IF(L301="USD",M301*INDEX('Assumptions &amp; FX Reference'!$B$5:$B$25,MATCH(H301,'Assumptions &amp; FX Reference'!$A$5:$A$25,0))/INDEX('Assumptions &amp; FX Reference'!$C$5:$C$25,MATCH(H301,'Assumptions &amp; FX Reference'!$A$5:$A$25,0)),""))),"(FX missing)"))</f>
        <v/>
      </c>
      <c r="P301" s="42"/>
      <c r="Q301" s="42"/>
      <c r="R301" s="42"/>
      <c r="S301" s="42"/>
      <c r="T301" s="42"/>
      <c r="U301" s="42"/>
      <c r="V301" s="42"/>
    </row>
    <row r="302" customFormat="false" ht="15" hidden="false" customHeight="false" outlineLevel="0" collapsed="false">
      <c r="A302" s="42"/>
      <c r="B302" s="42"/>
      <c r="C302" s="45" t="str">
        <f aca="false">IF(B302="","",IFERROR(INDEX('Master Database'!$D$5:$D$600,MATCH(B302,'Master Database'!$A$5:$A$600,0)),"(row not found)"))</f>
        <v/>
      </c>
      <c r="D302" s="45" t="str">
        <f aca="false">IF(B302="","",IFERROR(INDEX('Master Database'!$B$5:$B$600,MATCH(B302,'Master Database'!$A$5:$A$600,0)),"(row not found)"))</f>
        <v/>
      </c>
      <c r="E302" s="42"/>
      <c r="F302" s="45" t="str">
        <f aca="false">IF(E302="","",IFERROR(INDEX(Vendor_Register!$B$5:$B$205,MATCH(E302,Vendor_Register!$A$5:$A$205,0)),"(not in register)"))</f>
        <v/>
      </c>
      <c r="G302" s="45" t="str">
        <f aca="false">IF(E302="","",IFERROR(INDEX(Vendor_Register!$E$5:$E$205,MATCH(E302,Vendor_Register!$A$5:$A$205,0)),"(not in register)"))</f>
        <v/>
      </c>
      <c r="H302" s="42"/>
      <c r="I302" s="42"/>
      <c r="J302" s="42"/>
      <c r="K302" s="42"/>
      <c r="L302" s="42"/>
      <c r="M302" s="46"/>
      <c r="N302" s="42"/>
      <c r="O302" s="47" t="str">
        <f aca="false">IF(NOT(ISNUMBER(M302)),"",IFERROR(IF(L302="EUR",M302,IF(L302="IRR",M302/INDEX('Assumptions &amp; FX Reference'!$C$5:$C$25,MATCH(H302,'Assumptions &amp; FX Reference'!$A$5:$A$25,0)),IF(L302="USD",M302*INDEX('Assumptions &amp; FX Reference'!$B$5:$B$25,MATCH(H302,'Assumptions &amp; FX Reference'!$A$5:$A$25,0))/INDEX('Assumptions &amp; FX Reference'!$C$5:$C$25,MATCH(H302,'Assumptions &amp; FX Reference'!$A$5:$A$25,0)),""))),"(FX missing)"))</f>
        <v/>
      </c>
      <c r="P302" s="42"/>
      <c r="Q302" s="42"/>
      <c r="R302" s="42"/>
      <c r="S302" s="42"/>
      <c r="T302" s="42"/>
      <c r="U302" s="42"/>
      <c r="V302" s="42"/>
    </row>
    <row r="303" customFormat="false" ht="15" hidden="false" customHeight="false" outlineLevel="0" collapsed="false">
      <c r="A303" s="42"/>
      <c r="B303" s="42"/>
      <c r="C303" s="45" t="str">
        <f aca="false">IF(B303="","",IFERROR(INDEX('Master Database'!$D$5:$D$600,MATCH(B303,'Master Database'!$A$5:$A$600,0)),"(row not found)"))</f>
        <v/>
      </c>
      <c r="D303" s="45" t="str">
        <f aca="false">IF(B303="","",IFERROR(INDEX('Master Database'!$B$5:$B$600,MATCH(B303,'Master Database'!$A$5:$A$600,0)),"(row not found)"))</f>
        <v/>
      </c>
      <c r="E303" s="42"/>
      <c r="F303" s="45" t="str">
        <f aca="false">IF(E303="","",IFERROR(INDEX(Vendor_Register!$B$5:$B$205,MATCH(E303,Vendor_Register!$A$5:$A$205,0)),"(not in register)"))</f>
        <v/>
      </c>
      <c r="G303" s="45" t="str">
        <f aca="false">IF(E303="","",IFERROR(INDEX(Vendor_Register!$E$5:$E$205,MATCH(E303,Vendor_Register!$A$5:$A$205,0)),"(not in register)"))</f>
        <v/>
      </c>
      <c r="H303" s="42"/>
      <c r="I303" s="42"/>
      <c r="J303" s="42"/>
      <c r="K303" s="42"/>
      <c r="L303" s="42"/>
      <c r="M303" s="46"/>
      <c r="N303" s="42"/>
      <c r="O303" s="47" t="str">
        <f aca="false">IF(NOT(ISNUMBER(M303)),"",IFERROR(IF(L303="EUR",M303,IF(L303="IRR",M303/INDEX('Assumptions &amp; FX Reference'!$C$5:$C$25,MATCH(H303,'Assumptions &amp; FX Reference'!$A$5:$A$25,0)),IF(L303="USD",M303*INDEX('Assumptions &amp; FX Reference'!$B$5:$B$25,MATCH(H303,'Assumptions &amp; FX Reference'!$A$5:$A$25,0))/INDEX('Assumptions &amp; FX Reference'!$C$5:$C$25,MATCH(H303,'Assumptions &amp; FX Reference'!$A$5:$A$25,0)),""))),"(FX missing)"))</f>
        <v/>
      </c>
      <c r="P303" s="42"/>
      <c r="Q303" s="42"/>
      <c r="R303" s="42"/>
      <c r="S303" s="42"/>
      <c r="T303" s="42"/>
      <c r="U303" s="42"/>
      <c r="V303" s="42"/>
    </row>
    <row r="304" customFormat="false" ht="15" hidden="false" customHeight="false" outlineLevel="0" collapsed="false">
      <c r="A304" s="42"/>
      <c r="B304" s="42"/>
      <c r="C304" s="45" t="str">
        <f aca="false">IF(B304="","",IFERROR(INDEX('Master Database'!$D$5:$D$600,MATCH(B304,'Master Database'!$A$5:$A$600,0)),"(row not found)"))</f>
        <v/>
      </c>
      <c r="D304" s="45" t="str">
        <f aca="false">IF(B304="","",IFERROR(INDEX('Master Database'!$B$5:$B$600,MATCH(B304,'Master Database'!$A$5:$A$600,0)),"(row not found)"))</f>
        <v/>
      </c>
      <c r="E304" s="42"/>
      <c r="F304" s="45" t="str">
        <f aca="false">IF(E304="","",IFERROR(INDEX(Vendor_Register!$B$5:$B$205,MATCH(E304,Vendor_Register!$A$5:$A$205,0)),"(not in register)"))</f>
        <v/>
      </c>
      <c r="G304" s="45" t="str">
        <f aca="false">IF(E304="","",IFERROR(INDEX(Vendor_Register!$E$5:$E$205,MATCH(E304,Vendor_Register!$A$5:$A$205,0)),"(not in register)"))</f>
        <v/>
      </c>
      <c r="H304" s="42"/>
      <c r="I304" s="42"/>
      <c r="J304" s="42"/>
      <c r="K304" s="42"/>
      <c r="L304" s="42"/>
      <c r="M304" s="46"/>
      <c r="N304" s="42"/>
      <c r="O304" s="47" t="str">
        <f aca="false">IF(NOT(ISNUMBER(M304)),"",IFERROR(IF(L304="EUR",M304,IF(L304="IRR",M304/INDEX('Assumptions &amp; FX Reference'!$C$5:$C$25,MATCH(H304,'Assumptions &amp; FX Reference'!$A$5:$A$25,0)),IF(L304="USD",M304*INDEX('Assumptions &amp; FX Reference'!$B$5:$B$25,MATCH(H304,'Assumptions &amp; FX Reference'!$A$5:$A$25,0))/INDEX('Assumptions &amp; FX Reference'!$C$5:$C$25,MATCH(H304,'Assumptions &amp; FX Reference'!$A$5:$A$25,0)),""))),"(FX missing)"))</f>
        <v/>
      </c>
      <c r="P304" s="42"/>
      <c r="Q304" s="42"/>
      <c r="R304" s="42"/>
      <c r="S304" s="42"/>
      <c r="T304" s="42"/>
      <c r="U304" s="42"/>
      <c r="V304" s="42"/>
    </row>
    <row r="305" customFormat="false" ht="15" hidden="false" customHeight="false" outlineLevel="0" collapsed="false">
      <c r="A305" s="42"/>
      <c r="B305" s="42"/>
      <c r="C305" s="45" t="str">
        <f aca="false">IF(B305="","",IFERROR(INDEX('Master Database'!$D$5:$D$600,MATCH(B305,'Master Database'!$A$5:$A$600,0)),"(row not found)"))</f>
        <v/>
      </c>
      <c r="D305" s="45" t="str">
        <f aca="false">IF(B305="","",IFERROR(INDEX('Master Database'!$B$5:$B$600,MATCH(B305,'Master Database'!$A$5:$A$600,0)),"(row not found)"))</f>
        <v/>
      </c>
      <c r="E305" s="42"/>
      <c r="F305" s="45" t="str">
        <f aca="false">IF(E305="","",IFERROR(INDEX(Vendor_Register!$B$5:$B$205,MATCH(E305,Vendor_Register!$A$5:$A$205,0)),"(not in register)"))</f>
        <v/>
      </c>
      <c r="G305" s="45" t="str">
        <f aca="false">IF(E305="","",IFERROR(INDEX(Vendor_Register!$E$5:$E$205,MATCH(E305,Vendor_Register!$A$5:$A$205,0)),"(not in register)"))</f>
        <v/>
      </c>
      <c r="H305" s="42"/>
      <c r="I305" s="42"/>
      <c r="J305" s="42"/>
      <c r="K305" s="42"/>
      <c r="L305" s="42"/>
      <c r="M305" s="46"/>
      <c r="N305" s="42"/>
      <c r="O305" s="47" t="str">
        <f aca="false">IF(NOT(ISNUMBER(M305)),"",IFERROR(IF(L305="EUR",M305,IF(L305="IRR",M305/INDEX('Assumptions &amp; FX Reference'!$C$5:$C$25,MATCH(H305,'Assumptions &amp; FX Reference'!$A$5:$A$25,0)),IF(L305="USD",M305*INDEX('Assumptions &amp; FX Reference'!$B$5:$B$25,MATCH(H305,'Assumptions &amp; FX Reference'!$A$5:$A$25,0))/INDEX('Assumptions &amp; FX Reference'!$C$5:$C$25,MATCH(H305,'Assumptions &amp; FX Reference'!$A$5:$A$25,0)),""))),"(FX missing)"))</f>
        <v/>
      </c>
      <c r="P305" s="42"/>
      <c r="Q305" s="42"/>
      <c r="R305" s="42"/>
      <c r="S305" s="42"/>
      <c r="T305" s="42"/>
      <c r="U305" s="42"/>
      <c r="V305" s="42"/>
    </row>
    <row r="306" customFormat="false" ht="15" hidden="false" customHeight="false" outlineLevel="0" collapsed="false">
      <c r="A306" s="42"/>
      <c r="B306" s="42"/>
      <c r="C306" s="45" t="str">
        <f aca="false">IF(B306="","",IFERROR(INDEX('Master Database'!$D$5:$D$600,MATCH(B306,'Master Database'!$A$5:$A$600,0)),"(row not found)"))</f>
        <v/>
      </c>
      <c r="D306" s="45" t="str">
        <f aca="false">IF(B306="","",IFERROR(INDEX('Master Database'!$B$5:$B$600,MATCH(B306,'Master Database'!$A$5:$A$600,0)),"(row not found)"))</f>
        <v/>
      </c>
      <c r="E306" s="42"/>
      <c r="F306" s="45" t="str">
        <f aca="false">IF(E306="","",IFERROR(INDEX(Vendor_Register!$B$5:$B$205,MATCH(E306,Vendor_Register!$A$5:$A$205,0)),"(not in register)"))</f>
        <v/>
      </c>
      <c r="G306" s="45" t="str">
        <f aca="false">IF(E306="","",IFERROR(INDEX(Vendor_Register!$E$5:$E$205,MATCH(E306,Vendor_Register!$A$5:$A$205,0)),"(not in register)"))</f>
        <v/>
      </c>
      <c r="H306" s="42"/>
      <c r="I306" s="42"/>
      <c r="J306" s="42"/>
      <c r="K306" s="42"/>
      <c r="L306" s="42"/>
      <c r="M306" s="46"/>
      <c r="N306" s="42"/>
      <c r="O306" s="47" t="str">
        <f aca="false">IF(NOT(ISNUMBER(M306)),"",IFERROR(IF(L306="EUR",M306,IF(L306="IRR",M306/INDEX('Assumptions &amp; FX Reference'!$C$5:$C$25,MATCH(H306,'Assumptions &amp; FX Reference'!$A$5:$A$25,0)),IF(L306="USD",M306*INDEX('Assumptions &amp; FX Reference'!$B$5:$B$25,MATCH(H306,'Assumptions &amp; FX Reference'!$A$5:$A$25,0))/INDEX('Assumptions &amp; FX Reference'!$C$5:$C$25,MATCH(H306,'Assumptions &amp; FX Reference'!$A$5:$A$25,0)),""))),"(FX missing)"))</f>
        <v/>
      </c>
      <c r="P306" s="42"/>
      <c r="Q306" s="42"/>
      <c r="R306" s="42"/>
      <c r="S306" s="42"/>
      <c r="T306" s="42"/>
      <c r="U306" s="42"/>
      <c r="V306" s="42"/>
    </row>
    <row r="307" customFormat="false" ht="15" hidden="false" customHeight="false" outlineLevel="0" collapsed="false">
      <c r="A307" s="42"/>
      <c r="B307" s="42"/>
      <c r="C307" s="45" t="str">
        <f aca="false">IF(B307="","",IFERROR(INDEX('Master Database'!$D$5:$D$600,MATCH(B307,'Master Database'!$A$5:$A$600,0)),"(row not found)"))</f>
        <v/>
      </c>
      <c r="D307" s="45" t="str">
        <f aca="false">IF(B307="","",IFERROR(INDEX('Master Database'!$B$5:$B$600,MATCH(B307,'Master Database'!$A$5:$A$600,0)),"(row not found)"))</f>
        <v/>
      </c>
      <c r="E307" s="42"/>
      <c r="F307" s="45" t="str">
        <f aca="false">IF(E307="","",IFERROR(INDEX(Vendor_Register!$B$5:$B$205,MATCH(E307,Vendor_Register!$A$5:$A$205,0)),"(not in register)"))</f>
        <v/>
      </c>
      <c r="G307" s="45" t="str">
        <f aca="false">IF(E307="","",IFERROR(INDEX(Vendor_Register!$E$5:$E$205,MATCH(E307,Vendor_Register!$A$5:$A$205,0)),"(not in register)"))</f>
        <v/>
      </c>
      <c r="H307" s="42"/>
      <c r="I307" s="42"/>
      <c r="J307" s="42"/>
      <c r="K307" s="42"/>
      <c r="L307" s="42"/>
      <c r="M307" s="46"/>
      <c r="N307" s="42"/>
      <c r="O307" s="47" t="str">
        <f aca="false">IF(NOT(ISNUMBER(M307)),"",IFERROR(IF(L307="EUR",M307,IF(L307="IRR",M307/INDEX('Assumptions &amp; FX Reference'!$C$5:$C$25,MATCH(H307,'Assumptions &amp; FX Reference'!$A$5:$A$25,0)),IF(L307="USD",M307*INDEX('Assumptions &amp; FX Reference'!$B$5:$B$25,MATCH(H307,'Assumptions &amp; FX Reference'!$A$5:$A$25,0))/INDEX('Assumptions &amp; FX Reference'!$C$5:$C$25,MATCH(H307,'Assumptions &amp; FX Reference'!$A$5:$A$25,0)),""))),"(FX missing)"))</f>
        <v/>
      </c>
      <c r="P307" s="42"/>
      <c r="Q307" s="42"/>
      <c r="R307" s="42"/>
      <c r="S307" s="42"/>
      <c r="T307" s="42"/>
      <c r="U307" s="42"/>
      <c r="V307" s="42"/>
    </row>
    <row r="308" customFormat="false" ht="15" hidden="false" customHeight="false" outlineLevel="0" collapsed="false">
      <c r="A308" s="42"/>
      <c r="B308" s="42"/>
      <c r="C308" s="45" t="str">
        <f aca="false">IF(B308="","",IFERROR(INDEX('Master Database'!$D$5:$D$600,MATCH(B308,'Master Database'!$A$5:$A$600,0)),"(row not found)"))</f>
        <v/>
      </c>
      <c r="D308" s="45" t="str">
        <f aca="false">IF(B308="","",IFERROR(INDEX('Master Database'!$B$5:$B$600,MATCH(B308,'Master Database'!$A$5:$A$600,0)),"(row not found)"))</f>
        <v/>
      </c>
      <c r="E308" s="42"/>
      <c r="F308" s="45" t="str">
        <f aca="false">IF(E308="","",IFERROR(INDEX(Vendor_Register!$B$5:$B$205,MATCH(E308,Vendor_Register!$A$5:$A$205,0)),"(not in register)"))</f>
        <v/>
      </c>
      <c r="G308" s="45" t="str">
        <f aca="false">IF(E308="","",IFERROR(INDEX(Vendor_Register!$E$5:$E$205,MATCH(E308,Vendor_Register!$A$5:$A$205,0)),"(not in register)"))</f>
        <v/>
      </c>
      <c r="H308" s="42"/>
      <c r="I308" s="42"/>
      <c r="J308" s="42"/>
      <c r="K308" s="42"/>
      <c r="L308" s="42"/>
      <c r="M308" s="46"/>
      <c r="N308" s="42"/>
      <c r="O308" s="47" t="str">
        <f aca="false">IF(NOT(ISNUMBER(M308)),"",IFERROR(IF(L308="EUR",M308,IF(L308="IRR",M308/INDEX('Assumptions &amp; FX Reference'!$C$5:$C$25,MATCH(H308,'Assumptions &amp; FX Reference'!$A$5:$A$25,0)),IF(L308="USD",M308*INDEX('Assumptions &amp; FX Reference'!$B$5:$B$25,MATCH(H308,'Assumptions &amp; FX Reference'!$A$5:$A$25,0))/INDEX('Assumptions &amp; FX Reference'!$C$5:$C$25,MATCH(H308,'Assumptions &amp; FX Reference'!$A$5:$A$25,0)),""))),"(FX missing)"))</f>
        <v/>
      </c>
      <c r="P308" s="42"/>
      <c r="Q308" s="42"/>
      <c r="R308" s="42"/>
      <c r="S308" s="42"/>
      <c r="T308" s="42"/>
      <c r="U308" s="42"/>
      <c r="V308" s="42"/>
    </row>
    <row r="309" customFormat="false" ht="15" hidden="false" customHeight="false" outlineLevel="0" collapsed="false">
      <c r="A309" s="42"/>
      <c r="B309" s="42"/>
      <c r="C309" s="45" t="str">
        <f aca="false">IF(B309="","",IFERROR(INDEX('Master Database'!$D$5:$D$600,MATCH(B309,'Master Database'!$A$5:$A$600,0)),"(row not found)"))</f>
        <v/>
      </c>
      <c r="D309" s="45" t="str">
        <f aca="false">IF(B309="","",IFERROR(INDEX('Master Database'!$B$5:$B$600,MATCH(B309,'Master Database'!$A$5:$A$600,0)),"(row not found)"))</f>
        <v/>
      </c>
      <c r="E309" s="42"/>
      <c r="F309" s="45" t="str">
        <f aca="false">IF(E309="","",IFERROR(INDEX(Vendor_Register!$B$5:$B$205,MATCH(E309,Vendor_Register!$A$5:$A$205,0)),"(not in register)"))</f>
        <v/>
      </c>
      <c r="G309" s="45" t="str">
        <f aca="false">IF(E309="","",IFERROR(INDEX(Vendor_Register!$E$5:$E$205,MATCH(E309,Vendor_Register!$A$5:$A$205,0)),"(not in register)"))</f>
        <v/>
      </c>
      <c r="H309" s="42"/>
      <c r="I309" s="42"/>
      <c r="J309" s="42"/>
      <c r="K309" s="42"/>
      <c r="L309" s="42"/>
      <c r="M309" s="46"/>
      <c r="N309" s="42"/>
      <c r="O309" s="47" t="str">
        <f aca="false">IF(NOT(ISNUMBER(M309)),"",IFERROR(IF(L309="EUR",M309,IF(L309="IRR",M309/INDEX('Assumptions &amp; FX Reference'!$C$5:$C$25,MATCH(H309,'Assumptions &amp; FX Reference'!$A$5:$A$25,0)),IF(L309="USD",M309*INDEX('Assumptions &amp; FX Reference'!$B$5:$B$25,MATCH(H309,'Assumptions &amp; FX Reference'!$A$5:$A$25,0))/INDEX('Assumptions &amp; FX Reference'!$C$5:$C$25,MATCH(H309,'Assumptions &amp; FX Reference'!$A$5:$A$25,0)),""))),"(FX missing)"))</f>
        <v/>
      </c>
      <c r="P309" s="42"/>
      <c r="Q309" s="42"/>
      <c r="R309" s="42"/>
      <c r="S309" s="42"/>
      <c r="T309" s="42"/>
      <c r="U309" s="42"/>
      <c r="V309" s="42"/>
    </row>
    <row r="310" customFormat="false" ht="15" hidden="false" customHeight="false" outlineLevel="0" collapsed="false">
      <c r="A310" s="42"/>
      <c r="B310" s="42"/>
      <c r="C310" s="45" t="str">
        <f aca="false">IF(B310="","",IFERROR(INDEX('Master Database'!$D$5:$D$600,MATCH(B310,'Master Database'!$A$5:$A$600,0)),"(row not found)"))</f>
        <v/>
      </c>
      <c r="D310" s="45" t="str">
        <f aca="false">IF(B310="","",IFERROR(INDEX('Master Database'!$B$5:$B$600,MATCH(B310,'Master Database'!$A$5:$A$600,0)),"(row not found)"))</f>
        <v/>
      </c>
      <c r="E310" s="42"/>
      <c r="F310" s="45" t="str">
        <f aca="false">IF(E310="","",IFERROR(INDEX(Vendor_Register!$B$5:$B$205,MATCH(E310,Vendor_Register!$A$5:$A$205,0)),"(not in register)"))</f>
        <v/>
      </c>
      <c r="G310" s="45" t="str">
        <f aca="false">IF(E310="","",IFERROR(INDEX(Vendor_Register!$E$5:$E$205,MATCH(E310,Vendor_Register!$A$5:$A$205,0)),"(not in register)"))</f>
        <v/>
      </c>
      <c r="H310" s="42"/>
      <c r="I310" s="42"/>
      <c r="J310" s="42"/>
      <c r="K310" s="42"/>
      <c r="L310" s="42"/>
      <c r="M310" s="46"/>
      <c r="N310" s="42"/>
      <c r="O310" s="47" t="str">
        <f aca="false">IF(NOT(ISNUMBER(M310)),"",IFERROR(IF(L310="EUR",M310,IF(L310="IRR",M310/INDEX('Assumptions &amp; FX Reference'!$C$5:$C$25,MATCH(H310,'Assumptions &amp; FX Reference'!$A$5:$A$25,0)),IF(L310="USD",M310*INDEX('Assumptions &amp; FX Reference'!$B$5:$B$25,MATCH(H310,'Assumptions &amp; FX Reference'!$A$5:$A$25,0))/INDEX('Assumptions &amp; FX Reference'!$C$5:$C$25,MATCH(H310,'Assumptions &amp; FX Reference'!$A$5:$A$25,0)),""))),"(FX missing)"))</f>
        <v/>
      </c>
      <c r="P310" s="42"/>
      <c r="Q310" s="42"/>
      <c r="R310" s="42"/>
      <c r="S310" s="42"/>
      <c r="T310" s="42"/>
      <c r="U310" s="42"/>
      <c r="V310" s="42"/>
    </row>
    <row r="311" customFormat="false" ht="15" hidden="false" customHeight="false" outlineLevel="0" collapsed="false">
      <c r="A311" s="42"/>
      <c r="B311" s="42"/>
      <c r="C311" s="45" t="str">
        <f aca="false">IF(B311="","",IFERROR(INDEX('Master Database'!$D$5:$D$600,MATCH(B311,'Master Database'!$A$5:$A$600,0)),"(row not found)"))</f>
        <v/>
      </c>
      <c r="D311" s="45" t="str">
        <f aca="false">IF(B311="","",IFERROR(INDEX('Master Database'!$B$5:$B$600,MATCH(B311,'Master Database'!$A$5:$A$600,0)),"(row not found)"))</f>
        <v/>
      </c>
      <c r="E311" s="42"/>
      <c r="F311" s="45" t="str">
        <f aca="false">IF(E311="","",IFERROR(INDEX(Vendor_Register!$B$5:$B$205,MATCH(E311,Vendor_Register!$A$5:$A$205,0)),"(not in register)"))</f>
        <v/>
      </c>
      <c r="G311" s="45" t="str">
        <f aca="false">IF(E311="","",IFERROR(INDEX(Vendor_Register!$E$5:$E$205,MATCH(E311,Vendor_Register!$A$5:$A$205,0)),"(not in register)"))</f>
        <v/>
      </c>
      <c r="H311" s="42"/>
      <c r="I311" s="42"/>
      <c r="J311" s="42"/>
      <c r="K311" s="42"/>
      <c r="L311" s="42"/>
      <c r="M311" s="46"/>
      <c r="N311" s="42"/>
      <c r="O311" s="47" t="str">
        <f aca="false">IF(NOT(ISNUMBER(M311)),"",IFERROR(IF(L311="EUR",M311,IF(L311="IRR",M311/INDEX('Assumptions &amp; FX Reference'!$C$5:$C$25,MATCH(H311,'Assumptions &amp; FX Reference'!$A$5:$A$25,0)),IF(L311="USD",M311*INDEX('Assumptions &amp; FX Reference'!$B$5:$B$25,MATCH(H311,'Assumptions &amp; FX Reference'!$A$5:$A$25,0))/INDEX('Assumptions &amp; FX Reference'!$C$5:$C$25,MATCH(H311,'Assumptions &amp; FX Reference'!$A$5:$A$25,0)),""))),"(FX missing)"))</f>
        <v/>
      </c>
      <c r="P311" s="42"/>
      <c r="Q311" s="42"/>
      <c r="R311" s="42"/>
      <c r="S311" s="42"/>
      <c r="T311" s="42"/>
      <c r="U311" s="42"/>
      <c r="V311" s="42"/>
    </row>
    <row r="312" customFormat="false" ht="15" hidden="false" customHeight="false" outlineLevel="0" collapsed="false">
      <c r="A312" s="42"/>
      <c r="B312" s="42"/>
      <c r="C312" s="45" t="str">
        <f aca="false">IF(B312="","",IFERROR(INDEX('Master Database'!$D$5:$D$600,MATCH(B312,'Master Database'!$A$5:$A$600,0)),"(row not found)"))</f>
        <v/>
      </c>
      <c r="D312" s="45" t="str">
        <f aca="false">IF(B312="","",IFERROR(INDEX('Master Database'!$B$5:$B$600,MATCH(B312,'Master Database'!$A$5:$A$600,0)),"(row not found)"))</f>
        <v/>
      </c>
      <c r="E312" s="42"/>
      <c r="F312" s="45" t="str">
        <f aca="false">IF(E312="","",IFERROR(INDEX(Vendor_Register!$B$5:$B$205,MATCH(E312,Vendor_Register!$A$5:$A$205,0)),"(not in register)"))</f>
        <v/>
      </c>
      <c r="G312" s="45" t="str">
        <f aca="false">IF(E312="","",IFERROR(INDEX(Vendor_Register!$E$5:$E$205,MATCH(E312,Vendor_Register!$A$5:$A$205,0)),"(not in register)"))</f>
        <v/>
      </c>
      <c r="H312" s="42"/>
      <c r="I312" s="42"/>
      <c r="J312" s="42"/>
      <c r="K312" s="42"/>
      <c r="L312" s="42"/>
      <c r="M312" s="46"/>
      <c r="N312" s="42"/>
      <c r="O312" s="47" t="str">
        <f aca="false">IF(NOT(ISNUMBER(M312)),"",IFERROR(IF(L312="EUR",M312,IF(L312="IRR",M312/INDEX('Assumptions &amp; FX Reference'!$C$5:$C$25,MATCH(H312,'Assumptions &amp; FX Reference'!$A$5:$A$25,0)),IF(L312="USD",M312*INDEX('Assumptions &amp; FX Reference'!$B$5:$B$25,MATCH(H312,'Assumptions &amp; FX Reference'!$A$5:$A$25,0))/INDEX('Assumptions &amp; FX Reference'!$C$5:$C$25,MATCH(H312,'Assumptions &amp; FX Reference'!$A$5:$A$25,0)),""))),"(FX missing)"))</f>
        <v/>
      </c>
      <c r="P312" s="42"/>
      <c r="Q312" s="42"/>
      <c r="R312" s="42"/>
      <c r="S312" s="42"/>
      <c r="T312" s="42"/>
      <c r="U312" s="42"/>
      <c r="V312" s="42"/>
    </row>
    <row r="313" customFormat="false" ht="15" hidden="false" customHeight="false" outlineLevel="0" collapsed="false">
      <c r="A313" s="42"/>
      <c r="B313" s="42"/>
      <c r="C313" s="45" t="str">
        <f aca="false">IF(B313="","",IFERROR(INDEX('Master Database'!$D$5:$D$600,MATCH(B313,'Master Database'!$A$5:$A$600,0)),"(row not found)"))</f>
        <v/>
      </c>
      <c r="D313" s="45" t="str">
        <f aca="false">IF(B313="","",IFERROR(INDEX('Master Database'!$B$5:$B$600,MATCH(B313,'Master Database'!$A$5:$A$600,0)),"(row not found)"))</f>
        <v/>
      </c>
      <c r="E313" s="42"/>
      <c r="F313" s="45" t="str">
        <f aca="false">IF(E313="","",IFERROR(INDEX(Vendor_Register!$B$5:$B$205,MATCH(E313,Vendor_Register!$A$5:$A$205,0)),"(not in register)"))</f>
        <v/>
      </c>
      <c r="G313" s="45" t="str">
        <f aca="false">IF(E313="","",IFERROR(INDEX(Vendor_Register!$E$5:$E$205,MATCH(E313,Vendor_Register!$A$5:$A$205,0)),"(not in register)"))</f>
        <v/>
      </c>
      <c r="H313" s="42"/>
      <c r="I313" s="42"/>
      <c r="J313" s="42"/>
      <c r="K313" s="42"/>
      <c r="L313" s="42"/>
      <c r="M313" s="46"/>
      <c r="N313" s="42"/>
      <c r="O313" s="47" t="str">
        <f aca="false">IF(NOT(ISNUMBER(M313)),"",IFERROR(IF(L313="EUR",M313,IF(L313="IRR",M313/INDEX('Assumptions &amp; FX Reference'!$C$5:$C$25,MATCH(H313,'Assumptions &amp; FX Reference'!$A$5:$A$25,0)),IF(L313="USD",M313*INDEX('Assumptions &amp; FX Reference'!$B$5:$B$25,MATCH(H313,'Assumptions &amp; FX Reference'!$A$5:$A$25,0))/INDEX('Assumptions &amp; FX Reference'!$C$5:$C$25,MATCH(H313,'Assumptions &amp; FX Reference'!$A$5:$A$25,0)),""))),"(FX missing)"))</f>
        <v/>
      </c>
      <c r="P313" s="42"/>
      <c r="Q313" s="42"/>
      <c r="R313" s="42"/>
      <c r="S313" s="42"/>
      <c r="T313" s="42"/>
      <c r="U313" s="42"/>
      <c r="V313" s="42"/>
    </row>
    <row r="314" customFormat="false" ht="15" hidden="false" customHeight="false" outlineLevel="0" collapsed="false">
      <c r="A314" s="42"/>
      <c r="B314" s="42"/>
      <c r="C314" s="45" t="str">
        <f aca="false">IF(B314="","",IFERROR(INDEX('Master Database'!$D$5:$D$600,MATCH(B314,'Master Database'!$A$5:$A$600,0)),"(row not found)"))</f>
        <v/>
      </c>
      <c r="D314" s="45" t="str">
        <f aca="false">IF(B314="","",IFERROR(INDEX('Master Database'!$B$5:$B$600,MATCH(B314,'Master Database'!$A$5:$A$600,0)),"(row not found)"))</f>
        <v/>
      </c>
      <c r="E314" s="42"/>
      <c r="F314" s="45" t="str">
        <f aca="false">IF(E314="","",IFERROR(INDEX(Vendor_Register!$B$5:$B$205,MATCH(E314,Vendor_Register!$A$5:$A$205,0)),"(not in register)"))</f>
        <v/>
      </c>
      <c r="G314" s="45" t="str">
        <f aca="false">IF(E314="","",IFERROR(INDEX(Vendor_Register!$E$5:$E$205,MATCH(E314,Vendor_Register!$A$5:$A$205,0)),"(not in register)"))</f>
        <v/>
      </c>
      <c r="H314" s="42"/>
      <c r="I314" s="42"/>
      <c r="J314" s="42"/>
      <c r="K314" s="42"/>
      <c r="L314" s="42"/>
      <c r="M314" s="46"/>
      <c r="N314" s="42"/>
      <c r="O314" s="47" t="str">
        <f aca="false">IF(NOT(ISNUMBER(M314)),"",IFERROR(IF(L314="EUR",M314,IF(L314="IRR",M314/INDEX('Assumptions &amp; FX Reference'!$C$5:$C$25,MATCH(H314,'Assumptions &amp; FX Reference'!$A$5:$A$25,0)),IF(L314="USD",M314*INDEX('Assumptions &amp; FX Reference'!$B$5:$B$25,MATCH(H314,'Assumptions &amp; FX Reference'!$A$5:$A$25,0))/INDEX('Assumptions &amp; FX Reference'!$C$5:$C$25,MATCH(H314,'Assumptions &amp; FX Reference'!$A$5:$A$25,0)),""))),"(FX missing)"))</f>
        <v/>
      </c>
      <c r="P314" s="42"/>
      <c r="Q314" s="42"/>
      <c r="R314" s="42"/>
      <c r="S314" s="42"/>
      <c r="T314" s="42"/>
      <c r="U314" s="42"/>
      <c r="V314" s="42"/>
    </row>
    <row r="315" customFormat="false" ht="15" hidden="false" customHeight="false" outlineLevel="0" collapsed="false">
      <c r="A315" s="42"/>
      <c r="B315" s="42"/>
      <c r="C315" s="45" t="str">
        <f aca="false">IF(B315="","",IFERROR(INDEX('Master Database'!$D$5:$D$600,MATCH(B315,'Master Database'!$A$5:$A$600,0)),"(row not found)"))</f>
        <v/>
      </c>
      <c r="D315" s="45" t="str">
        <f aca="false">IF(B315="","",IFERROR(INDEX('Master Database'!$B$5:$B$600,MATCH(B315,'Master Database'!$A$5:$A$600,0)),"(row not found)"))</f>
        <v/>
      </c>
      <c r="E315" s="42"/>
      <c r="F315" s="45" t="str">
        <f aca="false">IF(E315="","",IFERROR(INDEX(Vendor_Register!$B$5:$B$205,MATCH(E315,Vendor_Register!$A$5:$A$205,0)),"(not in register)"))</f>
        <v/>
      </c>
      <c r="G315" s="45" t="str">
        <f aca="false">IF(E315="","",IFERROR(INDEX(Vendor_Register!$E$5:$E$205,MATCH(E315,Vendor_Register!$A$5:$A$205,0)),"(not in register)"))</f>
        <v/>
      </c>
      <c r="H315" s="42"/>
      <c r="I315" s="42"/>
      <c r="J315" s="42"/>
      <c r="K315" s="42"/>
      <c r="L315" s="42"/>
      <c r="M315" s="46"/>
      <c r="N315" s="42"/>
      <c r="O315" s="47" t="str">
        <f aca="false">IF(NOT(ISNUMBER(M315)),"",IFERROR(IF(L315="EUR",M315,IF(L315="IRR",M315/INDEX('Assumptions &amp; FX Reference'!$C$5:$C$25,MATCH(H315,'Assumptions &amp; FX Reference'!$A$5:$A$25,0)),IF(L315="USD",M315*INDEX('Assumptions &amp; FX Reference'!$B$5:$B$25,MATCH(H315,'Assumptions &amp; FX Reference'!$A$5:$A$25,0))/INDEX('Assumptions &amp; FX Reference'!$C$5:$C$25,MATCH(H315,'Assumptions &amp; FX Reference'!$A$5:$A$25,0)),""))),"(FX missing)"))</f>
        <v/>
      </c>
      <c r="P315" s="42"/>
      <c r="Q315" s="42"/>
      <c r="R315" s="42"/>
      <c r="S315" s="42"/>
      <c r="T315" s="42"/>
      <c r="U315" s="42"/>
      <c r="V315" s="42"/>
    </row>
    <row r="316" customFormat="false" ht="15" hidden="false" customHeight="false" outlineLevel="0" collapsed="false">
      <c r="A316" s="42"/>
      <c r="B316" s="42"/>
      <c r="C316" s="45" t="str">
        <f aca="false">IF(B316="","",IFERROR(INDEX('Master Database'!$D$5:$D$600,MATCH(B316,'Master Database'!$A$5:$A$600,0)),"(row not found)"))</f>
        <v/>
      </c>
      <c r="D316" s="45" t="str">
        <f aca="false">IF(B316="","",IFERROR(INDEX('Master Database'!$B$5:$B$600,MATCH(B316,'Master Database'!$A$5:$A$600,0)),"(row not found)"))</f>
        <v/>
      </c>
      <c r="E316" s="42"/>
      <c r="F316" s="45" t="str">
        <f aca="false">IF(E316="","",IFERROR(INDEX(Vendor_Register!$B$5:$B$205,MATCH(E316,Vendor_Register!$A$5:$A$205,0)),"(not in register)"))</f>
        <v/>
      </c>
      <c r="G316" s="45" t="str">
        <f aca="false">IF(E316="","",IFERROR(INDEX(Vendor_Register!$E$5:$E$205,MATCH(E316,Vendor_Register!$A$5:$A$205,0)),"(not in register)"))</f>
        <v/>
      </c>
      <c r="H316" s="42"/>
      <c r="I316" s="42"/>
      <c r="J316" s="42"/>
      <c r="K316" s="42"/>
      <c r="L316" s="42"/>
      <c r="M316" s="46"/>
      <c r="N316" s="42"/>
      <c r="O316" s="47" t="str">
        <f aca="false">IF(NOT(ISNUMBER(M316)),"",IFERROR(IF(L316="EUR",M316,IF(L316="IRR",M316/INDEX('Assumptions &amp; FX Reference'!$C$5:$C$25,MATCH(H316,'Assumptions &amp; FX Reference'!$A$5:$A$25,0)),IF(L316="USD",M316*INDEX('Assumptions &amp; FX Reference'!$B$5:$B$25,MATCH(H316,'Assumptions &amp; FX Reference'!$A$5:$A$25,0))/INDEX('Assumptions &amp; FX Reference'!$C$5:$C$25,MATCH(H316,'Assumptions &amp; FX Reference'!$A$5:$A$25,0)),""))),"(FX missing)"))</f>
        <v/>
      </c>
      <c r="P316" s="42"/>
      <c r="Q316" s="42"/>
      <c r="R316" s="42"/>
      <c r="S316" s="42"/>
      <c r="T316" s="42"/>
      <c r="U316" s="42"/>
      <c r="V316" s="42"/>
    </row>
    <row r="317" customFormat="false" ht="15" hidden="false" customHeight="false" outlineLevel="0" collapsed="false">
      <c r="A317" s="42"/>
      <c r="B317" s="42"/>
      <c r="C317" s="45" t="str">
        <f aca="false">IF(B317="","",IFERROR(INDEX('Master Database'!$D$5:$D$600,MATCH(B317,'Master Database'!$A$5:$A$600,0)),"(row not found)"))</f>
        <v/>
      </c>
      <c r="D317" s="45" t="str">
        <f aca="false">IF(B317="","",IFERROR(INDEX('Master Database'!$B$5:$B$600,MATCH(B317,'Master Database'!$A$5:$A$600,0)),"(row not found)"))</f>
        <v/>
      </c>
      <c r="E317" s="42"/>
      <c r="F317" s="45" t="str">
        <f aca="false">IF(E317="","",IFERROR(INDEX(Vendor_Register!$B$5:$B$205,MATCH(E317,Vendor_Register!$A$5:$A$205,0)),"(not in register)"))</f>
        <v/>
      </c>
      <c r="G317" s="45" t="str">
        <f aca="false">IF(E317="","",IFERROR(INDEX(Vendor_Register!$E$5:$E$205,MATCH(E317,Vendor_Register!$A$5:$A$205,0)),"(not in register)"))</f>
        <v/>
      </c>
      <c r="H317" s="42"/>
      <c r="I317" s="42"/>
      <c r="J317" s="42"/>
      <c r="K317" s="42"/>
      <c r="L317" s="42"/>
      <c r="M317" s="46"/>
      <c r="N317" s="42"/>
      <c r="O317" s="47" t="str">
        <f aca="false">IF(NOT(ISNUMBER(M317)),"",IFERROR(IF(L317="EUR",M317,IF(L317="IRR",M317/INDEX('Assumptions &amp; FX Reference'!$C$5:$C$25,MATCH(H317,'Assumptions &amp; FX Reference'!$A$5:$A$25,0)),IF(L317="USD",M317*INDEX('Assumptions &amp; FX Reference'!$B$5:$B$25,MATCH(H317,'Assumptions &amp; FX Reference'!$A$5:$A$25,0))/INDEX('Assumptions &amp; FX Reference'!$C$5:$C$25,MATCH(H317,'Assumptions &amp; FX Reference'!$A$5:$A$25,0)),""))),"(FX missing)"))</f>
        <v/>
      </c>
      <c r="P317" s="42"/>
      <c r="Q317" s="42"/>
      <c r="R317" s="42"/>
      <c r="S317" s="42"/>
      <c r="T317" s="42"/>
      <c r="U317" s="42"/>
      <c r="V317" s="42"/>
    </row>
    <row r="318" customFormat="false" ht="15" hidden="false" customHeight="false" outlineLevel="0" collapsed="false">
      <c r="A318" s="42"/>
      <c r="B318" s="42"/>
      <c r="C318" s="45" t="str">
        <f aca="false">IF(B318="","",IFERROR(INDEX('Master Database'!$D$5:$D$600,MATCH(B318,'Master Database'!$A$5:$A$600,0)),"(row not found)"))</f>
        <v/>
      </c>
      <c r="D318" s="45" t="str">
        <f aca="false">IF(B318="","",IFERROR(INDEX('Master Database'!$B$5:$B$600,MATCH(B318,'Master Database'!$A$5:$A$600,0)),"(row not found)"))</f>
        <v/>
      </c>
      <c r="E318" s="42"/>
      <c r="F318" s="45" t="str">
        <f aca="false">IF(E318="","",IFERROR(INDEX(Vendor_Register!$B$5:$B$205,MATCH(E318,Vendor_Register!$A$5:$A$205,0)),"(not in register)"))</f>
        <v/>
      </c>
      <c r="G318" s="45" t="str">
        <f aca="false">IF(E318="","",IFERROR(INDEX(Vendor_Register!$E$5:$E$205,MATCH(E318,Vendor_Register!$A$5:$A$205,0)),"(not in register)"))</f>
        <v/>
      </c>
      <c r="H318" s="42"/>
      <c r="I318" s="42"/>
      <c r="J318" s="42"/>
      <c r="K318" s="42"/>
      <c r="L318" s="42"/>
      <c r="M318" s="46"/>
      <c r="N318" s="42"/>
      <c r="O318" s="47" t="str">
        <f aca="false">IF(NOT(ISNUMBER(M318)),"",IFERROR(IF(L318="EUR",M318,IF(L318="IRR",M318/INDEX('Assumptions &amp; FX Reference'!$C$5:$C$25,MATCH(H318,'Assumptions &amp; FX Reference'!$A$5:$A$25,0)),IF(L318="USD",M318*INDEX('Assumptions &amp; FX Reference'!$B$5:$B$25,MATCH(H318,'Assumptions &amp; FX Reference'!$A$5:$A$25,0))/INDEX('Assumptions &amp; FX Reference'!$C$5:$C$25,MATCH(H318,'Assumptions &amp; FX Reference'!$A$5:$A$25,0)),""))),"(FX missing)"))</f>
        <v/>
      </c>
      <c r="P318" s="42"/>
      <c r="Q318" s="42"/>
      <c r="R318" s="42"/>
      <c r="S318" s="42"/>
      <c r="T318" s="42"/>
      <c r="U318" s="42"/>
      <c r="V318" s="42"/>
    </row>
    <row r="319" customFormat="false" ht="15" hidden="false" customHeight="false" outlineLevel="0" collapsed="false">
      <c r="A319" s="42"/>
      <c r="B319" s="42"/>
      <c r="C319" s="45" t="str">
        <f aca="false">IF(B319="","",IFERROR(INDEX('Master Database'!$D$5:$D$600,MATCH(B319,'Master Database'!$A$5:$A$600,0)),"(row not found)"))</f>
        <v/>
      </c>
      <c r="D319" s="45" t="str">
        <f aca="false">IF(B319="","",IFERROR(INDEX('Master Database'!$B$5:$B$600,MATCH(B319,'Master Database'!$A$5:$A$600,0)),"(row not found)"))</f>
        <v/>
      </c>
      <c r="E319" s="42"/>
      <c r="F319" s="45" t="str">
        <f aca="false">IF(E319="","",IFERROR(INDEX(Vendor_Register!$B$5:$B$205,MATCH(E319,Vendor_Register!$A$5:$A$205,0)),"(not in register)"))</f>
        <v/>
      </c>
      <c r="G319" s="45" t="str">
        <f aca="false">IF(E319="","",IFERROR(INDEX(Vendor_Register!$E$5:$E$205,MATCH(E319,Vendor_Register!$A$5:$A$205,0)),"(not in register)"))</f>
        <v/>
      </c>
      <c r="H319" s="42"/>
      <c r="I319" s="42"/>
      <c r="J319" s="42"/>
      <c r="K319" s="42"/>
      <c r="L319" s="42"/>
      <c r="M319" s="46"/>
      <c r="N319" s="42"/>
      <c r="O319" s="47" t="str">
        <f aca="false">IF(NOT(ISNUMBER(M319)),"",IFERROR(IF(L319="EUR",M319,IF(L319="IRR",M319/INDEX('Assumptions &amp; FX Reference'!$C$5:$C$25,MATCH(H319,'Assumptions &amp; FX Reference'!$A$5:$A$25,0)),IF(L319="USD",M319*INDEX('Assumptions &amp; FX Reference'!$B$5:$B$25,MATCH(H319,'Assumptions &amp; FX Reference'!$A$5:$A$25,0))/INDEX('Assumptions &amp; FX Reference'!$C$5:$C$25,MATCH(H319,'Assumptions &amp; FX Reference'!$A$5:$A$25,0)),""))),"(FX missing)"))</f>
        <v/>
      </c>
      <c r="P319" s="42"/>
      <c r="Q319" s="42"/>
      <c r="R319" s="42"/>
      <c r="S319" s="42"/>
      <c r="T319" s="42"/>
      <c r="U319" s="42"/>
      <c r="V319" s="42"/>
    </row>
    <row r="320" customFormat="false" ht="15" hidden="false" customHeight="false" outlineLevel="0" collapsed="false">
      <c r="A320" s="42"/>
      <c r="B320" s="42"/>
      <c r="C320" s="45" t="str">
        <f aca="false">IF(B320="","",IFERROR(INDEX('Master Database'!$D$5:$D$600,MATCH(B320,'Master Database'!$A$5:$A$600,0)),"(row not found)"))</f>
        <v/>
      </c>
      <c r="D320" s="45" t="str">
        <f aca="false">IF(B320="","",IFERROR(INDEX('Master Database'!$B$5:$B$600,MATCH(B320,'Master Database'!$A$5:$A$600,0)),"(row not found)"))</f>
        <v/>
      </c>
      <c r="E320" s="42"/>
      <c r="F320" s="45" t="str">
        <f aca="false">IF(E320="","",IFERROR(INDEX(Vendor_Register!$B$5:$B$205,MATCH(E320,Vendor_Register!$A$5:$A$205,0)),"(not in register)"))</f>
        <v/>
      </c>
      <c r="G320" s="45" t="str">
        <f aca="false">IF(E320="","",IFERROR(INDEX(Vendor_Register!$E$5:$E$205,MATCH(E320,Vendor_Register!$A$5:$A$205,0)),"(not in register)"))</f>
        <v/>
      </c>
      <c r="H320" s="42"/>
      <c r="I320" s="42"/>
      <c r="J320" s="42"/>
      <c r="K320" s="42"/>
      <c r="L320" s="42"/>
      <c r="M320" s="46"/>
      <c r="N320" s="42"/>
      <c r="O320" s="47" t="str">
        <f aca="false">IF(NOT(ISNUMBER(M320)),"",IFERROR(IF(L320="EUR",M320,IF(L320="IRR",M320/INDEX('Assumptions &amp; FX Reference'!$C$5:$C$25,MATCH(H320,'Assumptions &amp; FX Reference'!$A$5:$A$25,0)),IF(L320="USD",M320*INDEX('Assumptions &amp; FX Reference'!$B$5:$B$25,MATCH(H320,'Assumptions &amp; FX Reference'!$A$5:$A$25,0))/INDEX('Assumptions &amp; FX Reference'!$C$5:$C$25,MATCH(H320,'Assumptions &amp; FX Reference'!$A$5:$A$25,0)),""))),"(FX missing)"))</f>
        <v/>
      </c>
      <c r="P320" s="42"/>
      <c r="Q320" s="42"/>
      <c r="R320" s="42"/>
      <c r="S320" s="42"/>
      <c r="T320" s="42"/>
      <c r="U320" s="42"/>
      <c r="V320" s="42"/>
    </row>
    <row r="321" customFormat="false" ht="15" hidden="false" customHeight="false" outlineLevel="0" collapsed="false">
      <c r="A321" s="42"/>
      <c r="B321" s="42"/>
      <c r="C321" s="45" t="str">
        <f aca="false">IF(B321="","",IFERROR(INDEX('Master Database'!$D$5:$D$600,MATCH(B321,'Master Database'!$A$5:$A$600,0)),"(row not found)"))</f>
        <v/>
      </c>
      <c r="D321" s="45" t="str">
        <f aca="false">IF(B321="","",IFERROR(INDEX('Master Database'!$B$5:$B$600,MATCH(B321,'Master Database'!$A$5:$A$600,0)),"(row not found)"))</f>
        <v/>
      </c>
      <c r="E321" s="42"/>
      <c r="F321" s="45" t="str">
        <f aca="false">IF(E321="","",IFERROR(INDEX(Vendor_Register!$B$5:$B$205,MATCH(E321,Vendor_Register!$A$5:$A$205,0)),"(not in register)"))</f>
        <v/>
      </c>
      <c r="G321" s="45" t="str">
        <f aca="false">IF(E321="","",IFERROR(INDEX(Vendor_Register!$E$5:$E$205,MATCH(E321,Vendor_Register!$A$5:$A$205,0)),"(not in register)"))</f>
        <v/>
      </c>
      <c r="H321" s="42"/>
      <c r="I321" s="42"/>
      <c r="J321" s="42"/>
      <c r="K321" s="42"/>
      <c r="L321" s="42"/>
      <c r="M321" s="46"/>
      <c r="N321" s="42"/>
      <c r="O321" s="47" t="str">
        <f aca="false">IF(NOT(ISNUMBER(M321)),"",IFERROR(IF(L321="EUR",M321,IF(L321="IRR",M321/INDEX('Assumptions &amp; FX Reference'!$C$5:$C$25,MATCH(H321,'Assumptions &amp; FX Reference'!$A$5:$A$25,0)),IF(L321="USD",M321*INDEX('Assumptions &amp; FX Reference'!$B$5:$B$25,MATCH(H321,'Assumptions &amp; FX Reference'!$A$5:$A$25,0))/INDEX('Assumptions &amp; FX Reference'!$C$5:$C$25,MATCH(H321,'Assumptions &amp; FX Reference'!$A$5:$A$25,0)),""))),"(FX missing)"))</f>
        <v/>
      </c>
      <c r="P321" s="42"/>
      <c r="Q321" s="42"/>
      <c r="R321" s="42"/>
      <c r="S321" s="42"/>
      <c r="T321" s="42"/>
      <c r="U321" s="42"/>
      <c r="V321" s="42"/>
    </row>
    <row r="322" customFormat="false" ht="15" hidden="false" customHeight="false" outlineLevel="0" collapsed="false">
      <c r="A322" s="42"/>
      <c r="B322" s="42"/>
      <c r="C322" s="45" t="str">
        <f aca="false">IF(B322="","",IFERROR(INDEX('Master Database'!$D$5:$D$600,MATCH(B322,'Master Database'!$A$5:$A$600,0)),"(row not found)"))</f>
        <v/>
      </c>
      <c r="D322" s="45" t="str">
        <f aca="false">IF(B322="","",IFERROR(INDEX('Master Database'!$B$5:$B$600,MATCH(B322,'Master Database'!$A$5:$A$600,0)),"(row not found)"))</f>
        <v/>
      </c>
      <c r="E322" s="42"/>
      <c r="F322" s="45" t="str">
        <f aca="false">IF(E322="","",IFERROR(INDEX(Vendor_Register!$B$5:$B$205,MATCH(E322,Vendor_Register!$A$5:$A$205,0)),"(not in register)"))</f>
        <v/>
      </c>
      <c r="G322" s="45" t="str">
        <f aca="false">IF(E322="","",IFERROR(INDEX(Vendor_Register!$E$5:$E$205,MATCH(E322,Vendor_Register!$A$5:$A$205,0)),"(not in register)"))</f>
        <v/>
      </c>
      <c r="H322" s="42"/>
      <c r="I322" s="42"/>
      <c r="J322" s="42"/>
      <c r="K322" s="42"/>
      <c r="L322" s="42"/>
      <c r="M322" s="46"/>
      <c r="N322" s="42"/>
      <c r="O322" s="47" t="str">
        <f aca="false">IF(NOT(ISNUMBER(M322)),"",IFERROR(IF(L322="EUR",M322,IF(L322="IRR",M322/INDEX('Assumptions &amp; FX Reference'!$C$5:$C$25,MATCH(H322,'Assumptions &amp; FX Reference'!$A$5:$A$25,0)),IF(L322="USD",M322*INDEX('Assumptions &amp; FX Reference'!$B$5:$B$25,MATCH(H322,'Assumptions &amp; FX Reference'!$A$5:$A$25,0))/INDEX('Assumptions &amp; FX Reference'!$C$5:$C$25,MATCH(H322,'Assumptions &amp; FX Reference'!$A$5:$A$25,0)),""))),"(FX missing)"))</f>
        <v/>
      </c>
      <c r="P322" s="42"/>
      <c r="Q322" s="42"/>
      <c r="R322" s="42"/>
      <c r="S322" s="42"/>
      <c r="T322" s="42"/>
      <c r="U322" s="42"/>
      <c r="V322" s="42"/>
    </row>
    <row r="323" customFormat="false" ht="15" hidden="false" customHeight="false" outlineLevel="0" collapsed="false">
      <c r="A323" s="42"/>
      <c r="B323" s="42"/>
      <c r="C323" s="45" t="str">
        <f aca="false">IF(B323="","",IFERROR(INDEX('Master Database'!$D$5:$D$600,MATCH(B323,'Master Database'!$A$5:$A$600,0)),"(row not found)"))</f>
        <v/>
      </c>
      <c r="D323" s="45" t="str">
        <f aca="false">IF(B323="","",IFERROR(INDEX('Master Database'!$B$5:$B$600,MATCH(B323,'Master Database'!$A$5:$A$600,0)),"(row not found)"))</f>
        <v/>
      </c>
      <c r="E323" s="42"/>
      <c r="F323" s="45" t="str">
        <f aca="false">IF(E323="","",IFERROR(INDEX(Vendor_Register!$B$5:$B$205,MATCH(E323,Vendor_Register!$A$5:$A$205,0)),"(not in register)"))</f>
        <v/>
      </c>
      <c r="G323" s="45" t="str">
        <f aca="false">IF(E323="","",IFERROR(INDEX(Vendor_Register!$E$5:$E$205,MATCH(E323,Vendor_Register!$A$5:$A$205,0)),"(not in register)"))</f>
        <v/>
      </c>
      <c r="H323" s="42"/>
      <c r="I323" s="42"/>
      <c r="J323" s="42"/>
      <c r="K323" s="42"/>
      <c r="L323" s="42"/>
      <c r="M323" s="46"/>
      <c r="N323" s="42"/>
      <c r="O323" s="47" t="str">
        <f aca="false">IF(NOT(ISNUMBER(M323)),"",IFERROR(IF(L323="EUR",M323,IF(L323="IRR",M323/INDEX('Assumptions &amp; FX Reference'!$C$5:$C$25,MATCH(H323,'Assumptions &amp; FX Reference'!$A$5:$A$25,0)),IF(L323="USD",M323*INDEX('Assumptions &amp; FX Reference'!$B$5:$B$25,MATCH(H323,'Assumptions &amp; FX Reference'!$A$5:$A$25,0))/INDEX('Assumptions &amp; FX Reference'!$C$5:$C$25,MATCH(H323,'Assumptions &amp; FX Reference'!$A$5:$A$25,0)),""))),"(FX missing)"))</f>
        <v/>
      </c>
      <c r="P323" s="42"/>
      <c r="Q323" s="42"/>
      <c r="R323" s="42"/>
      <c r="S323" s="42"/>
      <c r="T323" s="42"/>
      <c r="U323" s="42"/>
      <c r="V323" s="42"/>
    </row>
    <row r="324" customFormat="false" ht="15" hidden="false" customHeight="false" outlineLevel="0" collapsed="false">
      <c r="A324" s="42"/>
      <c r="B324" s="42"/>
      <c r="C324" s="45" t="str">
        <f aca="false">IF(B324="","",IFERROR(INDEX('Master Database'!$D$5:$D$600,MATCH(B324,'Master Database'!$A$5:$A$600,0)),"(row not found)"))</f>
        <v/>
      </c>
      <c r="D324" s="45" t="str">
        <f aca="false">IF(B324="","",IFERROR(INDEX('Master Database'!$B$5:$B$600,MATCH(B324,'Master Database'!$A$5:$A$600,0)),"(row not found)"))</f>
        <v/>
      </c>
      <c r="E324" s="42"/>
      <c r="F324" s="45" t="str">
        <f aca="false">IF(E324="","",IFERROR(INDEX(Vendor_Register!$B$5:$B$205,MATCH(E324,Vendor_Register!$A$5:$A$205,0)),"(not in register)"))</f>
        <v/>
      </c>
      <c r="G324" s="45" t="str">
        <f aca="false">IF(E324="","",IFERROR(INDEX(Vendor_Register!$E$5:$E$205,MATCH(E324,Vendor_Register!$A$5:$A$205,0)),"(not in register)"))</f>
        <v/>
      </c>
      <c r="H324" s="42"/>
      <c r="I324" s="42"/>
      <c r="J324" s="42"/>
      <c r="K324" s="42"/>
      <c r="L324" s="42"/>
      <c r="M324" s="46"/>
      <c r="N324" s="42"/>
      <c r="O324" s="47" t="str">
        <f aca="false">IF(NOT(ISNUMBER(M324)),"",IFERROR(IF(L324="EUR",M324,IF(L324="IRR",M324/INDEX('Assumptions &amp; FX Reference'!$C$5:$C$25,MATCH(H324,'Assumptions &amp; FX Reference'!$A$5:$A$25,0)),IF(L324="USD",M324*INDEX('Assumptions &amp; FX Reference'!$B$5:$B$25,MATCH(H324,'Assumptions &amp; FX Reference'!$A$5:$A$25,0))/INDEX('Assumptions &amp; FX Reference'!$C$5:$C$25,MATCH(H324,'Assumptions &amp; FX Reference'!$A$5:$A$25,0)),""))),"(FX missing)"))</f>
        <v/>
      </c>
      <c r="P324" s="42"/>
      <c r="Q324" s="42"/>
      <c r="R324" s="42"/>
      <c r="S324" s="42"/>
      <c r="T324" s="42"/>
      <c r="U324" s="42"/>
      <c r="V324" s="42"/>
    </row>
    <row r="325" customFormat="false" ht="15" hidden="false" customHeight="false" outlineLevel="0" collapsed="false">
      <c r="A325" s="42"/>
      <c r="B325" s="42"/>
      <c r="C325" s="45" t="str">
        <f aca="false">IF(B325="","",IFERROR(INDEX('Master Database'!$D$5:$D$600,MATCH(B325,'Master Database'!$A$5:$A$600,0)),"(row not found)"))</f>
        <v/>
      </c>
      <c r="D325" s="45" t="str">
        <f aca="false">IF(B325="","",IFERROR(INDEX('Master Database'!$B$5:$B$600,MATCH(B325,'Master Database'!$A$5:$A$600,0)),"(row not found)"))</f>
        <v/>
      </c>
      <c r="E325" s="42"/>
      <c r="F325" s="45" t="str">
        <f aca="false">IF(E325="","",IFERROR(INDEX(Vendor_Register!$B$5:$B$205,MATCH(E325,Vendor_Register!$A$5:$A$205,0)),"(not in register)"))</f>
        <v/>
      </c>
      <c r="G325" s="45" t="str">
        <f aca="false">IF(E325="","",IFERROR(INDEX(Vendor_Register!$E$5:$E$205,MATCH(E325,Vendor_Register!$A$5:$A$205,0)),"(not in register)"))</f>
        <v/>
      </c>
      <c r="H325" s="42"/>
      <c r="I325" s="42"/>
      <c r="J325" s="42"/>
      <c r="K325" s="42"/>
      <c r="L325" s="42"/>
      <c r="M325" s="46"/>
      <c r="N325" s="42"/>
      <c r="O325" s="47" t="str">
        <f aca="false">IF(NOT(ISNUMBER(M325)),"",IFERROR(IF(L325="EUR",M325,IF(L325="IRR",M325/INDEX('Assumptions &amp; FX Reference'!$C$5:$C$25,MATCH(H325,'Assumptions &amp; FX Reference'!$A$5:$A$25,0)),IF(L325="USD",M325*INDEX('Assumptions &amp; FX Reference'!$B$5:$B$25,MATCH(H325,'Assumptions &amp; FX Reference'!$A$5:$A$25,0))/INDEX('Assumptions &amp; FX Reference'!$C$5:$C$25,MATCH(H325,'Assumptions &amp; FX Reference'!$A$5:$A$25,0)),""))),"(FX missing)"))</f>
        <v/>
      </c>
      <c r="P325" s="42"/>
      <c r="Q325" s="42"/>
      <c r="R325" s="42"/>
      <c r="S325" s="42"/>
      <c r="T325" s="42"/>
      <c r="U325" s="42"/>
      <c r="V325" s="42"/>
    </row>
    <row r="326" customFormat="false" ht="15" hidden="false" customHeight="false" outlineLevel="0" collapsed="false">
      <c r="A326" s="42"/>
      <c r="B326" s="42"/>
      <c r="C326" s="45" t="str">
        <f aca="false">IF(B326="","",IFERROR(INDEX('Master Database'!$D$5:$D$600,MATCH(B326,'Master Database'!$A$5:$A$600,0)),"(row not found)"))</f>
        <v/>
      </c>
      <c r="D326" s="45" t="str">
        <f aca="false">IF(B326="","",IFERROR(INDEX('Master Database'!$B$5:$B$600,MATCH(B326,'Master Database'!$A$5:$A$600,0)),"(row not found)"))</f>
        <v/>
      </c>
      <c r="E326" s="42"/>
      <c r="F326" s="45" t="str">
        <f aca="false">IF(E326="","",IFERROR(INDEX(Vendor_Register!$B$5:$B$205,MATCH(E326,Vendor_Register!$A$5:$A$205,0)),"(not in register)"))</f>
        <v/>
      </c>
      <c r="G326" s="45" t="str">
        <f aca="false">IF(E326="","",IFERROR(INDEX(Vendor_Register!$E$5:$E$205,MATCH(E326,Vendor_Register!$A$5:$A$205,0)),"(not in register)"))</f>
        <v/>
      </c>
      <c r="H326" s="42"/>
      <c r="I326" s="42"/>
      <c r="J326" s="42"/>
      <c r="K326" s="42"/>
      <c r="L326" s="42"/>
      <c r="M326" s="46"/>
      <c r="N326" s="42"/>
      <c r="O326" s="47" t="str">
        <f aca="false">IF(NOT(ISNUMBER(M326)),"",IFERROR(IF(L326="EUR",M326,IF(L326="IRR",M326/INDEX('Assumptions &amp; FX Reference'!$C$5:$C$25,MATCH(H326,'Assumptions &amp; FX Reference'!$A$5:$A$25,0)),IF(L326="USD",M326*INDEX('Assumptions &amp; FX Reference'!$B$5:$B$25,MATCH(H326,'Assumptions &amp; FX Reference'!$A$5:$A$25,0))/INDEX('Assumptions &amp; FX Reference'!$C$5:$C$25,MATCH(H326,'Assumptions &amp; FX Reference'!$A$5:$A$25,0)),""))),"(FX missing)"))</f>
        <v/>
      </c>
      <c r="P326" s="42"/>
      <c r="Q326" s="42"/>
      <c r="R326" s="42"/>
      <c r="S326" s="42"/>
      <c r="T326" s="42"/>
      <c r="U326" s="42"/>
      <c r="V326" s="42"/>
    </row>
    <row r="327" customFormat="false" ht="15" hidden="false" customHeight="false" outlineLevel="0" collapsed="false">
      <c r="A327" s="42"/>
      <c r="B327" s="42"/>
      <c r="C327" s="45" t="str">
        <f aca="false">IF(B327="","",IFERROR(INDEX('Master Database'!$D$5:$D$600,MATCH(B327,'Master Database'!$A$5:$A$600,0)),"(row not found)"))</f>
        <v/>
      </c>
      <c r="D327" s="45" t="str">
        <f aca="false">IF(B327="","",IFERROR(INDEX('Master Database'!$B$5:$B$600,MATCH(B327,'Master Database'!$A$5:$A$600,0)),"(row not found)"))</f>
        <v/>
      </c>
      <c r="E327" s="42"/>
      <c r="F327" s="45" t="str">
        <f aca="false">IF(E327="","",IFERROR(INDEX(Vendor_Register!$B$5:$B$205,MATCH(E327,Vendor_Register!$A$5:$A$205,0)),"(not in register)"))</f>
        <v/>
      </c>
      <c r="G327" s="45" t="str">
        <f aca="false">IF(E327="","",IFERROR(INDEX(Vendor_Register!$E$5:$E$205,MATCH(E327,Vendor_Register!$A$5:$A$205,0)),"(not in register)"))</f>
        <v/>
      </c>
      <c r="H327" s="42"/>
      <c r="I327" s="42"/>
      <c r="J327" s="42"/>
      <c r="K327" s="42"/>
      <c r="L327" s="42"/>
      <c r="M327" s="46"/>
      <c r="N327" s="42"/>
      <c r="O327" s="47" t="str">
        <f aca="false">IF(NOT(ISNUMBER(M327)),"",IFERROR(IF(L327="EUR",M327,IF(L327="IRR",M327/INDEX('Assumptions &amp; FX Reference'!$C$5:$C$25,MATCH(H327,'Assumptions &amp; FX Reference'!$A$5:$A$25,0)),IF(L327="USD",M327*INDEX('Assumptions &amp; FX Reference'!$B$5:$B$25,MATCH(H327,'Assumptions &amp; FX Reference'!$A$5:$A$25,0))/INDEX('Assumptions &amp; FX Reference'!$C$5:$C$25,MATCH(H327,'Assumptions &amp; FX Reference'!$A$5:$A$25,0)),""))),"(FX missing)"))</f>
        <v/>
      </c>
      <c r="P327" s="42"/>
      <c r="Q327" s="42"/>
      <c r="R327" s="42"/>
      <c r="S327" s="42"/>
      <c r="T327" s="42"/>
      <c r="U327" s="42"/>
      <c r="V327" s="42"/>
    </row>
    <row r="328" customFormat="false" ht="15" hidden="false" customHeight="false" outlineLevel="0" collapsed="false">
      <c r="A328" s="42"/>
      <c r="B328" s="42"/>
      <c r="C328" s="45" t="str">
        <f aca="false">IF(B328="","",IFERROR(INDEX('Master Database'!$D$5:$D$600,MATCH(B328,'Master Database'!$A$5:$A$600,0)),"(row not found)"))</f>
        <v/>
      </c>
      <c r="D328" s="45" t="str">
        <f aca="false">IF(B328="","",IFERROR(INDEX('Master Database'!$B$5:$B$600,MATCH(B328,'Master Database'!$A$5:$A$600,0)),"(row not found)"))</f>
        <v/>
      </c>
      <c r="E328" s="42"/>
      <c r="F328" s="45" t="str">
        <f aca="false">IF(E328="","",IFERROR(INDEX(Vendor_Register!$B$5:$B$205,MATCH(E328,Vendor_Register!$A$5:$A$205,0)),"(not in register)"))</f>
        <v/>
      </c>
      <c r="G328" s="45" t="str">
        <f aca="false">IF(E328="","",IFERROR(INDEX(Vendor_Register!$E$5:$E$205,MATCH(E328,Vendor_Register!$A$5:$A$205,0)),"(not in register)"))</f>
        <v/>
      </c>
      <c r="H328" s="42"/>
      <c r="I328" s="42"/>
      <c r="J328" s="42"/>
      <c r="K328" s="42"/>
      <c r="L328" s="42"/>
      <c r="M328" s="46"/>
      <c r="N328" s="42"/>
      <c r="O328" s="47" t="str">
        <f aca="false">IF(NOT(ISNUMBER(M328)),"",IFERROR(IF(L328="EUR",M328,IF(L328="IRR",M328/INDEX('Assumptions &amp; FX Reference'!$C$5:$C$25,MATCH(H328,'Assumptions &amp; FX Reference'!$A$5:$A$25,0)),IF(L328="USD",M328*INDEX('Assumptions &amp; FX Reference'!$B$5:$B$25,MATCH(H328,'Assumptions &amp; FX Reference'!$A$5:$A$25,0))/INDEX('Assumptions &amp; FX Reference'!$C$5:$C$25,MATCH(H328,'Assumptions &amp; FX Reference'!$A$5:$A$25,0)),""))),"(FX missing)"))</f>
        <v/>
      </c>
      <c r="P328" s="42"/>
      <c r="Q328" s="42"/>
      <c r="R328" s="42"/>
      <c r="S328" s="42"/>
      <c r="T328" s="42"/>
      <c r="U328" s="42"/>
      <c r="V328" s="42"/>
    </row>
    <row r="329" customFormat="false" ht="15" hidden="false" customHeight="false" outlineLevel="0" collapsed="false">
      <c r="A329" s="42"/>
      <c r="B329" s="42"/>
      <c r="C329" s="45" t="str">
        <f aca="false">IF(B329="","",IFERROR(INDEX('Master Database'!$D$5:$D$600,MATCH(B329,'Master Database'!$A$5:$A$600,0)),"(row not found)"))</f>
        <v/>
      </c>
      <c r="D329" s="45" t="str">
        <f aca="false">IF(B329="","",IFERROR(INDEX('Master Database'!$B$5:$B$600,MATCH(B329,'Master Database'!$A$5:$A$600,0)),"(row not found)"))</f>
        <v/>
      </c>
      <c r="E329" s="42"/>
      <c r="F329" s="45" t="str">
        <f aca="false">IF(E329="","",IFERROR(INDEX(Vendor_Register!$B$5:$B$205,MATCH(E329,Vendor_Register!$A$5:$A$205,0)),"(not in register)"))</f>
        <v/>
      </c>
      <c r="G329" s="45" t="str">
        <f aca="false">IF(E329="","",IFERROR(INDEX(Vendor_Register!$E$5:$E$205,MATCH(E329,Vendor_Register!$A$5:$A$205,0)),"(not in register)"))</f>
        <v/>
      </c>
      <c r="H329" s="42"/>
      <c r="I329" s="42"/>
      <c r="J329" s="42"/>
      <c r="K329" s="42"/>
      <c r="L329" s="42"/>
      <c r="M329" s="46"/>
      <c r="N329" s="42"/>
      <c r="O329" s="47" t="str">
        <f aca="false">IF(NOT(ISNUMBER(M329)),"",IFERROR(IF(L329="EUR",M329,IF(L329="IRR",M329/INDEX('Assumptions &amp; FX Reference'!$C$5:$C$25,MATCH(H329,'Assumptions &amp; FX Reference'!$A$5:$A$25,0)),IF(L329="USD",M329*INDEX('Assumptions &amp; FX Reference'!$B$5:$B$25,MATCH(H329,'Assumptions &amp; FX Reference'!$A$5:$A$25,0))/INDEX('Assumptions &amp; FX Reference'!$C$5:$C$25,MATCH(H329,'Assumptions &amp; FX Reference'!$A$5:$A$25,0)),""))),"(FX missing)"))</f>
        <v/>
      </c>
      <c r="P329" s="42"/>
      <c r="Q329" s="42"/>
      <c r="R329" s="42"/>
      <c r="S329" s="42"/>
      <c r="T329" s="42"/>
      <c r="U329" s="42"/>
      <c r="V329" s="42"/>
    </row>
    <row r="330" customFormat="false" ht="15" hidden="false" customHeight="false" outlineLevel="0" collapsed="false">
      <c r="A330" s="42"/>
      <c r="B330" s="42"/>
      <c r="C330" s="45" t="str">
        <f aca="false">IF(B330="","",IFERROR(INDEX('Master Database'!$D$5:$D$600,MATCH(B330,'Master Database'!$A$5:$A$600,0)),"(row not found)"))</f>
        <v/>
      </c>
      <c r="D330" s="45" t="str">
        <f aca="false">IF(B330="","",IFERROR(INDEX('Master Database'!$B$5:$B$600,MATCH(B330,'Master Database'!$A$5:$A$600,0)),"(row not found)"))</f>
        <v/>
      </c>
      <c r="E330" s="42"/>
      <c r="F330" s="45" t="str">
        <f aca="false">IF(E330="","",IFERROR(INDEX(Vendor_Register!$B$5:$B$205,MATCH(E330,Vendor_Register!$A$5:$A$205,0)),"(not in register)"))</f>
        <v/>
      </c>
      <c r="G330" s="45" t="str">
        <f aca="false">IF(E330="","",IFERROR(INDEX(Vendor_Register!$E$5:$E$205,MATCH(E330,Vendor_Register!$A$5:$A$205,0)),"(not in register)"))</f>
        <v/>
      </c>
      <c r="H330" s="42"/>
      <c r="I330" s="42"/>
      <c r="J330" s="42"/>
      <c r="K330" s="42"/>
      <c r="L330" s="42"/>
      <c r="M330" s="46"/>
      <c r="N330" s="42"/>
      <c r="O330" s="47" t="str">
        <f aca="false">IF(NOT(ISNUMBER(M330)),"",IFERROR(IF(L330="EUR",M330,IF(L330="IRR",M330/INDEX('Assumptions &amp; FX Reference'!$C$5:$C$25,MATCH(H330,'Assumptions &amp; FX Reference'!$A$5:$A$25,0)),IF(L330="USD",M330*INDEX('Assumptions &amp; FX Reference'!$B$5:$B$25,MATCH(H330,'Assumptions &amp; FX Reference'!$A$5:$A$25,0))/INDEX('Assumptions &amp; FX Reference'!$C$5:$C$25,MATCH(H330,'Assumptions &amp; FX Reference'!$A$5:$A$25,0)),""))),"(FX missing)"))</f>
        <v/>
      </c>
      <c r="P330" s="42"/>
      <c r="Q330" s="42"/>
      <c r="R330" s="42"/>
      <c r="S330" s="42"/>
      <c r="T330" s="42"/>
      <c r="U330" s="42"/>
      <c r="V330" s="42"/>
    </row>
    <row r="331" customFormat="false" ht="15" hidden="false" customHeight="false" outlineLevel="0" collapsed="false">
      <c r="A331" s="42"/>
      <c r="B331" s="42"/>
      <c r="C331" s="45" t="str">
        <f aca="false">IF(B331="","",IFERROR(INDEX('Master Database'!$D$5:$D$600,MATCH(B331,'Master Database'!$A$5:$A$600,0)),"(row not found)"))</f>
        <v/>
      </c>
      <c r="D331" s="45" t="str">
        <f aca="false">IF(B331="","",IFERROR(INDEX('Master Database'!$B$5:$B$600,MATCH(B331,'Master Database'!$A$5:$A$600,0)),"(row not found)"))</f>
        <v/>
      </c>
      <c r="E331" s="42"/>
      <c r="F331" s="45" t="str">
        <f aca="false">IF(E331="","",IFERROR(INDEX(Vendor_Register!$B$5:$B$205,MATCH(E331,Vendor_Register!$A$5:$A$205,0)),"(not in register)"))</f>
        <v/>
      </c>
      <c r="G331" s="45" t="str">
        <f aca="false">IF(E331="","",IFERROR(INDEX(Vendor_Register!$E$5:$E$205,MATCH(E331,Vendor_Register!$A$5:$A$205,0)),"(not in register)"))</f>
        <v/>
      </c>
      <c r="H331" s="42"/>
      <c r="I331" s="42"/>
      <c r="J331" s="42"/>
      <c r="K331" s="42"/>
      <c r="L331" s="42"/>
      <c r="M331" s="46"/>
      <c r="N331" s="42"/>
      <c r="O331" s="47" t="str">
        <f aca="false">IF(NOT(ISNUMBER(M331)),"",IFERROR(IF(L331="EUR",M331,IF(L331="IRR",M331/INDEX('Assumptions &amp; FX Reference'!$C$5:$C$25,MATCH(H331,'Assumptions &amp; FX Reference'!$A$5:$A$25,0)),IF(L331="USD",M331*INDEX('Assumptions &amp; FX Reference'!$B$5:$B$25,MATCH(H331,'Assumptions &amp; FX Reference'!$A$5:$A$25,0))/INDEX('Assumptions &amp; FX Reference'!$C$5:$C$25,MATCH(H331,'Assumptions &amp; FX Reference'!$A$5:$A$25,0)),""))),"(FX missing)"))</f>
        <v/>
      </c>
      <c r="P331" s="42"/>
      <c r="Q331" s="42"/>
      <c r="R331" s="42"/>
      <c r="S331" s="42"/>
      <c r="T331" s="42"/>
      <c r="U331" s="42"/>
      <c r="V331" s="42"/>
    </row>
    <row r="332" customFormat="false" ht="15" hidden="false" customHeight="false" outlineLevel="0" collapsed="false">
      <c r="A332" s="42"/>
      <c r="B332" s="42"/>
      <c r="C332" s="45" t="str">
        <f aca="false">IF(B332="","",IFERROR(INDEX('Master Database'!$D$5:$D$600,MATCH(B332,'Master Database'!$A$5:$A$600,0)),"(row not found)"))</f>
        <v/>
      </c>
      <c r="D332" s="45" t="str">
        <f aca="false">IF(B332="","",IFERROR(INDEX('Master Database'!$B$5:$B$600,MATCH(B332,'Master Database'!$A$5:$A$600,0)),"(row not found)"))</f>
        <v/>
      </c>
      <c r="E332" s="42"/>
      <c r="F332" s="45" t="str">
        <f aca="false">IF(E332="","",IFERROR(INDEX(Vendor_Register!$B$5:$B$205,MATCH(E332,Vendor_Register!$A$5:$A$205,0)),"(not in register)"))</f>
        <v/>
      </c>
      <c r="G332" s="45" t="str">
        <f aca="false">IF(E332="","",IFERROR(INDEX(Vendor_Register!$E$5:$E$205,MATCH(E332,Vendor_Register!$A$5:$A$205,0)),"(not in register)"))</f>
        <v/>
      </c>
      <c r="H332" s="42"/>
      <c r="I332" s="42"/>
      <c r="J332" s="42"/>
      <c r="K332" s="42"/>
      <c r="L332" s="42"/>
      <c r="M332" s="46"/>
      <c r="N332" s="42"/>
      <c r="O332" s="47" t="str">
        <f aca="false">IF(NOT(ISNUMBER(M332)),"",IFERROR(IF(L332="EUR",M332,IF(L332="IRR",M332/INDEX('Assumptions &amp; FX Reference'!$C$5:$C$25,MATCH(H332,'Assumptions &amp; FX Reference'!$A$5:$A$25,0)),IF(L332="USD",M332*INDEX('Assumptions &amp; FX Reference'!$B$5:$B$25,MATCH(H332,'Assumptions &amp; FX Reference'!$A$5:$A$25,0))/INDEX('Assumptions &amp; FX Reference'!$C$5:$C$25,MATCH(H332,'Assumptions &amp; FX Reference'!$A$5:$A$25,0)),""))),"(FX missing)"))</f>
        <v/>
      </c>
      <c r="P332" s="42"/>
      <c r="Q332" s="42"/>
      <c r="R332" s="42"/>
      <c r="S332" s="42"/>
      <c r="T332" s="42"/>
      <c r="U332" s="42"/>
      <c r="V332" s="42"/>
    </row>
    <row r="333" customFormat="false" ht="15" hidden="false" customHeight="false" outlineLevel="0" collapsed="false">
      <c r="A333" s="42"/>
      <c r="B333" s="42"/>
      <c r="C333" s="45" t="str">
        <f aca="false">IF(B333="","",IFERROR(INDEX('Master Database'!$D$5:$D$600,MATCH(B333,'Master Database'!$A$5:$A$600,0)),"(row not found)"))</f>
        <v/>
      </c>
      <c r="D333" s="45" t="str">
        <f aca="false">IF(B333="","",IFERROR(INDEX('Master Database'!$B$5:$B$600,MATCH(B333,'Master Database'!$A$5:$A$600,0)),"(row not found)"))</f>
        <v/>
      </c>
      <c r="E333" s="42"/>
      <c r="F333" s="45" t="str">
        <f aca="false">IF(E333="","",IFERROR(INDEX(Vendor_Register!$B$5:$B$205,MATCH(E333,Vendor_Register!$A$5:$A$205,0)),"(not in register)"))</f>
        <v/>
      </c>
      <c r="G333" s="45" t="str">
        <f aca="false">IF(E333="","",IFERROR(INDEX(Vendor_Register!$E$5:$E$205,MATCH(E333,Vendor_Register!$A$5:$A$205,0)),"(not in register)"))</f>
        <v/>
      </c>
      <c r="H333" s="42"/>
      <c r="I333" s="42"/>
      <c r="J333" s="42"/>
      <c r="K333" s="42"/>
      <c r="L333" s="42"/>
      <c r="M333" s="46"/>
      <c r="N333" s="42"/>
      <c r="O333" s="47" t="str">
        <f aca="false">IF(NOT(ISNUMBER(M333)),"",IFERROR(IF(L333="EUR",M333,IF(L333="IRR",M333/INDEX('Assumptions &amp; FX Reference'!$C$5:$C$25,MATCH(H333,'Assumptions &amp; FX Reference'!$A$5:$A$25,0)),IF(L333="USD",M333*INDEX('Assumptions &amp; FX Reference'!$B$5:$B$25,MATCH(H333,'Assumptions &amp; FX Reference'!$A$5:$A$25,0))/INDEX('Assumptions &amp; FX Reference'!$C$5:$C$25,MATCH(H333,'Assumptions &amp; FX Reference'!$A$5:$A$25,0)),""))),"(FX missing)"))</f>
        <v/>
      </c>
      <c r="P333" s="42"/>
      <c r="Q333" s="42"/>
      <c r="R333" s="42"/>
      <c r="S333" s="42"/>
      <c r="T333" s="42"/>
      <c r="U333" s="42"/>
      <c r="V333" s="42"/>
    </row>
    <row r="334" customFormat="false" ht="15" hidden="false" customHeight="false" outlineLevel="0" collapsed="false">
      <c r="A334" s="42"/>
      <c r="B334" s="42"/>
      <c r="C334" s="45" t="str">
        <f aca="false">IF(B334="","",IFERROR(INDEX('Master Database'!$D$5:$D$600,MATCH(B334,'Master Database'!$A$5:$A$600,0)),"(row not found)"))</f>
        <v/>
      </c>
      <c r="D334" s="45" t="str">
        <f aca="false">IF(B334="","",IFERROR(INDEX('Master Database'!$B$5:$B$600,MATCH(B334,'Master Database'!$A$5:$A$600,0)),"(row not found)"))</f>
        <v/>
      </c>
      <c r="E334" s="42"/>
      <c r="F334" s="45" t="str">
        <f aca="false">IF(E334="","",IFERROR(INDEX(Vendor_Register!$B$5:$B$205,MATCH(E334,Vendor_Register!$A$5:$A$205,0)),"(not in register)"))</f>
        <v/>
      </c>
      <c r="G334" s="45" t="str">
        <f aca="false">IF(E334="","",IFERROR(INDEX(Vendor_Register!$E$5:$E$205,MATCH(E334,Vendor_Register!$A$5:$A$205,0)),"(not in register)"))</f>
        <v/>
      </c>
      <c r="H334" s="42"/>
      <c r="I334" s="42"/>
      <c r="J334" s="42"/>
      <c r="K334" s="42"/>
      <c r="L334" s="42"/>
      <c r="M334" s="46"/>
      <c r="N334" s="42"/>
      <c r="O334" s="47" t="str">
        <f aca="false">IF(NOT(ISNUMBER(M334)),"",IFERROR(IF(L334="EUR",M334,IF(L334="IRR",M334/INDEX('Assumptions &amp; FX Reference'!$C$5:$C$25,MATCH(H334,'Assumptions &amp; FX Reference'!$A$5:$A$25,0)),IF(L334="USD",M334*INDEX('Assumptions &amp; FX Reference'!$B$5:$B$25,MATCH(H334,'Assumptions &amp; FX Reference'!$A$5:$A$25,0))/INDEX('Assumptions &amp; FX Reference'!$C$5:$C$25,MATCH(H334,'Assumptions &amp; FX Reference'!$A$5:$A$25,0)),""))),"(FX missing)"))</f>
        <v/>
      </c>
      <c r="P334" s="42"/>
      <c r="Q334" s="42"/>
      <c r="R334" s="42"/>
      <c r="S334" s="42"/>
      <c r="T334" s="42"/>
      <c r="U334" s="42"/>
      <c r="V334" s="42"/>
    </row>
    <row r="335" customFormat="false" ht="15" hidden="false" customHeight="false" outlineLevel="0" collapsed="false">
      <c r="A335" s="42"/>
      <c r="B335" s="42"/>
      <c r="C335" s="45" t="str">
        <f aca="false">IF(B335="","",IFERROR(INDEX('Master Database'!$D$5:$D$600,MATCH(B335,'Master Database'!$A$5:$A$600,0)),"(row not found)"))</f>
        <v/>
      </c>
      <c r="D335" s="45" t="str">
        <f aca="false">IF(B335="","",IFERROR(INDEX('Master Database'!$B$5:$B$600,MATCH(B335,'Master Database'!$A$5:$A$600,0)),"(row not found)"))</f>
        <v/>
      </c>
      <c r="E335" s="42"/>
      <c r="F335" s="45" t="str">
        <f aca="false">IF(E335="","",IFERROR(INDEX(Vendor_Register!$B$5:$B$205,MATCH(E335,Vendor_Register!$A$5:$A$205,0)),"(not in register)"))</f>
        <v/>
      </c>
      <c r="G335" s="45" t="str">
        <f aca="false">IF(E335="","",IFERROR(INDEX(Vendor_Register!$E$5:$E$205,MATCH(E335,Vendor_Register!$A$5:$A$205,0)),"(not in register)"))</f>
        <v/>
      </c>
      <c r="H335" s="42"/>
      <c r="I335" s="42"/>
      <c r="J335" s="42"/>
      <c r="K335" s="42"/>
      <c r="L335" s="42"/>
      <c r="M335" s="46"/>
      <c r="N335" s="42"/>
      <c r="O335" s="47" t="str">
        <f aca="false">IF(NOT(ISNUMBER(M335)),"",IFERROR(IF(L335="EUR",M335,IF(L335="IRR",M335/INDEX('Assumptions &amp; FX Reference'!$C$5:$C$25,MATCH(H335,'Assumptions &amp; FX Reference'!$A$5:$A$25,0)),IF(L335="USD",M335*INDEX('Assumptions &amp; FX Reference'!$B$5:$B$25,MATCH(H335,'Assumptions &amp; FX Reference'!$A$5:$A$25,0))/INDEX('Assumptions &amp; FX Reference'!$C$5:$C$25,MATCH(H335,'Assumptions &amp; FX Reference'!$A$5:$A$25,0)),""))),"(FX missing)"))</f>
        <v/>
      </c>
      <c r="P335" s="42"/>
      <c r="Q335" s="42"/>
      <c r="R335" s="42"/>
      <c r="S335" s="42"/>
      <c r="T335" s="42"/>
      <c r="U335" s="42"/>
      <c r="V335" s="42"/>
    </row>
    <row r="336" customFormat="false" ht="15" hidden="false" customHeight="false" outlineLevel="0" collapsed="false">
      <c r="A336" s="42"/>
      <c r="B336" s="42"/>
      <c r="C336" s="45" t="str">
        <f aca="false">IF(B336="","",IFERROR(INDEX('Master Database'!$D$5:$D$600,MATCH(B336,'Master Database'!$A$5:$A$600,0)),"(row not found)"))</f>
        <v/>
      </c>
      <c r="D336" s="45" t="str">
        <f aca="false">IF(B336="","",IFERROR(INDEX('Master Database'!$B$5:$B$600,MATCH(B336,'Master Database'!$A$5:$A$600,0)),"(row not found)"))</f>
        <v/>
      </c>
      <c r="E336" s="42"/>
      <c r="F336" s="45" t="str">
        <f aca="false">IF(E336="","",IFERROR(INDEX(Vendor_Register!$B$5:$B$205,MATCH(E336,Vendor_Register!$A$5:$A$205,0)),"(not in register)"))</f>
        <v/>
      </c>
      <c r="G336" s="45" t="str">
        <f aca="false">IF(E336="","",IFERROR(INDEX(Vendor_Register!$E$5:$E$205,MATCH(E336,Vendor_Register!$A$5:$A$205,0)),"(not in register)"))</f>
        <v/>
      </c>
      <c r="H336" s="42"/>
      <c r="I336" s="42"/>
      <c r="J336" s="42"/>
      <c r="K336" s="42"/>
      <c r="L336" s="42"/>
      <c r="M336" s="46"/>
      <c r="N336" s="42"/>
      <c r="O336" s="47" t="str">
        <f aca="false">IF(NOT(ISNUMBER(M336)),"",IFERROR(IF(L336="EUR",M336,IF(L336="IRR",M336/INDEX('Assumptions &amp; FX Reference'!$C$5:$C$25,MATCH(H336,'Assumptions &amp; FX Reference'!$A$5:$A$25,0)),IF(L336="USD",M336*INDEX('Assumptions &amp; FX Reference'!$B$5:$B$25,MATCH(H336,'Assumptions &amp; FX Reference'!$A$5:$A$25,0))/INDEX('Assumptions &amp; FX Reference'!$C$5:$C$25,MATCH(H336,'Assumptions &amp; FX Reference'!$A$5:$A$25,0)),""))),"(FX missing)"))</f>
        <v/>
      </c>
      <c r="P336" s="42"/>
      <c r="Q336" s="42"/>
      <c r="R336" s="42"/>
      <c r="S336" s="42"/>
      <c r="T336" s="42"/>
      <c r="U336" s="42"/>
      <c r="V336" s="42"/>
    </row>
    <row r="337" customFormat="false" ht="15" hidden="false" customHeight="false" outlineLevel="0" collapsed="false">
      <c r="A337" s="42"/>
      <c r="B337" s="42"/>
      <c r="C337" s="45" t="str">
        <f aca="false">IF(B337="","",IFERROR(INDEX('Master Database'!$D$5:$D$600,MATCH(B337,'Master Database'!$A$5:$A$600,0)),"(row not found)"))</f>
        <v/>
      </c>
      <c r="D337" s="45" t="str">
        <f aca="false">IF(B337="","",IFERROR(INDEX('Master Database'!$B$5:$B$600,MATCH(B337,'Master Database'!$A$5:$A$600,0)),"(row not found)"))</f>
        <v/>
      </c>
      <c r="E337" s="42"/>
      <c r="F337" s="45" t="str">
        <f aca="false">IF(E337="","",IFERROR(INDEX(Vendor_Register!$B$5:$B$205,MATCH(E337,Vendor_Register!$A$5:$A$205,0)),"(not in register)"))</f>
        <v/>
      </c>
      <c r="G337" s="45" t="str">
        <f aca="false">IF(E337="","",IFERROR(INDEX(Vendor_Register!$E$5:$E$205,MATCH(E337,Vendor_Register!$A$5:$A$205,0)),"(not in register)"))</f>
        <v/>
      </c>
      <c r="H337" s="42"/>
      <c r="I337" s="42"/>
      <c r="J337" s="42"/>
      <c r="K337" s="42"/>
      <c r="L337" s="42"/>
      <c r="M337" s="46"/>
      <c r="N337" s="42"/>
      <c r="O337" s="47" t="str">
        <f aca="false">IF(NOT(ISNUMBER(M337)),"",IFERROR(IF(L337="EUR",M337,IF(L337="IRR",M337/INDEX('Assumptions &amp; FX Reference'!$C$5:$C$25,MATCH(H337,'Assumptions &amp; FX Reference'!$A$5:$A$25,0)),IF(L337="USD",M337*INDEX('Assumptions &amp; FX Reference'!$B$5:$B$25,MATCH(H337,'Assumptions &amp; FX Reference'!$A$5:$A$25,0))/INDEX('Assumptions &amp; FX Reference'!$C$5:$C$25,MATCH(H337,'Assumptions &amp; FX Reference'!$A$5:$A$25,0)),""))),"(FX missing)"))</f>
        <v/>
      </c>
      <c r="P337" s="42"/>
      <c r="Q337" s="42"/>
      <c r="R337" s="42"/>
      <c r="S337" s="42"/>
      <c r="T337" s="42"/>
      <c r="U337" s="42"/>
      <c r="V337" s="42"/>
    </row>
    <row r="338" customFormat="false" ht="15" hidden="false" customHeight="false" outlineLevel="0" collapsed="false">
      <c r="A338" s="42"/>
      <c r="B338" s="42"/>
      <c r="C338" s="45" t="str">
        <f aca="false">IF(B338="","",IFERROR(INDEX('Master Database'!$D$5:$D$600,MATCH(B338,'Master Database'!$A$5:$A$600,0)),"(row not found)"))</f>
        <v/>
      </c>
      <c r="D338" s="45" t="str">
        <f aca="false">IF(B338="","",IFERROR(INDEX('Master Database'!$B$5:$B$600,MATCH(B338,'Master Database'!$A$5:$A$600,0)),"(row not found)"))</f>
        <v/>
      </c>
      <c r="E338" s="42"/>
      <c r="F338" s="45" t="str">
        <f aca="false">IF(E338="","",IFERROR(INDEX(Vendor_Register!$B$5:$B$205,MATCH(E338,Vendor_Register!$A$5:$A$205,0)),"(not in register)"))</f>
        <v/>
      </c>
      <c r="G338" s="45" t="str">
        <f aca="false">IF(E338="","",IFERROR(INDEX(Vendor_Register!$E$5:$E$205,MATCH(E338,Vendor_Register!$A$5:$A$205,0)),"(not in register)"))</f>
        <v/>
      </c>
      <c r="H338" s="42"/>
      <c r="I338" s="42"/>
      <c r="J338" s="42"/>
      <c r="K338" s="42"/>
      <c r="L338" s="42"/>
      <c r="M338" s="46"/>
      <c r="N338" s="42"/>
      <c r="O338" s="47" t="str">
        <f aca="false">IF(NOT(ISNUMBER(M338)),"",IFERROR(IF(L338="EUR",M338,IF(L338="IRR",M338/INDEX('Assumptions &amp; FX Reference'!$C$5:$C$25,MATCH(H338,'Assumptions &amp; FX Reference'!$A$5:$A$25,0)),IF(L338="USD",M338*INDEX('Assumptions &amp; FX Reference'!$B$5:$B$25,MATCH(H338,'Assumptions &amp; FX Reference'!$A$5:$A$25,0))/INDEX('Assumptions &amp; FX Reference'!$C$5:$C$25,MATCH(H338,'Assumptions &amp; FX Reference'!$A$5:$A$25,0)),""))),"(FX missing)"))</f>
        <v/>
      </c>
      <c r="P338" s="42"/>
      <c r="Q338" s="42"/>
      <c r="R338" s="42"/>
      <c r="S338" s="42"/>
      <c r="T338" s="42"/>
      <c r="U338" s="42"/>
      <c r="V338" s="42"/>
    </row>
    <row r="339" customFormat="false" ht="15" hidden="false" customHeight="false" outlineLevel="0" collapsed="false">
      <c r="A339" s="42"/>
      <c r="B339" s="42"/>
      <c r="C339" s="45" t="str">
        <f aca="false">IF(B339="","",IFERROR(INDEX('Master Database'!$D$5:$D$600,MATCH(B339,'Master Database'!$A$5:$A$600,0)),"(row not found)"))</f>
        <v/>
      </c>
      <c r="D339" s="45" t="str">
        <f aca="false">IF(B339="","",IFERROR(INDEX('Master Database'!$B$5:$B$600,MATCH(B339,'Master Database'!$A$5:$A$600,0)),"(row not found)"))</f>
        <v/>
      </c>
      <c r="E339" s="42"/>
      <c r="F339" s="45" t="str">
        <f aca="false">IF(E339="","",IFERROR(INDEX(Vendor_Register!$B$5:$B$205,MATCH(E339,Vendor_Register!$A$5:$A$205,0)),"(not in register)"))</f>
        <v/>
      </c>
      <c r="G339" s="45" t="str">
        <f aca="false">IF(E339="","",IFERROR(INDEX(Vendor_Register!$E$5:$E$205,MATCH(E339,Vendor_Register!$A$5:$A$205,0)),"(not in register)"))</f>
        <v/>
      </c>
      <c r="H339" s="42"/>
      <c r="I339" s="42"/>
      <c r="J339" s="42"/>
      <c r="K339" s="42"/>
      <c r="L339" s="42"/>
      <c r="M339" s="46"/>
      <c r="N339" s="42"/>
      <c r="O339" s="47" t="str">
        <f aca="false">IF(NOT(ISNUMBER(M339)),"",IFERROR(IF(L339="EUR",M339,IF(L339="IRR",M339/INDEX('Assumptions &amp; FX Reference'!$C$5:$C$25,MATCH(H339,'Assumptions &amp; FX Reference'!$A$5:$A$25,0)),IF(L339="USD",M339*INDEX('Assumptions &amp; FX Reference'!$B$5:$B$25,MATCH(H339,'Assumptions &amp; FX Reference'!$A$5:$A$25,0))/INDEX('Assumptions &amp; FX Reference'!$C$5:$C$25,MATCH(H339,'Assumptions &amp; FX Reference'!$A$5:$A$25,0)),""))),"(FX missing)"))</f>
        <v/>
      </c>
      <c r="P339" s="42"/>
      <c r="Q339" s="42"/>
      <c r="R339" s="42"/>
      <c r="S339" s="42"/>
      <c r="T339" s="42"/>
      <c r="U339" s="42"/>
      <c r="V339" s="42"/>
    </row>
    <row r="340" customFormat="false" ht="15" hidden="false" customHeight="false" outlineLevel="0" collapsed="false">
      <c r="A340" s="42"/>
      <c r="B340" s="42"/>
      <c r="C340" s="45" t="str">
        <f aca="false">IF(B340="","",IFERROR(INDEX('Master Database'!$D$5:$D$600,MATCH(B340,'Master Database'!$A$5:$A$600,0)),"(row not found)"))</f>
        <v/>
      </c>
      <c r="D340" s="45" t="str">
        <f aca="false">IF(B340="","",IFERROR(INDEX('Master Database'!$B$5:$B$600,MATCH(B340,'Master Database'!$A$5:$A$600,0)),"(row not found)"))</f>
        <v/>
      </c>
      <c r="E340" s="42"/>
      <c r="F340" s="45" t="str">
        <f aca="false">IF(E340="","",IFERROR(INDEX(Vendor_Register!$B$5:$B$205,MATCH(E340,Vendor_Register!$A$5:$A$205,0)),"(not in register)"))</f>
        <v/>
      </c>
      <c r="G340" s="45" t="str">
        <f aca="false">IF(E340="","",IFERROR(INDEX(Vendor_Register!$E$5:$E$205,MATCH(E340,Vendor_Register!$A$5:$A$205,0)),"(not in register)"))</f>
        <v/>
      </c>
      <c r="H340" s="42"/>
      <c r="I340" s="42"/>
      <c r="J340" s="42"/>
      <c r="K340" s="42"/>
      <c r="L340" s="42"/>
      <c r="M340" s="46"/>
      <c r="N340" s="42"/>
      <c r="O340" s="47" t="str">
        <f aca="false">IF(NOT(ISNUMBER(M340)),"",IFERROR(IF(L340="EUR",M340,IF(L340="IRR",M340/INDEX('Assumptions &amp; FX Reference'!$C$5:$C$25,MATCH(H340,'Assumptions &amp; FX Reference'!$A$5:$A$25,0)),IF(L340="USD",M340*INDEX('Assumptions &amp; FX Reference'!$B$5:$B$25,MATCH(H340,'Assumptions &amp; FX Reference'!$A$5:$A$25,0))/INDEX('Assumptions &amp; FX Reference'!$C$5:$C$25,MATCH(H340,'Assumptions &amp; FX Reference'!$A$5:$A$25,0)),""))),"(FX missing)"))</f>
        <v/>
      </c>
      <c r="P340" s="42"/>
      <c r="Q340" s="42"/>
      <c r="R340" s="42"/>
      <c r="S340" s="42"/>
      <c r="T340" s="42"/>
      <c r="U340" s="42"/>
      <c r="V340" s="42"/>
    </row>
    <row r="341" customFormat="false" ht="15" hidden="false" customHeight="false" outlineLevel="0" collapsed="false">
      <c r="A341" s="42"/>
      <c r="B341" s="42"/>
      <c r="C341" s="45" t="str">
        <f aca="false">IF(B341="","",IFERROR(INDEX('Master Database'!$D$5:$D$600,MATCH(B341,'Master Database'!$A$5:$A$600,0)),"(row not found)"))</f>
        <v/>
      </c>
      <c r="D341" s="45" t="str">
        <f aca="false">IF(B341="","",IFERROR(INDEX('Master Database'!$B$5:$B$600,MATCH(B341,'Master Database'!$A$5:$A$600,0)),"(row not found)"))</f>
        <v/>
      </c>
      <c r="E341" s="42"/>
      <c r="F341" s="45" t="str">
        <f aca="false">IF(E341="","",IFERROR(INDEX(Vendor_Register!$B$5:$B$205,MATCH(E341,Vendor_Register!$A$5:$A$205,0)),"(not in register)"))</f>
        <v/>
      </c>
      <c r="G341" s="45" t="str">
        <f aca="false">IF(E341="","",IFERROR(INDEX(Vendor_Register!$E$5:$E$205,MATCH(E341,Vendor_Register!$A$5:$A$205,0)),"(not in register)"))</f>
        <v/>
      </c>
      <c r="H341" s="42"/>
      <c r="I341" s="42"/>
      <c r="J341" s="42"/>
      <c r="K341" s="42"/>
      <c r="L341" s="42"/>
      <c r="M341" s="46"/>
      <c r="N341" s="42"/>
      <c r="O341" s="47" t="str">
        <f aca="false">IF(NOT(ISNUMBER(M341)),"",IFERROR(IF(L341="EUR",M341,IF(L341="IRR",M341/INDEX('Assumptions &amp; FX Reference'!$C$5:$C$25,MATCH(H341,'Assumptions &amp; FX Reference'!$A$5:$A$25,0)),IF(L341="USD",M341*INDEX('Assumptions &amp; FX Reference'!$B$5:$B$25,MATCH(H341,'Assumptions &amp; FX Reference'!$A$5:$A$25,0))/INDEX('Assumptions &amp; FX Reference'!$C$5:$C$25,MATCH(H341,'Assumptions &amp; FX Reference'!$A$5:$A$25,0)),""))),"(FX missing)"))</f>
        <v/>
      </c>
      <c r="P341" s="42"/>
      <c r="Q341" s="42"/>
      <c r="R341" s="42"/>
      <c r="S341" s="42"/>
      <c r="T341" s="42"/>
      <c r="U341" s="42"/>
      <c r="V341" s="42"/>
    </row>
    <row r="342" customFormat="false" ht="15" hidden="false" customHeight="false" outlineLevel="0" collapsed="false">
      <c r="A342" s="42"/>
      <c r="B342" s="42"/>
      <c r="C342" s="45" t="str">
        <f aca="false">IF(B342="","",IFERROR(INDEX('Master Database'!$D$5:$D$600,MATCH(B342,'Master Database'!$A$5:$A$600,0)),"(row not found)"))</f>
        <v/>
      </c>
      <c r="D342" s="45" t="str">
        <f aca="false">IF(B342="","",IFERROR(INDEX('Master Database'!$B$5:$B$600,MATCH(B342,'Master Database'!$A$5:$A$600,0)),"(row not found)"))</f>
        <v/>
      </c>
      <c r="E342" s="42"/>
      <c r="F342" s="45" t="str">
        <f aca="false">IF(E342="","",IFERROR(INDEX(Vendor_Register!$B$5:$B$205,MATCH(E342,Vendor_Register!$A$5:$A$205,0)),"(not in register)"))</f>
        <v/>
      </c>
      <c r="G342" s="45" t="str">
        <f aca="false">IF(E342="","",IFERROR(INDEX(Vendor_Register!$E$5:$E$205,MATCH(E342,Vendor_Register!$A$5:$A$205,0)),"(not in register)"))</f>
        <v/>
      </c>
      <c r="H342" s="42"/>
      <c r="I342" s="42"/>
      <c r="J342" s="42"/>
      <c r="K342" s="42"/>
      <c r="L342" s="42"/>
      <c r="M342" s="46"/>
      <c r="N342" s="42"/>
      <c r="O342" s="47" t="str">
        <f aca="false">IF(NOT(ISNUMBER(M342)),"",IFERROR(IF(L342="EUR",M342,IF(L342="IRR",M342/INDEX('Assumptions &amp; FX Reference'!$C$5:$C$25,MATCH(H342,'Assumptions &amp; FX Reference'!$A$5:$A$25,0)),IF(L342="USD",M342*INDEX('Assumptions &amp; FX Reference'!$B$5:$B$25,MATCH(H342,'Assumptions &amp; FX Reference'!$A$5:$A$25,0))/INDEX('Assumptions &amp; FX Reference'!$C$5:$C$25,MATCH(H342,'Assumptions &amp; FX Reference'!$A$5:$A$25,0)),""))),"(FX missing)"))</f>
        <v/>
      </c>
      <c r="P342" s="42"/>
      <c r="Q342" s="42"/>
      <c r="R342" s="42"/>
      <c r="S342" s="42"/>
      <c r="T342" s="42"/>
      <c r="U342" s="42"/>
      <c r="V342" s="42"/>
    </row>
    <row r="343" customFormat="false" ht="15" hidden="false" customHeight="false" outlineLevel="0" collapsed="false">
      <c r="A343" s="42"/>
      <c r="B343" s="42"/>
      <c r="C343" s="45" t="str">
        <f aca="false">IF(B343="","",IFERROR(INDEX('Master Database'!$D$5:$D$600,MATCH(B343,'Master Database'!$A$5:$A$600,0)),"(row not found)"))</f>
        <v/>
      </c>
      <c r="D343" s="45" t="str">
        <f aca="false">IF(B343="","",IFERROR(INDEX('Master Database'!$B$5:$B$600,MATCH(B343,'Master Database'!$A$5:$A$600,0)),"(row not found)"))</f>
        <v/>
      </c>
      <c r="E343" s="42"/>
      <c r="F343" s="45" t="str">
        <f aca="false">IF(E343="","",IFERROR(INDEX(Vendor_Register!$B$5:$B$205,MATCH(E343,Vendor_Register!$A$5:$A$205,0)),"(not in register)"))</f>
        <v/>
      </c>
      <c r="G343" s="45" t="str">
        <f aca="false">IF(E343="","",IFERROR(INDEX(Vendor_Register!$E$5:$E$205,MATCH(E343,Vendor_Register!$A$5:$A$205,0)),"(not in register)"))</f>
        <v/>
      </c>
      <c r="H343" s="42"/>
      <c r="I343" s="42"/>
      <c r="J343" s="42"/>
      <c r="K343" s="42"/>
      <c r="L343" s="42"/>
      <c r="M343" s="46"/>
      <c r="N343" s="42"/>
      <c r="O343" s="47" t="str">
        <f aca="false">IF(NOT(ISNUMBER(M343)),"",IFERROR(IF(L343="EUR",M343,IF(L343="IRR",M343/INDEX('Assumptions &amp; FX Reference'!$C$5:$C$25,MATCH(H343,'Assumptions &amp; FX Reference'!$A$5:$A$25,0)),IF(L343="USD",M343*INDEX('Assumptions &amp; FX Reference'!$B$5:$B$25,MATCH(H343,'Assumptions &amp; FX Reference'!$A$5:$A$25,0))/INDEX('Assumptions &amp; FX Reference'!$C$5:$C$25,MATCH(H343,'Assumptions &amp; FX Reference'!$A$5:$A$25,0)),""))),"(FX missing)"))</f>
        <v/>
      </c>
      <c r="P343" s="42"/>
      <c r="Q343" s="42"/>
      <c r="R343" s="42"/>
      <c r="S343" s="42"/>
      <c r="T343" s="42"/>
      <c r="U343" s="42"/>
      <c r="V343" s="42"/>
    </row>
    <row r="344" customFormat="false" ht="15" hidden="false" customHeight="false" outlineLevel="0" collapsed="false">
      <c r="A344" s="42"/>
      <c r="B344" s="42"/>
      <c r="C344" s="45" t="str">
        <f aca="false">IF(B344="","",IFERROR(INDEX('Master Database'!$D$5:$D$600,MATCH(B344,'Master Database'!$A$5:$A$600,0)),"(row not found)"))</f>
        <v/>
      </c>
      <c r="D344" s="45" t="str">
        <f aca="false">IF(B344="","",IFERROR(INDEX('Master Database'!$B$5:$B$600,MATCH(B344,'Master Database'!$A$5:$A$600,0)),"(row not found)"))</f>
        <v/>
      </c>
      <c r="E344" s="42"/>
      <c r="F344" s="45" t="str">
        <f aca="false">IF(E344="","",IFERROR(INDEX(Vendor_Register!$B$5:$B$205,MATCH(E344,Vendor_Register!$A$5:$A$205,0)),"(not in register)"))</f>
        <v/>
      </c>
      <c r="G344" s="45" t="str">
        <f aca="false">IF(E344="","",IFERROR(INDEX(Vendor_Register!$E$5:$E$205,MATCH(E344,Vendor_Register!$A$5:$A$205,0)),"(not in register)"))</f>
        <v/>
      </c>
      <c r="H344" s="42"/>
      <c r="I344" s="42"/>
      <c r="J344" s="42"/>
      <c r="K344" s="42"/>
      <c r="L344" s="42"/>
      <c r="M344" s="46"/>
      <c r="N344" s="42"/>
      <c r="O344" s="47" t="str">
        <f aca="false">IF(NOT(ISNUMBER(M344)),"",IFERROR(IF(L344="EUR",M344,IF(L344="IRR",M344/INDEX('Assumptions &amp; FX Reference'!$C$5:$C$25,MATCH(H344,'Assumptions &amp; FX Reference'!$A$5:$A$25,0)),IF(L344="USD",M344*INDEX('Assumptions &amp; FX Reference'!$B$5:$B$25,MATCH(H344,'Assumptions &amp; FX Reference'!$A$5:$A$25,0))/INDEX('Assumptions &amp; FX Reference'!$C$5:$C$25,MATCH(H344,'Assumptions &amp; FX Reference'!$A$5:$A$25,0)),""))),"(FX missing)"))</f>
        <v/>
      </c>
      <c r="P344" s="42"/>
      <c r="Q344" s="42"/>
      <c r="R344" s="42"/>
      <c r="S344" s="42"/>
      <c r="T344" s="42"/>
      <c r="U344" s="42"/>
      <c r="V344" s="42"/>
    </row>
    <row r="345" customFormat="false" ht="15" hidden="false" customHeight="false" outlineLevel="0" collapsed="false">
      <c r="A345" s="42"/>
      <c r="B345" s="42"/>
      <c r="C345" s="45" t="str">
        <f aca="false">IF(B345="","",IFERROR(INDEX('Master Database'!$D$5:$D$600,MATCH(B345,'Master Database'!$A$5:$A$600,0)),"(row not found)"))</f>
        <v/>
      </c>
      <c r="D345" s="45" t="str">
        <f aca="false">IF(B345="","",IFERROR(INDEX('Master Database'!$B$5:$B$600,MATCH(B345,'Master Database'!$A$5:$A$600,0)),"(row not found)"))</f>
        <v/>
      </c>
      <c r="E345" s="42"/>
      <c r="F345" s="45" t="str">
        <f aca="false">IF(E345="","",IFERROR(INDEX(Vendor_Register!$B$5:$B$205,MATCH(E345,Vendor_Register!$A$5:$A$205,0)),"(not in register)"))</f>
        <v/>
      </c>
      <c r="G345" s="45" t="str">
        <f aca="false">IF(E345="","",IFERROR(INDEX(Vendor_Register!$E$5:$E$205,MATCH(E345,Vendor_Register!$A$5:$A$205,0)),"(not in register)"))</f>
        <v/>
      </c>
      <c r="H345" s="42"/>
      <c r="I345" s="42"/>
      <c r="J345" s="42"/>
      <c r="K345" s="42"/>
      <c r="L345" s="42"/>
      <c r="M345" s="46"/>
      <c r="N345" s="42"/>
      <c r="O345" s="47" t="str">
        <f aca="false">IF(NOT(ISNUMBER(M345)),"",IFERROR(IF(L345="EUR",M345,IF(L345="IRR",M345/INDEX('Assumptions &amp; FX Reference'!$C$5:$C$25,MATCH(H345,'Assumptions &amp; FX Reference'!$A$5:$A$25,0)),IF(L345="USD",M345*INDEX('Assumptions &amp; FX Reference'!$B$5:$B$25,MATCH(H345,'Assumptions &amp; FX Reference'!$A$5:$A$25,0))/INDEX('Assumptions &amp; FX Reference'!$C$5:$C$25,MATCH(H345,'Assumptions &amp; FX Reference'!$A$5:$A$25,0)),""))),"(FX missing)"))</f>
        <v/>
      </c>
      <c r="P345" s="42"/>
      <c r="Q345" s="42"/>
      <c r="R345" s="42"/>
      <c r="S345" s="42"/>
      <c r="T345" s="42"/>
      <c r="U345" s="42"/>
      <c r="V345" s="42"/>
    </row>
    <row r="346" customFormat="false" ht="15" hidden="false" customHeight="false" outlineLevel="0" collapsed="false">
      <c r="A346" s="42"/>
      <c r="B346" s="42"/>
      <c r="C346" s="45" t="str">
        <f aca="false">IF(B346="","",IFERROR(INDEX('Master Database'!$D$5:$D$600,MATCH(B346,'Master Database'!$A$5:$A$600,0)),"(row not found)"))</f>
        <v/>
      </c>
      <c r="D346" s="45" t="str">
        <f aca="false">IF(B346="","",IFERROR(INDEX('Master Database'!$B$5:$B$600,MATCH(B346,'Master Database'!$A$5:$A$600,0)),"(row not found)"))</f>
        <v/>
      </c>
      <c r="E346" s="42"/>
      <c r="F346" s="45" t="str">
        <f aca="false">IF(E346="","",IFERROR(INDEX(Vendor_Register!$B$5:$B$205,MATCH(E346,Vendor_Register!$A$5:$A$205,0)),"(not in register)"))</f>
        <v/>
      </c>
      <c r="G346" s="45" t="str">
        <f aca="false">IF(E346="","",IFERROR(INDEX(Vendor_Register!$E$5:$E$205,MATCH(E346,Vendor_Register!$A$5:$A$205,0)),"(not in register)"))</f>
        <v/>
      </c>
      <c r="H346" s="42"/>
      <c r="I346" s="42"/>
      <c r="J346" s="42"/>
      <c r="K346" s="42"/>
      <c r="L346" s="42"/>
      <c r="M346" s="46"/>
      <c r="N346" s="42"/>
      <c r="O346" s="47" t="str">
        <f aca="false">IF(NOT(ISNUMBER(M346)),"",IFERROR(IF(L346="EUR",M346,IF(L346="IRR",M346/INDEX('Assumptions &amp; FX Reference'!$C$5:$C$25,MATCH(H346,'Assumptions &amp; FX Reference'!$A$5:$A$25,0)),IF(L346="USD",M346*INDEX('Assumptions &amp; FX Reference'!$B$5:$B$25,MATCH(H346,'Assumptions &amp; FX Reference'!$A$5:$A$25,0))/INDEX('Assumptions &amp; FX Reference'!$C$5:$C$25,MATCH(H346,'Assumptions &amp; FX Reference'!$A$5:$A$25,0)),""))),"(FX missing)"))</f>
        <v/>
      </c>
      <c r="P346" s="42"/>
      <c r="Q346" s="42"/>
      <c r="R346" s="42"/>
      <c r="S346" s="42"/>
      <c r="T346" s="42"/>
      <c r="U346" s="42"/>
      <c r="V346" s="42"/>
    </row>
    <row r="347" customFormat="false" ht="15" hidden="false" customHeight="false" outlineLevel="0" collapsed="false">
      <c r="A347" s="42"/>
      <c r="B347" s="42"/>
      <c r="C347" s="45" t="str">
        <f aca="false">IF(B347="","",IFERROR(INDEX('Master Database'!$D$5:$D$600,MATCH(B347,'Master Database'!$A$5:$A$600,0)),"(row not found)"))</f>
        <v/>
      </c>
      <c r="D347" s="45" t="str">
        <f aca="false">IF(B347="","",IFERROR(INDEX('Master Database'!$B$5:$B$600,MATCH(B347,'Master Database'!$A$5:$A$600,0)),"(row not found)"))</f>
        <v/>
      </c>
      <c r="E347" s="42"/>
      <c r="F347" s="45" t="str">
        <f aca="false">IF(E347="","",IFERROR(INDEX(Vendor_Register!$B$5:$B$205,MATCH(E347,Vendor_Register!$A$5:$A$205,0)),"(not in register)"))</f>
        <v/>
      </c>
      <c r="G347" s="45" t="str">
        <f aca="false">IF(E347="","",IFERROR(INDEX(Vendor_Register!$E$5:$E$205,MATCH(E347,Vendor_Register!$A$5:$A$205,0)),"(not in register)"))</f>
        <v/>
      </c>
      <c r="H347" s="42"/>
      <c r="I347" s="42"/>
      <c r="J347" s="42"/>
      <c r="K347" s="42"/>
      <c r="L347" s="42"/>
      <c r="M347" s="46"/>
      <c r="N347" s="42"/>
      <c r="O347" s="47" t="str">
        <f aca="false">IF(NOT(ISNUMBER(M347)),"",IFERROR(IF(L347="EUR",M347,IF(L347="IRR",M347/INDEX('Assumptions &amp; FX Reference'!$C$5:$C$25,MATCH(H347,'Assumptions &amp; FX Reference'!$A$5:$A$25,0)),IF(L347="USD",M347*INDEX('Assumptions &amp; FX Reference'!$B$5:$B$25,MATCH(H347,'Assumptions &amp; FX Reference'!$A$5:$A$25,0))/INDEX('Assumptions &amp; FX Reference'!$C$5:$C$25,MATCH(H347,'Assumptions &amp; FX Reference'!$A$5:$A$25,0)),""))),"(FX missing)"))</f>
        <v/>
      </c>
      <c r="P347" s="42"/>
      <c r="Q347" s="42"/>
      <c r="R347" s="42"/>
      <c r="S347" s="42"/>
      <c r="T347" s="42"/>
      <c r="U347" s="42"/>
      <c r="V347" s="42"/>
    </row>
    <row r="348" customFormat="false" ht="15" hidden="false" customHeight="false" outlineLevel="0" collapsed="false">
      <c r="A348" s="42"/>
      <c r="B348" s="42"/>
      <c r="C348" s="45" t="str">
        <f aca="false">IF(B348="","",IFERROR(INDEX('Master Database'!$D$5:$D$600,MATCH(B348,'Master Database'!$A$5:$A$600,0)),"(row not found)"))</f>
        <v/>
      </c>
      <c r="D348" s="45" t="str">
        <f aca="false">IF(B348="","",IFERROR(INDEX('Master Database'!$B$5:$B$600,MATCH(B348,'Master Database'!$A$5:$A$600,0)),"(row not found)"))</f>
        <v/>
      </c>
      <c r="E348" s="42"/>
      <c r="F348" s="45" t="str">
        <f aca="false">IF(E348="","",IFERROR(INDEX(Vendor_Register!$B$5:$B$205,MATCH(E348,Vendor_Register!$A$5:$A$205,0)),"(not in register)"))</f>
        <v/>
      </c>
      <c r="G348" s="45" t="str">
        <f aca="false">IF(E348="","",IFERROR(INDEX(Vendor_Register!$E$5:$E$205,MATCH(E348,Vendor_Register!$A$5:$A$205,0)),"(not in register)"))</f>
        <v/>
      </c>
      <c r="H348" s="42"/>
      <c r="I348" s="42"/>
      <c r="J348" s="42"/>
      <c r="K348" s="42"/>
      <c r="L348" s="42"/>
      <c r="M348" s="46"/>
      <c r="N348" s="42"/>
      <c r="O348" s="47" t="str">
        <f aca="false">IF(NOT(ISNUMBER(M348)),"",IFERROR(IF(L348="EUR",M348,IF(L348="IRR",M348/INDEX('Assumptions &amp; FX Reference'!$C$5:$C$25,MATCH(H348,'Assumptions &amp; FX Reference'!$A$5:$A$25,0)),IF(L348="USD",M348*INDEX('Assumptions &amp; FX Reference'!$B$5:$B$25,MATCH(H348,'Assumptions &amp; FX Reference'!$A$5:$A$25,0))/INDEX('Assumptions &amp; FX Reference'!$C$5:$C$25,MATCH(H348,'Assumptions &amp; FX Reference'!$A$5:$A$25,0)),""))),"(FX missing)"))</f>
        <v/>
      </c>
      <c r="P348" s="42"/>
      <c r="Q348" s="42"/>
      <c r="R348" s="42"/>
      <c r="S348" s="42"/>
      <c r="T348" s="42"/>
      <c r="U348" s="42"/>
      <c r="V348" s="42"/>
    </row>
    <row r="349" customFormat="false" ht="15" hidden="false" customHeight="false" outlineLevel="0" collapsed="false">
      <c r="A349" s="42"/>
      <c r="B349" s="42"/>
      <c r="C349" s="45" t="str">
        <f aca="false">IF(B349="","",IFERROR(INDEX('Master Database'!$D$5:$D$600,MATCH(B349,'Master Database'!$A$5:$A$600,0)),"(row not found)"))</f>
        <v/>
      </c>
      <c r="D349" s="45" t="str">
        <f aca="false">IF(B349="","",IFERROR(INDEX('Master Database'!$B$5:$B$600,MATCH(B349,'Master Database'!$A$5:$A$600,0)),"(row not found)"))</f>
        <v/>
      </c>
      <c r="E349" s="42"/>
      <c r="F349" s="45" t="str">
        <f aca="false">IF(E349="","",IFERROR(INDEX(Vendor_Register!$B$5:$B$205,MATCH(E349,Vendor_Register!$A$5:$A$205,0)),"(not in register)"))</f>
        <v/>
      </c>
      <c r="G349" s="45" t="str">
        <f aca="false">IF(E349="","",IFERROR(INDEX(Vendor_Register!$E$5:$E$205,MATCH(E349,Vendor_Register!$A$5:$A$205,0)),"(not in register)"))</f>
        <v/>
      </c>
      <c r="H349" s="42"/>
      <c r="I349" s="42"/>
      <c r="J349" s="42"/>
      <c r="K349" s="42"/>
      <c r="L349" s="42"/>
      <c r="M349" s="46"/>
      <c r="N349" s="42"/>
      <c r="O349" s="47" t="str">
        <f aca="false">IF(NOT(ISNUMBER(M349)),"",IFERROR(IF(L349="EUR",M349,IF(L349="IRR",M349/INDEX('Assumptions &amp; FX Reference'!$C$5:$C$25,MATCH(H349,'Assumptions &amp; FX Reference'!$A$5:$A$25,0)),IF(L349="USD",M349*INDEX('Assumptions &amp; FX Reference'!$B$5:$B$25,MATCH(H349,'Assumptions &amp; FX Reference'!$A$5:$A$25,0))/INDEX('Assumptions &amp; FX Reference'!$C$5:$C$25,MATCH(H349,'Assumptions &amp; FX Reference'!$A$5:$A$25,0)),""))),"(FX missing)"))</f>
        <v/>
      </c>
      <c r="P349" s="42"/>
      <c r="Q349" s="42"/>
      <c r="R349" s="42"/>
      <c r="S349" s="42"/>
      <c r="T349" s="42"/>
      <c r="U349" s="42"/>
      <c r="V349" s="42"/>
    </row>
    <row r="350" customFormat="false" ht="15" hidden="false" customHeight="false" outlineLevel="0" collapsed="false">
      <c r="A350" s="42"/>
      <c r="B350" s="42"/>
      <c r="C350" s="45" t="str">
        <f aca="false">IF(B350="","",IFERROR(INDEX('Master Database'!$D$5:$D$600,MATCH(B350,'Master Database'!$A$5:$A$600,0)),"(row not found)"))</f>
        <v/>
      </c>
      <c r="D350" s="45" t="str">
        <f aca="false">IF(B350="","",IFERROR(INDEX('Master Database'!$B$5:$B$600,MATCH(B350,'Master Database'!$A$5:$A$600,0)),"(row not found)"))</f>
        <v/>
      </c>
      <c r="E350" s="42"/>
      <c r="F350" s="45" t="str">
        <f aca="false">IF(E350="","",IFERROR(INDEX(Vendor_Register!$B$5:$B$205,MATCH(E350,Vendor_Register!$A$5:$A$205,0)),"(not in register)"))</f>
        <v/>
      </c>
      <c r="G350" s="45" t="str">
        <f aca="false">IF(E350="","",IFERROR(INDEX(Vendor_Register!$E$5:$E$205,MATCH(E350,Vendor_Register!$A$5:$A$205,0)),"(not in register)"))</f>
        <v/>
      </c>
      <c r="H350" s="42"/>
      <c r="I350" s="42"/>
      <c r="J350" s="42"/>
      <c r="K350" s="42"/>
      <c r="L350" s="42"/>
      <c r="M350" s="46"/>
      <c r="N350" s="42"/>
      <c r="O350" s="47" t="str">
        <f aca="false">IF(NOT(ISNUMBER(M350)),"",IFERROR(IF(L350="EUR",M350,IF(L350="IRR",M350/INDEX('Assumptions &amp; FX Reference'!$C$5:$C$25,MATCH(H350,'Assumptions &amp; FX Reference'!$A$5:$A$25,0)),IF(L350="USD",M350*INDEX('Assumptions &amp; FX Reference'!$B$5:$B$25,MATCH(H350,'Assumptions &amp; FX Reference'!$A$5:$A$25,0))/INDEX('Assumptions &amp; FX Reference'!$C$5:$C$25,MATCH(H350,'Assumptions &amp; FX Reference'!$A$5:$A$25,0)),""))),"(FX missing)"))</f>
        <v/>
      </c>
      <c r="P350" s="42"/>
      <c r="Q350" s="42"/>
      <c r="R350" s="42"/>
      <c r="S350" s="42"/>
      <c r="T350" s="42"/>
      <c r="U350" s="42"/>
      <c r="V350" s="42"/>
    </row>
    <row r="351" customFormat="false" ht="15" hidden="false" customHeight="false" outlineLevel="0" collapsed="false">
      <c r="A351" s="42"/>
      <c r="B351" s="42"/>
      <c r="C351" s="45" t="str">
        <f aca="false">IF(B351="","",IFERROR(INDEX('Master Database'!$D$5:$D$600,MATCH(B351,'Master Database'!$A$5:$A$600,0)),"(row not found)"))</f>
        <v/>
      </c>
      <c r="D351" s="45" t="str">
        <f aca="false">IF(B351="","",IFERROR(INDEX('Master Database'!$B$5:$B$600,MATCH(B351,'Master Database'!$A$5:$A$600,0)),"(row not found)"))</f>
        <v/>
      </c>
      <c r="E351" s="42"/>
      <c r="F351" s="45" t="str">
        <f aca="false">IF(E351="","",IFERROR(INDEX(Vendor_Register!$B$5:$B$205,MATCH(E351,Vendor_Register!$A$5:$A$205,0)),"(not in register)"))</f>
        <v/>
      </c>
      <c r="G351" s="45" t="str">
        <f aca="false">IF(E351="","",IFERROR(INDEX(Vendor_Register!$E$5:$E$205,MATCH(E351,Vendor_Register!$A$5:$A$205,0)),"(not in register)"))</f>
        <v/>
      </c>
      <c r="H351" s="42"/>
      <c r="I351" s="42"/>
      <c r="J351" s="42"/>
      <c r="K351" s="42"/>
      <c r="L351" s="42"/>
      <c r="M351" s="46"/>
      <c r="N351" s="42"/>
      <c r="O351" s="47" t="str">
        <f aca="false">IF(NOT(ISNUMBER(M351)),"",IFERROR(IF(L351="EUR",M351,IF(L351="IRR",M351/INDEX('Assumptions &amp; FX Reference'!$C$5:$C$25,MATCH(H351,'Assumptions &amp; FX Reference'!$A$5:$A$25,0)),IF(L351="USD",M351*INDEX('Assumptions &amp; FX Reference'!$B$5:$B$25,MATCH(H351,'Assumptions &amp; FX Reference'!$A$5:$A$25,0))/INDEX('Assumptions &amp; FX Reference'!$C$5:$C$25,MATCH(H351,'Assumptions &amp; FX Reference'!$A$5:$A$25,0)),""))),"(FX missing)"))</f>
        <v/>
      </c>
      <c r="P351" s="42"/>
      <c r="Q351" s="42"/>
      <c r="R351" s="42"/>
      <c r="S351" s="42"/>
      <c r="T351" s="42"/>
      <c r="U351" s="42"/>
      <c r="V351" s="42"/>
    </row>
    <row r="352" customFormat="false" ht="15" hidden="false" customHeight="false" outlineLevel="0" collapsed="false">
      <c r="A352" s="42"/>
      <c r="B352" s="42"/>
      <c r="C352" s="45" t="str">
        <f aca="false">IF(B352="","",IFERROR(INDEX('Master Database'!$D$5:$D$600,MATCH(B352,'Master Database'!$A$5:$A$600,0)),"(row not found)"))</f>
        <v/>
      </c>
      <c r="D352" s="45" t="str">
        <f aca="false">IF(B352="","",IFERROR(INDEX('Master Database'!$B$5:$B$600,MATCH(B352,'Master Database'!$A$5:$A$600,0)),"(row not found)"))</f>
        <v/>
      </c>
      <c r="E352" s="42"/>
      <c r="F352" s="45" t="str">
        <f aca="false">IF(E352="","",IFERROR(INDEX(Vendor_Register!$B$5:$B$205,MATCH(E352,Vendor_Register!$A$5:$A$205,0)),"(not in register)"))</f>
        <v/>
      </c>
      <c r="G352" s="45" t="str">
        <f aca="false">IF(E352="","",IFERROR(INDEX(Vendor_Register!$E$5:$E$205,MATCH(E352,Vendor_Register!$A$5:$A$205,0)),"(not in register)"))</f>
        <v/>
      </c>
      <c r="H352" s="42"/>
      <c r="I352" s="42"/>
      <c r="J352" s="42"/>
      <c r="K352" s="42"/>
      <c r="L352" s="42"/>
      <c r="M352" s="46"/>
      <c r="N352" s="42"/>
      <c r="O352" s="47" t="str">
        <f aca="false">IF(NOT(ISNUMBER(M352)),"",IFERROR(IF(L352="EUR",M352,IF(L352="IRR",M352/INDEX('Assumptions &amp; FX Reference'!$C$5:$C$25,MATCH(H352,'Assumptions &amp; FX Reference'!$A$5:$A$25,0)),IF(L352="USD",M352*INDEX('Assumptions &amp; FX Reference'!$B$5:$B$25,MATCH(H352,'Assumptions &amp; FX Reference'!$A$5:$A$25,0))/INDEX('Assumptions &amp; FX Reference'!$C$5:$C$25,MATCH(H352,'Assumptions &amp; FX Reference'!$A$5:$A$25,0)),""))),"(FX missing)"))</f>
        <v/>
      </c>
      <c r="P352" s="42"/>
      <c r="Q352" s="42"/>
      <c r="R352" s="42"/>
      <c r="S352" s="42"/>
      <c r="T352" s="42"/>
      <c r="U352" s="42"/>
      <c r="V352" s="42"/>
    </row>
    <row r="353" customFormat="false" ht="15" hidden="false" customHeight="false" outlineLevel="0" collapsed="false">
      <c r="A353" s="42"/>
      <c r="B353" s="42"/>
      <c r="C353" s="45" t="str">
        <f aca="false">IF(B353="","",IFERROR(INDEX('Master Database'!$D$5:$D$600,MATCH(B353,'Master Database'!$A$5:$A$600,0)),"(row not found)"))</f>
        <v/>
      </c>
      <c r="D353" s="45" t="str">
        <f aca="false">IF(B353="","",IFERROR(INDEX('Master Database'!$B$5:$B$600,MATCH(B353,'Master Database'!$A$5:$A$600,0)),"(row not found)"))</f>
        <v/>
      </c>
      <c r="E353" s="42"/>
      <c r="F353" s="45" t="str">
        <f aca="false">IF(E353="","",IFERROR(INDEX(Vendor_Register!$B$5:$B$205,MATCH(E353,Vendor_Register!$A$5:$A$205,0)),"(not in register)"))</f>
        <v/>
      </c>
      <c r="G353" s="45" t="str">
        <f aca="false">IF(E353="","",IFERROR(INDEX(Vendor_Register!$E$5:$E$205,MATCH(E353,Vendor_Register!$A$5:$A$205,0)),"(not in register)"))</f>
        <v/>
      </c>
      <c r="H353" s="42"/>
      <c r="I353" s="42"/>
      <c r="J353" s="42"/>
      <c r="K353" s="42"/>
      <c r="L353" s="42"/>
      <c r="M353" s="46"/>
      <c r="N353" s="42"/>
      <c r="O353" s="47" t="str">
        <f aca="false">IF(NOT(ISNUMBER(M353)),"",IFERROR(IF(L353="EUR",M353,IF(L353="IRR",M353/INDEX('Assumptions &amp; FX Reference'!$C$5:$C$25,MATCH(H353,'Assumptions &amp; FX Reference'!$A$5:$A$25,0)),IF(L353="USD",M353*INDEX('Assumptions &amp; FX Reference'!$B$5:$B$25,MATCH(H353,'Assumptions &amp; FX Reference'!$A$5:$A$25,0))/INDEX('Assumptions &amp; FX Reference'!$C$5:$C$25,MATCH(H353,'Assumptions &amp; FX Reference'!$A$5:$A$25,0)),""))),"(FX missing)"))</f>
        <v/>
      </c>
      <c r="P353" s="42"/>
      <c r="Q353" s="42"/>
      <c r="R353" s="42"/>
      <c r="S353" s="42"/>
      <c r="T353" s="42"/>
      <c r="U353" s="42"/>
      <c r="V353" s="42"/>
    </row>
    <row r="354" customFormat="false" ht="15" hidden="false" customHeight="false" outlineLevel="0" collapsed="false">
      <c r="A354" s="42"/>
      <c r="B354" s="42"/>
      <c r="C354" s="45" t="str">
        <f aca="false">IF(B354="","",IFERROR(INDEX('Master Database'!$D$5:$D$600,MATCH(B354,'Master Database'!$A$5:$A$600,0)),"(row not found)"))</f>
        <v/>
      </c>
      <c r="D354" s="45" t="str">
        <f aca="false">IF(B354="","",IFERROR(INDEX('Master Database'!$B$5:$B$600,MATCH(B354,'Master Database'!$A$5:$A$600,0)),"(row not found)"))</f>
        <v/>
      </c>
      <c r="E354" s="42"/>
      <c r="F354" s="45" t="str">
        <f aca="false">IF(E354="","",IFERROR(INDEX(Vendor_Register!$B$5:$B$205,MATCH(E354,Vendor_Register!$A$5:$A$205,0)),"(not in register)"))</f>
        <v/>
      </c>
      <c r="G354" s="45" t="str">
        <f aca="false">IF(E354="","",IFERROR(INDEX(Vendor_Register!$E$5:$E$205,MATCH(E354,Vendor_Register!$A$5:$A$205,0)),"(not in register)"))</f>
        <v/>
      </c>
      <c r="H354" s="42"/>
      <c r="I354" s="42"/>
      <c r="J354" s="42"/>
      <c r="K354" s="42"/>
      <c r="L354" s="42"/>
      <c r="M354" s="46"/>
      <c r="N354" s="42"/>
      <c r="O354" s="47" t="str">
        <f aca="false">IF(NOT(ISNUMBER(M354)),"",IFERROR(IF(L354="EUR",M354,IF(L354="IRR",M354/INDEX('Assumptions &amp; FX Reference'!$C$5:$C$25,MATCH(H354,'Assumptions &amp; FX Reference'!$A$5:$A$25,0)),IF(L354="USD",M354*INDEX('Assumptions &amp; FX Reference'!$B$5:$B$25,MATCH(H354,'Assumptions &amp; FX Reference'!$A$5:$A$25,0))/INDEX('Assumptions &amp; FX Reference'!$C$5:$C$25,MATCH(H354,'Assumptions &amp; FX Reference'!$A$5:$A$25,0)),""))),"(FX missing)"))</f>
        <v/>
      </c>
      <c r="P354" s="42"/>
      <c r="Q354" s="42"/>
      <c r="R354" s="42"/>
      <c r="S354" s="42"/>
      <c r="T354" s="42"/>
      <c r="U354" s="42"/>
      <c r="V354" s="42"/>
    </row>
    <row r="355" customFormat="false" ht="15" hidden="false" customHeight="false" outlineLevel="0" collapsed="false">
      <c r="A355" s="42"/>
      <c r="B355" s="42"/>
      <c r="C355" s="45" t="str">
        <f aca="false">IF(B355="","",IFERROR(INDEX('Master Database'!$D$5:$D$600,MATCH(B355,'Master Database'!$A$5:$A$600,0)),"(row not found)"))</f>
        <v/>
      </c>
      <c r="D355" s="45" t="str">
        <f aca="false">IF(B355="","",IFERROR(INDEX('Master Database'!$B$5:$B$600,MATCH(B355,'Master Database'!$A$5:$A$600,0)),"(row not found)"))</f>
        <v/>
      </c>
      <c r="E355" s="42"/>
      <c r="F355" s="45" t="str">
        <f aca="false">IF(E355="","",IFERROR(INDEX(Vendor_Register!$B$5:$B$205,MATCH(E355,Vendor_Register!$A$5:$A$205,0)),"(not in register)"))</f>
        <v/>
      </c>
      <c r="G355" s="45" t="str">
        <f aca="false">IF(E355="","",IFERROR(INDEX(Vendor_Register!$E$5:$E$205,MATCH(E355,Vendor_Register!$A$5:$A$205,0)),"(not in register)"))</f>
        <v/>
      </c>
      <c r="H355" s="42"/>
      <c r="I355" s="42"/>
      <c r="J355" s="42"/>
      <c r="K355" s="42"/>
      <c r="L355" s="42"/>
      <c r="M355" s="46"/>
      <c r="N355" s="42"/>
      <c r="O355" s="47" t="str">
        <f aca="false">IF(NOT(ISNUMBER(M355)),"",IFERROR(IF(L355="EUR",M355,IF(L355="IRR",M355/INDEX('Assumptions &amp; FX Reference'!$C$5:$C$25,MATCH(H355,'Assumptions &amp; FX Reference'!$A$5:$A$25,0)),IF(L355="USD",M355*INDEX('Assumptions &amp; FX Reference'!$B$5:$B$25,MATCH(H355,'Assumptions &amp; FX Reference'!$A$5:$A$25,0))/INDEX('Assumptions &amp; FX Reference'!$C$5:$C$25,MATCH(H355,'Assumptions &amp; FX Reference'!$A$5:$A$25,0)),""))),"(FX missing)"))</f>
        <v/>
      </c>
      <c r="P355" s="42"/>
      <c r="Q355" s="42"/>
      <c r="R355" s="42"/>
      <c r="S355" s="42"/>
      <c r="T355" s="42"/>
      <c r="U355" s="42"/>
      <c r="V355" s="42"/>
    </row>
    <row r="356" customFormat="false" ht="15" hidden="false" customHeight="false" outlineLevel="0" collapsed="false">
      <c r="A356" s="42"/>
      <c r="B356" s="42"/>
      <c r="C356" s="45" t="str">
        <f aca="false">IF(B356="","",IFERROR(INDEX('Master Database'!$D$5:$D$600,MATCH(B356,'Master Database'!$A$5:$A$600,0)),"(row not found)"))</f>
        <v/>
      </c>
      <c r="D356" s="45" t="str">
        <f aca="false">IF(B356="","",IFERROR(INDEX('Master Database'!$B$5:$B$600,MATCH(B356,'Master Database'!$A$5:$A$600,0)),"(row not found)"))</f>
        <v/>
      </c>
      <c r="E356" s="42"/>
      <c r="F356" s="45" t="str">
        <f aca="false">IF(E356="","",IFERROR(INDEX(Vendor_Register!$B$5:$B$205,MATCH(E356,Vendor_Register!$A$5:$A$205,0)),"(not in register)"))</f>
        <v/>
      </c>
      <c r="G356" s="45" t="str">
        <f aca="false">IF(E356="","",IFERROR(INDEX(Vendor_Register!$E$5:$E$205,MATCH(E356,Vendor_Register!$A$5:$A$205,0)),"(not in register)"))</f>
        <v/>
      </c>
      <c r="H356" s="42"/>
      <c r="I356" s="42"/>
      <c r="J356" s="42"/>
      <c r="K356" s="42"/>
      <c r="L356" s="42"/>
      <c r="M356" s="46"/>
      <c r="N356" s="42"/>
      <c r="O356" s="47" t="str">
        <f aca="false">IF(NOT(ISNUMBER(M356)),"",IFERROR(IF(L356="EUR",M356,IF(L356="IRR",M356/INDEX('Assumptions &amp; FX Reference'!$C$5:$C$25,MATCH(H356,'Assumptions &amp; FX Reference'!$A$5:$A$25,0)),IF(L356="USD",M356*INDEX('Assumptions &amp; FX Reference'!$B$5:$B$25,MATCH(H356,'Assumptions &amp; FX Reference'!$A$5:$A$25,0))/INDEX('Assumptions &amp; FX Reference'!$C$5:$C$25,MATCH(H356,'Assumptions &amp; FX Reference'!$A$5:$A$25,0)),""))),"(FX missing)"))</f>
        <v/>
      </c>
      <c r="P356" s="42"/>
      <c r="Q356" s="42"/>
      <c r="R356" s="42"/>
      <c r="S356" s="42"/>
      <c r="T356" s="42"/>
      <c r="U356" s="42"/>
      <c r="V356" s="42"/>
    </row>
    <row r="357" customFormat="false" ht="15" hidden="false" customHeight="false" outlineLevel="0" collapsed="false">
      <c r="A357" s="42"/>
      <c r="B357" s="42"/>
      <c r="C357" s="45" t="str">
        <f aca="false">IF(B357="","",IFERROR(INDEX('Master Database'!$D$5:$D$600,MATCH(B357,'Master Database'!$A$5:$A$600,0)),"(row not found)"))</f>
        <v/>
      </c>
      <c r="D357" s="45" t="str">
        <f aca="false">IF(B357="","",IFERROR(INDEX('Master Database'!$B$5:$B$600,MATCH(B357,'Master Database'!$A$5:$A$600,0)),"(row not found)"))</f>
        <v/>
      </c>
      <c r="E357" s="42"/>
      <c r="F357" s="45" t="str">
        <f aca="false">IF(E357="","",IFERROR(INDEX(Vendor_Register!$B$5:$B$205,MATCH(E357,Vendor_Register!$A$5:$A$205,0)),"(not in register)"))</f>
        <v/>
      </c>
      <c r="G357" s="45" t="str">
        <f aca="false">IF(E357="","",IFERROR(INDEX(Vendor_Register!$E$5:$E$205,MATCH(E357,Vendor_Register!$A$5:$A$205,0)),"(not in register)"))</f>
        <v/>
      </c>
      <c r="H357" s="42"/>
      <c r="I357" s="42"/>
      <c r="J357" s="42"/>
      <c r="K357" s="42"/>
      <c r="L357" s="42"/>
      <c r="M357" s="46"/>
      <c r="N357" s="42"/>
      <c r="O357" s="47" t="str">
        <f aca="false">IF(NOT(ISNUMBER(M357)),"",IFERROR(IF(L357="EUR",M357,IF(L357="IRR",M357/INDEX('Assumptions &amp; FX Reference'!$C$5:$C$25,MATCH(H357,'Assumptions &amp; FX Reference'!$A$5:$A$25,0)),IF(L357="USD",M357*INDEX('Assumptions &amp; FX Reference'!$B$5:$B$25,MATCH(H357,'Assumptions &amp; FX Reference'!$A$5:$A$25,0))/INDEX('Assumptions &amp; FX Reference'!$C$5:$C$25,MATCH(H357,'Assumptions &amp; FX Reference'!$A$5:$A$25,0)),""))),"(FX missing)"))</f>
        <v/>
      </c>
      <c r="P357" s="42"/>
      <c r="Q357" s="42"/>
      <c r="R357" s="42"/>
      <c r="S357" s="42"/>
      <c r="T357" s="42"/>
      <c r="U357" s="42"/>
      <c r="V357" s="42"/>
    </row>
    <row r="358" customFormat="false" ht="15" hidden="false" customHeight="false" outlineLevel="0" collapsed="false">
      <c r="A358" s="42"/>
      <c r="B358" s="42"/>
      <c r="C358" s="45" t="str">
        <f aca="false">IF(B358="","",IFERROR(INDEX('Master Database'!$D$5:$D$600,MATCH(B358,'Master Database'!$A$5:$A$600,0)),"(row not found)"))</f>
        <v/>
      </c>
      <c r="D358" s="45" t="str">
        <f aca="false">IF(B358="","",IFERROR(INDEX('Master Database'!$B$5:$B$600,MATCH(B358,'Master Database'!$A$5:$A$600,0)),"(row not found)"))</f>
        <v/>
      </c>
      <c r="E358" s="42"/>
      <c r="F358" s="45" t="str">
        <f aca="false">IF(E358="","",IFERROR(INDEX(Vendor_Register!$B$5:$B$205,MATCH(E358,Vendor_Register!$A$5:$A$205,0)),"(not in register)"))</f>
        <v/>
      </c>
      <c r="G358" s="45" t="str">
        <f aca="false">IF(E358="","",IFERROR(INDEX(Vendor_Register!$E$5:$E$205,MATCH(E358,Vendor_Register!$A$5:$A$205,0)),"(not in register)"))</f>
        <v/>
      </c>
      <c r="H358" s="42"/>
      <c r="I358" s="42"/>
      <c r="J358" s="42"/>
      <c r="K358" s="42"/>
      <c r="L358" s="42"/>
      <c r="M358" s="46"/>
      <c r="N358" s="42"/>
      <c r="O358" s="47" t="str">
        <f aca="false">IF(NOT(ISNUMBER(M358)),"",IFERROR(IF(L358="EUR",M358,IF(L358="IRR",M358/INDEX('Assumptions &amp; FX Reference'!$C$5:$C$25,MATCH(H358,'Assumptions &amp; FX Reference'!$A$5:$A$25,0)),IF(L358="USD",M358*INDEX('Assumptions &amp; FX Reference'!$B$5:$B$25,MATCH(H358,'Assumptions &amp; FX Reference'!$A$5:$A$25,0))/INDEX('Assumptions &amp; FX Reference'!$C$5:$C$25,MATCH(H358,'Assumptions &amp; FX Reference'!$A$5:$A$25,0)),""))),"(FX missing)"))</f>
        <v/>
      </c>
      <c r="P358" s="42"/>
      <c r="Q358" s="42"/>
      <c r="R358" s="42"/>
      <c r="S358" s="42"/>
      <c r="T358" s="42"/>
      <c r="U358" s="42"/>
      <c r="V358" s="42"/>
    </row>
    <row r="359" customFormat="false" ht="15" hidden="false" customHeight="false" outlineLevel="0" collapsed="false">
      <c r="A359" s="42"/>
      <c r="B359" s="42"/>
      <c r="C359" s="45" t="str">
        <f aca="false">IF(B359="","",IFERROR(INDEX('Master Database'!$D$5:$D$600,MATCH(B359,'Master Database'!$A$5:$A$600,0)),"(row not found)"))</f>
        <v/>
      </c>
      <c r="D359" s="45" t="str">
        <f aca="false">IF(B359="","",IFERROR(INDEX('Master Database'!$B$5:$B$600,MATCH(B359,'Master Database'!$A$5:$A$600,0)),"(row not found)"))</f>
        <v/>
      </c>
      <c r="E359" s="42"/>
      <c r="F359" s="45" t="str">
        <f aca="false">IF(E359="","",IFERROR(INDEX(Vendor_Register!$B$5:$B$205,MATCH(E359,Vendor_Register!$A$5:$A$205,0)),"(not in register)"))</f>
        <v/>
      </c>
      <c r="G359" s="45" t="str">
        <f aca="false">IF(E359="","",IFERROR(INDEX(Vendor_Register!$E$5:$E$205,MATCH(E359,Vendor_Register!$A$5:$A$205,0)),"(not in register)"))</f>
        <v/>
      </c>
      <c r="H359" s="42"/>
      <c r="I359" s="42"/>
      <c r="J359" s="42"/>
      <c r="K359" s="42"/>
      <c r="L359" s="42"/>
      <c r="M359" s="46"/>
      <c r="N359" s="42"/>
      <c r="O359" s="47" t="str">
        <f aca="false">IF(NOT(ISNUMBER(M359)),"",IFERROR(IF(L359="EUR",M359,IF(L359="IRR",M359/INDEX('Assumptions &amp; FX Reference'!$C$5:$C$25,MATCH(H359,'Assumptions &amp; FX Reference'!$A$5:$A$25,0)),IF(L359="USD",M359*INDEX('Assumptions &amp; FX Reference'!$B$5:$B$25,MATCH(H359,'Assumptions &amp; FX Reference'!$A$5:$A$25,0))/INDEX('Assumptions &amp; FX Reference'!$C$5:$C$25,MATCH(H359,'Assumptions &amp; FX Reference'!$A$5:$A$25,0)),""))),"(FX missing)"))</f>
        <v/>
      </c>
      <c r="P359" s="42"/>
      <c r="Q359" s="42"/>
      <c r="R359" s="42"/>
      <c r="S359" s="42"/>
      <c r="T359" s="42"/>
      <c r="U359" s="42"/>
      <c r="V359" s="42"/>
    </row>
    <row r="360" customFormat="false" ht="15" hidden="false" customHeight="false" outlineLevel="0" collapsed="false">
      <c r="A360" s="42"/>
      <c r="B360" s="42"/>
      <c r="C360" s="45" t="str">
        <f aca="false">IF(B360="","",IFERROR(INDEX('Master Database'!$D$5:$D$600,MATCH(B360,'Master Database'!$A$5:$A$600,0)),"(row not found)"))</f>
        <v/>
      </c>
      <c r="D360" s="45" t="str">
        <f aca="false">IF(B360="","",IFERROR(INDEX('Master Database'!$B$5:$B$600,MATCH(B360,'Master Database'!$A$5:$A$600,0)),"(row not found)"))</f>
        <v/>
      </c>
      <c r="E360" s="42"/>
      <c r="F360" s="45" t="str">
        <f aca="false">IF(E360="","",IFERROR(INDEX(Vendor_Register!$B$5:$B$205,MATCH(E360,Vendor_Register!$A$5:$A$205,0)),"(not in register)"))</f>
        <v/>
      </c>
      <c r="G360" s="45" t="str">
        <f aca="false">IF(E360="","",IFERROR(INDEX(Vendor_Register!$E$5:$E$205,MATCH(E360,Vendor_Register!$A$5:$A$205,0)),"(not in register)"))</f>
        <v/>
      </c>
      <c r="H360" s="42"/>
      <c r="I360" s="42"/>
      <c r="J360" s="42"/>
      <c r="K360" s="42"/>
      <c r="L360" s="42"/>
      <c r="M360" s="46"/>
      <c r="N360" s="42"/>
      <c r="O360" s="47" t="str">
        <f aca="false">IF(NOT(ISNUMBER(M360)),"",IFERROR(IF(L360="EUR",M360,IF(L360="IRR",M360/INDEX('Assumptions &amp; FX Reference'!$C$5:$C$25,MATCH(H360,'Assumptions &amp; FX Reference'!$A$5:$A$25,0)),IF(L360="USD",M360*INDEX('Assumptions &amp; FX Reference'!$B$5:$B$25,MATCH(H360,'Assumptions &amp; FX Reference'!$A$5:$A$25,0))/INDEX('Assumptions &amp; FX Reference'!$C$5:$C$25,MATCH(H360,'Assumptions &amp; FX Reference'!$A$5:$A$25,0)),""))),"(FX missing)"))</f>
        <v/>
      </c>
      <c r="P360" s="42"/>
      <c r="Q360" s="42"/>
      <c r="R360" s="42"/>
      <c r="S360" s="42"/>
      <c r="T360" s="42"/>
      <c r="U360" s="42"/>
      <c r="V360" s="42"/>
    </row>
    <row r="361" customFormat="false" ht="15" hidden="false" customHeight="false" outlineLevel="0" collapsed="false">
      <c r="A361" s="42"/>
      <c r="B361" s="42"/>
      <c r="C361" s="45" t="str">
        <f aca="false">IF(B361="","",IFERROR(INDEX('Master Database'!$D$5:$D$600,MATCH(B361,'Master Database'!$A$5:$A$600,0)),"(row not found)"))</f>
        <v/>
      </c>
      <c r="D361" s="45" t="str">
        <f aca="false">IF(B361="","",IFERROR(INDEX('Master Database'!$B$5:$B$600,MATCH(B361,'Master Database'!$A$5:$A$600,0)),"(row not found)"))</f>
        <v/>
      </c>
      <c r="E361" s="42"/>
      <c r="F361" s="45" t="str">
        <f aca="false">IF(E361="","",IFERROR(INDEX(Vendor_Register!$B$5:$B$205,MATCH(E361,Vendor_Register!$A$5:$A$205,0)),"(not in register)"))</f>
        <v/>
      </c>
      <c r="G361" s="45" t="str">
        <f aca="false">IF(E361="","",IFERROR(INDEX(Vendor_Register!$E$5:$E$205,MATCH(E361,Vendor_Register!$A$5:$A$205,0)),"(not in register)"))</f>
        <v/>
      </c>
      <c r="H361" s="42"/>
      <c r="I361" s="42"/>
      <c r="J361" s="42"/>
      <c r="K361" s="42"/>
      <c r="L361" s="42"/>
      <c r="M361" s="46"/>
      <c r="N361" s="42"/>
      <c r="O361" s="47" t="str">
        <f aca="false">IF(NOT(ISNUMBER(M361)),"",IFERROR(IF(L361="EUR",M361,IF(L361="IRR",M361/INDEX('Assumptions &amp; FX Reference'!$C$5:$C$25,MATCH(H361,'Assumptions &amp; FX Reference'!$A$5:$A$25,0)),IF(L361="USD",M361*INDEX('Assumptions &amp; FX Reference'!$B$5:$B$25,MATCH(H361,'Assumptions &amp; FX Reference'!$A$5:$A$25,0))/INDEX('Assumptions &amp; FX Reference'!$C$5:$C$25,MATCH(H361,'Assumptions &amp; FX Reference'!$A$5:$A$25,0)),""))),"(FX missing)"))</f>
        <v/>
      </c>
      <c r="P361" s="42"/>
      <c r="Q361" s="42"/>
      <c r="R361" s="42"/>
      <c r="S361" s="42"/>
      <c r="T361" s="42"/>
      <c r="U361" s="42"/>
      <c r="V361" s="42"/>
    </row>
    <row r="362" customFormat="false" ht="15" hidden="false" customHeight="false" outlineLevel="0" collapsed="false">
      <c r="A362" s="42"/>
      <c r="B362" s="42"/>
      <c r="C362" s="45" t="str">
        <f aca="false">IF(B362="","",IFERROR(INDEX('Master Database'!$D$5:$D$600,MATCH(B362,'Master Database'!$A$5:$A$600,0)),"(row not found)"))</f>
        <v/>
      </c>
      <c r="D362" s="45" t="str">
        <f aca="false">IF(B362="","",IFERROR(INDEX('Master Database'!$B$5:$B$600,MATCH(B362,'Master Database'!$A$5:$A$600,0)),"(row not found)"))</f>
        <v/>
      </c>
      <c r="E362" s="42"/>
      <c r="F362" s="45" t="str">
        <f aca="false">IF(E362="","",IFERROR(INDEX(Vendor_Register!$B$5:$B$205,MATCH(E362,Vendor_Register!$A$5:$A$205,0)),"(not in register)"))</f>
        <v/>
      </c>
      <c r="G362" s="45" t="str">
        <f aca="false">IF(E362="","",IFERROR(INDEX(Vendor_Register!$E$5:$E$205,MATCH(E362,Vendor_Register!$A$5:$A$205,0)),"(not in register)"))</f>
        <v/>
      </c>
      <c r="H362" s="42"/>
      <c r="I362" s="42"/>
      <c r="J362" s="42"/>
      <c r="K362" s="42"/>
      <c r="L362" s="42"/>
      <c r="M362" s="46"/>
      <c r="N362" s="42"/>
      <c r="O362" s="47" t="str">
        <f aca="false">IF(NOT(ISNUMBER(M362)),"",IFERROR(IF(L362="EUR",M362,IF(L362="IRR",M362/INDEX('Assumptions &amp; FX Reference'!$C$5:$C$25,MATCH(H362,'Assumptions &amp; FX Reference'!$A$5:$A$25,0)),IF(L362="USD",M362*INDEX('Assumptions &amp; FX Reference'!$B$5:$B$25,MATCH(H362,'Assumptions &amp; FX Reference'!$A$5:$A$25,0))/INDEX('Assumptions &amp; FX Reference'!$C$5:$C$25,MATCH(H362,'Assumptions &amp; FX Reference'!$A$5:$A$25,0)),""))),"(FX missing)"))</f>
        <v/>
      </c>
      <c r="P362" s="42"/>
      <c r="Q362" s="42"/>
      <c r="R362" s="42"/>
      <c r="S362" s="42"/>
      <c r="T362" s="42"/>
      <c r="U362" s="42"/>
      <c r="V362" s="42"/>
    </row>
    <row r="363" customFormat="false" ht="15" hidden="false" customHeight="false" outlineLevel="0" collapsed="false">
      <c r="A363" s="42"/>
      <c r="B363" s="42"/>
      <c r="C363" s="45" t="str">
        <f aca="false">IF(B363="","",IFERROR(INDEX('Master Database'!$D$5:$D$600,MATCH(B363,'Master Database'!$A$5:$A$600,0)),"(row not found)"))</f>
        <v/>
      </c>
      <c r="D363" s="45" t="str">
        <f aca="false">IF(B363="","",IFERROR(INDEX('Master Database'!$B$5:$B$600,MATCH(B363,'Master Database'!$A$5:$A$600,0)),"(row not found)"))</f>
        <v/>
      </c>
      <c r="E363" s="42"/>
      <c r="F363" s="45" t="str">
        <f aca="false">IF(E363="","",IFERROR(INDEX(Vendor_Register!$B$5:$B$205,MATCH(E363,Vendor_Register!$A$5:$A$205,0)),"(not in register)"))</f>
        <v/>
      </c>
      <c r="G363" s="45" t="str">
        <f aca="false">IF(E363="","",IFERROR(INDEX(Vendor_Register!$E$5:$E$205,MATCH(E363,Vendor_Register!$A$5:$A$205,0)),"(not in register)"))</f>
        <v/>
      </c>
      <c r="H363" s="42"/>
      <c r="I363" s="42"/>
      <c r="J363" s="42"/>
      <c r="K363" s="42"/>
      <c r="L363" s="42"/>
      <c r="M363" s="46"/>
      <c r="N363" s="42"/>
      <c r="O363" s="47" t="str">
        <f aca="false">IF(NOT(ISNUMBER(M363)),"",IFERROR(IF(L363="EUR",M363,IF(L363="IRR",M363/INDEX('Assumptions &amp; FX Reference'!$C$5:$C$25,MATCH(H363,'Assumptions &amp; FX Reference'!$A$5:$A$25,0)),IF(L363="USD",M363*INDEX('Assumptions &amp; FX Reference'!$B$5:$B$25,MATCH(H363,'Assumptions &amp; FX Reference'!$A$5:$A$25,0))/INDEX('Assumptions &amp; FX Reference'!$C$5:$C$25,MATCH(H363,'Assumptions &amp; FX Reference'!$A$5:$A$25,0)),""))),"(FX missing)"))</f>
        <v/>
      </c>
      <c r="P363" s="42"/>
      <c r="Q363" s="42"/>
      <c r="R363" s="42"/>
      <c r="S363" s="42"/>
      <c r="T363" s="42"/>
      <c r="U363" s="42"/>
      <c r="V363" s="42"/>
    </row>
    <row r="364" customFormat="false" ht="15" hidden="false" customHeight="false" outlineLevel="0" collapsed="false">
      <c r="A364" s="42"/>
      <c r="B364" s="42"/>
      <c r="C364" s="45" t="str">
        <f aca="false">IF(B364="","",IFERROR(INDEX('Master Database'!$D$5:$D$600,MATCH(B364,'Master Database'!$A$5:$A$600,0)),"(row not found)"))</f>
        <v/>
      </c>
      <c r="D364" s="45" t="str">
        <f aca="false">IF(B364="","",IFERROR(INDEX('Master Database'!$B$5:$B$600,MATCH(B364,'Master Database'!$A$5:$A$600,0)),"(row not found)"))</f>
        <v/>
      </c>
      <c r="E364" s="42"/>
      <c r="F364" s="45" t="str">
        <f aca="false">IF(E364="","",IFERROR(INDEX(Vendor_Register!$B$5:$B$205,MATCH(E364,Vendor_Register!$A$5:$A$205,0)),"(not in register)"))</f>
        <v/>
      </c>
      <c r="G364" s="45" t="str">
        <f aca="false">IF(E364="","",IFERROR(INDEX(Vendor_Register!$E$5:$E$205,MATCH(E364,Vendor_Register!$A$5:$A$205,0)),"(not in register)"))</f>
        <v/>
      </c>
      <c r="H364" s="42"/>
      <c r="I364" s="42"/>
      <c r="J364" s="42"/>
      <c r="K364" s="42"/>
      <c r="L364" s="42"/>
      <c r="M364" s="46"/>
      <c r="N364" s="42"/>
      <c r="O364" s="47" t="str">
        <f aca="false">IF(NOT(ISNUMBER(M364)),"",IFERROR(IF(L364="EUR",M364,IF(L364="IRR",M364/INDEX('Assumptions &amp; FX Reference'!$C$5:$C$25,MATCH(H364,'Assumptions &amp; FX Reference'!$A$5:$A$25,0)),IF(L364="USD",M364*INDEX('Assumptions &amp; FX Reference'!$B$5:$B$25,MATCH(H364,'Assumptions &amp; FX Reference'!$A$5:$A$25,0))/INDEX('Assumptions &amp; FX Reference'!$C$5:$C$25,MATCH(H364,'Assumptions &amp; FX Reference'!$A$5:$A$25,0)),""))),"(FX missing)"))</f>
        <v/>
      </c>
      <c r="P364" s="42"/>
      <c r="Q364" s="42"/>
      <c r="R364" s="42"/>
      <c r="S364" s="42"/>
      <c r="T364" s="42"/>
      <c r="U364" s="42"/>
      <c r="V364" s="42"/>
    </row>
    <row r="365" customFormat="false" ht="15" hidden="false" customHeight="false" outlineLevel="0" collapsed="false">
      <c r="A365" s="42"/>
      <c r="B365" s="42"/>
      <c r="C365" s="45" t="str">
        <f aca="false">IF(B365="","",IFERROR(INDEX('Master Database'!$D$5:$D$600,MATCH(B365,'Master Database'!$A$5:$A$600,0)),"(row not found)"))</f>
        <v/>
      </c>
      <c r="D365" s="45" t="str">
        <f aca="false">IF(B365="","",IFERROR(INDEX('Master Database'!$B$5:$B$600,MATCH(B365,'Master Database'!$A$5:$A$600,0)),"(row not found)"))</f>
        <v/>
      </c>
      <c r="E365" s="42"/>
      <c r="F365" s="45" t="str">
        <f aca="false">IF(E365="","",IFERROR(INDEX(Vendor_Register!$B$5:$B$205,MATCH(E365,Vendor_Register!$A$5:$A$205,0)),"(not in register)"))</f>
        <v/>
      </c>
      <c r="G365" s="45" t="str">
        <f aca="false">IF(E365="","",IFERROR(INDEX(Vendor_Register!$E$5:$E$205,MATCH(E365,Vendor_Register!$A$5:$A$205,0)),"(not in register)"))</f>
        <v/>
      </c>
      <c r="H365" s="42"/>
      <c r="I365" s="42"/>
      <c r="J365" s="42"/>
      <c r="K365" s="42"/>
      <c r="L365" s="42"/>
      <c r="M365" s="46"/>
      <c r="N365" s="42"/>
      <c r="O365" s="47" t="str">
        <f aca="false">IF(NOT(ISNUMBER(M365)),"",IFERROR(IF(L365="EUR",M365,IF(L365="IRR",M365/INDEX('Assumptions &amp; FX Reference'!$C$5:$C$25,MATCH(H365,'Assumptions &amp; FX Reference'!$A$5:$A$25,0)),IF(L365="USD",M365*INDEX('Assumptions &amp; FX Reference'!$B$5:$B$25,MATCH(H365,'Assumptions &amp; FX Reference'!$A$5:$A$25,0))/INDEX('Assumptions &amp; FX Reference'!$C$5:$C$25,MATCH(H365,'Assumptions &amp; FX Reference'!$A$5:$A$25,0)),""))),"(FX missing)"))</f>
        <v/>
      </c>
      <c r="P365" s="42"/>
      <c r="Q365" s="42"/>
      <c r="R365" s="42"/>
      <c r="S365" s="42"/>
      <c r="T365" s="42"/>
      <c r="U365" s="42"/>
      <c r="V365" s="42"/>
    </row>
    <row r="366" customFormat="false" ht="15" hidden="false" customHeight="false" outlineLevel="0" collapsed="false">
      <c r="A366" s="42"/>
      <c r="B366" s="42"/>
      <c r="C366" s="45" t="str">
        <f aca="false">IF(B366="","",IFERROR(INDEX('Master Database'!$D$5:$D$600,MATCH(B366,'Master Database'!$A$5:$A$600,0)),"(row not found)"))</f>
        <v/>
      </c>
      <c r="D366" s="45" t="str">
        <f aca="false">IF(B366="","",IFERROR(INDEX('Master Database'!$B$5:$B$600,MATCH(B366,'Master Database'!$A$5:$A$600,0)),"(row not found)"))</f>
        <v/>
      </c>
      <c r="E366" s="42"/>
      <c r="F366" s="45" t="str">
        <f aca="false">IF(E366="","",IFERROR(INDEX(Vendor_Register!$B$5:$B$205,MATCH(E366,Vendor_Register!$A$5:$A$205,0)),"(not in register)"))</f>
        <v/>
      </c>
      <c r="G366" s="45" t="str">
        <f aca="false">IF(E366="","",IFERROR(INDEX(Vendor_Register!$E$5:$E$205,MATCH(E366,Vendor_Register!$A$5:$A$205,0)),"(not in register)"))</f>
        <v/>
      </c>
      <c r="H366" s="42"/>
      <c r="I366" s="42"/>
      <c r="J366" s="42"/>
      <c r="K366" s="42"/>
      <c r="L366" s="42"/>
      <c r="M366" s="46"/>
      <c r="N366" s="42"/>
      <c r="O366" s="47" t="str">
        <f aca="false">IF(NOT(ISNUMBER(M366)),"",IFERROR(IF(L366="EUR",M366,IF(L366="IRR",M366/INDEX('Assumptions &amp; FX Reference'!$C$5:$C$25,MATCH(H366,'Assumptions &amp; FX Reference'!$A$5:$A$25,0)),IF(L366="USD",M366*INDEX('Assumptions &amp; FX Reference'!$B$5:$B$25,MATCH(H366,'Assumptions &amp; FX Reference'!$A$5:$A$25,0))/INDEX('Assumptions &amp; FX Reference'!$C$5:$C$25,MATCH(H366,'Assumptions &amp; FX Reference'!$A$5:$A$25,0)),""))),"(FX missing)"))</f>
        <v/>
      </c>
      <c r="P366" s="42"/>
      <c r="Q366" s="42"/>
      <c r="R366" s="42"/>
      <c r="S366" s="42"/>
      <c r="T366" s="42"/>
      <c r="U366" s="42"/>
      <c r="V366" s="42"/>
    </row>
    <row r="367" customFormat="false" ht="15" hidden="false" customHeight="false" outlineLevel="0" collapsed="false">
      <c r="A367" s="42"/>
      <c r="B367" s="42"/>
      <c r="C367" s="45" t="str">
        <f aca="false">IF(B367="","",IFERROR(INDEX('Master Database'!$D$5:$D$600,MATCH(B367,'Master Database'!$A$5:$A$600,0)),"(row not found)"))</f>
        <v/>
      </c>
      <c r="D367" s="45" t="str">
        <f aca="false">IF(B367="","",IFERROR(INDEX('Master Database'!$B$5:$B$600,MATCH(B367,'Master Database'!$A$5:$A$600,0)),"(row not found)"))</f>
        <v/>
      </c>
      <c r="E367" s="42"/>
      <c r="F367" s="45" t="str">
        <f aca="false">IF(E367="","",IFERROR(INDEX(Vendor_Register!$B$5:$B$205,MATCH(E367,Vendor_Register!$A$5:$A$205,0)),"(not in register)"))</f>
        <v/>
      </c>
      <c r="G367" s="45" t="str">
        <f aca="false">IF(E367="","",IFERROR(INDEX(Vendor_Register!$E$5:$E$205,MATCH(E367,Vendor_Register!$A$5:$A$205,0)),"(not in register)"))</f>
        <v/>
      </c>
      <c r="H367" s="42"/>
      <c r="I367" s="42"/>
      <c r="J367" s="42"/>
      <c r="K367" s="42"/>
      <c r="L367" s="42"/>
      <c r="M367" s="46"/>
      <c r="N367" s="42"/>
      <c r="O367" s="47" t="str">
        <f aca="false">IF(NOT(ISNUMBER(M367)),"",IFERROR(IF(L367="EUR",M367,IF(L367="IRR",M367/INDEX('Assumptions &amp; FX Reference'!$C$5:$C$25,MATCH(H367,'Assumptions &amp; FX Reference'!$A$5:$A$25,0)),IF(L367="USD",M367*INDEX('Assumptions &amp; FX Reference'!$B$5:$B$25,MATCH(H367,'Assumptions &amp; FX Reference'!$A$5:$A$25,0))/INDEX('Assumptions &amp; FX Reference'!$C$5:$C$25,MATCH(H367,'Assumptions &amp; FX Reference'!$A$5:$A$25,0)),""))),"(FX missing)"))</f>
        <v/>
      </c>
      <c r="P367" s="42"/>
      <c r="Q367" s="42"/>
      <c r="R367" s="42"/>
      <c r="S367" s="42"/>
      <c r="T367" s="42"/>
      <c r="U367" s="42"/>
      <c r="V367" s="42"/>
    </row>
    <row r="368" customFormat="false" ht="15" hidden="false" customHeight="false" outlineLevel="0" collapsed="false">
      <c r="A368" s="42"/>
      <c r="B368" s="42"/>
      <c r="C368" s="45" t="str">
        <f aca="false">IF(B368="","",IFERROR(INDEX('Master Database'!$D$5:$D$600,MATCH(B368,'Master Database'!$A$5:$A$600,0)),"(row not found)"))</f>
        <v/>
      </c>
      <c r="D368" s="45" t="str">
        <f aca="false">IF(B368="","",IFERROR(INDEX('Master Database'!$B$5:$B$600,MATCH(B368,'Master Database'!$A$5:$A$600,0)),"(row not found)"))</f>
        <v/>
      </c>
      <c r="E368" s="42"/>
      <c r="F368" s="45" t="str">
        <f aca="false">IF(E368="","",IFERROR(INDEX(Vendor_Register!$B$5:$B$205,MATCH(E368,Vendor_Register!$A$5:$A$205,0)),"(not in register)"))</f>
        <v/>
      </c>
      <c r="G368" s="45" t="str">
        <f aca="false">IF(E368="","",IFERROR(INDEX(Vendor_Register!$E$5:$E$205,MATCH(E368,Vendor_Register!$A$5:$A$205,0)),"(not in register)"))</f>
        <v/>
      </c>
      <c r="H368" s="42"/>
      <c r="I368" s="42"/>
      <c r="J368" s="42"/>
      <c r="K368" s="42"/>
      <c r="L368" s="42"/>
      <c r="M368" s="46"/>
      <c r="N368" s="42"/>
      <c r="O368" s="47" t="str">
        <f aca="false">IF(NOT(ISNUMBER(M368)),"",IFERROR(IF(L368="EUR",M368,IF(L368="IRR",M368/INDEX('Assumptions &amp; FX Reference'!$C$5:$C$25,MATCH(H368,'Assumptions &amp; FX Reference'!$A$5:$A$25,0)),IF(L368="USD",M368*INDEX('Assumptions &amp; FX Reference'!$B$5:$B$25,MATCH(H368,'Assumptions &amp; FX Reference'!$A$5:$A$25,0))/INDEX('Assumptions &amp; FX Reference'!$C$5:$C$25,MATCH(H368,'Assumptions &amp; FX Reference'!$A$5:$A$25,0)),""))),"(FX missing)"))</f>
        <v/>
      </c>
      <c r="P368" s="42"/>
      <c r="Q368" s="42"/>
      <c r="R368" s="42"/>
      <c r="S368" s="42"/>
      <c r="T368" s="42"/>
      <c r="U368" s="42"/>
      <c r="V368" s="42"/>
    </row>
    <row r="369" customFormat="false" ht="15" hidden="false" customHeight="false" outlineLevel="0" collapsed="false">
      <c r="A369" s="42"/>
      <c r="B369" s="42"/>
      <c r="C369" s="45" t="str">
        <f aca="false">IF(B369="","",IFERROR(INDEX('Master Database'!$D$5:$D$600,MATCH(B369,'Master Database'!$A$5:$A$600,0)),"(row not found)"))</f>
        <v/>
      </c>
      <c r="D369" s="45" t="str">
        <f aca="false">IF(B369="","",IFERROR(INDEX('Master Database'!$B$5:$B$600,MATCH(B369,'Master Database'!$A$5:$A$600,0)),"(row not found)"))</f>
        <v/>
      </c>
      <c r="E369" s="42"/>
      <c r="F369" s="45" t="str">
        <f aca="false">IF(E369="","",IFERROR(INDEX(Vendor_Register!$B$5:$B$205,MATCH(E369,Vendor_Register!$A$5:$A$205,0)),"(not in register)"))</f>
        <v/>
      </c>
      <c r="G369" s="45" t="str">
        <f aca="false">IF(E369="","",IFERROR(INDEX(Vendor_Register!$E$5:$E$205,MATCH(E369,Vendor_Register!$A$5:$A$205,0)),"(not in register)"))</f>
        <v/>
      </c>
      <c r="H369" s="42"/>
      <c r="I369" s="42"/>
      <c r="J369" s="42"/>
      <c r="K369" s="42"/>
      <c r="L369" s="42"/>
      <c r="M369" s="46"/>
      <c r="N369" s="42"/>
      <c r="O369" s="47" t="str">
        <f aca="false">IF(NOT(ISNUMBER(M369)),"",IFERROR(IF(L369="EUR",M369,IF(L369="IRR",M369/INDEX('Assumptions &amp; FX Reference'!$C$5:$C$25,MATCH(H369,'Assumptions &amp; FX Reference'!$A$5:$A$25,0)),IF(L369="USD",M369*INDEX('Assumptions &amp; FX Reference'!$B$5:$B$25,MATCH(H369,'Assumptions &amp; FX Reference'!$A$5:$A$25,0))/INDEX('Assumptions &amp; FX Reference'!$C$5:$C$25,MATCH(H369,'Assumptions &amp; FX Reference'!$A$5:$A$25,0)),""))),"(FX missing)"))</f>
        <v/>
      </c>
      <c r="P369" s="42"/>
      <c r="Q369" s="42"/>
      <c r="R369" s="42"/>
      <c r="S369" s="42"/>
      <c r="T369" s="42"/>
      <c r="U369" s="42"/>
      <c r="V369" s="42"/>
    </row>
    <row r="370" customFormat="false" ht="15" hidden="false" customHeight="false" outlineLevel="0" collapsed="false">
      <c r="A370" s="42"/>
      <c r="B370" s="42"/>
      <c r="C370" s="45" t="str">
        <f aca="false">IF(B370="","",IFERROR(INDEX('Master Database'!$D$5:$D$600,MATCH(B370,'Master Database'!$A$5:$A$600,0)),"(row not found)"))</f>
        <v/>
      </c>
      <c r="D370" s="45" t="str">
        <f aca="false">IF(B370="","",IFERROR(INDEX('Master Database'!$B$5:$B$600,MATCH(B370,'Master Database'!$A$5:$A$600,0)),"(row not found)"))</f>
        <v/>
      </c>
      <c r="E370" s="42"/>
      <c r="F370" s="45" t="str">
        <f aca="false">IF(E370="","",IFERROR(INDEX(Vendor_Register!$B$5:$B$205,MATCH(E370,Vendor_Register!$A$5:$A$205,0)),"(not in register)"))</f>
        <v/>
      </c>
      <c r="G370" s="45" t="str">
        <f aca="false">IF(E370="","",IFERROR(INDEX(Vendor_Register!$E$5:$E$205,MATCH(E370,Vendor_Register!$A$5:$A$205,0)),"(not in register)"))</f>
        <v/>
      </c>
      <c r="H370" s="42"/>
      <c r="I370" s="42"/>
      <c r="J370" s="42"/>
      <c r="K370" s="42"/>
      <c r="L370" s="42"/>
      <c r="M370" s="46"/>
      <c r="N370" s="42"/>
      <c r="O370" s="47" t="str">
        <f aca="false">IF(NOT(ISNUMBER(M370)),"",IFERROR(IF(L370="EUR",M370,IF(L370="IRR",M370/INDEX('Assumptions &amp; FX Reference'!$C$5:$C$25,MATCH(H370,'Assumptions &amp; FX Reference'!$A$5:$A$25,0)),IF(L370="USD",M370*INDEX('Assumptions &amp; FX Reference'!$B$5:$B$25,MATCH(H370,'Assumptions &amp; FX Reference'!$A$5:$A$25,0))/INDEX('Assumptions &amp; FX Reference'!$C$5:$C$25,MATCH(H370,'Assumptions &amp; FX Reference'!$A$5:$A$25,0)),""))),"(FX missing)"))</f>
        <v/>
      </c>
      <c r="P370" s="42"/>
      <c r="Q370" s="42"/>
      <c r="R370" s="42"/>
      <c r="S370" s="42"/>
      <c r="T370" s="42"/>
      <c r="U370" s="42"/>
      <c r="V370" s="42"/>
    </row>
    <row r="371" customFormat="false" ht="15" hidden="false" customHeight="false" outlineLevel="0" collapsed="false">
      <c r="A371" s="42"/>
      <c r="B371" s="42"/>
      <c r="C371" s="45" t="str">
        <f aca="false">IF(B371="","",IFERROR(INDEX('Master Database'!$D$5:$D$600,MATCH(B371,'Master Database'!$A$5:$A$600,0)),"(row not found)"))</f>
        <v/>
      </c>
      <c r="D371" s="45" t="str">
        <f aca="false">IF(B371="","",IFERROR(INDEX('Master Database'!$B$5:$B$600,MATCH(B371,'Master Database'!$A$5:$A$600,0)),"(row not found)"))</f>
        <v/>
      </c>
      <c r="E371" s="42"/>
      <c r="F371" s="45" t="str">
        <f aca="false">IF(E371="","",IFERROR(INDEX(Vendor_Register!$B$5:$B$205,MATCH(E371,Vendor_Register!$A$5:$A$205,0)),"(not in register)"))</f>
        <v/>
      </c>
      <c r="G371" s="45" t="str">
        <f aca="false">IF(E371="","",IFERROR(INDEX(Vendor_Register!$E$5:$E$205,MATCH(E371,Vendor_Register!$A$5:$A$205,0)),"(not in register)"))</f>
        <v/>
      </c>
      <c r="H371" s="42"/>
      <c r="I371" s="42"/>
      <c r="J371" s="42"/>
      <c r="K371" s="42"/>
      <c r="L371" s="42"/>
      <c r="M371" s="46"/>
      <c r="N371" s="42"/>
      <c r="O371" s="47" t="str">
        <f aca="false">IF(NOT(ISNUMBER(M371)),"",IFERROR(IF(L371="EUR",M371,IF(L371="IRR",M371/INDEX('Assumptions &amp; FX Reference'!$C$5:$C$25,MATCH(H371,'Assumptions &amp; FX Reference'!$A$5:$A$25,0)),IF(L371="USD",M371*INDEX('Assumptions &amp; FX Reference'!$B$5:$B$25,MATCH(H371,'Assumptions &amp; FX Reference'!$A$5:$A$25,0))/INDEX('Assumptions &amp; FX Reference'!$C$5:$C$25,MATCH(H371,'Assumptions &amp; FX Reference'!$A$5:$A$25,0)),""))),"(FX missing)"))</f>
        <v/>
      </c>
      <c r="P371" s="42"/>
      <c r="Q371" s="42"/>
      <c r="R371" s="42"/>
      <c r="S371" s="42"/>
      <c r="T371" s="42"/>
      <c r="U371" s="42"/>
      <c r="V371" s="42"/>
    </row>
    <row r="372" customFormat="false" ht="15" hidden="false" customHeight="false" outlineLevel="0" collapsed="false">
      <c r="A372" s="42"/>
      <c r="B372" s="42"/>
      <c r="C372" s="45" t="str">
        <f aca="false">IF(B372="","",IFERROR(INDEX('Master Database'!$D$5:$D$600,MATCH(B372,'Master Database'!$A$5:$A$600,0)),"(row not found)"))</f>
        <v/>
      </c>
      <c r="D372" s="45" t="str">
        <f aca="false">IF(B372="","",IFERROR(INDEX('Master Database'!$B$5:$B$600,MATCH(B372,'Master Database'!$A$5:$A$600,0)),"(row not found)"))</f>
        <v/>
      </c>
      <c r="E372" s="42"/>
      <c r="F372" s="45" t="str">
        <f aca="false">IF(E372="","",IFERROR(INDEX(Vendor_Register!$B$5:$B$205,MATCH(E372,Vendor_Register!$A$5:$A$205,0)),"(not in register)"))</f>
        <v/>
      </c>
      <c r="G372" s="45" t="str">
        <f aca="false">IF(E372="","",IFERROR(INDEX(Vendor_Register!$E$5:$E$205,MATCH(E372,Vendor_Register!$A$5:$A$205,0)),"(not in register)"))</f>
        <v/>
      </c>
      <c r="H372" s="42"/>
      <c r="I372" s="42"/>
      <c r="J372" s="42"/>
      <c r="K372" s="42"/>
      <c r="L372" s="42"/>
      <c r="M372" s="46"/>
      <c r="N372" s="42"/>
      <c r="O372" s="47" t="str">
        <f aca="false">IF(NOT(ISNUMBER(M372)),"",IFERROR(IF(L372="EUR",M372,IF(L372="IRR",M372/INDEX('Assumptions &amp; FX Reference'!$C$5:$C$25,MATCH(H372,'Assumptions &amp; FX Reference'!$A$5:$A$25,0)),IF(L372="USD",M372*INDEX('Assumptions &amp; FX Reference'!$B$5:$B$25,MATCH(H372,'Assumptions &amp; FX Reference'!$A$5:$A$25,0))/INDEX('Assumptions &amp; FX Reference'!$C$5:$C$25,MATCH(H372,'Assumptions &amp; FX Reference'!$A$5:$A$25,0)),""))),"(FX missing)"))</f>
        <v/>
      </c>
      <c r="P372" s="42"/>
      <c r="Q372" s="42"/>
      <c r="R372" s="42"/>
      <c r="S372" s="42"/>
      <c r="T372" s="42"/>
      <c r="U372" s="42"/>
      <c r="V372" s="42"/>
    </row>
    <row r="373" customFormat="false" ht="15" hidden="false" customHeight="false" outlineLevel="0" collapsed="false">
      <c r="A373" s="42"/>
      <c r="B373" s="42"/>
      <c r="C373" s="45" t="str">
        <f aca="false">IF(B373="","",IFERROR(INDEX('Master Database'!$D$5:$D$600,MATCH(B373,'Master Database'!$A$5:$A$600,0)),"(row not found)"))</f>
        <v/>
      </c>
      <c r="D373" s="45" t="str">
        <f aca="false">IF(B373="","",IFERROR(INDEX('Master Database'!$B$5:$B$600,MATCH(B373,'Master Database'!$A$5:$A$600,0)),"(row not found)"))</f>
        <v/>
      </c>
      <c r="E373" s="42"/>
      <c r="F373" s="45" t="str">
        <f aca="false">IF(E373="","",IFERROR(INDEX(Vendor_Register!$B$5:$B$205,MATCH(E373,Vendor_Register!$A$5:$A$205,0)),"(not in register)"))</f>
        <v/>
      </c>
      <c r="G373" s="45" t="str">
        <f aca="false">IF(E373="","",IFERROR(INDEX(Vendor_Register!$E$5:$E$205,MATCH(E373,Vendor_Register!$A$5:$A$205,0)),"(not in register)"))</f>
        <v/>
      </c>
      <c r="H373" s="42"/>
      <c r="I373" s="42"/>
      <c r="J373" s="42"/>
      <c r="K373" s="42"/>
      <c r="L373" s="42"/>
      <c r="M373" s="46"/>
      <c r="N373" s="42"/>
      <c r="O373" s="47" t="str">
        <f aca="false">IF(NOT(ISNUMBER(M373)),"",IFERROR(IF(L373="EUR",M373,IF(L373="IRR",M373/INDEX('Assumptions &amp; FX Reference'!$C$5:$C$25,MATCH(H373,'Assumptions &amp; FX Reference'!$A$5:$A$25,0)),IF(L373="USD",M373*INDEX('Assumptions &amp; FX Reference'!$B$5:$B$25,MATCH(H373,'Assumptions &amp; FX Reference'!$A$5:$A$25,0))/INDEX('Assumptions &amp; FX Reference'!$C$5:$C$25,MATCH(H373,'Assumptions &amp; FX Reference'!$A$5:$A$25,0)),""))),"(FX missing)"))</f>
        <v/>
      </c>
      <c r="P373" s="42"/>
      <c r="Q373" s="42"/>
      <c r="R373" s="42"/>
      <c r="S373" s="42"/>
      <c r="T373" s="42"/>
      <c r="U373" s="42"/>
      <c r="V373" s="42"/>
    </row>
    <row r="374" customFormat="false" ht="15" hidden="false" customHeight="false" outlineLevel="0" collapsed="false">
      <c r="A374" s="42"/>
      <c r="B374" s="42"/>
      <c r="C374" s="45" t="str">
        <f aca="false">IF(B374="","",IFERROR(INDEX('Master Database'!$D$5:$D$600,MATCH(B374,'Master Database'!$A$5:$A$600,0)),"(row not found)"))</f>
        <v/>
      </c>
      <c r="D374" s="45" t="str">
        <f aca="false">IF(B374="","",IFERROR(INDEX('Master Database'!$B$5:$B$600,MATCH(B374,'Master Database'!$A$5:$A$600,0)),"(row not found)"))</f>
        <v/>
      </c>
      <c r="E374" s="42"/>
      <c r="F374" s="45" t="str">
        <f aca="false">IF(E374="","",IFERROR(INDEX(Vendor_Register!$B$5:$B$205,MATCH(E374,Vendor_Register!$A$5:$A$205,0)),"(not in register)"))</f>
        <v/>
      </c>
      <c r="G374" s="45" t="str">
        <f aca="false">IF(E374="","",IFERROR(INDEX(Vendor_Register!$E$5:$E$205,MATCH(E374,Vendor_Register!$A$5:$A$205,0)),"(not in register)"))</f>
        <v/>
      </c>
      <c r="H374" s="42"/>
      <c r="I374" s="42"/>
      <c r="J374" s="42"/>
      <c r="K374" s="42"/>
      <c r="L374" s="42"/>
      <c r="M374" s="46"/>
      <c r="N374" s="42"/>
      <c r="O374" s="47" t="str">
        <f aca="false">IF(NOT(ISNUMBER(M374)),"",IFERROR(IF(L374="EUR",M374,IF(L374="IRR",M374/INDEX('Assumptions &amp; FX Reference'!$C$5:$C$25,MATCH(H374,'Assumptions &amp; FX Reference'!$A$5:$A$25,0)),IF(L374="USD",M374*INDEX('Assumptions &amp; FX Reference'!$B$5:$B$25,MATCH(H374,'Assumptions &amp; FX Reference'!$A$5:$A$25,0))/INDEX('Assumptions &amp; FX Reference'!$C$5:$C$25,MATCH(H374,'Assumptions &amp; FX Reference'!$A$5:$A$25,0)),""))),"(FX missing)"))</f>
        <v/>
      </c>
      <c r="P374" s="42"/>
      <c r="Q374" s="42"/>
      <c r="R374" s="42"/>
      <c r="S374" s="42"/>
      <c r="T374" s="42"/>
      <c r="U374" s="42"/>
      <c r="V374" s="42"/>
    </row>
    <row r="375" customFormat="false" ht="15" hidden="false" customHeight="false" outlineLevel="0" collapsed="false">
      <c r="A375" s="42"/>
      <c r="B375" s="42"/>
      <c r="C375" s="45" t="str">
        <f aca="false">IF(B375="","",IFERROR(INDEX('Master Database'!$D$5:$D$600,MATCH(B375,'Master Database'!$A$5:$A$600,0)),"(row not found)"))</f>
        <v/>
      </c>
      <c r="D375" s="45" t="str">
        <f aca="false">IF(B375="","",IFERROR(INDEX('Master Database'!$B$5:$B$600,MATCH(B375,'Master Database'!$A$5:$A$600,0)),"(row not found)"))</f>
        <v/>
      </c>
      <c r="E375" s="42"/>
      <c r="F375" s="45" t="str">
        <f aca="false">IF(E375="","",IFERROR(INDEX(Vendor_Register!$B$5:$B$205,MATCH(E375,Vendor_Register!$A$5:$A$205,0)),"(not in register)"))</f>
        <v/>
      </c>
      <c r="G375" s="45" t="str">
        <f aca="false">IF(E375="","",IFERROR(INDEX(Vendor_Register!$E$5:$E$205,MATCH(E375,Vendor_Register!$A$5:$A$205,0)),"(not in register)"))</f>
        <v/>
      </c>
      <c r="H375" s="42"/>
      <c r="I375" s="42"/>
      <c r="J375" s="42"/>
      <c r="K375" s="42"/>
      <c r="L375" s="42"/>
      <c r="M375" s="46"/>
      <c r="N375" s="42"/>
      <c r="O375" s="47" t="str">
        <f aca="false">IF(NOT(ISNUMBER(M375)),"",IFERROR(IF(L375="EUR",M375,IF(L375="IRR",M375/INDEX('Assumptions &amp; FX Reference'!$C$5:$C$25,MATCH(H375,'Assumptions &amp; FX Reference'!$A$5:$A$25,0)),IF(L375="USD",M375*INDEX('Assumptions &amp; FX Reference'!$B$5:$B$25,MATCH(H375,'Assumptions &amp; FX Reference'!$A$5:$A$25,0))/INDEX('Assumptions &amp; FX Reference'!$C$5:$C$25,MATCH(H375,'Assumptions &amp; FX Reference'!$A$5:$A$25,0)),""))),"(FX missing)"))</f>
        <v/>
      </c>
      <c r="P375" s="42"/>
      <c r="Q375" s="42"/>
      <c r="R375" s="42"/>
      <c r="S375" s="42"/>
      <c r="T375" s="42"/>
      <c r="U375" s="42"/>
      <c r="V375" s="42"/>
    </row>
    <row r="376" customFormat="false" ht="15" hidden="false" customHeight="false" outlineLevel="0" collapsed="false">
      <c r="A376" s="42"/>
      <c r="B376" s="42"/>
      <c r="C376" s="45" t="str">
        <f aca="false">IF(B376="","",IFERROR(INDEX('Master Database'!$D$5:$D$600,MATCH(B376,'Master Database'!$A$5:$A$600,0)),"(row not found)"))</f>
        <v/>
      </c>
      <c r="D376" s="45" t="str">
        <f aca="false">IF(B376="","",IFERROR(INDEX('Master Database'!$B$5:$B$600,MATCH(B376,'Master Database'!$A$5:$A$600,0)),"(row not found)"))</f>
        <v/>
      </c>
      <c r="E376" s="42"/>
      <c r="F376" s="45" t="str">
        <f aca="false">IF(E376="","",IFERROR(INDEX(Vendor_Register!$B$5:$B$205,MATCH(E376,Vendor_Register!$A$5:$A$205,0)),"(not in register)"))</f>
        <v/>
      </c>
      <c r="G376" s="45" t="str">
        <f aca="false">IF(E376="","",IFERROR(INDEX(Vendor_Register!$E$5:$E$205,MATCH(E376,Vendor_Register!$A$5:$A$205,0)),"(not in register)"))</f>
        <v/>
      </c>
      <c r="H376" s="42"/>
      <c r="I376" s="42"/>
      <c r="J376" s="42"/>
      <c r="K376" s="42"/>
      <c r="L376" s="42"/>
      <c r="M376" s="46"/>
      <c r="N376" s="42"/>
      <c r="O376" s="47" t="str">
        <f aca="false">IF(NOT(ISNUMBER(M376)),"",IFERROR(IF(L376="EUR",M376,IF(L376="IRR",M376/INDEX('Assumptions &amp; FX Reference'!$C$5:$C$25,MATCH(H376,'Assumptions &amp; FX Reference'!$A$5:$A$25,0)),IF(L376="USD",M376*INDEX('Assumptions &amp; FX Reference'!$B$5:$B$25,MATCH(H376,'Assumptions &amp; FX Reference'!$A$5:$A$25,0))/INDEX('Assumptions &amp; FX Reference'!$C$5:$C$25,MATCH(H376,'Assumptions &amp; FX Reference'!$A$5:$A$25,0)),""))),"(FX missing)"))</f>
        <v/>
      </c>
      <c r="P376" s="42"/>
      <c r="Q376" s="42"/>
      <c r="R376" s="42"/>
      <c r="S376" s="42"/>
      <c r="T376" s="42"/>
      <c r="U376" s="42"/>
      <c r="V376" s="42"/>
    </row>
    <row r="377" customFormat="false" ht="15" hidden="false" customHeight="false" outlineLevel="0" collapsed="false">
      <c r="A377" s="42"/>
      <c r="B377" s="42"/>
      <c r="C377" s="45" t="str">
        <f aca="false">IF(B377="","",IFERROR(INDEX('Master Database'!$D$5:$D$600,MATCH(B377,'Master Database'!$A$5:$A$600,0)),"(row not found)"))</f>
        <v/>
      </c>
      <c r="D377" s="45" t="str">
        <f aca="false">IF(B377="","",IFERROR(INDEX('Master Database'!$B$5:$B$600,MATCH(B377,'Master Database'!$A$5:$A$600,0)),"(row not found)"))</f>
        <v/>
      </c>
      <c r="E377" s="42"/>
      <c r="F377" s="45" t="str">
        <f aca="false">IF(E377="","",IFERROR(INDEX(Vendor_Register!$B$5:$B$205,MATCH(E377,Vendor_Register!$A$5:$A$205,0)),"(not in register)"))</f>
        <v/>
      </c>
      <c r="G377" s="45" t="str">
        <f aca="false">IF(E377="","",IFERROR(INDEX(Vendor_Register!$E$5:$E$205,MATCH(E377,Vendor_Register!$A$5:$A$205,0)),"(not in register)"))</f>
        <v/>
      </c>
      <c r="H377" s="42"/>
      <c r="I377" s="42"/>
      <c r="J377" s="42"/>
      <c r="K377" s="42"/>
      <c r="L377" s="42"/>
      <c r="M377" s="46"/>
      <c r="N377" s="42"/>
      <c r="O377" s="47" t="str">
        <f aca="false">IF(NOT(ISNUMBER(M377)),"",IFERROR(IF(L377="EUR",M377,IF(L377="IRR",M377/INDEX('Assumptions &amp; FX Reference'!$C$5:$C$25,MATCH(H377,'Assumptions &amp; FX Reference'!$A$5:$A$25,0)),IF(L377="USD",M377*INDEX('Assumptions &amp; FX Reference'!$B$5:$B$25,MATCH(H377,'Assumptions &amp; FX Reference'!$A$5:$A$25,0))/INDEX('Assumptions &amp; FX Reference'!$C$5:$C$25,MATCH(H377,'Assumptions &amp; FX Reference'!$A$5:$A$25,0)),""))),"(FX missing)"))</f>
        <v/>
      </c>
      <c r="P377" s="42"/>
      <c r="Q377" s="42"/>
      <c r="R377" s="42"/>
      <c r="S377" s="42"/>
      <c r="T377" s="42"/>
      <c r="U377" s="42"/>
      <c r="V377" s="42"/>
    </row>
    <row r="378" customFormat="false" ht="15" hidden="false" customHeight="false" outlineLevel="0" collapsed="false">
      <c r="A378" s="42"/>
      <c r="B378" s="42"/>
      <c r="C378" s="45" t="str">
        <f aca="false">IF(B378="","",IFERROR(INDEX('Master Database'!$D$5:$D$600,MATCH(B378,'Master Database'!$A$5:$A$600,0)),"(row not found)"))</f>
        <v/>
      </c>
      <c r="D378" s="45" t="str">
        <f aca="false">IF(B378="","",IFERROR(INDEX('Master Database'!$B$5:$B$600,MATCH(B378,'Master Database'!$A$5:$A$600,0)),"(row not found)"))</f>
        <v/>
      </c>
      <c r="E378" s="42"/>
      <c r="F378" s="45" t="str">
        <f aca="false">IF(E378="","",IFERROR(INDEX(Vendor_Register!$B$5:$B$205,MATCH(E378,Vendor_Register!$A$5:$A$205,0)),"(not in register)"))</f>
        <v/>
      </c>
      <c r="G378" s="45" t="str">
        <f aca="false">IF(E378="","",IFERROR(INDEX(Vendor_Register!$E$5:$E$205,MATCH(E378,Vendor_Register!$A$5:$A$205,0)),"(not in register)"))</f>
        <v/>
      </c>
      <c r="H378" s="42"/>
      <c r="I378" s="42"/>
      <c r="J378" s="42"/>
      <c r="K378" s="42"/>
      <c r="L378" s="42"/>
      <c r="M378" s="46"/>
      <c r="N378" s="42"/>
      <c r="O378" s="47" t="str">
        <f aca="false">IF(NOT(ISNUMBER(M378)),"",IFERROR(IF(L378="EUR",M378,IF(L378="IRR",M378/INDEX('Assumptions &amp; FX Reference'!$C$5:$C$25,MATCH(H378,'Assumptions &amp; FX Reference'!$A$5:$A$25,0)),IF(L378="USD",M378*INDEX('Assumptions &amp; FX Reference'!$B$5:$B$25,MATCH(H378,'Assumptions &amp; FX Reference'!$A$5:$A$25,0))/INDEX('Assumptions &amp; FX Reference'!$C$5:$C$25,MATCH(H378,'Assumptions &amp; FX Reference'!$A$5:$A$25,0)),""))),"(FX missing)"))</f>
        <v/>
      </c>
      <c r="P378" s="42"/>
      <c r="Q378" s="42"/>
      <c r="R378" s="42"/>
      <c r="S378" s="42"/>
      <c r="T378" s="42"/>
      <c r="U378" s="42"/>
      <c r="V378" s="42"/>
    </row>
    <row r="379" customFormat="false" ht="15" hidden="false" customHeight="false" outlineLevel="0" collapsed="false">
      <c r="A379" s="42"/>
      <c r="B379" s="42"/>
      <c r="C379" s="45" t="str">
        <f aca="false">IF(B379="","",IFERROR(INDEX('Master Database'!$D$5:$D$600,MATCH(B379,'Master Database'!$A$5:$A$600,0)),"(row not found)"))</f>
        <v/>
      </c>
      <c r="D379" s="45" t="str">
        <f aca="false">IF(B379="","",IFERROR(INDEX('Master Database'!$B$5:$B$600,MATCH(B379,'Master Database'!$A$5:$A$600,0)),"(row not found)"))</f>
        <v/>
      </c>
      <c r="E379" s="42"/>
      <c r="F379" s="45" t="str">
        <f aca="false">IF(E379="","",IFERROR(INDEX(Vendor_Register!$B$5:$B$205,MATCH(E379,Vendor_Register!$A$5:$A$205,0)),"(not in register)"))</f>
        <v/>
      </c>
      <c r="G379" s="45" t="str">
        <f aca="false">IF(E379="","",IFERROR(INDEX(Vendor_Register!$E$5:$E$205,MATCH(E379,Vendor_Register!$A$5:$A$205,0)),"(not in register)"))</f>
        <v/>
      </c>
      <c r="H379" s="42"/>
      <c r="I379" s="42"/>
      <c r="J379" s="42"/>
      <c r="K379" s="42"/>
      <c r="L379" s="42"/>
      <c r="M379" s="46"/>
      <c r="N379" s="42"/>
      <c r="O379" s="47" t="str">
        <f aca="false">IF(NOT(ISNUMBER(M379)),"",IFERROR(IF(L379="EUR",M379,IF(L379="IRR",M379/INDEX('Assumptions &amp; FX Reference'!$C$5:$C$25,MATCH(H379,'Assumptions &amp; FX Reference'!$A$5:$A$25,0)),IF(L379="USD",M379*INDEX('Assumptions &amp; FX Reference'!$B$5:$B$25,MATCH(H379,'Assumptions &amp; FX Reference'!$A$5:$A$25,0))/INDEX('Assumptions &amp; FX Reference'!$C$5:$C$25,MATCH(H379,'Assumptions &amp; FX Reference'!$A$5:$A$25,0)),""))),"(FX missing)"))</f>
        <v/>
      </c>
      <c r="P379" s="42"/>
      <c r="Q379" s="42"/>
      <c r="R379" s="42"/>
      <c r="S379" s="42"/>
      <c r="T379" s="42"/>
      <c r="U379" s="42"/>
      <c r="V379" s="42"/>
    </row>
    <row r="380" customFormat="false" ht="15" hidden="false" customHeight="false" outlineLevel="0" collapsed="false">
      <c r="A380" s="42"/>
      <c r="B380" s="42"/>
      <c r="C380" s="45" t="str">
        <f aca="false">IF(B380="","",IFERROR(INDEX('Master Database'!$D$5:$D$600,MATCH(B380,'Master Database'!$A$5:$A$600,0)),"(row not found)"))</f>
        <v/>
      </c>
      <c r="D380" s="45" t="str">
        <f aca="false">IF(B380="","",IFERROR(INDEX('Master Database'!$B$5:$B$600,MATCH(B380,'Master Database'!$A$5:$A$600,0)),"(row not found)"))</f>
        <v/>
      </c>
      <c r="E380" s="42"/>
      <c r="F380" s="45" t="str">
        <f aca="false">IF(E380="","",IFERROR(INDEX(Vendor_Register!$B$5:$B$205,MATCH(E380,Vendor_Register!$A$5:$A$205,0)),"(not in register)"))</f>
        <v/>
      </c>
      <c r="G380" s="45" t="str">
        <f aca="false">IF(E380="","",IFERROR(INDEX(Vendor_Register!$E$5:$E$205,MATCH(E380,Vendor_Register!$A$5:$A$205,0)),"(not in register)"))</f>
        <v/>
      </c>
      <c r="H380" s="42"/>
      <c r="I380" s="42"/>
      <c r="J380" s="42"/>
      <c r="K380" s="42"/>
      <c r="L380" s="42"/>
      <c r="M380" s="46"/>
      <c r="N380" s="42"/>
      <c r="O380" s="47" t="str">
        <f aca="false">IF(NOT(ISNUMBER(M380)),"",IFERROR(IF(L380="EUR",M380,IF(L380="IRR",M380/INDEX('Assumptions &amp; FX Reference'!$C$5:$C$25,MATCH(H380,'Assumptions &amp; FX Reference'!$A$5:$A$25,0)),IF(L380="USD",M380*INDEX('Assumptions &amp; FX Reference'!$B$5:$B$25,MATCH(H380,'Assumptions &amp; FX Reference'!$A$5:$A$25,0))/INDEX('Assumptions &amp; FX Reference'!$C$5:$C$25,MATCH(H380,'Assumptions &amp; FX Reference'!$A$5:$A$25,0)),""))),"(FX missing)"))</f>
        <v/>
      </c>
      <c r="P380" s="42"/>
      <c r="Q380" s="42"/>
      <c r="R380" s="42"/>
      <c r="S380" s="42"/>
      <c r="T380" s="42"/>
      <c r="U380" s="42"/>
      <c r="V380" s="42"/>
    </row>
    <row r="381" customFormat="false" ht="15" hidden="false" customHeight="false" outlineLevel="0" collapsed="false">
      <c r="A381" s="42"/>
      <c r="B381" s="42"/>
      <c r="C381" s="45" t="str">
        <f aca="false">IF(B381="","",IFERROR(INDEX('Master Database'!$D$5:$D$600,MATCH(B381,'Master Database'!$A$5:$A$600,0)),"(row not found)"))</f>
        <v/>
      </c>
      <c r="D381" s="45" t="str">
        <f aca="false">IF(B381="","",IFERROR(INDEX('Master Database'!$B$5:$B$600,MATCH(B381,'Master Database'!$A$5:$A$600,0)),"(row not found)"))</f>
        <v/>
      </c>
      <c r="E381" s="42"/>
      <c r="F381" s="45" t="str">
        <f aca="false">IF(E381="","",IFERROR(INDEX(Vendor_Register!$B$5:$B$205,MATCH(E381,Vendor_Register!$A$5:$A$205,0)),"(not in register)"))</f>
        <v/>
      </c>
      <c r="G381" s="45" t="str">
        <f aca="false">IF(E381="","",IFERROR(INDEX(Vendor_Register!$E$5:$E$205,MATCH(E381,Vendor_Register!$A$5:$A$205,0)),"(not in register)"))</f>
        <v/>
      </c>
      <c r="H381" s="42"/>
      <c r="I381" s="42"/>
      <c r="J381" s="42"/>
      <c r="K381" s="42"/>
      <c r="L381" s="42"/>
      <c r="M381" s="46"/>
      <c r="N381" s="42"/>
      <c r="O381" s="47" t="str">
        <f aca="false">IF(NOT(ISNUMBER(M381)),"",IFERROR(IF(L381="EUR",M381,IF(L381="IRR",M381/INDEX('Assumptions &amp; FX Reference'!$C$5:$C$25,MATCH(H381,'Assumptions &amp; FX Reference'!$A$5:$A$25,0)),IF(L381="USD",M381*INDEX('Assumptions &amp; FX Reference'!$B$5:$B$25,MATCH(H381,'Assumptions &amp; FX Reference'!$A$5:$A$25,0))/INDEX('Assumptions &amp; FX Reference'!$C$5:$C$25,MATCH(H381,'Assumptions &amp; FX Reference'!$A$5:$A$25,0)),""))),"(FX missing)"))</f>
        <v/>
      </c>
      <c r="P381" s="42"/>
      <c r="Q381" s="42"/>
      <c r="R381" s="42"/>
      <c r="S381" s="42"/>
      <c r="T381" s="42"/>
      <c r="U381" s="42"/>
      <c r="V381" s="42"/>
    </row>
    <row r="382" customFormat="false" ht="15" hidden="false" customHeight="false" outlineLevel="0" collapsed="false">
      <c r="A382" s="42"/>
      <c r="B382" s="42"/>
      <c r="C382" s="45" t="str">
        <f aca="false">IF(B382="","",IFERROR(INDEX('Master Database'!$D$5:$D$600,MATCH(B382,'Master Database'!$A$5:$A$600,0)),"(row not found)"))</f>
        <v/>
      </c>
      <c r="D382" s="45" t="str">
        <f aca="false">IF(B382="","",IFERROR(INDEX('Master Database'!$B$5:$B$600,MATCH(B382,'Master Database'!$A$5:$A$600,0)),"(row not found)"))</f>
        <v/>
      </c>
      <c r="E382" s="42"/>
      <c r="F382" s="45" t="str">
        <f aca="false">IF(E382="","",IFERROR(INDEX(Vendor_Register!$B$5:$B$205,MATCH(E382,Vendor_Register!$A$5:$A$205,0)),"(not in register)"))</f>
        <v/>
      </c>
      <c r="G382" s="45" t="str">
        <f aca="false">IF(E382="","",IFERROR(INDEX(Vendor_Register!$E$5:$E$205,MATCH(E382,Vendor_Register!$A$5:$A$205,0)),"(not in register)"))</f>
        <v/>
      </c>
      <c r="H382" s="42"/>
      <c r="I382" s="42"/>
      <c r="J382" s="42"/>
      <c r="K382" s="42"/>
      <c r="L382" s="42"/>
      <c r="M382" s="46"/>
      <c r="N382" s="42"/>
      <c r="O382" s="47" t="str">
        <f aca="false">IF(NOT(ISNUMBER(M382)),"",IFERROR(IF(L382="EUR",M382,IF(L382="IRR",M382/INDEX('Assumptions &amp; FX Reference'!$C$5:$C$25,MATCH(H382,'Assumptions &amp; FX Reference'!$A$5:$A$25,0)),IF(L382="USD",M382*INDEX('Assumptions &amp; FX Reference'!$B$5:$B$25,MATCH(H382,'Assumptions &amp; FX Reference'!$A$5:$A$25,0))/INDEX('Assumptions &amp; FX Reference'!$C$5:$C$25,MATCH(H382,'Assumptions &amp; FX Reference'!$A$5:$A$25,0)),""))),"(FX missing)"))</f>
        <v/>
      </c>
      <c r="P382" s="42"/>
      <c r="Q382" s="42"/>
      <c r="R382" s="42"/>
      <c r="S382" s="42"/>
      <c r="T382" s="42"/>
      <c r="U382" s="42"/>
      <c r="V382" s="42"/>
    </row>
    <row r="383" customFormat="false" ht="15" hidden="false" customHeight="false" outlineLevel="0" collapsed="false">
      <c r="A383" s="42"/>
      <c r="B383" s="42"/>
      <c r="C383" s="45" t="str">
        <f aca="false">IF(B383="","",IFERROR(INDEX('Master Database'!$D$5:$D$600,MATCH(B383,'Master Database'!$A$5:$A$600,0)),"(row not found)"))</f>
        <v/>
      </c>
      <c r="D383" s="45" t="str">
        <f aca="false">IF(B383="","",IFERROR(INDEX('Master Database'!$B$5:$B$600,MATCH(B383,'Master Database'!$A$5:$A$600,0)),"(row not found)"))</f>
        <v/>
      </c>
      <c r="E383" s="42"/>
      <c r="F383" s="45" t="str">
        <f aca="false">IF(E383="","",IFERROR(INDEX(Vendor_Register!$B$5:$B$205,MATCH(E383,Vendor_Register!$A$5:$A$205,0)),"(not in register)"))</f>
        <v/>
      </c>
      <c r="G383" s="45" t="str">
        <f aca="false">IF(E383="","",IFERROR(INDEX(Vendor_Register!$E$5:$E$205,MATCH(E383,Vendor_Register!$A$5:$A$205,0)),"(not in register)"))</f>
        <v/>
      </c>
      <c r="H383" s="42"/>
      <c r="I383" s="42"/>
      <c r="J383" s="42"/>
      <c r="K383" s="42"/>
      <c r="L383" s="42"/>
      <c r="M383" s="46"/>
      <c r="N383" s="42"/>
      <c r="O383" s="47" t="str">
        <f aca="false">IF(NOT(ISNUMBER(M383)),"",IFERROR(IF(L383="EUR",M383,IF(L383="IRR",M383/INDEX('Assumptions &amp; FX Reference'!$C$5:$C$25,MATCH(H383,'Assumptions &amp; FX Reference'!$A$5:$A$25,0)),IF(L383="USD",M383*INDEX('Assumptions &amp; FX Reference'!$B$5:$B$25,MATCH(H383,'Assumptions &amp; FX Reference'!$A$5:$A$25,0))/INDEX('Assumptions &amp; FX Reference'!$C$5:$C$25,MATCH(H383,'Assumptions &amp; FX Reference'!$A$5:$A$25,0)),""))),"(FX missing)"))</f>
        <v/>
      </c>
      <c r="P383" s="42"/>
      <c r="Q383" s="42"/>
      <c r="R383" s="42"/>
      <c r="S383" s="42"/>
      <c r="T383" s="42"/>
      <c r="U383" s="42"/>
      <c r="V383" s="42"/>
    </row>
    <row r="384" customFormat="false" ht="15" hidden="false" customHeight="false" outlineLevel="0" collapsed="false">
      <c r="A384" s="42"/>
      <c r="B384" s="42"/>
      <c r="C384" s="45" t="str">
        <f aca="false">IF(B384="","",IFERROR(INDEX('Master Database'!$D$5:$D$600,MATCH(B384,'Master Database'!$A$5:$A$600,0)),"(row not found)"))</f>
        <v/>
      </c>
      <c r="D384" s="45" t="str">
        <f aca="false">IF(B384="","",IFERROR(INDEX('Master Database'!$B$5:$B$600,MATCH(B384,'Master Database'!$A$5:$A$600,0)),"(row not found)"))</f>
        <v/>
      </c>
      <c r="E384" s="42"/>
      <c r="F384" s="45" t="str">
        <f aca="false">IF(E384="","",IFERROR(INDEX(Vendor_Register!$B$5:$B$205,MATCH(E384,Vendor_Register!$A$5:$A$205,0)),"(not in register)"))</f>
        <v/>
      </c>
      <c r="G384" s="45" t="str">
        <f aca="false">IF(E384="","",IFERROR(INDEX(Vendor_Register!$E$5:$E$205,MATCH(E384,Vendor_Register!$A$5:$A$205,0)),"(not in register)"))</f>
        <v/>
      </c>
      <c r="H384" s="42"/>
      <c r="I384" s="42"/>
      <c r="J384" s="42"/>
      <c r="K384" s="42"/>
      <c r="L384" s="42"/>
      <c r="M384" s="46"/>
      <c r="N384" s="42"/>
      <c r="O384" s="47" t="str">
        <f aca="false">IF(NOT(ISNUMBER(M384)),"",IFERROR(IF(L384="EUR",M384,IF(L384="IRR",M384/INDEX('Assumptions &amp; FX Reference'!$C$5:$C$25,MATCH(H384,'Assumptions &amp; FX Reference'!$A$5:$A$25,0)),IF(L384="USD",M384*INDEX('Assumptions &amp; FX Reference'!$B$5:$B$25,MATCH(H384,'Assumptions &amp; FX Reference'!$A$5:$A$25,0))/INDEX('Assumptions &amp; FX Reference'!$C$5:$C$25,MATCH(H384,'Assumptions &amp; FX Reference'!$A$5:$A$25,0)),""))),"(FX missing)"))</f>
        <v/>
      </c>
      <c r="P384" s="42"/>
      <c r="Q384" s="42"/>
      <c r="R384" s="42"/>
      <c r="S384" s="42"/>
      <c r="T384" s="42"/>
      <c r="U384" s="42"/>
      <c r="V384" s="42"/>
    </row>
    <row r="385" customFormat="false" ht="15" hidden="false" customHeight="false" outlineLevel="0" collapsed="false">
      <c r="A385" s="42"/>
      <c r="B385" s="42"/>
      <c r="C385" s="45" t="str">
        <f aca="false">IF(B385="","",IFERROR(INDEX('Master Database'!$D$5:$D$600,MATCH(B385,'Master Database'!$A$5:$A$600,0)),"(row not found)"))</f>
        <v/>
      </c>
      <c r="D385" s="45" t="str">
        <f aca="false">IF(B385="","",IFERROR(INDEX('Master Database'!$B$5:$B$600,MATCH(B385,'Master Database'!$A$5:$A$600,0)),"(row not found)"))</f>
        <v/>
      </c>
      <c r="E385" s="42"/>
      <c r="F385" s="45" t="str">
        <f aca="false">IF(E385="","",IFERROR(INDEX(Vendor_Register!$B$5:$B$205,MATCH(E385,Vendor_Register!$A$5:$A$205,0)),"(not in register)"))</f>
        <v/>
      </c>
      <c r="G385" s="45" t="str">
        <f aca="false">IF(E385="","",IFERROR(INDEX(Vendor_Register!$E$5:$E$205,MATCH(E385,Vendor_Register!$A$5:$A$205,0)),"(not in register)"))</f>
        <v/>
      </c>
      <c r="H385" s="42"/>
      <c r="I385" s="42"/>
      <c r="J385" s="42"/>
      <c r="K385" s="42"/>
      <c r="L385" s="42"/>
      <c r="M385" s="46"/>
      <c r="N385" s="42"/>
      <c r="O385" s="47" t="str">
        <f aca="false">IF(NOT(ISNUMBER(M385)),"",IFERROR(IF(L385="EUR",M385,IF(L385="IRR",M385/INDEX('Assumptions &amp; FX Reference'!$C$5:$C$25,MATCH(H385,'Assumptions &amp; FX Reference'!$A$5:$A$25,0)),IF(L385="USD",M385*INDEX('Assumptions &amp; FX Reference'!$B$5:$B$25,MATCH(H385,'Assumptions &amp; FX Reference'!$A$5:$A$25,0))/INDEX('Assumptions &amp; FX Reference'!$C$5:$C$25,MATCH(H385,'Assumptions &amp; FX Reference'!$A$5:$A$25,0)),""))),"(FX missing)"))</f>
        <v/>
      </c>
      <c r="P385" s="42"/>
      <c r="Q385" s="42"/>
      <c r="R385" s="42"/>
      <c r="S385" s="42"/>
      <c r="T385" s="42"/>
      <c r="U385" s="42"/>
      <c r="V385" s="42"/>
    </row>
    <row r="386" customFormat="false" ht="15" hidden="false" customHeight="false" outlineLevel="0" collapsed="false">
      <c r="A386" s="42"/>
      <c r="B386" s="42"/>
      <c r="C386" s="45" t="str">
        <f aca="false">IF(B386="","",IFERROR(INDEX('Master Database'!$D$5:$D$600,MATCH(B386,'Master Database'!$A$5:$A$600,0)),"(row not found)"))</f>
        <v/>
      </c>
      <c r="D386" s="45" t="str">
        <f aca="false">IF(B386="","",IFERROR(INDEX('Master Database'!$B$5:$B$600,MATCH(B386,'Master Database'!$A$5:$A$600,0)),"(row not found)"))</f>
        <v/>
      </c>
      <c r="E386" s="42"/>
      <c r="F386" s="45" t="str">
        <f aca="false">IF(E386="","",IFERROR(INDEX(Vendor_Register!$B$5:$B$205,MATCH(E386,Vendor_Register!$A$5:$A$205,0)),"(not in register)"))</f>
        <v/>
      </c>
      <c r="G386" s="45" t="str">
        <f aca="false">IF(E386="","",IFERROR(INDEX(Vendor_Register!$E$5:$E$205,MATCH(E386,Vendor_Register!$A$5:$A$205,0)),"(not in register)"))</f>
        <v/>
      </c>
      <c r="H386" s="42"/>
      <c r="I386" s="42"/>
      <c r="J386" s="42"/>
      <c r="K386" s="42"/>
      <c r="L386" s="42"/>
      <c r="M386" s="46"/>
      <c r="N386" s="42"/>
      <c r="O386" s="47" t="str">
        <f aca="false">IF(NOT(ISNUMBER(M386)),"",IFERROR(IF(L386="EUR",M386,IF(L386="IRR",M386/INDEX('Assumptions &amp; FX Reference'!$C$5:$C$25,MATCH(H386,'Assumptions &amp; FX Reference'!$A$5:$A$25,0)),IF(L386="USD",M386*INDEX('Assumptions &amp; FX Reference'!$B$5:$B$25,MATCH(H386,'Assumptions &amp; FX Reference'!$A$5:$A$25,0))/INDEX('Assumptions &amp; FX Reference'!$C$5:$C$25,MATCH(H386,'Assumptions &amp; FX Reference'!$A$5:$A$25,0)),""))),"(FX missing)"))</f>
        <v/>
      </c>
      <c r="P386" s="42"/>
      <c r="Q386" s="42"/>
      <c r="R386" s="42"/>
      <c r="S386" s="42"/>
      <c r="T386" s="42"/>
      <c r="U386" s="42"/>
      <c r="V386" s="42"/>
    </row>
    <row r="387" customFormat="false" ht="15" hidden="false" customHeight="false" outlineLevel="0" collapsed="false">
      <c r="A387" s="42"/>
      <c r="B387" s="42"/>
      <c r="C387" s="45" t="str">
        <f aca="false">IF(B387="","",IFERROR(INDEX('Master Database'!$D$5:$D$600,MATCH(B387,'Master Database'!$A$5:$A$600,0)),"(row not found)"))</f>
        <v/>
      </c>
      <c r="D387" s="45" t="str">
        <f aca="false">IF(B387="","",IFERROR(INDEX('Master Database'!$B$5:$B$600,MATCH(B387,'Master Database'!$A$5:$A$600,0)),"(row not found)"))</f>
        <v/>
      </c>
      <c r="E387" s="42"/>
      <c r="F387" s="45" t="str">
        <f aca="false">IF(E387="","",IFERROR(INDEX(Vendor_Register!$B$5:$B$205,MATCH(E387,Vendor_Register!$A$5:$A$205,0)),"(not in register)"))</f>
        <v/>
      </c>
      <c r="G387" s="45" t="str">
        <f aca="false">IF(E387="","",IFERROR(INDEX(Vendor_Register!$E$5:$E$205,MATCH(E387,Vendor_Register!$A$5:$A$205,0)),"(not in register)"))</f>
        <v/>
      </c>
      <c r="H387" s="42"/>
      <c r="I387" s="42"/>
      <c r="J387" s="42"/>
      <c r="K387" s="42"/>
      <c r="L387" s="42"/>
      <c r="M387" s="46"/>
      <c r="N387" s="42"/>
      <c r="O387" s="47" t="str">
        <f aca="false">IF(NOT(ISNUMBER(M387)),"",IFERROR(IF(L387="EUR",M387,IF(L387="IRR",M387/INDEX('Assumptions &amp; FX Reference'!$C$5:$C$25,MATCH(H387,'Assumptions &amp; FX Reference'!$A$5:$A$25,0)),IF(L387="USD",M387*INDEX('Assumptions &amp; FX Reference'!$B$5:$B$25,MATCH(H387,'Assumptions &amp; FX Reference'!$A$5:$A$25,0))/INDEX('Assumptions &amp; FX Reference'!$C$5:$C$25,MATCH(H387,'Assumptions &amp; FX Reference'!$A$5:$A$25,0)),""))),"(FX missing)"))</f>
        <v/>
      </c>
      <c r="P387" s="42"/>
      <c r="Q387" s="42"/>
      <c r="R387" s="42"/>
      <c r="S387" s="42"/>
      <c r="T387" s="42"/>
      <c r="U387" s="42"/>
      <c r="V387" s="42"/>
    </row>
    <row r="388" customFormat="false" ht="15" hidden="false" customHeight="false" outlineLevel="0" collapsed="false">
      <c r="A388" s="42"/>
      <c r="B388" s="42"/>
      <c r="C388" s="45" t="str">
        <f aca="false">IF(B388="","",IFERROR(INDEX('Master Database'!$D$5:$D$600,MATCH(B388,'Master Database'!$A$5:$A$600,0)),"(row not found)"))</f>
        <v/>
      </c>
      <c r="D388" s="45" t="str">
        <f aca="false">IF(B388="","",IFERROR(INDEX('Master Database'!$B$5:$B$600,MATCH(B388,'Master Database'!$A$5:$A$600,0)),"(row not found)"))</f>
        <v/>
      </c>
      <c r="E388" s="42"/>
      <c r="F388" s="45" t="str">
        <f aca="false">IF(E388="","",IFERROR(INDEX(Vendor_Register!$B$5:$B$205,MATCH(E388,Vendor_Register!$A$5:$A$205,0)),"(not in register)"))</f>
        <v/>
      </c>
      <c r="G388" s="45" t="str">
        <f aca="false">IF(E388="","",IFERROR(INDEX(Vendor_Register!$E$5:$E$205,MATCH(E388,Vendor_Register!$A$5:$A$205,0)),"(not in register)"))</f>
        <v/>
      </c>
      <c r="H388" s="42"/>
      <c r="I388" s="42"/>
      <c r="J388" s="42"/>
      <c r="K388" s="42"/>
      <c r="L388" s="42"/>
      <c r="M388" s="46"/>
      <c r="N388" s="42"/>
      <c r="O388" s="47" t="str">
        <f aca="false">IF(NOT(ISNUMBER(M388)),"",IFERROR(IF(L388="EUR",M388,IF(L388="IRR",M388/INDEX('Assumptions &amp; FX Reference'!$C$5:$C$25,MATCH(H388,'Assumptions &amp; FX Reference'!$A$5:$A$25,0)),IF(L388="USD",M388*INDEX('Assumptions &amp; FX Reference'!$B$5:$B$25,MATCH(H388,'Assumptions &amp; FX Reference'!$A$5:$A$25,0))/INDEX('Assumptions &amp; FX Reference'!$C$5:$C$25,MATCH(H388,'Assumptions &amp; FX Reference'!$A$5:$A$25,0)),""))),"(FX missing)"))</f>
        <v/>
      </c>
      <c r="P388" s="42"/>
      <c r="Q388" s="42"/>
      <c r="R388" s="42"/>
      <c r="S388" s="42"/>
      <c r="T388" s="42"/>
      <c r="U388" s="42"/>
      <c r="V388" s="42"/>
    </row>
    <row r="389" customFormat="false" ht="15" hidden="false" customHeight="false" outlineLevel="0" collapsed="false">
      <c r="A389" s="42"/>
      <c r="B389" s="42"/>
      <c r="C389" s="45" t="str">
        <f aca="false">IF(B389="","",IFERROR(INDEX('Master Database'!$D$5:$D$600,MATCH(B389,'Master Database'!$A$5:$A$600,0)),"(row not found)"))</f>
        <v/>
      </c>
      <c r="D389" s="45" t="str">
        <f aca="false">IF(B389="","",IFERROR(INDEX('Master Database'!$B$5:$B$600,MATCH(B389,'Master Database'!$A$5:$A$600,0)),"(row not found)"))</f>
        <v/>
      </c>
      <c r="E389" s="42"/>
      <c r="F389" s="45" t="str">
        <f aca="false">IF(E389="","",IFERROR(INDEX(Vendor_Register!$B$5:$B$205,MATCH(E389,Vendor_Register!$A$5:$A$205,0)),"(not in register)"))</f>
        <v/>
      </c>
      <c r="G389" s="45" t="str">
        <f aca="false">IF(E389="","",IFERROR(INDEX(Vendor_Register!$E$5:$E$205,MATCH(E389,Vendor_Register!$A$5:$A$205,0)),"(not in register)"))</f>
        <v/>
      </c>
      <c r="H389" s="42"/>
      <c r="I389" s="42"/>
      <c r="J389" s="42"/>
      <c r="K389" s="42"/>
      <c r="L389" s="42"/>
      <c r="M389" s="46"/>
      <c r="N389" s="42"/>
      <c r="O389" s="47" t="str">
        <f aca="false">IF(NOT(ISNUMBER(M389)),"",IFERROR(IF(L389="EUR",M389,IF(L389="IRR",M389/INDEX('Assumptions &amp; FX Reference'!$C$5:$C$25,MATCH(H389,'Assumptions &amp; FX Reference'!$A$5:$A$25,0)),IF(L389="USD",M389*INDEX('Assumptions &amp; FX Reference'!$B$5:$B$25,MATCH(H389,'Assumptions &amp; FX Reference'!$A$5:$A$25,0))/INDEX('Assumptions &amp; FX Reference'!$C$5:$C$25,MATCH(H389,'Assumptions &amp; FX Reference'!$A$5:$A$25,0)),""))),"(FX missing)"))</f>
        <v/>
      </c>
      <c r="P389" s="42"/>
      <c r="Q389" s="42"/>
      <c r="R389" s="42"/>
      <c r="S389" s="42"/>
      <c r="T389" s="42"/>
      <c r="U389" s="42"/>
      <c r="V389" s="42"/>
    </row>
    <row r="390" customFormat="false" ht="15" hidden="false" customHeight="false" outlineLevel="0" collapsed="false">
      <c r="A390" s="42"/>
      <c r="B390" s="42"/>
      <c r="C390" s="45" t="str">
        <f aca="false">IF(B390="","",IFERROR(INDEX('Master Database'!$D$5:$D$600,MATCH(B390,'Master Database'!$A$5:$A$600,0)),"(row not found)"))</f>
        <v/>
      </c>
      <c r="D390" s="45" t="str">
        <f aca="false">IF(B390="","",IFERROR(INDEX('Master Database'!$B$5:$B$600,MATCH(B390,'Master Database'!$A$5:$A$600,0)),"(row not found)"))</f>
        <v/>
      </c>
      <c r="E390" s="42"/>
      <c r="F390" s="45" t="str">
        <f aca="false">IF(E390="","",IFERROR(INDEX(Vendor_Register!$B$5:$B$205,MATCH(E390,Vendor_Register!$A$5:$A$205,0)),"(not in register)"))</f>
        <v/>
      </c>
      <c r="G390" s="45" t="str">
        <f aca="false">IF(E390="","",IFERROR(INDEX(Vendor_Register!$E$5:$E$205,MATCH(E390,Vendor_Register!$A$5:$A$205,0)),"(not in register)"))</f>
        <v/>
      </c>
      <c r="H390" s="42"/>
      <c r="I390" s="42"/>
      <c r="J390" s="42"/>
      <c r="K390" s="42"/>
      <c r="L390" s="42"/>
      <c r="M390" s="46"/>
      <c r="N390" s="42"/>
      <c r="O390" s="47" t="str">
        <f aca="false">IF(NOT(ISNUMBER(M390)),"",IFERROR(IF(L390="EUR",M390,IF(L390="IRR",M390/INDEX('Assumptions &amp; FX Reference'!$C$5:$C$25,MATCH(H390,'Assumptions &amp; FX Reference'!$A$5:$A$25,0)),IF(L390="USD",M390*INDEX('Assumptions &amp; FX Reference'!$B$5:$B$25,MATCH(H390,'Assumptions &amp; FX Reference'!$A$5:$A$25,0))/INDEX('Assumptions &amp; FX Reference'!$C$5:$C$25,MATCH(H390,'Assumptions &amp; FX Reference'!$A$5:$A$25,0)),""))),"(FX missing)"))</f>
        <v/>
      </c>
      <c r="P390" s="42"/>
      <c r="Q390" s="42"/>
      <c r="R390" s="42"/>
      <c r="S390" s="42"/>
      <c r="T390" s="42"/>
      <c r="U390" s="42"/>
      <c r="V390" s="42"/>
    </row>
    <row r="391" customFormat="false" ht="15" hidden="false" customHeight="false" outlineLevel="0" collapsed="false">
      <c r="A391" s="42"/>
      <c r="B391" s="42"/>
      <c r="C391" s="45" t="str">
        <f aca="false">IF(B391="","",IFERROR(INDEX('Master Database'!$D$5:$D$600,MATCH(B391,'Master Database'!$A$5:$A$600,0)),"(row not found)"))</f>
        <v/>
      </c>
      <c r="D391" s="45" t="str">
        <f aca="false">IF(B391="","",IFERROR(INDEX('Master Database'!$B$5:$B$600,MATCH(B391,'Master Database'!$A$5:$A$600,0)),"(row not found)"))</f>
        <v/>
      </c>
      <c r="E391" s="42"/>
      <c r="F391" s="45" t="str">
        <f aca="false">IF(E391="","",IFERROR(INDEX(Vendor_Register!$B$5:$B$205,MATCH(E391,Vendor_Register!$A$5:$A$205,0)),"(not in register)"))</f>
        <v/>
      </c>
      <c r="G391" s="45" t="str">
        <f aca="false">IF(E391="","",IFERROR(INDEX(Vendor_Register!$E$5:$E$205,MATCH(E391,Vendor_Register!$A$5:$A$205,0)),"(not in register)"))</f>
        <v/>
      </c>
      <c r="H391" s="42"/>
      <c r="I391" s="42"/>
      <c r="J391" s="42"/>
      <c r="K391" s="42"/>
      <c r="L391" s="42"/>
      <c r="M391" s="46"/>
      <c r="N391" s="42"/>
      <c r="O391" s="47" t="str">
        <f aca="false">IF(NOT(ISNUMBER(M391)),"",IFERROR(IF(L391="EUR",M391,IF(L391="IRR",M391/INDEX('Assumptions &amp; FX Reference'!$C$5:$C$25,MATCH(H391,'Assumptions &amp; FX Reference'!$A$5:$A$25,0)),IF(L391="USD",M391*INDEX('Assumptions &amp; FX Reference'!$B$5:$B$25,MATCH(H391,'Assumptions &amp; FX Reference'!$A$5:$A$25,0))/INDEX('Assumptions &amp; FX Reference'!$C$5:$C$25,MATCH(H391,'Assumptions &amp; FX Reference'!$A$5:$A$25,0)),""))),"(FX missing)"))</f>
        <v/>
      </c>
      <c r="P391" s="42"/>
      <c r="Q391" s="42"/>
      <c r="R391" s="42"/>
      <c r="S391" s="42"/>
      <c r="T391" s="42"/>
      <c r="U391" s="42"/>
      <c r="V391" s="42"/>
    </row>
    <row r="392" customFormat="false" ht="15" hidden="false" customHeight="false" outlineLevel="0" collapsed="false">
      <c r="A392" s="42"/>
      <c r="B392" s="42"/>
      <c r="C392" s="45" t="str">
        <f aca="false">IF(B392="","",IFERROR(INDEX('Master Database'!$D$5:$D$600,MATCH(B392,'Master Database'!$A$5:$A$600,0)),"(row not found)"))</f>
        <v/>
      </c>
      <c r="D392" s="45" t="str">
        <f aca="false">IF(B392="","",IFERROR(INDEX('Master Database'!$B$5:$B$600,MATCH(B392,'Master Database'!$A$5:$A$600,0)),"(row not found)"))</f>
        <v/>
      </c>
      <c r="E392" s="42"/>
      <c r="F392" s="45" t="str">
        <f aca="false">IF(E392="","",IFERROR(INDEX(Vendor_Register!$B$5:$B$205,MATCH(E392,Vendor_Register!$A$5:$A$205,0)),"(not in register)"))</f>
        <v/>
      </c>
      <c r="G392" s="45" t="str">
        <f aca="false">IF(E392="","",IFERROR(INDEX(Vendor_Register!$E$5:$E$205,MATCH(E392,Vendor_Register!$A$5:$A$205,0)),"(not in register)"))</f>
        <v/>
      </c>
      <c r="H392" s="42"/>
      <c r="I392" s="42"/>
      <c r="J392" s="42"/>
      <c r="K392" s="42"/>
      <c r="L392" s="42"/>
      <c r="M392" s="46"/>
      <c r="N392" s="42"/>
      <c r="O392" s="47" t="str">
        <f aca="false">IF(NOT(ISNUMBER(M392)),"",IFERROR(IF(L392="EUR",M392,IF(L392="IRR",M392/INDEX('Assumptions &amp; FX Reference'!$C$5:$C$25,MATCH(H392,'Assumptions &amp; FX Reference'!$A$5:$A$25,0)),IF(L392="USD",M392*INDEX('Assumptions &amp; FX Reference'!$B$5:$B$25,MATCH(H392,'Assumptions &amp; FX Reference'!$A$5:$A$25,0))/INDEX('Assumptions &amp; FX Reference'!$C$5:$C$25,MATCH(H392,'Assumptions &amp; FX Reference'!$A$5:$A$25,0)),""))),"(FX missing)"))</f>
        <v/>
      </c>
      <c r="P392" s="42"/>
      <c r="Q392" s="42"/>
      <c r="R392" s="42"/>
      <c r="S392" s="42"/>
      <c r="T392" s="42"/>
      <c r="U392" s="42"/>
      <c r="V392" s="42"/>
    </row>
    <row r="393" customFormat="false" ht="15" hidden="false" customHeight="false" outlineLevel="0" collapsed="false">
      <c r="A393" s="42"/>
      <c r="B393" s="42"/>
      <c r="C393" s="45" t="str">
        <f aca="false">IF(B393="","",IFERROR(INDEX('Master Database'!$D$5:$D$600,MATCH(B393,'Master Database'!$A$5:$A$600,0)),"(row not found)"))</f>
        <v/>
      </c>
      <c r="D393" s="45" t="str">
        <f aca="false">IF(B393="","",IFERROR(INDEX('Master Database'!$B$5:$B$600,MATCH(B393,'Master Database'!$A$5:$A$600,0)),"(row not found)"))</f>
        <v/>
      </c>
      <c r="E393" s="42"/>
      <c r="F393" s="45" t="str">
        <f aca="false">IF(E393="","",IFERROR(INDEX(Vendor_Register!$B$5:$B$205,MATCH(E393,Vendor_Register!$A$5:$A$205,0)),"(not in register)"))</f>
        <v/>
      </c>
      <c r="G393" s="45" t="str">
        <f aca="false">IF(E393="","",IFERROR(INDEX(Vendor_Register!$E$5:$E$205,MATCH(E393,Vendor_Register!$A$5:$A$205,0)),"(not in register)"))</f>
        <v/>
      </c>
      <c r="H393" s="42"/>
      <c r="I393" s="42"/>
      <c r="J393" s="42"/>
      <c r="K393" s="42"/>
      <c r="L393" s="42"/>
      <c r="M393" s="46"/>
      <c r="N393" s="42"/>
      <c r="O393" s="47" t="str">
        <f aca="false">IF(NOT(ISNUMBER(M393)),"",IFERROR(IF(L393="EUR",M393,IF(L393="IRR",M393/INDEX('Assumptions &amp; FX Reference'!$C$5:$C$25,MATCH(H393,'Assumptions &amp; FX Reference'!$A$5:$A$25,0)),IF(L393="USD",M393*INDEX('Assumptions &amp; FX Reference'!$B$5:$B$25,MATCH(H393,'Assumptions &amp; FX Reference'!$A$5:$A$25,0))/INDEX('Assumptions &amp; FX Reference'!$C$5:$C$25,MATCH(H393,'Assumptions &amp; FX Reference'!$A$5:$A$25,0)),""))),"(FX missing)"))</f>
        <v/>
      </c>
      <c r="P393" s="42"/>
      <c r="Q393" s="42"/>
      <c r="R393" s="42"/>
      <c r="S393" s="42"/>
      <c r="T393" s="42"/>
      <c r="U393" s="42"/>
      <c r="V393" s="42"/>
    </row>
    <row r="394" customFormat="false" ht="15" hidden="false" customHeight="false" outlineLevel="0" collapsed="false">
      <c r="A394" s="42"/>
      <c r="B394" s="42"/>
      <c r="C394" s="45" t="str">
        <f aca="false">IF(B394="","",IFERROR(INDEX('Master Database'!$D$5:$D$600,MATCH(B394,'Master Database'!$A$5:$A$600,0)),"(row not found)"))</f>
        <v/>
      </c>
      <c r="D394" s="45" t="str">
        <f aca="false">IF(B394="","",IFERROR(INDEX('Master Database'!$B$5:$B$600,MATCH(B394,'Master Database'!$A$5:$A$600,0)),"(row not found)"))</f>
        <v/>
      </c>
      <c r="E394" s="42"/>
      <c r="F394" s="45" t="str">
        <f aca="false">IF(E394="","",IFERROR(INDEX(Vendor_Register!$B$5:$B$205,MATCH(E394,Vendor_Register!$A$5:$A$205,0)),"(not in register)"))</f>
        <v/>
      </c>
      <c r="G394" s="45" t="str">
        <f aca="false">IF(E394="","",IFERROR(INDEX(Vendor_Register!$E$5:$E$205,MATCH(E394,Vendor_Register!$A$5:$A$205,0)),"(not in register)"))</f>
        <v/>
      </c>
      <c r="H394" s="42"/>
      <c r="I394" s="42"/>
      <c r="J394" s="42"/>
      <c r="K394" s="42"/>
      <c r="L394" s="42"/>
      <c r="M394" s="46"/>
      <c r="N394" s="42"/>
      <c r="O394" s="47" t="str">
        <f aca="false">IF(NOT(ISNUMBER(M394)),"",IFERROR(IF(L394="EUR",M394,IF(L394="IRR",M394/INDEX('Assumptions &amp; FX Reference'!$C$5:$C$25,MATCH(H394,'Assumptions &amp; FX Reference'!$A$5:$A$25,0)),IF(L394="USD",M394*INDEX('Assumptions &amp; FX Reference'!$B$5:$B$25,MATCH(H394,'Assumptions &amp; FX Reference'!$A$5:$A$25,0))/INDEX('Assumptions &amp; FX Reference'!$C$5:$C$25,MATCH(H394,'Assumptions &amp; FX Reference'!$A$5:$A$25,0)),""))),"(FX missing)"))</f>
        <v/>
      </c>
      <c r="P394" s="42"/>
      <c r="Q394" s="42"/>
      <c r="R394" s="42"/>
      <c r="S394" s="42"/>
      <c r="T394" s="42"/>
      <c r="U394" s="42"/>
      <c r="V394" s="42"/>
    </row>
    <row r="395" customFormat="false" ht="15" hidden="false" customHeight="false" outlineLevel="0" collapsed="false">
      <c r="A395" s="42"/>
      <c r="B395" s="42"/>
      <c r="C395" s="45" t="str">
        <f aca="false">IF(B395="","",IFERROR(INDEX('Master Database'!$D$5:$D$600,MATCH(B395,'Master Database'!$A$5:$A$600,0)),"(row not found)"))</f>
        <v/>
      </c>
      <c r="D395" s="45" t="str">
        <f aca="false">IF(B395="","",IFERROR(INDEX('Master Database'!$B$5:$B$600,MATCH(B395,'Master Database'!$A$5:$A$600,0)),"(row not found)"))</f>
        <v/>
      </c>
      <c r="E395" s="42"/>
      <c r="F395" s="45" t="str">
        <f aca="false">IF(E395="","",IFERROR(INDEX(Vendor_Register!$B$5:$B$205,MATCH(E395,Vendor_Register!$A$5:$A$205,0)),"(not in register)"))</f>
        <v/>
      </c>
      <c r="G395" s="45" t="str">
        <f aca="false">IF(E395="","",IFERROR(INDEX(Vendor_Register!$E$5:$E$205,MATCH(E395,Vendor_Register!$A$5:$A$205,0)),"(not in register)"))</f>
        <v/>
      </c>
      <c r="H395" s="42"/>
      <c r="I395" s="42"/>
      <c r="J395" s="42"/>
      <c r="K395" s="42"/>
      <c r="L395" s="42"/>
      <c r="M395" s="46"/>
      <c r="N395" s="42"/>
      <c r="O395" s="47" t="str">
        <f aca="false">IF(NOT(ISNUMBER(M395)),"",IFERROR(IF(L395="EUR",M395,IF(L395="IRR",M395/INDEX('Assumptions &amp; FX Reference'!$C$5:$C$25,MATCH(H395,'Assumptions &amp; FX Reference'!$A$5:$A$25,0)),IF(L395="USD",M395*INDEX('Assumptions &amp; FX Reference'!$B$5:$B$25,MATCH(H395,'Assumptions &amp; FX Reference'!$A$5:$A$25,0))/INDEX('Assumptions &amp; FX Reference'!$C$5:$C$25,MATCH(H395,'Assumptions &amp; FX Reference'!$A$5:$A$25,0)),""))),"(FX missing)"))</f>
        <v/>
      </c>
      <c r="P395" s="42"/>
      <c r="Q395" s="42"/>
      <c r="R395" s="42"/>
      <c r="S395" s="42"/>
      <c r="T395" s="42"/>
      <c r="U395" s="42"/>
      <c r="V395" s="42"/>
    </row>
    <row r="396" customFormat="false" ht="15" hidden="false" customHeight="false" outlineLevel="0" collapsed="false">
      <c r="A396" s="42"/>
      <c r="B396" s="42"/>
      <c r="C396" s="45" t="str">
        <f aca="false">IF(B396="","",IFERROR(INDEX('Master Database'!$D$5:$D$600,MATCH(B396,'Master Database'!$A$5:$A$600,0)),"(row not found)"))</f>
        <v/>
      </c>
      <c r="D396" s="45" t="str">
        <f aca="false">IF(B396="","",IFERROR(INDEX('Master Database'!$B$5:$B$600,MATCH(B396,'Master Database'!$A$5:$A$600,0)),"(row not found)"))</f>
        <v/>
      </c>
      <c r="E396" s="42"/>
      <c r="F396" s="45" t="str">
        <f aca="false">IF(E396="","",IFERROR(INDEX(Vendor_Register!$B$5:$B$205,MATCH(E396,Vendor_Register!$A$5:$A$205,0)),"(not in register)"))</f>
        <v/>
      </c>
      <c r="G396" s="45" t="str">
        <f aca="false">IF(E396="","",IFERROR(INDEX(Vendor_Register!$E$5:$E$205,MATCH(E396,Vendor_Register!$A$5:$A$205,0)),"(not in register)"))</f>
        <v/>
      </c>
      <c r="H396" s="42"/>
      <c r="I396" s="42"/>
      <c r="J396" s="42"/>
      <c r="K396" s="42"/>
      <c r="L396" s="42"/>
      <c r="M396" s="46"/>
      <c r="N396" s="42"/>
      <c r="O396" s="47" t="str">
        <f aca="false">IF(NOT(ISNUMBER(M396)),"",IFERROR(IF(L396="EUR",M396,IF(L396="IRR",M396/INDEX('Assumptions &amp; FX Reference'!$C$5:$C$25,MATCH(H396,'Assumptions &amp; FX Reference'!$A$5:$A$25,0)),IF(L396="USD",M396*INDEX('Assumptions &amp; FX Reference'!$B$5:$B$25,MATCH(H396,'Assumptions &amp; FX Reference'!$A$5:$A$25,0))/INDEX('Assumptions &amp; FX Reference'!$C$5:$C$25,MATCH(H396,'Assumptions &amp; FX Reference'!$A$5:$A$25,0)),""))),"(FX missing)"))</f>
        <v/>
      </c>
      <c r="P396" s="42"/>
      <c r="Q396" s="42"/>
      <c r="R396" s="42"/>
      <c r="S396" s="42"/>
      <c r="T396" s="42"/>
      <c r="U396" s="42"/>
      <c r="V396" s="42"/>
    </row>
    <row r="397" customFormat="false" ht="15" hidden="false" customHeight="false" outlineLevel="0" collapsed="false">
      <c r="A397" s="42"/>
      <c r="B397" s="42"/>
      <c r="C397" s="45" t="str">
        <f aca="false">IF(B397="","",IFERROR(INDEX('Master Database'!$D$5:$D$600,MATCH(B397,'Master Database'!$A$5:$A$600,0)),"(row not found)"))</f>
        <v/>
      </c>
      <c r="D397" s="45" t="str">
        <f aca="false">IF(B397="","",IFERROR(INDEX('Master Database'!$B$5:$B$600,MATCH(B397,'Master Database'!$A$5:$A$600,0)),"(row not found)"))</f>
        <v/>
      </c>
      <c r="E397" s="42"/>
      <c r="F397" s="45" t="str">
        <f aca="false">IF(E397="","",IFERROR(INDEX(Vendor_Register!$B$5:$B$205,MATCH(E397,Vendor_Register!$A$5:$A$205,0)),"(not in register)"))</f>
        <v/>
      </c>
      <c r="G397" s="45" t="str">
        <f aca="false">IF(E397="","",IFERROR(INDEX(Vendor_Register!$E$5:$E$205,MATCH(E397,Vendor_Register!$A$5:$A$205,0)),"(not in register)"))</f>
        <v/>
      </c>
      <c r="H397" s="42"/>
      <c r="I397" s="42"/>
      <c r="J397" s="42"/>
      <c r="K397" s="42"/>
      <c r="L397" s="42"/>
      <c r="M397" s="46"/>
      <c r="N397" s="42"/>
      <c r="O397" s="47" t="str">
        <f aca="false">IF(NOT(ISNUMBER(M397)),"",IFERROR(IF(L397="EUR",M397,IF(L397="IRR",M397/INDEX('Assumptions &amp; FX Reference'!$C$5:$C$25,MATCH(H397,'Assumptions &amp; FX Reference'!$A$5:$A$25,0)),IF(L397="USD",M397*INDEX('Assumptions &amp; FX Reference'!$B$5:$B$25,MATCH(H397,'Assumptions &amp; FX Reference'!$A$5:$A$25,0))/INDEX('Assumptions &amp; FX Reference'!$C$5:$C$25,MATCH(H397,'Assumptions &amp; FX Reference'!$A$5:$A$25,0)),""))),"(FX missing)"))</f>
        <v/>
      </c>
      <c r="P397" s="42"/>
      <c r="Q397" s="42"/>
      <c r="R397" s="42"/>
      <c r="S397" s="42"/>
      <c r="T397" s="42"/>
      <c r="U397" s="42"/>
      <c r="V397" s="42"/>
    </row>
    <row r="398" customFormat="false" ht="15" hidden="false" customHeight="false" outlineLevel="0" collapsed="false">
      <c r="A398" s="42"/>
      <c r="B398" s="42"/>
      <c r="C398" s="45" t="str">
        <f aca="false">IF(B398="","",IFERROR(INDEX('Master Database'!$D$5:$D$600,MATCH(B398,'Master Database'!$A$5:$A$600,0)),"(row not found)"))</f>
        <v/>
      </c>
      <c r="D398" s="45" t="str">
        <f aca="false">IF(B398="","",IFERROR(INDEX('Master Database'!$B$5:$B$600,MATCH(B398,'Master Database'!$A$5:$A$600,0)),"(row not found)"))</f>
        <v/>
      </c>
      <c r="E398" s="42"/>
      <c r="F398" s="45" t="str">
        <f aca="false">IF(E398="","",IFERROR(INDEX(Vendor_Register!$B$5:$B$205,MATCH(E398,Vendor_Register!$A$5:$A$205,0)),"(not in register)"))</f>
        <v/>
      </c>
      <c r="G398" s="45" t="str">
        <f aca="false">IF(E398="","",IFERROR(INDEX(Vendor_Register!$E$5:$E$205,MATCH(E398,Vendor_Register!$A$5:$A$205,0)),"(not in register)"))</f>
        <v/>
      </c>
      <c r="H398" s="42"/>
      <c r="I398" s="42"/>
      <c r="J398" s="42"/>
      <c r="K398" s="42"/>
      <c r="L398" s="42"/>
      <c r="M398" s="46"/>
      <c r="N398" s="42"/>
      <c r="O398" s="47" t="str">
        <f aca="false">IF(NOT(ISNUMBER(M398)),"",IFERROR(IF(L398="EUR",M398,IF(L398="IRR",M398/INDEX('Assumptions &amp; FX Reference'!$C$5:$C$25,MATCH(H398,'Assumptions &amp; FX Reference'!$A$5:$A$25,0)),IF(L398="USD",M398*INDEX('Assumptions &amp; FX Reference'!$B$5:$B$25,MATCH(H398,'Assumptions &amp; FX Reference'!$A$5:$A$25,0))/INDEX('Assumptions &amp; FX Reference'!$C$5:$C$25,MATCH(H398,'Assumptions &amp; FX Reference'!$A$5:$A$25,0)),""))),"(FX missing)"))</f>
        <v/>
      </c>
      <c r="P398" s="42"/>
      <c r="Q398" s="42"/>
      <c r="R398" s="42"/>
      <c r="S398" s="42"/>
      <c r="T398" s="42"/>
      <c r="U398" s="42"/>
      <c r="V398" s="42"/>
    </row>
    <row r="399" customFormat="false" ht="15" hidden="false" customHeight="false" outlineLevel="0" collapsed="false">
      <c r="A399" s="42"/>
      <c r="B399" s="42"/>
      <c r="C399" s="45" t="str">
        <f aca="false">IF(B399="","",IFERROR(INDEX('Master Database'!$D$5:$D$600,MATCH(B399,'Master Database'!$A$5:$A$600,0)),"(row not found)"))</f>
        <v/>
      </c>
      <c r="D399" s="45" t="str">
        <f aca="false">IF(B399="","",IFERROR(INDEX('Master Database'!$B$5:$B$600,MATCH(B399,'Master Database'!$A$5:$A$600,0)),"(row not found)"))</f>
        <v/>
      </c>
      <c r="E399" s="42"/>
      <c r="F399" s="45" t="str">
        <f aca="false">IF(E399="","",IFERROR(INDEX(Vendor_Register!$B$5:$B$205,MATCH(E399,Vendor_Register!$A$5:$A$205,0)),"(not in register)"))</f>
        <v/>
      </c>
      <c r="G399" s="45" t="str">
        <f aca="false">IF(E399="","",IFERROR(INDEX(Vendor_Register!$E$5:$E$205,MATCH(E399,Vendor_Register!$A$5:$A$205,0)),"(not in register)"))</f>
        <v/>
      </c>
      <c r="H399" s="42"/>
      <c r="I399" s="42"/>
      <c r="J399" s="42"/>
      <c r="K399" s="42"/>
      <c r="L399" s="42"/>
      <c r="M399" s="46"/>
      <c r="N399" s="42"/>
      <c r="O399" s="47" t="str">
        <f aca="false">IF(NOT(ISNUMBER(M399)),"",IFERROR(IF(L399="EUR",M399,IF(L399="IRR",M399/INDEX('Assumptions &amp; FX Reference'!$C$5:$C$25,MATCH(H399,'Assumptions &amp; FX Reference'!$A$5:$A$25,0)),IF(L399="USD",M399*INDEX('Assumptions &amp; FX Reference'!$B$5:$B$25,MATCH(H399,'Assumptions &amp; FX Reference'!$A$5:$A$25,0))/INDEX('Assumptions &amp; FX Reference'!$C$5:$C$25,MATCH(H399,'Assumptions &amp; FX Reference'!$A$5:$A$25,0)),""))),"(FX missing)"))</f>
        <v/>
      </c>
      <c r="P399" s="42"/>
      <c r="Q399" s="42"/>
      <c r="R399" s="42"/>
      <c r="S399" s="42"/>
      <c r="T399" s="42"/>
      <c r="U399" s="42"/>
      <c r="V399" s="42"/>
    </row>
    <row r="400" customFormat="false" ht="15" hidden="false" customHeight="false" outlineLevel="0" collapsed="false">
      <c r="A400" s="42"/>
      <c r="B400" s="42"/>
      <c r="C400" s="45" t="str">
        <f aca="false">IF(B400="","",IFERROR(INDEX('Master Database'!$D$5:$D$600,MATCH(B400,'Master Database'!$A$5:$A$600,0)),"(row not found)"))</f>
        <v/>
      </c>
      <c r="D400" s="45" t="str">
        <f aca="false">IF(B400="","",IFERROR(INDEX('Master Database'!$B$5:$B$600,MATCH(B400,'Master Database'!$A$5:$A$600,0)),"(row not found)"))</f>
        <v/>
      </c>
      <c r="E400" s="42"/>
      <c r="F400" s="45" t="str">
        <f aca="false">IF(E400="","",IFERROR(INDEX(Vendor_Register!$B$5:$B$205,MATCH(E400,Vendor_Register!$A$5:$A$205,0)),"(not in register)"))</f>
        <v/>
      </c>
      <c r="G400" s="45" t="str">
        <f aca="false">IF(E400="","",IFERROR(INDEX(Vendor_Register!$E$5:$E$205,MATCH(E400,Vendor_Register!$A$5:$A$205,0)),"(not in register)"))</f>
        <v/>
      </c>
      <c r="H400" s="42"/>
      <c r="I400" s="42"/>
      <c r="J400" s="42"/>
      <c r="K400" s="42"/>
      <c r="L400" s="42"/>
      <c r="M400" s="46"/>
      <c r="N400" s="42"/>
      <c r="O400" s="47" t="str">
        <f aca="false">IF(NOT(ISNUMBER(M400)),"",IFERROR(IF(L400="EUR",M400,IF(L400="IRR",M400/INDEX('Assumptions &amp; FX Reference'!$C$5:$C$25,MATCH(H400,'Assumptions &amp; FX Reference'!$A$5:$A$25,0)),IF(L400="USD",M400*INDEX('Assumptions &amp; FX Reference'!$B$5:$B$25,MATCH(H400,'Assumptions &amp; FX Reference'!$A$5:$A$25,0))/INDEX('Assumptions &amp; FX Reference'!$C$5:$C$25,MATCH(H400,'Assumptions &amp; FX Reference'!$A$5:$A$25,0)),""))),"(FX missing)"))</f>
        <v/>
      </c>
      <c r="P400" s="42"/>
      <c r="Q400" s="42"/>
      <c r="R400" s="42"/>
      <c r="S400" s="42"/>
      <c r="T400" s="42"/>
      <c r="U400" s="42"/>
      <c r="V400" s="42"/>
    </row>
    <row r="401" customFormat="false" ht="15" hidden="false" customHeight="false" outlineLevel="0" collapsed="false">
      <c r="A401" s="42"/>
      <c r="B401" s="42"/>
      <c r="C401" s="45" t="str">
        <f aca="false">IF(B401="","",IFERROR(INDEX('Master Database'!$D$5:$D$600,MATCH(B401,'Master Database'!$A$5:$A$600,0)),"(row not found)"))</f>
        <v/>
      </c>
      <c r="D401" s="45" t="str">
        <f aca="false">IF(B401="","",IFERROR(INDEX('Master Database'!$B$5:$B$600,MATCH(B401,'Master Database'!$A$5:$A$600,0)),"(row not found)"))</f>
        <v/>
      </c>
      <c r="E401" s="42"/>
      <c r="F401" s="45" t="str">
        <f aca="false">IF(E401="","",IFERROR(INDEX(Vendor_Register!$B$5:$B$205,MATCH(E401,Vendor_Register!$A$5:$A$205,0)),"(not in register)"))</f>
        <v/>
      </c>
      <c r="G401" s="45" t="str">
        <f aca="false">IF(E401="","",IFERROR(INDEX(Vendor_Register!$E$5:$E$205,MATCH(E401,Vendor_Register!$A$5:$A$205,0)),"(not in register)"))</f>
        <v/>
      </c>
      <c r="H401" s="42"/>
      <c r="I401" s="42"/>
      <c r="J401" s="42"/>
      <c r="K401" s="42"/>
      <c r="L401" s="42"/>
      <c r="M401" s="46"/>
      <c r="N401" s="42"/>
      <c r="O401" s="47" t="str">
        <f aca="false">IF(NOT(ISNUMBER(M401)),"",IFERROR(IF(L401="EUR",M401,IF(L401="IRR",M401/INDEX('Assumptions &amp; FX Reference'!$C$5:$C$25,MATCH(H401,'Assumptions &amp; FX Reference'!$A$5:$A$25,0)),IF(L401="USD",M401*INDEX('Assumptions &amp; FX Reference'!$B$5:$B$25,MATCH(H401,'Assumptions &amp; FX Reference'!$A$5:$A$25,0))/INDEX('Assumptions &amp; FX Reference'!$C$5:$C$25,MATCH(H401,'Assumptions &amp; FX Reference'!$A$5:$A$25,0)),""))),"(FX missing)"))</f>
        <v/>
      </c>
      <c r="P401" s="42"/>
      <c r="Q401" s="42"/>
      <c r="R401" s="42"/>
      <c r="S401" s="42"/>
      <c r="T401" s="42"/>
      <c r="U401" s="42"/>
      <c r="V401" s="42"/>
    </row>
    <row r="402" customFormat="false" ht="15" hidden="false" customHeight="false" outlineLevel="0" collapsed="false">
      <c r="A402" s="42"/>
      <c r="B402" s="42"/>
      <c r="C402" s="45" t="str">
        <f aca="false">IF(B402="","",IFERROR(INDEX('Master Database'!$D$5:$D$600,MATCH(B402,'Master Database'!$A$5:$A$600,0)),"(row not found)"))</f>
        <v/>
      </c>
      <c r="D402" s="45" t="str">
        <f aca="false">IF(B402="","",IFERROR(INDEX('Master Database'!$B$5:$B$600,MATCH(B402,'Master Database'!$A$5:$A$600,0)),"(row not found)"))</f>
        <v/>
      </c>
      <c r="E402" s="42"/>
      <c r="F402" s="45" t="str">
        <f aca="false">IF(E402="","",IFERROR(INDEX(Vendor_Register!$B$5:$B$205,MATCH(E402,Vendor_Register!$A$5:$A$205,0)),"(not in register)"))</f>
        <v/>
      </c>
      <c r="G402" s="45" t="str">
        <f aca="false">IF(E402="","",IFERROR(INDEX(Vendor_Register!$E$5:$E$205,MATCH(E402,Vendor_Register!$A$5:$A$205,0)),"(not in register)"))</f>
        <v/>
      </c>
      <c r="H402" s="42"/>
      <c r="I402" s="42"/>
      <c r="J402" s="42"/>
      <c r="K402" s="42"/>
      <c r="L402" s="42"/>
      <c r="M402" s="46"/>
      <c r="N402" s="42"/>
      <c r="O402" s="47" t="str">
        <f aca="false">IF(NOT(ISNUMBER(M402)),"",IFERROR(IF(L402="EUR",M402,IF(L402="IRR",M402/INDEX('Assumptions &amp; FX Reference'!$C$5:$C$25,MATCH(H402,'Assumptions &amp; FX Reference'!$A$5:$A$25,0)),IF(L402="USD",M402*INDEX('Assumptions &amp; FX Reference'!$B$5:$B$25,MATCH(H402,'Assumptions &amp; FX Reference'!$A$5:$A$25,0))/INDEX('Assumptions &amp; FX Reference'!$C$5:$C$25,MATCH(H402,'Assumptions &amp; FX Reference'!$A$5:$A$25,0)),""))),"(FX missing)"))</f>
        <v/>
      </c>
      <c r="P402" s="42"/>
      <c r="Q402" s="42"/>
      <c r="R402" s="42"/>
      <c r="S402" s="42"/>
      <c r="T402" s="42"/>
      <c r="U402" s="42"/>
      <c r="V402" s="42"/>
    </row>
    <row r="403" customFormat="false" ht="15" hidden="false" customHeight="false" outlineLevel="0" collapsed="false">
      <c r="A403" s="42"/>
      <c r="B403" s="42"/>
      <c r="C403" s="45" t="str">
        <f aca="false">IF(B403="","",IFERROR(INDEX('Master Database'!$D$5:$D$600,MATCH(B403,'Master Database'!$A$5:$A$600,0)),"(row not found)"))</f>
        <v/>
      </c>
      <c r="D403" s="45" t="str">
        <f aca="false">IF(B403="","",IFERROR(INDEX('Master Database'!$B$5:$B$600,MATCH(B403,'Master Database'!$A$5:$A$600,0)),"(row not found)"))</f>
        <v/>
      </c>
      <c r="E403" s="42"/>
      <c r="F403" s="45" t="str">
        <f aca="false">IF(E403="","",IFERROR(INDEX(Vendor_Register!$B$5:$B$205,MATCH(E403,Vendor_Register!$A$5:$A$205,0)),"(not in register)"))</f>
        <v/>
      </c>
      <c r="G403" s="45" t="str">
        <f aca="false">IF(E403="","",IFERROR(INDEX(Vendor_Register!$E$5:$E$205,MATCH(E403,Vendor_Register!$A$5:$A$205,0)),"(not in register)"))</f>
        <v/>
      </c>
      <c r="H403" s="42"/>
      <c r="I403" s="42"/>
      <c r="J403" s="42"/>
      <c r="K403" s="42"/>
      <c r="L403" s="42"/>
      <c r="M403" s="46"/>
      <c r="N403" s="42"/>
      <c r="O403" s="47" t="str">
        <f aca="false">IF(NOT(ISNUMBER(M403)),"",IFERROR(IF(L403="EUR",M403,IF(L403="IRR",M403/INDEX('Assumptions &amp; FX Reference'!$C$5:$C$25,MATCH(H403,'Assumptions &amp; FX Reference'!$A$5:$A$25,0)),IF(L403="USD",M403*INDEX('Assumptions &amp; FX Reference'!$B$5:$B$25,MATCH(H403,'Assumptions &amp; FX Reference'!$A$5:$A$25,0))/INDEX('Assumptions &amp; FX Reference'!$C$5:$C$25,MATCH(H403,'Assumptions &amp; FX Reference'!$A$5:$A$25,0)),""))),"(FX missing)"))</f>
        <v/>
      </c>
      <c r="P403" s="42"/>
      <c r="Q403" s="42"/>
      <c r="R403" s="42"/>
      <c r="S403" s="42"/>
      <c r="T403" s="42"/>
      <c r="U403" s="42"/>
      <c r="V403" s="42"/>
    </row>
    <row r="404" customFormat="false" ht="15" hidden="false" customHeight="false" outlineLevel="0" collapsed="false">
      <c r="A404" s="42"/>
      <c r="B404" s="42"/>
      <c r="C404" s="45" t="str">
        <f aca="false">IF(B404="","",IFERROR(INDEX('Master Database'!$D$5:$D$600,MATCH(B404,'Master Database'!$A$5:$A$600,0)),"(row not found)"))</f>
        <v/>
      </c>
      <c r="D404" s="45" t="str">
        <f aca="false">IF(B404="","",IFERROR(INDEX('Master Database'!$B$5:$B$600,MATCH(B404,'Master Database'!$A$5:$A$600,0)),"(row not found)"))</f>
        <v/>
      </c>
      <c r="E404" s="42"/>
      <c r="F404" s="45" t="str">
        <f aca="false">IF(E404="","",IFERROR(INDEX(Vendor_Register!$B$5:$B$205,MATCH(E404,Vendor_Register!$A$5:$A$205,0)),"(not in register)"))</f>
        <v/>
      </c>
      <c r="G404" s="45" t="str">
        <f aca="false">IF(E404="","",IFERROR(INDEX(Vendor_Register!$E$5:$E$205,MATCH(E404,Vendor_Register!$A$5:$A$205,0)),"(not in register)"))</f>
        <v/>
      </c>
      <c r="H404" s="42"/>
      <c r="I404" s="42"/>
      <c r="J404" s="42"/>
      <c r="K404" s="42"/>
      <c r="L404" s="42"/>
      <c r="M404" s="46"/>
      <c r="N404" s="42"/>
      <c r="O404" s="47" t="str">
        <f aca="false">IF(NOT(ISNUMBER(M404)),"",IFERROR(IF(L404="EUR",M404,IF(L404="IRR",M404/INDEX('Assumptions &amp; FX Reference'!$C$5:$C$25,MATCH(H404,'Assumptions &amp; FX Reference'!$A$5:$A$25,0)),IF(L404="USD",M404*INDEX('Assumptions &amp; FX Reference'!$B$5:$B$25,MATCH(H404,'Assumptions &amp; FX Reference'!$A$5:$A$25,0))/INDEX('Assumptions &amp; FX Reference'!$C$5:$C$25,MATCH(H404,'Assumptions &amp; FX Reference'!$A$5:$A$25,0)),""))),"(FX missing)"))</f>
        <v/>
      </c>
      <c r="P404" s="42"/>
      <c r="Q404" s="42"/>
      <c r="R404" s="42"/>
      <c r="S404" s="42"/>
      <c r="T404" s="42"/>
      <c r="U404" s="42"/>
      <c r="V404" s="42"/>
    </row>
    <row r="405" customFormat="false" ht="15" hidden="false" customHeight="false" outlineLevel="0" collapsed="false">
      <c r="A405" s="42"/>
      <c r="B405" s="42"/>
      <c r="C405" s="45" t="str">
        <f aca="false">IF(B405="","",IFERROR(INDEX('Master Database'!$D$5:$D$600,MATCH(B405,'Master Database'!$A$5:$A$600,0)),"(row not found)"))</f>
        <v/>
      </c>
      <c r="D405" s="45" t="str">
        <f aca="false">IF(B405="","",IFERROR(INDEX('Master Database'!$B$5:$B$600,MATCH(B405,'Master Database'!$A$5:$A$600,0)),"(row not found)"))</f>
        <v/>
      </c>
      <c r="E405" s="42"/>
      <c r="F405" s="45" t="str">
        <f aca="false">IF(E405="","",IFERROR(INDEX(Vendor_Register!$B$5:$B$205,MATCH(E405,Vendor_Register!$A$5:$A$205,0)),"(not in register)"))</f>
        <v/>
      </c>
      <c r="G405" s="45" t="str">
        <f aca="false">IF(E405="","",IFERROR(INDEX(Vendor_Register!$E$5:$E$205,MATCH(E405,Vendor_Register!$A$5:$A$205,0)),"(not in register)"))</f>
        <v/>
      </c>
      <c r="H405" s="42"/>
      <c r="I405" s="42"/>
      <c r="J405" s="42"/>
      <c r="K405" s="42"/>
      <c r="L405" s="42"/>
      <c r="M405" s="46"/>
      <c r="N405" s="42"/>
      <c r="O405" s="47" t="str">
        <f aca="false">IF(NOT(ISNUMBER(M405)),"",IFERROR(IF(L405="EUR",M405,IF(L405="IRR",M405/INDEX('Assumptions &amp; FX Reference'!$C$5:$C$25,MATCH(H405,'Assumptions &amp; FX Reference'!$A$5:$A$25,0)),IF(L405="USD",M405*INDEX('Assumptions &amp; FX Reference'!$B$5:$B$25,MATCH(H405,'Assumptions &amp; FX Reference'!$A$5:$A$25,0))/INDEX('Assumptions &amp; FX Reference'!$C$5:$C$25,MATCH(H405,'Assumptions &amp; FX Reference'!$A$5:$A$25,0)),""))),"(FX missing)"))</f>
        <v/>
      </c>
      <c r="P405" s="42"/>
      <c r="Q405" s="42"/>
      <c r="R405" s="42"/>
      <c r="S405" s="42"/>
      <c r="T405" s="42"/>
      <c r="U405" s="42"/>
      <c r="V405" s="42"/>
    </row>
    <row r="406" customFormat="false" ht="15" hidden="false" customHeight="false" outlineLevel="0" collapsed="false">
      <c r="A406" s="42"/>
      <c r="B406" s="42"/>
      <c r="C406" s="45" t="str">
        <f aca="false">IF(B406="","",IFERROR(INDEX('Master Database'!$D$5:$D$600,MATCH(B406,'Master Database'!$A$5:$A$600,0)),"(row not found)"))</f>
        <v/>
      </c>
      <c r="D406" s="45" t="str">
        <f aca="false">IF(B406="","",IFERROR(INDEX('Master Database'!$B$5:$B$600,MATCH(B406,'Master Database'!$A$5:$A$600,0)),"(row not found)"))</f>
        <v/>
      </c>
      <c r="E406" s="42"/>
      <c r="F406" s="45" t="str">
        <f aca="false">IF(E406="","",IFERROR(INDEX(Vendor_Register!$B$5:$B$205,MATCH(E406,Vendor_Register!$A$5:$A$205,0)),"(not in register)"))</f>
        <v/>
      </c>
      <c r="G406" s="45" t="str">
        <f aca="false">IF(E406="","",IFERROR(INDEX(Vendor_Register!$E$5:$E$205,MATCH(E406,Vendor_Register!$A$5:$A$205,0)),"(not in register)"))</f>
        <v/>
      </c>
      <c r="H406" s="42"/>
      <c r="I406" s="42"/>
      <c r="J406" s="42"/>
      <c r="K406" s="42"/>
      <c r="L406" s="42"/>
      <c r="M406" s="46"/>
      <c r="N406" s="42"/>
      <c r="O406" s="47" t="str">
        <f aca="false">IF(NOT(ISNUMBER(M406)),"",IFERROR(IF(L406="EUR",M406,IF(L406="IRR",M406/INDEX('Assumptions &amp; FX Reference'!$C$5:$C$25,MATCH(H406,'Assumptions &amp; FX Reference'!$A$5:$A$25,0)),IF(L406="USD",M406*INDEX('Assumptions &amp; FX Reference'!$B$5:$B$25,MATCH(H406,'Assumptions &amp; FX Reference'!$A$5:$A$25,0))/INDEX('Assumptions &amp; FX Reference'!$C$5:$C$25,MATCH(H406,'Assumptions &amp; FX Reference'!$A$5:$A$25,0)),""))),"(FX missing)"))</f>
        <v/>
      </c>
      <c r="P406" s="42"/>
      <c r="Q406" s="42"/>
      <c r="R406" s="42"/>
      <c r="S406" s="42"/>
      <c r="T406" s="42"/>
      <c r="U406" s="42"/>
      <c r="V406" s="42"/>
    </row>
    <row r="407" customFormat="false" ht="15" hidden="false" customHeight="false" outlineLevel="0" collapsed="false">
      <c r="A407" s="42"/>
      <c r="B407" s="42"/>
      <c r="C407" s="45" t="str">
        <f aca="false">IF(B407="","",IFERROR(INDEX('Master Database'!$D$5:$D$600,MATCH(B407,'Master Database'!$A$5:$A$600,0)),"(row not found)"))</f>
        <v/>
      </c>
      <c r="D407" s="45" t="str">
        <f aca="false">IF(B407="","",IFERROR(INDEX('Master Database'!$B$5:$B$600,MATCH(B407,'Master Database'!$A$5:$A$600,0)),"(row not found)"))</f>
        <v/>
      </c>
      <c r="E407" s="42"/>
      <c r="F407" s="45" t="str">
        <f aca="false">IF(E407="","",IFERROR(INDEX(Vendor_Register!$B$5:$B$205,MATCH(E407,Vendor_Register!$A$5:$A$205,0)),"(not in register)"))</f>
        <v/>
      </c>
      <c r="G407" s="45" t="str">
        <f aca="false">IF(E407="","",IFERROR(INDEX(Vendor_Register!$E$5:$E$205,MATCH(E407,Vendor_Register!$A$5:$A$205,0)),"(not in register)"))</f>
        <v/>
      </c>
      <c r="H407" s="42"/>
      <c r="I407" s="42"/>
      <c r="J407" s="42"/>
      <c r="K407" s="42"/>
      <c r="L407" s="42"/>
      <c r="M407" s="46"/>
      <c r="N407" s="42"/>
      <c r="O407" s="47" t="str">
        <f aca="false">IF(NOT(ISNUMBER(M407)),"",IFERROR(IF(L407="EUR",M407,IF(L407="IRR",M407/INDEX('Assumptions &amp; FX Reference'!$C$5:$C$25,MATCH(H407,'Assumptions &amp; FX Reference'!$A$5:$A$25,0)),IF(L407="USD",M407*INDEX('Assumptions &amp; FX Reference'!$B$5:$B$25,MATCH(H407,'Assumptions &amp; FX Reference'!$A$5:$A$25,0))/INDEX('Assumptions &amp; FX Reference'!$C$5:$C$25,MATCH(H407,'Assumptions &amp; FX Reference'!$A$5:$A$25,0)),""))),"(FX missing)"))</f>
        <v/>
      </c>
      <c r="P407" s="42"/>
      <c r="Q407" s="42"/>
      <c r="R407" s="42"/>
      <c r="S407" s="42"/>
      <c r="T407" s="42"/>
      <c r="U407" s="42"/>
      <c r="V407" s="42"/>
    </row>
    <row r="408" customFormat="false" ht="15" hidden="false" customHeight="false" outlineLevel="0" collapsed="false">
      <c r="A408" s="42"/>
      <c r="B408" s="42"/>
      <c r="C408" s="45" t="str">
        <f aca="false">IF(B408="","",IFERROR(INDEX('Master Database'!$D$5:$D$600,MATCH(B408,'Master Database'!$A$5:$A$600,0)),"(row not found)"))</f>
        <v/>
      </c>
      <c r="D408" s="45" t="str">
        <f aca="false">IF(B408="","",IFERROR(INDEX('Master Database'!$B$5:$B$600,MATCH(B408,'Master Database'!$A$5:$A$600,0)),"(row not found)"))</f>
        <v/>
      </c>
      <c r="E408" s="42"/>
      <c r="F408" s="45" t="str">
        <f aca="false">IF(E408="","",IFERROR(INDEX(Vendor_Register!$B$5:$B$205,MATCH(E408,Vendor_Register!$A$5:$A$205,0)),"(not in register)"))</f>
        <v/>
      </c>
      <c r="G408" s="45" t="str">
        <f aca="false">IF(E408="","",IFERROR(INDEX(Vendor_Register!$E$5:$E$205,MATCH(E408,Vendor_Register!$A$5:$A$205,0)),"(not in register)"))</f>
        <v/>
      </c>
      <c r="H408" s="42"/>
      <c r="I408" s="42"/>
      <c r="J408" s="42"/>
      <c r="K408" s="42"/>
      <c r="L408" s="42"/>
      <c r="M408" s="46"/>
      <c r="N408" s="42"/>
      <c r="O408" s="47" t="str">
        <f aca="false">IF(NOT(ISNUMBER(M408)),"",IFERROR(IF(L408="EUR",M408,IF(L408="IRR",M408/INDEX('Assumptions &amp; FX Reference'!$C$5:$C$25,MATCH(H408,'Assumptions &amp; FX Reference'!$A$5:$A$25,0)),IF(L408="USD",M408*INDEX('Assumptions &amp; FX Reference'!$B$5:$B$25,MATCH(H408,'Assumptions &amp; FX Reference'!$A$5:$A$25,0))/INDEX('Assumptions &amp; FX Reference'!$C$5:$C$25,MATCH(H408,'Assumptions &amp; FX Reference'!$A$5:$A$25,0)),""))),"(FX missing)"))</f>
        <v/>
      </c>
      <c r="P408" s="42"/>
      <c r="Q408" s="42"/>
      <c r="R408" s="42"/>
      <c r="S408" s="42"/>
      <c r="T408" s="42"/>
      <c r="U408" s="42"/>
      <c r="V408" s="42"/>
    </row>
    <row r="409" customFormat="false" ht="15" hidden="false" customHeight="false" outlineLevel="0" collapsed="false">
      <c r="A409" s="42"/>
      <c r="B409" s="42"/>
      <c r="C409" s="45" t="str">
        <f aca="false">IF(B409="","",IFERROR(INDEX('Master Database'!$D$5:$D$600,MATCH(B409,'Master Database'!$A$5:$A$600,0)),"(row not found)"))</f>
        <v/>
      </c>
      <c r="D409" s="45" t="str">
        <f aca="false">IF(B409="","",IFERROR(INDEX('Master Database'!$B$5:$B$600,MATCH(B409,'Master Database'!$A$5:$A$600,0)),"(row not found)"))</f>
        <v/>
      </c>
      <c r="E409" s="42"/>
      <c r="F409" s="45" t="str">
        <f aca="false">IF(E409="","",IFERROR(INDEX(Vendor_Register!$B$5:$B$205,MATCH(E409,Vendor_Register!$A$5:$A$205,0)),"(not in register)"))</f>
        <v/>
      </c>
      <c r="G409" s="45" t="str">
        <f aca="false">IF(E409="","",IFERROR(INDEX(Vendor_Register!$E$5:$E$205,MATCH(E409,Vendor_Register!$A$5:$A$205,0)),"(not in register)"))</f>
        <v/>
      </c>
      <c r="H409" s="42"/>
      <c r="I409" s="42"/>
      <c r="J409" s="42"/>
      <c r="K409" s="42"/>
      <c r="L409" s="42"/>
      <c r="M409" s="46"/>
      <c r="N409" s="42"/>
      <c r="O409" s="47" t="str">
        <f aca="false">IF(NOT(ISNUMBER(M409)),"",IFERROR(IF(L409="EUR",M409,IF(L409="IRR",M409/INDEX('Assumptions &amp; FX Reference'!$C$5:$C$25,MATCH(H409,'Assumptions &amp; FX Reference'!$A$5:$A$25,0)),IF(L409="USD",M409*INDEX('Assumptions &amp; FX Reference'!$B$5:$B$25,MATCH(H409,'Assumptions &amp; FX Reference'!$A$5:$A$25,0))/INDEX('Assumptions &amp; FX Reference'!$C$5:$C$25,MATCH(H409,'Assumptions &amp; FX Reference'!$A$5:$A$25,0)),""))),"(FX missing)"))</f>
        <v/>
      </c>
      <c r="P409" s="42"/>
      <c r="Q409" s="42"/>
      <c r="R409" s="42"/>
      <c r="S409" s="42"/>
      <c r="T409" s="42"/>
      <c r="U409" s="42"/>
      <c r="V409" s="42"/>
    </row>
    <row r="410" customFormat="false" ht="15" hidden="false" customHeight="false" outlineLevel="0" collapsed="false">
      <c r="A410" s="42"/>
      <c r="B410" s="42"/>
      <c r="C410" s="45" t="str">
        <f aca="false">IF(B410="","",IFERROR(INDEX('Master Database'!$D$5:$D$600,MATCH(B410,'Master Database'!$A$5:$A$600,0)),"(row not found)"))</f>
        <v/>
      </c>
      <c r="D410" s="45" t="str">
        <f aca="false">IF(B410="","",IFERROR(INDEX('Master Database'!$B$5:$B$600,MATCH(B410,'Master Database'!$A$5:$A$600,0)),"(row not found)"))</f>
        <v/>
      </c>
      <c r="E410" s="42"/>
      <c r="F410" s="45" t="str">
        <f aca="false">IF(E410="","",IFERROR(INDEX(Vendor_Register!$B$5:$B$205,MATCH(E410,Vendor_Register!$A$5:$A$205,0)),"(not in register)"))</f>
        <v/>
      </c>
      <c r="G410" s="45" t="str">
        <f aca="false">IF(E410="","",IFERROR(INDEX(Vendor_Register!$E$5:$E$205,MATCH(E410,Vendor_Register!$A$5:$A$205,0)),"(not in register)"))</f>
        <v/>
      </c>
      <c r="H410" s="42"/>
      <c r="I410" s="42"/>
      <c r="J410" s="42"/>
      <c r="K410" s="42"/>
      <c r="L410" s="42"/>
      <c r="M410" s="46"/>
      <c r="N410" s="42"/>
      <c r="O410" s="47" t="str">
        <f aca="false">IF(NOT(ISNUMBER(M410)),"",IFERROR(IF(L410="EUR",M410,IF(L410="IRR",M410/INDEX('Assumptions &amp; FX Reference'!$C$5:$C$25,MATCH(H410,'Assumptions &amp; FX Reference'!$A$5:$A$25,0)),IF(L410="USD",M410*INDEX('Assumptions &amp; FX Reference'!$B$5:$B$25,MATCH(H410,'Assumptions &amp; FX Reference'!$A$5:$A$25,0))/INDEX('Assumptions &amp; FX Reference'!$C$5:$C$25,MATCH(H410,'Assumptions &amp; FX Reference'!$A$5:$A$25,0)),""))),"(FX missing)"))</f>
        <v/>
      </c>
      <c r="P410" s="42"/>
      <c r="Q410" s="42"/>
      <c r="R410" s="42"/>
      <c r="S410" s="42"/>
      <c r="T410" s="42"/>
      <c r="U410" s="42"/>
      <c r="V410" s="42"/>
    </row>
    <row r="411" customFormat="false" ht="15" hidden="false" customHeight="false" outlineLevel="0" collapsed="false">
      <c r="A411" s="42"/>
      <c r="B411" s="42"/>
      <c r="C411" s="45" t="str">
        <f aca="false">IF(B411="","",IFERROR(INDEX('Master Database'!$D$5:$D$600,MATCH(B411,'Master Database'!$A$5:$A$600,0)),"(row not found)"))</f>
        <v/>
      </c>
      <c r="D411" s="45" t="str">
        <f aca="false">IF(B411="","",IFERROR(INDEX('Master Database'!$B$5:$B$600,MATCH(B411,'Master Database'!$A$5:$A$600,0)),"(row not found)"))</f>
        <v/>
      </c>
      <c r="E411" s="42"/>
      <c r="F411" s="45" t="str">
        <f aca="false">IF(E411="","",IFERROR(INDEX(Vendor_Register!$B$5:$B$205,MATCH(E411,Vendor_Register!$A$5:$A$205,0)),"(not in register)"))</f>
        <v/>
      </c>
      <c r="G411" s="45" t="str">
        <f aca="false">IF(E411="","",IFERROR(INDEX(Vendor_Register!$E$5:$E$205,MATCH(E411,Vendor_Register!$A$5:$A$205,0)),"(not in register)"))</f>
        <v/>
      </c>
      <c r="H411" s="42"/>
      <c r="I411" s="42"/>
      <c r="J411" s="42"/>
      <c r="K411" s="42"/>
      <c r="L411" s="42"/>
      <c r="M411" s="46"/>
      <c r="N411" s="42"/>
      <c r="O411" s="47" t="str">
        <f aca="false">IF(NOT(ISNUMBER(M411)),"",IFERROR(IF(L411="EUR",M411,IF(L411="IRR",M411/INDEX('Assumptions &amp; FX Reference'!$C$5:$C$25,MATCH(H411,'Assumptions &amp; FX Reference'!$A$5:$A$25,0)),IF(L411="USD",M411*INDEX('Assumptions &amp; FX Reference'!$B$5:$B$25,MATCH(H411,'Assumptions &amp; FX Reference'!$A$5:$A$25,0))/INDEX('Assumptions &amp; FX Reference'!$C$5:$C$25,MATCH(H411,'Assumptions &amp; FX Reference'!$A$5:$A$25,0)),""))),"(FX missing)"))</f>
        <v/>
      </c>
      <c r="P411" s="42"/>
      <c r="Q411" s="42"/>
      <c r="R411" s="42"/>
      <c r="S411" s="42"/>
      <c r="T411" s="42"/>
      <c r="U411" s="42"/>
      <c r="V411" s="42"/>
    </row>
    <row r="412" customFormat="false" ht="15" hidden="false" customHeight="false" outlineLevel="0" collapsed="false">
      <c r="A412" s="42"/>
      <c r="B412" s="42"/>
      <c r="C412" s="45" t="str">
        <f aca="false">IF(B412="","",IFERROR(INDEX('Master Database'!$D$5:$D$600,MATCH(B412,'Master Database'!$A$5:$A$600,0)),"(row not found)"))</f>
        <v/>
      </c>
      <c r="D412" s="45" t="str">
        <f aca="false">IF(B412="","",IFERROR(INDEX('Master Database'!$B$5:$B$600,MATCH(B412,'Master Database'!$A$5:$A$600,0)),"(row not found)"))</f>
        <v/>
      </c>
      <c r="E412" s="42"/>
      <c r="F412" s="45" t="str">
        <f aca="false">IF(E412="","",IFERROR(INDEX(Vendor_Register!$B$5:$B$205,MATCH(E412,Vendor_Register!$A$5:$A$205,0)),"(not in register)"))</f>
        <v/>
      </c>
      <c r="G412" s="45" t="str">
        <f aca="false">IF(E412="","",IFERROR(INDEX(Vendor_Register!$E$5:$E$205,MATCH(E412,Vendor_Register!$A$5:$A$205,0)),"(not in register)"))</f>
        <v/>
      </c>
      <c r="H412" s="42"/>
      <c r="I412" s="42"/>
      <c r="J412" s="42"/>
      <c r="K412" s="42"/>
      <c r="L412" s="42"/>
      <c r="M412" s="46"/>
      <c r="N412" s="42"/>
      <c r="O412" s="47" t="str">
        <f aca="false">IF(NOT(ISNUMBER(M412)),"",IFERROR(IF(L412="EUR",M412,IF(L412="IRR",M412/INDEX('Assumptions &amp; FX Reference'!$C$5:$C$25,MATCH(H412,'Assumptions &amp; FX Reference'!$A$5:$A$25,0)),IF(L412="USD",M412*INDEX('Assumptions &amp; FX Reference'!$B$5:$B$25,MATCH(H412,'Assumptions &amp; FX Reference'!$A$5:$A$25,0))/INDEX('Assumptions &amp; FX Reference'!$C$5:$C$25,MATCH(H412,'Assumptions &amp; FX Reference'!$A$5:$A$25,0)),""))),"(FX missing)"))</f>
        <v/>
      </c>
      <c r="P412" s="42"/>
      <c r="Q412" s="42"/>
      <c r="R412" s="42"/>
      <c r="S412" s="42"/>
      <c r="T412" s="42"/>
      <c r="U412" s="42"/>
      <c r="V412" s="42"/>
    </row>
    <row r="413" customFormat="false" ht="15" hidden="false" customHeight="false" outlineLevel="0" collapsed="false">
      <c r="A413" s="42"/>
      <c r="B413" s="42"/>
      <c r="C413" s="45" t="str">
        <f aca="false">IF(B413="","",IFERROR(INDEX('Master Database'!$D$5:$D$600,MATCH(B413,'Master Database'!$A$5:$A$600,0)),"(row not found)"))</f>
        <v/>
      </c>
      <c r="D413" s="45" t="str">
        <f aca="false">IF(B413="","",IFERROR(INDEX('Master Database'!$B$5:$B$600,MATCH(B413,'Master Database'!$A$5:$A$600,0)),"(row not found)"))</f>
        <v/>
      </c>
      <c r="E413" s="42"/>
      <c r="F413" s="45" t="str">
        <f aca="false">IF(E413="","",IFERROR(INDEX(Vendor_Register!$B$5:$B$205,MATCH(E413,Vendor_Register!$A$5:$A$205,0)),"(not in register)"))</f>
        <v/>
      </c>
      <c r="G413" s="45" t="str">
        <f aca="false">IF(E413="","",IFERROR(INDEX(Vendor_Register!$E$5:$E$205,MATCH(E413,Vendor_Register!$A$5:$A$205,0)),"(not in register)"))</f>
        <v/>
      </c>
      <c r="H413" s="42"/>
      <c r="I413" s="42"/>
      <c r="J413" s="42"/>
      <c r="K413" s="42"/>
      <c r="L413" s="42"/>
      <c r="M413" s="46"/>
      <c r="N413" s="42"/>
      <c r="O413" s="47" t="str">
        <f aca="false">IF(NOT(ISNUMBER(M413)),"",IFERROR(IF(L413="EUR",M413,IF(L413="IRR",M413/INDEX('Assumptions &amp; FX Reference'!$C$5:$C$25,MATCH(H413,'Assumptions &amp; FX Reference'!$A$5:$A$25,0)),IF(L413="USD",M413*INDEX('Assumptions &amp; FX Reference'!$B$5:$B$25,MATCH(H413,'Assumptions &amp; FX Reference'!$A$5:$A$25,0))/INDEX('Assumptions &amp; FX Reference'!$C$5:$C$25,MATCH(H413,'Assumptions &amp; FX Reference'!$A$5:$A$25,0)),""))),"(FX missing)"))</f>
        <v/>
      </c>
      <c r="P413" s="42"/>
      <c r="Q413" s="42"/>
      <c r="R413" s="42"/>
      <c r="S413" s="42"/>
      <c r="T413" s="42"/>
      <c r="U413" s="42"/>
      <c r="V413" s="42"/>
    </row>
    <row r="414" customFormat="false" ht="15" hidden="false" customHeight="false" outlineLevel="0" collapsed="false">
      <c r="A414" s="42"/>
      <c r="B414" s="42"/>
      <c r="C414" s="45" t="str">
        <f aca="false">IF(B414="","",IFERROR(INDEX('Master Database'!$D$5:$D$600,MATCH(B414,'Master Database'!$A$5:$A$600,0)),"(row not found)"))</f>
        <v/>
      </c>
      <c r="D414" s="45" t="str">
        <f aca="false">IF(B414="","",IFERROR(INDEX('Master Database'!$B$5:$B$600,MATCH(B414,'Master Database'!$A$5:$A$600,0)),"(row not found)"))</f>
        <v/>
      </c>
      <c r="E414" s="42"/>
      <c r="F414" s="45" t="str">
        <f aca="false">IF(E414="","",IFERROR(INDEX(Vendor_Register!$B$5:$B$205,MATCH(E414,Vendor_Register!$A$5:$A$205,0)),"(not in register)"))</f>
        <v/>
      </c>
      <c r="G414" s="45" t="str">
        <f aca="false">IF(E414="","",IFERROR(INDEX(Vendor_Register!$E$5:$E$205,MATCH(E414,Vendor_Register!$A$5:$A$205,0)),"(not in register)"))</f>
        <v/>
      </c>
      <c r="H414" s="42"/>
      <c r="I414" s="42"/>
      <c r="J414" s="42"/>
      <c r="K414" s="42"/>
      <c r="L414" s="42"/>
      <c r="M414" s="46"/>
      <c r="N414" s="42"/>
      <c r="O414" s="47" t="str">
        <f aca="false">IF(NOT(ISNUMBER(M414)),"",IFERROR(IF(L414="EUR",M414,IF(L414="IRR",M414/INDEX('Assumptions &amp; FX Reference'!$C$5:$C$25,MATCH(H414,'Assumptions &amp; FX Reference'!$A$5:$A$25,0)),IF(L414="USD",M414*INDEX('Assumptions &amp; FX Reference'!$B$5:$B$25,MATCH(H414,'Assumptions &amp; FX Reference'!$A$5:$A$25,0))/INDEX('Assumptions &amp; FX Reference'!$C$5:$C$25,MATCH(H414,'Assumptions &amp; FX Reference'!$A$5:$A$25,0)),""))),"(FX missing)"))</f>
        <v/>
      </c>
      <c r="P414" s="42"/>
      <c r="Q414" s="42"/>
      <c r="R414" s="42"/>
      <c r="S414" s="42"/>
      <c r="T414" s="42"/>
      <c r="U414" s="42"/>
      <c r="V414" s="42"/>
    </row>
    <row r="415" customFormat="false" ht="15" hidden="false" customHeight="false" outlineLevel="0" collapsed="false">
      <c r="A415" s="42"/>
      <c r="B415" s="42"/>
      <c r="C415" s="45" t="str">
        <f aca="false">IF(B415="","",IFERROR(INDEX('Master Database'!$D$5:$D$600,MATCH(B415,'Master Database'!$A$5:$A$600,0)),"(row not found)"))</f>
        <v/>
      </c>
      <c r="D415" s="45" t="str">
        <f aca="false">IF(B415="","",IFERROR(INDEX('Master Database'!$B$5:$B$600,MATCH(B415,'Master Database'!$A$5:$A$600,0)),"(row not found)"))</f>
        <v/>
      </c>
      <c r="E415" s="42"/>
      <c r="F415" s="45" t="str">
        <f aca="false">IF(E415="","",IFERROR(INDEX(Vendor_Register!$B$5:$B$205,MATCH(E415,Vendor_Register!$A$5:$A$205,0)),"(not in register)"))</f>
        <v/>
      </c>
      <c r="G415" s="45" t="str">
        <f aca="false">IF(E415="","",IFERROR(INDEX(Vendor_Register!$E$5:$E$205,MATCH(E415,Vendor_Register!$A$5:$A$205,0)),"(not in register)"))</f>
        <v/>
      </c>
      <c r="H415" s="42"/>
      <c r="I415" s="42"/>
      <c r="J415" s="42"/>
      <c r="K415" s="42"/>
      <c r="L415" s="42"/>
      <c r="M415" s="46"/>
      <c r="N415" s="42"/>
      <c r="O415" s="47" t="str">
        <f aca="false">IF(NOT(ISNUMBER(M415)),"",IFERROR(IF(L415="EUR",M415,IF(L415="IRR",M415/INDEX('Assumptions &amp; FX Reference'!$C$5:$C$25,MATCH(H415,'Assumptions &amp; FX Reference'!$A$5:$A$25,0)),IF(L415="USD",M415*INDEX('Assumptions &amp; FX Reference'!$B$5:$B$25,MATCH(H415,'Assumptions &amp; FX Reference'!$A$5:$A$25,0))/INDEX('Assumptions &amp; FX Reference'!$C$5:$C$25,MATCH(H415,'Assumptions &amp; FX Reference'!$A$5:$A$25,0)),""))),"(FX missing)"))</f>
        <v/>
      </c>
      <c r="P415" s="42"/>
      <c r="Q415" s="42"/>
      <c r="R415" s="42"/>
      <c r="S415" s="42"/>
      <c r="T415" s="42"/>
      <c r="U415" s="42"/>
      <c r="V415" s="42"/>
    </row>
    <row r="416" customFormat="false" ht="15" hidden="false" customHeight="false" outlineLevel="0" collapsed="false">
      <c r="A416" s="42"/>
      <c r="B416" s="42"/>
      <c r="C416" s="45" t="str">
        <f aca="false">IF(B416="","",IFERROR(INDEX('Master Database'!$D$5:$D$600,MATCH(B416,'Master Database'!$A$5:$A$600,0)),"(row not found)"))</f>
        <v/>
      </c>
      <c r="D416" s="45" t="str">
        <f aca="false">IF(B416="","",IFERROR(INDEX('Master Database'!$B$5:$B$600,MATCH(B416,'Master Database'!$A$5:$A$600,0)),"(row not found)"))</f>
        <v/>
      </c>
      <c r="E416" s="42"/>
      <c r="F416" s="45" t="str">
        <f aca="false">IF(E416="","",IFERROR(INDEX(Vendor_Register!$B$5:$B$205,MATCH(E416,Vendor_Register!$A$5:$A$205,0)),"(not in register)"))</f>
        <v/>
      </c>
      <c r="G416" s="45" t="str">
        <f aca="false">IF(E416="","",IFERROR(INDEX(Vendor_Register!$E$5:$E$205,MATCH(E416,Vendor_Register!$A$5:$A$205,0)),"(not in register)"))</f>
        <v/>
      </c>
      <c r="H416" s="42"/>
      <c r="I416" s="42"/>
      <c r="J416" s="42"/>
      <c r="K416" s="42"/>
      <c r="L416" s="42"/>
      <c r="M416" s="46"/>
      <c r="N416" s="42"/>
      <c r="O416" s="47" t="str">
        <f aca="false">IF(NOT(ISNUMBER(M416)),"",IFERROR(IF(L416="EUR",M416,IF(L416="IRR",M416/INDEX('Assumptions &amp; FX Reference'!$C$5:$C$25,MATCH(H416,'Assumptions &amp; FX Reference'!$A$5:$A$25,0)),IF(L416="USD",M416*INDEX('Assumptions &amp; FX Reference'!$B$5:$B$25,MATCH(H416,'Assumptions &amp; FX Reference'!$A$5:$A$25,0))/INDEX('Assumptions &amp; FX Reference'!$C$5:$C$25,MATCH(H416,'Assumptions &amp; FX Reference'!$A$5:$A$25,0)),""))),"(FX missing)"))</f>
        <v/>
      </c>
      <c r="P416" s="42"/>
      <c r="Q416" s="42"/>
      <c r="R416" s="42"/>
      <c r="S416" s="42"/>
      <c r="T416" s="42"/>
      <c r="U416" s="42"/>
      <c r="V416" s="42"/>
    </row>
    <row r="417" customFormat="false" ht="15" hidden="false" customHeight="false" outlineLevel="0" collapsed="false">
      <c r="A417" s="42"/>
      <c r="B417" s="42"/>
      <c r="C417" s="45" t="str">
        <f aca="false">IF(B417="","",IFERROR(INDEX('Master Database'!$D$5:$D$600,MATCH(B417,'Master Database'!$A$5:$A$600,0)),"(row not found)"))</f>
        <v/>
      </c>
      <c r="D417" s="45" t="str">
        <f aca="false">IF(B417="","",IFERROR(INDEX('Master Database'!$B$5:$B$600,MATCH(B417,'Master Database'!$A$5:$A$600,0)),"(row not found)"))</f>
        <v/>
      </c>
      <c r="E417" s="42"/>
      <c r="F417" s="45" t="str">
        <f aca="false">IF(E417="","",IFERROR(INDEX(Vendor_Register!$B$5:$B$205,MATCH(E417,Vendor_Register!$A$5:$A$205,0)),"(not in register)"))</f>
        <v/>
      </c>
      <c r="G417" s="45" t="str">
        <f aca="false">IF(E417="","",IFERROR(INDEX(Vendor_Register!$E$5:$E$205,MATCH(E417,Vendor_Register!$A$5:$A$205,0)),"(not in register)"))</f>
        <v/>
      </c>
      <c r="H417" s="42"/>
      <c r="I417" s="42"/>
      <c r="J417" s="42"/>
      <c r="K417" s="42"/>
      <c r="L417" s="42"/>
      <c r="M417" s="46"/>
      <c r="N417" s="42"/>
      <c r="O417" s="47" t="str">
        <f aca="false">IF(NOT(ISNUMBER(M417)),"",IFERROR(IF(L417="EUR",M417,IF(L417="IRR",M417/INDEX('Assumptions &amp; FX Reference'!$C$5:$C$25,MATCH(H417,'Assumptions &amp; FX Reference'!$A$5:$A$25,0)),IF(L417="USD",M417*INDEX('Assumptions &amp; FX Reference'!$B$5:$B$25,MATCH(H417,'Assumptions &amp; FX Reference'!$A$5:$A$25,0))/INDEX('Assumptions &amp; FX Reference'!$C$5:$C$25,MATCH(H417,'Assumptions &amp; FX Reference'!$A$5:$A$25,0)),""))),"(FX missing)"))</f>
        <v/>
      </c>
      <c r="P417" s="42"/>
      <c r="Q417" s="42"/>
      <c r="R417" s="42"/>
      <c r="S417" s="42"/>
      <c r="T417" s="42"/>
      <c r="U417" s="42"/>
      <c r="V417" s="42"/>
    </row>
    <row r="418" customFormat="false" ht="15" hidden="false" customHeight="false" outlineLevel="0" collapsed="false">
      <c r="A418" s="42"/>
      <c r="B418" s="42"/>
      <c r="C418" s="45" t="str">
        <f aca="false">IF(B418="","",IFERROR(INDEX('Master Database'!$D$5:$D$600,MATCH(B418,'Master Database'!$A$5:$A$600,0)),"(row not found)"))</f>
        <v/>
      </c>
      <c r="D418" s="45" t="str">
        <f aca="false">IF(B418="","",IFERROR(INDEX('Master Database'!$B$5:$B$600,MATCH(B418,'Master Database'!$A$5:$A$600,0)),"(row not found)"))</f>
        <v/>
      </c>
      <c r="E418" s="42"/>
      <c r="F418" s="45" t="str">
        <f aca="false">IF(E418="","",IFERROR(INDEX(Vendor_Register!$B$5:$B$205,MATCH(E418,Vendor_Register!$A$5:$A$205,0)),"(not in register)"))</f>
        <v/>
      </c>
      <c r="G418" s="45" t="str">
        <f aca="false">IF(E418="","",IFERROR(INDEX(Vendor_Register!$E$5:$E$205,MATCH(E418,Vendor_Register!$A$5:$A$205,0)),"(not in register)"))</f>
        <v/>
      </c>
      <c r="H418" s="42"/>
      <c r="I418" s="42"/>
      <c r="J418" s="42"/>
      <c r="K418" s="42"/>
      <c r="L418" s="42"/>
      <c r="M418" s="46"/>
      <c r="N418" s="42"/>
      <c r="O418" s="47" t="str">
        <f aca="false">IF(NOT(ISNUMBER(M418)),"",IFERROR(IF(L418="EUR",M418,IF(L418="IRR",M418/INDEX('Assumptions &amp; FX Reference'!$C$5:$C$25,MATCH(H418,'Assumptions &amp; FX Reference'!$A$5:$A$25,0)),IF(L418="USD",M418*INDEX('Assumptions &amp; FX Reference'!$B$5:$B$25,MATCH(H418,'Assumptions &amp; FX Reference'!$A$5:$A$25,0))/INDEX('Assumptions &amp; FX Reference'!$C$5:$C$25,MATCH(H418,'Assumptions &amp; FX Reference'!$A$5:$A$25,0)),""))),"(FX missing)"))</f>
        <v/>
      </c>
      <c r="P418" s="42"/>
      <c r="Q418" s="42"/>
      <c r="R418" s="42"/>
      <c r="S418" s="42"/>
      <c r="T418" s="42"/>
      <c r="U418" s="42"/>
      <c r="V418" s="42"/>
    </row>
    <row r="419" customFormat="false" ht="15" hidden="false" customHeight="false" outlineLevel="0" collapsed="false">
      <c r="A419" s="42"/>
      <c r="B419" s="42"/>
      <c r="C419" s="45" t="str">
        <f aca="false">IF(B419="","",IFERROR(INDEX('Master Database'!$D$5:$D$600,MATCH(B419,'Master Database'!$A$5:$A$600,0)),"(row not found)"))</f>
        <v/>
      </c>
      <c r="D419" s="45" t="str">
        <f aca="false">IF(B419="","",IFERROR(INDEX('Master Database'!$B$5:$B$600,MATCH(B419,'Master Database'!$A$5:$A$600,0)),"(row not found)"))</f>
        <v/>
      </c>
      <c r="E419" s="42"/>
      <c r="F419" s="45" t="str">
        <f aca="false">IF(E419="","",IFERROR(INDEX(Vendor_Register!$B$5:$B$205,MATCH(E419,Vendor_Register!$A$5:$A$205,0)),"(not in register)"))</f>
        <v/>
      </c>
      <c r="G419" s="45" t="str">
        <f aca="false">IF(E419="","",IFERROR(INDEX(Vendor_Register!$E$5:$E$205,MATCH(E419,Vendor_Register!$A$5:$A$205,0)),"(not in register)"))</f>
        <v/>
      </c>
      <c r="H419" s="42"/>
      <c r="I419" s="42"/>
      <c r="J419" s="42"/>
      <c r="K419" s="42"/>
      <c r="L419" s="42"/>
      <c r="M419" s="46"/>
      <c r="N419" s="42"/>
      <c r="O419" s="47" t="str">
        <f aca="false">IF(NOT(ISNUMBER(M419)),"",IFERROR(IF(L419="EUR",M419,IF(L419="IRR",M419/INDEX('Assumptions &amp; FX Reference'!$C$5:$C$25,MATCH(H419,'Assumptions &amp; FX Reference'!$A$5:$A$25,0)),IF(L419="USD",M419*INDEX('Assumptions &amp; FX Reference'!$B$5:$B$25,MATCH(H419,'Assumptions &amp; FX Reference'!$A$5:$A$25,0))/INDEX('Assumptions &amp; FX Reference'!$C$5:$C$25,MATCH(H419,'Assumptions &amp; FX Reference'!$A$5:$A$25,0)),""))),"(FX missing)"))</f>
        <v/>
      </c>
      <c r="P419" s="42"/>
      <c r="Q419" s="42"/>
      <c r="R419" s="42"/>
      <c r="S419" s="42"/>
      <c r="T419" s="42"/>
      <c r="U419" s="42"/>
      <c r="V419" s="42"/>
    </row>
    <row r="420" customFormat="false" ht="15" hidden="false" customHeight="false" outlineLevel="0" collapsed="false">
      <c r="A420" s="42"/>
      <c r="B420" s="42"/>
      <c r="C420" s="45" t="str">
        <f aca="false">IF(B420="","",IFERROR(INDEX('Master Database'!$D$5:$D$600,MATCH(B420,'Master Database'!$A$5:$A$600,0)),"(row not found)"))</f>
        <v/>
      </c>
      <c r="D420" s="45" t="str">
        <f aca="false">IF(B420="","",IFERROR(INDEX('Master Database'!$B$5:$B$600,MATCH(B420,'Master Database'!$A$5:$A$600,0)),"(row not found)"))</f>
        <v/>
      </c>
      <c r="E420" s="42"/>
      <c r="F420" s="45" t="str">
        <f aca="false">IF(E420="","",IFERROR(INDEX(Vendor_Register!$B$5:$B$205,MATCH(E420,Vendor_Register!$A$5:$A$205,0)),"(not in register)"))</f>
        <v/>
      </c>
      <c r="G420" s="45" t="str">
        <f aca="false">IF(E420="","",IFERROR(INDEX(Vendor_Register!$E$5:$E$205,MATCH(E420,Vendor_Register!$A$5:$A$205,0)),"(not in register)"))</f>
        <v/>
      </c>
      <c r="H420" s="42"/>
      <c r="I420" s="42"/>
      <c r="J420" s="42"/>
      <c r="K420" s="42"/>
      <c r="L420" s="42"/>
      <c r="M420" s="46"/>
      <c r="N420" s="42"/>
      <c r="O420" s="47" t="str">
        <f aca="false">IF(NOT(ISNUMBER(M420)),"",IFERROR(IF(L420="EUR",M420,IF(L420="IRR",M420/INDEX('Assumptions &amp; FX Reference'!$C$5:$C$25,MATCH(H420,'Assumptions &amp; FX Reference'!$A$5:$A$25,0)),IF(L420="USD",M420*INDEX('Assumptions &amp; FX Reference'!$B$5:$B$25,MATCH(H420,'Assumptions &amp; FX Reference'!$A$5:$A$25,0))/INDEX('Assumptions &amp; FX Reference'!$C$5:$C$25,MATCH(H420,'Assumptions &amp; FX Reference'!$A$5:$A$25,0)),""))),"(FX missing)"))</f>
        <v/>
      </c>
      <c r="P420" s="42"/>
      <c r="Q420" s="42"/>
      <c r="R420" s="42"/>
      <c r="S420" s="42"/>
      <c r="T420" s="42"/>
      <c r="U420" s="42"/>
      <c r="V420" s="42"/>
    </row>
    <row r="421" customFormat="false" ht="15" hidden="false" customHeight="false" outlineLevel="0" collapsed="false">
      <c r="A421" s="42"/>
      <c r="B421" s="42"/>
      <c r="C421" s="45" t="str">
        <f aca="false">IF(B421="","",IFERROR(INDEX('Master Database'!$D$5:$D$600,MATCH(B421,'Master Database'!$A$5:$A$600,0)),"(row not found)"))</f>
        <v/>
      </c>
      <c r="D421" s="45" t="str">
        <f aca="false">IF(B421="","",IFERROR(INDEX('Master Database'!$B$5:$B$600,MATCH(B421,'Master Database'!$A$5:$A$600,0)),"(row not found)"))</f>
        <v/>
      </c>
      <c r="E421" s="42"/>
      <c r="F421" s="45" t="str">
        <f aca="false">IF(E421="","",IFERROR(INDEX(Vendor_Register!$B$5:$B$205,MATCH(E421,Vendor_Register!$A$5:$A$205,0)),"(not in register)"))</f>
        <v/>
      </c>
      <c r="G421" s="45" t="str">
        <f aca="false">IF(E421="","",IFERROR(INDEX(Vendor_Register!$E$5:$E$205,MATCH(E421,Vendor_Register!$A$5:$A$205,0)),"(not in register)"))</f>
        <v/>
      </c>
      <c r="H421" s="42"/>
      <c r="I421" s="42"/>
      <c r="J421" s="42"/>
      <c r="K421" s="42"/>
      <c r="L421" s="42"/>
      <c r="M421" s="46"/>
      <c r="N421" s="42"/>
      <c r="O421" s="47" t="str">
        <f aca="false">IF(NOT(ISNUMBER(M421)),"",IFERROR(IF(L421="EUR",M421,IF(L421="IRR",M421/INDEX('Assumptions &amp; FX Reference'!$C$5:$C$25,MATCH(H421,'Assumptions &amp; FX Reference'!$A$5:$A$25,0)),IF(L421="USD",M421*INDEX('Assumptions &amp; FX Reference'!$B$5:$B$25,MATCH(H421,'Assumptions &amp; FX Reference'!$A$5:$A$25,0))/INDEX('Assumptions &amp; FX Reference'!$C$5:$C$25,MATCH(H421,'Assumptions &amp; FX Reference'!$A$5:$A$25,0)),""))),"(FX missing)"))</f>
        <v/>
      </c>
      <c r="P421" s="42"/>
      <c r="Q421" s="42"/>
      <c r="R421" s="42"/>
      <c r="S421" s="42"/>
      <c r="T421" s="42"/>
      <c r="U421" s="42"/>
      <c r="V421" s="42"/>
    </row>
    <row r="422" customFormat="false" ht="15" hidden="false" customHeight="false" outlineLevel="0" collapsed="false">
      <c r="A422" s="42"/>
      <c r="B422" s="42"/>
      <c r="C422" s="45" t="str">
        <f aca="false">IF(B422="","",IFERROR(INDEX('Master Database'!$D$5:$D$600,MATCH(B422,'Master Database'!$A$5:$A$600,0)),"(row not found)"))</f>
        <v/>
      </c>
      <c r="D422" s="45" t="str">
        <f aca="false">IF(B422="","",IFERROR(INDEX('Master Database'!$B$5:$B$600,MATCH(B422,'Master Database'!$A$5:$A$600,0)),"(row not found)"))</f>
        <v/>
      </c>
      <c r="E422" s="42"/>
      <c r="F422" s="45" t="str">
        <f aca="false">IF(E422="","",IFERROR(INDEX(Vendor_Register!$B$5:$B$205,MATCH(E422,Vendor_Register!$A$5:$A$205,0)),"(not in register)"))</f>
        <v/>
      </c>
      <c r="G422" s="45" t="str">
        <f aca="false">IF(E422="","",IFERROR(INDEX(Vendor_Register!$E$5:$E$205,MATCH(E422,Vendor_Register!$A$5:$A$205,0)),"(not in register)"))</f>
        <v/>
      </c>
      <c r="H422" s="42"/>
      <c r="I422" s="42"/>
      <c r="J422" s="42"/>
      <c r="K422" s="42"/>
      <c r="L422" s="42"/>
      <c r="M422" s="46"/>
      <c r="N422" s="42"/>
      <c r="O422" s="47" t="str">
        <f aca="false">IF(NOT(ISNUMBER(M422)),"",IFERROR(IF(L422="EUR",M422,IF(L422="IRR",M422/INDEX('Assumptions &amp; FX Reference'!$C$5:$C$25,MATCH(H422,'Assumptions &amp; FX Reference'!$A$5:$A$25,0)),IF(L422="USD",M422*INDEX('Assumptions &amp; FX Reference'!$B$5:$B$25,MATCH(H422,'Assumptions &amp; FX Reference'!$A$5:$A$25,0))/INDEX('Assumptions &amp; FX Reference'!$C$5:$C$25,MATCH(H422,'Assumptions &amp; FX Reference'!$A$5:$A$25,0)),""))),"(FX missing)"))</f>
        <v/>
      </c>
      <c r="P422" s="42"/>
      <c r="Q422" s="42"/>
      <c r="R422" s="42"/>
      <c r="S422" s="42"/>
      <c r="T422" s="42"/>
      <c r="U422" s="42"/>
      <c r="V422" s="42"/>
    </row>
    <row r="423" customFormat="false" ht="15" hidden="false" customHeight="false" outlineLevel="0" collapsed="false">
      <c r="A423" s="42"/>
      <c r="B423" s="42"/>
      <c r="C423" s="45" t="str">
        <f aca="false">IF(B423="","",IFERROR(INDEX('Master Database'!$D$5:$D$600,MATCH(B423,'Master Database'!$A$5:$A$600,0)),"(row not found)"))</f>
        <v/>
      </c>
      <c r="D423" s="45" t="str">
        <f aca="false">IF(B423="","",IFERROR(INDEX('Master Database'!$B$5:$B$600,MATCH(B423,'Master Database'!$A$5:$A$600,0)),"(row not found)"))</f>
        <v/>
      </c>
      <c r="E423" s="42"/>
      <c r="F423" s="45" t="str">
        <f aca="false">IF(E423="","",IFERROR(INDEX(Vendor_Register!$B$5:$B$205,MATCH(E423,Vendor_Register!$A$5:$A$205,0)),"(not in register)"))</f>
        <v/>
      </c>
      <c r="G423" s="45" t="str">
        <f aca="false">IF(E423="","",IFERROR(INDEX(Vendor_Register!$E$5:$E$205,MATCH(E423,Vendor_Register!$A$5:$A$205,0)),"(not in register)"))</f>
        <v/>
      </c>
      <c r="H423" s="42"/>
      <c r="I423" s="42"/>
      <c r="J423" s="42"/>
      <c r="K423" s="42"/>
      <c r="L423" s="42"/>
      <c r="M423" s="46"/>
      <c r="N423" s="42"/>
      <c r="O423" s="47" t="str">
        <f aca="false">IF(NOT(ISNUMBER(M423)),"",IFERROR(IF(L423="EUR",M423,IF(L423="IRR",M423/INDEX('Assumptions &amp; FX Reference'!$C$5:$C$25,MATCH(H423,'Assumptions &amp; FX Reference'!$A$5:$A$25,0)),IF(L423="USD",M423*INDEX('Assumptions &amp; FX Reference'!$B$5:$B$25,MATCH(H423,'Assumptions &amp; FX Reference'!$A$5:$A$25,0))/INDEX('Assumptions &amp; FX Reference'!$C$5:$C$25,MATCH(H423,'Assumptions &amp; FX Reference'!$A$5:$A$25,0)),""))),"(FX missing)"))</f>
        <v/>
      </c>
      <c r="P423" s="42"/>
      <c r="Q423" s="42"/>
      <c r="R423" s="42"/>
      <c r="S423" s="42"/>
      <c r="T423" s="42"/>
      <c r="U423" s="42"/>
      <c r="V423" s="42"/>
    </row>
    <row r="424" customFormat="false" ht="15" hidden="false" customHeight="false" outlineLevel="0" collapsed="false">
      <c r="A424" s="42"/>
      <c r="B424" s="42"/>
      <c r="C424" s="45" t="str">
        <f aca="false">IF(B424="","",IFERROR(INDEX('Master Database'!$D$5:$D$600,MATCH(B424,'Master Database'!$A$5:$A$600,0)),"(row not found)"))</f>
        <v/>
      </c>
      <c r="D424" s="45" t="str">
        <f aca="false">IF(B424="","",IFERROR(INDEX('Master Database'!$B$5:$B$600,MATCH(B424,'Master Database'!$A$5:$A$600,0)),"(row not found)"))</f>
        <v/>
      </c>
      <c r="E424" s="42"/>
      <c r="F424" s="45" t="str">
        <f aca="false">IF(E424="","",IFERROR(INDEX(Vendor_Register!$B$5:$B$205,MATCH(E424,Vendor_Register!$A$5:$A$205,0)),"(not in register)"))</f>
        <v/>
      </c>
      <c r="G424" s="45" t="str">
        <f aca="false">IF(E424="","",IFERROR(INDEX(Vendor_Register!$E$5:$E$205,MATCH(E424,Vendor_Register!$A$5:$A$205,0)),"(not in register)"))</f>
        <v/>
      </c>
      <c r="H424" s="42"/>
      <c r="I424" s="42"/>
      <c r="J424" s="42"/>
      <c r="K424" s="42"/>
      <c r="L424" s="42"/>
      <c r="M424" s="46"/>
      <c r="N424" s="42"/>
      <c r="O424" s="47" t="str">
        <f aca="false">IF(NOT(ISNUMBER(M424)),"",IFERROR(IF(L424="EUR",M424,IF(L424="IRR",M424/INDEX('Assumptions &amp; FX Reference'!$C$5:$C$25,MATCH(H424,'Assumptions &amp; FX Reference'!$A$5:$A$25,0)),IF(L424="USD",M424*INDEX('Assumptions &amp; FX Reference'!$B$5:$B$25,MATCH(H424,'Assumptions &amp; FX Reference'!$A$5:$A$25,0))/INDEX('Assumptions &amp; FX Reference'!$C$5:$C$25,MATCH(H424,'Assumptions &amp; FX Reference'!$A$5:$A$25,0)),""))),"(FX missing)"))</f>
        <v/>
      </c>
      <c r="P424" s="42"/>
      <c r="Q424" s="42"/>
      <c r="R424" s="42"/>
      <c r="S424" s="42"/>
      <c r="T424" s="42"/>
      <c r="U424" s="42"/>
      <c r="V424" s="42"/>
    </row>
    <row r="425" customFormat="false" ht="15" hidden="false" customHeight="false" outlineLevel="0" collapsed="false">
      <c r="A425" s="42"/>
      <c r="B425" s="42"/>
      <c r="C425" s="45" t="str">
        <f aca="false">IF(B425="","",IFERROR(INDEX('Master Database'!$D$5:$D$600,MATCH(B425,'Master Database'!$A$5:$A$600,0)),"(row not found)"))</f>
        <v/>
      </c>
      <c r="D425" s="45" t="str">
        <f aca="false">IF(B425="","",IFERROR(INDEX('Master Database'!$B$5:$B$600,MATCH(B425,'Master Database'!$A$5:$A$600,0)),"(row not found)"))</f>
        <v/>
      </c>
      <c r="E425" s="42"/>
      <c r="F425" s="45" t="str">
        <f aca="false">IF(E425="","",IFERROR(INDEX(Vendor_Register!$B$5:$B$205,MATCH(E425,Vendor_Register!$A$5:$A$205,0)),"(not in register)"))</f>
        <v/>
      </c>
      <c r="G425" s="45" t="str">
        <f aca="false">IF(E425="","",IFERROR(INDEX(Vendor_Register!$E$5:$E$205,MATCH(E425,Vendor_Register!$A$5:$A$205,0)),"(not in register)"))</f>
        <v/>
      </c>
      <c r="H425" s="42"/>
      <c r="I425" s="42"/>
      <c r="J425" s="42"/>
      <c r="K425" s="42"/>
      <c r="L425" s="42"/>
      <c r="M425" s="46"/>
      <c r="N425" s="42"/>
      <c r="O425" s="47" t="str">
        <f aca="false">IF(NOT(ISNUMBER(M425)),"",IFERROR(IF(L425="EUR",M425,IF(L425="IRR",M425/INDEX('Assumptions &amp; FX Reference'!$C$5:$C$25,MATCH(H425,'Assumptions &amp; FX Reference'!$A$5:$A$25,0)),IF(L425="USD",M425*INDEX('Assumptions &amp; FX Reference'!$B$5:$B$25,MATCH(H425,'Assumptions &amp; FX Reference'!$A$5:$A$25,0))/INDEX('Assumptions &amp; FX Reference'!$C$5:$C$25,MATCH(H425,'Assumptions &amp; FX Reference'!$A$5:$A$25,0)),""))),"(FX missing)"))</f>
        <v/>
      </c>
      <c r="P425" s="42"/>
      <c r="Q425" s="42"/>
      <c r="R425" s="42"/>
      <c r="S425" s="42"/>
      <c r="T425" s="42"/>
      <c r="U425" s="42"/>
      <c r="V425" s="42"/>
    </row>
    <row r="426" customFormat="false" ht="15" hidden="false" customHeight="false" outlineLevel="0" collapsed="false">
      <c r="A426" s="42"/>
      <c r="B426" s="42"/>
      <c r="C426" s="45" t="str">
        <f aca="false">IF(B426="","",IFERROR(INDEX('Master Database'!$D$5:$D$600,MATCH(B426,'Master Database'!$A$5:$A$600,0)),"(row not found)"))</f>
        <v/>
      </c>
      <c r="D426" s="45" t="str">
        <f aca="false">IF(B426="","",IFERROR(INDEX('Master Database'!$B$5:$B$600,MATCH(B426,'Master Database'!$A$5:$A$600,0)),"(row not found)"))</f>
        <v/>
      </c>
      <c r="E426" s="42"/>
      <c r="F426" s="45" t="str">
        <f aca="false">IF(E426="","",IFERROR(INDEX(Vendor_Register!$B$5:$B$205,MATCH(E426,Vendor_Register!$A$5:$A$205,0)),"(not in register)"))</f>
        <v/>
      </c>
      <c r="G426" s="45" t="str">
        <f aca="false">IF(E426="","",IFERROR(INDEX(Vendor_Register!$E$5:$E$205,MATCH(E426,Vendor_Register!$A$5:$A$205,0)),"(not in register)"))</f>
        <v/>
      </c>
      <c r="H426" s="42"/>
      <c r="I426" s="42"/>
      <c r="J426" s="42"/>
      <c r="K426" s="42"/>
      <c r="L426" s="42"/>
      <c r="M426" s="46"/>
      <c r="N426" s="42"/>
      <c r="O426" s="47" t="str">
        <f aca="false">IF(NOT(ISNUMBER(M426)),"",IFERROR(IF(L426="EUR",M426,IF(L426="IRR",M426/INDEX('Assumptions &amp; FX Reference'!$C$5:$C$25,MATCH(H426,'Assumptions &amp; FX Reference'!$A$5:$A$25,0)),IF(L426="USD",M426*INDEX('Assumptions &amp; FX Reference'!$B$5:$B$25,MATCH(H426,'Assumptions &amp; FX Reference'!$A$5:$A$25,0))/INDEX('Assumptions &amp; FX Reference'!$C$5:$C$25,MATCH(H426,'Assumptions &amp; FX Reference'!$A$5:$A$25,0)),""))),"(FX missing)"))</f>
        <v/>
      </c>
      <c r="P426" s="42"/>
      <c r="Q426" s="42"/>
      <c r="R426" s="42"/>
      <c r="S426" s="42"/>
      <c r="T426" s="42"/>
      <c r="U426" s="42"/>
      <c r="V426" s="42"/>
    </row>
    <row r="427" customFormat="false" ht="15" hidden="false" customHeight="false" outlineLevel="0" collapsed="false">
      <c r="A427" s="42"/>
      <c r="B427" s="42"/>
      <c r="C427" s="45" t="str">
        <f aca="false">IF(B427="","",IFERROR(INDEX('Master Database'!$D$5:$D$600,MATCH(B427,'Master Database'!$A$5:$A$600,0)),"(row not found)"))</f>
        <v/>
      </c>
      <c r="D427" s="45" t="str">
        <f aca="false">IF(B427="","",IFERROR(INDEX('Master Database'!$B$5:$B$600,MATCH(B427,'Master Database'!$A$5:$A$600,0)),"(row not found)"))</f>
        <v/>
      </c>
      <c r="E427" s="42"/>
      <c r="F427" s="45" t="str">
        <f aca="false">IF(E427="","",IFERROR(INDEX(Vendor_Register!$B$5:$B$205,MATCH(E427,Vendor_Register!$A$5:$A$205,0)),"(not in register)"))</f>
        <v/>
      </c>
      <c r="G427" s="45" t="str">
        <f aca="false">IF(E427="","",IFERROR(INDEX(Vendor_Register!$E$5:$E$205,MATCH(E427,Vendor_Register!$A$5:$A$205,0)),"(not in register)"))</f>
        <v/>
      </c>
      <c r="H427" s="42"/>
      <c r="I427" s="42"/>
      <c r="J427" s="42"/>
      <c r="K427" s="42"/>
      <c r="L427" s="42"/>
      <c r="M427" s="46"/>
      <c r="N427" s="42"/>
      <c r="O427" s="47" t="str">
        <f aca="false">IF(NOT(ISNUMBER(M427)),"",IFERROR(IF(L427="EUR",M427,IF(L427="IRR",M427/INDEX('Assumptions &amp; FX Reference'!$C$5:$C$25,MATCH(H427,'Assumptions &amp; FX Reference'!$A$5:$A$25,0)),IF(L427="USD",M427*INDEX('Assumptions &amp; FX Reference'!$B$5:$B$25,MATCH(H427,'Assumptions &amp; FX Reference'!$A$5:$A$25,0))/INDEX('Assumptions &amp; FX Reference'!$C$5:$C$25,MATCH(H427,'Assumptions &amp; FX Reference'!$A$5:$A$25,0)),""))),"(FX missing)"))</f>
        <v/>
      </c>
      <c r="P427" s="42"/>
      <c r="Q427" s="42"/>
      <c r="R427" s="42"/>
      <c r="S427" s="42"/>
      <c r="T427" s="42"/>
      <c r="U427" s="42"/>
      <c r="V427" s="42"/>
    </row>
    <row r="428" customFormat="false" ht="15" hidden="false" customHeight="false" outlineLevel="0" collapsed="false">
      <c r="A428" s="42"/>
      <c r="B428" s="42"/>
      <c r="C428" s="45" t="str">
        <f aca="false">IF(B428="","",IFERROR(INDEX('Master Database'!$D$5:$D$600,MATCH(B428,'Master Database'!$A$5:$A$600,0)),"(row not found)"))</f>
        <v/>
      </c>
      <c r="D428" s="45" t="str">
        <f aca="false">IF(B428="","",IFERROR(INDEX('Master Database'!$B$5:$B$600,MATCH(B428,'Master Database'!$A$5:$A$600,0)),"(row not found)"))</f>
        <v/>
      </c>
      <c r="E428" s="42"/>
      <c r="F428" s="45" t="str">
        <f aca="false">IF(E428="","",IFERROR(INDEX(Vendor_Register!$B$5:$B$205,MATCH(E428,Vendor_Register!$A$5:$A$205,0)),"(not in register)"))</f>
        <v/>
      </c>
      <c r="G428" s="45" t="str">
        <f aca="false">IF(E428="","",IFERROR(INDEX(Vendor_Register!$E$5:$E$205,MATCH(E428,Vendor_Register!$A$5:$A$205,0)),"(not in register)"))</f>
        <v/>
      </c>
      <c r="H428" s="42"/>
      <c r="I428" s="42"/>
      <c r="J428" s="42"/>
      <c r="K428" s="42"/>
      <c r="L428" s="42"/>
      <c r="M428" s="46"/>
      <c r="N428" s="42"/>
      <c r="O428" s="47" t="str">
        <f aca="false">IF(NOT(ISNUMBER(M428)),"",IFERROR(IF(L428="EUR",M428,IF(L428="IRR",M428/INDEX('Assumptions &amp; FX Reference'!$C$5:$C$25,MATCH(H428,'Assumptions &amp; FX Reference'!$A$5:$A$25,0)),IF(L428="USD",M428*INDEX('Assumptions &amp; FX Reference'!$B$5:$B$25,MATCH(H428,'Assumptions &amp; FX Reference'!$A$5:$A$25,0))/INDEX('Assumptions &amp; FX Reference'!$C$5:$C$25,MATCH(H428,'Assumptions &amp; FX Reference'!$A$5:$A$25,0)),""))),"(FX missing)"))</f>
        <v/>
      </c>
      <c r="P428" s="42"/>
      <c r="Q428" s="42"/>
      <c r="R428" s="42"/>
      <c r="S428" s="42"/>
      <c r="T428" s="42"/>
      <c r="U428" s="42"/>
      <c r="V428" s="42"/>
    </row>
    <row r="429" customFormat="false" ht="15" hidden="false" customHeight="false" outlineLevel="0" collapsed="false">
      <c r="A429" s="42"/>
      <c r="B429" s="42"/>
      <c r="C429" s="45" t="str">
        <f aca="false">IF(B429="","",IFERROR(INDEX('Master Database'!$D$5:$D$600,MATCH(B429,'Master Database'!$A$5:$A$600,0)),"(row not found)"))</f>
        <v/>
      </c>
      <c r="D429" s="45" t="str">
        <f aca="false">IF(B429="","",IFERROR(INDEX('Master Database'!$B$5:$B$600,MATCH(B429,'Master Database'!$A$5:$A$600,0)),"(row not found)"))</f>
        <v/>
      </c>
      <c r="E429" s="42"/>
      <c r="F429" s="45" t="str">
        <f aca="false">IF(E429="","",IFERROR(INDEX(Vendor_Register!$B$5:$B$205,MATCH(E429,Vendor_Register!$A$5:$A$205,0)),"(not in register)"))</f>
        <v/>
      </c>
      <c r="G429" s="45" t="str">
        <f aca="false">IF(E429="","",IFERROR(INDEX(Vendor_Register!$E$5:$E$205,MATCH(E429,Vendor_Register!$A$5:$A$205,0)),"(not in register)"))</f>
        <v/>
      </c>
      <c r="H429" s="42"/>
      <c r="I429" s="42"/>
      <c r="J429" s="42"/>
      <c r="K429" s="42"/>
      <c r="L429" s="42"/>
      <c r="M429" s="46"/>
      <c r="N429" s="42"/>
      <c r="O429" s="47" t="str">
        <f aca="false">IF(NOT(ISNUMBER(M429)),"",IFERROR(IF(L429="EUR",M429,IF(L429="IRR",M429/INDEX('Assumptions &amp; FX Reference'!$C$5:$C$25,MATCH(H429,'Assumptions &amp; FX Reference'!$A$5:$A$25,0)),IF(L429="USD",M429*INDEX('Assumptions &amp; FX Reference'!$B$5:$B$25,MATCH(H429,'Assumptions &amp; FX Reference'!$A$5:$A$25,0))/INDEX('Assumptions &amp; FX Reference'!$C$5:$C$25,MATCH(H429,'Assumptions &amp; FX Reference'!$A$5:$A$25,0)),""))),"(FX missing)"))</f>
        <v/>
      </c>
      <c r="P429" s="42"/>
      <c r="Q429" s="42"/>
      <c r="R429" s="42"/>
      <c r="S429" s="42"/>
      <c r="T429" s="42"/>
      <c r="U429" s="42"/>
      <c r="V429" s="42"/>
    </row>
    <row r="430" customFormat="false" ht="15" hidden="false" customHeight="false" outlineLevel="0" collapsed="false">
      <c r="A430" s="42"/>
      <c r="B430" s="42"/>
      <c r="C430" s="45" t="str">
        <f aca="false">IF(B430="","",IFERROR(INDEX('Master Database'!$D$5:$D$600,MATCH(B430,'Master Database'!$A$5:$A$600,0)),"(row not found)"))</f>
        <v/>
      </c>
      <c r="D430" s="45" t="str">
        <f aca="false">IF(B430="","",IFERROR(INDEX('Master Database'!$B$5:$B$600,MATCH(B430,'Master Database'!$A$5:$A$600,0)),"(row not found)"))</f>
        <v/>
      </c>
      <c r="E430" s="42"/>
      <c r="F430" s="45" t="str">
        <f aca="false">IF(E430="","",IFERROR(INDEX(Vendor_Register!$B$5:$B$205,MATCH(E430,Vendor_Register!$A$5:$A$205,0)),"(not in register)"))</f>
        <v/>
      </c>
      <c r="G430" s="45" t="str">
        <f aca="false">IF(E430="","",IFERROR(INDEX(Vendor_Register!$E$5:$E$205,MATCH(E430,Vendor_Register!$A$5:$A$205,0)),"(not in register)"))</f>
        <v/>
      </c>
      <c r="H430" s="42"/>
      <c r="I430" s="42"/>
      <c r="J430" s="42"/>
      <c r="K430" s="42"/>
      <c r="L430" s="42"/>
      <c r="M430" s="46"/>
      <c r="N430" s="42"/>
      <c r="O430" s="47" t="str">
        <f aca="false">IF(NOT(ISNUMBER(M430)),"",IFERROR(IF(L430="EUR",M430,IF(L430="IRR",M430/INDEX('Assumptions &amp; FX Reference'!$C$5:$C$25,MATCH(H430,'Assumptions &amp; FX Reference'!$A$5:$A$25,0)),IF(L430="USD",M430*INDEX('Assumptions &amp; FX Reference'!$B$5:$B$25,MATCH(H430,'Assumptions &amp; FX Reference'!$A$5:$A$25,0))/INDEX('Assumptions &amp; FX Reference'!$C$5:$C$25,MATCH(H430,'Assumptions &amp; FX Reference'!$A$5:$A$25,0)),""))),"(FX missing)"))</f>
        <v/>
      </c>
      <c r="P430" s="42"/>
      <c r="Q430" s="42"/>
      <c r="R430" s="42"/>
      <c r="S430" s="42"/>
      <c r="T430" s="42"/>
      <c r="U430" s="42"/>
      <c r="V430" s="42"/>
    </row>
    <row r="431" customFormat="false" ht="15" hidden="false" customHeight="false" outlineLevel="0" collapsed="false">
      <c r="A431" s="42"/>
      <c r="B431" s="42"/>
      <c r="C431" s="45" t="str">
        <f aca="false">IF(B431="","",IFERROR(INDEX('Master Database'!$D$5:$D$600,MATCH(B431,'Master Database'!$A$5:$A$600,0)),"(row not found)"))</f>
        <v/>
      </c>
      <c r="D431" s="45" t="str">
        <f aca="false">IF(B431="","",IFERROR(INDEX('Master Database'!$B$5:$B$600,MATCH(B431,'Master Database'!$A$5:$A$600,0)),"(row not found)"))</f>
        <v/>
      </c>
      <c r="E431" s="42"/>
      <c r="F431" s="45" t="str">
        <f aca="false">IF(E431="","",IFERROR(INDEX(Vendor_Register!$B$5:$B$205,MATCH(E431,Vendor_Register!$A$5:$A$205,0)),"(not in register)"))</f>
        <v/>
      </c>
      <c r="G431" s="45" t="str">
        <f aca="false">IF(E431="","",IFERROR(INDEX(Vendor_Register!$E$5:$E$205,MATCH(E431,Vendor_Register!$A$5:$A$205,0)),"(not in register)"))</f>
        <v/>
      </c>
      <c r="H431" s="42"/>
      <c r="I431" s="42"/>
      <c r="J431" s="42"/>
      <c r="K431" s="42"/>
      <c r="L431" s="42"/>
      <c r="M431" s="46"/>
      <c r="N431" s="42"/>
      <c r="O431" s="47" t="str">
        <f aca="false">IF(NOT(ISNUMBER(M431)),"",IFERROR(IF(L431="EUR",M431,IF(L431="IRR",M431/INDEX('Assumptions &amp; FX Reference'!$C$5:$C$25,MATCH(H431,'Assumptions &amp; FX Reference'!$A$5:$A$25,0)),IF(L431="USD",M431*INDEX('Assumptions &amp; FX Reference'!$B$5:$B$25,MATCH(H431,'Assumptions &amp; FX Reference'!$A$5:$A$25,0))/INDEX('Assumptions &amp; FX Reference'!$C$5:$C$25,MATCH(H431,'Assumptions &amp; FX Reference'!$A$5:$A$25,0)),""))),"(FX missing)"))</f>
        <v/>
      </c>
      <c r="P431" s="42"/>
      <c r="Q431" s="42"/>
      <c r="R431" s="42"/>
      <c r="S431" s="42"/>
      <c r="T431" s="42"/>
      <c r="U431" s="42"/>
      <c r="V431" s="42"/>
    </row>
    <row r="432" customFormat="false" ht="15" hidden="false" customHeight="false" outlineLevel="0" collapsed="false">
      <c r="A432" s="42"/>
      <c r="B432" s="42"/>
      <c r="C432" s="45" t="str">
        <f aca="false">IF(B432="","",IFERROR(INDEX('Master Database'!$D$5:$D$600,MATCH(B432,'Master Database'!$A$5:$A$600,0)),"(row not found)"))</f>
        <v/>
      </c>
      <c r="D432" s="45" t="str">
        <f aca="false">IF(B432="","",IFERROR(INDEX('Master Database'!$B$5:$B$600,MATCH(B432,'Master Database'!$A$5:$A$600,0)),"(row not found)"))</f>
        <v/>
      </c>
      <c r="E432" s="42"/>
      <c r="F432" s="45" t="str">
        <f aca="false">IF(E432="","",IFERROR(INDEX(Vendor_Register!$B$5:$B$205,MATCH(E432,Vendor_Register!$A$5:$A$205,0)),"(not in register)"))</f>
        <v/>
      </c>
      <c r="G432" s="45" t="str">
        <f aca="false">IF(E432="","",IFERROR(INDEX(Vendor_Register!$E$5:$E$205,MATCH(E432,Vendor_Register!$A$5:$A$205,0)),"(not in register)"))</f>
        <v/>
      </c>
      <c r="H432" s="42"/>
      <c r="I432" s="42"/>
      <c r="J432" s="42"/>
      <c r="K432" s="42"/>
      <c r="L432" s="42"/>
      <c r="M432" s="46"/>
      <c r="N432" s="42"/>
      <c r="O432" s="47" t="str">
        <f aca="false">IF(NOT(ISNUMBER(M432)),"",IFERROR(IF(L432="EUR",M432,IF(L432="IRR",M432/INDEX('Assumptions &amp; FX Reference'!$C$5:$C$25,MATCH(H432,'Assumptions &amp; FX Reference'!$A$5:$A$25,0)),IF(L432="USD",M432*INDEX('Assumptions &amp; FX Reference'!$B$5:$B$25,MATCH(H432,'Assumptions &amp; FX Reference'!$A$5:$A$25,0))/INDEX('Assumptions &amp; FX Reference'!$C$5:$C$25,MATCH(H432,'Assumptions &amp; FX Reference'!$A$5:$A$25,0)),""))),"(FX missing)"))</f>
        <v/>
      </c>
      <c r="P432" s="42"/>
      <c r="Q432" s="42"/>
      <c r="R432" s="42"/>
      <c r="S432" s="42"/>
      <c r="T432" s="42"/>
      <c r="U432" s="42"/>
      <c r="V432" s="42"/>
    </row>
    <row r="433" customFormat="false" ht="15" hidden="false" customHeight="false" outlineLevel="0" collapsed="false">
      <c r="A433" s="42"/>
      <c r="B433" s="42"/>
      <c r="C433" s="45" t="str">
        <f aca="false">IF(B433="","",IFERROR(INDEX('Master Database'!$D$5:$D$600,MATCH(B433,'Master Database'!$A$5:$A$600,0)),"(row not found)"))</f>
        <v/>
      </c>
      <c r="D433" s="45" t="str">
        <f aca="false">IF(B433="","",IFERROR(INDEX('Master Database'!$B$5:$B$600,MATCH(B433,'Master Database'!$A$5:$A$600,0)),"(row not found)"))</f>
        <v/>
      </c>
      <c r="E433" s="42"/>
      <c r="F433" s="45" t="str">
        <f aca="false">IF(E433="","",IFERROR(INDEX(Vendor_Register!$B$5:$B$205,MATCH(E433,Vendor_Register!$A$5:$A$205,0)),"(not in register)"))</f>
        <v/>
      </c>
      <c r="G433" s="45" t="str">
        <f aca="false">IF(E433="","",IFERROR(INDEX(Vendor_Register!$E$5:$E$205,MATCH(E433,Vendor_Register!$A$5:$A$205,0)),"(not in register)"))</f>
        <v/>
      </c>
      <c r="H433" s="42"/>
      <c r="I433" s="42"/>
      <c r="J433" s="42"/>
      <c r="K433" s="42"/>
      <c r="L433" s="42"/>
      <c r="M433" s="46"/>
      <c r="N433" s="42"/>
      <c r="O433" s="47" t="str">
        <f aca="false">IF(NOT(ISNUMBER(M433)),"",IFERROR(IF(L433="EUR",M433,IF(L433="IRR",M433/INDEX('Assumptions &amp; FX Reference'!$C$5:$C$25,MATCH(H433,'Assumptions &amp; FX Reference'!$A$5:$A$25,0)),IF(L433="USD",M433*INDEX('Assumptions &amp; FX Reference'!$B$5:$B$25,MATCH(H433,'Assumptions &amp; FX Reference'!$A$5:$A$25,0))/INDEX('Assumptions &amp; FX Reference'!$C$5:$C$25,MATCH(H433,'Assumptions &amp; FX Reference'!$A$5:$A$25,0)),""))),"(FX missing)"))</f>
        <v/>
      </c>
      <c r="P433" s="42"/>
      <c r="Q433" s="42"/>
      <c r="R433" s="42"/>
      <c r="S433" s="42"/>
      <c r="T433" s="42"/>
      <c r="U433" s="42"/>
      <c r="V433" s="42"/>
    </row>
    <row r="434" customFormat="false" ht="15" hidden="false" customHeight="false" outlineLevel="0" collapsed="false">
      <c r="A434" s="42"/>
      <c r="B434" s="42"/>
      <c r="C434" s="45" t="str">
        <f aca="false">IF(B434="","",IFERROR(INDEX('Master Database'!$D$5:$D$600,MATCH(B434,'Master Database'!$A$5:$A$600,0)),"(row not found)"))</f>
        <v/>
      </c>
      <c r="D434" s="45" t="str">
        <f aca="false">IF(B434="","",IFERROR(INDEX('Master Database'!$B$5:$B$600,MATCH(B434,'Master Database'!$A$5:$A$600,0)),"(row not found)"))</f>
        <v/>
      </c>
      <c r="E434" s="42"/>
      <c r="F434" s="45" t="str">
        <f aca="false">IF(E434="","",IFERROR(INDEX(Vendor_Register!$B$5:$B$205,MATCH(E434,Vendor_Register!$A$5:$A$205,0)),"(not in register)"))</f>
        <v/>
      </c>
      <c r="G434" s="45" t="str">
        <f aca="false">IF(E434="","",IFERROR(INDEX(Vendor_Register!$E$5:$E$205,MATCH(E434,Vendor_Register!$A$5:$A$205,0)),"(not in register)"))</f>
        <v/>
      </c>
      <c r="H434" s="42"/>
      <c r="I434" s="42"/>
      <c r="J434" s="42"/>
      <c r="K434" s="42"/>
      <c r="L434" s="42"/>
      <c r="M434" s="46"/>
      <c r="N434" s="42"/>
      <c r="O434" s="47" t="str">
        <f aca="false">IF(NOT(ISNUMBER(M434)),"",IFERROR(IF(L434="EUR",M434,IF(L434="IRR",M434/INDEX('Assumptions &amp; FX Reference'!$C$5:$C$25,MATCH(H434,'Assumptions &amp; FX Reference'!$A$5:$A$25,0)),IF(L434="USD",M434*INDEX('Assumptions &amp; FX Reference'!$B$5:$B$25,MATCH(H434,'Assumptions &amp; FX Reference'!$A$5:$A$25,0))/INDEX('Assumptions &amp; FX Reference'!$C$5:$C$25,MATCH(H434,'Assumptions &amp; FX Reference'!$A$5:$A$25,0)),""))),"(FX missing)"))</f>
        <v/>
      </c>
      <c r="P434" s="42"/>
      <c r="Q434" s="42"/>
      <c r="R434" s="42"/>
      <c r="S434" s="42"/>
      <c r="T434" s="42"/>
      <c r="U434" s="42"/>
      <c r="V434" s="42"/>
    </row>
    <row r="435" customFormat="false" ht="15" hidden="false" customHeight="false" outlineLevel="0" collapsed="false">
      <c r="A435" s="42"/>
      <c r="B435" s="42"/>
      <c r="C435" s="45" t="str">
        <f aca="false">IF(B435="","",IFERROR(INDEX('Master Database'!$D$5:$D$600,MATCH(B435,'Master Database'!$A$5:$A$600,0)),"(row not found)"))</f>
        <v/>
      </c>
      <c r="D435" s="45" t="str">
        <f aca="false">IF(B435="","",IFERROR(INDEX('Master Database'!$B$5:$B$600,MATCH(B435,'Master Database'!$A$5:$A$600,0)),"(row not found)"))</f>
        <v/>
      </c>
      <c r="E435" s="42"/>
      <c r="F435" s="45" t="str">
        <f aca="false">IF(E435="","",IFERROR(INDEX(Vendor_Register!$B$5:$B$205,MATCH(E435,Vendor_Register!$A$5:$A$205,0)),"(not in register)"))</f>
        <v/>
      </c>
      <c r="G435" s="45" t="str">
        <f aca="false">IF(E435="","",IFERROR(INDEX(Vendor_Register!$E$5:$E$205,MATCH(E435,Vendor_Register!$A$5:$A$205,0)),"(not in register)"))</f>
        <v/>
      </c>
      <c r="H435" s="42"/>
      <c r="I435" s="42"/>
      <c r="J435" s="42"/>
      <c r="K435" s="42"/>
      <c r="L435" s="42"/>
      <c r="M435" s="46"/>
      <c r="N435" s="42"/>
      <c r="O435" s="47" t="str">
        <f aca="false">IF(NOT(ISNUMBER(M435)),"",IFERROR(IF(L435="EUR",M435,IF(L435="IRR",M435/INDEX('Assumptions &amp; FX Reference'!$C$5:$C$25,MATCH(H435,'Assumptions &amp; FX Reference'!$A$5:$A$25,0)),IF(L435="USD",M435*INDEX('Assumptions &amp; FX Reference'!$B$5:$B$25,MATCH(H435,'Assumptions &amp; FX Reference'!$A$5:$A$25,0))/INDEX('Assumptions &amp; FX Reference'!$C$5:$C$25,MATCH(H435,'Assumptions &amp; FX Reference'!$A$5:$A$25,0)),""))),"(FX missing)"))</f>
        <v/>
      </c>
      <c r="P435" s="42"/>
      <c r="Q435" s="42"/>
      <c r="R435" s="42"/>
      <c r="S435" s="42"/>
      <c r="T435" s="42"/>
      <c r="U435" s="42"/>
      <c r="V435" s="42"/>
    </row>
    <row r="436" customFormat="false" ht="15" hidden="false" customHeight="false" outlineLevel="0" collapsed="false">
      <c r="A436" s="42"/>
      <c r="B436" s="42"/>
      <c r="C436" s="45" t="str">
        <f aca="false">IF(B436="","",IFERROR(INDEX('Master Database'!$D$5:$D$600,MATCH(B436,'Master Database'!$A$5:$A$600,0)),"(row not found)"))</f>
        <v/>
      </c>
      <c r="D436" s="45" t="str">
        <f aca="false">IF(B436="","",IFERROR(INDEX('Master Database'!$B$5:$B$600,MATCH(B436,'Master Database'!$A$5:$A$600,0)),"(row not found)"))</f>
        <v/>
      </c>
      <c r="E436" s="42"/>
      <c r="F436" s="45" t="str">
        <f aca="false">IF(E436="","",IFERROR(INDEX(Vendor_Register!$B$5:$B$205,MATCH(E436,Vendor_Register!$A$5:$A$205,0)),"(not in register)"))</f>
        <v/>
      </c>
      <c r="G436" s="45" t="str">
        <f aca="false">IF(E436="","",IFERROR(INDEX(Vendor_Register!$E$5:$E$205,MATCH(E436,Vendor_Register!$A$5:$A$205,0)),"(not in register)"))</f>
        <v/>
      </c>
      <c r="H436" s="42"/>
      <c r="I436" s="42"/>
      <c r="J436" s="42"/>
      <c r="K436" s="42"/>
      <c r="L436" s="42"/>
      <c r="M436" s="46"/>
      <c r="N436" s="42"/>
      <c r="O436" s="47" t="str">
        <f aca="false">IF(NOT(ISNUMBER(M436)),"",IFERROR(IF(L436="EUR",M436,IF(L436="IRR",M436/INDEX('Assumptions &amp; FX Reference'!$C$5:$C$25,MATCH(H436,'Assumptions &amp; FX Reference'!$A$5:$A$25,0)),IF(L436="USD",M436*INDEX('Assumptions &amp; FX Reference'!$B$5:$B$25,MATCH(H436,'Assumptions &amp; FX Reference'!$A$5:$A$25,0))/INDEX('Assumptions &amp; FX Reference'!$C$5:$C$25,MATCH(H436,'Assumptions &amp; FX Reference'!$A$5:$A$25,0)),""))),"(FX missing)"))</f>
        <v/>
      </c>
      <c r="P436" s="42"/>
      <c r="Q436" s="42"/>
      <c r="R436" s="42"/>
      <c r="S436" s="42"/>
      <c r="T436" s="42"/>
      <c r="U436" s="42"/>
      <c r="V436" s="42"/>
    </row>
    <row r="437" customFormat="false" ht="15" hidden="false" customHeight="false" outlineLevel="0" collapsed="false">
      <c r="A437" s="42"/>
      <c r="B437" s="42"/>
      <c r="C437" s="45" t="str">
        <f aca="false">IF(B437="","",IFERROR(INDEX('Master Database'!$D$5:$D$600,MATCH(B437,'Master Database'!$A$5:$A$600,0)),"(row not found)"))</f>
        <v/>
      </c>
      <c r="D437" s="45" t="str">
        <f aca="false">IF(B437="","",IFERROR(INDEX('Master Database'!$B$5:$B$600,MATCH(B437,'Master Database'!$A$5:$A$600,0)),"(row not found)"))</f>
        <v/>
      </c>
      <c r="E437" s="42"/>
      <c r="F437" s="45" t="str">
        <f aca="false">IF(E437="","",IFERROR(INDEX(Vendor_Register!$B$5:$B$205,MATCH(E437,Vendor_Register!$A$5:$A$205,0)),"(not in register)"))</f>
        <v/>
      </c>
      <c r="G437" s="45" t="str">
        <f aca="false">IF(E437="","",IFERROR(INDEX(Vendor_Register!$E$5:$E$205,MATCH(E437,Vendor_Register!$A$5:$A$205,0)),"(not in register)"))</f>
        <v/>
      </c>
      <c r="H437" s="42"/>
      <c r="I437" s="42"/>
      <c r="J437" s="42"/>
      <c r="K437" s="42"/>
      <c r="L437" s="42"/>
      <c r="M437" s="46"/>
      <c r="N437" s="42"/>
      <c r="O437" s="47" t="str">
        <f aca="false">IF(NOT(ISNUMBER(M437)),"",IFERROR(IF(L437="EUR",M437,IF(L437="IRR",M437/INDEX('Assumptions &amp; FX Reference'!$C$5:$C$25,MATCH(H437,'Assumptions &amp; FX Reference'!$A$5:$A$25,0)),IF(L437="USD",M437*INDEX('Assumptions &amp; FX Reference'!$B$5:$B$25,MATCH(H437,'Assumptions &amp; FX Reference'!$A$5:$A$25,0))/INDEX('Assumptions &amp; FX Reference'!$C$5:$C$25,MATCH(H437,'Assumptions &amp; FX Reference'!$A$5:$A$25,0)),""))),"(FX missing)"))</f>
        <v/>
      </c>
      <c r="P437" s="42"/>
      <c r="Q437" s="42"/>
      <c r="R437" s="42"/>
      <c r="S437" s="42"/>
      <c r="T437" s="42"/>
      <c r="U437" s="42"/>
      <c r="V437" s="42"/>
    </row>
    <row r="438" customFormat="false" ht="15" hidden="false" customHeight="false" outlineLevel="0" collapsed="false">
      <c r="A438" s="42"/>
      <c r="B438" s="42"/>
      <c r="C438" s="45" t="str">
        <f aca="false">IF(B438="","",IFERROR(INDEX('Master Database'!$D$5:$D$600,MATCH(B438,'Master Database'!$A$5:$A$600,0)),"(row not found)"))</f>
        <v/>
      </c>
      <c r="D438" s="45" t="str">
        <f aca="false">IF(B438="","",IFERROR(INDEX('Master Database'!$B$5:$B$600,MATCH(B438,'Master Database'!$A$5:$A$600,0)),"(row not found)"))</f>
        <v/>
      </c>
      <c r="E438" s="42"/>
      <c r="F438" s="45" t="str">
        <f aca="false">IF(E438="","",IFERROR(INDEX(Vendor_Register!$B$5:$B$205,MATCH(E438,Vendor_Register!$A$5:$A$205,0)),"(not in register)"))</f>
        <v/>
      </c>
      <c r="G438" s="45" t="str">
        <f aca="false">IF(E438="","",IFERROR(INDEX(Vendor_Register!$E$5:$E$205,MATCH(E438,Vendor_Register!$A$5:$A$205,0)),"(not in register)"))</f>
        <v/>
      </c>
      <c r="H438" s="42"/>
      <c r="I438" s="42"/>
      <c r="J438" s="42"/>
      <c r="K438" s="42"/>
      <c r="L438" s="42"/>
      <c r="M438" s="46"/>
      <c r="N438" s="42"/>
      <c r="O438" s="47" t="str">
        <f aca="false">IF(NOT(ISNUMBER(M438)),"",IFERROR(IF(L438="EUR",M438,IF(L438="IRR",M438/INDEX('Assumptions &amp; FX Reference'!$C$5:$C$25,MATCH(H438,'Assumptions &amp; FX Reference'!$A$5:$A$25,0)),IF(L438="USD",M438*INDEX('Assumptions &amp; FX Reference'!$B$5:$B$25,MATCH(H438,'Assumptions &amp; FX Reference'!$A$5:$A$25,0))/INDEX('Assumptions &amp; FX Reference'!$C$5:$C$25,MATCH(H438,'Assumptions &amp; FX Reference'!$A$5:$A$25,0)),""))),"(FX missing)"))</f>
        <v/>
      </c>
      <c r="P438" s="42"/>
      <c r="Q438" s="42"/>
      <c r="R438" s="42"/>
      <c r="S438" s="42"/>
      <c r="T438" s="42"/>
      <c r="U438" s="42"/>
      <c r="V438" s="42"/>
    </row>
    <row r="439" customFormat="false" ht="15" hidden="false" customHeight="false" outlineLevel="0" collapsed="false">
      <c r="A439" s="42"/>
      <c r="B439" s="42"/>
      <c r="C439" s="45" t="str">
        <f aca="false">IF(B439="","",IFERROR(INDEX('Master Database'!$D$5:$D$600,MATCH(B439,'Master Database'!$A$5:$A$600,0)),"(row not found)"))</f>
        <v/>
      </c>
      <c r="D439" s="45" t="str">
        <f aca="false">IF(B439="","",IFERROR(INDEX('Master Database'!$B$5:$B$600,MATCH(B439,'Master Database'!$A$5:$A$600,0)),"(row not found)"))</f>
        <v/>
      </c>
      <c r="E439" s="42"/>
      <c r="F439" s="45" t="str">
        <f aca="false">IF(E439="","",IFERROR(INDEX(Vendor_Register!$B$5:$B$205,MATCH(E439,Vendor_Register!$A$5:$A$205,0)),"(not in register)"))</f>
        <v/>
      </c>
      <c r="G439" s="45" t="str">
        <f aca="false">IF(E439="","",IFERROR(INDEX(Vendor_Register!$E$5:$E$205,MATCH(E439,Vendor_Register!$A$5:$A$205,0)),"(not in register)"))</f>
        <v/>
      </c>
      <c r="H439" s="42"/>
      <c r="I439" s="42"/>
      <c r="J439" s="42"/>
      <c r="K439" s="42"/>
      <c r="L439" s="42"/>
      <c r="M439" s="46"/>
      <c r="N439" s="42"/>
      <c r="O439" s="47" t="str">
        <f aca="false">IF(NOT(ISNUMBER(M439)),"",IFERROR(IF(L439="EUR",M439,IF(L439="IRR",M439/INDEX('Assumptions &amp; FX Reference'!$C$5:$C$25,MATCH(H439,'Assumptions &amp; FX Reference'!$A$5:$A$25,0)),IF(L439="USD",M439*INDEX('Assumptions &amp; FX Reference'!$B$5:$B$25,MATCH(H439,'Assumptions &amp; FX Reference'!$A$5:$A$25,0))/INDEX('Assumptions &amp; FX Reference'!$C$5:$C$25,MATCH(H439,'Assumptions &amp; FX Reference'!$A$5:$A$25,0)),""))),"(FX missing)"))</f>
        <v/>
      </c>
      <c r="P439" s="42"/>
      <c r="Q439" s="42"/>
      <c r="R439" s="42"/>
      <c r="S439" s="42"/>
      <c r="T439" s="42"/>
      <c r="U439" s="42"/>
      <c r="V439" s="42"/>
    </row>
    <row r="440" customFormat="false" ht="15" hidden="false" customHeight="false" outlineLevel="0" collapsed="false">
      <c r="A440" s="42"/>
      <c r="B440" s="42"/>
      <c r="C440" s="45" t="str">
        <f aca="false">IF(B440="","",IFERROR(INDEX('Master Database'!$D$5:$D$600,MATCH(B440,'Master Database'!$A$5:$A$600,0)),"(row not found)"))</f>
        <v/>
      </c>
      <c r="D440" s="45" t="str">
        <f aca="false">IF(B440="","",IFERROR(INDEX('Master Database'!$B$5:$B$600,MATCH(B440,'Master Database'!$A$5:$A$600,0)),"(row not found)"))</f>
        <v/>
      </c>
      <c r="E440" s="42"/>
      <c r="F440" s="45" t="str">
        <f aca="false">IF(E440="","",IFERROR(INDEX(Vendor_Register!$B$5:$B$205,MATCH(E440,Vendor_Register!$A$5:$A$205,0)),"(not in register)"))</f>
        <v/>
      </c>
      <c r="G440" s="45" t="str">
        <f aca="false">IF(E440="","",IFERROR(INDEX(Vendor_Register!$E$5:$E$205,MATCH(E440,Vendor_Register!$A$5:$A$205,0)),"(not in register)"))</f>
        <v/>
      </c>
      <c r="H440" s="42"/>
      <c r="I440" s="42"/>
      <c r="J440" s="42"/>
      <c r="K440" s="42"/>
      <c r="L440" s="42"/>
      <c r="M440" s="46"/>
      <c r="N440" s="42"/>
      <c r="O440" s="47" t="str">
        <f aca="false">IF(NOT(ISNUMBER(M440)),"",IFERROR(IF(L440="EUR",M440,IF(L440="IRR",M440/INDEX('Assumptions &amp; FX Reference'!$C$5:$C$25,MATCH(H440,'Assumptions &amp; FX Reference'!$A$5:$A$25,0)),IF(L440="USD",M440*INDEX('Assumptions &amp; FX Reference'!$B$5:$B$25,MATCH(H440,'Assumptions &amp; FX Reference'!$A$5:$A$25,0))/INDEX('Assumptions &amp; FX Reference'!$C$5:$C$25,MATCH(H440,'Assumptions &amp; FX Reference'!$A$5:$A$25,0)),""))),"(FX missing)"))</f>
        <v/>
      </c>
      <c r="P440" s="42"/>
      <c r="Q440" s="42"/>
      <c r="R440" s="42"/>
      <c r="S440" s="42"/>
      <c r="T440" s="42"/>
      <c r="U440" s="42"/>
      <c r="V440" s="42"/>
    </row>
    <row r="441" customFormat="false" ht="15" hidden="false" customHeight="false" outlineLevel="0" collapsed="false">
      <c r="A441" s="42"/>
      <c r="B441" s="42"/>
      <c r="C441" s="45" t="str">
        <f aca="false">IF(B441="","",IFERROR(INDEX('Master Database'!$D$5:$D$600,MATCH(B441,'Master Database'!$A$5:$A$600,0)),"(row not found)"))</f>
        <v/>
      </c>
      <c r="D441" s="45" t="str">
        <f aca="false">IF(B441="","",IFERROR(INDEX('Master Database'!$B$5:$B$600,MATCH(B441,'Master Database'!$A$5:$A$600,0)),"(row not found)"))</f>
        <v/>
      </c>
      <c r="E441" s="42"/>
      <c r="F441" s="45" t="str">
        <f aca="false">IF(E441="","",IFERROR(INDEX(Vendor_Register!$B$5:$B$205,MATCH(E441,Vendor_Register!$A$5:$A$205,0)),"(not in register)"))</f>
        <v/>
      </c>
      <c r="G441" s="45" t="str">
        <f aca="false">IF(E441="","",IFERROR(INDEX(Vendor_Register!$E$5:$E$205,MATCH(E441,Vendor_Register!$A$5:$A$205,0)),"(not in register)"))</f>
        <v/>
      </c>
      <c r="H441" s="42"/>
      <c r="I441" s="42"/>
      <c r="J441" s="42"/>
      <c r="K441" s="42"/>
      <c r="L441" s="42"/>
      <c r="M441" s="46"/>
      <c r="N441" s="42"/>
      <c r="O441" s="47" t="str">
        <f aca="false">IF(NOT(ISNUMBER(M441)),"",IFERROR(IF(L441="EUR",M441,IF(L441="IRR",M441/INDEX('Assumptions &amp; FX Reference'!$C$5:$C$25,MATCH(H441,'Assumptions &amp; FX Reference'!$A$5:$A$25,0)),IF(L441="USD",M441*INDEX('Assumptions &amp; FX Reference'!$B$5:$B$25,MATCH(H441,'Assumptions &amp; FX Reference'!$A$5:$A$25,0))/INDEX('Assumptions &amp; FX Reference'!$C$5:$C$25,MATCH(H441,'Assumptions &amp; FX Reference'!$A$5:$A$25,0)),""))),"(FX missing)"))</f>
        <v/>
      </c>
      <c r="P441" s="42"/>
      <c r="Q441" s="42"/>
      <c r="R441" s="42"/>
      <c r="S441" s="42"/>
      <c r="T441" s="42"/>
      <c r="U441" s="42"/>
      <c r="V441" s="42"/>
    </row>
    <row r="442" customFormat="false" ht="15" hidden="false" customHeight="false" outlineLevel="0" collapsed="false">
      <c r="A442" s="42"/>
      <c r="B442" s="42"/>
      <c r="C442" s="45" t="str">
        <f aca="false">IF(B442="","",IFERROR(INDEX('Master Database'!$D$5:$D$600,MATCH(B442,'Master Database'!$A$5:$A$600,0)),"(row not found)"))</f>
        <v/>
      </c>
      <c r="D442" s="45" t="str">
        <f aca="false">IF(B442="","",IFERROR(INDEX('Master Database'!$B$5:$B$600,MATCH(B442,'Master Database'!$A$5:$A$600,0)),"(row not found)"))</f>
        <v/>
      </c>
      <c r="E442" s="42"/>
      <c r="F442" s="45" t="str">
        <f aca="false">IF(E442="","",IFERROR(INDEX(Vendor_Register!$B$5:$B$205,MATCH(E442,Vendor_Register!$A$5:$A$205,0)),"(not in register)"))</f>
        <v/>
      </c>
      <c r="G442" s="45" t="str">
        <f aca="false">IF(E442="","",IFERROR(INDEX(Vendor_Register!$E$5:$E$205,MATCH(E442,Vendor_Register!$A$5:$A$205,0)),"(not in register)"))</f>
        <v/>
      </c>
      <c r="H442" s="42"/>
      <c r="I442" s="42"/>
      <c r="J442" s="42"/>
      <c r="K442" s="42"/>
      <c r="L442" s="42"/>
      <c r="M442" s="46"/>
      <c r="N442" s="42"/>
      <c r="O442" s="47" t="str">
        <f aca="false">IF(NOT(ISNUMBER(M442)),"",IFERROR(IF(L442="EUR",M442,IF(L442="IRR",M442/INDEX('Assumptions &amp; FX Reference'!$C$5:$C$25,MATCH(H442,'Assumptions &amp; FX Reference'!$A$5:$A$25,0)),IF(L442="USD",M442*INDEX('Assumptions &amp; FX Reference'!$B$5:$B$25,MATCH(H442,'Assumptions &amp; FX Reference'!$A$5:$A$25,0))/INDEX('Assumptions &amp; FX Reference'!$C$5:$C$25,MATCH(H442,'Assumptions &amp; FX Reference'!$A$5:$A$25,0)),""))),"(FX missing)"))</f>
        <v/>
      </c>
      <c r="P442" s="42"/>
      <c r="Q442" s="42"/>
      <c r="R442" s="42"/>
      <c r="S442" s="42"/>
      <c r="T442" s="42"/>
      <c r="U442" s="42"/>
      <c r="V442" s="42"/>
    </row>
    <row r="443" customFormat="false" ht="15" hidden="false" customHeight="false" outlineLevel="0" collapsed="false">
      <c r="A443" s="42"/>
      <c r="B443" s="42"/>
      <c r="C443" s="45" t="str">
        <f aca="false">IF(B443="","",IFERROR(INDEX('Master Database'!$D$5:$D$600,MATCH(B443,'Master Database'!$A$5:$A$600,0)),"(row not found)"))</f>
        <v/>
      </c>
      <c r="D443" s="45" t="str">
        <f aca="false">IF(B443="","",IFERROR(INDEX('Master Database'!$B$5:$B$600,MATCH(B443,'Master Database'!$A$5:$A$600,0)),"(row not found)"))</f>
        <v/>
      </c>
      <c r="E443" s="42"/>
      <c r="F443" s="45" t="str">
        <f aca="false">IF(E443="","",IFERROR(INDEX(Vendor_Register!$B$5:$B$205,MATCH(E443,Vendor_Register!$A$5:$A$205,0)),"(not in register)"))</f>
        <v/>
      </c>
      <c r="G443" s="45" t="str">
        <f aca="false">IF(E443="","",IFERROR(INDEX(Vendor_Register!$E$5:$E$205,MATCH(E443,Vendor_Register!$A$5:$A$205,0)),"(not in register)"))</f>
        <v/>
      </c>
      <c r="H443" s="42"/>
      <c r="I443" s="42"/>
      <c r="J443" s="42"/>
      <c r="K443" s="42"/>
      <c r="L443" s="42"/>
      <c r="M443" s="46"/>
      <c r="N443" s="42"/>
      <c r="O443" s="47" t="str">
        <f aca="false">IF(NOT(ISNUMBER(M443)),"",IFERROR(IF(L443="EUR",M443,IF(L443="IRR",M443/INDEX('Assumptions &amp; FX Reference'!$C$5:$C$25,MATCH(H443,'Assumptions &amp; FX Reference'!$A$5:$A$25,0)),IF(L443="USD",M443*INDEX('Assumptions &amp; FX Reference'!$B$5:$B$25,MATCH(H443,'Assumptions &amp; FX Reference'!$A$5:$A$25,0))/INDEX('Assumptions &amp; FX Reference'!$C$5:$C$25,MATCH(H443,'Assumptions &amp; FX Reference'!$A$5:$A$25,0)),""))),"(FX missing)"))</f>
        <v/>
      </c>
      <c r="P443" s="42"/>
      <c r="Q443" s="42"/>
      <c r="R443" s="42"/>
      <c r="S443" s="42"/>
      <c r="T443" s="42"/>
      <c r="U443" s="42"/>
      <c r="V443" s="42"/>
    </row>
    <row r="444" customFormat="false" ht="15" hidden="false" customHeight="false" outlineLevel="0" collapsed="false">
      <c r="A444" s="42"/>
      <c r="B444" s="42"/>
      <c r="C444" s="45" t="str">
        <f aca="false">IF(B444="","",IFERROR(INDEX('Master Database'!$D$5:$D$600,MATCH(B444,'Master Database'!$A$5:$A$600,0)),"(row not found)"))</f>
        <v/>
      </c>
      <c r="D444" s="45" t="str">
        <f aca="false">IF(B444="","",IFERROR(INDEX('Master Database'!$B$5:$B$600,MATCH(B444,'Master Database'!$A$5:$A$600,0)),"(row not found)"))</f>
        <v/>
      </c>
      <c r="E444" s="42"/>
      <c r="F444" s="45" t="str">
        <f aca="false">IF(E444="","",IFERROR(INDEX(Vendor_Register!$B$5:$B$205,MATCH(E444,Vendor_Register!$A$5:$A$205,0)),"(not in register)"))</f>
        <v/>
      </c>
      <c r="G444" s="45" t="str">
        <f aca="false">IF(E444="","",IFERROR(INDEX(Vendor_Register!$E$5:$E$205,MATCH(E444,Vendor_Register!$A$5:$A$205,0)),"(not in register)"))</f>
        <v/>
      </c>
      <c r="H444" s="42"/>
      <c r="I444" s="42"/>
      <c r="J444" s="42"/>
      <c r="K444" s="42"/>
      <c r="L444" s="42"/>
      <c r="M444" s="46"/>
      <c r="N444" s="42"/>
      <c r="O444" s="47" t="str">
        <f aca="false">IF(NOT(ISNUMBER(M444)),"",IFERROR(IF(L444="EUR",M444,IF(L444="IRR",M444/INDEX('Assumptions &amp; FX Reference'!$C$5:$C$25,MATCH(H444,'Assumptions &amp; FX Reference'!$A$5:$A$25,0)),IF(L444="USD",M444*INDEX('Assumptions &amp; FX Reference'!$B$5:$B$25,MATCH(H444,'Assumptions &amp; FX Reference'!$A$5:$A$25,0))/INDEX('Assumptions &amp; FX Reference'!$C$5:$C$25,MATCH(H444,'Assumptions &amp; FX Reference'!$A$5:$A$25,0)),""))),"(FX missing)"))</f>
        <v/>
      </c>
      <c r="P444" s="42"/>
      <c r="Q444" s="42"/>
      <c r="R444" s="42"/>
      <c r="S444" s="42"/>
      <c r="T444" s="42"/>
      <c r="U444" s="42"/>
      <c r="V444" s="42"/>
    </row>
    <row r="445" customFormat="false" ht="15" hidden="false" customHeight="false" outlineLevel="0" collapsed="false">
      <c r="A445" s="42"/>
      <c r="B445" s="42"/>
      <c r="C445" s="45" t="str">
        <f aca="false">IF(B445="","",IFERROR(INDEX('Master Database'!$D$5:$D$600,MATCH(B445,'Master Database'!$A$5:$A$600,0)),"(row not found)"))</f>
        <v/>
      </c>
      <c r="D445" s="45" t="str">
        <f aca="false">IF(B445="","",IFERROR(INDEX('Master Database'!$B$5:$B$600,MATCH(B445,'Master Database'!$A$5:$A$600,0)),"(row not found)"))</f>
        <v/>
      </c>
      <c r="E445" s="42"/>
      <c r="F445" s="45" t="str">
        <f aca="false">IF(E445="","",IFERROR(INDEX(Vendor_Register!$B$5:$B$205,MATCH(E445,Vendor_Register!$A$5:$A$205,0)),"(not in register)"))</f>
        <v/>
      </c>
      <c r="G445" s="45" t="str">
        <f aca="false">IF(E445="","",IFERROR(INDEX(Vendor_Register!$E$5:$E$205,MATCH(E445,Vendor_Register!$A$5:$A$205,0)),"(not in register)"))</f>
        <v/>
      </c>
      <c r="H445" s="42"/>
      <c r="I445" s="42"/>
      <c r="J445" s="42"/>
      <c r="K445" s="42"/>
      <c r="L445" s="42"/>
      <c r="M445" s="46"/>
      <c r="N445" s="42"/>
      <c r="O445" s="47" t="str">
        <f aca="false">IF(NOT(ISNUMBER(M445)),"",IFERROR(IF(L445="EUR",M445,IF(L445="IRR",M445/INDEX('Assumptions &amp; FX Reference'!$C$5:$C$25,MATCH(H445,'Assumptions &amp; FX Reference'!$A$5:$A$25,0)),IF(L445="USD",M445*INDEX('Assumptions &amp; FX Reference'!$B$5:$B$25,MATCH(H445,'Assumptions &amp; FX Reference'!$A$5:$A$25,0))/INDEX('Assumptions &amp; FX Reference'!$C$5:$C$25,MATCH(H445,'Assumptions &amp; FX Reference'!$A$5:$A$25,0)),""))),"(FX missing)"))</f>
        <v/>
      </c>
      <c r="P445" s="42"/>
      <c r="Q445" s="42"/>
      <c r="R445" s="42"/>
      <c r="S445" s="42"/>
      <c r="T445" s="42"/>
      <c r="U445" s="42"/>
      <c r="V445" s="42"/>
    </row>
    <row r="446" customFormat="false" ht="15" hidden="false" customHeight="false" outlineLevel="0" collapsed="false">
      <c r="A446" s="42"/>
      <c r="B446" s="42"/>
      <c r="C446" s="45" t="str">
        <f aca="false">IF(B446="","",IFERROR(INDEX('Master Database'!$D$5:$D$600,MATCH(B446,'Master Database'!$A$5:$A$600,0)),"(row not found)"))</f>
        <v/>
      </c>
      <c r="D446" s="45" t="str">
        <f aca="false">IF(B446="","",IFERROR(INDEX('Master Database'!$B$5:$B$600,MATCH(B446,'Master Database'!$A$5:$A$600,0)),"(row not found)"))</f>
        <v/>
      </c>
      <c r="E446" s="42"/>
      <c r="F446" s="45" t="str">
        <f aca="false">IF(E446="","",IFERROR(INDEX(Vendor_Register!$B$5:$B$205,MATCH(E446,Vendor_Register!$A$5:$A$205,0)),"(not in register)"))</f>
        <v/>
      </c>
      <c r="G446" s="45" t="str">
        <f aca="false">IF(E446="","",IFERROR(INDEX(Vendor_Register!$E$5:$E$205,MATCH(E446,Vendor_Register!$A$5:$A$205,0)),"(not in register)"))</f>
        <v/>
      </c>
      <c r="H446" s="42"/>
      <c r="I446" s="42"/>
      <c r="J446" s="42"/>
      <c r="K446" s="42"/>
      <c r="L446" s="42"/>
      <c r="M446" s="46"/>
      <c r="N446" s="42"/>
      <c r="O446" s="47" t="str">
        <f aca="false">IF(NOT(ISNUMBER(M446)),"",IFERROR(IF(L446="EUR",M446,IF(L446="IRR",M446/INDEX('Assumptions &amp; FX Reference'!$C$5:$C$25,MATCH(H446,'Assumptions &amp; FX Reference'!$A$5:$A$25,0)),IF(L446="USD",M446*INDEX('Assumptions &amp; FX Reference'!$B$5:$B$25,MATCH(H446,'Assumptions &amp; FX Reference'!$A$5:$A$25,0))/INDEX('Assumptions &amp; FX Reference'!$C$5:$C$25,MATCH(H446,'Assumptions &amp; FX Reference'!$A$5:$A$25,0)),""))),"(FX missing)"))</f>
        <v/>
      </c>
      <c r="P446" s="42"/>
      <c r="Q446" s="42"/>
      <c r="R446" s="42"/>
      <c r="S446" s="42"/>
      <c r="T446" s="42"/>
      <c r="U446" s="42"/>
      <c r="V446" s="42"/>
    </row>
    <row r="447" customFormat="false" ht="15" hidden="false" customHeight="false" outlineLevel="0" collapsed="false">
      <c r="A447" s="42"/>
      <c r="B447" s="42"/>
      <c r="C447" s="45" t="str">
        <f aca="false">IF(B447="","",IFERROR(INDEX('Master Database'!$D$5:$D$600,MATCH(B447,'Master Database'!$A$5:$A$600,0)),"(row not found)"))</f>
        <v/>
      </c>
      <c r="D447" s="45" t="str">
        <f aca="false">IF(B447="","",IFERROR(INDEX('Master Database'!$B$5:$B$600,MATCH(B447,'Master Database'!$A$5:$A$600,0)),"(row not found)"))</f>
        <v/>
      </c>
      <c r="E447" s="42"/>
      <c r="F447" s="45" t="str">
        <f aca="false">IF(E447="","",IFERROR(INDEX(Vendor_Register!$B$5:$B$205,MATCH(E447,Vendor_Register!$A$5:$A$205,0)),"(not in register)"))</f>
        <v/>
      </c>
      <c r="G447" s="45" t="str">
        <f aca="false">IF(E447="","",IFERROR(INDEX(Vendor_Register!$E$5:$E$205,MATCH(E447,Vendor_Register!$A$5:$A$205,0)),"(not in register)"))</f>
        <v/>
      </c>
      <c r="H447" s="42"/>
      <c r="I447" s="42"/>
      <c r="J447" s="42"/>
      <c r="K447" s="42"/>
      <c r="L447" s="42"/>
      <c r="M447" s="46"/>
      <c r="N447" s="42"/>
      <c r="O447" s="47" t="str">
        <f aca="false">IF(NOT(ISNUMBER(M447)),"",IFERROR(IF(L447="EUR",M447,IF(L447="IRR",M447/INDEX('Assumptions &amp; FX Reference'!$C$5:$C$25,MATCH(H447,'Assumptions &amp; FX Reference'!$A$5:$A$25,0)),IF(L447="USD",M447*INDEX('Assumptions &amp; FX Reference'!$B$5:$B$25,MATCH(H447,'Assumptions &amp; FX Reference'!$A$5:$A$25,0))/INDEX('Assumptions &amp; FX Reference'!$C$5:$C$25,MATCH(H447,'Assumptions &amp; FX Reference'!$A$5:$A$25,0)),""))),"(FX missing)"))</f>
        <v/>
      </c>
      <c r="P447" s="42"/>
      <c r="Q447" s="42"/>
      <c r="R447" s="42"/>
      <c r="S447" s="42"/>
      <c r="T447" s="42"/>
      <c r="U447" s="42"/>
      <c r="V447" s="42"/>
    </row>
    <row r="448" customFormat="false" ht="15" hidden="false" customHeight="false" outlineLevel="0" collapsed="false">
      <c r="A448" s="42"/>
      <c r="B448" s="42"/>
      <c r="C448" s="45" t="str">
        <f aca="false">IF(B448="","",IFERROR(INDEX('Master Database'!$D$5:$D$600,MATCH(B448,'Master Database'!$A$5:$A$600,0)),"(row not found)"))</f>
        <v/>
      </c>
      <c r="D448" s="45" t="str">
        <f aca="false">IF(B448="","",IFERROR(INDEX('Master Database'!$B$5:$B$600,MATCH(B448,'Master Database'!$A$5:$A$600,0)),"(row not found)"))</f>
        <v/>
      </c>
      <c r="E448" s="42"/>
      <c r="F448" s="45" t="str">
        <f aca="false">IF(E448="","",IFERROR(INDEX(Vendor_Register!$B$5:$B$205,MATCH(E448,Vendor_Register!$A$5:$A$205,0)),"(not in register)"))</f>
        <v/>
      </c>
      <c r="G448" s="45" t="str">
        <f aca="false">IF(E448="","",IFERROR(INDEX(Vendor_Register!$E$5:$E$205,MATCH(E448,Vendor_Register!$A$5:$A$205,0)),"(not in register)"))</f>
        <v/>
      </c>
      <c r="H448" s="42"/>
      <c r="I448" s="42"/>
      <c r="J448" s="42"/>
      <c r="K448" s="42"/>
      <c r="L448" s="42"/>
      <c r="M448" s="46"/>
      <c r="N448" s="42"/>
      <c r="O448" s="47" t="str">
        <f aca="false">IF(NOT(ISNUMBER(M448)),"",IFERROR(IF(L448="EUR",M448,IF(L448="IRR",M448/INDEX('Assumptions &amp; FX Reference'!$C$5:$C$25,MATCH(H448,'Assumptions &amp; FX Reference'!$A$5:$A$25,0)),IF(L448="USD",M448*INDEX('Assumptions &amp; FX Reference'!$B$5:$B$25,MATCH(H448,'Assumptions &amp; FX Reference'!$A$5:$A$25,0))/INDEX('Assumptions &amp; FX Reference'!$C$5:$C$25,MATCH(H448,'Assumptions &amp; FX Reference'!$A$5:$A$25,0)),""))),"(FX missing)"))</f>
        <v/>
      </c>
      <c r="P448" s="42"/>
      <c r="Q448" s="42"/>
      <c r="R448" s="42"/>
      <c r="S448" s="42"/>
      <c r="T448" s="42"/>
      <c r="U448" s="42"/>
      <c r="V448" s="42"/>
    </row>
    <row r="449" customFormat="false" ht="15" hidden="false" customHeight="false" outlineLevel="0" collapsed="false">
      <c r="A449" s="42"/>
      <c r="B449" s="42"/>
      <c r="C449" s="45" t="str">
        <f aca="false">IF(B449="","",IFERROR(INDEX('Master Database'!$D$5:$D$600,MATCH(B449,'Master Database'!$A$5:$A$600,0)),"(row not found)"))</f>
        <v/>
      </c>
      <c r="D449" s="45" t="str">
        <f aca="false">IF(B449="","",IFERROR(INDEX('Master Database'!$B$5:$B$600,MATCH(B449,'Master Database'!$A$5:$A$600,0)),"(row not found)"))</f>
        <v/>
      </c>
      <c r="E449" s="42"/>
      <c r="F449" s="45" t="str">
        <f aca="false">IF(E449="","",IFERROR(INDEX(Vendor_Register!$B$5:$B$205,MATCH(E449,Vendor_Register!$A$5:$A$205,0)),"(not in register)"))</f>
        <v/>
      </c>
      <c r="G449" s="45" t="str">
        <f aca="false">IF(E449="","",IFERROR(INDEX(Vendor_Register!$E$5:$E$205,MATCH(E449,Vendor_Register!$A$5:$A$205,0)),"(not in register)"))</f>
        <v/>
      </c>
      <c r="H449" s="42"/>
      <c r="I449" s="42"/>
      <c r="J449" s="42"/>
      <c r="K449" s="42"/>
      <c r="L449" s="42"/>
      <c r="M449" s="46"/>
      <c r="N449" s="42"/>
      <c r="O449" s="47" t="str">
        <f aca="false">IF(NOT(ISNUMBER(M449)),"",IFERROR(IF(L449="EUR",M449,IF(L449="IRR",M449/INDEX('Assumptions &amp; FX Reference'!$C$5:$C$25,MATCH(H449,'Assumptions &amp; FX Reference'!$A$5:$A$25,0)),IF(L449="USD",M449*INDEX('Assumptions &amp; FX Reference'!$B$5:$B$25,MATCH(H449,'Assumptions &amp; FX Reference'!$A$5:$A$25,0))/INDEX('Assumptions &amp; FX Reference'!$C$5:$C$25,MATCH(H449,'Assumptions &amp; FX Reference'!$A$5:$A$25,0)),""))),"(FX missing)"))</f>
        <v/>
      </c>
      <c r="P449" s="42"/>
      <c r="Q449" s="42"/>
      <c r="R449" s="42"/>
      <c r="S449" s="42"/>
      <c r="T449" s="42"/>
      <c r="U449" s="42"/>
      <c r="V449" s="42"/>
    </row>
    <row r="450" customFormat="false" ht="15" hidden="false" customHeight="false" outlineLevel="0" collapsed="false">
      <c r="A450" s="42"/>
      <c r="B450" s="42"/>
      <c r="C450" s="45" t="str">
        <f aca="false">IF(B450="","",IFERROR(INDEX('Master Database'!$D$5:$D$600,MATCH(B450,'Master Database'!$A$5:$A$600,0)),"(row not found)"))</f>
        <v/>
      </c>
      <c r="D450" s="45" t="str">
        <f aca="false">IF(B450="","",IFERROR(INDEX('Master Database'!$B$5:$B$600,MATCH(B450,'Master Database'!$A$5:$A$600,0)),"(row not found)"))</f>
        <v/>
      </c>
      <c r="E450" s="42"/>
      <c r="F450" s="45" t="str">
        <f aca="false">IF(E450="","",IFERROR(INDEX(Vendor_Register!$B$5:$B$205,MATCH(E450,Vendor_Register!$A$5:$A$205,0)),"(not in register)"))</f>
        <v/>
      </c>
      <c r="G450" s="45" t="str">
        <f aca="false">IF(E450="","",IFERROR(INDEX(Vendor_Register!$E$5:$E$205,MATCH(E450,Vendor_Register!$A$5:$A$205,0)),"(not in register)"))</f>
        <v/>
      </c>
      <c r="H450" s="42"/>
      <c r="I450" s="42"/>
      <c r="J450" s="42"/>
      <c r="K450" s="42"/>
      <c r="L450" s="42"/>
      <c r="M450" s="46"/>
      <c r="N450" s="42"/>
      <c r="O450" s="47" t="str">
        <f aca="false">IF(NOT(ISNUMBER(M450)),"",IFERROR(IF(L450="EUR",M450,IF(L450="IRR",M450/INDEX('Assumptions &amp; FX Reference'!$C$5:$C$25,MATCH(H450,'Assumptions &amp; FX Reference'!$A$5:$A$25,0)),IF(L450="USD",M450*INDEX('Assumptions &amp; FX Reference'!$B$5:$B$25,MATCH(H450,'Assumptions &amp; FX Reference'!$A$5:$A$25,0))/INDEX('Assumptions &amp; FX Reference'!$C$5:$C$25,MATCH(H450,'Assumptions &amp; FX Reference'!$A$5:$A$25,0)),""))),"(FX missing)"))</f>
        <v/>
      </c>
      <c r="P450" s="42"/>
      <c r="Q450" s="42"/>
      <c r="R450" s="42"/>
      <c r="S450" s="42"/>
      <c r="T450" s="42"/>
      <c r="U450" s="42"/>
      <c r="V450" s="42"/>
    </row>
    <row r="451" customFormat="false" ht="15" hidden="false" customHeight="false" outlineLevel="0" collapsed="false">
      <c r="A451" s="42"/>
      <c r="B451" s="42"/>
      <c r="C451" s="45" t="str">
        <f aca="false">IF(B451="","",IFERROR(INDEX('Master Database'!$D$5:$D$600,MATCH(B451,'Master Database'!$A$5:$A$600,0)),"(row not found)"))</f>
        <v/>
      </c>
      <c r="D451" s="45" t="str">
        <f aca="false">IF(B451="","",IFERROR(INDEX('Master Database'!$B$5:$B$600,MATCH(B451,'Master Database'!$A$5:$A$600,0)),"(row not found)"))</f>
        <v/>
      </c>
      <c r="E451" s="42"/>
      <c r="F451" s="45" t="str">
        <f aca="false">IF(E451="","",IFERROR(INDEX(Vendor_Register!$B$5:$B$205,MATCH(E451,Vendor_Register!$A$5:$A$205,0)),"(not in register)"))</f>
        <v/>
      </c>
      <c r="G451" s="45" t="str">
        <f aca="false">IF(E451="","",IFERROR(INDEX(Vendor_Register!$E$5:$E$205,MATCH(E451,Vendor_Register!$A$5:$A$205,0)),"(not in register)"))</f>
        <v/>
      </c>
      <c r="H451" s="42"/>
      <c r="I451" s="42"/>
      <c r="J451" s="42"/>
      <c r="K451" s="42"/>
      <c r="L451" s="42"/>
      <c r="M451" s="46"/>
      <c r="N451" s="42"/>
      <c r="O451" s="47" t="str">
        <f aca="false">IF(NOT(ISNUMBER(M451)),"",IFERROR(IF(L451="EUR",M451,IF(L451="IRR",M451/INDEX('Assumptions &amp; FX Reference'!$C$5:$C$25,MATCH(H451,'Assumptions &amp; FX Reference'!$A$5:$A$25,0)),IF(L451="USD",M451*INDEX('Assumptions &amp; FX Reference'!$B$5:$B$25,MATCH(H451,'Assumptions &amp; FX Reference'!$A$5:$A$25,0))/INDEX('Assumptions &amp; FX Reference'!$C$5:$C$25,MATCH(H451,'Assumptions &amp; FX Reference'!$A$5:$A$25,0)),""))),"(FX missing)"))</f>
        <v/>
      </c>
      <c r="P451" s="42"/>
      <c r="Q451" s="42"/>
      <c r="R451" s="42"/>
      <c r="S451" s="42"/>
      <c r="T451" s="42"/>
      <c r="U451" s="42"/>
      <c r="V451" s="42"/>
    </row>
    <row r="452" customFormat="false" ht="15" hidden="false" customHeight="false" outlineLevel="0" collapsed="false">
      <c r="A452" s="42"/>
      <c r="B452" s="42"/>
      <c r="C452" s="45" t="str">
        <f aca="false">IF(B452="","",IFERROR(INDEX('Master Database'!$D$5:$D$600,MATCH(B452,'Master Database'!$A$5:$A$600,0)),"(row not found)"))</f>
        <v/>
      </c>
      <c r="D452" s="45" t="str">
        <f aca="false">IF(B452="","",IFERROR(INDEX('Master Database'!$B$5:$B$600,MATCH(B452,'Master Database'!$A$5:$A$600,0)),"(row not found)"))</f>
        <v/>
      </c>
      <c r="E452" s="42"/>
      <c r="F452" s="45" t="str">
        <f aca="false">IF(E452="","",IFERROR(INDEX(Vendor_Register!$B$5:$B$205,MATCH(E452,Vendor_Register!$A$5:$A$205,0)),"(not in register)"))</f>
        <v/>
      </c>
      <c r="G452" s="45" t="str">
        <f aca="false">IF(E452="","",IFERROR(INDEX(Vendor_Register!$E$5:$E$205,MATCH(E452,Vendor_Register!$A$5:$A$205,0)),"(not in register)"))</f>
        <v/>
      </c>
      <c r="H452" s="42"/>
      <c r="I452" s="42"/>
      <c r="J452" s="42"/>
      <c r="K452" s="42"/>
      <c r="L452" s="42"/>
      <c r="M452" s="46"/>
      <c r="N452" s="42"/>
      <c r="O452" s="47" t="str">
        <f aca="false">IF(NOT(ISNUMBER(M452)),"",IFERROR(IF(L452="EUR",M452,IF(L452="IRR",M452/INDEX('Assumptions &amp; FX Reference'!$C$5:$C$25,MATCH(H452,'Assumptions &amp; FX Reference'!$A$5:$A$25,0)),IF(L452="USD",M452*INDEX('Assumptions &amp; FX Reference'!$B$5:$B$25,MATCH(H452,'Assumptions &amp; FX Reference'!$A$5:$A$25,0))/INDEX('Assumptions &amp; FX Reference'!$C$5:$C$25,MATCH(H452,'Assumptions &amp; FX Reference'!$A$5:$A$25,0)),""))),"(FX missing)"))</f>
        <v/>
      </c>
      <c r="P452" s="42"/>
      <c r="Q452" s="42"/>
      <c r="R452" s="42"/>
      <c r="S452" s="42"/>
      <c r="T452" s="42"/>
      <c r="U452" s="42"/>
      <c r="V452" s="42"/>
    </row>
    <row r="453" customFormat="false" ht="15" hidden="false" customHeight="false" outlineLevel="0" collapsed="false">
      <c r="A453" s="42"/>
      <c r="B453" s="42"/>
      <c r="C453" s="45" t="str">
        <f aca="false">IF(B453="","",IFERROR(INDEX('Master Database'!$D$5:$D$600,MATCH(B453,'Master Database'!$A$5:$A$600,0)),"(row not found)"))</f>
        <v/>
      </c>
      <c r="D453" s="45" t="str">
        <f aca="false">IF(B453="","",IFERROR(INDEX('Master Database'!$B$5:$B$600,MATCH(B453,'Master Database'!$A$5:$A$600,0)),"(row not found)"))</f>
        <v/>
      </c>
      <c r="E453" s="42"/>
      <c r="F453" s="45" t="str">
        <f aca="false">IF(E453="","",IFERROR(INDEX(Vendor_Register!$B$5:$B$205,MATCH(E453,Vendor_Register!$A$5:$A$205,0)),"(not in register)"))</f>
        <v/>
      </c>
      <c r="G453" s="45" t="str">
        <f aca="false">IF(E453="","",IFERROR(INDEX(Vendor_Register!$E$5:$E$205,MATCH(E453,Vendor_Register!$A$5:$A$205,0)),"(not in register)"))</f>
        <v/>
      </c>
      <c r="H453" s="42"/>
      <c r="I453" s="42"/>
      <c r="J453" s="42"/>
      <c r="K453" s="42"/>
      <c r="L453" s="42"/>
      <c r="M453" s="46"/>
      <c r="N453" s="42"/>
      <c r="O453" s="47" t="str">
        <f aca="false">IF(NOT(ISNUMBER(M453)),"",IFERROR(IF(L453="EUR",M453,IF(L453="IRR",M453/INDEX('Assumptions &amp; FX Reference'!$C$5:$C$25,MATCH(H453,'Assumptions &amp; FX Reference'!$A$5:$A$25,0)),IF(L453="USD",M453*INDEX('Assumptions &amp; FX Reference'!$B$5:$B$25,MATCH(H453,'Assumptions &amp; FX Reference'!$A$5:$A$25,0))/INDEX('Assumptions &amp; FX Reference'!$C$5:$C$25,MATCH(H453,'Assumptions &amp; FX Reference'!$A$5:$A$25,0)),""))),"(FX missing)"))</f>
        <v/>
      </c>
      <c r="P453" s="42"/>
      <c r="Q453" s="42"/>
      <c r="R453" s="42"/>
      <c r="S453" s="42"/>
      <c r="T453" s="42"/>
      <c r="U453" s="42"/>
      <c r="V453" s="42"/>
    </row>
    <row r="454" customFormat="false" ht="15" hidden="false" customHeight="false" outlineLevel="0" collapsed="false">
      <c r="A454" s="42"/>
      <c r="B454" s="42"/>
      <c r="C454" s="45" t="str">
        <f aca="false">IF(B454="","",IFERROR(INDEX('Master Database'!$D$5:$D$600,MATCH(B454,'Master Database'!$A$5:$A$600,0)),"(row not found)"))</f>
        <v/>
      </c>
      <c r="D454" s="45" t="str">
        <f aca="false">IF(B454="","",IFERROR(INDEX('Master Database'!$B$5:$B$600,MATCH(B454,'Master Database'!$A$5:$A$600,0)),"(row not found)"))</f>
        <v/>
      </c>
      <c r="E454" s="42"/>
      <c r="F454" s="45" t="str">
        <f aca="false">IF(E454="","",IFERROR(INDEX(Vendor_Register!$B$5:$B$205,MATCH(E454,Vendor_Register!$A$5:$A$205,0)),"(not in register)"))</f>
        <v/>
      </c>
      <c r="G454" s="45" t="str">
        <f aca="false">IF(E454="","",IFERROR(INDEX(Vendor_Register!$E$5:$E$205,MATCH(E454,Vendor_Register!$A$5:$A$205,0)),"(not in register)"))</f>
        <v/>
      </c>
      <c r="H454" s="42"/>
      <c r="I454" s="42"/>
      <c r="J454" s="42"/>
      <c r="K454" s="42"/>
      <c r="L454" s="42"/>
      <c r="M454" s="46"/>
      <c r="N454" s="42"/>
      <c r="O454" s="47" t="str">
        <f aca="false">IF(NOT(ISNUMBER(M454)),"",IFERROR(IF(L454="EUR",M454,IF(L454="IRR",M454/INDEX('Assumptions &amp; FX Reference'!$C$5:$C$25,MATCH(H454,'Assumptions &amp; FX Reference'!$A$5:$A$25,0)),IF(L454="USD",M454*INDEX('Assumptions &amp; FX Reference'!$B$5:$B$25,MATCH(H454,'Assumptions &amp; FX Reference'!$A$5:$A$25,0))/INDEX('Assumptions &amp; FX Reference'!$C$5:$C$25,MATCH(H454,'Assumptions &amp; FX Reference'!$A$5:$A$25,0)),""))),"(FX missing)"))</f>
        <v/>
      </c>
      <c r="P454" s="42"/>
      <c r="Q454" s="42"/>
      <c r="R454" s="42"/>
      <c r="S454" s="42"/>
      <c r="T454" s="42"/>
      <c r="U454" s="42"/>
      <c r="V454" s="42"/>
    </row>
    <row r="455" customFormat="false" ht="15" hidden="false" customHeight="false" outlineLevel="0" collapsed="false">
      <c r="A455" s="42"/>
      <c r="B455" s="42"/>
      <c r="C455" s="45" t="str">
        <f aca="false">IF(B455="","",IFERROR(INDEX('Master Database'!$D$5:$D$600,MATCH(B455,'Master Database'!$A$5:$A$600,0)),"(row not found)"))</f>
        <v/>
      </c>
      <c r="D455" s="45" t="str">
        <f aca="false">IF(B455="","",IFERROR(INDEX('Master Database'!$B$5:$B$600,MATCH(B455,'Master Database'!$A$5:$A$600,0)),"(row not found)"))</f>
        <v/>
      </c>
      <c r="E455" s="42"/>
      <c r="F455" s="45" t="str">
        <f aca="false">IF(E455="","",IFERROR(INDEX(Vendor_Register!$B$5:$B$205,MATCH(E455,Vendor_Register!$A$5:$A$205,0)),"(not in register)"))</f>
        <v/>
      </c>
      <c r="G455" s="45" t="str">
        <f aca="false">IF(E455="","",IFERROR(INDEX(Vendor_Register!$E$5:$E$205,MATCH(E455,Vendor_Register!$A$5:$A$205,0)),"(not in register)"))</f>
        <v/>
      </c>
      <c r="H455" s="42"/>
      <c r="I455" s="42"/>
      <c r="J455" s="42"/>
      <c r="K455" s="42"/>
      <c r="L455" s="42"/>
      <c r="M455" s="46"/>
      <c r="N455" s="42"/>
      <c r="O455" s="47" t="str">
        <f aca="false">IF(NOT(ISNUMBER(M455)),"",IFERROR(IF(L455="EUR",M455,IF(L455="IRR",M455/INDEX('Assumptions &amp; FX Reference'!$C$5:$C$25,MATCH(H455,'Assumptions &amp; FX Reference'!$A$5:$A$25,0)),IF(L455="USD",M455*INDEX('Assumptions &amp; FX Reference'!$B$5:$B$25,MATCH(H455,'Assumptions &amp; FX Reference'!$A$5:$A$25,0))/INDEX('Assumptions &amp; FX Reference'!$C$5:$C$25,MATCH(H455,'Assumptions &amp; FX Reference'!$A$5:$A$25,0)),""))),"(FX missing)"))</f>
        <v/>
      </c>
      <c r="P455" s="42"/>
      <c r="Q455" s="42"/>
      <c r="R455" s="42"/>
      <c r="S455" s="42"/>
      <c r="T455" s="42"/>
      <c r="U455" s="42"/>
      <c r="V455" s="42"/>
    </row>
    <row r="456" customFormat="false" ht="15" hidden="false" customHeight="false" outlineLevel="0" collapsed="false">
      <c r="A456" s="42"/>
      <c r="B456" s="42"/>
      <c r="C456" s="45" t="str">
        <f aca="false">IF(B456="","",IFERROR(INDEX('Master Database'!$D$5:$D$600,MATCH(B456,'Master Database'!$A$5:$A$600,0)),"(row not found)"))</f>
        <v/>
      </c>
      <c r="D456" s="45" t="str">
        <f aca="false">IF(B456="","",IFERROR(INDEX('Master Database'!$B$5:$B$600,MATCH(B456,'Master Database'!$A$5:$A$600,0)),"(row not found)"))</f>
        <v/>
      </c>
      <c r="E456" s="42"/>
      <c r="F456" s="45" t="str">
        <f aca="false">IF(E456="","",IFERROR(INDEX(Vendor_Register!$B$5:$B$205,MATCH(E456,Vendor_Register!$A$5:$A$205,0)),"(not in register)"))</f>
        <v/>
      </c>
      <c r="G456" s="45" t="str">
        <f aca="false">IF(E456="","",IFERROR(INDEX(Vendor_Register!$E$5:$E$205,MATCH(E456,Vendor_Register!$A$5:$A$205,0)),"(not in register)"))</f>
        <v/>
      </c>
      <c r="H456" s="42"/>
      <c r="I456" s="42"/>
      <c r="J456" s="42"/>
      <c r="K456" s="42"/>
      <c r="L456" s="42"/>
      <c r="M456" s="46"/>
      <c r="N456" s="42"/>
      <c r="O456" s="47" t="str">
        <f aca="false">IF(NOT(ISNUMBER(M456)),"",IFERROR(IF(L456="EUR",M456,IF(L456="IRR",M456/INDEX('Assumptions &amp; FX Reference'!$C$5:$C$25,MATCH(H456,'Assumptions &amp; FX Reference'!$A$5:$A$25,0)),IF(L456="USD",M456*INDEX('Assumptions &amp; FX Reference'!$B$5:$B$25,MATCH(H456,'Assumptions &amp; FX Reference'!$A$5:$A$25,0))/INDEX('Assumptions &amp; FX Reference'!$C$5:$C$25,MATCH(H456,'Assumptions &amp; FX Reference'!$A$5:$A$25,0)),""))),"(FX missing)"))</f>
        <v/>
      </c>
      <c r="P456" s="42"/>
      <c r="Q456" s="42"/>
      <c r="R456" s="42"/>
      <c r="S456" s="42"/>
      <c r="T456" s="42"/>
      <c r="U456" s="42"/>
      <c r="V456" s="42"/>
    </row>
    <row r="457" customFormat="false" ht="15" hidden="false" customHeight="false" outlineLevel="0" collapsed="false">
      <c r="A457" s="42"/>
      <c r="B457" s="42"/>
      <c r="C457" s="45" t="str">
        <f aca="false">IF(B457="","",IFERROR(INDEX('Master Database'!$D$5:$D$600,MATCH(B457,'Master Database'!$A$5:$A$600,0)),"(row not found)"))</f>
        <v/>
      </c>
      <c r="D457" s="45" t="str">
        <f aca="false">IF(B457="","",IFERROR(INDEX('Master Database'!$B$5:$B$600,MATCH(B457,'Master Database'!$A$5:$A$600,0)),"(row not found)"))</f>
        <v/>
      </c>
      <c r="E457" s="42"/>
      <c r="F457" s="45" t="str">
        <f aca="false">IF(E457="","",IFERROR(INDEX(Vendor_Register!$B$5:$B$205,MATCH(E457,Vendor_Register!$A$5:$A$205,0)),"(not in register)"))</f>
        <v/>
      </c>
      <c r="G457" s="45" t="str">
        <f aca="false">IF(E457="","",IFERROR(INDEX(Vendor_Register!$E$5:$E$205,MATCH(E457,Vendor_Register!$A$5:$A$205,0)),"(not in register)"))</f>
        <v/>
      </c>
      <c r="H457" s="42"/>
      <c r="I457" s="42"/>
      <c r="J457" s="42"/>
      <c r="K457" s="42"/>
      <c r="L457" s="42"/>
      <c r="M457" s="46"/>
      <c r="N457" s="42"/>
      <c r="O457" s="47" t="str">
        <f aca="false">IF(NOT(ISNUMBER(M457)),"",IFERROR(IF(L457="EUR",M457,IF(L457="IRR",M457/INDEX('Assumptions &amp; FX Reference'!$C$5:$C$25,MATCH(H457,'Assumptions &amp; FX Reference'!$A$5:$A$25,0)),IF(L457="USD",M457*INDEX('Assumptions &amp; FX Reference'!$B$5:$B$25,MATCH(H457,'Assumptions &amp; FX Reference'!$A$5:$A$25,0))/INDEX('Assumptions &amp; FX Reference'!$C$5:$C$25,MATCH(H457,'Assumptions &amp; FX Reference'!$A$5:$A$25,0)),""))),"(FX missing)"))</f>
        <v/>
      </c>
      <c r="P457" s="42"/>
      <c r="Q457" s="42"/>
      <c r="R457" s="42"/>
      <c r="S457" s="42"/>
      <c r="T457" s="42"/>
      <c r="U457" s="42"/>
      <c r="V457" s="42"/>
    </row>
    <row r="458" customFormat="false" ht="15" hidden="false" customHeight="false" outlineLevel="0" collapsed="false">
      <c r="A458" s="42"/>
      <c r="B458" s="42"/>
      <c r="C458" s="45" t="str">
        <f aca="false">IF(B458="","",IFERROR(INDEX('Master Database'!$D$5:$D$600,MATCH(B458,'Master Database'!$A$5:$A$600,0)),"(row not found)"))</f>
        <v/>
      </c>
      <c r="D458" s="45" t="str">
        <f aca="false">IF(B458="","",IFERROR(INDEX('Master Database'!$B$5:$B$600,MATCH(B458,'Master Database'!$A$5:$A$600,0)),"(row not found)"))</f>
        <v/>
      </c>
      <c r="E458" s="42"/>
      <c r="F458" s="45" t="str">
        <f aca="false">IF(E458="","",IFERROR(INDEX(Vendor_Register!$B$5:$B$205,MATCH(E458,Vendor_Register!$A$5:$A$205,0)),"(not in register)"))</f>
        <v/>
      </c>
      <c r="G458" s="45" t="str">
        <f aca="false">IF(E458="","",IFERROR(INDEX(Vendor_Register!$E$5:$E$205,MATCH(E458,Vendor_Register!$A$5:$A$205,0)),"(not in register)"))</f>
        <v/>
      </c>
      <c r="H458" s="42"/>
      <c r="I458" s="42"/>
      <c r="J458" s="42"/>
      <c r="K458" s="42"/>
      <c r="L458" s="42"/>
      <c r="M458" s="46"/>
      <c r="N458" s="42"/>
      <c r="O458" s="47" t="str">
        <f aca="false">IF(NOT(ISNUMBER(M458)),"",IFERROR(IF(L458="EUR",M458,IF(L458="IRR",M458/INDEX('Assumptions &amp; FX Reference'!$C$5:$C$25,MATCH(H458,'Assumptions &amp; FX Reference'!$A$5:$A$25,0)),IF(L458="USD",M458*INDEX('Assumptions &amp; FX Reference'!$B$5:$B$25,MATCH(H458,'Assumptions &amp; FX Reference'!$A$5:$A$25,0))/INDEX('Assumptions &amp; FX Reference'!$C$5:$C$25,MATCH(H458,'Assumptions &amp; FX Reference'!$A$5:$A$25,0)),""))),"(FX missing)"))</f>
        <v/>
      </c>
      <c r="P458" s="42"/>
      <c r="Q458" s="42"/>
      <c r="R458" s="42"/>
      <c r="S458" s="42"/>
      <c r="T458" s="42"/>
      <c r="U458" s="42"/>
      <c r="V458" s="42"/>
    </row>
    <row r="459" customFormat="false" ht="15" hidden="false" customHeight="false" outlineLevel="0" collapsed="false">
      <c r="A459" s="42"/>
      <c r="B459" s="42"/>
      <c r="C459" s="45" t="str">
        <f aca="false">IF(B459="","",IFERROR(INDEX('Master Database'!$D$5:$D$600,MATCH(B459,'Master Database'!$A$5:$A$600,0)),"(row not found)"))</f>
        <v/>
      </c>
      <c r="D459" s="45" t="str">
        <f aca="false">IF(B459="","",IFERROR(INDEX('Master Database'!$B$5:$B$600,MATCH(B459,'Master Database'!$A$5:$A$600,0)),"(row not found)"))</f>
        <v/>
      </c>
      <c r="E459" s="42"/>
      <c r="F459" s="45" t="str">
        <f aca="false">IF(E459="","",IFERROR(INDEX(Vendor_Register!$B$5:$B$205,MATCH(E459,Vendor_Register!$A$5:$A$205,0)),"(not in register)"))</f>
        <v/>
      </c>
      <c r="G459" s="45" t="str">
        <f aca="false">IF(E459="","",IFERROR(INDEX(Vendor_Register!$E$5:$E$205,MATCH(E459,Vendor_Register!$A$5:$A$205,0)),"(not in register)"))</f>
        <v/>
      </c>
      <c r="H459" s="42"/>
      <c r="I459" s="42"/>
      <c r="J459" s="42"/>
      <c r="K459" s="42"/>
      <c r="L459" s="42"/>
      <c r="M459" s="46"/>
      <c r="N459" s="42"/>
      <c r="O459" s="47" t="str">
        <f aca="false">IF(NOT(ISNUMBER(M459)),"",IFERROR(IF(L459="EUR",M459,IF(L459="IRR",M459/INDEX('Assumptions &amp; FX Reference'!$C$5:$C$25,MATCH(H459,'Assumptions &amp; FX Reference'!$A$5:$A$25,0)),IF(L459="USD",M459*INDEX('Assumptions &amp; FX Reference'!$B$5:$B$25,MATCH(H459,'Assumptions &amp; FX Reference'!$A$5:$A$25,0))/INDEX('Assumptions &amp; FX Reference'!$C$5:$C$25,MATCH(H459,'Assumptions &amp; FX Reference'!$A$5:$A$25,0)),""))),"(FX missing)"))</f>
        <v/>
      </c>
      <c r="P459" s="42"/>
      <c r="Q459" s="42"/>
      <c r="R459" s="42"/>
      <c r="S459" s="42"/>
      <c r="T459" s="42"/>
      <c r="U459" s="42"/>
      <c r="V459" s="42"/>
    </row>
    <row r="460" customFormat="false" ht="15" hidden="false" customHeight="false" outlineLevel="0" collapsed="false">
      <c r="A460" s="42"/>
      <c r="B460" s="42"/>
      <c r="C460" s="45" t="str">
        <f aca="false">IF(B460="","",IFERROR(INDEX('Master Database'!$D$5:$D$600,MATCH(B460,'Master Database'!$A$5:$A$600,0)),"(row not found)"))</f>
        <v/>
      </c>
      <c r="D460" s="45" t="str">
        <f aca="false">IF(B460="","",IFERROR(INDEX('Master Database'!$B$5:$B$600,MATCH(B460,'Master Database'!$A$5:$A$600,0)),"(row not found)"))</f>
        <v/>
      </c>
      <c r="E460" s="42"/>
      <c r="F460" s="45" t="str">
        <f aca="false">IF(E460="","",IFERROR(INDEX(Vendor_Register!$B$5:$B$205,MATCH(E460,Vendor_Register!$A$5:$A$205,0)),"(not in register)"))</f>
        <v/>
      </c>
      <c r="G460" s="45" t="str">
        <f aca="false">IF(E460="","",IFERROR(INDEX(Vendor_Register!$E$5:$E$205,MATCH(E460,Vendor_Register!$A$5:$A$205,0)),"(not in register)"))</f>
        <v/>
      </c>
      <c r="H460" s="42"/>
      <c r="I460" s="42"/>
      <c r="J460" s="42"/>
      <c r="K460" s="42"/>
      <c r="L460" s="42"/>
      <c r="M460" s="46"/>
      <c r="N460" s="42"/>
      <c r="O460" s="47" t="str">
        <f aca="false">IF(NOT(ISNUMBER(M460)),"",IFERROR(IF(L460="EUR",M460,IF(L460="IRR",M460/INDEX('Assumptions &amp; FX Reference'!$C$5:$C$25,MATCH(H460,'Assumptions &amp; FX Reference'!$A$5:$A$25,0)),IF(L460="USD",M460*INDEX('Assumptions &amp; FX Reference'!$B$5:$B$25,MATCH(H460,'Assumptions &amp; FX Reference'!$A$5:$A$25,0))/INDEX('Assumptions &amp; FX Reference'!$C$5:$C$25,MATCH(H460,'Assumptions &amp; FX Reference'!$A$5:$A$25,0)),""))),"(FX missing)"))</f>
        <v/>
      </c>
      <c r="P460" s="42"/>
      <c r="Q460" s="42"/>
      <c r="R460" s="42"/>
      <c r="S460" s="42"/>
      <c r="T460" s="42"/>
      <c r="U460" s="42"/>
      <c r="V460" s="42"/>
    </row>
    <row r="461" customFormat="false" ht="15" hidden="false" customHeight="false" outlineLevel="0" collapsed="false">
      <c r="A461" s="42"/>
      <c r="B461" s="42"/>
      <c r="C461" s="45" t="str">
        <f aca="false">IF(B461="","",IFERROR(INDEX('Master Database'!$D$5:$D$600,MATCH(B461,'Master Database'!$A$5:$A$600,0)),"(row not found)"))</f>
        <v/>
      </c>
      <c r="D461" s="45" t="str">
        <f aca="false">IF(B461="","",IFERROR(INDEX('Master Database'!$B$5:$B$600,MATCH(B461,'Master Database'!$A$5:$A$600,0)),"(row not found)"))</f>
        <v/>
      </c>
      <c r="E461" s="42"/>
      <c r="F461" s="45" t="str">
        <f aca="false">IF(E461="","",IFERROR(INDEX(Vendor_Register!$B$5:$B$205,MATCH(E461,Vendor_Register!$A$5:$A$205,0)),"(not in register)"))</f>
        <v/>
      </c>
      <c r="G461" s="45" t="str">
        <f aca="false">IF(E461="","",IFERROR(INDEX(Vendor_Register!$E$5:$E$205,MATCH(E461,Vendor_Register!$A$5:$A$205,0)),"(not in register)"))</f>
        <v/>
      </c>
      <c r="H461" s="42"/>
      <c r="I461" s="42"/>
      <c r="J461" s="42"/>
      <c r="K461" s="42"/>
      <c r="L461" s="42"/>
      <c r="M461" s="46"/>
      <c r="N461" s="42"/>
      <c r="O461" s="47" t="str">
        <f aca="false">IF(NOT(ISNUMBER(M461)),"",IFERROR(IF(L461="EUR",M461,IF(L461="IRR",M461/INDEX('Assumptions &amp; FX Reference'!$C$5:$C$25,MATCH(H461,'Assumptions &amp; FX Reference'!$A$5:$A$25,0)),IF(L461="USD",M461*INDEX('Assumptions &amp; FX Reference'!$B$5:$B$25,MATCH(H461,'Assumptions &amp; FX Reference'!$A$5:$A$25,0))/INDEX('Assumptions &amp; FX Reference'!$C$5:$C$25,MATCH(H461,'Assumptions &amp; FX Reference'!$A$5:$A$25,0)),""))),"(FX missing)"))</f>
        <v/>
      </c>
      <c r="P461" s="42"/>
      <c r="Q461" s="42"/>
      <c r="R461" s="42"/>
      <c r="S461" s="42"/>
      <c r="T461" s="42"/>
      <c r="U461" s="42"/>
      <c r="V461" s="42"/>
    </row>
    <row r="462" customFormat="false" ht="15" hidden="false" customHeight="false" outlineLevel="0" collapsed="false">
      <c r="A462" s="42"/>
      <c r="B462" s="42"/>
      <c r="C462" s="45" t="str">
        <f aca="false">IF(B462="","",IFERROR(INDEX('Master Database'!$D$5:$D$600,MATCH(B462,'Master Database'!$A$5:$A$600,0)),"(row not found)"))</f>
        <v/>
      </c>
      <c r="D462" s="45" t="str">
        <f aca="false">IF(B462="","",IFERROR(INDEX('Master Database'!$B$5:$B$600,MATCH(B462,'Master Database'!$A$5:$A$600,0)),"(row not found)"))</f>
        <v/>
      </c>
      <c r="E462" s="42"/>
      <c r="F462" s="45" t="str">
        <f aca="false">IF(E462="","",IFERROR(INDEX(Vendor_Register!$B$5:$B$205,MATCH(E462,Vendor_Register!$A$5:$A$205,0)),"(not in register)"))</f>
        <v/>
      </c>
      <c r="G462" s="45" t="str">
        <f aca="false">IF(E462="","",IFERROR(INDEX(Vendor_Register!$E$5:$E$205,MATCH(E462,Vendor_Register!$A$5:$A$205,0)),"(not in register)"))</f>
        <v/>
      </c>
      <c r="H462" s="42"/>
      <c r="I462" s="42"/>
      <c r="J462" s="42"/>
      <c r="K462" s="42"/>
      <c r="L462" s="42"/>
      <c r="M462" s="46"/>
      <c r="N462" s="42"/>
      <c r="O462" s="47" t="str">
        <f aca="false">IF(NOT(ISNUMBER(M462)),"",IFERROR(IF(L462="EUR",M462,IF(L462="IRR",M462/INDEX('Assumptions &amp; FX Reference'!$C$5:$C$25,MATCH(H462,'Assumptions &amp; FX Reference'!$A$5:$A$25,0)),IF(L462="USD",M462*INDEX('Assumptions &amp; FX Reference'!$B$5:$B$25,MATCH(H462,'Assumptions &amp; FX Reference'!$A$5:$A$25,0))/INDEX('Assumptions &amp; FX Reference'!$C$5:$C$25,MATCH(H462,'Assumptions &amp; FX Reference'!$A$5:$A$25,0)),""))),"(FX missing)"))</f>
        <v/>
      </c>
      <c r="P462" s="42"/>
      <c r="Q462" s="42"/>
      <c r="R462" s="42"/>
      <c r="S462" s="42"/>
      <c r="T462" s="42"/>
      <c r="U462" s="42"/>
      <c r="V462" s="42"/>
    </row>
    <row r="463" customFormat="false" ht="15" hidden="false" customHeight="false" outlineLevel="0" collapsed="false">
      <c r="A463" s="42"/>
      <c r="B463" s="42"/>
      <c r="C463" s="45" t="str">
        <f aca="false">IF(B463="","",IFERROR(INDEX('Master Database'!$D$5:$D$600,MATCH(B463,'Master Database'!$A$5:$A$600,0)),"(row not found)"))</f>
        <v/>
      </c>
      <c r="D463" s="45" t="str">
        <f aca="false">IF(B463="","",IFERROR(INDEX('Master Database'!$B$5:$B$600,MATCH(B463,'Master Database'!$A$5:$A$600,0)),"(row not found)"))</f>
        <v/>
      </c>
      <c r="E463" s="42"/>
      <c r="F463" s="45" t="str">
        <f aca="false">IF(E463="","",IFERROR(INDEX(Vendor_Register!$B$5:$B$205,MATCH(E463,Vendor_Register!$A$5:$A$205,0)),"(not in register)"))</f>
        <v/>
      </c>
      <c r="G463" s="45" t="str">
        <f aca="false">IF(E463="","",IFERROR(INDEX(Vendor_Register!$E$5:$E$205,MATCH(E463,Vendor_Register!$A$5:$A$205,0)),"(not in register)"))</f>
        <v/>
      </c>
      <c r="H463" s="42"/>
      <c r="I463" s="42"/>
      <c r="J463" s="42"/>
      <c r="K463" s="42"/>
      <c r="L463" s="42"/>
      <c r="M463" s="46"/>
      <c r="N463" s="42"/>
      <c r="O463" s="47" t="str">
        <f aca="false">IF(NOT(ISNUMBER(M463)),"",IFERROR(IF(L463="EUR",M463,IF(L463="IRR",M463/INDEX('Assumptions &amp; FX Reference'!$C$5:$C$25,MATCH(H463,'Assumptions &amp; FX Reference'!$A$5:$A$25,0)),IF(L463="USD",M463*INDEX('Assumptions &amp; FX Reference'!$B$5:$B$25,MATCH(H463,'Assumptions &amp; FX Reference'!$A$5:$A$25,0))/INDEX('Assumptions &amp; FX Reference'!$C$5:$C$25,MATCH(H463,'Assumptions &amp; FX Reference'!$A$5:$A$25,0)),""))),"(FX missing)"))</f>
        <v/>
      </c>
      <c r="P463" s="42"/>
      <c r="Q463" s="42"/>
      <c r="R463" s="42"/>
      <c r="S463" s="42"/>
      <c r="T463" s="42"/>
      <c r="U463" s="42"/>
      <c r="V463" s="42"/>
    </row>
    <row r="464" customFormat="false" ht="15" hidden="false" customHeight="false" outlineLevel="0" collapsed="false">
      <c r="A464" s="42"/>
      <c r="B464" s="42"/>
      <c r="C464" s="45" t="str">
        <f aca="false">IF(B464="","",IFERROR(INDEX('Master Database'!$D$5:$D$600,MATCH(B464,'Master Database'!$A$5:$A$600,0)),"(row not found)"))</f>
        <v/>
      </c>
      <c r="D464" s="45" t="str">
        <f aca="false">IF(B464="","",IFERROR(INDEX('Master Database'!$B$5:$B$600,MATCH(B464,'Master Database'!$A$5:$A$600,0)),"(row not found)"))</f>
        <v/>
      </c>
      <c r="E464" s="42"/>
      <c r="F464" s="45" t="str">
        <f aca="false">IF(E464="","",IFERROR(INDEX(Vendor_Register!$B$5:$B$205,MATCH(E464,Vendor_Register!$A$5:$A$205,0)),"(not in register)"))</f>
        <v/>
      </c>
      <c r="G464" s="45" t="str">
        <f aca="false">IF(E464="","",IFERROR(INDEX(Vendor_Register!$E$5:$E$205,MATCH(E464,Vendor_Register!$A$5:$A$205,0)),"(not in register)"))</f>
        <v/>
      </c>
      <c r="H464" s="42"/>
      <c r="I464" s="42"/>
      <c r="J464" s="42"/>
      <c r="K464" s="42"/>
      <c r="L464" s="42"/>
      <c r="M464" s="46"/>
      <c r="N464" s="42"/>
      <c r="O464" s="47" t="str">
        <f aca="false">IF(NOT(ISNUMBER(M464)),"",IFERROR(IF(L464="EUR",M464,IF(L464="IRR",M464/INDEX('Assumptions &amp; FX Reference'!$C$5:$C$25,MATCH(H464,'Assumptions &amp; FX Reference'!$A$5:$A$25,0)),IF(L464="USD",M464*INDEX('Assumptions &amp; FX Reference'!$B$5:$B$25,MATCH(H464,'Assumptions &amp; FX Reference'!$A$5:$A$25,0))/INDEX('Assumptions &amp; FX Reference'!$C$5:$C$25,MATCH(H464,'Assumptions &amp; FX Reference'!$A$5:$A$25,0)),""))),"(FX missing)"))</f>
        <v/>
      </c>
      <c r="P464" s="42"/>
      <c r="Q464" s="42"/>
      <c r="R464" s="42"/>
      <c r="S464" s="42"/>
      <c r="T464" s="42"/>
      <c r="U464" s="42"/>
      <c r="V464" s="42"/>
    </row>
    <row r="465" customFormat="false" ht="15" hidden="false" customHeight="false" outlineLevel="0" collapsed="false">
      <c r="A465" s="42"/>
      <c r="B465" s="42"/>
      <c r="C465" s="45" t="str">
        <f aca="false">IF(B465="","",IFERROR(INDEX('Master Database'!$D$5:$D$600,MATCH(B465,'Master Database'!$A$5:$A$600,0)),"(row not found)"))</f>
        <v/>
      </c>
      <c r="D465" s="45" t="str">
        <f aca="false">IF(B465="","",IFERROR(INDEX('Master Database'!$B$5:$B$600,MATCH(B465,'Master Database'!$A$5:$A$600,0)),"(row not found)"))</f>
        <v/>
      </c>
      <c r="E465" s="42"/>
      <c r="F465" s="45" t="str">
        <f aca="false">IF(E465="","",IFERROR(INDEX(Vendor_Register!$B$5:$B$205,MATCH(E465,Vendor_Register!$A$5:$A$205,0)),"(not in register)"))</f>
        <v/>
      </c>
      <c r="G465" s="45" t="str">
        <f aca="false">IF(E465="","",IFERROR(INDEX(Vendor_Register!$E$5:$E$205,MATCH(E465,Vendor_Register!$A$5:$A$205,0)),"(not in register)"))</f>
        <v/>
      </c>
      <c r="H465" s="42"/>
      <c r="I465" s="42"/>
      <c r="J465" s="42"/>
      <c r="K465" s="42"/>
      <c r="L465" s="42"/>
      <c r="M465" s="46"/>
      <c r="N465" s="42"/>
      <c r="O465" s="47" t="str">
        <f aca="false">IF(NOT(ISNUMBER(M465)),"",IFERROR(IF(L465="EUR",M465,IF(L465="IRR",M465/INDEX('Assumptions &amp; FX Reference'!$C$5:$C$25,MATCH(H465,'Assumptions &amp; FX Reference'!$A$5:$A$25,0)),IF(L465="USD",M465*INDEX('Assumptions &amp; FX Reference'!$B$5:$B$25,MATCH(H465,'Assumptions &amp; FX Reference'!$A$5:$A$25,0))/INDEX('Assumptions &amp; FX Reference'!$C$5:$C$25,MATCH(H465,'Assumptions &amp; FX Reference'!$A$5:$A$25,0)),""))),"(FX missing)"))</f>
        <v/>
      </c>
      <c r="P465" s="42"/>
      <c r="Q465" s="42"/>
      <c r="R465" s="42"/>
      <c r="S465" s="42"/>
      <c r="T465" s="42"/>
      <c r="U465" s="42"/>
      <c r="V465" s="42"/>
    </row>
    <row r="466" customFormat="false" ht="15" hidden="false" customHeight="false" outlineLevel="0" collapsed="false">
      <c r="A466" s="42"/>
      <c r="B466" s="42"/>
      <c r="C466" s="45" t="str">
        <f aca="false">IF(B466="","",IFERROR(INDEX('Master Database'!$D$5:$D$600,MATCH(B466,'Master Database'!$A$5:$A$600,0)),"(row not found)"))</f>
        <v/>
      </c>
      <c r="D466" s="45" t="str">
        <f aca="false">IF(B466="","",IFERROR(INDEX('Master Database'!$B$5:$B$600,MATCH(B466,'Master Database'!$A$5:$A$600,0)),"(row not found)"))</f>
        <v/>
      </c>
      <c r="E466" s="42"/>
      <c r="F466" s="45" t="str">
        <f aca="false">IF(E466="","",IFERROR(INDEX(Vendor_Register!$B$5:$B$205,MATCH(E466,Vendor_Register!$A$5:$A$205,0)),"(not in register)"))</f>
        <v/>
      </c>
      <c r="G466" s="45" t="str">
        <f aca="false">IF(E466="","",IFERROR(INDEX(Vendor_Register!$E$5:$E$205,MATCH(E466,Vendor_Register!$A$5:$A$205,0)),"(not in register)"))</f>
        <v/>
      </c>
      <c r="H466" s="42"/>
      <c r="I466" s="42"/>
      <c r="J466" s="42"/>
      <c r="K466" s="42"/>
      <c r="L466" s="42"/>
      <c r="M466" s="46"/>
      <c r="N466" s="42"/>
      <c r="O466" s="47" t="str">
        <f aca="false">IF(NOT(ISNUMBER(M466)),"",IFERROR(IF(L466="EUR",M466,IF(L466="IRR",M466/INDEX('Assumptions &amp; FX Reference'!$C$5:$C$25,MATCH(H466,'Assumptions &amp; FX Reference'!$A$5:$A$25,0)),IF(L466="USD",M466*INDEX('Assumptions &amp; FX Reference'!$B$5:$B$25,MATCH(H466,'Assumptions &amp; FX Reference'!$A$5:$A$25,0))/INDEX('Assumptions &amp; FX Reference'!$C$5:$C$25,MATCH(H466,'Assumptions &amp; FX Reference'!$A$5:$A$25,0)),""))),"(FX missing)"))</f>
        <v/>
      </c>
      <c r="P466" s="42"/>
      <c r="Q466" s="42"/>
      <c r="R466" s="42"/>
      <c r="S466" s="42"/>
      <c r="T466" s="42"/>
      <c r="U466" s="42"/>
      <c r="V466" s="42"/>
    </row>
    <row r="467" customFormat="false" ht="15" hidden="false" customHeight="false" outlineLevel="0" collapsed="false">
      <c r="A467" s="42"/>
      <c r="B467" s="42"/>
      <c r="C467" s="45" t="str">
        <f aca="false">IF(B467="","",IFERROR(INDEX('Master Database'!$D$5:$D$600,MATCH(B467,'Master Database'!$A$5:$A$600,0)),"(row not found)"))</f>
        <v/>
      </c>
      <c r="D467" s="45" t="str">
        <f aca="false">IF(B467="","",IFERROR(INDEX('Master Database'!$B$5:$B$600,MATCH(B467,'Master Database'!$A$5:$A$600,0)),"(row not found)"))</f>
        <v/>
      </c>
      <c r="E467" s="42"/>
      <c r="F467" s="45" t="str">
        <f aca="false">IF(E467="","",IFERROR(INDEX(Vendor_Register!$B$5:$B$205,MATCH(E467,Vendor_Register!$A$5:$A$205,0)),"(not in register)"))</f>
        <v/>
      </c>
      <c r="G467" s="45" t="str">
        <f aca="false">IF(E467="","",IFERROR(INDEX(Vendor_Register!$E$5:$E$205,MATCH(E467,Vendor_Register!$A$5:$A$205,0)),"(not in register)"))</f>
        <v/>
      </c>
      <c r="H467" s="42"/>
      <c r="I467" s="42"/>
      <c r="J467" s="42"/>
      <c r="K467" s="42"/>
      <c r="L467" s="42"/>
      <c r="M467" s="46"/>
      <c r="N467" s="42"/>
      <c r="O467" s="47" t="str">
        <f aca="false">IF(NOT(ISNUMBER(M467)),"",IFERROR(IF(L467="EUR",M467,IF(L467="IRR",M467/INDEX('Assumptions &amp; FX Reference'!$C$5:$C$25,MATCH(H467,'Assumptions &amp; FX Reference'!$A$5:$A$25,0)),IF(L467="USD",M467*INDEX('Assumptions &amp; FX Reference'!$B$5:$B$25,MATCH(H467,'Assumptions &amp; FX Reference'!$A$5:$A$25,0))/INDEX('Assumptions &amp; FX Reference'!$C$5:$C$25,MATCH(H467,'Assumptions &amp; FX Reference'!$A$5:$A$25,0)),""))),"(FX missing)"))</f>
        <v/>
      </c>
      <c r="P467" s="42"/>
      <c r="Q467" s="42"/>
      <c r="R467" s="42"/>
      <c r="S467" s="42"/>
      <c r="T467" s="42"/>
      <c r="U467" s="42"/>
      <c r="V467" s="42"/>
    </row>
    <row r="468" customFormat="false" ht="15" hidden="false" customHeight="false" outlineLevel="0" collapsed="false">
      <c r="A468" s="42"/>
      <c r="B468" s="42"/>
      <c r="C468" s="45" t="str">
        <f aca="false">IF(B468="","",IFERROR(INDEX('Master Database'!$D$5:$D$600,MATCH(B468,'Master Database'!$A$5:$A$600,0)),"(row not found)"))</f>
        <v/>
      </c>
      <c r="D468" s="45" t="str">
        <f aca="false">IF(B468="","",IFERROR(INDEX('Master Database'!$B$5:$B$600,MATCH(B468,'Master Database'!$A$5:$A$600,0)),"(row not found)"))</f>
        <v/>
      </c>
      <c r="E468" s="42"/>
      <c r="F468" s="45" t="str">
        <f aca="false">IF(E468="","",IFERROR(INDEX(Vendor_Register!$B$5:$B$205,MATCH(E468,Vendor_Register!$A$5:$A$205,0)),"(not in register)"))</f>
        <v/>
      </c>
      <c r="G468" s="45" t="str">
        <f aca="false">IF(E468="","",IFERROR(INDEX(Vendor_Register!$E$5:$E$205,MATCH(E468,Vendor_Register!$A$5:$A$205,0)),"(not in register)"))</f>
        <v/>
      </c>
      <c r="H468" s="42"/>
      <c r="I468" s="42"/>
      <c r="J468" s="42"/>
      <c r="K468" s="42"/>
      <c r="L468" s="42"/>
      <c r="M468" s="46"/>
      <c r="N468" s="42"/>
      <c r="O468" s="47" t="str">
        <f aca="false">IF(NOT(ISNUMBER(M468)),"",IFERROR(IF(L468="EUR",M468,IF(L468="IRR",M468/INDEX('Assumptions &amp; FX Reference'!$C$5:$C$25,MATCH(H468,'Assumptions &amp; FX Reference'!$A$5:$A$25,0)),IF(L468="USD",M468*INDEX('Assumptions &amp; FX Reference'!$B$5:$B$25,MATCH(H468,'Assumptions &amp; FX Reference'!$A$5:$A$25,0))/INDEX('Assumptions &amp; FX Reference'!$C$5:$C$25,MATCH(H468,'Assumptions &amp; FX Reference'!$A$5:$A$25,0)),""))),"(FX missing)"))</f>
        <v/>
      </c>
      <c r="P468" s="42"/>
      <c r="Q468" s="42"/>
      <c r="R468" s="42"/>
      <c r="S468" s="42"/>
      <c r="T468" s="42"/>
      <c r="U468" s="42"/>
      <c r="V468" s="42"/>
    </row>
    <row r="469" customFormat="false" ht="15" hidden="false" customHeight="false" outlineLevel="0" collapsed="false">
      <c r="A469" s="42"/>
      <c r="B469" s="42"/>
      <c r="C469" s="45" t="str">
        <f aca="false">IF(B469="","",IFERROR(INDEX('Master Database'!$D$5:$D$600,MATCH(B469,'Master Database'!$A$5:$A$600,0)),"(row not found)"))</f>
        <v/>
      </c>
      <c r="D469" s="45" t="str">
        <f aca="false">IF(B469="","",IFERROR(INDEX('Master Database'!$B$5:$B$600,MATCH(B469,'Master Database'!$A$5:$A$600,0)),"(row not found)"))</f>
        <v/>
      </c>
      <c r="E469" s="42"/>
      <c r="F469" s="45" t="str">
        <f aca="false">IF(E469="","",IFERROR(INDEX(Vendor_Register!$B$5:$B$205,MATCH(E469,Vendor_Register!$A$5:$A$205,0)),"(not in register)"))</f>
        <v/>
      </c>
      <c r="G469" s="45" t="str">
        <f aca="false">IF(E469="","",IFERROR(INDEX(Vendor_Register!$E$5:$E$205,MATCH(E469,Vendor_Register!$A$5:$A$205,0)),"(not in register)"))</f>
        <v/>
      </c>
      <c r="H469" s="42"/>
      <c r="I469" s="42"/>
      <c r="J469" s="42"/>
      <c r="K469" s="42"/>
      <c r="L469" s="42"/>
      <c r="M469" s="46"/>
      <c r="N469" s="42"/>
      <c r="O469" s="47" t="str">
        <f aca="false">IF(NOT(ISNUMBER(M469)),"",IFERROR(IF(L469="EUR",M469,IF(L469="IRR",M469/INDEX('Assumptions &amp; FX Reference'!$C$5:$C$25,MATCH(H469,'Assumptions &amp; FX Reference'!$A$5:$A$25,0)),IF(L469="USD",M469*INDEX('Assumptions &amp; FX Reference'!$B$5:$B$25,MATCH(H469,'Assumptions &amp; FX Reference'!$A$5:$A$25,0))/INDEX('Assumptions &amp; FX Reference'!$C$5:$C$25,MATCH(H469,'Assumptions &amp; FX Reference'!$A$5:$A$25,0)),""))),"(FX missing)"))</f>
        <v/>
      </c>
      <c r="P469" s="42"/>
      <c r="Q469" s="42"/>
      <c r="R469" s="42"/>
      <c r="S469" s="42"/>
      <c r="T469" s="42"/>
      <c r="U469" s="42"/>
      <c r="V469" s="42"/>
    </row>
    <row r="470" customFormat="false" ht="15" hidden="false" customHeight="false" outlineLevel="0" collapsed="false">
      <c r="A470" s="42"/>
      <c r="B470" s="42"/>
      <c r="C470" s="45" t="str">
        <f aca="false">IF(B470="","",IFERROR(INDEX('Master Database'!$D$5:$D$600,MATCH(B470,'Master Database'!$A$5:$A$600,0)),"(row not found)"))</f>
        <v/>
      </c>
      <c r="D470" s="45" t="str">
        <f aca="false">IF(B470="","",IFERROR(INDEX('Master Database'!$B$5:$B$600,MATCH(B470,'Master Database'!$A$5:$A$600,0)),"(row not found)"))</f>
        <v/>
      </c>
      <c r="E470" s="42"/>
      <c r="F470" s="45" t="str">
        <f aca="false">IF(E470="","",IFERROR(INDEX(Vendor_Register!$B$5:$B$205,MATCH(E470,Vendor_Register!$A$5:$A$205,0)),"(not in register)"))</f>
        <v/>
      </c>
      <c r="G470" s="45" t="str">
        <f aca="false">IF(E470="","",IFERROR(INDEX(Vendor_Register!$E$5:$E$205,MATCH(E470,Vendor_Register!$A$5:$A$205,0)),"(not in register)"))</f>
        <v/>
      </c>
      <c r="H470" s="42"/>
      <c r="I470" s="42"/>
      <c r="J470" s="42"/>
      <c r="K470" s="42"/>
      <c r="L470" s="42"/>
      <c r="M470" s="46"/>
      <c r="N470" s="42"/>
      <c r="O470" s="47" t="str">
        <f aca="false">IF(NOT(ISNUMBER(M470)),"",IFERROR(IF(L470="EUR",M470,IF(L470="IRR",M470/INDEX('Assumptions &amp; FX Reference'!$C$5:$C$25,MATCH(H470,'Assumptions &amp; FX Reference'!$A$5:$A$25,0)),IF(L470="USD",M470*INDEX('Assumptions &amp; FX Reference'!$B$5:$B$25,MATCH(H470,'Assumptions &amp; FX Reference'!$A$5:$A$25,0))/INDEX('Assumptions &amp; FX Reference'!$C$5:$C$25,MATCH(H470,'Assumptions &amp; FX Reference'!$A$5:$A$25,0)),""))),"(FX missing)"))</f>
        <v/>
      </c>
      <c r="P470" s="42"/>
      <c r="Q470" s="42"/>
      <c r="R470" s="42"/>
      <c r="S470" s="42"/>
      <c r="T470" s="42"/>
      <c r="U470" s="42"/>
      <c r="V470" s="42"/>
    </row>
    <row r="471" customFormat="false" ht="15" hidden="false" customHeight="false" outlineLevel="0" collapsed="false">
      <c r="A471" s="42"/>
      <c r="B471" s="42"/>
      <c r="C471" s="45" t="str">
        <f aca="false">IF(B471="","",IFERROR(INDEX('Master Database'!$D$5:$D$600,MATCH(B471,'Master Database'!$A$5:$A$600,0)),"(row not found)"))</f>
        <v/>
      </c>
      <c r="D471" s="45" t="str">
        <f aca="false">IF(B471="","",IFERROR(INDEX('Master Database'!$B$5:$B$600,MATCH(B471,'Master Database'!$A$5:$A$600,0)),"(row not found)"))</f>
        <v/>
      </c>
      <c r="E471" s="42"/>
      <c r="F471" s="45" t="str">
        <f aca="false">IF(E471="","",IFERROR(INDEX(Vendor_Register!$B$5:$B$205,MATCH(E471,Vendor_Register!$A$5:$A$205,0)),"(not in register)"))</f>
        <v/>
      </c>
      <c r="G471" s="45" t="str">
        <f aca="false">IF(E471="","",IFERROR(INDEX(Vendor_Register!$E$5:$E$205,MATCH(E471,Vendor_Register!$A$5:$A$205,0)),"(not in register)"))</f>
        <v/>
      </c>
      <c r="H471" s="42"/>
      <c r="I471" s="42"/>
      <c r="J471" s="42"/>
      <c r="K471" s="42"/>
      <c r="L471" s="42"/>
      <c r="M471" s="46"/>
      <c r="N471" s="42"/>
      <c r="O471" s="47" t="str">
        <f aca="false">IF(NOT(ISNUMBER(M471)),"",IFERROR(IF(L471="EUR",M471,IF(L471="IRR",M471/INDEX('Assumptions &amp; FX Reference'!$C$5:$C$25,MATCH(H471,'Assumptions &amp; FX Reference'!$A$5:$A$25,0)),IF(L471="USD",M471*INDEX('Assumptions &amp; FX Reference'!$B$5:$B$25,MATCH(H471,'Assumptions &amp; FX Reference'!$A$5:$A$25,0))/INDEX('Assumptions &amp; FX Reference'!$C$5:$C$25,MATCH(H471,'Assumptions &amp; FX Reference'!$A$5:$A$25,0)),""))),"(FX missing)"))</f>
        <v/>
      </c>
      <c r="P471" s="42"/>
      <c r="Q471" s="42"/>
      <c r="R471" s="42"/>
      <c r="S471" s="42"/>
      <c r="T471" s="42"/>
      <c r="U471" s="42"/>
      <c r="V471" s="42"/>
    </row>
    <row r="472" customFormat="false" ht="15" hidden="false" customHeight="false" outlineLevel="0" collapsed="false">
      <c r="A472" s="42"/>
      <c r="B472" s="42"/>
      <c r="C472" s="45" t="str">
        <f aca="false">IF(B472="","",IFERROR(INDEX('Master Database'!$D$5:$D$600,MATCH(B472,'Master Database'!$A$5:$A$600,0)),"(row not found)"))</f>
        <v/>
      </c>
      <c r="D472" s="45" t="str">
        <f aca="false">IF(B472="","",IFERROR(INDEX('Master Database'!$B$5:$B$600,MATCH(B472,'Master Database'!$A$5:$A$600,0)),"(row not found)"))</f>
        <v/>
      </c>
      <c r="E472" s="42"/>
      <c r="F472" s="45" t="str">
        <f aca="false">IF(E472="","",IFERROR(INDEX(Vendor_Register!$B$5:$B$205,MATCH(E472,Vendor_Register!$A$5:$A$205,0)),"(not in register)"))</f>
        <v/>
      </c>
      <c r="G472" s="45" t="str">
        <f aca="false">IF(E472="","",IFERROR(INDEX(Vendor_Register!$E$5:$E$205,MATCH(E472,Vendor_Register!$A$5:$A$205,0)),"(not in register)"))</f>
        <v/>
      </c>
      <c r="H472" s="42"/>
      <c r="I472" s="42"/>
      <c r="J472" s="42"/>
      <c r="K472" s="42"/>
      <c r="L472" s="42"/>
      <c r="M472" s="46"/>
      <c r="N472" s="42"/>
      <c r="O472" s="47" t="str">
        <f aca="false">IF(NOT(ISNUMBER(M472)),"",IFERROR(IF(L472="EUR",M472,IF(L472="IRR",M472/INDEX('Assumptions &amp; FX Reference'!$C$5:$C$25,MATCH(H472,'Assumptions &amp; FX Reference'!$A$5:$A$25,0)),IF(L472="USD",M472*INDEX('Assumptions &amp; FX Reference'!$B$5:$B$25,MATCH(H472,'Assumptions &amp; FX Reference'!$A$5:$A$25,0))/INDEX('Assumptions &amp; FX Reference'!$C$5:$C$25,MATCH(H472,'Assumptions &amp; FX Reference'!$A$5:$A$25,0)),""))),"(FX missing)"))</f>
        <v/>
      </c>
      <c r="P472" s="42"/>
      <c r="Q472" s="42"/>
      <c r="R472" s="42"/>
      <c r="S472" s="42"/>
      <c r="T472" s="42"/>
      <c r="U472" s="42"/>
      <c r="V472" s="42"/>
    </row>
    <row r="473" customFormat="false" ht="15" hidden="false" customHeight="false" outlineLevel="0" collapsed="false">
      <c r="A473" s="42"/>
      <c r="B473" s="42"/>
      <c r="C473" s="45" t="str">
        <f aca="false">IF(B473="","",IFERROR(INDEX('Master Database'!$D$5:$D$600,MATCH(B473,'Master Database'!$A$5:$A$600,0)),"(row not found)"))</f>
        <v/>
      </c>
      <c r="D473" s="45" t="str">
        <f aca="false">IF(B473="","",IFERROR(INDEX('Master Database'!$B$5:$B$600,MATCH(B473,'Master Database'!$A$5:$A$600,0)),"(row not found)"))</f>
        <v/>
      </c>
      <c r="E473" s="42"/>
      <c r="F473" s="45" t="str">
        <f aca="false">IF(E473="","",IFERROR(INDEX(Vendor_Register!$B$5:$B$205,MATCH(E473,Vendor_Register!$A$5:$A$205,0)),"(not in register)"))</f>
        <v/>
      </c>
      <c r="G473" s="45" t="str">
        <f aca="false">IF(E473="","",IFERROR(INDEX(Vendor_Register!$E$5:$E$205,MATCH(E473,Vendor_Register!$A$5:$A$205,0)),"(not in register)"))</f>
        <v/>
      </c>
      <c r="H473" s="42"/>
      <c r="I473" s="42"/>
      <c r="J473" s="42"/>
      <c r="K473" s="42"/>
      <c r="L473" s="42"/>
      <c r="M473" s="46"/>
      <c r="N473" s="42"/>
      <c r="O473" s="47" t="str">
        <f aca="false">IF(NOT(ISNUMBER(M473)),"",IFERROR(IF(L473="EUR",M473,IF(L473="IRR",M473/INDEX('Assumptions &amp; FX Reference'!$C$5:$C$25,MATCH(H473,'Assumptions &amp; FX Reference'!$A$5:$A$25,0)),IF(L473="USD",M473*INDEX('Assumptions &amp; FX Reference'!$B$5:$B$25,MATCH(H473,'Assumptions &amp; FX Reference'!$A$5:$A$25,0))/INDEX('Assumptions &amp; FX Reference'!$C$5:$C$25,MATCH(H473,'Assumptions &amp; FX Reference'!$A$5:$A$25,0)),""))),"(FX missing)"))</f>
        <v/>
      </c>
      <c r="P473" s="42"/>
      <c r="Q473" s="42"/>
      <c r="R473" s="42"/>
      <c r="S473" s="42"/>
      <c r="T473" s="42"/>
      <c r="U473" s="42"/>
      <c r="V473" s="42"/>
    </row>
    <row r="474" customFormat="false" ht="15" hidden="false" customHeight="false" outlineLevel="0" collapsed="false">
      <c r="A474" s="42"/>
      <c r="B474" s="42"/>
      <c r="C474" s="45" t="str">
        <f aca="false">IF(B474="","",IFERROR(INDEX('Master Database'!$D$5:$D$600,MATCH(B474,'Master Database'!$A$5:$A$600,0)),"(row not found)"))</f>
        <v/>
      </c>
      <c r="D474" s="45" t="str">
        <f aca="false">IF(B474="","",IFERROR(INDEX('Master Database'!$B$5:$B$600,MATCH(B474,'Master Database'!$A$5:$A$600,0)),"(row not found)"))</f>
        <v/>
      </c>
      <c r="E474" s="42"/>
      <c r="F474" s="45" t="str">
        <f aca="false">IF(E474="","",IFERROR(INDEX(Vendor_Register!$B$5:$B$205,MATCH(E474,Vendor_Register!$A$5:$A$205,0)),"(not in register)"))</f>
        <v/>
      </c>
      <c r="G474" s="45" t="str">
        <f aca="false">IF(E474="","",IFERROR(INDEX(Vendor_Register!$E$5:$E$205,MATCH(E474,Vendor_Register!$A$5:$A$205,0)),"(not in register)"))</f>
        <v/>
      </c>
      <c r="H474" s="42"/>
      <c r="I474" s="42"/>
      <c r="J474" s="42"/>
      <c r="K474" s="42"/>
      <c r="L474" s="42"/>
      <c r="M474" s="46"/>
      <c r="N474" s="42"/>
      <c r="O474" s="47" t="str">
        <f aca="false">IF(NOT(ISNUMBER(M474)),"",IFERROR(IF(L474="EUR",M474,IF(L474="IRR",M474/INDEX('Assumptions &amp; FX Reference'!$C$5:$C$25,MATCH(H474,'Assumptions &amp; FX Reference'!$A$5:$A$25,0)),IF(L474="USD",M474*INDEX('Assumptions &amp; FX Reference'!$B$5:$B$25,MATCH(H474,'Assumptions &amp; FX Reference'!$A$5:$A$25,0))/INDEX('Assumptions &amp; FX Reference'!$C$5:$C$25,MATCH(H474,'Assumptions &amp; FX Reference'!$A$5:$A$25,0)),""))),"(FX missing)"))</f>
        <v/>
      </c>
      <c r="P474" s="42"/>
      <c r="Q474" s="42"/>
      <c r="R474" s="42"/>
      <c r="S474" s="42"/>
      <c r="T474" s="42"/>
      <c r="U474" s="42"/>
      <c r="V474" s="42"/>
    </row>
    <row r="475" customFormat="false" ht="15" hidden="false" customHeight="false" outlineLevel="0" collapsed="false">
      <c r="A475" s="42"/>
      <c r="B475" s="42"/>
      <c r="C475" s="45" t="str">
        <f aca="false">IF(B475="","",IFERROR(INDEX('Master Database'!$D$5:$D$600,MATCH(B475,'Master Database'!$A$5:$A$600,0)),"(row not found)"))</f>
        <v/>
      </c>
      <c r="D475" s="45" t="str">
        <f aca="false">IF(B475="","",IFERROR(INDEX('Master Database'!$B$5:$B$600,MATCH(B475,'Master Database'!$A$5:$A$600,0)),"(row not found)"))</f>
        <v/>
      </c>
      <c r="E475" s="42"/>
      <c r="F475" s="45" t="str">
        <f aca="false">IF(E475="","",IFERROR(INDEX(Vendor_Register!$B$5:$B$205,MATCH(E475,Vendor_Register!$A$5:$A$205,0)),"(not in register)"))</f>
        <v/>
      </c>
      <c r="G475" s="45" t="str">
        <f aca="false">IF(E475="","",IFERROR(INDEX(Vendor_Register!$E$5:$E$205,MATCH(E475,Vendor_Register!$A$5:$A$205,0)),"(not in register)"))</f>
        <v/>
      </c>
      <c r="H475" s="42"/>
      <c r="I475" s="42"/>
      <c r="J475" s="42"/>
      <c r="K475" s="42"/>
      <c r="L475" s="42"/>
      <c r="M475" s="46"/>
      <c r="N475" s="42"/>
      <c r="O475" s="47" t="str">
        <f aca="false">IF(NOT(ISNUMBER(M475)),"",IFERROR(IF(L475="EUR",M475,IF(L475="IRR",M475/INDEX('Assumptions &amp; FX Reference'!$C$5:$C$25,MATCH(H475,'Assumptions &amp; FX Reference'!$A$5:$A$25,0)),IF(L475="USD",M475*INDEX('Assumptions &amp; FX Reference'!$B$5:$B$25,MATCH(H475,'Assumptions &amp; FX Reference'!$A$5:$A$25,0))/INDEX('Assumptions &amp; FX Reference'!$C$5:$C$25,MATCH(H475,'Assumptions &amp; FX Reference'!$A$5:$A$25,0)),""))),"(FX missing)"))</f>
        <v/>
      </c>
      <c r="P475" s="42"/>
      <c r="Q475" s="42"/>
      <c r="R475" s="42"/>
      <c r="S475" s="42"/>
      <c r="T475" s="42"/>
      <c r="U475" s="42"/>
      <c r="V475" s="42"/>
    </row>
    <row r="476" customFormat="false" ht="15" hidden="false" customHeight="false" outlineLevel="0" collapsed="false">
      <c r="A476" s="42"/>
      <c r="B476" s="42"/>
      <c r="C476" s="45" t="str">
        <f aca="false">IF(B476="","",IFERROR(INDEX('Master Database'!$D$5:$D$600,MATCH(B476,'Master Database'!$A$5:$A$600,0)),"(row not found)"))</f>
        <v/>
      </c>
      <c r="D476" s="45" t="str">
        <f aca="false">IF(B476="","",IFERROR(INDEX('Master Database'!$B$5:$B$600,MATCH(B476,'Master Database'!$A$5:$A$600,0)),"(row not found)"))</f>
        <v/>
      </c>
      <c r="E476" s="42"/>
      <c r="F476" s="45" t="str">
        <f aca="false">IF(E476="","",IFERROR(INDEX(Vendor_Register!$B$5:$B$205,MATCH(E476,Vendor_Register!$A$5:$A$205,0)),"(not in register)"))</f>
        <v/>
      </c>
      <c r="G476" s="45" t="str">
        <f aca="false">IF(E476="","",IFERROR(INDEX(Vendor_Register!$E$5:$E$205,MATCH(E476,Vendor_Register!$A$5:$A$205,0)),"(not in register)"))</f>
        <v/>
      </c>
      <c r="H476" s="42"/>
      <c r="I476" s="42"/>
      <c r="J476" s="42"/>
      <c r="K476" s="42"/>
      <c r="L476" s="42"/>
      <c r="M476" s="46"/>
      <c r="N476" s="42"/>
      <c r="O476" s="47" t="str">
        <f aca="false">IF(NOT(ISNUMBER(M476)),"",IFERROR(IF(L476="EUR",M476,IF(L476="IRR",M476/INDEX('Assumptions &amp; FX Reference'!$C$5:$C$25,MATCH(H476,'Assumptions &amp; FX Reference'!$A$5:$A$25,0)),IF(L476="USD",M476*INDEX('Assumptions &amp; FX Reference'!$B$5:$B$25,MATCH(H476,'Assumptions &amp; FX Reference'!$A$5:$A$25,0))/INDEX('Assumptions &amp; FX Reference'!$C$5:$C$25,MATCH(H476,'Assumptions &amp; FX Reference'!$A$5:$A$25,0)),""))),"(FX missing)"))</f>
        <v/>
      </c>
      <c r="P476" s="42"/>
      <c r="Q476" s="42"/>
      <c r="R476" s="42"/>
      <c r="S476" s="42"/>
      <c r="T476" s="42"/>
      <c r="U476" s="42"/>
      <c r="V476" s="42"/>
    </row>
    <row r="477" customFormat="false" ht="15" hidden="false" customHeight="false" outlineLevel="0" collapsed="false">
      <c r="A477" s="42"/>
      <c r="B477" s="42"/>
      <c r="C477" s="45" t="str">
        <f aca="false">IF(B477="","",IFERROR(INDEX('Master Database'!$D$5:$D$600,MATCH(B477,'Master Database'!$A$5:$A$600,0)),"(row not found)"))</f>
        <v/>
      </c>
      <c r="D477" s="45" t="str">
        <f aca="false">IF(B477="","",IFERROR(INDEX('Master Database'!$B$5:$B$600,MATCH(B477,'Master Database'!$A$5:$A$600,0)),"(row not found)"))</f>
        <v/>
      </c>
      <c r="E477" s="42"/>
      <c r="F477" s="45" t="str">
        <f aca="false">IF(E477="","",IFERROR(INDEX(Vendor_Register!$B$5:$B$205,MATCH(E477,Vendor_Register!$A$5:$A$205,0)),"(not in register)"))</f>
        <v/>
      </c>
      <c r="G477" s="45" t="str">
        <f aca="false">IF(E477="","",IFERROR(INDEX(Vendor_Register!$E$5:$E$205,MATCH(E477,Vendor_Register!$A$5:$A$205,0)),"(not in register)"))</f>
        <v/>
      </c>
      <c r="H477" s="42"/>
      <c r="I477" s="42"/>
      <c r="J477" s="42"/>
      <c r="K477" s="42"/>
      <c r="L477" s="42"/>
      <c r="M477" s="46"/>
      <c r="N477" s="42"/>
      <c r="O477" s="47" t="str">
        <f aca="false">IF(NOT(ISNUMBER(M477)),"",IFERROR(IF(L477="EUR",M477,IF(L477="IRR",M477/INDEX('Assumptions &amp; FX Reference'!$C$5:$C$25,MATCH(H477,'Assumptions &amp; FX Reference'!$A$5:$A$25,0)),IF(L477="USD",M477*INDEX('Assumptions &amp; FX Reference'!$B$5:$B$25,MATCH(H477,'Assumptions &amp; FX Reference'!$A$5:$A$25,0))/INDEX('Assumptions &amp; FX Reference'!$C$5:$C$25,MATCH(H477,'Assumptions &amp; FX Reference'!$A$5:$A$25,0)),""))),"(FX missing)"))</f>
        <v/>
      </c>
      <c r="P477" s="42"/>
      <c r="Q477" s="42"/>
      <c r="R477" s="42"/>
      <c r="S477" s="42"/>
      <c r="T477" s="42"/>
      <c r="U477" s="42"/>
      <c r="V477" s="42"/>
    </row>
    <row r="478" customFormat="false" ht="15" hidden="false" customHeight="false" outlineLevel="0" collapsed="false">
      <c r="A478" s="42"/>
      <c r="B478" s="42"/>
      <c r="C478" s="45" t="str">
        <f aca="false">IF(B478="","",IFERROR(INDEX('Master Database'!$D$5:$D$600,MATCH(B478,'Master Database'!$A$5:$A$600,0)),"(row not found)"))</f>
        <v/>
      </c>
      <c r="D478" s="45" t="str">
        <f aca="false">IF(B478="","",IFERROR(INDEX('Master Database'!$B$5:$B$600,MATCH(B478,'Master Database'!$A$5:$A$600,0)),"(row not found)"))</f>
        <v/>
      </c>
      <c r="E478" s="42"/>
      <c r="F478" s="45" t="str">
        <f aca="false">IF(E478="","",IFERROR(INDEX(Vendor_Register!$B$5:$B$205,MATCH(E478,Vendor_Register!$A$5:$A$205,0)),"(not in register)"))</f>
        <v/>
      </c>
      <c r="G478" s="45" t="str">
        <f aca="false">IF(E478="","",IFERROR(INDEX(Vendor_Register!$E$5:$E$205,MATCH(E478,Vendor_Register!$A$5:$A$205,0)),"(not in register)"))</f>
        <v/>
      </c>
      <c r="H478" s="42"/>
      <c r="I478" s="42"/>
      <c r="J478" s="42"/>
      <c r="K478" s="42"/>
      <c r="L478" s="42"/>
      <c r="M478" s="46"/>
      <c r="N478" s="42"/>
      <c r="O478" s="47" t="str">
        <f aca="false">IF(NOT(ISNUMBER(M478)),"",IFERROR(IF(L478="EUR",M478,IF(L478="IRR",M478/INDEX('Assumptions &amp; FX Reference'!$C$5:$C$25,MATCH(H478,'Assumptions &amp; FX Reference'!$A$5:$A$25,0)),IF(L478="USD",M478*INDEX('Assumptions &amp; FX Reference'!$B$5:$B$25,MATCH(H478,'Assumptions &amp; FX Reference'!$A$5:$A$25,0))/INDEX('Assumptions &amp; FX Reference'!$C$5:$C$25,MATCH(H478,'Assumptions &amp; FX Reference'!$A$5:$A$25,0)),""))),"(FX missing)"))</f>
        <v/>
      </c>
      <c r="P478" s="42"/>
      <c r="Q478" s="42"/>
      <c r="R478" s="42"/>
      <c r="S478" s="42"/>
      <c r="T478" s="42"/>
      <c r="U478" s="42"/>
      <c r="V478" s="42"/>
    </row>
    <row r="479" customFormat="false" ht="15" hidden="false" customHeight="false" outlineLevel="0" collapsed="false">
      <c r="A479" s="42"/>
      <c r="B479" s="42"/>
      <c r="C479" s="45" t="str">
        <f aca="false">IF(B479="","",IFERROR(INDEX('Master Database'!$D$5:$D$600,MATCH(B479,'Master Database'!$A$5:$A$600,0)),"(row not found)"))</f>
        <v/>
      </c>
      <c r="D479" s="45" t="str">
        <f aca="false">IF(B479="","",IFERROR(INDEX('Master Database'!$B$5:$B$600,MATCH(B479,'Master Database'!$A$5:$A$600,0)),"(row not found)"))</f>
        <v/>
      </c>
      <c r="E479" s="42"/>
      <c r="F479" s="45" t="str">
        <f aca="false">IF(E479="","",IFERROR(INDEX(Vendor_Register!$B$5:$B$205,MATCH(E479,Vendor_Register!$A$5:$A$205,0)),"(not in register)"))</f>
        <v/>
      </c>
      <c r="G479" s="45" t="str">
        <f aca="false">IF(E479="","",IFERROR(INDEX(Vendor_Register!$E$5:$E$205,MATCH(E479,Vendor_Register!$A$5:$A$205,0)),"(not in register)"))</f>
        <v/>
      </c>
      <c r="H479" s="42"/>
      <c r="I479" s="42"/>
      <c r="J479" s="42"/>
      <c r="K479" s="42"/>
      <c r="L479" s="42"/>
      <c r="M479" s="46"/>
      <c r="N479" s="42"/>
      <c r="O479" s="47" t="str">
        <f aca="false">IF(NOT(ISNUMBER(M479)),"",IFERROR(IF(L479="EUR",M479,IF(L479="IRR",M479/INDEX('Assumptions &amp; FX Reference'!$C$5:$C$25,MATCH(H479,'Assumptions &amp; FX Reference'!$A$5:$A$25,0)),IF(L479="USD",M479*INDEX('Assumptions &amp; FX Reference'!$B$5:$B$25,MATCH(H479,'Assumptions &amp; FX Reference'!$A$5:$A$25,0))/INDEX('Assumptions &amp; FX Reference'!$C$5:$C$25,MATCH(H479,'Assumptions &amp; FX Reference'!$A$5:$A$25,0)),""))),"(FX missing)"))</f>
        <v/>
      </c>
      <c r="P479" s="42"/>
      <c r="Q479" s="42"/>
      <c r="R479" s="42"/>
      <c r="S479" s="42"/>
      <c r="T479" s="42"/>
      <c r="U479" s="42"/>
      <c r="V479" s="42"/>
    </row>
    <row r="480" customFormat="false" ht="15" hidden="false" customHeight="false" outlineLevel="0" collapsed="false">
      <c r="A480" s="42"/>
      <c r="B480" s="42"/>
      <c r="C480" s="45" t="str">
        <f aca="false">IF(B480="","",IFERROR(INDEX('Master Database'!$D$5:$D$600,MATCH(B480,'Master Database'!$A$5:$A$600,0)),"(row not found)"))</f>
        <v/>
      </c>
      <c r="D480" s="45" t="str">
        <f aca="false">IF(B480="","",IFERROR(INDEX('Master Database'!$B$5:$B$600,MATCH(B480,'Master Database'!$A$5:$A$600,0)),"(row not found)"))</f>
        <v/>
      </c>
      <c r="E480" s="42"/>
      <c r="F480" s="45" t="str">
        <f aca="false">IF(E480="","",IFERROR(INDEX(Vendor_Register!$B$5:$B$205,MATCH(E480,Vendor_Register!$A$5:$A$205,0)),"(not in register)"))</f>
        <v/>
      </c>
      <c r="G480" s="45" t="str">
        <f aca="false">IF(E480="","",IFERROR(INDEX(Vendor_Register!$E$5:$E$205,MATCH(E480,Vendor_Register!$A$5:$A$205,0)),"(not in register)"))</f>
        <v/>
      </c>
      <c r="H480" s="42"/>
      <c r="I480" s="42"/>
      <c r="J480" s="42"/>
      <c r="K480" s="42"/>
      <c r="L480" s="42"/>
      <c r="M480" s="46"/>
      <c r="N480" s="42"/>
      <c r="O480" s="47" t="str">
        <f aca="false">IF(NOT(ISNUMBER(M480)),"",IFERROR(IF(L480="EUR",M480,IF(L480="IRR",M480/INDEX('Assumptions &amp; FX Reference'!$C$5:$C$25,MATCH(H480,'Assumptions &amp; FX Reference'!$A$5:$A$25,0)),IF(L480="USD",M480*INDEX('Assumptions &amp; FX Reference'!$B$5:$B$25,MATCH(H480,'Assumptions &amp; FX Reference'!$A$5:$A$25,0))/INDEX('Assumptions &amp; FX Reference'!$C$5:$C$25,MATCH(H480,'Assumptions &amp; FX Reference'!$A$5:$A$25,0)),""))),"(FX missing)"))</f>
        <v/>
      </c>
      <c r="P480" s="42"/>
      <c r="Q480" s="42"/>
      <c r="R480" s="42"/>
      <c r="S480" s="42"/>
      <c r="T480" s="42"/>
      <c r="U480" s="42"/>
      <c r="V480" s="42"/>
    </row>
    <row r="481" customFormat="false" ht="15" hidden="false" customHeight="false" outlineLevel="0" collapsed="false">
      <c r="A481" s="42"/>
      <c r="B481" s="42"/>
      <c r="C481" s="45" t="str">
        <f aca="false">IF(B481="","",IFERROR(INDEX('Master Database'!$D$5:$D$600,MATCH(B481,'Master Database'!$A$5:$A$600,0)),"(row not found)"))</f>
        <v/>
      </c>
      <c r="D481" s="45" t="str">
        <f aca="false">IF(B481="","",IFERROR(INDEX('Master Database'!$B$5:$B$600,MATCH(B481,'Master Database'!$A$5:$A$600,0)),"(row not found)"))</f>
        <v/>
      </c>
      <c r="E481" s="42"/>
      <c r="F481" s="45" t="str">
        <f aca="false">IF(E481="","",IFERROR(INDEX(Vendor_Register!$B$5:$B$205,MATCH(E481,Vendor_Register!$A$5:$A$205,0)),"(not in register)"))</f>
        <v/>
      </c>
      <c r="G481" s="45" t="str">
        <f aca="false">IF(E481="","",IFERROR(INDEX(Vendor_Register!$E$5:$E$205,MATCH(E481,Vendor_Register!$A$5:$A$205,0)),"(not in register)"))</f>
        <v/>
      </c>
      <c r="H481" s="42"/>
      <c r="I481" s="42"/>
      <c r="J481" s="42"/>
      <c r="K481" s="42"/>
      <c r="L481" s="42"/>
      <c r="M481" s="46"/>
      <c r="N481" s="42"/>
      <c r="O481" s="47" t="str">
        <f aca="false">IF(NOT(ISNUMBER(M481)),"",IFERROR(IF(L481="EUR",M481,IF(L481="IRR",M481/INDEX('Assumptions &amp; FX Reference'!$C$5:$C$25,MATCH(H481,'Assumptions &amp; FX Reference'!$A$5:$A$25,0)),IF(L481="USD",M481*INDEX('Assumptions &amp; FX Reference'!$B$5:$B$25,MATCH(H481,'Assumptions &amp; FX Reference'!$A$5:$A$25,0))/INDEX('Assumptions &amp; FX Reference'!$C$5:$C$25,MATCH(H481,'Assumptions &amp; FX Reference'!$A$5:$A$25,0)),""))),"(FX missing)"))</f>
        <v/>
      </c>
      <c r="P481" s="42"/>
      <c r="Q481" s="42"/>
      <c r="R481" s="42"/>
      <c r="S481" s="42"/>
      <c r="T481" s="42"/>
      <c r="U481" s="42"/>
      <c r="V481" s="42"/>
    </row>
    <row r="482" customFormat="false" ht="15" hidden="false" customHeight="false" outlineLevel="0" collapsed="false">
      <c r="A482" s="42"/>
      <c r="B482" s="42"/>
      <c r="C482" s="45" t="str">
        <f aca="false">IF(B482="","",IFERROR(INDEX('Master Database'!$D$5:$D$600,MATCH(B482,'Master Database'!$A$5:$A$600,0)),"(row not found)"))</f>
        <v/>
      </c>
      <c r="D482" s="45" t="str">
        <f aca="false">IF(B482="","",IFERROR(INDEX('Master Database'!$B$5:$B$600,MATCH(B482,'Master Database'!$A$5:$A$600,0)),"(row not found)"))</f>
        <v/>
      </c>
      <c r="E482" s="42"/>
      <c r="F482" s="45" t="str">
        <f aca="false">IF(E482="","",IFERROR(INDEX(Vendor_Register!$B$5:$B$205,MATCH(E482,Vendor_Register!$A$5:$A$205,0)),"(not in register)"))</f>
        <v/>
      </c>
      <c r="G482" s="45" t="str">
        <f aca="false">IF(E482="","",IFERROR(INDEX(Vendor_Register!$E$5:$E$205,MATCH(E482,Vendor_Register!$A$5:$A$205,0)),"(not in register)"))</f>
        <v/>
      </c>
      <c r="H482" s="42"/>
      <c r="I482" s="42"/>
      <c r="J482" s="42"/>
      <c r="K482" s="42"/>
      <c r="L482" s="42"/>
      <c r="M482" s="46"/>
      <c r="N482" s="42"/>
      <c r="O482" s="47" t="str">
        <f aca="false">IF(NOT(ISNUMBER(M482)),"",IFERROR(IF(L482="EUR",M482,IF(L482="IRR",M482/INDEX('Assumptions &amp; FX Reference'!$C$5:$C$25,MATCH(H482,'Assumptions &amp; FX Reference'!$A$5:$A$25,0)),IF(L482="USD",M482*INDEX('Assumptions &amp; FX Reference'!$B$5:$B$25,MATCH(H482,'Assumptions &amp; FX Reference'!$A$5:$A$25,0))/INDEX('Assumptions &amp; FX Reference'!$C$5:$C$25,MATCH(H482,'Assumptions &amp; FX Reference'!$A$5:$A$25,0)),""))),"(FX missing)"))</f>
        <v/>
      </c>
      <c r="P482" s="42"/>
      <c r="Q482" s="42"/>
      <c r="R482" s="42"/>
      <c r="S482" s="42"/>
      <c r="T482" s="42"/>
      <c r="U482" s="42"/>
      <c r="V482" s="42"/>
    </row>
    <row r="483" customFormat="false" ht="15" hidden="false" customHeight="false" outlineLevel="0" collapsed="false">
      <c r="A483" s="42"/>
      <c r="B483" s="42"/>
      <c r="C483" s="45" t="str">
        <f aca="false">IF(B483="","",IFERROR(INDEX('Master Database'!$D$5:$D$600,MATCH(B483,'Master Database'!$A$5:$A$600,0)),"(row not found)"))</f>
        <v/>
      </c>
      <c r="D483" s="45" t="str">
        <f aca="false">IF(B483="","",IFERROR(INDEX('Master Database'!$B$5:$B$600,MATCH(B483,'Master Database'!$A$5:$A$600,0)),"(row not found)"))</f>
        <v/>
      </c>
      <c r="E483" s="42"/>
      <c r="F483" s="45" t="str">
        <f aca="false">IF(E483="","",IFERROR(INDEX(Vendor_Register!$B$5:$B$205,MATCH(E483,Vendor_Register!$A$5:$A$205,0)),"(not in register)"))</f>
        <v/>
      </c>
      <c r="G483" s="45" t="str">
        <f aca="false">IF(E483="","",IFERROR(INDEX(Vendor_Register!$E$5:$E$205,MATCH(E483,Vendor_Register!$A$5:$A$205,0)),"(not in register)"))</f>
        <v/>
      </c>
      <c r="H483" s="42"/>
      <c r="I483" s="42"/>
      <c r="J483" s="42"/>
      <c r="K483" s="42"/>
      <c r="L483" s="42"/>
      <c r="M483" s="46"/>
      <c r="N483" s="42"/>
      <c r="O483" s="47" t="str">
        <f aca="false">IF(NOT(ISNUMBER(M483)),"",IFERROR(IF(L483="EUR",M483,IF(L483="IRR",M483/INDEX('Assumptions &amp; FX Reference'!$C$5:$C$25,MATCH(H483,'Assumptions &amp; FX Reference'!$A$5:$A$25,0)),IF(L483="USD",M483*INDEX('Assumptions &amp; FX Reference'!$B$5:$B$25,MATCH(H483,'Assumptions &amp; FX Reference'!$A$5:$A$25,0))/INDEX('Assumptions &amp; FX Reference'!$C$5:$C$25,MATCH(H483,'Assumptions &amp; FX Reference'!$A$5:$A$25,0)),""))),"(FX missing)"))</f>
        <v/>
      </c>
      <c r="P483" s="42"/>
      <c r="Q483" s="42"/>
      <c r="R483" s="42"/>
      <c r="S483" s="42"/>
      <c r="T483" s="42"/>
      <c r="U483" s="42"/>
      <c r="V483" s="42"/>
    </row>
    <row r="484" customFormat="false" ht="15" hidden="false" customHeight="false" outlineLevel="0" collapsed="false">
      <c r="A484" s="42"/>
      <c r="B484" s="42"/>
      <c r="C484" s="45" t="str">
        <f aca="false">IF(B484="","",IFERROR(INDEX('Master Database'!$D$5:$D$600,MATCH(B484,'Master Database'!$A$5:$A$600,0)),"(row not found)"))</f>
        <v/>
      </c>
      <c r="D484" s="45" t="str">
        <f aca="false">IF(B484="","",IFERROR(INDEX('Master Database'!$B$5:$B$600,MATCH(B484,'Master Database'!$A$5:$A$600,0)),"(row not found)"))</f>
        <v/>
      </c>
      <c r="E484" s="42"/>
      <c r="F484" s="45" t="str">
        <f aca="false">IF(E484="","",IFERROR(INDEX(Vendor_Register!$B$5:$B$205,MATCH(E484,Vendor_Register!$A$5:$A$205,0)),"(not in register)"))</f>
        <v/>
      </c>
      <c r="G484" s="45" t="str">
        <f aca="false">IF(E484="","",IFERROR(INDEX(Vendor_Register!$E$5:$E$205,MATCH(E484,Vendor_Register!$A$5:$A$205,0)),"(not in register)"))</f>
        <v/>
      </c>
      <c r="H484" s="42"/>
      <c r="I484" s="42"/>
      <c r="J484" s="42"/>
      <c r="K484" s="42"/>
      <c r="L484" s="42"/>
      <c r="M484" s="46"/>
      <c r="N484" s="42"/>
      <c r="O484" s="47" t="str">
        <f aca="false">IF(NOT(ISNUMBER(M484)),"",IFERROR(IF(L484="EUR",M484,IF(L484="IRR",M484/INDEX('Assumptions &amp; FX Reference'!$C$5:$C$25,MATCH(H484,'Assumptions &amp; FX Reference'!$A$5:$A$25,0)),IF(L484="USD",M484*INDEX('Assumptions &amp; FX Reference'!$B$5:$B$25,MATCH(H484,'Assumptions &amp; FX Reference'!$A$5:$A$25,0))/INDEX('Assumptions &amp; FX Reference'!$C$5:$C$25,MATCH(H484,'Assumptions &amp; FX Reference'!$A$5:$A$25,0)),""))),"(FX missing)"))</f>
        <v/>
      </c>
      <c r="P484" s="42"/>
      <c r="Q484" s="42"/>
      <c r="R484" s="42"/>
      <c r="S484" s="42"/>
      <c r="T484" s="42"/>
      <c r="U484" s="42"/>
      <c r="V484" s="42"/>
    </row>
    <row r="485" customFormat="false" ht="15" hidden="false" customHeight="false" outlineLevel="0" collapsed="false">
      <c r="A485" s="42"/>
      <c r="B485" s="42"/>
      <c r="C485" s="45" t="str">
        <f aca="false">IF(B485="","",IFERROR(INDEX('Master Database'!$D$5:$D$600,MATCH(B485,'Master Database'!$A$5:$A$600,0)),"(row not found)"))</f>
        <v/>
      </c>
      <c r="D485" s="45" t="str">
        <f aca="false">IF(B485="","",IFERROR(INDEX('Master Database'!$B$5:$B$600,MATCH(B485,'Master Database'!$A$5:$A$600,0)),"(row not found)"))</f>
        <v/>
      </c>
      <c r="E485" s="42"/>
      <c r="F485" s="45" t="str">
        <f aca="false">IF(E485="","",IFERROR(INDEX(Vendor_Register!$B$5:$B$205,MATCH(E485,Vendor_Register!$A$5:$A$205,0)),"(not in register)"))</f>
        <v/>
      </c>
      <c r="G485" s="45" t="str">
        <f aca="false">IF(E485="","",IFERROR(INDEX(Vendor_Register!$E$5:$E$205,MATCH(E485,Vendor_Register!$A$5:$A$205,0)),"(not in register)"))</f>
        <v/>
      </c>
      <c r="H485" s="42"/>
      <c r="I485" s="42"/>
      <c r="J485" s="42"/>
      <c r="K485" s="42"/>
      <c r="L485" s="42"/>
      <c r="M485" s="46"/>
      <c r="N485" s="42"/>
      <c r="O485" s="47" t="str">
        <f aca="false">IF(NOT(ISNUMBER(M485)),"",IFERROR(IF(L485="EUR",M485,IF(L485="IRR",M485/INDEX('Assumptions &amp; FX Reference'!$C$5:$C$25,MATCH(H485,'Assumptions &amp; FX Reference'!$A$5:$A$25,0)),IF(L485="USD",M485*INDEX('Assumptions &amp; FX Reference'!$B$5:$B$25,MATCH(H485,'Assumptions &amp; FX Reference'!$A$5:$A$25,0))/INDEX('Assumptions &amp; FX Reference'!$C$5:$C$25,MATCH(H485,'Assumptions &amp; FX Reference'!$A$5:$A$25,0)),""))),"(FX missing)"))</f>
        <v/>
      </c>
      <c r="P485" s="42"/>
      <c r="Q485" s="42"/>
      <c r="R485" s="42"/>
      <c r="S485" s="42"/>
      <c r="T485" s="42"/>
      <c r="U485" s="42"/>
      <c r="V485" s="42"/>
    </row>
    <row r="486" customFormat="false" ht="15" hidden="false" customHeight="false" outlineLevel="0" collapsed="false">
      <c r="A486" s="42"/>
      <c r="B486" s="42"/>
      <c r="C486" s="45" t="str">
        <f aca="false">IF(B486="","",IFERROR(INDEX('Master Database'!$D$5:$D$600,MATCH(B486,'Master Database'!$A$5:$A$600,0)),"(row not found)"))</f>
        <v/>
      </c>
      <c r="D486" s="45" t="str">
        <f aca="false">IF(B486="","",IFERROR(INDEX('Master Database'!$B$5:$B$600,MATCH(B486,'Master Database'!$A$5:$A$600,0)),"(row not found)"))</f>
        <v/>
      </c>
      <c r="E486" s="42"/>
      <c r="F486" s="45" t="str">
        <f aca="false">IF(E486="","",IFERROR(INDEX(Vendor_Register!$B$5:$B$205,MATCH(E486,Vendor_Register!$A$5:$A$205,0)),"(not in register)"))</f>
        <v/>
      </c>
      <c r="G486" s="45" t="str">
        <f aca="false">IF(E486="","",IFERROR(INDEX(Vendor_Register!$E$5:$E$205,MATCH(E486,Vendor_Register!$A$5:$A$205,0)),"(not in register)"))</f>
        <v/>
      </c>
      <c r="H486" s="42"/>
      <c r="I486" s="42"/>
      <c r="J486" s="42"/>
      <c r="K486" s="42"/>
      <c r="L486" s="42"/>
      <c r="M486" s="46"/>
      <c r="N486" s="42"/>
      <c r="O486" s="47" t="str">
        <f aca="false">IF(NOT(ISNUMBER(M486)),"",IFERROR(IF(L486="EUR",M486,IF(L486="IRR",M486/INDEX('Assumptions &amp; FX Reference'!$C$5:$C$25,MATCH(H486,'Assumptions &amp; FX Reference'!$A$5:$A$25,0)),IF(L486="USD",M486*INDEX('Assumptions &amp; FX Reference'!$B$5:$B$25,MATCH(H486,'Assumptions &amp; FX Reference'!$A$5:$A$25,0))/INDEX('Assumptions &amp; FX Reference'!$C$5:$C$25,MATCH(H486,'Assumptions &amp; FX Reference'!$A$5:$A$25,0)),""))),"(FX missing)"))</f>
        <v/>
      </c>
      <c r="P486" s="42"/>
      <c r="Q486" s="42"/>
      <c r="R486" s="42"/>
      <c r="S486" s="42"/>
      <c r="T486" s="42"/>
      <c r="U486" s="42"/>
      <c r="V486" s="42"/>
    </row>
    <row r="487" customFormat="false" ht="15" hidden="false" customHeight="false" outlineLevel="0" collapsed="false">
      <c r="A487" s="42"/>
      <c r="B487" s="42"/>
      <c r="C487" s="45" t="str">
        <f aca="false">IF(B487="","",IFERROR(INDEX('Master Database'!$D$5:$D$600,MATCH(B487,'Master Database'!$A$5:$A$600,0)),"(row not found)"))</f>
        <v/>
      </c>
      <c r="D487" s="45" t="str">
        <f aca="false">IF(B487="","",IFERROR(INDEX('Master Database'!$B$5:$B$600,MATCH(B487,'Master Database'!$A$5:$A$600,0)),"(row not found)"))</f>
        <v/>
      </c>
      <c r="E487" s="42"/>
      <c r="F487" s="45" t="str">
        <f aca="false">IF(E487="","",IFERROR(INDEX(Vendor_Register!$B$5:$B$205,MATCH(E487,Vendor_Register!$A$5:$A$205,0)),"(not in register)"))</f>
        <v/>
      </c>
      <c r="G487" s="45" t="str">
        <f aca="false">IF(E487="","",IFERROR(INDEX(Vendor_Register!$E$5:$E$205,MATCH(E487,Vendor_Register!$A$5:$A$205,0)),"(not in register)"))</f>
        <v/>
      </c>
      <c r="H487" s="42"/>
      <c r="I487" s="42"/>
      <c r="J487" s="42"/>
      <c r="K487" s="42"/>
      <c r="L487" s="42"/>
      <c r="M487" s="46"/>
      <c r="N487" s="42"/>
      <c r="O487" s="47" t="str">
        <f aca="false">IF(NOT(ISNUMBER(M487)),"",IFERROR(IF(L487="EUR",M487,IF(L487="IRR",M487/INDEX('Assumptions &amp; FX Reference'!$C$5:$C$25,MATCH(H487,'Assumptions &amp; FX Reference'!$A$5:$A$25,0)),IF(L487="USD",M487*INDEX('Assumptions &amp; FX Reference'!$B$5:$B$25,MATCH(H487,'Assumptions &amp; FX Reference'!$A$5:$A$25,0))/INDEX('Assumptions &amp; FX Reference'!$C$5:$C$25,MATCH(H487,'Assumptions &amp; FX Reference'!$A$5:$A$25,0)),""))),"(FX missing)"))</f>
        <v/>
      </c>
      <c r="P487" s="42"/>
      <c r="Q487" s="42"/>
      <c r="R487" s="42"/>
      <c r="S487" s="42"/>
      <c r="T487" s="42"/>
      <c r="U487" s="42"/>
      <c r="V487" s="42"/>
    </row>
    <row r="488" customFormat="false" ht="15" hidden="false" customHeight="false" outlineLevel="0" collapsed="false">
      <c r="A488" s="42"/>
      <c r="B488" s="42"/>
      <c r="C488" s="45" t="str">
        <f aca="false">IF(B488="","",IFERROR(INDEX('Master Database'!$D$5:$D$600,MATCH(B488,'Master Database'!$A$5:$A$600,0)),"(row not found)"))</f>
        <v/>
      </c>
      <c r="D488" s="45" t="str">
        <f aca="false">IF(B488="","",IFERROR(INDEX('Master Database'!$B$5:$B$600,MATCH(B488,'Master Database'!$A$5:$A$600,0)),"(row not found)"))</f>
        <v/>
      </c>
      <c r="E488" s="42"/>
      <c r="F488" s="45" t="str">
        <f aca="false">IF(E488="","",IFERROR(INDEX(Vendor_Register!$B$5:$B$205,MATCH(E488,Vendor_Register!$A$5:$A$205,0)),"(not in register)"))</f>
        <v/>
      </c>
      <c r="G488" s="45" t="str">
        <f aca="false">IF(E488="","",IFERROR(INDEX(Vendor_Register!$E$5:$E$205,MATCH(E488,Vendor_Register!$A$5:$A$205,0)),"(not in register)"))</f>
        <v/>
      </c>
      <c r="H488" s="42"/>
      <c r="I488" s="42"/>
      <c r="J488" s="42"/>
      <c r="K488" s="42"/>
      <c r="L488" s="42"/>
      <c r="M488" s="46"/>
      <c r="N488" s="42"/>
      <c r="O488" s="47" t="str">
        <f aca="false">IF(NOT(ISNUMBER(M488)),"",IFERROR(IF(L488="EUR",M488,IF(L488="IRR",M488/INDEX('Assumptions &amp; FX Reference'!$C$5:$C$25,MATCH(H488,'Assumptions &amp; FX Reference'!$A$5:$A$25,0)),IF(L488="USD",M488*INDEX('Assumptions &amp; FX Reference'!$B$5:$B$25,MATCH(H488,'Assumptions &amp; FX Reference'!$A$5:$A$25,0))/INDEX('Assumptions &amp; FX Reference'!$C$5:$C$25,MATCH(H488,'Assumptions &amp; FX Reference'!$A$5:$A$25,0)),""))),"(FX missing)"))</f>
        <v/>
      </c>
      <c r="P488" s="42"/>
      <c r="Q488" s="42"/>
      <c r="R488" s="42"/>
      <c r="S488" s="42"/>
      <c r="T488" s="42"/>
      <c r="U488" s="42"/>
      <c r="V488" s="42"/>
    </row>
    <row r="489" customFormat="false" ht="15" hidden="false" customHeight="false" outlineLevel="0" collapsed="false">
      <c r="A489" s="42"/>
      <c r="B489" s="42"/>
      <c r="C489" s="45" t="str">
        <f aca="false">IF(B489="","",IFERROR(INDEX('Master Database'!$D$5:$D$600,MATCH(B489,'Master Database'!$A$5:$A$600,0)),"(row not found)"))</f>
        <v/>
      </c>
      <c r="D489" s="45" t="str">
        <f aca="false">IF(B489="","",IFERROR(INDEX('Master Database'!$B$5:$B$600,MATCH(B489,'Master Database'!$A$5:$A$600,0)),"(row not found)"))</f>
        <v/>
      </c>
      <c r="E489" s="42"/>
      <c r="F489" s="45" t="str">
        <f aca="false">IF(E489="","",IFERROR(INDEX(Vendor_Register!$B$5:$B$205,MATCH(E489,Vendor_Register!$A$5:$A$205,0)),"(not in register)"))</f>
        <v/>
      </c>
      <c r="G489" s="45" t="str">
        <f aca="false">IF(E489="","",IFERROR(INDEX(Vendor_Register!$E$5:$E$205,MATCH(E489,Vendor_Register!$A$5:$A$205,0)),"(not in register)"))</f>
        <v/>
      </c>
      <c r="H489" s="42"/>
      <c r="I489" s="42"/>
      <c r="J489" s="42"/>
      <c r="K489" s="42"/>
      <c r="L489" s="42"/>
      <c r="M489" s="46"/>
      <c r="N489" s="42"/>
      <c r="O489" s="47" t="str">
        <f aca="false">IF(NOT(ISNUMBER(M489)),"",IFERROR(IF(L489="EUR",M489,IF(L489="IRR",M489/INDEX('Assumptions &amp; FX Reference'!$C$5:$C$25,MATCH(H489,'Assumptions &amp; FX Reference'!$A$5:$A$25,0)),IF(L489="USD",M489*INDEX('Assumptions &amp; FX Reference'!$B$5:$B$25,MATCH(H489,'Assumptions &amp; FX Reference'!$A$5:$A$25,0))/INDEX('Assumptions &amp; FX Reference'!$C$5:$C$25,MATCH(H489,'Assumptions &amp; FX Reference'!$A$5:$A$25,0)),""))),"(FX missing)"))</f>
        <v/>
      </c>
      <c r="P489" s="42"/>
      <c r="Q489" s="42"/>
      <c r="R489" s="42"/>
      <c r="S489" s="42"/>
      <c r="T489" s="42"/>
      <c r="U489" s="42"/>
      <c r="V489" s="42"/>
    </row>
    <row r="490" customFormat="false" ht="15" hidden="false" customHeight="false" outlineLevel="0" collapsed="false">
      <c r="A490" s="42"/>
      <c r="B490" s="42"/>
      <c r="C490" s="45" t="str">
        <f aca="false">IF(B490="","",IFERROR(INDEX('Master Database'!$D$5:$D$600,MATCH(B490,'Master Database'!$A$5:$A$600,0)),"(row not found)"))</f>
        <v/>
      </c>
      <c r="D490" s="45" t="str">
        <f aca="false">IF(B490="","",IFERROR(INDEX('Master Database'!$B$5:$B$600,MATCH(B490,'Master Database'!$A$5:$A$600,0)),"(row not found)"))</f>
        <v/>
      </c>
      <c r="E490" s="42"/>
      <c r="F490" s="45" t="str">
        <f aca="false">IF(E490="","",IFERROR(INDEX(Vendor_Register!$B$5:$B$205,MATCH(E490,Vendor_Register!$A$5:$A$205,0)),"(not in register)"))</f>
        <v/>
      </c>
      <c r="G490" s="45" t="str">
        <f aca="false">IF(E490="","",IFERROR(INDEX(Vendor_Register!$E$5:$E$205,MATCH(E490,Vendor_Register!$A$5:$A$205,0)),"(not in register)"))</f>
        <v/>
      </c>
      <c r="H490" s="42"/>
      <c r="I490" s="42"/>
      <c r="J490" s="42"/>
      <c r="K490" s="42"/>
      <c r="L490" s="42"/>
      <c r="M490" s="46"/>
      <c r="N490" s="42"/>
      <c r="O490" s="47" t="str">
        <f aca="false">IF(NOT(ISNUMBER(M490)),"",IFERROR(IF(L490="EUR",M490,IF(L490="IRR",M490/INDEX('Assumptions &amp; FX Reference'!$C$5:$C$25,MATCH(H490,'Assumptions &amp; FX Reference'!$A$5:$A$25,0)),IF(L490="USD",M490*INDEX('Assumptions &amp; FX Reference'!$B$5:$B$25,MATCH(H490,'Assumptions &amp; FX Reference'!$A$5:$A$25,0))/INDEX('Assumptions &amp; FX Reference'!$C$5:$C$25,MATCH(H490,'Assumptions &amp; FX Reference'!$A$5:$A$25,0)),""))),"(FX missing)"))</f>
        <v/>
      </c>
      <c r="P490" s="42"/>
      <c r="Q490" s="42"/>
      <c r="R490" s="42"/>
      <c r="S490" s="42"/>
      <c r="T490" s="42"/>
      <c r="U490" s="42"/>
      <c r="V490" s="42"/>
    </row>
    <row r="491" customFormat="false" ht="15" hidden="false" customHeight="false" outlineLevel="0" collapsed="false">
      <c r="A491" s="42"/>
      <c r="B491" s="42"/>
      <c r="C491" s="45" t="str">
        <f aca="false">IF(B491="","",IFERROR(INDEX('Master Database'!$D$5:$D$600,MATCH(B491,'Master Database'!$A$5:$A$600,0)),"(row not found)"))</f>
        <v/>
      </c>
      <c r="D491" s="45" t="str">
        <f aca="false">IF(B491="","",IFERROR(INDEX('Master Database'!$B$5:$B$600,MATCH(B491,'Master Database'!$A$5:$A$600,0)),"(row not found)"))</f>
        <v/>
      </c>
      <c r="E491" s="42"/>
      <c r="F491" s="45" t="str">
        <f aca="false">IF(E491="","",IFERROR(INDEX(Vendor_Register!$B$5:$B$205,MATCH(E491,Vendor_Register!$A$5:$A$205,0)),"(not in register)"))</f>
        <v/>
      </c>
      <c r="G491" s="45" t="str">
        <f aca="false">IF(E491="","",IFERROR(INDEX(Vendor_Register!$E$5:$E$205,MATCH(E491,Vendor_Register!$A$5:$A$205,0)),"(not in register)"))</f>
        <v/>
      </c>
      <c r="H491" s="42"/>
      <c r="I491" s="42"/>
      <c r="J491" s="42"/>
      <c r="K491" s="42"/>
      <c r="L491" s="42"/>
      <c r="M491" s="46"/>
      <c r="N491" s="42"/>
      <c r="O491" s="47" t="str">
        <f aca="false">IF(NOT(ISNUMBER(M491)),"",IFERROR(IF(L491="EUR",M491,IF(L491="IRR",M491/INDEX('Assumptions &amp; FX Reference'!$C$5:$C$25,MATCH(H491,'Assumptions &amp; FX Reference'!$A$5:$A$25,0)),IF(L491="USD",M491*INDEX('Assumptions &amp; FX Reference'!$B$5:$B$25,MATCH(H491,'Assumptions &amp; FX Reference'!$A$5:$A$25,0))/INDEX('Assumptions &amp; FX Reference'!$C$5:$C$25,MATCH(H491,'Assumptions &amp; FX Reference'!$A$5:$A$25,0)),""))),"(FX missing)"))</f>
        <v/>
      </c>
      <c r="P491" s="42"/>
      <c r="Q491" s="42"/>
      <c r="R491" s="42"/>
      <c r="S491" s="42"/>
      <c r="T491" s="42"/>
      <c r="U491" s="42"/>
      <c r="V491" s="42"/>
    </row>
    <row r="492" customFormat="false" ht="15" hidden="false" customHeight="false" outlineLevel="0" collapsed="false">
      <c r="A492" s="42"/>
      <c r="B492" s="42"/>
      <c r="C492" s="45" t="str">
        <f aca="false">IF(B492="","",IFERROR(INDEX('Master Database'!$D$5:$D$600,MATCH(B492,'Master Database'!$A$5:$A$600,0)),"(row not found)"))</f>
        <v/>
      </c>
      <c r="D492" s="45" t="str">
        <f aca="false">IF(B492="","",IFERROR(INDEX('Master Database'!$B$5:$B$600,MATCH(B492,'Master Database'!$A$5:$A$600,0)),"(row not found)"))</f>
        <v/>
      </c>
      <c r="E492" s="42"/>
      <c r="F492" s="45" t="str">
        <f aca="false">IF(E492="","",IFERROR(INDEX(Vendor_Register!$B$5:$B$205,MATCH(E492,Vendor_Register!$A$5:$A$205,0)),"(not in register)"))</f>
        <v/>
      </c>
      <c r="G492" s="45" t="str">
        <f aca="false">IF(E492="","",IFERROR(INDEX(Vendor_Register!$E$5:$E$205,MATCH(E492,Vendor_Register!$A$5:$A$205,0)),"(not in register)"))</f>
        <v/>
      </c>
      <c r="H492" s="42"/>
      <c r="I492" s="42"/>
      <c r="J492" s="42"/>
      <c r="K492" s="42"/>
      <c r="L492" s="42"/>
      <c r="M492" s="46"/>
      <c r="N492" s="42"/>
      <c r="O492" s="47" t="str">
        <f aca="false">IF(NOT(ISNUMBER(M492)),"",IFERROR(IF(L492="EUR",M492,IF(L492="IRR",M492/INDEX('Assumptions &amp; FX Reference'!$C$5:$C$25,MATCH(H492,'Assumptions &amp; FX Reference'!$A$5:$A$25,0)),IF(L492="USD",M492*INDEX('Assumptions &amp; FX Reference'!$B$5:$B$25,MATCH(H492,'Assumptions &amp; FX Reference'!$A$5:$A$25,0))/INDEX('Assumptions &amp; FX Reference'!$C$5:$C$25,MATCH(H492,'Assumptions &amp; FX Reference'!$A$5:$A$25,0)),""))),"(FX missing)"))</f>
        <v/>
      </c>
      <c r="P492" s="42"/>
      <c r="Q492" s="42"/>
      <c r="R492" s="42"/>
      <c r="S492" s="42"/>
      <c r="T492" s="42"/>
      <c r="U492" s="42"/>
      <c r="V492" s="42"/>
    </row>
    <row r="493" customFormat="false" ht="15" hidden="false" customHeight="false" outlineLevel="0" collapsed="false">
      <c r="A493" s="42"/>
      <c r="B493" s="42"/>
      <c r="C493" s="45" t="str">
        <f aca="false">IF(B493="","",IFERROR(INDEX('Master Database'!$D$5:$D$600,MATCH(B493,'Master Database'!$A$5:$A$600,0)),"(row not found)"))</f>
        <v/>
      </c>
      <c r="D493" s="45" t="str">
        <f aca="false">IF(B493="","",IFERROR(INDEX('Master Database'!$B$5:$B$600,MATCH(B493,'Master Database'!$A$5:$A$600,0)),"(row not found)"))</f>
        <v/>
      </c>
      <c r="E493" s="42"/>
      <c r="F493" s="45" t="str">
        <f aca="false">IF(E493="","",IFERROR(INDEX(Vendor_Register!$B$5:$B$205,MATCH(E493,Vendor_Register!$A$5:$A$205,0)),"(not in register)"))</f>
        <v/>
      </c>
      <c r="G493" s="45" t="str">
        <f aca="false">IF(E493="","",IFERROR(INDEX(Vendor_Register!$E$5:$E$205,MATCH(E493,Vendor_Register!$A$5:$A$205,0)),"(not in register)"))</f>
        <v/>
      </c>
      <c r="H493" s="42"/>
      <c r="I493" s="42"/>
      <c r="J493" s="42"/>
      <c r="K493" s="42"/>
      <c r="L493" s="42"/>
      <c r="M493" s="46"/>
      <c r="N493" s="42"/>
      <c r="O493" s="47" t="str">
        <f aca="false">IF(NOT(ISNUMBER(M493)),"",IFERROR(IF(L493="EUR",M493,IF(L493="IRR",M493/INDEX('Assumptions &amp; FX Reference'!$C$5:$C$25,MATCH(H493,'Assumptions &amp; FX Reference'!$A$5:$A$25,0)),IF(L493="USD",M493*INDEX('Assumptions &amp; FX Reference'!$B$5:$B$25,MATCH(H493,'Assumptions &amp; FX Reference'!$A$5:$A$25,0))/INDEX('Assumptions &amp; FX Reference'!$C$5:$C$25,MATCH(H493,'Assumptions &amp; FX Reference'!$A$5:$A$25,0)),""))),"(FX missing)"))</f>
        <v/>
      </c>
      <c r="P493" s="42"/>
      <c r="Q493" s="42"/>
      <c r="R493" s="42"/>
      <c r="S493" s="42"/>
      <c r="T493" s="42"/>
      <c r="U493" s="42"/>
      <c r="V493" s="42"/>
    </row>
    <row r="494" customFormat="false" ht="15" hidden="false" customHeight="false" outlineLevel="0" collapsed="false">
      <c r="A494" s="42"/>
      <c r="B494" s="42"/>
      <c r="C494" s="45" t="str">
        <f aca="false">IF(B494="","",IFERROR(INDEX('Master Database'!$D$5:$D$600,MATCH(B494,'Master Database'!$A$5:$A$600,0)),"(row not found)"))</f>
        <v/>
      </c>
      <c r="D494" s="45" t="str">
        <f aca="false">IF(B494="","",IFERROR(INDEX('Master Database'!$B$5:$B$600,MATCH(B494,'Master Database'!$A$5:$A$600,0)),"(row not found)"))</f>
        <v/>
      </c>
      <c r="E494" s="42"/>
      <c r="F494" s="45" t="str">
        <f aca="false">IF(E494="","",IFERROR(INDEX(Vendor_Register!$B$5:$B$205,MATCH(E494,Vendor_Register!$A$5:$A$205,0)),"(not in register)"))</f>
        <v/>
      </c>
      <c r="G494" s="45" t="str">
        <f aca="false">IF(E494="","",IFERROR(INDEX(Vendor_Register!$E$5:$E$205,MATCH(E494,Vendor_Register!$A$5:$A$205,0)),"(not in register)"))</f>
        <v/>
      </c>
      <c r="H494" s="42"/>
      <c r="I494" s="42"/>
      <c r="J494" s="42"/>
      <c r="K494" s="42"/>
      <c r="L494" s="42"/>
      <c r="M494" s="46"/>
      <c r="N494" s="42"/>
      <c r="O494" s="47" t="str">
        <f aca="false">IF(NOT(ISNUMBER(M494)),"",IFERROR(IF(L494="EUR",M494,IF(L494="IRR",M494/INDEX('Assumptions &amp; FX Reference'!$C$5:$C$25,MATCH(H494,'Assumptions &amp; FX Reference'!$A$5:$A$25,0)),IF(L494="USD",M494*INDEX('Assumptions &amp; FX Reference'!$B$5:$B$25,MATCH(H494,'Assumptions &amp; FX Reference'!$A$5:$A$25,0))/INDEX('Assumptions &amp; FX Reference'!$C$5:$C$25,MATCH(H494,'Assumptions &amp; FX Reference'!$A$5:$A$25,0)),""))),"(FX missing)"))</f>
        <v/>
      </c>
      <c r="P494" s="42"/>
      <c r="Q494" s="42"/>
      <c r="R494" s="42"/>
      <c r="S494" s="42"/>
      <c r="T494" s="42"/>
      <c r="U494" s="42"/>
      <c r="V494" s="42"/>
    </row>
    <row r="495" customFormat="false" ht="15" hidden="false" customHeight="false" outlineLevel="0" collapsed="false">
      <c r="A495" s="42"/>
      <c r="B495" s="42"/>
      <c r="C495" s="45" t="str">
        <f aca="false">IF(B495="","",IFERROR(INDEX('Master Database'!$D$5:$D$600,MATCH(B495,'Master Database'!$A$5:$A$600,0)),"(row not found)"))</f>
        <v/>
      </c>
      <c r="D495" s="45" t="str">
        <f aca="false">IF(B495="","",IFERROR(INDEX('Master Database'!$B$5:$B$600,MATCH(B495,'Master Database'!$A$5:$A$600,0)),"(row not found)"))</f>
        <v/>
      </c>
      <c r="E495" s="42"/>
      <c r="F495" s="45" t="str">
        <f aca="false">IF(E495="","",IFERROR(INDEX(Vendor_Register!$B$5:$B$205,MATCH(E495,Vendor_Register!$A$5:$A$205,0)),"(not in register)"))</f>
        <v/>
      </c>
      <c r="G495" s="45" t="str">
        <f aca="false">IF(E495="","",IFERROR(INDEX(Vendor_Register!$E$5:$E$205,MATCH(E495,Vendor_Register!$A$5:$A$205,0)),"(not in register)"))</f>
        <v/>
      </c>
      <c r="H495" s="42"/>
      <c r="I495" s="42"/>
      <c r="J495" s="42"/>
      <c r="K495" s="42"/>
      <c r="L495" s="42"/>
      <c r="M495" s="46"/>
      <c r="N495" s="42"/>
      <c r="O495" s="47" t="str">
        <f aca="false">IF(NOT(ISNUMBER(M495)),"",IFERROR(IF(L495="EUR",M495,IF(L495="IRR",M495/INDEX('Assumptions &amp; FX Reference'!$C$5:$C$25,MATCH(H495,'Assumptions &amp; FX Reference'!$A$5:$A$25,0)),IF(L495="USD",M495*INDEX('Assumptions &amp; FX Reference'!$B$5:$B$25,MATCH(H495,'Assumptions &amp; FX Reference'!$A$5:$A$25,0))/INDEX('Assumptions &amp; FX Reference'!$C$5:$C$25,MATCH(H495,'Assumptions &amp; FX Reference'!$A$5:$A$25,0)),""))),"(FX missing)"))</f>
        <v/>
      </c>
      <c r="P495" s="42"/>
      <c r="Q495" s="42"/>
      <c r="R495" s="42"/>
      <c r="S495" s="42"/>
      <c r="T495" s="42"/>
      <c r="U495" s="42"/>
      <c r="V495" s="42"/>
    </row>
    <row r="496" customFormat="false" ht="15" hidden="false" customHeight="false" outlineLevel="0" collapsed="false">
      <c r="A496" s="42"/>
      <c r="B496" s="42"/>
      <c r="C496" s="45" t="str">
        <f aca="false">IF(B496="","",IFERROR(INDEX('Master Database'!$D$5:$D$600,MATCH(B496,'Master Database'!$A$5:$A$600,0)),"(row not found)"))</f>
        <v/>
      </c>
      <c r="D496" s="45" t="str">
        <f aca="false">IF(B496="","",IFERROR(INDEX('Master Database'!$B$5:$B$600,MATCH(B496,'Master Database'!$A$5:$A$600,0)),"(row not found)"))</f>
        <v/>
      </c>
      <c r="E496" s="42"/>
      <c r="F496" s="45" t="str">
        <f aca="false">IF(E496="","",IFERROR(INDEX(Vendor_Register!$B$5:$B$205,MATCH(E496,Vendor_Register!$A$5:$A$205,0)),"(not in register)"))</f>
        <v/>
      </c>
      <c r="G496" s="45" t="str">
        <f aca="false">IF(E496="","",IFERROR(INDEX(Vendor_Register!$E$5:$E$205,MATCH(E496,Vendor_Register!$A$5:$A$205,0)),"(not in register)"))</f>
        <v/>
      </c>
      <c r="H496" s="42"/>
      <c r="I496" s="42"/>
      <c r="J496" s="42"/>
      <c r="K496" s="42"/>
      <c r="L496" s="42"/>
      <c r="M496" s="46"/>
      <c r="N496" s="42"/>
      <c r="O496" s="47" t="str">
        <f aca="false">IF(NOT(ISNUMBER(M496)),"",IFERROR(IF(L496="EUR",M496,IF(L496="IRR",M496/INDEX('Assumptions &amp; FX Reference'!$C$5:$C$25,MATCH(H496,'Assumptions &amp; FX Reference'!$A$5:$A$25,0)),IF(L496="USD",M496*INDEX('Assumptions &amp; FX Reference'!$B$5:$B$25,MATCH(H496,'Assumptions &amp; FX Reference'!$A$5:$A$25,0))/INDEX('Assumptions &amp; FX Reference'!$C$5:$C$25,MATCH(H496,'Assumptions &amp; FX Reference'!$A$5:$A$25,0)),""))),"(FX missing)"))</f>
        <v/>
      </c>
      <c r="P496" s="42"/>
      <c r="Q496" s="42"/>
      <c r="R496" s="42"/>
      <c r="S496" s="42"/>
      <c r="T496" s="42"/>
      <c r="U496" s="42"/>
      <c r="V496" s="42"/>
    </row>
    <row r="497" customFormat="false" ht="15" hidden="false" customHeight="false" outlineLevel="0" collapsed="false">
      <c r="A497" s="42"/>
      <c r="B497" s="42"/>
      <c r="C497" s="45" t="str">
        <f aca="false">IF(B497="","",IFERROR(INDEX('Master Database'!$D$5:$D$600,MATCH(B497,'Master Database'!$A$5:$A$600,0)),"(row not found)"))</f>
        <v/>
      </c>
      <c r="D497" s="45" t="str">
        <f aca="false">IF(B497="","",IFERROR(INDEX('Master Database'!$B$5:$B$600,MATCH(B497,'Master Database'!$A$5:$A$600,0)),"(row not found)"))</f>
        <v/>
      </c>
      <c r="E497" s="42"/>
      <c r="F497" s="45" t="str">
        <f aca="false">IF(E497="","",IFERROR(INDEX(Vendor_Register!$B$5:$B$205,MATCH(E497,Vendor_Register!$A$5:$A$205,0)),"(not in register)"))</f>
        <v/>
      </c>
      <c r="G497" s="45" t="str">
        <f aca="false">IF(E497="","",IFERROR(INDEX(Vendor_Register!$E$5:$E$205,MATCH(E497,Vendor_Register!$A$5:$A$205,0)),"(not in register)"))</f>
        <v/>
      </c>
      <c r="H497" s="42"/>
      <c r="I497" s="42"/>
      <c r="J497" s="42"/>
      <c r="K497" s="42"/>
      <c r="L497" s="42"/>
      <c r="M497" s="46"/>
      <c r="N497" s="42"/>
      <c r="O497" s="47" t="str">
        <f aca="false">IF(NOT(ISNUMBER(M497)),"",IFERROR(IF(L497="EUR",M497,IF(L497="IRR",M497/INDEX('Assumptions &amp; FX Reference'!$C$5:$C$25,MATCH(H497,'Assumptions &amp; FX Reference'!$A$5:$A$25,0)),IF(L497="USD",M497*INDEX('Assumptions &amp; FX Reference'!$B$5:$B$25,MATCH(H497,'Assumptions &amp; FX Reference'!$A$5:$A$25,0))/INDEX('Assumptions &amp; FX Reference'!$C$5:$C$25,MATCH(H497,'Assumptions &amp; FX Reference'!$A$5:$A$25,0)),""))),"(FX missing)"))</f>
        <v/>
      </c>
      <c r="P497" s="42"/>
      <c r="Q497" s="42"/>
      <c r="R497" s="42"/>
      <c r="S497" s="42"/>
      <c r="T497" s="42"/>
      <c r="U497" s="42"/>
      <c r="V497" s="42"/>
    </row>
    <row r="498" customFormat="false" ht="15" hidden="false" customHeight="false" outlineLevel="0" collapsed="false">
      <c r="A498" s="42"/>
      <c r="B498" s="42"/>
      <c r="C498" s="45" t="str">
        <f aca="false">IF(B498="","",IFERROR(INDEX('Master Database'!$D$5:$D$600,MATCH(B498,'Master Database'!$A$5:$A$600,0)),"(row not found)"))</f>
        <v/>
      </c>
      <c r="D498" s="45" t="str">
        <f aca="false">IF(B498="","",IFERROR(INDEX('Master Database'!$B$5:$B$600,MATCH(B498,'Master Database'!$A$5:$A$600,0)),"(row not found)"))</f>
        <v/>
      </c>
      <c r="E498" s="42"/>
      <c r="F498" s="45" t="str">
        <f aca="false">IF(E498="","",IFERROR(INDEX(Vendor_Register!$B$5:$B$205,MATCH(E498,Vendor_Register!$A$5:$A$205,0)),"(not in register)"))</f>
        <v/>
      </c>
      <c r="G498" s="45" t="str">
        <f aca="false">IF(E498="","",IFERROR(INDEX(Vendor_Register!$E$5:$E$205,MATCH(E498,Vendor_Register!$A$5:$A$205,0)),"(not in register)"))</f>
        <v/>
      </c>
      <c r="H498" s="42"/>
      <c r="I498" s="42"/>
      <c r="J498" s="42"/>
      <c r="K498" s="42"/>
      <c r="L498" s="42"/>
      <c r="M498" s="46"/>
      <c r="N498" s="42"/>
      <c r="O498" s="47" t="str">
        <f aca="false">IF(NOT(ISNUMBER(M498)),"",IFERROR(IF(L498="EUR",M498,IF(L498="IRR",M498/INDEX('Assumptions &amp; FX Reference'!$C$5:$C$25,MATCH(H498,'Assumptions &amp; FX Reference'!$A$5:$A$25,0)),IF(L498="USD",M498*INDEX('Assumptions &amp; FX Reference'!$B$5:$B$25,MATCH(H498,'Assumptions &amp; FX Reference'!$A$5:$A$25,0))/INDEX('Assumptions &amp; FX Reference'!$C$5:$C$25,MATCH(H498,'Assumptions &amp; FX Reference'!$A$5:$A$25,0)),""))),"(FX missing)"))</f>
        <v/>
      </c>
      <c r="P498" s="42"/>
      <c r="Q498" s="42"/>
      <c r="R498" s="42"/>
      <c r="S498" s="42"/>
      <c r="T498" s="42"/>
      <c r="U498" s="42"/>
      <c r="V498" s="42"/>
    </row>
    <row r="499" customFormat="false" ht="15" hidden="false" customHeight="false" outlineLevel="0" collapsed="false">
      <c r="A499" s="42"/>
      <c r="B499" s="42"/>
      <c r="C499" s="45" t="str">
        <f aca="false">IF(B499="","",IFERROR(INDEX('Master Database'!$D$5:$D$600,MATCH(B499,'Master Database'!$A$5:$A$600,0)),"(row not found)"))</f>
        <v/>
      </c>
      <c r="D499" s="45" t="str">
        <f aca="false">IF(B499="","",IFERROR(INDEX('Master Database'!$B$5:$B$600,MATCH(B499,'Master Database'!$A$5:$A$600,0)),"(row not found)"))</f>
        <v/>
      </c>
      <c r="E499" s="42"/>
      <c r="F499" s="45" t="str">
        <f aca="false">IF(E499="","",IFERROR(INDEX(Vendor_Register!$B$5:$B$205,MATCH(E499,Vendor_Register!$A$5:$A$205,0)),"(not in register)"))</f>
        <v/>
      </c>
      <c r="G499" s="45" t="str">
        <f aca="false">IF(E499="","",IFERROR(INDEX(Vendor_Register!$E$5:$E$205,MATCH(E499,Vendor_Register!$A$5:$A$205,0)),"(not in register)"))</f>
        <v/>
      </c>
      <c r="H499" s="42"/>
      <c r="I499" s="42"/>
      <c r="J499" s="42"/>
      <c r="K499" s="42"/>
      <c r="L499" s="42"/>
      <c r="M499" s="46"/>
      <c r="N499" s="42"/>
      <c r="O499" s="47" t="str">
        <f aca="false">IF(NOT(ISNUMBER(M499)),"",IFERROR(IF(L499="EUR",M499,IF(L499="IRR",M499/INDEX('Assumptions &amp; FX Reference'!$C$5:$C$25,MATCH(H499,'Assumptions &amp; FX Reference'!$A$5:$A$25,0)),IF(L499="USD",M499*INDEX('Assumptions &amp; FX Reference'!$B$5:$B$25,MATCH(H499,'Assumptions &amp; FX Reference'!$A$5:$A$25,0))/INDEX('Assumptions &amp; FX Reference'!$C$5:$C$25,MATCH(H499,'Assumptions &amp; FX Reference'!$A$5:$A$25,0)),""))),"(FX missing)"))</f>
        <v/>
      </c>
      <c r="P499" s="42"/>
      <c r="Q499" s="42"/>
      <c r="R499" s="42"/>
      <c r="S499" s="42"/>
      <c r="T499" s="42"/>
      <c r="U499" s="42"/>
      <c r="V499" s="42"/>
    </row>
    <row r="500" customFormat="false" ht="15" hidden="false" customHeight="false" outlineLevel="0" collapsed="false">
      <c r="A500" s="42"/>
      <c r="B500" s="42"/>
      <c r="C500" s="45" t="str">
        <f aca="false">IF(B500="","",IFERROR(INDEX('Master Database'!$D$5:$D$600,MATCH(B500,'Master Database'!$A$5:$A$600,0)),"(row not found)"))</f>
        <v/>
      </c>
      <c r="D500" s="45" t="str">
        <f aca="false">IF(B500="","",IFERROR(INDEX('Master Database'!$B$5:$B$600,MATCH(B500,'Master Database'!$A$5:$A$600,0)),"(row not found)"))</f>
        <v/>
      </c>
      <c r="E500" s="42"/>
      <c r="F500" s="45" t="str">
        <f aca="false">IF(E500="","",IFERROR(INDEX(Vendor_Register!$B$5:$B$205,MATCH(E500,Vendor_Register!$A$5:$A$205,0)),"(not in register)"))</f>
        <v/>
      </c>
      <c r="G500" s="45" t="str">
        <f aca="false">IF(E500="","",IFERROR(INDEX(Vendor_Register!$E$5:$E$205,MATCH(E500,Vendor_Register!$A$5:$A$205,0)),"(not in register)"))</f>
        <v/>
      </c>
      <c r="H500" s="42"/>
      <c r="I500" s="42"/>
      <c r="J500" s="42"/>
      <c r="K500" s="42"/>
      <c r="L500" s="42"/>
      <c r="M500" s="46"/>
      <c r="N500" s="42"/>
      <c r="O500" s="47" t="str">
        <f aca="false">IF(NOT(ISNUMBER(M500)),"",IFERROR(IF(L500="EUR",M500,IF(L500="IRR",M500/INDEX('Assumptions &amp; FX Reference'!$C$5:$C$25,MATCH(H500,'Assumptions &amp; FX Reference'!$A$5:$A$25,0)),IF(L500="USD",M500*INDEX('Assumptions &amp; FX Reference'!$B$5:$B$25,MATCH(H500,'Assumptions &amp; FX Reference'!$A$5:$A$25,0))/INDEX('Assumptions &amp; FX Reference'!$C$5:$C$25,MATCH(H500,'Assumptions &amp; FX Reference'!$A$5:$A$25,0)),""))),"(FX missing)"))</f>
        <v/>
      </c>
      <c r="P500" s="42"/>
      <c r="Q500" s="42"/>
      <c r="R500" s="42"/>
      <c r="S500" s="42"/>
      <c r="T500" s="42"/>
      <c r="U500" s="42"/>
      <c r="V500" s="42"/>
    </row>
    <row r="501" customFormat="false" ht="15" hidden="false" customHeight="false" outlineLevel="0" collapsed="false">
      <c r="A501" s="42"/>
      <c r="B501" s="42"/>
      <c r="C501" s="45" t="str">
        <f aca="false">IF(B501="","",IFERROR(INDEX('Master Database'!$D$5:$D$600,MATCH(B501,'Master Database'!$A$5:$A$600,0)),"(row not found)"))</f>
        <v/>
      </c>
      <c r="D501" s="45" t="str">
        <f aca="false">IF(B501="","",IFERROR(INDEX('Master Database'!$B$5:$B$600,MATCH(B501,'Master Database'!$A$5:$A$600,0)),"(row not found)"))</f>
        <v/>
      </c>
      <c r="E501" s="42"/>
      <c r="F501" s="45" t="str">
        <f aca="false">IF(E501="","",IFERROR(INDEX(Vendor_Register!$B$5:$B$205,MATCH(E501,Vendor_Register!$A$5:$A$205,0)),"(not in register)"))</f>
        <v/>
      </c>
      <c r="G501" s="45" t="str">
        <f aca="false">IF(E501="","",IFERROR(INDEX(Vendor_Register!$E$5:$E$205,MATCH(E501,Vendor_Register!$A$5:$A$205,0)),"(not in register)"))</f>
        <v/>
      </c>
      <c r="H501" s="42"/>
      <c r="I501" s="42"/>
      <c r="J501" s="42"/>
      <c r="K501" s="42"/>
      <c r="L501" s="42"/>
      <c r="M501" s="46"/>
      <c r="N501" s="42"/>
      <c r="O501" s="47" t="str">
        <f aca="false">IF(NOT(ISNUMBER(M501)),"",IFERROR(IF(L501="EUR",M501,IF(L501="IRR",M501/INDEX('Assumptions &amp; FX Reference'!$C$5:$C$25,MATCH(H501,'Assumptions &amp; FX Reference'!$A$5:$A$25,0)),IF(L501="USD",M501*INDEX('Assumptions &amp; FX Reference'!$B$5:$B$25,MATCH(H501,'Assumptions &amp; FX Reference'!$A$5:$A$25,0))/INDEX('Assumptions &amp; FX Reference'!$C$5:$C$25,MATCH(H501,'Assumptions &amp; FX Reference'!$A$5:$A$25,0)),""))),"(FX missing)"))</f>
        <v/>
      </c>
      <c r="P501" s="42"/>
      <c r="Q501" s="42"/>
      <c r="R501" s="42"/>
      <c r="S501" s="42"/>
      <c r="T501" s="42"/>
      <c r="U501" s="42"/>
      <c r="V501" s="42"/>
    </row>
    <row r="502" customFormat="false" ht="15" hidden="false" customHeight="false" outlineLevel="0" collapsed="false">
      <c r="A502" s="42"/>
      <c r="B502" s="42"/>
      <c r="C502" s="45" t="str">
        <f aca="false">IF(B502="","",IFERROR(INDEX('Master Database'!$D$5:$D$600,MATCH(B502,'Master Database'!$A$5:$A$600,0)),"(row not found)"))</f>
        <v/>
      </c>
      <c r="D502" s="45" t="str">
        <f aca="false">IF(B502="","",IFERROR(INDEX('Master Database'!$B$5:$B$600,MATCH(B502,'Master Database'!$A$5:$A$600,0)),"(row not found)"))</f>
        <v/>
      </c>
      <c r="E502" s="42"/>
      <c r="F502" s="45" t="str">
        <f aca="false">IF(E502="","",IFERROR(INDEX(Vendor_Register!$B$5:$B$205,MATCH(E502,Vendor_Register!$A$5:$A$205,0)),"(not in register)"))</f>
        <v/>
      </c>
      <c r="G502" s="45" t="str">
        <f aca="false">IF(E502="","",IFERROR(INDEX(Vendor_Register!$E$5:$E$205,MATCH(E502,Vendor_Register!$A$5:$A$205,0)),"(not in register)"))</f>
        <v/>
      </c>
      <c r="H502" s="42"/>
      <c r="I502" s="42"/>
      <c r="J502" s="42"/>
      <c r="K502" s="42"/>
      <c r="L502" s="42"/>
      <c r="M502" s="46"/>
      <c r="N502" s="42"/>
      <c r="O502" s="47" t="str">
        <f aca="false">IF(NOT(ISNUMBER(M502)),"",IFERROR(IF(L502="EUR",M502,IF(L502="IRR",M502/INDEX('Assumptions &amp; FX Reference'!$C$5:$C$25,MATCH(H502,'Assumptions &amp; FX Reference'!$A$5:$A$25,0)),IF(L502="USD",M502*INDEX('Assumptions &amp; FX Reference'!$B$5:$B$25,MATCH(H502,'Assumptions &amp; FX Reference'!$A$5:$A$25,0))/INDEX('Assumptions &amp; FX Reference'!$C$5:$C$25,MATCH(H502,'Assumptions &amp; FX Reference'!$A$5:$A$25,0)),""))),"(FX missing)"))</f>
        <v/>
      </c>
      <c r="P502" s="42"/>
      <c r="Q502" s="42"/>
      <c r="R502" s="42"/>
      <c r="S502" s="42"/>
      <c r="T502" s="42"/>
      <c r="U502" s="42"/>
      <c r="V502" s="42"/>
    </row>
    <row r="503" customFormat="false" ht="15" hidden="false" customHeight="false" outlineLevel="0" collapsed="false">
      <c r="A503" s="42"/>
      <c r="B503" s="42"/>
      <c r="C503" s="45" t="str">
        <f aca="false">IF(B503="","",IFERROR(INDEX('Master Database'!$D$5:$D$600,MATCH(B503,'Master Database'!$A$5:$A$600,0)),"(row not found)"))</f>
        <v/>
      </c>
      <c r="D503" s="45" t="str">
        <f aca="false">IF(B503="","",IFERROR(INDEX('Master Database'!$B$5:$B$600,MATCH(B503,'Master Database'!$A$5:$A$600,0)),"(row not found)"))</f>
        <v/>
      </c>
      <c r="E503" s="42"/>
      <c r="F503" s="45" t="str">
        <f aca="false">IF(E503="","",IFERROR(INDEX(Vendor_Register!$B$5:$B$205,MATCH(E503,Vendor_Register!$A$5:$A$205,0)),"(not in register)"))</f>
        <v/>
      </c>
      <c r="G503" s="45" t="str">
        <f aca="false">IF(E503="","",IFERROR(INDEX(Vendor_Register!$E$5:$E$205,MATCH(E503,Vendor_Register!$A$5:$A$205,0)),"(not in register)"))</f>
        <v/>
      </c>
      <c r="H503" s="42"/>
      <c r="I503" s="42"/>
      <c r="J503" s="42"/>
      <c r="K503" s="42"/>
      <c r="L503" s="42"/>
      <c r="M503" s="46"/>
      <c r="N503" s="42"/>
      <c r="O503" s="47" t="str">
        <f aca="false">IF(NOT(ISNUMBER(M503)),"",IFERROR(IF(L503="EUR",M503,IF(L503="IRR",M503/INDEX('Assumptions &amp; FX Reference'!$C$5:$C$25,MATCH(H503,'Assumptions &amp; FX Reference'!$A$5:$A$25,0)),IF(L503="USD",M503*INDEX('Assumptions &amp; FX Reference'!$B$5:$B$25,MATCH(H503,'Assumptions &amp; FX Reference'!$A$5:$A$25,0))/INDEX('Assumptions &amp; FX Reference'!$C$5:$C$25,MATCH(H503,'Assumptions &amp; FX Reference'!$A$5:$A$25,0)),""))),"(FX missing)"))</f>
        <v/>
      </c>
      <c r="P503" s="42"/>
      <c r="Q503" s="42"/>
      <c r="R503" s="42"/>
      <c r="S503" s="42"/>
      <c r="T503" s="42"/>
      <c r="U503" s="42"/>
      <c r="V503" s="42"/>
    </row>
    <row r="504" customFormat="false" ht="15" hidden="false" customHeight="false" outlineLevel="0" collapsed="false">
      <c r="A504" s="42"/>
      <c r="B504" s="42"/>
      <c r="C504" s="45" t="str">
        <f aca="false">IF(B504="","",IFERROR(INDEX('Master Database'!$D$5:$D$600,MATCH(B504,'Master Database'!$A$5:$A$600,0)),"(row not found)"))</f>
        <v/>
      </c>
      <c r="D504" s="45" t="str">
        <f aca="false">IF(B504="","",IFERROR(INDEX('Master Database'!$B$5:$B$600,MATCH(B504,'Master Database'!$A$5:$A$600,0)),"(row not found)"))</f>
        <v/>
      </c>
      <c r="E504" s="42"/>
      <c r="F504" s="45" t="str">
        <f aca="false">IF(E504="","",IFERROR(INDEX(Vendor_Register!$B$5:$B$205,MATCH(E504,Vendor_Register!$A$5:$A$205,0)),"(not in register)"))</f>
        <v/>
      </c>
      <c r="G504" s="45" t="str">
        <f aca="false">IF(E504="","",IFERROR(INDEX(Vendor_Register!$E$5:$E$205,MATCH(E504,Vendor_Register!$A$5:$A$205,0)),"(not in register)"))</f>
        <v/>
      </c>
      <c r="H504" s="42"/>
      <c r="I504" s="42"/>
      <c r="J504" s="42"/>
      <c r="K504" s="42"/>
      <c r="L504" s="42"/>
      <c r="M504" s="46"/>
      <c r="N504" s="42"/>
      <c r="O504" s="47" t="str">
        <f aca="false">IF(NOT(ISNUMBER(M504)),"",IFERROR(IF(L504="EUR",M504,IF(L504="IRR",M504/INDEX('Assumptions &amp; FX Reference'!$C$5:$C$25,MATCH(H504,'Assumptions &amp; FX Reference'!$A$5:$A$25,0)),IF(L504="USD",M504*INDEX('Assumptions &amp; FX Reference'!$B$5:$B$25,MATCH(H504,'Assumptions &amp; FX Reference'!$A$5:$A$25,0))/INDEX('Assumptions &amp; FX Reference'!$C$5:$C$25,MATCH(H504,'Assumptions &amp; FX Reference'!$A$5:$A$25,0)),""))),"(FX missing)"))</f>
        <v/>
      </c>
      <c r="P504" s="42"/>
      <c r="Q504" s="42"/>
      <c r="R504" s="42"/>
      <c r="S504" s="42"/>
      <c r="T504" s="42"/>
      <c r="U504" s="42"/>
      <c r="V504" s="42"/>
    </row>
    <row r="505" customFormat="false" ht="15" hidden="false" customHeight="false" outlineLevel="0" collapsed="false">
      <c r="A505" s="42"/>
      <c r="B505" s="42"/>
      <c r="C505" s="45" t="str">
        <f aca="false">IF(B505="","",IFERROR(INDEX('Master Database'!$D$5:$D$600,MATCH(B505,'Master Database'!$A$5:$A$600,0)),"(row not found)"))</f>
        <v/>
      </c>
      <c r="D505" s="45" t="str">
        <f aca="false">IF(B505="","",IFERROR(INDEX('Master Database'!$B$5:$B$600,MATCH(B505,'Master Database'!$A$5:$A$600,0)),"(row not found)"))</f>
        <v/>
      </c>
      <c r="E505" s="42"/>
      <c r="F505" s="45" t="str">
        <f aca="false">IF(E505="","",IFERROR(INDEX(Vendor_Register!$B$5:$B$205,MATCH(E505,Vendor_Register!$A$5:$A$205,0)),"(not in register)"))</f>
        <v/>
      </c>
      <c r="G505" s="45" t="str">
        <f aca="false">IF(E505="","",IFERROR(INDEX(Vendor_Register!$E$5:$E$205,MATCH(E505,Vendor_Register!$A$5:$A$205,0)),"(not in register)"))</f>
        <v/>
      </c>
      <c r="H505" s="42"/>
      <c r="I505" s="42"/>
      <c r="J505" s="42"/>
      <c r="K505" s="42"/>
      <c r="L505" s="42"/>
      <c r="M505" s="46"/>
      <c r="N505" s="42"/>
      <c r="O505" s="47" t="str">
        <f aca="false">IF(NOT(ISNUMBER(M505)),"",IFERROR(IF(L505="EUR",M505,IF(L505="IRR",M505/INDEX('Assumptions &amp; FX Reference'!$C$5:$C$25,MATCH(H505,'Assumptions &amp; FX Reference'!$A$5:$A$25,0)),IF(L505="USD",M505*INDEX('Assumptions &amp; FX Reference'!$B$5:$B$25,MATCH(H505,'Assumptions &amp; FX Reference'!$A$5:$A$25,0))/INDEX('Assumptions &amp; FX Reference'!$C$5:$C$25,MATCH(H505,'Assumptions &amp; FX Reference'!$A$5:$A$25,0)),""))),"(FX missing)"))</f>
        <v/>
      </c>
      <c r="P505" s="42"/>
      <c r="Q505" s="42"/>
      <c r="R505" s="42"/>
      <c r="S505" s="42"/>
      <c r="T505" s="42"/>
      <c r="U505" s="42"/>
      <c r="V505" s="42"/>
    </row>
    <row r="506" customFormat="false" ht="15" hidden="false" customHeight="false" outlineLevel="0" collapsed="false">
      <c r="A506" s="42"/>
      <c r="B506" s="42"/>
      <c r="C506" s="45" t="str">
        <f aca="false">IF(B506="","",IFERROR(INDEX('Master Database'!$D$5:$D$600,MATCH(B506,'Master Database'!$A$5:$A$600,0)),"(row not found)"))</f>
        <v/>
      </c>
      <c r="D506" s="45" t="str">
        <f aca="false">IF(B506="","",IFERROR(INDEX('Master Database'!$B$5:$B$600,MATCH(B506,'Master Database'!$A$5:$A$600,0)),"(row not found)"))</f>
        <v/>
      </c>
      <c r="E506" s="42"/>
      <c r="F506" s="45" t="str">
        <f aca="false">IF(E506="","",IFERROR(INDEX(Vendor_Register!$B$5:$B$205,MATCH(E506,Vendor_Register!$A$5:$A$205,0)),"(not in register)"))</f>
        <v/>
      </c>
      <c r="G506" s="45" t="str">
        <f aca="false">IF(E506="","",IFERROR(INDEX(Vendor_Register!$E$5:$E$205,MATCH(E506,Vendor_Register!$A$5:$A$205,0)),"(not in register)"))</f>
        <v/>
      </c>
      <c r="H506" s="42"/>
      <c r="I506" s="42"/>
      <c r="J506" s="42"/>
      <c r="K506" s="42"/>
      <c r="L506" s="42"/>
      <c r="M506" s="46"/>
      <c r="N506" s="42"/>
      <c r="O506" s="47" t="str">
        <f aca="false">IF(NOT(ISNUMBER(M506)),"",IFERROR(IF(L506="EUR",M506,IF(L506="IRR",M506/INDEX('Assumptions &amp; FX Reference'!$C$5:$C$25,MATCH(H506,'Assumptions &amp; FX Reference'!$A$5:$A$25,0)),IF(L506="USD",M506*INDEX('Assumptions &amp; FX Reference'!$B$5:$B$25,MATCH(H506,'Assumptions &amp; FX Reference'!$A$5:$A$25,0))/INDEX('Assumptions &amp; FX Reference'!$C$5:$C$25,MATCH(H506,'Assumptions &amp; FX Reference'!$A$5:$A$25,0)),""))),"(FX missing)"))</f>
        <v/>
      </c>
      <c r="P506" s="42"/>
      <c r="Q506" s="42"/>
      <c r="R506" s="42"/>
      <c r="S506" s="42"/>
      <c r="T506" s="42"/>
      <c r="U506" s="42"/>
      <c r="V506" s="42"/>
    </row>
    <row r="507" customFormat="false" ht="15" hidden="false" customHeight="false" outlineLevel="0" collapsed="false">
      <c r="A507" s="42"/>
      <c r="B507" s="42"/>
      <c r="C507" s="45" t="str">
        <f aca="false">IF(B507="","",IFERROR(INDEX('Master Database'!$D$5:$D$600,MATCH(B507,'Master Database'!$A$5:$A$600,0)),"(row not found)"))</f>
        <v/>
      </c>
      <c r="D507" s="45" t="str">
        <f aca="false">IF(B507="","",IFERROR(INDEX('Master Database'!$B$5:$B$600,MATCH(B507,'Master Database'!$A$5:$A$600,0)),"(row not found)"))</f>
        <v/>
      </c>
      <c r="E507" s="42"/>
      <c r="F507" s="45" t="str">
        <f aca="false">IF(E507="","",IFERROR(INDEX(Vendor_Register!$B$5:$B$205,MATCH(E507,Vendor_Register!$A$5:$A$205,0)),"(not in register)"))</f>
        <v/>
      </c>
      <c r="G507" s="45" t="str">
        <f aca="false">IF(E507="","",IFERROR(INDEX(Vendor_Register!$E$5:$E$205,MATCH(E507,Vendor_Register!$A$5:$A$205,0)),"(not in register)"))</f>
        <v/>
      </c>
      <c r="H507" s="42"/>
      <c r="I507" s="42"/>
      <c r="J507" s="42"/>
      <c r="K507" s="42"/>
      <c r="L507" s="42"/>
      <c r="M507" s="46"/>
      <c r="N507" s="42"/>
      <c r="O507" s="47" t="str">
        <f aca="false">IF(NOT(ISNUMBER(M507)),"",IFERROR(IF(L507="EUR",M507,IF(L507="IRR",M507/INDEX('Assumptions &amp; FX Reference'!$C$5:$C$25,MATCH(H507,'Assumptions &amp; FX Reference'!$A$5:$A$25,0)),IF(L507="USD",M507*INDEX('Assumptions &amp; FX Reference'!$B$5:$B$25,MATCH(H507,'Assumptions &amp; FX Reference'!$A$5:$A$25,0))/INDEX('Assumptions &amp; FX Reference'!$C$5:$C$25,MATCH(H507,'Assumptions &amp; FX Reference'!$A$5:$A$25,0)),""))),"(FX missing)"))</f>
        <v/>
      </c>
      <c r="P507" s="42"/>
      <c r="Q507" s="42"/>
      <c r="R507" s="42"/>
      <c r="S507" s="42"/>
      <c r="T507" s="42"/>
      <c r="U507" s="42"/>
      <c r="V507" s="42"/>
    </row>
    <row r="508" customFormat="false" ht="15" hidden="false" customHeight="false" outlineLevel="0" collapsed="false">
      <c r="A508" s="42"/>
      <c r="B508" s="42"/>
      <c r="C508" s="45" t="str">
        <f aca="false">IF(B508="","",IFERROR(INDEX('Master Database'!$D$5:$D$600,MATCH(B508,'Master Database'!$A$5:$A$600,0)),"(row not found)"))</f>
        <v/>
      </c>
      <c r="D508" s="45" t="str">
        <f aca="false">IF(B508="","",IFERROR(INDEX('Master Database'!$B$5:$B$600,MATCH(B508,'Master Database'!$A$5:$A$600,0)),"(row not found)"))</f>
        <v/>
      </c>
      <c r="E508" s="42"/>
      <c r="F508" s="45" t="str">
        <f aca="false">IF(E508="","",IFERROR(INDEX(Vendor_Register!$B$5:$B$205,MATCH(E508,Vendor_Register!$A$5:$A$205,0)),"(not in register)"))</f>
        <v/>
      </c>
      <c r="G508" s="45" t="str">
        <f aca="false">IF(E508="","",IFERROR(INDEX(Vendor_Register!$E$5:$E$205,MATCH(E508,Vendor_Register!$A$5:$A$205,0)),"(not in register)"))</f>
        <v/>
      </c>
      <c r="H508" s="42"/>
      <c r="I508" s="42"/>
      <c r="J508" s="42"/>
      <c r="K508" s="42"/>
      <c r="L508" s="42"/>
      <c r="M508" s="46"/>
      <c r="N508" s="42"/>
      <c r="O508" s="47" t="str">
        <f aca="false">IF(NOT(ISNUMBER(M508)),"",IFERROR(IF(L508="EUR",M508,IF(L508="IRR",M508/INDEX('Assumptions &amp; FX Reference'!$C$5:$C$25,MATCH(H508,'Assumptions &amp; FX Reference'!$A$5:$A$25,0)),IF(L508="USD",M508*INDEX('Assumptions &amp; FX Reference'!$B$5:$B$25,MATCH(H508,'Assumptions &amp; FX Reference'!$A$5:$A$25,0))/INDEX('Assumptions &amp; FX Reference'!$C$5:$C$25,MATCH(H508,'Assumptions &amp; FX Reference'!$A$5:$A$25,0)),""))),"(FX missing)"))</f>
        <v/>
      </c>
      <c r="P508" s="42"/>
      <c r="Q508" s="42"/>
      <c r="R508" s="42"/>
      <c r="S508" s="42"/>
      <c r="T508" s="42"/>
      <c r="U508" s="42"/>
      <c r="V508" s="42"/>
    </row>
    <row r="509" customFormat="false" ht="15" hidden="false" customHeight="false" outlineLevel="0" collapsed="false">
      <c r="A509" s="42"/>
      <c r="B509" s="42"/>
      <c r="C509" s="45" t="str">
        <f aca="false">IF(B509="","",IFERROR(INDEX('Master Database'!$D$5:$D$600,MATCH(B509,'Master Database'!$A$5:$A$600,0)),"(row not found)"))</f>
        <v/>
      </c>
      <c r="D509" s="45" t="str">
        <f aca="false">IF(B509="","",IFERROR(INDEX('Master Database'!$B$5:$B$600,MATCH(B509,'Master Database'!$A$5:$A$600,0)),"(row not found)"))</f>
        <v/>
      </c>
      <c r="E509" s="42"/>
      <c r="F509" s="45" t="str">
        <f aca="false">IF(E509="","",IFERROR(INDEX(Vendor_Register!$B$5:$B$205,MATCH(E509,Vendor_Register!$A$5:$A$205,0)),"(not in register)"))</f>
        <v/>
      </c>
      <c r="G509" s="45" t="str">
        <f aca="false">IF(E509="","",IFERROR(INDEX(Vendor_Register!$E$5:$E$205,MATCH(E509,Vendor_Register!$A$5:$A$205,0)),"(not in register)"))</f>
        <v/>
      </c>
      <c r="H509" s="42"/>
      <c r="I509" s="42"/>
      <c r="J509" s="42"/>
      <c r="K509" s="42"/>
      <c r="L509" s="42"/>
      <c r="M509" s="46"/>
      <c r="N509" s="42"/>
      <c r="O509" s="47" t="str">
        <f aca="false">IF(NOT(ISNUMBER(M509)),"",IFERROR(IF(L509="EUR",M509,IF(L509="IRR",M509/INDEX('Assumptions &amp; FX Reference'!$C$5:$C$25,MATCH(H509,'Assumptions &amp; FX Reference'!$A$5:$A$25,0)),IF(L509="USD",M509*INDEX('Assumptions &amp; FX Reference'!$B$5:$B$25,MATCH(H509,'Assumptions &amp; FX Reference'!$A$5:$A$25,0))/INDEX('Assumptions &amp; FX Reference'!$C$5:$C$25,MATCH(H509,'Assumptions &amp; FX Reference'!$A$5:$A$25,0)),""))),"(FX missing)"))</f>
        <v/>
      </c>
      <c r="P509" s="42"/>
      <c r="Q509" s="42"/>
      <c r="R509" s="42"/>
      <c r="S509" s="42"/>
      <c r="T509" s="42"/>
      <c r="U509" s="42"/>
      <c r="V509" s="42"/>
    </row>
    <row r="510" customFormat="false" ht="15" hidden="false" customHeight="false" outlineLevel="0" collapsed="false">
      <c r="A510" s="42"/>
      <c r="B510" s="42"/>
      <c r="C510" s="45" t="str">
        <f aca="false">IF(B510="","",IFERROR(INDEX('Master Database'!$D$5:$D$600,MATCH(B510,'Master Database'!$A$5:$A$600,0)),"(row not found)"))</f>
        <v/>
      </c>
      <c r="D510" s="45" t="str">
        <f aca="false">IF(B510="","",IFERROR(INDEX('Master Database'!$B$5:$B$600,MATCH(B510,'Master Database'!$A$5:$A$600,0)),"(row not found)"))</f>
        <v/>
      </c>
      <c r="E510" s="42"/>
      <c r="F510" s="45" t="str">
        <f aca="false">IF(E510="","",IFERROR(INDEX(Vendor_Register!$B$5:$B$205,MATCH(E510,Vendor_Register!$A$5:$A$205,0)),"(not in register)"))</f>
        <v/>
      </c>
      <c r="G510" s="45" t="str">
        <f aca="false">IF(E510="","",IFERROR(INDEX(Vendor_Register!$E$5:$E$205,MATCH(E510,Vendor_Register!$A$5:$A$205,0)),"(not in register)"))</f>
        <v/>
      </c>
      <c r="H510" s="42"/>
      <c r="I510" s="42"/>
      <c r="J510" s="42"/>
      <c r="K510" s="42"/>
      <c r="L510" s="42"/>
      <c r="M510" s="46"/>
      <c r="N510" s="42"/>
      <c r="O510" s="47" t="str">
        <f aca="false">IF(NOT(ISNUMBER(M510)),"",IFERROR(IF(L510="EUR",M510,IF(L510="IRR",M510/INDEX('Assumptions &amp; FX Reference'!$C$5:$C$25,MATCH(H510,'Assumptions &amp; FX Reference'!$A$5:$A$25,0)),IF(L510="USD",M510*INDEX('Assumptions &amp; FX Reference'!$B$5:$B$25,MATCH(H510,'Assumptions &amp; FX Reference'!$A$5:$A$25,0))/INDEX('Assumptions &amp; FX Reference'!$C$5:$C$25,MATCH(H510,'Assumptions &amp; FX Reference'!$A$5:$A$25,0)),""))),"(FX missing)"))</f>
        <v/>
      </c>
      <c r="P510" s="42"/>
      <c r="Q510" s="42"/>
      <c r="R510" s="42"/>
      <c r="S510" s="42"/>
      <c r="T510" s="42"/>
      <c r="U510" s="42"/>
      <c r="V510" s="42"/>
    </row>
    <row r="511" customFormat="false" ht="15" hidden="false" customHeight="false" outlineLevel="0" collapsed="false">
      <c r="A511" s="42"/>
      <c r="B511" s="42"/>
      <c r="C511" s="45" t="str">
        <f aca="false">IF(B511="","",IFERROR(INDEX('Master Database'!$D$5:$D$600,MATCH(B511,'Master Database'!$A$5:$A$600,0)),"(row not found)"))</f>
        <v/>
      </c>
      <c r="D511" s="45" t="str">
        <f aca="false">IF(B511="","",IFERROR(INDEX('Master Database'!$B$5:$B$600,MATCH(B511,'Master Database'!$A$5:$A$600,0)),"(row not found)"))</f>
        <v/>
      </c>
      <c r="E511" s="42"/>
      <c r="F511" s="45" t="str">
        <f aca="false">IF(E511="","",IFERROR(INDEX(Vendor_Register!$B$5:$B$205,MATCH(E511,Vendor_Register!$A$5:$A$205,0)),"(not in register)"))</f>
        <v/>
      </c>
      <c r="G511" s="45" t="str">
        <f aca="false">IF(E511="","",IFERROR(INDEX(Vendor_Register!$E$5:$E$205,MATCH(E511,Vendor_Register!$A$5:$A$205,0)),"(not in register)"))</f>
        <v/>
      </c>
      <c r="H511" s="42"/>
      <c r="I511" s="42"/>
      <c r="J511" s="42"/>
      <c r="K511" s="42"/>
      <c r="L511" s="42"/>
      <c r="M511" s="46"/>
      <c r="N511" s="42"/>
      <c r="O511" s="47" t="str">
        <f aca="false">IF(NOT(ISNUMBER(M511)),"",IFERROR(IF(L511="EUR",M511,IF(L511="IRR",M511/INDEX('Assumptions &amp; FX Reference'!$C$5:$C$25,MATCH(H511,'Assumptions &amp; FX Reference'!$A$5:$A$25,0)),IF(L511="USD",M511*INDEX('Assumptions &amp; FX Reference'!$B$5:$B$25,MATCH(H511,'Assumptions &amp; FX Reference'!$A$5:$A$25,0))/INDEX('Assumptions &amp; FX Reference'!$C$5:$C$25,MATCH(H511,'Assumptions &amp; FX Reference'!$A$5:$A$25,0)),""))),"(FX missing)"))</f>
        <v/>
      </c>
      <c r="P511" s="42"/>
      <c r="Q511" s="42"/>
      <c r="R511" s="42"/>
      <c r="S511" s="42"/>
      <c r="T511" s="42"/>
      <c r="U511" s="42"/>
      <c r="V511" s="42"/>
    </row>
    <row r="512" customFormat="false" ht="15" hidden="false" customHeight="false" outlineLevel="0" collapsed="false">
      <c r="A512" s="42"/>
      <c r="B512" s="42"/>
      <c r="C512" s="45" t="str">
        <f aca="false">IF(B512="","",IFERROR(INDEX('Master Database'!$D$5:$D$600,MATCH(B512,'Master Database'!$A$5:$A$600,0)),"(row not found)"))</f>
        <v/>
      </c>
      <c r="D512" s="45" t="str">
        <f aca="false">IF(B512="","",IFERROR(INDEX('Master Database'!$B$5:$B$600,MATCH(B512,'Master Database'!$A$5:$A$600,0)),"(row not found)"))</f>
        <v/>
      </c>
      <c r="E512" s="42"/>
      <c r="F512" s="45" t="str">
        <f aca="false">IF(E512="","",IFERROR(INDEX(Vendor_Register!$B$5:$B$205,MATCH(E512,Vendor_Register!$A$5:$A$205,0)),"(not in register)"))</f>
        <v/>
      </c>
      <c r="G512" s="45" t="str">
        <f aca="false">IF(E512="","",IFERROR(INDEX(Vendor_Register!$E$5:$E$205,MATCH(E512,Vendor_Register!$A$5:$A$205,0)),"(not in register)"))</f>
        <v/>
      </c>
      <c r="H512" s="42"/>
      <c r="I512" s="42"/>
      <c r="J512" s="42"/>
      <c r="K512" s="42"/>
      <c r="L512" s="42"/>
      <c r="M512" s="46"/>
      <c r="N512" s="42"/>
      <c r="O512" s="47" t="str">
        <f aca="false">IF(NOT(ISNUMBER(M512)),"",IFERROR(IF(L512="EUR",M512,IF(L512="IRR",M512/INDEX('Assumptions &amp; FX Reference'!$C$5:$C$25,MATCH(H512,'Assumptions &amp; FX Reference'!$A$5:$A$25,0)),IF(L512="USD",M512*INDEX('Assumptions &amp; FX Reference'!$B$5:$B$25,MATCH(H512,'Assumptions &amp; FX Reference'!$A$5:$A$25,0))/INDEX('Assumptions &amp; FX Reference'!$C$5:$C$25,MATCH(H512,'Assumptions &amp; FX Reference'!$A$5:$A$25,0)),""))),"(FX missing)"))</f>
        <v/>
      </c>
      <c r="P512" s="42"/>
      <c r="Q512" s="42"/>
      <c r="R512" s="42"/>
      <c r="S512" s="42"/>
      <c r="T512" s="42"/>
      <c r="U512" s="42"/>
      <c r="V512" s="42"/>
    </row>
    <row r="513" customFormat="false" ht="15" hidden="false" customHeight="false" outlineLevel="0" collapsed="false">
      <c r="A513" s="42"/>
      <c r="B513" s="42"/>
      <c r="C513" s="45" t="str">
        <f aca="false">IF(B513="","",IFERROR(INDEX('Master Database'!$D$5:$D$600,MATCH(B513,'Master Database'!$A$5:$A$600,0)),"(row not found)"))</f>
        <v/>
      </c>
      <c r="D513" s="45" t="str">
        <f aca="false">IF(B513="","",IFERROR(INDEX('Master Database'!$B$5:$B$600,MATCH(B513,'Master Database'!$A$5:$A$600,0)),"(row not found)"))</f>
        <v/>
      </c>
      <c r="E513" s="42"/>
      <c r="F513" s="45" t="str">
        <f aca="false">IF(E513="","",IFERROR(INDEX(Vendor_Register!$B$5:$B$205,MATCH(E513,Vendor_Register!$A$5:$A$205,0)),"(not in register)"))</f>
        <v/>
      </c>
      <c r="G513" s="45" t="str">
        <f aca="false">IF(E513="","",IFERROR(INDEX(Vendor_Register!$E$5:$E$205,MATCH(E513,Vendor_Register!$A$5:$A$205,0)),"(not in register)"))</f>
        <v/>
      </c>
      <c r="H513" s="42"/>
      <c r="I513" s="42"/>
      <c r="J513" s="42"/>
      <c r="K513" s="42"/>
      <c r="L513" s="42"/>
      <c r="M513" s="46"/>
      <c r="N513" s="42"/>
      <c r="O513" s="47" t="str">
        <f aca="false">IF(NOT(ISNUMBER(M513)),"",IFERROR(IF(L513="EUR",M513,IF(L513="IRR",M513/INDEX('Assumptions &amp; FX Reference'!$C$5:$C$25,MATCH(H513,'Assumptions &amp; FX Reference'!$A$5:$A$25,0)),IF(L513="USD",M513*INDEX('Assumptions &amp; FX Reference'!$B$5:$B$25,MATCH(H513,'Assumptions &amp; FX Reference'!$A$5:$A$25,0))/INDEX('Assumptions &amp; FX Reference'!$C$5:$C$25,MATCH(H513,'Assumptions &amp; FX Reference'!$A$5:$A$25,0)),""))),"(FX missing)"))</f>
        <v/>
      </c>
      <c r="P513" s="42"/>
      <c r="Q513" s="42"/>
      <c r="R513" s="42"/>
      <c r="S513" s="42"/>
      <c r="T513" s="42"/>
      <c r="U513" s="42"/>
      <c r="V513" s="42"/>
    </row>
    <row r="514" customFormat="false" ht="15" hidden="false" customHeight="false" outlineLevel="0" collapsed="false">
      <c r="A514" s="42"/>
      <c r="B514" s="42"/>
      <c r="C514" s="45" t="str">
        <f aca="false">IF(B514="","",IFERROR(INDEX('Master Database'!$D$5:$D$600,MATCH(B514,'Master Database'!$A$5:$A$600,0)),"(row not found)"))</f>
        <v/>
      </c>
      <c r="D514" s="45" t="str">
        <f aca="false">IF(B514="","",IFERROR(INDEX('Master Database'!$B$5:$B$600,MATCH(B514,'Master Database'!$A$5:$A$600,0)),"(row not found)"))</f>
        <v/>
      </c>
      <c r="E514" s="42"/>
      <c r="F514" s="45" t="str">
        <f aca="false">IF(E514="","",IFERROR(INDEX(Vendor_Register!$B$5:$B$205,MATCH(E514,Vendor_Register!$A$5:$A$205,0)),"(not in register)"))</f>
        <v/>
      </c>
      <c r="G514" s="45" t="str">
        <f aca="false">IF(E514="","",IFERROR(INDEX(Vendor_Register!$E$5:$E$205,MATCH(E514,Vendor_Register!$A$5:$A$205,0)),"(not in register)"))</f>
        <v/>
      </c>
      <c r="H514" s="42"/>
      <c r="I514" s="42"/>
      <c r="J514" s="42"/>
      <c r="K514" s="42"/>
      <c r="L514" s="42"/>
      <c r="M514" s="46"/>
      <c r="N514" s="42"/>
      <c r="O514" s="47" t="str">
        <f aca="false">IF(NOT(ISNUMBER(M514)),"",IFERROR(IF(L514="EUR",M514,IF(L514="IRR",M514/INDEX('Assumptions &amp; FX Reference'!$C$5:$C$25,MATCH(H514,'Assumptions &amp; FX Reference'!$A$5:$A$25,0)),IF(L514="USD",M514*INDEX('Assumptions &amp; FX Reference'!$B$5:$B$25,MATCH(H514,'Assumptions &amp; FX Reference'!$A$5:$A$25,0))/INDEX('Assumptions &amp; FX Reference'!$C$5:$C$25,MATCH(H514,'Assumptions &amp; FX Reference'!$A$5:$A$25,0)),""))),"(FX missing)"))</f>
        <v/>
      </c>
      <c r="P514" s="42"/>
      <c r="Q514" s="42"/>
      <c r="R514" s="42"/>
      <c r="S514" s="42"/>
      <c r="T514" s="42"/>
      <c r="U514" s="42"/>
      <c r="V514" s="42"/>
    </row>
    <row r="515" customFormat="false" ht="15" hidden="false" customHeight="false" outlineLevel="0" collapsed="false">
      <c r="A515" s="42"/>
      <c r="B515" s="42"/>
      <c r="C515" s="45" t="str">
        <f aca="false">IF(B515="","",IFERROR(INDEX('Master Database'!$D$5:$D$600,MATCH(B515,'Master Database'!$A$5:$A$600,0)),"(row not found)"))</f>
        <v/>
      </c>
      <c r="D515" s="45" t="str">
        <f aca="false">IF(B515="","",IFERROR(INDEX('Master Database'!$B$5:$B$600,MATCH(B515,'Master Database'!$A$5:$A$600,0)),"(row not found)"))</f>
        <v/>
      </c>
      <c r="E515" s="42"/>
      <c r="F515" s="45" t="str">
        <f aca="false">IF(E515="","",IFERROR(INDEX(Vendor_Register!$B$5:$B$205,MATCH(E515,Vendor_Register!$A$5:$A$205,0)),"(not in register)"))</f>
        <v/>
      </c>
      <c r="G515" s="45" t="str">
        <f aca="false">IF(E515="","",IFERROR(INDEX(Vendor_Register!$E$5:$E$205,MATCH(E515,Vendor_Register!$A$5:$A$205,0)),"(not in register)"))</f>
        <v/>
      </c>
      <c r="H515" s="42"/>
      <c r="I515" s="42"/>
      <c r="J515" s="42"/>
      <c r="K515" s="42"/>
      <c r="L515" s="42"/>
      <c r="M515" s="46"/>
      <c r="N515" s="42"/>
      <c r="O515" s="47" t="str">
        <f aca="false">IF(NOT(ISNUMBER(M515)),"",IFERROR(IF(L515="EUR",M515,IF(L515="IRR",M515/INDEX('Assumptions &amp; FX Reference'!$C$5:$C$25,MATCH(H515,'Assumptions &amp; FX Reference'!$A$5:$A$25,0)),IF(L515="USD",M515*INDEX('Assumptions &amp; FX Reference'!$B$5:$B$25,MATCH(H515,'Assumptions &amp; FX Reference'!$A$5:$A$25,0))/INDEX('Assumptions &amp; FX Reference'!$C$5:$C$25,MATCH(H515,'Assumptions &amp; FX Reference'!$A$5:$A$25,0)),""))),"(FX missing)"))</f>
        <v/>
      </c>
      <c r="P515" s="42"/>
      <c r="Q515" s="42"/>
      <c r="R515" s="42"/>
      <c r="S515" s="42"/>
      <c r="T515" s="42"/>
      <c r="U515" s="42"/>
      <c r="V515" s="42"/>
    </row>
    <row r="516" customFormat="false" ht="15" hidden="false" customHeight="false" outlineLevel="0" collapsed="false">
      <c r="A516" s="42"/>
      <c r="B516" s="42"/>
      <c r="C516" s="45" t="str">
        <f aca="false">IF(B516="","",IFERROR(INDEX('Master Database'!$D$5:$D$600,MATCH(B516,'Master Database'!$A$5:$A$600,0)),"(row not found)"))</f>
        <v/>
      </c>
      <c r="D516" s="45" t="str">
        <f aca="false">IF(B516="","",IFERROR(INDEX('Master Database'!$B$5:$B$600,MATCH(B516,'Master Database'!$A$5:$A$600,0)),"(row not found)"))</f>
        <v/>
      </c>
      <c r="E516" s="42"/>
      <c r="F516" s="45" t="str">
        <f aca="false">IF(E516="","",IFERROR(INDEX(Vendor_Register!$B$5:$B$205,MATCH(E516,Vendor_Register!$A$5:$A$205,0)),"(not in register)"))</f>
        <v/>
      </c>
      <c r="G516" s="45" t="str">
        <f aca="false">IF(E516="","",IFERROR(INDEX(Vendor_Register!$E$5:$E$205,MATCH(E516,Vendor_Register!$A$5:$A$205,0)),"(not in register)"))</f>
        <v/>
      </c>
      <c r="H516" s="42"/>
      <c r="I516" s="42"/>
      <c r="J516" s="42"/>
      <c r="K516" s="42"/>
      <c r="L516" s="42"/>
      <c r="M516" s="46"/>
      <c r="N516" s="42"/>
      <c r="O516" s="47" t="str">
        <f aca="false">IF(NOT(ISNUMBER(M516)),"",IFERROR(IF(L516="EUR",M516,IF(L516="IRR",M516/INDEX('Assumptions &amp; FX Reference'!$C$5:$C$25,MATCH(H516,'Assumptions &amp; FX Reference'!$A$5:$A$25,0)),IF(L516="USD",M516*INDEX('Assumptions &amp; FX Reference'!$B$5:$B$25,MATCH(H516,'Assumptions &amp; FX Reference'!$A$5:$A$25,0))/INDEX('Assumptions &amp; FX Reference'!$C$5:$C$25,MATCH(H516,'Assumptions &amp; FX Reference'!$A$5:$A$25,0)),""))),"(FX missing)"))</f>
        <v/>
      </c>
      <c r="P516" s="42"/>
      <c r="Q516" s="42"/>
      <c r="R516" s="42"/>
      <c r="S516" s="42"/>
      <c r="T516" s="42"/>
      <c r="U516" s="42"/>
      <c r="V516" s="42"/>
    </row>
    <row r="517" customFormat="false" ht="15" hidden="false" customHeight="false" outlineLevel="0" collapsed="false">
      <c r="A517" s="42"/>
      <c r="B517" s="42"/>
      <c r="C517" s="45" t="str">
        <f aca="false">IF(B517="","",IFERROR(INDEX('Master Database'!$D$5:$D$600,MATCH(B517,'Master Database'!$A$5:$A$600,0)),"(row not found)"))</f>
        <v/>
      </c>
      <c r="D517" s="45" t="str">
        <f aca="false">IF(B517="","",IFERROR(INDEX('Master Database'!$B$5:$B$600,MATCH(B517,'Master Database'!$A$5:$A$600,0)),"(row not found)"))</f>
        <v/>
      </c>
      <c r="E517" s="42"/>
      <c r="F517" s="45" t="str">
        <f aca="false">IF(E517="","",IFERROR(INDEX(Vendor_Register!$B$5:$B$205,MATCH(E517,Vendor_Register!$A$5:$A$205,0)),"(not in register)"))</f>
        <v/>
      </c>
      <c r="G517" s="45" t="str">
        <f aca="false">IF(E517="","",IFERROR(INDEX(Vendor_Register!$E$5:$E$205,MATCH(E517,Vendor_Register!$A$5:$A$205,0)),"(not in register)"))</f>
        <v/>
      </c>
      <c r="H517" s="42"/>
      <c r="I517" s="42"/>
      <c r="J517" s="42"/>
      <c r="K517" s="42"/>
      <c r="L517" s="42"/>
      <c r="M517" s="46"/>
      <c r="N517" s="42"/>
      <c r="O517" s="47" t="str">
        <f aca="false">IF(NOT(ISNUMBER(M517)),"",IFERROR(IF(L517="EUR",M517,IF(L517="IRR",M517/INDEX('Assumptions &amp; FX Reference'!$C$5:$C$25,MATCH(H517,'Assumptions &amp; FX Reference'!$A$5:$A$25,0)),IF(L517="USD",M517*INDEX('Assumptions &amp; FX Reference'!$B$5:$B$25,MATCH(H517,'Assumptions &amp; FX Reference'!$A$5:$A$25,0))/INDEX('Assumptions &amp; FX Reference'!$C$5:$C$25,MATCH(H517,'Assumptions &amp; FX Reference'!$A$5:$A$25,0)),""))),"(FX missing)"))</f>
        <v/>
      </c>
      <c r="P517" s="42"/>
      <c r="Q517" s="42"/>
      <c r="R517" s="42"/>
      <c r="S517" s="42"/>
      <c r="T517" s="42"/>
      <c r="U517" s="42"/>
      <c r="V517" s="42"/>
    </row>
    <row r="518" customFormat="false" ht="15" hidden="false" customHeight="false" outlineLevel="0" collapsed="false">
      <c r="A518" s="42"/>
      <c r="B518" s="42"/>
      <c r="C518" s="45" t="str">
        <f aca="false">IF(B518="","",IFERROR(INDEX('Master Database'!$D$5:$D$600,MATCH(B518,'Master Database'!$A$5:$A$600,0)),"(row not found)"))</f>
        <v/>
      </c>
      <c r="D518" s="45" t="str">
        <f aca="false">IF(B518="","",IFERROR(INDEX('Master Database'!$B$5:$B$600,MATCH(B518,'Master Database'!$A$5:$A$600,0)),"(row not found)"))</f>
        <v/>
      </c>
      <c r="E518" s="42"/>
      <c r="F518" s="45" t="str">
        <f aca="false">IF(E518="","",IFERROR(INDEX(Vendor_Register!$B$5:$B$205,MATCH(E518,Vendor_Register!$A$5:$A$205,0)),"(not in register)"))</f>
        <v/>
      </c>
      <c r="G518" s="45" t="str">
        <f aca="false">IF(E518="","",IFERROR(INDEX(Vendor_Register!$E$5:$E$205,MATCH(E518,Vendor_Register!$A$5:$A$205,0)),"(not in register)"))</f>
        <v/>
      </c>
      <c r="H518" s="42"/>
      <c r="I518" s="42"/>
      <c r="J518" s="42"/>
      <c r="K518" s="42"/>
      <c r="L518" s="42"/>
      <c r="M518" s="46"/>
      <c r="N518" s="42"/>
      <c r="O518" s="47" t="str">
        <f aca="false">IF(NOT(ISNUMBER(M518)),"",IFERROR(IF(L518="EUR",M518,IF(L518="IRR",M518/INDEX('Assumptions &amp; FX Reference'!$C$5:$C$25,MATCH(H518,'Assumptions &amp; FX Reference'!$A$5:$A$25,0)),IF(L518="USD",M518*INDEX('Assumptions &amp; FX Reference'!$B$5:$B$25,MATCH(H518,'Assumptions &amp; FX Reference'!$A$5:$A$25,0))/INDEX('Assumptions &amp; FX Reference'!$C$5:$C$25,MATCH(H518,'Assumptions &amp; FX Reference'!$A$5:$A$25,0)),""))),"(FX missing)"))</f>
        <v/>
      </c>
      <c r="P518" s="42"/>
      <c r="Q518" s="42"/>
      <c r="R518" s="42"/>
      <c r="S518" s="42"/>
      <c r="T518" s="42"/>
      <c r="U518" s="42"/>
      <c r="V518" s="42"/>
    </row>
    <row r="519" customFormat="false" ht="15" hidden="false" customHeight="false" outlineLevel="0" collapsed="false">
      <c r="A519" s="42"/>
      <c r="B519" s="42"/>
      <c r="C519" s="45" t="str">
        <f aca="false">IF(B519="","",IFERROR(INDEX('Master Database'!$D$5:$D$600,MATCH(B519,'Master Database'!$A$5:$A$600,0)),"(row not found)"))</f>
        <v/>
      </c>
      <c r="D519" s="45" t="str">
        <f aca="false">IF(B519="","",IFERROR(INDEX('Master Database'!$B$5:$B$600,MATCH(B519,'Master Database'!$A$5:$A$600,0)),"(row not found)"))</f>
        <v/>
      </c>
      <c r="E519" s="42"/>
      <c r="F519" s="45" t="str">
        <f aca="false">IF(E519="","",IFERROR(INDEX(Vendor_Register!$B$5:$B$205,MATCH(E519,Vendor_Register!$A$5:$A$205,0)),"(not in register)"))</f>
        <v/>
      </c>
      <c r="G519" s="45" t="str">
        <f aca="false">IF(E519="","",IFERROR(INDEX(Vendor_Register!$E$5:$E$205,MATCH(E519,Vendor_Register!$A$5:$A$205,0)),"(not in register)"))</f>
        <v/>
      </c>
      <c r="H519" s="42"/>
      <c r="I519" s="42"/>
      <c r="J519" s="42"/>
      <c r="K519" s="42"/>
      <c r="L519" s="42"/>
      <c r="M519" s="46"/>
      <c r="N519" s="42"/>
      <c r="O519" s="47" t="str">
        <f aca="false">IF(NOT(ISNUMBER(M519)),"",IFERROR(IF(L519="EUR",M519,IF(L519="IRR",M519/INDEX('Assumptions &amp; FX Reference'!$C$5:$C$25,MATCH(H519,'Assumptions &amp; FX Reference'!$A$5:$A$25,0)),IF(L519="USD",M519*INDEX('Assumptions &amp; FX Reference'!$B$5:$B$25,MATCH(H519,'Assumptions &amp; FX Reference'!$A$5:$A$25,0))/INDEX('Assumptions &amp; FX Reference'!$C$5:$C$25,MATCH(H519,'Assumptions &amp; FX Reference'!$A$5:$A$25,0)),""))),"(FX missing)"))</f>
        <v/>
      </c>
      <c r="P519" s="42"/>
      <c r="Q519" s="42"/>
      <c r="R519" s="42"/>
      <c r="S519" s="42"/>
      <c r="T519" s="42"/>
      <c r="U519" s="42"/>
      <c r="V519" s="42"/>
    </row>
    <row r="520" customFormat="false" ht="15" hidden="false" customHeight="false" outlineLevel="0" collapsed="false">
      <c r="A520" s="42"/>
      <c r="B520" s="42"/>
      <c r="C520" s="45" t="str">
        <f aca="false">IF(B520="","",IFERROR(INDEX('Master Database'!$D$5:$D$600,MATCH(B520,'Master Database'!$A$5:$A$600,0)),"(row not found)"))</f>
        <v/>
      </c>
      <c r="D520" s="45" t="str">
        <f aca="false">IF(B520="","",IFERROR(INDEX('Master Database'!$B$5:$B$600,MATCH(B520,'Master Database'!$A$5:$A$600,0)),"(row not found)"))</f>
        <v/>
      </c>
      <c r="E520" s="42"/>
      <c r="F520" s="45" t="str">
        <f aca="false">IF(E520="","",IFERROR(INDEX(Vendor_Register!$B$5:$B$205,MATCH(E520,Vendor_Register!$A$5:$A$205,0)),"(not in register)"))</f>
        <v/>
      </c>
      <c r="G520" s="45" t="str">
        <f aca="false">IF(E520="","",IFERROR(INDEX(Vendor_Register!$E$5:$E$205,MATCH(E520,Vendor_Register!$A$5:$A$205,0)),"(not in register)"))</f>
        <v/>
      </c>
      <c r="H520" s="42"/>
      <c r="I520" s="42"/>
      <c r="J520" s="42"/>
      <c r="K520" s="42"/>
      <c r="L520" s="42"/>
      <c r="M520" s="46"/>
      <c r="N520" s="42"/>
      <c r="O520" s="47" t="str">
        <f aca="false">IF(NOT(ISNUMBER(M520)),"",IFERROR(IF(L520="EUR",M520,IF(L520="IRR",M520/INDEX('Assumptions &amp; FX Reference'!$C$5:$C$25,MATCH(H520,'Assumptions &amp; FX Reference'!$A$5:$A$25,0)),IF(L520="USD",M520*INDEX('Assumptions &amp; FX Reference'!$B$5:$B$25,MATCH(H520,'Assumptions &amp; FX Reference'!$A$5:$A$25,0))/INDEX('Assumptions &amp; FX Reference'!$C$5:$C$25,MATCH(H520,'Assumptions &amp; FX Reference'!$A$5:$A$25,0)),""))),"(FX missing)"))</f>
        <v/>
      </c>
      <c r="P520" s="42"/>
      <c r="Q520" s="42"/>
      <c r="R520" s="42"/>
      <c r="S520" s="42"/>
      <c r="T520" s="42"/>
      <c r="U520" s="42"/>
      <c r="V520" s="42"/>
    </row>
    <row r="521" customFormat="false" ht="15" hidden="false" customHeight="false" outlineLevel="0" collapsed="false">
      <c r="A521" s="42"/>
      <c r="B521" s="42"/>
      <c r="C521" s="45" t="str">
        <f aca="false">IF(B521="","",IFERROR(INDEX('Master Database'!$D$5:$D$600,MATCH(B521,'Master Database'!$A$5:$A$600,0)),"(row not found)"))</f>
        <v/>
      </c>
      <c r="D521" s="45" t="str">
        <f aca="false">IF(B521="","",IFERROR(INDEX('Master Database'!$B$5:$B$600,MATCH(B521,'Master Database'!$A$5:$A$600,0)),"(row not found)"))</f>
        <v/>
      </c>
      <c r="E521" s="42"/>
      <c r="F521" s="45" t="str">
        <f aca="false">IF(E521="","",IFERROR(INDEX(Vendor_Register!$B$5:$B$205,MATCH(E521,Vendor_Register!$A$5:$A$205,0)),"(not in register)"))</f>
        <v/>
      </c>
      <c r="G521" s="45" t="str">
        <f aca="false">IF(E521="","",IFERROR(INDEX(Vendor_Register!$E$5:$E$205,MATCH(E521,Vendor_Register!$A$5:$A$205,0)),"(not in register)"))</f>
        <v/>
      </c>
      <c r="H521" s="42"/>
      <c r="I521" s="42"/>
      <c r="J521" s="42"/>
      <c r="K521" s="42"/>
      <c r="L521" s="42"/>
      <c r="M521" s="46"/>
      <c r="N521" s="42"/>
      <c r="O521" s="47" t="str">
        <f aca="false">IF(NOT(ISNUMBER(M521)),"",IFERROR(IF(L521="EUR",M521,IF(L521="IRR",M521/INDEX('Assumptions &amp; FX Reference'!$C$5:$C$25,MATCH(H521,'Assumptions &amp; FX Reference'!$A$5:$A$25,0)),IF(L521="USD",M521*INDEX('Assumptions &amp; FX Reference'!$B$5:$B$25,MATCH(H521,'Assumptions &amp; FX Reference'!$A$5:$A$25,0))/INDEX('Assumptions &amp; FX Reference'!$C$5:$C$25,MATCH(H521,'Assumptions &amp; FX Reference'!$A$5:$A$25,0)),""))),"(FX missing)"))</f>
        <v/>
      </c>
      <c r="P521" s="42"/>
      <c r="Q521" s="42"/>
      <c r="R521" s="42"/>
      <c r="S521" s="42"/>
      <c r="T521" s="42"/>
      <c r="U521" s="42"/>
      <c r="V521" s="42"/>
    </row>
    <row r="522" customFormat="false" ht="15" hidden="false" customHeight="false" outlineLevel="0" collapsed="false">
      <c r="A522" s="42"/>
      <c r="B522" s="42"/>
      <c r="C522" s="45" t="str">
        <f aca="false">IF(B522="","",IFERROR(INDEX('Master Database'!$D$5:$D$600,MATCH(B522,'Master Database'!$A$5:$A$600,0)),"(row not found)"))</f>
        <v/>
      </c>
      <c r="D522" s="45" t="str">
        <f aca="false">IF(B522="","",IFERROR(INDEX('Master Database'!$B$5:$B$600,MATCH(B522,'Master Database'!$A$5:$A$600,0)),"(row not found)"))</f>
        <v/>
      </c>
      <c r="E522" s="42"/>
      <c r="F522" s="45" t="str">
        <f aca="false">IF(E522="","",IFERROR(INDEX(Vendor_Register!$B$5:$B$205,MATCH(E522,Vendor_Register!$A$5:$A$205,0)),"(not in register)"))</f>
        <v/>
      </c>
      <c r="G522" s="45" t="str">
        <f aca="false">IF(E522="","",IFERROR(INDEX(Vendor_Register!$E$5:$E$205,MATCH(E522,Vendor_Register!$A$5:$A$205,0)),"(not in register)"))</f>
        <v/>
      </c>
      <c r="H522" s="42"/>
      <c r="I522" s="42"/>
      <c r="J522" s="42"/>
      <c r="K522" s="42"/>
      <c r="L522" s="42"/>
      <c r="M522" s="46"/>
      <c r="N522" s="42"/>
      <c r="O522" s="47" t="str">
        <f aca="false">IF(NOT(ISNUMBER(M522)),"",IFERROR(IF(L522="EUR",M522,IF(L522="IRR",M522/INDEX('Assumptions &amp; FX Reference'!$C$5:$C$25,MATCH(H522,'Assumptions &amp; FX Reference'!$A$5:$A$25,0)),IF(L522="USD",M522*INDEX('Assumptions &amp; FX Reference'!$B$5:$B$25,MATCH(H522,'Assumptions &amp; FX Reference'!$A$5:$A$25,0))/INDEX('Assumptions &amp; FX Reference'!$C$5:$C$25,MATCH(H522,'Assumptions &amp; FX Reference'!$A$5:$A$25,0)),""))),"(FX missing)"))</f>
        <v/>
      </c>
      <c r="P522" s="42"/>
      <c r="Q522" s="42"/>
      <c r="R522" s="42"/>
      <c r="S522" s="42"/>
      <c r="T522" s="42"/>
      <c r="U522" s="42"/>
      <c r="V522" s="42"/>
    </row>
    <row r="523" customFormat="false" ht="15" hidden="false" customHeight="false" outlineLevel="0" collapsed="false">
      <c r="A523" s="42"/>
      <c r="B523" s="42"/>
      <c r="C523" s="45" t="str">
        <f aca="false">IF(B523="","",IFERROR(INDEX('Master Database'!$D$5:$D$600,MATCH(B523,'Master Database'!$A$5:$A$600,0)),"(row not found)"))</f>
        <v/>
      </c>
      <c r="D523" s="45" t="str">
        <f aca="false">IF(B523="","",IFERROR(INDEX('Master Database'!$B$5:$B$600,MATCH(B523,'Master Database'!$A$5:$A$600,0)),"(row not found)"))</f>
        <v/>
      </c>
      <c r="E523" s="42"/>
      <c r="F523" s="45" t="str">
        <f aca="false">IF(E523="","",IFERROR(INDEX(Vendor_Register!$B$5:$B$205,MATCH(E523,Vendor_Register!$A$5:$A$205,0)),"(not in register)"))</f>
        <v/>
      </c>
      <c r="G523" s="45" t="str">
        <f aca="false">IF(E523="","",IFERROR(INDEX(Vendor_Register!$E$5:$E$205,MATCH(E523,Vendor_Register!$A$5:$A$205,0)),"(not in register)"))</f>
        <v/>
      </c>
      <c r="H523" s="42"/>
      <c r="I523" s="42"/>
      <c r="J523" s="42"/>
      <c r="K523" s="42"/>
      <c r="L523" s="42"/>
      <c r="M523" s="46"/>
      <c r="N523" s="42"/>
      <c r="O523" s="47" t="str">
        <f aca="false">IF(NOT(ISNUMBER(M523)),"",IFERROR(IF(L523="EUR",M523,IF(L523="IRR",M523/INDEX('Assumptions &amp; FX Reference'!$C$5:$C$25,MATCH(H523,'Assumptions &amp; FX Reference'!$A$5:$A$25,0)),IF(L523="USD",M523*INDEX('Assumptions &amp; FX Reference'!$B$5:$B$25,MATCH(H523,'Assumptions &amp; FX Reference'!$A$5:$A$25,0))/INDEX('Assumptions &amp; FX Reference'!$C$5:$C$25,MATCH(H523,'Assumptions &amp; FX Reference'!$A$5:$A$25,0)),""))),"(FX missing)"))</f>
        <v/>
      </c>
      <c r="P523" s="42"/>
      <c r="Q523" s="42"/>
      <c r="R523" s="42"/>
      <c r="S523" s="42"/>
      <c r="T523" s="42"/>
      <c r="U523" s="42"/>
      <c r="V523" s="42"/>
    </row>
    <row r="524" customFormat="false" ht="15" hidden="false" customHeight="false" outlineLevel="0" collapsed="false">
      <c r="A524" s="42"/>
      <c r="B524" s="42"/>
      <c r="C524" s="45" t="str">
        <f aca="false">IF(B524="","",IFERROR(INDEX('Master Database'!$D$5:$D$600,MATCH(B524,'Master Database'!$A$5:$A$600,0)),"(row not found)"))</f>
        <v/>
      </c>
      <c r="D524" s="45" t="str">
        <f aca="false">IF(B524="","",IFERROR(INDEX('Master Database'!$B$5:$B$600,MATCH(B524,'Master Database'!$A$5:$A$600,0)),"(row not found)"))</f>
        <v/>
      </c>
      <c r="E524" s="42"/>
      <c r="F524" s="45" t="str">
        <f aca="false">IF(E524="","",IFERROR(INDEX(Vendor_Register!$B$5:$B$205,MATCH(E524,Vendor_Register!$A$5:$A$205,0)),"(not in register)"))</f>
        <v/>
      </c>
      <c r="G524" s="45" t="str">
        <f aca="false">IF(E524="","",IFERROR(INDEX(Vendor_Register!$E$5:$E$205,MATCH(E524,Vendor_Register!$A$5:$A$205,0)),"(not in register)"))</f>
        <v/>
      </c>
      <c r="H524" s="42"/>
      <c r="I524" s="42"/>
      <c r="J524" s="42"/>
      <c r="K524" s="42"/>
      <c r="L524" s="42"/>
      <c r="M524" s="46"/>
      <c r="N524" s="42"/>
      <c r="O524" s="47" t="str">
        <f aca="false">IF(NOT(ISNUMBER(M524)),"",IFERROR(IF(L524="EUR",M524,IF(L524="IRR",M524/INDEX('Assumptions &amp; FX Reference'!$C$5:$C$25,MATCH(H524,'Assumptions &amp; FX Reference'!$A$5:$A$25,0)),IF(L524="USD",M524*INDEX('Assumptions &amp; FX Reference'!$B$5:$B$25,MATCH(H524,'Assumptions &amp; FX Reference'!$A$5:$A$25,0))/INDEX('Assumptions &amp; FX Reference'!$C$5:$C$25,MATCH(H524,'Assumptions &amp; FX Reference'!$A$5:$A$25,0)),""))),"(FX missing)"))</f>
        <v/>
      </c>
      <c r="P524" s="42"/>
      <c r="Q524" s="42"/>
      <c r="R524" s="42"/>
      <c r="S524" s="42"/>
      <c r="T524" s="42"/>
      <c r="U524" s="42"/>
      <c r="V524" s="42"/>
    </row>
    <row r="525" customFormat="false" ht="15" hidden="false" customHeight="false" outlineLevel="0" collapsed="false">
      <c r="A525" s="42"/>
      <c r="B525" s="42"/>
      <c r="C525" s="45" t="str">
        <f aca="false">IF(B525="","",IFERROR(INDEX('Master Database'!$D$5:$D$600,MATCH(B525,'Master Database'!$A$5:$A$600,0)),"(row not found)"))</f>
        <v/>
      </c>
      <c r="D525" s="45" t="str">
        <f aca="false">IF(B525="","",IFERROR(INDEX('Master Database'!$B$5:$B$600,MATCH(B525,'Master Database'!$A$5:$A$600,0)),"(row not found)"))</f>
        <v/>
      </c>
      <c r="E525" s="42"/>
      <c r="F525" s="45" t="str">
        <f aca="false">IF(E525="","",IFERROR(INDEX(Vendor_Register!$B$5:$B$205,MATCH(E525,Vendor_Register!$A$5:$A$205,0)),"(not in register)"))</f>
        <v/>
      </c>
      <c r="G525" s="45" t="str">
        <f aca="false">IF(E525="","",IFERROR(INDEX(Vendor_Register!$E$5:$E$205,MATCH(E525,Vendor_Register!$A$5:$A$205,0)),"(not in register)"))</f>
        <v/>
      </c>
      <c r="H525" s="42"/>
      <c r="I525" s="42"/>
      <c r="J525" s="42"/>
      <c r="K525" s="42"/>
      <c r="L525" s="42"/>
      <c r="M525" s="46"/>
      <c r="N525" s="42"/>
      <c r="O525" s="47" t="str">
        <f aca="false">IF(NOT(ISNUMBER(M525)),"",IFERROR(IF(L525="EUR",M525,IF(L525="IRR",M525/INDEX('Assumptions &amp; FX Reference'!$C$5:$C$25,MATCH(H525,'Assumptions &amp; FX Reference'!$A$5:$A$25,0)),IF(L525="USD",M525*INDEX('Assumptions &amp; FX Reference'!$B$5:$B$25,MATCH(H525,'Assumptions &amp; FX Reference'!$A$5:$A$25,0))/INDEX('Assumptions &amp; FX Reference'!$C$5:$C$25,MATCH(H525,'Assumptions &amp; FX Reference'!$A$5:$A$25,0)),""))),"(FX missing)"))</f>
        <v/>
      </c>
      <c r="P525" s="42"/>
      <c r="Q525" s="42"/>
      <c r="R525" s="42"/>
      <c r="S525" s="42"/>
      <c r="T525" s="42"/>
      <c r="U525" s="42"/>
      <c r="V525" s="42"/>
    </row>
    <row r="526" customFormat="false" ht="15" hidden="false" customHeight="false" outlineLevel="0" collapsed="false">
      <c r="A526" s="42"/>
      <c r="B526" s="42"/>
      <c r="C526" s="45" t="str">
        <f aca="false">IF(B526="","",IFERROR(INDEX('Master Database'!$D$5:$D$600,MATCH(B526,'Master Database'!$A$5:$A$600,0)),"(row not found)"))</f>
        <v/>
      </c>
      <c r="D526" s="45" t="str">
        <f aca="false">IF(B526="","",IFERROR(INDEX('Master Database'!$B$5:$B$600,MATCH(B526,'Master Database'!$A$5:$A$600,0)),"(row not found)"))</f>
        <v/>
      </c>
      <c r="E526" s="42"/>
      <c r="F526" s="45" t="str">
        <f aca="false">IF(E526="","",IFERROR(INDEX(Vendor_Register!$B$5:$B$205,MATCH(E526,Vendor_Register!$A$5:$A$205,0)),"(not in register)"))</f>
        <v/>
      </c>
      <c r="G526" s="45" t="str">
        <f aca="false">IF(E526="","",IFERROR(INDEX(Vendor_Register!$E$5:$E$205,MATCH(E526,Vendor_Register!$A$5:$A$205,0)),"(not in register)"))</f>
        <v/>
      </c>
      <c r="H526" s="42"/>
      <c r="I526" s="42"/>
      <c r="J526" s="42"/>
      <c r="K526" s="42"/>
      <c r="L526" s="42"/>
      <c r="M526" s="46"/>
      <c r="N526" s="42"/>
      <c r="O526" s="47" t="str">
        <f aca="false">IF(NOT(ISNUMBER(M526)),"",IFERROR(IF(L526="EUR",M526,IF(L526="IRR",M526/INDEX('Assumptions &amp; FX Reference'!$C$5:$C$25,MATCH(H526,'Assumptions &amp; FX Reference'!$A$5:$A$25,0)),IF(L526="USD",M526*INDEX('Assumptions &amp; FX Reference'!$B$5:$B$25,MATCH(H526,'Assumptions &amp; FX Reference'!$A$5:$A$25,0))/INDEX('Assumptions &amp; FX Reference'!$C$5:$C$25,MATCH(H526,'Assumptions &amp; FX Reference'!$A$5:$A$25,0)),""))),"(FX missing)"))</f>
        <v/>
      </c>
      <c r="P526" s="42"/>
      <c r="Q526" s="42"/>
      <c r="R526" s="42"/>
      <c r="S526" s="42"/>
      <c r="T526" s="42"/>
      <c r="U526" s="42"/>
      <c r="V526" s="42"/>
    </row>
    <row r="527" customFormat="false" ht="15" hidden="false" customHeight="false" outlineLevel="0" collapsed="false">
      <c r="A527" s="42"/>
      <c r="B527" s="42"/>
      <c r="C527" s="45" t="str">
        <f aca="false">IF(B527="","",IFERROR(INDEX('Master Database'!$D$5:$D$600,MATCH(B527,'Master Database'!$A$5:$A$600,0)),"(row not found)"))</f>
        <v/>
      </c>
      <c r="D527" s="45" t="str">
        <f aca="false">IF(B527="","",IFERROR(INDEX('Master Database'!$B$5:$B$600,MATCH(B527,'Master Database'!$A$5:$A$600,0)),"(row not found)"))</f>
        <v/>
      </c>
      <c r="E527" s="42"/>
      <c r="F527" s="45" t="str">
        <f aca="false">IF(E527="","",IFERROR(INDEX(Vendor_Register!$B$5:$B$205,MATCH(E527,Vendor_Register!$A$5:$A$205,0)),"(not in register)"))</f>
        <v/>
      </c>
      <c r="G527" s="45" t="str">
        <f aca="false">IF(E527="","",IFERROR(INDEX(Vendor_Register!$E$5:$E$205,MATCH(E527,Vendor_Register!$A$5:$A$205,0)),"(not in register)"))</f>
        <v/>
      </c>
      <c r="H527" s="42"/>
      <c r="I527" s="42"/>
      <c r="J527" s="42"/>
      <c r="K527" s="42"/>
      <c r="L527" s="42"/>
      <c r="M527" s="46"/>
      <c r="N527" s="42"/>
      <c r="O527" s="47" t="str">
        <f aca="false">IF(NOT(ISNUMBER(M527)),"",IFERROR(IF(L527="EUR",M527,IF(L527="IRR",M527/INDEX('Assumptions &amp; FX Reference'!$C$5:$C$25,MATCH(H527,'Assumptions &amp; FX Reference'!$A$5:$A$25,0)),IF(L527="USD",M527*INDEX('Assumptions &amp; FX Reference'!$B$5:$B$25,MATCH(H527,'Assumptions &amp; FX Reference'!$A$5:$A$25,0))/INDEX('Assumptions &amp; FX Reference'!$C$5:$C$25,MATCH(H527,'Assumptions &amp; FX Reference'!$A$5:$A$25,0)),""))),"(FX missing)"))</f>
        <v/>
      </c>
      <c r="P527" s="42"/>
      <c r="Q527" s="42"/>
      <c r="R527" s="42"/>
      <c r="S527" s="42"/>
      <c r="T527" s="42"/>
      <c r="U527" s="42"/>
      <c r="V527" s="42"/>
    </row>
    <row r="528" customFormat="false" ht="15" hidden="false" customHeight="false" outlineLevel="0" collapsed="false">
      <c r="A528" s="42"/>
      <c r="B528" s="42"/>
      <c r="C528" s="45" t="str">
        <f aca="false">IF(B528="","",IFERROR(INDEX('Master Database'!$D$5:$D$600,MATCH(B528,'Master Database'!$A$5:$A$600,0)),"(row not found)"))</f>
        <v/>
      </c>
      <c r="D528" s="45" t="str">
        <f aca="false">IF(B528="","",IFERROR(INDEX('Master Database'!$B$5:$B$600,MATCH(B528,'Master Database'!$A$5:$A$600,0)),"(row not found)"))</f>
        <v/>
      </c>
      <c r="E528" s="42"/>
      <c r="F528" s="45" t="str">
        <f aca="false">IF(E528="","",IFERROR(INDEX(Vendor_Register!$B$5:$B$205,MATCH(E528,Vendor_Register!$A$5:$A$205,0)),"(not in register)"))</f>
        <v/>
      </c>
      <c r="G528" s="45" t="str">
        <f aca="false">IF(E528="","",IFERROR(INDEX(Vendor_Register!$E$5:$E$205,MATCH(E528,Vendor_Register!$A$5:$A$205,0)),"(not in register)"))</f>
        <v/>
      </c>
      <c r="H528" s="42"/>
      <c r="I528" s="42"/>
      <c r="J528" s="42"/>
      <c r="K528" s="42"/>
      <c r="L528" s="42"/>
      <c r="M528" s="46"/>
      <c r="N528" s="42"/>
      <c r="O528" s="47" t="str">
        <f aca="false">IF(NOT(ISNUMBER(M528)),"",IFERROR(IF(L528="EUR",M528,IF(L528="IRR",M528/INDEX('Assumptions &amp; FX Reference'!$C$5:$C$25,MATCH(H528,'Assumptions &amp; FX Reference'!$A$5:$A$25,0)),IF(L528="USD",M528*INDEX('Assumptions &amp; FX Reference'!$B$5:$B$25,MATCH(H528,'Assumptions &amp; FX Reference'!$A$5:$A$25,0))/INDEX('Assumptions &amp; FX Reference'!$C$5:$C$25,MATCH(H528,'Assumptions &amp; FX Reference'!$A$5:$A$25,0)),""))),"(FX missing)"))</f>
        <v/>
      </c>
      <c r="P528" s="42"/>
      <c r="Q528" s="42"/>
      <c r="R528" s="42"/>
      <c r="S528" s="42"/>
      <c r="T528" s="42"/>
      <c r="U528" s="42"/>
      <c r="V528" s="42"/>
    </row>
    <row r="529" customFormat="false" ht="15" hidden="false" customHeight="false" outlineLevel="0" collapsed="false">
      <c r="A529" s="42"/>
      <c r="B529" s="42"/>
      <c r="C529" s="45" t="str">
        <f aca="false">IF(B529="","",IFERROR(INDEX('Master Database'!$D$5:$D$600,MATCH(B529,'Master Database'!$A$5:$A$600,0)),"(row not found)"))</f>
        <v/>
      </c>
      <c r="D529" s="45" t="str">
        <f aca="false">IF(B529="","",IFERROR(INDEX('Master Database'!$B$5:$B$600,MATCH(B529,'Master Database'!$A$5:$A$600,0)),"(row not found)"))</f>
        <v/>
      </c>
      <c r="E529" s="42"/>
      <c r="F529" s="45" t="str">
        <f aca="false">IF(E529="","",IFERROR(INDEX(Vendor_Register!$B$5:$B$205,MATCH(E529,Vendor_Register!$A$5:$A$205,0)),"(not in register)"))</f>
        <v/>
      </c>
      <c r="G529" s="45" t="str">
        <f aca="false">IF(E529="","",IFERROR(INDEX(Vendor_Register!$E$5:$E$205,MATCH(E529,Vendor_Register!$A$5:$A$205,0)),"(not in register)"))</f>
        <v/>
      </c>
      <c r="H529" s="42"/>
      <c r="I529" s="42"/>
      <c r="J529" s="42"/>
      <c r="K529" s="42"/>
      <c r="L529" s="42"/>
      <c r="M529" s="46"/>
      <c r="N529" s="42"/>
      <c r="O529" s="47" t="str">
        <f aca="false">IF(NOT(ISNUMBER(M529)),"",IFERROR(IF(L529="EUR",M529,IF(L529="IRR",M529/INDEX('Assumptions &amp; FX Reference'!$C$5:$C$25,MATCH(H529,'Assumptions &amp; FX Reference'!$A$5:$A$25,0)),IF(L529="USD",M529*INDEX('Assumptions &amp; FX Reference'!$B$5:$B$25,MATCH(H529,'Assumptions &amp; FX Reference'!$A$5:$A$25,0))/INDEX('Assumptions &amp; FX Reference'!$C$5:$C$25,MATCH(H529,'Assumptions &amp; FX Reference'!$A$5:$A$25,0)),""))),"(FX missing)"))</f>
        <v/>
      </c>
      <c r="P529" s="42"/>
      <c r="Q529" s="42"/>
      <c r="R529" s="42"/>
      <c r="S529" s="42"/>
      <c r="T529" s="42"/>
      <c r="U529" s="42"/>
      <c r="V529" s="42"/>
    </row>
    <row r="530" customFormat="false" ht="15" hidden="false" customHeight="false" outlineLevel="0" collapsed="false">
      <c r="A530" s="42"/>
      <c r="B530" s="42"/>
      <c r="C530" s="45" t="str">
        <f aca="false">IF(B530="","",IFERROR(INDEX('Master Database'!$D$5:$D$600,MATCH(B530,'Master Database'!$A$5:$A$600,0)),"(row not found)"))</f>
        <v/>
      </c>
      <c r="D530" s="45" t="str">
        <f aca="false">IF(B530="","",IFERROR(INDEX('Master Database'!$B$5:$B$600,MATCH(B530,'Master Database'!$A$5:$A$600,0)),"(row not found)"))</f>
        <v/>
      </c>
      <c r="E530" s="42"/>
      <c r="F530" s="45" t="str">
        <f aca="false">IF(E530="","",IFERROR(INDEX(Vendor_Register!$B$5:$B$205,MATCH(E530,Vendor_Register!$A$5:$A$205,0)),"(not in register)"))</f>
        <v/>
      </c>
      <c r="G530" s="45" t="str">
        <f aca="false">IF(E530="","",IFERROR(INDEX(Vendor_Register!$E$5:$E$205,MATCH(E530,Vendor_Register!$A$5:$A$205,0)),"(not in register)"))</f>
        <v/>
      </c>
      <c r="H530" s="42"/>
      <c r="I530" s="42"/>
      <c r="J530" s="42"/>
      <c r="K530" s="42"/>
      <c r="L530" s="42"/>
      <c r="M530" s="46"/>
      <c r="N530" s="42"/>
      <c r="O530" s="47" t="str">
        <f aca="false">IF(NOT(ISNUMBER(M530)),"",IFERROR(IF(L530="EUR",M530,IF(L530="IRR",M530/INDEX('Assumptions &amp; FX Reference'!$C$5:$C$25,MATCH(H530,'Assumptions &amp; FX Reference'!$A$5:$A$25,0)),IF(L530="USD",M530*INDEX('Assumptions &amp; FX Reference'!$B$5:$B$25,MATCH(H530,'Assumptions &amp; FX Reference'!$A$5:$A$25,0))/INDEX('Assumptions &amp; FX Reference'!$C$5:$C$25,MATCH(H530,'Assumptions &amp; FX Reference'!$A$5:$A$25,0)),""))),"(FX missing)"))</f>
        <v/>
      </c>
      <c r="P530" s="42"/>
      <c r="Q530" s="42"/>
      <c r="R530" s="42"/>
      <c r="S530" s="42"/>
      <c r="T530" s="42"/>
      <c r="U530" s="42"/>
      <c r="V530" s="42"/>
    </row>
    <row r="531" customFormat="false" ht="15" hidden="false" customHeight="false" outlineLevel="0" collapsed="false">
      <c r="A531" s="42"/>
      <c r="B531" s="42"/>
      <c r="C531" s="45" t="str">
        <f aca="false">IF(B531="","",IFERROR(INDEX('Master Database'!$D$5:$D$600,MATCH(B531,'Master Database'!$A$5:$A$600,0)),"(row not found)"))</f>
        <v/>
      </c>
      <c r="D531" s="45" t="str">
        <f aca="false">IF(B531="","",IFERROR(INDEX('Master Database'!$B$5:$B$600,MATCH(B531,'Master Database'!$A$5:$A$600,0)),"(row not found)"))</f>
        <v/>
      </c>
      <c r="E531" s="42"/>
      <c r="F531" s="45" t="str">
        <f aca="false">IF(E531="","",IFERROR(INDEX(Vendor_Register!$B$5:$B$205,MATCH(E531,Vendor_Register!$A$5:$A$205,0)),"(not in register)"))</f>
        <v/>
      </c>
      <c r="G531" s="45" t="str">
        <f aca="false">IF(E531="","",IFERROR(INDEX(Vendor_Register!$E$5:$E$205,MATCH(E531,Vendor_Register!$A$5:$A$205,0)),"(not in register)"))</f>
        <v/>
      </c>
      <c r="H531" s="42"/>
      <c r="I531" s="42"/>
      <c r="J531" s="42"/>
      <c r="K531" s="42"/>
      <c r="L531" s="42"/>
      <c r="M531" s="46"/>
      <c r="N531" s="42"/>
      <c r="O531" s="47" t="str">
        <f aca="false">IF(NOT(ISNUMBER(M531)),"",IFERROR(IF(L531="EUR",M531,IF(L531="IRR",M531/INDEX('Assumptions &amp; FX Reference'!$C$5:$C$25,MATCH(H531,'Assumptions &amp; FX Reference'!$A$5:$A$25,0)),IF(L531="USD",M531*INDEX('Assumptions &amp; FX Reference'!$B$5:$B$25,MATCH(H531,'Assumptions &amp; FX Reference'!$A$5:$A$25,0))/INDEX('Assumptions &amp; FX Reference'!$C$5:$C$25,MATCH(H531,'Assumptions &amp; FX Reference'!$A$5:$A$25,0)),""))),"(FX missing)"))</f>
        <v/>
      </c>
      <c r="P531" s="42"/>
      <c r="Q531" s="42"/>
      <c r="R531" s="42"/>
      <c r="S531" s="42"/>
      <c r="T531" s="42"/>
      <c r="U531" s="42"/>
      <c r="V531" s="42"/>
    </row>
    <row r="532" customFormat="false" ht="15" hidden="false" customHeight="false" outlineLevel="0" collapsed="false">
      <c r="A532" s="42"/>
      <c r="B532" s="42"/>
      <c r="C532" s="45" t="str">
        <f aca="false">IF(B532="","",IFERROR(INDEX('Master Database'!$D$5:$D$600,MATCH(B532,'Master Database'!$A$5:$A$600,0)),"(row not found)"))</f>
        <v/>
      </c>
      <c r="D532" s="45" t="str">
        <f aca="false">IF(B532="","",IFERROR(INDEX('Master Database'!$B$5:$B$600,MATCH(B532,'Master Database'!$A$5:$A$600,0)),"(row not found)"))</f>
        <v/>
      </c>
      <c r="E532" s="42"/>
      <c r="F532" s="45" t="str">
        <f aca="false">IF(E532="","",IFERROR(INDEX(Vendor_Register!$B$5:$B$205,MATCH(E532,Vendor_Register!$A$5:$A$205,0)),"(not in register)"))</f>
        <v/>
      </c>
      <c r="G532" s="45" t="str">
        <f aca="false">IF(E532="","",IFERROR(INDEX(Vendor_Register!$E$5:$E$205,MATCH(E532,Vendor_Register!$A$5:$A$205,0)),"(not in register)"))</f>
        <v/>
      </c>
      <c r="H532" s="42"/>
      <c r="I532" s="42"/>
      <c r="J532" s="42"/>
      <c r="K532" s="42"/>
      <c r="L532" s="42"/>
      <c r="M532" s="46"/>
      <c r="N532" s="42"/>
      <c r="O532" s="47" t="str">
        <f aca="false">IF(NOT(ISNUMBER(M532)),"",IFERROR(IF(L532="EUR",M532,IF(L532="IRR",M532/INDEX('Assumptions &amp; FX Reference'!$C$5:$C$25,MATCH(H532,'Assumptions &amp; FX Reference'!$A$5:$A$25,0)),IF(L532="USD",M532*INDEX('Assumptions &amp; FX Reference'!$B$5:$B$25,MATCH(H532,'Assumptions &amp; FX Reference'!$A$5:$A$25,0))/INDEX('Assumptions &amp; FX Reference'!$C$5:$C$25,MATCH(H532,'Assumptions &amp; FX Reference'!$A$5:$A$25,0)),""))),"(FX missing)"))</f>
        <v/>
      </c>
      <c r="P532" s="42"/>
      <c r="Q532" s="42"/>
      <c r="R532" s="42"/>
      <c r="S532" s="42"/>
      <c r="T532" s="42"/>
      <c r="U532" s="42"/>
      <c r="V532" s="42"/>
    </row>
    <row r="533" customFormat="false" ht="15" hidden="false" customHeight="false" outlineLevel="0" collapsed="false">
      <c r="A533" s="42"/>
      <c r="B533" s="42"/>
      <c r="C533" s="45" t="str">
        <f aca="false">IF(B533="","",IFERROR(INDEX('Master Database'!$D$5:$D$600,MATCH(B533,'Master Database'!$A$5:$A$600,0)),"(row not found)"))</f>
        <v/>
      </c>
      <c r="D533" s="45" t="str">
        <f aca="false">IF(B533="","",IFERROR(INDEX('Master Database'!$B$5:$B$600,MATCH(B533,'Master Database'!$A$5:$A$600,0)),"(row not found)"))</f>
        <v/>
      </c>
      <c r="E533" s="42"/>
      <c r="F533" s="45" t="str">
        <f aca="false">IF(E533="","",IFERROR(INDEX(Vendor_Register!$B$5:$B$205,MATCH(E533,Vendor_Register!$A$5:$A$205,0)),"(not in register)"))</f>
        <v/>
      </c>
      <c r="G533" s="45" t="str">
        <f aca="false">IF(E533="","",IFERROR(INDEX(Vendor_Register!$E$5:$E$205,MATCH(E533,Vendor_Register!$A$5:$A$205,0)),"(not in register)"))</f>
        <v/>
      </c>
      <c r="H533" s="42"/>
      <c r="I533" s="42"/>
      <c r="J533" s="42"/>
      <c r="K533" s="42"/>
      <c r="L533" s="42"/>
      <c r="M533" s="46"/>
      <c r="N533" s="42"/>
      <c r="O533" s="47" t="str">
        <f aca="false">IF(NOT(ISNUMBER(M533)),"",IFERROR(IF(L533="EUR",M533,IF(L533="IRR",M533/INDEX('Assumptions &amp; FX Reference'!$C$5:$C$25,MATCH(H533,'Assumptions &amp; FX Reference'!$A$5:$A$25,0)),IF(L533="USD",M533*INDEX('Assumptions &amp; FX Reference'!$B$5:$B$25,MATCH(H533,'Assumptions &amp; FX Reference'!$A$5:$A$25,0))/INDEX('Assumptions &amp; FX Reference'!$C$5:$C$25,MATCH(H533,'Assumptions &amp; FX Reference'!$A$5:$A$25,0)),""))),"(FX missing)"))</f>
        <v/>
      </c>
      <c r="P533" s="42"/>
      <c r="Q533" s="42"/>
      <c r="R533" s="42"/>
      <c r="S533" s="42"/>
      <c r="T533" s="42"/>
      <c r="U533" s="42"/>
      <c r="V533" s="42"/>
    </row>
    <row r="534" customFormat="false" ht="15" hidden="false" customHeight="false" outlineLevel="0" collapsed="false">
      <c r="A534" s="42"/>
      <c r="B534" s="42"/>
      <c r="C534" s="45" t="str">
        <f aca="false">IF(B534="","",IFERROR(INDEX('Master Database'!$D$5:$D$600,MATCH(B534,'Master Database'!$A$5:$A$600,0)),"(row not found)"))</f>
        <v/>
      </c>
      <c r="D534" s="45" t="str">
        <f aca="false">IF(B534="","",IFERROR(INDEX('Master Database'!$B$5:$B$600,MATCH(B534,'Master Database'!$A$5:$A$600,0)),"(row not found)"))</f>
        <v/>
      </c>
      <c r="E534" s="42"/>
      <c r="F534" s="45" t="str">
        <f aca="false">IF(E534="","",IFERROR(INDEX(Vendor_Register!$B$5:$B$205,MATCH(E534,Vendor_Register!$A$5:$A$205,0)),"(not in register)"))</f>
        <v/>
      </c>
      <c r="G534" s="45" t="str">
        <f aca="false">IF(E534="","",IFERROR(INDEX(Vendor_Register!$E$5:$E$205,MATCH(E534,Vendor_Register!$A$5:$A$205,0)),"(not in register)"))</f>
        <v/>
      </c>
      <c r="H534" s="42"/>
      <c r="I534" s="42"/>
      <c r="J534" s="42"/>
      <c r="K534" s="42"/>
      <c r="L534" s="42"/>
      <c r="M534" s="46"/>
      <c r="N534" s="42"/>
      <c r="O534" s="47" t="str">
        <f aca="false">IF(NOT(ISNUMBER(M534)),"",IFERROR(IF(L534="EUR",M534,IF(L534="IRR",M534/INDEX('Assumptions &amp; FX Reference'!$C$5:$C$25,MATCH(H534,'Assumptions &amp; FX Reference'!$A$5:$A$25,0)),IF(L534="USD",M534*INDEX('Assumptions &amp; FX Reference'!$B$5:$B$25,MATCH(H534,'Assumptions &amp; FX Reference'!$A$5:$A$25,0))/INDEX('Assumptions &amp; FX Reference'!$C$5:$C$25,MATCH(H534,'Assumptions &amp; FX Reference'!$A$5:$A$25,0)),""))),"(FX missing)"))</f>
        <v/>
      </c>
      <c r="P534" s="42"/>
      <c r="Q534" s="42"/>
      <c r="R534" s="42"/>
      <c r="S534" s="42"/>
      <c r="T534" s="42"/>
      <c r="U534" s="42"/>
      <c r="V534" s="42"/>
    </row>
    <row r="535" customFormat="false" ht="15" hidden="false" customHeight="false" outlineLevel="0" collapsed="false">
      <c r="A535" s="42"/>
      <c r="B535" s="42"/>
      <c r="C535" s="45" t="str">
        <f aca="false">IF(B535="","",IFERROR(INDEX('Master Database'!$D$5:$D$600,MATCH(B535,'Master Database'!$A$5:$A$600,0)),"(row not found)"))</f>
        <v/>
      </c>
      <c r="D535" s="45" t="str">
        <f aca="false">IF(B535="","",IFERROR(INDEX('Master Database'!$B$5:$B$600,MATCH(B535,'Master Database'!$A$5:$A$600,0)),"(row not found)"))</f>
        <v/>
      </c>
      <c r="E535" s="42"/>
      <c r="F535" s="45" t="str">
        <f aca="false">IF(E535="","",IFERROR(INDEX(Vendor_Register!$B$5:$B$205,MATCH(E535,Vendor_Register!$A$5:$A$205,0)),"(not in register)"))</f>
        <v/>
      </c>
      <c r="G535" s="45" t="str">
        <f aca="false">IF(E535="","",IFERROR(INDEX(Vendor_Register!$E$5:$E$205,MATCH(E535,Vendor_Register!$A$5:$A$205,0)),"(not in register)"))</f>
        <v/>
      </c>
      <c r="H535" s="42"/>
      <c r="I535" s="42"/>
      <c r="J535" s="42"/>
      <c r="K535" s="42"/>
      <c r="L535" s="42"/>
      <c r="M535" s="46"/>
      <c r="N535" s="42"/>
      <c r="O535" s="47" t="str">
        <f aca="false">IF(NOT(ISNUMBER(M535)),"",IFERROR(IF(L535="EUR",M535,IF(L535="IRR",M535/INDEX('Assumptions &amp; FX Reference'!$C$5:$C$25,MATCH(H535,'Assumptions &amp; FX Reference'!$A$5:$A$25,0)),IF(L535="USD",M535*INDEX('Assumptions &amp; FX Reference'!$B$5:$B$25,MATCH(H535,'Assumptions &amp; FX Reference'!$A$5:$A$25,0))/INDEX('Assumptions &amp; FX Reference'!$C$5:$C$25,MATCH(H535,'Assumptions &amp; FX Reference'!$A$5:$A$25,0)),""))),"(FX missing)"))</f>
        <v/>
      </c>
      <c r="P535" s="42"/>
      <c r="Q535" s="42"/>
      <c r="R535" s="42"/>
      <c r="S535" s="42"/>
      <c r="T535" s="42"/>
      <c r="U535" s="42"/>
      <c r="V535" s="42"/>
    </row>
    <row r="536" customFormat="false" ht="15" hidden="false" customHeight="false" outlineLevel="0" collapsed="false">
      <c r="A536" s="42"/>
      <c r="B536" s="42"/>
      <c r="C536" s="45" t="str">
        <f aca="false">IF(B536="","",IFERROR(INDEX('Master Database'!$D$5:$D$600,MATCH(B536,'Master Database'!$A$5:$A$600,0)),"(row not found)"))</f>
        <v/>
      </c>
      <c r="D536" s="45" t="str">
        <f aca="false">IF(B536="","",IFERROR(INDEX('Master Database'!$B$5:$B$600,MATCH(B536,'Master Database'!$A$5:$A$600,0)),"(row not found)"))</f>
        <v/>
      </c>
      <c r="E536" s="42"/>
      <c r="F536" s="45" t="str">
        <f aca="false">IF(E536="","",IFERROR(INDEX(Vendor_Register!$B$5:$B$205,MATCH(E536,Vendor_Register!$A$5:$A$205,0)),"(not in register)"))</f>
        <v/>
      </c>
      <c r="G536" s="45" t="str">
        <f aca="false">IF(E536="","",IFERROR(INDEX(Vendor_Register!$E$5:$E$205,MATCH(E536,Vendor_Register!$A$5:$A$205,0)),"(not in register)"))</f>
        <v/>
      </c>
      <c r="H536" s="42"/>
      <c r="I536" s="42"/>
      <c r="J536" s="42"/>
      <c r="K536" s="42"/>
      <c r="L536" s="42"/>
      <c r="M536" s="46"/>
      <c r="N536" s="42"/>
      <c r="O536" s="47" t="str">
        <f aca="false">IF(NOT(ISNUMBER(M536)),"",IFERROR(IF(L536="EUR",M536,IF(L536="IRR",M536/INDEX('Assumptions &amp; FX Reference'!$C$5:$C$25,MATCH(H536,'Assumptions &amp; FX Reference'!$A$5:$A$25,0)),IF(L536="USD",M536*INDEX('Assumptions &amp; FX Reference'!$B$5:$B$25,MATCH(H536,'Assumptions &amp; FX Reference'!$A$5:$A$25,0))/INDEX('Assumptions &amp; FX Reference'!$C$5:$C$25,MATCH(H536,'Assumptions &amp; FX Reference'!$A$5:$A$25,0)),""))),"(FX missing)"))</f>
        <v/>
      </c>
      <c r="P536" s="42"/>
      <c r="Q536" s="42"/>
      <c r="R536" s="42"/>
      <c r="S536" s="42"/>
      <c r="T536" s="42"/>
      <c r="U536" s="42"/>
      <c r="V536" s="42"/>
    </row>
    <row r="537" customFormat="false" ht="15" hidden="false" customHeight="false" outlineLevel="0" collapsed="false">
      <c r="A537" s="42"/>
      <c r="B537" s="42"/>
      <c r="C537" s="45" t="str">
        <f aca="false">IF(B537="","",IFERROR(INDEX('Master Database'!$D$5:$D$600,MATCH(B537,'Master Database'!$A$5:$A$600,0)),"(row not found)"))</f>
        <v/>
      </c>
      <c r="D537" s="45" t="str">
        <f aca="false">IF(B537="","",IFERROR(INDEX('Master Database'!$B$5:$B$600,MATCH(B537,'Master Database'!$A$5:$A$600,0)),"(row not found)"))</f>
        <v/>
      </c>
      <c r="E537" s="42"/>
      <c r="F537" s="45" t="str">
        <f aca="false">IF(E537="","",IFERROR(INDEX(Vendor_Register!$B$5:$B$205,MATCH(E537,Vendor_Register!$A$5:$A$205,0)),"(not in register)"))</f>
        <v/>
      </c>
      <c r="G537" s="45" t="str">
        <f aca="false">IF(E537="","",IFERROR(INDEX(Vendor_Register!$E$5:$E$205,MATCH(E537,Vendor_Register!$A$5:$A$205,0)),"(not in register)"))</f>
        <v/>
      </c>
      <c r="H537" s="42"/>
      <c r="I537" s="42"/>
      <c r="J537" s="42"/>
      <c r="K537" s="42"/>
      <c r="L537" s="42"/>
      <c r="M537" s="46"/>
      <c r="N537" s="42"/>
      <c r="O537" s="47" t="str">
        <f aca="false">IF(NOT(ISNUMBER(M537)),"",IFERROR(IF(L537="EUR",M537,IF(L537="IRR",M537/INDEX('Assumptions &amp; FX Reference'!$C$5:$C$25,MATCH(H537,'Assumptions &amp; FX Reference'!$A$5:$A$25,0)),IF(L537="USD",M537*INDEX('Assumptions &amp; FX Reference'!$B$5:$B$25,MATCH(H537,'Assumptions &amp; FX Reference'!$A$5:$A$25,0))/INDEX('Assumptions &amp; FX Reference'!$C$5:$C$25,MATCH(H537,'Assumptions &amp; FX Reference'!$A$5:$A$25,0)),""))),"(FX missing)"))</f>
        <v/>
      </c>
      <c r="P537" s="42"/>
      <c r="Q537" s="42"/>
      <c r="R537" s="42"/>
      <c r="S537" s="42"/>
      <c r="T537" s="42"/>
      <c r="U537" s="42"/>
      <c r="V537" s="42"/>
    </row>
    <row r="538" customFormat="false" ht="15" hidden="false" customHeight="false" outlineLevel="0" collapsed="false">
      <c r="A538" s="42"/>
      <c r="B538" s="42"/>
      <c r="C538" s="45" t="str">
        <f aca="false">IF(B538="","",IFERROR(INDEX('Master Database'!$D$5:$D$600,MATCH(B538,'Master Database'!$A$5:$A$600,0)),"(row not found)"))</f>
        <v/>
      </c>
      <c r="D538" s="45" t="str">
        <f aca="false">IF(B538="","",IFERROR(INDEX('Master Database'!$B$5:$B$600,MATCH(B538,'Master Database'!$A$5:$A$600,0)),"(row not found)"))</f>
        <v/>
      </c>
      <c r="E538" s="42"/>
      <c r="F538" s="45" t="str">
        <f aca="false">IF(E538="","",IFERROR(INDEX(Vendor_Register!$B$5:$B$205,MATCH(E538,Vendor_Register!$A$5:$A$205,0)),"(not in register)"))</f>
        <v/>
      </c>
      <c r="G538" s="45" t="str">
        <f aca="false">IF(E538="","",IFERROR(INDEX(Vendor_Register!$E$5:$E$205,MATCH(E538,Vendor_Register!$A$5:$A$205,0)),"(not in register)"))</f>
        <v/>
      </c>
      <c r="H538" s="42"/>
      <c r="I538" s="42"/>
      <c r="J538" s="42"/>
      <c r="K538" s="42"/>
      <c r="L538" s="42"/>
      <c r="M538" s="46"/>
      <c r="N538" s="42"/>
      <c r="O538" s="47" t="str">
        <f aca="false">IF(NOT(ISNUMBER(M538)),"",IFERROR(IF(L538="EUR",M538,IF(L538="IRR",M538/INDEX('Assumptions &amp; FX Reference'!$C$5:$C$25,MATCH(H538,'Assumptions &amp; FX Reference'!$A$5:$A$25,0)),IF(L538="USD",M538*INDEX('Assumptions &amp; FX Reference'!$B$5:$B$25,MATCH(H538,'Assumptions &amp; FX Reference'!$A$5:$A$25,0))/INDEX('Assumptions &amp; FX Reference'!$C$5:$C$25,MATCH(H538,'Assumptions &amp; FX Reference'!$A$5:$A$25,0)),""))),"(FX missing)"))</f>
        <v/>
      </c>
      <c r="P538" s="42"/>
      <c r="Q538" s="42"/>
      <c r="R538" s="42"/>
      <c r="S538" s="42"/>
      <c r="T538" s="42"/>
      <c r="U538" s="42"/>
      <c r="V538" s="42"/>
    </row>
    <row r="539" customFormat="false" ht="15" hidden="false" customHeight="false" outlineLevel="0" collapsed="false">
      <c r="A539" s="42"/>
      <c r="B539" s="42"/>
      <c r="C539" s="45" t="str">
        <f aca="false">IF(B539="","",IFERROR(INDEX('Master Database'!$D$5:$D$600,MATCH(B539,'Master Database'!$A$5:$A$600,0)),"(row not found)"))</f>
        <v/>
      </c>
      <c r="D539" s="45" t="str">
        <f aca="false">IF(B539="","",IFERROR(INDEX('Master Database'!$B$5:$B$600,MATCH(B539,'Master Database'!$A$5:$A$600,0)),"(row not found)"))</f>
        <v/>
      </c>
      <c r="E539" s="42"/>
      <c r="F539" s="45" t="str">
        <f aca="false">IF(E539="","",IFERROR(INDEX(Vendor_Register!$B$5:$B$205,MATCH(E539,Vendor_Register!$A$5:$A$205,0)),"(not in register)"))</f>
        <v/>
      </c>
      <c r="G539" s="45" t="str">
        <f aca="false">IF(E539="","",IFERROR(INDEX(Vendor_Register!$E$5:$E$205,MATCH(E539,Vendor_Register!$A$5:$A$205,0)),"(not in register)"))</f>
        <v/>
      </c>
      <c r="H539" s="42"/>
      <c r="I539" s="42"/>
      <c r="J539" s="42"/>
      <c r="K539" s="42"/>
      <c r="L539" s="42"/>
      <c r="M539" s="46"/>
      <c r="N539" s="42"/>
      <c r="O539" s="47" t="str">
        <f aca="false">IF(NOT(ISNUMBER(M539)),"",IFERROR(IF(L539="EUR",M539,IF(L539="IRR",M539/INDEX('Assumptions &amp; FX Reference'!$C$5:$C$25,MATCH(H539,'Assumptions &amp; FX Reference'!$A$5:$A$25,0)),IF(L539="USD",M539*INDEX('Assumptions &amp; FX Reference'!$B$5:$B$25,MATCH(H539,'Assumptions &amp; FX Reference'!$A$5:$A$25,0))/INDEX('Assumptions &amp; FX Reference'!$C$5:$C$25,MATCH(H539,'Assumptions &amp; FX Reference'!$A$5:$A$25,0)),""))),"(FX missing)"))</f>
        <v/>
      </c>
      <c r="P539" s="42"/>
      <c r="Q539" s="42"/>
      <c r="R539" s="42"/>
      <c r="S539" s="42"/>
      <c r="T539" s="42"/>
      <c r="U539" s="42"/>
      <c r="V539" s="42"/>
    </row>
    <row r="540" customFormat="false" ht="15" hidden="false" customHeight="false" outlineLevel="0" collapsed="false">
      <c r="A540" s="42"/>
      <c r="B540" s="42"/>
      <c r="C540" s="45" t="str">
        <f aca="false">IF(B540="","",IFERROR(INDEX('Master Database'!$D$5:$D$600,MATCH(B540,'Master Database'!$A$5:$A$600,0)),"(row not found)"))</f>
        <v/>
      </c>
      <c r="D540" s="45" t="str">
        <f aca="false">IF(B540="","",IFERROR(INDEX('Master Database'!$B$5:$B$600,MATCH(B540,'Master Database'!$A$5:$A$600,0)),"(row not found)"))</f>
        <v/>
      </c>
      <c r="E540" s="42"/>
      <c r="F540" s="45" t="str">
        <f aca="false">IF(E540="","",IFERROR(INDEX(Vendor_Register!$B$5:$B$205,MATCH(E540,Vendor_Register!$A$5:$A$205,0)),"(not in register)"))</f>
        <v/>
      </c>
      <c r="G540" s="45" t="str">
        <f aca="false">IF(E540="","",IFERROR(INDEX(Vendor_Register!$E$5:$E$205,MATCH(E540,Vendor_Register!$A$5:$A$205,0)),"(not in register)"))</f>
        <v/>
      </c>
      <c r="H540" s="42"/>
      <c r="I540" s="42"/>
      <c r="J540" s="42"/>
      <c r="K540" s="42"/>
      <c r="L540" s="42"/>
      <c r="M540" s="46"/>
      <c r="N540" s="42"/>
      <c r="O540" s="47" t="str">
        <f aca="false">IF(NOT(ISNUMBER(M540)),"",IFERROR(IF(L540="EUR",M540,IF(L540="IRR",M540/INDEX('Assumptions &amp; FX Reference'!$C$5:$C$25,MATCH(H540,'Assumptions &amp; FX Reference'!$A$5:$A$25,0)),IF(L540="USD",M540*INDEX('Assumptions &amp; FX Reference'!$B$5:$B$25,MATCH(H540,'Assumptions &amp; FX Reference'!$A$5:$A$25,0))/INDEX('Assumptions &amp; FX Reference'!$C$5:$C$25,MATCH(H540,'Assumptions &amp; FX Reference'!$A$5:$A$25,0)),""))),"(FX missing)"))</f>
        <v/>
      </c>
      <c r="P540" s="42"/>
      <c r="Q540" s="42"/>
      <c r="R540" s="42"/>
      <c r="S540" s="42"/>
      <c r="T540" s="42"/>
      <c r="U540" s="42"/>
      <c r="V540" s="42"/>
    </row>
    <row r="541" customFormat="false" ht="15" hidden="false" customHeight="false" outlineLevel="0" collapsed="false">
      <c r="A541" s="42"/>
      <c r="B541" s="42"/>
      <c r="C541" s="45" t="str">
        <f aca="false">IF(B541="","",IFERROR(INDEX('Master Database'!$D$5:$D$600,MATCH(B541,'Master Database'!$A$5:$A$600,0)),"(row not found)"))</f>
        <v/>
      </c>
      <c r="D541" s="45" t="str">
        <f aca="false">IF(B541="","",IFERROR(INDEX('Master Database'!$B$5:$B$600,MATCH(B541,'Master Database'!$A$5:$A$600,0)),"(row not found)"))</f>
        <v/>
      </c>
      <c r="E541" s="42"/>
      <c r="F541" s="45" t="str">
        <f aca="false">IF(E541="","",IFERROR(INDEX(Vendor_Register!$B$5:$B$205,MATCH(E541,Vendor_Register!$A$5:$A$205,0)),"(not in register)"))</f>
        <v/>
      </c>
      <c r="G541" s="45" t="str">
        <f aca="false">IF(E541="","",IFERROR(INDEX(Vendor_Register!$E$5:$E$205,MATCH(E541,Vendor_Register!$A$5:$A$205,0)),"(not in register)"))</f>
        <v/>
      </c>
      <c r="H541" s="42"/>
      <c r="I541" s="42"/>
      <c r="J541" s="42"/>
      <c r="K541" s="42"/>
      <c r="L541" s="42"/>
      <c r="M541" s="46"/>
      <c r="N541" s="42"/>
      <c r="O541" s="47" t="str">
        <f aca="false">IF(NOT(ISNUMBER(M541)),"",IFERROR(IF(L541="EUR",M541,IF(L541="IRR",M541/INDEX('Assumptions &amp; FX Reference'!$C$5:$C$25,MATCH(H541,'Assumptions &amp; FX Reference'!$A$5:$A$25,0)),IF(L541="USD",M541*INDEX('Assumptions &amp; FX Reference'!$B$5:$B$25,MATCH(H541,'Assumptions &amp; FX Reference'!$A$5:$A$25,0))/INDEX('Assumptions &amp; FX Reference'!$C$5:$C$25,MATCH(H541,'Assumptions &amp; FX Reference'!$A$5:$A$25,0)),""))),"(FX missing)"))</f>
        <v/>
      </c>
      <c r="P541" s="42"/>
      <c r="Q541" s="42"/>
      <c r="R541" s="42"/>
      <c r="S541" s="42"/>
      <c r="T541" s="42"/>
      <c r="U541" s="42"/>
      <c r="V541" s="42"/>
    </row>
    <row r="542" customFormat="false" ht="15" hidden="false" customHeight="false" outlineLevel="0" collapsed="false">
      <c r="A542" s="42"/>
      <c r="B542" s="42"/>
      <c r="C542" s="45" t="str">
        <f aca="false">IF(B542="","",IFERROR(INDEX('Master Database'!$D$5:$D$600,MATCH(B542,'Master Database'!$A$5:$A$600,0)),"(row not found)"))</f>
        <v/>
      </c>
      <c r="D542" s="45" t="str">
        <f aca="false">IF(B542="","",IFERROR(INDEX('Master Database'!$B$5:$B$600,MATCH(B542,'Master Database'!$A$5:$A$600,0)),"(row not found)"))</f>
        <v/>
      </c>
      <c r="E542" s="42"/>
      <c r="F542" s="45" t="str">
        <f aca="false">IF(E542="","",IFERROR(INDEX(Vendor_Register!$B$5:$B$205,MATCH(E542,Vendor_Register!$A$5:$A$205,0)),"(not in register)"))</f>
        <v/>
      </c>
      <c r="G542" s="45" t="str">
        <f aca="false">IF(E542="","",IFERROR(INDEX(Vendor_Register!$E$5:$E$205,MATCH(E542,Vendor_Register!$A$5:$A$205,0)),"(not in register)"))</f>
        <v/>
      </c>
      <c r="H542" s="42"/>
      <c r="I542" s="42"/>
      <c r="J542" s="42"/>
      <c r="K542" s="42"/>
      <c r="L542" s="42"/>
      <c r="M542" s="46"/>
      <c r="N542" s="42"/>
      <c r="O542" s="47" t="str">
        <f aca="false">IF(NOT(ISNUMBER(M542)),"",IFERROR(IF(L542="EUR",M542,IF(L542="IRR",M542/INDEX('Assumptions &amp; FX Reference'!$C$5:$C$25,MATCH(H542,'Assumptions &amp; FX Reference'!$A$5:$A$25,0)),IF(L542="USD",M542*INDEX('Assumptions &amp; FX Reference'!$B$5:$B$25,MATCH(H542,'Assumptions &amp; FX Reference'!$A$5:$A$25,0))/INDEX('Assumptions &amp; FX Reference'!$C$5:$C$25,MATCH(H542,'Assumptions &amp; FX Reference'!$A$5:$A$25,0)),""))),"(FX missing)"))</f>
        <v/>
      </c>
      <c r="P542" s="42"/>
      <c r="Q542" s="42"/>
      <c r="R542" s="42"/>
      <c r="S542" s="42"/>
      <c r="T542" s="42"/>
      <c r="U542" s="42"/>
      <c r="V542" s="42"/>
    </row>
    <row r="543" customFormat="false" ht="15" hidden="false" customHeight="false" outlineLevel="0" collapsed="false">
      <c r="A543" s="42"/>
      <c r="B543" s="42"/>
      <c r="C543" s="45" t="str">
        <f aca="false">IF(B543="","",IFERROR(INDEX('Master Database'!$D$5:$D$600,MATCH(B543,'Master Database'!$A$5:$A$600,0)),"(row not found)"))</f>
        <v/>
      </c>
      <c r="D543" s="45" t="str">
        <f aca="false">IF(B543="","",IFERROR(INDEX('Master Database'!$B$5:$B$600,MATCH(B543,'Master Database'!$A$5:$A$600,0)),"(row not found)"))</f>
        <v/>
      </c>
      <c r="E543" s="42"/>
      <c r="F543" s="45" t="str">
        <f aca="false">IF(E543="","",IFERROR(INDEX(Vendor_Register!$B$5:$B$205,MATCH(E543,Vendor_Register!$A$5:$A$205,0)),"(not in register)"))</f>
        <v/>
      </c>
      <c r="G543" s="45" t="str">
        <f aca="false">IF(E543="","",IFERROR(INDEX(Vendor_Register!$E$5:$E$205,MATCH(E543,Vendor_Register!$A$5:$A$205,0)),"(not in register)"))</f>
        <v/>
      </c>
      <c r="H543" s="42"/>
      <c r="I543" s="42"/>
      <c r="J543" s="42"/>
      <c r="K543" s="42"/>
      <c r="L543" s="42"/>
      <c r="M543" s="46"/>
      <c r="N543" s="42"/>
      <c r="O543" s="47" t="str">
        <f aca="false">IF(NOT(ISNUMBER(M543)),"",IFERROR(IF(L543="EUR",M543,IF(L543="IRR",M543/INDEX('Assumptions &amp; FX Reference'!$C$5:$C$25,MATCH(H543,'Assumptions &amp; FX Reference'!$A$5:$A$25,0)),IF(L543="USD",M543*INDEX('Assumptions &amp; FX Reference'!$B$5:$B$25,MATCH(H543,'Assumptions &amp; FX Reference'!$A$5:$A$25,0))/INDEX('Assumptions &amp; FX Reference'!$C$5:$C$25,MATCH(H543,'Assumptions &amp; FX Reference'!$A$5:$A$25,0)),""))),"(FX missing)"))</f>
        <v/>
      </c>
      <c r="P543" s="42"/>
      <c r="Q543" s="42"/>
      <c r="R543" s="42"/>
      <c r="S543" s="42"/>
      <c r="T543" s="42"/>
      <c r="U543" s="42"/>
      <c r="V543" s="42"/>
    </row>
    <row r="544" customFormat="false" ht="15" hidden="false" customHeight="false" outlineLevel="0" collapsed="false">
      <c r="A544" s="42"/>
      <c r="B544" s="42"/>
      <c r="C544" s="45" t="str">
        <f aca="false">IF(B544="","",IFERROR(INDEX('Master Database'!$D$5:$D$600,MATCH(B544,'Master Database'!$A$5:$A$600,0)),"(row not found)"))</f>
        <v/>
      </c>
      <c r="D544" s="45" t="str">
        <f aca="false">IF(B544="","",IFERROR(INDEX('Master Database'!$B$5:$B$600,MATCH(B544,'Master Database'!$A$5:$A$600,0)),"(row not found)"))</f>
        <v/>
      </c>
      <c r="E544" s="42"/>
      <c r="F544" s="45" t="str">
        <f aca="false">IF(E544="","",IFERROR(INDEX(Vendor_Register!$B$5:$B$205,MATCH(E544,Vendor_Register!$A$5:$A$205,0)),"(not in register)"))</f>
        <v/>
      </c>
      <c r="G544" s="45" t="str">
        <f aca="false">IF(E544="","",IFERROR(INDEX(Vendor_Register!$E$5:$E$205,MATCH(E544,Vendor_Register!$A$5:$A$205,0)),"(not in register)"))</f>
        <v/>
      </c>
      <c r="H544" s="42"/>
      <c r="I544" s="42"/>
      <c r="J544" s="42"/>
      <c r="K544" s="42"/>
      <c r="L544" s="42"/>
      <c r="M544" s="46"/>
      <c r="N544" s="42"/>
      <c r="O544" s="47" t="str">
        <f aca="false">IF(NOT(ISNUMBER(M544)),"",IFERROR(IF(L544="EUR",M544,IF(L544="IRR",M544/INDEX('Assumptions &amp; FX Reference'!$C$5:$C$25,MATCH(H544,'Assumptions &amp; FX Reference'!$A$5:$A$25,0)),IF(L544="USD",M544*INDEX('Assumptions &amp; FX Reference'!$B$5:$B$25,MATCH(H544,'Assumptions &amp; FX Reference'!$A$5:$A$25,0))/INDEX('Assumptions &amp; FX Reference'!$C$5:$C$25,MATCH(H544,'Assumptions &amp; FX Reference'!$A$5:$A$25,0)),""))),"(FX missing)"))</f>
        <v/>
      </c>
      <c r="P544" s="42"/>
      <c r="Q544" s="42"/>
      <c r="R544" s="42"/>
      <c r="S544" s="42"/>
      <c r="T544" s="42"/>
      <c r="U544" s="42"/>
      <c r="V544" s="42"/>
    </row>
    <row r="545" customFormat="false" ht="15" hidden="false" customHeight="false" outlineLevel="0" collapsed="false">
      <c r="A545" s="42"/>
      <c r="B545" s="42"/>
      <c r="C545" s="45" t="str">
        <f aca="false">IF(B545="","",IFERROR(INDEX('Master Database'!$D$5:$D$600,MATCH(B545,'Master Database'!$A$5:$A$600,0)),"(row not found)"))</f>
        <v/>
      </c>
      <c r="D545" s="45" t="str">
        <f aca="false">IF(B545="","",IFERROR(INDEX('Master Database'!$B$5:$B$600,MATCH(B545,'Master Database'!$A$5:$A$600,0)),"(row not found)"))</f>
        <v/>
      </c>
      <c r="E545" s="42"/>
      <c r="F545" s="45" t="str">
        <f aca="false">IF(E545="","",IFERROR(INDEX(Vendor_Register!$B$5:$B$205,MATCH(E545,Vendor_Register!$A$5:$A$205,0)),"(not in register)"))</f>
        <v/>
      </c>
      <c r="G545" s="45" t="str">
        <f aca="false">IF(E545="","",IFERROR(INDEX(Vendor_Register!$E$5:$E$205,MATCH(E545,Vendor_Register!$A$5:$A$205,0)),"(not in register)"))</f>
        <v/>
      </c>
      <c r="H545" s="42"/>
      <c r="I545" s="42"/>
      <c r="J545" s="42"/>
      <c r="K545" s="42"/>
      <c r="L545" s="42"/>
      <c r="M545" s="46"/>
      <c r="N545" s="42"/>
      <c r="O545" s="47" t="str">
        <f aca="false">IF(NOT(ISNUMBER(M545)),"",IFERROR(IF(L545="EUR",M545,IF(L545="IRR",M545/INDEX('Assumptions &amp; FX Reference'!$C$5:$C$25,MATCH(H545,'Assumptions &amp; FX Reference'!$A$5:$A$25,0)),IF(L545="USD",M545*INDEX('Assumptions &amp; FX Reference'!$B$5:$B$25,MATCH(H545,'Assumptions &amp; FX Reference'!$A$5:$A$25,0))/INDEX('Assumptions &amp; FX Reference'!$C$5:$C$25,MATCH(H545,'Assumptions &amp; FX Reference'!$A$5:$A$25,0)),""))),"(FX missing)"))</f>
        <v/>
      </c>
      <c r="P545" s="42"/>
      <c r="Q545" s="42"/>
      <c r="R545" s="42"/>
      <c r="S545" s="42"/>
      <c r="T545" s="42"/>
      <c r="U545" s="42"/>
      <c r="V545" s="42"/>
    </row>
    <row r="546" customFormat="false" ht="15" hidden="false" customHeight="false" outlineLevel="0" collapsed="false">
      <c r="A546" s="42"/>
      <c r="B546" s="42"/>
      <c r="C546" s="45" t="str">
        <f aca="false">IF(B546="","",IFERROR(INDEX('Master Database'!$D$5:$D$600,MATCH(B546,'Master Database'!$A$5:$A$600,0)),"(row not found)"))</f>
        <v/>
      </c>
      <c r="D546" s="45" t="str">
        <f aca="false">IF(B546="","",IFERROR(INDEX('Master Database'!$B$5:$B$600,MATCH(B546,'Master Database'!$A$5:$A$600,0)),"(row not found)"))</f>
        <v/>
      </c>
      <c r="E546" s="42"/>
      <c r="F546" s="45" t="str">
        <f aca="false">IF(E546="","",IFERROR(INDEX(Vendor_Register!$B$5:$B$205,MATCH(E546,Vendor_Register!$A$5:$A$205,0)),"(not in register)"))</f>
        <v/>
      </c>
      <c r="G546" s="45" t="str">
        <f aca="false">IF(E546="","",IFERROR(INDEX(Vendor_Register!$E$5:$E$205,MATCH(E546,Vendor_Register!$A$5:$A$205,0)),"(not in register)"))</f>
        <v/>
      </c>
      <c r="H546" s="42"/>
      <c r="I546" s="42"/>
      <c r="J546" s="42"/>
      <c r="K546" s="42"/>
      <c r="L546" s="42"/>
      <c r="M546" s="46"/>
      <c r="N546" s="42"/>
      <c r="O546" s="47" t="str">
        <f aca="false">IF(NOT(ISNUMBER(M546)),"",IFERROR(IF(L546="EUR",M546,IF(L546="IRR",M546/INDEX('Assumptions &amp; FX Reference'!$C$5:$C$25,MATCH(H546,'Assumptions &amp; FX Reference'!$A$5:$A$25,0)),IF(L546="USD",M546*INDEX('Assumptions &amp; FX Reference'!$B$5:$B$25,MATCH(H546,'Assumptions &amp; FX Reference'!$A$5:$A$25,0))/INDEX('Assumptions &amp; FX Reference'!$C$5:$C$25,MATCH(H546,'Assumptions &amp; FX Reference'!$A$5:$A$25,0)),""))),"(FX missing)"))</f>
        <v/>
      </c>
      <c r="P546" s="42"/>
      <c r="Q546" s="42"/>
      <c r="R546" s="42"/>
      <c r="S546" s="42"/>
      <c r="T546" s="42"/>
      <c r="U546" s="42"/>
      <c r="V546" s="42"/>
    </row>
    <row r="547" customFormat="false" ht="15" hidden="false" customHeight="false" outlineLevel="0" collapsed="false">
      <c r="A547" s="42"/>
      <c r="B547" s="42"/>
      <c r="C547" s="45" t="str">
        <f aca="false">IF(B547="","",IFERROR(INDEX('Master Database'!$D$5:$D$600,MATCH(B547,'Master Database'!$A$5:$A$600,0)),"(row not found)"))</f>
        <v/>
      </c>
      <c r="D547" s="45" t="str">
        <f aca="false">IF(B547="","",IFERROR(INDEX('Master Database'!$B$5:$B$600,MATCH(B547,'Master Database'!$A$5:$A$600,0)),"(row not found)"))</f>
        <v/>
      </c>
      <c r="E547" s="42"/>
      <c r="F547" s="45" t="str">
        <f aca="false">IF(E547="","",IFERROR(INDEX(Vendor_Register!$B$5:$B$205,MATCH(E547,Vendor_Register!$A$5:$A$205,0)),"(not in register)"))</f>
        <v/>
      </c>
      <c r="G547" s="45" t="str">
        <f aca="false">IF(E547="","",IFERROR(INDEX(Vendor_Register!$E$5:$E$205,MATCH(E547,Vendor_Register!$A$5:$A$205,0)),"(not in register)"))</f>
        <v/>
      </c>
      <c r="H547" s="42"/>
      <c r="I547" s="42"/>
      <c r="J547" s="42"/>
      <c r="K547" s="42"/>
      <c r="L547" s="42"/>
      <c r="M547" s="46"/>
      <c r="N547" s="42"/>
      <c r="O547" s="47" t="str">
        <f aca="false">IF(NOT(ISNUMBER(M547)),"",IFERROR(IF(L547="EUR",M547,IF(L547="IRR",M547/INDEX('Assumptions &amp; FX Reference'!$C$5:$C$25,MATCH(H547,'Assumptions &amp; FX Reference'!$A$5:$A$25,0)),IF(L547="USD",M547*INDEX('Assumptions &amp; FX Reference'!$B$5:$B$25,MATCH(H547,'Assumptions &amp; FX Reference'!$A$5:$A$25,0))/INDEX('Assumptions &amp; FX Reference'!$C$5:$C$25,MATCH(H547,'Assumptions &amp; FX Reference'!$A$5:$A$25,0)),""))),"(FX missing)"))</f>
        <v/>
      </c>
      <c r="P547" s="42"/>
      <c r="Q547" s="42"/>
      <c r="R547" s="42"/>
      <c r="S547" s="42"/>
      <c r="T547" s="42"/>
      <c r="U547" s="42"/>
      <c r="V547" s="42"/>
    </row>
    <row r="548" customFormat="false" ht="15" hidden="false" customHeight="false" outlineLevel="0" collapsed="false">
      <c r="A548" s="42"/>
      <c r="B548" s="42"/>
      <c r="C548" s="45" t="str">
        <f aca="false">IF(B548="","",IFERROR(INDEX('Master Database'!$D$5:$D$600,MATCH(B548,'Master Database'!$A$5:$A$600,0)),"(row not found)"))</f>
        <v/>
      </c>
      <c r="D548" s="45" t="str">
        <f aca="false">IF(B548="","",IFERROR(INDEX('Master Database'!$B$5:$B$600,MATCH(B548,'Master Database'!$A$5:$A$600,0)),"(row not found)"))</f>
        <v/>
      </c>
      <c r="E548" s="42"/>
      <c r="F548" s="45" t="str">
        <f aca="false">IF(E548="","",IFERROR(INDEX(Vendor_Register!$B$5:$B$205,MATCH(E548,Vendor_Register!$A$5:$A$205,0)),"(not in register)"))</f>
        <v/>
      </c>
      <c r="G548" s="45" t="str">
        <f aca="false">IF(E548="","",IFERROR(INDEX(Vendor_Register!$E$5:$E$205,MATCH(E548,Vendor_Register!$A$5:$A$205,0)),"(not in register)"))</f>
        <v/>
      </c>
      <c r="H548" s="42"/>
      <c r="I548" s="42"/>
      <c r="J548" s="42"/>
      <c r="K548" s="42"/>
      <c r="L548" s="42"/>
      <c r="M548" s="46"/>
      <c r="N548" s="42"/>
      <c r="O548" s="47" t="str">
        <f aca="false">IF(NOT(ISNUMBER(M548)),"",IFERROR(IF(L548="EUR",M548,IF(L548="IRR",M548/INDEX('Assumptions &amp; FX Reference'!$C$5:$C$25,MATCH(H548,'Assumptions &amp; FX Reference'!$A$5:$A$25,0)),IF(L548="USD",M548*INDEX('Assumptions &amp; FX Reference'!$B$5:$B$25,MATCH(H548,'Assumptions &amp; FX Reference'!$A$5:$A$25,0))/INDEX('Assumptions &amp; FX Reference'!$C$5:$C$25,MATCH(H548,'Assumptions &amp; FX Reference'!$A$5:$A$25,0)),""))),"(FX missing)"))</f>
        <v/>
      </c>
      <c r="P548" s="42"/>
      <c r="Q548" s="42"/>
      <c r="R548" s="42"/>
      <c r="S548" s="42"/>
      <c r="T548" s="42"/>
      <c r="U548" s="42"/>
      <c r="V548" s="42"/>
    </row>
    <row r="549" customFormat="false" ht="15" hidden="false" customHeight="false" outlineLevel="0" collapsed="false">
      <c r="A549" s="42"/>
      <c r="B549" s="42"/>
      <c r="C549" s="45" t="str">
        <f aca="false">IF(B549="","",IFERROR(INDEX('Master Database'!$D$5:$D$600,MATCH(B549,'Master Database'!$A$5:$A$600,0)),"(row not found)"))</f>
        <v/>
      </c>
      <c r="D549" s="45" t="str">
        <f aca="false">IF(B549="","",IFERROR(INDEX('Master Database'!$B$5:$B$600,MATCH(B549,'Master Database'!$A$5:$A$600,0)),"(row not found)"))</f>
        <v/>
      </c>
      <c r="E549" s="42"/>
      <c r="F549" s="45" t="str">
        <f aca="false">IF(E549="","",IFERROR(INDEX(Vendor_Register!$B$5:$B$205,MATCH(E549,Vendor_Register!$A$5:$A$205,0)),"(not in register)"))</f>
        <v/>
      </c>
      <c r="G549" s="45" t="str">
        <f aca="false">IF(E549="","",IFERROR(INDEX(Vendor_Register!$E$5:$E$205,MATCH(E549,Vendor_Register!$A$5:$A$205,0)),"(not in register)"))</f>
        <v/>
      </c>
      <c r="H549" s="42"/>
      <c r="I549" s="42"/>
      <c r="J549" s="42"/>
      <c r="K549" s="42"/>
      <c r="L549" s="42"/>
      <c r="M549" s="46"/>
      <c r="N549" s="42"/>
      <c r="O549" s="47" t="str">
        <f aca="false">IF(NOT(ISNUMBER(M549)),"",IFERROR(IF(L549="EUR",M549,IF(L549="IRR",M549/INDEX('Assumptions &amp; FX Reference'!$C$5:$C$25,MATCH(H549,'Assumptions &amp; FX Reference'!$A$5:$A$25,0)),IF(L549="USD",M549*INDEX('Assumptions &amp; FX Reference'!$B$5:$B$25,MATCH(H549,'Assumptions &amp; FX Reference'!$A$5:$A$25,0))/INDEX('Assumptions &amp; FX Reference'!$C$5:$C$25,MATCH(H549,'Assumptions &amp; FX Reference'!$A$5:$A$25,0)),""))),"(FX missing)"))</f>
        <v/>
      </c>
      <c r="P549" s="42"/>
      <c r="Q549" s="42"/>
      <c r="R549" s="42"/>
      <c r="S549" s="42"/>
      <c r="T549" s="42"/>
      <c r="U549" s="42"/>
      <c r="V549" s="42"/>
    </row>
    <row r="550" customFormat="false" ht="15" hidden="false" customHeight="false" outlineLevel="0" collapsed="false">
      <c r="A550" s="42"/>
      <c r="B550" s="42"/>
      <c r="C550" s="45" t="str">
        <f aca="false">IF(B550="","",IFERROR(INDEX('Master Database'!$D$5:$D$600,MATCH(B550,'Master Database'!$A$5:$A$600,0)),"(row not found)"))</f>
        <v/>
      </c>
      <c r="D550" s="45" t="str">
        <f aca="false">IF(B550="","",IFERROR(INDEX('Master Database'!$B$5:$B$600,MATCH(B550,'Master Database'!$A$5:$A$600,0)),"(row not found)"))</f>
        <v/>
      </c>
      <c r="E550" s="42"/>
      <c r="F550" s="45" t="str">
        <f aca="false">IF(E550="","",IFERROR(INDEX(Vendor_Register!$B$5:$B$205,MATCH(E550,Vendor_Register!$A$5:$A$205,0)),"(not in register)"))</f>
        <v/>
      </c>
      <c r="G550" s="45" t="str">
        <f aca="false">IF(E550="","",IFERROR(INDEX(Vendor_Register!$E$5:$E$205,MATCH(E550,Vendor_Register!$A$5:$A$205,0)),"(not in register)"))</f>
        <v/>
      </c>
      <c r="H550" s="42"/>
      <c r="I550" s="42"/>
      <c r="J550" s="42"/>
      <c r="K550" s="42"/>
      <c r="L550" s="42"/>
      <c r="M550" s="46"/>
      <c r="N550" s="42"/>
      <c r="O550" s="47" t="str">
        <f aca="false">IF(NOT(ISNUMBER(M550)),"",IFERROR(IF(L550="EUR",M550,IF(L550="IRR",M550/INDEX('Assumptions &amp; FX Reference'!$C$5:$C$25,MATCH(H550,'Assumptions &amp; FX Reference'!$A$5:$A$25,0)),IF(L550="USD",M550*INDEX('Assumptions &amp; FX Reference'!$B$5:$B$25,MATCH(H550,'Assumptions &amp; FX Reference'!$A$5:$A$25,0))/INDEX('Assumptions &amp; FX Reference'!$C$5:$C$25,MATCH(H550,'Assumptions &amp; FX Reference'!$A$5:$A$25,0)),""))),"(FX missing)"))</f>
        <v/>
      </c>
      <c r="P550" s="42"/>
      <c r="Q550" s="42"/>
      <c r="R550" s="42"/>
      <c r="S550" s="42"/>
      <c r="T550" s="42"/>
      <c r="U550" s="42"/>
      <c r="V550" s="42"/>
    </row>
    <row r="551" customFormat="false" ht="15" hidden="false" customHeight="false" outlineLevel="0" collapsed="false">
      <c r="A551" s="42"/>
      <c r="B551" s="42"/>
      <c r="C551" s="45" t="str">
        <f aca="false">IF(B551="","",IFERROR(INDEX('Master Database'!$D$5:$D$600,MATCH(B551,'Master Database'!$A$5:$A$600,0)),"(row not found)"))</f>
        <v/>
      </c>
      <c r="D551" s="45" t="str">
        <f aca="false">IF(B551="","",IFERROR(INDEX('Master Database'!$B$5:$B$600,MATCH(B551,'Master Database'!$A$5:$A$600,0)),"(row not found)"))</f>
        <v/>
      </c>
      <c r="E551" s="42"/>
      <c r="F551" s="45" t="str">
        <f aca="false">IF(E551="","",IFERROR(INDEX(Vendor_Register!$B$5:$B$205,MATCH(E551,Vendor_Register!$A$5:$A$205,0)),"(not in register)"))</f>
        <v/>
      </c>
      <c r="G551" s="45" t="str">
        <f aca="false">IF(E551="","",IFERROR(INDEX(Vendor_Register!$E$5:$E$205,MATCH(E551,Vendor_Register!$A$5:$A$205,0)),"(not in register)"))</f>
        <v/>
      </c>
      <c r="H551" s="42"/>
      <c r="I551" s="42"/>
      <c r="J551" s="42"/>
      <c r="K551" s="42"/>
      <c r="L551" s="42"/>
      <c r="M551" s="46"/>
      <c r="N551" s="42"/>
      <c r="O551" s="47" t="str">
        <f aca="false">IF(NOT(ISNUMBER(M551)),"",IFERROR(IF(L551="EUR",M551,IF(L551="IRR",M551/INDEX('Assumptions &amp; FX Reference'!$C$5:$C$25,MATCH(H551,'Assumptions &amp; FX Reference'!$A$5:$A$25,0)),IF(L551="USD",M551*INDEX('Assumptions &amp; FX Reference'!$B$5:$B$25,MATCH(H551,'Assumptions &amp; FX Reference'!$A$5:$A$25,0))/INDEX('Assumptions &amp; FX Reference'!$C$5:$C$25,MATCH(H551,'Assumptions &amp; FX Reference'!$A$5:$A$25,0)),""))),"(FX missing)"))</f>
        <v/>
      </c>
      <c r="P551" s="42"/>
      <c r="Q551" s="42"/>
      <c r="R551" s="42"/>
      <c r="S551" s="42"/>
      <c r="T551" s="42"/>
      <c r="U551" s="42"/>
      <c r="V551" s="42"/>
    </row>
    <row r="552" customFormat="false" ht="15" hidden="false" customHeight="false" outlineLevel="0" collapsed="false">
      <c r="A552" s="42"/>
      <c r="B552" s="42"/>
      <c r="C552" s="45" t="str">
        <f aca="false">IF(B552="","",IFERROR(INDEX('Master Database'!$D$5:$D$600,MATCH(B552,'Master Database'!$A$5:$A$600,0)),"(row not found)"))</f>
        <v/>
      </c>
      <c r="D552" s="45" t="str">
        <f aca="false">IF(B552="","",IFERROR(INDEX('Master Database'!$B$5:$B$600,MATCH(B552,'Master Database'!$A$5:$A$600,0)),"(row not found)"))</f>
        <v/>
      </c>
      <c r="E552" s="42"/>
      <c r="F552" s="45" t="str">
        <f aca="false">IF(E552="","",IFERROR(INDEX(Vendor_Register!$B$5:$B$205,MATCH(E552,Vendor_Register!$A$5:$A$205,0)),"(not in register)"))</f>
        <v/>
      </c>
      <c r="G552" s="45" t="str">
        <f aca="false">IF(E552="","",IFERROR(INDEX(Vendor_Register!$E$5:$E$205,MATCH(E552,Vendor_Register!$A$5:$A$205,0)),"(not in register)"))</f>
        <v/>
      </c>
      <c r="H552" s="42"/>
      <c r="I552" s="42"/>
      <c r="J552" s="42"/>
      <c r="K552" s="42"/>
      <c r="L552" s="42"/>
      <c r="M552" s="46"/>
      <c r="N552" s="42"/>
      <c r="O552" s="47" t="str">
        <f aca="false">IF(NOT(ISNUMBER(M552)),"",IFERROR(IF(L552="EUR",M552,IF(L552="IRR",M552/INDEX('Assumptions &amp; FX Reference'!$C$5:$C$25,MATCH(H552,'Assumptions &amp; FX Reference'!$A$5:$A$25,0)),IF(L552="USD",M552*INDEX('Assumptions &amp; FX Reference'!$B$5:$B$25,MATCH(H552,'Assumptions &amp; FX Reference'!$A$5:$A$25,0))/INDEX('Assumptions &amp; FX Reference'!$C$5:$C$25,MATCH(H552,'Assumptions &amp; FX Reference'!$A$5:$A$25,0)),""))),"(FX missing)"))</f>
        <v/>
      </c>
      <c r="P552" s="42"/>
      <c r="Q552" s="42"/>
      <c r="R552" s="42"/>
      <c r="S552" s="42"/>
      <c r="T552" s="42"/>
      <c r="U552" s="42"/>
      <c r="V552" s="42"/>
    </row>
    <row r="553" customFormat="false" ht="15" hidden="false" customHeight="false" outlineLevel="0" collapsed="false">
      <c r="A553" s="42"/>
      <c r="B553" s="42"/>
      <c r="C553" s="45" t="str">
        <f aca="false">IF(B553="","",IFERROR(INDEX('Master Database'!$D$5:$D$600,MATCH(B553,'Master Database'!$A$5:$A$600,0)),"(row not found)"))</f>
        <v/>
      </c>
      <c r="D553" s="45" t="str">
        <f aca="false">IF(B553="","",IFERROR(INDEX('Master Database'!$B$5:$B$600,MATCH(B553,'Master Database'!$A$5:$A$600,0)),"(row not found)"))</f>
        <v/>
      </c>
      <c r="E553" s="42"/>
      <c r="F553" s="45" t="str">
        <f aca="false">IF(E553="","",IFERROR(INDEX(Vendor_Register!$B$5:$B$205,MATCH(E553,Vendor_Register!$A$5:$A$205,0)),"(not in register)"))</f>
        <v/>
      </c>
      <c r="G553" s="45" t="str">
        <f aca="false">IF(E553="","",IFERROR(INDEX(Vendor_Register!$E$5:$E$205,MATCH(E553,Vendor_Register!$A$5:$A$205,0)),"(not in register)"))</f>
        <v/>
      </c>
      <c r="H553" s="42"/>
      <c r="I553" s="42"/>
      <c r="J553" s="42"/>
      <c r="K553" s="42"/>
      <c r="L553" s="42"/>
      <c r="M553" s="46"/>
      <c r="N553" s="42"/>
      <c r="O553" s="47" t="str">
        <f aca="false">IF(NOT(ISNUMBER(M553)),"",IFERROR(IF(L553="EUR",M553,IF(L553="IRR",M553/INDEX('Assumptions &amp; FX Reference'!$C$5:$C$25,MATCH(H553,'Assumptions &amp; FX Reference'!$A$5:$A$25,0)),IF(L553="USD",M553*INDEX('Assumptions &amp; FX Reference'!$B$5:$B$25,MATCH(H553,'Assumptions &amp; FX Reference'!$A$5:$A$25,0))/INDEX('Assumptions &amp; FX Reference'!$C$5:$C$25,MATCH(H553,'Assumptions &amp; FX Reference'!$A$5:$A$25,0)),""))),"(FX missing)"))</f>
        <v/>
      </c>
      <c r="P553" s="42"/>
      <c r="Q553" s="42"/>
      <c r="R553" s="42"/>
      <c r="S553" s="42"/>
      <c r="T553" s="42"/>
      <c r="U553" s="42"/>
      <c r="V553" s="42"/>
    </row>
    <row r="554" customFormat="false" ht="15" hidden="false" customHeight="false" outlineLevel="0" collapsed="false">
      <c r="A554" s="42"/>
      <c r="B554" s="42"/>
      <c r="C554" s="45" t="str">
        <f aca="false">IF(B554="","",IFERROR(INDEX('Master Database'!$D$5:$D$600,MATCH(B554,'Master Database'!$A$5:$A$600,0)),"(row not found)"))</f>
        <v/>
      </c>
      <c r="D554" s="45" t="str">
        <f aca="false">IF(B554="","",IFERROR(INDEX('Master Database'!$B$5:$B$600,MATCH(B554,'Master Database'!$A$5:$A$600,0)),"(row not found)"))</f>
        <v/>
      </c>
      <c r="E554" s="42"/>
      <c r="F554" s="45" t="str">
        <f aca="false">IF(E554="","",IFERROR(INDEX(Vendor_Register!$B$5:$B$205,MATCH(E554,Vendor_Register!$A$5:$A$205,0)),"(not in register)"))</f>
        <v/>
      </c>
      <c r="G554" s="45" t="str">
        <f aca="false">IF(E554="","",IFERROR(INDEX(Vendor_Register!$E$5:$E$205,MATCH(E554,Vendor_Register!$A$5:$A$205,0)),"(not in register)"))</f>
        <v/>
      </c>
      <c r="H554" s="42"/>
      <c r="I554" s="42"/>
      <c r="J554" s="42"/>
      <c r="K554" s="42"/>
      <c r="L554" s="42"/>
      <c r="M554" s="46"/>
      <c r="N554" s="42"/>
      <c r="O554" s="47" t="str">
        <f aca="false">IF(NOT(ISNUMBER(M554)),"",IFERROR(IF(L554="EUR",M554,IF(L554="IRR",M554/INDEX('Assumptions &amp; FX Reference'!$C$5:$C$25,MATCH(H554,'Assumptions &amp; FX Reference'!$A$5:$A$25,0)),IF(L554="USD",M554*INDEX('Assumptions &amp; FX Reference'!$B$5:$B$25,MATCH(H554,'Assumptions &amp; FX Reference'!$A$5:$A$25,0))/INDEX('Assumptions &amp; FX Reference'!$C$5:$C$25,MATCH(H554,'Assumptions &amp; FX Reference'!$A$5:$A$25,0)),""))),"(FX missing)"))</f>
        <v/>
      </c>
      <c r="P554" s="42"/>
      <c r="Q554" s="42"/>
      <c r="R554" s="42"/>
      <c r="S554" s="42"/>
      <c r="T554" s="42"/>
      <c r="U554" s="42"/>
      <c r="V554" s="42"/>
    </row>
    <row r="555" customFormat="false" ht="15" hidden="false" customHeight="false" outlineLevel="0" collapsed="false">
      <c r="A555" s="42"/>
      <c r="B555" s="42"/>
      <c r="C555" s="45" t="str">
        <f aca="false">IF(B555="","",IFERROR(INDEX('Master Database'!$D$5:$D$600,MATCH(B555,'Master Database'!$A$5:$A$600,0)),"(row not found)"))</f>
        <v/>
      </c>
      <c r="D555" s="45" t="str">
        <f aca="false">IF(B555="","",IFERROR(INDEX('Master Database'!$B$5:$B$600,MATCH(B555,'Master Database'!$A$5:$A$600,0)),"(row not found)"))</f>
        <v/>
      </c>
      <c r="E555" s="42"/>
      <c r="F555" s="45" t="str">
        <f aca="false">IF(E555="","",IFERROR(INDEX(Vendor_Register!$B$5:$B$205,MATCH(E555,Vendor_Register!$A$5:$A$205,0)),"(not in register)"))</f>
        <v/>
      </c>
      <c r="G555" s="45" t="str">
        <f aca="false">IF(E555="","",IFERROR(INDEX(Vendor_Register!$E$5:$E$205,MATCH(E555,Vendor_Register!$A$5:$A$205,0)),"(not in register)"))</f>
        <v/>
      </c>
      <c r="H555" s="42"/>
      <c r="I555" s="42"/>
      <c r="J555" s="42"/>
      <c r="K555" s="42"/>
      <c r="L555" s="42"/>
      <c r="M555" s="46"/>
      <c r="N555" s="42"/>
      <c r="O555" s="47" t="str">
        <f aca="false">IF(NOT(ISNUMBER(M555)),"",IFERROR(IF(L555="EUR",M555,IF(L555="IRR",M555/INDEX('Assumptions &amp; FX Reference'!$C$5:$C$25,MATCH(H555,'Assumptions &amp; FX Reference'!$A$5:$A$25,0)),IF(L555="USD",M555*INDEX('Assumptions &amp; FX Reference'!$B$5:$B$25,MATCH(H555,'Assumptions &amp; FX Reference'!$A$5:$A$25,0))/INDEX('Assumptions &amp; FX Reference'!$C$5:$C$25,MATCH(H555,'Assumptions &amp; FX Reference'!$A$5:$A$25,0)),""))),"(FX missing)"))</f>
        <v/>
      </c>
      <c r="P555" s="42"/>
      <c r="Q555" s="42"/>
      <c r="R555" s="42"/>
      <c r="S555" s="42"/>
      <c r="T555" s="42"/>
      <c r="U555" s="42"/>
      <c r="V555" s="42"/>
    </row>
    <row r="556" customFormat="false" ht="15" hidden="false" customHeight="false" outlineLevel="0" collapsed="false">
      <c r="A556" s="42"/>
      <c r="B556" s="42"/>
      <c r="C556" s="45" t="str">
        <f aca="false">IF(B556="","",IFERROR(INDEX('Master Database'!$D$5:$D$600,MATCH(B556,'Master Database'!$A$5:$A$600,0)),"(row not found)"))</f>
        <v/>
      </c>
      <c r="D556" s="45" t="str">
        <f aca="false">IF(B556="","",IFERROR(INDEX('Master Database'!$B$5:$B$600,MATCH(B556,'Master Database'!$A$5:$A$600,0)),"(row not found)"))</f>
        <v/>
      </c>
      <c r="E556" s="42"/>
      <c r="F556" s="45" t="str">
        <f aca="false">IF(E556="","",IFERROR(INDEX(Vendor_Register!$B$5:$B$205,MATCH(E556,Vendor_Register!$A$5:$A$205,0)),"(not in register)"))</f>
        <v/>
      </c>
      <c r="G556" s="45" t="str">
        <f aca="false">IF(E556="","",IFERROR(INDEX(Vendor_Register!$E$5:$E$205,MATCH(E556,Vendor_Register!$A$5:$A$205,0)),"(not in register)"))</f>
        <v/>
      </c>
      <c r="H556" s="42"/>
      <c r="I556" s="42"/>
      <c r="J556" s="42"/>
      <c r="K556" s="42"/>
      <c r="L556" s="42"/>
      <c r="M556" s="46"/>
      <c r="N556" s="42"/>
      <c r="O556" s="47" t="str">
        <f aca="false">IF(NOT(ISNUMBER(M556)),"",IFERROR(IF(L556="EUR",M556,IF(L556="IRR",M556/INDEX('Assumptions &amp; FX Reference'!$C$5:$C$25,MATCH(H556,'Assumptions &amp; FX Reference'!$A$5:$A$25,0)),IF(L556="USD",M556*INDEX('Assumptions &amp; FX Reference'!$B$5:$B$25,MATCH(H556,'Assumptions &amp; FX Reference'!$A$5:$A$25,0))/INDEX('Assumptions &amp; FX Reference'!$C$5:$C$25,MATCH(H556,'Assumptions &amp; FX Reference'!$A$5:$A$25,0)),""))),"(FX missing)"))</f>
        <v/>
      </c>
      <c r="P556" s="42"/>
      <c r="Q556" s="42"/>
      <c r="R556" s="42"/>
      <c r="S556" s="42"/>
      <c r="T556" s="42"/>
      <c r="U556" s="42"/>
      <c r="V556" s="42"/>
    </row>
    <row r="557" customFormat="false" ht="15" hidden="false" customHeight="false" outlineLevel="0" collapsed="false">
      <c r="A557" s="42"/>
      <c r="B557" s="42"/>
      <c r="C557" s="45" t="str">
        <f aca="false">IF(B557="","",IFERROR(INDEX('Master Database'!$D$5:$D$600,MATCH(B557,'Master Database'!$A$5:$A$600,0)),"(row not found)"))</f>
        <v/>
      </c>
      <c r="D557" s="45" t="str">
        <f aca="false">IF(B557="","",IFERROR(INDEX('Master Database'!$B$5:$B$600,MATCH(B557,'Master Database'!$A$5:$A$600,0)),"(row not found)"))</f>
        <v/>
      </c>
      <c r="E557" s="42"/>
      <c r="F557" s="45" t="str">
        <f aca="false">IF(E557="","",IFERROR(INDEX(Vendor_Register!$B$5:$B$205,MATCH(E557,Vendor_Register!$A$5:$A$205,0)),"(not in register)"))</f>
        <v/>
      </c>
      <c r="G557" s="45" t="str">
        <f aca="false">IF(E557="","",IFERROR(INDEX(Vendor_Register!$E$5:$E$205,MATCH(E557,Vendor_Register!$A$5:$A$205,0)),"(not in register)"))</f>
        <v/>
      </c>
      <c r="H557" s="42"/>
      <c r="I557" s="42"/>
      <c r="J557" s="42"/>
      <c r="K557" s="42"/>
      <c r="L557" s="42"/>
      <c r="M557" s="46"/>
      <c r="N557" s="42"/>
      <c r="O557" s="47" t="str">
        <f aca="false">IF(NOT(ISNUMBER(M557)),"",IFERROR(IF(L557="EUR",M557,IF(L557="IRR",M557/INDEX('Assumptions &amp; FX Reference'!$C$5:$C$25,MATCH(H557,'Assumptions &amp; FX Reference'!$A$5:$A$25,0)),IF(L557="USD",M557*INDEX('Assumptions &amp; FX Reference'!$B$5:$B$25,MATCH(H557,'Assumptions &amp; FX Reference'!$A$5:$A$25,0))/INDEX('Assumptions &amp; FX Reference'!$C$5:$C$25,MATCH(H557,'Assumptions &amp; FX Reference'!$A$5:$A$25,0)),""))),"(FX missing)"))</f>
        <v/>
      </c>
      <c r="P557" s="42"/>
      <c r="Q557" s="42"/>
      <c r="R557" s="42"/>
      <c r="S557" s="42"/>
      <c r="T557" s="42"/>
      <c r="U557" s="42"/>
      <c r="V557" s="42"/>
    </row>
    <row r="558" customFormat="false" ht="15" hidden="false" customHeight="false" outlineLevel="0" collapsed="false">
      <c r="A558" s="42"/>
      <c r="B558" s="42"/>
      <c r="C558" s="45" t="str">
        <f aca="false">IF(B558="","",IFERROR(INDEX('Master Database'!$D$5:$D$600,MATCH(B558,'Master Database'!$A$5:$A$600,0)),"(row not found)"))</f>
        <v/>
      </c>
      <c r="D558" s="45" t="str">
        <f aca="false">IF(B558="","",IFERROR(INDEX('Master Database'!$B$5:$B$600,MATCH(B558,'Master Database'!$A$5:$A$600,0)),"(row not found)"))</f>
        <v/>
      </c>
      <c r="E558" s="42"/>
      <c r="F558" s="45" t="str">
        <f aca="false">IF(E558="","",IFERROR(INDEX(Vendor_Register!$B$5:$B$205,MATCH(E558,Vendor_Register!$A$5:$A$205,0)),"(not in register)"))</f>
        <v/>
      </c>
      <c r="G558" s="45" t="str">
        <f aca="false">IF(E558="","",IFERROR(INDEX(Vendor_Register!$E$5:$E$205,MATCH(E558,Vendor_Register!$A$5:$A$205,0)),"(not in register)"))</f>
        <v/>
      </c>
      <c r="H558" s="42"/>
      <c r="I558" s="42"/>
      <c r="J558" s="42"/>
      <c r="K558" s="42"/>
      <c r="L558" s="42"/>
      <c r="M558" s="46"/>
      <c r="N558" s="42"/>
      <c r="O558" s="47" t="str">
        <f aca="false">IF(NOT(ISNUMBER(M558)),"",IFERROR(IF(L558="EUR",M558,IF(L558="IRR",M558/INDEX('Assumptions &amp; FX Reference'!$C$5:$C$25,MATCH(H558,'Assumptions &amp; FX Reference'!$A$5:$A$25,0)),IF(L558="USD",M558*INDEX('Assumptions &amp; FX Reference'!$B$5:$B$25,MATCH(H558,'Assumptions &amp; FX Reference'!$A$5:$A$25,0))/INDEX('Assumptions &amp; FX Reference'!$C$5:$C$25,MATCH(H558,'Assumptions &amp; FX Reference'!$A$5:$A$25,0)),""))),"(FX missing)"))</f>
        <v/>
      </c>
      <c r="P558" s="42"/>
      <c r="Q558" s="42"/>
      <c r="R558" s="42"/>
      <c r="S558" s="42"/>
      <c r="T558" s="42"/>
      <c r="U558" s="42"/>
      <c r="V558" s="42"/>
    </row>
    <row r="559" customFormat="false" ht="15" hidden="false" customHeight="false" outlineLevel="0" collapsed="false">
      <c r="A559" s="42"/>
      <c r="B559" s="42"/>
      <c r="C559" s="45" t="str">
        <f aca="false">IF(B559="","",IFERROR(INDEX('Master Database'!$D$5:$D$600,MATCH(B559,'Master Database'!$A$5:$A$600,0)),"(row not found)"))</f>
        <v/>
      </c>
      <c r="D559" s="45" t="str">
        <f aca="false">IF(B559="","",IFERROR(INDEX('Master Database'!$B$5:$B$600,MATCH(B559,'Master Database'!$A$5:$A$600,0)),"(row not found)"))</f>
        <v/>
      </c>
      <c r="E559" s="42"/>
      <c r="F559" s="45" t="str">
        <f aca="false">IF(E559="","",IFERROR(INDEX(Vendor_Register!$B$5:$B$205,MATCH(E559,Vendor_Register!$A$5:$A$205,0)),"(not in register)"))</f>
        <v/>
      </c>
      <c r="G559" s="45" t="str">
        <f aca="false">IF(E559="","",IFERROR(INDEX(Vendor_Register!$E$5:$E$205,MATCH(E559,Vendor_Register!$A$5:$A$205,0)),"(not in register)"))</f>
        <v/>
      </c>
      <c r="H559" s="42"/>
      <c r="I559" s="42"/>
      <c r="J559" s="42"/>
      <c r="K559" s="42"/>
      <c r="L559" s="42"/>
      <c r="M559" s="46"/>
      <c r="N559" s="42"/>
      <c r="O559" s="47" t="str">
        <f aca="false">IF(NOT(ISNUMBER(M559)),"",IFERROR(IF(L559="EUR",M559,IF(L559="IRR",M559/INDEX('Assumptions &amp; FX Reference'!$C$5:$C$25,MATCH(H559,'Assumptions &amp; FX Reference'!$A$5:$A$25,0)),IF(L559="USD",M559*INDEX('Assumptions &amp; FX Reference'!$B$5:$B$25,MATCH(H559,'Assumptions &amp; FX Reference'!$A$5:$A$25,0))/INDEX('Assumptions &amp; FX Reference'!$C$5:$C$25,MATCH(H559,'Assumptions &amp; FX Reference'!$A$5:$A$25,0)),""))),"(FX missing)"))</f>
        <v/>
      </c>
      <c r="P559" s="42"/>
      <c r="Q559" s="42"/>
      <c r="R559" s="42"/>
      <c r="S559" s="42"/>
      <c r="T559" s="42"/>
      <c r="U559" s="42"/>
      <c r="V559" s="42"/>
    </row>
    <row r="560" customFormat="false" ht="15" hidden="false" customHeight="false" outlineLevel="0" collapsed="false">
      <c r="A560" s="42"/>
      <c r="B560" s="42"/>
      <c r="C560" s="45" t="str">
        <f aca="false">IF(B560="","",IFERROR(INDEX('Master Database'!$D$5:$D$600,MATCH(B560,'Master Database'!$A$5:$A$600,0)),"(row not found)"))</f>
        <v/>
      </c>
      <c r="D560" s="45" t="str">
        <f aca="false">IF(B560="","",IFERROR(INDEX('Master Database'!$B$5:$B$600,MATCH(B560,'Master Database'!$A$5:$A$600,0)),"(row not found)"))</f>
        <v/>
      </c>
      <c r="E560" s="42"/>
      <c r="F560" s="45" t="str">
        <f aca="false">IF(E560="","",IFERROR(INDEX(Vendor_Register!$B$5:$B$205,MATCH(E560,Vendor_Register!$A$5:$A$205,0)),"(not in register)"))</f>
        <v/>
      </c>
      <c r="G560" s="45" t="str">
        <f aca="false">IF(E560="","",IFERROR(INDEX(Vendor_Register!$E$5:$E$205,MATCH(E560,Vendor_Register!$A$5:$A$205,0)),"(not in register)"))</f>
        <v/>
      </c>
      <c r="H560" s="42"/>
      <c r="I560" s="42"/>
      <c r="J560" s="42"/>
      <c r="K560" s="42"/>
      <c r="L560" s="42"/>
      <c r="M560" s="46"/>
      <c r="N560" s="42"/>
      <c r="O560" s="47" t="str">
        <f aca="false">IF(NOT(ISNUMBER(M560)),"",IFERROR(IF(L560="EUR",M560,IF(L560="IRR",M560/INDEX('Assumptions &amp; FX Reference'!$C$5:$C$25,MATCH(H560,'Assumptions &amp; FX Reference'!$A$5:$A$25,0)),IF(L560="USD",M560*INDEX('Assumptions &amp; FX Reference'!$B$5:$B$25,MATCH(H560,'Assumptions &amp; FX Reference'!$A$5:$A$25,0))/INDEX('Assumptions &amp; FX Reference'!$C$5:$C$25,MATCH(H560,'Assumptions &amp; FX Reference'!$A$5:$A$25,0)),""))),"(FX missing)"))</f>
        <v/>
      </c>
      <c r="P560" s="42"/>
      <c r="Q560" s="42"/>
      <c r="R560" s="42"/>
      <c r="S560" s="42"/>
      <c r="T560" s="42"/>
      <c r="U560" s="42"/>
      <c r="V560" s="42"/>
    </row>
    <row r="561" customFormat="false" ht="15" hidden="false" customHeight="false" outlineLevel="0" collapsed="false">
      <c r="A561" s="42"/>
      <c r="B561" s="42"/>
      <c r="C561" s="45" t="str">
        <f aca="false">IF(B561="","",IFERROR(INDEX('Master Database'!$D$5:$D$600,MATCH(B561,'Master Database'!$A$5:$A$600,0)),"(row not found)"))</f>
        <v/>
      </c>
      <c r="D561" s="45" t="str">
        <f aca="false">IF(B561="","",IFERROR(INDEX('Master Database'!$B$5:$B$600,MATCH(B561,'Master Database'!$A$5:$A$600,0)),"(row not found)"))</f>
        <v/>
      </c>
      <c r="E561" s="42"/>
      <c r="F561" s="45" t="str">
        <f aca="false">IF(E561="","",IFERROR(INDEX(Vendor_Register!$B$5:$B$205,MATCH(E561,Vendor_Register!$A$5:$A$205,0)),"(not in register)"))</f>
        <v/>
      </c>
      <c r="G561" s="45" t="str">
        <f aca="false">IF(E561="","",IFERROR(INDEX(Vendor_Register!$E$5:$E$205,MATCH(E561,Vendor_Register!$A$5:$A$205,0)),"(not in register)"))</f>
        <v/>
      </c>
      <c r="H561" s="42"/>
      <c r="I561" s="42"/>
      <c r="J561" s="42"/>
      <c r="K561" s="42"/>
      <c r="L561" s="42"/>
      <c r="M561" s="46"/>
      <c r="N561" s="42"/>
      <c r="O561" s="47" t="str">
        <f aca="false">IF(NOT(ISNUMBER(M561)),"",IFERROR(IF(L561="EUR",M561,IF(L561="IRR",M561/INDEX('Assumptions &amp; FX Reference'!$C$5:$C$25,MATCH(H561,'Assumptions &amp; FX Reference'!$A$5:$A$25,0)),IF(L561="USD",M561*INDEX('Assumptions &amp; FX Reference'!$B$5:$B$25,MATCH(H561,'Assumptions &amp; FX Reference'!$A$5:$A$25,0))/INDEX('Assumptions &amp; FX Reference'!$C$5:$C$25,MATCH(H561,'Assumptions &amp; FX Reference'!$A$5:$A$25,0)),""))),"(FX missing)"))</f>
        <v/>
      </c>
      <c r="P561" s="42"/>
      <c r="Q561" s="42"/>
      <c r="R561" s="42"/>
      <c r="S561" s="42"/>
      <c r="T561" s="42"/>
      <c r="U561" s="42"/>
      <c r="V561" s="42"/>
    </row>
    <row r="562" customFormat="false" ht="15" hidden="false" customHeight="false" outlineLevel="0" collapsed="false">
      <c r="A562" s="42"/>
      <c r="B562" s="42"/>
      <c r="C562" s="45" t="str">
        <f aca="false">IF(B562="","",IFERROR(INDEX('Master Database'!$D$5:$D$600,MATCH(B562,'Master Database'!$A$5:$A$600,0)),"(row not found)"))</f>
        <v/>
      </c>
      <c r="D562" s="45" t="str">
        <f aca="false">IF(B562="","",IFERROR(INDEX('Master Database'!$B$5:$B$600,MATCH(B562,'Master Database'!$A$5:$A$600,0)),"(row not found)"))</f>
        <v/>
      </c>
      <c r="E562" s="42"/>
      <c r="F562" s="45" t="str">
        <f aca="false">IF(E562="","",IFERROR(INDEX(Vendor_Register!$B$5:$B$205,MATCH(E562,Vendor_Register!$A$5:$A$205,0)),"(not in register)"))</f>
        <v/>
      </c>
      <c r="G562" s="45" t="str">
        <f aca="false">IF(E562="","",IFERROR(INDEX(Vendor_Register!$E$5:$E$205,MATCH(E562,Vendor_Register!$A$5:$A$205,0)),"(not in register)"))</f>
        <v/>
      </c>
      <c r="H562" s="42"/>
      <c r="I562" s="42"/>
      <c r="J562" s="42"/>
      <c r="K562" s="42"/>
      <c r="L562" s="42"/>
      <c r="M562" s="46"/>
      <c r="N562" s="42"/>
      <c r="O562" s="47" t="str">
        <f aca="false">IF(NOT(ISNUMBER(M562)),"",IFERROR(IF(L562="EUR",M562,IF(L562="IRR",M562/INDEX('Assumptions &amp; FX Reference'!$C$5:$C$25,MATCH(H562,'Assumptions &amp; FX Reference'!$A$5:$A$25,0)),IF(L562="USD",M562*INDEX('Assumptions &amp; FX Reference'!$B$5:$B$25,MATCH(H562,'Assumptions &amp; FX Reference'!$A$5:$A$25,0))/INDEX('Assumptions &amp; FX Reference'!$C$5:$C$25,MATCH(H562,'Assumptions &amp; FX Reference'!$A$5:$A$25,0)),""))),"(FX missing)"))</f>
        <v/>
      </c>
      <c r="P562" s="42"/>
      <c r="Q562" s="42"/>
      <c r="R562" s="42"/>
      <c r="S562" s="42"/>
      <c r="T562" s="42"/>
      <c r="U562" s="42"/>
      <c r="V562" s="42"/>
    </row>
    <row r="563" customFormat="false" ht="15" hidden="false" customHeight="false" outlineLevel="0" collapsed="false">
      <c r="A563" s="42"/>
      <c r="B563" s="42"/>
      <c r="C563" s="45" t="str">
        <f aca="false">IF(B563="","",IFERROR(INDEX('Master Database'!$D$5:$D$600,MATCH(B563,'Master Database'!$A$5:$A$600,0)),"(row not found)"))</f>
        <v/>
      </c>
      <c r="D563" s="45" t="str">
        <f aca="false">IF(B563="","",IFERROR(INDEX('Master Database'!$B$5:$B$600,MATCH(B563,'Master Database'!$A$5:$A$600,0)),"(row not found)"))</f>
        <v/>
      </c>
      <c r="E563" s="42"/>
      <c r="F563" s="45" t="str">
        <f aca="false">IF(E563="","",IFERROR(INDEX(Vendor_Register!$B$5:$B$205,MATCH(E563,Vendor_Register!$A$5:$A$205,0)),"(not in register)"))</f>
        <v/>
      </c>
      <c r="G563" s="45" t="str">
        <f aca="false">IF(E563="","",IFERROR(INDEX(Vendor_Register!$E$5:$E$205,MATCH(E563,Vendor_Register!$A$5:$A$205,0)),"(not in register)"))</f>
        <v/>
      </c>
      <c r="H563" s="42"/>
      <c r="I563" s="42"/>
      <c r="J563" s="42"/>
      <c r="K563" s="42"/>
      <c r="L563" s="42"/>
      <c r="M563" s="46"/>
      <c r="N563" s="42"/>
      <c r="O563" s="47" t="str">
        <f aca="false">IF(NOT(ISNUMBER(M563)),"",IFERROR(IF(L563="EUR",M563,IF(L563="IRR",M563/INDEX('Assumptions &amp; FX Reference'!$C$5:$C$25,MATCH(H563,'Assumptions &amp; FX Reference'!$A$5:$A$25,0)),IF(L563="USD",M563*INDEX('Assumptions &amp; FX Reference'!$B$5:$B$25,MATCH(H563,'Assumptions &amp; FX Reference'!$A$5:$A$25,0))/INDEX('Assumptions &amp; FX Reference'!$C$5:$C$25,MATCH(H563,'Assumptions &amp; FX Reference'!$A$5:$A$25,0)),""))),"(FX missing)"))</f>
        <v/>
      </c>
      <c r="P563" s="42"/>
      <c r="Q563" s="42"/>
      <c r="R563" s="42"/>
      <c r="S563" s="42"/>
      <c r="T563" s="42"/>
      <c r="U563" s="42"/>
      <c r="V563" s="42"/>
    </row>
    <row r="564" customFormat="false" ht="15" hidden="false" customHeight="false" outlineLevel="0" collapsed="false">
      <c r="A564" s="42"/>
      <c r="B564" s="42"/>
      <c r="C564" s="45" t="str">
        <f aca="false">IF(B564="","",IFERROR(INDEX('Master Database'!$D$5:$D$600,MATCH(B564,'Master Database'!$A$5:$A$600,0)),"(row not found)"))</f>
        <v/>
      </c>
      <c r="D564" s="45" t="str">
        <f aca="false">IF(B564="","",IFERROR(INDEX('Master Database'!$B$5:$B$600,MATCH(B564,'Master Database'!$A$5:$A$600,0)),"(row not found)"))</f>
        <v/>
      </c>
      <c r="E564" s="42"/>
      <c r="F564" s="45" t="str">
        <f aca="false">IF(E564="","",IFERROR(INDEX(Vendor_Register!$B$5:$B$205,MATCH(E564,Vendor_Register!$A$5:$A$205,0)),"(not in register)"))</f>
        <v/>
      </c>
      <c r="G564" s="45" t="str">
        <f aca="false">IF(E564="","",IFERROR(INDEX(Vendor_Register!$E$5:$E$205,MATCH(E564,Vendor_Register!$A$5:$A$205,0)),"(not in register)"))</f>
        <v/>
      </c>
      <c r="H564" s="42"/>
      <c r="I564" s="42"/>
      <c r="J564" s="42"/>
      <c r="K564" s="42"/>
      <c r="L564" s="42"/>
      <c r="M564" s="46"/>
      <c r="N564" s="42"/>
      <c r="O564" s="47" t="str">
        <f aca="false">IF(NOT(ISNUMBER(M564)),"",IFERROR(IF(L564="EUR",M564,IF(L564="IRR",M564/INDEX('Assumptions &amp; FX Reference'!$C$5:$C$25,MATCH(H564,'Assumptions &amp; FX Reference'!$A$5:$A$25,0)),IF(L564="USD",M564*INDEX('Assumptions &amp; FX Reference'!$B$5:$B$25,MATCH(H564,'Assumptions &amp; FX Reference'!$A$5:$A$25,0))/INDEX('Assumptions &amp; FX Reference'!$C$5:$C$25,MATCH(H564,'Assumptions &amp; FX Reference'!$A$5:$A$25,0)),""))),"(FX missing)"))</f>
        <v/>
      </c>
      <c r="P564" s="42"/>
      <c r="Q564" s="42"/>
      <c r="R564" s="42"/>
      <c r="S564" s="42"/>
      <c r="T564" s="42"/>
      <c r="U564" s="42"/>
      <c r="V564" s="42"/>
    </row>
    <row r="565" customFormat="false" ht="15" hidden="false" customHeight="false" outlineLevel="0" collapsed="false">
      <c r="A565" s="42"/>
      <c r="B565" s="42"/>
      <c r="C565" s="45" t="str">
        <f aca="false">IF(B565="","",IFERROR(INDEX('Master Database'!$D$5:$D$600,MATCH(B565,'Master Database'!$A$5:$A$600,0)),"(row not found)"))</f>
        <v/>
      </c>
      <c r="D565" s="45" t="str">
        <f aca="false">IF(B565="","",IFERROR(INDEX('Master Database'!$B$5:$B$600,MATCH(B565,'Master Database'!$A$5:$A$600,0)),"(row not found)"))</f>
        <v/>
      </c>
      <c r="E565" s="42"/>
      <c r="F565" s="45" t="str">
        <f aca="false">IF(E565="","",IFERROR(INDEX(Vendor_Register!$B$5:$B$205,MATCH(E565,Vendor_Register!$A$5:$A$205,0)),"(not in register)"))</f>
        <v/>
      </c>
      <c r="G565" s="45" t="str">
        <f aca="false">IF(E565="","",IFERROR(INDEX(Vendor_Register!$E$5:$E$205,MATCH(E565,Vendor_Register!$A$5:$A$205,0)),"(not in register)"))</f>
        <v/>
      </c>
      <c r="H565" s="42"/>
      <c r="I565" s="42"/>
      <c r="J565" s="42"/>
      <c r="K565" s="42"/>
      <c r="L565" s="42"/>
      <c r="M565" s="46"/>
      <c r="N565" s="42"/>
      <c r="O565" s="47" t="str">
        <f aca="false">IF(NOT(ISNUMBER(M565)),"",IFERROR(IF(L565="EUR",M565,IF(L565="IRR",M565/INDEX('Assumptions &amp; FX Reference'!$C$5:$C$25,MATCH(H565,'Assumptions &amp; FX Reference'!$A$5:$A$25,0)),IF(L565="USD",M565*INDEX('Assumptions &amp; FX Reference'!$B$5:$B$25,MATCH(H565,'Assumptions &amp; FX Reference'!$A$5:$A$25,0))/INDEX('Assumptions &amp; FX Reference'!$C$5:$C$25,MATCH(H565,'Assumptions &amp; FX Reference'!$A$5:$A$25,0)),""))),"(FX missing)"))</f>
        <v/>
      </c>
      <c r="P565" s="42"/>
      <c r="Q565" s="42"/>
      <c r="R565" s="42"/>
      <c r="S565" s="42"/>
      <c r="T565" s="42"/>
      <c r="U565" s="42"/>
      <c r="V565" s="42"/>
    </row>
    <row r="566" customFormat="false" ht="15" hidden="false" customHeight="false" outlineLevel="0" collapsed="false">
      <c r="A566" s="42"/>
      <c r="B566" s="42"/>
      <c r="C566" s="45" t="str">
        <f aca="false">IF(B566="","",IFERROR(INDEX('Master Database'!$D$5:$D$600,MATCH(B566,'Master Database'!$A$5:$A$600,0)),"(row not found)"))</f>
        <v/>
      </c>
      <c r="D566" s="45" t="str">
        <f aca="false">IF(B566="","",IFERROR(INDEX('Master Database'!$B$5:$B$600,MATCH(B566,'Master Database'!$A$5:$A$600,0)),"(row not found)"))</f>
        <v/>
      </c>
      <c r="E566" s="42"/>
      <c r="F566" s="45" t="str">
        <f aca="false">IF(E566="","",IFERROR(INDEX(Vendor_Register!$B$5:$B$205,MATCH(E566,Vendor_Register!$A$5:$A$205,0)),"(not in register)"))</f>
        <v/>
      </c>
      <c r="G566" s="45" t="str">
        <f aca="false">IF(E566="","",IFERROR(INDEX(Vendor_Register!$E$5:$E$205,MATCH(E566,Vendor_Register!$A$5:$A$205,0)),"(not in register)"))</f>
        <v/>
      </c>
      <c r="H566" s="42"/>
      <c r="I566" s="42"/>
      <c r="J566" s="42"/>
      <c r="K566" s="42"/>
      <c r="L566" s="42"/>
      <c r="M566" s="46"/>
      <c r="N566" s="42"/>
      <c r="O566" s="47" t="str">
        <f aca="false">IF(NOT(ISNUMBER(M566)),"",IFERROR(IF(L566="EUR",M566,IF(L566="IRR",M566/INDEX('Assumptions &amp; FX Reference'!$C$5:$C$25,MATCH(H566,'Assumptions &amp; FX Reference'!$A$5:$A$25,0)),IF(L566="USD",M566*INDEX('Assumptions &amp; FX Reference'!$B$5:$B$25,MATCH(H566,'Assumptions &amp; FX Reference'!$A$5:$A$25,0))/INDEX('Assumptions &amp; FX Reference'!$C$5:$C$25,MATCH(H566,'Assumptions &amp; FX Reference'!$A$5:$A$25,0)),""))),"(FX missing)"))</f>
        <v/>
      </c>
      <c r="P566" s="42"/>
      <c r="Q566" s="42"/>
      <c r="R566" s="42"/>
      <c r="S566" s="42"/>
      <c r="T566" s="42"/>
      <c r="U566" s="42"/>
      <c r="V566" s="42"/>
    </row>
    <row r="567" customFormat="false" ht="15" hidden="false" customHeight="false" outlineLevel="0" collapsed="false">
      <c r="A567" s="42"/>
      <c r="B567" s="42"/>
      <c r="C567" s="45" t="str">
        <f aca="false">IF(B567="","",IFERROR(INDEX('Master Database'!$D$5:$D$600,MATCH(B567,'Master Database'!$A$5:$A$600,0)),"(row not found)"))</f>
        <v/>
      </c>
      <c r="D567" s="45" t="str">
        <f aca="false">IF(B567="","",IFERROR(INDEX('Master Database'!$B$5:$B$600,MATCH(B567,'Master Database'!$A$5:$A$600,0)),"(row not found)"))</f>
        <v/>
      </c>
      <c r="E567" s="42"/>
      <c r="F567" s="45" t="str">
        <f aca="false">IF(E567="","",IFERROR(INDEX(Vendor_Register!$B$5:$B$205,MATCH(E567,Vendor_Register!$A$5:$A$205,0)),"(not in register)"))</f>
        <v/>
      </c>
      <c r="G567" s="45" t="str">
        <f aca="false">IF(E567="","",IFERROR(INDEX(Vendor_Register!$E$5:$E$205,MATCH(E567,Vendor_Register!$A$5:$A$205,0)),"(not in register)"))</f>
        <v/>
      </c>
      <c r="H567" s="42"/>
      <c r="I567" s="42"/>
      <c r="J567" s="42"/>
      <c r="K567" s="42"/>
      <c r="L567" s="42"/>
      <c r="M567" s="46"/>
      <c r="N567" s="42"/>
      <c r="O567" s="47" t="str">
        <f aca="false">IF(NOT(ISNUMBER(M567)),"",IFERROR(IF(L567="EUR",M567,IF(L567="IRR",M567/INDEX('Assumptions &amp; FX Reference'!$C$5:$C$25,MATCH(H567,'Assumptions &amp; FX Reference'!$A$5:$A$25,0)),IF(L567="USD",M567*INDEX('Assumptions &amp; FX Reference'!$B$5:$B$25,MATCH(H567,'Assumptions &amp; FX Reference'!$A$5:$A$25,0))/INDEX('Assumptions &amp; FX Reference'!$C$5:$C$25,MATCH(H567,'Assumptions &amp; FX Reference'!$A$5:$A$25,0)),""))),"(FX missing)"))</f>
        <v/>
      </c>
      <c r="P567" s="42"/>
      <c r="Q567" s="42"/>
      <c r="R567" s="42"/>
      <c r="S567" s="42"/>
      <c r="T567" s="42"/>
      <c r="U567" s="42"/>
      <c r="V567" s="42"/>
    </row>
    <row r="568" customFormat="false" ht="15" hidden="false" customHeight="false" outlineLevel="0" collapsed="false">
      <c r="A568" s="42"/>
      <c r="B568" s="42"/>
      <c r="C568" s="45" t="str">
        <f aca="false">IF(B568="","",IFERROR(INDEX('Master Database'!$D$5:$D$600,MATCH(B568,'Master Database'!$A$5:$A$600,0)),"(row not found)"))</f>
        <v/>
      </c>
      <c r="D568" s="45" t="str">
        <f aca="false">IF(B568="","",IFERROR(INDEX('Master Database'!$B$5:$B$600,MATCH(B568,'Master Database'!$A$5:$A$600,0)),"(row not found)"))</f>
        <v/>
      </c>
      <c r="E568" s="42"/>
      <c r="F568" s="45" t="str">
        <f aca="false">IF(E568="","",IFERROR(INDEX(Vendor_Register!$B$5:$B$205,MATCH(E568,Vendor_Register!$A$5:$A$205,0)),"(not in register)"))</f>
        <v/>
      </c>
      <c r="G568" s="45" t="str">
        <f aca="false">IF(E568="","",IFERROR(INDEX(Vendor_Register!$E$5:$E$205,MATCH(E568,Vendor_Register!$A$5:$A$205,0)),"(not in register)"))</f>
        <v/>
      </c>
      <c r="H568" s="42"/>
      <c r="I568" s="42"/>
      <c r="J568" s="42"/>
      <c r="K568" s="42"/>
      <c r="L568" s="42"/>
      <c r="M568" s="46"/>
      <c r="N568" s="42"/>
      <c r="O568" s="47" t="str">
        <f aca="false">IF(NOT(ISNUMBER(M568)),"",IFERROR(IF(L568="EUR",M568,IF(L568="IRR",M568/INDEX('Assumptions &amp; FX Reference'!$C$5:$C$25,MATCH(H568,'Assumptions &amp; FX Reference'!$A$5:$A$25,0)),IF(L568="USD",M568*INDEX('Assumptions &amp; FX Reference'!$B$5:$B$25,MATCH(H568,'Assumptions &amp; FX Reference'!$A$5:$A$25,0))/INDEX('Assumptions &amp; FX Reference'!$C$5:$C$25,MATCH(H568,'Assumptions &amp; FX Reference'!$A$5:$A$25,0)),""))),"(FX missing)"))</f>
        <v/>
      </c>
      <c r="P568" s="42"/>
      <c r="Q568" s="42"/>
      <c r="R568" s="42"/>
      <c r="S568" s="42"/>
      <c r="T568" s="42"/>
      <c r="U568" s="42"/>
      <c r="V568" s="42"/>
    </row>
    <row r="569" customFormat="false" ht="15" hidden="false" customHeight="false" outlineLevel="0" collapsed="false">
      <c r="A569" s="42"/>
      <c r="B569" s="42"/>
      <c r="C569" s="45" t="str">
        <f aca="false">IF(B569="","",IFERROR(INDEX('Master Database'!$D$5:$D$600,MATCH(B569,'Master Database'!$A$5:$A$600,0)),"(row not found)"))</f>
        <v/>
      </c>
      <c r="D569" s="45" t="str">
        <f aca="false">IF(B569="","",IFERROR(INDEX('Master Database'!$B$5:$B$600,MATCH(B569,'Master Database'!$A$5:$A$600,0)),"(row not found)"))</f>
        <v/>
      </c>
      <c r="E569" s="42"/>
      <c r="F569" s="45" t="str">
        <f aca="false">IF(E569="","",IFERROR(INDEX(Vendor_Register!$B$5:$B$205,MATCH(E569,Vendor_Register!$A$5:$A$205,0)),"(not in register)"))</f>
        <v/>
      </c>
      <c r="G569" s="45" t="str">
        <f aca="false">IF(E569="","",IFERROR(INDEX(Vendor_Register!$E$5:$E$205,MATCH(E569,Vendor_Register!$A$5:$A$205,0)),"(not in register)"))</f>
        <v/>
      </c>
      <c r="H569" s="42"/>
      <c r="I569" s="42"/>
      <c r="J569" s="42"/>
      <c r="K569" s="42"/>
      <c r="L569" s="42"/>
      <c r="M569" s="46"/>
      <c r="N569" s="42"/>
      <c r="O569" s="47" t="str">
        <f aca="false">IF(NOT(ISNUMBER(M569)),"",IFERROR(IF(L569="EUR",M569,IF(L569="IRR",M569/INDEX('Assumptions &amp; FX Reference'!$C$5:$C$25,MATCH(H569,'Assumptions &amp; FX Reference'!$A$5:$A$25,0)),IF(L569="USD",M569*INDEX('Assumptions &amp; FX Reference'!$B$5:$B$25,MATCH(H569,'Assumptions &amp; FX Reference'!$A$5:$A$25,0))/INDEX('Assumptions &amp; FX Reference'!$C$5:$C$25,MATCH(H569,'Assumptions &amp; FX Reference'!$A$5:$A$25,0)),""))),"(FX missing)"))</f>
        <v/>
      </c>
      <c r="P569" s="42"/>
      <c r="Q569" s="42"/>
      <c r="R569" s="42"/>
      <c r="S569" s="42"/>
      <c r="T569" s="42"/>
      <c r="U569" s="42"/>
      <c r="V569" s="42"/>
    </row>
    <row r="570" customFormat="false" ht="15" hidden="false" customHeight="false" outlineLevel="0" collapsed="false">
      <c r="A570" s="42"/>
      <c r="B570" s="42"/>
      <c r="C570" s="45" t="str">
        <f aca="false">IF(B570="","",IFERROR(INDEX('Master Database'!$D$5:$D$600,MATCH(B570,'Master Database'!$A$5:$A$600,0)),"(row not found)"))</f>
        <v/>
      </c>
      <c r="D570" s="45" t="str">
        <f aca="false">IF(B570="","",IFERROR(INDEX('Master Database'!$B$5:$B$600,MATCH(B570,'Master Database'!$A$5:$A$600,0)),"(row not found)"))</f>
        <v/>
      </c>
      <c r="E570" s="42"/>
      <c r="F570" s="45" t="str">
        <f aca="false">IF(E570="","",IFERROR(INDEX(Vendor_Register!$B$5:$B$205,MATCH(E570,Vendor_Register!$A$5:$A$205,0)),"(not in register)"))</f>
        <v/>
      </c>
      <c r="G570" s="45" t="str">
        <f aca="false">IF(E570="","",IFERROR(INDEX(Vendor_Register!$E$5:$E$205,MATCH(E570,Vendor_Register!$A$5:$A$205,0)),"(not in register)"))</f>
        <v/>
      </c>
      <c r="H570" s="42"/>
      <c r="I570" s="42"/>
      <c r="J570" s="42"/>
      <c r="K570" s="42"/>
      <c r="L570" s="42"/>
      <c r="M570" s="46"/>
      <c r="N570" s="42"/>
      <c r="O570" s="47" t="str">
        <f aca="false">IF(NOT(ISNUMBER(M570)),"",IFERROR(IF(L570="EUR",M570,IF(L570="IRR",M570/INDEX('Assumptions &amp; FX Reference'!$C$5:$C$25,MATCH(H570,'Assumptions &amp; FX Reference'!$A$5:$A$25,0)),IF(L570="USD",M570*INDEX('Assumptions &amp; FX Reference'!$B$5:$B$25,MATCH(H570,'Assumptions &amp; FX Reference'!$A$5:$A$25,0))/INDEX('Assumptions &amp; FX Reference'!$C$5:$C$25,MATCH(H570,'Assumptions &amp; FX Reference'!$A$5:$A$25,0)),""))),"(FX missing)"))</f>
        <v/>
      </c>
      <c r="P570" s="42"/>
      <c r="Q570" s="42"/>
      <c r="R570" s="42"/>
      <c r="S570" s="42"/>
      <c r="T570" s="42"/>
      <c r="U570" s="42"/>
      <c r="V570" s="42"/>
    </row>
    <row r="571" customFormat="false" ht="15" hidden="false" customHeight="false" outlineLevel="0" collapsed="false">
      <c r="A571" s="42"/>
      <c r="B571" s="42"/>
      <c r="C571" s="45" t="str">
        <f aca="false">IF(B571="","",IFERROR(INDEX('Master Database'!$D$5:$D$600,MATCH(B571,'Master Database'!$A$5:$A$600,0)),"(row not found)"))</f>
        <v/>
      </c>
      <c r="D571" s="45" t="str">
        <f aca="false">IF(B571="","",IFERROR(INDEX('Master Database'!$B$5:$B$600,MATCH(B571,'Master Database'!$A$5:$A$600,0)),"(row not found)"))</f>
        <v/>
      </c>
      <c r="E571" s="42"/>
      <c r="F571" s="45" t="str">
        <f aca="false">IF(E571="","",IFERROR(INDEX(Vendor_Register!$B$5:$B$205,MATCH(E571,Vendor_Register!$A$5:$A$205,0)),"(not in register)"))</f>
        <v/>
      </c>
      <c r="G571" s="45" t="str">
        <f aca="false">IF(E571="","",IFERROR(INDEX(Vendor_Register!$E$5:$E$205,MATCH(E571,Vendor_Register!$A$5:$A$205,0)),"(not in register)"))</f>
        <v/>
      </c>
      <c r="H571" s="42"/>
      <c r="I571" s="42"/>
      <c r="J571" s="42"/>
      <c r="K571" s="42"/>
      <c r="L571" s="42"/>
      <c r="M571" s="46"/>
      <c r="N571" s="42"/>
      <c r="O571" s="47" t="str">
        <f aca="false">IF(NOT(ISNUMBER(M571)),"",IFERROR(IF(L571="EUR",M571,IF(L571="IRR",M571/INDEX('Assumptions &amp; FX Reference'!$C$5:$C$25,MATCH(H571,'Assumptions &amp; FX Reference'!$A$5:$A$25,0)),IF(L571="USD",M571*INDEX('Assumptions &amp; FX Reference'!$B$5:$B$25,MATCH(H571,'Assumptions &amp; FX Reference'!$A$5:$A$25,0))/INDEX('Assumptions &amp; FX Reference'!$C$5:$C$25,MATCH(H571,'Assumptions &amp; FX Reference'!$A$5:$A$25,0)),""))),"(FX missing)"))</f>
        <v/>
      </c>
      <c r="P571" s="42"/>
      <c r="Q571" s="42"/>
      <c r="R571" s="42"/>
      <c r="S571" s="42"/>
      <c r="T571" s="42"/>
      <c r="U571" s="42"/>
      <c r="V571" s="42"/>
    </row>
    <row r="572" customFormat="false" ht="15" hidden="false" customHeight="false" outlineLevel="0" collapsed="false">
      <c r="A572" s="42"/>
      <c r="B572" s="42"/>
      <c r="C572" s="45" t="str">
        <f aca="false">IF(B572="","",IFERROR(INDEX('Master Database'!$D$5:$D$600,MATCH(B572,'Master Database'!$A$5:$A$600,0)),"(row not found)"))</f>
        <v/>
      </c>
      <c r="D572" s="45" t="str">
        <f aca="false">IF(B572="","",IFERROR(INDEX('Master Database'!$B$5:$B$600,MATCH(B572,'Master Database'!$A$5:$A$600,0)),"(row not found)"))</f>
        <v/>
      </c>
      <c r="E572" s="42"/>
      <c r="F572" s="45" t="str">
        <f aca="false">IF(E572="","",IFERROR(INDEX(Vendor_Register!$B$5:$B$205,MATCH(E572,Vendor_Register!$A$5:$A$205,0)),"(not in register)"))</f>
        <v/>
      </c>
      <c r="G572" s="45" t="str">
        <f aca="false">IF(E572="","",IFERROR(INDEX(Vendor_Register!$E$5:$E$205,MATCH(E572,Vendor_Register!$A$5:$A$205,0)),"(not in register)"))</f>
        <v/>
      </c>
      <c r="H572" s="42"/>
      <c r="I572" s="42"/>
      <c r="J572" s="42"/>
      <c r="K572" s="42"/>
      <c r="L572" s="42"/>
      <c r="M572" s="46"/>
      <c r="N572" s="42"/>
      <c r="O572" s="47" t="str">
        <f aca="false">IF(NOT(ISNUMBER(M572)),"",IFERROR(IF(L572="EUR",M572,IF(L572="IRR",M572/INDEX('Assumptions &amp; FX Reference'!$C$5:$C$25,MATCH(H572,'Assumptions &amp; FX Reference'!$A$5:$A$25,0)),IF(L572="USD",M572*INDEX('Assumptions &amp; FX Reference'!$B$5:$B$25,MATCH(H572,'Assumptions &amp; FX Reference'!$A$5:$A$25,0))/INDEX('Assumptions &amp; FX Reference'!$C$5:$C$25,MATCH(H572,'Assumptions &amp; FX Reference'!$A$5:$A$25,0)),""))),"(FX missing)"))</f>
        <v/>
      </c>
      <c r="P572" s="42"/>
      <c r="Q572" s="42"/>
      <c r="R572" s="42"/>
      <c r="S572" s="42"/>
      <c r="T572" s="42"/>
      <c r="U572" s="42"/>
      <c r="V572" s="42"/>
    </row>
    <row r="573" customFormat="false" ht="15" hidden="false" customHeight="false" outlineLevel="0" collapsed="false">
      <c r="A573" s="42"/>
      <c r="B573" s="42"/>
      <c r="C573" s="45" t="str">
        <f aca="false">IF(B573="","",IFERROR(INDEX('Master Database'!$D$5:$D$600,MATCH(B573,'Master Database'!$A$5:$A$600,0)),"(row not found)"))</f>
        <v/>
      </c>
      <c r="D573" s="45" t="str">
        <f aca="false">IF(B573="","",IFERROR(INDEX('Master Database'!$B$5:$B$600,MATCH(B573,'Master Database'!$A$5:$A$600,0)),"(row not found)"))</f>
        <v/>
      </c>
      <c r="E573" s="42"/>
      <c r="F573" s="45" t="str">
        <f aca="false">IF(E573="","",IFERROR(INDEX(Vendor_Register!$B$5:$B$205,MATCH(E573,Vendor_Register!$A$5:$A$205,0)),"(not in register)"))</f>
        <v/>
      </c>
      <c r="G573" s="45" t="str">
        <f aca="false">IF(E573="","",IFERROR(INDEX(Vendor_Register!$E$5:$E$205,MATCH(E573,Vendor_Register!$A$5:$A$205,0)),"(not in register)"))</f>
        <v/>
      </c>
      <c r="H573" s="42"/>
      <c r="I573" s="42"/>
      <c r="J573" s="42"/>
      <c r="K573" s="42"/>
      <c r="L573" s="42"/>
      <c r="M573" s="46"/>
      <c r="N573" s="42"/>
      <c r="O573" s="47" t="str">
        <f aca="false">IF(NOT(ISNUMBER(M573)),"",IFERROR(IF(L573="EUR",M573,IF(L573="IRR",M573/INDEX('Assumptions &amp; FX Reference'!$C$5:$C$25,MATCH(H573,'Assumptions &amp; FX Reference'!$A$5:$A$25,0)),IF(L573="USD",M573*INDEX('Assumptions &amp; FX Reference'!$B$5:$B$25,MATCH(H573,'Assumptions &amp; FX Reference'!$A$5:$A$25,0))/INDEX('Assumptions &amp; FX Reference'!$C$5:$C$25,MATCH(H573,'Assumptions &amp; FX Reference'!$A$5:$A$25,0)),""))),"(FX missing)"))</f>
        <v/>
      </c>
      <c r="P573" s="42"/>
      <c r="Q573" s="42"/>
      <c r="R573" s="42"/>
      <c r="S573" s="42"/>
      <c r="T573" s="42"/>
      <c r="U573" s="42"/>
      <c r="V573" s="42"/>
    </row>
    <row r="574" customFormat="false" ht="15" hidden="false" customHeight="false" outlineLevel="0" collapsed="false">
      <c r="A574" s="42"/>
      <c r="B574" s="42"/>
      <c r="C574" s="45" t="str">
        <f aca="false">IF(B574="","",IFERROR(INDEX('Master Database'!$D$5:$D$600,MATCH(B574,'Master Database'!$A$5:$A$600,0)),"(row not found)"))</f>
        <v/>
      </c>
      <c r="D574" s="45" t="str">
        <f aca="false">IF(B574="","",IFERROR(INDEX('Master Database'!$B$5:$B$600,MATCH(B574,'Master Database'!$A$5:$A$600,0)),"(row not found)"))</f>
        <v/>
      </c>
      <c r="E574" s="42"/>
      <c r="F574" s="45" t="str">
        <f aca="false">IF(E574="","",IFERROR(INDEX(Vendor_Register!$B$5:$B$205,MATCH(E574,Vendor_Register!$A$5:$A$205,0)),"(not in register)"))</f>
        <v/>
      </c>
      <c r="G574" s="45" t="str">
        <f aca="false">IF(E574="","",IFERROR(INDEX(Vendor_Register!$E$5:$E$205,MATCH(E574,Vendor_Register!$A$5:$A$205,0)),"(not in register)"))</f>
        <v/>
      </c>
      <c r="H574" s="42"/>
      <c r="I574" s="42"/>
      <c r="J574" s="42"/>
      <c r="K574" s="42"/>
      <c r="L574" s="42"/>
      <c r="M574" s="46"/>
      <c r="N574" s="42"/>
      <c r="O574" s="47" t="str">
        <f aca="false">IF(NOT(ISNUMBER(M574)),"",IFERROR(IF(L574="EUR",M574,IF(L574="IRR",M574/INDEX('Assumptions &amp; FX Reference'!$C$5:$C$25,MATCH(H574,'Assumptions &amp; FX Reference'!$A$5:$A$25,0)),IF(L574="USD",M574*INDEX('Assumptions &amp; FX Reference'!$B$5:$B$25,MATCH(H574,'Assumptions &amp; FX Reference'!$A$5:$A$25,0))/INDEX('Assumptions &amp; FX Reference'!$C$5:$C$25,MATCH(H574,'Assumptions &amp; FX Reference'!$A$5:$A$25,0)),""))),"(FX missing)"))</f>
        <v/>
      </c>
      <c r="P574" s="42"/>
      <c r="Q574" s="42"/>
      <c r="R574" s="42"/>
      <c r="S574" s="42"/>
      <c r="T574" s="42"/>
      <c r="U574" s="42"/>
      <c r="V574" s="42"/>
    </row>
    <row r="575" customFormat="false" ht="15" hidden="false" customHeight="false" outlineLevel="0" collapsed="false">
      <c r="A575" s="42"/>
      <c r="B575" s="42"/>
      <c r="C575" s="45" t="str">
        <f aca="false">IF(B575="","",IFERROR(INDEX('Master Database'!$D$5:$D$600,MATCH(B575,'Master Database'!$A$5:$A$600,0)),"(row not found)"))</f>
        <v/>
      </c>
      <c r="D575" s="45" t="str">
        <f aca="false">IF(B575="","",IFERROR(INDEX('Master Database'!$B$5:$B$600,MATCH(B575,'Master Database'!$A$5:$A$600,0)),"(row not found)"))</f>
        <v/>
      </c>
      <c r="E575" s="42"/>
      <c r="F575" s="45" t="str">
        <f aca="false">IF(E575="","",IFERROR(INDEX(Vendor_Register!$B$5:$B$205,MATCH(E575,Vendor_Register!$A$5:$A$205,0)),"(not in register)"))</f>
        <v/>
      </c>
      <c r="G575" s="45" t="str">
        <f aca="false">IF(E575="","",IFERROR(INDEX(Vendor_Register!$E$5:$E$205,MATCH(E575,Vendor_Register!$A$5:$A$205,0)),"(not in register)"))</f>
        <v/>
      </c>
      <c r="H575" s="42"/>
      <c r="I575" s="42"/>
      <c r="J575" s="42"/>
      <c r="K575" s="42"/>
      <c r="L575" s="42"/>
      <c r="M575" s="46"/>
      <c r="N575" s="42"/>
      <c r="O575" s="47" t="str">
        <f aca="false">IF(NOT(ISNUMBER(M575)),"",IFERROR(IF(L575="EUR",M575,IF(L575="IRR",M575/INDEX('Assumptions &amp; FX Reference'!$C$5:$C$25,MATCH(H575,'Assumptions &amp; FX Reference'!$A$5:$A$25,0)),IF(L575="USD",M575*INDEX('Assumptions &amp; FX Reference'!$B$5:$B$25,MATCH(H575,'Assumptions &amp; FX Reference'!$A$5:$A$25,0))/INDEX('Assumptions &amp; FX Reference'!$C$5:$C$25,MATCH(H575,'Assumptions &amp; FX Reference'!$A$5:$A$25,0)),""))),"(FX missing)"))</f>
        <v/>
      </c>
      <c r="P575" s="42"/>
      <c r="Q575" s="42"/>
      <c r="R575" s="42"/>
      <c r="S575" s="42"/>
      <c r="T575" s="42"/>
      <c r="U575" s="42"/>
      <c r="V575" s="42"/>
    </row>
    <row r="576" customFormat="false" ht="15" hidden="false" customHeight="false" outlineLevel="0" collapsed="false">
      <c r="A576" s="42"/>
      <c r="B576" s="42"/>
      <c r="C576" s="45" t="str">
        <f aca="false">IF(B576="","",IFERROR(INDEX('Master Database'!$D$5:$D$600,MATCH(B576,'Master Database'!$A$5:$A$600,0)),"(row not found)"))</f>
        <v/>
      </c>
      <c r="D576" s="45" t="str">
        <f aca="false">IF(B576="","",IFERROR(INDEX('Master Database'!$B$5:$B$600,MATCH(B576,'Master Database'!$A$5:$A$600,0)),"(row not found)"))</f>
        <v/>
      </c>
      <c r="E576" s="42"/>
      <c r="F576" s="45" t="str">
        <f aca="false">IF(E576="","",IFERROR(INDEX(Vendor_Register!$B$5:$B$205,MATCH(E576,Vendor_Register!$A$5:$A$205,0)),"(not in register)"))</f>
        <v/>
      </c>
      <c r="G576" s="45" t="str">
        <f aca="false">IF(E576="","",IFERROR(INDEX(Vendor_Register!$E$5:$E$205,MATCH(E576,Vendor_Register!$A$5:$A$205,0)),"(not in register)"))</f>
        <v/>
      </c>
      <c r="H576" s="42"/>
      <c r="I576" s="42"/>
      <c r="J576" s="42"/>
      <c r="K576" s="42"/>
      <c r="L576" s="42"/>
      <c r="M576" s="46"/>
      <c r="N576" s="42"/>
      <c r="O576" s="47" t="str">
        <f aca="false">IF(NOT(ISNUMBER(M576)),"",IFERROR(IF(L576="EUR",M576,IF(L576="IRR",M576/INDEX('Assumptions &amp; FX Reference'!$C$5:$C$25,MATCH(H576,'Assumptions &amp; FX Reference'!$A$5:$A$25,0)),IF(L576="USD",M576*INDEX('Assumptions &amp; FX Reference'!$B$5:$B$25,MATCH(H576,'Assumptions &amp; FX Reference'!$A$5:$A$25,0))/INDEX('Assumptions &amp; FX Reference'!$C$5:$C$25,MATCH(H576,'Assumptions &amp; FX Reference'!$A$5:$A$25,0)),""))),"(FX missing)"))</f>
        <v/>
      </c>
      <c r="P576" s="42"/>
      <c r="Q576" s="42"/>
      <c r="R576" s="42"/>
      <c r="S576" s="42"/>
      <c r="T576" s="42"/>
      <c r="U576" s="42"/>
      <c r="V576" s="42"/>
    </row>
    <row r="577" customFormat="false" ht="15" hidden="false" customHeight="false" outlineLevel="0" collapsed="false">
      <c r="A577" s="42"/>
      <c r="B577" s="42"/>
      <c r="C577" s="45" t="str">
        <f aca="false">IF(B577="","",IFERROR(INDEX('Master Database'!$D$5:$D$600,MATCH(B577,'Master Database'!$A$5:$A$600,0)),"(row not found)"))</f>
        <v/>
      </c>
      <c r="D577" s="45" t="str">
        <f aca="false">IF(B577="","",IFERROR(INDEX('Master Database'!$B$5:$B$600,MATCH(B577,'Master Database'!$A$5:$A$600,0)),"(row not found)"))</f>
        <v/>
      </c>
      <c r="E577" s="42"/>
      <c r="F577" s="45" t="str">
        <f aca="false">IF(E577="","",IFERROR(INDEX(Vendor_Register!$B$5:$B$205,MATCH(E577,Vendor_Register!$A$5:$A$205,0)),"(not in register)"))</f>
        <v/>
      </c>
      <c r="G577" s="45" t="str">
        <f aca="false">IF(E577="","",IFERROR(INDEX(Vendor_Register!$E$5:$E$205,MATCH(E577,Vendor_Register!$A$5:$A$205,0)),"(not in register)"))</f>
        <v/>
      </c>
      <c r="H577" s="42"/>
      <c r="I577" s="42"/>
      <c r="J577" s="42"/>
      <c r="K577" s="42"/>
      <c r="L577" s="42"/>
      <c r="M577" s="46"/>
      <c r="N577" s="42"/>
      <c r="O577" s="47" t="str">
        <f aca="false">IF(NOT(ISNUMBER(M577)),"",IFERROR(IF(L577="EUR",M577,IF(L577="IRR",M577/INDEX('Assumptions &amp; FX Reference'!$C$5:$C$25,MATCH(H577,'Assumptions &amp; FX Reference'!$A$5:$A$25,0)),IF(L577="USD",M577*INDEX('Assumptions &amp; FX Reference'!$B$5:$B$25,MATCH(H577,'Assumptions &amp; FX Reference'!$A$5:$A$25,0))/INDEX('Assumptions &amp; FX Reference'!$C$5:$C$25,MATCH(H577,'Assumptions &amp; FX Reference'!$A$5:$A$25,0)),""))),"(FX missing)"))</f>
        <v/>
      </c>
      <c r="P577" s="42"/>
      <c r="Q577" s="42"/>
      <c r="R577" s="42"/>
      <c r="S577" s="42"/>
      <c r="T577" s="42"/>
      <c r="U577" s="42"/>
      <c r="V577" s="42"/>
    </row>
    <row r="578" customFormat="false" ht="15" hidden="false" customHeight="false" outlineLevel="0" collapsed="false">
      <c r="A578" s="42"/>
      <c r="B578" s="42"/>
      <c r="C578" s="45" t="str">
        <f aca="false">IF(B578="","",IFERROR(INDEX('Master Database'!$D$5:$D$600,MATCH(B578,'Master Database'!$A$5:$A$600,0)),"(row not found)"))</f>
        <v/>
      </c>
      <c r="D578" s="45" t="str">
        <f aca="false">IF(B578="","",IFERROR(INDEX('Master Database'!$B$5:$B$600,MATCH(B578,'Master Database'!$A$5:$A$600,0)),"(row not found)"))</f>
        <v/>
      </c>
      <c r="E578" s="42"/>
      <c r="F578" s="45" t="str">
        <f aca="false">IF(E578="","",IFERROR(INDEX(Vendor_Register!$B$5:$B$205,MATCH(E578,Vendor_Register!$A$5:$A$205,0)),"(not in register)"))</f>
        <v/>
      </c>
      <c r="G578" s="45" t="str">
        <f aca="false">IF(E578="","",IFERROR(INDEX(Vendor_Register!$E$5:$E$205,MATCH(E578,Vendor_Register!$A$5:$A$205,0)),"(not in register)"))</f>
        <v/>
      </c>
      <c r="H578" s="42"/>
      <c r="I578" s="42"/>
      <c r="J578" s="42"/>
      <c r="K578" s="42"/>
      <c r="L578" s="42"/>
      <c r="M578" s="46"/>
      <c r="N578" s="42"/>
      <c r="O578" s="47" t="str">
        <f aca="false">IF(NOT(ISNUMBER(M578)),"",IFERROR(IF(L578="EUR",M578,IF(L578="IRR",M578/INDEX('Assumptions &amp; FX Reference'!$C$5:$C$25,MATCH(H578,'Assumptions &amp; FX Reference'!$A$5:$A$25,0)),IF(L578="USD",M578*INDEX('Assumptions &amp; FX Reference'!$B$5:$B$25,MATCH(H578,'Assumptions &amp; FX Reference'!$A$5:$A$25,0))/INDEX('Assumptions &amp; FX Reference'!$C$5:$C$25,MATCH(H578,'Assumptions &amp; FX Reference'!$A$5:$A$25,0)),""))),"(FX missing)"))</f>
        <v/>
      </c>
      <c r="P578" s="42"/>
      <c r="Q578" s="42"/>
      <c r="R578" s="42"/>
      <c r="S578" s="42"/>
      <c r="T578" s="42"/>
      <c r="U578" s="42"/>
      <c r="V578" s="42"/>
    </row>
    <row r="579" customFormat="false" ht="15" hidden="false" customHeight="false" outlineLevel="0" collapsed="false">
      <c r="A579" s="42"/>
      <c r="B579" s="42"/>
      <c r="C579" s="45" t="str">
        <f aca="false">IF(B579="","",IFERROR(INDEX('Master Database'!$D$5:$D$600,MATCH(B579,'Master Database'!$A$5:$A$600,0)),"(row not found)"))</f>
        <v/>
      </c>
      <c r="D579" s="45" t="str">
        <f aca="false">IF(B579="","",IFERROR(INDEX('Master Database'!$B$5:$B$600,MATCH(B579,'Master Database'!$A$5:$A$600,0)),"(row not found)"))</f>
        <v/>
      </c>
      <c r="E579" s="42"/>
      <c r="F579" s="45" t="str">
        <f aca="false">IF(E579="","",IFERROR(INDEX(Vendor_Register!$B$5:$B$205,MATCH(E579,Vendor_Register!$A$5:$A$205,0)),"(not in register)"))</f>
        <v/>
      </c>
      <c r="G579" s="45" t="str">
        <f aca="false">IF(E579="","",IFERROR(INDEX(Vendor_Register!$E$5:$E$205,MATCH(E579,Vendor_Register!$A$5:$A$205,0)),"(not in register)"))</f>
        <v/>
      </c>
      <c r="H579" s="42"/>
      <c r="I579" s="42"/>
      <c r="J579" s="42"/>
      <c r="K579" s="42"/>
      <c r="L579" s="42"/>
      <c r="M579" s="46"/>
      <c r="N579" s="42"/>
      <c r="O579" s="47" t="str">
        <f aca="false">IF(NOT(ISNUMBER(M579)),"",IFERROR(IF(L579="EUR",M579,IF(L579="IRR",M579/INDEX('Assumptions &amp; FX Reference'!$C$5:$C$25,MATCH(H579,'Assumptions &amp; FX Reference'!$A$5:$A$25,0)),IF(L579="USD",M579*INDEX('Assumptions &amp; FX Reference'!$B$5:$B$25,MATCH(H579,'Assumptions &amp; FX Reference'!$A$5:$A$25,0))/INDEX('Assumptions &amp; FX Reference'!$C$5:$C$25,MATCH(H579,'Assumptions &amp; FX Reference'!$A$5:$A$25,0)),""))),"(FX missing)"))</f>
        <v/>
      </c>
      <c r="P579" s="42"/>
      <c r="Q579" s="42"/>
      <c r="R579" s="42"/>
      <c r="S579" s="42"/>
      <c r="T579" s="42"/>
      <c r="U579" s="42"/>
      <c r="V579" s="42"/>
    </row>
    <row r="580" customFormat="false" ht="15" hidden="false" customHeight="false" outlineLevel="0" collapsed="false">
      <c r="A580" s="42"/>
      <c r="B580" s="42"/>
      <c r="C580" s="45" t="str">
        <f aca="false">IF(B580="","",IFERROR(INDEX('Master Database'!$D$5:$D$600,MATCH(B580,'Master Database'!$A$5:$A$600,0)),"(row not found)"))</f>
        <v/>
      </c>
      <c r="D580" s="45" t="str">
        <f aca="false">IF(B580="","",IFERROR(INDEX('Master Database'!$B$5:$B$600,MATCH(B580,'Master Database'!$A$5:$A$600,0)),"(row not found)"))</f>
        <v/>
      </c>
      <c r="E580" s="42"/>
      <c r="F580" s="45" t="str">
        <f aca="false">IF(E580="","",IFERROR(INDEX(Vendor_Register!$B$5:$B$205,MATCH(E580,Vendor_Register!$A$5:$A$205,0)),"(not in register)"))</f>
        <v/>
      </c>
      <c r="G580" s="45" t="str">
        <f aca="false">IF(E580="","",IFERROR(INDEX(Vendor_Register!$E$5:$E$205,MATCH(E580,Vendor_Register!$A$5:$A$205,0)),"(not in register)"))</f>
        <v/>
      </c>
      <c r="H580" s="42"/>
      <c r="I580" s="42"/>
      <c r="J580" s="42"/>
      <c r="K580" s="42"/>
      <c r="L580" s="42"/>
      <c r="M580" s="46"/>
      <c r="N580" s="42"/>
      <c r="O580" s="47" t="str">
        <f aca="false">IF(NOT(ISNUMBER(M580)),"",IFERROR(IF(L580="EUR",M580,IF(L580="IRR",M580/INDEX('Assumptions &amp; FX Reference'!$C$5:$C$25,MATCH(H580,'Assumptions &amp; FX Reference'!$A$5:$A$25,0)),IF(L580="USD",M580*INDEX('Assumptions &amp; FX Reference'!$B$5:$B$25,MATCH(H580,'Assumptions &amp; FX Reference'!$A$5:$A$25,0))/INDEX('Assumptions &amp; FX Reference'!$C$5:$C$25,MATCH(H580,'Assumptions &amp; FX Reference'!$A$5:$A$25,0)),""))),"(FX missing)"))</f>
        <v/>
      </c>
      <c r="P580" s="42"/>
      <c r="Q580" s="42"/>
      <c r="R580" s="42"/>
      <c r="S580" s="42"/>
      <c r="T580" s="42"/>
      <c r="U580" s="42"/>
      <c r="V580" s="42"/>
    </row>
    <row r="581" customFormat="false" ht="15" hidden="false" customHeight="false" outlineLevel="0" collapsed="false">
      <c r="A581" s="42"/>
      <c r="B581" s="42"/>
      <c r="C581" s="45" t="str">
        <f aca="false">IF(B581="","",IFERROR(INDEX('Master Database'!$D$5:$D$600,MATCH(B581,'Master Database'!$A$5:$A$600,0)),"(row not found)"))</f>
        <v/>
      </c>
      <c r="D581" s="45" t="str">
        <f aca="false">IF(B581="","",IFERROR(INDEX('Master Database'!$B$5:$B$600,MATCH(B581,'Master Database'!$A$5:$A$600,0)),"(row not found)"))</f>
        <v/>
      </c>
      <c r="E581" s="42"/>
      <c r="F581" s="45" t="str">
        <f aca="false">IF(E581="","",IFERROR(INDEX(Vendor_Register!$B$5:$B$205,MATCH(E581,Vendor_Register!$A$5:$A$205,0)),"(not in register)"))</f>
        <v/>
      </c>
      <c r="G581" s="45" t="str">
        <f aca="false">IF(E581="","",IFERROR(INDEX(Vendor_Register!$E$5:$E$205,MATCH(E581,Vendor_Register!$A$5:$A$205,0)),"(not in register)"))</f>
        <v/>
      </c>
      <c r="H581" s="42"/>
      <c r="I581" s="42"/>
      <c r="J581" s="42"/>
      <c r="K581" s="42"/>
      <c r="L581" s="42"/>
      <c r="M581" s="46"/>
      <c r="N581" s="42"/>
      <c r="O581" s="47" t="str">
        <f aca="false">IF(NOT(ISNUMBER(M581)),"",IFERROR(IF(L581="EUR",M581,IF(L581="IRR",M581/INDEX('Assumptions &amp; FX Reference'!$C$5:$C$25,MATCH(H581,'Assumptions &amp; FX Reference'!$A$5:$A$25,0)),IF(L581="USD",M581*INDEX('Assumptions &amp; FX Reference'!$B$5:$B$25,MATCH(H581,'Assumptions &amp; FX Reference'!$A$5:$A$25,0))/INDEX('Assumptions &amp; FX Reference'!$C$5:$C$25,MATCH(H581,'Assumptions &amp; FX Reference'!$A$5:$A$25,0)),""))),"(FX missing)"))</f>
        <v/>
      </c>
      <c r="P581" s="42"/>
      <c r="Q581" s="42"/>
      <c r="R581" s="42"/>
      <c r="S581" s="42"/>
      <c r="T581" s="42"/>
      <c r="U581" s="42"/>
      <c r="V581" s="42"/>
    </row>
    <row r="582" customFormat="false" ht="15" hidden="false" customHeight="false" outlineLevel="0" collapsed="false">
      <c r="A582" s="42"/>
      <c r="B582" s="42"/>
      <c r="C582" s="45" t="str">
        <f aca="false">IF(B582="","",IFERROR(INDEX('Master Database'!$D$5:$D$600,MATCH(B582,'Master Database'!$A$5:$A$600,0)),"(row not found)"))</f>
        <v/>
      </c>
      <c r="D582" s="45" t="str">
        <f aca="false">IF(B582="","",IFERROR(INDEX('Master Database'!$B$5:$B$600,MATCH(B582,'Master Database'!$A$5:$A$600,0)),"(row not found)"))</f>
        <v/>
      </c>
      <c r="E582" s="42"/>
      <c r="F582" s="45" t="str">
        <f aca="false">IF(E582="","",IFERROR(INDEX(Vendor_Register!$B$5:$B$205,MATCH(E582,Vendor_Register!$A$5:$A$205,0)),"(not in register)"))</f>
        <v/>
      </c>
      <c r="G582" s="45" t="str">
        <f aca="false">IF(E582="","",IFERROR(INDEX(Vendor_Register!$E$5:$E$205,MATCH(E582,Vendor_Register!$A$5:$A$205,0)),"(not in register)"))</f>
        <v/>
      </c>
      <c r="H582" s="42"/>
      <c r="I582" s="42"/>
      <c r="J582" s="42"/>
      <c r="K582" s="42"/>
      <c r="L582" s="42"/>
      <c r="M582" s="46"/>
      <c r="N582" s="42"/>
      <c r="O582" s="47" t="str">
        <f aca="false">IF(NOT(ISNUMBER(M582)),"",IFERROR(IF(L582="EUR",M582,IF(L582="IRR",M582/INDEX('Assumptions &amp; FX Reference'!$C$5:$C$25,MATCH(H582,'Assumptions &amp; FX Reference'!$A$5:$A$25,0)),IF(L582="USD",M582*INDEX('Assumptions &amp; FX Reference'!$B$5:$B$25,MATCH(H582,'Assumptions &amp; FX Reference'!$A$5:$A$25,0))/INDEX('Assumptions &amp; FX Reference'!$C$5:$C$25,MATCH(H582,'Assumptions &amp; FX Reference'!$A$5:$A$25,0)),""))),"(FX missing)"))</f>
        <v/>
      </c>
      <c r="P582" s="42"/>
      <c r="Q582" s="42"/>
      <c r="R582" s="42"/>
      <c r="S582" s="42"/>
      <c r="T582" s="42"/>
      <c r="U582" s="42"/>
      <c r="V582" s="42"/>
    </row>
    <row r="583" customFormat="false" ht="15" hidden="false" customHeight="false" outlineLevel="0" collapsed="false">
      <c r="A583" s="42"/>
      <c r="B583" s="42"/>
      <c r="C583" s="45" t="str">
        <f aca="false">IF(B583="","",IFERROR(INDEX('Master Database'!$D$5:$D$600,MATCH(B583,'Master Database'!$A$5:$A$600,0)),"(row not found)"))</f>
        <v/>
      </c>
      <c r="D583" s="45" t="str">
        <f aca="false">IF(B583="","",IFERROR(INDEX('Master Database'!$B$5:$B$600,MATCH(B583,'Master Database'!$A$5:$A$600,0)),"(row not found)"))</f>
        <v/>
      </c>
      <c r="E583" s="42"/>
      <c r="F583" s="45" t="str">
        <f aca="false">IF(E583="","",IFERROR(INDEX(Vendor_Register!$B$5:$B$205,MATCH(E583,Vendor_Register!$A$5:$A$205,0)),"(not in register)"))</f>
        <v/>
      </c>
      <c r="G583" s="45" t="str">
        <f aca="false">IF(E583="","",IFERROR(INDEX(Vendor_Register!$E$5:$E$205,MATCH(E583,Vendor_Register!$A$5:$A$205,0)),"(not in register)"))</f>
        <v/>
      </c>
      <c r="H583" s="42"/>
      <c r="I583" s="42"/>
      <c r="J583" s="42"/>
      <c r="K583" s="42"/>
      <c r="L583" s="42"/>
      <c r="M583" s="46"/>
      <c r="N583" s="42"/>
      <c r="O583" s="47" t="str">
        <f aca="false">IF(NOT(ISNUMBER(M583)),"",IFERROR(IF(L583="EUR",M583,IF(L583="IRR",M583/INDEX('Assumptions &amp; FX Reference'!$C$5:$C$25,MATCH(H583,'Assumptions &amp; FX Reference'!$A$5:$A$25,0)),IF(L583="USD",M583*INDEX('Assumptions &amp; FX Reference'!$B$5:$B$25,MATCH(H583,'Assumptions &amp; FX Reference'!$A$5:$A$25,0))/INDEX('Assumptions &amp; FX Reference'!$C$5:$C$25,MATCH(H583,'Assumptions &amp; FX Reference'!$A$5:$A$25,0)),""))),"(FX missing)"))</f>
        <v/>
      </c>
      <c r="P583" s="42"/>
      <c r="Q583" s="42"/>
      <c r="R583" s="42"/>
      <c r="S583" s="42"/>
      <c r="T583" s="42"/>
      <c r="U583" s="42"/>
      <c r="V583" s="42"/>
    </row>
    <row r="584" customFormat="false" ht="15" hidden="false" customHeight="false" outlineLevel="0" collapsed="false">
      <c r="A584" s="42"/>
      <c r="B584" s="42"/>
      <c r="C584" s="45" t="str">
        <f aca="false">IF(B584="","",IFERROR(INDEX('Master Database'!$D$5:$D$600,MATCH(B584,'Master Database'!$A$5:$A$600,0)),"(row not found)"))</f>
        <v/>
      </c>
      <c r="D584" s="45" t="str">
        <f aca="false">IF(B584="","",IFERROR(INDEX('Master Database'!$B$5:$B$600,MATCH(B584,'Master Database'!$A$5:$A$600,0)),"(row not found)"))</f>
        <v/>
      </c>
      <c r="E584" s="42"/>
      <c r="F584" s="45" t="str">
        <f aca="false">IF(E584="","",IFERROR(INDEX(Vendor_Register!$B$5:$B$205,MATCH(E584,Vendor_Register!$A$5:$A$205,0)),"(not in register)"))</f>
        <v/>
      </c>
      <c r="G584" s="45" t="str">
        <f aca="false">IF(E584="","",IFERROR(INDEX(Vendor_Register!$E$5:$E$205,MATCH(E584,Vendor_Register!$A$5:$A$205,0)),"(not in register)"))</f>
        <v/>
      </c>
      <c r="H584" s="42"/>
      <c r="I584" s="42"/>
      <c r="J584" s="42"/>
      <c r="K584" s="42"/>
      <c r="L584" s="42"/>
      <c r="M584" s="46"/>
      <c r="N584" s="42"/>
      <c r="O584" s="47" t="str">
        <f aca="false">IF(NOT(ISNUMBER(M584)),"",IFERROR(IF(L584="EUR",M584,IF(L584="IRR",M584/INDEX('Assumptions &amp; FX Reference'!$C$5:$C$25,MATCH(H584,'Assumptions &amp; FX Reference'!$A$5:$A$25,0)),IF(L584="USD",M584*INDEX('Assumptions &amp; FX Reference'!$B$5:$B$25,MATCH(H584,'Assumptions &amp; FX Reference'!$A$5:$A$25,0))/INDEX('Assumptions &amp; FX Reference'!$C$5:$C$25,MATCH(H584,'Assumptions &amp; FX Reference'!$A$5:$A$25,0)),""))),"(FX missing)"))</f>
        <v/>
      </c>
      <c r="P584" s="42"/>
      <c r="Q584" s="42"/>
      <c r="R584" s="42"/>
      <c r="S584" s="42"/>
      <c r="T584" s="42"/>
      <c r="U584" s="42"/>
      <c r="V584" s="42"/>
    </row>
    <row r="585" customFormat="false" ht="15" hidden="false" customHeight="false" outlineLevel="0" collapsed="false">
      <c r="A585" s="42"/>
      <c r="B585" s="42"/>
      <c r="C585" s="45" t="str">
        <f aca="false">IF(B585="","",IFERROR(INDEX('Master Database'!$D$5:$D$600,MATCH(B585,'Master Database'!$A$5:$A$600,0)),"(row not found)"))</f>
        <v/>
      </c>
      <c r="D585" s="45" t="str">
        <f aca="false">IF(B585="","",IFERROR(INDEX('Master Database'!$B$5:$B$600,MATCH(B585,'Master Database'!$A$5:$A$600,0)),"(row not found)"))</f>
        <v/>
      </c>
      <c r="E585" s="42"/>
      <c r="F585" s="45" t="str">
        <f aca="false">IF(E585="","",IFERROR(INDEX(Vendor_Register!$B$5:$B$205,MATCH(E585,Vendor_Register!$A$5:$A$205,0)),"(not in register)"))</f>
        <v/>
      </c>
      <c r="G585" s="45" t="str">
        <f aca="false">IF(E585="","",IFERROR(INDEX(Vendor_Register!$E$5:$E$205,MATCH(E585,Vendor_Register!$A$5:$A$205,0)),"(not in register)"))</f>
        <v/>
      </c>
      <c r="H585" s="42"/>
      <c r="I585" s="42"/>
      <c r="J585" s="42"/>
      <c r="K585" s="42"/>
      <c r="L585" s="42"/>
      <c r="M585" s="46"/>
      <c r="N585" s="42"/>
      <c r="O585" s="47" t="str">
        <f aca="false">IF(NOT(ISNUMBER(M585)),"",IFERROR(IF(L585="EUR",M585,IF(L585="IRR",M585/INDEX('Assumptions &amp; FX Reference'!$C$5:$C$25,MATCH(H585,'Assumptions &amp; FX Reference'!$A$5:$A$25,0)),IF(L585="USD",M585*INDEX('Assumptions &amp; FX Reference'!$B$5:$B$25,MATCH(H585,'Assumptions &amp; FX Reference'!$A$5:$A$25,0))/INDEX('Assumptions &amp; FX Reference'!$C$5:$C$25,MATCH(H585,'Assumptions &amp; FX Reference'!$A$5:$A$25,0)),""))),"(FX missing)"))</f>
        <v/>
      </c>
      <c r="P585" s="42"/>
      <c r="Q585" s="42"/>
      <c r="R585" s="42"/>
      <c r="S585" s="42"/>
      <c r="T585" s="42"/>
      <c r="U585" s="42"/>
      <c r="V585" s="42"/>
    </row>
    <row r="586" customFormat="false" ht="15" hidden="false" customHeight="false" outlineLevel="0" collapsed="false">
      <c r="A586" s="42"/>
      <c r="B586" s="42"/>
      <c r="C586" s="45" t="str">
        <f aca="false">IF(B586="","",IFERROR(INDEX('Master Database'!$D$5:$D$600,MATCH(B586,'Master Database'!$A$5:$A$600,0)),"(row not found)"))</f>
        <v/>
      </c>
      <c r="D586" s="45" t="str">
        <f aca="false">IF(B586="","",IFERROR(INDEX('Master Database'!$B$5:$B$600,MATCH(B586,'Master Database'!$A$5:$A$600,0)),"(row not found)"))</f>
        <v/>
      </c>
      <c r="E586" s="42"/>
      <c r="F586" s="45" t="str">
        <f aca="false">IF(E586="","",IFERROR(INDEX(Vendor_Register!$B$5:$B$205,MATCH(E586,Vendor_Register!$A$5:$A$205,0)),"(not in register)"))</f>
        <v/>
      </c>
      <c r="G586" s="45" t="str">
        <f aca="false">IF(E586="","",IFERROR(INDEX(Vendor_Register!$E$5:$E$205,MATCH(E586,Vendor_Register!$A$5:$A$205,0)),"(not in register)"))</f>
        <v/>
      </c>
      <c r="H586" s="42"/>
      <c r="I586" s="42"/>
      <c r="J586" s="42"/>
      <c r="K586" s="42"/>
      <c r="L586" s="42"/>
      <c r="M586" s="46"/>
      <c r="N586" s="42"/>
      <c r="O586" s="47" t="str">
        <f aca="false">IF(NOT(ISNUMBER(M586)),"",IFERROR(IF(L586="EUR",M586,IF(L586="IRR",M586/INDEX('Assumptions &amp; FX Reference'!$C$5:$C$25,MATCH(H586,'Assumptions &amp; FX Reference'!$A$5:$A$25,0)),IF(L586="USD",M586*INDEX('Assumptions &amp; FX Reference'!$B$5:$B$25,MATCH(H586,'Assumptions &amp; FX Reference'!$A$5:$A$25,0))/INDEX('Assumptions &amp; FX Reference'!$C$5:$C$25,MATCH(H586,'Assumptions &amp; FX Reference'!$A$5:$A$25,0)),""))),"(FX missing)"))</f>
        <v/>
      </c>
      <c r="P586" s="42"/>
      <c r="Q586" s="42"/>
      <c r="R586" s="42"/>
      <c r="S586" s="42"/>
      <c r="T586" s="42"/>
      <c r="U586" s="42"/>
      <c r="V586" s="42"/>
    </row>
    <row r="587" customFormat="false" ht="15" hidden="false" customHeight="false" outlineLevel="0" collapsed="false">
      <c r="A587" s="42"/>
      <c r="B587" s="42"/>
      <c r="C587" s="45" t="str">
        <f aca="false">IF(B587="","",IFERROR(INDEX('Master Database'!$D$5:$D$600,MATCH(B587,'Master Database'!$A$5:$A$600,0)),"(row not found)"))</f>
        <v/>
      </c>
      <c r="D587" s="45" t="str">
        <f aca="false">IF(B587="","",IFERROR(INDEX('Master Database'!$B$5:$B$600,MATCH(B587,'Master Database'!$A$5:$A$600,0)),"(row not found)"))</f>
        <v/>
      </c>
      <c r="E587" s="42"/>
      <c r="F587" s="45" t="str">
        <f aca="false">IF(E587="","",IFERROR(INDEX(Vendor_Register!$B$5:$B$205,MATCH(E587,Vendor_Register!$A$5:$A$205,0)),"(not in register)"))</f>
        <v/>
      </c>
      <c r="G587" s="45" t="str">
        <f aca="false">IF(E587="","",IFERROR(INDEX(Vendor_Register!$E$5:$E$205,MATCH(E587,Vendor_Register!$A$5:$A$205,0)),"(not in register)"))</f>
        <v/>
      </c>
      <c r="H587" s="42"/>
      <c r="I587" s="42"/>
      <c r="J587" s="42"/>
      <c r="K587" s="42"/>
      <c r="L587" s="42"/>
      <c r="M587" s="46"/>
      <c r="N587" s="42"/>
      <c r="O587" s="47" t="str">
        <f aca="false">IF(NOT(ISNUMBER(M587)),"",IFERROR(IF(L587="EUR",M587,IF(L587="IRR",M587/INDEX('Assumptions &amp; FX Reference'!$C$5:$C$25,MATCH(H587,'Assumptions &amp; FX Reference'!$A$5:$A$25,0)),IF(L587="USD",M587*INDEX('Assumptions &amp; FX Reference'!$B$5:$B$25,MATCH(H587,'Assumptions &amp; FX Reference'!$A$5:$A$25,0))/INDEX('Assumptions &amp; FX Reference'!$C$5:$C$25,MATCH(H587,'Assumptions &amp; FX Reference'!$A$5:$A$25,0)),""))),"(FX missing)"))</f>
        <v/>
      </c>
      <c r="P587" s="42"/>
      <c r="Q587" s="42"/>
      <c r="R587" s="42"/>
      <c r="S587" s="42"/>
      <c r="T587" s="42"/>
      <c r="U587" s="42"/>
      <c r="V587" s="42"/>
    </row>
    <row r="588" customFormat="false" ht="15" hidden="false" customHeight="false" outlineLevel="0" collapsed="false">
      <c r="A588" s="42"/>
      <c r="B588" s="42"/>
      <c r="C588" s="45" t="str">
        <f aca="false">IF(B588="","",IFERROR(INDEX('Master Database'!$D$5:$D$600,MATCH(B588,'Master Database'!$A$5:$A$600,0)),"(row not found)"))</f>
        <v/>
      </c>
      <c r="D588" s="45" t="str">
        <f aca="false">IF(B588="","",IFERROR(INDEX('Master Database'!$B$5:$B$600,MATCH(B588,'Master Database'!$A$5:$A$600,0)),"(row not found)"))</f>
        <v/>
      </c>
      <c r="E588" s="42"/>
      <c r="F588" s="45" t="str">
        <f aca="false">IF(E588="","",IFERROR(INDEX(Vendor_Register!$B$5:$B$205,MATCH(E588,Vendor_Register!$A$5:$A$205,0)),"(not in register)"))</f>
        <v/>
      </c>
      <c r="G588" s="45" t="str">
        <f aca="false">IF(E588="","",IFERROR(INDEX(Vendor_Register!$E$5:$E$205,MATCH(E588,Vendor_Register!$A$5:$A$205,0)),"(not in register)"))</f>
        <v/>
      </c>
      <c r="H588" s="42"/>
      <c r="I588" s="42"/>
      <c r="J588" s="42"/>
      <c r="K588" s="42"/>
      <c r="L588" s="42"/>
      <c r="M588" s="46"/>
      <c r="N588" s="42"/>
      <c r="O588" s="47" t="str">
        <f aca="false">IF(NOT(ISNUMBER(M588)),"",IFERROR(IF(L588="EUR",M588,IF(L588="IRR",M588/INDEX('Assumptions &amp; FX Reference'!$C$5:$C$25,MATCH(H588,'Assumptions &amp; FX Reference'!$A$5:$A$25,0)),IF(L588="USD",M588*INDEX('Assumptions &amp; FX Reference'!$B$5:$B$25,MATCH(H588,'Assumptions &amp; FX Reference'!$A$5:$A$25,0))/INDEX('Assumptions &amp; FX Reference'!$C$5:$C$25,MATCH(H588,'Assumptions &amp; FX Reference'!$A$5:$A$25,0)),""))),"(FX missing)"))</f>
        <v/>
      </c>
      <c r="P588" s="42"/>
      <c r="Q588" s="42"/>
      <c r="R588" s="42"/>
      <c r="S588" s="42"/>
      <c r="T588" s="42"/>
      <c r="U588" s="42"/>
      <c r="V588" s="42"/>
    </row>
    <row r="589" customFormat="false" ht="15" hidden="false" customHeight="false" outlineLevel="0" collapsed="false">
      <c r="A589" s="42"/>
      <c r="B589" s="42"/>
      <c r="C589" s="45" t="str">
        <f aca="false">IF(B589="","",IFERROR(INDEX('Master Database'!$D$5:$D$600,MATCH(B589,'Master Database'!$A$5:$A$600,0)),"(row not found)"))</f>
        <v/>
      </c>
      <c r="D589" s="45" t="str">
        <f aca="false">IF(B589="","",IFERROR(INDEX('Master Database'!$B$5:$B$600,MATCH(B589,'Master Database'!$A$5:$A$600,0)),"(row not found)"))</f>
        <v/>
      </c>
      <c r="E589" s="42"/>
      <c r="F589" s="45" t="str">
        <f aca="false">IF(E589="","",IFERROR(INDEX(Vendor_Register!$B$5:$B$205,MATCH(E589,Vendor_Register!$A$5:$A$205,0)),"(not in register)"))</f>
        <v/>
      </c>
      <c r="G589" s="45" t="str">
        <f aca="false">IF(E589="","",IFERROR(INDEX(Vendor_Register!$E$5:$E$205,MATCH(E589,Vendor_Register!$A$5:$A$205,0)),"(not in register)"))</f>
        <v/>
      </c>
      <c r="H589" s="42"/>
      <c r="I589" s="42"/>
      <c r="J589" s="42"/>
      <c r="K589" s="42"/>
      <c r="L589" s="42"/>
      <c r="M589" s="46"/>
      <c r="N589" s="42"/>
      <c r="O589" s="47" t="str">
        <f aca="false">IF(NOT(ISNUMBER(M589)),"",IFERROR(IF(L589="EUR",M589,IF(L589="IRR",M589/INDEX('Assumptions &amp; FX Reference'!$C$5:$C$25,MATCH(H589,'Assumptions &amp; FX Reference'!$A$5:$A$25,0)),IF(L589="USD",M589*INDEX('Assumptions &amp; FX Reference'!$B$5:$B$25,MATCH(H589,'Assumptions &amp; FX Reference'!$A$5:$A$25,0))/INDEX('Assumptions &amp; FX Reference'!$C$5:$C$25,MATCH(H589,'Assumptions &amp; FX Reference'!$A$5:$A$25,0)),""))),"(FX missing)"))</f>
        <v/>
      </c>
      <c r="P589" s="42"/>
      <c r="Q589" s="42"/>
      <c r="R589" s="42"/>
      <c r="S589" s="42"/>
      <c r="T589" s="42"/>
      <c r="U589" s="42"/>
      <c r="V589" s="42"/>
    </row>
    <row r="590" customFormat="false" ht="15" hidden="false" customHeight="false" outlineLevel="0" collapsed="false">
      <c r="A590" s="42"/>
      <c r="B590" s="42"/>
      <c r="C590" s="45" t="str">
        <f aca="false">IF(B590="","",IFERROR(INDEX('Master Database'!$D$5:$D$600,MATCH(B590,'Master Database'!$A$5:$A$600,0)),"(row not found)"))</f>
        <v/>
      </c>
      <c r="D590" s="45" t="str">
        <f aca="false">IF(B590="","",IFERROR(INDEX('Master Database'!$B$5:$B$600,MATCH(B590,'Master Database'!$A$5:$A$600,0)),"(row not found)"))</f>
        <v/>
      </c>
      <c r="E590" s="42"/>
      <c r="F590" s="45" t="str">
        <f aca="false">IF(E590="","",IFERROR(INDEX(Vendor_Register!$B$5:$B$205,MATCH(E590,Vendor_Register!$A$5:$A$205,0)),"(not in register)"))</f>
        <v/>
      </c>
      <c r="G590" s="45" t="str">
        <f aca="false">IF(E590="","",IFERROR(INDEX(Vendor_Register!$E$5:$E$205,MATCH(E590,Vendor_Register!$A$5:$A$205,0)),"(not in register)"))</f>
        <v/>
      </c>
      <c r="H590" s="42"/>
      <c r="I590" s="42"/>
      <c r="J590" s="42"/>
      <c r="K590" s="42"/>
      <c r="L590" s="42"/>
      <c r="M590" s="46"/>
      <c r="N590" s="42"/>
      <c r="O590" s="47" t="str">
        <f aca="false">IF(NOT(ISNUMBER(M590)),"",IFERROR(IF(L590="EUR",M590,IF(L590="IRR",M590/INDEX('Assumptions &amp; FX Reference'!$C$5:$C$25,MATCH(H590,'Assumptions &amp; FX Reference'!$A$5:$A$25,0)),IF(L590="USD",M590*INDEX('Assumptions &amp; FX Reference'!$B$5:$B$25,MATCH(H590,'Assumptions &amp; FX Reference'!$A$5:$A$25,0))/INDEX('Assumptions &amp; FX Reference'!$C$5:$C$25,MATCH(H590,'Assumptions &amp; FX Reference'!$A$5:$A$25,0)),""))),"(FX missing)"))</f>
        <v/>
      </c>
      <c r="P590" s="42"/>
      <c r="Q590" s="42"/>
      <c r="R590" s="42"/>
      <c r="S590" s="42"/>
      <c r="T590" s="42"/>
      <c r="U590" s="42"/>
      <c r="V590" s="42"/>
    </row>
    <row r="591" customFormat="false" ht="15" hidden="false" customHeight="false" outlineLevel="0" collapsed="false">
      <c r="A591" s="42"/>
      <c r="B591" s="42"/>
      <c r="C591" s="45" t="str">
        <f aca="false">IF(B591="","",IFERROR(INDEX('Master Database'!$D$5:$D$600,MATCH(B591,'Master Database'!$A$5:$A$600,0)),"(row not found)"))</f>
        <v/>
      </c>
      <c r="D591" s="45" t="str">
        <f aca="false">IF(B591="","",IFERROR(INDEX('Master Database'!$B$5:$B$600,MATCH(B591,'Master Database'!$A$5:$A$600,0)),"(row not found)"))</f>
        <v/>
      </c>
      <c r="E591" s="42"/>
      <c r="F591" s="45" t="str">
        <f aca="false">IF(E591="","",IFERROR(INDEX(Vendor_Register!$B$5:$B$205,MATCH(E591,Vendor_Register!$A$5:$A$205,0)),"(not in register)"))</f>
        <v/>
      </c>
      <c r="G591" s="45" t="str">
        <f aca="false">IF(E591="","",IFERROR(INDEX(Vendor_Register!$E$5:$E$205,MATCH(E591,Vendor_Register!$A$5:$A$205,0)),"(not in register)"))</f>
        <v/>
      </c>
      <c r="H591" s="42"/>
      <c r="I591" s="42"/>
      <c r="J591" s="42"/>
      <c r="K591" s="42"/>
      <c r="L591" s="42"/>
      <c r="M591" s="46"/>
      <c r="N591" s="42"/>
      <c r="O591" s="47" t="str">
        <f aca="false">IF(NOT(ISNUMBER(M591)),"",IFERROR(IF(L591="EUR",M591,IF(L591="IRR",M591/INDEX('Assumptions &amp; FX Reference'!$C$5:$C$25,MATCH(H591,'Assumptions &amp; FX Reference'!$A$5:$A$25,0)),IF(L591="USD",M591*INDEX('Assumptions &amp; FX Reference'!$B$5:$B$25,MATCH(H591,'Assumptions &amp; FX Reference'!$A$5:$A$25,0))/INDEX('Assumptions &amp; FX Reference'!$C$5:$C$25,MATCH(H591,'Assumptions &amp; FX Reference'!$A$5:$A$25,0)),""))),"(FX missing)"))</f>
        <v/>
      </c>
      <c r="P591" s="42"/>
      <c r="Q591" s="42"/>
      <c r="R591" s="42"/>
      <c r="S591" s="42"/>
      <c r="T591" s="42"/>
      <c r="U591" s="42"/>
      <c r="V591" s="42"/>
    </row>
    <row r="592" customFormat="false" ht="15" hidden="false" customHeight="false" outlineLevel="0" collapsed="false">
      <c r="A592" s="42"/>
      <c r="B592" s="42"/>
      <c r="C592" s="45" t="str">
        <f aca="false">IF(B592="","",IFERROR(INDEX('Master Database'!$D$5:$D$600,MATCH(B592,'Master Database'!$A$5:$A$600,0)),"(row not found)"))</f>
        <v/>
      </c>
      <c r="D592" s="45" t="str">
        <f aca="false">IF(B592="","",IFERROR(INDEX('Master Database'!$B$5:$B$600,MATCH(B592,'Master Database'!$A$5:$A$600,0)),"(row not found)"))</f>
        <v/>
      </c>
      <c r="E592" s="42"/>
      <c r="F592" s="45" t="str">
        <f aca="false">IF(E592="","",IFERROR(INDEX(Vendor_Register!$B$5:$B$205,MATCH(E592,Vendor_Register!$A$5:$A$205,0)),"(not in register)"))</f>
        <v/>
      </c>
      <c r="G592" s="45" t="str">
        <f aca="false">IF(E592="","",IFERROR(INDEX(Vendor_Register!$E$5:$E$205,MATCH(E592,Vendor_Register!$A$5:$A$205,0)),"(not in register)"))</f>
        <v/>
      </c>
      <c r="H592" s="42"/>
      <c r="I592" s="42"/>
      <c r="J592" s="42"/>
      <c r="K592" s="42"/>
      <c r="L592" s="42"/>
      <c r="M592" s="46"/>
      <c r="N592" s="42"/>
      <c r="O592" s="47" t="str">
        <f aca="false">IF(NOT(ISNUMBER(M592)),"",IFERROR(IF(L592="EUR",M592,IF(L592="IRR",M592/INDEX('Assumptions &amp; FX Reference'!$C$5:$C$25,MATCH(H592,'Assumptions &amp; FX Reference'!$A$5:$A$25,0)),IF(L592="USD",M592*INDEX('Assumptions &amp; FX Reference'!$B$5:$B$25,MATCH(H592,'Assumptions &amp; FX Reference'!$A$5:$A$25,0))/INDEX('Assumptions &amp; FX Reference'!$C$5:$C$25,MATCH(H592,'Assumptions &amp; FX Reference'!$A$5:$A$25,0)),""))),"(FX missing)"))</f>
        <v/>
      </c>
      <c r="P592" s="42"/>
      <c r="Q592" s="42"/>
      <c r="R592" s="42"/>
      <c r="S592" s="42"/>
      <c r="T592" s="42"/>
      <c r="U592" s="42"/>
      <c r="V592" s="42"/>
    </row>
    <row r="593" customFormat="false" ht="15" hidden="false" customHeight="false" outlineLevel="0" collapsed="false">
      <c r="A593" s="42"/>
      <c r="B593" s="42"/>
      <c r="C593" s="45" t="str">
        <f aca="false">IF(B593="","",IFERROR(INDEX('Master Database'!$D$5:$D$600,MATCH(B593,'Master Database'!$A$5:$A$600,0)),"(row not found)"))</f>
        <v/>
      </c>
      <c r="D593" s="45" t="str">
        <f aca="false">IF(B593="","",IFERROR(INDEX('Master Database'!$B$5:$B$600,MATCH(B593,'Master Database'!$A$5:$A$600,0)),"(row not found)"))</f>
        <v/>
      </c>
      <c r="E593" s="42"/>
      <c r="F593" s="45" t="str">
        <f aca="false">IF(E593="","",IFERROR(INDEX(Vendor_Register!$B$5:$B$205,MATCH(E593,Vendor_Register!$A$5:$A$205,0)),"(not in register)"))</f>
        <v/>
      </c>
      <c r="G593" s="45" t="str">
        <f aca="false">IF(E593="","",IFERROR(INDEX(Vendor_Register!$E$5:$E$205,MATCH(E593,Vendor_Register!$A$5:$A$205,0)),"(not in register)"))</f>
        <v/>
      </c>
      <c r="H593" s="42"/>
      <c r="I593" s="42"/>
      <c r="J593" s="42"/>
      <c r="K593" s="42"/>
      <c r="L593" s="42"/>
      <c r="M593" s="46"/>
      <c r="N593" s="42"/>
      <c r="O593" s="47" t="str">
        <f aca="false">IF(NOT(ISNUMBER(M593)),"",IFERROR(IF(L593="EUR",M593,IF(L593="IRR",M593/INDEX('Assumptions &amp; FX Reference'!$C$5:$C$25,MATCH(H593,'Assumptions &amp; FX Reference'!$A$5:$A$25,0)),IF(L593="USD",M593*INDEX('Assumptions &amp; FX Reference'!$B$5:$B$25,MATCH(H593,'Assumptions &amp; FX Reference'!$A$5:$A$25,0))/INDEX('Assumptions &amp; FX Reference'!$C$5:$C$25,MATCH(H593,'Assumptions &amp; FX Reference'!$A$5:$A$25,0)),""))),"(FX missing)"))</f>
        <v/>
      </c>
      <c r="P593" s="42"/>
      <c r="Q593" s="42"/>
      <c r="R593" s="42"/>
      <c r="S593" s="42"/>
      <c r="T593" s="42"/>
      <c r="U593" s="42"/>
      <c r="V593" s="42"/>
    </row>
    <row r="594" customFormat="false" ht="15" hidden="false" customHeight="false" outlineLevel="0" collapsed="false">
      <c r="A594" s="42"/>
      <c r="B594" s="42"/>
      <c r="C594" s="45" t="str">
        <f aca="false">IF(B594="","",IFERROR(INDEX('Master Database'!$D$5:$D$600,MATCH(B594,'Master Database'!$A$5:$A$600,0)),"(row not found)"))</f>
        <v/>
      </c>
      <c r="D594" s="45" t="str">
        <f aca="false">IF(B594="","",IFERROR(INDEX('Master Database'!$B$5:$B$600,MATCH(B594,'Master Database'!$A$5:$A$600,0)),"(row not found)"))</f>
        <v/>
      </c>
      <c r="E594" s="42"/>
      <c r="F594" s="45" t="str">
        <f aca="false">IF(E594="","",IFERROR(INDEX(Vendor_Register!$B$5:$B$205,MATCH(E594,Vendor_Register!$A$5:$A$205,0)),"(not in register)"))</f>
        <v/>
      </c>
      <c r="G594" s="45" t="str">
        <f aca="false">IF(E594="","",IFERROR(INDEX(Vendor_Register!$E$5:$E$205,MATCH(E594,Vendor_Register!$A$5:$A$205,0)),"(not in register)"))</f>
        <v/>
      </c>
      <c r="H594" s="42"/>
      <c r="I594" s="42"/>
      <c r="J594" s="42"/>
      <c r="K594" s="42"/>
      <c r="L594" s="42"/>
      <c r="M594" s="46"/>
      <c r="N594" s="42"/>
      <c r="O594" s="47" t="str">
        <f aca="false">IF(NOT(ISNUMBER(M594)),"",IFERROR(IF(L594="EUR",M594,IF(L594="IRR",M594/INDEX('Assumptions &amp; FX Reference'!$C$5:$C$25,MATCH(H594,'Assumptions &amp; FX Reference'!$A$5:$A$25,0)),IF(L594="USD",M594*INDEX('Assumptions &amp; FX Reference'!$B$5:$B$25,MATCH(H594,'Assumptions &amp; FX Reference'!$A$5:$A$25,0))/INDEX('Assumptions &amp; FX Reference'!$C$5:$C$25,MATCH(H594,'Assumptions &amp; FX Reference'!$A$5:$A$25,0)),""))),"(FX missing)"))</f>
        <v/>
      </c>
      <c r="P594" s="42"/>
      <c r="Q594" s="42"/>
      <c r="R594" s="42"/>
      <c r="S594" s="42"/>
      <c r="T594" s="42"/>
      <c r="U594" s="42"/>
      <c r="V594" s="42"/>
    </row>
    <row r="595" customFormat="false" ht="15" hidden="false" customHeight="false" outlineLevel="0" collapsed="false">
      <c r="A595" s="42"/>
      <c r="B595" s="42"/>
      <c r="C595" s="45" t="str">
        <f aca="false">IF(B595="","",IFERROR(INDEX('Master Database'!$D$5:$D$600,MATCH(B595,'Master Database'!$A$5:$A$600,0)),"(row not found)"))</f>
        <v/>
      </c>
      <c r="D595" s="45" t="str">
        <f aca="false">IF(B595="","",IFERROR(INDEX('Master Database'!$B$5:$B$600,MATCH(B595,'Master Database'!$A$5:$A$600,0)),"(row not found)"))</f>
        <v/>
      </c>
      <c r="E595" s="42"/>
      <c r="F595" s="45" t="str">
        <f aca="false">IF(E595="","",IFERROR(INDEX(Vendor_Register!$B$5:$B$205,MATCH(E595,Vendor_Register!$A$5:$A$205,0)),"(not in register)"))</f>
        <v/>
      </c>
      <c r="G595" s="45" t="str">
        <f aca="false">IF(E595="","",IFERROR(INDEX(Vendor_Register!$E$5:$E$205,MATCH(E595,Vendor_Register!$A$5:$A$205,0)),"(not in register)"))</f>
        <v/>
      </c>
      <c r="H595" s="42"/>
      <c r="I595" s="42"/>
      <c r="J595" s="42"/>
      <c r="K595" s="42"/>
      <c r="L595" s="42"/>
      <c r="M595" s="46"/>
      <c r="N595" s="42"/>
      <c r="O595" s="47" t="str">
        <f aca="false">IF(NOT(ISNUMBER(M595)),"",IFERROR(IF(L595="EUR",M595,IF(L595="IRR",M595/INDEX('Assumptions &amp; FX Reference'!$C$5:$C$25,MATCH(H595,'Assumptions &amp; FX Reference'!$A$5:$A$25,0)),IF(L595="USD",M595*INDEX('Assumptions &amp; FX Reference'!$B$5:$B$25,MATCH(H595,'Assumptions &amp; FX Reference'!$A$5:$A$25,0))/INDEX('Assumptions &amp; FX Reference'!$C$5:$C$25,MATCH(H595,'Assumptions &amp; FX Reference'!$A$5:$A$25,0)),""))),"(FX missing)"))</f>
        <v/>
      </c>
      <c r="P595" s="42"/>
      <c r="Q595" s="42"/>
      <c r="R595" s="42"/>
      <c r="S595" s="42"/>
      <c r="T595" s="42"/>
      <c r="U595" s="42"/>
      <c r="V595" s="42"/>
    </row>
    <row r="596" customFormat="false" ht="15" hidden="false" customHeight="false" outlineLevel="0" collapsed="false">
      <c r="A596" s="42"/>
      <c r="B596" s="42"/>
      <c r="C596" s="45" t="str">
        <f aca="false">IF(B596="","",IFERROR(INDEX('Master Database'!$D$5:$D$600,MATCH(B596,'Master Database'!$A$5:$A$600,0)),"(row not found)"))</f>
        <v/>
      </c>
      <c r="D596" s="45" t="str">
        <f aca="false">IF(B596="","",IFERROR(INDEX('Master Database'!$B$5:$B$600,MATCH(B596,'Master Database'!$A$5:$A$600,0)),"(row not found)"))</f>
        <v/>
      </c>
      <c r="E596" s="42"/>
      <c r="F596" s="45" t="str">
        <f aca="false">IF(E596="","",IFERROR(INDEX(Vendor_Register!$B$5:$B$205,MATCH(E596,Vendor_Register!$A$5:$A$205,0)),"(not in register)"))</f>
        <v/>
      </c>
      <c r="G596" s="45" t="str">
        <f aca="false">IF(E596="","",IFERROR(INDEX(Vendor_Register!$E$5:$E$205,MATCH(E596,Vendor_Register!$A$5:$A$205,0)),"(not in register)"))</f>
        <v/>
      </c>
      <c r="H596" s="42"/>
      <c r="I596" s="42"/>
      <c r="J596" s="42"/>
      <c r="K596" s="42"/>
      <c r="L596" s="42"/>
      <c r="M596" s="46"/>
      <c r="N596" s="42"/>
      <c r="O596" s="47" t="str">
        <f aca="false">IF(NOT(ISNUMBER(M596)),"",IFERROR(IF(L596="EUR",M596,IF(L596="IRR",M596/INDEX('Assumptions &amp; FX Reference'!$C$5:$C$25,MATCH(H596,'Assumptions &amp; FX Reference'!$A$5:$A$25,0)),IF(L596="USD",M596*INDEX('Assumptions &amp; FX Reference'!$B$5:$B$25,MATCH(H596,'Assumptions &amp; FX Reference'!$A$5:$A$25,0))/INDEX('Assumptions &amp; FX Reference'!$C$5:$C$25,MATCH(H596,'Assumptions &amp; FX Reference'!$A$5:$A$25,0)),""))),"(FX missing)"))</f>
        <v/>
      </c>
      <c r="P596" s="42"/>
      <c r="Q596" s="42"/>
      <c r="R596" s="42"/>
      <c r="S596" s="42"/>
      <c r="T596" s="42"/>
      <c r="U596" s="42"/>
      <c r="V596" s="42"/>
    </row>
    <row r="597" customFormat="false" ht="15" hidden="false" customHeight="false" outlineLevel="0" collapsed="false">
      <c r="A597" s="42"/>
      <c r="B597" s="42"/>
      <c r="C597" s="45" t="str">
        <f aca="false">IF(B597="","",IFERROR(INDEX('Master Database'!$D$5:$D$600,MATCH(B597,'Master Database'!$A$5:$A$600,0)),"(row not found)"))</f>
        <v/>
      </c>
      <c r="D597" s="45" t="str">
        <f aca="false">IF(B597="","",IFERROR(INDEX('Master Database'!$B$5:$B$600,MATCH(B597,'Master Database'!$A$5:$A$600,0)),"(row not found)"))</f>
        <v/>
      </c>
      <c r="E597" s="42"/>
      <c r="F597" s="45" t="str">
        <f aca="false">IF(E597="","",IFERROR(INDEX(Vendor_Register!$B$5:$B$205,MATCH(E597,Vendor_Register!$A$5:$A$205,0)),"(not in register)"))</f>
        <v/>
      </c>
      <c r="G597" s="45" t="str">
        <f aca="false">IF(E597="","",IFERROR(INDEX(Vendor_Register!$E$5:$E$205,MATCH(E597,Vendor_Register!$A$5:$A$205,0)),"(not in register)"))</f>
        <v/>
      </c>
      <c r="H597" s="42"/>
      <c r="I597" s="42"/>
      <c r="J597" s="42"/>
      <c r="K597" s="42"/>
      <c r="L597" s="42"/>
      <c r="M597" s="46"/>
      <c r="N597" s="42"/>
      <c r="O597" s="47" t="str">
        <f aca="false">IF(NOT(ISNUMBER(M597)),"",IFERROR(IF(L597="EUR",M597,IF(L597="IRR",M597/INDEX('Assumptions &amp; FX Reference'!$C$5:$C$25,MATCH(H597,'Assumptions &amp; FX Reference'!$A$5:$A$25,0)),IF(L597="USD",M597*INDEX('Assumptions &amp; FX Reference'!$B$5:$B$25,MATCH(H597,'Assumptions &amp; FX Reference'!$A$5:$A$25,0))/INDEX('Assumptions &amp; FX Reference'!$C$5:$C$25,MATCH(H597,'Assumptions &amp; FX Reference'!$A$5:$A$25,0)),""))),"(FX missing)"))</f>
        <v/>
      </c>
      <c r="P597" s="42"/>
      <c r="Q597" s="42"/>
      <c r="R597" s="42"/>
      <c r="S597" s="42"/>
      <c r="T597" s="42"/>
      <c r="U597" s="42"/>
      <c r="V597" s="42"/>
    </row>
    <row r="598" customFormat="false" ht="15" hidden="false" customHeight="false" outlineLevel="0" collapsed="false">
      <c r="A598" s="42"/>
      <c r="B598" s="42"/>
      <c r="C598" s="45" t="str">
        <f aca="false">IF(B598="","",IFERROR(INDEX('Master Database'!$D$5:$D$600,MATCH(B598,'Master Database'!$A$5:$A$600,0)),"(row not found)"))</f>
        <v/>
      </c>
      <c r="D598" s="45" t="str">
        <f aca="false">IF(B598="","",IFERROR(INDEX('Master Database'!$B$5:$B$600,MATCH(B598,'Master Database'!$A$5:$A$600,0)),"(row not found)"))</f>
        <v/>
      </c>
      <c r="E598" s="42"/>
      <c r="F598" s="45" t="str">
        <f aca="false">IF(E598="","",IFERROR(INDEX(Vendor_Register!$B$5:$B$205,MATCH(E598,Vendor_Register!$A$5:$A$205,0)),"(not in register)"))</f>
        <v/>
      </c>
      <c r="G598" s="45" t="str">
        <f aca="false">IF(E598="","",IFERROR(INDEX(Vendor_Register!$E$5:$E$205,MATCH(E598,Vendor_Register!$A$5:$A$205,0)),"(not in register)"))</f>
        <v/>
      </c>
      <c r="H598" s="42"/>
      <c r="I598" s="42"/>
      <c r="J598" s="42"/>
      <c r="K598" s="42"/>
      <c r="L598" s="42"/>
      <c r="M598" s="46"/>
      <c r="N598" s="42"/>
      <c r="O598" s="47" t="str">
        <f aca="false">IF(NOT(ISNUMBER(M598)),"",IFERROR(IF(L598="EUR",M598,IF(L598="IRR",M598/INDEX('Assumptions &amp; FX Reference'!$C$5:$C$25,MATCH(H598,'Assumptions &amp; FX Reference'!$A$5:$A$25,0)),IF(L598="USD",M598*INDEX('Assumptions &amp; FX Reference'!$B$5:$B$25,MATCH(H598,'Assumptions &amp; FX Reference'!$A$5:$A$25,0))/INDEX('Assumptions &amp; FX Reference'!$C$5:$C$25,MATCH(H598,'Assumptions &amp; FX Reference'!$A$5:$A$25,0)),""))),"(FX missing)"))</f>
        <v/>
      </c>
      <c r="P598" s="42"/>
      <c r="Q598" s="42"/>
      <c r="R598" s="42"/>
      <c r="S598" s="42"/>
      <c r="T598" s="42"/>
      <c r="U598" s="42"/>
      <c r="V598" s="42"/>
    </row>
    <row r="599" customFormat="false" ht="15" hidden="false" customHeight="false" outlineLevel="0" collapsed="false">
      <c r="A599" s="42"/>
      <c r="B599" s="42"/>
      <c r="C599" s="45" t="str">
        <f aca="false">IF(B599="","",IFERROR(INDEX('Master Database'!$D$5:$D$600,MATCH(B599,'Master Database'!$A$5:$A$600,0)),"(row not found)"))</f>
        <v/>
      </c>
      <c r="D599" s="45" t="str">
        <f aca="false">IF(B599="","",IFERROR(INDEX('Master Database'!$B$5:$B$600,MATCH(B599,'Master Database'!$A$5:$A$600,0)),"(row not found)"))</f>
        <v/>
      </c>
      <c r="E599" s="42"/>
      <c r="F599" s="45" t="str">
        <f aca="false">IF(E599="","",IFERROR(INDEX(Vendor_Register!$B$5:$B$205,MATCH(E599,Vendor_Register!$A$5:$A$205,0)),"(not in register)"))</f>
        <v/>
      </c>
      <c r="G599" s="45" t="str">
        <f aca="false">IF(E599="","",IFERROR(INDEX(Vendor_Register!$E$5:$E$205,MATCH(E599,Vendor_Register!$A$5:$A$205,0)),"(not in register)"))</f>
        <v/>
      </c>
      <c r="H599" s="42"/>
      <c r="I599" s="42"/>
      <c r="J599" s="42"/>
      <c r="K599" s="42"/>
      <c r="L599" s="42"/>
      <c r="M599" s="46"/>
      <c r="N599" s="42"/>
      <c r="O599" s="47" t="str">
        <f aca="false">IF(NOT(ISNUMBER(M599)),"",IFERROR(IF(L599="EUR",M599,IF(L599="IRR",M599/INDEX('Assumptions &amp; FX Reference'!$C$5:$C$25,MATCH(H599,'Assumptions &amp; FX Reference'!$A$5:$A$25,0)),IF(L599="USD",M599*INDEX('Assumptions &amp; FX Reference'!$B$5:$B$25,MATCH(H599,'Assumptions &amp; FX Reference'!$A$5:$A$25,0))/INDEX('Assumptions &amp; FX Reference'!$C$5:$C$25,MATCH(H599,'Assumptions &amp; FX Reference'!$A$5:$A$25,0)),""))),"(FX missing)"))</f>
        <v/>
      </c>
      <c r="P599" s="42"/>
      <c r="Q599" s="42"/>
      <c r="R599" s="42"/>
      <c r="S599" s="42"/>
      <c r="T599" s="42"/>
      <c r="U599" s="42"/>
      <c r="V599" s="42"/>
    </row>
    <row r="600" customFormat="false" ht="15" hidden="false" customHeight="false" outlineLevel="0" collapsed="false">
      <c r="A600" s="42"/>
      <c r="B600" s="42"/>
      <c r="C600" s="45" t="str">
        <f aca="false">IF(B600="","",IFERROR(INDEX('Master Database'!$D$5:$D$600,MATCH(B600,'Master Database'!$A$5:$A$600,0)),"(row not found)"))</f>
        <v/>
      </c>
      <c r="D600" s="45" t="str">
        <f aca="false">IF(B600="","",IFERROR(INDEX('Master Database'!$B$5:$B$600,MATCH(B600,'Master Database'!$A$5:$A$600,0)),"(row not found)"))</f>
        <v/>
      </c>
      <c r="E600" s="42"/>
      <c r="F600" s="45" t="str">
        <f aca="false">IF(E600="","",IFERROR(INDEX(Vendor_Register!$B$5:$B$205,MATCH(E600,Vendor_Register!$A$5:$A$205,0)),"(not in register)"))</f>
        <v/>
      </c>
      <c r="G600" s="45" t="str">
        <f aca="false">IF(E600="","",IFERROR(INDEX(Vendor_Register!$E$5:$E$205,MATCH(E600,Vendor_Register!$A$5:$A$205,0)),"(not in register)"))</f>
        <v/>
      </c>
      <c r="H600" s="42"/>
      <c r="I600" s="42"/>
      <c r="J600" s="42"/>
      <c r="K600" s="42"/>
      <c r="L600" s="42"/>
      <c r="M600" s="46"/>
      <c r="N600" s="42"/>
      <c r="O600" s="47" t="str">
        <f aca="false">IF(NOT(ISNUMBER(M600)),"",IFERROR(IF(L600="EUR",M600,IF(L600="IRR",M600/INDEX('Assumptions &amp; FX Reference'!$C$5:$C$25,MATCH(H600,'Assumptions &amp; FX Reference'!$A$5:$A$25,0)),IF(L600="USD",M600*INDEX('Assumptions &amp; FX Reference'!$B$5:$B$25,MATCH(H600,'Assumptions &amp; FX Reference'!$A$5:$A$25,0))/INDEX('Assumptions &amp; FX Reference'!$C$5:$C$25,MATCH(H600,'Assumptions &amp; FX Reference'!$A$5:$A$25,0)),""))),"(FX missing)"))</f>
        <v/>
      </c>
      <c r="P600" s="42"/>
      <c r="Q600" s="42"/>
      <c r="R600" s="42"/>
      <c r="S600" s="42"/>
      <c r="T600" s="42"/>
      <c r="U600" s="42"/>
      <c r="V600" s="42"/>
    </row>
    <row r="601" customFormat="false" ht="15" hidden="false" customHeight="false" outlineLevel="0" collapsed="false">
      <c r="A601" s="42"/>
      <c r="B601" s="42"/>
      <c r="C601" s="45" t="str">
        <f aca="false">IF(B601="","",IFERROR(INDEX('Master Database'!$D$5:$D$600,MATCH(B601,'Master Database'!$A$5:$A$600,0)),"(row not found)"))</f>
        <v/>
      </c>
      <c r="D601" s="45" t="str">
        <f aca="false">IF(B601="","",IFERROR(INDEX('Master Database'!$B$5:$B$600,MATCH(B601,'Master Database'!$A$5:$A$600,0)),"(row not found)"))</f>
        <v/>
      </c>
      <c r="E601" s="42"/>
      <c r="F601" s="45" t="str">
        <f aca="false">IF(E601="","",IFERROR(INDEX(Vendor_Register!$B$5:$B$205,MATCH(E601,Vendor_Register!$A$5:$A$205,0)),"(not in register)"))</f>
        <v/>
      </c>
      <c r="G601" s="45" t="str">
        <f aca="false">IF(E601="","",IFERROR(INDEX(Vendor_Register!$E$5:$E$205,MATCH(E601,Vendor_Register!$A$5:$A$205,0)),"(not in register)"))</f>
        <v/>
      </c>
      <c r="H601" s="42"/>
      <c r="I601" s="42"/>
      <c r="J601" s="42"/>
      <c r="K601" s="42"/>
      <c r="L601" s="42"/>
      <c r="M601" s="46"/>
      <c r="N601" s="42"/>
      <c r="O601" s="47" t="str">
        <f aca="false">IF(NOT(ISNUMBER(M601)),"",IFERROR(IF(L601="EUR",M601,IF(L601="IRR",M601/INDEX('Assumptions &amp; FX Reference'!$C$5:$C$25,MATCH(H601,'Assumptions &amp; FX Reference'!$A$5:$A$25,0)),IF(L601="USD",M601*INDEX('Assumptions &amp; FX Reference'!$B$5:$B$25,MATCH(H601,'Assumptions &amp; FX Reference'!$A$5:$A$25,0))/INDEX('Assumptions &amp; FX Reference'!$C$5:$C$25,MATCH(H601,'Assumptions &amp; FX Reference'!$A$5:$A$25,0)),""))),"(FX missing)"))</f>
        <v/>
      </c>
      <c r="P601" s="42"/>
      <c r="Q601" s="42"/>
      <c r="R601" s="42"/>
      <c r="S601" s="42"/>
      <c r="T601" s="42"/>
      <c r="U601" s="42"/>
      <c r="V601" s="42"/>
    </row>
    <row r="602" customFormat="false" ht="15" hidden="false" customHeight="false" outlineLevel="0" collapsed="false">
      <c r="A602" s="42"/>
      <c r="B602" s="42"/>
      <c r="C602" s="45" t="str">
        <f aca="false">IF(B602="","",IFERROR(INDEX('Master Database'!$D$5:$D$600,MATCH(B602,'Master Database'!$A$5:$A$600,0)),"(row not found)"))</f>
        <v/>
      </c>
      <c r="D602" s="45" t="str">
        <f aca="false">IF(B602="","",IFERROR(INDEX('Master Database'!$B$5:$B$600,MATCH(B602,'Master Database'!$A$5:$A$600,0)),"(row not found)"))</f>
        <v/>
      </c>
      <c r="E602" s="42"/>
      <c r="F602" s="45" t="str">
        <f aca="false">IF(E602="","",IFERROR(INDEX(Vendor_Register!$B$5:$B$205,MATCH(E602,Vendor_Register!$A$5:$A$205,0)),"(not in register)"))</f>
        <v/>
      </c>
      <c r="G602" s="45" t="str">
        <f aca="false">IF(E602="","",IFERROR(INDEX(Vendor_Register!$E$5:$E$205,MATCH(E602,Vendor_Register!$A$5:$A$205,0)),"(not in register)"))</f>
        <v/>
      </c>
      <c r="H602" s="42"/>
      <c r="I602" s="42"/>
      <c r="J602" s="42"/>
      <c r="K602" s="42"/>
      <c r="L602" s="42"/>
      <c r="M602" s="46"/>
      <c r="N602" s="42"/>
      <c r="O602" s="47" t="str">
        <f aca="false">IF(NOT(ISNUMBER(M602)),"",IFERROR(IF(L602="EUR",M602,IF(L602="IRR",M602/INDEX('Assumptions &amp; FX Reference'!$C$5:$C$25,MATCH(H602,'Assumptions &amp; FX Reference'!$A$5:$A$25,0)),IF(L602="USD",M602*INDEX('Assumptions &amp; FX Reference'!$B$5:$B$25,MATCH(H602,'Assumptions &amp; FX Reference'!$A$5:$A$25,0))/INDEX('Assumptions &amp; FX Reference'!$C$5:$C$25,MATCH(H602,'Assumptions &amp; FX Reference'!$A$5:$A$25,0)),""))),"(FX missing)"))</f>
        <v/>
      </c>
      <c r="P602" s="42"/>
      <c r="Q602" s="42"/>
      <c r="R602" s="42"/>
      <c r="S602" s="42"/>
      <c r="T602" s="42"/>
      <c r="U602" s="42"/>
      <c r="V602" s="42"/>
    </row>
    <row r="603" customFormat="false" ht="15" hidden="false" customHeight="false" outlineLevel="0" collapsed="false">
      <c r="A603" s="42"/>
      <c r="B603" s="42"/>
      <c r="C603" s="45" t="str">
        <f aca="false">IF(B603="","",IFERROR(INDEX('Master Database'!$D$5:$D$600,MATCH(B603,'Master Database'!$A$5:$A$600,0)),"(row not found)"))</f>
        <v/>
      </c>
      <c r="D603" s="45" t="str">
        <f aca="false">IF(B603="","",IFERROR(INDEX('Master Database'!$B$5:$B$600,MATCH(B603,'Master Database'!$A$5:$A$600,0)),"(row not found)"))</f>
        <v/>
      </c>
      <c r="E603" s="42"/>
      <c r="F603" s="45" t="str">
        <f aca="false">IF(E603="","",IFERROR(INDEX(Vendor_Register!$B$5:$B$205,MATCH(E603,Vendor_Register!$A$5:$A$205,0)),"(not in register)"))</f>
        <v/>
      </c>
      <c r="G603" s="45" t="str">
        <f aca="false">IF(E603="","",IFERROR(INDEX(Vendor_Register!$E$5:$E$205,MATCH(E603,Vendor_Register!$A$5:$A$205,0)),"(not in register)"))</f>
        <v/>
      </c>
      <c r="H603" s="42"/>
      <c r="I603" s="42"/>
      <c r="J603" s="42"/>
      <c r="K603" s="42"/>
      <c r="L603" s="42"/>
      <c r="M603" s="46"/>
      <c r="N603" s="42"/>
      <c r="O603" s="47" t="str">
        <f aca="false">IF(NOT(ISNUMBER(M603)),"",IFERROR(IF(L603="EUR",M603,IF(L603="IRR",M603/INDEX('Assumptions &amp; FX Reference'!$C$5:$C$25,MATCH(H603,'Assumptions &amp; FX Reference'!$A$5:$A$25,0)),IF(L603="USD",M603*INDEX('Assumptions &amp; FX Reference'!$B$5:$B$25,MATCH(H603,'Assumptions &amp; FX Reference'!$A$5:$A$25,0))/INDEX('Assumptions &amp; FX Reference'!$C$5:$C$25,MATCH(H603,'Assumptions &amp; FX Reference'!$A$5:$A$25,0)),""))),"(FX missing)"))</f>
        <v/>
      </c>
      <c r="P603" s="42"/>
      <c r="Q603" s="42"/>
      <c r="R603" s="42"/>
      <c r="S603" s="42"/>
      <c r="T603" s="42"/>
      <c r="U603" s="42"/>
      <c r="V603" s="42"/>
    </row>
    <row r="604" customFormat="false" ht="15" hidden="false" customHeight="false" outlineLevel="0" collapsed="false">
      <c r="A604" s="42"/>
      <c r="B604" s="42"/>
      <c r="C604" s="45" t="str">
        <f aca="false">IF(B604="","",IFERROR(INDEX('Master Database'!$D$5:$D$600,MATCH(B604,'Master Database'!$A$5:$A$600,0)),"(row not found)"))</f>
        <v/>
      </c>
      <c r="D604" s="45" t="str">
        <f aca="false">IF(B604="","",IFERROR(INDEX('Master Database'!$B$5:$B$600,MATCH(B604,'Master Database'!$A$5:$A$600,0)),"(row not found)"))</f>
        <v/>
      </c>
      <c r="E604" s="42"/>
      <c r="F604" s="45" t="str">
        <f aca="false">IF(E604="","",IFERROR(INDEX(Vendor_Register!$B$5:$B$205,MATCH(E604,Vendor_Register!$A$5:$A$205,0)),"(not in register)"))</f>
        <v/>
      </c>
      <c r="G604" s="45" t="str">
        <f aca="false">IF(E604="","",IFERROR(INDEX(Vendor_Register!$E$5:$E$205,MATCH(E604,Vendor_Register!$A$5:$A$205,0)),"(not in register)"))</f>
        <v/>
      </c>
      <c r="H604" s="42"/>
      <c r="I604" s="42"/>
      <c r="J604" s="42"/>
      <c r="K604" s="42"/>
      <c r="L604" s="42"/>
      <c r="M604" s="46"/>
      <c r="N604" s="42"/>
      <c r="O604" s="47" t="str">
        <f aca="false">IF(NOT(ISNUMBER(M604)),"",IFERROR(IF(L604="EUR",M604,IF(L604="IRR",M604/INDEX('Assumptions &amp; FX Reference'!$C$5:$C$25,MATCH(H604,'Assumptions &amp; FX Reference'!$A$5:$A$25,0)),IF(L604="USD",M604*INDEX('Assumptions &amp; FX Reference'!$B$5:$B$25,MATCH(H604,'Assumptions &amp; FX Reference'!$A$5:$A$25,0))/INDEX('Assumptions &amp; FX Reference'!$C$5:$C$25,MATCH(H604,'Assumptions &amp; FX Reference'!$A$5:$A$25,0)),""))),"(FX missing)"))</f>
        <v/>
      </c>
      <c r="P604" s="42"/>
      <c r="Q604" s="42"/>
      <c r="R604" s="42"/>
      <c r="S604" s="42"/>
      <c r="T604" s="42"/>
      <c r="U604" s="42"/>
      <c r="V604" s="42"/>
    </row>
    <row r="605" customFormat="false" ht="15" hidden="false" customHeight="false" outlineLevel="0" collapsed="false">
      <c r="A605" s="42"/>
      <c r="B605" s="42"/>
      <c r="C605" s="45" t="str">
        <f aca="false">IF(B605="","",IFERROR(INDEX('Master Database'!$D$5:$D$600,MATCH(B605,'Master Database'!$A$5:$A$600,0)),"(row not found)"))</f>
        <v/>
      </c>
      <c r="D605" s="45" t="str">
        <f aca="false">IF(B605="","",IFERROR(INDEX('Master Database'!$B$5:$B$600,MATCH(B605,'Master Database'!$A$5:$A$600,0)),"(row not found)"))</f>
        <v/>
      </c>
      <c r="E605" s="42"/>
      <c r="F605" s="45" t="str">
        <f aca="false">IF(E605="","",IFERROR(INDEX(Vendor_Register!$B$5:$B$205,MATCH(E605,Vendor_Register!$A$5:$A$205,0)),"(not in register)"))</f>
        <v/>
      </c>
      <c r="G605" s="45" t="str">
        <f aca="false">IF(E605="","",IFERROR(INDEX(Vendor_Register!$E$5:$E$205,MATCH(E605,Vendor_Register!$A$5:$A$205,0)),"(not in register)"))</f>
        <v/>
      </c>
      <c r="H605" s="42"/>
      <c r="I605" s="42"/>
      <c r="J605" s="42"/>
      <c r="K605" s="42"/>
      <c r="L605" s="42"/>
      <c r="M605" s="46"/>
      <c r="N605" s="42"/>
      <c r="O605" s="47" t="str">
        <f aca="false">IF(NOT(ISNUMBER(M605)),"",IFERROR(IF(L605="EUR",M605,IF(L605="IRR",M605/INDEX('Assumptions &amp; FX Reference'!$C$5:$C$25,MATCH(H605,'Assumptions &amp; FX Reference'!$A$5:$A$25,0)),IF(L605="USD",M605*INDEX('Assumptions &amp; FX Reference'!$B$5:$B$25,MATCH(H605,'Assumptions &amp; FX Reference'!$A$5:$A$25,0))/INDEX('Assumptions &amp; FX Reference'!$C$5:$C$25,MATCH(H605,'Assumptions &amp; FX Reference'!$A$5:$A$25,0)),""))),"(FX missing)"))</f>
        <v/>
      </c>
      <c r="P605" s="42"/>
      <c r="Q605" s="42"/>
      <c r="R605" s="42"/>
      <c r="S605" s="42"/>
      <c r="T605" s="42"/>
      <c r="U605" s="42"/>
      <c r="V605" s="42"/>
    </row>
    <row r="606" customFormat="false" ht="15" hidden="false" customHeight="false" outlineLevel="0" collapsed="false">
      <c r="A606" s="42"/>
      <c r="B606" s="42"/>
      <c r="C606" s="45" t="str">
        <f aca="false">IF(B606="","",IFERROR(INDEX('Master Database'!$D$5:$D$600,MATCH(B606,'Master Database'!$A$5:$A$600,0)),"(row not found)"))</f>
        <v/>
      </c>
      <c r="D606" s="45" t="str">
        <f aca="false">IF(B606="","",IFERROR(INDEX('Master Database'!$B$5:$B$600,MATCH(B606,'Master Database'!$A$5:$A$600,0)),"(row not found)"))</f>
        <v/>
      </c>
      <c r="E606" s="42"/>
      <c r="F606" s="45" t="str">
        <f aca="false">IF(E606="","",IFERROR(INDEX(Vendor_Register!$B$5:$B$205,MATCH(E606,Vendor_Register!$A$5:$A$205,0)),"(not in register)"))</f>
        <v/>
      </c>
      <c r="G606" s="45" t="str">
        <f aca="false">IF(E606="","",IFERROR(INDEX(Vendor_Register!$E$5:$E$205,MATCH(E606,Vendor_Register!$A$5:$A$205,0)),"(not in register)"))</f>
        <v/>
      </c>
      <c r="H606" s="42"/>
      <c r="I606" s="42"/>
      <c r="J606" s="42"/>
      <c r="K606" s="42"/>
      <c r="L606" s="42"/>
      <c r="M606" s="46"/>
      <c r="N606" s="42"/>
      <c r="O606" s="47" t="str">
        <f aca="false">IF(NOT(ISNUMBER(M606)),"",IFERROR(IF(L606="EUR",M606,IF(L606="IRR",M606/INDEX('Assumptions &amp; FX Reference'!$C$5:$C$25,MATCH(H606,'Assumptions &amp; FX Reference'!$A$5:$A$25,0)),IF(L606="USD",M606*INDEX('Assumptions &amp; FX Reference'!$B$5:$B$25,MATCH(H606,'Assumptions &amp; FX Reference'!$A$5:$A$25,0))/INDEX('Assumptions &amp; FX Reference'!$C$5:$C$25,MATCH(H606,'Assumptions &amp; FX Reference'!$A$5:$A$25,0)),""))),"(FX missing)"))</f>
        <v/>
      </c>
      <c r="P606" s="42"/>
      <c r="Q606" s="42"/>
      <c r="R606" s="42"/>
      <c r="S606" s="42"/>
      <c r="T606" s="42"/>
      <c r="U606" s="42"/>
      <c r="V606" s="42"/>
    </row>
    <row r="607" customFormat="false" ht="15" hidden="false" customHeight="false" outlineLevel="0" collapsed="false">
      <c r="A607" s="42"/>
      <c r="B607" s="42"/>
      <c r="C607" s="45" t="str">
        <f aca="false">IF(B607="","",IFERROR(INDEX('Master Database'!$D$5:$D$600,MATCH(B607,'Master Database'!$A$5:$A$600,0)),"(row not found)"))</f>
        <v/>
      </c>
      <c r="D607" s="45" t="str">
        <f aca="false">IF(B607="","",IFERROR(INDEX('Master Database'!$B$5:$B$600,MATCH(B607,'Master Database'!$A$5:$A$600,0)),"(row not found)"))</f>
        <v/>
      </c>
      <c r="E607" s="42"/>
      <c r="F607" s="45" t="str">
        <f aca="false">IF(E607="","",IFERROR(INDEX(Vendor_Register!$B$5:$B$205,MATCH(E607,Vendor_Register!$A$5:$A$205,0)),"(not in register)"))</f>
        <v/>
      </c>
      <c r="G607" s="45" t="str">
        <f aca="false">IF(E607="","",IFERROR(INDEX(Vendor_Register!$E$5:$E$205,MATCH(E607,Vendor_Register!$A$5:$A$205,0)),"(not in register)"))</f>
        <v/>
      </c>
      <c r="H607" s="42"/>
      <c r="I607" s="42"/>
      <c r="J607" s="42"/>
      <c r="K607" s="42"/>
      <c r="L607" s="42"/>
      <c r="M607" s="46"/>
      <c r="N607" s="42"/>
      <c r="O607" s="47" t="str">
        <f aca="false">IF(NOT(ISNUMBER(M607)),"",IFERROR(IF(L607="EUR",M607,IF(L607="IRR",M607/INDEX('Assumptions &amp; FX Reference'!$C$5:$C$25,MATCH(H607,'Assumptions &amp; FX Reference'!$A$5:$A$25,0)),IF(L607="USD",M607*INDEX('Assumptions &amp; FX Reference'!$B$5:$B$25,MATCH(H607,'Assumptions &amp; FX Reference'!$A$5:$A$25,0))/INDEX('Assumptions &amp; FX Reference'!$C$5:$C$25,MATCH(H607,'Assumptions &amp; FX Reference'!$A$5:$A$25,0)),""))),"(FX missing)"))</f>
        <v/>
      </c>
      <c r="P607" s="42"/>
      <c r="Q607" s="42"/>
      <c r="R607" s="42"/>
      <c r="S607" s="42"/>
      <c r="T607" s="42"/>
      <c r="U607" s="42"/>
      <c r="V607" s="42"/>
    </row>
    <row r="608" customFormat="false" ht="15" hidden="false" customHeight="false" outlineLevel="0" collapsed="false">
      <c r="A608" s="42"/>
      <c r="B608" s="42"/>
      <c r="C608" s="45" t="str">
        <f aca="false">IF(B608="","",IFERROR(INDEX('Master Database'!$D$5:$D$600,MATCH(B608,'Master Database'!$A$5:$A$600,0)),"(row not found)"))</f>
        <v/>
      </c>
      <c r="D608" s="45" t="str">
        <f aca="false">IF(B608="","",IFERROR(INDEX('Master Database'!$B$5:$B$600,MATCH(B608,'Master Database'!$A$5:$A$600,0)),"(row not found)"))</f>
        <v/>
      </c>
      <c r="E608" s="42"/>
      <c r="F608" s="45" t="str">
        <f aca="false">IF(E608="","",IFERROR(INDEX(Vendor_Register!$B$5:$B$205,MATCH(E608,Vendor_Register!$A$5:$A$205,0)),"(not in register)"))</f>
        <v/>
      </c>
      <c r="G608" s="45" t="str">
        <f aca="false">IF(E608="","",IFERROR(INDEX(Vendor_Register!$E$5:$E$205,MATCH(E608,Vendor_Register!$A$5:$A$205,0)),"(not in register)"))</f>
        <v/>
      </c>
      <c r="H608" s="42"/>
      <c r="I608" s="42"/>
      <c r="J608" s="42"/>
      <c r="K608" s="42"/>
      <c r="L608" s="42"/>
      <c r="M608" s="46"/>
      <c r="N608" s="42"/>
      <c r="O608" s="47" t="str">
        <f aca="false">IF(NOT(ISNUMBER(M608)),"",IFERROR(IF(L608="EUR",M608,IF(L608="IRR",M608/INDEX('Assumptions &amp; FX Reference'!$C$5:$C$25,MATCH(H608,'Assumptions &amp; FX Reference'!$A$5:$A$25,0)),IF(L608="USD",M608*INDEX('Assumptions &amp; FX Reference'!$B$5:$B$25,MATCH(H608,'Assumptions &amp; FX Reference'!$A$5:$A$25,0))/INDEX('Assumptions &amp; FX Reference'!$C$5:$C$25,MATCH(H608,'Assumptions &amp; FX Reference'!$A$5:$A$25,0)),""))),"(FX missing)"))</f>
        <v/>
      </c>
      <c r="P608" s="42"/>
      <c r="Q608" s="42"/>
      <c r="R608" s="42"/>
      <c r="S608" s="42"/>
      <c r="T608" s="42"/>
      <c r="U608" s="42"/>
      <c r="V608" s="42"/>
    </row>
    <row r="609" customFormat="false" ht="15" hidden="false" customHeight="false" outlineLevel="0" collapsed="false">
      <c r="A609" s="42"/>
      <c r="B609" s="42"/>
      <c r="C609" s="45" t="str">
        <f aca="false">IF(B609="","",IFERROR(INDEX('Master Database'!$D$5:$D$600,MATCH(B609,'Master Database'!$A$5:$A$600,0)),"(row not found)"))</f>
        <v/>
      </c>
      <c r="D609" s="45" t="str">
        <f aca="false">IF(B609="","",IFERROR(INDEX('Master Database'!$B$5:$B$600,MATCH(B609,'Master Database'!$A$5:$A$600,0)),"(row not found)"))</f>
        <v/>
      </c>
      <c r="E609" s="42"/>
      <c r="F609" s="45" t="str">
        <f aca="false">IF(E609="","",IFERROR(INDEX(Vendor_Register!$B$5:$B$205,MATCH(E609,Vendor_Register!$A$5:$A$205,0)),"(not in register)"))</f>
        <v/>
      </c>
      <c r="G609" s="45" t="str">
        <f aca="false">IF(E609="","",IFERROR(INDEX(Vendor_Register!$E$5:$E$205,MATCH(E609,Vendor_Register!$A$5:$A$205,0)),"(not in register)"))</f>
        <v/>
      </c>
      <c r="H609" s="42"/>
      <c r="I609" s="42"/>
      <c r="J609" s="42"/>
      <c r="K609" s="42"/>
      <c r="L609" s="42"/>
      <c r="M609" s="46"/>
      <c r="N609" s="42"/>
      <c r="O609" s="47" t="str">
        <f aca="false">IF(NOT(ISNUMBER(M609)),"",IFERROR(IF(L609="EUR",M609,IF(L609="IRR",M609/INDEX('Assumptions &amp; FX Reference'!$C$5:$C$25,MATCH(H609,'Assumptions &amp; FX Reference'!$A$5:$A$25,0)),IF(L609="USD",M609*INDEX('Assumptions &amp; FX Reference'!$B$5:$B$25,MATCH(H609,'Assumptions &amp; FX Reference'!$A$5:$A$25,0))/INDEX('Assumptions &amp; FX Reference'!$C$5:$C$25,MATCH(H609,'Assumptions &amp; FX Reference'!$A$5:$A$25,0)),""))),"(FX missing)"))</f>
        <v/>
      </c>
      <c r="P609" s="42"/>
      <c r="Q609" s="42"/>
      <c r="R609" s="42"/>
      <c r="S609" s="42"/>
      <c r="T609" s="42"/>
      <c r="U609" s="42"/>
      <c r="V609" s="42"/>
    </row>
    <row r="610" customFormat="false" ht="15" hidden="false" customHeight="false" outlineLevel="0" collapsed="false">
      <c r="A610" s="42"/>
      <c r="B610" s="42"/>
      <c r="C610" s="45" t="str">
        <f aca="false">IF(B610="","",IFERROR(INDEX('Master Database'!$D$5:$D$600,MATCH(B610,'Master Database'!$A$5:$A$600,0)),"(row not found)"))</f>
        <v/>
      </c>
      <c r="D610" s="45" t="str">
        <f aca="false">IF(B610="","",IFERROR(INDEX('Master Database'!$B$5:$B$600,MATCH(B610,'Master Database'!$A$5:$A$600,0)),"(row not found)"))</f>
        <v/>
      </c>
      <c r="E610" s="42"/>
      <c r="F610" s="45" t="str">
        <f aca="false">IF(E610="","",IFERROR(INDEX(Vendor_Register!$B$5:$B$205,MATCH(E610,Vendor_Register!$A$5:$A$205,0)),"(not in register)"))</f>
        <v/>
      </c>
      <c r="G610" s="45" t="str">
        <f aca="false">IF(E610="","",IFERROR(INDEX(Vendor_Register!$E$5:$E$205,MATCH(E610,Vendor_Register!$A$5:$A$205,0)),"(not in register)"))</f>
        <v/>
      </c>
      <c r="H610" s="42"/>
      <c r="I610" s="42"/>
      <c r="J610" s="42"/>
      <c r="K610" s="42"/>
      <c r="L610" s="42"/>
      <c r="M610" s="46"/>
      <c r="N610" s="42"/>
      <c r="O610" s="47" t="str">
        <f aca="false">IF(NOT(ISNUMBER(M610)),"",IFERROR(IF(L610="EUR",M610,IF(L610="IRR",M610/INDEX('Assumptions &amp; FX Reference'!$C$5:$C$25,MATCH(H610,'Assumptions &amp; FX Reference'!$A$5:$A$25,0)),IF(L610="USD",M610*INDEX('Assumptions &amp; FX Reference'!$B$5:$B$25,MATCH(H610,'Assumptions &amp; FX Reference'!$A$5:$A$25,0))/INDEX('Assumptions &amp; FX Reference'!$C$5:$C$25,MATCH(H610,'Assumptions &amp; FX Reference'!$A$5:$A$25,0)),""))),"(FX missing)"))</f>
        <v/>
      </c>
      <c r="P610" s="42"/>
      <c r="Q610" s="42"/>
      <c r="R610" s="42"/>
      <c r="S610" s="42"/>
      <c r="T610" s="42"/>
      <c r="U610" s="42"/>
      <c r="V610" s="42"/>
    </row>
    <row r="611" customFormat="false" ht="15" hidden="false" customHeight="false" outlineLevel="0" collapsed="false">
      <c r="A611" s="42"/>
      <c r="B611" s="42"/>
      <c r="C611" s="45" t="str">
        <f aca="false">IF(B611="","",IFERROR(INDEX('Master Database'!$D$5:$D$600,MATCH(B611,'Master Database'!$A$5:$A$600,0)),"(row not found)"))</f>
        <v/>
      </c>
      <c r="D611" s="45" t="str">
        <f aca="false">IF(B611="","",IFERROR(INDEX('Master Database'!$B$5:$B$600,MATCH(B611,'Master Database'!$A$5:$A$600,0)),"(row not found)"))</f>
        <v/>
      </c>
      <c r="E611" s="42"/>
      <c r="F611" s="45" t="str">
        <f aca="false">IF(E611="","",IFERROR(INDEX(Vendor_Register!$B$5:$B$205,MATCH(E611,Vendor_Register!$A$5:$A$205,0)),"(not in register)"))</f>
        <v/>
      </c>
      <c r="G611" s="45" t="str">
        <f aca="false">IF(E611="","",IFERROR(INDEX(Vendor_Register!$E$5:$E$205,MATCH(E611,Vendor_Register!$A$5:$A$205,0)),"(not in register)"))</f>
        <v/>
      </c>
      <c r="H611" s="42"/>
      <c r="I611" s="42"/>
      <c r="J611" s="42"/>
      <c r="K611" s="42"/>
      <c r="L611" s="42"/>
      <c r="M611" s="46"/>
      <c r="N611" s="42"/>
      <c r="O611" s="47" t="str">
        <f aca="false">IF(NOT(ISNUMBER(M611)),"",IFERROR(IF(L611="EUR",M611,IF(L611="IRR",M611/INDEX('Assumptions &amp; FX Reference'!$C$5:$C$25,MATCH(H611,'Assumptions &amp; FX Reference'!$A$5:$A$25,0)),IF(L611="USD",M611*INDEX('Assumptions &amp; FX Reference'!$B$5:$B$25,MATCH(H611,'Assumptions &amp; FX Reference'!$A$5:$A$25,0))/INDEX('Assumptions &amp; FX Reference'!$C$5:$C$25,MATCH(H611,'Assumptions &amp; FX Reference'!$A$5:$A$25,0)),""))),"(FX missing)"))</f>
        <v/>
      </c>
      <c r="P611" s="42"/>
      <c r="Q611" s="42"/>
      <c r="R611" s="42"/>
      <c r="S611" s="42"/>
      <c r="T611" s="42"/>
      <c r="U611" s="42"/>
      <c r="V611" s="42"/>
    </row>
    <row r="612" customFormat="false" ht="15" hidden="false" customHeight="false" outlineLevel="0" collapsed="false">
      <c r="A612" s="42"/>
      <c r="B612" s="42"/>
      <c r="C612" s="45" t="str">
        <f aca="false">IF(B612="","",IFERROR(INDEX('Master Database'!$D$5:$D$600,MATCH(B612,'Master Database'!$A$5:$A$600,0)),"(row not found)"))</f>
        <v/>
      </c>
      <c r="D612" s="45" t="str">
        <f aca="false">IF(B612="","",IFERROR(INDEX('Master Database'!$B$5:$B$600,MATCH(B612,'Master Database'!$A$5:$A$600,0)),"(row not found)"))</f>
        <v/>
      </c>
      <c r="E612" s="42"/>
      <c r="F612" s="45" t="str">
        <f aca="false">IF(E612="","",IFERROR(INDEX(Vendor_Register!$B$5:$B$205,MATCH(E612,Vendor_Register!$A$5:$A$205,0)),"(not in register)"))</f>
        <v/>
      </c>
      <c r="G612" s="45" t="str">
        <f aca="false">IF(E612="","",IFERROR(INDEX(Vendor_Register!$E$5:$E$205,MATCH(E612,Vendor_Register!$A$5:$A$205,0)),"(not in register)"))</f>
        <v/>
      </c>
      <c r="H612" s="42"/>
      <c r="I612" s="42"/>
      <c r="J612" s="42"/>
      <c r="K612" s="42"/>
      <c r="L612" s="42"/>
      <c r="M612" s="46"/>
      <c r="N612" s="42"/>
      <c r="O612" s="47" t="str">
        <f aca="false">IF(NOT(ISNUMBER(M612)),"",IFERROR(IF(L612="EUR",M612,IF(L612="IRR",M612/INDEX('Assumptions &amp; FX Reference'!$C$5:$C$25,MATCH(H612,'Assumptions &amp; FX Reference'!$A$5:$A$25,0)),IF(L612="USD",M612*INDEX('Assumptions &amp; FX Reference'!$B$5:$B$25,MATCH(H612,'Assumptions &amp; FX Reference'!$A$5:$A$25,0))/INDEX('Assumptions &amp; FX Reference'!$C$5:$C$25,MATCH(H612,'Assumptions &amp; FX Reference'!$A$5:$A$25,0)),""))),"(FX missing)"))</f>
        <v/>
      </c>
      <c r="P612" s="42"/>
      <c r="Q612" s="42"/>
      <c r="R612" s="42"/>
      <c r="S612" s="42"/>
      <c r="T612" s="42"/>
      <c r="U612" s="42"/>
      <c r="V612" s="42"/>
    </row>
    <row r="613" customFormat="false" ht="15" hidden="false" customHeight="false" outlineLevel="0" collapsed="false">
      <c r="A613" s="42"/>
      <c r="B613" s="42"/>
      <c r="C613" s="45" t="str">
        <f aca="false">IF(B613="","",IFERROR(INDEX('Master Database'!$D$5:$D$600,MATCH(B613,'Master Database'!$A$5:$A$600,0)),"(row not found)"))</f>
        <v/>
      </c>
      <c r="D613" s="45" t="str">
        <f aca="false">IF(B613="","",IFERROR(INDEX('Master Database'!$B$5:$B$600,MATCH(B613,'Master Database'!$A$5:$A$600,0)),"(row not found)"))</f>
        <v/>
      </c>
      <c r="E613" s="42"/>
      <c r="F613" s="45" t="str">
        <f aca="false">IF(E613="","",IFERROR(INDEX(Vendor_Register!$B$5:$B$205,MATCH(E613,Vendor_Register!$A$5:$A$205,0)),"(not in register)"))</f>
        <v/>
      </c>
      <c r="G613" s="45" t="str">
        <f aca="false">IF(E613="","",IFERROR(INDEX(Vendor_Register!$E$5:$E$205,MATCH(E613,Vendor_Register!$A$5:$A$205,0)),"(not in register)"))</f>
        <v/>
      </c>
      <c r="H613" s="42"/>
      <c r="I613" s="42"/>
      <c r="J613" s="42"/>
      <c r="K613" s="42"/>
      <c r="L613" s="42"/>
      <c r="M613" s="46"/>
      <c r="N613" s="42"/>
      <c r="O613" s="47" t="str">
        <f aca="false">IF(NOT(ISNUMBER(M613)),"",IFERROR(IF(L613="EUR",M613,IF(L613="IRR",M613/INDEX('Assumptions &amp; FX Reference'!$C$5:$C$25,MATCH(H613,'Assumptions &amp; FX Reference'!$A$5:$A$25,0)),IF(L613="USD",M613*INDEX('Assumptions &amp; FX Reference'!$B$5:$B$25,MATCH(H613,'Assumptions &amp; FX Reference'!$A$5:$A$25,0))/INDEX('Assumptions &amp; FX Reference'!$C$5:$C$25,MATCH(H613,'Assumptions &amp; FX Reference'!$A$5:$A$25,0)),""))),"(FX missing)"))</f>
        <v/>
      </c>
      <c r="P613" s="42"/>
      <c r="Q613" s="42"/>
      <c r="R613" s="42"/>
      <c r="S613" s="42"/>
      <c r="T613" s="42"/>
      <c r="U613" s="42"/>
      <c r="V613" s="42"/>
    </row>
    <row r="614" customFormat="false" ht="15" hidden="false" customHeight="false" outlineLevel="0" collapsed="false">
      <c r="A614" s="42"/>
      <c r="B614" s="42"/>
      <c r="C614" s="45" t="str">
        <f aca="false">IF(B614="","",IFERROR(INDEX('Master Database'!$D$5:$D$600,MATCH(B614,'Master Database'!$A$5:$A$600,0)),"(row not found)"))</f>
        <v/>
      </c>
      <c r="D614" s="45" t="str">
        <f aca="false">IF(B614="","",IFERROR(INDEX('Master Database'!$B$5:$B$600,MATCH(B614,'Master Database'!$A$5:$A$600,0)),"(row not found)"))</f>
        <v/>
      </c>
      <c r="E614" s="42"/>
      <c r="F614" s="45" t="str">
        <f aca="false">IF(E614="","",IFERROR(INDEX(Vendor_Register!$B$5:$B$205,MATCH(E614,Vendor_Register!$A$5:$A$205,0)),"(not in register)"))</f>
        <v/>
      </c>
      <c r="G614" s="45" t="str">
        <f aca="false">IF(E614="","",IFERROR(INDEX(Vendor_Register!$E$5:$E$205,MATCH(E614,Vendor_Register!$A$5:$A$205,0)),"(not in register)"))</f>
        <v/>
      </c>
      <c r="H614" s="42"/>
      <c r="I614" s="42"/>
      <c r="J614" s="42"/>
      <c r="K614" s="42"/>
      <c r="L614" s="42"/>
      <c r="M614" s="46"/>
      <c r="N614" s="42"/>
      <c r="O614" s="47" t="str">
        <f aca="false">IF(NOT(ISNUMBER(M614)),"",IFERROR(IF(L614="EUR",M614,IF(L614="IRR",M614/INDEX('Assumptions &amp; FX Reference'!$C$5:$C$25,MATCH(H614,'Assumptions &amp; FX Reference'!$A$5:$A$25,0)),IF(L614="USD",M614*INDEX('Assumptions &amp; FX Reference'!$B$5:$B$25,MATCH(H614,'Assumptions &amp; FX Reference'!$A$5:$A$25,0))/INDEX('Assumptions &amp; FX Reference'!$C$5:$C$25,MATCH(H614,'Assumptions &amp; FX Reference'!$A$5:$A$25,0)),""))),"(FX missing)"))</f>
        <v/>
      </c>
      <c r="P614" s="42"/>
      <c r="Q614" s="42"/>
      <c r="R614" s="42"/>
      <c r="S614" s="42"/>
      <c r="T614" s="42"/>
      <c r="U614" s="42"/>
      <c r="V614" s="42"/>
    </row>
    <row r="615" customFormat="false" ht="15" hidden="false" customHeight="false" outlineLevel="0" collapsed="false">
      <c r="A615" s="42"/>
      <c r="B615" s="42"/>
      <c r="C615" s="45" t="str">
        <f aca="false">IF(B615="","",IFERROR(INDEX('Master Database'!$D$5:$D$600,MATCH(B615,'Master Database'!$A$5:$A$600,0)),"(row not found)"))</f>
        <v/>
      </c>
      <c r="D615" s="45" t="str">
        <f aca="false">IF(B615="","",IFERROR(INDEX('Master Database'!$B$5:$B$600,MATCH(B615,'Master Database'!$A$5:$A$600,0)),"(row not found)"))</f>
        <v/>
      </c>
      <c r="E615" s="42"/>
      <c r="F615" s="45" t="str">
        <f aca="false">IF(E615="","",IFERROR(INDEX(Vendor_Register!$B$5:$B$205,MATCH(E615,Vendor_Register!$A$5:$A$205,0)),"(not in register)"))</f>
        <v/>
      </c>
      <c r="G615" s="45" t="str">
        <f aca="false">IF(E615="","",IFERROR(INDEX(Vendor_Register!$E$5:$E$205,MATCH(E615,Vendor_Register!$A$5:$A$205,0)),"(not in register)"))</f>
        <v/>
      </c>
      <c r="H615" s="42"/>
      <c r="I615" s="42"/>
      <c r="J615" s="42"/>
      <c r="K615" s="42"/>
      <c r="L615" s="42"/>
      <c r="M615" s="46"/>
      <c r="N615" s="42"/>
      <c r="O615" s="47" t="str">
        <f aca="false">IF(NOT(ISNUMBER(M615)),"",IFERROR(IF(L615="EUR",M615,IF(L615="IRR",M615/INDEX('Assumptions &amp; FX Reference'!$C$5:$C$25,MATCH(H615,'Assumptions &amp; FX Reference'!$A$5:$A$25,0)),IF(L615="USD",M615*INDEX('Assumptions &amp; FX Reference'!$B$5:$B$25,MATCH(H615,'Assumptions &amp; FX Reference'!$A$5:$A$25,0))/INDEX('Assumptions &amp; FX Reference'!$C$5:$C$25,MATCH(H615,'Assumptions &amp; FX Reference'!$A$5:$A$25,0)),""))),"(FX missing)"))</f>
        <v/>
      </c>
      <c r="P615" s="42"/>
      <c r="Q615" s="42"/>
      <c r="R615" s="42"/>
      <c r="S615" s="42"/>
      <c r="T615" s="42"/>
      <c r="U615" s="42"/>
      <c r="V615" s="42"/>
    </row>
    <row r="616" customFormat="false" ht="15" hidden="false" customHeight="false" outlineLevel="0" collapsed="false">
      <c r="A616" s="42"/>
      <c r="B616" s="42"/>
      <c r="C616" s="45" t="str">
        <f aca="false">IF(B616="","",IFERROR(INDEX('Master Database'!$D$5:$D$600,MATCH(B616,'Master Database'!$A$5:$A$600,0)),"(row not found)"))</f>
        <v/>
      </c>
      <c r="D616" s="45" t="str">
        <f aca="false">IF(B616="","",IFERROR(INDEX('Master Database'!$B$5:$B$600,MATCH(B616,'Master Database'!$A$5:$A$600,0)),"(row not found)"))</f>
        <v/>
      </c>
      <c r="E616" s="42"/>
      <c r="F616" s="45" t="str">
        <f aca="false">IF(E616="","",IFERROR(INDEX(Vendor_Register!$B$5:$B$205,MATCH(E616,Vendor_Register!$A$5:$A$205,0)),"(not in register)"))</f>
        <v/>
      </c>
      <c r="G616" s="45" t="str">
        <f aca="false">IF(E616="","",IFERROR(INDEX(Vendor_Register!$E$5:$E$205,MATCH(E616,Vendor_Register!$A$5:$A$205,0)),"(not in register)"))</f>
        <v/>
      </c>
      <c r="H616" s="42"/>
      <c r="I616" s="42"/>
      <c r="J616" s="42"/>
      <c r="K616" s="42"/>
      <c r="L616" s="42"/>
      <c r="M616" s="46"/>
      <c r="N616" s="42"/>
      <c r="O616" s="47" t="str">
        <f aca="false">IF(NOT(ISNUMBER(M616)),"",IFERROR(IF(L616="EUR",M616,IF(L616="IRR",M616/INDEX('Assumptions &amp; FX Reference'!$C$5:$C$25,MATCH(H616,'Assumptions &amp; FX Reference'!$A$5:$A$25,0)),IF(L616="USD",M616*INDEX('Assumptions &amp; FX Reference'!$B$5:$B$25,MATCH(H616,'Assumptions &amp; FX Reference'!$A$5:$A$25,0))/INDEX('Assumptions &amp; FX Reference'!$C$5:$C$25,MATCH(H616,'Assumptions &amp; FX Reference'!$A$5:$A$25,0)),""))),"(FX missing)"))</f>
        <v/>
      </c>
      <c r="P616" s="42"/>
      <c r="Q616" s="42"/>
      <c r="R616" s="42"/>
      <c r="S616" s="42"/>
      <c r="T616" s="42"/>
      <c r="U616" s="42"/>
      <c r="V616" s="42"/>
    </row>
    <row r="617" customFormat="false" ht="15" hidden="false" customHeight="false" outlineLevel="0" collapsed="false">
      <c r="A617" s="42"/>
      <c r="B617" s="42"/>
      <c r="C617" s="45" t="str">
        <f aca="false">IF(B617="","",IFERROR(INDEX('Master Database'!$D$5:$D$600,MATCH(B617,'Master Database'!$A$5:$A$600,0)),"(row not found)"))</f>
        <v/>
      </c>
      <c r="D617" s="45" t="str">
        <f aca="false">IF(B617="","",IFERROR(INDEX('Master Database'!$B$5:$B$600,MATCH(B617,'Master Database'!$A$5:$A$600,0)),"(row not found)"))</f>
        <v/>
      </c>
      <c r="E617" s="42"/>
      <c r="F617" s="45" t="str">
        <f aca="false">IF(E617="","",IFERROR(INDEX(Vendor_Register!$B$5:$B$205,MATCH(E617,Vendor_Register!$A$5:$A$205,0)),"(not in register)"))</f>
        <v/>
      </c>
      <c r="G617" s="45" t="str">
        <f aca="false">IF(E617="","",IFERROR(INDEX(Vendor_Register!$E$5:$E$205,MATCH(E617,Vendor_Register!$A$5:$A$205,0)),"(not in register)"))</f>
        <v/>
      </c>
      <c r="H617" s="42"/>
      <c r="I617" s="42"/>
      <c r="J617" s="42"/>
      <c r="K617" s="42"/>
      <c r="L617" s="42"/>
      <c r="M617" s="46"/>
      <c r="N617" s="42"/>
      <c r="O617" s="47" t="str">
        <f aca="false">IF(NOT(ISNUMBER(M617)),"",IFERROR(IF(L617="EUR",M617,IF(L617="IRR",M617/INDEX('Assumptions &amp; FX Reference'!$C$5:$C$25,MATCH(H617,'Assumptions &amp; FX Reference'!$A$5:$A$25,0)),IF(L617="USD",M617*INDEX('Assumptions &amp; FX Reference'!$B$5:$B$25,MATCH(H617,'Assumptions &amp; FX Reference'!$A$5:$A$25,0))/INDEX('Assumptions &amp; FX Reference'!$C$5:$C$25,MATCH(H617,'Assumptions &amp; FX Reference'!$A$5:$A$25,0)),""))),"(FX missing)"))</f>
        <v/>
      </c>
      <c r="P617" s="42"/>
      <c r="Q617" s="42"/>
      <c r="R617" s="42"/>
      <c r="S617" s="42"/>
      <c r="T617" s="42"/>
      <c r="U617" s="42"/>
      <c r="V617" s="42"/>
    </row>
    <row r="618" customFormat="false" ht="15" hidden="false" customHeight="false" outlineLevel="0" collapsed="false">
      <c r="A618" s="42"/>
      <c r="B618" s="42"/>
      <c r="C618" s="45" t="str">
        <f aca="false">IF(B618="","",IFERROR(INDEX('Master Database'!$D$5:$D$600,MATCH(B618,'Master Database'!$A$5:$A$600,0)),"(row not found)"))</f>
        <v/>
      </c>
      <c r="D618" s="45" t="str">
        <f aca="false">IF(B618="","",IFERROR(INDEX('Master Database'!$B$5:$B$600,MATCH(B618,'Master Database'!$A$5:$A$600,0)),"(row not found)"))</f>
        <v/>
      </c>
      <c r="E618" s="42"/>
      <c r="F618" s="45" t="str">
        <f aca="false">IF(E618="","",IFERROR(INDEX(Vendor_Register!$B$5:$B$205,MATCH(E618,Vendor_Register!$A$5:$A$205,0)),"(not in register)"))</f>
        <v/>
      </c>
      <c r="G618" s="45" t="str">
        <f aca="false">IF(E618="","",IFERROR(INDEX(Vendor_Register!$E$5:$E$205,MATCH(E618,Vendor_Register!$A$5:$A$205,0)),"(not in register)"))</f>
        <v/>
      </c>
      <c r="H618" s="42"/>
      <c r="I618" s="42"/>
      <c r="J618" s="42"/>
      <c r="K618" s="42"/>
      <c r="L618" s="42"/>
      <c r="M618" s="46"/>
      <c r="N618" s="42"/>
      <c r="O618" s="47" t="str">
        <f aca="false">IF(NOT(ISNUMBER(M618)),"",IFERROR(IF(L618="EUR",M618,IF(L618="IRR",M618/INDEX('Assumptions &amp; FX Reference'!$C$5:$C$25,MATCH(H618,'Assumptions &amp; FX Reference'!$A$5:$A$25,0)),IF(L618="USD",M618*INDEX('Assumptions &amp; FX Reference'!$B$5:$B$25,MATCH(H618,'Assumptions &amp; FX Reference'!$A$5:$A$25,0))/INDEX('Assumptions &amp; FX Reference'!$C$5:$C$25,MATCH(H618,'Assumptions &amp; FX Reference'!$A$5:$A$25,0)),""))),"(FX missing)"))</f>
        <v/>
      </c>
      <c r="P618" s="42"/>
      <c r="Q618" s="42"/>
      <c r="R618" s="42"/>
      <c r="S618" s="42"/>
      <c r="T618" s="42"/>
      <c r="U618" s="42"/>
      <c r="V618" s="42"/>
    </row>
    <row r="619" customFormat="false" ht="15" hidden="false" customHeight="false" outlineLevel="0" collapsed="false">
      <c r="A619" s="42"/>
      <c r="B619" s="42"/>
      <c r="C619" s="45" t="str">
        <f aca="false">IF(B619="","",IFERROR(INDEX('Master Database'!$D$5:$D$600,MATCH(B619,'Master Database'!$A$5:$A$600,0)),"(row not found)"))</f>
        <v/>
      </c>
      <c r="D619" s="45" t="str">
        <f aca="false">IF(B619="","",IFERROR(INDEX('Master Database'!$B$5:$B$600,MATCH(B619,'Master Database'!$A$5:$A$600,0)),"(row not found)"))</f>
        <v/>
      </c>
      <c r="E619" s="42"/>
      <c r="F619" s="45" t="str">
        <f aca="false">IF(E619="","",IFERROR(INDEX(Vendor_Register!$B$5:$B$205,MATCH(E619,Vendor_Register!$A$5:$A$205,0)),"(not in register)"))</f>
        <v/>
      </c>
      <c r="G619" s="45" t="str">
        <f aca="false">IF(E619="","",IFERROR(INDEX(Vendor_Register!$E$5:$E$205,MATCH(E619,Vendor_Register!$A$5:$A$205,0)),"(not in register)"))</f>
        <v/>
      </c>
      <c r="H619" s="42"/>
      <c r="I619" s="42"/>
      <c r="J619" s="42"/>
      <c r="K619" s="42"/>
      <c r="L619" s="42"/>
      <c r="M619" s="46"/>
      <c r="N619" s="42"/>
      <c r="O619" s="47" t="str">
        <f aca="false">IF(NOT(ISNUMBER(M619)),"",IFERROR(IF(L619="EUR",M619,IF(L619="IRR",M619/INDEX('Assumptions &amp; FX Reference'!$C$5:$C$25,MATCH(H619,'Assumptions &amp; FX Reference'!$A$5:$A$25,0)),IF(L619="USD",M619*INDEX('Assumptions &amp; FX Reference'!$B$5:$B$25,MATCH(H619,'Assumptions &amp; FX Reference'!$A$5:$A$25,0))/INDEX('Assumptions &amp; FX Reference'!$C$5:$C$25,MATCH(H619,'Assumptions &amp; FX Reference'!$A$5:$A$25,0)),""))),"(FX missing)"))</f>
        <v/>
      </c>
      <c r="P619" s="42"/>
      <c r="Q619" s="42"/>
      <c r="R619" s="42"/>
      <c r="S619" s="42"/>
      <c r="T619" s="42"/>
      <c r="U619" s="42"/>
      <c r="V619" s="42"/>
    </row>
    <row r="620" customFormat="false" ht="15" hidden="false" customHeight="false" outlineLevel="0" collapsed="false">
      <c r="A620" s="42"/>
      <c r="B620" s="42"/>
      <c r="C620" s="45" t="str">
        <f aca="false">IF(B620="","",IFERROR(INDEX('Master Database'!$D$5:$D$600,MATCH(B620,'Master Database'!$A$5:$A$600,0)),"(row not found)"))</f>
        <v/>
      </c>
      <c r="D620" s="45" t="str">
        <f aca="false">IF(B620="","",IFERROR(INDEX('Master Database'!$B$5:$B$600,MATCH(B620,'Master Database'!$A$5:$A$600,0)),"(row not found)"))</f>
        <v/>
      </c>
      <c r="E620" s="42"/>
      <c r="F620" s="45" t="str">
        <f aca="false">IF(E620="","",IFERROR(INDEX(Vendor_Register!$B$5:$B$205,MATCH(E620,Vendor_Register!$A$5:$A$205,0)),"(not in register)"))</f>
        <v/>
      </c>
      <c r="G620" s="45" t="str">
        <f aca="false">IF(E620="","",IFERROR(INDEX(Vendor_Register!$E$5:$E$205,MATCH(E620,Vendor_Register!$A$5:$A$205,0)),"(not in register)"))</f>
        <v/>
      </c>
      <c r="H620" s="42"/>
      <c r="I620" s="42"/>
      <c r="J620" s="42"/>
      <c r="K620" s="42"/>
      <c r="L620" s="42"/>
      <c r="M620" s="46"/>
      <c r="N620" s="42"/>
      <c r="O620" s="47" t="str">
        <f aca="false">IF(NOT(ISNUMBER(M620)),"",IFERROR(IF(L620="EUR",M620,IF(L620="IRR",M620/INDEX('Assumptions &amp; FX Reference'!$C$5:$C$25,MATCH(H620,'Assumptions &amp; FX Reference'!$A$5:$A$25,0)),IF(L620="USD",M620*INDEX('Assumptions &amp; FX Reference'!$B$5:$B$25,MATCH(H620,'Assumptions &amp; FX Reference'!$A$5:$A$25,0))/INDEX('Assumptions &amp; FX Reference'!$C$5:$C$25,MATCH(H620,'Assumptions &amp; FX Reference'!$A$5:$A$25,0)),""))),"(FX missing)"))</f>
        <v/>
      </c>
      <c r="P620" s="42"/>
      <c r="Q620" s="42"/>
      <c r="R620" s="42"/>
      <c r="S620" s="42"/>
      <c r="T620" s="42"/>
      <c r="U620" s="42"/>
      <c r="V620" s="42"/>
    </row>
    <row r="621" customFormat="false" ht="15" hidden="false" customHeight="false" outlineLevel="0" collapsed="false">
      <c r="A621" s="42"/>
      <c r="B621" s="42"/>
      <c r="C621" s="45" t="str">
        <f aca="false">IF(B621="","",IFERROR(INDEX('Master Database'!$D$5:$D$600,MATCH(B621,'Master Database'!$A$5:$A$600,0)),"(row not found)"))</f>
        <v/>
      </c>
      <c r="D621" s="45" t="str">
        <f aca="false">IF(B621="","",IFERROR(INDEX('Master Database'!$B$5:$B$600,MATCH(B621,'Master Database'!$A$5:$A$600,0)),"(row not found)"))</f>
        <v/>
      </c>
      <c r="E621" s="42"/>
      <c r="F621" s="45" t="str">
        <f aca="false">IF(E621="","",IFERROR(INDEX(Vendor_Register!$B$5:$B$205,MATCH(E621,Vendor_Register!$A$5:$A$205,0)),"(not in register)"))</f>
        <v/>
      </c>
      <c r="G621" s="45" t="str">
        <f aca="false">IF(E621="","",IFERROR(INDEX(Vendor_Register!$E$5:$E$205,MATCH(E621,Vendor_Register!$A$5:$A$205,0)),"(not in register)"))</f>
        <v/>
      </c>
      <c r="H621" s="42"/>
      <c r="I621" s="42"/>
      <c r="J621" s="42"/>
      <c r="K621" s="42"/>
      <c r="L621" s="42"/>
      <c r="M621" s="46"/>
      <c r="N621" s="42"/>
      <c r="O621" s="47" t="str">
        <f aca="false">IF(NOT(ISNUMBER(M621)),"",IFERROR(IF(L621="EUR",M621,IF(L621="IRR",M621/INDEX('Assumptions &amp; FX Reference'!$C$5:$C$25,MATCH(H621,'Assumptions &amp; FX Reference'!$A$5:$A$25,0)),IF(L621="USD",M621*INDEX('Assumptions &amp; FX Reference'!$B$5:$B$25,MATCH(H621,'Assumptions &amp; FX Reference'!$A$5:$A$25,0))/INDEX('Assumptions &amp; FX Reference'!$C$5:$C$25,MATCH(H621,'Assumptions &amp; FX Reference'!$A$5:$A$25,0)),""))),"(FX missing)"))</f>
        <v/>
      </c>
      <c r="P621" s="42"/>
      <c r="Q621" s="42"/>
      <c r="R621" s="42"/>
      <c r="S621" s="42"/>
      <c r="T621" s="42"/>
      <c r="U621" s="42"/>
      <c r="V621" s="42"/>
    </row>
    <row r="622" customFormat="false" ht="15" hidden="false" customHeight="false" outlineLevel="0" collapsed="false">
      <c r="A622" s="42"/>
      <c r="B622" s="42"/>
      <c r="C622" s="45" t="str">
        <f aca="false">IF(B622="","",IFERROR(INDEX('Master Database'!$D$5:$D$600,MATCH(B622,'Master Database'!$A$5:$A$600,0)),"(row not found)"))</f>
        <v/>
      </c>
      <c r="D622" s="45" t="str">
        <f aca="false">IF(B622="","",IFERROR(INDEX('Master Database'!$B$5:$B$600,MATCH(B622,'Master Database'!$A$5:$A$600,0)),"(row not found)"))</f>
        <v/>
      </c>
      <c r="E622" s="42"/>
      <c r="F622" s="45" t="str">
        <f aca="false">IF(E622="","",IFERROR(INDEX(Vendor_Register!$B$5:$B$205,MATCH(E622,Vendor_Register!$A$5:$A$205,0)),"(not in register)"))</f>
        <v/>
      </c>
      <c r="G622" s="45" t="str">
        <f aca="false">IF(E622="","",IFERROR(INDEX(Vendor_Register!$E$5:$E$205,MATCH(E622,Vendor_Register!$A$5:$A$205,0)),"(not in register)"))</f>
        <v/>
      </c>
      <c r="H622" s="42"/>
      <c r="I622" s="42"/>
      <c r="J622" s="42"/>
      <c r="K622" s="42"/>
      <c r="L622" s="42"/>
      <c r="M622" s="46"/>
      <c r="N622" s="42"/>
      <c r="O622" s="47" t="str">
        <f aca="false">IF(NOT(ISNUMBER(M622)),"",IFERROR(IF(L622="EUR",M622,IF(L622="IRR",M622/INDEX('Assumptions &amp; FX Reference'!$C$5:$C$25,MATCH(H622,'Assumptions &amp; FX Reference'!$A$5:$A$25,0)),IF(L622="USD",M622*INDEX('Assumptions &amp; FX Reference'!$B$5:$B$25,MATCH(H622,'Assumptions &amp; FX Reference'!$A$5:$A$25,0))/INDEX('Assumptions &amp; FX Reference'!$C$5:$C$25,MATCH(H622,'Assumptions &amp; FX Reference'!$A$5:$A$25,0)),""))),"(FX missing)"))</f>
        <v/>
      </c>
      <c r="P622" s="42"/>
      <c r="Q622" s="42"/>
      <c r="R622" s="42"/>
      <c r="S622" s="42"/>
      <c r="T622" s="42"/>
      <c r="U622" s="42"/>
      <c r="V622" s="42"/>
    </row>
    <row r="623" customFormat="false" ht="15" hidden="false" customHeight="false" outlineLevel="0" collapsed="false">
      <c r="A623" s="42"/>
      <c r="B623" s="42"/>
      <c r="C623" s="45" t="str">
        <f aca="false">IF(B623="","",IFERROR(INDEX('Master Database'!$D$5:$D$600,MATCH(B623,'Master Database'!$A$5:$A$600,0)),"(row not found)"))</f>
        <v/>
      </c>
      <c r="D623" s="45" t="str">
        <f aca="false">IF(B623="","",IFERROR(INDEX('Master Database'!$B$5:$B$600,MATCH(B623,'Master Database'!$A$5:$A$600,0)),"(row not found)"))</f>
        <v/>
      </c>
      <c r="E623" s="42"/>
      <c r="F623" s="45" t="str">
        <f aca="false">IF(E623="","",IFERROR(INDEX(Vendor_Register!$B$5:$B$205,MATCH(E623,Vendor_Register!$A$5:$A$205,0)),"(not in register)"))</f>
        <v/>
      </c>
      <c r="G623" s="45" t="str">
        <f aca="false">IF(E623="","",IFERROR(INDEX(Vendor_Register!$E$5:$E$205,MATCH(E623,Vendor_Register!$A$5:$A$205,0)),"(not in register)"))</f>
        <v/>
      </c>
      <c r="H623" s="42"/>
      <c r="I623" s="42"/>
      <c r="J623" s="42"/>
      <c r="K623" s="42"/>
      <c r="L623" s="42"/>
      <c r="M623" s="46"/>
      <c r="N623" s="42"/>
      <c r="O623" s="47" t="str">
        <f aca="false">IF(NOT(ISNUMBER(M623)),"",IFERROR(IF(L623="EUR",M623,IF(L623="IRR",M623/INDEX('Assumptions &amp; FX Reference'!$C$5:$C$25,MATCH(H623,'Assumptions &amp; FX Reference'!$A$5:$A$25,0)),IF(L623="USD",M623*INDEX('Assumptions &amp; FX Reference'!$B$5:$B$25,MATCH(H623,'Assumptions &amp; FX Reference'!$A$5:$A$25,0))/INDEX('Assumptions &amp; FX Reference'!$C$5:$C$25,MATCH(H623,'Assumptions &amp; FX Reference'!$A$5:$A$25,0)),""))),"(FX missing)"))</f>
        <v/>
      </c>
      <c r="P623" s="42"/>
      <c r="Q623" s="42"/>
      <c r="R623" s="42"/>
      <c r="S623" s="42"/>
      <c r="T623" s="42"/>
      <c r="U623" s="42"/>
      <c r="V623" s="42"/>
    </row>
    <row r="624" customFormat="false" ht="15" hidden="false" customHeight="false" outlineLevel="0" collapsed="false">
      <c r="A624" s="42"/>
      <c r="B624" s="42"/>
      <c r="C624" s="45" t="str">
        <f aca="false">IF(B624="","",IFERROR(INDEX('Master Database'!$D$5:$D$600,MATCH(B624,'Master Database'!$A$5:$A$600,0)),"(row not found)"))</f>
        <v/>
      </c>
      <c r="D624" s="45" t="str">
        <f aca="false">IF(B624="","",IFERROR(INDEX('Master Database'!$B$5:$B$600,MATCH(B624,'Master Database'!$A$5:$A$600,0)),"(row not found)"))</f>
        <v/>
      </c>
      <c r="E624" s="42"/>
      <c r="F624" s="45" t="str">
        <f aca="false">IF(E624="","",IFERROR(INDEX(Vendor_Register!$B$5:$B$205,MATCH(E624,Vendor_Register!$A$5:$A$205,0)),"(not in register)"))</f>
        <v/>
      </c>
      <c r="G624" s="45" t="str">
        <f aca="false">IF(E624="","",IFERROR(INDEX(Vendor_Register!$E$5:$E$205,MATCH(E624,Vendor_Register!$A$5:$A$205,0)),"(not in register)"))</f>
        <v/>
      </c>
      <c r="H624" s="42"/>
      <c r="I624" s="42"/>
      <c r="J624" s="42"/>
      <c r="K624" s="42"/>
      <c r="L624" s="42"/>
      <c r="M624" s="46"/>
      <c r="N624" s="42"/>
      <c r="O624" s="47" t="str">
        <f aca="false">IF(NOT(ISNUMBER(M624)),"",IFERROR(IF(L624="EUR",M624,IF(L624="IRR",M624/INDEX('Assumptions &amp; FX Reference'!$C$5:$C$25,MATCH(H624,'Assumptions &amp; FX Reference'!$A$5:$A$25,0)),IF(L624="USD",M624*INDEX('Assumptions &amp; FX Reference'!$B$5:$B$25,MATCH(H624,'Assumptions &amp; FX Reference'!$A$5:$A$25,0))/INDEX('Assumptions &amp; FX Reference'!$C$5:$C$25,MATCH(H624,'Assumptions &amp; FX Reference'!$A$5:$A$25,0)),""))),"(FX missing)"))</f>
        <v/>
      </c>
      <c r="P624" s="42"/>
      <c r="Q624" s="42"/>
      <c r="R624" s="42"/>
      <c r="S624" s="42"/>
      <c r="T624" s="42"/>
      <c r="U624" s="42"/>
      <c r="V624" s="42"/>
    </row>
    <row r="625" customFormat="false" ht="15" hidden="false" customHeight="false" outlineLevel="0" collapsed="false">
      <c r="A625" s="42"/>
      <c r="B625" s="42"/>
      <c r="C625" s="45" t="str">
        <f aca="false">IF(B625="","",IFERROR(INDEX('Master Database'!$D$5:$D$600,MATCH(B625,'Master Database'!$A$5:$A$600,0)),"(row not found)"))</f>
        <v/>
      </c>
      <c r="D625" s="45" t="str">
        <f aca="false">IF(B625="","",IFERROR(INDEX('Master Database'!$B$5:$B$600,MATCH(B625,'Master Database'!$A$5:$A$600,0)),"(row not found)"))</f>
        <v/>
      </c>
      <c r="E625" s="42"/>
      <c r="F625" s="45" t="str">
        <f aca="false">IF(E625="","",IFERROR(INDEX(Vendor_Register!$B$5:$B$205,MATCH(E625,Vendor_Register!$A$5:$A$205,0)),"(not in register)"))</f>
        <v/>
      </c>
      <c r="G625" s="45" t="str">
        <f aca="false">IF(E625="","",IFERROR(INDEX(Vendor_Register!$E$5:$E$205,MATCH(E625,Vendor_Register!$A$5:$A$205,0)),"(not in register)"))</f>
        <v/>
      </c>
      <c r="H625" s="42"/>
      <c r="I625" s="42"/>
      <c r="J625" s="42"/>
      <c r="K625" s="42"/>
      <c r="L625" s="42"/>
      <c r="M625" s="46"/>
      <c r="N625" s="42"/>
      <c r="O625" s="47" t="str">
        <f aca="false">IF(NOT(ISNUMBER(M625)),"",IFERROR(IF(L625="EUR",M625,IF(L625="IRR",M625/INDEX('Assumptions &amp; FX Reference'!$C$5:$C$25,MATCH(H625,'Assumptions &amp; FX Reference'!$A$5:$A$25,0)),IF(L625="USD",M625*INDEX('Assumptions &amp; FX Reference'!$B$5:$B$25,MATCH(H625,'Assumptions &amp; FX Reference'!$A$5:$A$25,0))/INDEX('Assumptions &amp; FX Reference'!$C$5:$C$25,MATCH(H625,'Assumptions &amp; FX Reference'!$A$5:$A$25,0)),""))),"(FX missing)"))</f>
        <v/>
      </c>
      <c r="P625" s="42"/>
      <c r="Q625" s="42"/>
      <c r="R625" s="42"/>
      <c r="S625" s="42"/>
      <c r="T625" s="42"/>
      <c r="U625" s="42"/>
      <c r="V625" s="42"/>
    </row>
    <row r="626" customFormat="false" ht="15" hidden="false" customHeight="false" outlineLevel="0" collapsed="false">
      <c r="A626" s="42"/>
      <c r="B626" s="42"/>
      <c r="C626" s="45" t="str">
        <f aca="false">IF(B626="","",IFERROR(INDEX('Master Database'!$D$5:$D$600,MATCH(B626,'Master Database'!$A$5:$A$600,0)),"(row not found)"))</f>
        <v/>
      </c>
      <c r="D626" s="45" t="str">
        <f aca="false">IF(B626="","",IFERROR(INDEX('Master Database'!$B$5:$B$600,MATCH(B626,'Master Database'!$A$5:$A$600,0)),"(row not found)"))</f>
        <v/>
      </c>
      <c r="E626" s="42"/>
      <c r="F626" s="45" t="str">
        <f aca="false">IF(E626="","",IFERROR(INDEX(Vendor_Register!$B$5:$B$205,MATCH(E626,Vendor_Register!$A$5:$A$205,0)),"(not in register)"))</f>
        <v/>
      </c>
      <c r="G626" s="45" t="str">
        <f aca="false">IF(E626="","",IFERROR(INDEX(Vendor_Register!$E$5:$E$205,MATCH(E626,Vendor_Register!$A$5:$A$205,0)),"(not in register)"))</f>
        <v/>
      </c>
      <c r="H626" s="42"/>
      <c r="I626" s="42"/>
      <c r="J626" s="42"/>
      <c r="K626" s="42"/>
      <c r="L626" s="42"/>
      <c r="M626" s="46"/>
      <c r="N626" s="42"/>
      <c r="O626" s="47" t="str">
        <f aca="false">IF(NOT(ISNUMBER(M626)),"",IFERROR(IF(L626="EUR",M626,IF(L626="IRR",M626/INDEX('Assumptions &amp; FX Reference'!$C$5:$C$25,MATCH(H626,'Assumptions &amp; FX Reference'!$A$5:$A$25,0)),IF(L626="USD",M626*INDEX('Assumptions &amp; FX Reference'!$B$5:$B$25,MATCH(H626,'Assumptions &amp; FX Reference'!$A$5:$A$25,0))/INDEX('Assumptions &amp; FX Reference'!$C$5:$C$25,MATCH(H626,'Assumptions &amp; FX Reference'!$A$5:$A$25,0)),""))),"(FX missing)"))</f>
        <v/>
      </c>
      <c r="P626" s="42"/>
      <c r="Q626" s="42"/>
      <c r="R626" s="42"/>
      <c r="S626" s="42"/>
      <c r="T626" s="42"/>
      <c r="U626" s="42"/>
      <c r="V626" s="42"/>
    </row>
    <row r="627" customFormat="false" ht="15" hidden="false" customHeight="false" outlineLevel="0" collapsed="false">
      <c r="A627" s="42"/>
      <c r="B627" s="42"/>
      <c r="C627" s="45" t="str">
        <f aca="false">IF(B627="","",IFERROR(INDEX('Master Database'!$D$5:$D$600,MATCH(B627,'Master Database'!$A$5:$A$600,0)),"(row not found)"))</f>
        <v/>
      </c>
      <c r="D627" s="45" t="str">
        <f aca="false">IF(B627="","",IFERROR(INDEX('Master Database'!$B$5:$B$600,MATCH(B627,'Master Database'!$A$5:$A$600,0)),"(row not found)"))</f>
        <v/>
      </c>
      <c r="E627" s="42"/>
      <c r="F627" s="45" t="str">
        <f aca="false">IF(E627="","",IFERROR(INDEX(Vendor_Register!$B$5:$B$205,MATCH(E627,Vendor_Register!$A$5:$A$205,0)),"(not in register)"))</f>
        <v/>
      </c>
      <c r="G627" s="45" t="str">
        <f aca="false">IF(E627="","",IFERROR(INDEX(Vendor_Register!$E$5:$E$205,MATCH(E627,Vendor_Register!$A$5:$A$205,0)),"(not in register)"))</f>
        <v/>
      </c>
      <c r="H627" s="42"/>
      <c r="I627" s="42"/>
      <c r="J627" s="42"/>
      <c r="K627" s="42"/>
      <c r="L627" s="42"/>
      <c r="M627" s="46"/>
      <c r="N627" s="42"/>
      <c r="O627" s="47" t="str">
        <f aca="false">IF(NOT(ISNUMBER(M627)),"",IFERROR(IF(L627="EUR",M627,IF(L627="IRR",M627/INDEX('Assumptions &amp; FX Reference'!$C$5:$C$25,MATCH(H627,'Assumptions &amp; FX Reference'!$A$5:$A$25,0)),IF(L627="USD",M627*INDEX('Assumptions &amp; FX Reference'!$B$5:$B$25,MATCH(H627,'Assumptions &amp; FX Reference'!$A$5:$A$25,0))/INDEX('Assumptions &amp; FX Reference'!$C$5:$C$25,MATCH(H627,'Assumptions &amp; FX Reference'!$A$5:$A$25,0)),""))),"(FX missing)"))</f>
        <v/>
      </c>
      <c r="P627" s="42"/>
      <c r="Q627" s="42"/>
      <c r="R627" s="42"/>
      <c r="S627" s="42"/>
      <c r="T627" s="42"/>
      <c r="U627" s="42"/>
      <c r="V627" s="42"/>
    </row>
    <row r="628" customFormat="false" ht="15" hidden="false" customHeight="false" outlineLevel="0" collapsed="false">
      <c r="A628" s="42"/>
      <c r="B628" s="42"/>
      <c r="C628" s="45" t="str">
        <f aca="false">IF(B628="","",IFERROR(INDEX('Master Database'!$D$5:$D$600,MATCH(B628,'Master Database'!$A$5:$A$600,0)),"(row not found)"))</f>
        <v/>
      </c>
      <c r="D628" s="45" t="str">
        <f aca="false">IF(B628="","",IFERROR(INDEX('Master Database'!$B$5:$B$600,MATCH(B628,'Master Database'!$A$5:$A$600,0)),"(row not found)"))</f>
        <v/>
      </c>
      <c r="E628" s="42"/>
      <c r="F628" s="45" t="str">
        <f aca="false">IF(E628="","",IFERROR(INDEX(Vendor_Register!$B$5:$B$205,MATCH(E628,Vendor_Register!$A$5:$A$205,0)),"(not in register)"))</f>
        <v/>
      </c>
      <c r="G628" s="45" t="str">
        <f aca="false">IF(E628="","",IFERROR(INDEX(Vendor_Register!$E$5:$E$205,MATCH(E628,Vendor_Register!$A$5:$A$205,0)),"(not in register)"))</f>
        <v/>
      </c>
      <c r="H628" s="42"/>
      <c r="I628" s="42"/>
      <c r="J628" s="42"/>
      <c r="K628" s="42"/>
      <c r="L628" s="42"/>
      <c r="M628" s="46"/>
      <c r="N628" s="42"/>
      <c r="O628" s="47" t="str">
        <f aca="false">IF(NOT(ISNUMBER(M628)),"",IFERROR(IF(L628="EUR",M628,IF(L628="IRR",M628/INDEX('Assumptions &amp; FX Reference'!$C$5:$C$25,MATCH(H628,'Assumptions &amp; FX Reference'!$A$5:$A$25,0)),IF(L628="USD",M628*INDEX('Assumptions &amp; FX Reference'!$B$5:$B$25,MATCH(H628,'Assumptions &amp; FX Reference'!$A$5:$A$25,0))/INDEX('Assumptions &amp; FX Reference'!$C$5:$C$25,MATCH(H628,'Assumptions &amp; FX Reference'!$A$5:$A$25,0)),""))),"(FX missing)"))</f>
        <v/>
      </c>
      <c r="P628" s="42"/>
      <c r="Q628" s="42"/>
      <c r="R628" s="42"/>
      <c r="S628" s="42"/>
      <c r="T628" s="42"/>
      <c r="U628" s="42"/>
      <c r="V628" s="42"/>
    </row>
    <row r="629" customFormat="false" ht="15" hidden="false" customHeight="false" outlineLevel="0" collapsed="false">
      <c r="A629" s="42"/>
      <c r="B629" s="42"/>
      <c r="C629" s="45" t="str">
        <f aca="false">IF(B629="","",IFERROR(INDEX('Master Database'!$D$5:$D$600,MATCH(B629,'Master Database'!$A$5:$A$600,0)),"(row not found)"))</f>
        <v/>
      </c>
      <c r="D629" s="45" t="str">
        <f aca="false">IF(B629="","",IFERROR(INDEX('Master Database'!$B$5:$B$600,MATCH(B629,'Master Database'!$A$5:$A$600,0)),"(row not found)"))</f>
        <v/>
      </c>
      <c r="E629" s="42"/>
      <c r="F629" s="45" t="str">
        <f aca="false">IF(E629="","",IFERROR(INDEX(Vendor_Register!$B$5:$B$205,MATCH(E629,Vendor_Register!$A$5:$A$205,0)),"(not in register)"))</f>
        <v/>
      </c>
      <c r="G629" s="45" t="str">
        <f aca="false">IF(E629="","",IFERROR(INDEX(Vendor_Register!$E$5:$E$205,MATCH(E629,Vendor_Register!$A$5:$A$205,0)),"(not in register)"))</f>
        <v/>
      </c>
      <c r="H629" s="42"/>
      <c r="I629" s="42"/>
      <c r="J629" s="42"/>
      <c r="K629" s="42"/>
      <c r="L629" s="42"/>
      <c r="M629" s="46"/>
      <c r="N629" s="42"/>
      <c r="O629" s="47" t="str">
        <f aca="false">IF(NOT(ISNUMBER(M629)),"",IFERROR(IF(L629="EUR",M629,IF(L629="IRR",M629/INDEX('Assumptions &amp; FX Reference'!$C$5:$C$25,MATCH(H629,'Assumptions &amp; FX Reference'!$A$5:$A$25,0)),IF(L629="USD",M629*INDEX('Assumptions &amp; FX Reference'!$B$5:$B$25,MATCH(H629,'Assumptions &amp; FX Reference'!$A$5:$A$25,0))/INDEX('Assumptions &amp; FX Reference'!$C$5:$C$25,MATCH(H629,'Assumptions &amp; FX Reference'!$A$5:$A$25,0)),""))),"(FX missing)"))</f>
        <v/>
      </c>
      <c r="P629" s="42"/>
      <c r="Q629" s="42"/>
      <c r="R629" s="42"/>
      <c r="S629" s="42"/>
      <c r="T629" s="42"/>
      <c r="U629" s="42"/>
      <c r="V629" s="42"/>
    </row>
    <row r="630" customFormat="false" ht="15" hidden="false" customHeight="false" outlineLevel="0" collapsed="false">
      <c r="A630" s="42"/>
      <c r="B630" s="42"/>
      <c r="C630" s="45" t="str">
        <f aca="false">IF(B630="","",IFERROR(INDEX('Master Database'!$D$5:$D$600,MATCH(B630,'Master Database'!$A$5:$A$600,0)),"(row not found)"))</f>
        <v/>
      </c>
      <c r="D630" s="45" t="str">
        <f aca="false">IF(B630="","",IFERROR(INDEX('Master Database'!$B$5:$B$600,MATCH(B630,'Master Database'!$A$5:$A$600,0)),"(row not found)"))</f>
        <v/>
      </c>
      <c r="E630" s="42"/>
      <c r="F630" s="45" t="str">
        <f aca="false">IF(E630="","",IFERROR(INDEX(Vendor_Register!$B$5:$B$205,MATCH(E630,Vendor_Register!$A$5:$A$205,0)),"(not in register)"))</f>
        <v/>
      </c>
      <c r="G630" s="45" t="str">
        <f aca="false">IF(E630="","",IFERROR(INDEX(Vendor_Register!$E$5:$E$205,MATCH(E630,Vendor_Register!$A$5:$A$205,0)),"(not in register)"))</f>
        <v/>
      </c>
      <c r="H630" s="42"/>
      <c r="I630" s="42"/>
      <c r="J630" s="42"/>
      <c r="K630" s="42"/>
      <c r="L630" s="42"/>
      <c r="M630" s="46"/>
      <c r="N630" s="42"/>
      <c r="O630" s="47" t="str">
        <f aca="false">IF(NOT(ISNUMBER(M630)),"",IFERROR(IF(L630="EUR",M630,IF(L630="IRR",M630/INDEX('Assumptions &amp; FX Reference'!$C$5:$C$25,MATCH(H630,'Assumptions &amp; FX Reference'!$A$5:$A$25,0)),IF(L630="USD",M630*INDEX('Assumptions &amp; FX Reference'!$B$5:$B$25,MATCH(H630,'Assumptions &amp; FX Reference'!$A$5:$A$25,0))/INDEX('Assumptions &amp; FX Reference'!$C$5:$C$25,MATCH(H630,'Assumptions &amp; FX Reference'!$A$5:$A$25,0)),""))),"(FX missing)"))</f>
        <v/>
      </c>
      <c r="P630" s="42"/>
      <c r="Q630" s="42"/>
      <c r="R630" s="42"/>
      <c r="S630" s="42"/>
      <c r="T630" s="42"/>
      <c r="U630" s="42"/>
      <c r="V630" s="42"/>
    </row>
    <row r="631" customFormat="false" ht="15" hidden="false" customHeight="false" outlineLevel="0" collapsed="false">
      <c r="A631" s="42"/>
      <c r="B631" s="42"/>
      <c r="C631" s="45" t="str">
        <f aca="false">IF(B631="","",IFERROR(INDEX('Master Database'!$D$5:$D$600,MATCH(B631,'Master Database'!$A$5:$A$600,0)),"(row not found)"))</f>
        <v/>
      </c>
      <c r="D631" s="45" t="str">
        <f aca="false">IF(B631="","",IFERROR(INDEX('Master Database'!$B$5:$B$600,MATCH(B631,'Master Database'!$A$5:$A$600,0)),"(row not found)"))</f>
        <v/>
      </c>
      <c r="E631" s="42"/>
      <c r="F631" s="45" t="str">
        <f aca="false">IF(E631="","",IFERROR(INDEX(Vendor_Register!$B$5:$B$205,MATCH(E631,Vendor_Register!$A$5:$A$205,0)),"(not in register)"))</f>
        <v/>
      </c>
      <c r="G631" s="45" t="str">
        <f aca="false">IF(E631="","",IFERROR(INDEX(Vendor_Register!$E$5:$E$205,MATCH(E631,Vendor_Register!$A$5:$A$205,0)),"(not in register)"))</f>
        <v/>
      </c>
      <c r="H631" s="42"/>
      <c r="I631" s="42"/>
      <c r="J631" s="42"/>
      <c r="K631" s="42"/>
      <c r="L631" s="42"/>
      <c r="M631" s="46"/>
      <c r="N631" s="42"/>
      <c r="O631" s="47" t="str">
        <f aca="false">IF(NOT(ISNUMBER(M631)),"",IFERROR(IF(L631="EUR",M631,IF(L631="IRR",M631/INDEX('Assumptions &amp; FX Reference'!$C$5:$C$25,MATCH(H631,'Assumptions &amp; FX Reference'!$A$5:$A$25,0)),IF(L631="USD",M631*INDEX('Assumptions &amp; FX Reference'!$B$5:$B$25,MATCH(H631,'Assumptions &amp; FX Reference'!$A$5:$A$25,0))/INDEX('Assumptions &amp; FX Reference'!$C$5:$C$25,MATCH(H631,'Assumptions &amp; FX Reference'!$A$5:$A$25,0)),""))),"(FX missing)"))</f>
        <v/>
      </c>
      <c r="P631" s="42"/>
      <c r="Q631" s="42"/>
      <c r="R631" s="42"/>
      <c r="S631" s="42"/>
      <c r="T631" s="42"/>
      <c r="U631" s="42"/>
      <c r="V631" s="42"/>
    </row>
    <row r="632" customFormat="false" ht="15" hidden="false" customHeight="false" outlineLevel="0" collapsed="false">
      <c r="A632" s="42"/>
      <c r="B632" s="42"/>
      <c r="C632" s="45" t="str">
        <f aca="false">IF(B632="","",IFERROR(INDEX('Master Database'!$D$5:$D$600,MATCH(B632,'Master Database'!$A$5:$A$600,0)),"(row not found)"))</f>
        <v/>
      </c>
      <c r="D632" s="45" t="str">
        <f aca="false">IF(B632="","",IFERROR(INDEX('Master Database'!$B$5:$B$600,MATCH(B632,'Master Database'!$A$5:$A$600,0)),"(row not found)"))</f>
        <v/>
      </c>
      <c r="E632" s="42"/>
      <c r="F632" s="45" t="str">
        <f aca="false">IF(E632="","",IFERROR(INDEX(Vendor_Register!$B$5:$B$205,MATCH(E632,Vendor_Register!$A$5:$A$205,0)),"(not in register)"))</f>
        <v/>
      </c>
      <c r="G632" s="45" t="str">
        <f aca="false">IF(E632="","",IFERROR(INDEX(Vendor_Register!$E$5:$E$205,MATCH(E632,Vendor_Register!$A$5:$A$205,0)),"(not in register)"))</f>
        <v/>
      </c>
      <c r="H632" s="42"/>
      <c r="I632" s="42"/>
      <c r="J632" s="42"/>
      <c r="K632" s="42"/>
      <c r="L632" s="42"/>
      <c r="M632" s="46"/>
      <c r="N632" s="42"/>
      <c r="O632" s="47" t="str">
        <f aca="false">IF(NOT(ISNUMBER(M632)),"",IFERROR(IF(L632="EUR",M632,IF(L632="IRR",M632/INDEX('Assumptions &amp; FX Reference'!$C$5:$C$25,MATCH(H632,'Assumptions &amp; FX Reference'!$A$5:$A$25,0)),IF(L632="USD",M632*INDEX('Assumptions &amp; FX Reference'!$B$5:$B$25,MATCH(H632,'Assumptions &amp; FX Reference'!$A$5:$A$25,0))/INDEX('Assumptions &amp; FX Reference'!$C$5:$C$25,MATCH(H632,'Assumptions &amp; FX Reference'!$A$5:$A$25,0)),""))),"(FX missing)"))</f>
        <v/>
      </c>
      <c r="P632" s="42"/>
      <c r="Q632" s="42"/>
      <c r="R632" s="42"/>
      <c r="S632" s="42"/>
      <c r="T632" s="42"/>
      <c r="U632" s="42"/>
      <c r="V632" s="42"/>
    </row>
    <row r="633" customFormat="false" ht="15" hidden="false" customHeight="false" outlineLevel="0" collapsed="false">
      <c r="A633" s="42"/>
      <c r="B633" s="42"/>
      <c r="C633" s="45" t="str">
        <f aca="false">IF(B633="","",IFERROR(INDEX('Master Database'!$D$5:$D$600,MATCH(B633,'Master Database'!$A$5:$A$600,0)),"(row not found)"))</f>
        <v/>
      </c>
      <c r="D633" s="45" t="str">
        <f aca="false">IF(B633="","",IFERROR(INDEX('Master Database'!$B$5:$B$600,MATCH(B633,'Master Database'!$A$5:$A$600,0)),"(row not found)"))</f>
        <v/>
      </c>
      <c r="E633" s="42"/>
      <c r="F633" s="45" t="str">
        <f aca="false">IF(E633="","",IFERROR(INDEX(Vendor_Register!$B$5:$B$205,MATCH(E633,Vendor_Register!$A$5:$A$205,0)),"(not in register)"))</f>
        <v/>
      </c>
      <c r="G633" s="45" t="str">
        <f aca="false">IF(E633="","",IFERROR(INDEX(Vendor_Register!$E$5:$E$205,MATCH(E633,Vendor_Register!$A$5:$A$205,0)),"(not in register)"))</f>
        <v/>
      </c>
      <c r="H633" s="42"/>
      <c r="I633" s="42"/>
      <c r="J633" s="42"/>
      <c r="K633" s="42"/>
      <c r="L633" s="42"/>
      <c r="M633" s="46"/>
      <c r="N633" s="42"/>
      <c r="O633" s="47" t="str">
        <f aca="false">IF(NOT(ISNUMBER(M633)),"",IFERROR(IF(L633="EUR",M633,IF(L633="IRR",M633/INDEX('Assumptions &amp; FX Reference'!$C$5:$C$25,MATCH(H633,'Assumptions &amp; FX Reference'!$A$5:$A$25,0)),IF(L633="USD",M633*INDEX('Assumptions &amp; FX Reference'!$B$5:$B$25,MATCH(H633,'Assumptions &amp; FX Reference'!$A$5:$A$25,0))/INDEX('Assumptions &amp; FX Reference'!$C$5:$C$25,MATCH(H633,'Assumptions &amp; FX Reference'!$A$5:$A$25,0)),""))),"(FX missing)"))</f>
        <v/>
      </c>
      <c r="P633" s="42"/>
      <c r="Q633" s="42"/>
      <c r="R633" s="42"/>
      <c r="S633" s="42"/>
      <c r="T633" s="42"/>
      <c r="U633" s="42"/>
      <c r="V633" s="42"/>
    </row>
    <row r="634" customFormat="false" ht="15" hidden="false" customHeight="false" outlineLevel="0" collapsed="false">
      <c r="A634" s="42"/>
      <c r="B634" s="42"/>
      <c r="C634" s="45" t="str">
        <f aca="false">IF(B634="","",IFERROR(INDEX('Master Database'!$D$5:$D$600,MATCH(B634,'Master Database'!$A$5:$A$600,0)),"(row not found)"))</f>
        <v/>
      </c>
      <c r="D634" s="45" t="str">
        <f aca="false">IF(B634="","",IFERROR(INDEX('Master Database'!$B$5:$B$600,MATCH(B634,'Master Database'!$A$5:$A$600,0)),"(row not found)"))</f>
        <v/>
      </c>
      <c r="E634" s="42"/>
      <c r="F634" s="45" t="str">
        <f aca="false">IF(E634="","",IFERROR(INDEX(Vendor_Register!$B$5:$B$205,MATCH(E634,Vendor_Register!$A$5:$A$205,0)),"(not in register)"))</f>
        <v/>
      </c>
      <c r="G634" s="45" t="str">
        <f aca="false">IF(E634="","",IFERROR(INDEX(Vendor_Register!$E$5:$E$205,MATCH(E634,Vendor_Register!$A$5:$A$205,0)),"(not in register)"))</f>
        <v/>
      </c>
      <c r="H634" s="42"/>
      <c r="I634" s="42"/>
      <c r="J634" s="42"/>
      <c r="K634" s="42"/>
      <c r="L634" s="42"/>
      <c r="M634" s="46"/>
      <c r="N634" s="42"/>
      <c r="O634" s="47" t="str">
        <f aca="false">IF(NOT(ISNUMBER(M634)),"",IFERROR(IF(L634="EUR",M634,IF(L634="IRR",M634/INDEX('Assumptions &amp; FX Reference'!$C$5:$C$25,MATCH(H634,'Assumptions &amp; FX Reference'!$A$5:$A$25,0)),IF(L634="USD",M634*INDEX('Assumptions &amp; FX Reference'!$B$5:$B$25,MATCH(H634,'Assumptions &amp; FX Reference'!$A$5:$A$25,0))/INDEX('Assumptions &amp; FX Reference'!$C$5:$C$25,MATCH(H634,'Assumptions &amp; FX Reference'!$A$5:$A$25,0)),""))),"(FX missing)"))</f>
        <v/>
      </c>
      <c r="P634" s="42"/>
      <c r="Q634" s="42"/>
      <c r="R634" s="42"/>
      <c r="S634" s="42"/>
      <c r="T634" s="42"/>
      <c r="U634" s="42"/>
      <c r="V634" s="42"/>
    </row>
    <row r="635" customFormat="false" ht="15" hidden="false" customHeight="false" outlineLevel="0" collapsed="false">
      <c r="A635" s="42"/>
      <c r="B635" s="42"/>
      <c r="C635" s="45" t="str">
        <f aca="false">IF(B635="","",IFERROR(INDEX('Master Database'!$D$5:$D$600,MATCH(B635,'Master Database'!$A$5:$A$600,0)),"(row not found)"))</f>
        <v/>
      </c>
      <c r="D635" s="45" t="str">
        <f aca="false">IF(B635="","",IFERROR(INDEX('Master Database'!$B$5:$B$600,MATCH(B635,'Master Database'!$A$5:$A$600,0)),"(row not found)"))</f>
        <v/>
      </c>
      <c r="E635" s="42"/>
      <c r="F635" s="45" t="str">
        <f aca="false">IF(E635="","",IFERROR(INDEX(Vendor_Register!$B$5:$B$205,MATCH(E635,Vendor_Register!$A$5:$A$205,0)),"(not in register)"))</f>
        <v/>
      </c>
      <c r="G635" s="45" t="str">
        <f aca="false">IF(E635="","",IFERROR(INDEX(Vendor_Register!$E$5:$E$205,MATCH(E635,Vendor_Register!$A$5:$A$205,0)),"(not in register)"))</f>
        <v/>
      </c>
      <c r="H635" s="42"/>
      <c r="I635" s="42"/>
      <c r="J635" s="42"/>
      <c r="K635" s="42"/>
      <c r="L635" s="42"/>
      <c r="M635" s="46"/>
      <c r="N635" s="42"/>
      <c r="O635" s="47" t="str">
        <f aca="false">IF(NOT(ISNUMBER(M635)),"",IFERROR(IF(L635="EUR",M635,IF(L635="IRR",M635/INDEX('Assumptions &amp; FX Reference'!$C$5:$C$25,MATCH(H635,'Assumptions &amp; FX Reference'!$A$5:$A$25,0)),IF(L635="USD",M635*INDEX('Assumptions &amp; FX Reference'!$B$5:$B$25,MATCH(H635,'Assumptions &amp; FX Reference'!$A$5:$A$25,0))/INDEX('Assumptions &amp; FX Reference'!$C$5:$C$25,MATCH(H635,'Assumptions &amp; FX Reference'!$A$5:$A$25,0)),""))),"(FX missing)"))</f>
        <v/>
      </c>
      <c r="P635" s="42"/>
      <c r="Q635" s="42"/>
      <c r="R635" s="42"/>
      <c r="S635" s="42"/>
      <c r="T635" s="42"/>
      <c r="U635" s="42"/>
      <c r="V635" s="42"/>
    </row>
    <row r="636" customFormat="false" ht="15" hidden="false" customHeight="false" outlineLevel="0" collapsed="false">
      <c r="A636" s="42"/>
      <c r="B636" s="42"/>
      <c r="C636" s="45" t="str">
        <f aca="false">IF(B636="","",IFERROR(INDEX('Master Database'!$D$5:$D$600,MATCH(B636,'Master Database'!$A$5:$A$600,0)),"(row not found)"))</f>
        <v/>
      </c>
      <c r="D636" s="45" t="str">
        <f aca="false">IF(B636="","",IFERROR(INDEX('Master Database'!$B$5:$B$600,MATCH(B636,'Master Database'!$A$5:$A$600,0)),"(row not found)"))</f>
        <v/>
      </c>
      <c r="E636" s="42"/>
      <c r="F636" s="45" t="str">
        <f aca="false">IF(E636="","",IFERROR(INDEX(Vendor_Register!$B$5:$B$205,MATCH(E636,Vendor_Register!$A$5:$A$205,0)),"(not in register)"))</f>
        <v/>
      </c>
      <c r="G636" s="45" t="str">
        <f aca="false">IF(E636="","",IFERROR(INDEX(Vendor_Register!$E$5:$E$205,MATCH(E636,Vendor_Register!$A$5:$A$205,0)),"(not in register)"))</f>
        <v/>
      </c>
      <c r="H636" s="42"/>
      <c r="I636" s="42"/>
      <c r="J636" s="42"/>
      <c r="K636" s="42"/>
      <c r="L636" s="42"/>
      <c r="M636" s="46"/>
      <c r="N636" s="42"/>
      <c r="O636" s="47" t="str">
        <f aca="false">IF(NOT(ISNUMBER(M636)),"",IFERROR(IF(L636="EUR",M636,IF(L636="IRR",M636/INDEX('Assumptions &amp; FX Reference'!$C$5:$C$25,MATCH(H636,'Assumptions &amp; FX Reference'!$A$5:$A$25,0)),IF(L636="USD",M636*INDEX('Assumptions &amp; FX Reference'!$B$5:$B$25,MATCH(H636,'Assumptions &amp; FX Reference'!$A$5:$A$25,0))/INDEX('Assumptions &amp; FX Reference'!$C$5:$C$25,MATCH(H636,'Assumptions &amp; FX Reference'!$A$5:$A$25,0)),""))),"(FX missing)"))</f>
        <v/>
      </c>
      <c r="P636" s="42"/>
      <c r="Q636" s="42"/>
      <c r="R636" s="42"/>
      <c r="S636" s="42"/>
      <c r="T636" s="42"/>
      <c r="U636" s="42"/>
      <c r="V636" s="42"/>
    </row>
    <row r="637" customFormat="false" ht="15" hidden="false" customHeight="false" outlineLevel="0" collapsed="false">
      <c r="A637" s="42"/>
      <c r="B637" s="42"/>
      <c r="C637" s="45" t="str">
        <f aca="false">IF(B637="","",IFERROR(INDEX('Master Database'!$D$5:$D$600,MATCH(B637,'Master Database'!$A$5:$A$600,0)),"(row not found)"))</f>
        <v/>
      </c>
      <c r="D637" s="45" t="str">
        <f aca="false">IF(B637="","",IFERROR(INDEX('Master Database'!$B$5:$B$600,MATCH(B637,'Master Database'!$A$5:$A$600,0)),"(row not found)"))</f>
        <v/>
      </c>
      <c r="E637" s="42"/>
      <c r="F637" s="45" t="str">
        <f aca="false">IF(E637="","",IFERROR(INDEX(Vendor_Register!$B$5:$B$205,MATCH(E637,Vendor_Register!$A$5:$A$205,0)),"(not in register)"))</f>
        <v/>
      </c>
      <c r="G637" s="45" t="str">
        <f aca="false">IF(E637="","",IFERROR(INDEX(Vendor_Register!$E$5:$E$205,MATCH(E637,Vendor_Register!$A$5:$A$205,0)),"(not in register)"))</f>
        <v/>
      </c>
      <c r="H637" s="42"/>
      <c r="I637" s="42"/>
      <c r="J637" s="42"/>
      <c r="K637" s="42"/>
      <c r="L637" s="42"/>
      <c r="M637" s="46"/>
      <c r="N637" s="42"/>
      <c r="O637" s="47" t="str">
        <f aca="false">IF(NOT(ISNUMBER(M637)),"",IFERROR(IF(L637="EUR",M637,IF(L637="IRR",M637/INDEX('Assumptions &amp; FX Reference'!$C$5:$C$25,MATCH(H637,'Assumptions &amp; FX Reference'!$A$5:$A$25,0)),IF(L637="USD",M637*INDEX('Assumptions &amp; FX Reference'!$B$5:$B$25,MATCH(H637,'Assumptions &amp; FX Reference'!$A$5:$A$25,0))/INDEX('Assumptions &amp; FX Reference'!$C$5:$C$25,MATCH(H637,'Assumptions &amp; FX Reference'!$A$5:$A$25,0)),""))),"(FX missing)"))</f>
        <v/>
      </c>
      <c r="P637" s="42"/>
      <c r="Q637" s="42"/>
      <c r="R637" s="42"/>
      <c r="S637" s="42"/>
      <c r="T637" s="42"/>
      <c r="U637" s="42"/>
      <c r="V637" s="42"/>
    </row>
    <row r="638" customFormat="false" ht="15" hidden="false" customHeight="false" outlineLevel="0" collapsed="false">
      <c r="A638" s="42"/>
      <c r="B638" s="42"/>
      <c r="C638" s="45" t="str">
        <f aca="false">IF(B638="","",IFERROR(INDEX('Master Database'!$D$5:$D$600,MATCH(B638,'Master Database'!$A$5:$A$600,0)),"(row not found)"))</f>
        <v/>
      </c>
      <c r="D638" s="45" t="str">
        <f aca="false">IF(B638="","",IFERROR(INDEX('Master Database'!$B$5:$B$600,MATCH(B638,'Master Database'!$A$5:$A$600,0)),"(row not found)"))</f>
        <v/>
      </c>
      <c r="E638" s="42"/>
      <c r="F638" s="45" t="str">
        <f aca="false">IF(E638="","",IFERROR(INDEX(Vendor_Register!$B$5:$B$205,MATCH(E638,Vendor_Register!$A$5:$A$205,0)),"(not in register)"))</f>
        <v/>
      </c>
      <c r="G638" s="45" t="str">
        <f aca="false">IF(E638="","",IFERROR(INDEX(Vendor_Register!$E$5:$E$205,MATCH(E638,Vendor_Register!$A$5:$A$205,0)),"(not in register)"))</f>
        <v/>
      </c>
      <c r="H638" s="42"/>
      <c r="I638" s="42"/>
      <c r="J638" s="42"/>
      <c r="K638" s="42"/>
      <c r="L638" s="42"/>
      <c r="M638" s="46"/>
      <c r="N638" s="42"/>
      <c r="O638" s="47" t="str">
        <f aca="false">IF(NOT(ISNUMBER(M638)),"",IFERROR(IF(L638="EUR",M638,IF(L638="IRR",M638/INDEX('Assumptions &amp; FX Reference'!$C$5:$C$25,MATCH(H638,'Assumptions &amp; FX Reference'!$A$5:$A$25,0)),IF(L638="USD",M638*INDEX('Assumptions &amp; FX Reference'!$B$5:$B$25,MATCH(H638,'Assumptions &amp; FX Reference'!$A$5:$A$25,0))/INDEX('Assumptions &amp; FX Reference'!$C$5:$C$25,MATCH(H638,'Assumptions &amp; FX Reference'!$A$5:$A$25,0)),""))),"(FX missing)"))</f>
        <v/>
      </c>
      <c r="P638" s="42"/>
      <c r="Q638" s="42"/>
      <c r="R638" s="42"/>
      <c r="S638" s="42"/>
      <c r="T638" s="42"/>
      <c r="U638" s="42"/>
      <c r="V638" s="42"/>
    </row>
    <row r="639" customFormat="false" ht="15" hidden="false" customHeight="false" outlineLevel="0" collapsed="false">
      <c r="A639" s="42"/>
      <c r="B639" s="42"/>
      <c r="C639" s="45" t="str">
        <f aca="false">IF(B639="","",IFERROR(INDEX('Master Database'!$D$5:$D$600,MATCH(B639,'Master Database'!$A$5:$A$600,0)),"(row not found)"))</f>
        <v/>
      </c>
      <c r="D639" s="45" t="str">
        <f aca="false">IF(B639="","",IFERROR(INDEX('Master Database'!$B$5:$B$600,MATCH(B639,'Master Database'!$A$5:$A$600,0)),"(row not found)"))</f>
        <v/>
      </c>
      <c r="E639" s="42"/>
      <c r="F639" s="45" t="str">
        <f aca="false">IF(E639="","",IFERROR(INDEX(Vendor_Register!$B$5:$B$205,MATCH(E639,Vendor_Register!$A$5:$A$205,0)),"(not in register)"))</f>
        <v/>
      </c>
      <c r="G639" s="45" t="str">
        <f aca="false">IF(E639="","",IFERROR(INDEX(Vendor_Register!$E$5:$E$205,MATCH(E639,Vendor_Register!$A$5:$A$205,0)),"(not in register)"))</f>
        <v/>
      </c>
      <c r="H639" s="42"/>
      <c r="I639" s="42"/>
      <c r="J639" s="42"/>
      <c r="K639" s="42"/>
      <c r="L639" s="42"/>
      <c r="M639" s="46"/>
      <c r="N639" s="42"/>
      <c r="O639" s="47" t="str">
        <f aca="false">IF(NOT(ISNUMBER(M639)),"",IFERROR(IF(L639="EUR",M639,IF(L639="IRR",M639/INDEX('Assumptions &amp; FX Reference'!$C$5:$C$25,MATCH(H639,'Assumptions &amp; FX Reference'!$A$5:$A$25,0)),IF(L639="USD",M639*INDEX('Assumptions &amp; FX Reference'!$B$5:$B$25,MATCH(H639,'Assumptions &amp; FX Reference'!$A$5:$A$25,0))/INDEX('Assumptions &amp; FX Reference'!$C$5:$C$25,MATCH(H639,'Assumptions &amp; FX Reference'!$A$5:$A$25,0)),""))),"(FX missing)"))</f>
        <v/>
      </c>
      <c r="P639" s="42"/>
      <c r="Q639" s="42"/>
      <c r="R639" s="42"/>
      <c r="S639" s="42"/>
      <c r="T639" s="42"/>
      <c r="U639" s="42"/>
      <c r="V639" s="42"/>
    </row>
    <row r="640" customFormat="false" ht="15" hidden="false" customHeight="false" outlineLevel="0" collapsed="false">
      <c r="A640" s="42"/>
      <c r="B640" s="42"/>
      <c r="C640" s="45" t="str">
        <f aca="false">IF(B640="","",IFERROR(INDEX('Master Database'!$D$5:$D$600,MATCH(B640,'Master Database'!$A$5:$A$600,0)),"(row not found)"))</f>
        <v/>
      </c>
      <c r="D640" s="45" t="str">
        <f aca="false">IF(B640="","",IFERROR(INDEX('Master Database'!$B$5:$B$600,MATCH(B640,'Master Database'!$A$5:$A$600,0)),"(row not found)"))</f>
        <v/>
      </c>
      <c r="E640" s="42"/>
      <c r="F640" s="45" t="str">
        <f aca="false">IF(E640="","",IFERROR(INDEX(Vendor_Register!$B$5:$B$205,MATCH(E640,Vendor_Register!$A$5:$A$205,0)),"(not in register)"))</f>
        <v/>
      </c>
      <c r="G640" s="45" t="str">
        <f aca="false">IF(E640="","",IFERROR(INDEX(Vendor_Register!$E$5:$E$205,MATCH(E640,Vendor_Register!$A$5:$A$205,0)),"(not in register)"))</f>
        <v/>
      </c>
      <c r="H640" s="42"/>
      <c r="I640" s="42"/>
      <c r="J640" s="42"/>
      <c r="K640" s="42"/>
      <c r="L640" s="42"/>
      <c r="M640" s="46"/>
      <c r="N640" s="42"/>
      <c r="O640" s="47" t="str">
        <f aca="false">IF(NOT(ISNUMBER(M640)),"",IFERROR(IF(L640="EUR",M640,IF(L640="IRR",M640/INDEX('Assumptions &amp; FX Reference'!$C$5:$C$25,MATCH(H640,'Assumptions &amp; FX Reference'!$A$5:$A$25,0)),IF(L640="USD",M640*INDEX('Assumptions &amp; FX Reference'!$B$5:$B$25,MATCH(H640,'Assumptions &amp; FX Reference'!$A$5:$A$25,0))/INDEX('Assumptions &amp; FX Reference'!$C$5:$C$25,MATCH(H640,'Assumptions &amp; FX Reference'!$A$5:$A$25,0)),""))),"(FX missing)"))</f>
        <v/>
      </c>
      <c r="P640" s="42"/>
      <c r="Q640" s="42"/>
      <c r="R640" s="42"/>
      <c r="S640" s="42"/>
      <c r="T640" s="42"/>
      <c r="U640" s="42"/>
      <c r="V640" s="42"/>
    </row>
    <row r="641" customFormat="false" ht="15" hidden="false" customHeight="false" outlineLevel="0" collapsed="false">
      <c r="A641" s="42"/>
      <c r="B641" s="42"/>
      <c r="C641" s="45" t="str">
        <f aca="false">IF(B641="","",IFERROR(INDEX('Master Database'!$D$5:$D$600,MATCH(B641,'Master Database'!$A$5:$A$600,0)),"(row not found)"))</f>
        <v/>
      </c>
      <c r="D641" s="45" t="str">
        <f aca="false">IF(B641="","",IFERROR(INDEX('Master Database'!$B$5:$B$600,MATCH(B641,'Master Database'!$A$5:$A$600,0)),"(row not found)"))</f>
        <v/>
      </c>
      <c r="E641" s="42"/>
      <c r="F641" s="45" t="str">
        <f aca="false">IF(E641="","",IFERROR(INDEX(Vendor_Register!$B$5:$B$205,MATCH(E641,Vendor_Register!$A$5:$A$205,0)),"(not in register)"))</f>
        <v/>
      </c>
      <c r="G641" s="45" t="str">
        <f aca="false">IF(E641="","",IFERROR(INDEX(Vendor_Register!$E$5:$E$205,MATCH(E641,Vendor_Register!$A$5:$A$205,0)),"(not in register)"))</f>
        <v/>
      </c>
      <c r="H641" s="42"/>
      <c r="I641" s="42"/>
      <c r="J641" s="42"/>
      <c r="K641" s="42"/>
      <c r="L641" s="42"/>
      <c r="M641" s="46"/>
      <c r="N641" s="42"/>
      <c r="O641" s="47" t="str">
        <f aca="false">IF(NOT(ISNUMBER(M641)),"",IFERROR(IF(L641="EUR",M641,IF(L641="IRR",M641/INDEX('Assumptions &amp; FX Reference'!$C$5:$C$25,MATCH(H641,'Assumptions &amp; FX Reference'!$A$5:$A$25,0)),IF(L641="USD",M641*INDEX('Assumptions &amp; FX Reference'!$B$5:$B$25,MATCH(H641,'Assumptions &amp; FX Reference'!$A$5:$A$25,0))/INDEX('Assumptions &amp; FX Reference'!$C$5:$C$25,MATCH(H641,'Assumptions &amp; FX Reference'!$A$5:$A$25,0)),""))),"(FX missing)"))</f>
        <v/>
      </c>
      <c r="P641" s="42"/>
      <c r="Q641" s="42"/>
      <c r="R641" s="42"/>
      <c r="S641" s="42"/>
      <c r="T641" s="42"/>
      <c r="U641" s="42"/>
      <c r="V641" s="42"/>
    </row>
    <row r="642" customFormat="false" ht="15" hidden="false" customHeight="false" outlineLevel="0" collapsed="false">
      <c r="A642" s="42"/>
      <c r="B642" s="42"/>
      <c r="C642" s="45" t="str">
        <f aca="false">IF(B642="","",IFERROR(INDEX('Master Database'!$D$5:$D$600,MATCH(B642,'Master Database'!$A$5:$A$600,0)),"(row not found)"))</f>
        <v/>
      </c>
      <c r="D642" s="45" t="str">
        <f aca="false">IF(B642="","",IFERROR(INDEX('Master Database'!$B$5:$B$600,MATCH(B642,'Master Database'!$A$5:$A$600,0)),"(row not found)"))</f>
        <v/>
      </c>
      <c r="E642" s="42"/>
      <c r="F642" s="45" t="str">
        <f aca="false">IF(E642="","",IFERROR(INDEX(Vendor_Register!$B$5:$B$205,MATCH(E642,Vendor_Register!$A$5:$A$205,0)),"(not in register)"))</f>
        <v/>
      </c>
      <c r="G642" s="45" t="str">
        <f aca="false">IF(E642="","",IFERROR(INDEX(Vendor_Register!$E$5:$E$205,MATCH(E642,Vendor_Register!$A$5:$A$205,0)),"(not in register)"))</f>
        <v/>
      </c>
      <c r="H642" s="42"/>
      <c r="I642" s="42"/>
      <c r="J642" s="42"/>
      <c r="K642" s="42"/>
      <c r="L642" s="42"/>
      <c r="M642" s="46"/>
      <c r="N642" s="42"/>
      <c r="O642" s="47" t="str">
        <f aca="false">IF(NOT(ISNUMBER(M642)),"",IFERROR(IF(L642="EUR",M642,IF(L642="IRR",M642/INDEX('Assumptions &amp; FX Reference'!$C$5:$C$25,MATCH(H642,'Assumptions &amp; FX Reference'!$A$5:$A$25,0)),IF(L642="USD",M642*INDEX('Assumptions &amp; FX Reference'!$B$5:$B$25,MATCH(H642,'Assumptions &amp; FX Reference'!$A$5:$A$25,0))/INDEX('Assumptions &amp; FX Reference'!$C$5:$C$25,MATCH(H642,'Assumptions &amp; FX Reference'!$A$5:$A$25,0)),""))),"(FX missing)"))</f>
        <v/>
      </c>
      <c r="P642" s="42"/>
      <c r="Q642" s="42"/>
      <c r="R642" s="42"/>
      <c r="S642" s="42"/>
      <c r="T642" s="42"/>
      <c r="U642" s="42"/>
      <c r="V642" s="42"/>
    </row>
    <row r="643" customFormat="false" ht="15" hidden="false" customHeight="false" outlineLevel="0" collapsed="false">
      <c r="A643" s="42"/>
      <c r="B643" s="42"/>
      <c r="C643" s="45" t="str">
        <f aca="false">IF(B643="","",IFERROR(INDEX('Master Database'!$D$5:$D$600,MATCH(B643,'Master Database'!$A$5:$A$600,0)),"(row not found)"))</f>
        <v/>
      </c>
      <c r="D643" s="45" t="str">
        <f aca="false">IF(B643="","",IFERROR(INDEX('Master Database'!$B$5:$B$600,MATCH(B643,'Master Database'!$A$5:$A$600,0)),"(row not found)"))</f>
        <v/>
      </c>
      <c r="E643" s="42"/>
      <c r="F643" s="45" t="str">
        <f aca="false">IF(E643="","",IFERROR(INDEX(Vendor_Register!$B$5:$B$205,MATCH(E643,Vendor_Register!$A$5:$A$205,0)),"(not in register)"))</f>
        <v/>
      </c>
      <c r="G643" s="45" t="str">
        <f aca="false">IF(E643="","",IFERROR(INDEX(Vendor_Register!$E$5:$E$205,MATCH(E643,Vendor_Register!$A$5:$A$205,0)),"(not in register)"))</f>
        <v/>
      </c>
      <c r="H643" s="42"/>
      <c r="I643" s="42"/>
      <c r="J643" s="42"/>
      <c r="K643" s="42"/>
      <c r="L643" s="42"/>
      <c r="M643" s="46"/>
      <c r="N643" s="42"/>
      <c r="O643" s="47" t="str">
        <f aca="false">IF(NOT(ISNUMBER(M643)),"",IFERROR(IF(L643="EUR",M643,IF(L643="IRR",M643/INDEX('Assumptions &amp; FX Reference'!$C$5:$C$25,MATCH(H643,'Assumptions &amp; FX Reference'!$A$5:$A$25,0)),IF(L643="USD",M643*INDEX('Assumptions &amp; FX Reference'!$B$5:$B$25,MATCH(H643,'Assumptions &amp; FX Reference'!$A$5:$A$25,0))/INDEX('Assumptions &amp; FX Reference'!$C$5:$C$25,MATCH(H643,'Assumptions &amp; FX Reference'!$A$5:$A$25,0)),""))),"(FX missing)"))</f>
        <v/>
      </c>
      <c r="P643" s="42"/>
      <c r="Q643" s="42"/>
      <c r="R643" s="42"/>
      <c r="S643" s="42"/>
      <c r="T643" s="42"/>
      <c r="U643" s="42"/>
      <c r="V643" s="42"/>
    </row>
    <row r="644" customFormat="false" ht="15" hidden="false" customHeight="false" outlineLevel="0" collapsed="false">
      <c r="A644" s="42"/>
      <c r="B644" s="42"/>
      <c r="C644" s="45" t="str">
        <f aca="false">IF(B644="","",IFERROR(INDEX('Master Database'!$D$5:$D$600,MATCH(B644,'Master Database'!$A$5:$A$600,0)),"(row not found)"))</f>
        <v/>
      </c>
      <c r="D644" s="45" t="str">
        <f aca="false">IF(B644="","",IFERROR(INDEX('Master Database'!$B$5:$B$600,MATCH(B644,'Master Database'!$A$5:$A$600,0)),"(row not found)"))</f>
        <v/>
      </c>
      <c r="E644" s="42"/>
      <c r="F644" s="45" t="str">
        <f aca="false">IF(E644="","",IFERROR(INDEX(Vendor_Register!$B$5:$B$205,MATCH(E644,Vendor_Register!$A$5:$A$205,0)),"(not in register)"))</f>
        <v/>
      </c>
      <c r="G644" s="45" t="str">
        <f aca="false">IF(E644="","",IFERROR(INDEX(Vendor_Register!$E$5:$E$205,MATCH(E644,Vendor_Register!$A$5:$A$205,0)),"(not in register)"))</f>
        <v/>
      </c>
      <c r="H644" s="42"/>
      <c r="I644" s="42"/>
      <c r="J644" s="42"/>
      <c r="K644" s="42"/>
      <c r="L644" s="42"/>
      <c r="M644" s="46"/>
      <c r="N644" s="42"/>
      <c r="O644" s="47" t="str">
        <f aca="false">IF(NOT(ISNUMBER(M644)),"",IFERROR(IF(L644="EUR",M644,IF(L644="IRR",M644/INDEX('Assumptions &amp; FX Reference'!$C$5:$C$25,MATCH(H644,'Assumptions &amp; FX Reference'!$A$5:$A$25,0)),IF(L644="USD",M644*INDEX('Assumptions &amp; FX Reference'!$B$5:$B$25,MATCH(H644,'Assumptions &amp; FX Reference'!$A$5:$A$25,0))/INDEX('Assumptions &amp; FX Reference'!$C$5:$C$25,MATCH(H644,'Assumptions &amp; FX Reference'!$A$5:$A$25,0)),""))),"(FX missing)"))</f>
        <v/>
      </c>
      <c r="P644" s="42"/>
      <c r="Q644" s="42"/>
      <c r="R644" s="42"/>
      <c r="S644" s="42"/>
      <c r="T644" s="42"/>
      <c r="U644" s="42"/>
      <c r="V644" s="42"/>
    </row>
    <row r="645" customFormat="false" ht="15" hidden="false" customHeight="false" outlineLevel="0" collapsed="false">
      <c r="A645" s="42"/>
      <c r="B645" s="42"/>
      <c r="C645" s="45" t="str">
        <f aca="false">IF(B645="","",IFERROR(INDEX('Master Database'!$D$5:$D$600,MATCH(B645,'Master Database'!$A$5:$A$600,0)),"(row not found)"))</f>
        <v/>
      </c>
      <c r="D645" s="45" t="str">
        <f aca="false">IF(B645="","",IFERROR(INDEX('Master Database'!$B$5:$B$600,MATCH(B645,'Master Database'!$A$5:$A$600,0)),"(row not found)"))</f>
        <v/>
      </c>
      <c r="E645" s="42"/>
      <c r="F645" s="45" t="str">
        <f aca="false">IF(E645="","",IFERROR(INDEX(Vendor_Register!$B$5:$B$205,MATCH(E645,Vendor_Register!$A$5:$A$205,0)),"(not in register)"))</f>
        <v/>
      </c>
      <c r="G645" s="45" t="str">
        <f aca="false">IF(E645="","",IFERROR(INDEX(Vendor_Register!$E$5:$E$205,MATCH(E645,Vendor_Register!$A$5:$A$205,0)),"(not in register)"))</f>
        <v/>
      </c>
      <c r="H645" s="42"/>
      <c r="I645" s="42"/>
      <c r="J645" s="42"/>
      <c r="K645" s="42"/>
      <c r="L645" s="42"/>
      <c r="M645" s="46"/>
      <c r="N645" s="42"/>
      <c r="O645" s="47" t="str">
        <f aca="false">IF(NOT(ISNUMBER(M645)),"",IFERROR(IF(L645="EUR",M645,IF(L645="IRR",M645/INDEX('Assumptions &amp; FX Reference'!$C$5:$C$25,MATCH(H645,'Assumptions &amp; FX Reference'!$A$5:$A$25,0)),IF(L645="USD",M645*INDEX('Assumptions &amp; FX Reference'!$B$5:$B$25,MATCH(H645,'Assumptions &amp; FX Reference'!$A$5:$A$25,0))/INDEX('Assumptions &amp; FX Reference'!$C$5:$C$25,MATCH(H645,'Assumptions &amp; FX Reference'!$A$5:$A$25,0)),""))),"(FX missing)"))</f>
        <v/>
      </c>
      <c r="P645" s="42"/>
      <c r="Q645" s="42"/>
      <c r="R645" s="42"/>
      <c r="S645" s="42"/>
      <c r="T645" s="42"/>
      <c r="U645" s="42"/>
      <c r="V645" s="42"/>
    </row>
    <row r="646" customFormat="false" ht="15" hidden="false" customHeight="false" outlineLevel="0" collapsed="false">
      <c r="A646" s="42"/>
      <c r="B646" s="42"/>
      <c r="C646" s="45" t="str">
        <f aca="false">IF(B646="","",IFERROR(INDEX('Master Database'!$D$5:$D$600,MATCH(B646,'Master Database'!$A$5:$A$600,0)),"(row not found)"))</f>
        <v/>
      </c>
      <c r="D646" s="45" t="str">
        <f aca="false">IF(B646="","",IFERROR(INDEX('Master Database'!$B$5:$B$600,MATCH(B646,'Master Database'!$A$5:$A$600,0)),"(row not found)"))</f>
        <v/>
      </c>
      <c r="E646" s="42"/>
      <c r="F646" s="45" t="str">
        <f aca="false">IF(E646="","",IFERROR(INDEX(Vendor_Register!$B$5:$B$205,MATCH(E646,Vendor_Register!$A$5:$A$205,0)),"(not in register)"))</f>
        <v/>
      </c>
      <c r="G646" s="45" t="str">
        <f aca="false">IF(E646="","",IFERROR(INDEX(Vendor_Register!$E$5:$E$205,MATCH(E646,Vendor_Register!$A$5:$A$205,0)),"(not in register)"))</f>
        <v/>
      </c>
      <c r="H646" s="42"/>
      <c r="I646" s="42"/>
      <c r="J646" s="42"/>
      <c r="K646" s="42"/>
      <c r="L646" s="42"/>
      <c r="M646" s="46"/>
      <c r="N646" s="42"/>
      <c r="O646" s="47" t="str">
        <f aca="false">IF(NOT(ISNUMBER(M646)),"",IFERROR(IF(L646="EUR",M646,IF(L646="IRR",M646/INDEX('Assumptions &amp; FX Reference'!$C$5:$C$25,MATCH(H646,'Assumptions &amp; FX Reference'!$A$5:$A$25,0)),IF(L646="USD",M646*INDEX('Assumptions &amp; FX Reference'!$B$5:$B$25,MATCH(H646,'Assumptions &amp; FX Reference'!$A$5:$A$25,0))/INDEX('Assumptions &amp; FX Reference'!$C$5:$C$25,MATCH(H646,'Assumptions &amp; FX Reference'!$A$5:$A$25,0)),""))),"(FX missing)"))</f>
        <v/>
      </c>
      <c r="P646" s="42"/>
      <c r="Q646" s="42"/>
      <c r="R646" s="42"/>
      <c r="S646" s="42"/>
      <c r="T646" s="42"/>
      <c r="U646" s="42"/>
      <c r="V646" s="42"/>
    </row>
    <row r="647" customFormat="false" ht="15" hidden="false" customHeight="false" outlineLevel="0" collapsed="false">
      <c r="A647" s="42"/>
      <c r="B647" s="42"/>
      <c r="C647" s="45" t="str">
        <f aca="false">IF(B647="","",IFERROR(INDEX('Master Database'!$D$5:$D$600,MATCH(B647,'Master Database'!$A$5:$A$600,0)),"(row not found)"))</f>
        <v/>
      </c>
      <c r="D647" s="45" t="str">
        <f aca="false">IF(B647="","",IFERROR(INDEX('Master Database'!$B$5:$B$600,MATCH(B647,'Master Database'!$A$5:$A$600,0)),"(row not found)"))</f>
        <v/>
      </c>
      <c r="E647" s="42"/>
      <c r="F647" s="45" t="str">
        <f aca="false">IF(E647="","",IFERROR(INDEX(Vendor_Register!$B$5:$B$205,MATCH(E647,Vendor_Register!$A$5:$A$205,0)),"(not in register)"))</f>
        <v/>
      </c>
      <c r="G647" s="45" t="str">
        <f aca="false">IF(E647="","",IFERROR(INDEX(Vendor_Register!$E$5:$E$205,MATCH(E647,Vendor_Register!$A$5:$A$205,0)),"(not in register)"))</f>
        <v/>
      </c>
      <c r="H647" s="42"/>
      <c r="I647" s="42"/>
      <c r="J647" s="42"/>
      <c r="K647" s="42"/>
      <c r="L647" s="42"/>
      <c r="M647" s="46"/>
      <c r="N647" s="42"/>
      <c r="O647" s="47" t="str">
        <f aca="false">IF(NOT(ISNUMBER(M647)),"",IFERROR(IF(L647="EUR",M647,IF(L647="IRR",M647/INDEX('Assumptions &amp; FX Reference'!$C$5:$C$25,MATCH(H647,'Assumptions &amp; FX Reference'!$A$5:$A$25,0)),IF(L647="USD",M647*INDEX('Assumptions &amp; FX Reference'!$B$5:$B$25,MATCH(H647,'Assumptions &amp; FX Reference'!$A$5:$A$25,0))/INDEX('Assumptions &amp; FX Reference'!$C$5:$C$25,MATCH(H647,'Assumptions &amp; FX Reference'!$A$5:$A$25,0)),""))),"(FX missing)"))</f>
        <v/>
      </c>
      <c r="P647" s="42"/>
      <c r="Q647" s="42"/>
      <c r="R647" s="42"/>
      <c r="S647" s="42"/>
      <c r="T647" s="42"/>
      <c r="U647" s="42"/>
      <c r="V647" s="42"/>
    </row>
    <row r="648" customFormat="false" ht="15" hidden="false" customHeight="false" outlineLevel="0" collapsed="false">
      <c r="A648" s="42"/>
      <c r="B648" s="42"/>
      <c r="C648" s="45" t="str">
        <f aca="false">IF(B648="","",IFERROR(INDEX('Master Database'!$D$5:$D$600,MATCH(B648,'Master Database'!$A$5:$A$600,0)),"(row not found)"))</f>
        <v/>
      </c>
      <c r="D648" s="45" t="str">
        <f aca="false">IF(B648="","",IFERROR(INDEX('Master Database'!$B$5:$B$600,MATCH(B648,'Master Database'!$A$5:$A$600,0)),"(row not found)"))</f>
        <v/>
      </c>
      <c r="E648" s="42"/>
      <c r="F648" s="45" t="str">
        <f aca="false">IF(E648="","",IFERROR(INDEX(Vendor_Register!$B$5:$B$205,MATCH(E648,Vendor_Register!$A$5:$A$205,0)),"(not in register)"))</f>
        <v/>
      </c>
      <c r="G648" s="45" t="str">
        <f aca="false">IF(E648="","",IFERROR(INDEX(Vendor_Register!$E$5:$E$205,MATCH(E648,Vendor_Register!$A$5:$A$205,0)),"(not in register)"))</f>
        <v/>
      </c>
      <c r="H648" s="42"/>
      <c r="I648" s="42"/>
      <c r="J648" s="42"/>
      <c r="K648" s="42"/>
      <c r="L648" s="42"/>
      <c r="M648" s="46"/>
      <c r="N648" s="42"/>
      <c r="O648" s="47" t="str">
        <f aca="false">IF(NOT(ISNUMBER(M648)),"",IFERROR(IF(L648="EUR",M648,IF(L648="IRR",M648/INDEX('Assumptions &amp; FX Reference'!$C$5:$C$25,MATCH(H648,'Assumptions &amp; FX Reference'!$A$5:$A$25,0)),IF(L648="USD",M648*INDEX('Assumptions &amp; FX Reference'!$B$5:$B$25,MATCH(H648,'Assumptions &amp; FX Reference'!$A$5:$A$25,0))/INDEX('Assumptions &amp; FX Reference'!$C$5:$C$25,MATCH(H648,'Assumptions &amp; FX Reference'!$A$5:$A$25,0)),""))),"(FX missing)"))</f>
        <v/>
      </c>
      <c r="P648" s="42"/>
      <c r="Q648" s="42"/>
      <c r="R648" s="42"/>
      <c r="S648" s="42"/>
      <c r="T648" s="42"/>
      <c r="U648" s="42"/>
      <c r="V648" s="42"/>
    </row>
    <row r="649" customFormat="false" ht="15" hidden="false" customHeight="false" outlineLevel="0" collapsed="false">
      <c r="A649" s="42"/>
      <c r="B649" s="42"/>
      <c r="C649" s="45" t="str">
        <f aca="false">IF(B649="","",IFERROR(INDEX('Master Database'!$D$5:$D$600,MATCH(B649,'Master Database'!$A$5:$A$600,0)),"(row not found)"))</f>
        <v/>
      </c>
      <c r="D649" s="45" t="str">
        <f aca="false">IF(B649="","",IFERROR(INDEX('Master Database'!$B$5:$B$600,MATCH(B649,'Master Database'!$A$5:$A$600,0)),"(row not found)"))</f>
        <v/>
      </c>
      <c r="E649" s="42"/>
      <c r="F649" s="45" t="str">
        <f aca="false">IF(E649="","",IFERROR(INDEX(Vendor_Register!$B$5:$B$205,MATCH(E649,Vendor_Register!$A$5:$A$205,0)),"(not in register)"))</f>
        <v/>
      </c>
      <c r="G649" s="45" t="str">
        <f aca="false">IF(E649="","",IFERROR(INDEX(Vendor_Register!$E$5:$E$205,MATCH(E649,Vendor_Register!$A$5:$A$205,0)),"(not in register)"))</f>
        <v/>
      </c>
      <c r="H649" s="42"/>
      <c r="I649" s="42"/>
      <c r="J649" s="42"/>
      <c r="K649" s="42"/>
      <c r="L649" s="42"/>
      <c r="M649" s="46"/>
      <c r="N649" s="42"/>
      <c r="O649" s="47" t="str">
        <f aca="false">IF(NOT(ISNUMBER(M649)),"",IFERROR(IF(L649="EUR",M649,IF(L649="IRR",M649/INDEX('Assumptions &amp; FX Reference'!$C$5:$C$25,MATCH(H649,'Assumptions &amp; FX Reference'!$A$5:$A$25,0)),IF(L649="USD",M649*INDEX('Assumptions &amp; FX Reference'!$B$5:$B$25,MATCH(H649,'Assumptions &amp; FX Reference'!$A$5:$A$25,0))/INDEX('Assumptions &amp; FX Reference'!$C$5:$C$25,MATCH(H649,'Assumptions &amp; FX Reference'!$A$5:$A$25,0)),""))),"(FX missing)"))</f>
        <v/>
      </c>
      <c r="P649" s="42"/>
      <c r="Q649" s="42"/>
      <c r="R649" s="42"/>
      <c r="S649" s="42"/>
      <c r="T649" s="42"/>
      <c r="U649" s="42"/>
      <c r="V649" s="42"/>
    </row>
    <row r="650" customFormat="false" ht="15" hidden="false" customHeight="false" outlineLevel="0" collapsed="false">
      <c r="A650" s="42"/>
      <c r="B650" s="42"/>
      <c r="C650" s="45" t="str">
        <f aca="false">IF(B650="","",IFERROR(INDEX('Master Database'!$D$5:$D$600,MATCH(B650,'Master Database'!$A$5:$A$600,0)),"(row not found)"))</f>
        <v/>
      </c>
      <c r="D650" s="45" t="str">
        <f aca="false">IF(B650="","",IFERROR(INDEX('Master Database'!$B$5:$B$600,MATCH(B650,'Master Database'!$A$5:$A$600,0)),"(row not found)"))</f>
        <v/>
      </c>
      <c r="E650" s="42"/>
      <c r="F650" s="45" t="str">
        <f aca="false">IF(E650="","",IFERROR(INDEX(Vendor_Register!$B$5:$B$205,MATCH(E650,Vendor_Register!$A$5:$A$205,0)),"(not in register)"))</f>
        <v/>
      </c>
      <c r="G650" s="45" t="str">
        <f aca="false">IF(E650="","",IFERROR(INDEX(Vendor_Register!$E$5:$E$205,MATCH(E650,Vendor_Register!$A$5:$A$205,0)),"(not in register)"))</f>
        <v/>
      </c>
      <c r="H650" s="42"/>
      <c r="I650" s="42"/>
      <c r="J650" s="42"/>
      <c r="K650" s="42"/>
      <c r="L650" s="42"/>
      <c r="M650" s="46"/>
      <c r="N650" s="42"/>
      <c r="O650" s="47" t="str">
        <f aca="false">IF(NOT(ISNUMBER(M650)),"",IFERROR(IF(L650="EUR",M650,IF(L650="IRR",M650/INDEX('Assumptions &amp; FX Reference'!$C$5:$C$25,MATCH(H650,'Assumptions &amp; FX Reference'!$A$5:$A$25,0)),IF(L650="USD",M650*INDEX('Assumptions &amp; FX Reference'!$B$5:$B$25,MATCH(H650,'Assumptions &amp; FX Reference'!$A$5:$A$25,0))/INDEX('Assumptions &amp; FX Reference'!$C$5:$C$25,MATCH(H650,'Assumptions &amp; FX Reference'!$A$5:$A$25,0)),""))),"(FX missing)"))</f>
        <v/>
      </c>
      <c r="P650" s="42"/>
      <c r="Q650" s="42"/>
      <c r="R650" s="42"/>
      <c r="S650" s="42"/>
      <c r="T650" s="42"/>
      <c r="U650" s="42"/>
      <c r="V650" s="42"/>
    </row>
    <row r="651" customFormat="false" ht="15" hidden="false" customHeight="false" outlineLevel="0" collapsed="false">
      <c r="A651" s="42"/>
      <c r="B651" s="42"/>
      <c r="C651" s="45" t="str">
        <f aca="false">IF(B651="","",IFERROR(INDEX('Master Database'!$D$5:$D$600,MATCH(B651,'Master Database'!$A$5:$A$600,0)),"(row not found)"))</f>
        <v/>
      </c>
      <c r="D651" s="45" t="str">
        <f aca="false">IF(B651="","",IFERROR(INDEX('Master Database'!$B$5:$B$600,MATCH(B651,'Master Database'!$A$5:$A$600,0)),"(row not found)"))</f>
        <v/>
      </c>
      <c r="E651" s="42"/>
      <c r="F651" s="45" t="str">
        <f aca="false">IF(E651="","",IFERROR(INDEX(Vendor_Register!$B$5:$B$205,MATCH(E651,Vendor_Register!$A$5:$A$205,0)),"(not in register)"))</f>
        <v/>
      </c>
      <c r="G651" s="45" t="str">
        <f aca="false">IF(E651="","",IFERROR(INDEX(Vendor_Register!$E$5:$E$205,MATCH(E651,Vendor_Register!$A$5:$A$205,0)),"(not in register)"))</f>
        <v/>
      </c>
      <c r="H651" s="42"/>
      <c r="I651" s="42"/>
      <c r="J651" s="42"/>
      <c r="K651" s="42"/>
      <c r="L651" s="42"/>
      <c r="M651" s="46"/>
      <c r="N651" s="42"/>
      <c r="O651" s="47" t="str">
        <f aca="false">IF(NOT(ISNUMBER(M651)),"",IFERROR(IF(L651="EUR",M651,IF(L651="IRR",M651/INDEX('Assumptions &amp; FX Reference'!$C$5:$C$25,MATCH(H651,'Assumptions &amp; FX Reference'!$A$5:$A$25,0)),IF(L651="USD",M651*INDEX('Assumptions &amp; FX Reference'!$B$5:$B$25,MATCH(H651,'Assumptions &amp; FX Reference'!$A$5:$A$25,0))/INDEX('Assumptions &amp; FX Reference'!$C$5:$C$25,MATCH(H651,'Assumptions &amp; FX Reference'!$A$5:$A$25,0)),""))),"(FX missing)"))</f>
        <v/>
      </c>
      <c r="P651" s="42"/>
      <c r="Q651" s="42"/>
      <c r="R651" s="42"/>
      <c r="S651" s="42"/>
      <c r="T651" s="42"/>
      <c r="U651" s="42"/>
      <c r="V651" s="42"/>
    </row>
    <row r="652" customFormat="false" ht="15" hidden="false" customHeight="false" outlineLevel="0" collapsed="false">
      <c r="A652" s="42"/>
      <c r="B652" s="42"/>
      <c r="C652" s="45" t="str">
        <f aca="false">IF(B652="","",IFERROR(INDEX('Master Database'!$D$5:$D$600,MATCH(B652,'Master Database'!$A$5:$A$600,0)),"(row not found)"))</f>
        <v/>
      </c>
      <c r="D652" s="45" t="str">
        <f aca="false">IF(B652="","",IFERROR(INDEX('Master Database'!$B$5:$B$600,MATCH(B652,'Master Database'!$A$5:$A$600,0)),"(row not found)"))</f>
        <v/>
      </c>
      <c r="E652" s="42"/>
      <c r="F652" s="45" t="str">
        <f aca="false">IF(E652="","",IFERROR(INDEX(Vendor_Register!$B$5:$B$205,MATCH(E652,Vendor_Register!$A$5:$A$205,0)),"(not in register)"))</f>
        <v/>
      </c>
      <c r="G652" s="45" t="str">
        <f aca="false">IF(E652="","",IFERROR(INDEX(Vendor_Register!$E$5:$E$205,MATCH(E652,Vendor_Register!$A$5:$A$205,0)),"(not in register)"))</f>
        <v/>
      </c>
      <c r="H652" s="42"/>
      <c r="I652" s="42"/>
      <c r="J652" s="42"/>
      <c r="K652" s="42"/>
      <c r="L652" s="42"/>
      <c r="M652" s="46"/>
      <c r="N652" s="42"/>
      <c r="O652" s="47" t="str">
        <f aca="false">IF(NOT(ISNUMBER(M652)),"",IFERROR(IF(L652="EUR",M652,IF(L652="IRR",M652/INDEX('Assumptions &amp; FX Reference'!$C$5:$C$25,MATCH(H652,'Assumptions &amp; FX Reference'!$A$5:$A$25,0)),IF(L652="USD",M652*INDEX('Assumptions &amp; FX Reference'!$B$5:$B$25,MATCH(H652,'Assumptions &amp; FX Reference'!$A$5:$A$25,0))/INDEX('Assumptions &amp; FX Reference'!$C$5:$C$25,MATCH(H652,'Assumptions &amp; FX Reference'!$A$5:$A$25,0)),""))),"(FX missing)"))</f>
        <v/>
      </c>
      <c r="P652" s="42"/>
      <c r="Q652" s="42"/>
      <c r="R652" s="42"/>
      <c r="S652" s="42"/>
      <c r="T652" s="42"/>
      <c r="U652" s="42"/>
      <c r="V652" s="42"/>
    </row>
    <row r="653" customFormat="false" ht="15" hidden="false" customHeight="false" outlineLevel="0" collapsed="false">
      <c r="A653" s="42"/>
      <c r="B653" s="42"/>
      <c r="C653" s="45" t="str">
        <f aca="false">IF(B653="","",IFERROR(INDEX('Master Database'!$D$5:$D$600,MATCH(B653,'Master Database'!$A$5:$A$600,0)),"(row not found)"))</f>
        <v/>
      </c>
      <c r="D653" s="45" t="str">
        <f aca="false">IF(B653="","",IFERROR(INDEX('Master Database'!$B$5:$B$600,MATCH(B653,'Master Database'!$A$5:$A$600,0)),"(row not found)"))</f>
        <v/>
      </c>
      <c r="E653" s="42"/>
      <c r="F653" s="45" t="str">
        <f aca="false">IF(E653="","",IFERROR(INDEX(Vendor_Register!$B$5:$B$205,MATCH(E653,Vendor_Register!$A$5:$A$205,0)),"(not in register)"))</f>
        <v/>
      </c>
      <c r="G653" s="45" t="str">
        <f aca="false">IF(E653="","",IFERROR(INDEX(Vendor_Register!$E$5:$E$205,MATCH(E653,Vendor_Register!$A$5:$A$205,0)),"(not in register)"))</f>
        <v/>
      </c>
      <c r="H653" s="42"/>
      <c r="I653" s="42"/>
      <c r="J653" s="42"/>
      <c r="K653" s="42"/>
      <c r="L653" s="42"/>
      <c r="M653" s="46"/>
      <c r="N653" s="42"/>
      <c r="O653" s="47" t="str">
        <f aca="false">IF(NOT(ISNUMBER(M653)),"",IFERROR(IF(L653="EUR",M653,IF(L653="IRR",M653/INDEX('Assumptions &amp; FX Reference'!$C$5:$C$25,MATCH(H653,'Assumptions &amp; FX Reference'!$A$5:$A$25,0)),IF(L653="USD",M653*INDEX('Assumptions &amp; FX Reference'!$B$5:$B$25,MATCH(H653,'Assumptions &amp; FX Reference'!$A$5:$A$25,0))/INDEX('Assumptions &amp; FX Reference'!$C$5:$C$25,MATCH(H653,'Assumptions &amp; FX Reference'!$A$5:$A$25,0)),""))),"(FX missing)"))</f>
        <v/>
      </c>
      <c r="P653" s="42"/>
      <c r="Q653" s="42"/>
      <c r="R653" s="42"/>
      <c r="S653" s="42"/>
      <c r="T653" s="42"/>
      <c r="U653" s="42"/>
      <c r="V653" s="42"/>
    </row>
    <row r="654" customFormat="false" ht="15" hidden="false" customHeight="false" outlineLevel="0" collapsed="false">
      <c r="A654" s="42"/>
      <c r="B654" s="42"/>
      <c r="C654" s="45" t="str">
        <f aca="false">IF(B654="","",IFERROR(INDEX('Master Database'!$D$5:$D$600,MATCH(B654,'Master Database'!$A$5:$A$600,0)),"(row not found)"))</f>
        <v/>
      </c>
      <c r="D654" s="45" t="str">
        <f aca="false">IF(B654="","",IFERROR(INDEX('Master Database'!$B$5:$B$600,MATCH(B654,'Master Database'!$A$5:$A$600,0)),"(row not found)"))</f>
        <v/>
      </c>
      <c r="E654" s="42"/>
      <c r="F654" s="45" t="str">
        <f aca="false">IF(E654="","",IFERROR(INDEX(Vendor_Register!$B$5:$B$205,MATCH(E654,Vendor_Register!$A$5:$A$205,0)),"(not in register)"))</f>
        <v/>
      </c>
      <c r="G654" s="45" t="str">
        <f aca="false">IF(E654="","",IFERROR(INDEX(Vendor_Register!$E$5:$E$205,MATCH(E654,Vendor_Register!$A$5:$A$205,0)),"(not in register)"))</f>
        <v/>
      </c>
      <c r="H654" s="42"/>
      <c r="I654" s="42"/>
      <c r="J654" s="42"/>
      <c r="K654" s="42"/>
      <c r="L654" s="42"/>
      <c r="M654" s="46"/>
      <c r="N654" s="42"/>
      <c r="O654" s="47" t="str">
        <f aca="false">IF(NOT(ISNUMBER(M654)),"",IFERROR(IF(L654="EUR",M654,IF(L654="IRR",M654/INDEX('Assumptions &amp; FX Reference'!$C$5:$C$25,MATCH(H654,'Assumptions &amp; FX Reference'!$A$5:$A$25,0)),IF(L654="USD",M654*INDEX('Assumptions &amp; FX Reference'!$B$5:$B$25,MATCH(H654,'Assumptions &amp; FX Reference'!$A$5:$A$25,0))/INDEX('Assumptions &amp; FX Reference'!$C$5:$C$25,MATCH(H654,'Assumptions &amp; FX Reference'!$A$5:$A$25,0)),""))),"(FX missing)"))</f>
        <v/>
      </c>
      <c r="P654" s="42"/>
      <c r="Q654" s="42"/>
      <c r="R654" s="42"/>
      <c r="S654" s="42"/>
      <c r="T654" s="42"/>
      <c r="U654" s="42"/>
      <c r="V654" s="42"/>
    </row>
    <row r="655" customFormat="false" ht="15" hidden="false" customHeight="false" outlineLevel="0" collapsed="false">
      <c r="A655" s="42"/>
      <c r="B655" s="42"/>
      <c r="C655" s="45" t="str">
        <f aca="false">IF(B655="","",IFERROR(INDEX('Master Database'!$D$5:$D$600,MATCH(B655,'Master Database'!$A$5:$A$600,0)),"(row not found)"))</f>
        <v/>
      </c>
      <c r="D655" s="45" t="str">
        <f aca="false">IF(B655="","",IFERROR(INDEX('Master Database'!$B$5:$B$600,MATCH(B655,'Master Database'!$A$5:$A$600,0)),"(row not found)"))</f>
        <v/>
      </c>
      <c r="E655" s="42"/>
      <c r="F655" s="45" t="str">
        <f aca="false">IF(E655="","",IFERROR(INDEX(Vendor_Register!$B$5:$B$205,MATCH(E655,Vendor_Register!$A$5:$A$205,0)),"(not in register)"))</f>
        <v/>
      </c>
      <c r="G655" s="45" t="str">
        <f aca="false">IF(E655="","",IFERROR(INDEX(Vendor_Register!$E$5:$E$205,MATCH(E655,Vendor_Register!$A$5:$A$205,0)),"(not in register)"))</f>
        <v/>
      </c>
      <c r="H655" s="42"/>
      <c r="I655" s="42"/>
      <c r="J655" s="42"/>
      <c r="K655" s="42"/>
      <c r="L655" s="42"/>
      <c r="M655" s="46"/>
      <c r="N655" s="42"/>
      <c r="O655" s="47" t="str">
        <f aca="false">IF(NOT(ISNUMBER(M655)),"",IFERROR(IF(L655="EUR",M655,IF(L655="IRR",M655/INDEX('Assumptions &amp; FX Reference'!$C$5:$C$25,MATCH(H655,'Assumptions &amp; FX Reference'!$A$5:$A$25,0)),IF(L655="USD",M655*INDEX('Assumptions &amp; FX Reference'!$B$5:$B$25,MATCH(H655,'Assumptions &amp; FX Reference'!$A$5:$A$25,0))/INDEX('Assumptions &amp; FX Reference'!$C$5:$C$25,MATCH(H655,'Assumptions &amp; FX Reference'!$A$5:$A$25,0)),""))),"(FX missing)"))</f>
        <v/>
      </c>
      <c r="P655" s="42"/>
      <c r="Q655" s="42"/>
      <c r="R655" s="42"/>
      <c r="S655" s="42"/>
      <c r="T655" s="42"/>
      <c r="U655" s="42"/>
      <c r="V655" s="42"/>
    </row>
    <row r="656" customFormat="false" ht="15" hidden="false" customHeight="false" outlineLevel="0" collapsed="false">
      <c r="A656" s="42"/>
      <c r="B656" s="42"/>
      <c r="C656" s="45" t="str">
        <f aca="false">IF(B656="","",IFERROR(INDEX('Master Database'!$D$5:$D$600,MATCH(B656,'Master Database'!$A$5:$A$600,0)),"(row not found)"))</f>
        <v/>
      </c>
      <c r="D656" s="45" t="str">
        <f aca="false">IF(B656="","",IFERROR(INDEX('Master Database'!$B$5:$B$600,MATCH(B656,'Master Database'!$A$5:$A$600,0)),"(row not found)"))</f>
        <v/>
      </c>
      <c r="E656" s="42"/>
      <c r="F656" s="45" t="str">
        <f aca="false">IF(E656="","",IFERROR(INDEX(Vendor_Register!$B$5:$B$205,MATCH(E656,Vendor_Register!$A$5:$A$205,0)),"(not in register)"))</f>
        <v/>
      </c>
      <c r="G656" s="45" t="str">
        <f aca="false">IF(E656="","",IFERROR(INDEX(Vendor_Register!$E$5:$E$205,MATCH(E656,Vendor_Register!$A$5:$A$205,0)),"(not in register)"))</f>
        <v/>
      </c>
      <c r="H656" s="42"/>
      <c r="I656" s="42"/>
      <c r="J656" s="42"/>
      <c r="K656" s="42"/>
      <c r="L656" s="42"/>
      <c r="M656" s="46"/>
      <c r="N656" s="42"/>
      <c r="O656" s="47" t="str">
        <f aca="false">IF(NOT(ISNUMBER(M656)),"",IFERROR(IF(L656="EUR",M656,IF(L656="IRR",M656/INDEX('Assumptions &amp; FX Reference'!$C$5:$C$25,MATCH(H656,'Assumptions &amp; FX Reference'!$A$5:$A$25,0)),IF(L656="USD",M656*INDEX('Assumptions &amp; FX Reference'!$B$5:$B$25,MATCH(H656,'Assumptions &amp; FX Reference'!$A$5:$A$25,0))/INDEX('Assumptions &amp; FX Reference'!$C$5:$C$25,MATCH(H656,'Assumptions &amp; FX Reference'!$A$5:$A$25,0)),""))),"(FX missing)"))</f>
        <v/>
      </c>
      <c r="P656" s="42"/>
      <c r="Q656" s="42"/>
      <c r="R656" s="42"/>
      <c r="S656" s="42"/>
      <c r="T656" s="42"/>
      <c r="U656" s="42"/>
      <c r="V656" s="42"/>
    </row>
    <row r="657" customFormat="false" ht="15" hidden="false" customHeight="false" outlineLevel="0" collapsed="false">
      <c r="A657" s="42"/>
      <c r="B657" s="42"/>
      <c r="C657" s="45" t="str">
        <f aca="false">IF(B657="","",IFERROR(INDEX('Master Database'!$D$5:$D$600,MATCH(B657,'Master Database'!$A$5:$A$600,0)),"(row not found)"))</f>
        <v/>
      </c>
      <c r="D657" s="45" t="str">
        <f aca="false">IF(B657="","",IFERROR(INDEX('Master Database'!$B$5:$B$600,MATCH(B657,'Master Database'!$A$5:$A$600,0)),"(row not found)"))</f>
        <v/>
      </c>
      <c r="E657" s="42"/>
      <c r="F657" s="45" t="str">
        <f aca="false">IF(E657="","",IFERROR(INDEX(Vendor_Register!$B$5:$B$205,MATCH(E657,Vendor_Register!$A$5:$A$205,0)),"(not in register)"))</f>
        <v/>
      </c>
      <c r="G657" s="45" t="str">
        <f aca="false">IF(E657="","",IFERROR(INDEX(Vendor_Register!$E$5:$E$205,MATCH(E657,Vendor_Register!$A$5:$A$205,0)),"(not in register)"))</f>
        <v/>
      </c>
      <c r="H657" s="42"/>
      <c r="I657" s="42"/>
      <c r="J657" s="42"/>
      <c r="K657" s="42"/>
      <c r="L657" s="42"/>
      <c r="M657" s="46"/>
      <c r="N657" s="42"/>
      <c r="O657" s="47" t="str">
        <f aca="false">IF(NOT(ISNUMBER(M657)),"",IFERROR(IF(L657="EUR",M657,IF(L657="IRR",M657/INDEX('Assumptions &amp; FX Reference'!$C$5:$C$25,MATCH(H657,'Assumptions &amp; FX Reference'!$A$5:$A$25,0)),IF(L657="USD",M657*INDEX('Assumptions &amp; FX Reference'!$B$5:$B$25,MATCH(H657,'Assumptions &amp; FX Reference'!$A$5:$A$25,0))/INDEX('Assumptions &amp; FX Reference'!$C$5:$C$25,MATCH(H657,'Assumptions &amp; FX Reference'!$A$5:$A$25,0)),""))),"(FX missing)"))</f>
        <v/>
      </c>
      <c r="P657" s="42"/>
      <c r="Q657" s="42"/>
      <c r="R657" s="42"/>
      <c r="S657" s="42"/>
      <c r="T657" s="42"/>
      <c r="U657" s="42"/>
      <c r="V657" s="42"/>
    </row>
    <row r="658" customFormat="false" ht="15" hidden="false" customHeight="false" outlineLevel="0" collapsed="false">
      <c r="A658" s="42"/>
      <c r="B658" s="42"/>
      <c r="C658" s="45" t="str">
        <f aca="false">IF(B658="","",IFERROR(INDEX('Master Database'!$D$5:$D$600,MATCH(B658,'Master Database'!$A$5:$A$600,0)),"(row not found)"))</f>
        <v/>
      </c>
      <c r="D658" s="45" t="str">
        <f aca="false">IF(B658="","",IFERROR(INDEX('Master Database'!$B$5:$B$600,MATCH(B658,'Master Database'!$A$5:$A$600,0)),"(row not found)"))</f>
        <v/>
      </c>
      <c r="E658" s="42"/>
      <c r="F658" s="45" t="str">
        <f aca="false">IF(E658="","",IFERROR(INDEX(Vendor_Register!$B$5:$B$205,MATCH(E658,Vendor_Register!$A$5:$A$205,0)),"(not in register)"))</f>
        <v/>
      </c>
      <c r="G658" s="45" t="str">
        <f aca="false">IF(E658="","",IFERROR(INDEX(Vendor_Register!$E$5:$E$205,MATCH(E658,Vendor_Register!$A$5:$A$205,0)),"(not in register)"))</f>
        <v/>
      </c>
      <c r="H658" s="42"/>
      <c r="I658" s="42"/>
      <c r="J658" s="42"/>
      <c r="K658" s="42"/>
      <c r="L658" s="42"/>
      <c r="M658" s="46"/>
      <c r="N658" s="42"/>
      <c r="O658" s="47" t="str">
        <f aca="false">IF(NOT(ISNUMBER(M658)),"",IFERROR(IF(L658="EUR",M658,IF(L658="IRR",M658/INDEX('Assumptions &amp; FX Reference'!$C$5:$C$25,MATCH(H658,'Assumptions &amp; FX Reference'!$A$5:$A$25,0)),IF(L658="USD",M658*INDEX('Assumptions &amp; FX Reference'!$B$5:$B$25,MATCH(H658,'Assumptions &amp; FX Reference'!$A$5:$A$25,0))/INDEX('Assumptions &amp; FX Reference'!$C$5:$C$25,MATCH(H658,'Assumptions &amp; FX Reference'!$A$5:$A$25,0)),""))),"(FX missing)"))</f>
        <v/>
      </c>
      <c r="P658" s="42"/>
      <c r="Q658" s="42"/>
      <c r="R658" s="42"/>
      <c r="S658" s="42"/>
      <c r="T658" s="42"/>
      <c r="U658" s="42"/>
      <c r="V658" s="42"/>
    </row>
    <row r="659" customFormat="false" ht="15" hidden="false" customHeight="false" outlineLevel="0" collapsed="false">
      <c r="A659" s="42"/>
      <c r="B659" s="42"/>
      <c r="C659" s="45" t="str">
        <f aca="false">IF(B659="","",IFERROR(INDEX('Master Database'!$D$5:$D$600,MATCH(B659,'Master Database'!$A$5:$A$600,0)),"(row not found)"))</f>
        <v/>
      </c>
      <c r="D659" s="45" t="str">
        <f aca="false">IF(B659="","",IFERROR(INDEX('Master Database'!$B$5:$B$600,MATCH(B659,'Master Database'!$A$5:$A$600,0)),"(row not found)"))</f>
        <v/>
      </c>
      <c r="E659" s="42"/>
      <c r="F659" s="45" t="str">
        <f aca="false">IF(E659="","",IFERROR(INDEX(Vendor_Register!$B$5:$B$205,MATCH(E659,Vendor_Register!$A$5:$A$205,0)),"(not in register)"))</f>
        <v/>
      </c>
      <c r="G659" s="45" t="str">
        <f aca="false">IF(E659="","",IFERROR(INDEX(Vendor_Register!$E$5:$E$205,MATCH(E659,Vendor_Register!$A$5:$A$205,0)),"(not in register)"))</f>
        <v/>
      </c>
      <c r="H659" s="42"/>
      <c r="I659" s="42"/>
      <c r="J659" s="42"/>
      <c r="K659" s="42"/>
      <c r="L659" s="42"/>
      <c r="M659" s="46"/>
      <c r="N659" s="42"/>
      <c r="O659" s="47" t="str">
        <f aca="false">IF(NOT(ISNUMBER(M659)),"",IFERROR(IF(L659="EUR",M659,IF(L659="IRR",M659/INDEX('Assumptions &amp; FX Reference'!$C$5:$C$25,MATCH(H659,'Assumptions &amp; FX Reference'!$A$5:$A$25,0)),IF(L659="USD",M659*INDEX('Assumptions &amp; FX Reference'!$B$5:$B$25,MATCH(H659,'Assumptions &amp; FX Reference'!$A$5:$A$25,0))/INDEX('Assumptions &amp; FX Reference'!$C$5:$C$25,MATCH(H659,'Assumptions &amp; FX Reference'!$A$5:$A$25,0)),""))),"(FX missing)"))</f>
        <v/>
      </c>
      <c r="P659" s="42"/>
      <c r="Q659" s="42"/>
      <c r="R659" s="42"/>
      <c r="S659" s="42"/>
      <c r="T659" s="42"/>
      <c r="U659" s="42"/>
      <c r="V659" s="42"/>
    </row>
    <row r="660" customFormat="false" ht="15" hidden="false" customHeight="false" outlineLevel="0" collapsed="false">
      <c r="A660" s="42"/>
      <c r="B660" s="42"/>
      <c r="C660" s="45" t="str">
        <f aca="false">IF(B660="","",IFERROR(INDEX('Master Database'!$D$5:$D$600,MATCH(B660,'Master Database'!$A$5:$A$600,0)),"(row not found)"))</f>
        <v/>
      </c>
      <c r="D660" s="45" t="str">
        <f aca="false">IF(B660="","",IFERROR(INDEX('Master Database'!$B$5:$B$600,MATCH(B660,'Master Database'!$A$5:$A$600,0)),"(row not found)"))</f>
        <v/>
      </c>
      <c r="E660" s="42"/>
      <c r="F660" s="45" t="str">
        <f aca="false">IF(E660="","",IFERROR(INDEX(Vendor_Register!$B$5:$B$205,MATCH(E660,Vendor_Register!$A$5:$A$205,0)),"(not in register)"))</f>
        <v/>
      </c>
      <c r="G660" s="45" t="str">
        <f aca="false">IF(E660="","",IFERROR(INDEX(Vendor_Register!$E$5:$E$205,MATCH(E660,Vendor_Register!$A$5:$A$205,0)),"(not in register)"))</f>
        <v/>
      </c>
      <c r="H660" s="42"/>
      <c r="I660" s="42"/>
      <c r="J660" s="42"/>
      <c r="K660" s="42"/>
      <c r="L660" s="42"/>
      <c r="M660" s="46"/>
      <c r="N660" s="42"/>
      <c r="O660" s="47" t="str">
        <f aca="false">IF(NOT(ISNUMBER(M660)),"",IFERROR(IF(L660="EUR",M660,IF(L660="IRR",M660/INDEX('Assumptions &amp; FX Reference'!$C$5:$C$25,MATCH(H660,'Assumptions &amp; FX Reference'!$A$5:$A$25,0)),IF(L660="USD",M660*INDEX('Assumptions &amp; FX Reference'!$B$5:$B$25,MATCH(H660,'Assumptions &amp; FX Reference'!$A$5:$A$25,0))/INDEX('Assumptions &amp; FX Reference'!$C$5:$C$25,MATCH(H660,'Assumptions &amp; FX Reference'!$A$5:$A$25,0)),""))),"(FX missing)"))</f>
        <v/>
      </c>
      <c r="P660" s="42"/>
      <c r="Q660" s="42"/>
      <c r="R660" s="42"/>
      <c r="S660" s="42"/>
      <c r="T660" s="42"/>
      <c r="U660" s="42"/>
      <c r="V660" s="42"/>
    </row>
    <row r="661" customFormat="false" ht="15" hidden="false" customHeight="false" outlineLevel="0" collapsed="false">
      <c r="A661" s="42"/>
      <c r="B661" s="42"/>
      <c r="C661" s="45" t="str">
        <f aca="false">IF(B661="","",IFERROR(INDEX('Master Database'!$D$5:$D$600,MATCH(B661,'Master Database'!$A$5:$A$600,0)),"(row not found)"))</f>
        <v/>
      </c>
      <c r="D661" s="45" t="str">
        <f aca="false">IF(B661="","",IFERROR(INDEX('Master Database'!$B$5:$B$600,MATCH(B661,'Master Database'!$A$5:$A$600,0)),"(row not found)"))</f>
        <v/>
      </c>
      <c r="E661" s="42"/>
      <c r="F661" s="45" t="str">
        <f aca="false">IF(E661="","",IFERROR(INDEX(Vendor_Register!$B$5:$B$205,MATCH(E661,Vendor_Register!$A$5:$A$205,0)),"(not in register)"))</f>
        <v/>
      </c>
      <c r="G661" s="45" t="str">
        <f aca="false">IF(E661="","",IFERROR(INDEX(Vendor_Register!$E$5:$E$205,MATCH(E661,Vendor_Register!$A$5:$A$205,0)),"(not in register)"))</f>
        <v/>
      </c>
      <c r="H661" s="42"/>
      <c r="I661" s="42"/>
      <c r="J661" s="42"/>
      <c r="K661" s="42"/>
      <c r="L661" s="42"/>
      <c r="M661" s="46"/>
      <c r="N661" s="42"/>
      <c r="O661" s="47" t="str">
        <f aca="false">IF(NOT(ISNUMBER(M661)),"",IFERROR(IF(L661="EUR",M661,IF(L661="IRR",M661/INDEX('Assumptions &amp; FX Reference'!$C$5:$C$25,MATCH(H661,'Assumptions &amp; FX Reference'!$A$5:$A$25,0)),IF(L661="USD",M661*INDEX('Assumptions &amp; FX Reference'!$B$5:$B$25,MATCH(H661,'Assumptions &amp; FX Reference'!$A$5:$A$25,0))/INDEX('Assumptions &amp; FX Reference'!$C$5:$C$25,MATCH(H661,'Assumptions &amp; FX Reference'!$A$5:$A$25,0)),""))),"(FX missing)"))</f>
        <v/>
      </c>
      <c r="P661" s="42"/>
      <c r="Q661" s="42"/>
      <c r="R661" s="42"/>
      <c r="S661" s="42"/>
      <c r="T661" s="42"/>
      <c r="U661" s="42"/>
      <c r="V661" s="42"/>
    </row>
    <row r="662" customFormat="false" ht="15" hidden="false" customHeight="false" outlineLevel="0" collapsed="false">
      <c r="A662" s="42"/>
      <c r="B662" s="42"/>
      <c r="C662" s="45" t="str">
        <f aca="false">IF(B662="","",IFERROR(INDEX('Master Database'!$D$5:$D$600,MATCH(B662,'Master Database'!$A$5:$A$600,0)),"(row not found)"))</f>
        <v/>
      </c>
      <c r="D662" s="45" t="str">
        <f aca="false">IF(B662="","",IFERROR(INDEX('Master Database'!$B$5:$B$600,MATCH(B662,'Master Database'!$A$5:$A$600,0)),"(row not found)"))</f>
        <v/>
      </c>
      <c r="E662" s="42"/>
      <c r="F662" s="45" t="str">
        <f aca="false">IF(E662="","",IFERROR(INDEX(Vendor_Register!$B$5:$B$205,MATCH(E662,Vendor_Register!$A$5:$A$205,0)),"(not in register)"))</f>
        <v/>
      </c>
      <c r="G662" s="45" t="str">
        <f aca="false">IF(E662="","",IFERROR(INDEX(Vendor_Register!$E$5:$E$205,MATCH(E662,Vendor_Register!$A$5:$A$205,0)),"(not in register)"))</f>
        <v/>
      </c>
      <c r="H662" s="42"/>
      <c r="I662" s="42"/>
      <c r="J662" s="42"/>
      <c r="K662" s="42"/>
      <c r="L662" s="42"/>
      <c r="M662" s="46"/>
      <c r="N662" s="42"/>
      <c r="O662" s="47" t="str">
        <f aca="false">IF(NOT(ISNUMBER(M662)),"",IFERROR(IF(L662="EUR",M662,IF(L662="IRR",M662/INDEX('Assumptions &amp; FX Reference'!$C$5:$C$25,MATCH(H662,'Assumptions &amp; FX Reference'!$A$5:$A$25,0)),IF(L662="USD",M662*INDEX('Assumptions &amp; FX Reference'!$B$5:$B$25,MATCH(H662,'Assumptions &amp; FX Reference'!$A$5:$A$25,0))/INDEX('Assumptions &amp; FX Reference'!$C$5:$C$25,MATCH(H662,'Assumptions &amp; FX Reference'!$A$5:$A$25,0)),""))),"(FX missing)"))</f>
        <v/>
      </c>
      <c r="P662" s="42"/>
      <c r="Q662" s="42"/>
      <c r="R662" s="42"/>
      <c r="S662" s="42"/>
      <c r="T662" s="42"/>
      <c r="U662" s="42"/>
      <c r="V662" s="42"/>
    </row>
    <row r="663" customFormat="false" ht="15" hidden="false" customHeight="false" outlineLevel="0" collapsed="false">
      <c r="A663" s="42"/>
      <c r="B663" s="42"/>
      <c r="C663" s="45" t="str">
        <f aca="false">IF(B663="","",IFERROR(INDEX('Master Database'!$D$5:$D$600,MATCH(B663,'Master Database'!$A$5:$A$600,0)),"(row not found)"))</f>
        <v/>
      </c>
      <c r="D663" s="45" t="str">
        <f aca="false">IF(B663="","",IFERROR(INDEX('Master Database'!$B$5:$B$600,MATCH(B663,'Master Database'!$A$5:$A$600,0)),"(row not found)"))</f>
        <v/>
      </c>
      <c r="E663" s="42"/>
      <c r="F663" s="45" t="str">
        <f aca="false">IF(E663="","",IFERROR(INDEX(Vendor_Register!$B$5:$B$205,MATCH(E663,Vendor_Register!$A$5:$A$205,0)),"(not in register)"))</f>
        <v/>
      </c>
      <c r="G663" s="45" t="str">
        <f aca="false">IF(E663="","",IFERROR(INDEX(Vendor_Register!$E$5:$E$205,MATCH(E663,Vendor_Register!$A$5:$A$205,0)),"(not in register)"))</f>
        <v/>
      </c>
      <c r="H663" s="42"/>
      <c r="I663" s="42"/>
      <c r="J663" s="42"/>
      <c r="K663" s="42"/>
      <c r="L663" s="42"/>
      <c r="M663" s="46"/>
      <c r="N663" s="42"/>
      <c r="O663" s="47" t="str">
        <f aca="false">IF(NOT(ISNUMBER(M663)),"",IFERROR(IF(L663="EUR",M663,IF(L663="IRR",M663/INDEX('Assumptions &amp; FX Reference'!$C$5:$C$25,MATCH(H663,'Assumptions &amp; FX Reference'!$A$5:$A$25,0)),IF(L663="USD",M663*INDEX('Assumptions &amp; FX Reference'!$B$5:$B$25,MATCH(H663,'Assumptions &amp; FX Reference'!$A$5:$A$25,0))/INDEX('Assumptions &amp; FX Reference'!$C$5:$C$25,MATCH(H663,'Assumptions &amp; FX Reference'!$A$5:$A$25,0)),""))),"(FX missing)"))</f>
        <v/>
      </c>
      <c r="P663" s="42"/>
      <c r="Q663" s="42"/>
      <c r="R663" s="42"/>
      <c r="S663" s="42"/>
      <c r="T663" s="42"/>
      <c r="U663" s="42"/>
      <c r="V663" s="42"/>
    </row>
    <row r="664" customFormat="false" ht="15" hidden="false" customHeight="false" outlineLevel="0" collapsed="false">
      <c r="A664" s="42"/>
      <c r="B664" s="42"/>
      <c r="C664" s="45" t="str">
        <f aca="false">IF(B664="","",IFERROR(INDEX('Master Database'!$D$5:$D$600,MATCH(B664,'Master Database'!$A$5:$A$600,0)),"(row not found)"))</f>
        <v/>
      </c>
      <c r="D664" s="45" t="str">
        <f aca="false">IF(B664="","",IFERROR(INDEX('Master Database'!$B$5:$B$600,MATCH(B664,'Master Database'!$A$5:$A$600,0)),"(row not found)"))</f>
        <v/>
      </c>
      <c r="E664" s="42"/>
      <c r="F664" s="45" t="str">
        <f aca="false">IF(E664="","",IFERROR(INDEX(Vendor_Register!$B$5:$B$205,MATCH(E664,Vendor_Register!$A$5:$A$205,0)),"(not in register)"))</f>
        <v/>
      </c>
      <c r="G664" s="45" t="str">
        <f aca="false">IF(E664="","",IFERROR(INDEX(Vendor_Register!$E$5:$E$205,MATCH(E664,Vendor_Register!$A$5:$A$205,0)),"(not in register)"))</f>
        <v/>
      </c>
      <c r="H664" s="42"/>
      <c r="I664" s="42"/>
      <c r="J664" s="42"/>
      <c r="K664" s="42"/>
      <c r="L664" s="42"/>
      <c r="M664" s="46"/>
      <c r="N664" s="42"/>
      <c r="O664" s="47" t="str">
        <f aca="false">IF(NOT(ISNUMBER(M664)),"",IFERROR(IF(L664="EUR",M664,IF(L664="IRR",M664/INDEX('Assumptions &amp; FX Reference'!$C$5:$C$25,MATCH(H664,'Assumptions &amp; FX Reference'!$A$5:$A$25,0)),IF(L664="USD",M664*INDEX('Assumptions &amp; FX Reference'!$B$5:$B$25,MATCH(H664,'Assumptions &amp; FX Reference'!$A$5:$A$25,0))/INDEX('Assumptions &amp; FX Reference'!$C$5:$C$25,MATCH(H664,'Assumptions &amp; FX Reference'!$A$5:$A$25,0)),""))),"(FX missing)"))</f>
        <v/>
      </c>
      <c r="P664" s="42"/>
      <c r="Q664" s="42"/>
      <c r="R664" s="42"/>
      <c r="S664" s="42"/>
      <c r="T664" s="42"/>
      <c r="U664" s="42"/>
      <c r="V664" s="42"/>
    </row>
    <row r="665" customFormat="false" ht="15" hidden="false" customHeight="false" outlineLevel="0" collapsed="false">
      <c r="A665" s="42"/>
      <c r="B665" s="42"/>
      <c r="C665" s="45" t="str">
        <f aca="false">IF(B665="","",IFERROR(INDEX('Master Database'!$D$5:$D$600,MATCH(B665,'Master Database'!$A$5:$A$600,0)),"(row not found)"))</f>
        <v/>
      </c>
      <c r="D665" s="45" t="str">
        <f aca="false">IF(B665="","",IFERROR(INDEX('Master Database'!$B$5:$B$600,MATCH(B665,'Master Database'!$A$5:$A$600,0)),"(row not found)"))</f>
        <v/>
      </c>
      <c r="E665" s="42"/>
      <c r="F665" s="45" t="str">
        <f aca="false">IF(E665="","",IFERROR(INDEX(Vendor_Register!$B$5:$B$205,MATCH(E665,Vendor_Register!$A$5:$A$205,0)),"(not in register)"))</f>
        <v/>
      </c>
      <c r="G665" s="45" t="str">
        <f aca="false">IF(E665="","",IFERROR(INDEX(Vendor_Register!$E$5:$E$205,MATCH(E665,Vendor_Register!$A$5:$A$205,0)),"(not in register)"))</f>
        <v/>
      </c>
      <c r="H665" s="42"/>
      <c r="I665" s="42"/>
      <c r="J665" s="42"/>
      <c r="K665" s="42"/>
      <c r="L665" s="42"/>
      <c r="M665" s="46"/>
      <c r="N665" s="42"/>
      <c r="O665" s="47" t="str">
        <f aca="false">IF(NOT(ISNUMBER(M665)),"",IFERROR(IF(L665="EUR",M665,IF(L665="IRR",M665/INDEX('Assumptions &amp; FX Reference'!$C$5:$C$25,MATCH(H665,'Assumptions &amp; FX Reference'!$A$5:$A$25,0)),IF(L665="USD",M665*INDEX('Assumptions &amp; FX Reference'!$B$5:$B$25,MATCH(H665,'Assumptions &amp; FX Reference'!$A$5:$A$25,0))/INDEX('Assumptions &amp; FX Reference'!$C$5:$C$25,MATCH(H665,'Assumptions &amp; FX Reference'!$A$5:$A$25,0)),""))),"(FX missing)"))</f>
        <v/>
      </c>
      <c r="P665" s="42"/>
      <c r="Q665" s="42"/>
      <c r="R665" s="42"/>
      <c r="S665" s="42"/>
      <c r="T665" s="42"/>
      <c r="U665" s="42"/>
      <c r="V665" s="42"/>
    </row>
    <row r="666" customFormat="false" ht="15" hidden="false" customHeight="false" outlineLevel="0" collapsed="false">
      <c r="A666" s="42"/>
      <c r="B666" s="42"/>
      <c r="C666" s="45" t="str">
        <f aca="false">IF(B666="","",IFERROR(INDEX('Master Database'!$D$5:$D$600,MATCH(B666,'Master Database'!$A$5:$A$600,0)),"(row not found)"))</f>
        <v/>
      </c>
      <c r="D666" s="45" t="str">
        <f aca="false">IF(B666="","",IFERROR(INDEX('Master Database'!$B$5:$B$600,MATCH(B666,'Master Database'!$A$5:$A$600,0)),"(row not found)"))</f>
        <v/>
      </c>
      <c r="E666" s="42"/>
      <c r="F666" s="45" t="str">
        <f aca="false">IF(E666="","",IFERROR(INDEX(Vendor_Register!$B$5:$B$205,MATCH(E666,Vendor_Register!$A$5:$A$205,0)),"(not in register)"))</f>
        <v/>
      </c>
      <c r="G666" s="45" t="str">
        <f aca="false">IF(E666="","",IFERROR(INDEX(Vendor_Register!$E$5:$E$205,MATCH(E666,Vendor_Register!$A$5:$A$205,0)),"(not in register)"))</f>
        <v/>
      </c>
      <c r="H666" s="42"/>
      <c r="I666" s="42"/>
      <c r="J666" s="42"/>
      <c r="K666" s="42"/>
      <c r="L666" s="42"/>
      <c r="M666" s="46"/>
      <c r="N666" s="42"/>
      <c r="O666" s="47" t="str">
        <f aca="false">IF(NOT(ISNUMBER(M666)),"",IFERROR(IF(L666="EUR",M666,IF(L666="IRR",M666/INDEX('Assumptions &amp; FX Reference'!$C$5:$C$25,MATCH(H666,'Assumptions &amp; FX Reference'!$A$5:$A$25,0)),IF(L666="USD",M666*INDEX('Assumptions &amp; FX Reference'!$B$5:$B$25,MATCH(H666,'Assumptions &amp; FX Reference'!$A$5:$A$25,0))/INDEX('Assumptions &amp; FX Reference'!$C$5:$C$25,MATCH(H666,'Assumptions &amp; FX Reference'!$A$5:$A$25,0)),""))),"(FX missing)"))</f>
        <v/>
      </c>
      <c r="P666" s="42"/>
      <c r="Q666" s="42"/>
      <c r="R666" s="42"/>
      <c r="S666" s="42"/>
      <c r="T666" s="42"/>
      <c r="U666" s="42"/>
      <c r="V666" s="42"/>
    </row>
    <row r="667" customFormat="false" ht="15" hidden="false" customHeight="false" outlineLevel="0" collapsed="false">
      <c r="A667" s="42"/>
      <c r="B667" s="42"/>
      <c r="C667" s="45" t="str">
        <f aca="false">IF(B667="","",IFERROR(INDEX('Master Database'!$D$5:$D$600,MATCH(B667,'Master Database'!$A$5:$A$600,0)),"(row not found)"))</f>
        <v/>
      </c>
      <c r="D667" s="45" t="str">
        <f aca="false">IF(B667="","",IFERROR(INDEX('Master Database'!$B$5:$B$600,MATCH(B667,'Master Database'!$A$5:$A$600,0)),"(row not found)"))</f>
        <v/>
      </c>
      <c r="E667" s="42"/>
      <c r="F667" s="45" t="str">
        <f aca="false">IF(E667="","",IFERROR(INDEX(Vendor_Register!$B$5:$B$205,MATCH(E667,Vendor_Register!$A$5:$A$205,0)),"(not in register)"))</f>
        <v/>
      </c>
      <c r="G667" s="45" t="str">
        <f aca="false">IF(E667="","",IFERROR(INDEX(Vendor_Register!$E$5:$E$205,MATCH(E667,Vendor_Register!$A$5:$A$205,0)),"(not in register)"))</f>
        <v/>
      </c>
      <c r="H667" s="42"/>
      <c r="I667" s="42"/>
      <c r="J667" s="42"/>
      <c r="K667" s="42"/>
      <c r="L667" s="42"/>
      <c r="M667" s="46"/>
      <c r="N667" s="42"/>
      <c r="O667" s="47" t="str">
        <f aca="false">IF(NOT(ISNUMBER(M667)),"",IFERROR(IF(L667="EUR",M667,IF(L667="IRR",M667/INDEX('Assumptions &amp; FX Reference'!$C$5:$C$25,MATCH(H667,'Assumptions &amp; FX Reference'!$A$5:$A$25,0)),IF(L667="USD",M667*INDEX('Assumptions &amp; FX Reference'!$B$5:$B$25,MATCH(H667,'Assumptions &amp; FX Reference'!$A$5:$A$25,0))/INDEX('Assumptions &amp; FX Reference'!$C$5:$C$25,MATCH(H667,'Assumptions &amp; FX Reference'!$A$5:$A$25,0)),""))),"(FX missing)"))</f>
        <v/>
      </c>
      <c r="P667" s="42"/>
      <c r="Q667" s="42"/>
      <c r="R667" s="42"/>
      <c r="S667" s="42"/>
      <c r="T667" s="42"/>
      <c r="U667" s="42"/>
      <c r="V667" s="42"/>
    </row>
    <row r="668" customFormat="false" ht="15" hidden="false" customHeight="false" outlineLevel="0" collapsed="false">
      <c r="A668" s="42"/>
      <c r="B668" s="42"/>
      <c r="C668" s="45" t="str">
        <f aca="false">IF(B668="","",IFERROR(INDEX('Master Database'!$D$5:$D$600,MATCH(B668,'Master Database'!$A$5:$A$600,0)),"(row not found)"))</f>
        <v/>
      </c>
      <c r="D668" s="45" t="str">
        <f aca="false">IF(B668="","",IFERROR(INDEX('Master Database'!$B$5:$B$600,MATCH(B668,'Master Database'!$A$5:$A$600,0)),"(row not found)"))</f>
        <v/>
      </c>
      <c r="E668" s="42"/>
      <c r="F668" s="45" t="str">
        <f aca="false">IF(E668="","",IFERROR(INDEX(Vendor_Register!$B$5:$B$205,MATCH(E668,Vendor_Register!$A$5:$A$205,0)),"(not in register)"))</f>
        <v/>
      </c>
      <c r="G668" s="45" t="str">
        <f aca="false">IF(E668="","",IFERROR(INDEX(Vendor_Register!$E$5:$E$205,MATCH(E668,Vendor_Register!$A$5:$A$205,0)),"(not in register)"))</f>
        <v/>
      </c>
      <c r="H668" s="42"/>
      <c r="I668" s="42"/>
      <c r="J668" s="42"/>
      <c r="K668" s="42"/>
      <c r="L668" s="42"/>
      <c r="M668" s="46"/>
      <c r="N668" s="42"/>
      <c r="O668" s="47" t="str">
        <f aca="false">IF(NOT(ISNUMBER(M668)),"",IFERROR(IF(L668="EUR",M668,IF(L668="IRR",M668/INDEX('Assumptions &amp; FX Reference'!$C$5:$C$25,MATCH(H668,'Assumptions &amp; FX Reference'!$A$5:$A$25,0)),IF(L668="USD",M668*INDEX('Assumptions &amp; FX Reference'!$B$5:$B$25,MATCH(H668,'Assumptions &amp; FX Reference'!$A$5:$A$25,0))/INDEX('Assumptions &amp; FX Reference'!$C$5:$C$25,MATCH(H668,'Assumptions &amp; FX Reference'!$A$5:$A$25,0)),""))),"(FX missing)"))</f>
        <v/>
      </c>
      <c r="P668" s="42"/>
      <c r="Q668" s="42"/>
      <c r="R668" s="42"/>
      <c r="S668" s="42"/>
      <c r="T668" s="42"/>
      <c r="U668" s="42"/>
      <c r="V668" s="42"/>
    </row>
    <row r="669" customFormat="false" ht="15" hidden="false" customHeight="false" outlineLevel="0" collapsed="false">
      <c r="A669" s="42"/>
      <c r="B669" s="42"/>
      <c r="C669" s="45" t="str">
        <f aca="false">IF(B669="","",IFERROR(INDEX('Master Database'!$D$5:$D$600,MATCH(B669,'Master Database'!$A$5:$A$600,0)),"(row not found)"))</f>
        <v/>
      </c>
      <c r="D669" s="45" t="str">
        <f aca="false">IF(B669="","",IFERROR(INDEX('Master Database'!$B$5:$B$600,MATCH(B669,'Master Database'!$A$5:$A$600,0)),"(row not found)"))</f>
        <v/>
      </c>
      <c r="E669" s="42"/>
      <c r="F669" s="45" t="str">
        <f aca="false">IF(E669="","",IFERROR(INDEX(Vendor_Register!$B$5:$B$205,MATCH(E669,Vendor_Register!$A$5:$A$205,0)),"(not in register)"))</f>
        <v/>
      </c>
      <c r="G669" s="45" t="str">
        <f aca="false">IF(E669="","",IFERROR(INDEX(Vendor_Register!$E$5:$E$205,MATCH(E669,Vendor_Register!$A$5:$A$205,0)),"(not in register)"))</f>
        <v/>
      </c>
      <c r="H669" s="42"/>
      <c r="I669" s="42"/>
      <c r="J669" s="42"/>
      <c r="K669" s="42"/>
      <c r="L669" s="42"/>
      <c r="M669" s="46"/>
      <c r="N669" s="42"/>
      <c r="O669" s="47" t="str">
        <f aca="false">IF(NOT(ISNUMBER(M669)),"",IFERROR(IF(L669="EUR",M669,IF(L669="IRR",M669/INDEX('Assumptions &amp; FX Reference'!$C$5:$C$25,MATCH(H669,'Assumptions &amp; FX Reference'!$A$5:$A$25,0)),IF(L669="USD",M669*INDEX('Assumptions &amp; FX Reference'!$B$5:$B$25,MATCH(H669,'Assumptions &amp; FX Reference'!$A$5:$A$25,0))/INDEX('Assumptions &amp; FX Reference'!$C$5:$C$25,MATCH(H669,'Assumptions &amp; FX Reference'!$A$5:$A$25,0)),""))),"(FX missing)"))</f>
        <v/>
      </c>
      <c r="P669" s="42"/>
      <c r="Q669" s="42"/>
      <c r="R669" s="42"/>
      <c r="S669" s="42"/>
      <c r="T669" s="42"/>
      <c r="U669" s="42"/>
      <c r="V669" s="42"/>
    </row>
    <row r="670" customFormat="false" ht="15" hidden="false" customHeight="false" outlineLevel="0" collapsed="false">
      <c r="A670" s="42"/>
      <c r="B670" s="42"/>
      <c r="C670" s="45" t="str">
        <f aca="false">IF(B670="","",IFERROR(INDEX('Master Database'!$D$5:$D$600,MATCH(B670,'Master Database'!$A$5:$A$600,0)),"(row not found)"))</f>
        <v/>
      </c>
      <c r="D670" s="45" t="str">
        <f aca="false">IF(B670="","",IFERROR(INDEX('Master Database'!$B$5:$B$600,MATCH(B670,'Master Database'!$A$5:$A$600,0)),"(row not found)"))</f>
        <v/>
      </c>
      <c r="E670" s="42"/>
      <c r="F670" s="45" t="str">
        <f aca="false">IF(E670="","",IFERROR(INDEX(Vendor_Register!$B$5:$B$205,MATCH(E670,Vendor_Register!$A$5:$A$205,0)),"(not in register)"))</f>
        <v/>
      </c>
      <c r="G670" s="45" t="str">
        <f aca="false">IF(E670="","",IFERROR(INDEX(Vendor_Register!$E$5:$E$205,MATCH(E670,Vendor_Register!$A$5:$A$205,0)),"(not in register)"))</f>
        <v/>
      </c>
      <c r="H670" s="42"/>
      <c r="I670" s="42"/>
      <c r="J670" s="42"/>
      <c r="K670" s="42"/>
      <c r="L670" s="42"/>
      <c r="M670" s="46"/>
      <c r="N670" s="42"/>
      <c r="O670" s="47" t="str">
        <f aca="false">IF(NOT(ISNUMBER(M670)),"",IFERROR(IF(L670="EUR",M670,IF(L670="IRR",M670/INDEX('Assumptions &amp; FX Reference'!$C$5:$C$25,MATCH(H670,'Assumptions &amp; FX Reference'!$A$5:$A$25,0)),IF(L670="USD",M670*INDEX('Assumptions &amp; FX Reference'!$B$5:$B$25,MATCH(H670,'Assumptions &amp; FX Reference'!$A$5:$A$25,0))/INDEX('Assumptions &amp; FX Reference'!$C$5:$C$25,MATCH(H670,'Assumptions &amp; FX Reference'!$A$5:$A$25,0)),""))),"(FX missing)"))</f>
        <v/>
      </c>
      <c r="P670" s="42"/>
      <c r="Q670" s="42"/>
      <c r="R670" s="42"/>
      <c r="S670" s="42"/>
      <c r="T670" s="42"/>
      <c r="U670" s="42"/>
      <c r="V670" s="42"/>
    </row>
    <row r="671" customFormat="false" ht="15" hidden="false" customHeight="false" outlineLevel="0" collapsed="false">
      <c r="A671" s="42"/>
      <c r="B671" s="42"/>
      <c r="C671" s="45" t="str">
        <f aca="false">IF(B671="","",IFERROR(INDEX('Master Database'!$D$5:$D$600,MATCH(B671,'Master Database'!$A$5:$A$600,0)),"(row not found)"))</f>
        <v/>
      </c>
      <c r="D671" s="45" t="str">
        <f aca="false">IF(B671="","",IFERROR(INDEX('Master Database'!$B$5:$B$600,MATCH(B671,'Master Database'!$A$5:$A$600,0)),"(row not found)"))</f>
        <v/>
      </c>
      <c r="E671" s="42"/>
      <c r="F671" s="45" t="str">
        <f aca="false">IF(E671="","",IFERROR(INDEX(Vendor_Register!$B$5:$B$205,MATCH(E671,Vendor_Register!$A$5:$A$205,0)),"(not in register)"))</f>
        <v/>
      </c>
      <c r="G671" s="45" t="str">
        <f aca="false">IF(E671="","",IFERROR(INDEX(Vendor_Register!$E$5:$E$205,MATCH(E671,Vendor_Register!$A$5:$A$205,0)),"(not in register)"))</f>
        <v/>
      </c>
      <c r="H671" s="42"/>
      <c r="I671" s="42"/>
      <c r="J671" s="42"/>
      <c r="K671" s="42"/>
      <c r="L671" s="42"/>
      <c r="M671" s="46"/>
      <c r="N671" s="42"/>
      <c r="O671" s="47" t="str">
        <f aca="false">IF(NOT(ISNUMBER(M671)),"",IFERROR(IF(L671="EUR",M671,IF(L671="IRR",M671/INDEX('Assumptions &amp; FX Reference'!$C$5:$C$25,MATCH(H671,'Assumptions &amp; FX Reference'!$A$5:$A$25,0)),IF(L671="USD",M671*INDEX('Assumptions &amp; FX Reference'!$B$5:$B$25,MATCH(H671,'Assumptions &amp; FX Reference'!$A$5:$A$25,0))/INDEX('Assumptions &amp; FX Reference'!$C$5:$C$25,MATCH(H671,'Assumptions &amp; FX Reference'!$A$5:$A$25,0)),""))),"(FX missing)"))</f>
        <v/>
      </c>
      <c r="P671" s="42"/>
      <c r="Q671" s="42"/>
      <c r="R671" s="42"/>
      <c r="S671" s="42"/>
      <c r="T671" s="42"/>
      <c r="U671" s="42"/>
      <c r="V671" s="42"/>
    </row>
    <row r="672" customFormat="false" ht="15" hidden="false" customHeight="false" outlineLevel="0" collapsed="false">
      <c r="A672" s="42"/>
      <c r="B672" s="42"/>
      <c r="C672" s="45" t="str">
        <f aca="false">IF(B672="","",IFERROR(INDEX('Master Database'!$D$5:$D$600,MATCH(B672,'Master Database'!$A$5:$A$600,0)),"(row not found)"))</f>
        <v/>
      </c>
      <c r="D672" s="45" t="str">
        <f aca="false">IF(B672="","",IFERROR(INDEX('Master Database'!$B$5:$B$600,MATCH(B672,'Master Database'!$A$5:$A$600,0)),"(row not found)"))</f>
        <v/>
      </c>
      <c r="E672" s="42"/>
      <c r="F672" s="45" t="str">
        <f aca="false">IF(E672="","",IFERROR(INDEX(Vendor_Register!$B$5:$B$205,MATCH(E672,Vendor_Register!$A$5:$A$205,0)),"(not in register)"))</f>
        <v/>
      </c>
      <c r="G672" s="45" t="str">
        <f aca="false">IF(E672="","",IFERROR(INDEX(Vendor_Register!$E$5:$E$205,MATCH(E672,Vendor_Register!$A$5:$A$205,0)),"(not in register)"))</f>
        <v/>
      </c>
      <c r="H672" s="42"/>
      <c r="I672" s="42"/>
      <c r="J672" s="42"/>
      <c r="K672" s="42"/>
      <c r="L672" s="42"/>
      <c r="M672" s="46"/>
      <c r="N672" s="42"/>
      <c r="O672" s="47" t="str">
        <f aca="false">IF(NOT(ISNUMBER(M672)),"",IFERROR(IF(L672="EUR",M672,IF(L672="IRR",M672/INDEX('Assumptions &amp; FX Reference'!$C$5:$C$25,MATCH(H672,'Assumptions &amp; FX Reference'!$A$5:$A$25,0)),IF(L672="USD",M672*INDEX('Assumptions &amp; FX Reference'!$B$5:$B$25,MATCH(H672,'Assumptions &amp; FX Reference'!$A$5:$A$25,0))/INDEX('Assumptions &amp; FX Reference'!$C$5:$C$25,MATCH(H672,'Assumptions &amp; FX Reference'!$A$5:$A$25,0)),""))),"(FX missing)"))</f>
        <v/>
      </c>
      <c r="P672" s="42"/>
      <c r="Q672" s="42"/>
      <c r="R672" s="42"/>
      <c r="S672" s="42"/>
      <c r="T672" s="42"/>
      <c r="U672" s="42"/>
      <c r="V672" s="42"/>
    </row>
    <row r="673" customFormat="false" ht="15" hidden="false" customHeight="false" outlineLevel="0" collapsed="false">
      <c r="A673" s="42"/>
      <c r="B673" s="42"/>
      <c r="C673" s="45" t="str">
        <f aca="false">IF(B673="","",IFERROR(INDEX('Master Database'!$D$5:$D$600,MATCH(B673,'Master Database'!$A$5:$A$600,0)),"(row not found)"))</f>
        <v/>
      </c>
      <c r="D673" s="45" t="str">
        <f aca="false">IF(B673="","",IFERROR(INDEX('Master Database'!$B$5:$B$600,MATCH(B673,'Master Database'!$A$5:$A$600,0)),"(row not found)"))</f>
        <v/>
      </c>
      <c r="E673" s="42"/>
      <c r="F673" s="45" t="str">
        <f aca="false">IF(E673="","",IFERROR(INDEX(Vendor_Register!$B$5:$B$205,MATCH(E673,Vendor_Register!$A$5:$A$205,0)),"(not in register)"))</f>
        <v/>
      </c>
      <c r="G673" s="45" t="str">
        <f aca="false">IF(E673="","",IFERROR(INDEX(Vendor_Register!$E$5:$E$205,MATCH(E673,Vendor_Register!$A$5:$A$205,0)),"(not in register)"))</f>
        <v/>
      </c>
      <c r="H673" s="42"/>
      <c r="I673" s="42"/>
      <c r="J673" s="42"/>
      <c r="K673" s="42"/>
      <c r="L673" s="42"/>
      <c r="M673" s="46"/>
      <c r="N673" s="42"/>
      <c r="O673" s="47" t="str">
        <f aca="false">IF(NOT(ISNUMBER(M673)),"",IFERROR(IF(L673="EUR",M673,IF(L673="IRR",M673/INDEX('Assumptions &amp; FX Reference'!$C$5:$C$25,MATCH(H673,'Assumptions &amp; FX Reference'!$A$5:$A$25,0)),IF(L673="USD",M673*INDEX('Assumptions &amp; FX Reference'!$B$5:$B$25,MATCH(H673,'Assumptions &amp; FX Reference'!$A$5:$A$25,0))/INDEX('Assumptions &amp; FX Reference'!$C$5:$C$25,MATCH(H673,'Assumptions &amp; FX Reference'!$A$5:$A$25,0)),""))),"(FX missing)"))</f>
        <v/>
      </c>
      <c r="P673" s="42"/>
      <c r="Q673" s="42"/>
      <c r="R673" s="42"/>
      <c r="S673" s="42"/>
      <c r="T673" s="42"/>
      <c r="U673" s="42"/>
      <c r="V673" s="42"/>
    </row>
    <row r="674" customFormat="false" ht="15" hidden="false" customHeight="false" outlineLevel="0" collapsed="false">
      <c r="A674" s="42"/>
      <c r="B674" s="42"/>
      <c r="C674" s="45" t="str">
        <f aca="false">IF(B674="","",IFERROR(INDEX('Master Database'!$D$5:$D$600,MATCH(B674,'Master Database'!$A$5:$A$600,0)),"(row not found)"))</f>
        <v/>
      </c>
      <c r="D674" s="45" t="str">
        <f aca="false">IF(B674="","",IFERROR(INDEX('Master Database'!$B$5:$B$600,MATCH(B674,'Master Database'!$A$5:$A$600,0)),"(row not found)"))</f>
        <v/>
      </c>
      <c r="E674" s="42"/>
      <c r="F674" s="45" t="str">
        <f aca="false">IF(E674="","",IFERROR(INDEX(Vendor_Register!$B$5:$B$205,MATCH(E674,Vendor_Register!$A$5:$A$205,0)),"(not in register)"))</f>
        <v/>
      </c>
      <c r="G674" s="45" t="str">
        <f aca="false">IF(E674="","",IFERROR(INDEX(Vendor_Register!$E$5:$E$205,MATCH(E674,Vendor_Register!$A$5:$A$205,0)),"(not in register)"))</f>
        <v/>
      </c>
      <c r="H674" s="42"/>
      <c r="I674" s="42"/>
      <c r="J674" s="42"/>
      <c r="K674" s="42"/>
      <c r="L674" s="42"/>
      <c r="M674" s="46"/>
      <c r="N674" s="42"/>
      <c r="O674" s="47" t="str">
        <f aca="false">IF(NOT(ISNUMBER(M674)),"",IFERROR(IF(L674="EUR",M674,IF(L674="IRR",M674/INDEX('Assumptions &amp; FX Reference'!$C$5:$C$25,MATCH(H674,'Assumptions &amp; FX Reference'!$A$5:$A$25,0)),IF(L674="USD",M674*INDEX('Assumptions &amp; FX Reference'!$B$5:$B$25,MATCH(H674,'Assumptions &amp; FX Reference'!$A$5:$A$25,0))/INDEX('Assumptions &amp; FX Reference'!$C$5:$C$25,MATCH(H674,'Assumptions &amp; FX Reference'!$A$5:$A$25,0)),""))),"(FX missing)"))</f>
        <v/>
      </c>
      <c r="P674" s="42"/>
      <c r="Q674" s="42"/>
      <c r="R674" s="42"/>
      <c r="S674" s="42"/>
      <c r="T674" s="42"/>
      <c r="U674" s="42"/>
      <c r="V674" s="42"/>
    </row>
    <row r="675" customFormat="false" ht="15" hidden="false" customHeight="false" outlineLevel="0" collapsed="false">
      <c r="A675" s="42"/>
      <c r="B675" s="42"/>
      <c r="C675" s="45" t="str">
        <f aca="false">IF(B675="","",IFERROR(INDEX('Master Database'!$D$5:$D$600,MATCH(B675,'Master Database'!$A$5:$A$600,0)),"(row not found)"))</f>
        <v/>
      </c>
      <c r="D675" s="45" t="str">
        <f aca="false">IF(B675="","",IFERROR(INDEX('Master Database'!$B$5:$B$600,MATCH(B675,'Master Database'!$A$5:$A$600,0)),"(row not found)"))</f>
        <v/>
      </c>
      <c r="E675" s="42"/>
      <c r="F675" s="45" t="str">
        <f aca="false">IF(E675="","",IFERROR(INDEX(Vendor_Register!$B$5:$B$205,MATCH(E675,Vendor_Register!$A$5:$A$205,0)),"(not in register)"))</f>
        <v/>
      </c>
      <c r="G675" s="45" t="str">
        <f aca="false">IF(E675="","",IFERROR(INDEX(Vendor_Register!$E$5:$E$205,MATCH(E675,Vendor_Register!$A$5:$A$205,0)),"(not in register)"))</f>
        <v/>
      </c>
      <c r="H675" s="42"/>
      <c r="I675" s="42"/>
      <c r="J675" s="42"/>
      <c r="K675" s="42"/>
      <c r="L675" s="42"/>
      <c r="M675" s="46"/>
      <c r="N675" s="42"/>
      <c r="O675" s="47" t="str">
        <f aca="false">IF(NOT(ISNUMBER(M675)),"",IFERROR(IF(L675="EUR",M675,IF(L675="IRR",M675/INDEX('Assumptions &amp; FX Reference'!$C$5:$C$25,MATCH(H675,'Assumptions &amp; FX Reference'!$A$5:$A$25,0)),IF(L675="USD",M675*INDEX('Assumptions &amp; FX Reference'!$B$5:$B$25,MATCH(H675,'Assumptions &amp; FX Reference'!$A$5:$A$25,0))/INDEX('Assumptions &amp; FX Reference'!$C$5:$C$25,MATCH(H675,'Assumptions &amp; FX Reference'!$A$5:$A$25,0)),""))),"(FX missing)"))</f>
        <v/>
      </c>
      <c r="P675" s="42"/>
      <c r="Q675" s="42"/>
      <c r="R675" s="42"/>
      <c r="S675" s="42"/>
      <c r="T675" s="42"/>
      <c r="U675" s="42"/>
      <c r="V675" s="42"/>
    </row>
    <row r="676" customFormat="false" ht="15" hidden="false" customHeight="false" outlineLevel="0" collapsed="false">
      <c r="A676" s="42"/>
      <c r="B676" s="42"/>
      <c r="C676" s="45" t="str">
        <f aca="false">IF(B676="","",IFERROR(INDEX('Master Database'!$D$5:$D$600,MATCH(B676,'Master Database'!$A$5:$A$600,0)),"(row not found)"))</f>
        <v/>
      </c>
      <c r="D676" s="45" t="str">
        <f aca="false">IF(B676="","",IFERROR(INDEX('Master Database'!$B$5:$B$600,MATCH(B676,'Master Database'!$A$5:$A$600,0)),"(row not found)"))</f>
        <v/>
      </c>
      <c r="E676" s="42"/>
      <c r="F676" s="45" t="str">
        <f aca="false">IF(E676="","",IFERROR(INDEX(Vendor_Register!$B$5:$B$205,MATCH(E676,Vendor_Register!$A$5:$A$205,0)),"(not in register)"))</f>
        <v/>
      </c>
      <c r="G676" s="45" t="str">
        <f aca="false">IF(E676="","",IFERROR(INDEX(Vendor_Register!$E$5:$E$205,MATCH(E676,Vendor_Register!$A$5:$A$205,0)),"(not in register)"))</f>
        <v/>
      </c>
      <c r="H676" s="42"/>
      <c r="I676" s="42"/>
      <c r="J676" s="42"/>
      <c r="K676" s="42"/>
      <c r="L676" s="42"/>
      <c r="M676" s="46"/>
      <c r="N676" s="42"/>
      <c r="O676" s="47" t="str">
        <f aca="false">IF(NOT(ISNUMBER(M676)),"",IFERROR(IF(L676="EUR",M676,IF(L676="IRR",M676/INDEX('Assumptions &amp; FX Reference'!$C$5:$C$25,MATCH(H676,'Assumptions &amp; FX Reference'!$A$5:$A$25,0)),IF(L676="USD",M676*INDEX('Assumptions &amp; FX Reference'!$B$5:$B$25,MATCH(H676,'Assumptions &amp; FX Reference'!$A$5:$A$25,0))/INDEX('Assumptions &amp; FX Reference'!$C$5:$C$25,MATCH(H676,'Assumptions &amp; FX Reference'!$A$5:$A$25,0)),""))),"(FX missing)"))</f>
        <v/>
      </c>
      <c r="P676" s="42"/>
      <c r="Q676" s="42"/>
      <c r="R676" s="42"/>
      <c r="S676" s="42"/>
      <c r="T676" s="42"/>
      <c r="U676" s="42"/>
      <c r="V676" s="42"/>
    </row>
    <row r="677" customFormat="false" ht="15" hidden="false" customHeight="false" outlineLevel="0" collapsed="false">
      <c r="A677" s="42"/>
      <c r="B677" s="42"/>
      <c r="C677" s="45" t="str">
        <f aca="false">IF(B677="","",IFERROR(INDEX('Master Database'!$D$5:$D$600,MATCH(B677,'Master Database'!$A$5:$A$600,0)),"(row not found)"))</f>
        <v/>
      </c>
      <c r="D677" s="45" t="str">
        <f aca="false">IF(B677="","",IFERROR(INDEX('Master Database'!$B$5:$B$600,MATCH(B677,'Master Database'!$A$5:$A$600,0)),"(row not found)"))</f>
        <v/>
      </c>
      <c r="E677" s="42"/>
      <c r="F677" s="45" t="str">
        <f aca="false">IF(E677="","",IFERROR(INDEX(Vendor_Register!$B$5:$B$205,MATCH(E677,Vendor_Register!$A$5:$A$205,0)),"(not in register)"))</f>
        <v/>
      </c>
      <c r="G677" s="45" t="str">
        <f aca="false">IF(E677="","",IFERROR(INDEX(Vendor_Register!$E$5:$E$205,MATCH(E677,Vendor_Register!$A$5:$A$205,0)),"(not in register)"))</f>
        <v/>
      </c>
      <c r="H677" s="42"/>
      <c r="I677" s="42"/>
      <c r="J677" s="42"/>
      <c r="K677" s="42"/>
      <c r="L677" s="42"/>
      <c r="M677" s="46"/>
      <c r="N677" s="42"/>
      <c r="O677" s="47" t="str">
        <f aca="false">IF(NOT(ISNUMBER(M677)),"",IFERROR(IF(L677="EUR",M677,IF(L677="IRR",M677/INDEX('Assumptions &amp; FX Reference'!$C$5:$C$25,MATCH(H677,'Assumptions &amp; FX Reference'!$A$5:$A$25,0)),IF(L677="USD",M677*INDEX('Assumptions &amp; FX Reference'!$B$5:$B$25,MATCH(H677,'Assumptions &amp; FX Reference'!$A$5:$A$25,0))/INDEX('Assumptions &amp; FX Reference'!$C$5:$C$25,MATCH(H677,'Assumptions &amp; FX Reference'!$A$5:$A$25,0)),""))),"(FX missing)"))</f>
        <v/>
      </c>
      <c r="P677" s="42"/>
      <c r="Q677" s="42"/>
      <c r="R677" s="42"/>
      <c r="S677" s="42"/>
      <c r="T677" s="42"/>
      <c r="U677" s="42"/>
      <c r="V677" s="42"/>
    </row>
    <row r="678" customFormat="false" ht="15" hidden="false" customHeight="false" outlineLevel="0" collapsed="false">
      <c r="A678" s="42"/>
      <c r="B678" s="42"/>
      <c r="C678" s="45" t="str">
        <f aca="false">IF(B678="","",IFERROR(INDEX('Master Database'!$D$5:$D$600,MATCH(B678,'Master Database'!$A$5:$A$600,0)),"(row not found)"))</f>
        <v/>
      </c>
      <c r="D678" s="45" t="str">
        <f aca="false">IF(B678="","",IFERROR(INDEX('Master Database'!$B$5:$B$600,MATCH(B678,'Master Database'!$A$5:$A$600,0)),"(row not found)"))</f>
        <v/>
      </c>
      <c r="E678" s="42"/>
      <c r="F678" s="45" t="str">
        <f aca="false">IF(E678="","",IFERROR(INDEX(Vendor_Register!$B$5:$B$205,MATCH(E678,Vendor_Register!$A$5:$A$205,0)),"(not in register)"))</f>
        <v/>
      </c>
      <c r="G678" s="45" t="str">
        <f aca="false">IF(E678="","",IFERROR(INDEX(Vendor_Register!$E$5:$E$205,MATCH(E678,Vendor_Register!$A$5:$A$205,0)),"(not in register)"))</f>
        <v/>
      </c>
      <c r="H678" s="42"/>
      <c r="I678" s="42"/>
      <c r="J678" s="42"/>
      <c r="K678" s="42"/>
      <c r="L678" s="42"/>
      <c r="M678" s="46"/>
      <c r="N678" s="42"/>
      <c r="O678" s="47" t="str">
        <f aca="false">IF(NOT(ISNUMBER(M678)),"",IFERROR(IF(L678="EUR",M678,IF(L678="IRR",M678/INDEX('Assumptions &amp; FX Reference'!$C$5:$C$25,MATCH(H678,'Assumptions &amp; FX Reference'!$A$5:$A$25,0)),IF(L678="USD",M678*INDEX('Assumptions &amp; FX Reference'!$B$5:$B$25,MATCH(H678,'Assumptions &amp; FX Reference'!$A$5:$A$25,0))/INDEX('Assumptions &amp; FX Reference'!$C$5:$C$25,MATCH(H678,'Assumptions &amp; FX Reference'!$A$5:$A$25,0)),""))),"(FX missing)"))</f>
        <v/>
      </c>
      <c r="P678" s="42"/>
      <c r="Q678" s="42"/>
      <c r="R678" s="42"/>
      <c r="S678" s="42"/>
      <c r="T678" s="42"/>
      <c r="U678" s="42"/>
      <c r="V678" s="42"/>
    </row>
    <row r="679" customFormat="false" ht="15" hidden="false" customHeight="false" outlineLevel="0" collapsed="false">
      <c r="A679" s="42"/>
      <c r="B679" s="42"/>
      <c r="C679" s="45" t="str">
        <f aca="false">IF(B679="","",IFERROR(INDEX('Master Database'!$D$5:$D$600,MATCH(B679,'Master Database'!$A$5:$A$600,0)),"(row not found)"))</f>
        <v/>
      </c>
      <c r="D679" s="45" t="str">
        <f aca="false">IF(B679="","",IFERROR(INDEX('Master Database'!$B$5:$B$600,MATCH(B679,'Master Database'!$A$5:$A$600,0)),"(row not found)"))</f>
        <v/>
      </c>
      <c r="E679" s="42"/>
      <c r="F679" s="45" t="str">
        <f aca="false">IF(E679="","",IFERROR(INDEX(Vendor_Register!$B$5:$B$205,MATCH(E679,Vendor_Register!$A$5:$A$205,0)),"(not in register)"))</f>
        <v/>
      </c>
      <c r="G679" s="45" t="str">
        <f aca="false">IF(E679="","",IFERROR(INDEX(Vendor_Register!$E$5:$E$205,MATCH(E679,Vendor_Register!$A$5:$A$205,0)),"(not in register)"))</f>
        <v/>
      </c>
      <c r="H679" s="42"/>
      <c r="I679" s="42"/>
      <c r="J679" s="42"/>
      <c r="K679" s="42"/>
      <c r="L679" s="42"/>
      <c r="M679" s="46"/>
      <c r="N679" s="42"/>
      <c r="O679" s="47" t="str">
        <f aca="false">IF(NOT(ISNUMBER(M679)),"",IFERROR(IF(L679="EUR",M679,IF(L679="IRR",M679/INDEX('Assumptions &amp; FX Reference'!$C$5:$C$25,MATCH(H679,'Assumptions &amp; FX Reference'!$A$5:$A$25,0)),IF(L679="USD",M679*INDEX('Assumptions &amp; FX Reference'!$B$5:$B$25,MATCH(H679,'Assumptions &amp; FX Reference'!$A$5:$A$25,0))/INDEX('Assumptions &amp; FX Reference'!$C$5:$C$25,MATCH(H679,'Assumptions &amp; FX Reference'!$A$5:$A$25,0)),""))),"(FX missing)"))</f>
        <v/>
      </c>
      <c r="P679" s="42"/>
      <c r="Q679" s="42"/>
      <c r="R679" s="42"/>
      <c r="S679" s="42"/>
      <c r="T679" s="42"/>
      <c r="U679" s="42"/>
      <c r="V679" s="42"/>
    </row>
    <row r="680" customFormat="false" ht="15" hidden="false" customHeight="false" outlineLevel="0" collapsed="false">
      <c r="A680" s="42"/>
      <c r="B680" s="42"/>
      <c r="C680" s="45" t="str">
        <f aca="false">IF(B680="","",IFERROR(INDEX('Master Database'!$D$5:$D$600,MATCH(B680,'Master Database'!$A$5:$A$600,0)),"(row not found)"))</f>
        <v/>
      </c>
      <c r="D680" s="45" t="str">
        <f aca="false">IF(B680="","",IFERROR(INDEX('Master Database'!$B$5:$B$600,MATCH(B680,'Master Database'!$A$5:$A$600,0)),"(row not found)"))</f>
        <v/>
      </c>
      <c r="E680" s="42"/>
      <c r="F680" s="45" t="str">
        <f aca="false">IF(E680="","",IFERROR(INDEX(Vendor_Register!$B$5:$B$205,MATCH(E680,Vendor_Register!$A$5:$A$205,0)),"(not in register)"))</f>
        <v/>
      </c>
      <c r="G680" s="45" t="str">
        <f aca="false">IF(E680="","",IFERROR(INDEX(Vendor_Register!$E$5:$E$205,MATCH(E680,Vendor_Register!$A$5:$A$205,0)),"(not in register)"))</f>
        <v/>
      </c>
      <c r="H680" s="42"/>
      <c r="I680" s="42"/>
      <c r="J680" s="42"/>
      <c r="K680" s="42"/>
      <c r="L680" s="42"/>
      <c r="M680" s="46"/>
      <c r="N680" s="42"/>
      <c r="O680" s="47" t="str">
        <f aca="false">IF(NOT(ISNUMBER(M680)),"",IFERROR(IF(L680="EUR",M680,IF(L680="IRR",M680/INDEX('Assumptions &amp; FX Reference'!$C$5:$C$25,MATCH(H680,'Assumptions &amp; FX Reference'!$A$5:$A$25,0)),IF(L680="USD",M680*INDEX('Assumptions &amp; FX Reference'!$B$5:$B$25,MATCH(H680,'Assumptions &amp; FX Reference'!$A$5:$A$25,0))/INDEX('Assumptions &amp; FX Reference'!$C$5:$C$25,MATCH(H680,'Assumptions &amp; FX Reference'!$A$5:$A$25,0)),""))),"(FX missing)"))</f>
        <v/>
      </c>
      <c r="P680" s="42"/>
      <c r="Q680" s="42"/>
      <c r="R680" s="42"/>
      <c r="S680" s="42"/>
      <c r="T680" s="42"/>
      <c r="U680" s="42"/>
      <c r="V680" s="42"/>
    </row>
    <row r="681" customFormat="false" ht="15" hidden="false" customHeight="false" outlineLevel="0" collapsed="false">
      <c r="A681" s="42"/>
      <c r="B681" s="42"/>
      <c r="C681" s="45" t="str">
        <f aca="false">IF(B681="","",IFERROR(INDEX('Master Database'!$D$5:$D$600,MATCH(B681,'Master Database'!$A$5:$A$600,0)),"(row not found)"))</f>
        <v/>
      </c>
      <c r="D681" s="45" t="str">
        <f aca="false">IF(B681="","",IFERROR(INDEX('Master Database'!$B$5:$B$600,MATCH(B681,'Master Database'!$A$5:$A$600,0)),"(row not found)"))</f>
        <v/>
      </c>
      <c r="E681" s="42"/>
      <c r="F681" s="45" t="str">
        <f aca="false">IF(E681="","",IFERROR(INDEX(Vendor_Register!$B$5:$B$205,MATCH(E681,Vendor_Register!$A$5:$A$205,0)),"(not in register)"))</f>
        <v/>
      </c>
      <c r="G681" s="45" t="str">
        <f aca="false">IF(E681="","",IFERROR(INDEX(Vendor_Register!$E$5:$E$205,MATCH(E681,Vendor_Register!$A$5:$A$205,0)),"(not in register)"))</f>
        <v/>
      </c>
      <c r="H681" s="42"/>
      <c r="I681" s="42"/>
      <c r="J681" s="42"/>
      <c r="K681" s="42"/>
      <c r="L681" s="42"/>
      <c r="M681" s="46"/>
      <c r="N681" s="42"/>
      <c r="O681" s="47" t="str">
        <f aca="false">IF(NOT(ISNUMBER(M681)),"",IFERROR(IF(L681="EUR",M681,IF(L681="IRR",M681/INDEX('Assumptions &amp; FX Reference'!$C$5:$C$25,MATCH(H681,'Assumptions &amp; FX Reference'!$A$5:$A$25,0)),IF(L681="USD",M681*INDEX('Assumptions &amp; FX Reference'!$B$5:$B$25,MATCH(H681,'Assumptions &amp; FX Reference'!$A$5:$A$25,0))/INDEX('Assumptions &amp; FX Reference'!$C$5:$C$25,MATCH(H681,'Assumptions &amp; FX Reference'!$A$5:$A$25,0)),""))),"(FX missing)"))</f>
        <v/>
      </c>
      <c r="P681" s="42"/>
      <c r="Q681" s="42"/>
      <c r="R681" s="42"/>
      <c r="S681" s="42"/>
      <c r="T681" s="42"/>
      <c r="U681" s="42"/>
      <c r="V681" s="42"/>
    </row>
    <row r="682" customFormat="false" ht="15" hidden="false" customHeight="false" outlineLevel="0" collapsed="false">
      <c r="A682" s="42"/>
      <c r="B682" s="42"/>
      <c r="C682" s="45" t="str">
        <f aca="false">IF(B682="","",IFERROR(INDEX('Master Database'!$D$5:$D$600,MATCH(B682,'Master Database'!$A$5:$A$600,0)),"(row not found)"))</f>
        <v/>
      </c>
      <c r="D682" s="45" t="str">
        <f aca="false">IF(B682="","",IFERROR(INDEX('Master Database'!$B$5:$B$600,MATCH(B682,'Master Database'!$A$5:$A$600,0)),"(row not found)"))</f>
        <v/>
      </c>
      <c r="E682" s="42"/>
      <c r="F682" s="45" t="str">
        <f aca="false">IF(E682="","",IFERROR(INDEX(Vendor_Register!$B$5:$B$205,MATCH(E682,Vendor_Register!$A$5:$A$205,0)),"(not in register)"))</f>
        <v/>
      </c>
      <c r="G682" s="45" t="str">
        <f aca="false">IF(E682="","",IFERROR(INDEX(Vendor_Register!$E$5:$E$205,MATCH(E682,Vendor_Register!$A$5:$A$205,0)),"(not in register)"))</f>
        <v/>
      </c>
      <c r="H682" s="42"/>
      <c r="I682" s="42"/>
      <c r="J682" s="42"/>
      <c r="K682" s="42"/>
      <c r="L682" s="42"/>
      <c r="M682" s="46"/>
      <c r="N682" s="42"/>
      <c r="O682" s="47" t="str">
        <f aca="false">IF(NOT(ISNUMBER(M682)),"",IFERROR(IF(L682="EUR",M682,IF(L682="IRR",M682/INDEX('Assumptions &amp; FX Reference'!$C$5:$C$25,MATCH(H682,'Assumptions &amp; FX Reference'!$A$5:$A$25,0)),IF(L682="USD",M682*INDEX('Assumptions &amp; FX Reference'!$B$5:$B$25,MATCH(H682,'Assumptions &amp; FX Reference'!$A$5:$A$25,0))/INDEX('Assumptions &amp; FX Reference'!$C$5:$C$25,MATCH(H682,'Assumptions &amp; FX Reference'!$A$5:$A$25,0)),""))),"(FX missing)"))</f>
        <v/>
      </c>
      <c r="P682" s="42"/>
      <c r="Q682" s="42"/>
      <c r="R682" s="42"/>
      <c r="S682" s="42"/>
      <c r="T682" s="42"/>
      <c r="U682" s="42"/>
      <c r="V682" s="42"/>
    </row>
    <row r="683" customFormat="false" ht="15" hidden="false" customHeight="false" outlineLevel="0" collapsed="false">
      <c r="A683" s="42"/>
      <c r="B683" s="42"/>
      <c r="C683" s="45" t="str">
        <f aca="false">IF(B683="","",IFERROR(INDEX('Master Database'!$D$5:$D$600,MATCH(B683,'Master Database'!$A$5:$A$600,0)),"(row not found)"))</f>
        <v/>
      </c>
      <c r="D683" s="45" t="str">
        <f aca="false">IF(B683="","",IFERROR(INDEX('Master Database'!$B$5:$B$600,MATCH(B683,'Master Database'!$A$5:$A$600,0)),"(row not found)"))</f>
        <v/>
      </c>
      <c r="E683" s="42"/>
      <c r="F683" s="45" t="str">
        <f aca="false">IF(E683="","",IFERROR(INDEX(Vendor_Register!$B$5:$B$205,MATCH(E683,Vendor_Register!$A$5:$A$205,0)),"(not in register)"))</f>
        <v/>
      </c>
      <c r="G683" s="45" t="str">
        <f aca="false">IF(E683="","",IFERROR(INDEX(Vendor_Register!$E$5:$E$205,MATCH(E683,Vendor_Register!$A$5:$A$205,0)),"(not in register)"))</f>
        <v/>
      </c>
      <c r="H683" s="42"/>
      <c r="I683" s="42"/>
      <c r="J683" s="42"/>
      <c r="K683" s="42"/>
      <c r="L683" s="42"/>
      <c r="M683" s="46"/>
      <c r="N683" s="42"/>
      <c r="O683" s="47" t="str">
        <f aca="false">IF(NOT(ISNUMBER(M683)),"",IFERROR(IF(L683="EUR",M683,IF(L683="IRR",M683/INDEX('Assumptions &amp; FX Reference'!$C$5:$C$25,MATCH(H683,'Assumptions &amp; FX Reference'!$A$5:$A$25,0)),IF(L683="USD",M683*INDEX('Assumptions &amp; FX Reference'!$B$5:$B$25,MATCH(H683,'Assumptions &amp; FX Reference'!$A$5:$A$25,0))/INDEX('Assumptions &amp; FX Reference'!$C$5:$C$25,MATCH(H683,'Assumptions &amp; FX Reference'!$A$5:$A$25,0)),""))),"(FX missing)"))</f>
        <v/>
      </c>
      <c r="P683" s="42"/>
      <c r="Q683" s="42"/>
      <c r="R683" s="42"/>
      <c r="S683" s="42"/>
      <c r="T683" s="42"/>
      <c r="U683" s="42"/>
      <c r="V683" s="42"/>
    </row>
    <row r="684" customFormat="false" ht="15" hidden="false" customHeight="false" outlineLevel="0" collapsed="false">
      <c r="A684" s="42"/>
      <c r="B684" s="42"/>
      <c r="C684" s="45" t="str">
        <f aca="false">IF(B684="","",IFERROR(INDEX('Master Database'!$D$5:$D$600,MATCH(B684,'Master Database'!$A$5:$A$600,0)),"(row not found)"))</f>
        <v/>
      </c>
      <c r="D684" s="45" t="str">
        <f aca="false">IF(B684="","",IFERROR(INDEX('Master Database'!$B$5:$B$600,MATCH(B684,'Master Database'!$A$5:$A$600,0)),"(row not found)"))</f>
        <v/>
      </c>
      <c r="E684" s="42"/>
      <c r="F684" s="45" t="str">
        <f aca="false">IF(E684="","",IFERROR(INDEX(Vendor_Register!$B$5:$B$205,MATCH(E684,Vendor_Register!$A$5:$A$205,0)),"(not in register)"))</f>
        <v/>
      </c>
      <c r="G684" s="45" t="str">
        <f aca="false">IF(E684="","",IFERROR(INDEX(Vendor_Register!$E$5:$E$205,MATCH(E684,Vendor_Register!$A$5:$A$205,0)),"(not in register)"))</f>
        <v/>
      </c>
      <c r="H684" s="42"/>
      <c r="I684" s="42"/>
      <c r="J684" s="42"/>
      <c r="K684" s="42"/>
      <c r="L684" s="42"/>
      <c r="M684" s="46"/>
      <c r="N684" s="42"/>
      <c r="O684" s="47" t="str">
        <f aca="false">IF(NOT(ISNUMBER(M684)),"",IFERROR(IF(L684="EUR",M684,IF(L684="IRR",M684/INDEX('Assumptions &amp; FX Reference'!$C$5:$C$25,MATCH(H684,'Assumptions &amp; FX Reference'!$A$5:$A$25,0)),IF(L684="USD",M684*INDEX('Assumptions &amp; FX Reference'!$B$5:$B$25,MATCH(H684,'Assumptions &amp; FX Reference'!$A$5:$A$25,0))/INDEX('Assumptions &amp; FX Reference'!$C$5:$C$25,MATCH(H684,'Assumptions &amp; FX Reference'!$A$5:$A$25,0)),""))),"(FX missing)"))</f>
        <v/>
      </c>
      <c r="P684" s="42"/>
      <c r="Q684" s="42"/>
      <c r="R684" s="42"/>
      <c r="S684" s="42"/>
      <c r="T684" s="42"/>
      <c r="U684" s="42"/>
      <c r="V684" s="42"/>
    </row>
    <row r="685" customFormat="false" ht="15" hidden="false" customHeight="false" outlineLevel="0" collapsed="false">
      <c r="A685" s="42"/>
      <c r="B685" s="42"/>
      <c r="C685" s="45" t="str">
        <f aca="false">IF(B685="","",IFERROR(INDEX('Master Database'!$D$5:$D$600,MATCH(B685,'Master Database'!$A$5:$A$600,0)),"(row not found)"))</f>
        <v/>
      </c>
      <c r="D685" s="45" t="str">
        <f aca="false">IF(B685="","",IFERROR(INDEX('Master Database'!$B$5:$B$600,MATCH(B685,'Master Database'!$A$5:$A$600,0)),"(row not found)"))</f>
        <v/>
      </c>
      <c r="E685" s="42"/>
      <c r="F685" s="45" t="str">
        <f aca="false">IF(E685="","",IFERROR(INDEX(Vendor_Register!$B$5:$B$205,MATCH(E685,Vendor_Register!$A$5:$A$205,0)),"(not in register)"))</f>
        <v/>
      </c>
      <c r="G685" s="45" t="str">
        <f aca="false">IF(E685="","",IFERROR(INDEX(Vendor_Register!$E$5:$E$205,MATCH(E685,Vendor_Register!$A$5:$A$205,0)),"(not in register)"))</f>
        <v/>
      </c>
      <c r="H685" s="42"/>
      <c r="I685" s="42"/>
      <c r="J685" s="42"/>
      <c r="K685" s="42"/>
      <c r="L685" s="42"/>
      <c r="M685" s="46"/>
      <c r="N685" s="42"/>
      <c r="O685" s="47" t="str">
        <f aca="false">IF(NOT(ISNUMBER(M685)),"",IFERROR(IF(L685="EUR",M685,IF(L685="IRR",M685/INDEX('Assumptions &amp; FX Reference'!$C$5:$C$25,MATCH(H685,'Assumptions &amp; FX Reference'!$A$5:$A$25,0)),IF(L685="USD",M685*INDEX('Assumptions &amp; FX Reference'!$B$5:$B$25,MATCH(H685,'Assumptions &amp; FX Reference'!$A$5:$A$25,0))/INDEX('Assumptions &amp; FX Reference'!$C$5:$C$25,MATCH(H685,'Assumptions &amp; FX Reference'!$A$5:$A$25,0)),""))),"(FX missing)"))</f>
        <v/>
      </c>
      <c r="P685" s="42"/>
      <c r="Q685" s="42"/>
      <c r="R685" s="42"/>
      <c r="S685" s="42"/>
      <c r="T685" s="42"/>
      <c r="U685" s="42"/>
      <c r="V685" s="42"/>
    </row>
    <row r="686" customFormat="false" ht="15" hidden="false" customHeight="false" outlineLevel="0" collapsed="false">
      <c r="A686" s="42"/>
      <c r="B686" s="42"/>
      <c r="C686" s="45" t="str">
        <f aca="false">IF(B686="","",IFERROR(INDEX('Master Database'!$D$5:$D$600,MATCH(B686,'Master Database'!$A$5:$A$600,0)),"(row not found)"))</f>
        <v/>
      </c>
      <c r="D686" s="45" t="str">
        <f aca="false">IF(B686="","",IFERROR(INDEX('Master Database'!$B$5:$B$600,MATCH(B686,'Master Database'!$A$5:$A$600,0)),"(row not found)"))</f>
        <v/>
      </c>
      <c r="E686" s="42"/>
      <c r="F686" s="45" t="str">
        <f aca="false">IF(E686="","",IFERROR(INDEX(Vendor_Register!$B$5:$B$205,MATCH(E686,Vendor_Register!$A$5:$A$205,0)),"(not in register)"))</f>
        <v/>
      </c>
      <c r="G686" s="45" t="str">
        <f aca="false">IF(E686="","",IFERROR(INDEX(Vendor_Register!$E$5:$E$205,MATCH(E686,Vendor_Register!$A$5:$A$205,0)),"(not in register)"))</f>
        <v/>
      </c>
      <c r="H686" s="42"/>
      <c r="I686" s="42"/>
      <c r="J686" s="42"/>
      <c r="K686" s="42"/>
      <c r="L686" s="42"/>
      <c r="M686" s="46"/>
      <c r="N686" s="42"/>
      <c r="O686" s="47" t="str">
        <f aca="false">IF(NOT(ISNUMBER(M686)),"",IFERROR(IF(L686="EUR",M686,IF(L686="IRR",M686/INDEX('Assumptions &amp; FX Reference'!$C$5:$C$25,MATCH(H686,'Assumptions &amp; FX Reference'!$A$5:$A$25,0)),IF(L686="USD",M686*INDEX('Assumptions &amp; FX Reference'!$B$5:$B$25,MATCH(H686,'Assumptions &amp; FX Reference'!$A$5:$A$25,0))/INDEX('Assumptions &amp; FX Reference'!$C$5:$C$25,MATCH(H686,'Assumptions &amp; FX Reference'!$A$5:$A$25,0)),""))),"(FX missing)"))</f>
        <v/>
      </c>
      <c r="P686" s="42"/>
      <c r="Q686" s="42"/>
      <c r="R686" s="42"/>
      <c r="S686" s="42"/>
      <c r="T686" s="42"/>
      <c r="U686" s="42"/>
      <c r="V686" s="42"/>
    </row>
    <row r="687" customFormat="false" ht="15" hidden="false" customHeight="false" outlineLevel="0" collapsed="false">
      <c r="A687" s="42"/>
      <c r="B687" s="42"/>
      <c r="C687" s="45" t="str">
        <f aca="false">IF(B687="","",IFERROR(INDEX('Master Database'!$D$5:$D$600,MATCH(B687,'Master Database'!$A$5:$A$600,0)),"(row not found)"))</f>
        <v/>
      </c>
      <c r="D687" s="45" t="str">
        <f aca="false">IF(B687="","",IFERROR(INDEX('Master Database'!$B$5:$B$600,MATCH(B687,'Master Database'!$A$5:$A$600,0)),"(row not found)"))</f>
        <v/>
      </c>
      <c r="E687" s="42"/>
      <c r="F687" s="45" t="str">
        <f aca="false">IF(E687="","",IFERROR(INDEX(Vendor_Register!$B$5:$B$205,MATCH(E687,Vendor_Register!$A$5:$A$205,0)),"(not in register)"))</f>
        <v/>
      </c>
      <c r="G687" s="45" t="str">
        <f aca="false">IF(E687="","",IFERROR(INDEX(Vendor_Register!$E$5:$E$205,MATCH(E687,Vendor_Register!$A$5:$A$205,0)),"(not in register)"))</f>
        <v/>
      </c>
      <c r="H687" s="42"/>
      <c r="I687" s="42"/>
      <c r="J687" s="42"/>
      <c r="K687" s="42"/>
      <c r="L687" s="42"/>
      <c r="M687" s="46"/>
      <c r="N687" s="42"/>
      <c r="O687" s="47" t="str">
        <f aca="false">IF(NOT(ISNUMBER(M687)),"",IFERROR(IF(L687="EUR",M687,IF(L687="IRR",M687/INDEX('Assumptions &amp; FX Reference'!$C$5:$C$25,MATCH(H687,'Assumptions &amp; FX Reference'!$A$5:$A$25,0)),IF(L687="USD",M687*INDEX('Assumptions &amp; FX Reference'!$B$5:$B$25,MATCH(H687,'Assumptions &amp; FX Reference'!$A$5:$A$25,0))/INDEX('Assumptions &amp; FX Reference'!$C$5:$C$25,MATCH(H687,'Assumptions &amp; FX Reference'!$A$5:$A$25,0)),""))),"(FX missing)"))</f>
        <v/>
      </c>
      <c r="P687" s="42"/>
      <c r="Q687" s="42"/>
      <c r="R687" s="42"/>
      <c r="S687" s="42"/>
      <c r="T687" s="42"/>
      <c r="U687" s="42"/>
      <c r="V687" s="42"/>
    </row>
    <row r="688" customFormat="false" ht="15" hidden="false" customHeight="false" outlineLevel="0" collapsed="false">
      <c r="A688" s="42"/>
      <c r="B688" s="42"/>
      <c r="C688" s="45" t="str">
        <f aca="false">IF(B688="","",IFERROR(INDEX('Master Database'!$D$5:$D$600,MATCH(B688,'Master Database'!$A$5:$A$600,0)),"(row not found)"))</f>
        <v/>
      </c>
      <c r="D688" s="45" t="str">
        <f aca="false">IF(B688="","",IFERROR(INDEX('Master Database'!$B$5:$B$600,MATCH(B688,'Master Database'!$A$5:$A$600,0)),"(row not found)"))</f>
        <v/>
      </c>
      <c r="E688" s="42"/>
      <c r="F688" s="45" t="str">
        <f aca="false">IF(E688="","",IFERROR(INDEX(Vendor_Register!$B$5:$B$205,MATCH(E688,Vendor_Register!$A$5:$A$205,0)),"(not in register)"))</f>
        <v/>
      </c>
      <c r="G688" s="45" t="str">
        <f aca="false">IF(E688="","",IFERROR(INDEX(Vendor_Register!$E$5:$E$205,MATCH(E688,Vendor_Register!$A$5:$A$205,0)),"(not in register)"))</f>
        <v/>
      </c>
      <c r="H688" s="42"/>
      <c r="I688" s="42"/>
      <c r="J688" s="42"/>
      <c r="K688" s="42"/>
      <c r="L688" s="42"/>
      <c r="M688" s="46"/>
      <c r="N688" s="42"/>
      <c r="O688" s="47" t="str">
        <f aca="false">IF(NOT(ISNUMBER(M688)),"",IFERROR(IF(L688="EUR",M688,IF(L688="IRR",M688/INDEX('Assumptions &amp; FX Reference'!$C$5:$C$25,MATCH(H688,'Assumptions &amp; FX Reference'!$A$5:$A$25,0)),IF(L688="USD",M688*INDEX('Assumptions &amp; FX Reference'!$B$5:$B$25,MATCH(H688,'Assumptions &amp; FX Reference'!$A$5:$A$25,0))/INDEX('Assumptions &amp; FX Reference'!$C$5:$C$25,MATCH(H688,'Assumptions &amp; FX Reference'!$A$5:$A$25,0)),""))),"(FX missing)"))</f>
        <v/>
      </c>
      <c r="P688" s="42"/>
      <c r="Q688" s="42"/>
      <c r="R688" s="42"/>
      <c r="S688" s="42"/>
      <c r="T688" s="42"/>
      <c r="U688" s="42"/>
      <c r="V688" s="42"/>
    </row>
    <row r="689" customFormat="false" ht="15" hidden="false" customHeight="false" outlineLevel="0" collapsed="false">
      <c r="A689" s="42"/>
      <c r="B689" s="42"/>
      <c r="C689" s="45" t="str">
        <f aca="false">IF(B689="","",IFERROR(INDEX('Master Database'!$D$5:$D$600,MATCH(B689,'Master Database'!$A$5:$A$600,0)),"(row not found)"))</f>
        <v/>
      </c>
      <c r="D689" s="45" t="str">
        <f aca="false">IF(B689="","",IFERROR(INDEX('Master Database'!$B$5:$B$600,MATCH(B689,'Master Database'!$A$5:$A$600,0)),"(row not found)"))</f>
        <v/>
      </c>
      <c r="E689" s="42"/>
      <c r="F689" s="45" t="str">
        <f aca="false">IF(E689="","",IFERROR(INDEX(Vendor_Register!$B$5:$B$205,MATCH(E689,Vendor_Register!$A$5:$A$205,0)),"(not in register)"))</f>
        <v/>
      </c>
      <c r="G689" s="45" t="str">
        <f aca="false">IF(E689="","",IFERROR(INDEX(Vendor_Register!$E$5:$E$205,MATCH(E689,Vendor_Register!$A$5:$A$205,0)),"(not in register)"))</f>
        <v/>
      </c>
      <c r="H689" s="42"/>
      <c r="I689" s="42"/>
      <c r="J689" s="42"/>
      <c r="K689" s="42"/>
      <c r="L689" s="42"/>
      <c r="M689" s="46"/>
      <c r="N689" s="42"/>
      <c r="O689" s="47" t="str">
        <f aca="false">IF(NOT(ISNUMBER(M689)),"",IFERROR(IF(L689="EUR",M689,IF(L689="IRR",M689/INDEX('Assumptions &amp; FX Reference'!$C$5:$C$25,MATCH(H689,'Assumptions &amp; FX Reference'!$A$5:$A$25,0)),IF(L689="USD",M689*INDEX('Assumptions &amp; FX Reference'!$B$5:$B$25,MATCH(H689,'Assumptions &amp; FX Reference'!$A$5:$A$25,0))/INDEX('Assumptions &amp; FX Reference'!$C$5:$C$25,MATCH(H689,'Assumptions &amp; FX Reference'!$A$5:$A$25,0)),""))),"(FX missing)"))</f>
        <v/>
      </c>
      <c r="P689" s="42"/>
      <c r="Q689" s="42"/>
      <c r="R689" s="42"/>
      <c r="S689" s="42"/>
      <c r="T689" s="42"/>
      <c r="U689" s="42"/>
      <c r="V689" s="42"/>
    </row>
    <row r="690" customFormat="false" ht="15" hidden="false" customHeight="false" outlineLevel="0" collapsed="false">
      <c r="A690" s="42"/>
      <c r="B690" s="42"/>
      <c r="C690" s="45" t="str">
        <f aca="false">IF(B690="","",IFERROR(INDEX('Master Database'!$D$5:$D$600,MATCH(B690,'Master Database'!$A$5:$A$600,0)),"(row not found)"))</f>
        <v/>
      </c>
      <c r="D690" s="45" t="str">
        <f aca="false">IF(B690="","",IFERROR(INDEX('Master Database'!$B$5:$B$600,MATCH(B690,'Master Database'!$A$5:$A$600,0)),"(row not found)"))</f>
        <v/>
      </c>
      <c r="E690" s="42"/>
      <c r="F690" s="45" t="str">
        <f aca="false">IF(E690="","",IFERROR(INDEX(Vendor_Register!$B$5:$B$205,MATCH(E690,Vendor_Register!$A$5:$A$205,0)),"(not in register)"))</f>
        <v/>
      </c>
      <c r="G690" s="45" t="str">
        <f aca="false">IF(E690="","",IFERROR(INDEX(Vendor_Register!$E$5:$E$205,MATCH(E690,Vendor_Register!$A$5:$A$205,0)),"(not in register)"))</f>
        <v/>
      </c>
      <c r="H690" s="42"/>
      <c r="I690" s="42"/>
      <c r="J690" s="42"/>
      <c r="K690" s="42"/>
      <c r="L690" s="42"/>
      <c r="M690" s="46"/>
      <c r="N690" s="42"/>
      <c r="O690" s="47" t="str">
        <f aca="false">IF(NOT(ISNUMBER(M690)),"",IFERROR(IF(L690="EUR",M690,IF(L690="IRR",M690/INDEX('Assumptions &amp; FX Reference'!$C$5:$C$25,MATCH(H690,'Assumptions &amp; FX Reference'!$A$5:$A$25,0)),IF(L690="USD",M690*INDEX('Assumptions &amp; FX Reference'!$B$5:$B$25,MATCH(H690,'Assumptions &amp; FX Reference'!$A$5:$A$25,0))/INDEX('Assumptions &amp; FX Reference'!$C$5:$C$25,MATCH(H690,'Assumptions &amp; FX Reference'!$A$5:$A$25,0)),""))),"(FX missing)"))</f>
        <v/>
      </c>
      <c r="P690" s="42"/>
      <c r="Q690" s="42"/>
      <c r="R690" s="42"/>
      <c r="S690" s="42"/>
      <c r="T690" s="42"/>
      <c r="U690" s="42"/>
      <c r="V690" s="42"/>
    </row>
    <row r="691" customFormat="false" ht="15" hidden="false" customHeight="false" outlineLevel="0" collapsed="false">
      <c r="A691" s="42"/>
      <c r="B691" s="42"/>
      <c r="C691" s="45" t="str">
        <f aca="false">IF(B691="","",IFERROR(INDEX('Master Database'!$D$5:$D$600,MATCH(B691,'Master Database'!$A$5:$A$600,0)),"(row not found)"))</f>
        <v/>
      </c>
      <c r="D691" s="45" t="str">
        <f aca="false">IF(B691="","",IFERROR(INDEX('Master Database'!$B$5:$B$600,MATCH(B691,'Master Database'!$A$5:$A$600,0)),"(row not found)"))</f>
        <v/>
      </c>
      <c r="E691" s="42"/>
      <c r="F691" s="45" t="str">
        <f aca="false">IF(E691="","",IFERROR(INDEX(Vendor_Register!$B$5:$B$205,MATCH(E691,Vendor_Register!$A$5:$A$205,0)),"(not in register)"))</f>
        <v/>
      </c>
      <c r="G691" s="45" t="str">
        <f aca="false">IF(E691="","",IFERROR(INDEX(Vendor_Register!$E$5:$E$205,MATCH(E691,Vendor_Register!$A$5:$A$205,0)),"(not in register)"))</f>
        <v/>
      </c>
      <c r="H691" s="42"/>
      <c r="I691" s="42"/>
      <c r="J691" s="42"/>
      <c r="K691" s="42"/>
      <c r="L691" s="42"/>
      <c r="M691" s="46"/>
      <c r="N691" s="42"/>
      <c r="O691" s="47" t="str">
        <f aca="false">IF(NOT(ISNUMBER(M691)),"",IFERROR(IF(L691="EUR",M691,IF(L691="IRR",M691/INDEX('Assumptions &amp; FX Reference'!$C$5:$C$25,MATCH(H691,'Assumptions &amp; FX Reference'!$A$5:$A$25,0)),IF(L691="USD",M691*INDEX('Assumptions &amp; FX Reference'!$B$5:$B$25,MATCH(H691,'Assumptions &amp; FX Reference'!$A$5:$A$25,0))/INDEX('Assumptions &amp; FX Reference'!$C$5:$C$25,MATCH(H691,'Assumptions &amp; FX Reference'!$A$5:$A$25,0)),""))),"(FX missing)"))</f>
        <v/>
      </c>
      <c r="P691" s="42"/>
      <c r="Q691" s="42"/>
      <c r="R691" s="42"/>
      <c r="S691" s="42"/>
      <c r="T691" s="42"/>
      <c r="U691" s="42"/>
      <c r="V691" s="42"/>
    </row>
    <row r="692" customFormat="false" ht="15" hidden="false" customHeight="false" outlineLevel="0" collapsed="false">
      <c r="A692" s="42"/>
      <c r="B692" s="42"/>
      <c r="C692" s="45" t="str">
        <f aca="false">IF(B692="","",IFERROR(INDEX('Master Database'!$D$5:$D$600,MATCH(B692,'Master Database'!$A$5:$A$600,0)),"(row not found)"))</f>
        <v/>
      </c>
      <c r="D692" s="45" t="str">
        <f aca="false">IF(B692="","",IFERROR(INDEX('Master Database'!$B$5:$B$600,MATCH(B692,'Master Database'!$A$5:$A$600,0)),"(row not found)"))</f>
        <v/>
      </c>
      <c r="E692" s="42"/>
      <c r="F692" s="45" t="str">
        <f aca="false">IF(E692="","",IFERROR(INDEX(Vendor_Register!$B$5:$B$205,MATCH(E692,Vendor_Register!$A$5:$A$205,0)),"(not in register)"))</f>
        <v/>
      </c>
      <c r="G692" s="45" t="str">
        <f aca="false">IF(E692="","",IFERROR(INDEX(Vendor_Register!$E$5:$E$205,MATCH(E692,Vendor_Register!$A$5:$A$205,0)),"(not in register)"))</f>
        <v/>
      </c>
      <c r="H692" s="42"/>
      <c r="I692" s="42"/>
      <c r="J692" s="42"/>
      <c r="K692" s="42"/>
      <c r="L692" s="42"/>
      <c r="M692" s="46"/>
      <c r="N692" s="42"/>
      <c r="O692" s="47" t="str">
        <f aca="false">IF(NOT(ISNUMBER(M692)),"",IFERROR(IF(L692="EUR",M692,IF(L692="IRR",M692/INDEX('Assumptions &amp; FX Reference'!$C$5:$C$25,MATCH(H692,'Assumptions &amp; FX Reference'!$A$5:$A$25,0)),IF(L692="USD",M692*INDEX('Assumptions &amp; FX Reference'!$B$5:$B$25,MATCH(H692,'Assumptions &amp; FX Reference'!$A$5:$A$25,0))/INDEX('Assumptions &amp; FX Reference'!$C$5:$C$25,MATCH(H692,'Assumptions &amp; FX Reference'!$A$5:$A$25,0)),""))),"(FX missing)"))</f>
        <v/>
      </c>
      <c r="P692" s="42"/>
      <c r="Q692" s="42"/>
      <c r="R692" s="42"/>
      <c r="S692" s="42"/>
      <c r="T692" s="42"/>
      <c r="U692" s="42"/>
      <c r="V692" s="42"/>
    </row>
    <row r="693" customFormat="false" ht="15" hidden="false" customHeight="false" outlineLevel="0" collapsed="false">
      <c r="A693" s="42"/>
      <c r="B693" s="42"/>
      <c r="C693" s="45" t="str">
        <f aca="false">IF(B693="","",IFERROR(INDEX('Master Database'!$D$5:$D$600,MATCH(B693,'Master Database'!$A$5:$A$600,0)),"(row not found)"))</f>
        <v/>
      </c>
      <c r="D693" s="45" t="str">
        <f aca="false">IF(B693="","",IFERROR(INDEX('Master Database'!$B$5:$B$600,MATCH(B693,'Master Database'!$A$5:$A$600,0)),"(row not found)"))</f>
        <v/>
      </c>
      <c r="E693" s="42"/>
      <c r="F693" s="45" t="str">
        <f aca="false">IF(E693="","",IFERROR(INDEX(Vendor_Register!$B$5:$B$205,MATCH(E693,Vendor_Register!$A$5:$A$205,0)),"(not in register)"))</f>
        <v/>
      </c>
      <c r="G693" s="45" t="str">
        <f aca="false">IF(E693="","",IFERROR(INDEX(Vendor_Register!$E$5:$E$205,MATCH(E693,Vendor_Register!$A$5:$A$205,0)),"(not in register)"))</f>
        <v/>
      </c>
      <c r="H693" s="42"/>
      <c r="I693" s="42"/>
      <c r="J693" s="42"/>
      <c r="K693" s="42"/>
      <c r="L693" s="42"/>
      <c r="M693" s="46"/>
      <c r="N693" s="42"/>
      <c r="O693" s="47" t="str">
        <f aca="false">IF(NOT(ISNUMBER(M693)),"",IFERROR(IF(L693="EUR",M693,IF(L693="IRR",M693/INDEX('Assumptions &amp; FX Reference'!$C$5:$C$25,MATCH(H693,'Assumptions &amp; FX Reference'!$A$5:$A$25,0)),IF(L693="USD",M693*INDEX('Assumptions &amp; FX Reference'!$B$5:$B$25,MATCH(H693,'Assumptions &amp; FX Reference'!$A$5:$A$25,0))/INDEX('Assumptions &amp; FX Reference'!$C$5:$C$25,MATCH(H693,'Assumptions &amp; FX Reference'!$A$5:$A$25,0)),""))),"(FX missing)"))</f>
        <v/>
      </c>
      <c r="P693" s="42"/>
      <c r="Q693" s="42"/>
      <c r="R693" s="42"/>
      <c r="S693" s="42"/>
      <c r="T693" s="42"/>
      <c r="U693" s="42"/>
      <c r="V693" s="42"/>
    </row>
    <row r="694" customFormat="false" ht="15" hidden="false" customHeight="false" outlineLevel="0" collapsed="false">
      <c r="A694" s="42"/>
      <c r="B694" s="42"/>
      <c r="C694" s="45" t="str">
        <f aca="false">IF(B694="","",IFERROR(INDEX('Master Database'!$D$5:$D$600,MATCH(B694,'Master Database'!$A$5:$A$600,0)),"(row not found)"))</f>
        <v/>
      </c>
      <c r="D694" s="45" t="str">
        <f aca="false">IF(B694="","",IFERROR(INDEX('Master Database'!$B$5:$B$600,MATCH(B694,'Master Database'!$A$5:$A$600,0)),"(row not found)"))</f>
        <v/>
      </c>
      <c r="E694" s="42"/>
      <c r="F694" s="45" t="str">
        <f aca="false">IF(E694="","",IFERROR(INDEX(Vendor_Register!$B$5:$B$205,MATCH(E694,Vendor_Register!$A$5:$A$205,0)),"(not in register)"))</f>
        <v/>
      </c>
      <c r="G694" s="45" t="str">
        <f aca="false">IF(E694="","",IFERROR(INDEX(Vendor_Register!$E$5:$E$205,MATCH(E694,Vendor_Register!$A$5:$A$205,0)),"(not in register)"))</f>
        <v/>
      </c>
      <c r="H694" s="42"/>
      <c r="I694" s="42"/>
      <c r="J694" s="42"/>
      <c r="K694" s="42"/>
      <c r="L694" s="42"/>
      <c r="M694" s="46"/>
      <c r="N694" s="42"/>
      <c r="O694" s="47" t="str">
        <f aca="false">IF(NOT(ISNUMBER(M694)),"",IFERROR(IF(L694="EUR",M694,IF(L694="IRR",M694/INDEX('Assumptions &amp; FX Reference'!$C$5:$C$25,MATCH(H694,'Assumptions &amp; FX Reference'!$A$5:$A$25,0)),IF(L694="USD",M694*INDEX('Assumptions &amp; FX Reference'!$B$5:$B$25,MATCH(H694,'Assumptions &amp; FX Reference'!$A$5:$A$25,0))/INDEX('Assumptions &amp; FX Reference'!$C$5:$C$25,MATCH(H694,'Assumptions &amp; FX Reference'!$A$5:$A$25,0)),""))),"(FX missing)"))</f>
        <v/>
      </c>
      <c r="P694" s="42"/>
      <c r="Q694" s="42"/>
      <c r="R694" s="42"/>
      <c r="S694" s="42"/>
      <c r="T694" s="42"/>
      <c r="U694" s="42"/>
      <c r="V694" s="42"/>
    </row>
    <row r="695" customFormat="false" ht="15" hidden="false" customHeight="false" outlineLevel="0" collapsed="false">
      <c r="A695" s="42"/>
      <c r="B695" s="42"/>
      <c r="C695" s="45" t="str">
        <f aca="false">IF(B695="","",IFERROR(INDEX('Master Database'!$D$5:$D$600,MATCH(B695,'Master Database'!$A$5:$A$600,0)),"(row not found)"))</f>
        <v/>
      </c>
      <c r="D695" s="45" t="str">
        <f aca="false">IF(B695="","",IFERROR(INDEX('Master Database'!$B$5:$B$600,MATCH(B695,'Master Database'!$A$5:$A$600,0)),"(row not found)"))</f>
        <v/>
      </c>
      <c r="E695" s="42"/>
      <c r="F695" s="45" t="str">
        <f aca="false">IF(E695="","",IFERROR(INDEX(Vendor_Register!$B$5:$B$205,MATCH(E695,Vendor_Register!$A$5:$A$205,0)),"(not in register)"))</f>
        <v/>
      </c>
      <c r="G695" s="45" t="str">
        <f aca="false">IF(E695="","",IFERROR(INDEX(Vendor_Register!$E$5:$E$205,MATCH(E695,Vendor_Register!$A$5:$A$205,0)),"(not in register)"))</f>
        <v/>
      </c>
      <c r="H695" s="42"/>
      <c r="I695" s="42"/>
      <c r="J695" s="42"/>
      <c r="K695" s="42"/>
      <c r="L695" s="42"/>
      <c r="M695" s="46"/>
      <c r="N695" s="42"/>
      <c r="O695" s="47" t="str">
        <f aca="false">IF(NOT(ISNUMBER(M695)),"",IFERROR(IF(L695="EUR",M695,IF(L695="IRR",M695/INDEX('Assumptions &amp; FX Reference'!$C$5:$C$25,MATCH(H695,'Assumptions &amp; FX Reference'!$A$5:$A$25,0)),IF(L695="USD",M695*INDEX('Assumptions &amp; FX Reference'!$B$5:$B$25,MATCH(H695,'Assumptions &amp; FX Reference'!$A$5:$A$25,0))/INDEX('Assumptions &amp; FX Reference'!$C$5:$C$25,MATCH(H695,'Assumptions &amp; FX Reference'!$A$5:$A$25,0)),""))),"(FX missing)"))</f>
        <v/>
      </c>
      <c r="P695" s="42"/>
      <c r="Q695" s="42"/>
      <c r="R695" s="42"/>
      <c r="S695" s="42"/>
      <c r="T695" s="42"/>
      <c r="U695" s="42"/>
      <c r="V695" s="42"/>
    </row>
    <row r="696" customFormat="false" ht="15" hidden="false" customHeight="false" outlineLevel="0" collapsed="false">
      <c r="A696" s="42"/>
      <c r="B696" s="42"/>
      <c r="C696" s="45" t="str">
        <f aca="false">IF(B696="","",IFERROR(INDEX('Master Database'!$D$5:$D$600,MATCH(B696,'Master Database'!$A$5:$A$600,0)),"(row not found)"))</f>
        <v/>
      </c>
      <c r="D696" s="45" t="str">
        <f aca="false">IF(B696="","",IFERROR(INDEX('Master Database'!$B$5:$B$600,MATCH(B696,'Master Database'!$A$5:$A$600,0)),"(row not found)"))</f>
        <v/>
      </c>
      <c r="E696" s="42"/>
      <c r="F696" s="45" t="str">
        <f aca="false">IF(E696="","",IFERROR(INDEX(Vendor_Register!$B$5:$B$205,MATCH(E696,Vendor_Register!$A$5:$A$205,0)),"(not in register)"))</f>
        <v/>
      </c>
      <c r="G696" s="45" t="str">
        <f aca="false">IF(E696="","",IFERROR(INDEX(Vendor_Register!$E$5:$E$205,MATCH(E696,Vendor_Register!$A$5:$A$205,0)),"(not in register)"))</f>
        <v/>
      </c>
      <c r="H696" s="42"/>
      <c r="I696" s="42"/>
      <c r="J696" s="42"/>
      <c r="K696" s="42"/>
      <c r="L696" s="42"/>
      <c r="M696" s="46"/>
      <c r="N696" s="42"/>
      <c r="O696" s="47" t="str">
        <f aca="false">IF(NOT(ISNUMBER(M696)),"",IFERROR(IF(L696="EUR",M696,IF(L696="IRR",M696/INDEX('Assumptions &amp; FX Reference'!$C$5:$C$25,MATCH(H696,'Assumptions &amp; FX Reference'!$A$5:$A$25,0)),IF(L696="USD",M696*INDEX('Assumptions &amp; FX Reference'!$B$5:$B$25,MATCH(H696,'Assumptions &amp; FX Reference'!$A$5:$A$25,0))/INDEX('Assumptions &amp; FX Reference'!$C$5:$C$25,MATCH(H696,'Assumptions &amp; FX Reference'!$A$5:$A$25,0)),""))),"(FX missing)"))</f>
        <v/>
      </c>
      <c r="P696" s="42"/>
      <c r="Q696" s="42"/>
      <c r="R696" s="42"/>
      <c r="S696" s="42"/>
      <c r="T696" s="42"/>
      <c r="U696" s="42"/>
      <c r="V696" s="42"/>
    </row>
    <row r="697" customFormat="false" ht="15" hidden="false" customHeight="false" outlineLevel="0" collapsed="false">
      <c r="A697" s="42"/>
      <c r="B697" s="42"/>
      <c r="C697" s="45" t="str">
        <f aca="false">IF(B697="","",IFERROR(INDEX('Master Database'!$D$5:$D$600,MATCH(B697,'Master Database'!$A$5:$A$600,0)),"(row not found)"))</f>
        <v/>
      </c>
      <c r="D697" s="45" t="str">
        <f aca="false">IF(B697="","",IFERROR(INDEX('Master Database'!$B$5:$B$600,MATCH(B697,'Master Database'!$A$5:$A$600,0)),"(row not found)"))</f>
        <v/>
      </c>
      <c r="E697" s="42"/>
      <c r="F697" s="45" t="str">
        <f aca="false">IF(E697="","",IFERROR(INDEX(Vendor_Register!$B$5:$B$205,MATCH(E697,Vendor_Register!$A$5:$A$205,0)),"(not in register)"))</f>
        <v/>
      </c>
      <c r="G697" s="45" t="str">
        <f aca="false">IF(E697="","",IFERROR(INDEX(Vendor_Register!$E$5:$E$205,MATCH(E697,Vendor_Register!$A$5:$A$205,0)),"(not in register)"))</f>
        <v/>
      </c>
      <c r="H697" s="42"/>
      <c r="I697" s="42"/>
      <c r="J697" s="42"/>
      <c r="K697" s="42"/>
      <c r="L697" s="42"/>
      <c r="M697" s="46"/>
      <c r="N697" s="42"/>
      <c r="O697" s="47" t="str">
        <f aca="false">IF(NOT(ISNUMBER(M697)),"",IFERROR(IF(L697="EUR",M697,IF(L697="IRR",M697/INDEX('Assumptions &amp; FX Reference'!$C$5:$C$25,MATCH(H697,'Assumptions &amp; FX Reference'!$A$5:$A$25,0)),IF(L697="USD",M697*INDEX('Assumptions &amp; FX Reference'!$B$5:$B$25,MATCH(H697,'Assumptions &amp; FX Reference'!$A$5:$A$25,0))/INDEX('Assumptions &amp; FX Reference'!$C$5:$C$25,MATCH(H697,'Assumptions &amp; FX Reference'!$A$5:$A$25,0)),""))),"(FX missing)"))</f>
        <v/>
      </c>
      <c r="P697" s="42"/>
      <c r="Q697" s="42"/>
      <c r="R697" s="42"/>
      <c r="S697" s="42"/>
      <c r="T697" s="42"/>
      <c r="U697" s="42"/>
      <c r="V697" s="42"/>
    </row>
    <row r="698" customFormat="false" ht="15" hidden="false" customHeight="false" outlineLevel="0" collapsed="false">
      <c r="A698" s="42"/>
      <c r="B698" s="42"/>
      <c r="C698" s="45" t="str">
        <f aca="false">IF(B698="","",IFERROR(INDEX('Master Database'!$D$5:$D$600,MATCH(B698,'Master Database'!$A$5:$A$600,0)),"(row not found)"))</f>
        <v/>
      </c>
      <c r="D698" s="45" t="str">
        <f aca="false">IF(B698="","",IFERROR(INDEX('Master Database'!$B$5:$B$600,MATCH(B698,'Master Database'!$A$5:$A$600,0)),"(row not found)"))</f>
        <v/>
      </c>
      <c r="E698" s="42"/>
      <c r="F698" s="45" t="str">
        <f aca="false">IF(E698="","",IFERROR(INDEX(Vendor_Register!$B$5:$B$205,MATCH(E698,Vendor_Register!$A$5:$A$205,0)),"(not in register)"))</f>
        <v/>
      </c>
      <c r="G698" s="45" t="str">
        <f aca="false">IF(E698="","",IFERROR(INDEX(Vendor_Register!$E$5:$E$205,MATCH(E698,Vendor_Register!$A$5:$A$205,0)),"(not in register)"))</f>
        <v/>
      </c>
      <c r="H698" s="42"/>
      <c r="I698" s="42"/>
      <c r="J698" s="42"/>
      <c r="K698" s="42"/>
      <c r="L698" s="42"/>
      <c r="M698" s="46"/>
      <c r="N698" s="42"/>
      <c r="O698" s="47" t="str">
        <f aca="false">IF(NOT(ISNUMBER(M698)),"",IFERROR(IF(L698="EUR",M698,IF(L698="IRR",M698/INDEX('Assumptions &amp; FX Reference'!$C$5:$C$25,MATCH(H698,'Assumptions &amp; FX Reference'!$A$5:$A$25,0)),IF(L698="USD",M698*INDEX('Assumptions &amp; FX Reference'!$B$5:$B$25,MATCH(H698,'Assumptions &amp; FX Reference'!$A$5:$A$25,0))/INDEX('Assumptions &amp; FX Reference'!$C$5:$C$25,MATCH(H698,'Assumptions &amp; FX Reference'!$A$5:$A$25,0)),""))),"(FX missing)"))</f>
        <v/>
      </c>
      <c r="P698" s="42"/>
      <c r="Q698" s="42"/>
      <c r="R698" s="42"/>
      <c r="S698" s="42"/>
      <c r="T698" s="42"/>
      <c r="U698" s="42"/>
      <c r="V698" s="42"/>
    </row>
    <row r="699" customFormat="false" ht="15" hidden="false" customHeight="false" outlineLevel="0" collapsed="false">
      <c r="A699" s="42"/>
      <c r="B699" s="42"/>
      <c r="C699" s="45" t="str">
        <f aca="false">IF(B699="","",IFERROR(INDEX('Master Database'!$D$5:$D$600,MATCH(B699,'Master Database'!$A$5:$A$600,0)),"(row not found)"))</f>
        <v/>
      </c>
      <c r="D699" s="45" t="str">
        <f aca="false">IF(B699="","",IFERROR(INDEX('Master Database'!$B$5:$B$600,MATCH(B699,'Master Database'!$A$5:$A$600,0)),"(row not found)"))</f>
        <v/>
      </c>
      <c r="E699" s="42"/>
      <c r="F699" s="45" t="str">
        <f aca="false">IF(E699="","",IFERROR(INDEX(Vendor_Register!$B$5:$B$205,MATCH(E699,Vendor_Register!$A$5:$A$205,0)),"(not in register)"))</f>
        <v/>
      </c>
      <c r="G699" s="45" t="str">
        <f aca="false">IF(E699="","",IFERROR(INDEX(Vendor_Register!$E$5:$E$205,MATCH(E699,Vendor_Register!$A$5:$A$205,0)),"(not in register)"))</f>
        <v/>
      </c>
      <c r="H699" s="42"/>
      <c r="I699" s="42"/>
      <c r="J699" s="42"/>
      <c r="K699" s="42"/>
      <c r="L699" s="42"/>
      <c r="M699" s="46"/>
      <c r="N699" s="42"/>
      <c r="O699" s="47" t="str">
        <f aca="false">IF(NOT(ISNUMBER(M699)),"",IFERROR(IF(L699="EUR",M699,IF(L699="IRR",M699/INDEX('Assumptions &amp; FX Reference'!$C$5:$C$25,MATCH(H699,'Assumptions &amp; FX Reference'!$A$5:$A$25,0)),IF(L699="USD",M699*INDEX('Assumptions &amp; FX Reference'!$B$5:$B$25,MATCH(H699,'Assumptions &amp; FX Reference'!$A$5:$A$25,0))/INDEX('Assumptions &amp; FX Reference'!$C$5:$C$25,MATCH(H699,'Assumptions &amp; FX Reference'!$A$5:$A$25,0)),""))),"(FX missing)"))</f>
        <v/>
      </c>
      <c r="P699" s="42"/>
      <c r="Q699" s="42"/>
      <c r="R699" s="42"/>
      <c r="S699" s="42"/>
      <c r="T699" s="42"/>
      <c r="U699" s="42"/>
      <c r="V699" s="42"/>
    </row>
    <row r="700" customFormat="false" ht="15" hidden="false" customHeight="false" outlineLevel="0" collapsed="false">
      <c r="A700" s="42"/>
      <c r="B700" s="42"/>
      <c r="C700" s="45" t="str">
        <f aca="false">IF(B700="","",IFERROR(INDEX('Master Database'!$D$5:$D$600,MATCH(B700,'Master Database'!$A$5:$A$600,0)),"(row not found)"))</f>
        <v/>
      </c>
      <c r="D700" s="45" t="str">
        <f aca="false">IF(B700="","",IFERROR(INDEX('Master Database'!$B$5:$B$600,MATCH(B700,'Master Database'!$A$5:$A$600,0)),"(row not found)"))</f>
        <v/>
      </c>
      <c r="E700" s="42"/>
      <c r="F700" s="45" t="str">
        <f aca="false">IF(E700="","",IFERROR(INDEX(Vendor_Register!$B$5:$B$205,MATCH(E700,Vendor_Register!$A$5:$A$205,0)),"(not in register)"))</f>
        <v/>
      </c>
      <c r="G700" s="45" t="str">
        <f aca="false">IF(E700="","",IFERROR(INDEX(Vendor_Register!$E$5:$E$205,MATCH(E700,Vendor_Register!$A$5:$A$205,0)),"(not in register)"))</f>
        <v/>
      </c>
      <c r="H700" s="42"/>
      <c r="I700" s="42"/>
      <c r="J700" s="42"/>
      <c r="K700" s="42"/>
      <c r="L700" s="42"/>
      <c r="M700" s="46"/>
      <c r="N700" s="42"/>
      <c r="O700" s="47" t="str">
        <f aca="false">IF(NOT(ISNUMBER(M700)),"",IFERROR(IF(L700="EUR",M700,IF(L700="IRR",M700/INDEX('Assumptions &amp; FX Reference'!$C$5:$C$25,MATCH(H700,'Assumptions &amp; FX Reference'!$A$5:$A$25,0)),IF(L700="USD",M700*INDEX('Assumptions &amp; FX Reference'!$B$5:$B$25,MATCH(H700,'Assumptions &amp; FX Reference'!$A$5:$A$25,0))/INDEX('Assumptions &amp; FX Reference'!$C$5:$C$25,MATCH(H700,'Assumptions &amp; FX Reference'!$A$5:$A$25,0)),""))),"(FX missing)"))</f>
        <v/>
      </c>
      <c r="P700" s="42"/>
      <c r="Q700" s="42"/>
      <c r="R700" s="42"/>
      <c r="S700" s="42"/>
      <c r="T700" s="42"/>
      <c r="U700" s="42"/>
      <c r="V700" s="42"/>
    </row>
    <row r="701" customFormat="false" ht="15" hidden="false" customHeight="false" outlineLevel="0" collapsed="false">
      <c r="A701" s="42"/>
      <c r="B701" s="42"/>
      <c r="C701" s="45" t="str">
        <f aca="false">IF(B701="","",IFERROR(INDEX('Master Database'!$D$5:$D$600,MATCH(B701,'Master Database'!$A$5:$A$600,0)),"(row not found)"))</f>
        <v/>
      </c>
      <c r="D701" s="45" t="str">
        <f aca="false">IF(B701="","",IFERROR(INDEX('Master Database'!$B$5:$B$600,MATCH(B701,'Master Database'!$A$5:$A$600,0)),"(row not found)"))</f>
        <v/>
      </c>
      <c r="E701" s="42"/>
      <c r="F701" s="45" t="str">
        <f aca="false">IF(E701="","",IFERROR(INDEX(Vendor_Register!$B$5:$B$205,MATCH(E701,Vendor_Register!$A$5:$A$205,0)),"(not in register)"))</f>
        <v/>
      </c>
      <c r="G701" s="45" t="str">
        <f aca="false">IF(E701="","",IFERROR(INDEX(Vendor_Register!$E$5:$E$205,MATCH(E701,Vendor_Register!$A$5:$A$205,0)),"(not in register)"))</f>
        <v/>
      </c>
      <c r="H701" s="42"/>
      <c r="I701" s="42"/>
      <c r="J701" s="42"/>
      <c r="K701" s="42"/>
      <c r="L701" s="42"/>
      <c r="M701" s="46"/>
      <c r="N701" s="42"/>
      <c r="O701" s="47" t="str">
        <f aca="false">IF(NOT(ISNUMBER(M701)),"",IFERROR(IF(L701="EUR",M701,IF(L701="IRR",M701/INDEX('Assumptions &amp; FX Reference'!$C$5:$C$25,MATCH(H701,'Assumptions &amp; FX Reference'!$A$5:$A$25,0)),IF(L701="USD",M701*INDEX('Assumptions &amp; FX Reference'!$B$5:$B$25,MATCH(H701,'Assumptions &amp; FX Reference'!$A$5:$A$25,0))/INDEX('Assumptions &amp; FX Reference'!$C$5:$C$25,MATCH(H701,'Assumptions &amp; FX Reference'!$A$5:$A$25,0)),""))),"(FX missing)"))</f>
        <v/>
      </c>
      <c r="P701" s="42"/>
      <c r="Q701" s="42"/>
      <c r="R701" s="42"/>
      <c r="S701" s="42"/>
      <c r="T701" s="42"/>
      <c r="U701" s="42"/>
      <c r="V701" s="42"/>
    </row>
    <row r="702" customFormat="false" ht="15" hidden="false" customHeight="false" outlineLevel="0" collapsed="false">
      <c r="A702" s="42"/>
      <c r="B702" s="42"/>
      <c r="C702" s="45" t="str">
        <f aca="false">IF(B702="","",IFERROR(INDEX('Master Database'!$D$5:$D$600,MATCH(B702,'Master Database'!$A$5:$A$600,0)),"(row not found)"))</f>
        <v/>
      </c>
      <c r="D702" s="45" t="str">
        <f aca="false">IF(B702="","",IFERROR(INDEX('Master Database'!$B$5:$B$600,MATCH(B702,'Master Database'!$A$5:$A$600,0)),"(row not found)"))</f>
        <v/>
      </c>
      <c r="E702" s="42"/>
      <c r="F702" s="45" t="str">
        <f aca="false">IF(E702="","",IFERROR(INDEX(Vendor_Register!$B$5:$B$205,MATCH(E702,Vendor_Register!$A$5:$A$205,0)),"(not in register)"))</f>
        <v/>
      </c>
      <c r="G702" s="45" t="str">
        <f aca="false">IF(E702="","",IFERROR(INDEX(Vendor_Register!$E$5:$E$205,MATCH(E702,Vendor_Register!$A$5:$A$205,0)),"(not in register)"))</f>
        <v/>
      </c>
      <c r="H702" s="42"/>
      <c r="I702" s="42"/>
      <c r="J702" s="42"/>
      <c r="K702" s="42"/>
      <c r="L702" s="42"/>
      <c r="M702" s="46"/>
      <c r="N702" s="42"/>
      <c r="O702" s="47" t="str">
        <f aca="false">IF(NOT(ISNUMBER(M702)),"",IFERROR(IF(L702="EUR",M702,IF(L702="IRR",M702/INDEX('Assumptions &amp; FX Reference'!$C$5:$C$25,MATCH(H702,'Assumptions &amp; FX Reference'!$A$5:$A$25,0)),IF(L702="USD",M702*INDEX('Assumptions &amp; FX Reference'!$B$5:$B$25,MATCH(H702,'Assumptions &amp; FX Reference'!$A$5:$A$25,0))/INDEX('Assumptions &amp; FX Reference'!$C$5:$C$25,MATCH(H702,'Assumptions &amp; FX Reference'!$A$5:$A$25,0)),""))),"(FX missing)"))</f>
        <v/>
      </c>
      <c r="P702" s="42"/>
      <c r="Q702" s="42"/>
      <c r="R702" s="42"/>
      <c r="S702" s="42"/>
      <c r="T702" s="42"/>
      <c r="U702" s="42"/>
      <c r="V702" s="42"/>
    </row>
    <row r="703" customFormat="false" ht="15" hidden="false" customHeight="false" outlineLevel="0" collapsed="false">
      <c r="A703" s="42"/>
      <c r="B703" s="42"/>
      <c r="C703" s="45" t="str">
        <f aca="false">IF(B703="","",IFERROR(INDEX('Master Database'!$D$5:$D$600,MATCH(B703,'Master Database'!$A$5:$A$600,0)),"(row not found)"))</f>
        <v/>
      </c>
      <c r="D703" s="45" t="str">
        <f aca="false">IF(B703="","",IFERROR(INDEX('Master Database'!$B$5:$B$600,MATCH(B703,'Master Database'!$A$5:$A$600,0)),"(row not found)"))</f>
        <v/>
      </c>
      <c r="E703" s="42"/>
      <c r="F703" s="45" t="str">
        <f aca="false">IF(E703="","",IFERROR(INDEX(Vendor_Register!$B$5:$B$205,MATCH(E703,Vendor_Register!$A$5:$A$205,0)),"(not in register)"))</f>
        <v/>
      </c>
      <c r="G703" s="45" t="str">
        <f aca="false">IF(E703="","",IFERROR(INDEX(Vendor_Register!$E$5:$E$205,MATCH(E703,Vendor_Register!$A$5:$A$205,0)),"(not in register)"))</f>
        <v/>
      </c>
      <c r="H703" s="42"/>
      <c r="I703" s="42"/>
      <c r="J703" s="42"/>
      <c r="K703" s="42"/>
      <c r="L703" s="42"/>
      <c r="M703" s="46"/>
      <c r="N703" s="42"/>
      <c r="O703" s="47" t="str">
        <f aca="false">IF(NOT(ISNUMBER(M703)),"",IFERROR(IF(L703="EUR",M703,IF(L703="IRR",M703/INDEX('Assumptions &amp; FX Reference'!$C$5:$C$25,MATCH(H703,'Assumptions &amp; FX Reference'!$A$5:$A$25,0)),IF(L703="USD",M703*INDEX('Assumptions &amp; FX Reference'!$B$5:$B$25,MATCH(H703,'Assumptions &amp; FX Reference'!$A$5:$A$25,0))/INDEX('Assumptions &amp; FX Reference'!$C$5:$C$25,MATCH(H703,'Assumptions &amp; FX Reference'!$A$5:$A$25,0)),""))),"(FX missing)"))</f>
        <v/>
      </c>
      <c r="P703" s="42"/>
      <c r="Q703" s="42"/>
      <c r="R703" s="42"/>
      <c r="S703" s="42"/>
      <c r="T703" s="42"/>
      <c r="U703" s="42"/>
      <c r="V703" s="42"/>
    </row>
    <row r="704" customFormat="false" ht="15" hidden="false" customHeight="false" outlineLevel="0" collapsed="false">
      <c r="A704" s="42"/>
      <c r="B704" s="42"/>
      <c r="C704" s="45" t="str">
        <f aca="false">IF(B704="","",IFERROR(INDEX('Master Database'!$D$5:$D$600,MATCH(B704,'Master Database'!$A$5:$A$600,0)),"(row not found)"))</f>
        <v/>
      </c>
      <c r="D704" s="45" t="str">
        <f aca="false">IF(B704="","",IFERROR(INDEX('Master Database'!$B$5:$B$600,MATCH(B704,'Master Database'!$A$5:$A$600,0)),"(row not found)"))</f>
        <v/>
      </c>
      <c r="E704" s="42"/>
      <c r="F704" s="45" t="str">
        <f aca="false">IF(E704="","",IFERROR(INDEX(Vendor_Register!$B$5:$B$205,MATCH(E704,Vendor_Register!$A$5:$A$205,0)),"(not in register)"))</f>
        <v/>
      </c>
      <c r="G704" s="45" t="str">
        <f aca="false">IF(E704="","",IFERROR(INDEX(Vendor_Register!$E$5:$E$205,MATCH(E704,Vendor_Register!$A$5:$A$205,0)),"(not in register)"))</f>
        <v/>
      </c>
      <c r="H704" s="42"/>
      <c r="I704" s="42"/>
      <c r="J704" s="42"/>
      <c r="K704" s="42"/>
      <c r="L704" s="42"/>
      <c r="M704" s="46"/>
      <c r="N704" s="42"/>
      <c r="O704" s="47" t="str">
        <f aca="false">IF(NOT(ISNUMBER(M704)),"",IFERROR(IF(L704="EUR",M704,IF(L704="IRR",M704/INDEX('Assumptions &amp; FX Reference'!$C$5:$C$25,MATCH(H704,'Assumptions &amp; FX Reference'!$A$5:$A$25,0)),IF(L704="USD",M704*INDEX('Assumptions &amp; FX Reference'!$B$5:$B$25,MATCH(H704,'Assumptions &amp; FX Reference'!$A$5:$A$25,0))/INDEX('Assumptions &amp; FX Reference'!$C$5:$C$25,MATCH(H704,'Assumptions &amp; FX Reference'!$A$5:$A$25,0)),""))),"(FX missing)"))</f>
        <v/>
      </c>
      <c r="P704" s="42"/>
      <c r="Q704" s="42"/>
      <c r="R704" s="42"/>
      <c r="S704" s="42"/>
      <c r="T704" s="42"/>
      <c r="U704" s="42"/>
      <c r="V704" s="42"/>
    </row>
    <row r="705" customFormat="false" ht="15" hidden="false" customHeight="false" outlineLevel="0" collapsed="false">
      <c r="A705" s="42"/>
      <c r="B705" s="42"/>
      <c r="C705" s="45" t="str">
        <f aca="false">IF(B705="","",IFERROR(INDEX('Master Database'!$D$5:$D$600,MATCH(B705,'Master Database'!$A$5:$A$600,0)),"(row not found)"))</f>
        <v/>
      </c>
      <c r="D705" s="45" t="str">
        <f aca="false">IF(B705="","",IFERROR(INDEX('Master Database'!$B$5:$B$600,MATCH(B705,'Master Database'!$A$5:$A$600,0)),"(row not found)"))</f>
        <v/>
      </c>
      <c r="E705" s="42"/>
      <c r="F705" s="45" t="str">
        <f aca="false">IF(E705="","",IFERROR(INDEX(Vendor_Register!$B$5:$B$205,MATCH(E705,Vendor_Register!$A$5:$A$205,0)),"(not in register)"))</f>
        <v/>
      </c>
      <c r="G705" s="45" t="str">
        <f aca="false">IF(E705="","",IFERROR(INDEX(Vendor_Register!$E$5:$E$205,MATCH(E705,Vendor_Register!$A$5:$A$205,0)),"(not in register)"))</f>
        <v/>
      </c>
      <c r="H705" s="42"/>
      <c r="I705" s="42"/>
      <c r="J705" s="42"/>
      <c r="K705" s="42"/>
      <c r="L705" s="42"/>
      <c r="M705" s="46"/>
      <c r="N705" s="42"/>
      <c r="O705" s="47" t="str">
        <f aca="false">IF(NOT(ISNUMBER(M705)),"",IFERROR(IF(L705="EUR",M705,IF(L705="IRR",M705/INDEX('Assumptions &amp; FX Reference'!$C$5:$C$25,MATCH(H705,'Assumptions &amp; FX Reference'!$A$5:$A$25,0)),IF(L705="USD",M705*INDEX('Assumptions &amp; FX Reference'!$B$5:$B$25,MATCH(H705,'Assumptions &amp; FX Reference'!$A$5:$A$25,0))/INDEX('Assumptions &amp; FX Reference'!$C$5:$C$25,MATCH(H705,'Assumptions &amp; FX Reference'!$A$5:$A$25,0)),""))),"(FX missing)"))</f>
        <v/>
      </c>
      <c r="P705" s="42"/>
      <c r="Q705" s="42"/>
      <c r="R705" s="42"/>
      <c r="S705" s="42"/>
      <c r="T705" s="42"/>
      <c r="U705" s="42"/>
      <c r="V705" s="42"/>
    </row>
    <row r="706" customFormat="false" ht="15" hidden="false" customHeight="false" outlineLevel="0" collapsed="false">
      <c r="A706" s="42"/>
      <c r="B706" s="42"/>
      <c r="C706" s="45" t="str">
        <f aca="false">IF(B706="","",IFERROR(INDEX('Master Database'!$D$5:$D$600,MATCH(B706,'Master Database'!$A$5:$A$600,0)),"(row not found)"))</f>
        <v/>
      </c>
      <c r="D706" s="45" t="str">
        <f aca="false">IF(B706="","",IFERROR(INDEX('Master Database'!$B$5:$B$600,MATCH(B706,'Master Database'!$A$5:$A$600,0)),"(row not found)"))</f>
        <v/>
      </c>
      <c r="E706" s="42"/>
      <c r="F706" s="45" t="str">
        <f aca="false">IF(E706="","",IFERROR(INDEX(Vendor_Register!$B$5:$B$205,MATCH(E706,Vendor_Register!$A$5:$A$205,0)),"(not in register)"))</f>
        <v/>
      </c>
      <c r="G706" s="45" t="str">
        <f aca="false">IF(E706="","",IFERROR(INDEX(Vendor_Register!$E$5:$E$205,MATCH(E706,Vendor_Register!$A$5:$A$205,0)),"(not in register)"))</f>
        <v/>
      </c>
      <c r="H706" s="42"/>
      <c r="I706" s="42"/>
      <c r="J706" s="42"/>
      <c r="K706" s="42"/>
      <c r="L706" s="42"/>
      <c r="M706" s="46"/>
      <c r="N706" s="42"/>
      <c r="O706" s="47" t="str">
        <f aca="false">IF(NOT(ISNUMBER(M706)),"",IFERROR(IF(L706="EUR",M706,IF(L706="IRR",M706/INDEX('Assumptions &amp; FX Reference'!$C$5:$C$25,MATCH(H706,'Assumptions &amp; FX Reference'!$A$5:$A$25,0)),IF(L706="USD",M706*INDEX('Assumptions &amp; FX Reference'!$B$5:$B$25,MATCH(H706,'Assumptions &amp; FX Reference'!$A$5:$A$25,0))/INDEX('Assumptions &amp; FX Reference'!$C$5:$C$25,MATCH(H706,'Assumptions &amp; FX Reference'!$A$5:$A$25,0)),""))),"(FX missing)"))</f>
        <v/>
      </c>
      <c r="P706" s="42"/>
      <c r="Q706" s="42"/>
      <c r="R706" s="42"/>
      <c r="S706" s="42"/>
      <c r="T706" s="42"/>
      <c r="U706" s="42"/>
      <c r="V706" s="42"/>
    </row>
    <row r="707" customFormat="false" ht="15" hidden="false" customHeight="false" outlineLevel="0" collapsed="false">
      <c r="A707" s="42"/>
      <c r="B707" s="42"/>
      <c r="C707" s="45" t="str">
        <f aca="false">IF(B707="","",IFERROR(INDEX('Master Database'!$D$5:$D$600,MATCH(B707,'Master Database'!$A$5:$A$600,0)),"(row not found)"))</f>
        <v/>
      </c>
      <c r="D707" s="45" t="str">
        <f aca="false">IF(B707="","",IFERROR(INDEX('Master Database'!$B$5:$B$600,MATCH(B707,'Master Database'!$A$5:$A$600,0)),"(row not found)"))</f>
        <v/>
      </c>
      <c r="E707" s="42"/>
      <c r="F707" s="45" t="str">
        <f aca="false">IF(E707="","",IFERROR(INDEX(Vendor_Register!$B$5:$B$205,MATCH(E707,Vendor_Register!$A$5:$A$205,0)),"(not in register)"))</f>
        <v/>
      </c>
      <c r="G707" s="45" t="str">
        <f aca="false">IF(E707="","",IFERROR(INDEX(Vendor_Register!$E$5:$E$205,MATCH(E707,Vendor_Register!$A$5:$A$205,0)),"(not in register)"))</f>
        <v/>
      </c>
      <c r="H707" s="42"/>
      <c r="I707" s="42"/>
      <c r="J707" s="42"/>
      <c r="K707" s="42"/>
      <c r="L707" s="42"/>
      <c r="M707" s="46"/>
      <c r="N707" s="42"/>
      <c r="O707" s="47" t="str">
        <f aca="false">IF(NOT(ISNUMBER(M707)),"",IFERROR(IF(L707="EUR",M707,IF(L707="IRR",M707/INDEX('Assumptions &amp; FX Reference'!$C$5:$C$25,MATCH(H707,'Assumptions &amp; FX Reference'!$A$5:$A$25,0)),IF(L707="USD",M707*INDEX('Assumptions &amp; FX Reference'!$B$5:$B$25,MATCH(H707,'Assumptions &amp; FX Reference'!$A$5:$A$25,0))/INDEX('Assumptions &amp; FX Reference'!$C$5:$C$25,MATCH(H707,'Assumptions &amp; FX Reference'!$A$5:$A$25,0)),""))),"(FX missing)"))</f>
        <v/>
      </c>
      <c r="P707" s="42"/>
      <c r="Q707" s="42"/>
      <c r="R707" s="42"/>
      <c r="S707" s="42"/>
      <c r="T707" s="42"/>
      <c r="U707" s="42"/>
      <c r="V707" s="42"/>
    </row>
    <row r="708" customFormat="false" ht="15" hidden="false" customHeight="false" outlineLevel="0" collapsed="false">
      <c r="A708" s="42"/>
      <c r="B708" s="42"/>
      <c r="C708" s="45" t="str">
        <f aca="false">IF(B708="","",IFERROR(INDEX('Master Database'!$D$5:$D$600,MATCH(B708,'Master Database'!$A$5:$A$600,0)),"(row not found)"))</f>
        <v/>
      </c>
      <c r="D708" s="45" t="str">
        <f aca="false">IF(B708="","",IFERROR(INDEX('Master Database'!$B$5:$B$600,MATCH(B708,'Master Database'!$A$5:$A$600,0)),"(row not found)"))</f>
        <v/>
      </c>
      <c r="E708" s="42"/>
      <c r="F708" s="45" t="str">
        <f aca="false">IF(E708="","",IFERROR(INDEX(Vendor_Register!$B$5:$B$205,MATCH(E708,Vendor_Register!$A$5:$A$205,0)),"(not in register)"))</f>
        <v/>
      </c>
      <c r="G708" s="45" t="str">
        <f aca="false">IF(E708="","",IFERROR(INDEX(Vendor_Register!$E$5:$E$205,MATCH(E708,Vendor_Register!$A$5:$A$205,0)),"(not in register)"))</f>
        <v/>
      </c>
      <c r="H708" s="42"/>
      <c r="I708" s="42"/>
      <c r="J708" s="42"/>
      <c r="K708" s="42"/>
      <c r="L708" s="42"/>
      <c r="M708" s="46"/>
      <c r="N708" s="42"/>
      <c r="O708" s="47" t="str">
        <f aca="false">IF(NOT(ISNUMBER(M708)),"",IFERROR(IF(L708="EUR",M708,IF(L708="IRR",M708/INDEX('Assumptions &amp; FX Reference'!$C$5:$C$25,MATCH(H708,'Assumptions &amp; FX Reference'!$A$5:$A$25,0)),IF(L708="USD",M708*INDEX('Assumptions &amp; FX Reference'!$B$5:$B$25,MATCH(H708,'Assumptions &amp; FX Reference'!$A$5:$A$25,0))/INDEX('Assumptions &amp; FX Reference'!$C$5:$C$25,MATCH(H708,'Assumptions &amp; FX Reference'!$A$5:$A$25,0)),""))),"(FX missing)"))</f>
        <v/>
      </c>
      <c r="P708" s="42"/>
      <c r="Q708" s="42"/>
      <c r="R708" s="42"/>
      <c r="S708" s="42"/>
      <c r="T708" s="42"/>
      <c r="U708" s="42"/>
      <c r="V708" s="42"/>
    </row>
    <row r="709" customFormat="false" ht="15" hidden="false" customHeight="false" outlineLevel="0" collapsed="false">
      <c r="A709" s="42"/>
      <c r="B709" s="42"/>
      <c r="C709" s="45" t="str">
        <f aca="false">IF(B709="","",IFERROR(INDEX('Master Database'!$D$5:$D$600,MATCH(B709,'Master Database'!$A$5:$A$600,0)),"(row not found)"))</f>
        <v/>
      </c>
      <c r="D709" s="45" t="str">
        <f aca="false">IF(B709="","",IFERROR(INDEX('Master Database'!$B$5:$B$600,MATCH(B709,'Master Database'!$A$5:$A$600,0)),"(row not found)"))</f>
        <v/>
      </c>
      <c r="E709" s="42"/>
      <c r="F709" s="45" t="str">
        <f aca="false">IF(E709="","",IFERROR(INDEX(Vendor_Register!$B$5:$B$205,MATCH(E709,Vendor_Register!$A$5:$A$205,0)),"(not in register)"))</f>
        <v/>
      </c>
      <c r="G709" s="45" t="str">
        <f aca="false">IF(E709="","",IFERROR(INDEX(Vendor_Register!$E$5:$E$205,MATCH(E709,Vendor_Register!$A$5:$A$205,0)),"(not in register)"))</f>
        <v/>
      </c>
      <c r="H709" s="42"/>
      <c r="I709" s="42"/>
      <c r="J709" s="42"/>
      <c r="K709" s="42"/>
      <c r="L709" s="42"/>
      <c r="M709" s="46"/>
      <c r="N709" s="42"/>
      <c r="O709" s="47" t="str">
        <f aca="false">IF(NOT(ISNUMBER(M709)),"",IFERROR(IF(L709="EUR",M709,IF(L709="IRR",M709/INDEX('Assumptions &amp; FX Reference'!$C$5:$C$25,MATCH(H709,'Assumptions &amp; FX Reference'!$A$5:$A$25,0)),IF(L709="USD",M709*INDEX('Assumptions &amp; FX Reference'!$B$5:$B$25,MATCH(H709,'Assumptions &amp; FX Reference'!$A$5:$A$25,0))/INDEX('Assumptions &amp; FX Reference'!$C$5:$C$25,MATCH(H709,'Assumptions &amp; FX Reference'!$A$5:$A$25,0)),""))),"(FX missing)"))</f>
        <v/>
      </c>
      <c r="P709" s="42"/>
      <c r="Q709" s="42"/>
      <c r="R709" s="42"/>
      <c r="S709" s="42"/>
      <c r="T709" s="42"/>
      <c r="U709" s="42"/>
      <c r="V709" s="42"/>
    </row>
    <row r="710" customFormat="false" ht="15" hidden="false" customHeight="false" outlineLevel="0" collapsed="false">
      <c r="A710" s="42"/>
      <c r="B710" s="42"/>
      <c r="C710" s="45" t="str">
        <f aca="false">IF(B710="","",IFERROR(INDEX('Master Database'!$D$5:$D$600,MATCH(B710,'Master Database'!$A$5:$A$600,0)),"(row not found)"))</f>
        <v/>
      </c>
      <c r="D710" s="45" t="str">
        <f aca="false">IF(B710="","",IFERROR(INDEX('Master Database'!$B$5:$B$600,MATCH(B710,'Master Database'!$A$5:$A$600,0)),"(row not found)"))</f>
        <v/>
      </c>
      <c r="E710" s="42"/>
      <c r="F710" s="45" t="str">
        <f aca="false">IF(E710="","",IFERROR(INDEX(Vendor_Register!$B$5:$B$205,MATCH(E710,Vendor_Register!$A$5:$A$205,0)),"(not in register)"))</f>
        <v/>
      </c>
      <c r="G710" s="45" t="str">
        <f aca="false">IF(E710="","",IFERROR(INDEX(Vendor_Register!$E$5:$E$205,MATCH(E710,Vendor_Register!$A$5:$A$205,0)),"(not in register)"))</f>
        <v/>
      </c>
      <c r="H710" s="42"/>
      <c r="I710" s="42"/>
      <c r="J710" s="42"/>
      <c r="K710" s="42"/>
      <c r="L710" s="42"/>
      <c r="M710" s="46"/>
      <c r="N710" s="42"/>
      <c r="O710" s="47" t="str">
        <f aca="false">IF(NOT(ISNUMBER(M710)),"",IFERROR(IF(L710="EUR",M710,IF(L710="IRR",M710/INDEX('Assumptions &amp; FX Reference'!$C$5:$C$25,MATCH(H710,'Assumptions &amp; FX Reference'!$A$5:$A$25,0)),IF(L710="USD",M710*INDEX('Assumptions &amp; FX Reference'!$B$5:$B$25,MATCH(H710,'Assumptions &amp; FX Reference'!$A$5:$A$25,0))/INDEX('Assumptions &amp; FX Reference'!$C$5:$C$25,MATCH(H710,'Assumptions &amp; FX Reference'!$A$5:$A$25,0)),""))),"(FX missing)"))</f>
        <v/>
      </c>
      <c r="P710" s="42"/>
      <c r="Q710" s="42"/>
      <c r="R710" s="42"/>
      <c r="S710" s="42"/>
      <c r="T710" s="42"/>
      <c r="U710" s="42"/>
      <c r="V710" s="42"/>
    </row>
    <row r="711" customFormat="false" ht="15" hidden="false" customHeight="false" outlineLevel="0" collapsed="false">
      <c r="A711" s="42"/>
      <c r="B711" s="42"/>
      <c r="C711" s="45" t="str">
        <f aca="false">IF(B711="","",IFERROR(INDEX('Master Database'!$D$5:$D$600,MATCH(B711,'Master Database'!$A$5:$A$600,0)),"(row not found)"))</f>
        <v/>
      </c>
      <c r="D711" s="45" t="str">
        <f aca="false">IF(B711="","",IFERROR(INDEX('Master Database'!$B$5:$B$600,MATCH(B711,'Master Database'!$A$5:$A$600,0)),"(row not found)"))</f>
        <v/>
      </c>
      <c r="E711" s="42"/>
      <c r="F711" s="45" t="str">
        <f aca="false">IF(E711="","",IFERROR(INDEX(Vendor_Register!$B$5:$B$205,MATCH(E711,Vendor_Register!$A$5:$A$205,0)),"(not in register)"))</f>
        <v/>
      </c>
      <c r="G711" s="45" t="str">
        <f aca="false">IF(E711="","",IFERROR(INDEX(Vendor_Register!$E$5:$E$205,MATCH(E711,Vendor_Register!$A$5:$A$205,0)),"(not in register)"))</f>
        <v/>
      </c>
      <c r="H711" s="42"/>
      <c r="I711" s="42"/>
      <c r="J711" s="42"/>
      <c r="K711" s="42"/>
      <c r="L711" s="42"/>
      <c r="M711" s="46"/>
      <c r="N711" s="42"/>
      <c r="O711" s="47" t="str">
        <f aca="false">IF(NOT(ISNUMBER(M711)),"",IFERROR(IF(L711="EUR",M711,IF(L711="IRR",M711/INDEX('Assumptions &amp; FX Reference'!$C$5:$C$25,MATCH(H711,'Assumptions &amp; FX Reference'!$A$5:$A$25,0)),IF(L711="USD",M711*INDEX('Assumptions &amp; FX Reference'!$B$5:$B$25,MATCH(H711,'Assumptions &amp; FX Reference'!$A$5:$A$25,0))/INDEX('Assumptions &amp; FX Reference'!$C$5:$C$25,MATCH(H711,'Assumptions &amp; FX Reference'!$A$5:$A$25,0)),""))),"(FX missing)"))</f>
        <v/>
      </c>
      <c r="P711" s="42"/>
      <c r="Q711" s="42"/>
      <c r="R711" s="42"/>
      <c r="S711" s="42"/>
      <c r="T711" s="42"/>
      <c r="U711" s="42"/>
      <c r="V711" s="42"/>
    </row>
    <row r="712" customFormat="false" ht="15" hidden="false" customHeight="false" outlineLevel="0" collapsed="false">
      <c r="A712" s="42"/>
      <c r="B712" s="42"/>
      <c r="C712" s="45" t="str">
        <f aca="false">IF(B712="","",IFERROR(INDEX('Master Database'!$D$5:$D$600,MATCH(B712,'Master Database'!$A$5:$A$600,0)),"(row not found)"))</f>
        <v/>
      </c>
      <c r="D712" s="45" t="str">
        <f aca="false">IF(B712="","",IFERROR(INDEX('Master Database'!$B$5:$B$600,MATCH(B712,'Master Database'!$A$5:$A$600,0)),"(row not found)"))</f>
        <v/>
      </c>
      <c r="E712" s="42"/>
      <c r="F712" s="45" t="str">
        <f aca="false">IF(E712="","",IFERROR(INDEX(Vendor_Register!$B$5:$B$205,MATCH(E712,Vendor_Register!$A$5:$A$205,0)),"(not in register)"))</f>
        <v/>
      </c>
      <c r="G712" s="45" t="str">
        <f aca="false">IF(E712="","",IFERROR(INDEX(Vendor_Register!$E$5:$E$205,MATCH(E712,Vendor_Register!$A$5:$A$205,0)),"(not in register)"))</f>
        <v/>
      </c>
      <c r="H712" s="42"/>
      <c r="I712" s="42"/>
      <c r="J712" s="42"/>
      <c r="K712" s="42"/>
      <c r="L712" s="42"/>
      <c r="M712" s="46"/>
      <c r="N712" s="42"/>
      <c r="O712" s="47" t="str">
        <f aca="false">IF(NOT(ISNUMBER(M712)),"",IFERROR(IF(L712="EUR",M712,IF(L712="IRR",M712/INDEX('Assumptions &amp; FX Reference'!$C$5:$C$25,MATCH(H712,'Assumptions &amp; FX Reference'!$A$5:$A$25,0)),IF(L712="USD",M712*INDEX('Assumptions &amp; FX Reference'!$B$5:$B$25,MATCH(H712,'Assumptions &amp; FX Reference'!$A$5:$A$25,0))/INDEX('Assumptions &amp; FX Reference'!$C$5:$C$25,MATCH(H712,'Assumptions &amp; FX Reference'!$A$5:$A$25,0)),""))),"(FX missing)"))</f>
        <v/>
      </c>
      <c r="P712" s="42"/>
      <c r="Q712" s="42"/>
      <c r="R712" s="42"/>
      <c r="S712" s="42"/>
      <c r="T712" s="42"/>
      <c r="U712" s="42"/>
      <c r="V712" s="42"/>
    </row>
    <row r="713" customFormat="false" ht="15" hidden="false" customHeight="false" outlineLevel="0" collapsed="false">
      <c r="A713" s="42"/>
      <c r="B713" s="42"/>
      <c r="C713" s="45" t="str">
        <f aca="false">IF(B713="","",IFERROR(INDEX('Master Database'!$D$5:$D$600,MATCH(B713,'Master Database'!$A$5:$A$600,0)),"(row not found)"))</f>
        <v/>
      </c>
      <c r="D713" s="45" t="str">
        <f aca="false">IF(B713="","",IFERROR(INDEX('Master Database'!$B$5:$B$600,MATCH(B713,'Master Database'!$A$5:$A$600,0)),"(row not found)"))</f>
        <v/>
      </c>
      <c r="E713" s="42"/>
      <c r="F713" s="45" t="str">
        <f aca="false">IF(E713="","",IFERROR(INDEX(Vendor_Register!$B$5:$B$205,MATCH(E713,Vendor_Register!$A$5:$A$205,0)),"(not in register)"))</f>
        <v/>
      </c>
      <c r="G713" s="45" t="str">
        <f aca="false">IF(E713="","",IFERROR(INDEX(Vendor_Register!$E$5:$E$205,MATCH(E713,Vendor_Register!$A$5:$A$205,0)),"(not in register)"))</f>
        <v/>
      </c>
      <c r="H713" s="42"/>
      <c r="I713" s="42"/>
      <c r="J713" s="42"/>
      <c r="K713" s="42"/>
      <c r="L713" s="42"/>
      <c r="M713" s="46"/>
      <c r="N713" s="42"/>
      <c r="O713" s="47" t="str">
        <f aca="false">IF(NOT(ISNUMBER(M713)),"",IFERROR(IF(L713="EUR",M713,IF(L713="IRR",M713/INDEX('Assumptions &amp; FX Reference'!$C$5:$C$25,MATCH(H713,'Assumptions &amp; FX Reference'!$A$5:$A$25,0)),IF(L713="USD",M713*INDEX('Assumptions &amp; FX Reference'!$B$5:$B$25,MATCH(H713,'Assumptions &amp; FX Reference'!$A$5:$A$25,0))/INDEX('Assumptions &amp; FX Reference'!$C$5:$C$25,MATCH(H713,'Assumptions &amp; FX Reference'!$A$5:$A$25,0)),""))),"(FX missing)"))</f>
        <v/>
      </c>
      <c r="P713" s="42"/>
      <c r="Q713" s="42"/>
      <c r="R713" s="42"/>
      <c r="S713" s="42"/>
      <c r="T713" s="42"/>
      <c r="U713" s="42"/>
      <c r="V713" s="42"/>
    </row>
    <row r="714" customFormat="false" ht="15" hidden="false" customHeight="false" outlineLevel="0" collapsed="false">
      <c r="A714" s="42"/>
      <c r="B714" s="42"/>
      <c r="C714" s="45" t="str">
        <f aca="false">IF(B714="","",IFERROR(INDEX('Master Database'!$D$5:$D$600,MATCH(B714,'Master Database'!$A$5:$A$600,0)),"(row not found)"))</f>
        <v/>
      </c>
      <c r="D714" s="45" t="str">
        <f aca="false">IF(B714="","",IFERROR(INDEX('Master Database'!$B$5:$B$600,MATCH(B714,'Master Database'!$A$5:$A$600,0)),"(row not found)"))</f>
        <v/>
      </c>
      <c r="E714" s="42"/>
      <c r="F714" s="45" t="str">
        <f aca="false">IF(E714="","",IFERROR(INDEX(Vendor_Register!$B$5:$B$205,MATCH(E714,Vendor_Register!$A$5:$A$205,0)),"(not in register)"))</f>
        <v/>
      </c>
      <c r="G714" s="45" t="str">
        <f aca="false">IF(E714="","",IFERROR(INDEX(Vendor_Register!$E$5:$E$205,MATCH(E714,Vendor_Register!$A$5:$A$205,0)),"(not in register)"))</f>
        <v/>
      </c>
      <c r="H714" s="42"/>
      <c r="I714" s="42"/>
      <c r="J714" s="42"/>
      <c r="K714" s="42"/>
      <c r="L714" s="42"/>
      <c r="M714" s="46"/>
      <c r="N714" s="42"/>
      <c r="O714" s="47" t="str">
        <f aca="false">IF(NOT(ISNUMBER(M714)),"",IFERROR(IF(L714="EUR",M714,IF(L714="IRR",M714/INDEX('Assumptions &amp; FX Reference'!$C$5:$C$25,MATCH(H714,'Assumptions &amp; FX Reference'!$A$5:$A$25,0)),IF(L714="USD",M714*INDEX('Assumptions &amp; FX Reference'!$B$5:$B$25,MATCH(H714,'Assumptions &amp; FX Reference'!$A$5:$A$25,0))/INDEX('Assumptions &amp; FX Reference'!$C$5:$C$25,MATCH(H714,'Assumptions &amp; FX Reference'!$A$5:$A$25,0)),""))),"(FX missing)"))</f>
        <v/>
      </c>
      <c r="P714" s="42"/>
      <c r="Q714" s="42"/>
      <c r="R714" s="42"/>
      <c r="S714" s="42"/>
      <c r="T714" s="42"/>
      <c r="U714" s="42"/>
      <c r="V714" s="42"/>
    </row>
    <row r="715" customFormat="false" ht="15" hidden="false" customHeight="false" outlineLevel="0" collapsed="false">
      <c r="A715" s="42"/>
      <c r="B715" s="42"/>
      <c r="C715" s="45" t="str">
        <f aca="false">IF(B715="","",IFERROR(INDEX('Master Database'!$D$5:$D$600,MATCH(B715,'Master Database'!$A$5:$A$600,0)),"(row not found)"))</f>
        <v/>
      </c>
      <c r="D715" s="45" t="str">
        <f aca="false">IF(B715="","",IFERROR(INDEX('Master Database'!$B$5:$B$600,MATCH(B715,'Master Database'!$A$5:$A$600,0)),"(row not found)"))</f>
        <v/>
      </c>
      <c r="E715" s="42"/>
      <c r="F715" s="45" t="str">
        <f aca="false">IF(E715="","",IFERROR(INDEX(Vendor_Register!$B$5:$B$205,MATCH(E715,Vendor_Register!$A$5:$A$205,0)),"(not in register)"))</f>
        <v/>
      </c>
      <c r="G715" s="45" t="str">
        <f aca="false">IF(E715="","",IFERROR(INDEX(Vendor_Register!$E$5:$E$205,MATCH(E715,Vendor_Register!$A$5:$A$205,0)),"(not in register)"))</f>
        <v/>
      </c>
      <c r="H715" s="42"/>
      <c r="I715" s="42"/>
      <c r="J715" s="42"/>
      <c r="K715" s="42"/>
      <c r="L715" s="42"/>
      <c r="M715" s="46"/>
      <c r="N715" s="42"/>
      <c r="O715" s="47" t="str">
        <f aca="false">IF(NOT(ISNUMBER(M715)),"",IFERROR(IF(L715="EUR",M715,IF(L715="IRR",M715/INDEX('Assumptions &amp; FX Reference'!$C$5:$C$25,MATCH(H715,'Assumptions &amp; FX Reference'!$A$5:$A$25,0)),IF(L715="USD",M715*INDEX('Assumptions &amp; FX Reference'!$B$5:$B$25,MATCH(H715,'Assumptions &amp; FX Reference'!$A$5:$A$25,0))/INDEX('Assumptions &amp; FX Reference'!$C$5:$C$25,MATCH(H715,'Assumptions &amp; FX Reference'!$A$5:$A$25,0)),""))),"(FX missing)"))</f>
        <v/>
      </c>
      <c r="P715" s="42"/>
      <c r="Q715" s="42"/>
      <c r="R715" s="42"/>
      <c r="S715" s="42"/>
      <c r="T715" s="42"/>
      <c r="U715" s="42"/>
      <c r="V715" s="42"/>
    </row>
    <row r="716" customFormat="false" ht="15" hidden="false" customHeight="false" outlineLevel="0" collapsed="false">
      <c r="A716" s="42"/>
      <c r="B716" s="42"/>
      <c r="C716" s="45" t="str">
        <f aca="false">IF(B716="","",IFERROR(INDEX('Master Database'!$D$5:$D$600,MATCH(B716,'Master Database'!$A$5:$A$600,0)),"(row not found)"))</f>
        <v/>
      </c>
      <c r="D716" s="45" t="str">
        <f aca="false">IF(B716="","",IFERROR(INDEX('Master Database'!$B$5:$B$600,MATCH(B716,'Master Database'!$A$5:$A$600,0)),"(row not found)"))</f>
        <v/>
      </c>
      <c r="E716" s="42"/>
      <c r="F716" s="45" t="str">
        <f aca="false">IF(E716="","",IFERROR(INDEX(Vendor_Register!$B$5:$B$205,MATCH(E716,Vendor_Register!$A$5:$A$205,0)),"(not in register)"))</f>
        <v/>
      </c>
      <c r="G716" s="45" t="str">
        <f aca="false">IF(E716="","",IFERROR(INDEX(Vendor_Register!$E$5:$E$205,MATCH(E716,Vendor_Register!$A$5:$A$205,0)),"(not in register)"))</f>
        <v/>
      </c>
      <c r="H716" s="42"/>
      <c r="I716" s="42"/>
      <c r="J716" s="42"/>
      <c r="K716" s="42"/>
      <c r="L716" s="42"/>
      <c r="M716" s="46"/>
      <c r="N716" s="42"/>
      <c r="O716" s="47" t="str">
        <f aca="false">IF(NOT(ISNUMBER(M716)),"",IFERROR(IF(L716="EUR",M716,IF(L716="IRR",M716/INDEX('Assumptions &amp; FX Reference'!$C$5:$C$25,MATCH(H716,'Assumptions &amp; FX Reference'!$A$5:$A$25,0)),IF(L716="USD",M716*INDEX('Assumptions &amp; FX Reference'!$B$5:$B$25,MATCH(H716,'Assumptions &amp; FX Reference'!$A$5:$A$25,0))/INDEX('Assumptions &amp; FX Reference'!$C$5:$C$25,MATCH(H716,'Assumptions &amp; FX Reference'!$A$5:$A$25,0)),""))),"(FX missing)"))</f>
        <v/>
      </c>
      <c r="P716" s="42"/>
      <c r="Q716" s="42"/>
      <c r="R716" s="42"/>
      <c r="S716" s="42"/>
      <c r="T716" s="42"/>
      <c r="U716" s="42"/>
      <c r="V716" s="42"/>
    </row>
    <row r="717" customFormat="false" ht="15" hidden="false" customHeight="false" outlineLevel="0" collapsed="false">
      <c r="A717" s="42"/>
      <c r="B717" s="42"/>
      <c r="C717" s="45" t="str">
        <f aca="false">IF(B717="","",IFERROR(INDEX('Master Database'!$D$5:$D$600,MATCH(B717,'Master Database'!$A$5:$A$600,0)),"(row not found)"))</f>
        <v/>
      </c>
      <c r="D717" s="45" t="str">
        <f aca="false">IF(B717="","",IFERROR(INDEX('Master Database'!$B$5:$B$600,MATCH(B717,'Master Database'!$A$5:$A$600,0)),"(row not found)"))</f>
        <v/>
      </c>
      <c r="E717" s="42"/>
      <c r="F717" s="45" t="str">
        <f aca="false">IF(E717="","",IFERROR(INDEX(Vendor_Register!$B$5:$B$205,MATCH(E717,Vendor_Register!$A$5:$A$205,0)),"(not in register)"))</f>
        <v/>
      </c>
      <c r="G717" s="45" t="str">
        <f aca="false">IF(E717="","",IFERROR(INDEX(Vendor_Register!$E$5:$E$205,MATCH(E717,Vendor_Register!$A$5:$A$205,0)),"(not in register)"))</f>
        <v/>
      </c>
      <c r="H717" s="42"/>
      <c r="I717" s="42"/>
      <c r="J717" s="42"/>
      <c r="K717" s="42"/>
      <c r="L717" s="42"/>
      <c r="M717" s="46"/>
      <c r="N717" s="42"/>
      <c r="O717" s="47" t="str">
        <f aca="false">IF(NOT(ISNUMBER(M717)),"",IFERROR(IF(L717="EUR",M717,IF(L717="IRR",M717/INDEX('Assumptions &amp; FX Reference'!$C$5:$C$25,MATCH(H717,'Assumptions &amp; FX Reference'!$A$5:$A$25,0)),IF(L717="USD",M717*INDEX('Assumptions &amp; FX Reference'!$B$5:$B$25,MATCH(H717,'Assumptions &amp; FX Reference'!$A$5:$A$25,0))/INDEX('Assumptions &amp; FX Reference'!$C$5:$C$25,MATCH(H717,'Assumptions &amp; FX Reference'!$A$5:$A$25,0)),""))),"(FX missing)"))</f>
        <v/>
      </c>
      <c r="P717" s="42"/>
      <c r="Q717" s="42"/>
      <c r="R717" s="42"/>
      <c r="S717" s="42"/>
      <c r="T717" s="42"/>
      <c r="U717" s="42"/>
      <c r="V717" s="42"/>
    </row>
    <row r="718" customFormat="false" ht="15" hidden="false" customHeight="false" outlineLevel="0" collapsed="false">
      <c r="A718" s="42"/>
      <c r="B718" s="42"/>
      <c r="C718" s="45" t="str">
        <f aca="false">IF(B718="","",IFERROR(INDEX('Master Database'!$D$5:$D$600,MATCH(B718,'Master Database'!$A$5:$A$600,0)),"(row not found)"))</f>
        <v/>
      </c>
      <c r="D718" s="45" t="str">
        <f aca="false">IF(B718="","",IFERROR(INDEX('Master Database'!$B$5:$B$600,MATCH(B718,'Master Database'!$A$5:$A$600,0)),"(row not found)"))</f>
        <v/>
      </c>
      <c r="E718" s="42"/>
      <c r="F718" s="45" t="str">
        <f aca="false">IF(E718="","",IFERROR(INDEX(Vendor_Register!$B$5:$B$205,MATCH(E718,Vendor_Register!$A$5:$A$205,0)),"(not in register)"))</f>
        <v/>
      </c>
      <c r="G718" s="45" t="str">
        <f aca="false">IF(E718="","",IFERROR(INDEX(Vendor_Register!$E$5:$E$205,MATCH(E718,Vendor_Register!$A$5:$A$205,0)),"(not in register)"))</f>
        <v/>
      </c>
      <c r="H718" s="42"/>
      <c r="I718" s="42"/>
      <c r="J718" s="42"/>
      <c r="K718" s="42"/>
      <c r="L718" s="42"/>
      <c r="M718" s="46"/>
      <c r="N718" s="42"/>
      <c r="O718" s="47" t="str">
        <f aca="false">IF(NOT(ISNUMBER(M718)),"",IFERROR(IF(L718="EUR",M718,IF(L718="IRR",M718/INDEX('Assumptions &amp; FX Reference'!$C$5:$C$25,MATCH(H718,'Assumptions &amp; FX Reference'!$A$5:$A$25,0)),IF(L718="USD",M718*INDEX('Assumptions &amp; FX Reference'!$B$5:$B$25,MATCH(H718,'Assumptions &amp; FX Reference'!$A$5:$A$25,0))/INDEX('Assumptions &amp; FX Reference'!$C$5:$C$25,MATCH(H718,'Assumptions &amp; FX Reference'!$A$5:$A$25,0)),""))),"(FX missing)"))</f>
        <v/>
      </c>
      <c r="P718" s="42"/>
      <c r="Q718" s="42"/>
      <c r="R718" s="42"/>
      <c r="S718" s="42"/>
      <c r="T718" s="42"/>
      <c r="U718" s="42"/>
      <c r="V718" s="42"/>
    </row>
    <row r="719" customFormat="false" ht="15" hidden="false" customHeight="false" outlineLevel="0" collapsed="false">
      <c r="A719" s="42"/>
      <c r="B719" s="42"/>
      <c r="C719" s="45" t="str">
        <f aca="false">IF(B719="","",IFERROR(INDEX('Master Database'!$D$5:$D$600,MATCH(B719,'Master Database'!$A$5:$A$600,0)),"(row not found)"))</f>
        <v/>
      </c>
      <c r="D719" s="45" t="str">
        <f aca="false">IF(B719="","",IFERROR(INDEX('Master Database'!$B$5:$B$600,MATCH(B719,'Master Database'!$A$5:$A$600,0)),"(row not found)"))</f>
        <v/>
      </c>
      <c r="E719" s="42"/>
      <c r="F719" s="45" t="str">
        <f aca="false">IF(E719="","",IFERROR(INDEX(Vendor_Register!$B$5:$B$205,MATCH(E719,Vendor_Register!$A$5:$A$205,0)),"(not in register)"))</f>
        <v/>
      </c>
      <c r="G719" s="45" t="str">
        <f aca="false">IF(E719="","",IFERROR(INDEX(Vendor_Register!$E$5:$E$205,MATCH(E719,Vendor_Register!$A$5:$A$205,0)),"(not in register)"))</f>
        <v/>
      </c>
      <c r="H719" s="42"/>
      <c r="I719" s="42"/>
      <c r="J719" s="42"/>
      <c r="K719" s="42"/>
      <c r="L719" s="42"/>
      <c r="M719" s="46"/>
      <c r="N719" s="42"/>
      <c r="O719" s="47" t="str">
        <f aca="false">IF(NOT(ISNUMBER(M719)),"",IFERROR(IF(L719="EUR",M719,IF(L719="IRR",M719/INDEX('Assumptions &amp; FX Reference'!$C$5:$C$25,MATCH(H719,'Assumptions &amp; FX Reference'!$A$5:$A$25,0)),IF(L719="USD",M719*INDEX('Assumptions &amp; FX Reference'!$B$5:$B$25,MATCH(H719,'Assumptions &amp; FX Reference'!$A$5:$A$25,0))/INDEX('Assumptions &amp; FX Reference'!$C$5:$C$25,MATCH(H719,'Assumptions &amp; FX Reference'!$A$5:$A$25,0)),""))),"(FX missing)"))</f>
        <v/>
      </c>
      <c r="P719" s="42"/>
      <c r="Q719" s="42"/>
      <c r="R719" s="42"/>
      <c r="S719" s="42"/>
      <c r="T719" s="42"/>
      <c r="U719" s="42"/>
      <c r="V719" s="42"/>
    </row>
    <row r="720" customFormat="false" ht="15" hidden="false" customHeight="false" outlineLevel="0" collapsed="false">
      <c r="A720" s="42"/>
      <c r="B720" s="42"/>
      <c r="C720" s="45" t="str">
        <f aca="false">IF(B720="","",IFERROR(INDEX('Master Database'!$D$5:$D$600,MATCH(B720,'Master Database'!$A$5:$A$600,0)),"(row not found)"))</f>
        <v/>
      </c>
      <c r="D720" s="45" t="str">
        <f aca="false">IF(B720="","",IFERROR(INDEX('Master Database'!$B$5:$B$600,MATCH(B720,'Master Database'!$A$5:$A$600,0)),"(row not found)"))</f>
        <v/>
      </c>
      <c r="E720" s="42"/>
      <c r="F720" s="45" t="str">
        <f aca="false">IF(E720="","",IFERROR(INDEX(Vendor_Register!$B$5:$B$205,MATCH(E720,Vendor_Register!$A$5:$A$205,0)),"(not in register)"))</f>
        <v/>
      </c>
      <c r="G720" s="45" t="str">
        <f aca="false">IF(E720="","",IFERROR(INDEX(Vendor_Register!$E$5:$E$205,MATCH(E720,Vendor_Register!$A$5:$A$205,0)),"(not in register)"))</f>
        <v/>
      </c>
      <c r="H720" s="42"/>
      <c r="I720" s="42"/>
      <c r="J720" s="42"/>
      <c r="K720" s="42"/>
      <c r="L720" s="42"/>
      <c r="M720" s="46"/>
      <c r="N720" s="42"/>
      <c r="O720" s="47" t="str">
        <f aca="false">IF(NOT(ISNUMBER(M720)),"",IFERROR(IF(L720="EUR",M720,IF(L720="IRR",M720/INDEX('Assumptions &amp; FX Reference'!$C$5:$C$25,MATCH(H720,'Assumptions &amp; FX Reference'!$A$5:$A$25,0)),IF(L720="USD",M720*INDEX('Assumptions &amp; FX Reference'!$B$5:$B$25,MATCH(H720,'Assumptions &amp; FX Reference'!$A$5:$A$25,0))/INDEX('Assumptions &amp; FX Reference'!$C$5:$C$25,MATCH(H720,'Assumptions &amp; FX Reference'!$A$5:$A$25,0)),""))),"(FX missing)"))</f>
        <v/>
      </c>
      <c r="P720" s="42"/>
      <c r="Q720" s="42"/>
      <c r="R720" s="42"/>
      <c r="S720" s="42"/>
      <c r="T720" s="42"/>
      <c r="U720" s="42"/>
      <c r="V720" s="42"/>
    </row>
    <row r="721" customFormat="false" ht="15" hidden="false" customHeight="false" outlineLevel="0" collapsed="false">
      <c r="A721" s="42"/>
      <c r="B721" s="42"/>
      <c r="C721" s="45" t="str">
        <f aca="false">IF(B721="","",IFERROR(INDEX('Master Database'!$D$5:$D$600,MATCH(B721,'Master Database'!$A$5:$A$600,0)),"(row not found)"))</f>
        <v/>
      </c>
      <c r="D721" s="45" t="str">
        <f aca="false">IF(B721="","",IFERROR(INDEX('Master Database'!$B$5:$B$600,MATCH(B721,'Master Database'!$A$5:$A$600,0)),"(row not found)"))</f>
        <v/>
      </c>
      <c r="E721" s="42"/>
      <c r="F721" s="45" t="str">
        <f aca="false">IF(E721="","",IFERROR(INDEX(Vendor_Register!$B$5:$B$205,MATCH(E721,Vendor_Register!$A$5:$A$205,0)),"(not in register)"))</f>
        <v/>
      </c>
      <c r="G721" s="45" t="str">
        <f aca="false">IF(E721="","",IFERROR(INDEX(Vendor_Register!$E$5:$E$205,MATCH(E721,Vendor_Register!$A$5:$A$205,0)),"(not in register)"))</f>
        <v/>
      </c>
      <c r="H721" s="42"/>
      <c r="I721" s="42"/>
      <c r="J721" s="42"/>
      <c r="K721" s="42"/>
      <c r="L721" s="42"/>
      <c r="M721" s="46"/>
      <c r="N721" s="42"/>
      <c r="O721" s="47" t="str">
        <f aca="false">IF(NOT(ISNUMBER(M721)),"",IFERROR(IF(L721="EUR",M721,IF(L721="IRR",M721/INDEX('Assumptions &amp; FX Reference'!$C$5:$C$25,MATCH(H721,'Assumptions &amp; FX Reference'!$A$5:$A$25,0)),IF(L721="USD",M721*INDEX('Assumptions &amp; FX Reference'!$B$5:$B$25,MATCH(H721,'Assumptions &amp; FX Reference'!$A$5:$A$25,0))/INDEX('Assumptions &amp; FX Reference'!$C$5:$C$25,MATCH(H721,'Assumptions &amp; FX Reference'!$A$5:$A$25,0)),""))),"(FX missing)"))</f>
        <v/>
      </c>
      <c r="P721" s="42"/>
      <c r="Q721" s="42"/>
      <c r="R721" s="42"/>
      <c r="S721" s="42"/>
      <c r="T721" s="42"/>
      <c r="U721" s="42"/>
      <c r="V721" s="42"/>
    </row>
    <row r="722" customFormat="false" ht="15" hidden="false" customHeight="false" outlineLevel="0" collapsed="false">
      <c r="A722" s="42"/>
      <c r="B722" s="42"/>
      <c r="C722" s="45" t="str">
        <f aca="false">IF(B722="","",IFERROR(INDEX('Master Database'!$D$5:$D$600,MATCH(B722,'Master Database'!$A$5:$A$600,0)),"(row not found)"))</f>
        <v/>
      </c>
      <c r="D722" s="45" t="str">
        <f aca="false">IF(B722="","",IFERROR(INDEX('Master Database'!$B$5:$B$600,MATCH(B722,'Master Database'!$A$5:$A$600,0)),"(row not found)"))</f>
        <v/>
      </c>
      <c r="E722" s="42"/>
      <c r="F722" s="45" t="str">
        <f aca="false">IF(E722="","",IFERROR(INDEX(Vendor_Register!$B$5:$B$205,MATCH(E722,Vendor_Register!$A$5:$A$205,0)),"(not in register)"))</f>
        <v/>
      </c>
      <c r="G722" s="45" t="str">
        <f aca="false">IF(E722="","",IFERROR(INDEX(Vendor_Register!$E$5:$E$205,MATCH(E722,Vendor_Register!$A$5:$A$205,0)),"(not in register)"))</f>
        <v/>
      </c>
      <c r="H722" s="42"/>
      <c r="I722" s="42"/>
      <c r="J722" s="42"/>
      <c r="K722" s="42"/>
      <c r="L722" s="42"/>
      <c r="M722" s="46"/>
      <c r="N722" s="42"/>
      <c r="O722" s="47" t="str">
        <f aca="false">IF(NOT(ISNUMBER(M722)),"",IFERROR(IF(L722="EUR",M722,IF(L722="IRR",M722/INDEX('Assumptions &amp; FX Reference'!$C$5:$C$25,MATCH(H722,'Assumptions &amp; FX Reference'!$A$5:$A$25,0)),IF(L722="USD",M722*INDEX('Assumptions &amp; FX Reference'!$B$5:$B$25,MATCH(H722,'Assumptions &amp; FX Reference'!$A$5:$A$25,0))/INDEX('Assumptions &amp; FX Reference'!$C$5:$C$25,MATCH(H722,'Assumptions &amp; FX Reference'!$A$5:$A$25,0)),""))),"(FX missing)"))</f>
        <v/>
      </c>
      <c r="P722" s="42"/>
      <c r="Q722" s="42"/>
      <c r="R722" s="42"/>
      <c r="S722" s="42"/>
      <c r="T722" s="42"/>
      <c r="U722" s="42"/>
      <c r="V722" s="42"/>
    </row>
    <row r="723" customFormat="false" ht="15" hidden="false" customHeight="false" outlineLevel="0" collapsed="false">
      <c r="A723" s="42"/>
      <c r="B723" s="42"/>
      <c r="C723" s="45" t="str">
        <f aca="false">IF(B723="","",IFERROR(INDEX('Master Database'!$D$5:$D$600,MATCH(B723,'Master Database'!$A$5:$A$600,0)),"(row not found)"))</f>
        <v/>
      </c>
      <c r="D723" s="45" t="str">
        <f aca="false">IF(B723="","",IFERROR(INDEX('Master Database'!$B$5:$B$600,MATCH(B723,'Master Database'!$A$5:$A$600,0)),"(row not found)"))</f>
        <v/>
      </c>
      <c r="E723" s="42"/>
      <c r="F723" s="45" t="str">
        <f aca="false">IF(E723="","",IFERROR(INDEX(Vendor_Register!$B$5:$B$205,MATCH(E723,Vendor_Register!$A$5:$A$205,0)),"(not in register)"))</f>
        <v/>
      </c>
      <c r="G723" s="45" t="str">
        <f aca="false">IF(E723="","",IFERROR(INDEX(Vendor_Register!$E$5:$E$205,MATCH(E723,Vendor_Register!$A$5:$A$205,0)),"(not in register)"))</f>
        <v/>
      </c>
      <c r="H723" s="42"/>
      <c r="I723" s="42"/>
      <c r="J723" s="42"/>
      <c r="K723" s="42"/>
      <c r="L723" s="42"/>
      <c r="M723" s="46"/>
      <c r="N723" s="42"/>
      <c r="O723" s="47" t="str">
        <f aca="false">IF(NOT(ISNUMBER(M723)),"",IFERROR(IF(L723="EUR",M723,IF(L723="IRR",M723/INDEX('Assumptions &amp; FX Reference'!$C$5:$C$25,MATCH(H723,'Assumptions &amp; FX Reference'!$A$5:$A$25,0)),IF(L723="USD",M723*INDEX('Assumptions &amp; FX Reference'!$B$5:$B$25,MATCH(H723,'Assumptions &amp; FX Reference'!$A$5:$A$25,0))/INDEX('Assumptions &amp; FX Reference'!$C$5:$C$25,MATCH(H723,'Assumptions &amp; FX Reference'!$A$5:$A$25,0)),""))),"(FX missing)"))</f>
        <v/>
      </c>
      <c r="P723" s="42"/>
      <c r="Q723" s="42"/>
      <c r="R723" s="42"/>
      <c r="S723" s="42"/>
      <c r="T723" s="42"/>
      <c r="U723" s="42"/>
      <c r="V723" s="42"/>
    </row>
    <row r="724" customFormat="false" ht="15" hidden="false" customHeight="false" outlineLevel="0" collapsed="false">
      <c r="A724" s="42"/>
      <c r="B724" s="42"/>
      <c r="C724" s="45" t="str">
        <f aca="false">IF(B724="","",IFERROR(INDEX('Master Database'!$D$5:$D$600,MATCH(B724,'Master Database'!$A$5:$A$600,0)),"(row not found)"))</f>
        <v/>
      </c>
      <c r="D724" s="45" t="str">
        <f aca="false">IF(B724="","",IFERROR(INDEX('Master Database'!$B$5:$B$600,MATCH(B724,'Master Database'!$A$5:$A$600,0)),"(row not found)"))</f>
        <v/>
      </c>
      <c r="E724" s="42"/>
      <c r="F724" s="45" t="str">
        <f aca="false">IF(E724="","",IFERROR(INDEX(Vendor_Register!$B$5:$B$205,MATCH(E724,Vendor_Register!$A$5:$A$205,0)),"(not in register)"))</f>
        <v/>
      </c>
      <c r="G724" s="45" t="str">
        <f aca="false">IF(E724="","",IFERROR(INDEX(Vendor_Register!$E$5:$E$205,MATCH(E724,Vendor_Register!$A$5:$A$205,0)),"(not in register)"))</f>
        <v/>
      </c>
      <c r="H724" s="42"/>
      <c r="I724" s="42"/>
      <c r="J724" s="42"/>
      <c r="K724" s="42"/>
      <c r="L724" s="42"/>
      <c r="M724" s="46"/>
      <c r="N724" s="42"/>
      <c r="O724" s="47" t="str">
        <f aca="false">IF(NOT(ISNUMBER(M724)),"",IFERROR(IF(L724="EUR",M724,IF(L724="IRR",M724/INDEX('Assumptions &amp; FX Reference'!$C$5:$C$25,MATCH(H724,'Assumptions &amp; FX Reference'!$A$5:$A$25,0)),IF(L724="USD",M724*INDEX('Assumptions &amp; FX Reference'!$B$5:$B$25,MATCH(H724,'Assumptions &amp; FX Reference'!$A$5:$A$25,0))/INDEX('Assumptions &amp; FX Reference'!$C$5:$C$25,MATCH(H724,'Assumptions &amp; FX Reference'!$A$5:$A$25,0)),""))),"(FX missing)"))</f>
        <v/>
      </c>
      <c r="P724" s="42"/>
      <c r="Q724" s="42"/>
      <c r="R724" s="42"/>
      <c r="S724" s="42"/>
      <c r="T724" s="42"/>
      <c r="U724" s="42"/>
      <c r="V724" s="42"/>
    </row>
    <row r="725" customFormat="false" ht="15" hidden="false" customHeight="false" outlineLevel="0" collapsed="false">
      <c r="A725" s="42"/>
      <c r="B725" s="42"/>
      <c r="C725" s="45" t="str">
        <f aca="false">IF(B725="","",IFERROR(INDEX('Master Database'!$D$5:$D$600,MATCH(B725,'Master Database'!$A$5:$A$600,0)),"(row not found)"))</f>
        <v/>
      </c>
      <c r="D725" s="45" t="str">
        <f aca="false">IF(B725="","",IFERROR(INDEX('Master Database'!$B$5:$B$600,MATCH(B725,'Master Database'!$A$5:$A$600,0)),"(row not found)"))</f>
        <v/>
      </c>
      <c r="E725" s="42"/>
      <c r="F725" s="45" t="str">
        <f aca="false">IF(E725="","",IFERROR(INDEX(Vendor_Register!$B$5:$B$205,MATCH(E725,Vendor_Register!$A$5:$A$205,0)),"(not in register)"))</f>
        <v/>
      </c>
      <c r="G725" s="45" t="str">
        <f aca="false">IF(E725="","",IFERROR(INDEX(Vendor_Register!$E$5:$E$205,MATCH(E725,Vendor_Register!$A$5:$A$205,0)),"(not in register)"))</f>
        <v/>
      </c>
      <c r="H725" s="42"/>
      <c r="I725" s="42"/>
      <c r="J725" s="42"/>
      <c r="K725" s="42"/>
      <c r="L725" s="42"/>
      <c r="M725" s="46"/>
      <c r="N725" s="42"/>
      <c r="O725" s="47" t="str">
        <f aca="false">IF(NOT(ISNUMBER(M725)),"",IFERROR(IF(L725="EUR",M725,IF(L725="IRR",M725/INDEX('Assumptions &amp; FX Reference'!$C$5:$C$25,MATCH(H725,'Assumptions &amp; FX Reference'!$A$5:$A$25,0)),IF(L725="USD",M725*INDEX('Assumptions &amp; FX Reference'!$B$5:$B$25,MATCH(H725,'Assumptions &amp; FX Reference'!$A$5:$A$25,0))/INDEX('Assumptions &amp; FX Reference'!$C$5:$C$25,MATCH(H725,'Assumptions &amp; FX Reference'!$A$5:$A$25,0)),""))),"(FX missing)"))</f>
        <v/>
      </c>
      <c r="P725" s="42"/>
      <c r="Q725" s="42"/>
      <c r="R725" s="42"/>
      <c r="S725" s="42"/>
      <c r="T725" s="42"/>
      <c r="U725" s="42"/>
      <c r="V725" s="42"/>
    </row>
    <row r="726" customFormat="false" ht="15" hidden="false" customHeight="false" outlineLevel="0" collapsed="false">
      <c r="A726" s="42"/>
      <c r="B726" s="42"/>
      <c r="C726" s="45" t="str">
        <f aca="false">IF(B726="","",IFERROR(INDEX('Master Database'!$D$5:$D$600,MATCH(B726,'Master Database'!$A$5:$A$600,0)),"(row not found)"))</f>
        <v/>
      </c>
      <c r="D726" s="45" t="str">
        <f aca="false">IF(B726="","",IFERROR(INDEX('Master Database'!$B$5:$B$600,MATCH(B726,'Master Database'!$A$5:$A$600,0)),"(row not found)"))</f>
        <v/>
      </c>
      <c r="E726" s="42"/>
      <c r="F726" s="45" t="str">
        <f aca="false">IF(E726="","",IFERROR(INDEX(Vendor_Register!$B$5:$B$205,MATCH(E726,Vendor_Register!$A$5:$A$205,0)),"(not in register)"))</f>
        <v/>
      </c>
      <c r="G726" s="45" t="str">
        <f aca="false">IF(E726="","",IFERROR(INDEX(Vendor_Register!$E$5:$E$205,MATCH(E726,Vendor_Register!$A$5:$A$205,0)),"(not in register)"))</f>
        <v/>
      </c>
      <c r="H726" s="42"/>
      <c r="I726" s="42"/>
      <c r="J726" s="42"/>
      <c r="K726" s="42"/>
      <c r="L726" s="42"/>
      <c r="M726" s="46"/>
      <c r="N726" s="42"/>
      <c r="O726" s="47" t="str">
        <f aca="false">IF(NOT(ISNUMBER(M726)),"",IFERROR(IF(L726="EUR",M726,IF(L726="IRR",M726/INDEX('Assumptions &amp; FX Reference'!$C$5:$C$25,MATCH(H726,'Assumptions &amp; FX Reference'!$A$5:$A$25,0)),IF(L726="USD",M726*INDEX('Assumptions &amp; FX Reference'!$B$5:$B$25,MATCH(H726,'Assumptions &amp; FX Reference'!$A$5:$A$25,0))/INDEX('Assumptions &amp; FX Reference'!$C$5:$C$25,MATCH(H726,'Assumptions &amp; FX Reference'!$A$5:$A$25,0)),""))),"(FX missing)"))</f>
        <v/>
      </c>
      <c r="P726" s="42"/>
      <c r="Q726" s="42"/>
      <c r="R726" s="42"/>
      <c r="S726" s="42"/>
      <c r="T726" s="42"/>
      <c r="U726" s="42"/>
      <c r="V726" s="42"/>
    </row>
    <row r="727" customFormat="false" ht="15" hidden="false" customHeight="false" outlineLevel="0" collapsed="false">
      <c r="A727" s="42"/>
      <c r="B727" s="42"/>
      <c r="C727" s="45" t="str">
        <f aca="false">IF(B727="","",IFERROR(INDEX('Master Database'!$D$5:$D$600,MATCH(B727,'Master Database'!$A$5:$A$600,0)),"(row not found)"))</f>
        <v/>
      </c>
      <c r="D727" s="45" t="str">
        <f aca="false">IF(B727="","",IFERROR(INDEX('Master Database'!$B$5:$B$600,MATCH(B727,'Master Database'!$A$5:$A$600,0)),"(row not found)"))</f>
        <v/>
      </c>
      <c r="E727" s="42"/>
      <c r="F727" s="45" t="str">
        <f aca="false">IF(E727="","",IFERROR(INDEX(Vendor_Register!$B$5:$B$205,MATCH(E727,Vendor_Register!$A$5:$A$205,0)),"(not in register)"))</f>
        <v/>
      </c>
      <c r="G727" s="45" t="str">
        <f aca="false">IF(E727="","",IFERROR(INDEX(Vendor_Register!$E$5:$E$205,MATCH(E727,Vendor_Register!$A$5:$A$205,0)),"(not in register)"))</f>
        <v/>
      </c>
      <c r="H727" s="42"/>
      <c r="I727" s="42"/>
      <c r="J727" s="42"/>
      <c r="K727" s="42"/>
      <c r="L727" s="42"/>
      <c r="M727" s="46"/>
      <c r="N727" s="42"/>
      <c r="O727" s="47" t="str">
        <f aca="false">IF(NOT(ISNUMBER(M727)),"",IFERROR(IF(L727="EUR",M727,IF(L727="IRR",M727/INDEX('Assumptions &amp; FX Reference'!$C$5:$C$25,MATCH(H727,'Assumptions &amp; FX Reference'!$A$5:$A$25,0)),IF(L727="USD",M727*INDEX('Assumptions &amp; FX Reference'!$B$5:$B$25,MATCH(H727,'Assumptions &amp; FX Reference'!$A$5:$A$25,0))/INDEX('Assumptions &amp; FX Reference'!$C$5:$C$25,MATCH(H727,'Assumptions &amp; FX Reference'!$A$5:$A$25,0)),""))),"(FX missing)"))</f>
        <v/>
      </c>
      <c r="P727" s="42"/>
      <c r="Q727" s="42"/>
      <c r="R727" s="42"/>
      <c r="S727" s="42"/>
      <c r="T727" s="42"/>
      <c r="U727" s="42"/>
      <c r="V727" s="42"/>
    </row>
    <row r="728" customFormat="false" ht="15" hidden="false" customHeight="false" outlineLevel="0" collapsed="false">
      <c r="A728" s="42"/>
      <c r="B728" s="42"/>
      <c r="C728" s="45" t="str">
        <f aca="false">IF(B728="","",IFERROR(INDEX('Master Database'!$D$5:$D$600,MATCH(B728,'Master Database'!$A$5:$A$600,0)),"(row not found)"))</f>
        <v/>
      </c>
      <c r="D728" s="45" t="str">
        <f aca="false">IF(B728="","",IFERROR(INDEX('Master Database'!$B$5:$B$600,MATCH(B728,'Master Database'!$A$5:$A$600,0)),"(row not found)"))</f>
        <v/>
      </c>
      <c r="E728" s="42"/>
      <c r="F728" s="45" t="str">
        <f aca="false">IF(E728="","",IFERROR(INDEX(Vendor_Register!$B$5:$B$205,MATCH(E728,Vendor_Register!$A$5:$A$205,0)),"(not in register)"))</f>
        <v/>
      </c>
      <c r="G728" s="45" t="str">
        <f aca="false">IF(E728="","",IFERROR(INDEX(Vendor_Register!$E$5:$E$205,MATCH(E728,Vendor_Register!$A$5:$A$205,0)),"(not in register)"))</f>
        <v/>
      </c>
      <c r="H728" s="42"/>
      <c r="I728" s="42"/>
      <c r="J728" s="42"/>
      <c r="K728" s="42"/>
      <c r="L728" s="42"/>
      <c r="M728" s="46"/>
      <c r="N728" s="42"/>
      <c r="O728" s="47" t="str">
        <f aca="false">IF(NOT(ISNUMBER(M728)),"",IFERROR(IF(L728="EUR",M728,IF(L728="IRR",M728/INDEX('Assumptions &amp; FX Reference'!$C$5:$C$25,MATCH(H728,'Assumptions &amp; FX Reference'!$A$5:$A$25,0)),IF(L728="USD",M728*INDEX('Assumptions &amp; FX Reference'!$B$5:$B$25,MATCH(H728,'Assumptions &amp; FX Reference'!$A$5:$A$25,0))/INDEX('Assumptions &amp; FX Reference'!$C$5:$C$25,MATCH(H728,'Assumptions &amp; FX Reference'!$A$5:$A$25,0)),""))),"(FX missing)"))</f>
        <v/>
      </c>
      <c r="P728" s="42"/>
      <c r="Q728" s="42"/>
      <c r="R728" s="42"/>
      <c r="S728" s="42"/>
      <c r="T728" s="42"/>
      <c r="U728" s="42"/>
      <c r="V728" s="42"/>
    </row>
    <row r="729" customFormat="false" ht="15" hidden="false" customHeight="false" outlineLevel="0" collapsed="false">
      <c r="A729" s="42"/>
      <c r="B729" s="42"/>
      <c r="C729" s="45" t="str">
        <f aca="false">IF(B729="","",IFERROR(INDEX('Master Database'!$D$5:$D$600,MATCH(B729,'Master Database'!$A$5:$A$600,0)),"(row not found)"))</f>
        <v/>
      </c>
      <c r="D729" s="45" t="str">
        <f aca="false">IF(B729="","",IFERROR(INDEX('Master Database'!$B$5:$B$600,MATCH(B729,'Master Database'!$A$5:$A$600,0)),"(row not found)"))</f>
        <v/>
      </c>
      <c r="E729" s="42"/>
      <c r="F729" s="45" t="str">
        <f aca="false">IF(E729="","",IFERROR(INDEX(Vendor_Register!$B$5:$B$205,MATCH(E729,Vendor_Register!$A$5:$A$205,0)),"(not in register)"))</f>
        <v/>
      </c>
      <c r="G729" s="45" t="str">
        <f aca="false">IF(E729="","",IFERROR(INDEX(Vendor_Register!$E$5:$E$205,MATCH(E729,Vendor_Register!$A$5:$A$205,0)),"(not in register)"))</f>
        <v/>
      </c>
      <c r="H729" s="42"/>
      <c r="I729" s="42"/>
      <c r="J729" s="42"/>
      <c r="K729" s="42"/>
      <c r="L729" s="42"/>
      <c r="M729" s="46"/>
      <c r="N729" s="42"/>
      <c r="O729" s="47" t="str">
        <f aca="false">IF(NOT(ISNUMBER(M729)),"",IFERROR(IF(L729="EUR",M729,IF(L729="IRR",M729/INDEX('Assumptions &amp; FX Reference'!$C$5:$C$25,MATCH(H729,'Assumptions &amp; FX Reference'!$A$5:$A$25,0)),IF(L729="USD",M729*INDEX('Assumptions &amp; FX Reference'!$B$5:$B$25,MATCH(H729,'Assumptions &amp; FX Reference'!$A$5:$A$25,0))/INDEX('Assumptions &amp; FX Reference'!$C$5:$C$25,MATCH(H729,'Assumptions &amp; FX Reference'!$A$5:$A$25,0)),""))),"(FX missing)"))</f>
        <v/>
      </c>
      <c r="P729" s="42"/>
      <c r="Q729" s="42"/>
      <c r="R729" s="42"/>
      <c r="S729" s="42"/>
      <c r="T729" s="42"/>
      <c r="U729" s="42"/>
      <c r="V729" s="42"/>
    </row>
    <row r="730" customFormat="false" ht="15" hidden="false" customHeight="false" outlineLevel="0" collapsed="false">
      <c r="A730" s="42"/>
      <c r="B730" s="42"/>
      <c r="C730" s="45" t="str">
        <f aca="false">IF(B730="","",IFERROR(INDEX('Master Database'!$D$5:$D$600,MATCH(B730,'Master Database'!$A$5:$A$600,0)),"(row not found)"))</f>
        <v/>
      </c>
      <c r="D730" s="45" t="str">
        <f aca="false">IF(B730="","",IFERROR(INDEX('Master Database'!$B$5:$B$600,MATCH(B730,'Master Database'!$A$5:$A$600,0)),"(row not found)"))</f>
        <v/>
      </c>
      <c r="E730" s="42"/>
      <c r="F730" s="45" t="str">
        <f aca="false">IF(E730="","",IFERROR(INDEX(Vendor_Register!$B$5:$B$205,MATCH(E730,Vendor_Register!$A$5:$A$205,0)),"(not in register)"))</f>
        <v/>
      </c>
      <c r="G730" s="45" t="str">
        <f aca="false">IF(E730="","",IFERROR(INDEX(Vendor_Register!$E$5:$E$205,MATCH(E730,Vendor_Register!$A$5:$A$205,0)),"(not in register)"))</f>
        <v/>
      </c>
      <c r="H730" s="42"/>
      <c r="I730" s="42"/>
      <c r="J730" s="42"/>
      <c r="K730" s="42"/>
      <c r="L730" s="42"/>
      <c r="M730" s="46"/>
      <c r="N730" s="42"/>
      <c r="O730" s="47" t="str">
        <f aca="false">IF(NOT(ISNUMBER(M730)),"",IFERROR(IF(L730="EUR",M730,IF(L730="IRR",M730/INDEX('Assumptions &amp; FX Reference'!$C$5:$C$25,MATCH(H730,'Assumptions &amp; FX Reference'!$A$5:$A$25,0)),IF(L730="USD",M730*INDEX('Assumptions &amp; FX Reference'!$B$5:$B$25,MATCH(H730,'Assumptions &amp; FX Reference'!$A$5:$A$25,0))/INDEX('Assumptions &amp; FX Reference'!$C$5:$C$25,MATCH(H730,'Assumptions &amp; FX Reference'!$A$5:$A$25,0)),""))),"(FX missing)"))</f>
        <v/>
      </c>
      <c r="P730" s="42"/>
      <c r="Q730" s="42"/>
      <c r="R730" s="42"/>
      <c r="S730" s="42"/>
      <c r="T730" s="42"/>
      <c r="U730" s="42"/>
      <c r="V730" s="42"/>
    </row>
    <row r="731" customFormat="false" ht="15" hidden="false" customHeight="false" outlineLevel="0" collapsed="false">
      <c r="A731" s="42"/>
      <c r="B731" s="42"/>
      <c r="C731" s="45" t="str">
        <f aca="false">IF(B731="","",IFERROR(INDEX('Master Database'!$D$5:$D$600,MATCH(B731,'Master Database'!$A$5:$A$600,0)),"(row not found)"))</f>
        <v/>
      </c>
      <c r="D731" s="45" t="str">
        <f aca="false">IF(B731="","",IFERROR(INDEX('Master Database'!$B$5:$B$600,MATCH(B731,'Master Database'!$A$5:$A$600,0)),"(row not found)"))</f>
        <v/>
      </c>
      <c r="E731" s="42"/>
      <c r="F731" s="45" t="str">
        <f aca="false">IF(E731="","",IFERROR(INDEX(Vendor_Register!$B$5:$B$205,MATCH(E731,Vendor_Register!$A$5:$A$205,0)),"(not in register)"))</f>
        <v/>
      </c>
      <c r="G731" s="45" t="str">
        <f aca="false">IF(E731="","",IFERROR(INDEX(Vendor_Register!$E$5:$E$205,MATCH(E731,Vendor_Register!$A$5:$A$205,0)),"(not in register)"))</f>
        <v/>
      </c>
      <c r="H731" s="42"/>
      <c r="I731" s="42"/>
      <c r="J731" s="42"/>
      <c r="K731" s="42"/>
      <c r="L731" s="42"/>
      <c r="M731" s="46"/>
      <c r="N731" s="42"/>
      <c r="O731" s="47" t="str">
        <f aca="false">IF(NOT(ISNUMBER(M731)),"",IFERROR(IF(L731="EUR",M731,IF(L731="IRR",M731/INDEX('Assumptions &amp; FX Reference'!$C$5:$C$25,MATCH(H731,'Assumptions &amp; FX Reference'!$A$5:$A$25,0)),IF(L731="USD",M731*INDEX('Assumptions &amp; FX Reference'!$B$5:$B$25,MATCH(H731,'Assumptions &amp; FX Reference'!$A$5:$A$25,0))/INDEX('Assumptions &amp; FX Reference'!$C$5:$C$25,MATCH(H731,'Assumptions &amp; FX Reference'!$A$5:$A$25,0)),""))),"(FX missing)"))</f>
        <v/>
      </c>
      <c r="P731" s="42"/>
      <c r="Q731" s="42"/>
      <c r="R731" s="42"/>
      <c r="S731" s="42"/>
      <c r="T731" s="42"/>
      <c r="U731" s="42"/>
      <c r="V731" s="42"/>
    </row>
    <row r="732" customFormat="false" ht="15" hidden="false" customHeight="false" outlineLevel="0" collapsed="false">
      <c r="A732" s="42"/>
      <c r="B732" s="42"/>
      <c r="C732" s="45" t="str">
        <f aca="false">IF(B732="","",IFERROR(INDEX('Master Database'!$D$5:$D$600,MATCH(B732,'Master Database'!$A$5:$A$600,0)),"(row not found)"))</f>
        <v/>
      </c>
      <c r="D732" s="45" t="str">
        <f aca="false">IF(B732="","",IFERROR(INDEX('Master Database'!$B$5:$B$600,MATCH(B732,'Master Database'!$A$5:$A$600,0)),"(row not found)"))</f>
        <v/>
      </c>
      <c r="E732" s="42"/>
      <c r="F732" s="45" t="str">
        <f aca="false">IF(E732="","",IFERROR(INDEX(Vendor_Register!$B$5:$B$205,MATCH(E732,Vendor_Register!$A$5:$A$205,0)),"(not in register)"))</f>
        <v/>
      </c>
      <c r="G732" s="45" t="str">
        <f aca="false">IF(E732="","",IFERROR(INDEX(Vendor_Register!$E$5:$E$205,MATCH(E732,Vendor_Register!$A$5:$A$205,0)),"(not in register)"))</f>
        <v/>
      </c>
      <c r="H732" s="42"/>
      <c r="I732" s="42"/>
      <c r="J732" s="42"/>
      <c r="K732" s="42"/>
      <c r="L732" s="42"/>
      <c r="M732" s="46"/>
      <c r="N732" s="42"/>
      <c r="O732" s="47" t="str">
        <f aca="false">IF(NOT(ISNUMBER(M732)),"",IFERROR(IF(L732="EUR",M732,IF(L732="IRR",M732/INDEX('Assumptions &amp; FX Reference'!$C$5:$C$25,MATCH(H732,'Assumptions &amp; FX Reference'!$A$5:$A$25,0)),IF(L732="USD",M732*INDEX('Assumptions &amp; FX Reference'!$B$5:$B$25,MATCH(H732,'Assumptions &amp; FX Reference'!$A$5:$A$25,0))/INDEX('Assumptions &amp; FX Reference'!$C$5:$C$25,MATCH(H732,'Assumptions &amp; FX Reference'!$A$5:$A$25,0)),""))),"(FX missing)"))</f>
        <v/>
      </c>
      <c r="P732" s="42"/>
      <c r="Q732" s="42"/>
      <c r="R732" s="42"/>
      <c r="S732" s="42"/>
      <c r="T732" s="42"/>
      <c r="U732" s="42"/>
      <c r="V732" s="42"/>
    </row>
    <row r="733" customFormat="false" ht="15" hidden="false" customHeight="false" outlineLevel="0" collapsed="false">
      <c r="A733" s="42"/>
      <c r="B733" s="42"/>
      <c r="C733" s="45" t="str">
        <f aca="false">IF(B733="","",IFERROR(INDEX('Master Database'!$D$5:$D$600,MATCH(B733,'Master Database'!$A$5:$A$600,0)),"(row not found)"))</f>
        <v/>
      </c>
      <c r="D733" s="45" t="str">
        <f aca="false">IF(B733="","",IFERROR(INDEX('Master Database'!$B$5:$B$600,MATCH(B733,'Master Database'!$A$5:$A$600,0)),"(row not found)"))</f>
        <v/>
      </c>
      <c r="E733" s="42"/>
      <c r="F733" s="45" t="str">
        <f aca="false">IF(E733="","",IFERROR(INDEX(Vendor_Register!$B$5:$B$205,MATCH(E733,Vendor_Register!$A$5:$A$205,0)),"(not in register)"))</f>
        <v/>
      </c>
      <c r="G733" s="45" t="str">
        <f aca="false">IF(E733="","",IFERROR(INDEX(Vendor_Register!$E$5:$E$205,MATCH(E733,Vendor_Register!$A$5:$A$205,0)),"(not in register)"))</f>
        <v/>
      </c>
      <c r="H733" s="42"/>
      <c r="I733" s="42"/>
      <c r="J733" s="42"/>
      <c r="K733" s="42"/>
      <c r="L733" s="42"/>
      <c r="M733" s="46"/>
      <c r="N733" s="42"/>
      <c r="O733" s="47" t="str">
        <f aca="false">IF(NOT(ISNUMBER(M733)),"",IFERROR(IF(L733="EUR",M733,IF(L733="IRR",M733/INDEX('Assumptions &amp; FX Reference'!$C$5:$C$25,MATCH(H733,'Assumptions &amp; FX Reference'!$A$5:$A$25,0)),IF(L733="USD",M733*INDEX('Assumptions &amp; FX Reference'!$B$5:$B$25,MATCH(H733,'Assumptions &amp; FX Reference'!$A$5:$A$25,0))/INDEX('Assumptions &amp; FX Reference'!$C$5:$C$25,MATCH(H733,'Assumptions &amp; FX Reference'!$A$5:$A$25,0)),""))),"(FX missing)"))</f>
        <v/>
      </c>
      <c r="P733" s="42"/>
      <c r="Q733" s="42"/>
      <c r="R733" s="42"/>
      <c r="S733" s="42"/>
      <c r="T733" s="42"/>
      <c r="U733" s="42"/>
      <c r="V733" s="42"/>
    </row>
    <row r="734" customFormat="false" ht="15" hidden="false" customHeight="false" outlineLevel="0" collapsed="false">
      <c r="A734" s="42"/>
      <c r="B734" s="42"/>
      <c r="C734" s="45" t="str">
        <f aca="false">IF(B734="","",IFERROR(INDEX('Master Database'!$D$5:$D$600,MATCH(B734,'Master Database'!$A$5:$A$600,0)),"(row not found)"))</f>
        <v/>
      </c>
      <c r="D734" s="45" t="str">
        <f aca="false">IF(B734="","",IFERROR(INDEX('Master Database'!$B$5:$B$600,MATCH(B734,'Master Database'!$A$5:$A$600,0)),"(row not found)"))</f>
        <v/>
      </c>
      <c r="E734" s="42"/>
      <c r="F734" s="45" t="str">
        <f aca="false">IF(E734="","",IFERROR(INDEX(Vendor_Register!$B$5:$B$205,MATCH(E734,Vendor_Register!$A$5:$A$205,0)),"(not in register)"))</f>
        <v/>
      </c>
      <c r="G734" s="45" t="str">
        <f aca="false">IF(E734="","",IFERROR(INDEX(Vendor_Register!$E$5:$E$205,MATCH(E734,Vendor_Register!$A$5:$A$205,0)),"(not in register)"))</f>
        <v/>
      </c>
      <c r="H734" s="42"/>
      <c r="I734" s="42"/>
      <c r="J734" s="42"/>
      <c r="K734" s="42"/>
      <c r="L734" s="42"/>
      <c r="M734" s="46"/>
      <c r="N734" s="42"/>
      <c r="O734" s="47" t="str">
        <f aca="false">IF(NOT(ISNUMBER(M734)),"",IFERROR(IF(L734="EUR",M734,IF(L734="IRR",M734/INDEX('Assumptions &amp; FX Reference'!$C$5:$C$25,MATCH(H734,'Assumptions &amp; FX Reference'!$A$5:$A$25,0)),IF(L734="USD",M734*INDEX('Assumptions &amp; FX Reference'!$B$5:$B$25,MATCH(H734,'Assumptions &amp; FX Reference'!$A$5:$A$25,0))/INDEX('Assumptions &amp; FX Reference'!$C$5:$C$25,MATCH(H734,'Assumptions &amp; FX Reference'!$A$5:$A$25,0)),""))),"(FX missing)"))</f>
        <v/>
      </c>
      <c r="P734" s="42"/>
      <c r="Q734" s="42"/>
      <c r="R734" s="42"/>
      <c r="S734" s="42"/>
      <c r="T734" s="42"/>
      <c r="U734" s="42"/>
      <c r="V734" s="42"/>
    </row>
    <row r="735" customFormat="false" ht="15" hidden="false" customHeight="false" outlineLevel="0" collapsed="false">
      <c r="A735" s="42"/>
      <c r="B735" s="42"/>
      <c r="C735" s="45" t="str">
        <f aca="false">IF(B735="","",IFERROR(INDEX('Master Database'!$D$5:$D$600,MATCH(B735,'Master Database'!$A$5:$A$600,0)),"(row not found)"))</f>
        <v/>
      </c>
      <c r="D735" s="45" t="str">
        <f aca="false">IF(B735="","",IFERROR(INDEX('Master Database'!$B$5:$B$600,MATCH(B735,'Master Database'!$A$5:$A$600,0)),"(row not found)"))</f>
        <v/>
      </c>
      <c r="E735" s="42"/>
      <c r="F735" s="45" t="str">
        <f aca="false">IF(E735="","",IFERROR(INDEX(Vendor_Register!$B$5:$B$205,MATCH(E735,Vendor_Register!$A$5:$A$205,0)),"(not in register)"))</f>
        <v/>
      </c>
      <c r="G735" s="45" t="str">
        <f aca="false">IF(E735="","",IFERROR(INDEX(Vendor_Register!$E$5:$E$205,MATCH(E735,Vendor_Register!$A$5:$A$205,0)),"(not in register)"))</f>
        <v/>
      </c>
      <c r="H735" s="42"/>
      <c r="I735" s="42"/>
      <c r="J735" s="42"/>
      <c r="K735" s="42"/>
      <c r="L735" s="42"/>
      <c r="M735" s="46"/>
      <c r="N735" s="42"/>
      <c r="O735" s="47" t="str">
        <f aca="false">IF(NOT(ISNUMBER(M735)),"",IFERROR(IF(L735="EUR",M735,IF(L735="IRR",M735/INDEX('Assumptions &amp; FX Reference'!$C$5:$C$25,MATCH(H735,'Assumptions &amp; FX Reference'!$A$5:$A$25,0)),IF(L735="USD",M735*INDEX('Assumptions &amp; FX Reference'!$B$5:$B$25,MATCH(H735,'Assumptions &amp; FX Reference'!$A$5:$A$25,0))/INDEX('Assumptions &amp; FX Reference'!$C$5:$C$25,MATCH(H735,'Assumptions &amp; FX Reference'!$A$5:$A$25,0)),""))),"(FX missing)"))</f>
        <v/>
      </c>
      <c r="P735" s="42"/>
      <c r="Q735" s="42"/>
      <c r="R735" s="42"/>
      <c r="S735" s="42"/>
      <c r="T735" s="42"/>
      <c r="U735" s="42"/>
      <c r="V735" s="42"/>
    </row>
    <row r="736" customFormat="false" ht="15" hidden="false" customHeight="false" outlineLevel="0" collapsed="false">
      <c r="A736" s="42"/>
      <c r="B736" s="42"/>
      <c r="C736" s="45" t="str">
        <f aca="false">IF(B736="","",IFERROR(INDEX('Master Database'!$D$5:$D$600,MATCH(B736,'Master Database'!$A$5:$A$600,0)),"(row not found)"))</f>
        <v/>
      </c>
      <c r="D736" s="45" t="str">
        <f aca="false">IF(B736="","",IFERROR(INDEX('Master Database'!$B$5:$B$600,MATCH(B736,'Master Database'!$A$5:$A$600,0)),"(row not found)"))</f>
        <v/>
      </c>
      <c r="E736" s="42"/>
      <c r="F736" s="45" t="str">
        <f aca="false">IF(E736="","",IFERROR(INDEX(Vendor_Register!$B$5:$B$205,MATCH(E736,Vendor_Register!$A$5:$A$205,0)),"(not in register)"))</f>
        <v/>
      </c>
      <c r="G736" s="45" t="str">
        <f aca="false">IF(E736="","",IFERROR(INDEX(Vendor_Register!$E$5:$E$205,MATCH(E736,Vendor_Register!$A$5:$A$205,0)),"(not in register)"))</f>
        <v/>
      </c>
      <c r="H736" s="42"/>
      <c r="I736" s="42"/>
      <c r="J736" s="42"/>
      <c r="K736" s="42"/>
      <c r="L736" s="42"/>
      <c r="M736" s="46"/>
      <c r="N736" s="42"/>
      <c r="O736" s="47" t="str">
        <f aca="false">IF(NOT(ISNUMBER(M736)),"",IFERROR(IF(L736="EUR",M736,IF(L736="IRR",M736/INDEX('Assumptions &amp; FX Reference'!$C$5:$C$25,MATCH(H736,'Assumptions &amp; FX Reference'!$A$5:$A$25,0)),IF(L736="USD",M736*INDEX('Assumptions &amp; FX Reference'!$B$5:$B$25,MATCH(H736,'Assumptions &amp; FX Reference'!$A$5:$A$25,0))/INDEX('Assumptions &amp; FX Reference'!$C$5:$C$25,MATCH(H736,'Assumptions &amp; FX Reference'!$A$5:$A$25,0)),""))),"(FX missing)"))</f>
        <v/>
      </c>
      <c r="P736" s="42"/>
      <c r="Q736" s="42"/>
      <c r="R736" s="42"/>
      <c r="S736" s="42"/>
      <c r="T736" s="42"/>
      <c r="U736" s="42"/>
      <c r="V736" s="42"/>
    </row>
    <row r="737" customFormat="false" ht="15" hidden="false" customHeight="false" outlineLevel="0" collapsed="false">
      <c r="A737" s="42"/>
      <c r="B737" s="42"/>
      <c r="C737" s="45" t="str">
        <f aca="false">IF(B737="","",IFERROR(INDEX('Master Database'!$D$5:$D$600,MATCH(B737,'Master Database'!$A$5:$A$600,0)),"(row not found)"))</f>
        <v/>
      </c>
      <c r="D737" s="45" t="str">
        <f aca="false">IF(B737="","",IFERROR(INDEX('Master Database'!$B$5:$B$600,MATCH(B737,'Master Database'!$A$5:$A$600,0)),"(row not found)"))</f>
        <v/>
      </c>
      <c r="E737" s="42"/>
      <c r="F737" s="45" t="str">
        <f aca="false">IF(E737="","",IFERROR(INDEX(Vendor_Register!$B$5:$B$205,MATCH(E737,Vendor_Register!$A$5:$A$205,0)),"(not in register)"))</f>
        <v/>
      </c>
      <c r="G737" s="45" t="str">
        <f aca="false">IF(E737="","",IFERROR(INDEX(Vendor_Register!$E$5:$E$205,MATCH(E737,Vendor_Register!$A$5:$A$205,0)),"(not in register)"))</f>
        <v/>
      </c>
      <c r="H737" s="42"/>
      <c r="I737" s="42"/>
      <c r="J737" s="42"/>
      <c r="K737" s="42"/>
      <c r="L737" s="42"/>
      <c r="M737" s="46"/>
      <c r="N737" s="42"/>
      <c r="O737" s="47" t="str">
        <f aca="false">IF(NOT(ISNUMBER(M737)),"",IFERROR(IF(L737="EUR",M737,IF(L737="IRR",M737/INDEX('Assumptions &amp; FX Reference'!$C$5:$C$25,MATCH(H737,'Assumptions &amp; FX Reference'!$A$5:$A$25,0)),IF(L737="USD",M737*INDEX('Assumptions &amp; FX Reference'!$B$5:$B$25,MATCH(H737,'Assumptions &amp; FX Reference'!$A$5:$A$25,0))/INDEX('Assumptions &amp; FX Reference'!$C$5:$C$25,MATCH(H737,'Assumptions &amp; FX Reference'!$A$5:$A$25,0)),""))),"(FX missing)"))</f>
        <v/>
      </c>
      <c r="P737" s="42"/>
      <c r="Q737" s="42"/>
      <c r="R737" s="42"/>
      <c r="S737" s="42"/>
      <c r="T737" s="42"/>
      <c r="U737" s="42"/>
      <c r="V737" s="42"/>
    </row>
    <row r="738" customFormat="false" ht="15" hidden="false" customHeight="false" outlineLevel="0" collapsed="false">
      <c r="A738" s="42"/>
      <c r="B738" s="42"/>
      <c r="C738" s="45" t="str">
        <f aca="false">IF(B738="","",IFERROR(INDEX('Master Database'!$D$5:$D$600,MATCH(B738,'Master Database'!$A$5:$A$600,0)),"(row not found)"))</f>
        <v/>
      </c>
      <c r="D738" s="45" t="str">
        <f aca="false">IF(B738="","",IFERROR(INDEX('Master Database'!$B$5:$B$600,MATCH(B738,'Master Database'!$A$5:$A$600,0)),"(row not found)"))</f>
        <v/>
      </c>
      <c r="E738" s="42"/>
      <c r="F738" s="45" t="str">
        <f aca="false">IF(E738="","",IFERROR(INDEX(Vendor_Register!$B$5:$B$205,MATCH(E738,Vendor_Register!$A$5:$A$205,0)),"(not in register)"))</f>
        <v/>
      </c>
      <c r="G738" s="45" t="str">
        <f aca="false">IF(E738="","",IFERROR(INDEX(Vendor_Register!$E$5:$E$205,MATCH(E738,Vendor_Register!$A$5:$A$205,0)),"(not in register)"))</f>
        <v/>
      </c>
      <c r="H738" s="42"/>
      <c r="I738" s="42"/>
      <c r="J738" s="42"/>
      <c r="K738" s="42"/>
      <c r="L738" s="42"/>
      <c r="M738" s="46"/>
      <c r="N738" s="42"/>
      <c r="O738" s="47" t="str">
        <f aca="false">IF(NOT(ISNUMBER(M738)),"",IFERROR(IF(L738="EUR",M738,IF(L738="IRR",M738/INDEX('Assumptions &amp; FX Reference'!$C$5:$C$25,MATCH(H738,'Assumptions &amp; FX Reference'!$A$5:$A$25,0)),IF(L738="USD",M738*INDEX('Assumptions &amp; FX Reference'!$B$5:$B$25,MATCH(H738,'Assumptions &amp; FX Reference'!$A$5:$A$25,0))/INDEX('Assumptions &amp; FX Reference'!$C$5:$C$25,MATCH(H738,'Assumptions &amp; FX Reference'!$A$5:$A$25,0)),""))),"(FX missing)"))</f>
        <v/>
      </c>
      <c r="P738" s="42"/>
      <c r="Q738" s="42"/>
      <c r="R738" s="42"/>
      <c r="S738" s="42"/>
      <c r="T738" s="42"/>
      <c r="U738" s="42"/>
      <c r="V738" s="42"/>
    </row>
    <row r="739" customFormat="false" ht="15" hidden="false" customHeight="false" outlineLevel="0" collapsed="false">
      <c r="A739" s="42"/>
      <c r="B739" s="42"/>
      <c r="C739" s="45" t="str">
        <f aca="false">IF(B739="","",IFERROR(INDEX('Master Database'!$D$5:$D$600,MATCH(B739,'Master Database'!$A$5:$A$600,0)),"(row not found)"))</f>
        <v/>
      </c>
      <c r="D739" s="45" t="str">
        <f aca="false">IF(B739="","",IFERROR(INDEX('Master Database'!$B$5:$B$600,MATCH(B739,'Master Database'!$A$5:$A$600,0)),"(row not found)"))</f>
        <v/>
      </c>
      <c r="E739" s="42"/>
      <c r="F739" s="45" t="str">
        <f aca="false">IF(E739="","",IFERROR(INDEX(Vendor_Register!$B$5:$B$205,MATCH(E739,Vendor_Register!$A$5:$A$205,0)),"(not in register)"))</f>
        <v/>
      </c>
      <c r="G739" s="45" t="str">
        <f aca="false">IF(E739="","",IFERROR(INDEX(Vendor_Register!$E$5:$E$205,MATCH(E739,Vendor_Register!$A$5:$A$205,0)),"(not in register)"))</f>
        <v/>
      </c>
      <c r="H739" s="42"/>
      <c r="I739" s="42"/>
      <c r="J739" s="42"/>
      <c r="K739" s="42"/>
      <c r="L739" s="42"/>
      <c r="M739" s="46"/>
      <c r="N739" s="42"/>
      <c r="O739" s="47" t="str">
        <f aca="false">IF(NOT(ISNUMBER(M739)),"",IFERROR(IF(L739="EUR",M739,IF(L739="IRR",M739/INDEX('Assumptions &amp; FX Reference'!$C$5:$C$25,MATCH(H739,'Assumptions &amp; FX Reference'!$A$5:$A$25,0)),IF(L739="USD",M739*INDEX('Assumptions &amp; FX Reference'!$B$5:$B$25,MATCH(H739,'Assumptions &amp; FX Reference'!$A$5:$A$25,0))/INDEX('Assumptions &amp; FX Reference'!$C$5:$C$25,MATCH(H739,'Assumptions &amp; FX Reference'!$A$5:$A$25,0)),""))),"(FX missing)"))</f>
        <v/>
      </c>
      <c r="P739" s="42"/>
      <c r="Q739" s="42"/>
      <c r="R739" s="42"/>
      <c r="S739" s="42"/>
      <c r="T739" s="42"/>
      <c r="U739" s="42"/>
      <c r="V739" s="42"/>
    </row>
    <row r="740" customFormat="false" ht="15" hidden="false" customHeight="false" outlineLevel="0" collapsed="false">
      <c r="A740" s="42"/>
      <c r="B740" s="42"/>
      <c r="C740" s="45" t="str">
        <f aca="false">IF(B740="","",IFERROR(INDEX('Master Database'!$D$5:$D$600,MATCH(B740,'Master Database'!$A$5:$A$600,0)),"(row not found)"))</f>
        <v/>
      </c>
      <c r="D740" s="45" t="str">
        <f aca="false">IF(B740="","",IFERROR(INDEX('Master Database'!$B$5:$B$600,MATCH(B740,'Master Database'!$A$5:$A$600,0)),"(row not found)"))</f>
        <v/>
      </c>
      <c r="E740" s="42"/>
      <c r="F740" s="45" t="str">
        <f aca="false">IF(E740="","",IFERROR(INDEX(Vendor_Register!$B$5:$B$205,MATCH(E740,Vendor_Register!$A$5:$A$205,0)),"(not in register)"))</f>
        <v/>
      </c>
      <c r="G740" s="45" t="str">
        <f aca="false">IF(E740="","",IFERROR(INDEX(Vendor_Register!$E$5:$E$205,MATCH(E740,Vendor_Register!$A$5:$A$205,0)),"(not in register)"))</f>
        <v/>
      </c>
      <c r="H740" s="42"/>
      <c r="I740" s="42"/>
      <c r="J740" s="42"/>
      <c r="K740" s="42"/>
      <c r="L740" s="42"/>
      <c r="M740" s="46"/>
      <c r="N740" s="42"/>
      <c r="O740" s="47" t="str">
        <f aca="false">IF(NOT(ISNUMBER(M740)),"",IFERROR(IF(L740="EUR",M740,IF(L740="IRR",M740/INDEX('Assumptions &amp; FX Reference'!$C$5:$C$25,MATCH(H740,'Assumptions &amp; FX Reference'!$A$5:$A$25,0)),IF(L740="USD",M740*INDEX('Assumptions &amp; FX Reference'!$B$5:$B$25,MATCH(H740,'Assumptions &amp; FX Reference'!$A$5:$A$25,0))/INDEX('Assumptions &amp; FX Reference'!$C$5:$C$25,MATCH(H740,'Assumptions &amp; FX Reference'!$A$5:$A$25,0)),""))),"(FX missing)"))</f>
        <v/>
      </c>
      <c r="P740" s="42"/>
      <c r="Q740" s="42"/>
      <c r="R740" s="42"/>
      <c r="S740" s="42"/>
      <c r="T740" s="42"/>
      <c r="U740" s="42"/>
      <c r="V740" s="42"/>
    </row>
    <row r="741" customFormat="false" ht="15" hidden="false" customHeight="false" outlineLevel="0" collapsed="false">
      <c r="A741" s="42"/>
      <c r="B741" s="42"/>
      <c r="C741" s="45" t="str">
        <f aca="false">IF(B741="","",IFERROR(INDEX('Master Database'!$D$5:$D$600,MATCH(B741,'Master Database'!$A$5:$A$600,0)),"(row not found)"))</f>
        <v/>
      </c>
      <c r="D741" s="45" t="str">
        <f aca="false">IF(B741="","",IFERROR(INDEX('Master Database'!$B$5:$B$600,MATCH(B741,'Master Database'!$A$5:$A$600,0)),"(row not found)"))</f>
        <v/>
      </c>
      <c r="E741" s="42"/>
      <c r="F741" s="45" t="str">
        <f aca="false">IF(E741="","",IFERROR(INDEX(Vendor_Register!$B$5:$B$205,MATCH(E741,Vendor_Register!$A$5:$A$205,0)),"(not in register)"))</f>
        <v/>
      </c>
      <c r="G741" s="45" t="str">
        <f aca="false">IF(E741="","",IFERROR(INDEX(Vendor_Register!$E$5:$E$205,MATCH(E741,Vendor_Register!$A$5:$A$205,0)),"(not in register)"))</f>
        <v/>
      </c>
      <c r="H741" s="42"/>
      <c r="I741" s="42"/>
      <c r="J741" s="42"/>
      <c r="K741" s="42"/>
      <c r="L741" s="42"/>
      <c r="M741" s="46"/>
      <c r="N741" s="42"/>
      <c r="O741" s="47" t="str">
        <f aca="false">IF(NOT(ISNUMBER(M741)),"",IFERROR(IF(L741="EUR",M741,IF(L741="IRR",M741/INDEX('Assumptions &amp; FX Reference'!$C$5:$C$25,MATCH(H741,'Assumptions &amp; FX Reference'!$A$5:$A$25,0)),IF(L741="USD",M741*INDEX('Assumptions &amp; FX Reference'!$B$5:$B$25,MATCH(H741,'Assumptions &amp; FX Reference'!$A$5:$A$25,0))/INDEX('Assumptions &amp; FX Reference'!$C$5:$C$25,MATCH(H741,'Assumptions &amp; FX Reference'!$A$5:$A$25,0)),""))),"(FX missing)"))</f>
        <v/>
      </c>
      <c r="P741" s="42"/>
      <c r="Q741" s="42"/>
      <c r="R741" s="42"/>
      <c r="S741" s="42"/>
      <c r="T741" s="42"/>
      <c r="U741" s="42"/>
      <c r="V741" s="42"/>
    </row>
    <row r="742" customFormat="false" ht="15" hidden="false" customHeight="false" outlineLevel="0" collapsed="false">
      <c r="A742" s="42"/>
      <c r="B742" s="42"/>
      <c r="C742" s="45" t="str">
        <f aca="false">IF(B742="","",IFERROR(INDEX('Master Database'!$D$5:$D$600,MATCH(B742,'Master Database'!$A$5:$A$600,0)),"(row not found)"))</f>
        <v/>
      </c>
      <c r="D742" s="45" t="str">
        <f aca="false">IF(B742="","",IFERROR(INDEX('Master Database'!$B$5:$B$600,MATCH(B742,'Master Database'!$A$5:$A$600,0)),"(row not found)"))</f>
        <v/>
      </c>
      <c r="E742" s="42"/>
      <c r="F742" s="45" t="str">
        <f aca="false">IF(E742="","",IFERROR(INDEX(Vendor_Register!$B$5:$B$205,MATCH(E742,Vendor_Register!$A$5:$A$205,0)),"(not in register)"))</f>
        <v/>
      </c>
      <c r="G742" s="45" t="str">
        <f aca="false">IF(E742="","",IFERROR(INDEX(Vendor_Register!$E$5:$E$205,MATCH(E742,Vendor_Register!$A$5:$A$205,0)),"(not in register)"))</f>
        <v/>
      </c>
      <c r="H742" s="42"/>
      <c r="I742" s="42"/>
      <c r="J742" s="42"/>
      <c r="K742" s="42"/>
      <c r="L742" s="42"/>
      <c r="M742" s="46"/>
      <c r="N742" s="42"/>
      <c r="O742" s="47" t="str">
        <f aca="false">IF(NOT(ISNUMBER(M742)),"",IFERROR(IF(L742="EUR",M742,IF(L742="IRR",M742/INDEX('Assumptions &amp; FX Reference'!$C$5:$C$25,MATCH(H742,'Assumptions &amp; FX Reference'!$A$5:$A$25,0)),IF(L742="USD",M742*INDEX('Assumptions &amp; FX Reference'!$B$5:$B$25,MATCH(H742,'Assumptions &amp; FX Reference'!$A$5:$A$25,0))/INDEX('Assumptions &amp; FX Reference'!$C$5:$C$25,MATCH(H742,'Assumptions &amp; FX Reference'!$A$5:$A$25,0)),""))),"(FX missing)"))</f>
        <v/>
      </c>
      <c r="P742" s="42"/>
      <c r="Q742" s="42"/>
      <c r="R742" s="42"/>
      <c r="S742" s="42"/>
      <c r="T742" s="42"/>
      <c r="U742" s="42"/>
      <c r="V742" s="42"/>
    </row>
    <row r="743" customFormat="false" ht="15" hidden="false" customHeight="false" outlineLevel="0" collapsed="false">
      <c r="A743" s="42"/>
      <c r="B743" s="42"/>
      <c r="C743" s="45" t="str">
        <f aca="false">IF(B743="","",IFERROR(INDEX('Master Database'!$D$5:$D$600,MATCH(B743,'Master Database'!$A$5:$A$600,0)),"(row not found)"))</f>
        <v/>
      </c>
      <c r="D743" s="45" t="str">
        <f aca="false">IF(B743="","",IFERROR(INDEX('Master Database'!$B$5:$B$600,MATCH(B743,'Master Database'!$A$5:$A$600,0)),"(row not found)"))</f>
        <v/>
      </c>
      <c r="E743" s="42"/>
      <c r="F743" s="45" t="str">
        <f aca="false">IF(E743="","",IFERROR(INDEX(Vendor_Register!$B$5:$B$205,MATCH(E743,Vendor_Register!$A$5:$A$205,0)),"(not in register)"))</f>
        <v/>
      </c>
      <c r="G743" s="45" t="str">
        <f aca="false">IF(E743="","",IFERROR(INDEX(Vendor_Register!$E$5:$E$205,MATCH(E743,Vendor_Register!$A$5:$A$205,0)),"(not in register)"))</f>
        <v/>
      </c>
      <c r="H743" s="42"/>
      <c r="I743" s="42"/>
      <c r="J743" s="42"/>
      <c r="K743" s="42"/>
      <c r="L743" s="42"/>
      <c r="M743" s="46"/>
      <c r="N743" s="42"/>
      <c r="O743" s="47" t="str">
        <f aca="false">IF(NOT(ISNUMBER(M743)),"",IFERROR(IF(L743="EUR",M743,IF(L743="IRR",M743/INDEX('Assumptions &amp; FX Reference'!$C$5:$C$25,MATCH(H743,'Assumptions &amp; FX Reference'!$A$5:$A$25,0)),IF(L743="USD",M743*INDEX('Assumptions &amp; FX Reference'!$B$5:$B$25,MATCH(H743,'Assumptions &amp; FX Reference'!$A$5:$A$25,0))/INDEX('Assumptions &amp; FX Reference'!$C$5:$C$25,MATCH(H743,'Assumptions &amp; FX Reference'!$A$5:$A$25,0)),""))),"(FX missing)"))</f>
        <v/>
      </c>
      <c r="P743" s="42"/>
      <c r="Q743" s="42"/>
      <c r="R743" s="42"/>
      <c r="S743" s="42"/>
      <c r="T743" s="42"/>
      <c r="U743" s="42"/>
      <c r="V743" s="42"/>
    </row>
    <row r="744" customFormat="false" ht="15" hidden="false" customHeight="false" outlineLevel="0" collapsed="false">
      <c r="A744" s="42"/>
      <c r="B744" s="42"/>
      <c r="C744" s="45" t="str">
        <f aca="false">IF(B744="","",IFERROR(INDEX('Master Database'!$D$5:$D$600,MATCH(B744,'Master Database'!$A$5:$A$600,0)),"(row not found)"))</f>
        <v/>
      </c>
      <c r="D744" s="45" t="str">
        <f aca="false">IF(B744="","",IFERROR(INDEX('Master Database'!$B$5:$B$600,MATCH(B744,'Master Database'!$A$5:$A$600,0)),"(row not found)"))</f>
        <v/>
      </c>
      <c r="E744" s="42"/>
      <c r="F744" s="45" t="str">
        <f aca="false">IF(E744="","",IFERROR(INDEX(Vendor_Register!$B$5:$B$205,MATCH(E744,Vendor_Register!$A$5:$A$205,0)),"(not in register)"))</f>
        <v/>
      </c>
      <c r="G744" s="45" t="str">
        <f aca="false">IF(E744="","",IFERROR(INDEX(Vendor_Register!$E$5:$E$205,MATCH(E744,Vendor_Register!$A$5:$A$205,0)),"(not in register)"))</f>
        <v/>
      </c>
      <c r="H744" s="42"/>
      <c r="I744" s="42"/>
      <c r="J744" s="42"/>
      <c r="K744" s="42"/>
      <c r="L744" s="42"/>
      <c r="M744" s="46"/>
      <c r="N744" s="42"/>
      <c r="O744" s="47" t="str">
        <f aca="false">IF(NOT(ISNUMBER(M744)),"",IFERROR(IF(L744="EUR",M744,IF(L744="IRR",M744/INDEX('Assumptions &amp; FX Reference'!$C$5:$C$25,MATCH(H744,'Assumptions &amp; FX Reference'!$A$5:$A$25,0)),IF(L744="USD",M744*INDEX('Assumptions &amp; FX Reference'!$B$5:$B$25,MATCH(H744,'Assumptions &amp; FX Reference'!$A$5:$A$25,0))/INDEX('Assumptions &amp; FX Reference'!$C$5:$C$25,MATCH(H744,'Assumptions &amp; FX Reference'!$A$5:$A$25,0)),""))),"(FX missing)"))</f>
        <v/>
      </c>
      <c r="P744" s="42"/>
      <c r="Q744" s="42"/>
      <c r="R744" s="42"/>
      <c r="S744" s="42"/>
      <c r="T744" s="42"/>
      <c r="U744" s="42"/>
      <c r="V744" s="42"/>
    </row>
    <row r="745" customFormat="false" ht="15" hidden="false" customHeight="false" outlineLevel="0" collapsed="false">
      <c r="A745" s="42"/>
      <c r="B745" s="42"/>
      <c r="C745" s="45" t="str">
        <f aca="false">IF(B745="","",IFERROR(INDEX('Master Database'!$D$5:$D$600,MATCH(B745,'Master Database'!$A$5:$A$600,0)),"(row not found)"))</f>
        <v/>
      </c>
      <c r="D745" s="45" t="str">
        <f aca="false">IF(B745="","",IFERROR(INDEX('Master Database'!$B$5:$B$600,MATCH(B745,'Master Database'!$A$5:$A$600,0)),"(row not found)"))</f>
        <v/>
      </c>
      <c r="E745" s="42"/>
      <c r="F745" s="45" t="str">
        <f aca="false">IF(E745="","",IFERROR(INDEX(Vendor_Register!$B$5:$B$205,MATCH(E745,Vendor_Register!$A$5:$A$205,0)),"(not in register)"))</f>
        <v/>
      </c>
      <c r="G745" s="45" t="str">
        <f aca="false">IF(E745="","",IFERROR(INDEX(Vendor_Register!$E$5:$E$205,MATCH(E745,Vendor_Register!$A$5:$A$205,0)),"(not in register)"))</f>
        <v/>
      </c>
      <c r="H745" s="42"/>
      <c r="I745" s="42"/>
      <c r="J745" s="42"/>
      <c r="K745" s="42"/>
      <c r="L745" s="42"/>
      <c r="M745" s="46"/>
      <c r="N745" s="42"/>
      <c r="O745" s="47" t="str">
        <f aca="false">IF(NOT(ISNUMBER(M745)),"",IFERROR(IF(L745="EUR",M745,IF(L745="IRR",M745/INDEX('Assumptions &amp; FX Reference'!$C$5:$C$25,MATCH(H745,'Assumptions &amp; FX Reference'!$A$5:$A$25,0)),IF(L745="USD",M745*INDEX('Assumptions &amp; FX Reference'!$B$5:$B$25,MATCH(H745,'Assumptions &amp; FX Reference'!$A$5:$A$25,0))/INDEX('Assumptions &amp; FX Reference'!$C$5:$C$25,MATCH(H745,'Assumptions &amp; FX Reference'!$A$5:$A$25,0)),""))),"(FX missing)"))</f>
        <v/>
      </c>
      <c r="P745" s="42"/>
      <c r="Q745" s="42"/>
      <c r="R745" s="42"/>
      <c r="S745" s="42"/>
      <c r="T745" s="42"/>
      <c r="U745" s="42"/>
      <c r="V745" s="42"/>
    </row>
    <row r="746" customFormat="false" ht="15" hidden="false" customHeight="false" outlineLevel="0" collapsed="false">
      <c r="A746" s="42"/>
      <c r="B746" s="42"/>
      <c r="C746" s="45" t="str">
        <f aca="false">IF(B746="","",IFERROR(INDEX('Master Database'!$D$5:$D$600,MATCH(B746,'Master Database'!$A$5:$A$600,0)),"(row not found)"))</f>
        <v/>
      </c>
      <c r="D746" s="45" t="str">
        <f aca="false">IF(B746="","",IFERROR(INDEX('Master Database'!$B$5:$B$600,MATCH(B746,'Master Database'!$A$5:$A$600,0)),"(row not found)"))</f>
        <v/>
      </c>
      <c r="E746" s="42"/>
      <c r="F746" s="45" t="str">
        <f aca="false">IF(E746="","",IFERROR(INDEX(Vendor_Register!$B$5:$B$205,MATCH(E746,Vendor_Register!$A$5:$A$205,0)),"(not in register)"))</f>
        <v/>
      </c>
      <c r="G746" s="45" t="str">
        <f aca="false">IF(E746="","",IFERROR(INDEX(Vendor_Register!$E$5:$E$205,MATCH(E746,Vendor_Register!$A$5:$A$205,0)),"(not in register)"))</f>
        <v/>
      </c>
      <c r="H746" s="42"/>
      <c r="I746" s="42"/>
      <c r="J746" s="42"/>
      <c r="K746" s="42"/>
      <c r="L746" s="42"/>
      <c r="M746" s="46"/>
      <c r="N746" s="42"/>
      <c r="O746" s="47" t="str">
        <f aca="false">IF(NOT(ISNUMBER(M746)),"",IFERROR(IF(L746="EUR",M746,IF(L746="IRR",M746/INDEX('Assumptions &amp; FX Reference'!$C$5:$C$25,MATCH(H746,'Assumptions &amp; FX Reference'!$A$5:$A$25,0)),IF(L746="USD",M746*INDEX('Assumptions &amp; FX Reference'!$B$5:$B$25,MATCH(H746,'Assumptions &amp; FX Reference'!$A$5:$A$25,0))/INDEX('Assumptions &amp; FX Reference'!$C$5:$C$25,MATCH(H746,'Assumptions &amp; FX Reference'!$A$5:$A$25,0)),""))),"(FX missing)"))</f>
        <v/>
      </c>
      <c r="P746" s="42"/>
      <c r="Q746" s="42"/>
      <c r="R746" s="42"/>
      <c r="S746" s="42"/>
      <c r="T746" s="42"/>
      <c r="U746" s="42"/>
      <c r="V746" s="42"/>
    </row>
    <row r="747" customFormat="false" ht="15" hidden="false" customHeight="false" outlineLevel="0" collapsed="false">
      <c r="A747" s="42"/>
      <c r="B747" s="42"/>
      <c r="C747" s="45" t="str">
        <f aca="false">IF(B747="","",IFERROR(INDEX('Master Database'!$D$5:$D$600,MATCH(B747,'Master Database'!$A$5:$A$600,0)),"(row not found)"))</f>
        <v/>
      </c>
      <c r="D747" s="45" t="str">
        <f aca="false">IF(B747="","",IFERROR(INDEX('Master Database'!$B$5:$B$600,MATCH(B747,'Master Database'!$A$5:$A$600,0)),"(row not found)"))</f>
        <v/>
      </c>
      <c r="E747" s="42"/>
      <c r="F747" s="45" t="str">
        <f aca="false">IF(E747="","",IFERROR(INDEX(Vendor_Register!$B$5:$B$205,MATCH(E747,Vendor_Register!$A$5:$A$205,0)),"(not in register)"))</f>
        <v/>
      </c>
      <c r="G747" s="45" t="str">
        <f aca="false">IF(E747="","",IFERROR(INDEX(Vendor_Register!$E$5:$E$205,MATCH(E747,Vendor_Register!$A$5:$A$205,0)),"(not in register)"))</f>
        <v/>
      </c>
      <c r="H747" s="42"/>
      <c r="I747" s="42"/>
      <c r="J747" s="42"/>
      <c r="K747" s="42"/>
      <c r="L747" s="42"/>
      <c r="M747" s="46"/>
      <c r="N747" s="42"/>
      <c r="O747" s="47" t="str">
        <f aca="false">IF(NOT(ISNUMBER(M747)),"",IFERROR(IF(L747="EUR",M747,IF(L747="IRR",M747/INDEX('Assumptions &amp; FX Reference'!$C$5:$C$25,MATCH(H747,'Assumptions &amp; FX Reference'!$A$5:$A$25,0)),IF(L747="USD",M747*INDEX('Assumptions &amp; FX Reference'!$B$5:$B$25,MATCH(H747,'Assumptions &amp; FX Reference'!$A$5:$A$25,0))/INDEX('Assumptions &amp; FX Reference'!$C$5:$C$25,MATCH(H747,'Assumptions &amp; FX Reference'!$A$5:$A$25,0)),""))),"(FX missing)"))</f>
        <v/>
      </c>
      <c r="P747" s="42"/>
      <c r="Q747" s="42"/>
      <c r="R747" s="42"/>
      <c r="S747" s="42"/>
      <c r="T747" s="42"/>
      <c r="U747" s="42"/>
      <c r="V747" s="42"/>
    </row>
    <row r="748" customFormat="false" ht="15" hidden="false" customHeight="false" outlineLevel="0" collapsed="false">
      <c r="A748" s="42"/>
      <c r="B748" s="42"/>
      <c r="C748" s="45" t="str">
        <f aca="false">IF(B748="","",IFERROR(INDEX('Master Database'!$D$5:$D$600,MATCH(B748,'Master Database'!$A$5:$A$600,0)),"(row not found)"))</f>
        <v/>
      </c>
      <c r="D748" s="45" t="str">
        <f aca="false">IF(B748="","",IFERROR(INDEX('Master Database'!$B$5:$B$600,MATCH(B748,'Master Database'!$A$5:$A$600,0)),"(row not found)"))</f>
        <v/>
      </c>
      <c r="E748" s="42"/>
      <c r="F748" s="45" t="str">
        <f aca="false">IF(E748="","",IFERROR(INDEX(Vendor_Register!$B$5:$B$205,MATCH(E748,Vendor_Register!$A$5:$A$205,0)),"(not in register)"))</f>
        <v/>
      </c>
      <c r="G748" s="45" t="str">
        <f aca="false">IF(E748="","",IFERROR(INDEX(Vendor_Register!$E$5:$E$205,MATCH(E748,Vendor_Register!$A$5:$A$205,0)),"(not in register)"))</f>
        <v/>
      </c>
      <c r="H748" s="42"/>
      <c r="I748" s="42"/>
      <c r="J748" s="42"/>
      <c r="K748" s="42"/>
      <c r="L748" s="42"/>
      <c r="M748" s="46"/>
      <c r="N748" s="42"/>
      <c r="O748" s="47" t="str">
        <f aca="false">IF(NOT(ISNUMBER(M748)),"",IFERROR(IF(L748="EUR",M748,IF(L748="IRR",M748/INDEX('Assumptions &amp; FX Reference'!$C$5:$C$25,MATCH(H748,'Assumptions &amp; FX Reference'!$A$5:$A$25,0)),IF(L748="USD",M748*INDEX('Assumptions &amp; FX Reference'!$B$5:$B$25,MATCH(H748,'Assumptions &amp; FX Reference'!$A$5:$A$25,0))/INDEX('Assumptions &amp; FX Reference'!$C$5:$C$25,MATCH(H748,'Assumptions &amp; FX Reference'!$A$5:$A$25,0)),""))),"(FX missing)"))</f>
        <v/>
      </c>
      <c r="P748" s="42"/>
      <c r="Q748" s="42"/>
      <c r="R748" s="42"/>
      <c r="S748" s="42"/>
      <c r="T748" s="42"/>
      <c r="U748" s="42"/>
      <c r="V748" s="42"/>
    </row>
    <row r="749" customFormat="false" ht="15" hidden="false" customHeight="false" outlineLevel="0" collapsed="false">
      <c r="A749" s="42"/>
      <c r="B749" s="42"/>
      <c r="C749" s="45" t="str">
        <f aca="false">IF(B749="","",IFERROR(INDEX('Master Database'!$D$5:$D$600,MATCH(B749,'Master Database'!$A$5:$A$600,0)),"(row not found)"))</f>
        <v/>
      </c>
      <c r="D749" s="45" t="str">
        <f aca="false">IF(B749="","",IFERROR(INDEX('Master Database'!$B$5:$B$600,MATCH(B749,'Master Database'!$A$5:$A$600,0)),"(row not found)"))</f>
        <v/>
      </c>
      <c r="E749" s="42"/>
      <c r="F749" s="45" t="str">
        <f aca="false">IF(E749="","",IFERROR(INDEX(Vendor_Register!$B$5:$B$205,MATCH(E749,Vendor_Register!$A$5:$A$205,0)),"(not in register)"))</f>
        <v/>
      </c>
      <c r="G749" s="45" t="str">
        <f aca="false">IF(E749="","",IFERROR(INDEX(Vendor_Register!$E$5:$E$205,MATCH(E749,Vendor_Register!$A$5:$A$205,0)),"(not in register)"))</f>
        <v/>
      </c>
      <c r="H749" s="42"/>
      <c r="I749" s="42"/>
      <c r="J749" s="42"/>
      <c r="K749" s="42"/>
      <c r="L749" s="42"/>
      <c r="M749" s="46"/>
      <c r="N749" s="42"/>
      <c r="O749" s="47" t="str">
        <f aca="false">IF(NOT(ISNUMBER(M749)),"",IFERROR(IF(L749="EUR",M749,IF(L749="IRR",M749/INDEX('Assumptions &amp; FX Reference'!$C$5:$C$25,MATCH(H749,'Assumptions &amp; FX Reference'!$A$5:$A$25,0)),IF(L749="USD",M749*INDEX('Assumptions &amp; FX Reference'!$B$5:$B$25,MATCH(H749,'Assumptions &amp; FX Reference'!$A$5:$A$25,0))/INDEX('Assumptions &amp; FX Reference'!$C$5:$C$25,MATCH(H749,'Assumptions &amp; FX Reference'!$A$5:$A$25,0)),""))),"(FX missing)"))</f>
        <v/>
      </c>
      <c r="P749" s="42"/>
      <c r="Q749" s="42"/>
      <c r="R749" s="42"/>
      <c r="S749" s="42"/>
      <c r="T749" s="42"/>
      <c r="U749" s="42"/>
      <c r="V749" s="42"/>
    </row>
    <row r="750" customFormat="false" ht="15" hidden="false" customHeight="false" outlineLevel="0" collapsed="false">
      <c r="A750" s="42"/>
      <c r="B750" s="42"/>
      <c r="C750" s="45" t="str">
        <f aca="false">IF(B750="","",IFERROR(INDEX('Master Database'!$D$5:$D$600,MATCH(B750,'Master Database'!$A$5:$A$600,0)),"(row not found)"))</f>
        <v/>
      </c>
      <c r="D750" s="45" t="str">
        <f aca="false">IF(B750="","",IFERROR(INDEX('Master Database'!$B$5:$B$600,MATCH(B750,'Master Database'!$A$5:$A$600,0)),"(row not found)"))</f>
        <v/>
      </c>
      <c r="E750" s="42"/>
      <c r="F750" s="45" t="str">
        <f aca="false">IF(E750="","",IFERROR(INDEX(Vendor_Register!$B$5:$B$205,MATCH(E750,Vendor_Register!$A$5:$A$205,0)),"(not in register)"))</f>
        <v/>
      </c>
      <c r="G750" s="45" t="str">
        <f aca="false">IF(E750="","",IFERROR(INDEX(Vendor_Register!$E$5:$E$205,MATCH(E750,Vendor_Register!$A$5:$A$205,0)),"(not in register)"))</f>
        <v/>
      </c>
      <c r="H750" s="42"/>
      <c r="I750" s="42"/>
      <c r="J750" s="42"/>
      <c r="K750" s="42"/>
      <c r="L750" s="42"/>
      <c r="M750" s="46"/>
      <c r="N750" s="42"/>
      <c r="O750" s="47" t="str">
        <f aca="false">IF(NOT(ISNUMBER(M750)),"",IFERROR(IF(L750="EUR",M750,IF(L750="IRR",M750/INDEX('Assumptions &amp; FX Reference'!$C$5:$C$25,MATCH(H750,'Assumptions &amp; FX Reference'!$A$5:$A$25,0)),IF(L750="USD",M750*INDEX('Assumptions &amp; FX Reference'!$B$5:$B$25,MATCH(H750,'Assumptions &amp; FX Reference'!$A$5:$A$25,0))/INDEX('Assumptions &amp; FX Reference'!$C$5:$C$25,MATCH(H750,'Assumptions &amp; FX Reference'!$A$5:$A$25,0)),""))),"(FX missing)"))</f>
        <v/>
      </c>
      <c r="P750" s="42"/>
      <c r="Q750" s="42"/>
      <c r="R750" s="42"/>
      <c r="S750" s="42"/>
      <c r="T750" s="42"/>
      <c r="U750" s="42"/>
      <c r="V750" s="42"/>
    </row>
    <row r="751" customFormat="false" ht="15" hidden="false" customHeight="false" outlineLevel="0" collapsed="false">
      <c r="A751" s="42"/>
      <c r="B751" s="42"/>
      <c r="C751" s="45" t="str">
        <f aca="false">IF(B751="","",IFERROR(INDEX('Master Database'!$D$5:$D$600,MATCH(B751,'Master Database'!$A$5:$A$600,0)),"(row not found)"))</f>
        <v/>
      </c>
      <c r="D751" s="45" t="str">
        <f aca="false">IF(B751="","",IFERROR(INDEX('Master Database'!$B$5:$B$600,MATCH(B751,'Master Database'!$A$5:$A$600,0)),"(row not found)"))</f>
        <v/>
      </c>
      <c r="E751" s="42"/>
      <c r="F751" s="45" t="str">
        <f aca="false">IF(E751="","",IFERROR(INDEX(Vendor_Register!$B$5:$B$205,MATCH(E751,Vendor_Register!$A$5:$A$205,0)),"(not in register)"))</f>
        <v/>
      </c>
      <c r="G751" s="45" t="str">
        <f aca="false">IF(E751="","",IFERROR(INDEX(Vendor_Register!$E$5:$E$205,MATCH(E751,Vendor_Register!$A$5:$A$205,0)),"(not in register)"))</f>
        <v/>
      </c>
      <c r="H751" s="42"/>
      <c r="I751" s="42"/>
      <c r="J751" s="42"/>
      <c r="K751" s="42"/>
      <c r="L751" s="42"/>
      <c r="M751" s="46"/>
      <c r="N751" s="42"/>
      <c r="O751" s="47" t="str">
        <f aca="false">IF(NOT(ISNUMBER(M751)),"",IFERROR(IF(L751="EUR",M751,IF(L751="IRR",M751/INDEX('Assumptions &amp; FX Reference'!$C$5:$C$25,MATCH(H751,'Assumptions &amp; FX Reference'!$A$5:$A$25,0)),IF(L751="USD",M751*INDEX('Assumptions &amp; FX Reference'!$B$5:$B$25,MATCH(H751,'Assumptions &amp; FX Reference'!$A$5:$A$25,0))/INDEX('Assumptions &amp; FX Reference'!$C$5:$C$25,MATCH(H751,'Assumptions &amp; FX Reference'!$A$5:$A$25,0)),""))),"(FX missing)"))</f>
        <v/>
      </c>
      <c r="P751" s="42"/>
      <c r="Q751" s="42"/>
      <c r="R751" s="42"/>
      <c r="S751" s="42"/>
      <c r="T751" s="42"/>
      <c r="U751" s="42"/>
      <c r="V751" s="42"/>
    </row>
    <row r="752" customFormat="false" ht="15" hidden="false" customHeight="false" outlineLevel="0" collapsed="false">
      <c r="A752" s="42"/>
      <c r="B752" s="42"/>
      <c r="C752" s="45" t="str">
        <f aca="false">IF(B752="","",IFERROR(INDEX('Master Database'!$D$5:$D$600,MATCH(B752,'Master Database'!$A$5:$A$600,0)),"(row not found)"))</f>
        <v/>
      </c>
      <c r="D752" s="45" t="str">
        <f aca="false">IF(B752="","",IFERROR(INDEX('Master Database'!$B$5:$B$600,MATCH(B752,'Master Database'!$A$5:$A$600,0)),"(row not found)"))</f>
        <v/>
      </c>
      <c r="E752" s="42"/>
      <c r="F752" s="45" t="str">
        <f aca="false">IF(E752="","",IFERROR(INDEX(Vendor_Register!$B$5:$B$205,MATCH(E752,Vendor_Register!$A$5:$A$205,0)),"(not in register)"))</f>
        <v/>
      </c>
      <c r="G752" s="45" t="str">
        <f aca="false">IF(E752="","",IFERROR(INDEX(Vendor_Register!$E$5:$E$205,MATCH(E752,Vendor_Register!$A$5:$A$205,0)),"(not in register)"))</f>
        <v/>
      </c>
      <c r="H752" s="42"/>
      <c r="I752" s="42"/>
      <c r="J752" s="42"/>
      <c r="K752" s="42"/>
      <c r="L752" s="42"/>
      <c r="M752" s="46"/>
      <c r="N752" s="42"/>
      <c r="O752" s="47" t="str">
        <f aca="false">IF(NOT(ISNUMBER(M752)),"",IFERROR(IF(L752="EUR",M752,IF(L752="IRR",M752/INDEX('Assumptions &amp; FX Reference'!$C$5:$C$25,MATCH(H752,'Assumptions &amp; FX Reference'!$A$5:$A$25,0)),IF(L752="USD",M752*INDEX('Assumptions &amp; FX Reference'!$B$5:$B$25,MATCH(H752,'Assumptions &amp; FX Reference'!$A$5:$A$25,0))/INDEX('Assumptions &amp; FX Reference'!$C$5:$C$25,MATCH(H752,'Assumptions &amp; FX Reference'!$A$5:$A$25,0)),""))),"(FX missing)"))</f>
        <v/>
      </c>
      <c r="P752" s="42"/>
      <c r="Q752" s="42"/>
      <c r="R752" s="42"/>
      <c r="S752" s="42"/>
      <c r="T752" s="42"/>
      <c r="U752" s="42"/>
      <c r="V752" s="42"/>
    </row>
    <row r="753" customFormat="false" ht="15" hidden="false" customHeight="false" outlineLevel="0" collapsed="false">
      <c r="A753" s="42"/>
      <c r="B753" s="42"/>
      <c r="C753" s="45" t="str">
        <f aca="false">IF(B753="","",IFERROR(INDEX('Master Database'!$D$5:$D$600,MATCH(B753,'Master Database'!$A$5:$A$600,0)),"(row not found)"))</f>
        <v/>
      </c>
      <c r="D753" s="45" t="str">
        <f aca="false">IF(B753="","",IFERROR(INDEX('Master Database'!$B$5:$B$600,MATCH(B753,'Master Database'!$A$5:$A$600,0)),"(row not found)"))</f>
        <v/>
      </c>
      <c r="E753" s="42"/>
      <c r="F753" s="45" t="str">
        <f aca="false">IF(E753="","",IFERROR(INDEX(Vendor_Register!$B$5:$B$205,MATCH(E753,Vendor_Register!$A$5:$A$205,0)),"(not in register)"))</f>
        <v/>
      </c>
      <c r="G753" s="45" t="str">
        <f aca="false">IF(E753="","",IFERROR(INDEX(Vendor_Register!$E$5:$E$205,MATCH(E753,Vendor_Register!$A$5:$A$205,0)),"(not in register)"))</f>
        <v/>
      </c>
      <c r="H753" s="42"/>
      <c r="I753" s="42"/>
      <c r="J753" s="42"/>
      <c r="K753" s="42"/>
      <c r="L753" s="42"/>
      <c r="M753" s="46"/>
      <c r="N753" s="42"/>
      <c r="O753" s="47" t="str">
        <f aca="false">IF(NOT(ISNUMBER(M753)),"",IFERROR(IF(L753="EUR",M753,IF(L753="IRR",M753/INDEX('Assumptions &amp; FX Reference'!$C$5:$C$25,MATCH(H753,'Assumptions &amp; FX Reference'!$A$5:$A$25,0)),IF(L753="USD",M753*INDEX('Assumptions &amp; FX Reference'!$B$5:$B$25,MATCH(H753,'Assumptions &amp; FX Reference'!$A$5:$A$25,0))/INDEX('Assumptions &amp; FX Reference'!$C$5:$C$25,MATCH(H753,'Assumptions &amp; FX Reference'!$A$5:$A$25,0)),""))),"(FX missing)"))</f>
        <v/>
      </c>
      <c r="P753" s="42"/>
      <c r="Q753" s="42"/>
      <c r="R753" s="42"/>
      <c r="S753" s="42"/>
      <c r="T753" s="42"/>
      <c r="U753" s="42"/>
      <c r="V753" s="42"/>
    </row>
    <row r="754" customFormat="false" ht="15" hidden="false" customHeight="false" outlineLevel="0" collapsed="false">
      <c r="A754" s="42"/>
      <c r="B754" s="42"/>
      <c r="C754" s="45" t="str">
        <f aca="false">IF(B754="","",IFERROR(INDEX('Master Database'!$D$5:$D$600,MATCH(B754,'Master Database'!$A$5:$A$600,0)),"(row not found)"))</f>
        <v/>
      </c>
      <c r="D754" s="45" t="str">
        <f aca="false">IF(B754="","",IFERROR(INDEX('Master Database'!$B$5:$B$600,MATCH(B754,'Master Database'!$A$5:$A$600,0)),"(row not found)"))</f>
        <v/>
      </c>
      <c r="E754" s="42"/>
      <c r="F754" s="45" t="str">
        <f aca="false">IF(E754="","",IFERROR(INDEX(Vendor_Register!$B$5:$B$205,MATCH(E754,Vendor_Register!$A$5:$A$205,0)),"(not in register)"))</f>
        <v/>
      </c>
      <c r="G754" s="45" t="str">
        <f aca="false">IF(E754="","",IFERROR(INDEX(Vendor_Register!$E$5:$E$205,MATCH(E754,Vendor_Register!$A$5:$A$205,0)),"(not in register)"))</f>
        <v/>
      </c>
      <c r="H754" s="42"/>
      <c r="I754" s="42"/>
      <c r="J754" s="42"/>
      <c r="K754" s="42"/>
      <c r="L754" s="42"/>
      <c r="M754" s="46"/>
      <c r="N754" s="42"/>
      <c r="O754" s="47" t="str">
        <f aca="false">IF(NOT(ISNUMBER(M754)),"",IFERROR(IF(L754="EUR",M754,IF(L754="IRR",M754/INDEX('Assumptions &amp; FX Reference'!$C$5:$C$25,MATCH(H754,'Assumptions &amp; FX Reference'!$A$5:$A$25,0)),IF(L754="USD",M754*INDEX('Assumptions &amp; FX Reference'!$B$5:$B$25,MATCH(H754,'Assumptions &amp; FX Reference'!$A$5:$A$25,0))/INDEX('Assumptions &amp; FX Reference'!$C$5:$C$25,MATCH(H754,'Assumptions &amp; FX Reference'!$A$5:$A$25,0)),""))),"(FX missing)"))</f>
        <v/>
      </c>
      <c r="P754" s="42"/>
      <c r="Q754" s="42"/>
      <c r="R754" s="42"/>
      <c r="S754" s="42"/>
      <c r="T754" s="42"/>
      <c r="U754" s="42"/>
      <c r="V754" s="42"/>
    </row>
    <row r="755" customFormat="false" ht="15" hidden="false" customHeight="false" outlineLevel="0" collapsed="false">
      <c r="A755" s="42"/>
      <c r="B755" s="42"/>
      <c r="C755" s="45" t="str">
        <f aca="false">IF(B755="","",IFERROR(INDEX('Master Database'!$D$5:$D$600,MATCH(B755,'Master Database'!$A$5:$A$600,0)),"(row not found)"))</f>
        <v/>
      </c>
      <c r="D755" s="45" t="str">
        <f aca="false">IF(B755="","",IFERROR(INDEX('Master Database'!$B$5:$B$600,MATCH(B755,'Master Database'!$A$5:$A$600,0)),"(row not found)"))</f>
        <v/>
      </c>
      <c r="E755" s="42"/>
      <c r="F755" s="45" t="str">
        <f aca="false">IF(E755="","",IFERROR(INDEX(Vendor_Register!$B$5:$B$205,MATCH(E755,Vendor_Register!$A$5:$A$205,0)),"(not in register)"))</f>
        <v/>
      </c>
      <c r="G755" s="45" t="str">
        <f aca="false">IF(E755="","",IFERROR(INDEX(Vendor_Register!$E$5:$E$205,MATCH(E755,Vendor_Register!$A$5:$A$205,0)),"(not in register)"))</f>
        <v/>
      </c>
      <c r="H755" s="42"/>
      <c r="I755" s="42"/>
      <c r="J755" s="42"/>
      <c r="K755" s="42"/>
      <c r="L755" s="42"/>
      <c r="M755" s="46"/>
      <c r="N755" s="42"/>
      <c r="O755" s="47" t="str">
        <f aca="false">IF(NOT(ISNUMBER(M755)),"",IFERROR(IF(L755="EUR",M755,IF(L755="IRR",M755/INDEX('Assumptions &amp; FX Reference'!$C$5:$C$25,MATCH(H755,'Assumptions &amp; FX Reference'!$A$5:$A$25,0)),IF(L755="USD",M755*INDEX('Assumptions &amp; FX Reference'!$B$5:$B$25,MATCH(H755,'Assumptions &amp; FX Reference'!$A$5:$A$25,0))/INDEX('Assumptions &amp; FX Reference'!$C$5:$C$25,MATCH(H755,'Assumptions &amp; FX Reference'!$A$5:$A$25,0)),""))),"(FX missing)"))</f>
        <v/>
      </c>
      <c r="P755" s="42"/>
      <c r="Q755" s="42"/>
      <c r="R755" s="42"/>
      <c r="S755" s="42"/>
      <c r="T755" s="42"/>
      <c r="U755" s="42"/>
      <c r="V755" s="42"/>
    </row>
    <row r="756" customFormat="false" ht="15" hidden="false" customHeight="false" outlineLevel="0" collapsed="false">
      <c r="A756" s="42"/>
      <c r="B756" s="42"/>
      <c r="C756" s="45" t="str">
        <f aca="false">IF(B756="","",IFERROR(INDEX('Master Database'!$D$5:$D$600,MATCH(B756,'Master Database'!$A$5:$A$600,0)),"(row not found)"))</f>
        <v/>
      </c>
      <c r="D756" s="45" t="str">
        <f aca="false">IF(B756="","",IFERROR(INDEX('Master Database'!$B$5:$B$600,MATCH(B756,'Master Database'!$A$5:$A$600,0)),"(row not found)"))</f>
        <v/>
      </c>
      <c r="E756" s="42"/>
      <c r="F756" s="45" t="str">
        <f aca="false">IF(E756="","",IFERROR(INDEX(Vendor_Register!$B$5:$B$205,MATCH(E756,Vendor_Register!$A$5:$A$205,0)),"(not in register)"))</f>
        <v/>
      </c>
      <c r="G756" s="45" t="str">
        <f aca="false">IF(E756="","",IFERROR(INDEX(Vendor_Register!$E$5:$E$205,MATCH(E756,Vendor_Register!$A$5:$A$205,0)),"(not in register)"))</f>
        <v/>
      </c>
      <c r="H756" s="42"/>
      <c r="I756" s="42"/>
      <c r="J756" s="42"/>
      <c r="K756" s="42"/>
      <c r="L756" s="42"/>
      <c r="M756" s="46"/>
      <c r="N756" s="42"/>
      <c r="O756" s="47" t="str">
        <f aca="false">IF(NOT(ISNUMBER(M756)),"",IFERROR(IF(L756="EUR",M756,IF(L756="IRR",M756/INDEX('Assumptions &amp; FX Reference'!$C$5:$C$25,MATCH(H756,'Assumptions &amp; FX Reference'!$A$5:$A$25,0)),IF(L756="USD",M756*INDEX('Assumptions &amp; FX Reference'!$B$5:$B$25,MATCH(H756,'Assumptions &amp; FX Reference'!$A$5:$A$25,0))/INDEX('Assumptions &amp; FX Reference'!$C$5:$C$25,MATCH(H756,'Assumptions &amp; FX Reference'!$A$5:$A$25,0)),""))),"(FX missing)"))</f>
        <v/>
      </c>
      <c r="P756" s="42"/>
      <c r="Q756" s="42"/>
      <c r="R756" s="42"/>
      <c r="S756" s="42"/>
      <c r="T756" s="42"/>
      <c r="U756" s="42"/>
      <c r="V756" s="42"/>
    </row>
    <row r="757" customFormat="false" ht="15" hidden="false" customHeight="false" outlineLevel="0" collapsed="false">
      <c r="A757" s="42"/>
      <c r="B757" s="42"/>
      <c r="C757" s="45" t="str">
        <f aca="false">IF(B757="","",IFERROR(INDEX('Master Database'!$D$5:$D$600,MATCH(B757,'Master Database'!$A$5:$A$600,0)),"(row not found)"))</f>
        <v/>
      </c>
      <c r="D757" s="45" t="str">
        <f aca="false">IF(B757="","",IFERROR(INDEX('Master Database'!$B$5:$B$600,MATCH(B757,'Master Database'!$A$5:$A$600,0)),"(row not found)"))</f>
        <v/>
      </c>
      <c r="E757" s="42"/>
      <c r="F757" s="45" t="str">
        <f aca="false">IF(E757="","",IFERROR(INDEX(Vendor_Register!$B$5:$B$205,MATCH(E757,Vendor_Register!$A$5:$A$205,0)),"(not in register)"))</f>
        <v/>
      </c>
      <c r="G757" s="45" t="str">
        <f aca="false">IF(E757="","",IFERROR(INDEX(Vendor_Register!$E$5:$E$205,MATCH(E757,Vendor_Register!$A$5:$A$205,0)),"(not in register)"))</f>
        <v/>
      </c>
      <c r="H757" s="42"/>
      <c r="I757" s="42"/>
      <c r="J757" s="42"/>
      <c r="K757" s="42"/>
      <c r="L757" s="42"/>
      <c r="M757" s="46"/>
      <c r="N757" s="42"/>
      <c r="O757" s="47" t="str">
        <f aca="false">IF(NOT(ISNUMBER(M757)),"",IFERROR(IF(L757="EUR",M757,IF(L757="IRR",M757/INDEX('Assumptions &amp; FX Reference'!$C$5:$C$25,MATCH(H757,'Assumptions &amp; FX Reference'!$A$5:$A$25,0)),IF(L757="USD",M757*INDEX('Assumptions &amp; FX Reference'!$B$5:$B$25,MATCH(H757,'Assumptions &amp; FX Reference'!$A$5:$A$25,0))/INDEX('Assumptions &amp; FX Reference'!$C$5:$C$25,MATCH(H757,'Assumptions &amp; FX Reference'!$A$5:$A$25,0)),""))),"(FX missing)"))</f>
        <v/>
      </c>
      <c r="P757" s="42"/>
      <c r="Q757" s="42"/>
      <c r="R757" s="42"/>
      <c r="S757" s="42"/>
      <c r="T757" s="42"/>
      <c r="U757" s="42"/>
      <c r="V757" s="42"/>
    </row>
    <row r="758" customFormat="false" ht="15" hidden="false" customHeight="false" outlineLevel="0" collapsed="false">
      <c r="A758" s="42"/>
      <c r="B758" s="42"/>
      <c r="C758" s="45" t="str">
        <f aca="false">IF(B758="","",IFERROR(INDEX('Master Database'!$D$5:$D$600,MATCH(B758,'Master Database'!$A$5:$A$600,0)),"(row not found)"))</f>
        <v/>
      </c>
      <c r="D758" s="45" t="str">
        <f aca="false">IF(B758="","",IFERROR(INDEX('Master Database'!$B$5:$B$600,MATCH(B758,'Master Database'!$A$5:$A$600,0)),"(row not found)"))</f>
        <v/>
      </c>
      <c r="E758" s="42"/>
      <c r="F758" s="45" t="str">
        <f aca="false">IF(E758="","",IFERROR(INDEX(Vendor_Register!$B$5:$B$205,MATCH(E758,Vendor_Register!$A$5:$A$205,0)),"(not in register)"))</f>
        <v/>
      </c>
      <c r="G758" s="45" t="str">
        <f aca="false">IF(E758="","",IFERROR(INDEX(Vendor_Register!$E$5:$E$205,MATCH(E758,Vendor_Register!$A$5:$A$205,0)),"(not in register)"))</f>
        <v/>
      </c>
      <c r="H758" s="42"/>
      <c r="I758" s="42"/>
      <c r="J758" s="42"/>
      <c r="K758" s="42"/>
      <c r="L758" s="42"/>
      <c r="M758" s="46"/>
      <c r="N758" s="42"/>
      <c r="O758" s="47" t="str">
        <f aca="false">IF(NOT(ISNUMBER(M758)),"",IFERROR(IF(L758="EUR",M758,IF(L758="IRR",M758/INDEX('Assumptions &amp; FX Reference'!$C$5:$C$25,MATCH(H758,'Assumptions &amp; FX Reference'!$A$5:$A$25,0)),IF(L758="USD",M758*INDEX('Assumptions &amp; FX Reference'!$B$5:$B$25,MATCH(H758,'Assumptions &amp; FX Reference'!$A$5:$A$25,0))/INDEX('Assumptions &amp; FX Reference'!$C$5:$C$25,MATCH(H758,'Assumptions &amp; FX Reference'!$A$5:$A$25,0)),""))),"(FX missing)"))</f>
        <v/>
      </c>
      <c r="P758" s="42"/>
      <c r="Q758" s="42"/>
      <c r="R758" s="42"/>
      <c r="S758" s="42"/>
      <c r="T758" s="42"/>
      <c r="U758" s="42"/>
      <c r="V758" s="42"/>
    </row>
    <row r="759" customFormat="false" ht="15" hidden="false" customHeight="false" outlineLevel="0" collapsed="false">
      <c r="A759" s="42"/>
      <c r="B759" s="42"/>
      <c r="C759" s="45" t="str">
        <f aca="false">IF(B759="","",IFERROR(INDEX('Master Database'!$D$5:$D$600,MATCH(B759,'Master Database'!$A$5:$A$600,0)),"(row not found)"))</f>
        <v/>
      </c>
      <c r="D759" s="45" t="str">
        <f aca="false">IF(B759="","",IFERROR(INDEX('Master Database'!$B$5:$B$600,MATCH(B759,'Master Database'!$A$5:$A$600,0)),"(row not found)"))</f>
        <v/>
      </c>
      <c r="E759" s="42"/>
      <c r="F759" s="45" t="str">
        <f aca="false">IF(E759="","",IFERROR(INDEX(Vendor_Register!$B$5:$B$205,MATCH(E759,Vendor_Register!$A$5:$A$205,0)),"(not in register)"))</f>
        <v/>
      </c>
      <c r="G759" s="45" t="str">
        <f aca="false">IF(E759="","",IFERROR(INDEX(Vendor_Register!$E$5:$E$205,MATCH(E759,Vendor_Register!$A$5:$A$205,0)),"(not in register)"))</f>
        <v/>
      </c>
      <c r="H759" s="42"/>
      <c r="I759" s="42"/>
      <c r="J759" s="42"/>
      <c r="K759" s="42"/>
      <c r="L759" s="42"/>
      <c r="M759" s="46"/>
      <c r="N759" s="42"/>
      <c r="O759" s="47" t="str">
        <f aca="false">IF(NOT(ISNUMBER(M759)),"",IFERROR(IF(L759="EUR",M759,IF(L759="IRR",M759/INDEX('Assumptions &amp; FX Reference'!$C$5:$C$25,MATCH(H759,'Assumptions &amp; FX Reference'!$A$5:$A$25,0)),IF(L759="USD",M759*INDEX('Assumptions &amp; FX Reference'!$B$5:$B$25,MATCH(H759,'Assumptions &amp; FX Reference'!$A$5:$A$25,0))/INDEX('Assumptions &amp; FX Reference'!$C$5:$C$25,MATCH(H759,'Assumptions &amp; FX Reference'!$A$5:$A$25,0)),""))),"(FX missing)"))</f>
        <v/>
      </c>
      <c r="P759" s="42"/>
      <c r="Q759" s="42"/>
      <c r="R759" s="42"/>
      <c r="S759" s="42"/>
      <c r="T759" s="42"/>
      <c r="U759" s="42"/>
      <c r="V759" s="42"/>
    </row>
    <row r="760" customFormat="false" ht="15" hidden="false" customHeight="false" outlineLevel="0" collapsed="false">
      <c r="A760" s="42"/>
      <c r="B760" s="42"/>
      <c r="C760" s="45" t="str">
        <f aca="false">IF(B760="","",IFERROR(INDEX('Master Database'!$D$5:$D$600,MATCH(B760,'Master Database'!$A$5:$A$600,0)),"(row not found)"))</f>
        <v/>
      </c>
      <c r="D760" s="45" t="str">
        <f aca="false">IF(B760="","",IFERROR(INDEX('Master Database'!$B$5:$B$600,MATCH(B760,'Master Database'!$A$5:$A$600,0)),"(row not found)"))</f>
        <v/>
      </c>
      <c r="E760" s="42"/>
      <c r="F760" s="45" t="str">
        <f aca="false">IF(E760="","",IFERROR(INDEX(Vendor_Register!$B$5:$B$205,MATCH(E760,Vendor_Register!$A$5:$A$205,0)),"(not in register)"))</f>
        <v/>
      </c>
      <c r="G760" s="45" t="str">
        <f aca="false">IF(E760="","",IFERROR(INDEX(Vendor_Register!$E$5:$E$205,MATCH(E760,Vendor_Register!$A$5:$A$205,0)),"(not in register)"))</f>
        <v/>
      </c>
      <c r="H760" s="42"/>
      <c r="I760" s="42"/>
      <c r="J760" s="42"/>
      <c r="K760" s="42"/>
      <c r="L760" s="42"/>
      <c r="M760" s="46"/>
      <c r="N760" s="42"/>
      <c r="O760" s="47" t="str">
        <f aca="false">IF(NOT(ISNUMBER(M760)),"",IFERROR(IF(L760="EUR",M760,IF(L760="IRR",M760/INDEX('Assumptions &amp; FX Reference'!$C$5:$C$25,MATCH(H760,'Assumptions &amp; FX Reference'!$A$5:$A$25,0)),IF(L760="USD",M760*INDEX('Assumptions &amp; FX Reference'!$B$5:$B$25,MATCH(H760,'Assumptions &amp; FX Reference'!$A$5:$A$25,0))/INDEX('Assumptions &amp; FX Reference'!$C$5:$C$25,MATCH(H760,'Assumptions &amp; FX Reference'!$A$5:$A$25,0)),""))),"(FX missing)"))</f>
        <v/>
      </c>
      <c r="P760" s="42"/>
      <c r="Q760" s="42"/>
      <c r="R760" s="42"/>
      <c r="S760" s="42"/>
      <c r="T760" s="42"/>
      <c r="U760" s="42"/>
      <c r="V760" s="42"/>
    </row>
    <row r="761" customFormat="false" ht="15" hidden="false" customHeight="false" outlineLevel="0" collapsed="false">
      <c r="A761" s="42"/>
      <c r="B761" s="42"/>
      <c r="C761" s="45" t="str">
        <f aca="false">IF(B761="","",IFERROR(INDEX('Master Database'!$D$5:$D$600,MATCH(B761,'Master Database'!$A$5:$A$600,0)),"(row not found)"))</f>
        <v/>
      </c>
      <c r="D761" s="45" t="str">
        <f aca="false">IF(B761="","",IFERROR(INDEX('Master Database'!$B$5:$B$600,MATCH(B761,'Master Database'!$A$5:$A$600,0)),"(row not found)"))</f>
        <v/>
      </c>
      <c r="E761" s="42"/>
      <c r="F761" s="45" t="str">
        <f aca="false">IF(E761="","",IFERROR(INDEX(Vendor_Register!$B$5:$B$205,MATCH(E761,Vendor_Register!$A$5:$A$205,0)),"(not in register)"))</f>
        <v/>
      </c>
      <c r="G761" s="45" t="str">
        <f aca="false">IF(E761="","",IFERROR(INDEX(Vendor_Register!$E$5:$E$205,MATCH(E761,Vendor_Register!$A$5:$A$205,0)),"(not in register)"))</f>
        <v/>
      </c>
      <c r="H761" s="42"/>
      <c r="I761" s="42"/>
      <c r="J761" s="42"/>
      <c r="K761" s="42"/>
      <c r="L761" s="42"/>
      <c r="M761" s="46"/>
      <c r="N761" s="42"/>
      <c r="O761" s="47" t="str">
        <f aca="false">IF(NOT(ISNUMBER(M761)),"",IFERROR(IF(L761="EUR",M761,IF(L761="IRR",M761/INDEX('Assumptions &amp; FX Reference'!$C$5:$C$25,MATCH(H761,'Assumptions &amp; FX Reference'!$A$5:$A$25,0)),IF(L761="USD",M761*INDEX('Assumptions &amp; FX Reference'!$B$5:$B$25,MATCH(H761,'Assumptions &amp; FX Reference'!$A$5:$A$25,0))/INDEX('Assumptions &amp; FX Reference'!$C$5:$C$25,MATCH(H761,'Assumptions &amp; FX Reference'!$A$5:$A$25,0)),""))),"(FX missing)"))</f>
        <v/>
      </c>
      <c r="P761" s="42"/>
      <c r="Q761" s="42"/>
      <c r="R761" s="42"/>
      <c r="S761" s="42"/>
      <c r="T761" s="42"/>
      <c r="U761" s="42"/>
      <c r="V761" s="42"/>
    </row>
    <row r="762" customFormat="false" ht="15" hidden="false" customHeight="false" outlineLevel="0" collapsed="false">
      <c r="A762" s="42"/>
      <c r="B762" s="42"/>
      <c r="C762" s="45" t="str">
        <f aca="false">IF(B762="","",IFERROR(INDEX('Master Database'!$D$5:$D$600,MATCH(B762,'Master Database'!$A$5:$A$600,0)),"(row not found)"))</f>
        <v/>
      </c>
      <c r="D762" s="45" t="str">
        <f aca="false">IF(B762="","",IFERROR(INDEX('Master Database'!$B$5:$B$600,MATCH(B762,'Master Database'!$A$5:$A$600,0)),"(row not found)"))</f>
        <v/>
      </c>
      <c r="E762" s="42"/>
      <c r="F762" s="45" t="str">
        <f aca="false">IF(E762="","",IFERROR(INDEX(Vendor_Register!$B$5:$B$205,MATCH(E762,Vendor_Register!$A$5:$A$205,0)),"(not in register)"))</f>
        <v/>
      </c>
      <c r="G762" s="45" t="str">
        <f aca="false">IF(E762="","",IFERROR(INDEX(Vendor_Register!$E$5:$E$205,MATCH(E762,Vendor_Register!$A$5:$A$205,0)),"(not in register)"))</f>
        <v/>
      </c>
      <c r="H762" s="42"/>
      <c r="I762" s="42"/>
      <c r="J762" s="42"/>
      <c r="K762" s="42"/>
      <c r="L762" s="42"/>
      <c r="M762" s="46"/>
      <c r="N762" s="42"/>
      <c r="O762" s="47" t="str">
        <f aca="false">IF(NOT(ISNUMBER(M762)),"",IFERROR(IF(L762="EUR",M762,IF(L762="IRR",M762/INDEX('Assumptions &amp; FX Reference'!$C$5:$C$25,MATCH(H762,'Assumptions &amp; FX Reference'!$A$5:$A$25,0)),IF(L762="USD",M762*INDEX('Assumptions &amp; FX Reference'!$B$5:$B$25,MATCH(H762,'Assumptions &amp; FX Reference'!$A$5:$A$25,0))/INDEX('Assumptions &amp; FX Reference'!$C$5:$C$25,MATCH(H762,'Assumptions &amp; FX Reference'!$A$5:$A$25,0)),""))),"(FX missing)"))</f>
        <v/>
      </c>
      <c r="P762" s="42"/>
      <c r="Q762" s="42"/>
      <c r="R762" s="42"/>
      <c r="S762" s="42"/>
      <c r="T762" s="42"/>
      <c r="U762" s="42"/>
      <c r="V762" s="42"/>
    </row>
    <row r="763" customFormat="false" ht="15" hidden="false" customHeight="false" outlineLevel="0" collapsed="false">
      <c r="A763" s="42"/>
      <c r="B763" s="42"/>
      <c r="C763" s="45" t="str">
        <f aca="false">IF(B763="","",IFERROR(INDEX('Master Database'!$D$5:$D$600,MATCH(B763,'Master Database'!$A$5:$A$600,0)),"(row not found)"))</f>
        <v/>
      </c>
      <c r="D763" s="45" t="str">
        <f aca="false">IF(B763="","",IFERROR(INDEX('Master Database'!$B$5:$B$600,MATCH(B763,'Master Database'!$A$5:$A$600,0)),"(row not found)"))</f>
        <v/>
      </c>
      <c r="E763" s="42"/>
      <c r="F763" s="45" t="str">
        <f aca="false">IF(E763="","",IFERROR(INDEX(Vendor_Register!$B$5:$B$205,MATCH(E763,Vendor_Register!$A$5:$A$205,0)),"(not in register)"))</f>
        <v/>
      </c>
      <c r="G763" s="45" t="str">
        <f aca="false">IF(E763="","",IFERROR(INDEX(Vendor_Register!$E$5:$E$205,MATCH(E763,Vendor_Register!$A$5:$A$205,0)),"(not in register)"))</f>
        <v/>
      </c>
      <c r="H763" s="42"/>
      <c r="I763" s="42"/>
      <c r="J763" s="42"/>
      <c r="K763" s="42"/>
      <c r="L763" s="42"/>
      <c r="M763" s="46"/>
      <c r="N763" s="42"/>
      <c r="O763" s="47" t="str">
        <f aca="false">IF(NOT(ISNUMBER(M763)),"",IFERROR(IF(L763="EUR",M763,IF(L763="IRR",M763/INDEX('Assumptions &amp; FX Reference'!$C$5:$C$25,MATCH(H763,'Assumptions &amp; FX Reference'!$A$5:$A$25,0)),IF(L763="USD",M763*INDEX('Assumptions &amp; FX Reference'!$B$5:$B$25,MATCH(H763,'Assumptions &amp; FX Reference'!$A$5:$A$25,0))/INDEX('Assumptions &amp; FX Reference'!$C$5:$C$25,MATCH(H763,'Assumptions &amp; FX Reference'!$A$5:$A$25,0)),""))),"(FX missing)"))</f>
        <v/>
      </c>
      <c r="P763" s="42"/>
      <c r="Q763" s="42"/>
      <c r="R763" s="42"/>
      <c r="S763" s="42"/>
      <c r="T763" s="42"/>
      <c r="U763" s="42"/>
      <c r="V763" s="42"/>
    </row>
    <row r="764" customFormat="false" ht="15" hidden="false" customHeight="false" outlineLevel="0" collapsed="false">
      <c r="A764" s="42"/>
      <c r="B764" s="42"/>
      <c r="C764" s="45" t="str">
        <f aca="false">IF(B764="","",IFERROR(INDEX('Master Database'!$D$5:$D$600,MATCH(B764,'Master Database'!$A$5:$A$600,0)),"(row not found)"))</f>
        <v/>
      </c>
      <c r="D764" s="45" t="str">
        <f aca="false">IF(B764="","",IFERROR(INDEX('Master Database'!$B$5:$B$600,MATCH(B764,'Master Database'!$A$5:$A$600,0)),"(row not found)"))</f>
        <v/>
      </c>
      <c r="E764" s="42"/>
      <c r="F764" s="45" t="str">
        <f aca="false">IF(E764="","",IFERROR(INDEX(Vendor_Register!$B$5:$B$205,MATCH(E764,Vendor_Register!$A$5:$A$205,0)),"(not in register)"))</f>
        <v/>
      </c>
      <c r="G764" s="45" t="str">
        <f aca="false">IF(E764="","",IFERROR(INDEX(Vendor_Register!$E$5:$E$205,MATCH(E764,Vendor_Register!$A$5:$A$205,0)),"(not in register)"))</f>
        <v/>
      </c>
      <c r="H764" s="42"/>
      <c r="I764" s="42"/>
      <c r="J764" s="42"/>
      <c r="K764" s="42"/>
      <c r="L764" s="42"/>
      <c r="M764" s="46"/>
      <c r="N764" s="42"/>
      <c r="O764" s="47" t="str">
        <f aca="false">IF(NOT(ISNUMBER(M764)),"",IFERROR(IF(L764="EUR",M764,IF(L764="IRR",M764/INDEX('Assumptions &amp; FX Reference'!$C$5:$C$25,MATCH(H764,'Assumptions &amp; FX Reference'!$A$5:$A$25,0)),IF(L764="USD",M764*INDEX('Assumptions &amp; FX Reference'!$B$5:$B$25,MATCH(H764,'Assumptions &amp; FX Reference'!$A$5:$A$25,0))/INDEX('Assumptions &amp; FX Reference'!$C$5:$C$25,MATCH(H764,'Assumptions &amp; FX Reference'!$A$5:$A$25,0)),""))),"(FX missing)"))</f>
        <v/>
      </c>
      <c r="P764" s="42"/>
      <c r="Q764" s="42"/>
      <c r="R764" s="42"/>
      <c r="S764" s="42"/>
      <c r="T764" s="42"/>
      <c r="U764" s="42"/>
      <c r="V764" s="42"/>
    </row>
    <row r="765" customFormat="false" ht="15" hidden="false" customHeight="false" outlineLevel="0" collapsed="false">
      <c r="A765" s="42"/>
      <c r="B765" s="42"/>
      <c r="C765" s="45" t="str">
        <f aca="false">IF(B765="","",IFERROR(INDEX('Master Database'!$D$5:$D$600,MATCH(B765,'Master Database'!$A$5:$A$600,0)),"(row not found)"))</f>
        <v/>
      </c>
      <c r="D765" s="45" t="str">
        <f aca="false">IF(B765="","",IFERROR(INDEX('Master Database'!$B$5:$B$600,MATCH(B765,'Master Database'!$A$5:$A$600,0)),"(row not found)"))</f>
        <v/>
      </c>
      <c r="E765" s="42"/>
      <c r="F765" s="45" t="str">
        <f aca="false">IF(E765="","",IFERROR(INDEX(Vendor_Register!$B$5:$B$205,MATCH(E765,Vendor_Register!$A$5:$A$205,0)),"(not in register)"))</f>
        <v/>
      </c>
      <c r="G765" s="45" t="str">
        <f aca="false">IF(E765="","",IFERROR(INDEX(Vendor_Register!$E$5:$E$205,MATCH(E765,Vendor_Register!$A$5:$A$205,0)),"(not in register)"))</f>
        <v/>
      </c>
      <c r="H765" s="42"/>
      <c r="I765" s="42"/>
      <c r="J765" s="42"/>
      <c r="K765" s="42"/>
      <c r="L765" s="42"/>
      <c r="M765" s="46"/>
      <c r="N765" s="42"/>
      <c r="O765" s="47" t="str">
        <f aca="false">IF(NOT(ISNUMBER(M765)),"",IFERROR(IF(L765="EUR",M765,IF(L765="IRR",M765/INDEX('Assumptions &amp; FX Reference'!$C$5:$C$25,MATCH(H765,'Assumptions &amp; FX Reference'!$A$5:$A$25,0)),IF(L765="USD",M765*INDEX('Assumptions &amp; FX Reference'!$B$5:$B$25,MATCH(H765,'Assumptions &amp; FX Reference'!$A$5:$A$25,0))/INDEX('Assumptions &amp; FX Reference'!$C$5:$C$25,MATCH(H765,'Assumptions &amp; FX Reference'!$A$5:$A$25,0)),""))),"(FX missing)"))</f>
        <v/>
      </c>
      <c r="P765" s="42"/>
      <c r="Q765" s="42"/>
      <c r="R765" s="42"/>
      <c r="S765" s="42"/>
      <c r="T765" s="42"/>
      <c r="U765" s="42"/>
      <c r="V765" s="42"/>
    </row>
    <row r="766" customFormat="false" ht="15" hidden="false" customHeight="false" outlineLevel="0" collapsed="false">
      <c r="A766" s="42"/>
      <c r="B766" s="42"/>
      <c r="C766" s="45" t="str">
        <f aca="false">IF(B766="","",IFERROR(INDEX('Master Database'!$D$5:$D$600,MATCH(B766,'Master Database'!$A$5:$A$600,0)),"(row not found)"))</f>
        <v/>
      </c>
      <c r="D766" s="45" t="str">
        <f aca="false">IF(B766="","",IFERROR(INDEX('Master Database'!$B$5:$B$600,MATCH(B766,'Master Database'!$A$5:$A$600,0)),"(row not found)"))</f>
        <v/>
      </c>
      <c r="E766" s="42"/>
      <c r="F766" s="45" t="str">
        <f aca="false">IF(E766="","",IFERROR(INDEX(Vendor_Register!$B$5:$B$205,MATCH(E766,Vendor_Register!$A$5:$A$205,0)),"(not in register)"))</f>
        <v/>
      </c>
      <c r="G766" s="45" t="str">
        <f aca="false">IF(E766="","",IFERROR(INDEX(Vendor_Register!$E$5:$E$205,MATCH(E766,Vendor_Register!$A$5:$A$205,0)),"(not in register)"))</f>
        <v/>
      </c>
      <c r="H766" s="42"/>
      <c r="I766" s="42"/>
      <c r="J766" s="42"/>
      <c r="K766" s="42"/>
      <c r="L766" s="42"/>
      <c r="M766" s="46"/>
      <c r="N766" s="42"/>
      <c r="O766" s="47" t="str">
        <f aca="false">IF(NOT(ISNUMBER(M766)),"",IFERROR(IF(L766="EUR",M766,IF(L766="IRR",M766/INDEX('Assumptions &amp; FX Reference'!$C$5:$C$25,MATCH(H766,'Assumptions &amp; FX Reference'!$A$5:$A$25,0)),IF(L766="USD",M766*INDEX('Assumptions &amp; FX Reference'!$B$5:$B$25,MATCH(H766,'Assumptions &amp; FX Reference'!$A$5:$A$25,0))/INDEX('Assumptions &amp; FX Reference'!$C$5:$C$25,MATCH(H766,'Assumptions &amp; FX Reference'!$A$5:$A$25,0)),""))),"(FX missing)"))</f>
        <v/>
      </c>
      <c r="P766" s="42"/>
      <c r="Q766" s="42"/>
      <c r="R766" s="42"/>
      <c r="S766" s="42"/>
      <c r="T766" s="42"/>
      <c r="U766" s="42"/>
      <c r="V766" s="42"/>
    </row>
    <row r="767" customFormat="false" ht="15" hidden="false" customHeight="false" outlineLevel="0" collapsed="false">
      <c r="A767" s="42"/>
      <c r="B767" s="42"/>
      <c r="C767" s="45" t="str">
        <f aca="false">IF(B767="","",IFERROR(INDEX('Master Database'!$D$5:$D$600,MATCH(B767,'Master Database'!$A$5:$A$600,0)),"(row not found)"))</f>
        <v/>
      </c>
      <c r="D767" s="45" t="str">
        <f aca="false">IF(B767="","",IFERROR(INDEX('Master Database'!$B$5:$B$600,MATCH(B767,'Master Database'!$A$5:$A$600,0)),"(row not found)"))</f>
        <v/>
      </c>
      <c r="E767" s="42"/>
      <c r="F767" s="45" t="str">
        <f aca="false">IF(E767="","",IFERROR(INDEX(Vendor_Register!$B$5:$B$205,MATCH(E767,Vendor_Register!$A$5:$A$205,0)),"(not in register)"))</f>
        <v/>
      </c>
      <c r="G767" s="45" t="str">
        <f aca="false">IF(E767="","",IFERROR(INDEX(Vendor_Register!$E$5:$E$205,MATCH(E767,Vendor_Register!$A$5:$A$205,0)),"(not in register)"))</f>
        <v/>
      </c>
      <c r="H767" s="42"/>
      <c r="I767" s="42"/>
      <c r="J767" s="42"/>
      <c r="K767" s="42"/>
      <c r="L767" s="42"/>
      <c r="M767" s="46"/>
      <c r="N767" s="42"/>
      <c r="O767" s="47" t="str">
        <f aca="false">IF(NOT(ISNUMBER(M767)),"",IFERROR(IF(L767="EUR",M767,IF(L767="IRR",M767/INDEX('Assumptions &amp; FX Reference'!$C$5:$C$25,MATCH(H767,'Assumptions &amp; FX Reference'!$A$5:$A$25,0)),IF(L767="USD",M767*INDEX('Assumptions &amp; FX Reference'!$B$5:$B$25,MATCH(H767,'Assumptions &amp; FX Reference'!$A$5:$A$25,0))/INDEX('Assumptions &amp; FX Reference'!$C$5:$C$25,MATCH(H767,'Assumptions &amp; FX Reference'!$A$5:$A$25,0)),""))),"(FX missing)"))</f>
        <v/>
      </c>
      <c r="P767" s="42"/>
      <c r="Q767" s="42"/>
      <c r="R767" s="42"/>
      <c r="S767" s="42"/>
      <c r="T767" s="42"/>
      <c r="U767" s="42"/>
      <c r="V767" s="42"/>
    </row>
    <row r="768" customFormat="false" ht="15" hidden="false" customHeight="false" outlineLevel="0" collapsed="false">
      <c r="A768" s="42"/>
      <c r="B768" s="42"/>
      <c r="C768" s="45" t="str">
        <f aca="false">IF(B768="","",IFERROR(INDEX('Master Database'!$D$5:$D$600,MATCH(B768,'Master Database'!$A$5:$A$600,0)),"(row not found)"))</f>
        <v/>
      </c>
      <c r="D768" s="45" t="str">
        <f aca="false">IF(B768="","",IFERROR(INDEX('Master Database'!$B$5:$B$600,MATCH(B768,'Master Database'!$A$5:$A$600,0)),"(row not found)"))</f>
        <v/>
      </c>
      <c r="E768" s="42"/>
      <c r="F768" s="45" t="str">
        <f aca="false">IF(E768="","",IFERROR(INDEX(Vendor_Register!$B$5:$B$205,MATCH(E768,Vendor_Register!$A$5:$A$205,0)),"(not in register)"))</f>
        <v/>
      </c>
      <c r="G768" s="45" t="str">
        <f aca="false">IF(E768="","",IFERROR(INDEX(Vendor_Register!$E$5:$E$205,MATCH(E768,Vendor_Register!$A$5:$A$205,0)),"(not in register)"))</f>
        <v/>
      </c>
      <c r="H768" s="42"/>
      <c r="I768" s="42"/>
      <c r="J768" s="42"/>
      <c r="K768" s="42"/>
      <c r="L768" s="42"/>
      <c r="M768" s="46"/>
      <c r="N768" s="42"/>
      <c r="O768" s="47" t="str">
        <f aca="false">IF(NOT(ISNUMBER(M768)),"",IFERROR(IF(L768="EUR",M768,IF(L768="IRR",M768/INDEX('Assumptions &amp; FX Reference'!$C$5:$C$25,MATCH(H768,'Assumptions &amp; FX Reference'!$A$5:$A$25,0)),IF(L768="USD",M768*INDEX('Assumptions &amp; FX Reference'!$B$5:$B$25,MATCH(H768,'Assumptions &amp; FX Reference'!$A$5:$A$25,0))/INDEX('Assumptions &amp; FX Reference'!$C$5:$C$25,MATCH(H768,'Assumptions &amp; FX Reference'!$A$5:$A$25,0)),""))),"(FX missing)"))</f>
        <v/>
      </c>
      <c r="P768" s="42"/>
      <c r="Q768" s="42"/>
      <c r="R768" s="42"/>
      <c r="S768" s="42"/>
      <c r="T768" s="42"/>
      <c r="U768" s="42"/>
      <c r="V768" s="42"/>
    </row>
    <row r="769" customFormat="false" ht="15" hidden="false" customHeight="false" outlineLevel="0" collapsed="false">
      <c r="A769" s="42"/>
      <c r="B769" s="42"/>
      <c r="C769" s="45" t="str">
        <f aca="false">IF(B769="","",IFERROR(INDEX('Master Database'!$D$5:$D$600,MATCH(B769,'Master Database'!$A$5:$A$600,0)),"(row not found)"))</f>
        <v/>
      </c>
      <c r="D769" s="45" t="str">
        <f aca="false">IF(B769="","",IFERROR(INDEX('Master Database'!$B$5:$B$600,MATCH(B769,'Master Database'!$A$5:$A$600,0)),"(row not found)"))</f>
        <v/>
      </c>
      <c r="E769" s="42"/>
      <c r="F769" s="45" t="str">
        <f aca="false">IF(E769="","",IFERROR(INDEX(Vendor_Register!$B$5:$B$205,MATCH(E769,Vendor_Register!$A$5:$A$205,0)),"(not in register)"))</f>
        <v/>
      </c>
      <c r="G769" s="45" t="str">
        <f aca="false">IF(E769="","",IFERROR(INDEX(Vendor_Register!$E$5:$E$205,MATCH(E769,Vendor_Register!$A$5:$A$205,0)),"(not in register)"))</f>
        <v/>
      </c>
      <c r="H769" s="42"/>
      <c r="I769" s="42"/>
      <c r="J769" s="42"/>
      <c r="K769" s="42"/>
      <c r="L769" s="42"/>
      <c r="M769" s="46"/>
      <c r="N769" s="42"/>
      <c r="O769" s="47" t="str">
        <f aca="false">IF(NOT(ISNUMBER(M769)),"",IFERROR(IF(L769="EUR",M769,IF(L769="IRR",M769/INDEX('Assumptions &amp; FX Reference'!$C$5:$C$25,MATCH(H769,'Assumptions &amp; FX Reference'!$A$5:$A$25,0)),IF(L769="USD",M769*INDEX('Assumptions &amp; FX Reference'!$B$5:$B$25,MATCH(H769,'Assumptions &amp; FX Reference'!$A$5:$A$25,0))/INDEX('Assumptions &amp; FX Reference'!$C$5:$C$25,MATCH(H769,'Assumptions &amp; FX Reference'!$A$5:$A$25,0)),""))),"(FX missing)"))</f>
        <v/>
      </c>
      <c r="P769" s="42"/>
      <c r="Q769" s="42"/>
      <c r="R769" s="42"/>
      <c r="S769" s="42"/>
      <c r="T769" s="42"/>
      <c r="U769" s="42"/>
      <c r="V769" s="42"/>
    </row>
    <row r="770" customFormat="false" ht="15" hidden="false" customHeight="false" outlineLevel="0" collapsed="false">
      <c r="A770" s="42"/>
      <c r="B770" s="42"/>
      <c r="C770" s="45" t="str">
        <f aca="false">IF(B770="","",IFERROR(INDEX('Master Database'!$D$5:$D$600,MATCH(B770,'Master Database'!$A$5:$A$600,0)),"(row not found)"))</f>
        <v/>
      </c>
      <c r="D770" s="45" t="str">
        <f aca="false">IF(B770="","",IFERROR(INDEX('Master Database'!$B$5:$B$600,MATCH(B770,'Master Database'!$A$5:$A$600,0)),"(row not found)"))</f>
        <v/>
      </c>
      <c r="E770" s="42"/>
      <c r="F770" s="45" t="str">
        <f aca="false">IF(E770="","",IFERROR(INDEX(Vendor_Register!$B$5:$B$205,MATCH(E770,Vendor_Register!$A$5:$A$205,0)),"(not in register)"))</f>
        <v/>
      </c>
      <c r="G770" s="45" t="str">
        <f aca="false">IF(E770="","",IFERROR(INDEX(Vendor_Register!$E$5:$E$205,MATCH(E770,Vendor_Register!$A$5:$A$205,0)),"(not in register)"))</f>
        <v/>
      </c>
      <c r="H770" s="42"/>
      <c r="I770" s="42"/>
      <c r="J770" s="42"/>
      <c r="K770" s="42"/>
      <c r="L770" s="42"/>
      <c r="M770" s="46"/>
      <c r="N770" s="42"/>
      <c r="O770" s="47" t="str">
        <f aca="false">IF(NOT(ISNUMBER(M770)),"",IFERROR(IF(L770="EUR",M770,IF(L770="IRR",M770/INDEX('Assumptions &amp; FX Reference'!$C$5:$C$25,MATCH(H770,'Assumptions &amp; FX Reference'!$A$5:$A$25,0)),IF(L770="USD",M770*INDEX('Assumptions &amp; FX Reference'!$B$5:$B$25,MATCH(H770,'Assumptions &amp; FX Reference'!$A$5:$A$25,0))/INDEX('Assumptions &amp; FX Reference'!$C$5:$C$25,MATCH(H770,'Assumptions &amp; FX Reference'!$A$5:$A$25,0)),""))),"(FX missing)"))</f>
        <v/>
      </c>
      <c r="P770" s="42"/>
      <c r="Q770" s="42"/>
      <c r="R770" s="42"/>
      <c r="S770" s="42"/>
      <c r="T770" s="42"/>
      <c r="U770" s="42"/>
      <c r="V770" s="42"/>
    </row>
    <row r="771" customFormat="false" ht="15" hidden="false" customHeight="false" outlineLevel="0" collapsed="false">
      <c r="A771" s="42"/>
      <c r="B771" s="42"/>
      <c r="C771" s="45" t="str">
        <f aca="false">IF(B771="","",IFERROR(INDEX('Master Database'!$D$5:$D$600,MATCH(B771,'Master Database'!$A$5:$A$600,0)),"(row not found)"))</f>
        <v/>
      </c>
      <c r="D771" s="45" t="str">
        <f aca="false">IF(B771="","",IFERROR(INDEX('Master Database'!$B$5:$B$600,MATCH(B771,'Master Database'!$A$5:$A$600,0)),"(row not found)"))</f>
        <v/>
      </c>
      <c r="E771" s="42"/>
      <c r="F771" s="45" t="str">
        <f aca="false">IF(E771="","",IFERROR(INDEX(Vendor_Register!$B$5:$B$205,MATCH(E771,Vendor_Register!$A$5:$A$205,0)),"(not in register)"))</f>
        <v/>
      </c>
      <c r="G771" s="45" t="str">
        <f aca="false">IF(E771="","",IFERROR(INDEX(Vendor_Register!$E$5:$E$205,MATCH(E771,Vendor_Register!$A$5:$A$205,0)),"(not in register)"))</f>
        <v/>
      </c>
      <c r="H771" s="42"/>
      <c r="I771" s="42"/>
      <c r="J771" s="42"/>
      <c r="K771" s="42"/>
      <c r="L771" s="42"/>
      <c r="M771" s="46"/>
      <c r="N771" s="42"/>
      <c r="O771" s="47" t="str">
        <f aca="false">IF(NOT(ISNUMBER(M771)),"",IFERROR(IF(L771="EUR",M771,IF(L771="IRR",M771/INDEX('Assumptions &amp; FX Reference'!$C$5:$C$25,MATCH(H771,'Assumptions &amp; FX Reference'!$A$5:$A$25,0)),IF(L771="USD",M771*INDEX('Assumptions &amp; FX Reference'!$B$5:$B$25,MATCH(H771,'Assumptions &amp; FX Reference'!$A$5:$A$25,0))/INDEX('Assumptions &amp; FX Reference'!$C$5:$C$25,MATCH(H771,'Assumptions &amp; FX Reference'!$A$5:$A$25,0)),""))),"(FX missing)"))</f>
        <v/>
      </c>
      <c r="P771" s="42"/>
      <c r="Q771" s="42"/>
      <c r="R771" s="42"/>
      <c r="S771" s="42"/>
      <c r="T771" s="42"/>
      <c r="U771" s="42"/>
      <c r="V771" s="42"/>
    </row>
    <row r="772" customFormat="false" ht="15" hidden="false" customHeight="false" outlineLevel="0" collapsed="false">
      <c r="A772" s="42"/>
      <c r="B772" s="42"/>
      <c r="C772" s="45" t="str">
        <f aca="false">IF(B772="","",IFERROR(INDEX('Master Database'!$D$5:$D$600,MATCH(B772,'Master Database'!$A$5:$A$600,0)),"(row not found)"))</f>
        <v/>
      </c>
      <c r="D772" s="45" t="str">
        <f aca="false">IF(B772="","",IFERROR(INDEX('Master Database'!$B$5:$B$600,MATCH(B772,'Master Database'!$A$5:$A$600,0)),"(row not found)"))</f>
        <v/>
      </c>
      <c r="E772" s="42"/>
      <c r="F772" s="45" t="str">
        <f aca="false">IF(E772="","",IFERROR(INDEX(Vendor_Register!$B$5:$B$205,MATCH(E772,Vendor_Register!$A$5:$A$205,0)),"(not in register)"))</f>
        <v/>
      </c>
      <c r="G772" s="45" t="str">
        <f aca="false">IF(E772="","",IFERROR(INDEX(Vendor_Register!$E$5:$E$205,MATCH(E772,Vendor_Register!$A$5:$A$205,0)),"(not in register)"))</f>
        <v/>
      </c>
      <c r="H772" s="42"/>
      <c r="I772" s="42"/>
      <c r="J772" s="42"/>
      <c r="K772" s="42"/>
      <c r="L772" s="42"/>
      <c r="M772" s="46"/>
      <c r="N772" s="42"/>
      <c r="O772" s="47" t="str">
        <f aca="false">IF(NOT(ISNUMBER(M772)),"",IFERROR(IF(L772="EUR",M772,IF(L772="IRR",M772/INDEX('Assumptions &amp; FX Reference'!$C$5:$C$25,MATCH(H772,'Assumptions &amp; FX Reference'!$A$5:$A$25,0)),IF(L772="USD",M772*INDEX('Assumptions &amp; FX Reference'!$B$5:$B$25,MATCH(H772,'Assumptions &amp; FX Reference'!$A$5:$A$25,0))/INDEX('Assumptions &amp; FX Reference'!$C$5:$C$25,MATCH(H772,'Assumptions &amp; FX Reference'!$A$5:$A$25,0)),""))),"(FX missing)"))</f>
        <v/>
      </c>
      <c r="P772" s="42"/>
      <c r="Q772" s="42"/>
      <c r="R772" s="42"/>
      <c r="S772" s="42"/>
      <c r="T772" s="42"/>
      <c r="U772" s="42"/>
      <c r="V772" s="42"/>
    </row>
    <row r="773" customFormat="false" ht="15" hidden="false" customHeight="false" outlineLevel="0" collapsed="false">
      <c r="A773" s="42"/>
      <c r="B773" s="42"/>
      <c r="C773" s="45" t="str">
        <f aca="false">IF(B773="","",IFERROR(INDEX('Master Database'!$D$5:$D$600,MATCH(B773,'Master Database'!$A$5:$A$600,0)),"(row not found)"))</f>
        <v/>
      </c>
      <c r="D773" s="45" t="str">
        <f aca="false">IF(B773="","",IFERROR(INDEX('Master Database'!$B$5:$B$600,MATCH(B773,'Master Database'!$A$5:$A$600,0)),"(row not found)"))</f>
        <v/>
      </c>
      <c r="E773" s="42"/>
      <c r="F773" s="45" t="str">
        <f aca="false">IF(E773="","",IFERROR(INDEX(Vendor_Register!$B$5:$B$205,MATCH(E773,Vendor_Register!$A$5:$A$205,0)),"(not in register)"))</f>
        <v/>
      </c>
      <c r="G773" s="45" t="str">
        <f aca="false">IF(E773="","",IFERROR(INDEX(Vendor_Register!$E$5:$E$205,MATCH(E773,Vendor_Register!$A$5:$A$205,0)),"(not in register)"))</f>
        <v/>
      </c>
      <c r="H773" s="42"/>
      <c r="I773" s="42"/>
      <c r="J773" s="42"/>
      <c r="K773" s="42"/>
      <c r="L773" s="42"/>
      <c r="M773" s="46"/>
      <c r="N773" s="42"/>
      <c r="O773" s="47" t="str">
        <f aca="false">IF(NOT(ISNUMBER(M773)),"",IFERROR(IF(L773="EUR",M773,IF(L773="IRR",M773/INDEX('Assumptions &amp; FX Reference'!$C$5:$C$25,MATCH(H773,'Assumptions &amp; FX Reference'!$A$5:$A$25,0)),IF(L773="USD",M773*INDEX('Assumptions &amp; FX Reference'!$B$5:$B$25,MATCH(H773,'Assumptions &amp; FX Reference'!$A$5:$A$25,0))/INDEX('Assumptions &amp; FX Reference'!$C$5:$C$25,MATCH(H773,'Assumptions &amp; FX Reference'!$A$5:$A$25,0)),""))),"(FX missing)"))</f>
        <v/>
      </c>
      <c r="P773" s="42"/>
      <c r="Q773" s="42"/>
      <c r="R773" s="42"/>
      <c r="S773" s="42"/>
      <c r="T773" s="42"/>
      <c r="U773" s="42"/>
      <c r="V773" s="42"/>
    </row>
    <row r="774" customFormat="false" ht="15" hidden="false" customHeight="false" outlineLevel="0" collapsed="false">
      <c r="A774" s="42"/>
      <c r="B774" s="42"/>
      <c r="C774" s="45" t="str">
        <f aca="false">IF(B774="","",IFERROR(INDEX('Master Database'!$D$5:$D$600,MATCH(B774,'Master Database'!$A$5:$A$600,0)),"(row not found)"))</f>
        <v/>
      </c>
      <c r="D774" s="45" t="str">
        <f aca="false">IF(B774="","",IFERROR(INDEX('Master Database'!$B$5:$B$600,MATCH(B774,'Master Database'!$A$5:$A$600,0)),"(row not found)"))</f>
        <v/>
      </c>
      <c r="E774" s="42"/>
      <c r="F774" s="45" t="str">
        <f aca="false">IF(E774="","",IFERROR(INDEX(Vendor_Register!$B$5:$B$205,MATCH(E774,Vendor_Register!$A$5:$A$205,0)),"(not in register)"))</f>
        <v/>
      </c>
      <c r="G774" s="45" t="str">
        <f aca="false">IF(E774="","",IFERROR(INDEX(Vendor_Register!$E$5:$E$205,MATCH(E774,Vendor_Register!$A$5:$A$205,0)),"(not in register)"))</f>
        <v/>
      </c>
      <c r="H774" s="42"/>
      <c r="I774" s="42"/>
      <c r="J774" s="42"/>
      <c r="K774" s="42"/>
      <c r="L774" s="42"/>
      <c r="M774" s="46"/>
      <c r="N774" s="42"/>
      <c r="O774" s="47" t="str">
        <f aca="false">IF(NOT(ISNUMBER(M774)),"",IFERROR(IF(L774="EUR",M774,IF(L774="IRR",M774/INDEX('Assumptions &amp; FX Reference'!$C$5:$C$25,MATCH(H774,'Assumptions &amp; FX Reference'!$A$5:$A$25,0)),IF(L774="USD",M774*INDEX('Assumptions &amp; FX Reference'!$B$5:$B$25,MATCH(H774,'Assumptions &amp; FX Reference'!$A$5:$A$25,0))/INDEX('Assumptions &amp; FX Reference'!$C$5:$C$25,MATCH(H774,'Assumptions &amp; FX Reference'!$A$5:$A$25,0)),""))),"(FX missing)"))</f>
        <v/>
      </c>
      <c r="P774" s="42"/>
      <c r="Q774" s="42"/>
      <c r="R774" s="42"/>
      <c r="S774" s="42"/>
      <c r="T774" s="42"/>
      <c r="U774" s="42"/>
      <c r="V774" s="42"/>
    </row>
    <row r="775" customFormat="false" ht="15" hidden="false" customHeight="false" outlineLevel="0" collapsed="false">
      <c r="A775" s="42"/>
      <c r="B775" s="42"/>
      <c r="C775" s="45" t="str">
        <f aca="false">IF(B775="","",IFERROR(INDEX('Master Database'!$D$5:$D$600,MATCH(B775,'Master Database'!$A$5:$A$600,0)),"(row not found)"))</f>
        <v/>
      </c>
      <c r="D775" s="45" t="str">
        <f aca="false">IF(B775="","",IFERROR(INDEX('Master Database'!$B$5:$B$600,MATCH(B775,'Master Database'!$A$5:$A$600,0)),"(row not found)"))</f>
        <v/>
      </c>
      <c r="E775" s="42"/>
      <c r="F775" s="45" t="str">
        <f aca="false">IF(E775="","",IFERROR(INDEX(Vendor_Register!$B$5:$B$205,MATCH(E775,Vendor_Register!$A$5:$A$205,0)),"(not in register)"))</f>
        <v/>
      </c>
      <c r="G775" s="45" t="str">
        <f aca="false">IF(E775="","",IFERROR(INDEX(Vendor_Register!$E$5:$E$205,MATCH(E775,Vendor_Register!$A$5:$A$205,0)),"(not in register)"))</f>
        <v/>
      </c>
      <c r="H775" s="42"/>
      <c r="I775" s="42"/>
      <c r="J775" s="42"/>
      <c r="K775" s="42"/>
      <c r="L775" s="42"/>
      <c r="M775" s="46"/>
      <c r="N775" s="42"/>
      <c r="O775" s="47" t="str">
        <f aca="false">IF(NOT(ISNUMBER(M775)),"",IFERROR(IF(L775="EUR",M775,IF(L775="IRR",M775/INDEX('Assumptions &amp; FX Reference'!$C$5:$C$25,MATCH(H775,'Assumptions &amp; FX Reference'!$A$5:$A$25,0)),IF(L775="USD",M775*INDEX('Assumptions &amp; FX Reference'!$B$5:$B$25,MATCH(H775,'Assumptions &amp; FX Reference'!$A$5:$A$25,0))/INDEX('Assumptions &amp; FX Reference'!$C$5:$C$25,MATCH(H775,'Assumptions &amp; FX Reference'!$A$5:$A$25,0)),""))),"(FX missing)"))</f>
        <v/>
      </c>
      <c r="P775" s="42"/>
      <c r="Q775" s="42"/>
      <c r="R775" s="42"/>
      <c r="S775" s="42"/>
      <c r="T775" s="42"/>
      <c r="U775" s="42"/>
      <c r="V775" s="42"/>
    </row>
    <row r="776" customFormat="false" ht="15" hidden="false" customHeight="false" outlineLevel="0" collapsed="false">
      <c r="A776" s="42"/>
      <c r="B776" s="42"/>
      <c r="C776" s="45" t="str">
        <f aca="false">IF(B776="","",IFERROR(INDEX('Master Database'!$D$5:$D$600,MATCH(B776,'Master Database'!$A$5:$A$600,0)),"(row not found)"))</f>
        <v/>
      </c>
      <c r="D776" s="45" t="str">
        <f aca="false">IF(B776="","",IFERROR(INDEX('Master Database'!$B$5:$B$600,MATCH(B776,'Master Database'!$A$5:$A$600,0)),"(row not found)"))</f>
        <v/>
      </c>
      <c r="E776" s="42"/>
      <c r="F776" s="45" t="str">
        <f aca="false">IF(E776="","",IFERROR(INDEX(Vendor_Register!$B$5:$B$205,MATCH(E776,Vendor_Register!$A$5:$A$205,0)),"(not in register)"))</f>
        <v/>
      </c>
      <c r="G776" s="45" t="str">
        <f aca="false">IF(E776="","",IFERROR(INDEX(Vendor_Register!$E$5:$E$205,MATCH(E776,Vendor_Register!$A$5:$A$205,0)),"(not in register)"))</f>
        <v/>
      </c>
      <c r="H776" s="42"/>
      <c r="I776" s="42"/>
      <c r="J776" s="42"/>
      <c r="K776" s="42"/>
      <c r="L776" s="42"/>
      <c r="M776" s="46"/>
      <c r="N776" s="42"/>
      <c r="O776" s="47" t="str">
        <f aca="false">IF(NOT(ISNUMBER(M776)),"",IFERROR(IF(L776="EUR",M776,IF(L776="IRR",M776/INDEX('Assumptions &amp; FX Reference'!$C$5:$C$25,MATCH(H776,'Assumptions &amp; FX Reference'!$A$5:$A$25,0)),IF(L776="USD",M776*INDEX('Assumptions &amp; FX Reference'!$B$5:$B$25,MATCH(H776,'Assumptions &amp; FX Reference'!$A$5:$A$25,0))/INDEX('Assumptions &amp; FX Reference'!$C$5:$C$25,MATCH(H776,'Assumptions &amp; FX Reference'!$A$5:$A$25,0)),""))),"(FX missing)"))</f>
        <v/>
      </c>
      <c r="P776" s="42"/>
      <c r="Q776" s="42"/>
      <c r="R776" s="42"/>
      <c r="S776" s="42"/>
      <c r="T776" s="42"/>
      <c r="U776" s="42"/>
      <c r="V776" s="42"/>
    </row>
    <row r="777" customFormat="false" ht="15" hidden="false" customHeight="false" outlineLevel="0" collapsed="false">
      <c r="A777" s="42"/>
      <c r="B777" s="42"/>
      <c r="C777" s="45" t="str">
        <f aca="false">IF(B777="","",IFERROR(INDEX('Master Database'!$D$5:$D$600,MATCH(B777,'Master Database'!$A$5:$A$600,0)),"(row not found)"))</f>
        <v/>
      </c>
      <c r="D777" s="45" t="str">
        <f aca="false">IF(B777="","",IFERROR(INDEX('Master Database'!$B$5:$B$600,MATCH(B777,'Master Database'!$A$5:$A$600,0)),"(row not found)"))</f>
        <v/>
      </c>
      <c r="E777" s="42"/>
      <c r="F777" s="45" t="str">
        <f aca="false">IF(E777="","",IFERROR(INDEX(Vendor_Register!$B$5:$B$205,MATCH(E777,Vendor_Register!$A$5:$A$205,0)),"(not in register)"))</f>
        <v/>
      </c>
      <c r="G777" s="45" t="str">
        <f aca="false">IF(E777="","",IFERROR(INDEX(Vendor_Register!$E$5:$E$205,MATCH(E777,Vendor_Register!$A$5:$A$205,0)),"(not in register)"))</f>
        <v/>
      </c>
      <c r="H777" s="42"/>
      <c r="I777" s="42"/>
      <c r="J777" s="42"/>
      <c r="K777" s="42"/>
      <c r="L777" s="42"/>
      <c r="M777" s="46"/>
      <c r="N777" s="42"/>
      <c r="O777" s="47" t="str">
        <f aca="false">IF(NOT(ISNUMBER(M777)),"",IFERROR(IF(L777="EUR",M777,IF(L777="IRR",M777/INDEX('Assumptions &amp; FX Reference'!$C$5:$C$25,MATCH(H777,'Assumptions &amp; FX Reference'!$A$5:$A$25,0)),IF(L777="USD",M777*INDEX('Assumptions &amp; FX Reference'!$B$5:$B$25,MATCH(H777,'Assumptions &amp; FX Reference'!$A$5:$A$25,0))/INDEX('Assumptions &amp; FX Reference'!$C$5:$C$25,MATCH(H777,'Assumptions &amp; FX Reference'!$A$5:$A$25,0)),""))),"(FX missing)"))</f>
        <v/>
      </c>
      <c r="P777" s="42"/>
      <c r="Q777" s="42"/>
      <c r="R777" s="42"/>
      <c r="S777" s="42"/>
      <c r="T777" s="42"/>
      <c r="U777" s="42"/>
      <c r="V777" s="42"/>
    </row>
    <row r="778" customFormat="false" ht="15" hidden="false" customHeight="false" outlineLevel="0" collapsed="false">
      <c r="A778" s="42"/>
      <c r="B778" s="42"/>
      <c r="C778" s="45" t="str">
        <f aca="false">IF(B778="","",IFERROR(INDEX('Master Database'!$D$5:$D$600,MATCH(B778,'Master Database'!$A$5:$A$600,0)),"(row not found)"))</f>
        <v/>
      </c>
      <c r="D778" s="45" t="str">
        <f aca="false">IF(B778="","",IFERROR(INDEX('Master Database'!$B$5:$B$600,MATCH(B778,'Master Database'!$A$5:$A$600,0)),"(row not found)"))</f>
        <v/>
      </c>
      <c r="E778" s="42"/>
      <c r="F778" s="45" t="str">
        <f aca="false">IF(E778="","",IFERROR(INDEX(Vendor_Register!$B$5:$B$205,MATCH(E778,Vendor_Register!$A$5:$A$205,0)),"(not in register)"))</f>
        <v/>
      </c>
      <c r="G778" s="45" t="str">
        <f aca="false">IF(E778="","",IFERROR(INDEX(Vendor_Register!$E$5:$E$205,MATCH(E778,Vendor_Register!$A$5:$A$205,0)),"(not in register)"))</f>
        <v/>
      </c>
      <c r="H778" s="42"/>
      <c r="I778" s="42"/>
      <c r="J778" s="42"/>
      <c r="K778" s="42"/>
      <c r="L778" s="42"/>
      <c r="M778" s="46"/>
      <c r="N778" s="42"/>
      <c r="O778" s="47" t="str">
        <f aca="false">IF(NOT(ISNUMBER(M778)),"",IFERROR(IF(L778="EUR",M778,IF(L778="IRR",M778/INDEX('Assumptions &amp; FX Reference'!$C$5:$C$25,MATCH(H778,'Assumptions &amp; FX Reference'!$A$5:$A$25,0)),IF(L778="USD",M778*INDEX('Assumptions &amp; FX Reference'!$B$5:$B$25,MATCH(H778,'Assumptions &amp; FX Reference'!$A$5:$A$25,0))/INDEX('Assumptions &amp; FX Reference'!$C$5:$C$25,MATCH(H778,'Assumptions &amp; FX Reference'!$A$5:$A$25,0)),""))),"(FX missing)"))</f>
        <v/>
      </c>
      <c r="P778" s="42"/>
      <c r="Q778" s="42"/>
      <c r="R778" s="42"/>
      <c r="S778" s="42"/>
      <c r="T778" s="42"/>
      <c r="U778" s="42"/>
      <c r="V778" s="42"/>
    </row>
    <row r="779" customFormat="false" ht="15" hidden="false" customHeight="false" outlineLevel="0" collapsed="false">
      <c r="A779" s="42"/>
      <c r="B779" s="42"/>
      <c r="C779" s="45" t="str">
        <f aca="false">IF(B779="","",IFERROR(INDEX('Master Database'!$D$5:$D$600,MATCH(B779,'Master Database'!$A$5:$A$600,0)),"(row not found)"))</f>
        <v/>
      </c>
      <c r="D779" s="45" t="str">
        <f aca="false">IF(B779="","",IFERROR(INDEX('Master Database'!$B$5:$B$600,MATCH(B779,'Master Database'!$A$5:$A$600,0)),"(row not found)"))</f>
        <v/>
      </c>
      <c r="E779" s="42"/>
      <c r="F779" s="45" t="str">
        <f aca="false">IF(E779="","",IFERROR(INDEX(Vendor_Register!$B$5:$B$205,MATCH(E779,Vendor_Register!$A$5:$A$205,0)),"(not in register)"))</f>
        <v/>
      </c>
      <c r="G779" s="45" t="str">
        <f aca="false">IF(E779="","",IFERROR(INDEX(Vendor_Register!$E$5:$E$205,MATCH(E779,Vendor_Register!$A$5:$A$205,0)),"(not in register)"))</f>
        <v/>
      </c>
      <c r="H779" s="42"/>
      <c r="I779" s="42"/>
      <c r="J779" s="42"/>
      <c r="K779" s="42"/>
      <c r="L779" s="42"/>
      <c r="M779" s="46"/>
      <c r="N779" s="42"/>
      <c r="O779" s="47" t="str">
        <f aca="false">IF(NOT(ISNUMBER(M779)),"",IFERROR(IF(L779="EUR",M779,IF(L779="IRR",M779/INDEX('Assumptions &amp; FX Reference'!$C$5:$C$25,MATCH(H779,'Assumptions &amp; FX Reference'!$A$5:$A$25,0)),IF(L779="USD",M779*INDEX('Assumptions &amp; FX Reference'!$B$5:$B$25,MATCH(H779,'Assumptions &amp; FX Reference'!$A$5:$A$25,0))/INDEX('Assumptions &amp; FX Reference'!$C$5:$C$25,MATCH(H779,'Assumptions &amp; FX Reference'!$A$5:$A$25,0)),""))),"(FX missing)"))</f>
        <v/>
      </c>
      <c r="P779" s="42"/>
      <c r="Q779" s="42"/>
      <c r="R779" s="42"/>
      <c r="S779" s="42"/>
      <c r="T779" s="42"/>
      <c r="U779" s="42"/>
      <c r="V779" s="42"/>
    </row>
    <row r="780" customFormat="false" ht="15" hidden="false" customHeight="false" outlineLevel="0" collapsed="false">
      <c r="A780" s="42"/>
      <c r="B780" s="42"/>
      <c r="C780" s="45" t="str">
        <f aca="false">IF(B780="","",IFERROR(INDEX('Master Database'!$D$5:$D$600,MATCH(B780,'Master Database'!$A$5:$A$600,0)),"(row not found)"))</f>
        <v/>
      </c>
      <c r="D780" s="45" t="str">
        <f aca="false">IF(B780="","",IFERROR(INDEX('Master Database'!$B$5:$B$600,MATCH(B780,'Master Database'!$A$5:$A$600,0)),"(row not found)"))</f>
        <v/>
      </c>
      <c r="E780" s="42"/>
      <c r="F780" s="45" t="str">
        <f aca="false">IF(E780="","",IFERROR(INDEX(Vendor_Register!$B$5:$B$205,MATCH(E780,Vendor_Register!$A$5:$A$205,0)),"(not in register)"))</f>
        <v/>
      </c>
      <c r="G780" s="45" t="str">
        <f aca="false">IF(E780="","",IFERROR(INDEX(Vendor_Register!$E$5:$E$205,MATCH(E780,Vendor_Register!$A$5:$A$205,0)),"(not in register)"))</f>
        <v/>
      </c>
      <c r="H780" s="42"/>
      <c r="I780" s="42"/>
      <c r="J780" s="42"/>
      <c r="K780" s="42"/>
      <c r="L780" s="42"/>
      <c r="M780" s="46"/>
      <c r="N780" s="42"/>
      <c r="O780" s="47" t="str">
        <f aca="false">IF(NOT(ISNUMBER(M780)),"",IFERROR(IF(L780="EUR",M780,IF(L780="IRR",M780/INDEX('Assumptions &amp; FX Reference'!$C$5:$C$25,MATCH(H780,'Assumptions &amp; FX Reference'!$A$5:$A$25,0)),IF(L780="USD",M780*INDEX('Assumptions &amp; FX Reference'!$B$5:$B$25,MATCH(H780,'Assumptions &amp; FX Reference'!$A$5:$A$25,0))/INDEX('Assumptions &amp; FX Reference'!$C$5:$C$25,MATCH(H780,'Assumptions &amp; FX Reference'!$A$5:$A$25,0)),""))),"(FX missing)"))</f>
        <v/>
      </c>
      <c r="P780" s="42"/>
      <c r="Q780" s="42"/>
      <c r="R780" s="42"/>
      <c r="S780" s="42"/>
      <c r="T780" s="42"/>
      <c r="U780" s="42"/>
      <c r="V780" s="42"/>
    </row>
    <row r="781" customFormat="false" ht="15" hidden="false" customHeight="false" outlineLevel="0" collapsed="false">
      <c r="A781" s="42"/>
      <c r="B781" s="42"/>
      <c r="C781" s="45" t="str">
        <f aca="false">IF(B781="","",IFERROR(INDEX('Master Database'!$D$5:$D$600,MATCH(B781,'Master Database'!$A$5:$A$600,0)),"(row not found)"))</f>
        <v/>
      </c>
      <c r="D781" s="45" t="str">
        <f aca="false">IF(B781="","",IFERROR(INDEX('Master Database'!$B$5:$B$600,MATCH(B781,'Master Database'!$A$5:$A$600,0)),"(row not found)"))</f>
        <v/>
      </c>
      <c r="E781" s="42"/>
      <c r="F781" s="45" t="str">
        <f aca="false">IF(E781="","",IFERROR(INDEX(Vendor_Register!$B$5:$B$205,MATCH(E781,Vendor_Register!$A$5:$A$205,0)),"(not in register)"))</f>
        <v/>
      </c>
      <c r="G781" s="45" t="str">
        <f aca="false">IF(E781="","",IFERROR(INDEX(Vendor_Register!$E$5:$E$205,MATCH(E781,Vendor_Register!$A$5:$A$205,0)),"(not in register)"))</f>
        <v/>
      </c>
      <c r="H781" s="42"/>
      <c r="I781" s="42"/>
      <c r="J781" s="42"/>
      <c r="K781" s="42"/>
      <c r="L781" s="42"/>
      <c r="M781" s="46"/>
      <c r="N781" s="42"/>
      <c r="O781" s="47" t="str">
        <f aca="false">IF(NOT(ISNUMBER(M781)),"",IFERROR(IF(L781="EUR",M781,IF(L781="IRR",M781/INDEX('Assumptions &amp; FX Reference'!$C$5:$C$25,MATCH(H781,'Assumptions &amp; FX Reference'!$A$5:$A$25,0)),IF(L781="USD",M781*INDEX('Assumptions &amp; FX Reference'!$B$5:$B$25,MATCH(H781,'Assumptions &amp; FX Reference'!$A$5:$A$25,0))/INDEX('Assumptions &amp; FX Reference'!$C$5:$C$25,MATCH(H781,'Assumptions &amp; FX Reference'!$A$5:$A$25,0)),""))),"(FX missing)"))</f>
        <v/>
      </c>
      <c r="P781" s="42"/>
      <c r="Q781" s="42"/>
      <c r="R781" s="42"/>
      <c r="S781" s="42"/>
      <c r="T781" s="42"/>
      <c r="U781" s="42"/>
      <c r="V781" s="42"/>
    </row>
    <row r="782" customFormat="false" ht="15" hidden="false" customHeight="false" outlineLevel="0" collapsed="false">
      <c r="A782" s="42"/>
      <c r="B782" s="42"/>
      <c r="C782" s="45" t="str">
        <f aca="false">IF(B782="","",IFERROR(INDEX('Master Database'!$D$5:$D$600,MATCH(B782,'Master Database'!$A$5:$A$600,0)),"(row not found)"))</f>
        <v/>
      </c>
      <c r="D782" s="45" t="str">
        <f aca="false">IF(B782="","",IFERROR(INDEX('Master Database'!$B$5:$B$600,MATCH(B782,'Master Database'!$A$5:$A$600,0)),"(row not found)"))</f>
        <v/>
      </c>
      <c r="E782" s="42"/>
      <c r="F782" s="45" t="str">
        <f aca="false">IF(E782="","",IFERROR(INDEX(Vendor_Register!$B$5:$B$205,MATCH(E782,Vendor_Register!$A$5:$A$205,0)),"(not in register)"))</f>
        <v/>
      </c>
      <c r="G782" s="45" t="str">
        <f aca="false">IF(E782="","",IFERROR(INDEX(Vendor_Register!$E$5:$E$205,MATCH(E782,Vendor_Register!$A$5:$A$205,0)),"(not in register)"))</f>
        <v/>
      </c>
      <c r="H782" s="42"/>
      <c r="I782" s="42"/>
      <c r="J782" s="42"/>
      <c r="K782" s="42"/>
      <c r="L782" s="42"/>
      <c r="M782" s="46"/>
      <c r="N782" s="42"/>
      <c r="O782" s="47" t="str">
        <f aca="false">IF(NOT(ISNUMBER(M782)),"",IFERROR(IF(L782="EUR",M782,IF(L782="IRR",M782/INDEX('Assumptions &amp; FX Reference'!$C$5:$C$25,MATCH(H782,'Assumptions &amp; FX Reference'!$A$5:$A$25,0)),IF(L782="USD",M782*INDEX('Assumptions &amp; FX Reference'!$B$5:$B$25,MATCH(H782,'Assumptions &amp; FX Reference'!$A$5:$A$25,0))/INDEX('Assumptions &amp; FX Reference'!$C$5:$C$25,MATCH(H782,'Assumptions &amp; FX Reference'!$A$5:$A$25,0)),""))),"(FX missing)"))</f>
        <v/>
      </c>
      <c r="P782" s="42"/>
      <c r="Q782" s="42"/>
      <c r="R782" s="42"/>
      <c r="S782" s="42"/>
      <c r="T782" s="42"/>
      <c r="U782" s="42"/>
      <c r="V782" s="42"/>
    </row>
    <row r="783" customFormat="false" ht="15" hidden="false" customHeight="false" outlineLevel="0" collapsed="false">
      <c r="A783" s="42"/>
      <c r="B783" s="42"/>
      <c r="C783" s="45" t="str">
        <f aca="false">IF(B783="","",IFERROR(INDEX('Master Database'!$D$5:$D$600,MATCH(B783,'Master Database'!$A$5:$A$600,0)),"(row not found)"))</f>
        <v/>
      </c>
      <c r="D783" s="45" t="str">
        <f aca="false">IF(B783="","",IFERROR(INDEX('Master Database'!$B$5:$B$600,MATCH(B783,'Master Database'!$A$5:$A$600,0)),"(row not found)"))</f>
        <v/>
      </c>
      <c r="E783" s="42"/>
      <c r="F783" s="45" t="str">
        <f aca="false">IF(E783="","",IFERROR(INDEX(Vendor_Register!$B$5:$B$205,MATCH(E783,Vendor_Register!$A$5:$A$205,0)),"(not in register)"))</f>
        <v/>
      </c>
      <c r="G783" s="45" t="str">
        <f aca="false">IF(E783="","",IFERROR(INDEX(Vendor_Register!$E$5:$E$205,MATCH(E783,Vendor_Register!$A$5:$A$205,0)),"(not in register)"))</f>
        <v/>
      </c>
      <c r="H783" s="42"/>
      <c r="I783" s="42"/>
      <c r="J783" s="42"/>
      <c r="K783" s="42"/>
      <c r="L783" s="42"/>
      <c r="M783" s="46"/>
      <c r="N783" s="42"/>
      <c r="O783" s="47" t="str">
        <f aca="false">IF(NOT(ISNUMBER(M783)),"",IFERROR(IF(L783="EUR",M783,IF(L783="IRR",M783/INDEX('Assumptions &amp; FX Reference'!$C$5:$C$25,MATCH(H783,'Assumptions &amp; FX Reference'!$A$5:$A$25,0)),IF(L783="USD",M783*INDEX('Assumptions &amp; FX Reference'!$B$5:$B$25,MATCH(H783,'Assumptions &amp; FX Reference'!$A$5:$A$25,0))/INDEX('Assumptions &amp; FX Reference'!$C$5:$C$25,MATCH(H783,'Assumptions &amp; FX Reference'!$A$5:$A$25,0)),""))),"(FX missing)"))</f>
        <v/>
      </c>
      <c r="P783" s="42"/>
      <c r="Q783" s="42"/>
      <c r="R783" s="42"/>
      <c r="S783" s="42"/>
      <c r="T783" s="42"/>
      <c r="U783" s="42"/>
      <c r="V783" s="42"/>
    </row>
    <row r="784" customFormat="false" ht="15" hidden="false" customHeight="false" outlineLevel="0" collapsed="false">
      <c r="A784" s="42"/>
      <c r="B784" s="42"/>
      <c r="C784" s="45" t="str">
        <f aca="false">IF(B784="","",IFERROR(INDEX('Master Database'!$D$5:$D$600,MATCH(B784,'Master Database'!$A$5:$A$600,0)),"(row not found)"))</f>
        <v/>
      </c>
      <c r="D784" s="45" t="str">
        <f aca="false">IF(B784="","",IFERROR(INDEX('Master Database'!$B$5:$B$600,MATCH(B784,'Master Database'!$A$5:$A$600,0)),"(row not found)"))</f>
        <v/>
      </c>
      <c r="E784" s="42"/>
      <c r="F784" s="45" t="str">
        <f aca="false">IF(E784="","",IFERROR(INDEX(Vendor_Register!$B$5:$B$205,MATCH(E784,Vendor_Register!$A$5:$A$205,0)),"(not in register)"))</f>
        <v/>
      </c>
      <c r="G784" s="45" t="str">
        <f aca="false">IF(E784="","",IFERROR(INDEX(Vendor_Register!$E$5:$E$205,MATCH(E784,Vendor_Register!$A$5:$A$205,0)),"(not in register)"))</f>
        <v/>
      </c>
      <c r="H784" s="42"/>
      <c r="I784" s="42"/>
      <c r="J784" s="42"/>
      <c r="K784" s="42"/>
      <c r="L784" s="42"/>
      <c r="M784" s="46"/>
      <c r="N784" s="42"/>
      <c r="O784" s="47" t="str">
        <f aca="false">IF(NOT(ISNUMBER(M784)),"",IFERROR(IF(L784="EUR",M784,IF(L784="IRR",M784/INDEX('Assumptions &amp; FX Reference'!$C$5:$C$25,MATCH(H784,'Assumptions &amp; FX Reference'!$A$5:$A$25,0)),IF(L784="USD",M784*INDEX('Assumptions &amp; FX Reference'!$B$5:$B$25,MATCH(H784,'Assumptions &amp; FX Reference'!$A$5:$A$25,0))/INDEX('Assumptions &amp; FX Reference'!$C$5:$C$25,MATCH(H784,'Assumptions &amp; FX Reference'!$A$5:$A$25,0)),""))),"(FX missing)"))</f>
        <v/>
      </c>
      <c r="P784" s="42"/>
      <c r="Q784" s="42"/>
      <c r="R784" s="42"/>
      <c r="S784" s="42"/>
      <c r="T784" s="42"/>
      <c r="U784" s="42"/>
      <c r="V784" s="42"/>
    </row>
    <row r="785" customFormat="false" ht="15" hidden="false" customHeight="false" outlineLevel="0" collapsed="false">
      <c r="A785" s="42"/>
      <c r="B785" s="42"/>
      <c r="C785" s="45" t="str">
        <f aca="false">IF(B785="","",IFERROR(INDEX('Master Database'!$D$5:$D$600,MATCH(B785,'Master Database'!$A$5:$A$600,0)),"(row not found)"))</f>
        <v/>
      </c>
      <c r="D785" s="45" t="str">
        <f aca="false">IF(B785="","",IFERROR(INDEX('Master Database'!$B$5:$B$600,MATCH(B785,'Master Database'!$A$5:$A$600,0)),"(row not found)"))</f>
        <v/>
      </c>
      <c r="E785" s="42"/>
      <c r="F785" s="45" t="str">
        <f aca="false">IF(E785="","",IFERROR(INDEX(Vendor_Register!$B$5:$B$205,MATCH(E785,Vendor_Register!$A$5:$A$205,0)),"(not in register)"))</f>
        <v/>
      </c>
      <c r="G785" s="45" t="str">
        <f aca="false">IF(E785="","",IFERROR(INDEX(Vendor_Register!$E$5:$E$205,MATCH(E785,Vendor_Register!$A$5:$A$205,0)),"(not in register)"))</f>
        <v/>
      </c>
      <c r="H785" s="42"/>
      <c r="I785" s="42"/>
      <c r="J785" s="42"/>
      <c r="K785" s="42"/>
      <c r="L785" s="42"/>
      <c r="M785" s="46"/>
      <c r="N785" s="42"/>
      <c r="O785" s="47" t="str">
        <f aca="false">IF(NOT(ISNUMBER(M785)),"",IFERROR(IF(L785="EUR",M785,IF(L785="IRR",M785/INDEX('Assumptions &amp; FX Reference'!$C$5:$C$25,MATCH(H785,'Assumptions &amp; FX Reference'!$A$5:$A$25,0)),IF(L785="USD",M785*INDEX('Assumptions &amp; FX Reference'!$B$5:$B$25,MATCH(H785,'Assumptions &amp; FX Reference'!$A$5:$A$25,0))/INDEX('Assumptions &amp; FX Reference'!$C$5:$C$25,MATCH(H785,'Assumptions &amp; FX Reference'!$A$5:$A$25,0)),""))),"(FX missing)"))</f>
        <v/>
      </c>
      <c r="P785" s="42"/>
      <c r="Q785" s="42"/>
      <c r="R785" s="42"/>
      <c r="S785" s="42"/>
      <c r="T785" s="42"/>
      <c r="U785" s="42"/>
      <c r="V785" s="42"/>
    </row>
    <row r="786" customFormat="false" ht="15" hidden="false" customHeight="false" outlineLevel="0" collapsed="false">
      <c r="A786" s="42"/>
      <c r="B786" s="42"/>
      <c r="C786" s="45" t="str">
        <f aca="false">IF(B786="","",IFERROR(INDEX('Master Database'!$D$5:$D$600,MATCH(B786,'Master Database'!$A$5:$A$600,0)),"(row not found)"))</f>
        <v/>
      </c>
      <c r="D786" s="45" t="str">
        <f aca="false">IF(B786="","",IFERROR(INDEX('Master Database'!$B$5:$B$600,MATCH(B786,'Master Database'!$A$5:$A$600,0)),"(row not found)"))</f>
        <v/>
      </c>
      <c r="E786" s="42"/>
      <c r="F786" s="45" t="str">
        <f aca="false">IF(E786="","",IFERROR(INDEX(Vendor_Register!$B$5:$B$205,MATCH(E786,Vendor_Register!$A$5:$A$205,0)),"(not in register)"))</f>
        <v/>
      </c>
      <c r="G786" s="45" t="str">
        <f aca="false">IF(E786="","",IFERROR(INDEX(Vendor_Register!$E$5:$E$205,MATCH(E786,Vendor_Register!$A$5:$A$205,0)),"(not in register)"))</f>
        <v/>
      </c>
      <c r="H786" s="42"/>
      <c r="I786" s="42"/>
      <c r="J786" s="42"/>
      <c r="K786" s="42"/>
      <c r="L786" s="42"/>
      <c r="M786" s="46"/>
      <c r="N786" s="42"/>
      <c r="O786" s="47" t="str">
        <f aca="false">IF(NOT(ISNUMBER(M786)),"",IFERROR(IF(L786="EUR",M786,IF(L786="IRR",M786/INDEX('Assumptions &amp; FX Reference'!$C$5:$C$25,MATCH(H786,'Assumptions &amp; FX Reference'!$A$5:$A$25,0)),IF(L786="USD",M786*INDEX('Assumptions &amp; FX Reference'!$B$5:$B$25,MATCH(H786,'Assumptions &amp; FX Reference'!$A$5:$A$25,0))/INDEX('Assumptions &amp; FX Reference'!$C$5:$C$25,MATCH(H786,'Assumptions &amp; FX Reference'!$A$5:$A$25,0)),""))),"(FX missing)"))</f>
        <v/>
      </c>
      <c r="P786" s="42"/>
      <c r="Q786" s="42"/>
      <c r="R786" s="42"/>
      <c r="S786" s="42"/>
      <c r="T786" s="42"/>
      <c r="U786" s="42"/>
      <c r="V786" s="42"/>
    </row>
    <row r="787" customFormat="false" ht="15" hidden="false" customHeight="false" outlineLevel="0" collapsed="false">
      <c r="A787" s="42"/>
      <c r="B787" s="42"/>
      <c r="C787" s="45" t="str">
        <f aca="false">IF(B787="","",IFERROR(INDEX('Master Database'!$D$5:$D$600,MATCH(B787,'Master Database'!$A$5:$A$600,0)),"(row not found)"))</f>
        <v/>
      </c>
      <c r="D787" s="45" t="str">
        <f aca="false">IF(B787="","",IFERROR(INDEX('Master Database'!$B$5:$B$600,MATCH(B787,'Master Database'!$A$5:$A$600,0)),"(row not found)"))</f>
        <v/>
      </c>
      <c r="E787" s="42"/>
      <c r="F787" s="45" t="str">
        <f aca="false">IF(E787="","",IFERROR(INDEX(Vendor_Register!$B$5:$B$205,MATCH(E787,Vendor_Register!$A$5:$A$205,0)),"(not in register)"))</f>
        <v/>
      </c>
      <c r="G787" s="45" t="str">
        <f aca="false">IF(E787="","",IFERROR(INDEX(Vendor_Register!$E$5:$E$205,MATCH(E787,Vendor_Register!$A$5:$A$205,0)),"(not in register)"))</f>
        <v/>
      </c>
      <c r="H787" s="42"/>
      <c r="I787" s="42"/>
      <c r="J787" s="42"/>
      <c r="K787" s="42"/>
      <c r="L787" s="42"/>
      <c r="M787" s="46"/>
      <c r="N787" s="42"/>
      <c r="O787" s="47" t="str">
        <f aca="false">IF(NOT(ISNUMBER(M787)),"",IFERROR(IF(L787="EUR",M787,IF(L787="IRR",M787/INDEX('Assumptions &amp; FX Reference'!$C$5:$C$25,MATCH(H787,'Assumptions &amp; FX Reference'!$A$5:$A$25,0)),IF(L787="USD",M787*INDEX('Assumptions &amp; FX Reference'!$B$5:$B$25,MATCH(H787,'Assumptions &amp; FX Reference'!$A$5:$A$25,0))/INDEX('Assumptions &amp; FX Reference'!$C$5:$C$25,MATCH(H787,'Assumptions &amp; FX Reference'!$A$5:$A$25,0)),""))),"(FX missing)"))</f>
        <v/>
      </c>
      <c r="P787" s="42"/>
      <c r="Q787" s="42"/>
      <c r="R787" s="42"/>
      <c r="S787" s="42"/>
      <c r="T787" s="42"/>
      <c r="U787" s="42"/>
      <c r="V787" s="42"/>
    </row>
    <row r="788" customFormat="false" ht="15" hidden="false" customHeight="false" outlineLevel="0" collapsed="false">
      <c r="A788" s="42"/>
      <c r="B788" s="42"/>
      <c r="C788" s="45" t="str">
        <f aca="false">IF(B788="","",IFERROR(INDEX('Master Database'!$D$5:$D$600,MATCH(B788,'Master Database'!$A$5:$A$600,0)),"(row not found)"))</f>
        <v/>
      </c>
      <c r="D788" s="45" t="str">
        <f aca="false">IF(B788="","",IFERROR(INDEX('Master Database'!$B$5:$B$600,MATCH(B788,'Master Database'!$A$5:$A$600,0)),"(row not found)"))</f>
        <v/>
      </c>
      <c r="E788" s="42"/>
      <c r="F788" s="45" t="str">
        <f aca="false">IF(E788="","",IFERROR(INDEX(Vendor_Register!$B$5:$B$205,MATCH(E788,Vendor_Register!$A$5:$A$205,0)),"(not in register)"))</f>
        <v/>
      </c>
      <c r="G788" s="45" t="str">
        <f aca="false">IF(E788="","",IFERROR(INDEX(Vendor_Register!$E$5:$E$205,MATCH(E788,Vendor_Register!$A$5:$A$205,0)),"(not in register)"))</f>
        <v/>
      </c>
      <c r="H788" s="42"/>
      <c r="I788" s="42"/>
      <c r="J788" s="42"/>
      <c r="K788" s="42"/>
      <c r="L788" s="42"/>
      <c r="M788" s="46"/>
      <c r="N788" s="42"/>
      <c r="O788" s="47" t="str">
        <f aca="false">IF(NOT(ISNUMBER(M788)),"",IFERROR(IF(L788="EUR",M788,IF(L788="IRR",M788/INDEX('Assumptions &amp; FX Reference'!$C$5:$C$25,MATCH(H788,'Assumptions &amp; FX Reference'!$A$5:$A$25,0)),IF(L788="USD",M788*INDEX('Assumptions &amp; FX Reference'!$B$5:$B$25,MATCH(H788,'Assumptions &amp; FX Reference'!$A$5:$A$25,0))/INDEX('Assumptions &amp; FX Reference'!$C$5:$C$25,MATCH(H788,'Assumptions &amp; FX Reference'!$A$5:$A$25,0)),""))),"(FX missing)"))</f>
        <v/>
      </c>
      <c r="P788" s="42"/>
      <c r="Q788" s="42"/>
      <c r="R788" s="42"/>
      <c r="S788" s="42"/>
      <c r="T788" s="42"/>
      <c r="U788" s="42"/>
      <c r="V788" s="42"/>
    </row>
    <row r="789" customFormat="false" ht="15" hidden="false" customHeight="false" outlineLevel="0" collapsed="false">
      <c r="A789" s="42"/>
      <c r="B789" s="42"/>
      <c r="C789" s="45" t="str">
        <f aca="false">IF(B789="","",IFERROR(INDEX('Master Database'!$D$5:$D$600,MATCH(B789,'Master Database'!$A$5:$A$600,0)),"(row not found)"))</f>
        <v/>
      </c>
      <c r="D789" s="45" t="str">
        <f aca="false">IF(B789="","",IFERROR(INDEX('Master Database'!$B$5:$B$600,MATCH(B789,'Master Database'!$A$5:$A$600,0)),"(row not found)"))</f>
        <v/>
      </c>
      <c r="E789" s="42"/>
      <c r="F789" s="45" t="str">
        <f aca="false">IF(E789="","",IFERROR(INDEX(Vendor_Register!$B$5:$B$205,MATCH(E789,Vendor_Register!$A$5:$A$205,0)),"(not in register)"))</f>
        <v/>
      </c>
      <c r="G789" s="45" t="str">
        <f aca="false">IF(E789="","",IFERROR(INDEX(Vendor_Register!$E$5:$E$205,MATCH(E789,Vendor_Register!$A$5:$A$205,0)),"(not in register)"))</f>
        <v/>
      </c>
      <c r="H789" s="42"/>
      <c r="I789" s="42"/>
      <c r="J789" s="42"/>
      <c r="K789" s="42"/>
      <c r="L789" s="42"/>
      <c r="M789" s="46"/>
      <c r="N789" s="42"/>
      <c r="O789" s="47" t="str">
        <f aca="false">IF(NOT(ISNUMBER(M789)),"",IFERROR(IF(L789="EUR",M789,IF(L789="IRR",M789/INDEX('Assumptions &amp; FX Reference'!$C$5:$C$25,MATCH(H789,'Assumptions &amp; FX Reference'!$A$5:$A$25,0)),IF(L789="USD",M789*INDEX('Assumptions &amp; FX Reference'!$B$5:$B$25,MATCH(H789,'Assumptions &amp; FX Reference'!$A$5:$A$25,0))/INDEX('Assumptions &amp; FX Reference'!$C$5:$C$25,MATCH(H789,'Assumptions &amp; FX Reference'!$A$5:$A$25,0)),""))),"(FX missing)"))</f>
        <v/>
      </c>
      <c r="P789" s="42"/>
      <c r="Q789" s="42"/>
      <c r="R789" s="42"/>
      <c r="S789" s="42"/>
      <c r="T789" s="42"/>
      <c r="U789" s="42"/>
      <c r="V789" s="42"/>
    </row>
    <row r="790" customFormat="false" ht="15" hidden="false" customHeight="false" outlineLevel="0" collapsed="false">
      <c r="A790" s="42"/>
      <c r="B790" s="42"/>
      <c r="C790" s="45" t="str">
        <f aca="false">IF(B790="","",IFERROR(INDEX('Master Database'!$D$5:$D$600,MATCH(B790,'Master Database'!$A$5:$A$600,0)),"(row not found)"))</f>
        <v/>
      </c>
      <c r="D790" s="45" t="str">
        <f aca="false">IF(B790="","",IFERROR(INDEX('Master Database'!$B$5:$B$600,MATCH(B790,'Master Database'!$A$5:$A$600,0)),"(row not found)"))</f>
        <v/>
      </c>
      <c r="E790" s="42"/>
      <c r="F790" s="45" t="str">
        <f aca="false">IF(E790="","",IFERROR(INDEX(Vendor_Register!$B$5:$B$205,MATCH(E790,Vendor_Register!$A$5:$A$205,0)),"(not in register)"))</f>
        <v/>
      </c>
      <c r="G790" s="45" t="str">
        <f aca="false">IF(E790="","",IFERROR(INDEX(Vendor_Register!$E$5:$E$205,MATCH(E790,Vendor_Register!$A$5:$A$205,0)),"(not in register)"))</f>
        <v/>
      </c>
      <c r="H790" s="42"/>
      <c r="I790" s="42"/>
      <c r="J790" s="42"/>
      <c r="K790" s="42"/>
      <c r="L790" s="42"/>
      <c r="M790" s="46"/>
      <c r="N790" s="42"/>
      <c r="O790" s="47" t="str">
        <f aca="false">IF(NOT(ISNUMBER(M790)),"",IFERROR(IF(L790="EUR",M790,IF(L790="IRR",M790/INDEX('Assumptions &amp; FX Reference'!$C$5:$C$25,MATCH(H790,'Assumptions &amp; FX Reference'!$A$5:$A$25,0)),IF(L790="USD",M790*INDEX('Assumptions &amp; FX Reference'!$B$5:$B$25,MATCH(H790,'Assumptions &amp; FX Reference'!$A$5:$A$25,0))/INDEX('Assumptions &amp; FX Reference'!$C$5:$C$25,MATCH(H790,'Assumptions &amp; FX Reference'!$A$5:$A$25,0)),""))),"(FX missing)"))</f>
        <v/>
      </c>
      <c r="P790" s="42"/>
      <c r="Q790" s="42"/>
      <c r="R790" s="42"/>
      <c r="S790" s="42"/>
      <c r="T790" s="42"/>
      <c r="U790" s="42"/>
      <c r="V790" s="42"/>
    </row>
    <row r="791" customFormat="false" ht="15" hidden="false" customHeight="false" outlineLevel="0" collapsed="false">
      <c r="A791" s="42"/>
      <c r="B791" s="42"/>
      <c r="C791" s="45" t="str">
        <f aca="false">IF(B791="","",IFERROR(INDEX('Master Database'!$D$5:$D$600,MATCH(B791,'Master Database'!$A$5:$A$600,0)),"(row not found)"))</f>
        <v/>
      </c>
      <c r="D791" s="45" t="str">
        <f aca="false">IF(B791="","",IFERROR(INDEX('Master Database'!$B$5:$B$600,MATCH(B791,'Master Database'!$A$5:$A$600,0)),"(row not found)"))</f>
        <v/>
      </c>
      <c r="E791" s="42"/>
      <c r="F791" s="45" t="str">
        <f aca="false">IF(E791="","",IFERROR(INDEX(Vendor_Register!$B$5:$B$205,MATCH(E791,Vendor_Register!$A$5:$A$205,0)),"(not in register)"))</f>
        <v/>
      </c>
      <c r="G791" s="45" t="str">
        <f aca="false">IF(E791="","",IFERROR(INDEX(Vendor_Register!$E$5:$E$205,MATCH(E791,Vendor_Register!$A$5:$A$205,0)),"(not in register)"))</f>
        <v/>
      </c>
      <c r="H791" s="42"/>
      <c r="I791" s="42"/>
      <c r="J791" s="42"/>
      <c r="K791" s="42"/>
      <c r="L791" s="42"/>
      <c r="M791" s="46"/>
      <c r="N791" s="42"/>
      <c r="O791" s="47" t="str">
        <f aca="false">IF(NOT(ISNUMBER(M791)),"",IFERROR(IF(L791="EUR",M791,IF(L791="IRR",M791/INDEX('Assumptions &amp; FX Reference'!$C$5:$C$25,MATCH(H791,'Assumptions &amp; FX Reference'!$A$5:$A$25,0)),IF(L791="USD",M791*INDEX('Assumptions &amp; FX Reference'!$B$5:$B$25,MATCH(H791,'Assumptions &amp; FX Reference'!$A$5:$A$25,0))/INDEX('Assumptions &amp; FX Reference'!$C$5:$C$25,MATCH(H791,'Assumptions &amp; FX Reference'!$A$5:$A$25,0)),""))),"(FX missing)"))</f>
        <v/>
      </c>
      <c r="P791" s="42"/>
      <c r="Q791" s="42"/>
      <c r="R791" s="42"/>
      <c r="S791" s="42"/>
      <c r="T791" s="42"/>
      <c r="U791" s="42"/>
      <c r="V791" s="42"/>
    </row>
    <row r="792" customFormat="false" ht="15" hidden="false" customHeight="false" outlineLevel="0" collapsed="false">
      <c r="A792" s="42"/>
      <c r="B792" s="42"/>
      <c r="C792" s="45" t="str">
        <f aca="false">IF(B792="","",IFERROR(INDEX('Master Database'!$D$5:$D$600,MATCH(B792,'Master Database'!$A$5:$A$600,0)),"(row not found)"))</f>
        <v/>
      </c>
      <c r="D792" s="45" t="str">
        <f aca="false">IF(B792="","",IFERROR(INDEX('Master Database'!$B$5:$B$600,MATCH(B792,'Master Database'!$A$5:$A$600,0)),"(row not found)"))</f>
        <v/>
      </c>
      <c r="E792" s="42"/>
      <c r="F792" s="45" t="str">
        <f aca="false">IF(E792="","",IFERROR(INDEX(Vendor_Register!$B$5:$B$205,MATCH(E792,Vendor_Register!$A$5:$A$205,0)),"(not in register)"))</f>
        <v/>
      </c>
      <c r="G792" s="45" t="str">
        <f aca="false">IF(E792="","",IFERROR(INDEX(Vendor_Register!$E$5:$E$205,MATCH(E792,Vendor_Register!$A$5:$A$205,0)),"(not in register)"))</f>
        <v/>
      </c>
      <c r="H792" s="42"/>
      <c r="I792" s="42"/>
      <c r="J792" s="42"/>
      <c r="K792" s="42"/>
      <c r="L792" s="42"/>
      <c r="M792" s="46"/>
      <c r="N792" s="42"/>
      <c r="O792" s="47" t="str">
        <f aca="false">IF(NOT(ISNUMBER(M792)),"",IFERROR(IF(L792="EUR",M792,IF(L792="IRR",M792/INDEX('Assumptions &amp; FX Reference'!$C$5:$C$25,MATCH(H792,'Assumptions &amp; FX Reference'!$A$5:$A$25,0)),IF(L792="USD",M792*INDEX('Assumptions &amp; FX Reference'!$B$5:$B$25,MATCH(H792,'Assumptions &amp; FX Reference'!$A$5:$A$25,0))/INDEX('Assumptions &amp; FX Reference'!$C$5:$C$25,MATCH(H792,'Assumptions &amp; FX Reference'!$A$5:$A$25,0)),""))),"(FX missing)"))</f>
        <v/>
      </c>
      <c r="P792" s="42"/>
      <c r="Q792" s="42"/>
      <c r="R792" s="42"/>
      <c r="S792" s="42"/>
      <c r="T792" s="42"/>
      <c r="U792" s="42"/>
      <c r="V792" s="42"/>
    </row>
    <row r="793" customFormat="false" ht="15" hidden="false" customHeight="false" outlineLevel="0" collapsed="false">
      <c r="A793" s="42"/>
      <c r="B793" s="42"/>
      <c r="C793" s="45" t="str">
        <f aca="false">IF(B793="","",IFERROR(INDEX('Master Database'!$D$5:$D$600,MATCH(B793,'Master Database'!$A$5:$A$600,0)),"(row not found)"))</f>
        <v/>
      </c>
      <c r="D793" s="45" t="str">
        <f aca="false">IF(B793="","",IFERROR(INDEX('Master Database'!$B$5:$B$600,MATCH(B793,'Master Database'!$A$5:$A$600,0)),"(row not found)"))</f>
        <v/>
      </c>
      <c r="E793" s="42"/>
      <c r="F793" s="45" t="str">
        <f aca="false">IF(E793="","",IFERROR(INDEX(Vendor_Register!$B$5:$B$205,MATCH(E793,Vendor_Register!$A$5:$A$205,0)),"(not in register)"))</f>
        <v/>
      </c>
      <c r="G793" s="45" t="str">
        <f aca="false">IF(E793="","",IFERROR(INDEX(Vendor_Register!$E$5:$E$205,MATCH(E793,Vendor_Register!$A$5:$A$205,0)),"(not in register)"))</f>
        <v/>
      </c>
      <c r="H793" s="42"/>
      <c r="I793" s="42"/>
      <c r="J793" s="42"/>
      <c r="K793" s="42"/>
      <c r="L793" s="42"/>
      <c r="M793" s="46"/>
      <c r="N793" s="42"/>
      <c r="O793" s="47" t="str">
        <f aca="false">IF(NOT(ISNUMBER(M793)),"",IFERROR(IF(L793="EUR",M793,IF(L793="IRR",M793/INDEX('Assumptions &amp; FX Reference'!$C$5:$C$25,MATCH(H793,'Assumptions &amp; FX Reference'!$A$5:$A$25,0)),IF(L793="USD",M793*INDEX('Assumptions &amp; FX Reference'!$B$5:$B$25,MATCH(H793,'Assumptions &amp; FX Reference'!$A$5:$A$25,0))/INDEX('Assumptions &amp; FX Reference'!$C$5:$C$25,MATCH(H793,'Assumptions &amp; FX Reference'!$A$5:$A$25,0)),""))),"(FX missing)"))</f>
        <v/>
      </c>
      <c r="P793" s="42"/>
      <c r="Q793" s="42"/>
      <c r="R793" s="42"/>
      <c r="S793" s="42"/>
      <c r="T793" s="42"/>
      <c r="U793" s="42"/>
      <c r="V793" s="42"/>
    </row>
    <row r="794" customFormat="false" ht="15" hidden="false" customHeight="false" outlineLevel="0" collapsed="false">
      <c r="A794" s="42"/>
      <c r="B794" s="42"/>
      <c r="C794" s="45" t="str">
        <f aca="false">IF(B794="","",IFERROR(INDEX('Master Database'!$D$5:$D$600,MATCH(B794,'Master Database'!$A$5:$A$600,0)),"(row not found)"))</f>
        <v/>
      </c>
      <c r="D794" s="45" t="str">
        <f aca="false">IF(B794="","",IFERROR(INDEX('Master Database'!$B$5:$B$600,MATCH(B794,'Master Database'!$A$5:$A$600,0)),"(row not found)"))</f>
        <v/>
      </c>
      <c r="E794" s="42"/>
      <c r="F794" s="45" t="str">
        <f aca="false">IF(E794="","",IFERROR(INDEX(Vendor_Register!$B$5:$B$205,MATCH(E794,Vendor_Register!$A$5:$A$205,0)),"(not in register)"))</f>
        <v/>
      </c>
      <c r="G794" s="45" t="str">
        <f aca="false">IF(E794="","",IFERROR(INDEX(Vendor_Register!$E$5:$E$205,MATCH(E794,Vendor_Register!$A$5:$A$205,0)),"(not in register)"))</f>
        <v/>
      </c>
      <c r="H794" s="42"/>
      <c r="I794" s="42"/>
      <c r="J794" s="42"/>
      <c r="K794" s="42"/>
      <c r="L794" s="42"/>
      <c r="M794" s="46"/>
      <c r="N794" s="42"/>
      <c r="O794" s="47" t="str">
        <f aca="false">IF(NOT(ISNUMBER(M794)),"",IFERROR(IF(L794="EUR",M794,IF(L794="IRR",M794/INDEX('Assumptions &amp; FX Reference'!$C$5:$C$25,MATCH(H794,'Assumptions &amp; FX Reference'!$A$5:$A$25,0)),IF(L794="USD",M794*INDEX('Assumptions &amp; FX Reference'!$B$5:$B$25,MATCH(H794,'Assumptions &amp; FX Reference'!$A$5:$A$25,0))/INDEX('Assumptions &amp; FX Reference'!$C$5:$C$25,MATCH(H794,'Assumptions &amp; FX Reference'!$A$5:$A$25,0)),""))),"(FX missing)"))</f>
        <v/>
      </c>
      <c r="P794" s="42"/>
      <c r="Q794" s="42"/>
      <c r="R794" s="42"/>
      <c r="S794" s="42"/>
      <c r="T794" s="42"/>
      <c r="U794" s="42"/>
      <c r="V794" s="42"/>
    </row>
    <row r="795" customFormat="false" ht="15" hidden="false" customHeight="false" outlineLevel="0" collapsed="false">
      <c r="A795" s="42"/>
      <c r="B795" s="42"/>
      <c r="C795" s="45" t="str">
        <f aca="false">IF(B795="","",IFERROR(INDEX('Master Database'!$D$5:$D$600,MATCH(B795,'Master Database'!$A$5:$A$600,0)),"(row not found)"))</f>
        <v/>
      </c>
      <c r="D795" s="45" t="str">
        <f aca="false">IF(B795="","",IFERROR(INDEX('Master Database'!$B$5:$B$600,MATCH(B795,'Master Database'!$A$5:$A$600,0)),"(row not found)"))</f>
        <v/>
      </c>
      <c r="E795" s="42"/>
      <c r="F795" s="45" t="str">
        <f aca="false">IF(E795="","",IFERROR(INDEX(Vendor_Register!$B$5:$B$205,MATCH(E795,Vendor_Register!$A$5:$A$205,0)),"(not in register)"))</f>
        <v/>
      </c>
      <c r="G795" s="45" t="str">
        <f aca="false">IF(E795="","",IFERROR(INDEX(Vendor_Register!$E$5:$E$205,MATCH(E795,Vendor_Register!$A$5:$A$205,0)),"(not in register)"))</f>
        <v/>
      </c>
      <c r="H795" s="42"/>
      <c r="I795" s="42"/>
      <c r="J795" s="42"/>
      <c r="K795" s="42"/>
      <c r="L795" s="42"/>
      <c r="M795" s="46"/>
      <c r="N795" s="42"/>
      <c r="O795" s="47" t="str">
        <f aca="false">IF(NOT(ISNUMBER(M795)),"",IFERROR(IF(L795="EUR",M795,IF(L795="IRR",M795/INDEX('Assumptions &amp; FX Reference'!$C$5:$C$25,MATCH(H795,'Assumptions &amp; FX Reference'!$A$5:$A$25,0)),IF(L795="USD",M795*INDEX('Assumptions &amp; FX Reference'!$B$5:$B$25,MATCH(H795,'Assumptions &amp; FX Reference'!$A$5:$A$25,0))/INDEX('Assumptions &amp; FX Reference'!$C$5:$C$25,MATCH(H795,'Assumptions &amp; FX Reference'!$A$5:$A$25,0)),""))),"(FX missing)"))</f>
        <v/>
      </c>
      <c r="P795" s="42"/>
      <c r="Q795" s="42"/>
      <c r="R795" s="42"/>
      <c r="S795" s="42"/>
      <c r="T795" s="42"/>
      <c r="U795" s="42"/>
      <c r="V795" s="42"/>
    </row>
    <row r="796" customFormat="false" ht="15" hidden="false" customHeight="false" outlineLevel="0" collapsed="false">
      <c r="A796" s="42"/>
      <c r="B796" s="42"/>
      <c r="C796" s="45" t="str">
        <f aca="false">IF(B796="","",IFERROR(INDEX('Master Database'!$D$5:$D$600,MATCH(B796,'Master Database'!$A$5:$A$600,0)),"(row not found)"))</f>
        <v/>
      </c>
      <c r="D796" s="45" t="str">
        <f aca="false">IF(B796="","",IFERROR(INDEX('Master Database'!$B$5:$B$600,MATCH(B796,'Master Database'!$A$5:$A$600,0)),"(row not found)"))</f>
        <v/>
      </c>
      <c r="E796" s="42"/>
      <c r="F796" s="45" t="str">
        <f aca="false">IF(E796="","",IFERROR(INDEX(Vendor_Register!$B$5:$B$205,MATCH(E796,Vendor_Register!$A$5:$A$205,0)),"(not in register)"))</f>
        <v/>
      </c>
      <c r="G796" s="45" t="str">
        <f aca="false">IF(E796="","",IFERROR(INDEX(Vendor_Register!$E$5:$E$205,MATCH(E796,Vendor_Register!$A$5:$A$205,0)),"(not in register)"))</f>
        <v/>
      </c>
      <c r="H796" s="42"/>
      <c r="I796" s="42"/>
      <c r="J796" s="42"/>
      <c r="K796" s="42"/>
      <c r="L796" s="42"/>
      <c r="M796" s="46"/>
      <c r="N796" s="42"/>
      <c r="O796" s="47" t="str">
        <f aca="false">IF(NOT(ISNUMBER(M796)),"",IFERROR(IF(L796="EUR",M796,IF(L796="IRR",M796/INDEX('Assumptions &amp; FX Reference'!$C$5:$C$25,MATCH(H796,'Assumptions &amp; FX Reference'!$A$5:$A$25,0)),IF(L796="USD",M796*INDEX('Assumptions &amp; FX Reference'!$B$5:$B$25,MATCH(H796,'Assumptions &amp; FX Reference'!$A$5:$A$25,0))/INDEX('Assumptions &amp; FX Reference'!$C$5:$C$25,MATCH(H796,'Assumptions &amp; FX Reference'!$A$5:$A$25,0)),""))),"(FX missing)"))</f>
        <v/>
      </c>
      <c r="P796" s="42"/>
      <c r="Q796" s="42"/>
      <c r="R796" s="42"/>
      <c r="S796" s="42"/>
      <c r="T796" s="42"/>
      <c r="U796" s="42"/>
      <c r="V796" s="42"/>
    </row>
    <row r="797" customFormat="false" ht="15" hidden="false" customHeight="false" outlineLevel="0" collapsed="false">
      <c r="A797" s="42"/>
      <c r="B797" s="42"/>
      <c r="C797" s="45" t="str">
        <f aca="false">IF(B797="","",IFERROR(INDEX('Master Database'!$D$5:$D$600,MATCH(B797,'Master Database'!$A$5:$A$600,0)),"(row not found)"))</f>
        <v/>
      </c>
      <c r="D797" s="45" t="str">
        <f aca="false">IF(B797="","",IFERROR(INDEX('Master Database'!$B$5:$B$600,MATCH(B797,'Master Database'!$A$5:$A$600,0)),"(row not found)"))</f>
        <v/>
      </c>
      <c r="E797" s="42"/>
      <c r="F797" s="45" t="str">
        <f aca="false">IF(E797="","",IFERROR(INDEX(Vendor_Register!$B$5:$B$205,MATCH(E797,Vendor_Register!$A$5:$A$205,0)),"(not in register)"))</f>
        <v/>
      </c>
      <c r="G797" s="45" t="str">
        <f aca="false">IF(E797="","",IFERROR(INDEX(Vendor_Register!$E$5:$E$205,MATCH(E797,Vendor_Register!$A$5:$A$205,0)),"(not in register)"))</f>
        <v/>
      </c>
      <c r="H797" s="42"/>
      <c r="I797" s="42"/>
      <c r="J797" s="42"/>
      <c r="K797" s="42"/>
      <c r="L797" s="42"/>
      <c r="M797" s="46"/>
      <c r="N797" s="42"/>
      <c r="O797" s="47" t="str">
        <f aca="false">IF(NOT(ISNUMBER(M797)),"",IFERROR(IF(L797="EUR",M797,IF(L797="IRR",M797/INDEX('Assumptions &amp; FX Reference'!$C$5:$C$25,MATCH(H797,'Assumptions &amp; FX Reference'!$A$5:$A$25,0)),IF(L797="USD",M797*INDEX('Assumptions &amp; FX Reference'!$B$5:$B$25,MATCH(H797,'Assumptions &amp; FX Reference'!$A$5:$A$25,0))/INDEX('Assumptions &amp; FX Reference'!$C$5:$C$25,MATCH(H797,'Assumptions &amp; FX Reference'!$A$5:$A$25,0)),""))),"(FX missing)"))</f>
        <v/>
      </c>
      <c r="P797" s="42"/>
      <c r="Q797" s="42"/>
      <c r="R797" s="42"/>
      <c r="S797" s="42"/>
      <c r="T797" s="42"/>
      <c r="U797" s="42"/>
      <c r="V797" s="42"/>
    </row>
    <row r="798" customFormat="false" ht="15" hidden="false" customHeight="false" outlineLevel="0" collapsed="false">
      <c r="A798" s="42"/>
      <c r="B798" s="42"/>
      <c r="C798" s="45" t="str">
        <f aca="false">IF(B798="","",IFERROR(INDEX('Master Database'!$D$5:$D$600,MATCH(B798,'Master Database'!$A$5:$A$600,0)),"(row not found)"))</f>
        <v/>
      </c>
      <c r="D798" s="45" t="str">
        <f aca="false">IF(B798="","",IFERROR(INDEX('Master Database'!$B$5:$B$600,MATCH(B798,'Master Database'!$A$5:$A$600,0)),"(row not found)"))</f>
        <v/>
      </c>
      <c r="E798" s="42"/>
      <c r="F798" s="45" t="str">
        <f aca="false">IF(E798="","",IFERROR(INDEX(Vendor_Register!$B$5:$B$205,MATCH(E798,Vendor_Register!$A$5:$A$205,0)),"(not in register)"))</f>
        <v/>
      </c>
      <c r="G798" s="45" t="str">
        <f aca="false">IF(E798="","",IFERROR(INDEX(Vendor_Register!$E$5:$E$205,MATCH(E798,Vendor_Register!$A$5:$A$205,0)),"(not in register)"))</f>
        <v/>
      </c>
      <c r="H798" s="42"/>
      <c r="I798" s="42"/>
      <c r="J798" s="42"/>
      <c r="K798" s="42"/>
      <c r="L798" s="42"/>
      <c r="M798" s="46"/>
      <c r="N798" s="42"/>
      <c r="O798" s="47" t="str">
        <f aca="false">IF(NOT(ISNUMBER(M798)),"",IFERROR(IF(L798="EUR",M798,IF(L798="IRR",M798/INDEX('Assumptions &amp; FX Reference'!$C$5:$C$25,MATCH(H798,'Assumptions &amp; FX Reference'!$A$5:$A$25,0)),IF(L798="USD",M798*INDEX('Assumptions &amp; FX Reference'!$B$5:$B$25,MATCH(H798,'Assumptions &amp; FX Reference'!$A$5:$A$25,0))/INDEX('Assumptions &amp; FX Reference'!$C$5:$C$25,MATCH(H798,'Assumptions &amp; FX Reference'!$A$5:$A$25,0)),""))),"(FX missing)"))</f>
        <v/>
      </c>
      <c r="P798" s="42"/>
      <c r="Q798" s="42"/>
      <c r="R798" s="42"/>
      <c r="S798" s="42"/>
      <c r="T798" s="42"/>
      <c r="U798" s="42"/>
      <c r="V798" s="42"/>
    </row>
    <row r="799" customFormat="false" ht="15" hidden="false" customHeight="false" outlineLevel="0" collapsed="false">
      <c r="A799" s="42"/>
      <c r="B799" s="42"/>
      <c r="C799" s="45" t="str">
        <f aca="false">IF(B799="","",IFERROR(INDEX('Master Database'!$D$5:$D$600,MATCH(B799,'Master Database'!$A$5:$A$600,0)),"(row not found)"))</f>
        <v/>
      </c>
      <c r="D799" s="45" t="str">
        <f aca="false">IF(B799="","",IFERROR(INDEX('Master Database'!$B$5:$B$600,MATCH(B799,'Master Database'!$A$5:$A$600,0)),"(row not found)"))</f>
        <v/>
      </c>
      <c r="E799" s="42"/>
      <c r="F799" s="45" t="str">
        <f aca="false">IF(E799="","",IFERROR(INDEX(Vendor_Register!$B$5:$B$205,MATCH(E799,Vendor_Register!$A$5:$A$205,0)),"(not in register)"))</f>
        <v/>
      </c>
      <c r="G799" s="45" t="str">
        <f aca="false">IF(E799="","",IFERROR(INDEX(Vendor_Register!$E$5:$E$205,MATCH(E799,Vendor_Register!$A$5:$A$205,0)),"(not in register)"))</f>
        <v/>
      </c>
      <c r="H799" s="42"/>
      <c r="I799" s="42"/>
      <c r="J799" s="42"/>
      <c r="K799" s="42"/>
      <c r="L799" s="42"/>
      <c r="M799" s="46"/>
      <c r="N799" s="42"/>
      <c r="O799" s="47" t="str">
        <f aca="false">IF(NOT(ISNUMBER(M799)),"",IFERROR(IF(L799="EUR",M799,IF(L799="IRR",M799/INDEX('Assumptions &amp; FX Reference'!$C$5:$C$25,MATCH(H799,'Assumptions &amp; FX Reference'!$A$5:$A$25,0)),IF(L799="USD",M799*INDEX('Assumptions &amp; FX Reference'!$B$5:$B$25,MATCH(H799,'Assumptions &amp; FX Reference'!$A$5:$A$25,0))/INDEX('Assumptions &amp; FX Reference'!$C$5:$C$25,MATCH(H799,'Assumptions &amp; FX Reference'!$A$5:$A$25,0)),""))),"(FX missing)"))</f>
        <v/>
      </c>
      <c r="P799" s="42"/>
      <c r="Q799" s="42"/>
      <c r="R799" s="42"/>
      <c r="S799" s="42"/>
      <c r="T799" s="42"/>
      <c r="U799" s="42"/>
      <c r="V799" s="42"/>
    </row>
    <row r="800" customFormat="false" ht="15" hidden="false" customHeight="false" outlineLevel="0" collapsed="false">
      <c r="A800" s="42"/>
      <c r="B800" s="42"/>
      <c r="C800" s="45" t="str">
        <f aca="false">IF(B800="","",IFERROR(INDEX('Master Database'!$D$5:$D$600,MATCH(B800,'Master Database'!$A$5:$A$600,0)),"(row not found)"))</f>
        <v/>
      </c>
      <c r="D800" s="45" t="str">
        <f aca="false">IF(B800="","",IFERROR(INDEX('Master Database'!$B$5:$B$600,MATCH(B800,'Master Database'!$A$5:$A$600,0)),"(row not found)"))</f>
        <v/>
      </c>
      <c r="E800" s="42"/>
      <c r="F800" s="45" t="str">
        <f aca="false">IF(E800="","",IFERROR(INDEX(Vendor_Register!$B$5:$B$205,MATCH(E800,Vendor_Register!$A$5:$A$205,0)),"(not in register)"))</f>
        <v/>
      </c>
      <c r="G800" s="45" t="str">
        <f aca="false">IF(E800="","",IFERROR(INDEX(Vendor_Register!$E$5:$E$205,MATCH(E800,Vendor_Register!$A$5:$A$205,0)),"(not in register)"))</f>
        <v/>
      </c>
      <c r="H800" s="42"/>
      <c r="I800" s="42"/>
      <c r="J800" s="42"/>
      <c r="K800" s="42"/>
      <c r="L800" s="42"/>
      <c r="M800" s="46"/>
      <c r="N800" s="42"/>
      <c r="O800" s="47" t="str">
        <f aca="false">IF(NOT(ISNUMBER(M800)),"",IFERROR(IF(L800="EUR",M800,IF(L800="IRR",M800/INDEX('Assumptions &amp; FX Reference'!$C$5:$C$25,MATCH(H800,'Assumptions &amp; FX Reference'!$A$5:$A$25,0)),IF(L800="USD",M800*INDEX('Assumptions &amp; FX Reference'!$B$5:$B$25,MATCH(H800,'Assumptions &amp; FX Reference'!$A$5:$A$25,0))/INDEX('Assumptions &amp; FX Reference'!$C$5:$C$25,MATCH(H800,'Assumptions &amp; FX Reference'!$A$5:$A$25,0)),""))),"(FX missing)"))</f>
        <v/>
      </c>
      <c r="P800" s="42"/>
      <c r="Q800" s="42"/>
      <c r="R800" s="42"/>
      <c r="S800" s="42"/>
      <c r="T800" s="42"/>
      <c r="U800" s="42"/>
      <c r="V800" s="42"/>
    </row>
    <row r="801" customFormat="false" ht="15" hidden="false" customHeight="false" outlineLevel="0" collapsed="false">
      <c r="A801" s="42"/>
      <c r="B801" s="42"/>
      <c r="C801" s="45" t="str">
        <f aca="false">IF(B801="","",IFERROR(INDEX('Master Database'!$D$5:$D$600,MATCH(B801,'Master Database'!$A$5:$A$600,0)),"(row not found)"))</f>
        <v/>
      </c>
      <c r="D801" s="45" t="str">
        <f aca="false">IF(B801="","",IFERROR(INDEX('Master Database'!$B$5:$B$600,MATCH(B801,'Master Database'!$A$5:$A$600,0)),"(row not found)"))</f>
        <v/>
      </c>
      <c r="E801" s="42"/>
      <c r="F801" s="45" t="str">
        <f aca="false">IF(E801="","",IFERROR(INDEX(Vendor_Register!$B$5:$B$205,MATCH(E801,Vendor_Register!$A$5:$A$205,0)),"(not in register)"))</f>
        <v/>
      </c>
      <c r="G801" s="45" t="str">
        <f aca="false">IF(E801="","",IFERROR(INDEX(Vendor_Register!$E$5:$E$205,MATCH(E801,Vendor_Register!$A$5:$A$205,0)),"(not in register)"))</f>
        <v/>
      </c>
      <c r="H801" s="42"/>
      <c r="I801" s="42"/>
      <c r="J801" s="42"/>
      <c r="K801" s="42"/>
      <c r="L801" s="42"/>
      <c r="M801" s="46"/>
      <c r="N801" s="42"/>
      <c r="O801" s="47" t="str">
        <f aca="false">IF(NOT(ISNUMBER(M801)),"",IFERROR(IF(L801="EUR",M801,IF(L801="IRR",M801/INDEX('Assumptions &amp; FX Reference'!$C$5:$C$25,MATCH(H801,'Assumptions &amp; FX Reference'!$A$5:$A$25,0)),IF(L801="USD",M801*INDEX('Assumptions &amp; FX Reference'!$B$5:$B$25,MATCH(H801,'Assumptions &amp; FX Reference'!$A$5:$A$25,0))/INDEX('Assumptions &amp; FX Reference'!$C$5:$C$25,MATCH(H801,'Assumptions &amp; FX Reference'!$A$5:$A$25,0)),""))),"(FX missing)"))</f>
        <v/>
      </c>
      <c r="P801" s="42"/>
      <c r="Q801" s="42"/>
      <c r="R801" s="42"/>
      <c r="S801" s="42"/>
      <c r="T801" s="42"/>
      <c r="U801" s="42"/>
      <c r="V801" s="42"/>
    </row>
    <row r="802" customFormat="false" ht="15" hidden="false" customHeight="false" outlineLevel="0" collapsed="false">
      <c r="A802" s="42"/>
      <c r="B802" s="42"/>
      <c r="C802" s="45" t="str">
        <f aca="false">IF(B802="","",IFERROR(INDEX('Master Database'!$D$5:$D$600,MATCH(B802,'Master Database'!$A$5:$A$600,0)),"(row not found)"))</f>
        <v/>
      </c>
      <c r="D802" s="45" t="str">
        <f aca="false">IF(B802="","",IFERROR(INDEX('Master Database'!$B$5:$B$600,MATCH(B802,'Master Database'!$A$5:$A$600,0)),"(row not found)"))</f>
        <v/>
      </c>
      <c r="E802" s="42"/>
      <c r="F802" s="45" t="str">
        <f aca="false">IF(E802="","",IFERROR(INDEX(Vendor_Register!$B$5:$B$205,MATCH(E802,Vendor_Register!$A$5:$A$205,0)),"(not in register)"))</f>
        <v/>
      </c>
      <c r="G802" s="45" t="str">
        <f aca="false">IF(E802="","",IFERROR(INDEX(Vendor_Register!$E$5:$E$205,MATCH(E802,Vendor_Register!$A$5:$A$205,0)),"(not in register)"))</f>
        <v/>
      </c>
      <c r="H802" s="42"/>
      <c r="I802" s="42"/>
      <c r="J802" s="42"/>
      <c r="K802" s="42"/>
      <c r="L802" s="42"/>
      <c r="M802" s="46"/>
      <c r="N802" s="42"/>
      <c r="O802" s="47" t="str">
        <f aca="false">IF(NOT(ISNUMBER(M802)),"",IFERROR(IF(L802="EUR",M802,IF(L802="IRR",M802/INDEX('Assumptions &amp; FX Reference'!$C$5:$C$25,MATCH(H802,'Assumptions &amp; FX Reference'!$A$5:$A$25,0)),IF(L802="USD",M802*INDEX('Assumptions &amp; FX Reference'!$B$5:$B$25,MATCH(H802,'Assumptions &amp; FX Reference'!$A$5:$A$25,0))/INDEX('Assumptions &amp; FX Reference'!$C$5:$C$25,MATCH(H802,'Assumptions &amp; FX Reference'!$A$5:$A$25,0)),""))),"(FX missing)"))</f>
        <v/>
      </c>
      <c r="P802" s="42"/>
      <c r="Q802" s="42"/>
      <c r="R802" s="42"/>
      <c r="S802" s="42"/>
      <c r="T802" s="42"/>
      <c r="U802" s="42"/>
      <c r="V802" s="42"/>
    </row>
    <row r="803" customFormat="false" ht="15" hidden="false" customHeight="false" outlineLevel="0" collapsed="false">
      <c r="A803" s="42"/>
      <c r="B803" s="42"/>
      <c r="C803" s="45" t="str">
        <f aca="false">IF(B803="","",IFERROR(INDEX('Master Database'!$D$5:$D$600,MATCH(B803,'Master Database'!$A$5:$A$600,0)),"(row not found)"))</f>
        <v/>
      </c>
      <c r="D803" s="45" t="str">
        <f aca="false">IF(B803="","",IFERROR(INDEX('Master Database'!$B$5:$B$600,MATCH(B803,'Master Database'!$A$5:$A$600,0)),"(row not found)"))</f>
        <v/>
      </c>
      <c r="E803" s="42"/>
      <c r="F803" s="45" t="str">
        <f aca="false">IF(E803="","",IFERROR(INDEX(Vendor_Register!$B$5:$B$205,MATCH(E803,Vendor_Register!$A$5:$A$205,0)),"(not in register)"))</f>
        <v/>
      </c>
      <c r="G803" s="45" t="str">
        <f aca="false">IF(E803="","",IFERROR(INDEX(Vendor_Register!$E$5:$E$205,MATCH(E803,Vendor_Register!$A$5:$A$205,0)),"(not in register)"))</f>
        <v/>
      </c>
      <c r="H803" s="42"/>
      <c r="I803" s="42"/>
      <c r="J803" s="42"/>
      <c r="K803" s="42"/>
      <c r="L803" s="42"/>
      <c r="M803" s="46"/>
      <c r="N803" s="42"/>
      <c r="O803" s="47" t="str">
        <f aca="false">IF(NOT(ISNUMBER(M803)),"",IFERROR(IF(L803="EUR",M803,IF(L803="IRR",M803/INDEX('Assumptions &amp; FX Reference'!$C$5:$C$25,MATCH(H803,'Assumptions &amp; FX Reference'!$A$5:$A$25,0)),IF(L803="USD",M803*INDEX('Assumptions &amp; FX Reference'!$B$5:$B$25,MATCH(H803,'Assumptions &amp; FX Reference'!$A$5:$A$25,0))/INDEX('Assumptions &amp; FX Reference'!$C$5:$C$25,MATCH(H803,'Assumptions &amp; FX Reference'!$A$5:$A$25,0)),""))),"(FX missing)"))</f>
        <v/>
      </c>
      <c r="P803" s="42"/>
      <c r="Q803" s="42"/>
      <c r="R803" s="42"/>
      <c r="S803" s="42"/>
      <c r="T803" s="42"/>
      <c r="U803" s="42"/>
      <c r="V803" s="42"/>
    </row>
    <row r="804" customFormat="false" ht="15" hidden="false" customHeight="false" outlineLevel="0" collapsed="false">
      <c r="A804" s="42"/>
      <c r="B804" s="42"/>
      <c r="C804" s="45" t="str">
        <f aca="false">IF(B804="","",IFERROR(INDEX('Master Database'!$D$5:$D$600,MATCH(B804,'Master Database'!$A$5:$A$600,0)),"(row not found)"))</f>
        <v/>
      </c>
      <c r="D804" s="45" t="str">
        <f aca="false">IF(B804="","",IFERROR(INDEX('Master Database'!$B$5:$B$600,MATCH(B804,'Master Database'!$A$5:$A$600,0)),"(row not found)"))</f>
        <v/>
      </c>
      <c r="E804" s="42"/>
      <c r="F804" s="45" t="str">
        <f aca="false">IF(E804="","",IFERROR(INDEX(Vendor_Register!$B$5:$B$205,MATCH(E804,Vendor_Register!$A$5:$A$205,0)),"(not in register)"))</f>
        <v/>
      </c>
      <c r="G804" s="45" t="str">
        <f aca="false">IF(E804="","",IFERROR(INDEX(Vendor_Register!$E$5:$E$205,MATCH(E804,Vendor_Register!$A$5:$A$205,0)),"(not in register)"))</f>
        <v/>
      </c>
      <c r="H804" s="42"/>
      <c r="I804" s="42"/>
      <c r="J804" s="42"/>
      <c r="K804" s="42"/>
      <c r="L804" s="42"/>
      <c r="M804" s="46"/>
      <c r="N804" s="42"/>
      <c r="O804" s="47" t="str">
        <f aca="false">IF(NOT(ISNUMBER(M804)),"",IFERROR(IF(L804="EUR",M804,IF(L804="IRR",M804/INDEX('Assumptions &amp; FX Reference'!$C$5:$C$25,MATCH(H804,'Assumptions &amp; FX Reference'!$A$5:$A$25,0)),IF(L804="USD",M804*INDEX('Assumptions &amp; FX Reference'!$B$5:$B$25,MATCH(H804,'Assumptions &amp; FX Reference'!$A$5:$A$25,0))/INDEX('Assumptions &amp; FX Reference'!$C$5:$C$25,MATCH(H804,'Assumptions &amp; FX Reference'!$A$5:$A$25,0)),""))),"(FX missing)"))</f>
        <v/>
      </c>
      <c r="P804" s="42"/>
      <c r="Q804" s="42"/>
      <c r="R804" s="42"/>
      <c r="S804" s="42"/>
      <c r="T804" s="42"/>
      <c r="U804" s="42"/>
      <c r="V804" s="42"/>
    </row>
    <row r="805" customFormat="false" ht="15" hidden="false" customHeight="false" outlineLevel="0" collapsed="false">
      <c r="A805" s="42"/>
      <c r="B805" s="42"/>
      <c r="C805" s="45" t="str">
        <f aca="false">IF(B805="","",IFERROR(INDEX('Master Database'!$D$5:$D$600,MATCH(B805,'Master Database'!$A$5:$A$600,0)),"(row not found)"))</f>
        <v/>
      </c>
      <c r="D805" s="45" t="str">
        <f aca="false">IF(B805="","",IFERROR(INDEX('Master Database'!$B$5:$B$600,MATCH(B805,'Master Database'!$A$5:$A$600,0)),"(row not found)"))</f>
        <v/>
      </c>
      <c r="E805" s="42"/>
      <c r="F805" s="45" t="str">
        <f aca="false">IF(E805="","",IFERROR(INDEX(Vendor_Register!$B$5:$B$205,MATCH(E805,Vendor_Register!$A$5:$A$205,0)),"(not in register)"))</f>
        <v/>
      </c>
      <c r="G805" s="45" t="str">
        <f aca="false">IF(E805="","",IFERROR(INDEX(Vendor_Register!$E$5:$E$205,MATCH(E805,Vendor_Register!$A$5:$A$205,0)),"(not in register)"))</f>
        <v/>
      </c>
      <c r="H805" s="42"/>
      <c r="I805" s="42"/>
      <c r="J805" s="42"/>
      <c r="K805" s="42"/>
      <c r="L805" s="42"/>
      <c r="M805" s="46"/>
      <c r="N805" s="42"/>
      <c r="O805" s="47" t="str">
        <f aca="false">IF(NOT(ISNUMBER(M805)),"",IFERROR(IF(L805="EUR",M805,IF(L805="IRR",M805/INDEX('Assumptions &amp; FX Reference'!$C$5:$C$25,MATCH(H805,'Assumptions &amp; FX Reference'!$A$5:$A$25,0)),IF(L805="USD",M805*INDEX('Assumptions &amp; FX Reference'!$B$5:$B$25,MATCH(H805,'Assumptions &amp; FX Reference'!$A$5:$A$25,0))/INDEX('Assumptions &amp; FX Reference'!$C$5:$C$25,MATCH(H805,'Assumptions &amp; FX Reference'!$A$5:$A$25,0)),""))),"(FX missing)"))</f>
        <v/>
      </c>
      <c r="P805" s="42"/>
      <c r="Q805" s="42"/>
      <c r="R805" s="42"/>
      <c r="S805" s="42"/>
      <c r="T805" s="42"/>
      <c r="U805" s="42"/>
      <c r="V805" s="42"/>
    </row>
    <row r="806" customFormat="false" ht="15" hidden="false" customHeight="false" outlineLevel="0" collapsed="false">
      <c r="A806" s="42"/>
      <c r="B806" s="42"/>
      <c r="C806" s="45" t="str">
        <f aca="false">IF(B806="","",IFERROR(INDEX('Master Database'!$D$5:$D$600,MATCH(B806,'Master Database'!$A$5:$A$600,0)),"(row not found)"))</f>
        <v/>
      </c>
      <c r="D806" s="45" t="str">
        <f aca="false">IF(B806="","",IFERROR(INDEX('Master Database'!$B$5:$B$600,MATCH(B806,'Master Database'!$A$5:$A$600,0)),"(row not found)"))</f>
        <v/>
      </c>
      <c r="E806" s="42"/>
      <c r="F806" s="45" t="str">
        <f aca="false">IF(E806="","",IFERROR(INDEX(Vendor_Register!$B$5:$B$205,MATCH(E806,Vendor_Register!$A$5:$A$205,0)),"(not in register)"))</f>
        <v/>
      </c>
      <c r="G806" s="45" t="str">
        <f aca="false">IF(E806="","",IFERROR(INDEX(Vendor_Register!$E$5:$E$205,MATCH(E806,Vendor_Register!$A$5:$A$205,0)),"(not in register)"))</f>
        <v/>
      </c>
      <c r="H806" s="42"/>
      <c r="I806" s="42"/>
      <c r="J806" s="42"/>
      <c r="K806" s="42"/>
      <c r="L806" s="42"/>
      <c r="M806" s="46"/>
      <c r="N806" s="42"/>
      <c r="O806" s="47" t="str">
        <f aca="false">IF(NOT(ISNUMBER(M806)),"",IFERROR(IF(L806="EUR",M806,IF(L806="IRR",M806/INDEX('Assumptions &amp; FX Reference'!$C$5:$C$25,MATCH(H806,'Assumptions &amp; FX Reference'!$A$5:$A$25,0)),IF(L806="USD",M806*INDEX('Assumptions &amp; FX Reference'!$B$5:$B$25,MATCH(H806,'Assumptions &amp; FX Reference'!$A$5:$A$25,0))/INDEX('Assumptions &amp; FX Reference'!$C$5:$C$25,MATCH(H806,'Assumptions &amp; FX Reference'!$A$5:$A$25,0)),""))),"(FX missing)"))</f>
        <v/>
      </c>
      <c r="P806" s="42"/>
      <c r="Q806" s="42"/>
      <c r="R806" s="42"/>
      <c r="S806" s="42"/>
      <c r="T806" s="42"/>
      <c r="U806" s="42"/>
      <c r="V806" s="42"/>
    </row>
    <row r="807" customFormat="false" ht="15" hidden="false" customHeight="false" outlineLevel="0" collapsed="false">
      <c r="A807" s="42"/>
      <c r="B807" s="42"/>
      <c r="C807" s="45" t="str">
        <f aca="false">IF(B807="","",IFERROR(INDEX('Master Database'!$D$5:$D$600,MATCH(B807,'Master Database'!$A$5:$A$600,0)),"(row not found)"))</f>
        <v/>
      </c>
      <c r="D807" s="45" t="str">
        <f aca="false">IF(B807="","",IFERROR(INDEX('Master Database'!$B$5:$B$600,MATCH(B807,'Master Database'!$A$5:$A$600,0)),"(row not found)"))</f>
        <v/>
      </c>
      <c r="E807" s="42"/>
      <c r="F807" s="45" t="str">
        <f aca="false">IF(E807="","",IFERROR(INDEX(Vendor_Register!$B$5:$B$205,MATCH(E807,Vendor_Register!$A$5:$A$205,0)),"(not in register)"))</f>
        <v/>
      </c>
      <c r="G807" s="45" t="str">
        <f aca="false">IF(E807="","",IFERROR(INDEX(Vendor_Register!$E$5:$E$205,MATCH(E807,Vendor_Register!$A$5:$A$205,0)),"(not in register)"))</f>
        <v/>
      </c>
      <c r="H807" s="42"/>
      <c r="I807" s="42"/>
      <c r="J807" s="42"/>
      <c r="K807" s="42"/>
      <c r="L807" s="42"/>
      <c r="M807" s="46"/>
      <c r="N807" s="42"/>
      <c r="O807" s="47" t="str">
        <f aca="false">IF(NOT(ISNUMBER(M807)),"",IFERROR(IF(L807="EUR",M807,IF(L807="IRR",M807/INDEX('Assumptions &amp; FX Reference'!$C$5:$C$25,MATCH(H807,'Assumptions &amp; FX Reference'!$A$5:$A$25,0)),IF(L807="USD",M807*INDEX('Assumptions &amp; FX Reference'!$B$5:$B$25,MATCH(H807,'Assumptions &amp; FX Reference'!$A$5:$A$25,0))/INDEX('Assumptions &amp; FX Reference'!$C$5:$C$25,MATCH(H807,'Assumptions &amp; FX Reference'!$A$5:$A$25,0)),""))),"(FX missing)"))</f>
        <v/>
      </c>
      <c r="P807" s="42"/>
      <c r="Q807" s="42"/>
      <c r="R807" s="42"/>
      <c r="S807" s="42"/>
      <c r="T807" s="42"/>
      <c r="U807" s="42"/>
      <c r="V807" s="42"/>
    </row>
    <row r="808" customFormat="false" ht="15" hidden="false" customHeight="false" outlineLevel="0" collapsed="false">
      <c r="A808" s="42"/>
      <c r="B808" s="42"/>
      <c r="C808" s="45" t="str">
        <f aca="false">IF(B808="","",IFERROR(INDEX('Master Database'!$D$5:$D$600,MATCH(B808,'Master Database'!$A$5:$A$600,0)),"(row not found)"))</f>
        <v/>
      </c>
      <c r="D808" s="45" t="str">
        <f aca="false">IF(B808="","",IFERROR(INDEX('Master Database'!$B$5:$B$600,MATCH(B808,'Master Database'!$A$5:$A$600,0)),"(row not found)"))</f>
        <v/>
      </c>
      <c r="E808" s="42"/>
      <c r="F808" s="45" t="str">
        <f aca="false">IF(E808="","",IFERROR(INDEX(Vendor_Register!$B$5:$B$205,MATCH(E808,Vendor_Register!$A$5:$A$205,0)),"(not in register)"))</f>
        <v/>
      </c>
      <c r="G808" s="45" t="str">
        <f aca="false">IF(E808="","",IFERROR(INDEX(Vendor_Register!$E$5:$E$205,MATCH(E808,Vendor_Register!$A$5:$A$205,0)),"(not in register)"))</f>
        <v/>
      </c>
      <c r="H808" s="42"/>
      <c r="I808" s="42"/>
      <c r="J808" s="42"/>
      <c r="K808" s="42"/>
      <c r="L808" s="42"/>
      <c r="M808" s="46"/>
      <c r="N808" s="42"/>
      <c r="O808" s="47" t="str">
        <f aca="false">IF(NOT(ISNUMBER(M808)),"",IFERROR(IF(L808="EUR",M808,IF(L808="IRR",M808/INDEX('Assumptions &amp; FX Reference'!$C$5:$C$25,MATCH(H808,'Assumptions &amp; FX Reference'!$A$5:$A$25,0)),IF(L808="USD",M808*INDEX('Assumptions &amp; FX Reference'!$B$5:$B$25,MATCH(H808,'Assumptions &amp; FX Reference'!$A$5:$A$25,0))/INDEX('Assumptions &amp; FX Reference'!$C$5:$C$25,MATCH(H808,'Assumptions &amp; FX Reference'!$A$5:$A$25,0)),""))),"(FX missing)"))</f>
        <v/>
      </c>
      <c r="P808" s="42"/>
      <c r="Q808" s="42"/>
      <c r="R808" s="42"/>
      <c r="S808" s="42"/>
      <c r="T808" s="42"/>
      <c r="U808" s="42"/>
      <c r="V808" s="42"/>
    </row>
    <row r="809" customFormat="false" ht="15" hidden="false" customHeight="false" outlineLevel="0" collapsed="false">
      <c r="A809" s="42"/>
      <c r="B809" s="42"/>
      <c r="C809" s="45" t="str">
        <f aca="false">IF(B809="","",IFERROR(INDEX('Master Database'!$D$5:$D$600,MATCH(B809,'Master Database'!$A$5:$A$600,0)),"(row not found)"))</f>
        <v/>
      </c>
      <c r="D809" s="45" t="str">
        <f aca="false">IF(B809="","",IFERROR(INDEX('Master Database'!$B$5:$B$600,MATCH(B809,'Master Database'!$A$5:$A$600,0)),"(row not found)"))</f>
        <v/>
      </c>
      <c r="E809" s="42"/>
      <c r="F809" s="45" t="str">
        <f aca="false">IF(E809="","",IFERROR(INDEX(Vendor_Register!$B$5:$B$205,MATCH(E809,Vendor_Register!$A$5:$A$205,0)),"(not in register)"))</f>
        <v/>
      </c>
      <c r="G809" s="45" t="str">
        <f aca="false">IF(E809="","",IFERROR(INDEX(Vendor_Register!$E$5:$E$205,MATCH(E809,Vendor_Register!$A$5:$A$205,0)),"(not in register)"))</f>
        <v/>
      </c>
      <c r="H809" s="42"/>
      <c r="I809" s="42"/>
      <c r="J809" s="42"/>
      <c r="K809" s="42"/>
      <c r="L809" s="42"/>
      <c r="M809" s="46"/>
      <c r="N809" s="42"/>
      <c r="O809" s="47" t="str">
        <f aca="false">IF(NOT(ISNUMBER(M809)),"",IFERROR(IF(L809="EUR",M809,IF(L809="IRR",M809/INDEX('Assumptions &amp; FX Reference'!$C$5:$C$25,MATCH(H809,'Assumptions &amp; FX Reference'!$A$5:$A$25,0)),IF(L809="USD",M809*INDEX('Assumptions &amp; FX Reference'!$B$5:$B$25,MATCH(H809,'Assumptions &amp; FX Reference'!$A$5:$A$25,0))/INDEX('Assumptions &amp; FX Reference'!$C$5:$C$25,MATCH(H809,'Assumptions &amp; FX Reference'!$A$5:$A$25,0)),""))),"(FX missing)"))</f>
        <v/>
      </c>
      <c r="P809" s="42"/>
      <c r="Q809" s="42"/>
      <c r="R809" s="42"/>
      <c r="S809" s="42"/>
      <c r="T809" s="42"/>
      <c r="U809" s="42"/>
      <c r="V809" s="42"/>
    </row>
    <row r="810" customFormat="false" ht="15" hidden="false" customHeight="false" outlineLevel="0" collapsed="false">
      <c r="A810" s="42"/>
      <c r="B810" s="42"/>
      <c r="C810" s="45" t="str">
        <f aca="false">IF(B810="","",IFERROR(INDEX('Master Database'!$D$5:$D$600,MATCH(B810,'Master Database'!$A$5:$A$600,0)),"(row not found)"))</f>
        <v/>
      </c>
      <c r="D810" s="45" t="str">
        <f aca="false">IF(B810="","",IFERROR(INDEX('Master Database'!$B$5:$B$600,MATCH(B810,'Master Database'!$A$5:$A$600,0)),"(row not found)"))</f>
        <v/>
      </c>
      <c r="E810" s="42"/>
      <c r="F810" s="45" t="str">
        <f aca="false">IF(E810="","",IFERROR(INDEX(Vendor_Register!$B$5:$B$205,MATCH(E810,Vendor_Register!$A$5:$A$205,0)),"(not in register)"))</f>
        <v/>
      </c>
      <c r="G810" s="45" t="str">
        <f aca="false">IF(E810="","",IFERROR(INDEX(Vendor_Register!$E$5:$E$205,MATCH(E810,Vendor_Register!$A$5:$A$205,0)),"(not in register)"))</f>
        <v/>
      </c>
      <c r="H810" s="42"/>
      <c r="I810" s="42"/>
      <c r="J810" s="42"/>
      <c r="K810" s="42"/>
      <c r="L810" s="42"/>
      <c r="M810" s="46"/>
      <c r="N810" s="42"/>
      <c r="O810" s="47" t="str">
        <f aca="false">IF(NOT(ISNUMBER(M810)),"",IFERROR(IF(L810="EUR",M810,IF(L810="IRR",M810/INDEX('Assumptions &amp; FX Reference'!$C$5:$C$25,MATCH(H810,'Assumptions &amp; FX Reference'!$A$5:$A$25,0)),IF(L810="USD",M810*INDEX('Assumptions &amp; FX Reference'!$B$5:$B$25,MATCH(H810,'Assumptions &amp; FX Reference'!$A$5:$A$25,0))/INDEX('Assumptions &amp; FX Reference'!$C$5:$C$25,MATCH(H810,'Assumptions &amp; FX Reference'!$A$5:$A$25,0)),""))),"(FX missing)"))</f>
        <v/>
      </c>
      <c r="P810" s="42"/>
      <c r="Q810" s="42"/>
      <c r="R810" s="42"/>
      <c r="S810" s="42"/>
      <c r="T810" s="42"/>
      <c r="U810" s="42"/>
      <c r="V810" s="42"/>
    </row>
    <row r="811" customFormat="false" ht="15" hidden="false" customHeight="false" outlineLevel="0" collapsed="false">
      <c r="A811" s="42"/>
      <c r="B811" s="42"/>
      <c r="C811" s="45" t="str">
        <f aca="false">IF(B811="","",IFERROR(INDEX('Master Database'!$D$5:$D$600,MATCH(B811,'Master Database'!$A$5:$A$600,0)),"(row not found)"))</f>
        <v/>
      </c>
      <c r="D811" s="45" t="str">
        <f aca="false">IF(B811="","",IFERROR(INDEX('Master Database'!$B$5:$B$600,MATCH(B811,'Master Database'!$A$5:$A$600,0)),"(row not found)"))</f>
        <v/>
      </c>
      <c r="E811" s="42"/>
      <c r="F811" s="45" t="str">
        <f aca="false">IF(E811="","",IFERROR(INDEX(Vendor_Register!$B$5:$B$205,MATCH(E811,Vendor_Register!$A$5:$A$205,0)),"(not in register)"))</f>
        <v/>
      </c>
      <c r="G811" s="45" t="str">
        <f aca="false">IF(E811="","",IFERROR(INDEX(Vendor_Register!$E$5:$E$205,MATCH(E811,Vendor_Register!$A$5:$A$205,0)),"(not in register)"))</f>
        <v/>
      </c>
      <c r="H811" s="42"/>
      <c r="I811" s="42"/>
      <c r="J811" s="42"/>
      <c r="K811" s="42"/>
      <c r="L811" s="42"/>
      <c r="M811" s="46"/>
      <c r="N811" s="42"/>
      <c r="O811" s="47" t="str">
        <f aca="false">IF(NOT(ISNUMBER(M811)),"",IFERROR(IF(L811="EUR",M811,IF(L811="IRR",M811/INDEX('Assumptions &amp; FX Reference'!$C$5:$C$25,MATCH(H811,'Assumptions &amp; FX Reference'!$A$5:$A$25,0)),IF(L811="USD",M811*INDEX('Assumptions &amp; FX Reference'!$B$5:$B$25,MATCH(H811,'Assumptions &amp; FX Reference'!$A$5:$A$25,0))/INDEX('Assumptions &amp; FX Reference'!$C$5:$C$25,MATCH(H811,'Assumptions &amp; FX Reference'!$A$5:$A$25,0)),""))),"(FX missing)"))</f>
        <v/>
      </c>
      <c r="P811" s="42"/>
      <c r="Q811" s="42"/>
      <c r="R811" s="42"/>
      <c r="S811" s="42"/>
      <c r="T811" s="42"/>
      <c r="U811" s="42"/>
      <c r="V811" s="42"/>
    </row>
    <row r="812" customFormat="false" ht="15" hidden="false" customHeight="false" outlineLevel="0" collapsed="false">
      <c r="A812" s="42"/>
      <c r="B812" s="42"/>
      <c r="C812" s="45" t="str">
        <f aca="false">IF(B812="","",IFERROR(INDEX('Master Database'!$D$5:$D$600,MATCH(B812,'Master Database'!$A$5:$A$600,0)),"(row not found)"))</f>
        <v/>
      </c>
      <c r="D812" s="45" t="str">
        <f aca="false">IF(B812="","",IFERROR(INDEX('Master Database'!$B$5:$B$600,MATCH(B812,'Master Database'!$A$5:$A$600,0)),"(row not found)"))</f>
        <v/>
      </c>
      <c r="E812" s="42"/>
      <c r="F812" s="45" t="str">
        <f aca="false">IF(E812="","",IFERROR(INDEX(Vendor_Register!$B$5:$B$205,MATCH(E812,Vendor_Register!$A$5:$A$205,0)),"(not in register)"))</f>
        <v/>
      </c>
      <c r="G812" s="45" t="str">
        <f aca="false">IF(E812="","",IFERROR(INDEX(Vendor_Register!$E$5:$E$205,MATCH(E812,Vendor_Register!$A$5:$A$205,0)),"(not in register)"))</f>
        <v/>
      </c>
      <c r="H812" s="42"/>
      <c r="I812" s="42"/>
      <c r="J812" s="42"/>
      <c r="K812" s="42"/>
      <c r="L812" s="42"/>
      <c r="M812" s="46"/>
      <c r="N812" s="42"/>
      <c r="O812" s="47" t="str">
        <f aca="false">IF(NOT(ISNUMBER(M812)),"",IFERROR(IF(L812="EUR",M812,IF(L812="IRR",M812/INDEX('Assumptions &amp; FX Reference'!$C$5:$C$25,MATCH(H812,'Assumptions &amp; FX Reference'!$A$5:$A$25,0)),IF(L812="USD",M812*INDEX('Assumptions &amp; FX Reference'!$B$5:$B$25,MATCH(H812,'Assumptions &amp; FX Reference'!$A$5:$A$25,0))/INDEX('Assumptions &amp; FX Reference'!$C$5:$C$25,MATCH(H812,'Assumptions &amp; FX Reference'!$A$5:$A$25,0)),""))),"(FX missing)"))</f>
        <v/>
      </c>
      <c r="P812" s="42"/>
      <c r="Q812" s="42"/>
      <c r="R812" s="42"/>
      <c r="S812" s="42"/>
      <c r="T812" s="42"/>
      <c r="U812" s="42"/>
      <c r="V812" s="42"/>
    </row>
    <row r="813" customFormat="false" ht="15" hidden="false" customHeight="false" outlineLevel="0" collapsed="false">
      <c r="A813" s="42"/>
      <c r="B813" s="42"/>
      <c r="C813" s="45" t="str">
        <f aca="false">IF(B813="","",IFERROR(INDEX('Master Database'!$D$5:$D$600,MATCH(B813,'Master Database'!$A$5:$A$600,0)),"(row not found)"))</f>
        <v/>
      </c>
      <c r="D813" s="45" t="str">
        <f aca="false">IF(B813="","",IFERROR(INDEX('Master Database'!$B$5:$B$600,MATCH(B813,'Master Database'!$A$5:$A$600,0)),"(row not found)"))</f>
        <v/>
      </c>
      <c r="E813" s="42"/>
      <c r="F813" s="45" t="str">
        <f aca="false">IF(E813="","",IFERROR(INDEX(Vendor_Register!$B$5:$B$205,MATCH(E813,Vendor_Register!$A$5:$A$205,0)),"(not in register)"))</f>
        <v/>
      </c>
      <c r="G813" s="45" t="str">
        <f aca="false">IF(E813="","",IFERROR(INDEX(Vendor_Register!$E$5:$E$205,MATCH(E813,Vendor_Register!$A$5:$A$205,0)),"(not in register)"))</f>
        <v/>
      </c>
      <c r="H813" s="42"/>
      <c r="I813" s="42"/>
      <c r="J813" s="42"/>
      <c r="K813" s="42"/>
      <c r="L813" s="42"/>
      <c r="M813" s="46"/>
      <c r="N813" s="42"/>
      <c r="O813" s="47" t="str">
        <f aca="false">IF(NOT(ISNUMBER(M813)),"",IFERROR(IF(L813="EUR",M813,IF(L813="IRR",M813/INDEX('Assumptions &amp; FX Reference'!$C$5:$C$25,MATCH(H813,'Assumptions &amp; FX Reference'!$A$5:$A$25,0)),IF(L813="USD",M813*INDEX('Assumptions &amp; FX Reference'!$B$5:$B$25,MATCH(H813,'Assumptions &amp; FX Reference'!$A$5:$A$25,0))/INDEX('Assumptions &amp; FX Reference'!$C$5:$C$25,MATCH(H813,'Assumptions &amp; FX Reference'!$A$5:$A$25,0)),""))),"(FX missing)"))</f>
        <v/>
      </c>
      <c r="P813" s="42"/>
      <c r="Q813" s="42"/>
      <c r="R813" s="42"/>
      <c r="S813" s="42"/>
      <c r="T813" s="42"/>
      <c r="U813" s="42"/>
      <c r="V813" s="42"/>
    </row>
    <row r="814" customFormat="false" ht="15" hidden="false" customHeight="false" outlineLevel="0" collapsed="false">
      <c r="A814" s="42"/>
      <c r="B814" s="42"/>
      <c r="C814" s="45" t="str">
        <f aca="false">IF(B814="","",IFERROR(INDEX('Master Database'!$D$5:$D$600,MATCH(B814,'Master Database'!$A$5:$A$600,0)),"(row not found)"))</f>
        <v/>
      </c>
      <c r="D814" s="45" t="str">
        <f aca="false">IF(B814="","",IFERROR(INDEX('Master Database'!$B$5:$B$600,MATCH(B814,'Master Database'!$A$5:$A$600,0)),"(row not found)"))</f>
        <v/>
      </c>
      <c r="E814" s="42"/>
      <c r="F814" s="45" t="str">
        <f aca="false">IF(E814="","",IFERROR(INDEX(Vendor_Register!$B$5:$B$205,MATCH(E814,Vendor_Register!$A$5:$A$205,0)),"(not in register)"))</f>
        <v/>
      </c>
      <c r="G814" s="45" t="str">
        <f aca="false">IF(E814="","",IFERROR(INDEX(Vendor_Register!$E$5:$E$205,MATCH(E814,Vendor_Register!$A$5:$A$205,0)),"(not in register)"))</f>
        <v/>
      </c>
      <c r="H814" s="42"/>
      <c r="I814" s="42"/>
      <c r="J814" s="42"/>
      <c r="K814" s="42"/>
      <c r="L814" s="42"/>
      <c r="M814" s="46"/>
      <c r="N814" s="42"/>
      <c r="O814" s="47" t="str">
        <f aca="false">IF(NOT(ISNUMBER(M814)),"",IFERROR(IF(L814="EUR",M814,IF(L814="IRR",M814/INDEX('Assumptions &amp; FX Reference'!$C$5:$C$25,MATCH(H814,'Assumptions &amp; FX Reference'!$A$5:$A$25,0)),IF(L814="USD",M814*INDEX('Assumptions &amp; FX Reference'!$B$5:$B$25,MATCH(H814,'Assumptions &amp; FX Reference'!$A$5:$A$25,0))/INDEX('Assumptions &amp; FX Reference'!$C$5:$C$25,MATCH(H814,'Assumptions &amp; FX Reference'!$A$5:$A$25,0)),""))),"(FX missing)"))</f>
        <v/>
      </c>
      <c r="P814" s="42"/>
      <c r="Q814" s="42"/>
      <c r="R814" s="42"/>
      <c r="S814" s="42"/>
      <c r="T814" s="42"/>
      <c r="U814" s="42"/>
      <c r="V814" s="42"/>
    </row>
    <row r="815" customFormat="false" ht="15" hidden="false" customHeight="false" outlineLevel="0" collapsed="false">
      <c r="A815" s="42"/>
      <c r="B815" s="42"/>
      <c r="C815" s="45" t="str">
        <f aca="false">IF(B815="","",IFERROR(INDEX('Master Database'!$D$5:$D$600,MATCH(B815,'Master Database'!$A$5:$A$600,0)),"(row not found)"))</f>
        <v/>
      </c>
      <c r="D815" s="45" t="str">
        <f aca="false">IF(B815="","",IFERROR(INDEX('Master Database'!$B$5:$B$600,MATCH(B815,'Master Database'!$A$5:$A$600,0)),"(row not found)"))</f>
        <v/>
      </c>
      <c r="E815" s="42"/>
      <c r="F815" s="45" t="str">
        <f aca="false">IF(E815="","",IFERROR(INDEX(Vendor_Register!$B$5:$B$205,MATCH(E815,Vendor_Register!$A$5:$A$205,0)),"(not in register)"))</f>
        <v/>
      </c>
      <c r="G815" s="45" t="str">
        <f aca="false">IF(E815="","",IFERROR(INDEX(Vendor_Register!$E$5:$E$205,MATCH(E815,Vendor_Register!$A$5:$A$205,0)),"(not in register)"))</f>
        <v/>
      </c>
      <c r="H815" s="42"/>
      <c r="I815" s="42"/>
      <c r="J815" s="42"/>
      <c r="K815" s="42"/>
      <c r="L815" s="42"/>
      <c r="M815" s="46"/>
      <c r="N815" s="42"/>
      <c r="O815" s="47" t="str">
        <f aca="false">IF(NOT(ISNUMBER(M815)),"",IFERROR(IF(L815="EUR",M815,IF(L815="IRR",M815/INDEX('Assumptions &amp; FX Reference'!$C$5:$C$25,MATCH(H815,'Assumptions &amp; FX Reference'!$A$5:$A$25,0)),IF(L815="USD",M815*INDEX('Assumptions &amp; FX Reference'!$B$5:$B$25,MATCH(H815,'Assumptions &amp; FX Reference'!$A$5:$A$25,0))/INDEX('Assumptions &amp; FX Reference'!$C$5:$C$25,MATCH(H815,'Assumptions &amp; FX Reference'!$A$5:$A$25,0)),""))),"(FX missing)"))</f>
        <v/>
      </c>
      <c r="P815" s="42"/>
      <c r="Q815" s="42"/>
      <c r="R815" s="42"/>
      <c r="S815" s="42"/>
      <c r="T815" s="42"/>
      <c r="U815" s="42"/>
      <c r="V815" s="42"/>
    </row>
    <row r="816" customFormat="false" ht="15" hidden="false" customHeight="false" outlineLevel="0" collapsed="false">
      <c r="A816" s="42"/>
      <c r="B816" s="42"/>
      <c r="C816" s="45" t="str">
        <f aca="false">IF(B816="","",IFERROR(INDEX('Master Database'!$D$5:$D$600,MATCH(B816,'Master Database'!$A$5:$A$600,0)),"(row not found)"))</f>
        <v/>
      </c>
      <c r="D816" s="45" t="str">
        <f aca="false">IF(B816="","",IFERROR(INDEX('Master Database'!$B$5:$B$600,MATCH(B816,'Master Database'!$A$5:$A$600,0)),"(row not found)"))</f>
        <v/>
      </c>
      <c r="E816" s="42"/>
      <c r="F816" s="45" t="str">
        <f aca="false">IF(E816="","",IFERROR(INDEX(Vendor_Register!$B$5:$B$205,MATCH(E816,Vendor_Register!$A$5:$A$205,0)),"(not in register)"))</f>
        <v/>
      </c>
      <c r="G816" s="45" t="str">
        <f aca="false">IF(E816="","",IFERROR(INDEX(Vendor_Register!$E$5:$E$205,MATCH(E816,Vendor_Register!$A$5:$A$205,0)),"(not in register)"))</f>
        <v/>
      </c>
      <c r="H816" s="42"/>
      <c r="I816" s="42"/>
      <c r="J816" s="42"/>
      <c r="K816" s="42"/>
      <c r="L816" s="42"/>
      <c r="M816" s="46"/>
      <c r="N816" s="42"/>
      <c r="O816" s="47" t="str">
        <f aca="false">IF(NOT(ISNUMBER(M816)),"",IFERROR(IF(L816="EUR",M816,IF(L816="IRR",M816/INDEX('Assumptions &amp; FX Reference'!$C$5:$C$25,MATCH(H816,'Assumptions &amp; FX Reference'!$A$5:$A$25,0)),IF(L816="USD",M816*INDEX('Assumptions &amp; FX Reference'!$B$5:$B$25,MATCH(H816,'Assumptions &amp; FX Reference'!$A$5:$A$25,0))/INDEX('Assumptions &amp; FX Reference'!$C$5:$C$25,MATCH(H816,'Assumptions &amp; FX Reference'!$A$5:$A$25,0)),""))),"(FX missing)"))</f>
        <v/>
      </c>
      <c r="P816" s="42"/>
      <c r="Q816" s="42"/>
      <c r="R816" s="42"/>
      <c r="S816" s="42"/>
      <c r="T816" s="42"/>
      <c r="U816" s="42"/>
      <c r="V816" s="42"/>
    </row>
    <row r="817" customFormat="false" ht="15" hidden="false" customHeight="false" outlineLevel="0" collapsed="false">
      <c r="A817" s="42"/>
      <c r="B817" s="42"/>
      <c r="C817" s="45" t="str">
        <f aca="false">IF(B817="","",IFERROR(INDEX('Master Database'!$D$5:$D$600,MATCH(B817,'Master Database'!$A$5:$A$600,0)),"(row not found)"))</f>
        <v/>
      </c>
      <c r="D817" s="45" t="str">
        <f aca="false">IF(B817="","",IFERROR(INDEX('Master Database'!$B$5:$B$600,MATCH(B817,'Master Database'!$A$5:$A$600,0)),"(row not found)"))</f>
        <v/>
      </c>
      <c r="E817" s="42"/>
      <c r="F817" s="45" t="str">
        <f aca="false">IF(E817="","",IFERROR(INDEX(Vendor_Register!$B$5:$B$205,MATCH(E817,Vendor_Register!$A$5:$A$205,0)),"(not in register)"))</f>
        <v/>
      </c>
      <c r="G817" s="45" t="str">
        <f aca="false">IF(E817="","",IFERROR(INDEX(Vendor_Register!$E$5:$E$205,MATCH(E817,Vendor_Register!$A$5:$A$205,0)),"(not in register)"))</f>
        <v/>
      </c>
      <c r="H817" s="42"/>
      <c r="I817" s="42"/>
      <c r="J817" s="42"/>
      <c r="K817" s="42"/>
      <c r="L817" s="42"/>
      <c r="M817" s="46"/>
      <c r="N817" s="42"/>
      <c r="O817" s="47" t="str">
        <f aca="false">IF(NOT(ISNUMBER(M817)),"",IFERROR(IF(L817="EUR",M817,IF(L817="IRR",M817/INDEX('Assumptions &amp; FX Reference'!$C$5:$C$25,MATCH(H817,'Assumptions &amp; FX Reference'!$A$5:$A$25,0)),IF(L817="USD",M817*INDEX('Assumptions &amp; FX Reference'!$B$5:$B$25,MATCH(H817,'Assumptions &amp; FX Reference'!$A$5:$A$25,0))/INDEX('Assumptions &amp; FX Reference'!$C$5:$C$25,MATCH(H817,'Assumptions &amp; FX Reference'!$A$5:$A$25,0)),""))),"(FX missing)"))</f>
        <v/>
      </c>
      <c r="P817" s="42"/>
      <c r="Q817" s="42"/>
      <c r="R817" s="42"/>
      <c r="S817" s="42"/>
      <c r="T817" s="42"/>
      <c r="U817" s="42"/>
      <c r="V817" s="42"/>
    </row>
    <row r="818" customFormat="false" ht="15" hidden="false" customHeight="false" outlineLevel="0" collapsed="false">
      <c r="A818" s="42"/>
      <c r="B818" s="42"/>
      <c r="C818" s="45" t="str">
        <f aca="false">IF(B818="","",IFERROR(INDEX('Master Database'!$D$5:$D$600,MATCH(B818,'Master Database'!$A$5:$A$600,0)),"(row not found)"))</f>
        <v/>
      </c>
      <c r="D818" s="45" t="str">
        <f aca="false">IF(B818="","",IFERROR(INDEX('Master Database'!$B$5:$B$600,MATCH(B818,'Master Database'!$A$5:$A$600,0)),"(row not found)"))</f>
        <v/>
      </c>
      <c r="E818" s="42"/>
      <c r="F818" s="45" t="str">
        <f aca="false">IF(E818="","",IFERROR(INDEX(Vendor_Register!$B$5:$B$205,MATCH(E818,Vendor_Register!$A$5:$A$205,0)),"(not in register)"))</f>
        <v/>
      </c>
      <c r="G818" s="45" t="str">
        <f aca="false">IF(E818="","",IFERROR(INDEX(Vendor_Register!$E$5:$E$205,MATCH(E818,Vendor_Register!$A$5:$A$205,0)),"(not in register)"))</f>
        <v/>
      </c>
      <c r="H818" s="42"/>
      <c r="I818" s="42"/>
      <c r="J818" s="42"/>
      <c r="K818" s="42"/>
      <c r="L818" s="42"/>
      <c r="M818" s="46"/>
      <c r="N818" s="42"/>
      <c r="O818" s="47" t="str">
        <f aca="false">IF(NOT(ISNUMBER(M818)),"",IFERROR(IF(L818="EUR",M818,IF(L818="IRR",M818/INDEX('Assumptions &amp; FX Reference'!$C$5:$C$25,MATCH(H818,'Assumptions &amp; FX Reference'!$A$5:$A$25,0)),IF(L818="USD",M818*INDEX('Assumptions &amp; FX Reference'!$B$5:$B$25,MATCH(H818,'Assumptions &amp; FX Reference'!$A$5:$A$25,0))/INDEX('Assumptions &amp; FX Reference'!$C$5:$C$25,MATCH(H818,'Assumptions &amp; FX Reference'!$A$5:$A$25,0)),""))),"(FX missing)"))</f>
        <v/>
      </c>
      <c r="P818" s="42"/>
      <c r="Q818" s="42"/>
      <c r="R818" s="42"/>
      <c r="S818" s="42"/>
      <c r="T818" s="42"/>
      <c r="U818" s="42"/>
      <c r="V818" s="42"/>
    </row>
    <row r="819" customFormat="false" ht="15" hidden="false" customHeight="false" outlineLevel="0" collapsed="false">
      <c r="A819" s="42"/>
      <c r="B819" s="42"/>
      <c r="C819" s="45" t="str">
        <f aca="false">IF(B819="","",IFERROR(INDEX('Master Database'!$D$5:$D$600,MATCH(B819,'Master Database'!$A$5:$A$600,0)),"(row not found)"))</f>
        <v/>
      </c>
      <c r="D819" s="45" t="str">
        <f aca="false">IF(B819="","",IFERROR(INDEX('Master Database'!$B$5:$B$600,MATCH(B819,'Master Database'!$A$5:$A$600,0)),"(row not found)"))</f>
        <v/>
      </c>
      <c r="E819" s="42"/>
      <c r="F819" s="45" t="str">
        <f aca="false">IF(E819="","",IFERROR(INDEX(Vendor_Register!$B$5:$B$205,MATCH(E819,Vendor_Register!$A$5:$A$205,0)),"(not in register)"))</f>
        <v/>
      </c>
      <c r="G819" s="45" t="str">
        <f aca="false">IF(E819="","",IFERROR(INDEX(Vendor_Register!$E$5:$E$205,MATCH(E819,Vendor_Register!$A$5:$A$205,0)),"(not in register)"))</f>
        <v/>
      </c>
      <c r="H819" s="42"/>
      <c r="I819" s="42"/>
      <c r="J819" s="42"/>
      <c r="K819" s="42"/>
      <c r="L819" s="42"/>
      <c r="M819" s="46"/>
      <c r="N819" s="42"/>
      <c r="O819" s="47" t="str">
        <f aca="false">IF(NOT(ISNUMBER(M819)),"",IFERROR(IF(L819="EUR",M819,IF(L819="IRR",M819/INDEX('Assumptions &amp; FX Reference'!$C$5:$C$25,MATCH(H819,'Assumptions &amp; FX Reference'!$A$5:$A$25,0)),IF(L819="USD",M819*INDEX('Assumptions &amp; FX Reference'!$B$5:$B$25,MATCH(H819,'Assumptions &amp; FX Reference'!$A$5:$A$25,0))/INDEX('Assumptions &amp; FX Reference'!$C$5:$C$25,MATCH(H819,'Assumptions &amp; FX Reference'!$A$5:$A$25,0)),""))),"(FX missing)"))</f>
        <v/>
      </c>
      <c r="P819" s="42"/>
      <c r="Q819" s="42"/>
      <c r="R819" s="42"/>
      <c r="S819" s="42"/>
      <c r="T819" s="42"/>
      <c r="U819" s="42"/>
      <c r="V819" s="42"/>
    </row>
    <row r="820" customFormat="false" ht="15" hidden="false" customHeight="false" outlineLevel="0" collapsed="false">
      <c r="A820" s="42"/>
      <c r="B820" s="42"/>
      <c r="C820" s="45" t="str">
        <f aca="false">IF(B820="","",IFERROR(INDEX('Master Database'!$D$5:$D$600,MATCH(B820,'Master Database'!$A$5:$A$600,0)),"(row not found)"))</f>
        <v/>
      </c>
      <c r="D820" s="45" t="str">
        <f aca="false">IF(B820="","",IFERROR(INDEX('Master Database'!$B$5:$B$600,MATCH(B820,'Master Database'!$A$5:$A$600,0)),"(row not found)"))</f>
        <v/>
      </c>
      <c r="E820" s="42"/>
      <c r="F820" s="45" t="str">
        <f aca="false">IF(E820="","",IFERROR(INDEX(Vendor_Register!$B$5:$B$205,MATCH(E820,Vendor_Register!$A$5:$A$205,0)),"(not in register)"))</f>
        <v/>
      </c>
      <c r="G820" s="45" t="str">
        <f aca="false">IF(E820="","",IFERROR(INDEX(Vendor_Register!$E$5:$E$205,MATCH(E820,Vendor_Register!$A$5:$A$205,0)),"(not in register)"))</f>
        <v/>
      </c>
      <c r="H820" s="42"/>
      <c r="I820" s="42"/>
      <c r="J820" s="42"/>
      <c r="K820" s="42"/>
      <c r="L820" s="42"/>
      <c r="M820" s="46"/>
      <c r="N820" s="42"/>
      <c r="O820" s="47" t="str">
        <f aca="false">IF(NOT(ISNUMBER(M820)),"",IFERROR(IF(L820="EUR",M820,IF(L820="IRR",M820/INDEX('Assumptions &amp; FX Reference'!$C$5:$C$25,MATCH(H820,'Assumptions &amp; FX Reference'!$A$5:$A$25,0)),IF(L820="USD",M820*INDEX('Assumptions &amp; FX Reference'!$B$5:$B$25,MATCH(H820,'Assumptions &amp; FX Reference'!$A$5:$A$25,0))/INDEX('Assumptions &amp; FX Reference'!$C$5:$C$25,MATCH(H820,'Assumptions &amp; FX Reference'!$A$5:$A$25,0)),""))),"(FX missing)"))</f>
        <v/>
      </c>
      <c r="P820" s="42"/>
      <c r="Q820" s="42"/>
      <c r="R820" s="42"/>
      <c r="S820" s="42"/>
      <c r="T820" s="42"/>
      <c r="U820" s="42"/>
      <c r="V820" s="42"/>
    </row>
    <row r="821" customFormat="false" ht="15" hidden="false" customHeight="false" outlineLevel="0" collapsed="false">
      <c r="A821" s="42"/>
      <c r="B821" s="42"/>
      <c r="C821" s="45" t="str">
        <f aca="false">IF(B821="","",IFERROR(INDEX('Master Database'!$D$5:$D$600,MATCH(B821,'Master Database'!$A$5:$A$600,0)),"(row not found)"))</f>
        <v/>
      </c>
      <c r="D821" s="45" t="str">
        <f aca="false">IF(B821="","",IFERROR(INDEX('Master Database'!$B$5:$B$600,MATCH(B821,'Master Database'!$A$5:$A$600,0)),"(row not found)"))</f>
        <v/>
      </c>
      <c r="E821" s="42"/>
      <c r="F821" s="45" t="str">
        <f aca="false">IF(E821="","",IFERROR(INDEX(Vendor_Register!$B$5:$B$205,MATCH(E821,Vendor_Register!$A$5:$A$205,0)),"(not in register)"))</f>
        <v/>
      </c>
      <c r="G821" s="45" t="str">
        <f aca="false">IF(E821="","",IFERROR(INDEX(Vendor_Register!$E$5:$E$205,MATCH(E821,Vendor_Register!$A$5:$A$205,0)),"(not in register)"))</f>
        <v/>
      </c>
      <c r="H821" s="42"/>
      <c r="I821" s="42"/>
      <c r="J821" s="42"/>
      <c r="K821" s="42"/>
      <c r="L821" s="42"/>
      <c r="M821" s="46"/>
      <c r="N821" s="42"/>
      <c r="O821" s="47" t="str">
        <f aca="false">IF(NOT(ISNUMBER(M821)),"",IFERROR(IF(L821="EUR",M821,IF(L821="IRR",M821/INDEX('Assumptions &amp; FX Reference'!$C$5:$C$25,MATCH(H821,'Assumptions &amp; FX Reference'!$A$5:$A$25,0)),IF(L821="USD",M821*INDEX('Assumptions &amp; FX Reference'!$B$5:$B$25,MATCH(H821,'Assumptions &amp; FX Reference'!$A$5:$A$25,0))/INDEX('Assumptions &amp; FX Reference'!$C$5:$C$25,MATCH(H821,'Assumptions &amp; FX Reference'!$A$5:$A$25,0)),""))),"(FX missing)"))</f>
        <v/>
      </c>
      <c r="P821" s="42"/>
      <c r="Q821" s="42"/>
      <c r="R821" s="42"/>
      <c r="S821" s="42"/>
      <c r="T821" s="42"/>
      <c r="U821" s="42"/>
      <c r="V821" s="42"/>
    </row>
    <row r="822" customFormat="false" ht="15" hidden="false" customHeight="false" outlineLevel="0" collapsed="false">
      <c r="A822" s="42"/>
      <c r="B822" s="42"/>
      <c r="C822" s="45" t="str">
        <f aca="false">IF(B822="","",IFERROR(INDEX('Master Database'!$D$5:$D$600,MATCH(B822,'Master Database'!$A$5:$A$600,0)),"(row not found)"))</f>
        <v/>
      </c>
      <c r="D822" s="45" t="str">
        <f aca="false">IF(B822="","",IFERROR(INDEX('Master Database'!$B$5:$B$600,MATCH(B822,'Master Database'!$A$5:$A$600,0)),"(row not found)"))</f>
        <v/>
      </c>
      <c r="E822" s="42"/>
      <c r="F822" s="45" t="str">
        <f aca="false">IF(E822="","",IFERROR(INDEX(Vendor_Register!$B$5:$B$205,MATCH(E822,Vendor_Register!$A$5:$A$205,0)),"(not in register)"))</f>
        <v/>
      </c>
      <c r="G822" s="45" t="str">
        <f aca="false">IF(E822="","",IFERROR(INDEX(Vendor_Register!$E$5:$E$205,MATCH(E822,Vendor_Register!$A$5:$A$205,0)),"(not in register)"))</f>
        <v/>
      </c>
      <c r="H822" s="42"/>
      <c r="I822" s="42"/>
      <c r="J822" s="42"/>
      <c r="K822" s="42"/>
      <c r="L822" s="42"/>
      <c r="M822" s="46"/>
      <c r="N822" s="42"/>
      <c r="O822" s="47" t="str">
        <f aca="false">IF(NOT(ISNUMBER(M822)),"",IFERROR(IF(L822="EUR",M822,IF(L822="IRR",M822/INDEX('Assumptions &amp; FX Reference'!$C$5:$C$25,MATCH(H822,'Assumptions &amp; FX Reference'!$A$5:$A$25,0)),IF(L822="USD",M822*INDEX('Assumptions &amp; FX Reference'!$B$5:$B$25,MATCH(H822,'Assumptions &amp; FX Reference'!$A$5:$A$25,0))/INDEX('Assumptions &amp; FX Reference'!$C$5:$C$25,MATCH(H822,'Assumptions &amp; FX Reference'!$A$5:$A$25,0)),""))),"(FX missing)"))</f>
        <v/>
      </c>
      <c r="P822" s="42"/>
      <c r="Q822" s="42"/>
      <c r="R822" s="42"/>
      <c r="S822" s="42"/>
      <c r="T822" s="42"/>
      <c r="U822" s="42"/>
      <c r="V822" s="42"/>
    </row>
    <row r="823" customFormat="false" ht="15" hidden="false" customHeight="false" outlineLevel="0" collapsed="false">
      <c r="A823" s="42"/>
      <c r="B823" s="42"/>
      <c r="C823" s="45" t="str">
        <f aca="false">IF(B823="","",IFERROR(INDEX('Master Database'!$D$5:$D$600,MATCH(B823,'Master Database'!$A$5:$A$600,0)),"(row not found)"))</f>
        <v/>
      </c>
      <c r="D823" s="45" t="str">
        <f aca="false">IF(B823="","",IFERROR(INDEX('Master Database'!$B$5:$B$600,MATCH(B823,'Master Database'!$A$5:$A$600,0)),"(row not found)"))</f>
        <v/>
      </c>
      <c r="E823" s="42"/>
      <c r="F823" s="45" t="str">
        <f aca="false">IF(E823="","",IFERROR(INDEX(Vendor_Register!$B$5:$B$205,MATCH(E823,Vendor_Register!$A$5:$A$205,0)),"(not in register)"))</f>
        <v/>
      </c>
      <c r="G823" s="45" t="str">
        <f aca="false">IF(E823="","",IFERROR(INDEX(Vendor_Register!$E$5:$E$205,MATCH(E823,Vendor_Register!$A$5:$A$205,0)),"(not in register)"))</f>
        <v/>
      </c>
      <c r="H823" s="42"/>
      <c r="I823" s="42"/>
      <c r="J823" s="42"/>
      <c r="K823" s="42"/>
      <c r="L823" s="42"/>
      <c r="M823" s="46"/>
      <c r="N823" s="42"/>
      <c r="O823" s="47" t="str">
        <f aca="false">IF(NOT(ISNUMBER(M823)),"",IFERROR(IF(L823="EUR",M823,IF(L823="IRR",M823/INDEX('Assumptions &amp; FX Reference'!$C$5:$C$25,MATCH(H823,'Assumptions &amp; FX Reference'!$A$5:$A$25,0)),IF(L823="USD",M823*INDEX('Assumptions &amp; FX Reference'!$B$5:$B$25,MATCH(H823,'Assumptions &amp; FX Reference'!$A$5:$A$25,0))/INDEX('Assumptions &amp; FX Reference'!$C$5:$C$25,MATCH(H823,'Assumptions &amp; FX Reference'!$A$5:$A$25,0)),""))),"(FX missing)"))</f>
        <v/>
      </c>
      <c r="P823" s="42"/>
      <c r="Q823" s="42"/>
      <c r="R823" s="42"/>
      <c r="S823" s="42"/>
      <c r="T823" s="42"/>
      <c r="U823" s="42"/>
      <c r="V823" s="42"/>
    </row>
    <row r="824" customFormat="false" ht="15" hidden="false" customHeight="false" outlineLevel="0" collapsed="false">
      <c r="A824" s="42"/>
      <c r="B824" s="42"/>
      <c r="C824" s="45" t="str">
        <f aca="false">IF(B824="","",IFERROR(INDEX('Master Database'!$D$5:$D$600,MATCH(B824,'Master Database'!$A$5:$A$600,0)),"(row not found)"))</f>
        <v/>
      </c>
      <c r="D824" s="45" t="str">
        <f aca="false">IF(B824="","",IFERROR(INDEX('Master Database'!$B$5:$B$600,MATCH(B824,'Master Database'!$A$5:$A$600,0)),"(row not found)"))</f>
        <v/>
      </c>
      <c r="E824" s="42"/>
      <c r="F824" s="45" t="str">
        <f aca="false">IF(E824="","",IFERROR(INDEX(Vendor_Register!$B$5:$B$205,MATCH(E824,Vendor_Register!$A$5:$A$205,0)),"(not in register)"))</f>
        <v/>
      </c>
      <c r="G824" s="45" t="str">
        <f aca="false">IF(E824="","",IFERROR(INDEX(Vendor_Register!$E$5:$E$205,MATCH(E824,Vendor_Register!$A$5:$A$205,0)),"(not in register)"))</f>
        <v/>
      </c>
      <c r="H824" s="42"/>
      <c r="I824" s="42"/>
      <c r="J824" s="42"/>
      <c r="K824" s="42"/>
      <c r="L824" s="42"/>
      <c r="M824" s="46"/>
      <c r="N824" s="42"/>
      <c r="O824" s="47" t="str">
        <f aca="false">IF(NOT(ISNUMBER(M824)),"",IFERROR(IF(L824="EUR",M824,IF(L824="IRR",M824/INDEX('Assumptions &amp; FX Reference'!$C$5:$C$25,MATCH(H824,'Assumptions &amp; FX Reference'!$A$5:$A$25,0)),IF(L824="USD",M824*INDEX('Assumptions &amp; FX Reference'!$B$5:$B$25,MATCH(H824,'Assumptions &amp; FX Reference'!$A$5:$A$25,0))/INDEX('Assumptions &amp; FX Reference'!$C$5:$C$25,MATCH(H824,'Assumptions &amp; FX Reference'!$A$5:$A$25,0)),""))),"(FX missing)"))</f>
        <v/>
      </c>
      <c r="P824" s="42"/>
      <c r="Q824" s="42"/>
      <c r="R824" s="42"/>
      <c r="S824" s="42"/>
      <c r="T824" s="42"/>
      <c r="U824" s="42"/>
      <c r="V824" s="42"/>
    </row>
    <row r="825" customFormat="false" ht="15" hidden="false" customHeight="false" outlineLevel="0" collapsed="false">
      <c r="A825" s="42"/>
      <c r="B825" s="42"/>
      <c r="C825" s="45" t="str">
        <f aca="false">IF(B825="","",IFERROR(INDEX('Master Database'!$D$5:$D$600,MATCH(B825,'Master Database'!$A$5:$A$600,0)),"(row not found)"))</f>
        <v/>
      </c>
      <c r="D825" s="45" t="str">
        <f aca="false">IF(B825="","",IFERROR(INDEX('Master Database'!$B$5:$B$600,MATCH(B825,'Master Database'!$A$5:$A$600,0)),"(row not found)"))</f>
        <v/>
      </c>
      <c r="E825" s="42"/>
      <c r="F825" s="45" t="str">
        <f aca="false">IF(E825="","",IFERROR(INDEX(Vendor_Register!$B$5:$B$205,MATCH(E825,Vendor_Register!$A$5:$A$205,0)),"(not in register)"))</f>
        <v/>
      </c>
      <c r="G825" s="45" t="str">
        <f aca="false">IF(E825="","",IFERROR(INDEX(Vendor_Register!$E$5:$E$205,MATCH(E825,Vendor_Register!$A$5:$A$205,0)),"(not in register)"))</f>
        <v/>
      </c>
      <c r="H825" s="42"/>
      <c r="I825" s="42"/>
      <c r="J825" s="42"/>
      <c r="K825" s="42"/>
      <c r="L825" s="42"/>
      <c r="M825" s="46"/>
      <c r="N825" s="42"/>
      <c r="O825" s="47" t="str">
        <f aca="false">IF(NOT(ISNUMBER(M825)),"",IFERROR(IF(L825="EUR",M825,IF(L825="IRR",M825/INDEX('Assumptions &amp; FX Reference'!$C$5:$C$25,MATCH(H825,'Assumptions &amp; FX Reference'!$A$5:$A$25,0)),IF(L825="USD",M825*INDEX('Assumptions &amp; FX Reference'!$B$5:$B$25,MATCH(H825,'Assumptions &amp; FX Reference'!$A$5:$A$25,0))/INDEX('Assumptions &amp; FX Reference'!$C$5:$C$25,MATCH(H825,'Assumptions &amp; FX Reference'!$A$5:$A$25,0)),""))),"(FX missing)"))</f>
        <v/>
      </c>
      <c r="P825" s="42"/>
      <c r="Q825" s="42"/>
      <c r="R825" s="42"/>
      <c r="S825" s="42"/>
      <c r="T825" s="42"/>
      <c r="U825" s="42"/>
      <c r="V825" s="42"/>
    </row>
    <row r="826" customFormat="false" ht="15" hidden="false" customHeight="false" outlineLevel="0" collapsed="false">
      <c r="A826" s="42"/>
      <c r="B826" s="42"/>
      <c r="C826" s="45" t="str">
        <f aca="false">IF(B826="","",IFERROR(INDEX('Master Database'!$D$5:$D$600,MATCH(B826,'Master Database'!$A$5:$A$600,0)),"(row not found)"))</f>
        <v/>
      </c>
      <c r="D826" s="45" t="str">
        <f aca="false">IF(B826="","",IFERROR(INDEX('Master Database'!$B$5:$B$600,MATCH(B826,'Master Database'!$A$5:$A$600,0)),"(row not found)"))</f>
        <v/>
      </c>
      <c r="E826" s="42"/>
      <c r="F826" s="45" t="str">
        <f aca="false">IF(E826="","",IFERROR(INDEX(Vendor_Register!$B$5:$B$205,MATCH(E826,Vendor_Register!$A$5:$A$205,0)),"(not in register)"))</f>
        <v/>
      </c>
      <c r="G826" s="45" t="str">
        <f aca="false">IF(E826="","",IFERROR(INDEX(Vendor_Register!$E$5:$E$205,MATCH(E826,Vendor_Register!$A$5:$A$205,0)),"(not in register)"))</f>
        <v/>
      </c>
      <c r="H826" s="42"/>
      <c r="I826" s="42"/>
      <c r="J826" s="42"/>
      <c r="K826" s="42"/>
      <c r="L826" s="42"/>
      <c r="M826" s="46"/>
      <c r="N826" s="42"/>
      <c r="O826" s="47" t="str">
        <f aca="false">IF(NOT(ISNUMBER(M826)),"",IFERROR(IF(L826="EUR",M826,IF(L826="IRR",M826/INDEX('Assumptions &amp; FX Reference'!$C$5:$C$25,MATCH(H826,'Assumptions &amp; FX Reference'!$A$5:$A$25,0)),IF(L826="USD",M826*INDEX('Assumptions &amp; FX Reference'!$B$5:$B$25,MATCH(H826,'Assumptions &amp; FX Reference'!$A$5:$A$25,0))/INDEX('Assumptions &amp; FX Reference'!$C$5:$C$25,MATCH(H826,'Assumptions &amp; FX Reference'!$A$5:$A$25,0)),""))),"(FX missing)"))</f>
        <v/>
      </c>
      <c r="P826" s="42"/>
      <c r="Q826" s="42"/>
      <c r="R826" s="42"/>
      <c r="S826" s="42"/>
      <c r="T826" s="42"/>
      <c r="U826" s="42"/>
      <c r="V826" s="42"/>
    </row>
    <row r="827" customFormat="false" ht="15" hidden="false" customHeight="false" outlineLevel="0" collapsed="false">
      <c r="A827" s="42"/>
      <c r="B827" s="42"/>
      <c r="C827" s="45" t="str">
        <f aca="false">IF(B827="","",IFERROR(INDEX('Master Database'!$D$5:$D$600,MATCH(B827,'Master Database'!$A$5:$A$600,0)),"(row not found)"))</f>
        <v/>
      </c>
      <c r="D827" s="45" t="str">
        <f aca="false">IF(B827="","",IFERROR(INDEX('Master Database'!$B$5:$B$600,MATCH(B827,'Master Database'!$A$5:$A$600,0)),"(row not found)"))</f>
        <v/>
      </c>
      <c r="E827" s="42"/>
      <c r="F827" s="45" t="str">
        <f aca="false">IF(E827="","",IFERROR(INDEX(Vendor_Register!$B$5:$B$205,MATCH(E827,Vendor_Register!$A$5:$A$205,0)),"(not in register)"))</f>
        <v/>
      </c>
      <c r="G827" s="45" t="str">
        <f aca="false">IF(E827="","",IFERROR(INDEX(Vendor_Register!$E$5:$E$205,MATCH(E827,Vendor_Register!$A$5:$A$205,0)),"(not in register)"))</f>
        <v/>
      </c>
      <c r="H827" s="42"/>
      <c r="I827" s="42"/>
      <c r="J827" s="42"/>
      <c r="K827" s="42"/>
      <c r="L827" s="42"/>
      <c r="M827" s="46"/>
      <c r="N827" s="42"/>
      <c r="O827" s="47" t="str">
        <f aca="false">IF(NOT(ISNUMBER(M827)),"",IFERROR(IF(L827="EUR",M827,IF(L827="IRR",M827/INDEX('Assumptions &amp; FX Reference'!$C$5:$C$25,MATCH(H827,'Assumptions &amp; FX Reference'!$A$5:$A$25,0)),IF(L827="USD",M827*INDEX('Assumptions &amp; FX Reference'!$B$5:$B$25,MATCH(H827,'Assumptions &amp; FX Reference'!$A$5:$A$25,0))/INDEX('Assumptions &amp; FX Reference'!$C$5:$C$25,MATCH(H827,'Assumptions &amp; FX Reference'!$A$5:$A$25,0)),""))),"(FX missing)"))</f>
        <v/>
      </c>
      <c r="P827" s="42"/>
      <c r="Q827" s="42"/>
      <c r="R827" s="42"/>
      <c r="S827" s="42"/>
      <c r="T827" s="42"/>
      <c r="U827" s="42"/>
      <c r="V827" s="42"/>
    </row>
    <row r="828" customFormat="false" ht="15" hidden="false" customHeight="false" outlineLevel="0" collapsed="false">
      <c r="A828" s="42"/>
      <c r="B828" s="42"/>
      <c r="C828" s="45" t="str">
        <f aca="false">IF(B828="","",IFERROR(INDEX('Master Database'!$D$5:$D$600,MATCH(B828,'Master Database'!$A$5:$A$600,0)),"(row not found)"))</f>
        <v/>
      </c>
      <c r="D828" s="45" t="str">
        <f aca="false">IF(B828="","",IFERROR(INDEX('Master Database'!$B$5:$B$600,MATCH(B828,'Master Database'!$A$5:$A$600,0)),"(row not found)"))</f>
        <v/>
      </c>
      <c r="E828" s="42"/>
      <c r="F828" s="45" t="str">
        <f aca="false">IF(E828="","",IFERROR(INDEX(Vendor_Register!$B$5:$B$205,MATCH(E828,Vendor_Register!$A$5:$A$205,0)),"(not in register)"))</f>
        <v/>
      </c>
      <c r="G828" s="45" t="str">
        <f aca="false">IF(E828="","",IFERROR(INDEX(Vendor_Register!$E$5:$E$205,MATCH(E828,Vendor_Register!$A$5:$A$205,0)),"(not in register)"))</f>
        <v/>
      </c>
      <c r="H828" s="42"/>
      <c r="I828" s="42"/>
      <c r="J828" s="42"/>
      <c r="K828" s="42"/>
      <c r="L828" s="42"/>
      <c r="M828" s="46"/>
      <c r="N828" s="42"/>
      <c r="O828" s="47" t="str">
        <f aca="false">IF(NOT(ISNUMBER(M828)),"",IFERROR(IF(L828="EUR",M828,IF(L828="IRR",M828/INDEX('Assumptions &amp; FX Reference'!$C$5:$C$25,MATCH(H828,'Assumptions &amp; FX Reference'!$A$5:$A$25,0)),IF(L828="USD",M828*INDEX('Assumptions &amp; FX Reference'!$B$5:$B$25,MATCH(H828,'Assumptions &amp; FX Reference'!$A$5:$A$25,0))/INDEX('Assumptions &amp; FX Reference'!$C$5:$C$25,MATCH(H828,'Assumptions &amp; FX Reference'!$A$5:$A$25,0)),""))),"(FX missing)"))</f>
        <v/>
      </c>
      <c r="P828" s="42"/>
      <c r="Q828" s="42"/>
      <c r="R828" s="42"/>
      <c r="S828" s="42"/>
      <c r="T828" s="42"/>
      <c r="U828" s="42"/>
      <c r="V828" s="42"/>
    </row>
    <row r="829" customFormat="false" ht="15" hidden="false" customHeight="false" outlineLevel="0" collapsed="false">
      <c r="A829" s="42"/>
      <c r="B829" s="42"/>
      <c r="C829" s="45" t="str">
        <f aca="false">IF(B829="","",IFERROR(INDEX('Master Database'!$D$5:$D$600,MATCH(B829,'Master Database'!$A$5:$A$600,0)),"(row not found)"))</f>
        <v/>
      </c>
      <c r="D829" s="45" t="str">
        <f aca="false">IF(B829="","",IFERROR(INDEX('Master Database'!$B$5:$B$600,MATCH(B829,'Master Database'!$A$5:$A$600,0)),"(row not found)"))</f>
        <v/>
      </c>
      <c r="E829" s="42"/>
      <c r="F829" s="45" t="str">
        <f aca="false">IF(E829="","",IFERROR(INDEX(Vendor_Register!$B$5:$B$205,MATCH(E829,Vendor_Register!$A$5:$A$205,0)),"(not in register)"))</f>
        <v/>
      </c>
      <c r="G829" s="45" t="str">
        <f aca="false">IF(E829="","",IFERROR(INDEX(Vendor_Register!$E$5:$E$205,MATCH(E829,Vendor_Register!$A$5:$A$205,0)),"(not in register)"))</f>
        <v/>
      </c>
      <c r="H829" s="42"/>
      <c r="I829" s="42"/>
      <c r="J829" s="42"/>
      <c r="K829" s="42"/>
      <c r="L829" s="42"/>
      <c r="M829" s="46"/>
      <c r="N829" s="42"/>
      <c r="O829" s="47" t="str">
        <f aca="false">IF(NOT(ISNUMBER(M829)),"",IFERROR(IF(L829="EUR",M829,IF(L829="IRR",M829/INDEX('Assumptions &amp; FX Reference'!$C$5:$C$25,MATCH(H829,'Assumptions &amp; FX Reference'!$A$5:$A$25,0)),IF(L829="USD",M829*INDEX('Assumptions &amp; FX Reference'!$B$5:$B$25,MATCH(H829,'Assumptions &amp; FX Reference'!$A$5:$A$25,0))/INDEX('Assumptions &amp; FX Reference'!$C$5:$C$25,MATCH(H829,'Assumptions &amp; FX Reference'!$A$5:$A$25,0)),""))),"(FX missing)"))</f>
        <v/>
      </c>
      <c r="P829" s="42"/>
      <c r="Q829" s="42"/>
      <c r="R829" s="42"/>
      <c r="S829" s="42"/>
      <c r="T829" s="42"/>
      <c r="U829" s="42"/>
      <c r="V829" s="42"/>
    </row>
    <row r="830" customFormat="false" ht="15" hidden="false" customHeight="false" outlineLevel="0" collapsed="false">
      <c r="A830" s="42"/>
      <c r="B830" s="42"/>
      <c r="C830" s="45" t="str">
        <f aca="false">IF(B830="","",IFERROR(INDEX('Master Database'!$D$5:$D$600,MATCH(B830,'Master Database'!$A$5:$A$600,0)),"(row not found)"))</f>
        <v/>
      </c>
      <c r="D830" s="45" t="str">
        <f aca="false">IF(B830="","",IFERROR(INDEX('Master Database'!$B$5:$B$600,MATCH(B830,'Master Database'!$A$5:$A$600,0)),"(row not found)"))</f>
        <v/>
      </c>
      <c r="E830" s="42"/>
      <c r="F830" s="45" t="str">
        <f aca="false">IF(E830="","",IFERROR(INDEX(Vendor_Register!$B$5:$B$205,MATCH(E830,Vendor_Register!$A$5:$A$205,0)),"(not in register)"))</f>
        <v/>
      </c>
      <c r="G830" s="45" t="str">
        <f aca="false">IF(E830="","",IFERROR(INDEX(Vendor_Register!$E$5:$E$205,MATCH(E830,Vendor_Register!$A$5:$A$205,0)),"(not in register)"))</f>
        <v/>
      </c>
      <c r="H830" s="42"/>
      <c r="I830" s="42"/>
      <c r="J830" s="42"/>
      <c r="K830" s="42"/>
      <c r="L830" s="42"/>
      <c r="M830" s="46"/>
      <c r="N830" s="42"/>
      <c r="O830" s="47" t="str">
        <f aca="false">IF(NOT(ISNUMBER(M830)),"",IFERROR(IF(L830="EUR",M830,IF(L830="IRR",M830/INDEX('Assumptions &amp; FX Reference'!$C$5:$C$25,MATCH(H830,'Assumptions &amp; FX Reference'!$A$5:$A$25,0)),IF(L830="USD",M830*INDEX('Assumptions &amp; FX Reference'!$B$5:$B$25,MATCH(H830,'Assumptions &amp; FX Reference'!$A$5:$A$25,0))/INDEX('Assumptions &amp; FX Reference'!$C$5:$C$25,MATCH(H830,'Assumptions &amp; FX Reference'!$A$5:$A$25,0)),""))),"(FX missing)"))</f>
        <v/>
      </c>
      <c r="P830" s="42"/>
      <c r="Q830" s="42"/>
      <c r="R830" s="42"/>
      <c r="S830" s="42"/>
      <c r="T830" s="42"/>
      <c r="U830" s="42"/>
      <c r="V830" s="42"/>
    </row>
    <row r="831" customFormat="false" ht="15" hidden="false" customHeight="false" outlineLevel="0" collapsed="false">
      <c r="A831" s="42"/>
      <c r="B831" s="42"/>
      <c r="C831" s="45" t="str">
        <f aca="false">IF(B831="","",IFERROR(INDEX('Master Database'!$D$5:$D$600,MATCH(B831,'Master Database'!$A$5:$A$600,0)),"(row not found)"))</f>
        <v/>
      </c>
      <c r="D831" s="45" t="str">
        <f aca="false">IF(B831="","",IFERROR(INDEX('Master Database'!$B$5:$B$600,MATCH(B831,'Master Database'!$A$5:$A$600,0)),"(row not found)"))</f>
        <v/>
      </c>
      <c r="E831" s="42"/>
      <c r="F831" s="45" t="str">
        <f aca="false">IF(E831="","",IFERROR(INDEX(Vendor_Register!$B$5:$B$205,MATCH(E831,Vendor_Register!$A$5:$A$205,0)),"(not in register)"))</f>
        <v/>
      </c>
      <c r="G831" s="45" t="str">
        <f aca="false">IF(E831="","",IFERROR(INDEX(Vendor_Register!$E$5:$E$205,MATCH(E831,Vendor_Register!$A$5:$A$205,0)),"(not in register)"))</f>
        <v/>
      </c>
      <c r="H831" s="42"/>
      <c r="I831" s="42"/>
      <c r="J831" s="42"/>
      <c r="K831" s="42"/>
      <c r="L831" s="42"/>
      <c r="M831" s="46"/>
      <c r="N831" s="42"/>
      <c r="O831" s="47" t="str">
        <f aca="false">IF(NOT(ISNUMBER(M831)),"",IFERROR(IF(L831="EUR",M831,IF(L831="IRR",M831/INDEX('Assumptions &amp; FX Reference'!$C$5:$C$25,MATCH(H831,'Assumptions &amp; FX Reference'!$A$5:$A$25,0)),IF(L831="USD",M831*INDEX('Assumptions &amp; FX Reference'!$B$5:$B$25,MATCH(H831,'Assumptions &amp; FX Reference'!$A$5:$A$25,0))/INDEX('Assumptions &amp; FX Reference'!$C$5:$C$25,MATCH(H831,'Assumptions &amp; FX Reference'!$A$5:$A$25,0)),""))),"(FX missing)"))</f>
        <v/>
      </c>
      <c r="P831" s="42"/>
      <c r="Q831" s="42"/>
      <c r="R831" s="42"/>
      <c r="S831" s="42"/>
      <c r="T831" s="42"/>
      <c r="U831" s="42"/>
      <c r="V831" s="42"/>
    </row>
    <row r="832" customFormat="false" ht="15" hidden="false" customHeight="false" outlineLevel="0" collapsed="false">
      <c r="A832" s="42"/>
      <c r="B832" s="42"/>
      <c r="C832" s="45" t="str">
        <f aca="false">IF(B832="","",IFERROR(INDEX('Master Database'!$D$5:$D$600,MATCH(B832,'Master Database'!$A$5:$A$600,0)),"(row not found)"))</f>
        <v/>
      </c>
      <c r="D832" s="45" t="str">
        <f aca="false">IF(B832="","",IFERROR(INDEX('Master Database'!$B$5:$B$600,MATCH(B832,'Master Database'!$A$5:$A$600,0)),"(row not found)"))</f>
        <v/>
      </c>
      <c r="E832" s="42"/>
      <c r="F832" s="45" t="str">
        <f aca="false">IF(E832="","",IFERROR(INDEX(Vendor_Register!$B$5:$B$205,MATCH(E832,Vendor_Register!$A$5:$A$205,0)),"(not in register)"))</f>
        <v/>
      </c>
      <c r="G832" s="45" t="str">
        <f aca="false">IF(E832="","",IFERROR(INDEX(Vendor_Register!$E$5:$E$205,MATCH(E832,Vendor_Register!$A$5:$A$205,0)),"(not in register)"))</f>
        <v/>
      </c>
      <c r="H832" s="42"/>
      <c r="I832" s="42"/>
      <c r="J832" s="42"/>
      <c r="K832" s="42"/>
      <c r="L832" s="42"/>
      <c r="M832" s="46"/>
      <c r="N832" s="42"/>
      <c r="O832" s="47" t="str">
        <f aca="false">IF(NOT(ISNUMBER(M832)),"",IFERROR(IF(L832="EUR",M832,IF(L832="IRR",M832/INDEX('Assumptions &amp; FX Reference'!$C$5:$C$25,MATCH(H832,'Assumptions &amp; FX Reference'!$A$5:$A$25,0)),IF(L832="USD",M832*INDEX('Assumptions &amp; FX Reference'!$B$5:$B$25,MATCH(H832,'Assumptions &amp; FX Reference'!$A$5:$A$25,0))/INDEX('Assumptions &amp; FX Reference'!$C$5:$C$25,MATCH(H832,'Assumptions &amp; FX Reference'!$A$5:$A$25,0)),""))),"(FX missing)"))</f>
        <v/>
      </c>
      <c r="P832" s="42"/>
      <c r="Q832" s="42"/>
      <c r="R832" s="42"/>
      <c r="S832" s="42"/>
      <c r="T832" s="42"/>
      <c r="U832" s="42"/>
      <c r="V832" s="42"/>
    </row>
    <row r="833" customFormat="false" ht="15" hidden="false" customHeight="false" outlineLevel="0" collapsed="false">
      <c r="A833" s="42"/>
      <c r="B833" s="42"/>
      <c r="C833" s="45" t="str">
        <f aca="false">IF(B833="","",IFERROR(INDEX('Master Database'!$D$5:$D$600,MATCH(B833,'Master Database'!$A$5:$A$600,0)),"(row not found)"))</f>
        <v/>
      </c>
      <c r="D833" s="45" t="str">
        <f aca="false">IF(B833="","",IFERROR(INDEX('Master Database'!$B$5:$B$600,MATCH(B833,'Master Database'!$A$5:$A$600,0)),"(row not found)"))</f>
        <v/>
      </c>
      <c r="E833" s="42"/>
      <c r="F833" s="45" t="str">
        <f aca="false">IF(E833="","",IFERROR(INDEX(Vendor_Register!$B$5:$B$205,MATCH(E833,Vendor_Register!$A$5:$A$205,0)),"(not in register)"))</f>
        <v/>
      </c>
      <c r="G833" s="45" t="str">
        <f aca="false">IF(E833="","",IFERROR(INDEX(Vendor_Register!$E$5:$E$205,MATCH(E833,Vendor_Register!$A$5:$A$205,0)),"(not in register)"))</f>
        <v/>
      </c>
      <c r="H833" s="42"/>
      <c r="I833" s="42"/>
      <c r="J833" s="42"/>
      <c r="K833" s="42"/>
      <c r="L833" s="42"/>
      <c r="M833" s="46"/>
      <c r="N833" s="42"/>
      <c r="O833" s="47" t="str">
        <f aca="false">IF(NOT(ISNUMBER(M833)),"",IFERROR(IF(L833="EUR",M833,IF(L833="IRR",M833/INDEX('Assumptions &amp; FX Reference'!$C$5:$C$25,MATCH(H833,'Assumptions &amp; FX Reference'!$A$5:$A$25,0)),IF(L833="USD",M833*INDEX('Assumptions &amp; FX Reference'!$B$5:$B$25,MATCH(H833,'Assumptions &amp; FX Reference'!$A$5:$A$25,0))/INDEX('Assumptions &amp; FX Reference'!$C$5:$C$25,MATCH(H833,'Assumptions &amp; FX Reference'!$A$5:$A$25,0)),""))),"(FX missing)"))</f>
        <v/>
      </c>
      <c r="P833" s="42"/>
      <c r="Q833" s="42"/>
      <c r="R833" s="42"/>
      <c r="S833" s="42"/>
      <c r="T833" s="42"/>
      <c r="U833" s="42"/>
      <c r="V833" s="42"/>
    </row>
    <row r="834" customFormat="false" ht="15" hidden="false" customHeight="false" outlineLevel="0" collapsed="false">
      <c r="A834" s="42"/>
      <c r="B834" s="42"/>
      <c r="C834" s="45" t="str">
        <f aca="false">IF(B834="","",IFERROR(INDEX('Master Database'!$D$5:$D$600,MATCH(B834,'Master Database'!$A$5:$A$600,0)),"(row not found)"))</f>
        <v/>
      </c>
      <c r="D834" s="45" t="str">
        <f aca="false">IF(B834="","",IFERROR(INDEX('Master Database'!$B$5:$B$600,MATCH(B834,'Master Database'!$A$5:$A$600,0)),"(row not found)"))</f>
        <v/>
      </c>
      <c r="E834" s="42"/>
      <c r="F834" s="45" t="str">
        <f aca="false">IF(E834="","",IFERROR(INDEX(Vendor_Register!$B$5:$B$205,MATCH(E834,Vendor_Register!$A$5:$A$205,0)),"(not in register)"))</f>
        <v/>
      </c>
      <c r="G834" s="45" t="str">
        <f aca="false">IF(E834="","",IFERROR(INDEX(Vendor_Register!$E$5:$E$205,MATCH(E834,Vendor_Register!$A$5:$A$205,0)),"(not in register)"))</f>
        <v/>
      </c>
      <c r="H834" s="42"/>
      <c r="I834" s="42"/>
      <c r="J834" s="42"/>
      <c r="K834" s="42"/>
      <c r="L834" s="42"/>
      <c r="M834" s="46"/>
      <c r="N834" s="42"/>
      <c r="O834" s="47" t="str">
        <f aca="false">IF(NOT(ISNUMBER(M834)),"",IFERROR(IF(L834="EUR",M834,IF(L834="IRR",M834/INDEX('Assumptions &amp; FX Reference'!$C$5:$C$25,MATCH(H834,'Assumptions &amp; FX Reference'!$A$5:$A$25,0)),IF(L834="USD",M834*INDEX('Assumptions &amp; FX Reference'!$B$5:$B$25,MATCH(H834,'Assumptions &amp; FX Reference'!$A$5:$A$25,0))/INDEX('Assumptions &amp; FX Reference'!$C$5:$C$25,MATCH(H834,'Assumptions &amp; FX Reference'!$A$5:$A$25,0)),""))),"(FX missing)"))</f>
        <v/>
      </c>
      <c r="P834" s="42"/>
      <c r="Q834" s="42"/>
      <c r="R834" s="42"/>
      <c r="S834" s="42"/>
      <c r="T834" s="42"/>
      <c r="U834" s="42"/>
      <c r="V834" s="42"/>
    </row>
    <row r="835" customFormat="false" ht="15" hidden="false" customHeight="false" outlineLevel="0" collapsed="false">
      <c r="A835" s="42"/>
      <c r="B835" s="42"/>
      <c r="C835" s="45" t="str">
        <f aca="false">IF(B835="","",IFERROR(INDEX('Master Database'!$D$5:$D$600,MATCH(B835,'Master Database'!$A$5:$A$600,0)),"(row not found)"))</f>
        <v/>
      </c>
      <c r="D835" s="45" t="str">
        <f aca="false">IF(B835="","",IFERROR(INDEX('Master Database'!$B$5:$B$600,MATCH(B835,'Master Database'!$A$5:$A$600,0)),"(row not found)"))</f>
        <v/>
      </c>
      <c r="E835" s="42"/>
      <c r="F835" s="45" t="str">
        <f aca="false">IF(E835="","",IFERROR(INDEX(Vendor_Register!$B$5:$B$205,MATCH(E835,Vendor_Register!$A$5:$A$205,0)),"(not in register)"))</f>
        <v/>
      </c>
      <c r="G835" s="45" t="str">
        <f aca="false">IF(E835="","",IFERROR(INDEX(Vendor_Register!$E$5:$E$205,MATCH(E835,Vendor_Register!$A$5:$A$205,0)),"(not in register)"))</f>
        <v/>
      </c>
      <c r="H835" s="42"/>
      <c r="I835" s="42"/>
      <c r="J835" s="42"/>
      <c r="K835" s="42"/>
      <c r="L835" s="42"/>
      <c r="M835" s="46"/>
      <c r="N835" s="42"/>
      <c r="O835" s="47" t="str">
        <f aca="false">IF(NOT(ISNUMBER(M835)),"",IFERROR(IF(L835="EUR",M835,IF(L835="IRR",M835/INDEX('Assumptions &amp; FX Reference'!$C$5:$C$25,MATCH(H835,'Assumptions &amp; FX Reference'!$A$5:$A$25,0)),IF(L835="USD",M835*INDEX('Assumptions &amp; FX Reference'!$B$5:$B$25,MATCH(H835,'Assumptions &amp; FX Reference'!$A$5:$A$25,0))/INDEX('Assumptions &amp; FX Reference'!$C$5:$C$25,MATCH(H835,'Assumptions &amp; FX Reference'!$A$5:$A$25,0)),""))),"(FX missing)"))</f>
        <v/>
      </c>
      <c r="P835" s="42"/>
      <c r="Q835" s="42"/>
      <c r="R835" s="42"/>
      <c r="S835" s="42"/>
      <c r="T835" s="42"/>
      <c r="U835" s="42"/>
      <c r="V835" s="42"/>
    </row>
    <row r="836" customFormat="false" ht="15" hidden="false" customHeight="false" outlineLevel="0" collapsed="false">
      <c r="A836" s="42"/>
      <c r="B836" s="42"/>
      <c r="C836" s="45" t="str">
        <f aca="false">IF(B836="","",IFERROR(INDEX('Master Database'!$D$5:$D$600,MATCH(B836,'Master Database'!$A$5:$A$600,0)),"(row not found)"))</f>
        <v/>
      </c>
      <c r="D836" s="45" t="str">
        <f aca="false">IF(B836="","",IFERROR(INDEX('Master Database'!$B$5:$B$600,MATCH(B836,'Master Database'!$A$5:$A$600,0)),"(row not found)"))</f>
        <v/>
      </c>
      <c r="E836" s="42"/>
      <c r="F836" s="45" t="str">
        <f aca="false">IF(E836="","",IFERROR(INDEX(Vendor_Register!$B$5:$B$205,MATCH(E836,Vendor_Register!$A$5:$A$205,0)),"(not in register)"))</f>
        <v/>
      </c>
      <c r="G836" s="45" t="str">
        <f aca="false">IF(E836="","",IFERROR(INDEX(Vendor_Register!$E$5:$E$205,MATCH(E836,Vendor_Register!$A$5:$A$205,0)),"(not in register)"))</f>
        <v/>
      </c>
      <c r="H836" s="42"/>
      <c r="I836" s="42"/>
      <c r="J836" s="42"/>
      <c r="K836" s="42"/>
      <c r="L836" s="42"/>
      <c r="M836" s="46"/>
      <c r="N836" s="42"/>
      <c r="O836" s="47" t="str">
        <f aca="false">IF(NOT(ISNUMBER(M836)),"",IFERROR(IF(L836="EUR",M836,IF(L836="IRR",M836/INDEX('Assumptions &amp; FX Reference'!$C$5:$C$25,MATCH(H836,'Assumptions &amp; FX Reference'!$A$5:$A$25,0)),IF(L836="USD",M836*INDEX('Assumptions &amp; FX Reference'!$B$5:$B$25,MATCH(H836,'Assumptions &amp; FX Reference'!$A$5:$A$25,0))/INDEX('Assumptions &amp; FX Reference'!$C$5:$C$25,MATCH(H836,'Assumptions &amp; FX Reference'!$A$5:$A$25,0)),""))),"(FX missing)"))</f>
        <v/>
      </c>
      <c r="P836" s="42"/>
      <c r="Q836" s="42"/>
      <c r="R836" s="42"/>
      <c r="S836" s="42"/>
      <c r="T836" s="42"/>
      <c r="U836" s="42"/>
      <c r="V836" s="42"/>
    </row>
    <row r="837" customFormat="false" ht="15" hidden="false" customHeight="false" outlineLevel="0" collapsed="false">
      <c r="A837" s="42"/>
      <c r="B837" s="42"/>
      <c r="C837" s="45" t="str">
        <f aca="false">IF(B837="","",IFERROR(INDEX('Master Database'!$D$5:$D$600,MATCH(B837,'Master Database'!$A$5:$A$600,0)),"(row not found)"))</f>
        <v/>
      </c>
      <c r="D837" s="45" t="str">
        <f aca="false">IF(B837="","",IFERROR(INDEX('Master Database'!$B$5:$B$600,MATCH(B837,'Master Database'!$A$5:$A$600,0)),"(row not found)"))</f>
        <v/>
      </c>
      <c r="E837" s="42"/>
      <c r="F837" s="45" t="str">
        <f aca="false">IF(E837="","",IFERROR(INDEX(Vendor_Register!$B$5:$B$205,MATCH(E837,Vendor_Register!$A$5:$A$205,0)),"(not in register)"))</f>
        <v/>
      </c>
      <c r="G837" s="45" t="str">
        <f aca="false">IF(E837="","",IFERROR(INDEX(Vendor_Register!$E$5:$E$205,MATCH(E837,Vendor_Register!$A$5:$A$205,0)),"(not in register)"))</f>
        <v/>
      </c>
      <c r="H837" s="42"/>
      <c r="I837" s="42"/>
      <c r="J837" s="42"/>
      <c r="K837" s="42"/>
      <c r="L837" s="42"/>
      <c r="M837" s="46"/>
      <c r="N837" s="42"/>
      <c r="O837" s="47" t="str">
        <f aca="false">IF(NOT(ISNUMBER(M837)),"",IFERROR(IF(L837="EUR",M837,IF(L837="IRR",M837/INDEX('Assumptions &amp; FX Reference'!$C$5:$C$25,MATCH(H837,'Assumptions &amp; FX Reference'!$A$5:$A$25,0)),IF(L837="USD",M837*INDEX('Assumptions &amp; FX Reference'!$B$5:$B$25,MATCH(H837,'Assumptions &amp; FX Reference'!$A$5:$A$25,0))/INDEX('Assumptions &amp; FX Reference'!$C$5:$C$25,MATCH(H837,'Assumptions &amp; FX Reference'!$A$5:$A$25,0)),""))),"(FX missing)"))</f>
        <v/>
      </c>
      <c r="P837" s="42"/>
      <c r="Q837" s="42"/>
      <c r="R837" s="42"/>
      <c r="S837" s="42"/>
      <c r="T837" s="42"/>
      <c r="U837" s="42"/>
      <c r="V837" s="42"/>
    </row>
    <row r="838" customFormat="false" ht="15" hidden="false" customHeight="false" outlineLevel="0" collapsed="false">
      <c r="A838" s="42"/>
      <c r="B838" s="42"/>
      <c r="C838" s="45" t="str">
        <f aca="false">IF(B838="","",IFERROR(INDEX('Master Database'!$D$5:$D$600,MATCH(B838,'Master Database'!$A$5:$A$600,0)),"(row not found)"))</f>
        <v/>
      </c>
      <c r="D838" s="45" t="str">
        <f aca="false">IF(B838="","",IFERROR(INDEX('Master Database'!$B$5:$B$600,MATCH(B838,'Master Database'!$A$5:$A$600,0)),"(row not found)"))</f>
        <v/>
      </c>
      <c r="E838" s="42"/>
      <c r="F838" s="45" t="str">
        <f aca="false">IF(E838="","",IFERROR(INDEX(Vendor_Register!$B$5:$B$205,MATCH(E838,Vendor_Register!$A$5:$A$205,0)),"(not in register)"))</f>
        <v/>
      </c>
      <c r="G838" s="45" t="str">
        <f aca="false">IF(E838="","",IFERROR(INDEX(Vendor_Register!$E$5:$E$205,MATCH(E838,Vendor_Register!$A$5:$A$205,0)),"(not in register)"))</f>
        <v/>
      </c>
      <c r="H838" s="42"/>
      <c r="I838" s="42"/>
      <c r="J838" s="42"/>
      <c r="K838" s="42"/>
      <c r="L838" s="42"/>
      <c r="M838" s="46"/>
      <c r="N838" s="42"/>
      <c r="O838" s="47" t="str">
        <f aca="false">IF(NOT(ISNUMBER(M838)),"",IFERROR(IF(L838="EUR",M838,IF(L838="IRR",M838/INDEX('Assumptions &amp; FX Reference'!$C$5:$C$25,MATCH(H838,'Assumptions &amp; FX Reference'!$A$5:$A$25,0)),IF(L838="USD",M838*INDEX('Assumptions &amp; FX Reference'!$B$5:$B$25,MATCH(H838,'Assumptions &amp; FX Reference'!$A$5:$A$25,0))/INDEX('Assumptions &amp; FX Reference'!$C$5:$C$25,MATCH(H838,'Assumptions &amp; FX Reference'!$A$5:$A$25,0)),""))),"(FX missing)"))</f>
        <v/>
      </c>
      <c r="P838" s="42"/>
      <c r="Q838" s="42"/>
      <c r="R838" s="42"/>
      <c r="S838" s="42"/>
      <c r="T838" s="42"/>
      <c r="U838" s="42"/>
      <c r="V838" s="42"/>
    </row>
    <row r="839" customFormat="false" ht="15" hidden="false" customHeight="false" outlineLevel="0" collapsed="false">
      <c r="A839" s="42"/>
      <c r="B839" s="42"/>
      <c r="C839" s="45" t="str">
        <f aca="false">IF(B839="","",IFERROR(INDEX('Master Database'!$D$5:$D$600,MATCH(B839,'Master Database'!$A$5:$A$600,0)),"(row not found)"))</f>
        <v/>
      </c>
      <c r="D839" s="45" t="str">
        <f aca="false">IF(B839="","",IFERROR(INDEX('Master Database'!$B$5:$B$600,MATCH(B839,'Master Database'!$A$5:$A$600,0)),"(row not found)"))</f>
        <v/>
      </c>
      <c r="E839" s="42"/>
      <c r="F839" s="45" t="str">
        <f aca="false">IF(E839="","",IFERROR(INDEX(Vendor_Register!$B$5:$B$205,MATCH(E839,Vendor_Register!$A$5:$A$205,0)),"(not in register)"))</f>
        <v/>
      </c>
      <c r="G839" s="45" t="str">
        <f aca="false">IF(E839="","",IFERROR(INDEX(Vendor_Register!$E$5:$E$205,MATCH(E839,Vendor_Register!$A$5:$A$205,0)),"(not in register)"))</f>
        <v/>
      </c>
      <c r="H839" s="42"/>
      <c r="I839" s="42"/>
      <c r="J839" s="42"/>
      <c r="K839" s="42"/>
      <c r="L839" s="42"/>
      <c r="M839" s="46"/>
      <c r="N839" s="42"/>
      <c r="O839" s="47" t="str">
        <f aca="false">IF(NOT(ISNUMBER(M839)),"",IFERROR(IF(L839="EUR",M839,IF(L839="IRR",M839/INDEX('Assumptions &amp; FX Reference'!$C$5:$C$25,MATCH(H839,'Assumptions &amp; FX Reference'!$A$5:$A$25,0)),IF(L839="USD",M839*INDEX('Assumptions &amp; FX Reference'!$B$5:$B$25,MATCH(H839,'Assumptions &amp; FX Reference'!$A$5:$A$25,0))/INDEX('Assumptions &amp; FX Reference'!$C$5:$C$25,MATCH(H839,'Assumptions &amp; FX Reference'!$A$5:$A$25,0)),""))),"(FX missing)"))</f>
        <v/>
      </c>
      <c r="P839" s="42"/>
      <c r="Q839" s="42"/>
      <c r="R839" s="42"/>
      <c r="S839" s="42"/>
      <c r="T839" s="42"/>
      <c r="U839" s="42"/>
      <c r="V839" s="42"/>
    </row>
    <row r="840" customFormat="false" ht="15" hidden="false" customHeight="false" outlineLevel="0" collapsed="false">
      <c r="A840" s="42"/>
      <c r="B840" s="42"/>
      <c r="C840" s="45" t="str">
        <f aca="false">IF(B840="","",IFERROR(INDEX('Master Database'!$D$5:$D$600,MATCH(B840,'Master Database'!$A$5:$A$600,0)),"(row not found)"))</f>
        <v/>
      </c>
      <c r="D840" s="45" t="str">
        <f aca="false">IF(B840="","",IFERROR(INDEX('Master Database'!$B$5:$B$600,MATCH(B840,'Master Database'!$A$5:$A$600,0)),"(row not found)"))</f>
        <v/>
      </c>
      <c r="E840" s="42"/>
      <c r="F840" s="45" t="str">
        <f aca="false">IF(E840="","",IFERROR(INDEX(Vendor_Register!$B$5:$B$205,MATCH(E840,Vendor_Register!$A$5:$A$205,0)),"(not in register)"))</f>
        <v/>
      </c>
      <c r="G840" s="45" t="str">
        <f aca="false">IF(E840="","",IFERROR(INDEX(Vendor_Register!$E$5:$E$205,MATCH(E840,Vendor_Register!$A$5:$A$205,0)),"(not in register)"))</f>
        <v/>
      </c>
      <c r="H840" s="42"/>
      <c r="I840" s="42"/>
      <c r="J840" s="42"/>
      <c r="K840" s="42"/>
      <c r="L840" s="42"/>
      <c r="M840" s="46"/>
      <c r="N840" s="42"/>
      <c r="O840" s="47" t="str">
        <f aca="false">IF(NOT(ISNUMBER(M840)),"",IFERROR(IF(L840="EUR",M840,IF(L840="IRR",M840/INDEX('Assumptions &amp; FX Reference'!$C$5:$C$25,MATCH(H840,'Assumptions &amp; FX Reference'!$A$5:$A$25,0)),IF(L840="USD",M840*INDEX('Assumptions &amp; FX Reference'!$B$5:$B$25,MATCH(H840,'Assumptions &amp; FX Reference'!$A$5:$A$25,0))/INDEX('Assumptions &amp; FX Reference'!$C$5:$C$25,MATCH(H840,'Assumptions &amp; FX Reference'!$A$5:$A$25,0)),""))),"(FX missing)"))</f>
        <v/>
      </c>
      <c r="P840" s="42"/>
      <c r="Q840" s="42"/>
      <c r="R840" s="42"/>
      <c r="S840" s="42"/>
      <c r="T840" s="42"/>
      <c r="U840" s="42"/>
      <c r="V840" s="42"/>
    </row>
    <row r="841" customFormat="false" ht="15" hidden="false" customHeight="false" outlineLevel="0" collapsed="false">
      <c r="A841" s="42"/>
      <c r="B841" s="42"/>
      <c r="C841" s="45" t="str">
        <f aca="false">IF(B841="","",IFERROR(INDEX('Master Database'!$D$5:$D$600,MATCH(B841,'Master Database'!$A$5:$A$600,0)),"(row not found)"))</f>
        <v/>
      </c>
      <c r="D841" s="45" t="str">
        <f aca="false">IF(B841="","",IFERROR(INDEX('Master Database'!$B$5:$B$600,MATCH(B841,'Master Database'!$A$5:$A$600,0)),"(row not found)"))</f>
        <v/>
      </c>
      <c r="E841" s="42"/>
      <c r="F841" s="45" t="str">
        <f aca="false">IF(E841="","",IFERROR(INDEX(Vendor_Register!$B$5:$B$205,MATCH(E841,Vendor_Register!$A$5:$A$205,0)),"(not in register)"))</f>
        <v/>
      </c>
      <c r="G841" s="45" t="str">
        <f aca="false">IF(E841="","",IFERROR(INDEX(Vendor_Register!$E$5:$E$205,MATCH(E841,Vendor_Register!$A$5:$A$205,0)),"(not in register)"))</f>
        <v/>
      </c>
      <c r="H841" s="42"/>
      <c r="I841" s="42"/>
      <c r="J841" s="42"/>
      <c r="K841" s="42"/>
      <c r="L841" s="42"/>
      <c r="M841" s="46"/>
      <c r="N841" s="42"/>
      <c r="O841" s="47" t="str">
        <f aca="false">IF(NOT(ISNUMBER(M841)),"",IFERROR(IF(L841="EUR",M841,IF(L841="IRR",M841/INDEX('Assumptions &amp; FX Reference'!$C$5:$C$25,MATCH(H841,'Assumptions &amp; FX Reference'!$A$5:$A$25,0)),IF(L841="USD",M841*INDEX('Assumptions &amp; FX Reference'!$B$5:$B$25,MATCH(H841,'Assumptions &amp; FX Reference'!$A$5:$A$25,0))/INDEX('Assumptions &amp; FX Reference'!$C$5:$C$25,MATCH(H841,'Assumptions &amp; FX Reference'!$A$5:$A$25,0)),""))),"(FX missing)"))</f>
        <v/>
      </c>
      <c r="P841" s="42"/>
      <c r="Q841" s="42"/>
      <c r="R841" s="42"/>
      <c r="S841" s="42"/>
      <c r="T841" s="42"/>
      <c r="U841" s="42"/>
      <c r="V841" s="42"/>
    </row>
    <row r="842" customFormat="false" ht="15" hidden="false" customHeight="false" outlineLevel="0" collapsed="false">
      <c r="A842" s="42"/>
      <c r="B842" s="42"/>
      <c r="C842" s="45" t="str">
        <f aca="false">IF(B842="","",IFERROR(INDEX('Master Database'!$D$5:$D$600,MATCH(B842,'Master Database'!$A$5:$A$600,0)),"(row not found)"))</f>
        <v/>
      </c>
      <c r="D842" s="45" t="str">
        <f aca="false">IF(B842="","",IFERROR(INDEX('Master Database'!$B$5:$B$600,MATCH(B842,'Master Database'!$A$5:$A$600,0)),"(row not found)"))</f>
        <v/>
      </c>
      <c r="E842" s="42"/>
      <c r="F842" s="45" t="str">
        <f aca="false">IF(E842="","",IFERROR(INDEX(Vendor_Register!$B$5:$B$205,MATCH(E842,Vendor_Register!$A$5:$A$205,0)),"(not in register)"))</f>
        <v/>
      </c>
      <c r="G842" s="45" t="str">
        <f aca="false">IF(E842="","",IFERROR(INDEX(Vendor_Register!$E$5:$E$205,MATCH(E842,Vendor_Register!$A$5:$A$205,0)),"(not in register)"))</f>
        <v/>
      </c>
      <c r="H842" s="42"/>
      <c r="I842" s="42"/>
      <c r="J842" s="42"/>
      <c r="K842" s="42"/>
      <c r="L842" s="42"/>
      <c r="M842" s="46"/>
      <c r="N842" s="42"/>
      <c r="O842" s="47" t="str">
        <f aca="false">IF(NOT(ISNUMBER(M842)),"",IFERROR(IF(L842="EUR",M842,IF(L842="IRR",M842/INDEX('Assumptions &amp; FX Reference'!$C$5:$C$25,MATCH(H842,'Assumptions &amp; FX Reference'!$A$5:$A$25,0)),IF(L842="USD",M842*INDEX('Assumptions &amp; FX Reference'!$B$5:$B$25,MATCH(H842,'Assumptions &amp; FX Reference'!$A$5:$A$25,0))/INDEX('Assumptions &amp; FX Reference'!$C$5:$C$25,MATCH(H842,'Assumptions &amp; FX Reference'!$A$5:$A$25,0)),""))),"(FX missing)"))</f>
        <v/>
      </c>
      <c r="P842" s="42"/>
      <c r="Q842" s="42"/>
      <c r="R842" s="42"/>
      <c r="S842" s="42"/>
      <c r="T842" s="42"/>
      <c r="U842" s="42"/>
      <c r="V842" s="42"/>
    </row>
    <row r="843" customFormat="false" ht="15" hidden="false" customHeight="false" outlineLevel="0" collapsed="false">
      <c r="A843" s="42"/>
      <c r="B843" s="42"/>
      <c r="C843" s="45" t="str">
        <f aca="false">IF(B843="","",IFERROR(INDEX('Master Database'!$D$5:$D$600,MATCH(B843,'Master Database'!$A$5:$A$600,0)),"(row not found)"))</f>
        <v/>
      </c>
      <c r="D843" s="45" t="str">
        <f aca="false">IF(B843="","",IFERROR(INDEX('Master Database'!$B$5:$B$600,MATCH(B843,'Master Database'!$A$5:$A$600,0)),"(row not found)"))</f>
        <v/>
      </c>
      <c r="E843" s="42"/>
      <c r="F843" s="45" t="str">
        <f aca="false">IF(E843="","",IFERROR(INDEX(Vendor_Register!$B$5:$B$205,MATCH(E843,Vendor_Register!$A$5:$A$205,0)),"(not in register)"))</f>
        <v/>
      </c>
      <c r="G843" s="45" t="str">
        <f aca="false">IF(E843="","",IFERROR(INDEX(Vendor_Register!$E$5:$E$205,MATCH(E843,Vendor_Register!$A$5:$A$205,0)),"(not in register)"))</f>
        <v/>
      </c>
      <c r="H843" s="42"/>
      <c r="I843" s="42"/>
      <c r="J843" s="42"/>
      <c r="K843" s="42"/>
      <c r="L843" s="42"/>
      <c r="M843" s="46"/>
      <c r="N843" s="42"/>
      <c r="O843" s="47" t="str">
        <f aca="false">IF(NOT(ISNUMBER(M843)),"",IFERROR(IF(L843="EUR",M843,IF(L843="IRR",M843/INDEX('Assumptions &amp; FX Reference'!$C$5:$C$25,MATCH(H843,'Assumptions &amp; FX Reference'!$A$5:$A$25,0)),IF(L843="USD",M843*INDEX('Assumptions &amp; FX Reference'!$B$5:$B$25,MATCH(H843,'Assumptions &amp; FX Reference'!$A$5:$A$25,0))/INDEX('Assumptions &amp; FX Reference'!$C$5:$C$25,MATCH(H843,'Assumptions &amp; FX Reference'!$A$5:$A$25,0)),""))),"(FX missing)"))</f>
        <v/>
      </c>
      <c r="P843" s="42"/>
      <c r="Q843" s="42"/>
      <c r="R843" s="42"/>
      <c r="S843" s="42"/>
      <c r="T843" s="42"/>
      <c r="U843" s="42"/>
      <c r="V843" s="42"/>
    </row>
    <row r="844" customFormat="false" ht="15" hidden="false" customHeight="false" outlineLevel="0" collapsed="false">
      <c r="A844" s="42"/>
      <c r="B844" s="42"/>
      <c r="C844" s="45" t="str">
        <f aca="false">IF(B844="","",IFERROR(INDEX('Master Database'!$D$5:$D$600,MATCH(B844,'Master Database'!$A$5:$A$600,0)),"(row not found)"))</f>
        <v/>
      </c>
      <c r="D844" s="45" t="str">
        <f aca="false">IF(B844="","",IFERROR(INDEX('Master Database'!$B$5:$B$600,MATCH(B844,'Master Database'!$A$5:$A$600,0)),"(row not found)"))</f>
        <v/>
      </c>
      <c r="E844" s="42"/>
      <c r="F844" s="45" t="str">
        <f aca="false">IF(E844="","",IFERROR(INDEX(Vendor_Register!$B$5:$B$205,MATCH(E844,Vendor_Register!$A$5:$A$205,0)),"(not in register)"))</f>
        <v/>
      </c>
      <c r="G844" s="45" t="str">
        <f aca="false">IF(E844="","",IFERROR(INDEX(Vendor_Register!$E$5:$E$205,MATCH(E844,Vendor_Register!$A$5:$A$205,0)),"(not in register)"))</f>
        <v/>
      </c>
      <c r="H844" s="42"/>
      <c r="I844" s="42"/>
      <c r="J844" s="42"/>
      <c r="K844" s="42"/>
      <c r="L844" s="42"/>
      <c r="M844" s="46"/>
      <c r="N844" s="42"/>
      <c r="O844" s="47" t="str">
        <f aca="false">IF(NOT(ISNUMBER(M844)),"",IFERROR(IF(L844="EUR",M844,IF(L844="IRR",M844/INDEX('Assumptions &amp; FX Reference'!$C$5:$C$25,MATCH(H844,'Assumptions &amp; FX Reference'!$A$5:$A$25,0)),IF(L844="USD",M844*INDEX('Assumptions &amp; FX Reference'!$B$5:$B$25,MATCH(H844,'Assumptions &amp; FX Reference'!$A$5:$A$25,0))/INDEX('Assumptions &amp; FX Reference'!$C$5:$C$25,MATCH(H844,'Assumptions &amp; FX Reference'!$A$5:$A$25,0)),""))),"(FX missing)"))</f>
        <v/>
      </c>
      <c r="P844" s="42"/>
      <c r="Q844" s="42"/>
      <c r="R844" s="42"/>
      <c r="S844" s="42"/>
      <c r="T844" s="42"/>
      <c r="U844" s="42"/>
      <c r="V844" s="42"/>
    </row>
    <row r="845" customFormat="false" ht="15" hidden="false" customHeight="false" outlineLevel="0" collapsed="false">
      <c r="A845" s="42"/>
      <c r="B845" s="42"/>
      <c r="C845" s="45" t="str">
        <f aca="false">IF(B845="","",IFERROR(INDEX('Master Database'!$D$5:$D$600,MATCH(B845,'Master Database'!$A$5:$A$600,0)),"(row not found)"))</f>
        <v/>
      </c>
      <c r="D845" s="45" t="str">
        <f aca="false">IF(B845="","",IFERROR(INDEX('Master Database'!$B$5:$B$600,MATCH(B845,'Master Database'!$A$5:$A$600,0)),"(row not found)"))</f>
        <v/>
      </c>
      <c r="E845" s="42"/>
      <c r="F845" s="45" t="str">
        <f aca="false">IF(E845="","",IFERROR(INDEX(Vendor_Register!$B$5:$B$205,MATCH(E845,Vendor_Register!$A$5:$A$205,0)),"(not in register)"))</f>
        <v/>
      </c>
      <c r="G845" s="45" t="str">
        <f aca="false">IF(E845="","",IFERROR(INDEX(Vendor_Register!$E$5:$E$205,MATCH(E845,Vendor_Register!$A$5:$A$205,0)),"(not in register)"))</f>
        <v/>
      </c>
      <c r="H845" s="42"/>
      <c r="I845" s="42"/>
      <c r="J845" s="42"/>
      <c r="K845" s="42"/>
      <c r="L845" s="42"/>
      <c r="M845" s="46"/>
      <c r="N845" s="42"/>
      <c r="O845" s="47" t="str">
        <f aca="false">IF(NOT(ISNUMBER(M845)),"",IFERROR(IF(L845="EUR",M845,IF(L845="IRR",M845/INDEX('Assumptions &amp; FX Reference'!$C$5:$C$25,MATCH(H845,'Assumptions &amp; FX Reference'!$A$5:$A$25,0)),IF(L845="USD",M845*INDEX('Assumptions &amp; FX Reference'!$B$5:$B$25,MATCH(H845,'Assumptions &amp; FX Reference'!$A$5:$A$25,0))/INDEX('Assumptions &amp; FX Reference'!$C$5:$C$25,MATCH(H845,'Assumptions &amp; FX Reference'!$A$5:$A$25,0)),""))),"(FX missing)"))</f>
        <v/>
      </c>
      <c r="P845" s="42"/>
      <c r="Q845" s="42"/>
      <c r="R845" s="42"/>
      <c r="S845" s="42"/>
      <c r="T845" s="42"/>
      <c r="U845" s="42"/>
      <c r="V845" s="42"/>
    </row>
    <row r="846" customFormat="false" ht="15" hidden="false" customHeight="false" outlineLevel="0" collapsed="false">
      <c r="A846" s="42"/>
      <c r="B846" s="42"/>
      <c r="C846" s="45" t="str">
        <f aca="false">IF(B846="","",IFERROR(INDEX('Master Database'!$D$5:$D$600,MATCH(B846,'Master Database'!$A$5:$A$600,0)),"(row not found)"))</f>
        <v/>
      </c>
      <c r="D846" s="45" t="str">
        <f aca="false">IF(B846="","",IFERROR(INDEX('Master Database'!$B$5:$B$600,MATCH(B846,'Master Database'!$A$5:$A$600,0)),"(row not found)"))</f>
        <v/>
      </c>
      <c r="E846" s="42"/>
      <c r="F846" s="45" t="str">
        <f aca="false">IF(E846="","",IFERROR(INDEX(Vendor_Register!$B$5:$B$205,MATCH(E846,Vendor_Register!$A$5:$A$205,0)),"(not in register)"))</f>
        <v/>
      </c>
      <c r="G846" s="45" t="str">
        <f aca="false">IF(E846="","",IFERROR(INDEX(Vendor_Register!$E$5:$E$205,MATCH(E846,Vendor_Register!$A$5:$A$205,0)),"(not in register)"))</f>
        <v/>
      </c>
      <c r="H846" s="42"/>
      <c r="I846" s="42"/>
      <c r="J846" s="42"/>
      <c r="K846" s="42"/>
      <c r="L846" s="42"/>
      <c r="M846" s="46"/>
      <c r="N846" s="42"/>
      <c r="O846" s="47" t="str">
        <f aca="false">IF(NOT(ISNUMBER(M846)),"",IFERROR(IF(L846="EUR",M846,IF(L846="IRR",M846/INDEX('Assumptions &amp; FX Reference'!$C$5:$C$25,MATCH(H846,'Assumptions &amp; FX Reference'!$A$5:$A$25,0)),IF(L846="USD",M846*INDEX('Assumptions &amp; FX Reference'!$B$5:$B$25,MATCH(H846,'Assumptions &amp; FX Reference'!$A$5:$A$25,0))/INDEX('Assumptions &amp; FX Reference'!$C$5:$C$25,MATCH(H846,'Assumptions &amp; FX Reference'!$A$5:$A$25,0)),""))),"(FX missing)"))</f>
        <v/>
      </c>
      <c r="P846" s="42"/>
      <c r="Q846" s="42"/>
      <c r="R846" s="42"/>
      <c r="S846" s="42"/>
      <c r="T846" s="42"/>
      <c r="U846" s="42"/>
      <c r="V846" s="42"/>
    </row>
    <row r="847" customFormat="false" ht="15" hidden="false" customHeight="false" outlineLevel="0" collapsed="false">
      <c r="A847" s="42"/>
      <c r="B847" s="42"/>
      <c r="C847" s="45" t="str">
        <f aca="false">IF(B847="","",IFERROR(INDEX('Master Database'!$D$5:$D$600,MATCH(B847,'Master Database'!$A$5:$A$600,0)),"(row not found)"))</f>
        <v/>
      </c>
      <c r="D847" s="45" t="str">
        <f aca="false">IF(B847="","",IFERROR(INDEX('Master Database'!$B$5:$B$600,MATCH(B847,'Master Database'!$A$5:$A$600,0)),"(row not found)"))</f>
        <v/>
      </c>
      <c r="E847" s="42"/>
      <c r="F847" s="45" t="str">
        <f aca="false">IF(E847="","",IFERROR(INDEX(Vendor_Register!$B$5:$B$205,MATCH(E847,Vendor_Register!$A$5:$A$205,0)),"(not in register)"))</f>
        <v/>
      </c>
      <c r="G847" s="45" t="str">
        <f aca="false">IF(E847="","",IFERROR(INDEX(Vendor_Register!$E$5:$E$205,MATCH(E847,Vendor_Register!$A$5:$A$205,0)),"(not in register)"))</f>
        <v/>
      </c>
      <c r="H847" s="42"/>
      <c r="I847" s="42"/>
      <c r="J847" s="42"/>
      <c r="K847" s="42"/>
      <c r="L847" s="42"/>
      <c r="M847" s="46"/>
      <c r="N847" s="42"/>
      <c r="O847" s="47" t="str">
        <f aca="false">IF(NOT(ISNUMBER(M847)),"",IFERROR(IF(L847="EUR",M847,IF(L847="IRR",M847/INDEX('Assumptions &amp; FX Reference'!$C$5:$C$25,MATCH(H847,'Assumptions &amp; FX Reference'!$A$5:$A$25,0)),IF(L847="USD",M847*INDEX('Assumptions &amp; FX Reference'!$B$5:$B$25,MATCH(H847,'Assumptions &amp; FX Reference'!$A$5:$A$25,0))/INDEX('Assumptions &amp; FX Reference'!$C$5:$C$25,MATCH(H847,'Assumptions &amp; FX Reference'!$A$5:$A$25,0)),""))),"(FX missing)"))</f>
        <v/>
      </c>
      <c r="P847" s="42"/>
      <c r="Q847" s="42"/>
      <c r="R847" s="42"/>
      <c r="S847" s="42"/>
      <c r="T847" s="42"/>
      <c r="U847" s="42"/>
      <c r="V847" s="42"/>
    </row>
    <row r="848" customFormat="false" ht="15" hidden="false" customHeight="false" outlineLevel="0" collapsed="false">
      <c r="A848" s="42"/>
      <c r="B848" s="42"/>
      <c r="C848" s="45" t="str">
        <f aca="false">IF(B848="","",IFERROR(INDEX('Master Database'!$D$5:$D$600,MATCH(B848,'Master Database'!$A$5:$A$600,0)),"(row not found)"))</f>
        <v/>
      </c>
      <c r="D848" s="45" t="str">
        <f aca="false">IF(B848="","",IFERROR(INDEX('Master Database'!$B$5:$B$600,MATCH(B848,'Master Database'!$A$5:$A$600,0)),"(row not found)"))</f>
        <v/>
      </c>
      <c r="E848" s="42"/>
      <c r="F848" s="45" t="str">
        <f aca="false">IF(E848="","",IFERROR(INDEX(Vendor_Register!$B$5:$B$205,MATCH(E848,Vendor_Register!$A$5:$A$205,0)),"(not in register)"))</f>
        <v/>
      </c>
      <c r="G848" s="45" t="str">
        <f aca="false">IF(E848="","",IFERROR(INDEX(Vendor_Register!$E$5:$E$205,MATCH(E848,Vendor_Register!$A$5:$A$205,0)),"(not in register)"))</f>
        <v/>
      </c>
      <c r="H848" s="42"/>
      <c r="I848" s="42"/>
      <c r="J848" s="42"/>
      <c r="K848" s="42"/>
      <c r="L848" s="42"/>
      <c r="M848" s="46"/>
      <c r="N848" s="42"/>
      <c r="O848" s="47" t="str">
        <f aca="false">IF(NOT(ISNUMBER(M848)),"",IFERROR(IF(L848="EUR",M848,IF(L848="IRR",M848/INDEX('Assumptions &amp; FX Reference'!$C$5:$C$25,MATCH(H848,'Assumptions &amp; FX Reference'!$A$5:$A$25,0)),IF(L848="USD",M848*INDEX('Assumptions &amp; FX Reference'!$B$5:$B$25,MATCH(H848,'Assumptions &amp; FX Reference'!$A$5:$A$25,0))/INDEX('Assumptions &amp; FX Reference'!$C$5:$C$25,MATCH(H848,'Assumptions &amp; FX Reference'!$A$5:$A$25,0)),""))),"(FX missing)"))</f>
        <v/>
      </c>
      <c r="P848" s="42"/>
      <c r="Q848" s="42"/>
      <c r="R848" s="42"/>
      <c r="S848" s="42"/>
      <c r="T848" s="42"/>
      <c r="U848" s="42"/>
      <c r="V848" s="42"/>
    </row>
    <row r="849" customFormat="false" ht="15" hidden="false" customHeight="false" outlineLevel="0" collapsed="false">
      <c r="A849" s="42"/>
      <c r="B849" s="42"/>
      <c r="C849" s="45" t="str">
        <f aca="false">IF(B849="","",IFERROR(INDEX('Master Database'!$D$5:$D$600,MATCH(B849,'Master Database'!$A$5:$A$600,0)),"(row not found)"))</f>
        <v/>
      </c>
      <c r="D849" s="45" t="str">
        <f aca="false">IF(B849="","",IFERROR(INDEX('Master Database'!$B$5:$B$600,MATCH(B849,'Master Database'!$A$5:$A$600,0)),"(row not found)"))</f>
        <v/>
      </c>
      <c r="E849" s="42"/>
      <c r="F849" s="45" t="str">
        <f aca="false">IF(E849="","",IFERROR(INDEX(Vendor_Register!$B$5:$B$205,MATCH(E849,Vendor_Register!$A$5:$A$205,0)),"(not in register)"))</f>
        <v/>
      </c>
      <c r="G849" s="45" t="str">
        <f aca="false">IF(E849="","",IFERROR(INDEX(Vendor_Register!$E$5:$E$205,MATCH(E849,Vendor_Register!$A$5:$A$205,0)),"(not in register)"))</f>
        <v/>
      </c>
      <c r="H849" s="42"/>
      <c r="I849" s="42"/>
      <c r="J849" s="42"/>
      <c r="K849" s="42"/>
      <c r="L849" s="42"/>
      <c r="M849" s="46"/>
      <c r="N849" s="42"/>
      <c r="O849" s="47" t="str">
        <f aca="false">IF(NOT(ISNUMBER(M849)),"",IFERROR(IF(L849="EUR",M849,IF(L849="IRR",M849/INDEX('Assumptions &amp; FX Reference'!$C$5:$C$25,MATCH(H849,'Assumptions &amp; FX Reference'!$A$5:$A$25,0)),IF(L849="USD",M849*INDEX('Assumptions &amp; FX Reference'!$B$5:$B$25,MATCH(H849,'Assumptions &amp; FX Reference'!$A$5:$A$25,0))/INDEX('Assumptions &amp; FX Reference'!$C$5:$C$25,MATCH(H849,'Assumptions &amp; FX Reference'!$A$5:$A$25,0)),""))),"(FX missing)"))</f>
        <v/>
      </c>
      <c r="P849" s="42"/>
      <c r="Q849" s="42"/>
      <c r="R849" s="42"/>
      <c r="S849" s="42"/>
      <c r="T849" s="42"/>
      <c r="U849" s="42"/>
      <c r="V849" s="42"/>
    </row>
    <row r="850" customFormat="false" ht="15" hidden="false" customHeight="false" outlineLevel="0" collapsed="false">
      <c r="A850" s="42"/>
      <c r="B850" s="42"/>
      <c r="C850" s="45" t="str">
        <f aca="false">IF(B850="","",IFERROR(INDEX('Master Database'!$D$5:$D$600,MATCH(B850,'Master Database'!$A$5:$A$600,0)),"(row not found)"))</f>
        <v/>
      </c>
      <c r="D850" s="45" t="str">
        <f aca="false">IF(B850="","",IFERROR(INDEX('Master Database'!$B$5:$B$600,MATCH(B850,'Master Database'!$A$5:$A$600,0)),"(row not found)"))</f>
        <v/>
      </c>
      <c r="E850" s="42"/>
      <c r="F850" s="45" t="str">
        <f aca="false">IF(E850="","",IFERROR(INDEX(Vendor_Register!$B$5:$B$205,MATCH(E850,Vendor_Register!$A$5:$A$205,0)),"(not in register)"))</f>
        <v/>
      </c>
      <c r="G850" s="45" t="str">
        <f aca="false">IF(E850="","",IFERROR(INDEX(Vendor_Register!$E$5:$E$205,MATCH(E850,Vendor_Register!$A$5:$A$205,0)),"(not in register)"))</f>
        <v/>
      </c>
      <c r="H850" s="42"/>
      <c r="I850" s="42"/>
      <c r="J850" s="42"/>
      <c r="K850" s="42"/>
      <c r="L850" s="42"/>
      <c r="M850" s="46"/>
      <c r="N850" s="42"/>
      <c r="O850" s="47" t="str">
        <f aca="false">IF(NOT(ISNUMBER(M850)),"",IFERROR(IF(L850="EUR",M850,IF(L850="IRR",M850/INDEX('Assumptions &amp; FX Reference'!$C$5:$C$25,MATCH(H850,'Assumptions &amp; FX Reference'!$A$5:$A$25,0)),IF(L850="USD",M850*INDEX('Assumptions &amp; FX Reference'!$B$5:$B$25,MATCH(H850,'Assumptions &amp; FX Reference'!$A$5:$A$25,0))/INDEX('Assumptions &amp; FX Reference'!$C$5:$C$25,MATCH(H850,'Assumptions &amp; FX Reference'!$A$5:$A$25,0)),""))),"(FX missing)"))</f>
        <v/>
      </c>
      <c r="P850" s="42"/>
      <c r="Q850" s="42"/>
      <c r="R850" s="42"/>
      <c r="S850" s="42"/>
      <c r="T850" s="42"/>
      <c r="U850" s="42"/>
      <c r="V850" s="42"/>
    </row>
    <row r="851" customFormat="false" ht="15" hidden="false" customHeight="false" outlineLevel="0" collapsed="false">
      <c r="A851" s="42"/>
      <c r="B851" s="42"/>
      <c r="C851" s="45" t="str">
        <f aca="false">IF(B851="","",IFERROR(INDEX('Master Database'!$D$5:$D$600,MATCH(B851,'Master Database'!$A$5:$A$600,0)),"(row not found)"))</f>
        <v/>
      </c>
      <c r="D851" s="45" t="str">
        <f aca="false">IF(B851="","",IFERROR(INDEX('Master Database'!$B$5:$B$600,MATCH(B851,'Master Database'!$A$5:$A$600,0)),"(row not found)"))</f>
        <v/>
      </c>
      <c r="E851" s="42"/>
      <c r="F851" s="45" t="str">
        <f aca="false">IF(E851="","",IFERROR(INDEX(Vendor_Register!$B$5:$B$205,MATCH(E851,Vendor_Register!$A$5:$A$205,0)),"(not in register)"))</f>
        <v/>
      </c>
      <c r="G851" s="45" t="str">
        <f aca="false">IF(E851="","",IFERROR(INDEX(Vendor_Register!$E$5:$E$205,MATCH(E851,Vendor_Register!$A$5:$A$205,0)),"(not in register)"))</f>
        <v/>
      </c>
      <c r="H851" s="42"/>
      <c r="I851" s="42"/>
      <c r="J851" s="42"/>
      <c r="K851" s="42"/>
      <c r="L851" s="42"/>
      <c r="M851" s="46"/>
      <c r="N851" s="42"/>
      <c r="O851" s="47" t="str">
        <f aca="false">IF(NOT(ISNUMBER(M851)),"",IFERROR(IF(L851="EUR",M851,IF(L851="IRR",M851/INDEX('Assumptions &amp; FX Reference'!$C$5:$C$25,MATCH(H851,'Assumptions &amp; FX Reference'!$A$5:$A$25,0)),IF(L851="USD",M851*INDEX('Assumptions &amp; FX Reference'!$B$5:$B$25,MATCH(H851,'Assumptions &amp; FX Reference'!$A$5:$A$25,0))/INDEX('Assumptions &amp; FX Reference'!$C$5:$C$25,MATCH(H851,'Assumptions &amp; FX Reference'!$A$5:$A$25,0)),""))),"(FX missing)"))</f>
        <v/>
      </c>
      <c r="P851" s="42"/>
      <c r="Q851" s="42"/>
      <c r="R851" s="42"/>
      <c r="S851" s="42"/>
      <c r="T851" s="42"/>
      <c r="U851" s="42"/>
      <c r="V851" s="42"/>
    </row>
    <row r="852" customFormat="false" ht="15" hidden="false" customHeight="false" outlineLevel="0" collapsed="false">
      <c r="A852" s="42"/>
      <c r="B852" s="42"/>
      <c r="C852" s="45" t="str">
        <f aca="false">IF(B852="","",IFERROR(INDEX('Master Database'!$D$5:$D$600,MATCH(B852,'Master Database'!$A$5:$A$600,0)),"(row not found)"))</f>
        <v/>
      </c>
      <c r="D852" s="45" t="str">
        <f aca="false">IF(B852="","",IFERROR(INDEX('Master Database'!$B$5:$B$600,MATCH(B852,'Master Database'!$A$5:$A$600,0)),"(row not found)"))</f>
        <v/>
      </c>
      <c r="E852" s="42"/>
      <c r="F852" s="45" t="str">
        <f aca="false">IF(E852="","",IFERROR(INDEX(Vendor_Register!$B$5:$B$205,MATCH(E852,Vendor_Register!$A$5:$A$205,0)),"(not in register)"))</f>
        <v/>
      </c>
      <c r="G852" s="45" t="str">
        <f aca="false">IF(E852="","",IFERROR(INDEX(Vendor_Register!$E$5:$E$205,MATCH(E852,Vendor_Register!$A$5:$A$205,0)),"(not in register)"))</f>
        <v/>
      </c>
      <c r="H852" s="42"/>
      <c r="I852" s="42"/>
      <c r="J852" s="42"/>
      <c r="K852" s="42"/>
      <c r="L852" s="42"/>
      <c r="M852" s="46"/>
      <c r="N852" s="42"/>
      <c r="O852" s="47" t="str">
        <f aca="false">IF(NOT(ISNUMBER(M852)),"",IFERROR(IF(L852="EUR",M852,IF(L852="IRR",M852/INDEX('Assumptions &amp; FX Reference'!$C$5:$C$25,MATCH(H852,'Assumptions &amp; FX Reference'!$A$5:$A$25,0)),IF(L852="USD",M852*INDEX('Assumptions &amp; FX Reference'!$B$5:$B$25,MATCH(H852,'Assumptions &amp; FX Reference'!$A$5:$A$25,0))/INDEX('Assumptions &amp; FX Reference'!$C$5:$C$25,MATCH(H852,'Assumptions &amp; FX Reference'!$A$5:$A$25,0)),""))),"(FX missing)"))</f>
        <v/>
      </c>
      <c r="P852" s="42"/>
      <c r="Q852" s="42"/>
      <c r="R852" s="42"/>
      <c r="S852" s="42"/>
      <c r="T852" s="42"/>
      <c r="U852" s="42"/>
      <c r="V852" s="42"/>
    </row>
    <row r="853" customFormat="false" ht="15" hidden="false" customHeight="false" outlineLevel="0" collapsed="false">
      <c r="A853" s="42"/>
      <c r="B853" s="42"/>
      <c r="C853" s="45" t="str">
        <f aca="false">IF(B853="","",IFERROR(INDEX('Master Database'!$D$5:$D$600,MATCH(B853,'Master Database'!$A$5:$A$600,0)),"(row not found)"))</f>
        <v/>
      </c>
      <c r="D853" s="45" t="str">
        <f aca="false">IF(B853="","",IFERROR(INDEX('Master Database'!$B$5:$B$600,MATCH(B853,'Master Database'!$A$5:$A$600,0)),"(row not found)"))</f>
        <v/>
      </c>
      <c r="E853" s="42"/>
      <c r="F853" s="45" t="str">
        <f aca="false">IF(E853="","",IFERROR(INDEX(Vendor_Register!$B$5:$B$205,MATCH(E853,Vendor_Register!$A$5:$A$205,0)),"(not in register)"))</f>
        <v/>
      </c>
      <c r="G853" s="45" t="str">
        <f aca="false">IF(E853="","",IFERROR(INDEX(Vendor_Register!$E$5:$E$205,MATCH(E853,Vendor_Register!$A$5:$A$205,0)),"(not in register)"))</f>
        <v/>
      </c>
      <c r="H853" s="42"/>
      <c r="I853" s="42"/>
      <c r="J853" s="42"/>
      <c r="K853" s="42"/>
      <c r="L853" s="42"/>
      <c r="M853" s="46"/>
      <c r="N853" s="42"/>
      <c r="O853" s="47" t="str">
        <f aca="false">IF(NOT(ISNUMBER(M853)),"",IFERROR(IF(L853="EUR",M853,IF(L853="IRR",M853/INDEX('Assumptions &amp; FX Reference'!$C$5:$C$25,MATCH(H853,'Assumptions &amp; FX Reference'!$A$5:$A$25,0)),IF(L853="USD",M853*INDEX('Assumptions &amp; FX Reference'!$B$5:$B$25,MATCH(H853,'Assumptions &amp; FX Reference'!$A$5:$A$25,0))/INDEX('Assumptions &amp; FX Reference'!$C$5:$C$25,MATCH(H853,'Assumptions &amp; FX Reference'!$A$5:$A$25,0)),""))),"(FX missing)"))</f>
        <v/>
      </c>
      <c r="P853" s="42"/>
      <c r="Q853" s="42"/>
      <c r="R853" s="42"/>
      <c r="S853" s="42"/>
      <c r="T853" s="42"/>
      <c r="U853" s="42"/>
      <c r="V853" s="42"/>
    </row>
    <row r="854" customFormat="false" ht="15" hidden="false" customHeight="false" outlineLevel="0" collapsed="false">
      <c r="A854" s="42"/>
      <c r="B854" s="42"/>
      <c r="C854" s="45" t="str">
        <f aca="false">IF(B854="","",IFERROR(INDEX('Master Database'!$D$5:$D$600,MATCH(B854,'Master Database'!$A$5:$A$600,0)),"(row not found)"))</f>
        <v/>
      </c>
      <c r="D854" s="45" t="str">
        <f aca="false">IF(B854="","",IFERROR(INDEX('Master Database'!$B$5:$B$600,MATCH(B854,'Master Database'!$A$5:$A$600,0)),"(row not found)"))</f>
        <v/>
      </c>
      <c r="E854" s="42"/>
      <c r="F854" s="45" t="str">
        <f aca="false">IF(E854="","",IFERROR(INDEX(Vendor_Register!$B$5:$B$205,MATCH(E854,Vendor_Register!$A$5:$A$205,0)),"(not in register)"))</f>
        <v/>
      </c>
      <c r="G854" s="45" t="str">
        <f aca="false">IF(E854="","",IFERROR(INDEX(Vendor_Register!$E$5:$E$205,MATCH(E854,Vendor_Register!$A$5:$A$205,0)),"(not in register)"))</f>
        <v/>
      </c>
      <c r="H854" s="42"/>
      <c r="I854" s="42"/>
      <c r="J854" s="42"/>
      <c r="K854" s="42"/>
      <c r="L854" s="42"/>
      <c r="M854" s="46"/>
      <c r="N854" s="42"/>
      <c r="O854" s="47" t="str">
        <f aca="false">IF(NOT(ISNUMBER(M854)),"",IFERROR(IF(L854="EUR",M854,IF(L854="IRR",M854/INDEX('Assumptions &amp; FX Reference'!$C$5:$C$25,MATCH(H854,'Assumptions &amp; FX Reference'!$A$5:$A$25,0)),IF(L854="USD",M854*INDEX('Assumptions &amp; FX Reference'!$B$5:$B$25,MATCH(H854,'Assumptions &amp; FX Reference'!$A$5:$A$25,0))/INDEX('Assumptions &amp; FX Reference'!$C$5:$C$25,MATCH(H854,'Assumptions &amp; FX Reference'!$A$5:$A$25,0)),""))),"(FX missing)"))</f>
        <v/>
      </c>
      <c r="P854" s="42"/>
      <c r="Q854" s="42"/>
      <c r="R854" s="42"/>
      <c r="S854" s="42"/>
      <c r="T854" s="42"/>
      <c r="U854" s="42"/>
      <c r="V854" s="42"/>
    </row>
    <row r="855" customFormat="false" ht="15" hidden="false" customHeight="false" outlineLevel="0" collapsed="false">
      <c r="A855" s="42"/>
      <c r="B855" s="42"/>
      <c r="C855" s="45" t="str">
        <f aca="false">IF(B855="","",IFERROR(INDEX('Master Database'!$D$5:$D$600,MATCH(B855,'Master Database'!$A$5:$A$600,0)),"(row not found)"))</f>
        <v/>
      </c>
      <c r="D855" s="45" t="str">
        <f aca="false">IF(B855="","",IFERROR(INDEX('Master Database'!$B$5:$B$600,MATCH(B855,'Master Database'!$A$5:$A$600,0)),"(row not found)"))</f>
        <v/>
      </c>
      <c r="E855" s="42"/>
      <c r="F855" s="45" t="str">
        <f aca="false">IF(E855="","",IFERROR(INDEX(Vendor_Register!$B$5:$B$205,MATCH(E855,Vendor_Register!$A$5:$A$205,0)),"(not in register)"))</f>
        <v/>
      </c>
      <c r="G855" s="45" t="str">
        <f aca="false">IF(E855="","",IFERROR(INDEX(Vendor_Register!$E$5:$E$205,MATCH(E855,Vendor_Register!$A$5:$A$205,0)),"(not in register)"))</f>
        <v/>
      </c>
      <c r="H855" s="42"/>
      <c r="I855" s="42"/>
      <c r="J855" s="42"/>
      <c r="K855" s="42"/>
      <c r="L855" s="42"/>
      <c r="M855" s="46"/>
      <c r="N855" s="42"/>
      <c r="O855" s="47" t="str">
        <f aca="false">IF(NOT(ISNUMBER(M855)),"",IFERROR(IF(L855="EUR",M855,IF(L855="IRR",M855/INDEX('Assumptions &amp; FX Reference'!$C$5:$C$25,MATCH(H855,'Assumptions &amp; FX Reference'!$A$5:$A$25,0)),IF(L855="USD",M855*INDEX('Assumptions &amp; FX Reference'!$B$5:$B$25,MATCH(H855,'Assumptions &amp; FX Reference'!$A$5:$A$25,0))/INDEX('Assumptions &amp; FX Reference'!$C$5:$C$25,MATCH(H855,'Assumptions &amp; FX Reference'!$A$5:$A$25,0)),""))),"(FX missing)"))</f>
        <v/>
      </c>
      <c r="P855" s="42"/>
      <c r="Q855" s="42"/>
      <c r="R855" s="42"/>
      <c r="S855" s="42"/>
      <c r="T855" s="42"/>
      <c r="U855" s="42"/>
      <c r="V855" s="42"/>
    </row>
    <row r="856" customFormat="false" ht="15" hidden="false" customHeight="false" outlineLevel="0" collapsed="false">
      <c r="A856" s="42"/>
      <c r="B856" s="42"/>
      <c r="C856" s="45" t="str">
        <f aca="false">IF(B856="","",IFERROR(INDEX('Master Database'!$D$5:$D$600,MATCH(B856,'Master Database'!$A$5:$A$600,0)),"(row not found)"))</f>
        <v/>
      </c>
      <c r="D856" s="45" t="str">
        <f aca="false">IF(B856="","",IFERROR(INDEX('Master Database'!$B$5:$B$600,MATCH(B856,'Master Database'!$A$5:$A$600,0)),"(row not found)"))</f>
        <v/>
      </c>
      <c r="E856" s="42"/>
      <c r="F856" s="45" t="str">
        <f aca="false">IF(E856="","",IFERROR(INDEX(Vendor_Register!$B$5:$B$205,MATCH(E856,Vendor_Register!$A$5:$A$205,0)),"(not in register)"))</f>
        <v/>
      </c>
      <c r="G856" s="45" t="str">
        <f aca="false">IF(E856="","",IFERROR(INDEX(Vendor_Register!$E$5:$E$205,MATCH(E856,Vendor_Register!$A$5:$A$205,0)),"(not in register)"))</f>
        <v/>
      </c>
      <c r="H856" s="42"/>
      <c r="I856" s="42"/>
      <c r="J856" s="42"/>
      <c r="K856" s="42"/>
      <c r="L856" s="42"/>
      <c r="M856" s="46"/>
      <c r="N856" s="42"/>
      <c r="O856" s="47" t="str">
        <f aca="false">IF(NOT(ISNUMBER(M856)),"",IFERROR(IF(L856="EUR",M856,IF(L856="IRR",M856/INDEX('Assumptions &amp; FX Reference'!$C$5:$C$25,MATCH(H856,'Assumptions &amp; FX Reference'!$A$5:$A$25,0)),IF(L856="USD",M856*INDEX('Assumptions &amp; FX Reference'!$B$5:$B$25,MATCH(H856,'Assumptions &amp; FX Reference'!$A$5:$A$25,0))/INDEX('Assumptions &amp; FX Reference'!$C$5:$C$25,MATCH(H856,'Assumptions &amp; FX Reference'!$A$5:$A$25,0)),""))),"(FX missing)"))</f>
        <v/>
      </c>
      <c r="P856" s="42"/>
      <c r="Q856" s="42"/>
      <c r="R856" s="42"/>
      <c r="S856" s="42"/>
      <c r="T856" s="42"/>
      <c r="U856" s="42"/>
      <c r="V856" s="42"/>
    </row>
    <row r="857" customFormat="false" ht="15" hidden="false" customHeight="false" outlineLevel="0" collapsed="false">
      <c r="A857" s="42"/>
      <c r="B857" s="42"/>
      <c r="C857" s="45" t="str">
        <f aca="false">IF(B857="","",IFERROR(INDEX('Master Database'!$D$5:$D$600,MATCH(B857,'Master Database'!$A$5:$A$600,0)),"(row not found)"))</f>
        <v/>
      </c>
      <c r="D857" s="45" t="str">
        <f aca="false">IF(B857="","",IFERROR(INDEX('Master Database'!$B$5:$B$600,MATCH(B857,'Master Database'!$A$5:$A$600,0)),"(row not found)"))</f>
        <v/>
      </c>
      <c r="E857" s="42"/>
      <c r="F857" s="45" t="str">
        <f aca="false">IF(E857="","",IFERROR(INDEX(Vendor_Register!$B$5:$B$205,MATCH(E857,Vendor_Register!$A$5:$A$205,0)),"(not in register)"))</f>
        <v/>
      </c>
      <c r="G857" s="45" t="str">
        <f aca="false">IF(E857="","",IFERROR(INDEX(Vendor_Register!$E$5:$E$205,MATCH(E857,Vendor_Register!$A$5:$A$205,0)),"(not in register)"))</f>
        <v/>
      </c>
      <c r="H857" s="42"/>
      <c r="I857" s="42"/>
      <c r="J857" s="42"/>
      <c r="K857" s="42"/>
      <c r="L857" s="42"/>
      <c r="M857" s="46"/>
      <c r="N857" s="42"/>
      <c r="O857" s="47" t="str">
        <f aca="false">IF(NOT(ISNUMBER(M857)),"",IFERROR(IF(L857="EUR",M857,IF(L857="IRR",M857/INDEX('Assumptions &amp; FX Reference'!$C$5:$C$25,MATCH(H857,'Assumptions &amp; FX Reference'!$A$5:$A$25,0)),IF(L857="USD",M857*INDEX('Assumptions &amp; FX Reference'!$B$5:$B$25,MATCH(H857,'Assumptions &amp; FX Reference'!$A$5:$A$25,0))/INDEX('Assumptions &amp; FX Reference'!$C$5:$C$25,MATCH(H857,'Assumptions &amp; FX Reference'!$A$5:$A$25,0)),""))),"(FX missing)"))</f>
        <v/>
      </c>
      <c r="P857" s="42"/>
      <c r="Q857" s="42"/>
      <c r="R857" s="42"/>
      <c r="S857" s="42"/>
      <c r="T857" s="42"/>
      <c r="U857" s="42"/>
      <c r="V857" s="42"/>
    </row>
    <row r="858" customFormat="false" ht="15" hidden="false" customHeight="false" outlineLevel="0" collapsed="false">
      <c r="A858" s="42"/>
      <c r="B858" s="42"/>
      <c r="C858" s="45" t="str">
        <f aca="false">IF(B858="","",IFERROR(INDEX('Master Database'!$D$5:$D$600,MATCH(B858,'Master Database'!$A$5:$A$600,0)),"(row not found)"))</f>
        <v/>
      </c>
      <c r="D858" s="45" t="str">
        <f aca="false">IF(B858="","",IFERROR(INDEX('Master Database'!$B$5:$B$600,MATCH(B858,'Master Database'!$A$5:$A$600,0)),"(row not found)"))</f>
        <v/>
      </c>
      <c r="E858" s="42"/>
      <c r="F858" s="45" t="str">
        <f aca="false">IF(E858="","",IFERROR(INDEX(Vendor_Register!$B$5:$B$205,MATCH(E858,Vendor_Register!$A$5:$A$205,0)),"(not in register)"))</f>
        <v/>
      </c>
      <c r="G858" s="45" t="str">
        <f aca="false">IF(E858="","",IFERROR(INDEX(Vendor_Register!$E$5:$E$205,MATCH(E858,Vendor_Register!$A$5:$A$205,0)),"(not in register)"))</f>
        <v/>
      </c>
      <c r="H858" s="42"/>
      <c r="I858" s="42"/>
      <c r="J858" s="42"/>
      <c r="K858" s="42"/>
      <c r="L858" s="42"/>
      <c r="M858" s="46"/>
      <c r="N858" s="42"/>
      <c r="O858" s="47" t="str">
        <f aca="false">IF(NOT(ISNUMBER(M858)),"",IFERROR(IF(L858="EUR",M858,IF(L858="IRR",M858/INDEX('Assumptions &amp; FX Reference'!$C$5:$C$25,MATCH(H858,'Assumptions &amp; FX Reference'!$A$5:$A$25,0)),IF(L858="USD",M858*INDEX('Assumptions &amp; FX Reference'!$B$5:$B$25,MATCH(H858,'Assumptions &amp; FX Reference'!$A$5:$A$25,0))/INDEX('Assumptions &amp; FX Reference'!$C$5:$C$25,MATCH(H858,'Assumptions &amp; FX Reference'!$A$5:$A$25,0)),""))),"(FX missing)"))</f>
        <v/>
      </c>
      <c r="P858" s="42"/>
      <c r="Q858" s="42"/>
      <c r="R858" s="42"/>
      <c r="S858" s="42"/>
      <c r="T858" s="42"/>
      <c r="U858" s="42"/>
      <c r="V858" s="42"/>
    </row>
    <row r="859" customFormat="false" ht="15" hidden="false" customHeight="false" outlineLevel="0" collapsed="false">
      <c r="A859" s="42"/>
      <c r="B859" s="42"/>
      <c r="C859" s="45" t="str">
        <f aca="false">IF(B859="","",IFERROR(INDEX('Master Database'!$D$5:$D$600,MATCH(B859,'Master Database'!$A$5:$A$600,0)),"(row not found)"))</f>
        <v/>
      </c>
      <c r="D859" s="45" t="str">
        <f aca="false">IF(B859="","",IFERROR(INDEX('Master Database'!$B$5:$B$600,MATCH(B859,'Master Database'!$A$5:$A$600,0)),"(row not found)"))</f>
        <v/>
      </c>
      <c r="E859" s="42"/>
      <c r="F859" s="45" t="str">
        <f aca="false">IF(E859="","",IFERROR(INDEX(Vendor_Register!$B$5:$B$205,MATCH(E859,Vendor_Register!$A$5:$A$205,0)),"(not in register)"))</f>
        <v/>
      </c>
      <c r="G859" s="45" t="str">
        <f aca="false">IF(E859="","",IFERROR(INDEX(Vendor_Register!$E$5:$E$205,MATCH(E859,Vendor_Register!$A$5:$A$205,0)),"(not in register)"))</f>
        <v/>
      </c>
      <c r="H859" s="42"/>
      <c r="I859" s="42"/>
      <c r="J859" s="42"/>
      <c r="K859" s="42"/>
      <c r="L859" s="42"/>
      <c r="M859" s="46"/>
      <c r="N859" s="42"/>
      <c r="O859" s="47" t="str">
        <f aca="false">IF(NOT(ISNUMBER(M859)),"",IFERROR(IF(L859="EUR",M859,IF(L859="IRR",M859/INDEX('Assumptions &amp; FX Reference'!$C$5:$C$25,MATCH(H859,'Assumptions &amp; FX Reference'!$A$5:$A$25,0)),IF(L859="USD",M859*INDEX('Assumptions &amp; FX Reference'!$B$5:$B$25,MATCH(H859,'Assumptions &amp; FX Reference'!$A$5:$A$25,0))/INDEX('Assumptions &amp; FX Reference'!$C$5:$C$25,MATCH(H859,'Assumptions &amp; FX Reference'!$A$5:$A$25,0)),""))),"(FX missing)"))</f>
        <v/>
      </c>
      <c r="P859" s="42"/>
      <c r="Q859" s="42"/>
      <c r="R859" s="42"/>
      <c r="S859" s="42"/>
      <c r="T859" s="42"/>
      <c r="U859" s="42"/>
      <c r="V859" s="42"/>
    </row>
    <row r="860" customFormat="false" ht="15" hidden="false" customHeight="false" outlineLevel="0" collapsed="false">
      <c r="A860" s="42"/>
      <c r="B860" s="42"/>
      <c r="C860" s="45" t="str">
        <f aca="false">IF(B860="","",IFERROR(INDEX('Master Database'!$D$5:$D$600,MATCH(B860,'Master Database'!$A$5:$A$600,0)),"(row not found)"))</f>
        <v/>
      </c>
      <c r="D860" s="45" t="str">
        <f aca="false">IF(B860="","",IFERROR(INDEX('Master Database'!$B$5:$B$600,MATCH(B860,'Master Database'!$A$5:$A$600,0)),"(row not found)"))</f>
        <v/>
      </c>
      <c r="E860" s="42"/>
      <c r="F860" s="45" t="str">
        <f aca="false">IF(E860="","",IFERROR(INDEX(Vendor_Register!$B$5:$B$205,MATCH(E860,Vendor_Register!$A$5:$A$205,0)),"(not in register)"))</f>
        <v/>
      </c>
      <c r="G860" s="45" t="str">
        <f aca="false">IF(E860="","",IFERROR(INDEX(Vendor_Register!$E$5:$E$205,MATCH(E860,Vendor_Register!$A$5:$A$205,0)),"(not in register)"))</f>
        <v/>
      </c>
      <c r="H860" s="42"/>
      <c r="I860" s="42"/>
      <c r="J860" s="42"/>
      <c r="K860" s="42"/>
      <c r="L860" s="42"/>
      <c r="M860" s="46"/>
      <c r="N860" s="42"/>
      <c r="O860" s="47" t="str">
        <f aca="false">IF(NOT(ISNUMBER(M860)),"",IFERROR(IF(L860="EUR",M860,IF(L860="IRR",M860/INDEX('Assumptions &amp; FX Reference'!$C$5:$C$25,MATCH(H860,'Assumptions &amp; FX Reference'!$A$5:$A$25,0)),IF(L860="USD",M860*INDEX('Assumptions &amp; FX Reference'!$B$5:$B$25,MATCH(H860,'Assumptions &amp; FX Reference'!$A$5:$A$25,0))/INDEX('Assumptions &amp; FX Reference'!$C$5:$C$25,MATCH(H860,'Assumptions &amp; FX Reference'!$A$5:$A$25,0)),""))),"(FX missing)"))</f>
        <v/>
      </c>
      <c r="P860" s="42"/>
      <c r="Q860" s="42"/>
      <c r="R860" s="42"/>
      <c r="S860" s="42"/>
      <c r="T860" s="42"/>
      <c r="U860" s="42"/>
      <c r="V860" s="42"/>
    </row>
    <row r="861" customFormat="false" ht="15" hidden="false" customHeight="false" outlineLevel="0" collapsed="false">
      <c r="A861" s="42"/>
      <c r="B861" s="42"/>
      <c r="C861" s="45" t="str">
        <f aca="false">IF(B861="","",IFERROR(INDEX('Master Database'!$D$5:$D$600,MATCH(B861,'Master Database'!$A$5:$A$600,0)),"(row not found)"))</f>
        <v/>
      </c>
      <c r="D861" s="45" t="str">
        <f aca="false">IF(B861="","",IFERROR(INDEX('Master Database'!$B$5:$B$600,MATCH(B861,'Master Database'!$A$5:$A$600,0)),"(row not found)"))</f>
        <v/>
      </c>
      <c r="E861" s="42"/>
      <c r="F861" s="45" t="str">
        <f aca="false">IF(E861="","",IFERROR(INDEX(Vendor_Register!$B$5:$B$205,MATCH(E861,Vendor_Register!$A$5:$A$205,0)),"(not in register)"))</f>
        <v/>
      </c>
      <c r="G861" s="45" t="str">
        <f aca="false">IF(E861="","",IFERROR(INDEX(Vendor_Register!$E$5:$E$205,MATCH(E861,Vendor_Register!$A$5:$A$205,0)),"(not in register)"))</f>
        <v/>
      </c>
      <c r="H861" s="42"/>
      <c r="I861" s="42"/>
      <c r="J861" s="42"/>
      <c r="K861" s="42"/>
      <c r="L861" s="42"/>
      <c r="M861" s="46"/>
      <c r="N861" s="42"/>
      <c r="O861" s="47" t="str">
        <f aca="false">IF(NOT(ISNUMBER(M861)),"",IFERROR(IF(L861="EUR",M861,IF(L861="IRR",M861/INDEX('Assumptions &amp; FX Reference'!$C$5:$C$25,MATCH(H861,'Assumptions &amp; FX Reference'!$A$5:$A$25,0)),IF(L861="USD",M861*INDEX('Assumptions &amp; FX Reference'!$B$5:$B$25,MATCH(H861,'Assumptions &amp; FX Reference'!$A$5:$A$25,0))/INDEX('Assumptions &amp; FX Reference'!$C$5:$C$25,MATCH(H861,'Assumptions &amp; FX Reference'!$A$5:$A$25,0)),""))),"(FX missing)"))</f>
        <v/>
      </c>
      <c r="P861" s="42"/>
      <c r="Q861" s="42"/>
      <c r="R861" s="42"/>
      <c r="S861" s="42"/>
      <c r="T861" s="42"/>
      <c r="U861" s="42"/>
      <c r="V861" s="42"/>
    </row>
    <row r="862" customFormat="false" ht="15" hidden="false" customHeight="false" outlineLevel="0" collapsed="false">
      <c r="A862" s="42"/>
      <c r="B862" s="42"/>
      <c r="C862" s="45" t="str">
        <f aca="false">IF(B862="","",IFERROR(INDEX('Master Database'!$D$5:$D$600,MATCH(B862,'Master Database'!$A$5:$A$600,0)),"(row not found)"))</f>
        <v/>
      </c>
      <c r="D862" s="45" t="str">
        <f aca="false">IF(B862="","",IFERROR(INDEX('Master Database'!$B$5:$B$600,MATCH(B862,'Master Database'!$A$5:$A$600,0)),"(row not found)"))</f>
        <v/>
      </c>
      <c r="E862" s="42"/>
      <c r="F862" s="45" t="str">
        <f aca="false">IF(E862="","",IFERROR(INDEX(Vendor_Register!$B$5:$B$205,MATCH(E862,Vendor_Register!$A$5:$A$205,0)),"(not in register)"))</f>
        <v/>
      </c>
      <c r="G862" s="45" t="str">
        <f aca="false">IF(E862="","",IFERROR(INDEX(Vendor_Register!$E$5:$E$205,MATCH(E862,Vendor_Register!$A$5:$A$205,0)),"(not in register)"))</f>
        <v/>
      </c>
      <c r="H862" s="42"/>
      <c r="I862" s="42"/>
      <c r="J862" s="42"/>
      <c r="K862" s="42"/>
      <c r="L862" s="42"/>
      <c r="M862" s="46"/>
      <c r="N862" s="42"/>
      <c r="O862" s="47" t="str">
        <f aca="false">IF(NOT(ISNUMBER(M862)),"",IFERROR(IF(L862="EUR",M862,IF(L862="IRR",M862/INDEX('Assumptions &amp; FX Reference'!$C$5:$C$25,MATCH(H862,'Assumptions &amp; FX Reference'!$A$5:$A$25,0)),IF(L862="USD",M862*INDEX('Assumptions &amp; FX Reference'!$B$5:$B$25,MATCH(H862,'Assumptions &amp; FX Reference'!$A$5:$A$25,0))/INDEX('Assumptions &amp; FX Reference'!$C$5:$C$25,MATCH(H862,'Assumptions &amp; FX Reference'!$A$5:$A$25,0)),""))),"(FX missing)"))</f>
        <v/>
      </c>
      <c r="P862" s="42"/>
      <c r="Q862" s="42"/>
      <c r="R862" s="42"/>
      <c r="S862" s="42"/>
      <c r="T862" s="42"/>
      <c r="U862" s="42"/>
      <c r="V862" s="42"/>
    </row>
    <row r="863" customFormat="false" ht="15" hidden="false" customHeight="false" outlineLevel="0" collapsed="false">
      <c r="A863" s="42"/>
      <c r="B863" s="42"/>
      <c r="C863" s="45" t="str">
        <f aca="false">IF(B863="","",IFERROR(INDEX('Master Database'!$D$5:$D$600,MATCH(B863,'Master Database'!$A$5:$A$600,0)),"(row not found)"))</f>
        <v/>
      </c>
      <c r="D863" s="45" t="str">
        <f aca="false">IF(B863="","",IFERROR(INDEX('Master Database'!$B$5:$B$600,MATCH(B863,'Master Database'!$A$5:$A$600,0)),"(row not found)"))</f>
        <v/>
      </c>
      <c r="E863" s="42"/>
      <c r="F863" s="45" t="str">
        <f aca="false">IF(E863="","",IFERROR(INDEX(Vendor_Register!$B$5:$B$205,MATCH(E863,Vendor_Register!$A$5:$A$205,0)),"(not in register)"))</f>
        <v/>
      </c>
      <c r="G863" s="45" t="str">
        <f aca="false">IF(E863="","",IFERROR(INDEX(Vendor_Register!$E$5:$E$205,MATCH(E863,Vendor_Register!$A$5:$A$205,0)),"(not in register)"))</f>
        <v/>
      </c>
      <c r="H863" s="42"/>
      <c r="I863" s="42"/>
      <c r="J863" s="42"/>
      <c r="K863" s="42"/>
      <c r="L863" s="42"/>
      <c r="M863" s="46"/>
      <c r="N863" s="42"/>
      <c r="O863" s="47" t="str">
        <f aca="false">IF(NOT(ISNUMBER(M863)),"",IFERROR(IF(L863="EUR",M863,IF(L863="IRR",M863/INDEX('Assumptions &amp; FX Reference'!$C$5:$C$25,MATCH(H863,'Assumptions &amp; FX Reference'!$A$5:$A$25,0)),IF(L863="USD",M863*INDEX('Assumptions &amp; FX Reference'!$B$5:$B$25,MATCH(H863,'Assumptions &amp; FX Reference'!$A$5:$A$25,0))/INDEX('Assumptions &amp; FX Reference'!$C$5:$C$25,MATCH(H863,'Assumptions &amp; FX Reference'!$A$5:$A$25,0)),""))),"(FX missing)"))</f>
        <v/>
      </c>
      <c r="P863" s="42"/>
      <c r="Q863" s="42"/>
      <c r="R863" s="42"/>
      <c r="S863" s="42"/>
      <c r="T863" s="42"/>
      <c r="U863" s="42"/>
      <c r="V863" s="42"/>
    </row>
    <row r="864" customFormat="false" ht="15" hidden="false" customHeight="false" outlineLevel="0" collapsed="false">
      <c r="A864" s="42"/>
      <c r="B864" s="42"/>
      <c r="C864" s="45" t="str">
        <f aca="false">IF(B864="","",IFERROR(INDEX('Master Database'!$D$5:$D$600,MATCH(B864,'Master Database'!$A$5:$A$600,0)),"(row not found)"))</f>
        <v/>
      </c>
      <c r="D864" s="45" t="str">
        <f aca="false">IF(B864="","",IFERROR(INDEX('Master Database'!$B$5:$B$600,MATCH(B864,'Master Database'!$A$5:$A$600,0)),"(row not found)"))</f>
        <v/>
      </c>
      <c r="E864" s="42"/>
      <c r="F864" s="45" t="str">
        <f aca="false">IF(E864="","",IFERROR(INDEX(Vendor_Register!$B$5:$B$205,MATCH(E864,Vendor_Register!$A$5:$A$205,0)),"(not in register)"))</f>
        <v/>
      </c>
      <c r="G864" s="45" t="str">
        <f aca="false">IF(E864="","",IFERROR(INDEX(Vendor_Register!$E$5:$E$205,MATCH(E864,Vendor_Register!$A$5:$A$205,0)),"(not in register)"))</f>
        <v/>
      </c>
      <c r="H864" s="42"/>
      <c r="I864" s="42"/>
      <c r="J864" s="42"/>
      <c r="K864" s="42"/>
      <c r="L864" s="42"/>
      <c r="M864" s="46"/>
      <c r="N864" s="42"/>
      <c r="O864" s="47" t="str">
        <f aca="false">IF(NOT(ISNUMBER(M864)),"",IFERROR(IF(L864="EUR",M864,IF(L864="IRR",M864/INDEX('Assumptions &amp; FX Reference'!$C$5:$C$25,MATCH(H864,'Assumptions &amp; FX Reference'!$A$5:$A$25,0)),IF(L864="USD",M864*INDEX('Assumptions &amp; FX Reference'!$B$5:$B$25,MATCH(H864,'Assumptions &amp; FX Reference'!$A$5:$A$25,0))/INDEX('Assumptions &amp; FX Reference'!$C$5:$C$25,MATCH(H864,'Assumptions &amp; FX Reference'!$A$5:$A$25,0)),""))),"(FX missing)"))</f>
        <v/>
      </c>
      <c r="P864" s="42"/>
      <c r="Q864" s="42"/>
      <c r="R864" s="42"/>
      <c r="S864" s="42"/>
      <c r="T864" s="42"/>
      <c r="U864" s="42"/>
      <c r="V864" s="42"/>
    </row>
    <row r="865" customFormat="false" ht="15" hidden="false" customHeight="false" outlineLevel="0" collapsed="false">
      <c r="A865" s="42"/>
      <c r="B865" s="42"/>
      <c r="C865" s="45" t="str">
        <f aca="false">IF(B865="","",IFERROR(INDEX('Master Database'!$D$5:$D$600,MATCH(B865,'Master Database'!$A$5:$A$600,0)),"(row not found)"))</f>
        <v/>
      </c>
      <c r="D865" s="45" t="str">
        <f aca="false">IF(B865="","",IFERROR(INDEX('Master Database'!$B$5:$B$600,MATCH(B865,'Master Database'!$A$5:$A$600,0)),"(row not found)"))</f>
        <v/>
      </c>
      <c r="E865" s="42"/>
      <c r="F865" s="45" t="str">
        <f aca="false">IF(E865="","",IFERROR(INDEX(Vendor_Register!$B$5:$B$205,MATCH(E865,Vendor_Register!$A$5:$A$205,0)),"(not in register)"))</f>
        <v/>
      </c>
      <c r="G865" s="45" t="str">
        <f aca="false">IF(E865="","",IFERROR(INDEX(Vendor_Register!$E$5:$E$205,MATCH(E865,Vendor_Register!$A$5:$A$205,0)),"(not in register)"))</f>
        <v/>
      </c>
      <c r="H865" s="42"/>
      <c r="I865" s="42"/>
      <c r="J865" s="42"/>
      <c r="K865" s="42"/>
      <c r="L865" s="42"/>
      <c r="M865" s="46"/>
      <c r="N865" s="42"/>
      <c r="O865" s="47" t="str">
        <f aca="false">IF(NOT(ISNUMBER(M865)),"",IFERROR(IF(L865="EUR",M865,IF(L865="IRR",M865/INDEX('Assumptions &amp; FX Reference'!$C$5:$C$25,MATCH(H865,'Assumptions &amp; FX Reference'!$A$5:$A$25,0)),IF(L865="USD",M865*INDEX('Assumptions &amp; FX Reference'!$B$5:$B$25,MATCH(H865,'Assumptions &amp; FX Reference'!$A$5:$A$25,0))/INDEX('Assumptions &amp; FX Reference'!$C$5:$C$25,MATCH(H865,'Assumptions &amp; FX Reference'!$A$5:$A$25,0)),""))),"(FX missing)"))</f>
        <v/>
      </c>
      <c r="P865" s="42"/>
      <c r="Q865" s="42"/>
      <c r="R865" s="42"/>
      <c r="S865" s="42"/>
      <c r="T865" s="42"/>
      <c r="U865" s="42"/>
      <c r="V865" s="42"/>
    </row>
    <row r="866" customFormat="false" ht="15" hidden="false" customHeight="false" outlineLevel="0" collapsed="false">
      <c r="A866" s="42"/>
      <c r="B866" s="42"/>
      <c r="C866" s="45" t="str">
        <f aca="false">IF(B866="","",IFERROR(INDEX('Master Database'!$D$5:$D$600,MATCH(B866,'Master Database'!$A$5:$A$600,0)),"(row not found)"))</f>
        <v/>
      </c>
      <c r="D866" s="45" t="str">
        <f aca="false">IF(B866="","",IFERROR(INDEX('Master Database'!$B$5:$B$600,MATCH(B866,'Master Database'!$A$5:$A$600,0)),"(row not found)"))</f>
        <v/>
      </c>
      <c r="E866" s="42"/>
      <c r="F866" s="45" t="str">
        <f aca="false">IF(E866="","",IFERROR(INDEX(Vendor_Register!$B$5:$B$205,MATCH(E866,Vendor_Register!$A$5:$A$205,0)),"(not in register)"))</f>
        <v/>
      </c>
      <c r="G866" s="45" t="str">
        <f aca="false">IF(E866="","",IFERROR(INDEX(Vendor_Register!$E$5:$E$205,MATCH(E866,Vendor_Register!$A$5:$A$205,0)),"(not in register)"))</f>
        <v/>
      </c>
      <c r="H866" s="42"/>
      <c r="I866" s="42"/>
      <c r="J866" s="42"/>
      <c r="K866" s="42"/>
      <c r="L866" s="42"/>
      <c r="M866" s="46"/>
      <c r="N866" s="42"/>
      <c r="O866" s="47" t="str">
        <f aca="false">IF(NOT(ISNUMBER(M866)),"",IFERROR(IF(L866="EUR",M866,IF(L866="IRR",M866/INDEX('Assumptions &amp; FX Reference'!$C$5:$C$25,MATCH(H866,'Assumptions &amp; FX Reference'!$A$5:$A$25,0)),IF(L866="USD",M866*INDEX('Assumptions &amp; FX Reference'!$B$5:$B$25,MATCH(H866,'Assumptions &amp; FX Reference'!$A$5:$A$25,0))/INDEX('Assumptions &amp; FX Reference'!$C$5:$C$25,MATCH(H866,'Assumptions &amp; FX Reference'!$A$5:$A$25,0)),""))),"(FX missing)"))</f>
        <v/>
      </c>
      <c r="P866" s="42"/>
      <c r="Q866" s="42"/>
      <c r="R866" s="42"/>
      <c r="S866" s="42"/>
      <c r="T866" s="42"/>
      <c r="U866" s="42"/>
      <c r="V866" s="42"/>
    </row>
    <row r="867" customFormat="false" ht="15" hidden="false" customHeight="false" outlineLevel="0" collapsed="false">
      <c r="A867" s="42"/>
      <c r="B867" s="42"/>
      <c r="C867" s="45" t="str">
        <f aca="false">IF(B867="","",IFERROR(INDEX('Master Database'!$D$5:$D$600,MATCH(B867,'Master Database'!$A$5:$A$600,0)),"(row not found)"))</f>
        <v/>
      </c>
      <c r="D867" s="45" t="str">
        <f aca="false">IF(B867="","",IFERROR(INDEX('Master Database'!$B$5:$B$600,MATCH(B867,'Master Database'!$A$5:$A$600,0)),"(row not found)"))</f>
        <v/>
      </c>
      <c r="E867" s="42"/>
      <c r="F867" s="45" t="str">
        <f aca="false">IF(E867="","",IFERROR(INDEX(Vendor_Register!$B$5:$B$205,MATCH(E867,Vendor_Register!$A$5:$A$205,0)),"(not in register)"))</f>
        <v/>
      </c>
      <c r="G867" s="45" t="str">
        <f aca="false">IF(E867="","",IFERROR(INDEX(Vendor_Register!$E$5:$E$205,MATCH(E867,Vendor_Register!$A$5:$A$205,0)),"(not in register)"))</f>
        <v/>
      </c>
      <c r="H867" s="42"/>
      <c r="I867" s="42"/>
      <c r="J867" s="42"/>
      <c r="K867" s="42"/>
      <c r="L867" s="42"/>
      <c r="M867" s="46"/>
      <c r="N867" s="42"/>
      <c r="O867" s="47" t="str">
        <f aca="false">IF(NOT(ISNUMBER(M867)),"",IFERROR(IF(L867="EUR",M867,IF(L867="IRR",M867/INDEX('Assumptions &amp; FX Reference'!$C$5:$C$25,MATCH(H867,'Assumptions &amp; FX Reference'!$A$5:$A$25,0)),IF(L867="USD",M867*INDEX('Assumptions &amp; FX Reference'!$B$5:$B$25,MATCH(H867,'Assumptions &amp; FX Reference'!$A$5:$A$25,0))/INDEX('Assumptions &amp; FX Reference'!$C$5:$C$25,MATCH(H867,'Assumptions &amp; FX Reference'!$A$5:$A$25,0)),""))),"(FX missing)"))</f>
        <v/>
      </c>
      <c r="P867" s="42"/>
      <c r="Q867" s="42"/>
      <c r="R867" s="42"/>
      <c r="S867" s="42"/>
      <c r="T867" s="42"/>
      <c r="U867" s="42"/>
      <c r="V867" s="42"/>
    </row>
    <row r="868" customFormat="false" ht="15" hidden="false" customHeight="false" outlineLevel="0" collapsed="false">
      <c r="A868" s="42"/>
      <c r="B868" s="42"/>
      <c r="C868" s="45" t="str">
        <f aca="false">IF(B868="","",IFERROR(INDEX('Master Database'!$D$5:$D$600,MATCH(B868,'Master Database'!$A$5:$A$600,0)),"(row not found)"))</f>
        <v/>
      </c>
      <c r="D868" s="45" t="str">
        <f aca="false">IF(B868="","",IFERROR(INDEX('Master Database'!$B$5:$B$600,MATCH(B868,'Master Database'!$A$5:$A$600,0)),"(row not found)"))</f>
        <v/>
      </c>
      <c r="E868" s="42"/>
      <c r="F868" s="45" t="str">
        <f aca="false">IF(E868="","",IFERROR(INDEX(Vendor_Register!$B$5:$B$205,MATCH(E868,Vendor_Register!$A$5:$A$205,0)),"(not in register)"))</f>
        <v/>
      </c>
      <c r="G868" s="45" t="str">
        <f aca="false">IF(E868="","",IFERROR(INDEX(Vendor_Register!$E$5:$E$205,MATCH(E868,Vendor_Register!$A$5:$A$205,0)),"(not in register)"))</f>
        <v/>
      </c>
      <c r="H868" s="42"/>
      <c r="I868" s="42"/>
      <c r="J868" s="42"/>
      <c r="K868" s="42"/>
      <c r="L868" s="42"/>
      <c r="M868" s="46"/>
      <c r="N868" s="42"/>
      <c r="O868" s="47" t="str">
        <f aca="false">IF(NOT(ISNUMBER(M868)),"",IFERROR(IF(L868="EUR",M868,IF(L868="IRR",M868/INDEX('Assumptions &amp; FX Reference'!$C$5:$C$25,MATCH(H868,'Assumptions &amp; FX Reference'!$A$5:$A$25,0)),IF(L868="USD",M868*INDEX('Assumptions &amp; FX Reference'!$B$5:$B$25,MATCH(H868,'Assumptions &amp; FX Reference'!$A$5:$A$25,0))/INDEX('Assumptions &amp; FX Reference'!$C$5:$C$25,MATCH(H868,'Assumptions &amp; FX Reference'!$A$5:$A$25,0)),""))),"(FX missing)"))</f>
        <v/>
      </c>
      <c r="P868" s="42"/>
      <c r="Q868" s="42"/>
      <c r="R868" s="42"/>
      <c r="S868" s="42"/>
      <c r="T868" s="42"/>
      <c r="U868" s="42"/>
      <c r="V868" s="42"/>
    </row>
    <row r="869" customFormat="false" ht="15" hidden="false" customHeight="false" outlineLevel="0" collapsed="false">
      <c r="A869" s="42"/>
      <c r="B869" s="42"/>
      <c r="C869" s="45" t="str">
        <f aca="false">IF(B869="","",IFERROR(INDEX('Master Database'!$D$5:$D$600,MATCH(B869,'Master Database'!$A$5:$A$600,0)),"(row not found)"))</f>
        <v/>
      </c>
      <c r="D869" s="45" t="str">
        <f aca="false">IF(B869="","",IFERROR(INDEX('Master Database'!$B$5:$B$600,MATCH(B869,'Master Database'!$A$5:$A$600,0)),"(row not found)"))</f>
        <v/>
      </c>
      <c r="E869" s="42"/>
      <c r="F869" s="45" t="str">
        <f aca="false">IF(E869="","",IFERROR(INDEX(Vendor_Register!$B$5:$B$205,MATCH(E869,Vendor_Register!$A$5:$A$205,0)),"(not in register)"))</f>
        <v/>
      </c>
      <c r="G869" s="45" t="str">
        <f aca="false">IF(E869="","",IFERROR(INDEX(Vendor_Register!$E$5:$E$205,MATCH(E869,Vendor_Register!$A$5:$A$205,0)),"(not in register)"))</f>
        <v/>
      </c>
      <c r="H869" s="42"/>
      <c r="I869" s="42"/>
      <c r="J869" s="42"/>
      <c r="K869" s="42"/>
      <c r="L869" s="42"/>
      <c r="M869" s="46"/>
      <c r="N869" s="42"/>
      <c r="O869" s="47" t="str">
        <f aca="false">IF(NOT(ISNUMBER(M869)),"",IFERROR(IF(L869="EUR",M869,IF(L869="IRR",M869/INDEX('Assumptions &amp; FX Reference'!$C$5:$C$25,MATCH(H869,'Assumptions &amp; FX Reference'!$A$5:$A$25,0)),IF(L869="USD",M869*INDEX('Assumptions &amp; FX Reference'!$B$5:$B$25,MATCH(H869,'Assumptions &amp; FX Reference'!$A$5:$A$25,0))/INDEX('Assumptions &amp; FX Reference'!$C$5:$C$25,MATCH(H869,'Assumptions &amp; FX Reference'!$A$5:$A$25,0)),""))),"(FX missing)"))</f>
        <v/>
      </c>
      <c r="P869" s="42"/>
      <c r="Q869" s="42"/>
      <c r="R869" s="42"/>
      <c r="S869" s="42"/>
      <c r="T869" s="42"/>
      <c r="U869" s="42"/>
      <c r="V869" s="42"/>
    </row>
    <row r="870" customFormat="false" ht="15" hidden="false" customHeight="false" outlineLevel="0" collapsed="false">
      <c r="A870" s="42"/>
      <c r="B870" s="42"/>
      <c r="C870" s="45" t="str">
        <f aca="false">IF(B870="","",IFERROR(INDEX('Master Database'!$D$5:$D$600,MATCH(B870,'Master Database'!$A$5:$A$600,0)),"(row not found)"))</f>
        <v/>
      </c>
      <c r="D870" s="45" t="str">
        <f aca="false">IF(B870="","",IFERROR(INDEX('Master Database'!$B$5:$B$600,MATCH(B870,'Master Database'!$A$5:$A$600,0)),"(row not found)"))</f>
        <v/>
      </c>
      <c r="E870" s="42"/>
      <c r="F870" s="45" t="str">
        <f aca="false">IF(E870="","",IFERROR(INDEX(Vendor_Register!$B$5:$B$205,MATCH(E870,Vendor_Register!$A$5:$A$205,0)),"(not in register)"))</f>
        <v/>
      </c>
      <c r="G870" s="45" t="str">
        <f aca="false">IF(E870="","",IFERROR(INDEX(Vendor_Register!$E$5:$E$205,MATCH(E870,Vendor_Register!$A$5:$A$205,0)),"(not in register)"))</f>
        <v/>
      </c>
      <c r="H870" s="42"/>
      <c r="I870" s="42"/>
      <c r="J870" s="42"/>
      <c r="K870" s="42"/>
      <c r="L870" s="42"/>
      <c r="M870" s="46"/>
      <c r="N870" s="42"/>
      <c r="O870" s="47" t="str">
        <f aca="false">IF(NOT(ISNUMBER(M870)),"",IFERROR(IF(L870="EUR",M870,IF(L870="IRR",M870/INDEX('Assumptions &amp; FX Reference'!$C$5:$C$25,MATCH(H870,'Assumptions &amp; FX Reference'!$A$5:$A$25,0)),IF(L870="USD",M870*INDEX('Assumptions &amp; FX Reference'!$B$5:$B$25,MATCH(H870,'Assumptions &amp; FX Reference'!$A$5:$A$25,0))/INDEX('Assumptions &amp; FX Reference'!$C$5:$C$25,MATCH(H870,'Assumptions &amp; FX Reference'!$A$5:$A$25,0)),""))),"(FX missing)"))</f>
        <v/>
      </c>
      <c r="P870" s="42"/>
      <c r="Q870" s="42"/>
      <c r="R870" s="42"/>
      <c r="S870" s="42"/>
      <c r="T870" s="42"/>
      <c r="U870" s="42"/>
      <c r="V870" s="42"/>
    </row>
    <row r="871" customFormat="false" ht="15" hidden="false" customHeight="false" outlineLevel="0" collapsed="false">
      <c r="A871" s="42"/>
      <c r="B871" s="42"/>
      <c r="C871" s="45" t="str">
        <f aca="false">IF(B871="","",IFERROR(INDEX('Master Database'!$D$5:$D$600,MATCH(B871,'Master Database'!$A$5:$A$600,0)),"(row not found)"))</f>
        <v/>
      </c>
      <c r="D871" s="45" t="str">
        <f aca="false">IF(B871="","",IFERROR(INDEX('Master Database'!$B$5:$B$600,MATCH(B871,'Master Database'!$A$5:$A$600,0)),"(row not found)"))</f>
        <v/>
      </c>
      <c r="E871" s="42"/>
      <c r="F871" s="45" t="str">
        <f aca="false">IF(E871="","",IFERROR(INDEX(Vendor_Register!$B$5:$B$205,MATCH(E871,Vendor_Register!$A$5:$A$205,0)),"(not in register)"))</f>
        <v/>
      </c>
      <c r="G871" s="45" t="str">
        <f aca="false">IF(E871="","",IFERROR(INDEX(Vendor_Register!$E$5:$E$205,MATCH(E871,Vendor_Register!$A$5:$A$205,0)),"(not in register)"))</f>
        <v/>
      </c>
      <c r="H871" s="42"/>
      <c r="I871" s="42"/>
      <c r="J871" s="42"/>
      <c r="K871" s="42"/>
      <c r="L871" s="42"/>
      <c r="M871" s="46"/>
      <c r="N871" s="42"/>
      <c r="O871" s="47" t="str">
        <f aca="false">IF(NOT(ISNUMBER(M871)),"",IFERROR(IF(L871="EUR",M871,IF(L871="IRR",M871/INDEX('Assumptions &amp; FX Reference'!$C$5:$C$25,MATCH(H871,'Assumptions &amp; FX Reference'!$A$5:$A$25,0)),IF(L871="USD",M871*INDEX('Assumptions &amp; FX Reference'!$B$5:$B$25,MATCH(H871,'Assumptions &amp; FX Reference'!$A$5:$A$25,0))/INDEX('Assumptions &amp; FX Reference'!$C$5:$C$25,MATCH(H871,'Assumptions &amp; FX Reference'!$A$5:$A$25,0)),""))),"(FX missing)"))</f>
        <v/>
      </c>
      <c r="P871" s="42"/>
      <c r="Q871" s="42"/>
      <c r="R871" s="42"/>
      <c r="S871" s="42"/>
      <c r="T871" s="42"/>
      <c r="U871" s="42"/>
      <c r="V871" s="42"/>
    </row>
    <row r="872" customFormat="false" ht="15" hidden="false" customHeight="false" outlineLevel="0" collapsed="false">
      <c r="A872" s="42"/>
      <c r="B872" s="42"/>
      <c r="C872" s="45" t="str">
        <f aca="false">IF(B872="","",IFERROR(INDEX('Master Database'!$D$5:$D$600,MATCH(B872,'Master Database'!$A$5:$A$600,0)),"(row not found)"))</f>
        <v/>
      </c>
      <c r="D872" s="45" t="str">
        <f aca="false">IF(B872="","",IFERROR(INDEX('Master Database'!$B$5:$B$600,MATCH(B872,'Master Database'!$A$5:$A$600,0)),"(row not found)"))</f>
        <v/>
      </c>
      <c r="E872" s="42"/>
      <c r="F872" s="45" t="str">
        <f aca="false">IF(E872="","",IFERROR(INDEX(Vendor_Register!$B$5:$B$205,MATCH(E872,Vendor_Register!$A$5:$A$205,0)),"(not in register)"))</f>
        <v/>
      </c>
      <c r="G872" s="45" t="str">
        <f aca="false">IF(E872="","",IFERROR(INDEX(Vendor_Register!$E$5:$E$205,MATCH(E872,Vendor_Register!$A$5:$A$205,0)),"(not in register)"))</f>
        <v/>
      </c>
      <c r="H872" s="42"/>
      <c r="I872" s="42"/>
      <c r="J872" s="42"/>
      <c r="K872" s="42"/>
      <c r="L872" s="42"/>
      <c r="M872" s="46"/>
      <c r="N872" s="42"/>
      <c r="O872" s="47" t="str">
        <f aca="false">IF(NOT(ISNUMBER(M872)),"",IFERROR(IF(L872="EUR",M872,IF(L872="IRR",M872/INDEX('Assumptions &amp; FX Reference'!$C$5:$C$25,MATCH(H872,'Assumptions &amp; FX Reference'!$A$5:$A$25,0)),IF(L872="USD",M872*INDEX('Assumptions &amp; FX Reference'!$B$5:$B$25,MATCH(H872,'Assumptions &amp; FX Reference'!$A$5:$A$25,0))/INDEX('Assumptions &amp; FX Reference'!$C$5:$C$25,MATCH(H872,'Assumptions &amp; FX Reference'!$A$5:$A$25,0)),""))),"(FX missing)"))</f>
        <v/>
      </c>
      <c r="P872" s="42"/>
      <c r="Q872" s="42"/>
      <c r="R872" s="42"/>
      <c r="S872" s="42"/>
      <c r="T872" s="42"/>
      <c r="U872" s="42"/>
      <c r="V872" s="42"/>
    </row>
    <row r="873" customFormat="false" ht="15" hidden="false" customHeight="false" outlineLevel="0" collapsed="false">
      <c r="A873" s="42"/>
      <c r="B873" s="42"/>
      <c r="C873" s="45" t="str">
        <f aca="false">IF(B873="","",IFERROR(INDEX('Master Database'!$D$5:$D$600,MATCH(B873,'Master Database'!$A$5:$A$600,0)),"(row not found)"))</f>
        <v/>
      </c>
      <c r="D873" s="45" t="str">
        <f aca="false">IF(B873="","",IFERROR(INDEX('Master Database'!$B$5:$B$600,MATCH(B873,'Master Database'!$A$5:$A$600,0)),"(row not found)"))</f>
        <v/>
      </c>
      <c r="E873" s="42"/>
      <c r="F873" s="45" t="str">
        <f aca="false">IF(E873="","",IFERROR(INDEX(Vendor_Register!$B$5:$B$205,MATCH(E873,Vendor_Register!$A$5:$A$205,0)),"(not in register)"))</f>
        <v/>
      </c>
      <c r="G873" s="45" t="str">
        <f aca="false">IF(E873="","",IFERROR(INDEX(Vendor_Register!$E$5:$E$205,MATCH(E873,Vendor_Register!$A$5:$A$205,0)),"(not in register)"))</f>
        <v/>
      </c>
      <c r="H873" s="42"/>
      <c r="I873" s="42"/>
      <c r="J873" s="42"/>
      <c r="K873" s="42"/>
      <c r="L873" s="42"/>
      <c r="M873" s="46"/>
      <c r="N873" s="42"/>
      <c r="O873" s="47" t="str">
        <f aca="false">IF(NOT(ISNUMBER(M873)),"",IFERROR(IF(L873="EUR",M873,IF(L873="IRR",M873/INDEX('Assumptions &amp; FX Reference'!$C$5:$C$25,MATCH(H873,'Assumptions &amp; FX Reference'!$A$5:$A$25,0)),IF(L873="USD",M873*INDEX('Assumptions &amp; FX Reference'!$B$5:$B$25,MATCH(H873,'Assumptions &amp; FX Reference'!$A$5:$A$25,0))/INDEX('Assumptions &amp; FX Reference'!$C$5:$C$25,MATCH(H873,'Assumptions &amp; FX Reference'!$A$5:$A$25,0)),""))),"(FX missing)"))</f>
        <v/>
      </c>
      <c r="P873" s="42"/>
      <c r="Q873" s="42"/>
      <c r="R873" s="42"/>
      <c r="S873" s="42"/>
      <c r="T873" s="42"/>
      <c r="U873" s="42"/>
      <c r="V873" s="42"/>
    </row>
    <row r="874" customFormat="false" ht="15" hidden="false" customHeight="false" outlineLevel="0" collapsed="false">
      <c r="A874" s="42"/>
      <c r="B874" s="42"/>
      <c r="C874" s="45" t="str">
        <f aca="false">IF(B874="","",IFERROR(INDEX('Master Database'!$D$5:$D$600,MATCH(B874,'Master Database'!$A$5:$A$600,0)),"(row not found)"))</f>
        <v/>
      </c>
      <c r="D874" s="45" t="str">
        <f aca="false">IF(B874="","",IFERROR(INDEX('Master Database'!$B$5:$B$600,MATCH(B874,'Master Database'!$A$5:$A$600,0)),"(row not found)"))</f>
        <v/>
      </c>
      <c r="E874" s="42"/>
      <c r="F874" s="45" t="str">
        <f aca="false">IF(E874="","",IFERROR(INDEX(Vendor_Register!$B$5:$B$205,MATCH(E874,Vendor_Register!$A$5:$A$205,0)),"(not in register)"))</f>
        <v/>
      </c>
      <c r="G874" s="45" t="str">
        <f aca="false">IF(E874="","",IFERROR(INDEX(Vendor_Register!$E$5:$E$205,MATCH(E874,Vendor_Register!$A$5:$A$205,0)),"(not in register)"))</f>
        <v/>
      </c>
      <c r="H874" s="42"/>
      <c r="I874" s="42"/>
      <c r="J874" s="42"/>
      <c r="K874" s="42"/>
      <c r="L874" s="42"/>
      <c r="M874" s="46"/>
      <c r="N874" s="42"/>
      <c r="O874" s="47" t="str">
        <f aca="false">IF(NOT(ISNUMBER(M874)),"",IFERROR(IF(L874="EUR",M874,IF(L874="IRR",M874/INDEX('Assumptions &amp; FX Reference'!$C$5:$C$25,MATCH(H874,'Assumptions &amp; FX Reference'!$A$5:$A$25,0)),IF(L874="USD",M874*INDEX('Assumptions &amp; FX Reference'!$B$5:$B$25,MATCH(H874,'Assumptions &amp; FX Reference'!$A$5:$A$25,0))/INDEX('Assumptions &amp; FX Reference'!$C$5:$C$25,MATCH(H874,'Assumptions &amp; FX Reference'!$A$5:$A$25,0)),""))),"(FX missing)"))</f>
        <v/>
      </c>
      <c r="P874" s="42"/>
      <c r="Q874" s="42"/>
      <c r="R874" s="42"/>
      <c r="S874" s="42"/>
      <c r="T874" s="42"/>
      <c r="U874" s="42"/>
      <c r="V874" s="42"/>
    </row>
    <row r="875" customFormat="false" ht="15" hidden="false" customHeight="false" outlineLevel="0" collapsed="false">
      <c r="A875" s="42"/>
      <c r="B875" s="42"/>
      <c r="C875" s="45" t="str">
        <f aca="false">IF(B875="","",IFERROR(INDEX('Master Database'!$D$5:$D$600,MATCH(B875,'Master Database'!$A$5:$A$600,0)),"(row not found)"))</f>
        <v/>
      </c>
      <c r="D875" s="45" t="str">
        <f aca="false">IF(B875="","",IFERROR(INDEX('Master Database'!$B$5:$B$600,MATCH(B875,'Master Database'!$A$5:$A$600,0)),"(row not found)"))</f>
        <v/>
      </c>
      <c r="E875" s="42"/>
      <c r="F875" s="45" t="str">
        <f aca="false">IF(E875="","",IFERROR(INDEX(Vendor_Register!$B$5:$B$205,MATCH(E875,Vendor_Register!$A$5:$A$205,0)),"(not in register)"))</f>
        <v/>
      </c>
      <c r="G875" s="45" t="str">
        <f aca="false">IF(E875="","",IFERROR(INDEX(Vendor_Register!$E$5:$E$205,MATCH(E875,Vendor_Register!$A$5:$A$205,0)),"(not in register)"))</f>
        <v/>
      </c>
      <c r="H875" s="42"/>
      <c r="I875" s="42"/>
      <c r="J875" s="42"/>
      <c r="K875" s="42"/>
      <c r="L875" s="42"/>
      <c r="M875" s="46"/>
      <c r="N875" s="42"/>
      <c r="O875" s="47" t="str">
        <f aca="false">IF(NOT(ISNUMBER(M875)),"",IFERROR(IF(L875="EUR",M875,IF(L875="IRR",M875/INDEX('Assumptions &amp; FX Reference'!$C$5:$C$25,MATCH(H875,'Assumptions &amp; FX Reference'!$A$5:$A$25,0)),IF(L875="USD",M875*INDEX('Assumptions &amp; FX Reference'!$B$5:$B$25,MATCH(H875,'Assumptions &amp; FX Reference'!$A$5:$A$25,0))/INDEX('Assumptions &amp; FX Reference'!$C$5:$C$25,MATCH(H875,'Assumptions &amp; FX Reference'!$A$5:$A$25,0)),""))),"(FX missing)"))</f>
        <v/>
      </c>
      <c r="P875" s="42"/>
      <c r="Q875" s="42"/>
      <c r="R875" s="42"/>
      <c r="S875" s="42"/>
      <c r="T875" s="42"/>
      <c r="U875" s="42"/>
      <c r="V875" s="42"/>
    </row>
    <row r="876" customFormat="false" ht="15" hidden="false" customHeight="false" outlineLevel="0" collapsed="false">
      <c r="A876" s="42"/>
      <c r="B876" s="42"/>
      <c r="C876" s="45" t="str">
        <f aca="false">IF(B876="","",IFERROR(INDEX('Master Database'!$D$5:$D$600,MATCH(B876,'Master Database'!$A$5:$A$600,0)),"(row not found)"))</f>
        <v/>
      </c>
      <c r="D876" s="45" t="str">
        <f aca="false">IF(B876="","",IFERROR(INDEX('Master Database'!$B$5:$B$600,MATCH(B876,'Master Database'!$A$5:$A$600,0)),"(row not found)"))</f>
        <v/>
      </c>
      <c r="E876" s="42"/>
      <c r="F876" s="45" t="str">
        <f aca="false">IF(E876="","",IFERROR(INDEX(Vendor_Register!$B$5:$B$205,MATCH(E876,Vendor_Register!$A$5:$A$205,0)),"(not in register)"))</f>
        <v/>
      </c>
      <c r="G876" s="45" t="str">
        <f aca="false">IF(E876="","",IFERROR(INDEX(Vendor_Register!$E$5:$E$205,MATCH(E876,Vendor_Register!$A$5:$A$205,0)),"(not in register)"))</f>
        <v/>
      </c>
      <c r="H876" s="42"/>
      <c r="I876" s="42"/>
      <c r="J876" s="42"/>
      <c r="K876" s="42"/>
      <c r="L876" s="42"/>
      <c r="M876" s="46"/>
      <c r="N876" s="42"/>
      <c r="O876" s="47" t="str">
        <f aca="false">IF(NOT(ISNUMBER(M876)),"",IFERROR(IF(L876="EUR",M876,IF(L876="IRR",M876/INDEX('Assumptions &amp; FX Reference'!$C$5:$C$25,MATCH(H876,'Assumptions &amp; FX Reference'!$A$5:$A$25,0)),IF(L876="USD",M876*INDEX('Assumptions &amp; FX Reference'!$B$5:$B$25,MATCH(H876,'Assumptions &amp; FX Reference'!$A$5:$A$25,0))/INDEX('Assumptions &amp; FX Reference'!$C$5:$C$25,MATCH(H876,'Assumptions &amp; FX Reference'!$A$5:$A$25,0)),""))),"(FX missing)"))</f>
        <v/>
      </c>
      <c r="P876" s="42"/>
      <c r="Q876" s="42"/>
      <c r="R876" s="42"/>
      <c r="S876" s="42"/>
      <c r="T876" s="42"/>
      <c r="U876" s="42"/>
      <c r="V876" s="42"/>
    </row>
    <row r="877" customFormat="false" ht="15" hidden="false" customHeight="false" outlineLevel="0" collapsed="false">
      <c r="A877" s="42"/>
      <c r="B877" s="42"/>
      <c r="C877" s="45" t="str">
        <f aca="false">IF(B877="","",IFERROR(INDEX('Master Database'!$D$5:$D$600,MATCH(B877,'Master Database'!$A$5:$A$600,0)),"(row not found)"))</f>
        <v/>
      </c>
      <c r="D877" s="45" t="str">
        <f aca="false">IF(B877="","",IFERROR(INDEX('Master Database'!$B$5:$B$600,MATCH(B877,'Master Database'!$A$5:$A$600,0)),"(row not found)"))</f>
        <v/>
      </c>
      <c r="E877" s="42"/>
      <c r="F877" s="45" t="str">
        <f aca="false">IF(E877="","",IFERROR(INDEX(Vendor_Register!$B$5:$B$205,MATCH(E877,Vendor_Register!$A$5:$A$205,0)),"(not in register)"))</f>
        <v/>
      </c>
      <c r="G877" s="45" t="str">
        <f aca="false">IF(E877="","",IFERROR(INDEX(Vendor_Register!$E$5:$E$205,MATCH(E877,Vendor_Register!$A$5:$A$205,0)),"(not in register)"))</f>
        <v/>
      </c>
      <c r="H877" s="42"/>
      <c r="I877" s="42"/>
      <c r="J877" s="42"/>
      <c r="K877" s="42"/>
      <c r="L877" s="42"/>
      <c r="M877" s="46"/>
      <c r="N877" s="42"/>
      <c r="O877" s="47" t="str">
        <f aca="false">IF(NOT(ISNUMBER(M877)),"",IFERROR(IF(L877="EUR",M877,IF(L877="IRR",M877/INDEX('Assumptions &amp; FX Reference'!$C$5:$C$25,MATCH(H877,'Assumptions &amp; FX Reference'!$A$5:$A$25,0)),IF(L877="USD",M877*INDEX('Assumptions &amp; FX Reference'!$B$5:$B$25,MATCH(H877,'Assumptions &amp; FX Reference'!$A$5:$A$25,0))/INDEX('Assumptions &amp; FX Reference'!$C$5:$C$25,MATCH(H877,'Assumptions &amp; FX Reference'!$A$5:$A$25,0)),""))),"(FX missing)"))</f>
        <v/>
      </c>
      <c r="P877" s="42"/>
      <c r="Q877" s="42"/>
      <c r="R877" s="42"/>
      <c r="S877" s="42"/>
      <c r="T877" s="42"/>
      <c r="U877" s="42"/>
      <c r="V877" s="42"/>
    </row>
    <row r="878" customFormat="false" ht="15" hidden="false" customHeight="false" outlineLevel="0" collapsed="false">
      <c r="A878" s="42"/>
      <c r="B878" s="42"/>
      <c r="C878" s="45" t="str">
        <f aca="false">IF(B878="","",IFERROR(INDEX('Master Database'!$D$5:$D$600,MATCH(B878,'Master Database'!$A$5:$A$600,0)),"(row not found)"))</f>
        <v/>
      </c>
      <c r="D878" s="45" t="str">
        <f aca="false">IF(B878="","",IFERROR(INDEX('Master Database'!$B$5:$B$600,MATCH(B878,'Master Database'!$A$5:$A$600,0)),"(row not found)"))</f>
        <v/>
      </c>
      <c r="E878" s="42"/>
      <c r="F878" s="45" t="str">
        <f aca="false">IF(E878="","",IFERROR(INDEX(Vendor_Register!$B$5:$B$205,MATCH(E878,Vendor_Register!$A$5:$A$205,0)),"(not in register)"))</f>
        <v/>
      </c>
      <c r="G878" s="45" t="str">
        <f aca="false">IF(E878="","",IFERROR(INDEX(Vendor_Register!$E$5:$E$205,MATCH(E878,Vendor_Register!$A$5:$A$205,0)),"(not in register)"))</f>
        <v/>
      </c>
      <c r="H878" s="42"/>
      <c r="I878" s="42"/>
      <c r="J878" s="42"/>
      <c r="K878" s="42"/>
      <c r="L878" s="42"/>
      <c r="M878" s="46"/>
      <c r="N878" s="42"/>
      <c r="O878" s="47" t="str">
        <f aca="false">IF(NOT(ISNUMBER(M878)),"",IFERROR(IF(L878="EUR",M878,IF(L878="IRR",M878/INDEX('Assumptions &amp; FX Reference'!$C$5:$C$25,MATCH(H878,'Assumptions &amp; FX Reference'!$A$5:$A$25,0)),IF(L878="USD",M878*INDEX('Assumptions &amp; FX Reference'!$B$5:$B$25,MATCH(H878,'Assumptions &amp; FX Reference'!$A$5:$A$25,0))/INDEX('Assumptions &amp; FX Reference'!$C$5:$C$25,MATCH(H878,'Assumptions &amp; FX Reference'!$A$5:$A$25,0)),""))),"(FX missing)"))</f>
        <v/>
      </c>
      <c r="P878" s="42"/>
      <c r="Q878" s="42"/>
      <c r="R878" s="42"/>
      <c r="S878" s="42"/>
      <c r="T878" s="42"/>
      <c r="U878" s="42"/>
      <c r="V878" s="42"/>
    </row>
    <row r="879" customFormat="false" ht="15" hidden="false" customHeight="false" outlineLevel="0" collapsed="false">
      <c r="A879" s="42"/>
      <c r="B879" s="42"/>
      <c r="C879" s="45" t="str">
        <f aca="false">IF(B879="","",IFERROR(INDEX('Master Database'!$D$5:$D$600,MATCH(B879,'Master Database'!$A$5:$A$600,0)),"(row not found)"))</f>
        <v/>
      </c>
      <c r="D879" s="45" t="str">
        <f aca="false">IF(B879="","",IFERROR(INDEX('Master Database'!$B$5:$B$600,MATCH(B879,'Master Database'!$A$5:$A$600,0)),"(row not found)"))</f>
        <v/>
      </c>
      <c r="E879" s="42"/>
      <c r="F879" s="45" t="str">
        <f aca="false">IF(E879="","",IFERROR(INDEX(Vendor_Register!$B$5:$B$205,MATCH(E879,Vendor_Register!$A$5:$A$205,0)),"(not in register)"))</f>
        <v/>
      </c>
      <c r="G879" s="45" t="str">
        <f aca="false">IF(E879="","",IFERROR(INDEX(Vendor_Register!$E$5:$E$205,MATCH(E879,Vendor_Register!$A$5:$A$205,0)),"(not in register)"))</f>
        <v/>
      </c>
      <c r="H879" s="42"/>
      <c r="I879" s="42"/>
      <c r="J879" s="42"/>
      <c r="K879" s="42"/>
      <c r="L879" s="42"/>
      <c r="M879" s="46"/>
      <c r="N879" s="42"/>
      <c r="O879" s="47" t="str">
        <f aca="false">IF(NOT(ISNUMBER(M879)),"",IFERROR(IF(L879="EUR",M879,IF(L879="IRR",M879/INDEX('Assumptions &amp; FX Reference'!$C$5:$C$25,MATCH(H879,'Assumptions &amp; FX Reference'!$A$5:$A$25,0)),IF(L879="USD",M879*INDEX('Assumptions &amp; FX Reference'!$B$5:$B$25,MATCH(H879,'Assumptions &amp; FX Reference'!$A$5:$A$25,0))/INDEX('Assumptions &amp; FX Reference'!$C$5:$C$25,MATCH(H879,'Assumptions &amp; FX Reference'!$A$5:$A$25,0)),""))),"(FX missing)"))</f>
        <v/>
      </c>
      <c r="P879" s="42"/>
      <c r="Q879" s="42"/>
      <c r="R879" s="42"/>
      <c r="S879" s="42"/>
      <c r="T879" s="42"/>
      <c r="U879" s="42"/>
      <c r="V879" s="42"/>
    </row>
    <row r="880" customFormat="false" ht="15" hidden="false" customHeight="false" outlineLevel="0" collapsed="false">
      <c r="A880" s="42"/>
      <c r="B880" s="42"/>
      <c r="C880" s="45" t="str">
        <f aca="false">IF(B880="","",IFERROR(INDEX('Master Database'!$D$5:$D$600,MATCH(B880,'Master Database'!$A$5:$A$600,0)),"(row not found)"))</f>
        <v/>
      </c>
      <c r="D880" s="45" t="str">
        <f aca="false">IF(B880="","",IFERROR(INDEX('Master Database'!$B$5:$B$600,MATCH(B880,'Master Database'!$A$5:$A$600,0)),"(row not found)"))</f>
        <v/>
      </c>
      <c r="E880" s="42"/>
      <c r="F880" s="45" t="str">
        <f aca="false">IF(E880="","",IFERROR(INDEX(Vendor_Register!$B$5:$B$205,MATCH(E880,Vendor_Register!$A$5:$A$205,0)),"(not in register)"))</f>
        <v/>
      </c>
      <c r="G880" s="45" t="str">
        <f aca="false">IF(E880="","",IFERROR(INDEX(Vendor_Register!$E$5:$E$205,MATCH(E880,Vendor_Register!$A$5:$A$205,0)),"(not in register)"))</f>
        <v/>
      </c>
      <c r="H880" s="42"/>
      <c r="I880" s="42"/>
      <c r="J880" s="42"/>
      <c r="K880" s="42"/>
      <c r="L880" s="42"/>
      <c r="M880" s="46"/>
      <c r="N880" s="42"/>
      <c r="O880" s="47" t="str">
        <f aca="false">IF(NOT(ISNUMBER(M880)),"",IFERROR(IF(L880="EUR",M880,IF(L880="IRR",M880/INDEX('Assumptions &amp; FX Reference'!$C$5:$C$25,MATCH(H880,'Assumptions &amp; FX Reference'!$A$5:$A$25,0)),IF(L880="USD",M880*INDEX('Assumptions &amp; FX Reference'!$B$5:$B$25,MATCH(H880,'Assumptions &amp; FX Reference'!$A$5:$A$25,0))/INDEX('Assumptions &amp; FX Reference'!$C$5:$C$25,MATCH(H880,'Assumptions &amp; FX Reference'!$A$5:$A$25,0)),""))),"(FX missing)"))</f>
        <v/>
      </c>
      <c r="P880" s="42"/>
      <c r="Q880" s="42"/>
      <c r="R880" s="42"/>
      <c r="S880" s="42"/>
      <c r="T880" s="42"/>
      <c r="U880" s="42"/>
      <c r="V880" s="42"/>
    </row>
    <row r="881" customFormat="false" ht="15" hidden="false" customHeight="false" outlineLevel="0" collapsed="false">
      <c r="A881" s="42"/>
      <c r="B881" s="42"/>
      <c r="C881" s="45" t="str">
        <f aca="false">IF(B881="","",IFERROR(INDEX('Master Database'!$D$5:$D$600,MATCH(B881,'Master Database'!$A$5:$A$600,0)),"(row not found)"))</f>
        <v/>
      </c>
      <c r="D881" s="45" t="str">
        <f aca="false">IF(B881="","",IFERROR(INDEX('Master Database'!$B$5:$B$600,MATCH(B881,'Master Database'!$A$5:$A$600,0)),"(row not found)"))</f>
        <v/>
      </c>
      <c r="E881" s="42"/>
      <c r="F881" s="45" t="str">
        <f aca="false">IF(E881="","",IFERROR(INDEX(Vendor_Register!$B$5:$B$205,MATCH(E881,Vendor_Register!$A$5:$A$205,0)),"(not in register)"))</f>
        <v/>
      </c>
      <c r="G881" s="45" t="str">
        <f aca="false">IF(E881="","",IFERROR(INDEX(Vendor_Register!$E$5:$E$205,MATCH(E881,Vendor_Register!$A$5:$A$205,0)),"(not in register)"))</f>
        <v/>
      </c>
      <c r="H881" s="42"/>
      <c r="I881" s="42"/>
      <c r="J881" s="42"/>
      <c r="K881" s="42"/>
      <c r="L881" s="42"/>
      <c r="M881" s="46"/>
      <c r="N881" s="42"/>
      <c r="O881" s="47" t="str">
        <f aca="false">IF(NOT(ISNUMBER(M881)),"",IFERROR(IF(L881="EUR",M881,IF(L881="IRR",M881/INDEX('Assumptions &amp; FX Reference'!$C$5:$C$25,MATCH(H881,'Assumptions &amp; FX Reference'!$A$5:$A$25,0)),IF(L881="USD",M881*INDEX('Assumptions &amp; FX Reference'!$B$5:$B$25,MATCH(H881,'Assumptions &amp; FX Reference'!$A$5:$A$25,0))/INDEX('Assumptions &amp; FX Reference'!$C$5:$C$25,MATCH(H881,'Assumptions &amp; FX Reference'!$A$5:$A$25,0)),""))),"(FX missing)"))</f>
        <v/>
      </c>
      <c r="P881" s="42"/>
      <c r="Q881" s="42"/>
      <c r="R881" s="42"/>
      <c r="S881" s="42"/>
      <c r="T881" s="42"/>
      <c r="U881" s="42"/>
      <c r="V881" s="42"/>
    </row>
    <row r="882" customFormat="false" ht="15" hidden="false" customHeight="false" outlineLevel="0" collapsed="false">
      <c r="A882" s="42"/>
      <c r="B882" s="42"/>
      <c r="C882" s="45" t="str">
        <f aca="false">IF(B882="","",IFERROR(INDEX('Master Database'!$D$5:$D$600,MATCH(B882,'Master Database'!$A$5:$A$600,0)),"(row not found)"))</f>
        <v/>
      </c>
      <c r="D882" s="45" t="str">
        <f aca="false">IF(B882="","",IFERROR(INDEX('Master Database'!$B$5:$B$600,MATCH(B882,'Master Database'!$A$5:$A$600,0)),"(row not found)"))</f>
        <v/>
      </c>
      <c r="E882" s="42"/>
      <c r="F882" s="45" t="str">
        <f aca="false">IF(E882="","",IFERROR(INDEX(Vendor_Register!$B$5:$B$205,MATCH(E882,Vendor_Register!$A$5:$A$205,0)),"(not in register)"))</f>
        <v/>
      </c>
      <c r="G882" s="45" t="str">
        <f aca="false">IF(E882="","",IFERROR(INDEX(Vendor_Register!$E$5:$E$205,MATCH(E882,Vendor_Register!$A$5:$A$205,0)),"(not in register)"))</f>
        <v/>
      </c>
      <c r="H882" s="42"/>
      <c r="I882" s="42"/>
      <c r="J882" s="42"/>
      <c r="K882" s="42"/>
      <c r="L882" s="42"/>
      <c r="M882" s="46"/>
      <c r="N882" s="42"/>
      <c r="O882" s="47" t="str">
        <f aca="false">IF(NOT(ISNUMBER(M882)),"",IFERROR(IF(L882="EUR",M882,IF(L882="IRR",M882/INDEX('Assumptions &amp; FX Reference'!$C$5:$C$25,MATCH(H882,'Assumptions &amp; FX Reference'!$A$5:$A$25,0)),IF(L882="USD",M882*INDEX('Assumptions &amp; FX Reference'!$B$5:$B$25,MATCH(H882,'Assumptions &amp; FX Reference'!$A$5:$A$25,0))/INDEX('Assumptions &amp; FX Reference'!$C$5:$C$25,MATCH(H882,'Assumptions &amp; FX Reference'!$A$5:$A$25,0)),""))),"(FX missing)"))</f>
        <v/>
      </c>
      <c r="P882" s="42"/>
      <c r="Q882" s="42"/>
      <c r="R882" s="42"/>
      <c r="S882" s="42"/>
      <c r="T882" s="42"/>
      <c r="U882" s="42"/>
      <c r="V882" s="42"/>
    </row>
    <row r="883" customFormat="false" ht="15" hidden="false" customHeight="false" outlineLevel="0" collapsed="false">
      <c r="A883" s="42"/>
      <c r="B883" s="42"/>
      <c r="C883" s="45" t="str">
        <f aca="false">IF(B883="","",IFERROR(INDEX('Master Database'!$D$5:$D$600,MATCH(B883,'Master Database'!$A$5:$A$600,0)),"(row not found)"))</f>
        <v/>
      </c>
      <c r="D883" s="45" t="str">
        <f aca="false">IF(B883="","",IFERROR(INDEX('Master Database'!$B$5:$B$600,MATCH(B883,'Master Database'!$A$5:$A$600,0)),"(row not found)"))</f>
        <v/>
      </c>
      <c r="E883" s="42"/>
      <c r="F883" s="45" t="str">
        <f aca="false">IF(E883="","",IFERROR(INDEX(Vendor_Register!$B$5:$B$205,MATCH(E883,Vendor_Register!$A$5:$A$205,0)),"(not in register)"))</f>
        <v/>
      </c>
      <c r="G883" s="45" t="str">
        <f aca="false">IF(E883="","",IFERROR(INDEX(Vendor_Register!$E$5:$E$205,MATCH(E883,Vendor_Register!$A$5:$A$205,0)),"(not in register)"))</f>
        <v/>
      </c>
      <c r="H883" s="42"/>
      <c r="I883" s="42"/>
      <c r="J883" s="42"/>
      <c r="K883" s="42"/>
      <c r="L883" s="42"/>
      <c r="M883" s="46"/>
      <c r="N883" s="42"/>
      <c r="O883" s="47" t="str">
        <f aca="false">IF(NOT(ISNUMBER(M883)),"",IFERROR(IF(L883="EUR",M883,IF(L883="IRR",M883/INDEX('Assumptions &amp; FX Reference'!$C$5:$C$25,MATCH(H883,'Assumptions &amp; FX Reference'!$A$5:$A$25,0)),IF(L883="USD",M883*INDEX('Assumptions &amp; FX Reference'!$B$5:$B$25,MATCH(H883,'Assumptions &amp; FX Reference'!$A$5:$A$25,0))/INDEX('Assumptions &amp; FX Reference'!$C$5:$C$25,MATCH(H883,'Assumptions &amp; FX Reference'!$A$5:$A$25,0)),""))),"(FX missing)"))</f>
        <v/>
      </c>
      <c r="P883" s="42"/>
      <c r="Q883" s="42"/>
      <c r="R883" s="42"/>
      <c r="S883" s="42"/>
      <c r="T883" s="42"/>
      <c r="U883" s="42"/>
      <c r="V883" s="42"/>
    </row>
    <row r="884" customFormat="false" ht="15" hidden="false" customHeight="false" outlineLevel="0" collapsed="false">
      <c r="A884" s="42"/>
      <c r="B884" s="42"/>
      <c r="C884" s="45" t="str">
        <f aca="false">IF(B884="","",IFERROR(INDEX('Master Database'!$D$5:$D$600,MATCH(B884,'Master Database'!$A$5:$A$600,0)),"(row not found)"))</f>
        <v/>
      </c>
      <c r="D884" s="45" t="str">
        <f aca="false">IF(B884="","",IFERROR(INDEX('Master Database'!$B$5:$B$600,MATCH(B884,'Master Database'!$A$5:$A$600,0)),"(row not found)"))</f>
        <v/>
      </c>
      <c r="E884" s="42"/>
      <c r="F884" s="45" t="str">
        <f aca="false">IF(E884="","",IFERROR(INDEX(Vendor_Register!$B$5:$B$205,MATCH(E884,Vendor_Register!$A$5:$A$205,0)),"(not in register)"))</f>
        <v/>
      </c>
      <c r="G884" s="45" t="str">
        <f aca="false">IF(E884="","",IFERROR(INDEX(Vendor_Register!$E$5:$E$205,MATCH(E884,Vendor_Register!$A$5:$A$205,0)),"(not in register)"))</f>
        <v/>
      </c>
      <c r="H884" s="42"/>
      <c r="I884" s="42"/>
      <c r="J884" s="42"/>
      <c r="K884" s="42"/>
      <c r="L884" s="42"/>
      <c r="M884" s="46"/>
      <c r="N884" s="42"/>
      <c r="O884" s="47" t="str">
        <f aca="false">IF(NOT(ISNUMBER(M884)),"",IFERROR(IF(L884="EUR",M884,IF(L884="IRR",M884/INDEX('Assumptions &amp; FX Reference'!$C$5:$C$25,MATCH(H884,'Assumptions &amp; FX Reference'!$A$5:$A$25,0)),IF(L884="USD",M884*INDEX('Assumptions &amp; FX Reference'!$B$5:$B$25,MATCH(H884,'Assumptions &amp; FX Reference'!$A$5:$A$25,0))/INDEX('Assumptions &amp; FX Reference'!$C$5:$C$25,MATCH(H884,'Assumptions &amp; FX Reference'!$A$5:$A$25,0)),""))),"(FX missing)"))</f>
        <v/>
      </c>
      <c r="P884" s="42"/>
      <c r="Q884" s="42"/>
      <c r="R884" s="42"/>
      <c r="S884" s="42"/>
      <c r="T884" s="42"/>
      <c r="U884" s="42"/>
      <c r="V884" s="42"/>
    </row>
    <row r="885" customFormat="false" ht="15" hidden="false" customHeight="false" outlineLevel="0" collapsed="false">
      <c r="A885" s="42"/>
      <c r="B885" s="42"/>
      <c r="C885" s="45" t="str">
        <f aca="false">IF(B885="","",IFERROR(INDEX('Master Database'!$D$5:$D$600,MATCH(B885,'Master Database'!$A$5:$A$600,0)),"(row not found)"))</f>
        <v/>
      </c>
      <c r="D885" s="45" t="str">
        <f aca="false">IF(B885="","",IFERROR(INDEX('Master Database'!$B$5:$B$600,MATCH(B885,'Master Database'!$A$5:$A$600,0)),"(row not found)"))</f>
        <v/>
      </c>
      <c r="E885" s="42"/>
      <c r="F885" s="45" t="str">
        <f aca="false">IF(E885="","",IFERROR(INDEX(Vendor_Register!$B$5:$B$205,MATCH(E885,Vendor_Register!$A$5:$A$205,0)),"(not in register)"))</f>
        <v/>
      </c>
      <c r="G885" s="45" t="str">
        <f aca="false">IF(E885="","",IFERROR(INDEX(Vendor_Register!$E$5:$E$205,MATCH(E885,Vendor_Register!$A$5:$A$205,0)),"(not in register)"))</f>
        <v/>
      </c>
      <c r="H885" s="42"/>
      <c r="I885" s="42"/>
      <c r="J885" s="42"/>
      <c r="K885" s="42"/>
      <c r="L885" s="42"/>
      <c r="M885" s="46"/>
      <c r="N885" s="42"/>
      <c r="O885" s="47" t="str">
        <f aca="false">IF(NOT(ISNUMBER(M885)),"",IFERROR(IF(L885="EUR",M885,IF(L885="IRR",M885/INDEX('Assumptions &amp; FX Reference'!$C$5:$C$25,MATCH(H885,'Assumptions &amp; FX Reference'!$A$5:$A$25,0)),IF(L885="USD",M885*INDEX('Assumptions &amp; FX Reference'!$B$5:$B$25,MATCH(H885,'Assumptions &amp; FX Reference'!$A$5:$A$25,0))/INDEX('Assumptions &amp; FX Reference'!$C$5:$C$25,MATCH(H885,'Assumptions &amp; FX Reference'!$A$5:$A$25,0)),""))),"(FX missing)"))</f>
        <v/>
      </c>
      <c r="P885" s="42"/>
      <c r="Q885" s="42"/>
      <c r="R885" s="42"/>
      <c r="S885" s="42"/>
      <c r="T885" s="42"/>
      <c r="U885" s="42"/>
      <c r="V885" s="42"/>
    </row>
    <row r="886" customFormat="false" ht="15" hidden="false" customHeight="false" outlineLevel="0" collapsed="false">
      <c r="A886" s="42"/>
      <c r="B886" s="42"/>
      <c r="C886" s="45" t="str">
        <f aca="false">IF(B886="","",IFERROR(INDEX('Master Database'!$D$5:$D$600,MATCH(B886,'Master Database'!$A$5:$A$600,0)),"(row not found)"))</f>
        <v/>
      </c>
      <c r="D886" s="45" t="str">
        <f aca="false">IF(B886="","",IFERROR(INDEX('Master Database'!$B$5:$B$600,MATCH(B886,'Master Database'!$A$5:$A$600,0)),"(row not found)"))</f>
        <v/>
      </c>
      <c r="E886" s="42"/>
      <c r="F886" s="45" t="str">
        <f aca="false">IF(E886="","",IFERROR(INDEX(Vendor_Register!$B$5:$B$205,MATCH(E886,Vendor_Register!$A$5:$A$205,0)),"(not in register)"))</f>
        <v/>
      </c>
      <c r="G886" s="45" t="str">
        <f aca="false">IF(E886="","",IFERROR(INDEX(Vendor_Register!$E$5:$E$205,MATCH(E886,Vendor_Register!$A$5:$A$205,0)),"(not in register)"))</f>
        <v/>
      </c>
      <c r="H886" s="42"/>
      <c r="I886" s="42"/>
      <c r="J886" s="42"/>
      <c r="K886" s="42"/>
      <c r="L886" s="42"/>
      <c r="M886" s="46"/>
      <c r="N886" s="42"/>
      <c r="O886" s="47" t="str">
        <f aca="false">IF(NOT(ISNUMBER(M886)),"",IFERROR(IF(L886="EUR",M886,IF(L886="IRR",M886/INDEX('Assumptions &amp; FX Reference'!$C$5:$C$25,MATCH(H886,'Assumptions &amp; FX Reference'!$A$5:$A$25,0)),IF(L886="USD",M886*INDEX('Assumptions &amp; FX Reference'!$B$5:$B$25,MATCH(H886,'Assumptions &amp; FX Reference'!$A$5:$A$25,0))/INDEX('Assumptions &amp; FX Reference'!$C$5:$C$25,MATCH(H886,'Assumptions &amp; FX Reference'!$A$5:$A$25,0)),""))),"(FX missing)"))</f>
        <v/>
      </c>
      <c r="P886" s="42"/>
      <c r="Q886" s="42"/>
      <c r="R886" s="42"/>
      <c r="S886" s="42"/>
      <c r="T886" s="42"/>
      <c r="U886" s="42"/>
      <c r="V886" s="42"/>
    </row>
    <row r="887" customFormat="false" ht="15" hidden="false" customHeight="false" outlineLevel="0" collapsed="false">
      <c r="A887" s="42"/>
      <c r="B887" s="42"/>
      <c r="C887" s="45" t="str">
        <f aca="false">IF(B887="","",IFERROR(INDEX('Master Database'!$D$5:$D$600,MATCH(B887,'Master Database'!$A$5:$A$600,0)),"(row not found)"))</f>
        <v/>
      </c>
      <c r="D887" s="45" t="str">
        <f aca="false">IF(B887="","",IFERROR(INDEX('Master Database'!$B$5:$B$600,MATCH(B887,'Master Database'!$A$5:$A$600,0)),"(row not found)"))</f>
        <v/>
      </c>
      <c r="E887" s="42"/>
      <c r="F887" s="45" t="str">
        <f aca="false">IF(E887="","",IFERROR(INDEX(Vendor_Register!$B$5:$B$205,MATCH(E887,Vendor_Register!$A$5:$A$205,0)),"(not in register)"))</f>
        <v/>
      </c>
      <c r="G887" s="45" t="str">
        <f aca="false">IF(E887="","",IFERROR(INDEX(Vendor_Register!$E$5:$E$205,MATCH(E887,Vendor_Register!$A$5:$A$205,0)),"(not in register)"))</f>
        <v/>
      </c>
      <c r="H887" s="42"/>
      <c r="I887" s="42"/>
      <c r="J887" s="42"/>
      <c r="K887" s="42"/>
      <c r="L887" s="42"/>
      <c r="M887" s="46"/>
      <c r="N887" s="42"/>
      <c r="O887" s="47" t="str">
        <f aca="false">IF(NOT(ISNUMBER(M887)),"",IFERROR(IF(L887="EUR",M887,IF(L887="IRR",M887/INDEX('Assumptions &amp; FX Reference'!$C$5:$C$25,MATCH(H887,'Assumptions &amp; FX Reference'!$A$5:$A$25,0)),IF(L887="USD",M887*INDEX('Assumptions &amp; FX Reference'!$B$5:$B$25,MATCH(H887,'Assumptions &amp; FX Reference'!$A$5:$A$25,0))/INDEX('Assumptions &amp; FX Reference'!$C$5:$C$25,MATCH(H887,'Assumptions &amp; FX Reference'!$A$5:$A$25,0)),""))),"(FX missing)"))</f>
        <v/>
      </c>
      <c r="P887" s="42"/>
      <c r="Q887" s="42"/>
      <c r="R887" s="42"/>
      <c r="S887" s="42"/>
      <c r="T887" s="42"/>
      <c r="U887" s="42"/>
      <c r="V887" s="42"/>
    </row>
    <row r="888" customFormat="false" ht="15" hidden="false" customHeight="false" outlineLevel="0" collapsed="false">
      <c r="A888" s="42"/>
      <c r="B888" s="42"/>
      <c r="C888" s="45" t="str">
        <f aca="false">IF(B888="","",IFERROR(INDEX('Master Database'!$D$5:$D$600,MATCH(B888,'Master Database'!$A$5:$A$600,0)),"(row not found)"))</f>
        <v/>
      </c>
      <c r="D888" s="45" t="str">
        <f aca="false">IF(B888="","",IFERROR(INDEX('Master Database'!$B$5:$B$600,MATCH(B888,'Master Database'!$A$5:$A$600,0)),"(row not found)"))</f>
        <v/>
      </c>
      <c r="E888" s="42"/>
      <c r="F888" s="45" t="str">
        <f aca="false">IF(E888="","",IFERROR(INDEX(Vendor_Register!$B$5:$B$205,MATCH(E888,Vendor_Register!$A$5:$A$205,0)),"(not in register)"))</f>
        <v/>
      </c>
      <c r="G888" s="45" t="str">
        <f aca="false">IF(E888="","",IFERROR(INDEX(Vendor_Register!$E$5:$E$205,MATCH(E888,Vendor_Register!$A$5:$A$205,0)),"(not in register)"))</f>
        <v/>
      </c>
      <c r="H888" s="42"/>
      <c r="I888" s="42"/>
      <c r="J888" s="42"/>
      <c r="K888" s="42"/>
      <c r="L888" s="42"/>
      <c r="M888" s="46"/>
      <c r="N888" s="42"/>
      <c r="O888" s="47" t="str">
        <f aca="false">IF(NOT(ISNUMBER(M888)),"",IFERROR(IF(L888="EUR",M888,IF(L888="IRR",M888/INDEX('Assumptions &amp; FX Reference'!$C$5:$C$25,MATCH(H888,'Assumptions &amp; FX Reference'!$A$5:$A$25,0)),IF(L888="USD",M888*INDEX('Assumptions &amp; FX Reference'!$B$5:$B$25,MATCH(H888,'Assumptions &amp; FX Reference'!$A$5:$A$25,0))/INDEX('Assumptions &amp; FX Reference'!$C$5:$C$25,MATCH(H888,'Assumptions &amp; FX Reference'!$A$5:$A$25,0)),""))),"(FX missing)"))</f>
        <v/>
      </c>
      <c r="P888" s="42"/>
      <c r="Q888" s="42"/>
      <c r="R888" s="42"/>
      <c r="S888" s="42"/>
      <c r="T888" s="42"/>
      <c r="U888" s="42"/>
      <c r="V888" s="42"/>
    </row>
    <row r="889" customFormat="false" ht="15" hidden="false" customHeight="false" outlineLevel="0" collapsed="false">
      <c r="A889" s="42"/>
      <c r="B889" s="42"/>
      <c r="C889" s="45" t="str">
        <f aca="false">IF(B889="","",IFERROR(INDEX('Master Database'!$D$5:$D$600,MATCH(B889,'Master Database'!$A$5:$A$600,0)),"(row not found)"))</f>
        <v/>
      </c>
      <c r="D889" s="45" t="str">
        <f aca="false">IF(B889="","",IFERROR(INDEX('Master Database'!$B$5:$B$600,MATCH(B889,'Master Database'!$A$5:$A$600,0)),"(row not found)"))</f>
        <v/>
      </c>
      <c r="E889" s="42"/>
      <c r="F889" s="45" t="str">
        <f aca="false">IF(E889="","",IFERROR(INDEX(Vendor_Register!$B$5:$B$205,MATCH(E889,Vendor_Register!$A$5:$A$205,0)),"(not in register)"))</f>
        <v/>
      </c>
      <c r="G889" s="45" t="str">
        <f aca="false">IF(E889="","",IFERROR(INDEX(Vendor_Register!$E$5:$E$205,MATCH(E889,Vendor_Register!$A$5:$A$205,0)),"(not in register)"))</f>
        <v/>
      </c>
      <c r="H889" s="42"/>
      <c r="I889" s="42"/>
      <c r="J889" s="42"/>
      <c r="K889" s="42"/>
      <c r="L889" s="42"/>
      <c r="M889" s="46"/>
      <c r="N889" s="42"/>
      <c r="O889" s="47" t="str">
        <f aca="false">IF(NOT(ISNUMBER(M889)),"",IFERROR(IF(L889="EUR",M889,IF(L889="IRR",M889/INDEX('Assumptions &amp; FX Reference'!$C$5:$C$25,MATCH(H889,'Assumptions &amp; FX Reference'!$A$5:$A$25,0)),IF(L889="USD",M889*INDEX('Assumptions &amp; FX Reference'!$B$5:$B$25,MATCH(H889,'Assumptions &amp; FX Reference'!$A$5:$A$25,0))/INDEX('Assumptions &amp; FX Reference'!$C$5:$C$25,MATCH(H889,'Assumptions &amp; FX Reference'!$A$5:$A$25,0)),""))),"(FX missing)"))</f>
        <v/>
      </c>
      <c r="P889" s="42"/>
      <c r="Q889" s="42"/>
      <c r="R889" s="42"/>
      <c r="S889" s="42"/>
      <c r="T889" s="42"/>
      <c r="U889" s="42"/>
      <c r="V889" s="42"/>
    </row>
    <row r="890" customFormat="false" ht="15" hidden="false" customHeight="false" outlineLevel="0" collapsed="false">
      <c r="A890" s="42"/>
      <c r="B890" s="42"/>
      <c r="C890" s="45" t="str">
        <f aca="false">IF(B890="","",IFERROR(INDEX('Master Database'!$D$5:$D$600,MATCH(B890,'Master Database'!$A$5:$A$600,0)),"(row not found)"))</f>
        <v/>
      </c>
      <c r="D890" s="45" t="str">
        <f aca="false">IF(B890="","",IFERROR(INDEX('Master Database'!$B$5:$B$600,MATCH(B890,'Master Database'!$A$5:$A$600,0)),"(row not found)"))</f>
        <v/>
      </c>
      <c r="E890" s="42"/>
      <c r="F890" s="45" t="str">
        <f aca="false">IF(E890="","",IFERROR(INDEX(Vendor_Register!$B$5:$B$205,MATCH(E890,Vendor_Register!$A$5:$A$205,0)),"(not in register)"))</f>
        <v/>
      </c>
      <c r="G890" s="45" t="str">
        <f aca="false">IF(E890="","",IFERROR(INDEX(Vendor_Register!$E$5:$E$205,MATCH(E890,Vendor_Register!$A$5:$A$205,0)),"(not in register)"))</f>
        <v/>
      </c>
      <c r="H890" s="42"/>
      <c r="I890" s="42"/>
      <c r="J890" s="42"/>
      <c r="K890" s="42"/>
      <c r="L890" s="42"/>
      <c r="M890" s="46"/>
      <c r="N890" s="42"/>
      <c r="O890" s="47" t="str">
        <f aca="false">IF(NOT(ISNUMBER(M890)),"",IFERROR(IF(L890="EUR",M890,IF(L890="IRR",M890/INDEX('Assumptions &amp; FX Reference'!$C$5:$C$25,MATCH(H890,'Assumptions &amp; FX Reference'!$A$5:$A$25,0)),IF(L890="USD",M890*INDEX('Assumptions &amp; FX Reference'!$B$5:$B$25,MATCH(H890,'Assumptions &amp; FX Reference'!$A$5:$A$25,0))/INDEX('Assumptions &amp; FX Reference'!$C$5:$C$25,MATCH(H890,'Assumptions &amp; FX Reference'!$A$5:$A$25,0)),""))),"(FX missing)"))</f>
        <v/>
      </c>
      <c r="P890" s="42"/>
      <c r="Q890" s="42"/>
      <c r="R890" s="42"/>
      <c r="S890" s="42"/>
      <c r="T890" s="42"/>
      <c r="U890" s="42"/>
      <c r="V890" s="42"/>
    </row>
    <row r="891" customFormat="false" ht="15" hidden="false" customHeight="false" outlineLevel="0" collapsed="false">
      <c r="A891" s="42"/>
      <c r="B891" s="42"/>
      <c r="C891" s="45" t="str">
        <f aca="false">IF(B891="","",IFERROR(INDEX('Master Database'!$D$5:$D$600,MATCH(B891,'Master Database'!$A$5:$A$600,0)),"(row not found)"))</f>
        <v/>
      </c>
      <c r="D891" s="45" t="str">
        <f aca="false">IF(B891="","",IFERROR(INDEX('Master Database'!$B$5:$B$600,MATCH(B891,'Master Database'!$A$5:$A$600,0)),"(row not found)"))</f>
        <v/>
      </c>
      <c r="E891" s="42"/>
      <c r="F891" s="45" t="str">
        <f aca="false">IF(E891="","",IFERROR(INDEX(Vendor_Register!$B$5:$B$205,MATCH(E891,Vendor_Register!$A$5:$A$205,0)),"(not in register)"))</f>
        <v/>
      </c>
      <c r="G891" s="45" t="str">
        <f aca="false">IF(E891="","",IFERROR(INDEX(Vendor_Register!$E$5:$E$205,MATCH(E891,Vendor_Register!$A$5:$A$205,0)),"(not in register)"))</f>
        <v/>
      </c>
      <c r="H891" s="42"/>
      <c r="I891" s="42"/>
      <c r="J891" s="42"/>
      <c r="K891" s="42"/>
      <c r="L891" s="42"/>
      <c r="M891" s="46"/>
      <c r="N891" s="42"/>
      <c r="O891" s="47" t="str">
        <f aca="false">IF(NOT(ISNUMBER(M891)),"",IFERROR(IF(L891="EUR",M891,IF(L891="IRR",M891/INDEX('Assumptions &amp; FX Reference'!$C$5:$C$25,MATCH(H891,'Assumptions &amp; FX Reference'!$A$5:$A$25,0)),IF(L891="USD",M891*INDEX('Assumptions &amp; FX Reference'!$B$5:$B$25,MATCH(H891,'Assumptions &amp; FX Reference'!$A$5:$A$25,0))/INDEX('Assumptions &amp; FX Reference'!$C$5:$C$25,MATCH(H891,'Assumptions &amp; FX Reference'!$A$5:$A$25,0)),""))),"(FX missing)"))</f>
        <v/>
      </c>
      <c r="P891" s="42"/>
      <c r="Q891" s="42"/>
      <c r="R891" s="42"/>
      <c r="S891" s="42"/>
      <c r="T891" s="42"/>
      <c r="U891" s="42"/>
      <c r="V891" s="42"/>
    </row>
    <row r="892" customFormat="false" ht="15" hidden="false" customHeight="false" outlineLevel="0" collapsed="false">
      <c r="A892" s="42"/>
      <c r="B892" s="42"/>
      <c r="C892" s="45" t="str">
        <f aca="false">IF(B892="","",IFERROR(INDEX('Master Database'!$D$5:$D$600,MATCH(B892,'Master Database'!$A$5:$A$600,0)),"(row not found)"))</f>
        <v/>
      </c>
      <c r="D892" s="45" t="str">
        <f aca="false">IF(B892="","",IFERROR(INDEX('Master Database'!$B$5:$B$600,MATCH(B892,'Master Database'!$A$5:$A$600,0)),"(row not found)"))</f>
        <v/>
      </c>
      <c r="E892" s="42"/>
      <c r="F892" s="45" t="str">
        <f aca="false">IF(E892="","",IFERROR(INDEX(Vendor_Register!$B$5:$B$205,MATCH(E892,Vendor_Register!$A$5:$A$205,0)),"(not in register)"))</f>
        <v/>
      </c>
      <c r="G892" s="45" t="str">
        <f aca="false">IF(E892="","",IFERROR(INDEX(Vendor_Register!$E$5:$E$205,MATCH(E892,Vendor_Register!$A$5:$A$205,0)),"(not in register)"))</f>
        <v/>
      </c>
      <c r="H892" s="42"/>
      <c r="I892" s="42"/>
      <c r="J892" s="42"/>
      <c r="K892" s="42"/>
      <c r="L892" s="42"/>
      <c r="M892" s="46"/>
      <c r="N892" s="42"/>
      <c r="O892" s="47" t="str">
        <f aca="false">IF(NOT(ISNUMBER(M892)),"",IFERROR(IF(L892="EUR",M892,IF(L892="IRR",M892/INDEX('Assumptions &amp; FX Reference'!$C$5:$C$25,MATCH(H892,'Assumptions &amp; FX Reference'!$A$5:$A$25,0)),IF(L892="USD",M892*INDEX('Assumptions &amp; FX Reference'!$B$5:$B$25,MATCH(H892,'Assumptions &amp; FX Reference'!$A$5:$A$25,0))/INDEX('Assumptions &amp; FX Reference'!$C$5:$C$25,MATCH(H892,'Assumptions &amp; FX Reference'!$A$5:$A$25,0)),""))),"(FX missing)"))</f>
        <v/>
      </c>
      <c r="P892" s="42"/>
      <c r="Q892" s="42"/>
      <c r="R892" s="42"/>
      <c r="S892" s="42"/>
      <c r="T892" s="42"/>
      <c r="U892" s="42"/>
      <c r="V892" s="42"/>
    </row>
    <row r="893" customFormat="false" ht="15" hidden="false" customHeight="false" outlineLevel="0" collapsed="false">
      <c r="A893" s="42"/>
      <c r="B893" s="42"/>
      <c r="C893" s="45" t="str">
        <f aca="false">IF(B893="","",IFERROR(INDEX('Master Database'!$D$5:$D$600,MATCH(B893,'Master Database'!$A$5:$A$600,0)),"(row not found)"))</f>
        <v/>
      </c>
      <c r="D893" s="45" t="str">
        <f aca="false">IF(B893="","",IFERROR(INDEX('Master Database'!$B$5:$B$600,MATCH(B893,'Master Database'!$A$5:$A$600,0)),"(row not found)"))</f>
        <v/>
      </c>
      <c r="E893" s="42"/>
      <c r="F893" s="45" t="str">
        <f aca="false">IF(E893="","",IFERROR(INDEX(Vendor_Register!$B$5:$B$205,MATCH(E893,Vendor_Register!$A$5:$A$205,0)),"(not in register)"))</f>
        <v/>
      </c>
      <c r="G893" s="45" t="str">
        <f aca="false">IF(E893="","",IFERROR(INDEX(Vendor_Register!$E$5:$E$205,MATCH(E893,Vendor_Register!$A$5:$A$205,0)),"(not in register)"))</f>
        <v/>
      </c>
      <c r="H893" s="42"/>
      <c r="I893" s="42"/>
      <c r="J893" s="42"/>
      <c r="K893" s="42"/>
      <c r="L893" s="42"/>
      <c r="M893" s="46"/>
      <c r="N893" s="42"/>
      <c r="O893" s="47" t="str">
        <f aca="false">IF(NOT(ISNUMBER(M893)),"",IFERROR(IF(L893="EUR",M893,IF(L893="IRR",M893/INDEX('Assumptions &amp; FX Reference'!$C$5:$C$25,MATCH(H893,'Assumptions &amp; FX Reference'!$A$5:$A$25,0)),IF(L893="USD",M893*INDEX('Assumptions &amp; FX Reference'!$B$5:$B$25,MATCH(H893,'Assumptions &amp; FX Reference'!$A$5:$A$25,0))/INDEX('Assumptions &amp; FX Reference'!$C$5:$C$25,MATCH(H893,'Assumptions &amp; FX Reference'!$A$5:$A$25,0)),""))),"(FX missing)"))</f>
        <v/>
      </c>
      <c r="P893" s="42"/>
      <c r="Q893" s="42"/>
      <c r="R893" s="42"/>
      <c r="S893" s="42"/>
      <c r="T893" s="42"/>
      <c r="U893" s="42"/>
      <c r="V893" s="42"/>
    </row>
    <row r="894" customFormat="false" ht="15" hidden="false" customHeight="false" outlineLevel="0" collapsed="false">
      <c r="A894" s="42"/>
      <c r="B894" s="42"/>
      <c r="C894" s="45" t="str">
        <f aca="false">IF(B894="","",IFERROR(INDEX('Master Database'!$D$5:$D$600,MATCH(B894,'Master Database'!$A$5:$A$600,0)),"(row not found)"))</f>
        <v/>
      </c>
      <c r="D894" s="45" t="str">
        <f aca="false">IF(B894="","",IFERROR(INDEX('Master Database'!$B$5:$B$600,MATCH(B894,'Master Database'!$A$5:$A$600,0)),"(row not found)"))</f>
        <v/>
      </c>
      <c r="E894" s="42"/>
      <c r="F894" s="45" t="str">
        <f aca="false">IF(E894="","",IFERROR(INDEX(Vendor_Register!$B$5:$B$205,MATCH(E894,Vendor_Register!$A$5:$A$205,0)),"(not in register)"))</f>
        <v/>
      </c>
      <c r="G894" s="45" t="str">
        <f aca="false">IF(E894="","",IFERROR(INDEX(Vendor_Register!$E$5:$E$205,MATCH(E894,Vendor_Register!$A$5:$A$205,0)),"(not in register)"))</f>
        <v/>
      </c>
      <c r="H894" s="42"/>
      <c r="I894" s="42"/>
      <c r="J894" s="42"/>
      <c r="K894" s="42"/>
      <c r="L894" s="42"/>
      <c r="M894" s="46"/>
      <c r="N894" s="42"/>
      <c r="O894" s="47" t="str">
        <f aca="false">IF(NOT(ISNUMBER(M894)),"",IFERROR(IF(L894="EUR",M894,IF(L894="IRR",M894/INDEX('Assumptions &amp; FX Reference'!$C$5:$C$25,MATCH(H894,'Assumptions &amp; FX Reference'!$A$5:$A$25,0)),IF(L894="USD",M894*INDEX('Assumptions &amp; FX Reference'!$B$5:$B$25,MATCH(H894,'Assumptions &amp; FX Reference'!$A$5:$A$25,0))/INDEX('Assumptions &amp; FX Reference'!$C$5:$C$25,MATCH(H894,'Assumptions &amp; FX Reference'!$A$5:$A$25,0)),""))),"(FX missing)"))</f>
        <v/>
      </c>
      <c r="P894" s="42"/>
      <c r="Q894" s="42"/>
      <c r="R894" s="42"/>
      <c r="S894" s="42"/>
      <c r="T894" s="42"/>
      <c r="U894" s="42"/>
      <c r="V894" s="42"/>
    </row>
    <row r="895" customFormat="false" ht="15" hidden="false" customHeight="false" outlineLevel="0" collapsed="false">
      <c r="A895" s="42"/>
      <c r="B895" s="42"/>
      <c r="C895" s="45" t="str">
        <f aca="false">IF(B895="","",IFERROR(INDEX('Master Database'!$D$5:$D$600,MATCH(B895,'Master Database'!$A$5:$A$600,0)),"(row not found)"))</f>
        <v/>
      </c>
      <c r="D895" s="45" t="str">
        <f aca="false">IF(B895="","",IFERROR(INDEX('Master Database'!$B$5:$B$600,MATCH(B895,'Master Database'!$A$5:$A$600,0)),"(row not found)"))</f>
        <v/>
      </c>
      <c r="E895" s="42"/>
      <c r="F895" s="45" t="str">
        <f aca="false">IF(E895="","",IFERROR(INDEX(Vendor_Register!$B$5:$B$205,MATCH(E895,Vendor_Register!$A$5:$A$205,0)),"(not in register)"))</f>
        <v/>
      </c>
      <c r="G895" s="45" t="str">
        <f aca="false">IF(E895="","",IFERROR(INDEX(Vendor_Register!$E$5:$E$205,MATCH(E895,Vendor_Register!$A$5:$A$205,0)),"(not in register)"))</f>
        <v/>
      </c>
      <c r="H895" s="42"/>
      <c r="I895" s="42"/>
      <c r="J895" s="42"/>
      <c r="K895" s="42"/>
      <c r="L895" s="42"/>
      <c r="M895" s="46"/>
      <c r="N895" s="42"/>
      <c r="O895" s="47" t="str">
        <f aca="false">IF(NOT(ISNUMBER(M895)),"",IFERROR(IF(L895="EUR",M895,IF(L895="IRR",M895/INDEX('Assumptions &amp; FX Reference'!$C$5:$C$25,MATCH(H895,'Assumptions &amp; FX Reference'!$A$5:$A$25,0)),IF(L895="USD",M895*INDEX('Assumptions &amp; FX Reference'!$B$5:$B$25,MATCH(H895,'Assumptions &amp; FX Reference'!$A$5:$A$25,0))/INDEX('Assumptions &amp; FX Reference'!$C$5:$C$25,MATCH(H895,'Assumptions &amp; FX Reference'!$A$5:$A$25,0)),""))),"(FX missing)"))</f>
        <v/>
      </c>
      <c r="P895" s="42"/>
      <c r="Q895" s="42"/>
      <c r="R895" s="42"/>
      <c r="S895" s="42"/>
      <c r="T895" s="42"/>
      <c r="U895" s="42"/>
      <c r="V895" s="42"/>
    </row>
    <row r="896" customFormat="false" ht="15" hidden="false" customHeight="false" outlineLevel="0" collapsed="false">
      <c r="A896" s="42"/>
      <c r="B896" s="42"/>
      <c r="C896" s="45" t="str">
        <f aca="false">IF(B896="","",IFERROR(INDEX('Master Database'!$D$5:$D$600,MATCH(B896,'Master Database'!$A$5:$A$600,0)),"(row not found)"))</f>
        <v/>
      </c>
      <c r="D896" s="45" t="str">
        <f aca="false">IF(B896="","",IFERROR(INDEX('Master Database'!$B$5:$B$600,MATCH(B896,'Master Database'!$A$5:$A$600,0)),"(row not found)"))</f>
        <v/>
      </c>
      <c r="E896" s="42"/>
      <c r="F896" s="45" t="str">
        <f aca="false">IF(E896="","",IFERROR(INDEX(Vendor_Register!$B$5:$B$205,MATCH(E896,Vendor_Register!$A$5:$A$205,0)),"(not in register)"))</f>
        <v/>
      </c>
      <c r="G896" s="45" t="str">
        <f aca="false">IF(E896="","",IFERROR(INDEX(Vendor_Register!$E$5:$E$205,MATCH(E896,Vendor_Register!$A$5:$A$205,0)),"(not in register)"))</f>
        <v/>
      </c>
      <c r="H896" s="42"/>
      <c r="I896" s="42"/>
      <c r="J896" s="42"/>
      <c r="K896" s="42"/>
      <c r="L896" s="42"/>
      <c r="M896" s="46"/>
      <c r="N896" s="42"/>
      <c r="O896" s="47" t="str">
        <f aca="false">IF(NOT(ISNUMBER(M896)),"",IFERROR(IF(L896="EUR",M896,IF(L896="IRR",M896/INDEX('Assumptions &amp; FX Reference'!$C$5:$C$25,MATCH(H896,'Assumptions &amp; FX Reference'!$A$5:$A$25,0)),IF(L896="USD",M896*INDEX('Assumptions &amp; FX Reference'!$B$5:$B$25,MATCH(H896,'Assumptions &amp; FX Reference'!$A$5:$A$25,0))/INDEX('Assumptions &amp; FX Reference'!$C$5:$C$25,MATCH(H896,'Assumptions &amp; FX Reference'!$A$5:$A$25,0)),""))),"(FX missing)"))</f>
        <v/>
      </c>
      <c r="P896" s="42"/>
      <c r="Q896" s="42"/>
      <c r="R896" s="42"/>
      <c r="S896" s="42"/>
      <c r="T896" s="42"/>
      <c r="U896" s="42"/>
      <c r="V896" s="42"/>
    </row>
    <row r="897" customFormat="false" ht="15" hidden="false" customHeight="false" outlineLevel="0" collapsed="false">
      <c r="A897" s="42"/>
      <c r="B897" s="42"/>
      <c r="C897" s="45" t="str">
        <f aca="false">IF(B897="","",IFERROR(INDEX('Master Database'!$D$5:$D$600,MATCH(B897,'Master Database'!$A$5:$A$600,0)),"(row not found)"))</f>
        <v/>
      </c>
      <c r="D897" s="45" t="str">
        <f aca="false">IF(B897="","",IFERROR(INDEX('Master Database'!$B$5:$B$600,MATCH(B897,'Master Database'!$A$5:$A$600,0)),"(row not found)"))</f>
        <v/>
      </c>
      <c r="E897" s="42"/>
      <c r="F897" s="45" t="str">
        <f aca="false">IF(E897="","",IFERROR(INDEX(Vendor_Register!$B$5:$B$205,MATCH(E897,Vendor_Register!$A$5:$A$205,0)),"(not in register)"))</f>
        <v/>
      </c>
      <c r="G897" s="45" t="str">
        <f aca="false">IF(E897="","",IFERROR(INDEX(Vendor_Register!$E$5:$E$205,MATCH(E897,Vendor_Register!$A$5:$A$205,0)),"(not in register)"))</f>
        <v/>
      </c>
      <c r="H897" s="42"/>
      <c r="I897" s="42"/>
      <c r="J897" s="42"/>
      <c r="K897" s="42"/>
      <c r="L897" s="42"/>
      <c r="M897" s="46"/>
      <c r="N897" s="42"/>
      <c r="O897" s="47" t="str">
        <f aca="false">IF(NOT(ISNUMBER(M897)),"",IFERROR(IF(L897="EUR",M897,IF(L897="IRR",M897/INDEX('Assumptions &amp; FX Reference'!$C$5:$C$25,MATCH(H897,'Assumptions &amp; FX Reference'!$A$5:$A$25,0)),IF(L897="USD",M897*INDEX('Assumptions &amp; FX Reference'!$B$5:$B$25,MATCH(H897,'Assumptions &amp; FX Reference'!$A$5:$A$25,0))/INDEX('Assumptions &amp; FX Reference'!$C$5:$C$25,MATCH(H897,'Assumptions &amp; FX Reference'!$A$5:$A$25,0)),""))),"(FX missing)"))</f>
        <v/>
      </c>
      <c r="P897" s="42"/>
      <c r="Q897" s="42"/>
      <c r="R897" s="42"/>
      <c r="S897" s="42"/>
      <c r="T897" s="42"/>
      <c r="U897" s="42"/>
      <c r="V897" s="42"/>
    </row>
    <row r="898" customFormat="false" ht="15" hidden="false" customHeight="false" outlineLevel="0" collapsed="false">
      <c r="A898" s="42"/>
      <c r="B898" s="42"/>
      <c r="C898" s="45" t="str">
        <f aca="false">IF(B898="","",IFERROR(INDEX('Master Database'!$D$5:$D$600,MATCH(B898,'Master Database'!$A$5:$A$600,0)),"(row not found)"))</f>
        <v/>
      </c>
      <c r="D898" s="45" t="str">
        <f aca="false">IF(B898="","",IFERROR(INDEX('Master Database'!$B$5:$B$600,MATCH(B898,'Master Database'!$A$5:$A$600,0)),"(row not found)"))</f>
        <v/>
      </c>
      <c r="E898" s="42"/>
      <c r="F898" s="45" t="str">
        <f aca="false">IF(E898="","",IFERROR(INDEX(Vendor_Register!$B$5:$B$205,MATCH(E898,Vendor_Register!$A$5:$A$205,0)),"(not in register)"))</f>
        <v/>
      </c>
      <c r="G898" s="45" t="str">
        <f aca="false">IF(E898="","",IFERROR(INDEX(Vendor_Register!$E$5:$E$205,MATCH(E898,Vendor_Register!$A$5:$A$205,0)),"(not in register)"))</f>
        <v/>
      </c>
      <c r="H898" s="42"/>
      <c r="I898" s="42"/>
      <c r="J898" s="42"/>
      <c r="K898" s="42"/>
      <c r="L898" s="42"/>
      <c r="M898" s="46"/>
      <c r="N898" s="42"/>
      <c r="O898" s="47" t="str">
        <f aca="false">IF(NOT(ISNUMBER(M898)),"",IFERROR(IF(L898="EUR",M898,IF(L898="IRR",M898/INDEX('Assumptions &amp; FX Reference'!$C$5:$C$25,MATCH(H898,'Assumptions &amp; FX Reference'!$A$5:$A$25,0)),IF(L898="USD",M898*INDEX('Assumptions &amp; FX Reference'!$B$5:$B$25,MATCH(H898,'Assumptions &amp; FX Reference'!$A$5:$A$25,0))/INDEX('Assumptions &amp; FX Reference'!$C$5:$C$25,MATCH(H898,'Assumptions &amp; FX Reference'!$A$5:$A$25,0)),""))),"(FX missing)"))</f>
        <v/>
      </c>
      <c r="P898" s="42"/>
      <c r="Q898" s="42"/>
      <c r="R898" s="42"/>
      <c r="S898" s="42"/>
      <c r="T898" s="42"/>
      <c r="U898" s="42"/>
      <c r="V898" s="42"/>
    </row>
    <row r="899" customFormat="false" ht="15" hidden="false" customHeight="false" outlineLevel="0" collapsed="false">
      <c r="A899" s="42"/>
      <c r="B899" s="42"/>
      <c r="C899" s="45" t="str">
        <f aca="false">IF(B899="","",IFERROR(INDEX('Master Database'!$D$5:$D$600,MATCH(B899,'Master Database'!$A$5:$A$600,0)),"(row not found)"))</f>
        <v/>
      </c>
      <c r="D899" s="45" t="str">
        <f aca="false">IF(B899="","",IFERROR(INDEX('Master Database'!$B$5:$B$600,MATCH(B899,'Master Database'!$A$5:$A$600,0)),"(row not found)"))</f>
        <v/>
      </c>
      <c r="E899" s="42"/>
      <c r="F899" s="45" t="str">
        <f aca="false">IF(E899="","",IFERROR(INDEX(Vendor_Register!$B$5:$B$205,MATCH(E899,Vendor_Register!$A$5:$A$205,0)),"(not in register)"))</f>
        <v/>
      </c>
      <c r="G899" s="45" t="str">
        <f aca="false">IF(E899="","",IFERROR(INDEX(Vendor_Register!$E$5:$E$205,MATCH(E899,Vendor_Register!$A$5:$A$205,0)),"(not in register)"))</f>
        <v/>
      </c>
      <c r="H899" s="42"/>
      <c r="I899" s="42"/>
      <c r="J899" s="42"/>
      <c r="K899" s="42"/>
      <c r="L899" s="42"/>
      <c r="M899" s="46"/>
      <c r="N899" s="42"/>
      <c r="O899" s="47" t="str">
        <f aca="false">IF(NOT(ISNUMBER(M899)),"",IFERROR(IF(L899="EUR",M899,IF(L899="IRR",M899/INDEX('Assumptions &amp; FX Reference'!$C$5:$C$25,MATCH(H899,'Assumptions &amp; FX Reference'!$A$5:$A$25,0)),IF(L899="USD",M899*INDEX('Assumptions &amp; FX Reference'!$B$5:$B$25,MATCH(H899,'Assumptions &amp; FX Reference'!$A$5:$A$25,0))/INDEX('Assumptions &amp; FX Reference'!$C$5:$C$25,MATCH(H899,'Assumptions &amp; FX Reference'!$A$5:$A$25,0)),""))),"(FX missing)"))</f>
        <v/>
      </c>
      <c r="P899" s="42"/>
      <c r="Q899" s="42"/>
      <c r="R899" s="42"/>
      <c r="S899" s="42"/>
      <c r="T899" s="42"/>
      <c r="U899" s="42"/>
      <c r="V899" s="42"/>
    </row>
    <row r="900" customFormat="false" ht="15" hidden="false" customHeight="false" outlineLevel="0" collapsed="false">
      <c r="A900" s="42"/>
      <c r="B900" s="42"/>
      <c r="C900" s="45" t="str">
        <f aca="false">IF(B900="","",IFERROR(INDEX('Master Database'!$D$5:$D$600,MATCH(B900,'Master Database'!$A$5:$A$600,0)),"(row not found)"))</f>
        <v/>
      </c>
      <c r="D900" s="45" t="str">
        <f aca="false">IF(B900="","",IFERROR(INDEX('Master Database'!$B$5:$B$600,MATCH(B900,'Master Database'!$A$5:$A$600,0)),"(row not found)"))</f>
        <v/>
      </c>
      <c r="E900" s="42"/>
      <c r="F900" s="45" t="str">
        <f aca="false">IF(E900="","",IFERROR(INDEX(Vendor_Register!$B$5:$B$205,MATCH(E900,Vendor_Register!$A$5:$A$205,0)),"(not in register)"))</f>
        <v/>
      </c>
      <c r="G900" s="45" t="str">
        <f aca="false">IF(E900="","",IFERROR(INDEX(Vendor_Register!$E$5:$E$205,MATCH(E900,Vendor_Register!$A$5:$A$205,0)),"(not in register)"))</f>
        <v/>
      </c>
      <c r="H900" s="42"/>
      <c r="I900" s="42"/>
      <c r="J900" s="42"/>
      <c r="K900" s="42"/>
      <c r="L900" s="42"/>
      <c r="M900" s="46"/>
      <c r="N900" s="42"/>
      <c r="O900" s="47" t="str">
        <f aca="false">IF(NOT(ISNUMBER(M900)),"",IFERROR(IF(L900="EUR",M900,IF(L900="IRR",M900/INDEX('Assumptions &amp; FX Reference'!$C$5:$C$25,MATCH(H900,'Assumptions &amp; FX Reference'!$A$5:$A$25,0)),IF(L900="USD",M900*INDEX('Assumptions &amp; FX Reference'!$B$5:$B$25,MATCH(H900,'Assumptions &amp; FX Reference'!$A$5:$A$25,0))/INDEX('Assumptions &amp; FX Reference'!$C$5:$C$25,MATCH(H900,'Assumptions &amp; FX Reference'!$A$5:$A$25,0)),""))),"(FX missing)"))</f>
        <v/>
      </c>
      <c r="P900" s="42"/>
      <c r="Q900" s="42"/>
      <c r="R900" s="42"/>
      <c r="S900" s="42"/>
      <c r="T900" s="42"/>
      <c r="U900" s="42"/>
      <c r="V900" s="42"/>
    </row>
    <row r="901" customFormat="false" ht="15" hidden="false" customHeight="false" outlineLevel="0" collapsed="false">
      <c r="A901" s="42"/>
      <c r="B901" s="42"/>
      <c r="C901" s="45" t="str">
        <f aca="false">IF(B901="","",IFERROR(INDEX('Master Database'!$D$5:$D$600,MATCH(B901,'Master Database'!$A$5:$A$600,0)),"(row not found)"))</f>
        <v/>
      </c>
      <c r="D901" s="45" t="str">
        <f aca="false">IF(B901="","",IFERROR(INDEX('Master Database'!$B$5:$B$600,MATCH(B901,'Master Database'!$A$5:$A$600,0)),"(row not found)"))</f>
        <v/>
      </c>
      <c r="E901" s="42"/>
      <c r="F901" s="45" t="str">
        <f aca="false">IF(E901="","",IFERROR(INDEX(Vendor_Register!$B$5:$B$205,MATCH(E901,Vendor_Register!$A$5:$A$205,0)),"(not in register)"))</f>
        <v/>
      </c>
      <c r="G901" s="45" t="str">
        <f aca="false">IF(E901="","",IFERROR(INDEX(Vendor_Register!$E$5:$E$205,MATCH(E901,Vendor_Register!$A$5:$A$205,0)),"(not in register)"))</f>
        <v/>
      </c>
      <c r="H901" s="42"/>
      <c r="I901" s="42"/>
      <c r="J901" s="42"/>
      <c r="K901" s="42"/>
      <c r="L901" s="42"/>
      <c r="M901" s="46"/>
      <c r="N901" s="42"/>
      <c r="O901" s="47" t="str">
        <f aca="false">IF(NOT(ISNUMBER(M901)),"",IFERROR(IF(L901="EUR",M901,IF(L901="IRR",M901/INDEX('Assumptions &amp; FX Reference'!$C$5:$C$25,MATCH(H901,'Assumptions &amp; FX Reference'!$A$5:$A$25,0)),IF(L901="USD",M901*INDEX('Assumptions &amp; FX Reference'!$B$5:$B$25,MATCH(H901,'Assumptions &amp; FX Reference'!$A$5:$A$25,0))/INDEX('Assumptions &amp; FX Reference'!$C$5:$C$25,MATCH(H901,'Assumptions &amp; FX Reference'!$A$5:$A$25,0)),""))),"(FX missing)"))</f>
        <v/>
      </c>
      <c r="P901" s="42"/>
      <c r="Q901" s="42"/>
      <c r="R901" s="42"/>
      <c r="S901" s="42"/>
      <c r="T901" s="42"/>
      <c r="U901" s="42"/>
      <c r="V901" s="42"/>
    </row>
    <row r="902" customFormat="false" ht="15" hidden="false" customHeight="false" outlineLevel="0" collapsed="false">
      <c r="A902" s="42"/>
      <c r="B902" s="42"/>
      <c r="C902" s="45" t="str">
        <f aca="false">IF(B902="","",IFERROR(INDEX('Master Database'!$D$5:$D$600,MATCH(B902,'Master Database'!$A$5:$A$600,0)),"(row not found)"))</f>
        <v/>
      </c>
      <c r="D902" s="45" t="str">
        <f aca="false">IF(B902="","",IFERROR(INDEX('Master Database'!$B$5:$B$600,MATCH(B902,'Master Database'!$A$5:$A$600,0)),"(row not found)"))</f>
        <v/>
      </c>
      <c r="E902" s="42"/>
      <c r="F902" s="45" t="str">
        <f aca="false">IF(E902="","",IFERROR(INDEX(Vendor_Register!$B$5:$B$205,MATCH(E902,Vendor_Register!$A$5:$A$205,0)),"(not in register)"))</f>
        <v/>
      </c>
      <c r="G902" s="45" t="str">
        <f aca="false">IF(E902="","",IFERROR(INDEX(Vendor_Register!$E$5:$E$205,MATCH(E902,Vendor_Register!$A$5:$A$205,0)),"(not in register)"))</f>
        <v/>
      </c>
      <c r="H902" s="42"/>
      <c r="I902" s="42"/>
      <c r="J902" s="42"/>
      <c r="K902" s="42"/>
      <c r="L902" s="42"/>
      <c r="M902" s="46"/>
      <c r="N902" s="42"/>
      <c r="O902" s="47" t="str">
        <f aca="false">IF(NOT(ISNUMBER(M902)),"",IFERROR(IF(L902="EUR",M902,IF(L902="IRR",M902/INDEX('Assumptions &amp; FX Reference'!$C$5:$C$25,MATCH(H902,'Assumptions &amp; FX Reference'!$A$5:$A$25,0)),IF(L902="USD",M902*INDEX('Assumptions &amp; FX Reference'!$B$5:$B$25,MATCH(H902,'Assumptions &amp; FX Reference'!$A$5:$A$25,0))/INDEX('Assumptions &amp; FX Reference'!$C$5:$C$25,MATCH(H902,'Assumptions &amp; FX Reference'!$A$5:$A$25,0)),""))),"(FX missing)"))</f>
        <v/>
      </c>
      <c r="P902" s="42"/>
      <c r="Q902" s="42"/>
      <c r="R902" s="42"/>
      <c r="S902" s="42"/>
      <c r="T902" s="42"/>
      <c r="U902" s="42"/>
      <c r="V902" s="42"/>
    </row>
    <row r="903" customFormat="false" ht="15" hidden="false" customHeight="false" outlineLevel="0" collapsed="false">
      <c r="A903" s="42"/>
      <c r="B903" s="42"/>
      <c r="C903" s="45" t="str">
        <f aca="false">IF(B903="","",IFERROR(INDEX('Master Database'!$D$5:$D$600,MATCH(B903,'Master Database'!$A$5:$A$600,0)),"(row not found)"))</f>
        <v/>
      </c>
      <c r="D903" s="45" t="str">
        <f aca="false">IF(B903="","",IFERROR(INDEX('Master Database'!$B$5:$B$600,MATCH(B903,'Master Database'!$A$5:$A$600,0)),"(row not found)"))</f>
        <v/>
      </c>
      <c r="E903" s="42"/>
      <c r="F903" s="45" t="str">
        <f aca="false">IF(E903="","",IFERROR(INDEX(Vendor_Register!$B$5:$B$205,MATCH(E903,Vendor_Register!$A$5:$A$205,0)),"(not in register)"))</f>
        <v/>
      </c>
      <c r="G903" s="45" t="str">
        <f aca="false">IF(E903="","",IFERROR(INDEX(Vendor_Register!$E$5:$E$205,MATCH(E903,Vendor_Register!$A$5:$A$205,0)),"(not in register)"))</f>
        <v/>
      </c>
      <c r="H903" s="42"/>
      <c r="I903" s="42"/>
      <c r="J903" s="42"/>
      <c r="K903" s="42"/>
      <c r="L903" s="42"/>
      <c r="M903" s="46"/>
      <c r="N903" s="42"/>
      <c r="O903" s="47" t="str">
        <f aca="false">IF(NOT(ISNUMBER(M903)),"",IFERROR(IF(L903="EUR",M903,IF(L903="IRR",M903/INDEX('Assumptions &amp; FX Reference'!$C$5:$C$25,MATCH(H903,'Assumptions &amp; FX Reference'!$A$5:$A$25,0)),IF(L903="USD",M903*INDEX('Assumptions &amp; FX Reference'!$B$5:$B$25,MATCH(H903,'Assumptions &amp; FX Reference'!$A$5:$A$25,0))/INDEX('Assumptions &amp; FX Reference'!$C$5:$C$25,MATCH(H903,'Assumptions &amp; FX Reference'!$A$5:$A$25,0)),""))),"(FX missing)"))</f>
        <v/>
      </c>
      <c r="P903" s="42"/>
      <c r="Q903" s="42"/>
      <c r="R903" s="42"/>
      <c r="S903" s="42"/>
      <c r="T903" s="42"/>
      <c r="U903" s="42"/>
      <c r="V903" s="42"/>
    </row>
    <row r="904" customFormat="false" ht="15" hidden="false" customHeight="false" outlineLevel="0" collapsed="false">
      <c r="A904" s="42"/>
      <c r="B904" s="42"/>
      <c r="C904" s="45" t="str">
        <f aca="false">IF(B904="","",IFERROR(INDEX('Master Database'!$D$5:$D$600,MATCH(B904,'Master Database'!$A$5:$A$600,0)),"(row not found)"))</f>
        <v/>
      </c>
      <c r="D904" s="45" t="str">
        <f aca="false">IF(B904="","",IFERROR(INDEX('Master Database'!$B$5:$B$600,MATCH(B904,'Master Database'!$A$5:$A$600,0)),"(row not found)"))</f>
        <v/>
      </c>
      <c r="E904" s="42"/>
      <c r="F904" s="45" t="str">
        <f aca="false">IF(E904="","",IFERROR(INDEX(Vendor_Register!$B$5:$B$205,MATCH(E904,Vendor_Register!$A$5:$A$205,0)),"(not in register)"))</f>
        <v/>
      </c>
      <c r="G904" s="45" t="str">
        <f aca="false">IF(E904="","",IFERROR(INDEX(Vendor_Register!$E$5:$E$205,MATCH(E904,Vendor_Register!$A$5:$A$205,0)),"(not in register)"))</f>
        <v/>
      </c>
      <c r="H904" s="42"/>
      <c r="I904" s="42"/>
      <c r="J904" s="42"/>
      <c r="K904" s="42"/>
      <c r="L904" s="42"/>
      <c r="M904" s="46"/>
      <c r="N904" s="42"/>
      <c r="O904" s="47" t="str">
        <f aca="false">IF(NOT(ISNUMBER(M904)),"",IFERROR(IF(L904="EUR",M904,IF(L904="IRR",M904/INDEX('Assumptions &amp; FX Reference'!$C$5:$C$25,MATCH(H904,'Assumptions &amp; FX Reference'!$A$5:$A$25,0)),IF(L904="USD",M904*INDEX('Assumptions &amp; FX Reference'!$B$5:$B$25,MATCH(H904,'Assumptions &amp; FX Reference'!$A$5:$A$25,0))/INDEX('Assumptions &amp; FX Reference'!$C$5:$C$25,MATCH(H904,'Assumptions &amp; FX Reference'!$A$5:$A$25,0)),""))),"(FX missing)"))</f>
        <v/>
      </c>
      <c r="P904" s="42"/>
      <c r="Q904" s="42"/>
      <c r="R904" s="42"/>
      <c r="S904" s="42"/>
      <c r="T904" s="42"/>
      <c r="U904" s="42"/>
      <c r="V904" s="42"/>
    </row>
    <row r="905" customFormat="false" ht="15" hidden="false" customHeight="false" outlineLevel="0" collapsed="false">
      <c r="A905" s="42"/>
      <c r="B905" s="42"/>
      <c r="C905" s="45" t="str">
        <f aca="false">IF(B905="","",IFERROR(INDEX('Master Database'!$D$5:$D$600,MATCH(B905,'Master Database'!$A$5:$A$600,0)),"(row not found)"))</f>
        <v/>
      </c>
      <c r="D905" s="45" t="str">
        <f aca="false">IF(B905="","",IFERROR(INDEX('Master Database'!$B$5:$B$600,MATCH(B905,'Master Database'!$A$5:$A$600,0)),"(row not found)"))</f>
        <v/>
      </c>
      <c r="E905" s="42"/>
      <c r="F905" s="45" t="str">
        <f aca="false">IF(E905="","",IFERROR(INDEX(Vendor_Register!$B$5:$B$205,MATCH(E905,Vendor_Register!$A$5:$A$205,0)),"(not in register)"))</f>
        <v/>
      </c>
      <c r="G905" s="45" t="str">
        <f aca="false">IF(E905="","",IFERROR(INDEX(Vendor_Register!$E$5:$E$205,MATCH(E905,Vendor_Register!$A$5:$A$205,0)),"(not in register)"))</f>
        <v/>
      </c>
      <c r="H905" s="42"/>
      <c r="I905" s="42"/>
      <c r="J905" s="42"/>
      <c r="K905" s="42"/>
      <c r="L905" s="42"/>
      <c r="M905" s="46"/>
      <c r="N905" s="42"/>
      <c r="O905" s="47" t="str">
        <f aca="false">IF(NOT(ISNUMBER(M905)),"",IFERROR(IF(L905="EUR",M905,IF(L905="IRR",M905/INDEX('Assumptions &amp; FX Reference'!$C$5:$C$25,MATCH(H905,'Assumptions &amp; FX Reference'!$A$5:$A$25,0)),IF(L905="USD",M905*INDEX('Assumptions &amp; FX Reference'!$B$5:$B$25,MATCH(H905,'Assumptions &amp; FX Reference'!$A$5:$A$25,0))/INDEX('Assumptions &amp; FX Reference'!$C$5:$C$25,MATCH(H905,'Assumptions &amp; FX Reference'!$A$5:$A$25,0)),""))),"(FX missing)"))</f>
        <v/>
      </c>
      <c r="P905" s="42"/>
      <c r="Q905" s="42"/>
      <c r="R905" s="42"/>
      <c r="S905" s="42"/>
      <c r="T905" s="42"/>
      <c r="U905" s="42"/>
      <c r="V905" s="42"/>
    </row>
    <row r="906" customFormat="false" ht="15" hidden="false" customHeight="false" outlineLevel="0" collapsed="false">
      <c r="A906" s="42"/>
      <c r="B906" s="42"/>
      <c r="C906" s="45" t="str">
        <f aca="false">IF(B906="","",IFERROR(INDEX('Master Database'!$D$5:$D$600,MATCH(B906,'Master Database'!$A$5:$A$600,0)),"(row not found)"))</f>
        <v/>
      </c>
      <c r="D906" s="45" t="str">
        <f aca="false">IF(B906="","",IFERROR(INDEX('Master Database'!$B$5:$B$600,MATCH(B906,'Master Database'!$A$5:$A$600,0)),"(row not found)"))</f>
        <v/>
      </c>
      <c r="E906" s="42"/>
      <c r="F906" s="45" t="str">
        <f aca="false">IF(E906="","",IFERROR(INDEX(Vendor_Register!$B$5:$B$205,MATCH(E906,Vendor_Register!$A$5:$A$205,0)),"(not in register)"))</f>
        <v/>
      </c>
      <c r="G906" s="45" t="str">
        <f aca="false">IF(E906="","",IFERROR(INDEX(Vendor_Register!$E$5:$E$205,MATCH(E906,Vendor_Register!$A$5:$A$205,0)),"(not in register)"))</f>
        <v/>
      </c>
      <c r="H906" s="42"/>
      <c r="I906" s="42"/>
      <c r="J906" s="42"/>
      <c r="K906" s="42"/>
      <c r="L906" s="42"/>
      <c r="M906" s="46"/>
      <c r="N906" s="42"/>
      <c r="O906" s="47" t="str">
        <f aca="false">IF(NOT(ISNUMBER(M906)),"",IFERROR(IF(L906="EUR",M906,IF(L906="IRR",M906/INDEX('Assumptions &amp; FX Reference'!$C$5:$C$25,MATCH(H906,'Assumptions &amp; FX Reference'!$A$5:$A$25,0)),IF(L906="USD",M906*INDEX('Assumptions &amp; FX Reference'!$B$5:$B$25,MATCH(H906,'Assumptions &amp; FX Reference'!$A$5:$A$25,0))/INDEX('Assumptions &amp; FX Reference'!$C$5:$C$25,MATCH(H906,'Assumptions &amp; FX Reference'!$A$5:$A$25,0)),""))),"(FX missing)"))</f>
        <v/>
      </c>
      <c r="P906" s="42"/>
      <c r="Q906" s="42"/>
      <c r="R906" s="42"/>
      <c r="S906" s="42"/>
      <c r="T906" s="42"/>
      <c r="U906" s="42"/>
      <c r="V906" s="42"/>
    </row>
    <row r="907" customFormat="false" ht="15" hidden="false" customHeight="false" outlineLevel="0" collapsed="false">
      <c r="A907" s="42"/>
      <c r="B907" s="42"/>
      <c r="C907" s="45" t="str">
        <f aca="false">IF(B907="","",IFERROR(INDEX('Master Database'!$D$5:$D$600,MATCH(B907,'Master Database'!$A$5:$A$600,0)),"(row not found)"))</f>
        <v/>
      </c>
      <c r="D907" s="45" t="str">
        <f aca="false">IF(B907="","",IFERROR(INDEX('Master Database'!$B$5:$B$600,MATCH(B907,'Master Database'!$A$5:$A$600,0)),"(row not found)"))</f>
        <v/>
      </c>
      <c r="E907" s="42"/>
      <c r="F907" s="45" t="str">
        <f aca="false">IF(E907="","",IFERROR(INDEX(Vendor_Register!$B$5:$B$205,MATCH(E907,Vendor_Register!$A$5:$A$205,0)),"(not in register)"))</f>
        <v/>
      </c>
      <c r="G907" s="45" t="str">
        <f aca="false">IF(E907="","",IFERROR(INDEX(Vendor_Register!$E$5:$E$205,MATCH(E907,Vendor_Register!$A$5:$A$205,0)),"(not in register)"))</f>
        <v/>
      </c>
      <c r="H907" s="42"/>
      <c r="I907" s="42"/>
      <c r="J907" s="42"/>
      <c r="K907" s="42"/>
      <c r="L907" s="42"/>
      <c r="M907" s="46"/>
      <c r="N907" s="42"/>
      <c r="O907" s="47" t="str">
        <f aca="false">IF(NOT(ISNUMBER(M907)),"",IFERROR(IF(L907="EUR",M907,IF(L907="IRR",M907/INDEX('Assumptions &amp; FX Reference'!$C$5:$C$25,MATCH(H907,'Assumptions &amp; FX Reference'!$A$5:$A$25,0)),IF(L907="USD",M907*INDEX('Assumptions &amp; FX Reference'!$B$5:$B$25,MATCH(H907,'Assumptions &amp; FX Reference'!$A$5:$A$25,0))/INDEX('Assumptions &amp; FX Reference'!$C$5:$C$25,MATCH(H907,'Assumptions &amp; FX Reference'!$A$5:$A$25,0)),""))),"(FX missing)"))</f>
        <v/>
      </c>
      <c r="P907" s="42"/>
      <c r="Q907" s="42"/>
      <c r="R907" s="42"/>
      <c r="S907" s="42"/>
      <c r="T907" s="42"/>
      <c r="U907" s="42"/>
      <c r="V907" s="42"/>
    </row>
    <row r="908" customFormat="false" ht="15" hidden="false" customHeight="false" outlineLevel="0" collapsed="false">
      <c r="A908" s="42"/>
      <c r="B908" s="42"/>
      <c r="C908" s="45" t="str">
        <f aca="false">IF(B908="","",IFERROR(INDEX('Master Database'!$D$5:$D$600,MATCH(B908,'Master Database'!$A$5:$A$600,0)),"(row not found)"))</f>
        <v/>
      </c>
      <c r="D908" s="45" t="str">
        <f aca="false">IF(B908="","",IFERROR(INDEX('Master Database'!$B$5:$B$600,MATCH(B908,'Master Database'!$A$5:$A$600,0)),"(row not found)"))</f>
        <v/>
      </c>
      <c r="E908" s="42"/>
      <c r="F908" s="45" t="str">
        <f aca="false">IF(E908="","",IFERROR(INDEX(Vendor_Register!$B$5:$B$205,MATCH(E908,Vendor_Register!$A$5:$A$205,0)),"(not in register)"))</f>
        <v/>
      </c>
      <c r="G908" s="45" t="str">
        <f aca="false">IF(E908="","",IFERROR(INDEX(Vendor_Register!$E$5:$E$205,MATCH(E908,Vendor_Register!$A$5:$A$205,0)),"(not in register)"))</f>
        <v/>
      </c>
      <c r="H908" s="42"/>
      <c r="I908" s="42"/>
      <c r="J908" s="42"/>
      <c r="K908" s="42"/>
      <c r="L908" s="42"/>
      <c r="M908" s="46"/>
      <c r="N908" s="42"/>
      <c r="O908" s="47" t="str">
        <f aca="false">IF(NOT(ISNUMBER(M908)),"",IFERROR(IF(L908="EUR",M908,IF(L908="IRR",M908/INDEX('Assumptions &amp; FX Reference'!$C$5:$C$25,MATCH(H908,'Assumptions &amp; FX Reference'!$A$5:$A$25,0)),IF(L908="USD",M908*INDEX('Assumptions &amp; FX Reference'!$B$5:$B$25,MATCH(H908,'Assumptions &amp; FX Reference'!$A$5:$A$25,0))/INDEX('Assumptions &amp; FX Reference'!$C$5:$C$25,MATCH(H908,'Assumptions &amp; FX Reference'!$A$5:$A$25,0)),""))),"(FX missing)"))</f>
        <v/>
      </c>
      <c r="P908" s="42"/>
      <c r="Q908" s="42"/>
      <c r="R908" s="42"/>
      <c r="S908" s="42"/>
      <c r="T908" s="42"/>
      <c r="U908" s="42"/>
      <c r="V908" s="42"/>
    </row>
    <row r="909" customFormat="false" ht="15" hidden="false" customHeight="false" outlineLevel="0" collapsed="false">
      <c r="A909" s="42"/>
      <c r="B909" s="42"/>
      <c r="C909" s="45" t="str">
        <f aca="false">IF(B909="","",IFERROR(INDEX('Master Database'!$D$5:$D$600,MATCH(B909,'Master Database'!$A$5:$A$600,0)),"(row not found)"))</f>
        <v/>
      </c>
      <c r="D909" s="45" t="str">
        <f aca="false">IF(B909="","",IFERROR(INDEX('Master Database'!$B$5:$B$600,MATCH(B909,'Master Database'!$A$5:$A$600,0)),"(row not found)"))</f>
        <v/>
      </c>
      <c r="E909" s="42"/>
      <c r="F909" s="45" t="str">
        <f aca="false">IF(E909="","",IFERROR(INDEX(Vendor_Register!$B$5:$B$205,MATCH(E909,Vendor_Register!$A$5:$A$205,0)),"(not in register)"))</f>
        <v/>
      </c>
      <c r="G909" s="45" t="str">
        <f aca="false">IF(E909="","",IFERROR(INDEX(Vendor_Register!$E$5:$E$205,MATCH(E909,Vendor_Register!$A$5:$A$205,0)),"(not in register)"))</f>
        <v/>
      </c>
      <c r="H909" s="42"/>
      <c r="I909" s="42"/>
      <c r="J909" s="42"/>
      <c r="K909" s="42"/>
      <c r="L909" s="42"/>
      <c r="M909" s="46"/>
      <c r="N909" s="42"/>
      <c r="O909" s="47" t="str">
        <f aca="false">IF(NOT(ISNUMBER(M909)),"",IFERROR(IF(L909="EUR",M909,IF(L909="IRR",M909/INDEX('Assumptions &amp; FX Reference'!$C$5:$C$25,MATCH(H909,'Assumptions &amp; FX Reference'!$A$5:$A$25,0)),IF(L909="USD",M909*INDEX('Assumptions &amp; FX Reference'!$B$5:$B$25,MATCH(H909,'Assumptions &amp; FX Reference'!$A$5:$A$25,0))/INDEX('Assumptions &amp; FX Reference'!$C$5:$C$25,MATCH(H909,'Assumptions &amp; FX Reference'!$A$5:$A$25,0)),""))),"(FX missing)"))</f>
        <v/>
      </c>
      <c r="P909" s="42"/>
      <c r="Q909" s="42"/>
      <c r="R909" s="42"/>
      <c r="S909" s="42"/>
      <c r="T909" s="42"/>
      <c r="U909" s="42"/>
      <c r="V909" s="42"/>
    </row>
    <row r="910" customFormat="false" ht="15" hidden="false" customHeight="false" outlineLevel="0" collapsed="false">
      <c r="A910" s="42"/>
      <c r="B910" s="42"/>
      <c r="C910" s="45" t="str">
        <f aca="false">IF(B910="","",IFERROR(INDEX('Master Database'!$D$5:$D$600,MATCH(B910,'Master Database'!$A$5:$A$600,0)),"(row not found)"))</f>
        <v/>
      </c>
      <c r="D910" s="45" t="str">
        <f aca="false">IF(B910="","",IFERROR(INDEX('Master Database'!$B$5:$B$600,MATCH(B910,'Master Database'!$A$5:$A$600,0)),"(row not found)"))</f>
        <v/>
      </c>
      <c r="E910" s="42"/>
      <c r="F910" s="45" t="str">
        <f aca="false">IF(E910="","",IFERROR(INDEX(Vendor_Register!$B$5:$B$205,MATCH(E910,Vendor_Register!$A$5:$A$205,0)),"(not in register)"))</f>
        <v/>
      </c>
      <c r="G910" s="45" t="str">
        <f aca="false">IF(E910="","",IFERROR(INDEX(Vendor_Register!$E$5:$E$205,MATCH(E910,Vendor_Register!$A$5:$A$205,0)),"(not in register)"))</f>
        <v/>
      </c>
      <c r="H910" s="42"/>
      <c r="I910" s="42"/>
      <c r="J910" s="42"/>
      <c r="K910" s="42"/>
      <c r="L910" s="42"/>
      <c r="M910" s="46"/>
      <c r="N910" s="42"/>
      <c r="O910" s="47" t="str">
        <f aca="false">IF(NOT(ISNUMBER(M910)),"",IFERROR(IF(L910="EUR",M910,IF(L910="IRR",M910/INDEX('Assumptions &amp; FX Reference'!$C$5:$C$25,MATCH(H910,'Assumptions &amp; FX Reference'!$A$5:$A$25,0)),IF(L910="USD",M910*INDEX('Assumptions &amp; FX Reference'!$B$5:$B$25,MATCH(H910,'Assumptions &amp; FX Reference'!$A$5:$A$25,0))/INDEX('Assumptions &amp; FX Reference'!$C$5:$C$25,MATCH(H910,'Assumptions &amp; FX Reference'!$A$5:$A$25,0)),""))),"(FX missing)"))</f>
        <v/>
      </c>
      <c r="P910" s="42"/>
      <c r="Q910" s="42"/>
      <c r="R910" s="42"/>
      <c r="S910" s="42"/>
      <c r="T910" s="42"/>
      <c r="U910" s="42"/>
      <c r="V910" s="42"/>
    </row>
    <row r="911" customFormat="false" ht="15" hidden="false" customHeight="false" outlineLevel="0" collapsed="false">
      <c r="A911" s="42"/>
      <c r="B911" s="42"/>
      <c r="C911" s="45" t="str">
        <f aca="false">IF(B911="","",IFERROR(INDEX('Master Database'!$D$5:$D$600,MATCH(B911,'Master Database'!$A$5:$A$600,0)),"(row not found)"))</f>
        <v/>
      </c>
      <c r="D911" s="45" t="str">
        <f aca="false">IF(B911="","",IFERROR(INDEX('Master Database'!$B$5:$B$600,MATCH(B911,'Master Database'!$A$5:$A$600,0)),"(row not found)"))</f>
        <v/>
      </c>
      <c r="E911" s="42"/>
      <c r="F911" s="45" t="str">
        <f aca="false">IF(E911="","",IFERROR(INDEX(Vendor_Register!$B$5:$B$205,MATCH(E911,Vendor_Register!$A$5:$A$205,0)),"(not in register)"))</f>
        <v/>
      </c>
      <c r="G911" s="45" t="str">
        <f aca="false">IF(E911="","",IFERROR(INDEX(Vendor_Register!$E$5:$E$205,MATCH(E911,Vendor_Register!$A$5:$A$205,0)),"(not in register)"))</f>
        <v/>
      </c>
      <c r="H911" s="42"/>
      <c r="I911" s="42"/>
      <c r="J911" s="42"/>
      <c r="K911" s="42"/>
      <c r="L911" s="42"/>
      <c r="M911" s="46"/>
      <c r="N911" s="42"/>
      <c r="O911" s="47" t="str">
        <f aca="false">IF(NOT(ISNUMBER(M911)),"",IFERROR(IF(L911="EUR",M911,IF(L911="IRR",M911/INDEX('Assumptions &amp; FX Reference'!$C$5:$C$25,MATCH(H911,'Assumptions &amp; FX Reference'!$A$5:$A$25,0)),IF(L911="USD",M911*INDEX('Assumptions &amp; FX Reference'!$B$5:$B$25,MATCH(H911,'Assumptions &amp; FX Reference'!$A$5:$A$25,0))/INDEX('Assumptions &amp; FX Reference'!$C$5:$C$25,MATCH(H911,'Assumptions &amp; FX Reference'!$A$5:$A$25,0)),""))),"(FX missing)"))</f>
        <v/>
      </c>
      <c r="P911" s="42"/>
      <c r="Q911" s="42"/>
      <c r="R911" s="42"/>
      <c r="S911" s="42"/>
      <c r="T911" s="42"/>
      <c r="U911" s="42"/>
      <c r="V911" s="42"/>
    </row>
    <row r="912" customFormat="false" ht="15" hidden="false" customHeight="false" outlineLevel="0" collapsed="false">
      <c r="A912" s="42"/>
      <c r="B912" s="42"/>
      <c r="C912" s="45" t="str">
        <f aca="false">IF(B912="","",IFERROR(INDEX('Master Database'!$D$5:$D$600,MATCH(B912,'Master Database'!$A$5:$A$600,0)),"(row not found)"))</f>
        <v/>
      </c>
      <c r="D912" s="45" t="str">
        <f aca="false">IF(B912="","",IFERROR(INDEX('Master Database'!$B$5:$B$600,MATCH(B912,'Master Database'!$A$5:$A$600,0)),"(row not found)"))</f>
        <v/>
      </c>
      <c r="E912" s="42"/>
      <c r="F912" s="45" t="str">
        <f aca="false">IF(E912="","",IFERROR(INDEX(Vendor_Register!$B$5:$B$205,MATCH(E912,Vendor_Register!$A$5:$A$205,0)),"(not in register)"))</f>
        <v/>
      </c>
      <c r="G912" s="45" t="str">
        <f aca="false">IF(E912="","",IFERROR(INDEX(Vendor_Register!$E$5:$E$205,MATCH(E912,Vendor_Register!$A$5:$A$205,0)),"(not in register)"))</f>
        <v/>
      </c>
      <c r="H912" s="42"/>
      <c r="I912" s="42"/>
      <c r="J912" s="42"/>
      <c r="K912" s="42"/>
      <c r="L912" s="42"/>
      <c r="M912" s="46"/>
      <c r="N912" s="42"/>
      <c r="O912" s="47" t="str">
        <f aca="false">IF(NOT(ISNUMBER(M912)),"",IFERROR(IF(L912="EUR",M912,IF(L912="IRR",M912/INDEX('Assumptions &amp; FX Reference'!$C$5:$C$25,MATCH(H912,'Assumptions &amp; FX Reference'!$A$5:$A$25,0)),IF(L912="USD",M912*INDEX('Assumptions &amp; FX Reference'!$B$5:$B$25,MATCH(H912,'Assumptions &amp; FX Reference'!$A$5:$A$25,0))/INDEX('Assumptions &amp; FX Reference'!$C$5:$C$25,MATCH(H912,'Assumptions &amp; FX Reference'!$A$5:$A$25,0)),""))),"(FX missing)"))</f>
        <v/>
      </c>
      <c r="P912" s="42"/>
      <c r="Q912" s="42"/>
      <c r="R912" s="42"/>
      <c r="S912" s="42"/>
      <c r="T912" s="42"/>
      <c r="U912" s="42"/>
      <c r="V912" s="42"/>
    </row>
    <row r="913" customFormat="false" ht="15" hidden="false" customHeight="false" outlineLevel="0" collapsed="false">
      <c r="A913" s="42"/>
      <c r="B913" s="42"/>
      <c r="C913" s="45" t="str">
        <f aca="false">IF(B913="","",IFERROR(INDEX('Master Database'!$D$5:$D$600,MATCH(B913,'Master Database'!$A$5:$A$600,0)),"(row not found)"))</f>
        <v/>
      </c>
      <c r="D913" s="45" t="str">
        <f aca="false">IF(B913="","",IFERROR(INDEX('Master Database'!$B$5:$B$600,MATCH(B913,'Master Database'!$A$5:$A$600,0)),"(row not found)"))</f>
        <v/>
      </c>
      <c r="E913" s="42"/>
      <c r="F913" s="45" t="str">
        <f aca="false">IF(E913="","",IFERROR(INDEX(Vendor_Register!$B$5:$B$205,MATCH(E913,Vendor_Register!$A$5:$A$205,0)),"(not in register)"))</f>
        <v/>
      </c>
      <c r="G913" s="45" t="str">
        <f aca="false">IF(E913="","",IFERROR(INDEX(Vendor_Register!$E$5:$E$205,MATCH(E913,Vendor_Register!$A$5:$A$205,0)),"(not in register)"))</f>
        <v/>
      </c>
      <c r="H913" s="42"/>
      <c r="I913" s="42"/>
      <c r="J913" s="42"/>
      <c r="K913" s="42"/>
      <c r="L913" s="42"/>
      <c r="M913" s="46"/>
      <c r="N913" s="42"/>
      <c r="O913" s="47" t="str">
        <f aca="false">IF(NOT(ISNUMBER(M913)),"",IFERROR(IF(L913="EUR",M913,IF(L913="IRR",M913/INDEX('Assumptions &amp; FX Reference'!$C$5:$C$25,MATCH(H913,'Assumptions &amp; FX Reference'!$A$5:$A$25,0)),IF(L913="USD",M913*INDEX('Assumptions &amp; FX Reference'!$B$5:$B$25,MATCH(H913,'Assumptions &amp; FX Reference'!$A$5:$A$25,0))/INDEX('Assumptions &amp; FX Reference'!$C$5:$C$25,MATCH(H913,'Assumptions &amp; FX Reference'!$A$5:$A$25,0)),""))),"(FX missing)"))</f>
        <v/>
      </c>
      <c r="P913" s="42"/>
      <c r="Q913" s="42"/>
      <c r="R913" s="42"/>
      <c r="S913" s="42"/>
      <c r="T913" s="42"/>
      <c r="U913" s="42"/>
      <c r="V913" s="42"/>
    </row>
    <row r="914" customFormat="false" ht="15" hidden="false" customHeight="false" outlineLevel="0" collapsed="false">
      <c r="A914" s="42"/>
      <c r="B914" s="42"/>
      <c r="C914" s="45" t="str">
        <f aca="false">IF(B914="","",IFERROR(INDEX('Master Database'!$D$5:$D$600,MATCH(B914,'Master Database'!$A$5:$A$600,0)),"(row not found)"))</f>
        <v/>
      </c>
      <c r="D914" s="45" t="str">
        <f aca="false">IF(B914="","",IFERROR(INDEX('Master Database'!$B$5:$B$600,MATCH(B914,'Master Database'!$A$5:$A$600,0)),"(row not found)"))</f>
        <v/>
      </c>
      <c r="E914" s="42"/>
      <c r="F914" s="45" t="str">
        <f aca="false">IF(E914="","",IFERROR(INDEX(Vendor_Register!$B$5:$B$205,MATCH(E914,Vendor_Register!$A$5:$A$205,0)),"(not in register)"))</f>
        <v/>
      </c>
      <c r="G914" s="45" t="str">
        <f aca="false">IF(E914="","",IFERROR(INDEX(Vendor_Register!$E$5:$E$205,MATCH(E914,Vendor_Register!$A$5:$A$205,0)),"(not in register)"))</f>
        <v/>
      </c>
      <c r="H914" s="42"/>
      <c r="I914" s="42"/>
      <c r="J914" s="42"/>
      <c r="K914" s="42"/>
      <c r="L914" s="42"/>
      <c r="M914" s="46"/>
      <c r="N914" s="42"/>
      <c r="O914" s="47" t="str">
        <f aca="false">IF(NOT(ISNUMBER(M914)),"",IFERROR(IF(L914="EUR",M914,IF(L914="IRR",M914/INDEX('Assumptions &amp; FX Reference'!$C$5:$C$25,MATCH(H914,'Assumptions &amp; FX Reference'!$A$5:$A$25,0)),IF(L914="USD",M914*INDEX('Assumptions &amp; FX Reference'!$B$5:$B$25,MATCH(H914,'Assumptions &amp; FX Reference'!$A$5:$A$25,0))/INDEX('Assumptions &amp; FX Reference'!$C$5:$C$25,MATCH(H914,'Assumptions &amp; FX Reference'!$A$5:$A$25,0)),""))),"(FX missing)"))</f>
        <v/>
      </c>
      <c r="P914" s="42"/>
      <c r="Q914" s="42"/>
      <c r="R914" s="42"/>
      <c r="S914" s="42"/>
      <c r="T914" s="42"/>
      <c r="U914" s="42"/>
      <c r="V914" s="42"/>
    </row>
    <row r="915" customFormat="false" ht="15" hidden="false" customHeight="false" outlineLevel="0" collapsed="false">
      <c r="A915" s="42"/>
      <c r="B915" s="42"/>
      <c r="C915" s="45" t="str">
        <f aca="false">IF(B915="","",IFERROR(INDEX('Master Database'!$D$5:$D$600,MATCH(B915,'Master Database'!$A$5:$A$600,0)),"(row not found)"))</f>
        <v/>
      </c>
      <c r="D915" s="45" t="str">
        <f aca="false">IF(B915="","",IFERROR(INDEX('Master Database'!$B$5:$B$600,MATCH(B915,'Master Database'!$A$5:$A$600,0)),"(row not found)"))</f>
        <v/>
      </c>
      <c r="E915" s="42"/>
      <c r="F915" s="45" t="str">
        <f aca="false">IF(E915="","",IFERROR(INDEX(Vendor_Register!$B$5:$B$205,MATCH(E915,Vendor_Register!$A$5:$A$205,0)),"(not in register)"))</f>
        <v/>
      </c>
      <c r="G915" s="45" t="str">
        <f aca="false">IF(E915="","",IFERROR(INDEX(Vendor_Register!$E$5:$E$205,MATCH(E915,Vendor_Register!$A$5:$A$205,0)),"(not in register)"))</f>
        <v/>
      </c>
      <c r="H915" s="42"/>
      <c r="I915" s="42"/>
      <c r="J915" s="42"/>
      <c r="K915" s="42"/>
      <c r="L915" s="42"/>
      <c r="M915" s="46"/>
      <c r="N915" s="42"/>
      <c r="O915" s="47" t="str">
        <f aca="false">IF(NOT(ISNUMBER(M915)),"",IFERROR(IF(L915="EUR",M915,IF(L915="IRR",M915/INDEX('Assumptions &amp; FX Reference'!$C$5:$C$25,MATCH(H915,'Assumptions &amp; FX Reference'!$A$5:$A$25,0)),IF(L915="USD",M915*INDEX('Assumptions &amp; FX Reference'!$B$5:$B$25,MATCH(H915,'Assumptions &amp; FX Reference'!$A$5:$A$25,0))/INDEX('Assumptions &amp; FX Reference'!$C$5:$C$25,MATCH(H915,'Assumptions &amp; FX Reference'!$A$5:$A$25,0)),""))),"(FX missing)"))</f>
        <v/>
      </c>
      <c r="P915" s="42"/>
      <c r="Q915" s="42"/>
      <c r="R915" s="42"/>
      <c r="S915" s="42"/>
      <c r="T915" s="42"/>
      <c r="U915" s="42"/>
      <c r="V915" s="42"/>
    </row>
    <row r="916" customFormat="false" ht="15" hidden="false" customHeight="false" outlineLevel="0" collapsed="false">
      <c r="A916" s="42"/>
      <c r="B916" s="42"/>
      <c r="C916" s="45" t="str">
        <f aca="false">IF(B916="","",IFERROR(INDEX('Master Database'!$D$5:$D$600,MATCH(B916,'Master Database'!$A$5:$A$600,0)),"(row not found)"))</f>
        <v/>
      </c>
      <c r="D916" s="45" t="str">
        <f aca="false">IF(B916="","",IFERROR(INDEX('Master Database'!$B$5:$B$600,MATCH(B916,'Master Database'!$A$5:$A$600,0)),"(row not found)"))</f>
        <v/>
      </c>
      <c r="E916" s="42"/>
      <c r="F916" s="45" t="str">
        <f aca="false">IF(E916="","",IFERROR(INDEX(Vendor_Register!$B$5:$B$205,MATCH(E916,Vendor_Register!$A$5:$A$205,0)),"(not in register)"))</f>
        <v/>
      </c>
      <c r="G916" s="45" t="str">
        <f aca="false">IF(E916="","",IFERROR(INDEX(Vendor_Register!$E$5:$E$205,MATCH(E916,Vendor_Register!$A$5:$A$205,0)),"(not in register)"))</f>
        <v/>
      </c>
      <c r="H916" s="42"/>
      <c r="I916" s="42"/>
      <c r="J916" s="42"/>
      <c r="K916" s="42"/>
      <c r="L916" s="42"/>
      <c r="M916" s="46"/>
      <c r="N916" s="42"/>
      <c r="O916" s="47" t="str">
        <f aca="false">IF(NOT(ISNUMBER(M916)),"",IFERROR(IF(L916="EUR",M916,IF(L916="IRR",M916/INDEX('Assumptions &amp; FX Reference'!$C$5:$C$25,MATCH(H916,'Assumptions &amp; FX Reference'!$A$5:$A$25,0)),IF(L916="USD",M916*INDEX('Assumptions &amp; FX Reference'!$B$5:$B$25,MATCH(H916,'Assumptions &amp; FX Reference'!$A$5:$A$25,0))/INDEX('Assumptions &amp; FX Reference'!$C$5:$C$25,MATCH(H916,'Assumptions &amp; FX Reference'!$A$5:$A$25,0)),""))),"(FX missing)"))</f>
        <v/>
      </c>
      <c r="P916" s="42"/>
      <c r="Q916" s="42"/>
      <c r="R916" s="42"/>
      <c r="S916" s="42"/>
      <c r="T916" s="42"/>
      <c r="U916" s="42"/>
      <c r="V916" s="42"/>
    </row>
    <row r="917" customFormat="false" ht="15" hidden="false" customHeight="false" outlineLevel="0" collapsed="false">
      <c r="A917" s="42"/>
      <c r="B917" s="42"/>
      <c r="C917" s="45" t="str">
        <f aca="false">IF(B917="","",IFERROR(INDEX('Master Database'!$D$5:$D$600,MATCH(B917,'Master Database'!$A$5:$A$600,0)),"(row not found)"))</f>
        <v/>
      </c>
      <c r="D917" s="45" t="str">
        <f aca="false">IF(B917="","",IFERROR(INDEX('Master Database'!$B$5:$B$600,MATCH(B917,'Master Database'!$A$5:$A$600,0)),"(row not found)"))</f>
        <v/>
      </c>
      <c r="E917" s="42"/>
      <c r="F917" s="45" t="str">
        <f aca="false">IF(E917="","",IFERROR(INDEX(Vendor_Register!$B$5:$B$205,MATCH(E917,Vendor_Register!$A$5:$A$205,0)),"(not in register)"))</f>
        <v/>
      </c>
      <c r="G917" s="45" t="str">
        <f aca="false">IF(E917="","",IFERROR(INDEX(Vendor_Register!$E$5:$E$205,MATCH(E917,Vendor_Register!$A$5:$A$205,0)),"(not in register)"))</f>
        <v/>
      </c>
      <c r="H917" s="42"/>
      <c r="I917" s="42"/>
      <c r="J917" s="42"/>
      <c r="K917" s="42"/>
      <c r="L917" s="42"/>
      <c r="M917" s="46"/>
      <c r="N917" s="42"/>
      <c r="O917" s="47" t="str">
        <f aca="false">IF(NOT(ISNUMBER(M917)),"",IFERROR(IF(L917="EUR",M917,IF(L917="IRR",M917/INDEX('Assumptions &amp; FX Reference'!$C$5:$C$25,MATCH(H917,'Assumptions &amp; FX Reference'!$A$5:$A$25,0)),IF(L917="USD",M917*INDEX('Assumptions &amp; FX Reference'!$B$5:$B$25,MATCH(H917,'Assumptions &amp; FX Reference'!$A$5:$A$25,0))/INDEX('Assumptions &amp; FX Reference'!$C$5:$C$25,MATCH(H917,'Assumptions &amp; FX Reference'!$A$5:$A$25,0)),""))),"(FX missing)"))</f>
        <v/>
      </c>
      <c r="P917" s="42"/>
      <c r="Q917" s="42"/>
      <c r="R917" s="42"/>
      <c r="S917" s="42"/>
      <c r="T917" s="42"/>
      <c r="U917" s="42"/>
      <c r="V917" s="42"/>
    </row>
    <row r="918" customFormat="false" ht="15" hidden="false" customHeight="false" outlineLevel="0" collapsed="false">
      <c r="A918" s="42"/>
      <c r="B918" s="42"/>
      <c r="C918" s="45" t="str">
        <f aca="false">IF(B918="","",IFERROR(INDEX('Master Database'!$D$5:$D$600,MATCH(B918,'Master Database'!$A$5:$A$600,0)),"(row not found)"))</f>
        <v/>
      </c>
      <c r="D918" s="45" t="str">
        <f aca="false">IF(B918="","",IFERROR(INDEX('Master Database'!$B$5:$B$600,MATCH(B918,'Master Database'!$A$5:$A$600,0)),"(row not found)"))</f>
        <v/>
      </c>
      <c r="E918" s="42"/>
      <c r="F918" s="45" t="str">
        <f aca="false">IF(E918="","",IFERROR(INDEX(Vendor_Register!$B$5:$B$205,MATCH(E918,Vendor_Register!$A$5:$A$205,0)),"(not in register)"))</f>
        <v/>
      </c>
      <c r="G918" s="45" t="str">
        <f aca="false">IF(E918="","",IFERROR(INDEX(Vendor_Register!$E$5:$E$205,MATCH(E918,Vendor_Register!$A$5:$A$205,0)),"(not in register)"))</f>
        <v/>
      </c>
      <c r="H918" s="42"/>
      <c r="I918" s="42"/>
      <c r="J918" s="42"/>
      <c r="K918" s="42"/>
      <c r="L918" s="42"/>
      <c r="M918" s="46"/>
      <c r="N918" s="42"/>
      <c r="O918" s="47" t="str">
        <f aca="false">IF(NOT(ISNUMBER(M918)),"",IFERROR(IF(L918="EUR",M918,IF(L918="IRR",M918/INDEX('Assumptions &amp; FX Reference'!$C$5:$C$25,MATCH(H918,'Assumptions &amp; FX Reference'!$A$5:$A$25,0)),IF(L918="USD",M918*INDEX('Assumptions &amp; FX Reference'!$B$5:$B$25,MATCH(H918,'Assumptions &amp; FX Reference'!$A$5:$A$25,0))/INDEX('Assumptions &amp; FX Reference'!$C$5:$C$25,MATCH(H918,'Assumptions &amp; FX Reference'!$A$5:$A$25,0)),""))),"(FX missing)"))</f>
        <v/>
      </c>
      <c r="P918" s="42"/>
      <c r="Q918" s="42"/>
      <c r="R918" s="42"/>
      <c r="S918" s="42"/>
      <c r="T918" s="42"/>
      <c r="U918" s="42"/>
      <c r="V918" s="42"/>
    </row>
    <row r="919" customFormat="false" ht="15" hidden="false" customHeight="false" outlineLevel="0" collapsed="false">
      <c r="A919" s="42"/>
      <c r="B919" s="42"/>
      <c r="C919" s="45" t="str">
        <f aca="false">IF(B919="","",IFERROR(INDEX('Master Database'!$D$5:$D$600,MATCH(B919,'Master Database'!$A$5:$A$600,0)),"(row not found)"))</f>
        <v/>
      </c>
      <c r="D919" s="45" t="str">
        <f aca="false">IF(B919="","",IFERROR(INDEX('Master Database'!$B$5:$B$600,MATCH(B919,'Master Database'!$A$5:$A$600,0)),"(row not found)"))</f>
        <v/>
      </c>
      <c r="E919" s="42"/>
      <c r="F919" s="45" t="str">
        <f aca="false">IF(E919="","",IFERROR(INDEX(Vendor_Register!$B$5:$B$205,MATCH(E919,Vendor_Register!$A$5:$A$205,0)),"(not in register)"))</f>
        <v/>
      </c>
      <c r="G919" s="45" t="str">
        <f aca="false">IF(E919="","",IFERROR(INDEX(Vendor_Register!$E$5:$E$205,MATCH(E919,Vendor_Register!$A$5:$A$205,0)),"(not in register)"))</f>
        <v/>
      </c>
      <c r="H919" s="42"/>
      <c r="I919" s="42"/>
      <c r="J919" s="42"/>
      <c r="K919" s="42"/>
      <c r="L919" s="42"/>
      <c r="M919" s="46"/>
      <c r="N919" s="42"/>
      <c r="O919" s="47" t="str">
        <f aca="false">IF(NOT(ISNUMBER(M919)),"",IFERROR(IF(L919="EUR",M919,IF(L919="IRR",M919/INDEX('Assumptions &amp; FX Reference'!$C$5:$C$25,MATCH(H919,'Assumptions &amp; FX Reference'!$A$5:$A$25,0)),IF(L919="USD",M919*INDEX('Assumptions &amp; FX Reference'!$B$5:$B$25,MATCH(H919,'Assumptions &amp; FX Reference'!$A$5:$A$25,0))/INDEX('Assumptions &amp; FX Reference'!$C$5:$C$25,MATCH(H919,'Assumptions &amp; FX Reference'!$A$5:$A$25,0)),""))),"(FX missing)"))</f>
        <v/>
      </c>
      <c r="P919" s="42"/>
      <c r="Q919" s="42"/>
      <c r="R919" s="42"/>
      <c r="S919" s="42"/>
      <c r="T919" s="42"/>
      <c r="U919" s="42"/>
      <c r="V919" s="42"/>
    </row>
    <row r="920" customFormat="false" ht="15" hidden="false" customHeight="false" outlineLevel="0" collapsed="false">
      <c r="A920" s="42"/>
      <c r="B920" s="42"/>
      <c r="C920" s="45" t="str">
        <f aca="false">IF(B920="","",IFERROR(INDEX('Master Database'!$D$5:$D$600,MATCH(B920,'Master Database'!$A$5:$A$600,0)),"(row not found)"))</f>
        <v/>
      </c>
      <c r="D920" s="45" t="str">
        <f aca="false">IF(B920="","",IFERROR(INDEX('Master Database'!$B$5:$B$600,MATCH(B920,'Master Database'!$A$5:$A$600,0)),"(row not found)"))</f>
        <v/>
      </c>
      <c r="E920" s="42"/>
      <c r="F920" s="45" t="str">
        <f aca="false">IF(E920="","",IFERROR(INDEX(Vendor_Register!$B$5:$B$205,MATCH(E920,Vendor_Register!$A$5:$A$205,0)),"(not in register)"))</f>
        <v/>
      </c>
      <c r="G920" s="45" t="str">
        <f aca="false">IF(E920="","",IFERROR(INDEX(Vendor_Register!$E$5:$E$205,MATCH(E920,Vendor_Register!$A$5:$A$205,0)),"(not in register)"))</f>
        <v/>
      </c>
      <c r="H920" s="42"/>
      <c r="I920" s="42"/>
      <c r="J920" s="42"/>
      <c r="K920" s="42"/>
      <c r="L920" s="42"/>
      <c r="M920" s="46"/>
      <c r="N920" s="42"/>
      <c r="O920" s="47" t="str">
        <f aca="false">IF(NOT(ISNUMBER(M920)),"",IFERROR(IF(L920="EUR",M920,IF(L920="IRR",M920/INDEX('Assumptions &amp; FX Reference'!$C$5:$C$25,MATCH(H920,'Assumptions &amp; FX Reference'!$A$5:$A$25,0)),IF(L920="USD",M920*INDEX('Assumptions &amp; FX Reference'!$B$5:$B$25,MATCH(H920,'Assumptions &amp; FX Reference'!$A$5:$A$25,0))/INDEX('Assumptions &amp; FX Reference'!$C$5:$C$25,MATCH(H920,'Assumptions &amp; FX Reference'!$A$5:$A$25,0)),""))),"(FX missing)"))</f>
        <v/>
      </c>
      <c r="P920" s="42"/>
      <c r="Q920" s="42"/>
      <c r="R920" s="42"/>
      <c r="S920" s="42"/>
      <c r="T920" s="42"/>
      <c r="U920" s="42"/>
      <c r="V920" s="42"/>
    </row>
    <row r="921" customFormat="false" ht="15" hidden="false" customHeight="false" outlineLevel="0" collapsed="false">
      <c r="A921" s="42"/>
      <c r="B921" s="42"/>
      <c r="C921" s="45" t="str">
        <f aca="false">IF(B921="","",IFERROR(INDEX('Master Database'!$D$5:$D$600,MATCH(B921,'Master Database'!$A$5:$A$600,0)),"(row not found)"))</f>
        <v/>
      </c>
      <c r="D921" s="45" t="str">
        <f aca="false">IF(B921="","",IFERROR(INDEX('Master Database'!$B$5:$B$600,MATCH(B921,'Master Database'!$A$5:$A$600,0)),"(row not found)"))</f>
        <v/>
      </c>
      <c r="E921" s="42"/>
      <c r="F921" s="45" t="str">
        <f aca="false">IF(E921="","",IFERROR(INDEX(Vendor_Register!$B$5:$B$205,MATCH(E921,Vendor_Register!$A$5:$A$205,0)),"(not in register)"))</f>
        <v/>
      </c>
      <c r="G921" s="45" t="str">
        <f aca="false">IF(E921="","",IFERROR(INDEX(Vendor_Register!$E$5:$E$205,MATCH(E921,Vendor_Register!$A$5:$A$205,0)),"(not in register)"))</f>
        <v/>
      </c>
      <c r="H921" s="42"/>
      <c r="I921" s="42"/>
      <c r="J921" s="42"/>
      <c r="K921" s="42"/>
      <c r="L921" s="42"/>
      <c r="M921" s="46"/>
      <c r="N921" s="42"/>
      <c r="O921" s="47" t="str">
        <f aca="false">IF(NOT(ISNUMBER(M921)),"",IFERROR(IF(L921="EUR",M921,IF(L921="IRR",M921/INDEX('Assumptions &amp; FX Reference'!$C$5:$C$25,MATCH(H921,'Assumptions &amp; FX Reference'!$A$5:$A$25,0)),IF(L921="USD",M921*INDEX('Assumptions &amp; FX Reference'!$B$5:$B$25,MATCH(H921,'Assumptions &amp; FX Reference'!$A$5:$A$25,0))/INDEX('Assumptions &amp; FX Reference'!$C$5:$C$25,MATCH(H921,'Assumptions &amp; FX Reference'!$A$5:$A$25,0)),""))),"(FX missing)"))</f>
        <v/>
      </c>
      <c r="P921" s="42"/>
      <c r="Q921" s="42"/>
      <c r="R921" s="42"/>
      <c r="S921" s="42"/>
      <c r="T921" s="42"/>
      <c r="U921" s="42"/>
      <c r="V921" s="42"/>
    </row>
    <row r="922" customFormat="false" ht="15" hidden="false" customHeight="false" outlineLevel="0" collapsed="false">
      <c r="A922" s="42"/>
      <c r="B922" s="42"/>
      <c r="C922" s="45" t="str">
        <f aca="false">IF(B922="","",IFERROR(INDEX('Master Database'!$D$5:$D$600,MATCH(B922,'Master Database'!$A$5:$A$600,0)),"(row not found)"))</f>
        <v/>
      </c>
      <c r="D922" s="45" t="str">
        <f aca="false">IF(B922="","",IFERROR(INDEX('Master Database'!$B$5:$B$600,MATCH(B922,'Master Database'!$A$5:$A$600,0)),"(row not found)"))</f>
        <v/>
      </c>
      <c r="E922" s="42"/>
      <c r="F922" s="45" t="str">
        <f aca="false">IF(E922="","",IFERROR(INDEX(Vendor_Register!$B$5:$B$205,MATCH(E922,Vendor_Register!$A$5:$A$205,0)),"(not in register)"))</f>
        <v/>
      </c>
      <c r="G922" s="45" t="str">
        <f aca="false">IF(E922="","",IFERROR(INDEX(Vendor_Register!$E$5:$E$205,MATCH(E922,Vendor_Register!$A$5:$A$205,0)),"(not in register)"))</f>
        <v/>
      </c>
      <c r="H922" s="42"/>
      <c r="I922" s="42"/>
      <c r="J922" s="42"/>
      <c r="K922" s="42"/>
      <c r="L922" s="42"/>
      <c r="M922" s="46"/>
      <c r="N922" s="42"/>
      <c r="O922" s="47" t="str">
        <f aca="false">IF(NOT(ISNUMBER(M922)),"",IFERROR(IF(L922="EUR",M922,IF(L922="IRR",M922/INDEX('Assumptions &amp; FX Reference'!$C$5:$C$25,MATCH(H922,'Assumptions &amp; FX Reference'!$A$5:$A$25,0)),IF(L922="USD",M922*INDEX('Assumptions &amp; FX Reference'!$B$5:$B$25,MATCH(H922,'Assumptions &amp; FX Reference'!$A$5:$A$25,0))/INDEX('Assumptions &amp; FX Reference'!$C$5:$C$25,MATCH(H922,'Assumptions &amp; FX Reference'!$A$5:$A$25,0)),""))),"(FX missing)"))</f>
        <v/>
      </c>
      <c r="P922" s="42"/>
      <c r="Q922" s="42"/>
      <c r="R922" s="42"/>
      <c r="S922" s="42"/>
      <c r="T922" s="42"/>
      <c r="U922" s="42"/>
      <c r="V922" s="42"/>
    </row>
    <row r="923" customFormat="false" ht="15" hidden="false" customHeight="false" outlineLevel="0" collapsed="false">
      <c r="A923" s="42"/>
      <c r="B923" s="42"/>
      <c r="C923" s="45" t="str">
        <f aca="false">IF(B923="","",IFERROR(INDEX('Master Database'!$D$5:$D$600,MATCH(B923,'Master Database'!$A$5:$A$600,0)),"(row not found)"))</f>
        <v/>
      </c>
      <c r="D923" s="45" t="str">
        <f aca="false">IF(B923="","",IFERROR(INDEX('Master Database'!$B$5:$B$600,MATCH(B923,'Master Database'!$A$5:$A$600,0)),"(row not found)"))</f>
        <v/>
      </c>
      <c r="E923" s="42"/>
      <c r="F923" s="45" t="str">
        <f aca="false">IF(E923="","",IFERROR(INDEX(Vendor_Register!$B$5:$B$205,MATCH(E923,Vendor_Register!$A$5:$A$205,0)),"(not in register)"))</f>
        <v/>
      </c>
      <c r="G923" s="45" t="str">
        <f aca="false">IF(E923="","",IFERROR(INDEX(Vendor_Register!$E$5:$E$205,MATCH(E923,Vendor_Register!$A$5:$A$205,0)),"(not in register)"))</f>
        <v/>
      </c>
      <c r="H923" s="42"/>
      <c r="I923" s="42"/>
      <c r="J923" s="42"/>
      <c r="K923" s="42"/>
      <c r="L923" s="42"/>
      <c r="M923" s="46"/>
      <c r="N923" s="42"/>
      <c r="O923" s="47" t="str">
        <f aca="false">IF(NOT(ISNUMBER(M923)),"",IFERROR(IF(L923="EUR",M923,IF(L923="IRR",M923/INDEX('Assumptions &amp; FX Reference'!$C$5:$C$25,MATCH(H923,'Assumptions &amp; FX Reference'!$A$5:$A$25,0)),IF(L923="USD",M923*INDEX('Assumptions &amp; FX Reference'!$B$5:$B$25,MATCH(H923,'Assumptions &amp; FX Reference'!$A$5:$A$25,0))/INDEX('Assumptions &amp; FX Reference'!$C$5:$C$25,MATCH(H923,'Assumptions &amp; FX Reference'!$A$5:$A$25,0)),""))),"(FX missing)"))</f>
        <v/>
      </c>
      <c r="P923" s="42"/>
      <c r="Q923" s="42"/>
      <c r="R923" s="42"/>
      <c r="S923" s="42"/>
      <c r="T923" s="42"/>
      <c r="U923" s="42"/>
      <c r="V923" s="42"/>
    </row>
    <row r="924" customFormat="false" ht="15" hidden="false" customHeight="false" outlineLevel="0" collapsed="false">
      <c r="A924" s="42"/>
      <c r="B924" s="42"/>
      <c r="C924" s="45" t="str">
        <f aca="false">IF(B924="","",IFERROR(INDEX('Master Database'!$D$5:$D$600,MATCH(B924,'Master Database'!$A$5:$A$600,0)),"(row not found)"))</f>
        <v/>
      </c>
      <c r="D924" s="45" t="str">
        <f aca="false">IF(B924="","",IFERROR(INDEX('Master Database'!$B$5:$B$600,MATCH(B924,'Master Database'!$A$5:$A$600,0)),"(row not found)"))</f>
        <v/>
      </c>
      <c r="E924" s="42"/>
      <c r="F924" s="45" t="str">
        <f aca="false">IF(E924="","",IFERROR(INDEX(Vendor_Register!$B$5:$B$205,MATCH(E924,Vendor_Register!$A$5:$A$205,0)),"(not in register)"))</f>
        <v/>
      </c>
      <c r="G924" s="45" t="str">
        <f aca="false">IF(E924="","",IFERROR(INDEX(Vendor_Register!$E$5:$E$205,MATCH(E924,Vendor_Register!$A$5:$A$205,0)),"(not in register)"))</f>
        <v/>
      </c>
      <c r="H924" s="42"/>
      <c r="I924" s="42"/>
      <c r="J924" s="42"/>
      <c r="K924" s="42"/>
      <c r="L924" s="42"/>
      <c r="M924" s="46"/>
      <c r="N924" s="42"/>
      <c r="O924" s="47" t="str">
        <f aca="false">IF(NOT(ISNUMBER(M924)),"",IFERROR(IF(L924="EUR",M924,IF(L924="IRR",M924/INDEX('Assumptions &amp; FX Reference'!$C$5:$C$25,MATCH(H924,'Assumptions &amp; FX Reference'!$A$5:$A$25,0)),IF(L924="USD",M924*INDEX('Assumptions &amp; FX Reference'!$B$5:$B$25,MATCH(H924,'Assumptions &amp; FX Reference'!$A$5:$A$25,0))/INDEX('Assumptions &amp; FX Reference'!$C$5:$C$25,MATCH(H924,'Assumptions &amp; FX Reference'!$A$5:$A$25,0)),""))),"(FX missing)"))</f>
        <v/>
      </c>
      <c r="P924" s="42"/>
      <c r="Q924" s="42"/>
      <c r="R924" s="42"/>
      <c r="S924" s="42"/>
      <c r="T924" s="42"/>
      <c r="U924" s="42"/>
      <c r="V924" s="42"/>
    </row>
    <row r="925" customFormat="false" ht="15" hidden="false" customHeight="false" outlineLevel="0" collapsed="false">
      <c r="A925" s="42"/>
      <c r="B925" s="42"/>
      <c r="C925" s="45" t="str">
        <f aca="false">IF(B925="","",IFERROR(INDEX('Master Database'!$D$5:$D$600,MATCH(B925,'Master Database'!$A$5:$A$600,0)),"(row not found)"))</f>
        <v/>
      </c>
      <c r="D925" s="45" t="str">
        <f aca="false">IF(B925="","",IFERROR(INDEX('Master Database'!$B$5:$B$600,MATCH(B925,'Master Database'!$A$5:$A$600,0)),"(row not found)"))</f>
        <v/>
      </c>
      <c r="E925" s="42"/>
      <c r="F925" s="45" t="str">
        <f aca="false">IF(E925="","",IFERROR(INDEX(Vendor_Register!$B$5:$B$205,MATCH(E925,Vendor_Register!$A$5:$A$205,0)),"(not in register)"))</f>
        <v/>
      </c>
      <c r="G925" s="45" t="str">
        <f aca="false">IF(E925="","",IFERROR(INDEX(Vendor_Register!$E$5:$E$205,MATCH(E925,Vendor_Register!$A$5:$A$205,0)),"(not in register)"))</f>
        <v/>
      </c>
      <c r="H925" s="42"/>
      <c r="I925" s="42"/>
      <c r="J925" s="42"/>
      <c r="K925" s="42"/>
      <c r="L925" s="42"/>
      <c r="M925" s="46"/>
      <c r="N925" s="42"/>
      <c r="O925" s="47" t="str">
        <f aca="false">IF(NOT(ISNUMBER(M925)),"",IFERROR(IF(L925="EUR",M925,IF(L925="IRR",M925/INDEX('Assumptions &amp; FX Reference'!$C$5:$C$25,MATCH(H925,'Assumptions &amp; FX Reference'!$A$5:$A$25,0)),IF(L925="USD",M925*INDEX('Assumptions &amp; FX Reference'!$B$5:$B$25,MATCH(H925,'Assumptions &amp; FX Reference'!$A$5:$A$25,0))/INDEX('Assumptions &amp; FX Reference'!$C$5:$C$25,MATCH(H925,'Assumptions &amp; FX Reference'!$A$5:$A$25,0)),""))),"(FX missing)"))</f>
        <v/>
      </c>
      <c r="P925" s="42"/>
      <c r="Q925" s="42"/>
      <c r="R925" s="42"/>
      <c r="S925" s="42"/>
      <c r="T925" s="42"/>
      <c r="U925" s="42"/>
      <c r="V925" s="42"/>
    </row>
    <row r="926" customFormat="false" ht="15" hidden="false" customHeight="false" outlineLevel="0" collapsed="false">
      <c r="A926" s="42"/>
      <c r="B926" s="42"/>
      <c r="C926" s="45" t="str">
        <f aca="false">IF(B926="","",IFERROR(INDEX('Master Database'!$D$5:$D$600,MATCH(B926,'Master Database'!$A$5:$A$600,0)),"(row not found)"))</f>
        <v/>
      </c>
      <c r="D926" s="45" t="str">
        <f aca="false">IF(B926="","",IFERROR(INDEX('Master Database'!$B$5:$B$600,MATCH(B926,'Master Database'!$A$5:$A$600,0)),"(row not found)"))</f>
        <v/>
      </c>
      <c r="E926" s="42"/>
      <c r="F926" s="45" t="str">
        <f aca="false">IF(E926="","",IFERROR(INDEX(Vendor_Register!$B$5:$B$205,MATCH(E926,Vendor_Register!$A$5:$A$205,0)),"(not in register)"))</f>
        <v/>
      </c>
      <c r="G926" s="45" t="str">
        <f aca="false">IF(E926="","",IFERROR(INDEX(Vendor_Register!$E$5:$E$205,MATCH(E926,Vendor_Register!$A$5:$A$205,0)),"(not in register)"))</f>
        <v/>
      </c>
      <c r="H926" s="42"/>
      <c r="I926" s="42"/>
      <c r="J926" s="42"/>
      <c r="K926" s="42"/>
      <c r="L926" s="42"/>
      <c r="M926" s="46"/>
      <c r="N926" s="42"/>
      <c r="O926" s="47" t="str">
        <f aca="false">IF(NOT(ISNUMBER(M926)),"",IFERROR(IF(L926="EUR",M926,IF(L926="IRR",M926/INDEX('Assumptions &amp; FX Reference'!$C$5:$C$25,MATCH(H926,'Assumptions &amp; FX Reference'!$A$5:$A$25,0)),IF(L926="USD",M926*INDEX('Assumptions &amp; FX Reference'!$B$5:$B$25,MATCH(H926,'Assumptions &amp; FX Reference'!$A$5:$A$25,0))/INDEX('Assumptions &amp; FX Reference'!$C$5:$C$25,MATCH(H926,'Assumptions &amp; FX Reference'!$A$5:$A$25,0)),""))),"(FX missing)"))</f>
        <v/>
      </c>
      <c r="P926" s="42"/>
      <c r="Q926" s="42"/>
      <c r="R926" s="42"/>
      <c r="S926" s="42"/>
      <c r="T926" s="42"/>
      <c r="U926" s="42"/>
      <c r="V926" s="42"/>
    </row>
    <row r="927" customFormat="false" ht="15" hidden="false" customHeight="false" outlineLevel="0" collapsed="false">
      <c r="A927" s="42"/>
      <c r="B927" s="42"/>
      <c r="C927" s="45" t="str">
        <f aca="false">IF(B927="","",IFERROR(INDEX('Master Database'!$D$5:$D$600,MATCH(B927,'Master Database'!$A$5:$A$600,0)),"(row not found)"))</f>
        <v/>
      </c>
      <c r="D927" s="45" t="str">
        <f aca="false">IF(B927="","",IFERROR(INDEX('Master Database'!$B$5:$B$600,MATCH(B927,'Master Database'!$A$5:$A$600,0)),"(row not found)"))</f>
        <v/>
      </c>
      <c r="E927" s="42"/>
      <c r="F927" s="45" t="str">
        <f aca="false">IF(E927="","",IFERROR(INDEX(Vendor_Register!$B$5:$B$205,MATCH(E927,Vendor_Register!$A$5:$A$205,0)),"(not in register)"))</f>
        <v/>
      </c>
      <c r="G927" s="45" t="str">
        <f aca="false">IF(E927="","",IFERROR(INDEX(Vendor_Register!$E$5:$E$205,MATCH(E927,Vendor_Register!$A$5:$A$205,0)),"(not in register)"))</f>
        <v/>
      </c>
      <c r="H927" s="42"/>
      <c r="I927" s="42"/>
      <c r="J927" s="42"/>
      <c r="K927" s="42"/>
      <c r="L927" s="42"/>
      <c r="M927" s="46"/>
      <c r="N927" s="42"/>
      <c r="O927" s="47" t="str">
        <f aca="false">IF(NOT(ISNUMBER(M927)),"",IFERROR(IF(L927="EUR",M927,IF(L927="IRR",M927/INDEX('Assumptions &amp; FX Reference'!$C$5:$C$25,MATCH(H927,'Assumptions &amp; FX Reference'!$A$5:$A$25,0)),IF(L927="USD",M927*INDEX('Assumptions &amp; FX Reference'!$B$5:$B$25,MATCH(H927,'Assumptions &amp; FX Reference'!$A$5:$A$25,0))/INDEX('Assumptions &amp; FX Reference'!$C$5:$C$25,MATCH(H927,'Assumptions &amp; FX Reference'!$A$5:$A$25,0)),""))),"(FX missing)"))</f>
        <v/>
      </c>
      <c r="P927" s="42"/>
      <c r="Q927" s="42"/>
      <c r="R927" s="42"/>
      <c r="S927" s="42"/>
      <c r="T927" s="42"/>
      <c r="U927" s="42"/>
      <c r="V927" s="42"/>
    </row>
    <row r="928" customFormat="false" ht="15" hidden="false" customHeight="false" outlineLevel="0" collapsed="false">
      <c r="A928" s="42"/>
      <c r="B928" s="42"/>
      <c r="C928" s="45" t="str">
        <f aca="false">IF(B928="","",IFERROR(INDEX('Master Database'!$D$5:$D$600,MATCH(B928,'Master Database'!$A$5:$A$600,0)),"(row not found)"))</f>
        <v/>
      </c>
      <c r="D928" s="45" t="str">
        <f aca="false">IF(B928="","",IFERROR(INDEX('Master Database'!$B$5:$B$600,MATCH(B928,'Master Database'!$A$5:$A$600,0)),"(row not found)"))</f>
        <v/>
      </c>
      <c r="E928" s="42"/>
      <c r="F928" s="45" t="str">
        <f aca="false">IF(E928="","",IFERROR(INDEX(Vendor_Register!$B$5:$B$205,MATCH(E928,Vendor_Register!$A$5:$A$205,0)),"(not in register)"))</f>
        <v/>
      </c>
      <c r="G928" s="45" t="str">
        <f aca="false">IF(E928="","",IFERROR(INDEX(Vendor_Register!$E$5:$E$205,MATCH(E928,Vendor_Register!$A$5:$A$205,0)),"(not in register)"))</f>
        <v/>
      </c>
      <c r="H928" s="42"/>
      <c r="I928" s="42"/>
      <c r="J928" s="42"/>
      <c r="K928" s="42"/>
      <c r="L928" s="42"/>
      <c r="M928" s="46"/>
      <c r="N928" s="42"/>
      <c r="O928" s="47" t="str">
        <f aca="false">IF(NOT(ISNUMBER(M928)),"",IFERROR(IF(L928="EUR",M928,IF(L928="IRR",M928/INDEX('Assumptions &amp; FX Reference'!$C$5:$C$25,MATCH(H928,'Assumptions &amp; FX Reference'!$A$5:$A$25,0)),IF(L928="USD",M928*INDEX('Assumptions &amp; FX Reference'!$B$5:$B$25,MATCH(H928,'Assumptions &amp; FX Reference'!$A$5:$A$25,0))/INDEX('Assumptions &amp; FX Reference'!$C$5:$C$25,MATCH(H928,'Assumptions &amp; FX Reference'!$A$5:$A$25,0)),""))),"(FX missing)"))</f>
        <v/>
      </c>
      <c r="P928" s="42"/>
      <c r="Q928" s="42"/>
      <c r="R928" s="42"/>
      <c r="S928" s="42"/>
      <c r="T928" s="42"/>
      <c r="U928" s="42"/>
      <c r="V928" s="42"/>
    </row>
    <row r="929" customFormat="false" ht="15" hidden="false" customHeight="false" outlineLevel="0" collapsed="false">
      <c r="A929" s="42"/>
      <c r="B929" s="42"/>
      <c r="C929" s="45" t="str">
        <f aca="false">IF(B929="","",IFERROR(INDEX('Master Database'!$D$5:$D$600,MATCH(B929,'Master Database'!$A$5:$A$600,0)),"(row not found)"))</f>
        <v/>
      </c>
      <c r="D929" s="45" t="str">
        <f aca="false">IF(B929="","",IFERROR(INDEX('Master Database'!$B$5:$B$600,MATCH(B929,'Master Database'!$A$5:$A$600,0)),"(row not found)"))</f>
        <v/>
      </c>
      <c r="E929" s="42"/>
      <c r="F929" s="45" t="str">
        <f aca="false">IF(E929="","",IFERROR(INDEX(Vendor_Register!$B$5:$B$205,MATCH(E929,Vendor_Register!$A$5:$A$205,0)),"(not in register)"))</f>
        <v/>
      </c>
      <c r="G929" s="45" t="str">
        <f aca="false">IF(E929="","",IFERROR(INDEX(Vendor_Register!$E$5:$E$205,MATCH(E929,Vendor_Register!$A$5:$A$205,0)),"(not in register)"))</f>
        <v/>
      </c>
      <c r="H929" s="42"/>
      <c r="I929" s="42"/>
      <c r="J929" s="42"/>
      <c r="K929" s="42"/>
      <c r="L929" s="42"/>
      <c r="M929" s="46"/>
      <c r="N929" s="42"/>
      <c r="O929" s="47" t="str">
        <f aca="false">IF(NOT(ISNUMBER(M929)),"",IFERROR(IF(L929="EUR",M929,IF(L929="IRR",M929/INDEX('Assumptions &amp; FX Reference'!$C$5:$C$25,MATCH(H929,'Assumptions &amp; FX Reference'!$A$5:$A$25,0)),IF(L929="USD",M929*INDEX('Assumptions &amp; FX Reference'!$B$5:$B$25,MATCH(H929,'Assumptions &amp; FX Reference'!$A$5:$A$25,0))/INDEX('Assumptions &amp; FX Reference'!$C$5:$C$25,MATCH(H929,'Assumptions &amp; FX Reference'!$A$5:$A$25,0)),""))),"(FX missing)"))</f>
        <v/>
      </c>
      <c r="P929" s="42"/>
      <c r="Q929" s="42"/>
      <c r="R929" s="42"/>
      <c r="S929" s="42"/>
      <c r="T929" s="42"/>
      <c r="U929" s="42"/>
      <c r="V929" s="42"/>
    </row>
    <row r="930" customFormat="false" ht="15" hidden="false" customHeight="false" outlineLevel="0" collapsed="false">
      <c r="A930" s="42"/>
      <c r="B930" s="42"/>
      <c r="C930" s="45" t="str">
        <f aca="false">IF(B930="","",IFERROR(INDEX('Master Database'!$D$5:$D$600,MATCH(B930,'Master Database'!$A$5:$A$600,0)),"(row not found)"))</f>
        <v/>
      </c>
      <c r="D930" s="45" t="str">
        <f aca="false">IF(B930="","",IFERROR(INDEX('Master Database'!$B$5:$B$600,MATCH(B930,'Master Database'!$A$5:$A$600,0)),"(row not found)"))</f>
        <v/>
      </c>
      <c r="E930" s="42"/>
      <c r="F930" s="45" t="str">
        <f aca="false">IF(E930="","",IFERROR(INDEX(Vendor_Register!$B$5:$B$205,MATCH(E930,Vendor_Register!$A$5:$A$205,0)),"(not in register)"))</f>
        <v/>
      </c>
      <c r="G930" s="45" t="str">
        <f aca="false">IF(E930="","",IFERROR(INDEX(Vendor_Register!$E$5:$E$205,MATCH(E930,Vendor_Register!$A$5:$A$205,0)),"(not in register)"))</f>
        <v/>
      </c>
      <c r="H930" s="42"/>
      <c r="I930" s="42"/>
      <c r="J930" s="42"/>
      <c r="K930" s="42"/>
      <c r="L930" s="42"/>
      <c r="M930" s="46"/>
      <c r="N930" s="42"/>
      <c r="O930" s="47" t="str">
        <f aca="false">IF(NOT(ISNUMBER(M930)),"",IFERROR(IF(L930="EUR",M930,IF(L930="IRR",M930/INDEX('Assumptions &amp; FX Reference'!$C$5:$C$25,MATCH(H930,'Assumptions &amp; FX Reference'!$A$5:$A$25,0)),IF(L930="USD",M930*INDEX('Assumptions &amp; FX Reference'!$B$5:$B$25,MATCH(H930,'Assumptions &amp; FX Reference'!$A$5:$A$25,0))/INDEX('Assumptions &amp; FX Reference'!$C$5:$C$25,MATCH(H930,'Assumptions &amp; FX Reference'!$A$5:$A$25,0)),""))),"(FX missing)"))</f>
        <v/>
      </c>
      <c r="P930" s="42"/>
      <c r="Q930" s="42"/>
      <c r="R930" s="42"/>
      <c r="S930" s="42"/>
      <c r="T930" s="42"/>
      <c r="U930" s="42"/>
      <c r="V930" s="42"/>
    </row>
    <row r="931" customFormat="false" ht="15" hidden="false" customHeight="false" outlineLevel="0" collapsed="false">
      <c r="A931" s="42"/>
      <c r="B931" s="42"/>
      <c r="C931" s="45" t="str">
        <f aca="false">IF(B931="","",IFERROR(INDEX('Master Database'!$D$5:$D$600,MATCH(B931,'Master Database'!$A$5:$A$600,0)),"(row not found)"))</f>
        <v/>
      </c>
      <c r="D931" s="45" t="str">
        <f aca="false">IF(B931="","",IFERROR(INDEX('Master Database'!$B$5:$B$600,MATCH(B931,'Master Database'!$A$5:$A$600,0)),"(row not found)"))</f>
        <v/>
      </c>
      <c r="E931" s="42"/>
      <c r="F931" s="45" t="str">
        <f aca="false">IF(E931="","",IFERROR(INDEX(Vendor_Register!$B$5:$B$205,MATCH(E931,Vendor_Register!$A$5:$A$205,0)),"(not in register)"))</f>
        <v/>
      </c>
      <c r="G931" s="45" t="str">
        <f aca="false">IF(E931="","",IFERROR(INDEX(Vendor_Register!$E$5:$E$205,MATCH(E931,Vendor_Register!$A$5:$A$205,0)),"(not in register)"))</f>
        <v/>
      </c>
      <c r="H931" s="42"/>
      <c r="I931" s="42"/>
      <c r="J931" s="42"/>
      <c r="K931" s="42"/>
      <c r="L931" s="42"/>
      <c r="M931" s="46"/>
      <c r="N931" s="42"/>
      <c r="O931" s="47" t="str">
        <f aca="false">IF(NOT(ISNUMBER(M931)),"",IFERROR(IF(L931="EUR",M931,IF(L931="IRR",M931/INDEX('Assumptions &amp; FX Reference'!$C$5:$C$25,MATCH(H931,'Assumptions &amp; FX Reference'!$A$5:$A$25,0)),IF(L931="USD",M931*INDEX('Assumptions &amp; FX Reference'!$B$5:$B$25,MATCH(H931,'Assumptions &amp; FX Reference'!$A$5:$A$25,0))/INDEX('Assumptions &amp; FX Reference'!$C$5:$C$25,MATCH(H931,'Assumptions &amp; FX Reference'!$A$5:$A$25,0)),""))),"(FX missing)"))</f>
        <v/>
      </c>
      <c r="P931" s="42"/>
      <c r="Q931" s="42"/>
      <c r="R931" s="42"/>
      <c r="S931" s="42"/>
      <c r="T931" s="42"/>
      <c r="U931" s="42"/>
      <c r="V931" s="42"/>
    </row>
    <row r="932" customFormat="false" ht="15" hidden="false" customHeight="false" outlineLevel="0" collapsed="false">
      <c r="A932" s="42"/>
      <c r="B932" s="42"/>
      <c r="C932" s="45" t="str">
        <f aca="false">IF(B932="","",IFERROR(INDEX('Master Database'!$D$5:$D$600,MATCH(B932,'Master Database'!$A$5:$A$600,0)),"(row not found)"))</f>
        <v/>
      </c>
      <c r="D932" s="45" t="str">
        <f aca="false">IF(B932="","",IFERROR(INDEX('Master Database'!$B$5:$B$600,MATCH(B932,'Master Database'!$A$5:$A$600,0)),"(row not found)"))</f>
        <v/>
      </c>
      <c r="E932" s="42"/>
      <c r="F932" s="45" t="str">
        <f aca="false">IF(E932="","",IFERROR(INDEX(Vendor_Register!$B$5:$B$205,MATCH(E932,Vendor_Register!$A$5:$A$205,0)),"(not in register)"))</f>
        <v/>
      </c>
      <c r="G932" s="45" t="str">
        <f aca="false">IF(E932="","",IFERROR(INDEX(Vendor_Register!$E$5:$E$205,MATCH(E932,Vendor_Register!$A$5:$A$205,0)),"(not in register)"))</f>
        <v/>
      </c>
      <c r="H932" s="42"/>
      <c r="I932" s="42"/>
      <c r="J932" s="42"/>
      <c r="K932" s="42"/>
      <c r="L932" s="42"/>
      <c r="M932" s="46"/>
      <c r="N932" s="42"/>
      <c r="O932" s="47" t="str">
        <f aca="false">IF(NOT(ISNUMBER(M932)),"",IFERROR(IF(L932="EUR",M932,IF(L932="IRR",M932/INDEX('Assumptions &amp; FX Reference'!$C$5:$C$25,MATCH(H932,'Assumptions &amp; FX Reference'!$A$5:$A$25,0)),IF(L932="USD",M932*INDEX('Assumptions &amp; FX Reference'!$B$5:$B$25,MATCH(H932,'Assumptions &amp; FX Reference'!$A$5:$A$25,0))/INDEX('Assumptions &amp; FX Reference'!$C$5:$C$25,MATCH(H932,'Assumptions &amp; FX Reference'!$A$5:$A$25,0)),""))),"(FX missing)"))</f>
        <v/>
      </c>
      <c r="P932" s="42"/>
      <c r="Q932" s="42"/>
      <c r="R932" s="42"/>
      <c r="S932" s="42"/>
      <c r="T932" s="42"/>
      <c r="U932" s="42"/>
      <c r="V932" s="42"/>
    </row>
    <row r="933" customFormat="false" ht="15" hidden="false" customHeight="false" outlineLevel="0" collapsed="false">
      <c r="A933" s="42"/>
      <c r="B933" s="42"/>
      <c r="C933" s="45" t="str">
        <f aca="false">IF(B933="","",IFERROR(INDEX('Master Database'!$D$5:$D$600,MATCH(B933,'Master Database'!$A$5:$A$600,0)),"(row not found)"))</f>
        <v/>
      </c>
      <c r="D933" s="45" t="str">
        <f aca="false">IF(B933="","",IFERROR(INDEX('Master Database'!$B$5:$B$600,MATCH(B933,'Master Database'!$A$5:$A$600,0)),"(row not found)"))</f>
        <v/>
      </c>
      <c r="E933" s="42"/>
      <c r="F933" s="45" t="str">
        <f aca="false">IF(E933="","",IFERROR(INDEX(Vendor_Register!$B$5:$B$205,MATCH(E933,Vendor_Register!$A$5:$A$205,0)),"(not in register)"))</f>
        <v/>
      </c>
      <c r="G933" s="45" t="str">
        <f aca="false">IF(E933="","",IFERROR(INDEX(Vendor_Register!$E$5:$E$205,MATCH(E933,Vendor_Register!$A$5:$A$205,0)),"(not in register)"))</f>
        <v/>
      </c>
      <c r="H933" s="42"/>
      <c r="I933" s="42"/>
      <c r="J933" s="42"/>
      <c r="K933" s="42"/>
      <c r="L933" s="42"/>
      <c r="M933" s="46"/>
      <c r="N933" s="42"/>
      <c r="O933" s="47" t="str">
        <f aca="false">IF(NOT(ISNUMBER(M933)),"",IFERROR(IF(L933="EUR",M933,IF(L933="IRR",M933/INDEX('Assumptions &amp; FX Reference'!$C$5:$C$25,MATCH(H933,'Assumptions &amp; FX Reference'!$A$5:$A$25,0)),IF(L933="USD",M933*INDEX('Assumptions &amp; FX Reference'!$B$5:$B$25,MATCH(H933,'Assumptions &amp; FX Reference'!$A$5:$A$25,0))/INDEX('Assumptions &amp; FX Reference'!$C$5:$C$25,MATCH(H933,'Assumptions &amp; FX Reference'!$A$5:$A$25,0)),""))),"(FX missing)"))</f>
        <v/>
      </c>
      <c r="P933" s="42"/>
      <c r="Q933" s="42"/>
      <c r="R933" s="42"/>
      <c r="S933" s="42"/>
      <c r="T933" s="42"/>
      <c r="U933" s="42"/>
      <c r="V933" s="42"/>
    </row>
    <row r="934" customFormat="false" ht="15" hidden="false" customHeight="false" outlineLevel="0" collapsed="false">
      <c r="A934" s="42"/>
      <c r="B934" s="42"/>
      <c r="C934" s="45" t="str">
        <f aca="false">IF(B934="","",IFERROR(INDEX('Master Database'!$D$5:$D$600,MATCH(B934,'Master Database'!$A$5:$A$600,0)),"(row not found)"))</f>
        <v/>
      </c>
      <c r="D934" s="45" t="str">
        <f aca="false">IF(B934="","",IFERROR(INDEX('Master Database'!$B$5:$B$600,MATCH(B934,'Master Database'!$A$5:$A$600,0)),"(row not found)"))</f>
        <v/>
      </c>
      <c r="E934" s="42"/>
      <c r="F934" s="45" t="str">
        <f aca="false">IF(E934="","",IFERROR(INDEX(Vendor_Register!$B$5:$B$205,MATCH(E934,Vendor_Register!$A$5:$A$205,0)),"(not in register)"))</f>
        <v/>
      </c>
      <c r="G934" s="45" t="str">
        <f aca="false">IF(E934="","",IFERROR(INDEX(Vendor_Register!$E$5:$E$205,MATCH(E934,Vendor_Register!$A$5:$A$205,0)),"(not in register)"))</f>
        <v/>
      </c>
      <c r="H934" s="42"/>
      <c r="I934" s="42"/>
      <c r="J934" s="42"/>
      <c r="K934" s="42"/>
      <c r="L934" s="42"/>
      <c r="M934" s="46"/>
      <c r="N934" s="42"/>
      <c r="O934" s="47" t="str">
        <f aca="false">IF(NOT(ISNUMBER(M934)),"",IFERROR(IF(L934="EUR",M934,IF(L934="IRR",M934/INDEX('Assumptions &amp; FX Reference'!$C$5:$C$25,MATCH(H934,'Assumptions &amp; FX Reference'!$A$5:$A$25,0)),IF(L934="USD",M934*INDEX('Assumptions &amp; FX Reference'!$B$5:$B$25,MATCH(H934,'Assumptions &amp; FX Reference'!$A$5:$A$25,0))/INDEX('Assumptions &amp; FX Reference'!$C$5:$C$25,MATCH(H934,'Assumptions &amp; FX Reference'!$A$5:$A$25,0)),""))),"(FX missing)"))</f>
        <v/>
      </c>
      <c r="P934" s="42"/>
      <c r="Q934" s="42"/>
      <c r="R934" s="42"/>
      <c r="S934" s="42"/>
      <c r="T934" s="42"/>
      <c r="U934" s="42"/>
      <c r="V934" s="42"/>
    </row>
    <row r="935" customFormat="false" ht="15" hidden="false" customHeight="false" outlineLevel="0" collapsed="false">
      <c r="A935" s="42"/>
      <c r="B935" s="42"/>
      <c r="C935" s="45" t="str">
        <f aca="false">IF(B935="","",IFERROR(INDEX('Master Database'!$D$5:$D$600,MATCH(B935,'Master Database'!$A$5:$A$600,0)),"(row not found)"))</f>
        <v/>
      </c>
      <c r="D935" s="45" t="str">
        <f aca="false">IF(B935="","",IFERROR(INDEX('Master Database'!$B$5:$B$600,MATCH(B935,'Master Database'!$A$5:$A$600,0)),"(row not found)"))</f>
        <v/>
      </c>
      <c r="E935" s="42"/>
      <c r="F935" s="45" t="str">
        <f aca="false">IF(E935="","",IFERROR(INDEX(Vendor_Register!$B$5:$B$205,MATCH(E935,Vendor_Register!$A$5:$A$205,0)),"(not in register)"))</f>
        <v/>
      </c>
      <c r="G935" s="45" t="str">
        <f aca="false">IF(E935="","",IFERROR(INDEX(Vendor_Register!$E$5:$E$205,MATCH(E935,Vendor_Register!$A$5:$A$205,0)),"(not in register)"))</f>
        <v/>
      </c>
      <c r="H935" s="42"/>
      <c r="I935" s="42"/>
      <c r="J935" s="42"/>
      <c r="K935" s="42"/>
      <c r="L935" s="42"/>
      <c r="M935" s="46"/>
      <c r="N935" s="42"/>
      <c r="O935" s="47" t="str">
        <f aca="false">IF(NOT(ISNUMBER(M935)),"",IFERROR(IF(L935="EUR",M935,IF(L935="IRR",M935/INDEX('Assumptions &amp; FX Reference'!$C$5:$C$25,MATCH(H935,'Assumptions &amp; FX Reference'!$A$5:$A$25,0)),IF(L935="USD",M935*INDEX('Assumptions &amp; FX Reference'!$B$5:$B$25,MATCH(H935,'Assumptions &amp; FX Reference'!$A$5:$A$25,0))/INDEX('Assumptions &amp; FX Reference'!$C$5:$C$25,MATCH(H935,'Assumptions &amp; FX Reference'!$A$5:$A$25,0)),""))),"(FX missing)"))</f>
        <v/>
      </c>
      <c r="P935" s="42"/>
      <c r="Q935" s="42"/>
      <c r="R935" s="42"/>
      <c r="S935" s="42"/>
      <c r="T935" s="42"/>
      <c r="U935" s="42"/>
      <c r="V935" s="42"/>
    </row>
    <row r="936" customFormat="false" ht="15" hidden="false" customHeight="false" outlineLevel="0" collapsed="false">
      <c r="A936" s="42"/>
      <c r="B936" s="42"/>
      <c r="C936" s="45" t="str">
        <f aca="false">IF(B936="","",IFERROR(INDEX('Master Database'!$D$5:$D$600,MATCH(B936,'Master Database'!$A$5:$A$600,0)),"(row not found)"))</f>
        <v/>
      </c>
      <c r="D936" s="45" t="str">
        <f aca="false">IF(B936="","",IFERROR(INDEX('Master Database'!$B$5:$B$600,MATCH(B936,'Master Database'!$A$5:$A$600,0)),"(row not found)"))</f>
        <v/>
      </c>
      <c r="E936" s="42"/>
      <c r="F936" s="45" t="str">
        <f aca="false">IF(E936="","",IFERROR(INDEX(Vendor_Register!$B$5:$B$205,MATCH(E936,Vendor_Register!$A$5:$A$205,0)),"(not in register)"))</f>
        <v/>
      </c>
      <c r="G936" s="45" t="str">
        <f aca="false">IF(E936="","",IFERROR(INDEX(Vendor_Register!$E$5:$E$205,MATCH(E936,Vendor_Register!$A$5:$A$205,0)),"(not in register)"))</f>
        <v/>
      </c>
      <c r="H936" s="42"/>
      <c r="I936" s="42"/>
      <c r="J936" s="42"/>
      <c r="K936" s="42"/>
      <c r="L936" s="42"/>
      <c r="M936" s="46"/>
      <c r="N936" s="42"/>
      <c r="O936" s="47" t="str">
        <f aca="false">IF(NOT(ISNUMBER(M936)),"",IFERROR(IF(L936="EUR",M936,IF(L936="IRR",M936/INDEX('Assumptions &amp; FX Reference'!$C$5:$C$25,MATCH(H936,'Assumptions &amp; FX Reference'!$A$5:$A$25,0)),IF(L936="USD",M936*INDEX('Assumptions &amp; FX Reference'!$B$5:$B$25,MATCH(H936,'Assumptions &amp; FX Reference'!$A$5:$A$25,0))/INDEX('Assumptions &amp; FX Reference'!$C$5:$C$25,MATCH(H936,'Assumptions &amp; FX Reference'!$A$5:$A$25,0)),""))),"(FX missing)"))</f>
        <v/>
      </c>
      <c r="P936" s="42"/>
      <c r="Q936" s="42"/>
      <c r="R936" s="42"/>
      <c r="S936" s="42"/>
      <c r="T936" s="42"/>
      <c r="U936" s="42"/>
      <c r="V936" s="42"/>
    </row>
    <row r="937" customFormat="false" ht="15" hidden="false" customHeight="false" outlineLevel="0" collapsed="false">
      <c r="A937" s="42"/>
      <c r="B937" s="42"/>
      <c r="C937" s="45" t="str">
        <f aca="false">IF(B937="","",IFERROR(INDEX('Master Database'!$D$5:$D$600,MATCH(B937,'Master Database'!$A$5:$A$600,0)),"(row not found)"))</f>
        <v/>
      </c>
      <c r="D937" s="45" t="str">
        <f aca="false">IF(B937="","",IFERROR(INDEX('Master Database'!$B$5:$B$600,MATCH(B937,'Master Database'!$A$5:$A$600,0)),"(row not found)"))</f>
        <v/>
      </c>
      <c r="E937" s="42"/>
      <c r="F937" s="45" t="str">
        <f aca="false">IF(E937="","",IFERROR(INDEX(Vendor_Register!$B$5:$B$205,MATCH(E937,Vendor_Register!$A$5:$A$205,0)),"(not in register)"))</f>
        <v/>
      </c>
      <c r="G937" s="45" t="str">
        <f aca="false">IF(E937="","",IFERROR(INDEX(Vendor_Register!$E$5:$E$205,MATCH(E937,Vendor_Register!$A$5:$A$205,0)),"(not in register)"))</f>
        <v/>
      </c>
      <c r="H937" s="42"/>
      <c r="I937" s="42"/>
      <c r="J937" s="42"/>
      <c r="K937" s="42"/>
      <c r="L937" s="42"/>
      <c r="M937" s="46"/>
      <c r="N937" s="42"/>
      <c r="O937" s="47" t="str">
        <f aca="false">IF(NOT(ISNUMBER(M937)),"",IFERROR(IF(L937="EUR",M937,IF(L937="IRR",M937/INDEX('Assumptions &amp; FX Reference'!$C$5:$C$25,MATCH(H937,'Assumptions &amp; FX Reference'!$A$5:$A$25,0)),IF(L937="USD",M937*INDEX('Assumptions &amp; FX Reference'!$B$5:$B$25,MATCH(H937,'Assumptions &amp; FX Reference'!$A$5:$A$25,0))/INDEX('Assumptions &amp; FX Reference'!$C$5:$C$25,MATCH(H937,'Assumptions &amp; FX Reference'!$A$5:$A$25,0)),""))),"(FX missing)"))</f>
        <v/>
      </c>
      <c r="P937" s="42"/>
      <c r="Q937" s="42"/>
      <c r="R937" s="42"/>
      <c r="S937" s="42"/>
      <c r="T937" s="42"/>
      <c r="U937" s="42"/>
      <c r="V937" s="42"/>
    </row>
    <row r="938" customFormat="false" ht="15" hidden="false" customHeight="false" outlineLevel="0" collapsed="false">
      <c r="A938" s="42"/>
      <c r="B938" s="42"/>
      <c r="C938" s="45" t="str">
        <f aca="false">IF(B938="","",IFERROR(INDEX('Master Database'!$D$5:$D$600,MATCH(B938,'Master Database'!$A$5:$A$600,0)),"(row not found)"))</f>
        <v/>
      </c>
      <c r="D938" s="45" t="str">
        <f aca="false">IF(B938="","",IFERROR(INDEX('Master Database'!$B$5:$B$600,MATCH(B938,'Master Database'!$A$5:$A$600,0)),"(row not found)"))</f>
        <v/>
      </c>
      <c r="E938" s="42"/>
      <c r="F938" s="45" t="str">
        <f aca="false">IF(E938="","",IFERROR(INDEX(Vendor_Register!$B$5:$B$205,MATCH(E938,Vendor_Register!$A$5:$A$205,0)),"(not in register)"))</f>
        <v/>
      </c>
      <c r="G938" s="45" t="str">
        <f aca="false">IF(E938="","",IFERROR(INDEX(Vendor_Register!$E$5:$E$205,MATCH(E938,Vendor_Register!$A$5:$A$205,0)),"(not in register)"))</f>
        <v/>
      </c>
      <c r="H938" s="42"/>
      <c r="I938" s="42"/>
      <c r="J938" s="42"/>
      <c r="K938" s="42"/>
      <c r="L938" s="42"/>
      <c r="M938" s="46"/>
      <c r="N938" s="42"/>
      <c r="O938" s="47" t="str">
        <f aca="false">IF(NOT(ISNUMBER(M938)),"",IFERROR(IF(L938="EUR",M938,IF(L938="IRR",M938/INDEX('Assumptions &amp; FX Reference'!$C$5:$C$25,MATCH(H938,'Assumptions &amp; FX Reference'!$A$5:$A$25,0)),IF(L938="USD",M938*INDEX('Assumptions &amp; FX Reference'!$B$5:$B$25,MATCH(H938,'Assumptions &amp; FX Reference'!$A$5:$A$25,0))/INDEX('Assumptions &amp; FX Reference'!$C$5:$C$25,MATCH(H938,'Assumptions &amp; FX Reference'!$A$5:$A$25,0)),""))),"(FX missing)"))</f>
        <v/>
      </c>
      <c r="P938" s="42"/>
      <c r="Q938" s="42"/>
      <c r="R938" s="42"/>
      <c r="S938" s="42"/>
      <c r="T938" s="42"/>
      <c r="U938" s="42"/>
      <c r="V938" s="42"/>
    </row>
    <row r="939" customFormat="false" ht="15" hidden="false" customHeight="false" outlineLevel="0" collapsed="false">
      <c r="A939" s="42"/>
      <c r="B939" s="42"/>
      <c r="C939" s="45" t="str">
        <f aca="false">IF(B939="","",IFERROR(INDEX('Master Database'!$D$5:$D$600,MATCH(B939,'Master Database'!$A$5:$A$600,0)),"(row not found)"))</f>
        <v/>
      </c>
      <c r="D939" s="45" t="str">
        <f aca="false">IF(B939="","",IFERROR(INDEX('Master Database'!$B$5:$B$600,MATCH(B939,'Master Database'!$A$5:$A$600,0)),"(row not found)"))</f>
        <v/>
      </c>
      <c r="E939" s="42"/>
      <c r="F939" s="45" t="str">
        <f aca="false">IF(E939="","",IFERROR(INDEX(Vendor_Register!$B$5:$B$205,MATCH(E939,Vendor_Register!$A$5:$A$205,0)),"(not in register)"))</f>
        <v/>
      </c>
      <c r="G939" s="45" t="str">
        <f aca="false">IF(E939="","",IFERROR(INDEX(Vendor_Register!$E$5:$E$205,MATCH(E939,Vendor_Register!$A$5:$A$205,0)),"(not in register)"))</f>
        <v/>
      </c>
      <c r="H939" s="42"/>
      <c r="I939" s="42"/>
      <c r="J939" s="42"/>
      <c r="K939" s="42"/>
      <c r="L939" s="42"/>
      <c r="M939" s="46"/>
      <c r="N939" s="42"/>
      <c r="O939" s="47" t="str">
        <f aca="false">IF(NOT(ISNUMBER(M939)),"",IFERROR(IF(L939="EUR",M939,IF(L939="IRR",M939/INDEX('Assumptions &amp; FX Reference'!$C$5:$C$25,MATCH(H939,'Assumptions &amp; FX Reference'!$A$5:$A$25,0)),IF(L939="USD",M939*INDEX('Assumptions &amp; FX Reference'!$B$5:$B$25,MATCH(H939,'Assumptions &amp; FX Reference'!$A$5:$A$25,0))/INDEX('Assumptions &amp; FX Reference'!$C$5:$C$25,MATCH(H939,'Assumptions &amp; FX Reference'!$A$5:$A$25,0)),""))),"(FX missing)"))</f>
        <v/>
      </c>
      <c r="P939" s="42"/>
      <c r="Q939" s="42"/>
      <c r="R939" s="42"/>
      <c r="S939" s="42"/>
      <c r="T939" s="42"/>
      <c r="U939" s="42"/>
      <c r="V939" s="42"/>
    </row>
    <row r="940" customFormat="false" ht="15" hidden="false" customHeight="false" outlineLevel="0" collapsed="false">
      <c r="A940" s="42"/>
      <c r="B940" s="42"/>
      <c r="C940" s="45" t="str">
        <f aca="false">IF(B940="","",IFERROR(INDEX('Master Database'!$D$5:$D$600,MATCH(B940,'Master Database'!$A$5:$A$600,0)),"(row not found)"))</f>
        <v/>
      </c>
      <c r="D940" s="45" t="str">
        <f aca="false">IF(B940="","",IFERROR(INDEX('Master Database'!$B$5:$B$600,MATCH(B940,'Master Database'!$A$5:$A$600,0)),"(row not found)"))</f>
        <v/>
      </c>
      <c r="E940" s="42"/>
      <c r="F940" s="45" t="str">
        <f aca="false">IF(E940="","",IFERROR(INDEX(Vendor_Register!$B$5:$B$205,MATCH(E940,Vendor_Register!$A$5:$A$205,0)),"(not in register)"))</f>
        <v/>
      </c>
      <c r="G940" s="45" t="str">
        <f aca="false">IF(E940="","",IFERROR(INDEX(Vendor_Register!$E$5:$E$205,MATCH(E940,Vendor_Register!$A$5:$A$205,0)),"(not in register)"))</f>
        <v/>
      </c>
      <c r="H940" s="42"/>
      <c r="I940" s="42"/>
      <c r="J940" s="42"/>
      <c r="K940" s="42"/>
      <c r="L940" s="42"/>
      <c r="M940" s="46"/>
      <c r="N940" s="42"/>
      <c r="O940" s="47" t="str">
        <f aca="false">IF(NOT(ISNUMBER(M940)),"",IFERROR(IF(L940="EUR",M940,IF(L940="IRR",M940/INDEX('Assumptions &amp; FX Reference'!$C$5:$C$25,MATCH(H940,'Assumptions &amp; FX Reference'!$A$5:$A$25,0)),IF(L940="USD",M940*INDEX('Assumptions &amp; FX Reference'!$B$5:$B$25,MATCH(H940,'Assumptions &amp; FX Reference'!$A$5:$A$25,0))/INDEX('Assumptions &amp; FX Reference'!$C$5:$C$25,MATCH(H940,'Assumptions &amp; FX Reference'!$A$5:$A$25,0)),""))),"(FX missing)"))</f>
        <v/>
      </c>
      <c r="P940" s="42"/>
      <c r="Q940" s="42"/>
      <c r="R940" s="42"/>
      <c r="S940" s="42"/>
      <c r="T940" s="42"/>
      <c r="U940" s="42"/>
      <c r="V940" s="42"/>
    </row>
    <row r="941" customFormat="false" ht="15" hidden="false" customHeight="false" outlineLevel="0" collapsed="false">
      <c r="A941" s="42"/>
      <c r="B941" s="42"/>
      <c r="C941" s="45" t="str">
        <f aca="false">IF(B941="","",IFERROR(INDEX('Master Database'!$D$5:$D$600,MATCH(B941,'Master Database'!$A$5:$A$600,0)),"(row not found)"))</f>
        <v/>
      </c>
      <c r="D941" s="45" t="str">
        <f aca="false">IF(B941="","",IFERROR(INDEX('Master Database'!$B$5:$B$600,MATCH(B941,'Master Database'!$A$5:$A$600,0)),"(row not found)"))</f>
        <v/>
      </c>
      <c r="E941" s="42"/>
      <c r="F941" s="45" t="str">
        <f aca="false">IF(E941="","",IFERROR(INDEX(Vendor_Register!$B$5:$B$205,MATCH(E941,Vendor_Register!$A$5:$A$205,0)),"(not in register)"))</f>
        <v/>
      </c>
      <c r="G941" s="45" t="str">
        <f aca="false">IF(E941="","",IFERROR(INDEX(Vendor_Register!$E$5:$E$205,MATCH(E941,Vendor_Register!$A$5:$A$205,0)),"(not in register)"))</f>
        <v/>
      </c>
      <c r="H941" s="42"/>
      <c r="I941" s="42"/>
      <c r="J941" s="42"/>
      <c r="K941" s="42"/>
      <c r="L941" s="42"/>
      <c r="M941" s="46"/>
      <c r="N941" s="42"/>
      <c r="O941" s="47" t="str">
        <f aca="false">IF(NOT(ISNUMBER(M941)),"",IFERROR(IF(L941="EUR",M941,IF(L941="IRR",M941/INDEX('Assumptions &amp; FX Reference'!$C$5:$C$25,MATCH(H941,'Assumptions &amp; FX Reference'!$A$5:$A$25,0)),IF(L941="USD",M941*INDEX('Assumptions &amp; FX Reference'!$B$5:$B$25,MATCH(H941,'Assumptions &amp; FX Reference'!$A$5:$A$25,0))/INDEX('Assumptions &amp; FX Reference'!$C$5:$C$25,MATCH(H941,'Assumptions &amp; FX Reference'!$A$5:$A$25,0)),""))),"(FX missing)"))</f>
        <v/>
      </c>
      <c r="P941" s="42"/>
      <c r="Q941" s="42"/>
      <c r="R941" s="42"/>
      <c r="S941" s="42"/>
      <c r="T941" s="42"/>
      <c r="U941" s="42"/>
      <c r="V941" s="42"/>
    </row>
    <row r="942" customFormat="false" ht="15" hidden="false" customHeight="false" outlineLevel="0" collapsed="false">
      <c r="A942" s="42"/>
      <c r="B942" s="42"/>
      <c r="C942" s="45" t="str">
        <f aca="false">IF(B942="","",IFERROR(INDEX('Master Database'!$D$5:$D$600,MATCH(B942,'Master Database'!$A$5:$A$600,0)),"(row not found)"))</f>
        <v/>
      </c>
      <c r="D942" s="45" t="str">
        <f aca="false">IF(B942="","",IFERROR(INDEX('Master Database'!$B$5:$B$600,MATCH(B942,'Master Database'!$A$5:$A$600,0)),"(row not found)"))</f>
        <v/>
      </c>
      <c r="E942" s="42"/>
      <c r="F942" s="45" t="str">
        <f aca="false">IF(E942="","",IFERROR(INDEX(Vendor_Register!$B$5:$B$205,MATCH(E942,Vendor_Register!$A$5:$A$205,0)),"(not in register)"))</f>
        <v/>
      </c>
      <c r="G942" s="45" t="str">
        <f aca="false">IF(E942="","",IFERROR(INDEX(Vendor_Register!$E$5:$E$205,MATCH(E942,Vendor_Register!$A$5:$A$205,0)),"(not in register)"))</f>
        <v/>
      </c>
      <c r="H942" s="42"/>
      <c r="I942" s="42"/>
      <c r="J942" s="42"/>
      <c r="K942" s="42"/>
      <c r="L942" s="42"/>
      <c r="M942" s="46"/>
      <c r="N942" s="42"/>
      <c r="O942" s="47" t="str">
        <f aca="false">IF(NOT(ISNUMBER(M942)),"",IFERROR(IF(L942="EUR",M942,IF(L942="IRR",M942/INDEX('Assumptions &amp; FX Reference'!$C$5:$C$25,MATCH(H942,'Assumptions &amp; FX Reference'!$A$5:$A$25,0)),IF(L942="USD",M942*INDEX('Assumptions &amp; FX Reference'!$B$5:$B$25,MATCH(H942,'Assumptions &amp; FX Reference'!$A$5:$A$25,0))/INDEX('Assumptions &amp; FX Reference'!$C$5:$C$25,MATCH(H942,'Assumptions &amp; FX Reference'!$A$5:$A$25,0)),""))),"(FX missing)"))</f>
        <v/>
      </c>
      <c r="P942" s="42"/>
      <c r="Q942" s="42"/>
      <c r="R942" s="42"/>
      <c r="S942" s="42"/>
      <c r="T942" s="42"/>
      <c r="U942" s="42"/>
      <c r="V942" s="42"/>
    </row>
    <row r="943" customFormat="false" ht="15" hidden="false" customHeight="false" outlineLevel="0" collapsed="false">
      <c r="A943" s="42"/>
      <c r="B943" s="42"/>
      <c r="C943" s="45" t="str">
        <f aca="false">IF(B943="","",IFERROR(INDEX('Master Database'!$D$5:$D$600,MATCH(B943,'Master Database'!$A$5:$A$600,0)),"(row not found)"))</f>
        <v/>
      </c>
      <c r="D943" s="45" t="str">
        <f aca="false">IF(B943="","",IFERROR(INDEX('Master Database'!$B$5:$B$600,MATCH(B943,'Master Database'!$A$5:$A$600,0)),"(row not found)"))</f>
        <v/>
      </c>
      <c r="E943" s="42"/>
      <c r="F943" s="45" t="str">
        <f aca="false">IF(E943="","",IFERROR(INDEX(Vendor_Register!$B$5:$B$205,MATCH(E943,Vendor_Register!$A$5:$A$205,0)),"(not in register)"))</f>
        <v/>
      </c>
      <c r="G943" s="45" t="str">
        <f aca="false">IF(E943="","",IFERROR(INDEX(Vendor_Register!$E$5:$E$205,MATCH(E943,Vendor_Register!$A$5:$A$205,0)),"(not in register)"))</f>
        <v/>
      </c>
      <c r="H943" s="42"/>
      <c r="I943" s="42"/>
      <c r="J943" s="42"/>
      <c r="K943" s="42"/>
      <c r="L943" s="42"/>
      <c r="M943" s="46"/>
      <c r="N943" s="42"/>
      <c r="O943" s="47" t="str">
        <f aca="false">IF(NOT(ISNUMBER(M943)),"",IFERROR(IF(L943="EUR",M943,IF(L943="IRR",M943/INDEX('Assumptions &amp; FX Reference'!$C$5:$C$25,MATCH(H943,'Assumptions &amp; FX Reference'!$A$5:$A$25,0)),IF(L943="USD",M943*INDEX('Assumptions &amp; FX Reference'!$B$5:$B$25,MATCH(H943,'Assumptions &amp; FX Reference'!$A$5:$A$25,0))/INDEX('Assumptions &amp; FX Reference'!$C$5:$C$25,MATCH(H943,'Assumptions &amp; FX Reference'!$A$5:$A$25,0)),""))),"(FX missing)"))</f>
        <v/>
      </c>
      <c r="P943" s="42"/>
      <c r="Q943" s="42"/>
      <c r="R943" s="42"/>
      <c r="S943" s="42"/>
      <c r="T943" s="42"/>
      <c r="U943" s="42"/>
      <c r="V943" s="42"/>
    </row>
    <row r="944" customFormat="false" ht="15" hidden="false" customHeight="false" outlineLevel="0" collapsed="false">
      <c r="A944" s="42"/>
      <c r="B944" s="42"/>
      <c r="C944" s="45" t="str">
        <f aca="false">IF(B944="","",IFERROR(INDEX('Master Database'!$D$5:$D$600,MATCH(B944,'Master Database'!$A$5:$A$600,0)),"(row not found)"))</f>
        <v/>
      </c>
      <c r="D944" s="45" t="str">
        <f aca="false">IF(B944="","",IFERROR(INDEX('Master Database'!$B$5:$B$600,MATCH(B944,'Master Database'!$A$5:$A$600,0)),"(row not found)"))</f>
        <v/>
      </c>
      <c r="E944" s="42"/>
      <c r="F944" s="45" t="str">
        <f aca="false">IF(E944="","",IFERROR(INDEX(Vendor_Register!$B$5:$B$205,MATCH(E944,Vendor_Register!$A$5:$A$205,0)),"(not in register)"))</f>
        <v/>
      </c>
      <c r="G944" s="45" t="str">
        <f aca="false">IF(E944="","",IFERROR(INDEX(Vendor_Register!$E$5:$E$205,MATCH(E944,Vendor_Register!$A$5:$A$205,0)),"(not in register)"))</f>
        <v/>
      </c>
      <c r="H944" s="42"/>
      <c r="I944" s="42"/>
      <c r="J944" s="42"/>
      <c r="K944" s="42"/>
      <c r="L944" s="42"/>
      <c r="M944" s="46"/>
      <c r="N944" s="42"/>
      <c r="O944" s="47" t="str">
        <f aca="false">IF(NOT(ISNUMBER(M944)),"",IFERROR(IF(L944="EUR",M944,IF(L944="IRR",M944/INDEX('Assumptions &amp; FX Reference'!$C$5:$C$25,MATCH(H944,'Assumptions &amp; FX Reference'!$A$5:$A$25,0)),IF(L944="USD",M944*INDEX('Assumptions &amp; FX Reference'!$B$5:$B$25,MATCH(H944,'Assumptions &amp; FX Reference'!$A$5:$A$25,0))/INDEX('Assumptions &amp; FX Reference'!$C$5:$C$25,MATCH(H944,'Assumptions &amp; FX Reference'!$A$5:$A$25,0)),""))),"(FX missing)"))</f>
        <v/>
      </c>
      <c r="P944" s="42"/>
      <c r="Q944" s="42"/>
      <c r="R944" s="42"/>
      <c r="S944" s="42"/>
      <c r="T944" s="42"/>
      <c r="U944" s="42"/>
      <c r="V944" s="42"/>
    </row>
    <row r="945" customFormat="false" ht="15" hidden="false" customHeight="false" outlineLevel="0" collapsed="false">
      <c r="A945" s="42"/>
      <c r="B945" s="42"/>
      <c r="C945" s="45" t="str">
        <f aca="false">IF(B945="","",IFERROR(INDEX('Master Database'!$D$5:$D$600,MATCH(B945,'Master Database'!$A$5:$A$600,0)),"(row not found)"))</f>
        <v/>
      </c>
      <c r="D945" s="45" t="str">
        <f aca="false">IF(B945="","",IFERROR(INDEX('Master Database'!$B$5:$B$600,MATCH(B945,'Master Database'!$A$5:$A$600,0)),"(row not found)"))</f>
        <v/>
      </c>
      <c r="E945" s="42"/>
      <c r="F945" s="45" t="str">
        <f aca="false">IF(E945="","",IFERROR(INDEX(Vendor_Register!$B$5:$B$205,MATCH(E945,Vendor_Register!$A$5:$A$205,0)),"(not in register)"))</f>
        <v/>
      </c>
      <c r="G945" s="45" t="str">
        <f aca="false">IF(E945="","",IFERROR(INDEX(Vendor_Register!$E$5:$E$205,MATCH(E945,Vendor_Register!$A$5:$A$205,0)),"(not in register)"))</f>
        <v/>
      </c>
      <c r="H945" s="42"/>
      <c r="I945" s="42"/>
      <c r="J945" s="42"/>
      <c r="K945" s="42"/>
      <c r="L945" s="42"/>
      <c r="M945" s="46"/>
      <c r="N945" s="42"/>
      <c r="O945" s="47" t="str">
        <f aca="false">IF(NOT(ISNUMBER(M945)),"",IFERROR(IF(L945="EUR",M945,IF(L945="IRR",M945/INDEX('Assumptions &amp; FX Reference'!$C$5:$C$25,MATCH(H945,'Assumptions &amp; FX Reference'!$A$5:$A$25,0)),IF(L945="USD",M945*INDEX('Assumptions &amp; FX Reference'!$B$5:$B$25,MATCH(H945,'Assumptions &amp; FX Reference'!$A$5:$A$25,0))/INDEX('Assumptions &amp; FX Reference'!$C$5:$C$25,MATCH(H945,'Assumptions &amp; FX Reference'!$A$5:$A$25,0)),""))),"(FX missing)"))</f>
        <v/>
      </c>
      <c r="P945" s="42"/>
      <c r="Q945" s="42"/>
      <c r="R945" s="42"/>
      <c r="S945" s="42"/>
      <c r="T945" s="42"/>
      <c r="U945" s="42"/>
      <c r="V945" s="42"/>
    </row>
    <row r="946" customFormat="false" ht="15" hidden="false" customHeight="false" outlineLevel="0" collapsed="false">
      <c r="A946" s="42"/>
      <c r="B946" s="42"/>
      <c r="C946" s="45" t="str">
        <f aca="false">IF(B946="","",IFERROR(INDEX('Master Database'!$D$5:$D$600,MATCH(B946,'Master Database'!$A$5:$A$600,0)),"(row not found)"))</f>
        <v/>
      </c>
      <c r="D946" s="45" t="str">
        <f aca="false">IF(B946="","",IFERROR(INDEX('Master Database'!$B$5:$B$600,MATCH(B946,'Master Database'!$A$5:$A$600,0)),"(row not found)"))</f>
        <v/>
      </c>
      <c r="E946" s="42"/>
      <c r="F946" s="45" t="str">
        <f aca="false">IF(E946="","",IFERROR(INDEX(Vendor_Register!$B$5:$B$205,MATCH(E946,Vendor_Register!$A$5:$A$205,0)),"(not in register)"))</f>
        <v/>
      </c>
      <c r="G946" s="45" t="str">
        <f aca="false">IF(E946="","",IFERROR(INDEX(Vendor_Register!$E$5:$E$205,MATCH(E946,Vendor_Register!$A$5:$A$205,0)),"(not in register)"))</f>
        <v/>
      </c>
      <c r="H946" s="42"/>
      <c r="I946" s="42"/>
      <c r="J946" s="42"/>
      <c r="K946" s="42"/>
      <c r="L946" s="42"/>
      <c r="M946" s="46"/>
      <c r="N946" s="42"/>
      <c r="O946" s="47" t="str">
        <f aca="false">IF(NOT(ISNUMBER(M946)),"",IFERROR(IF(L946="EUR",M946,IF(L946="IRR",M946/INDEX('Assumptions &amp; FX Reference'!$C$5:$C$25,MATCH(H946,'Assumptions &amp; FX Reference'!$A$5:$A$25,0)),IF(L946="USD",M946*INDEX('Assumptions &amp; FX Reference'!$B$5:$B$25,MATCH(H946,'Assumptions &amp; FX Reference'!$A$5:$A$25,0))/INDEX('Assumptions &amp; FX Reference'!$C$5:$C$25,MATCH(H946,'Assumptions &amp; FX Reference'!$A$5:$A$25,0)),""))),"(FX missing)"))</f>
        <v/>
      </c>
      <c r="P946" s="42"/>
      <c r="Q946" s="42"/>
      <c r="R946" s="42"/>
      <c r="S946" s="42"/>
      <c r="T946" s="42"/>
      <c r="U946" s="42"/>
      <c r="V946" s="42"/>
    </row>
    <row r="947" customFormat="false" ht="15" hidden="false" customHeight="false" outlineLevel="0" collapsed="false">
      <c r="A947" s="42"/>
      <c r="B947" s="42"/>
      <c r="C947" s="45" t="str">
        <f aca="false">IF(B947="","",IFERROR(INDEX('Master Database'!$D$5:$D$600,MATCH(B947,'Master Database'!$A$5:$A$600,0)),"(row not found)"))</f>
        <v/>
      </c>
      <c r="D947" s="45" t="str">
        <f aca="false">IF(B947="","",IFERROR(INDEX('Master Database'!$B$5:$B$600,MATCH(B947,'Master Database'!$A$5:$A$600,0)),"(row not found)"))</f>
        <v/>
      </c>
      <c r="E947" s="42"/>
      <c r="F947" s="45" t="str">
        <f aca="false">IF(E947="","",IFERROR(INDEX(Vendor_Register!$B$5:$B$205,MATCH(E947,Vendor_Register!$A$5:$A$205,0)),"(not in register)"))</f>
        <v/>
      </c>
      <c r="G947" s="45" t="str">
        <f aca="false">IF(E947="","",IFERROR(INDEX(Vendor_Register!$E$5:$E$205,MATCH(E947,Vendor_Register!$A$5:$A$205,0)),"(not in register)"))</f>
        <v/>
      </c>
      <c r="H947" s="42"/>
      <c r="I947" s="42"/>
      <c r="J947" s="42"/>
      <c r="K947" s="42"/>
      <c r="L947" s="42"/>
      <c r="M947" s="46"/>
      <c r="N947" s="42"/>
      <c r="O947" s="47" t="str">
        <f aca="false">IF(NOT(ISNUMBER(M947)),"",IFERROR(IF(L947="EUR",M947,IF(L947="IRR",M947/INDEX('Assumptions &amp; FX Reference'!$C$5:$C$25,MATCH(H947,'Assumptions &amp; FX Reference'!$A$5:$A$25,0)),IF(L947="USD",M947*INDEX('Assumptions &amp; FX Reference'!$B$5:$B$25,MATCH(H947,'Assumptions &amp; FX Reference'!$A$5:$A$25,0))/INDEX('Assumptions &amp; FX Reference'!$C$5:$C$25,MATCH(H947,'Assumptions &amp; FX Reference'!$A$5:$A$25,0)),""))),"(FX missing)"))</f>
        <v/>
      </c>
      <c r="P947" s="42"/>
      <c r="Q947" s="42"/>
      <c r="R947" s="42"/>
      <c r="S947" s="42"/>
      <c r="T947" s="42"/>
      <c r="U947" s="42"/>
      <c r="V947" s="42"/>
    </row>
    <row r="948" customFormat="false" ht="15" hidden="false" customHeight="false" outlineLevel="0" collapsed="false">
      <c r="A948" s="42"/>
      <c r="B948" s="42"/>
      <c r="C948" s="45" t="str">
        <f aca="false">IF(B948="","",IFERROR(INDEX('Master Database'!$D$5:$D$600,MATCH(B948,'Master Database'!$A$5:$A$600,0)),"(row not found)"))</f>
        <v/>
      </c>
      <c r="D948" s="45" t="str">
        <f aca="false">IF(B948="","",IFERROR(INDEX('Master Database'!$B$5:$B$600,MATCH(B948,'Master Database'!$A$5:$A$600,0)),"(row not found)"))</f>
        <v/>
      </c>
      <c r="E948" s="42"/>
      <c r="F948" s="45" t="str">
        <f aca="false">IF(E948="","",IFERROR(INDEX(Vendor_Register!$B$5:$B$205,MATCH(E948,Vendor_Register!$A$5:$A$205,0)),"(not in register)"))</f>
        <v/>
      </c>
      <c r="G948" s="45" t="str">
        <f aca="false">IF(E948="","",IFERROR(INDEX(Vendor_Register!$E$5:$E$205,MATCH(E948,Vendor_Register!$A$5:$A$205,0)),"(not in register)"))</f>
        <v/>
      </c>
      <c r="H948" s="42"/>
      <c r="I948" s="42"/>
      <c r="J948" s="42"/>
      <c r="K948" s="42"/>
      <c r="L948" s="42"/>
      <c r="M948" s="46"/>
      <c r="N948" s="42"/>
      <c r="O948" s="47" t="str">
        <f aca="false">IF(NOT(ISNUMBER(M948)),"",IFERROR(IF(L948="EUR",M948,IF(L948="IRR",M948/INDEX('Assumptions &amp; FX Reference'!$C$5:$C$25,MATCH(H948,'Assumptions &amp; FX Reference'!$A$5:$A$25,0)),IF(L948="USD",M948*INDEX('Assumptions &amp; FX Reference'!$B$5:$B$25,MATCH(H948,'Assumptions &amp; FX Reference'!$A$5:$A$25,0))/INDEX('Assumptions &amp; FX Reference'!$C$5:$C$25,MATCH(H948,'Assumptions &amp; FX Reference'!$A$5:$A$25,0)),""))),"(FX missing)"))</f>
        <v/>
      </c>
      <c r="P948" s="42"/>
      <c r="Q948" s="42"/>
      <c r="R948" s="42"/>
      <c r="S948" s="42"/>
      <c r="T948" s="42"/>
      <c r="U948" s="42"/>
      <c r="V948" s="42"/>
    </row>
    <row r="949" customFormat="false" ht="15" hidden="false" customHeight="false" outlineLevel="0" collapsed="false">
      <c r="A949" s="42"/>
      <c r="B949" s="42"/>
      <c r="C949" s="45" t="str">
        <f aca="false">IF(B949="","",IFERROR(INDEX('Master Database'!$D$5:$D$600,MATCH(B949,'Master Database'!$A$5:$A$600,0)),"(row not found)"))</f>
        <v/>
      </c>
      <c r="D949" s="45" t="str">
        <f aca="false">IF(B949="","",IFERROR(INDEX('Master Database'!$B$5:$B$600,MATCH(B949,'Master Database'!$A$5:$A$600,0)),"(row not found)"))</f>
        <v/>
      </c>
      <c r="E949" s="42"/>
      <c r="F949" s="45" t="str">
        <f aca="false">IF(E949="","",IFERROR(INDEX(Vendor_Register!$B$5:$B$205,MATCH(E949,Vendor_Register!$A$5:$A$205,0)),"(not in register)"))</f>
        <v/>
      </c>
      <c r="G949" s="45" t="str">
        <f aca="false">IF(E949="","",IFERROR(INDEX(Vendor_Register!$E$5:$E$205,MATCH(E949,Vendor_Register!$A$5:$A$205,0)),"(not in register)"))</f>
        <v/>
      </c>
      <c r="H949" s="42"/>
      <c r="I949" s="42"/>
      <c r="J949" s="42"/>
      <c r="K949" s="42"/>
      <c r="L949" s="42"/>
      <c r="M949" s="46"/>
      <c r="N949" s="42"/>
      <c r="O949" s="47" t="str">
        <f aca="false">IF(NOT(ISNUMBER(M949)),"",IFERROR(IF(L949="EUR",M949,IF(L949="IRR",M949/INDEX('Assumptions &amp; FX Reference'!$C$5:$C$25,MATCH(H949,'Assumptions &amp; FX Reference'!$A$5:$A$25,0)),IF(L949="USD",M949*INDEX('Assumptions &amp; FX Reference'!$B$5:$B$25,MATCH(H949,'Assumptions &amp; FX Reference'!$A$5:$A$25,0))/INDEX('Assumptions &amp; FX Reference'!$C$5:$C$25,MATCH(H949,'Assumptions &amp; FX Reference'!$A$5:$A$25,0)),""))),"(FX missing)"))</f>
        <v/>
      </c>
      <c r="P949" s="42"/>
      <c r="Q949" s="42"/>
      <c r="R949" s="42"/>
      <c r="S949" s="42"/>
      <c r="T949" s="42"/>
      <c r="U949" s="42"/>
      <c r="V949" s="42"/>
    </row>
    <row r="950" customFormat="false" ht="15" hidden="false" customHeight="false" outlineLevel="0" collapsed="false">
      <c r="A950" s="42"/>
      <c r="B950" s="42"/>
      <c r="C950" s="45" t="str">
        <f aca="false">IF(B950="","",IFERROR(INDEX('Master Database'!$D$5:$D$600,MATCH(B950,'Master Database'!$A$5:$A$600,0)),"(row not found)"))</f>
        <v/>
      </c>
      <c r="D950" s="45" t="str">
        <f aca="false">IF(B950="","",IFERROR(INDEX('Master Database'!$B$5:$B$600,MATCH(B950,'Master Database'!$A$5:$A$600,0)),"(row not found)"))</f>
        <v/>
      </c>
      <c r="E950" s="42"/>
      <c r="F950" s="45" t="str">
        <f aca="false">IF(E950="","",IFERROR(INDEX(Vendor_Register!$B$5:$B$205,MATCH(E950,Vendor_Register!$A$5:$A$205,0)),"(not in register)"))</f>
        <v/>
      </c>
      <c r="G950" s="45" t="str">
        <f aca="false">IF(E950="","",IFERROR(INDEX(Vendor_Register!$E$5:$E$205,MATCH(E950,Vendor_Register!$A$5:$A$205,0)),"(not in register)"))</f>
        <v/>
      </c>
      <c r="H950" s="42"/>
      <c r="I950" s="42"/>
      <c r="J950" s="42"/>
      <c r="K950" s="42"/>
      <c r="L950" s="42"/>
      <c r="M950" s="46"/>
      <c r="N950" s="42"/>
      <c r="O950" s="47" t="str">
        <f aca="false">IF(NOT(ISNUMBER(M950)),"",IFERROR(IF(L950="EUR",M950,IF(L950="IRR",M950/INDEX('Assumptions &amp; FX Reference'!$C$5:$C$25,MATCH(H950,'Assumptions &amp; FX Reference'!$A$5:$A$25,0)),IF(L950="USD",M950*INDEX('Assumptions &amp; FX Reference'!$B$5:$B$25,MATCH(H950,'Assumptions &amp; FX Reference'!$A$5:$A$25,0))/INDEX('Assumptions &amp; FX Reference'!$C$5:$C$25,MATCH(H950,'Assumptions &amp; FX Reference'!$A$5:$A$25,0)),""))),"(FX missing)"))</f>
        <v/>
      </c>
      <c r="P950" s="42"/>
      <c r="Q950" s="42"/>
      <c r="R950" s="42"/>
      <c r="S950" s="42"/>
      <c r="T950" s="42"/>
      <c r="U950" s="42"/>
      <c r="V950" s="42"/>
    </row>
    <row r="951" customFormat="false" ht="15" hidden="false" customHeight="false" outlineLevel="0" collapsed="false">
      <c r="A951" s="42"/>
      <c r="B951" s="42"/>
      <c r="C951" s="45" t="str">
        <f aca="false">IF(B951="","",IFERROR(INDEX('Master Database'!$D$5:$D$600,MATCH(B951,'Master Database'!$A$5:$A$600,0)),"(row not found)"))</f>
        <v/>
      </c>
      <c r="D951" s="45" t="str">
        <f aca="false">IF(B951="","",IFERROR(INDEX('Master Database'!$B$5:$B$600,MATCH(B951,'Master Database'!$A$5:$A$600,0)),"(row not found)"))</f>
        <v/>
      </c>
      <c r="E951" s="42"/>
      <c r="F951" s="45" t="str">
        <f aca="false">IF(E951="","",IFERROR(INDEX(Vendor_Register!$B$5:$B$205,MATCH(E951,Vendor_Register!$A$5:$A$205,0)),"(not in register)"))</f>
        <v/>
      </c>
      <c r="G951" s="45" t="str">
        <f aca="false">IF(E951="","",IFERROR(INDEX(Vendor_Register!$E$5:$E$205,MATCH(E951,Vendor_Register!$A$5:$A$205,0)),"(not in register)"))</f>
        <v/>
      </c>
      <c r="H951" s="42"/>
      <c r="I951" s="42"/>
      <c r="J951" s="42"/>
      <c r="K951" s="42"/>
      <c r="L951" s="42"/>
      <c r="M951" s="46"/>
      <c r="N951" s="42"/>
      <c r="O951" s="47" t="str">
        <f aca="false">IF(NOT(ISNUMBER(M951)),"",IFERROR(IF(L951="EUR",M951,IF(L951="IRR",M951/INDEX('Assumptions &amp; FX Reference'!$C$5:$C$25,MATCH(H951,'Assumptions &amp; FX Reference'!$A$5:$A$25,0)),IF(L951="USD",M951*INDEX('Assumptions &amp; FX Reference'!$B$5:$B$25,MATCH(H951,'Assumptions &amp; FX Reference'!$A$5:$A$25,0))/INDEX('Assumptions &amp; FX Reference'!$C$5:$C$25,MATCH(H951,'Assumptions &amp; FX Reference'!$A$5:$A$25,0)),""))),"(FX missing)"))</f>
        <v/>
      </c>
      <c r="P951" s="42"/>
      <c r="Q951" s="42"/>
      <c r="R951" s="42"/>
      <c r="S951" s="42"/>
      <c r="T951" s="42"/>
      <c r="U951" s="42"/>
      <c r="V951" s="42"/>
    </row>
    <row r="952" customFormat="false" ht="15" hidden="false" customHeight="false" outlineLevel="0" collapsed="false">
      <c r="A952" s="42"/>
      <c r="B952" s="42"/>
      <c r="C952" s="45" t="str">
        <f aca="false">IF(B952="","",IFERROR(INDEX('Master Database'!$D$5:$D$600,MATCH(B952,'Master Database'!$A$5:$A$600,0)),"(row not found)"))</f>
        <v/>
      </c>
      <c r="D952" s="45" t="str">
        <f aca="false">IF(B952="","",IFERROR(INDEX('Master Database'!$B$5:$B$600,MATCH(B952,'Master Database'!$A$5:$A$600,0)),"(row not found)"))</f>
        <v/>
      </c>
      <c r="E952" s="42"/>
      <c r="F952" s="45" t="str">
        <f aca="false">IF(E952="","",IFERROR(INDEX(Vendor_Register!$B$5:$B$205,MATCH(E952,Vendor_Register!$A$5:$A$205,0)),"(not in register)"))</f>
        <v/>
      </c>
      <c r="G952" s="45" t="str">
        <f aca="false">IF(E952="","",IFERROR(INDEX(Vendor_Register!$E$5:$E$205,MATCH(E952,Vendor_Register!$A$5:$A$205,0)),"(not in register)"))</f>
        <v/>
      </c>
      <c r="H952" s="42"/>
      <c r="I952" s="42"/>
      <c r="J952" s="42"/>
      <c r="K952" s="42"/>
      <c r="L952" s="42"/>
      <c r="M952" s="46"/>
      <c r="N952" s="42"/>
      <c r="O952" s="47" t="str">
        <f aca="false">IF(NOT(ISNUMBER(M952)),"",IFERROR(IF(L952="EUR",M952,IF(L952="IRR",M952/INDEX('Assumptions &amp; FX Reference'!$C$5:$C$25,MATCH(H952,'Assumptions &amp; FX Reference'!$A$5:$A$25,0)),IF(L952="USD",M952*INDEX('Assumptions &amp; FX Reference'!$B$5:$B$25,MATCH(H952,'Assumptions &amp; FX Reference'!$A$5:$A$25,0))/INDEX('Assumptions &amp; FX Reference'!$C$5:$C$25,MATCH(H952,'Assumptions &amp; FX Reference'!$A$5:$A$25,0)),""))),"(FX missing)"))</f>
        <v/>
      </c>
      <c r="P952" s="42"/>
      <c r="Q952" s="42"/>
      <c r="R952" s="42"/>
      <c r="S952" s="42"/>
      <c r="T952" s="42"/>
      <c r="U952" s="42"/>
      <c r="V952" s="42"/>
    </row>
    <row r="953" customFormat="false" ht="15" hidden="false" customHeight="false" outlineLevel="0" collapsed="false">
      <c r="A953" s="42"/>
      <c r="B953" s="42"/>
      <c r="C953" s="45" t="str">
        <f aca="false">IF(B953="","",IFERROR(INDEX('Master Database'!$D$5:$D$600,MATCH(B953,'Master Database'!$A$5:$A$600,0)),"(row not found)"))</f>
        <v/>
      </c>
      <c r="D953" s="45" t="str">
        <f aca="false">IF(B953="","",IFERROR(INDEX('Master Database'!$B$5:$B$600,MATCH(B953,'Master Database'!$A$5:$A$600,0)),"(row not found)"))</f>
        <v/>
      </c>
      <c r="E953" s="42"/>
      <c r="F953" s="45" t="str">
        <f aca="false">IF(E953="","",IFERROR(INDEX(Vendor_Register!$B$5:$B$205,MATCH(E953,Vendor_Register!$A$5:$A$205,0)),"(not in register)"))</f>
        <v/>
      </c>
      <c r="G953" s="45" t="str">
        <f aca="false">IF(E953="","",IFERROR(INDEX(Vendor_Register!$E$5:$E$205,MATCH(E953,Vendor_Register!$A$5:$A$205,0)),"(not in register)"))</f>
        <v/>
      </c>
      <c r="H953" s="42"/>
      <c r="I953" s="42"/>
      <c r="J953" s="42"/>
      <c r="K953" s="42"/>
      <c r="L953" s="42"/>
      <c r="M953" s="46"/>
      <c r="N953" s="42"/>
      <c r="O953" s="47" t="str">
        <f aca="false">IF(NOT(ISNUMBER(M953)),"",IFERROR(IF(L953="EUR",M953,IF(L953="IRR",M953/INDEX('Assumptions &amp; FX Reference'!$C$5:$C$25,MATCH(H953,'Assumptions &amp; FX Reference'!$A$5:$A$25,0)),IF(L953="USD",M953*INDEX('Assumptions &amp; FX Reference'!$B$5:$B$25,MATCH(H953,'Assumptions &amp; FX Reference'!$A$5:$A$25,0))/INDEX('Assumptions &amp; FX Reference'!$C$5:$C$25,MATCH(H953,'Assumptions &amp; FX Reference'!$A$5:$A$25,0)),""))),"(FX missing)"))</f>
        <v/>
      </c>
      <c r="P953" s="42"/>
      <c r="Q953" s="42"/>
      <c r="R953" s="42"/>
      <c r="S953" s="42"/>
      <c r="T953" s="42"/>
      <c r="U953" s="42"/>
      <c r="V953" s="42"/>
    </row>
    <row r="954" customFormat="false" ht="15" hidden="false" customHeight="false" outlineLevel="0" collapsed="false">
      <c r="A954" s="42"/>
      <c r="B954" s="42"/>
      <c r="C954" s="45" t="str">
        <f aca="false">IF(B954="","",IFERROR(INDEX('Master Database'!$D$5:$D$600,MATCH(B954,'Master Database'!$A$5:$A$600,0)),"(row not found)"))</f>
        <v/>
      </c>
      <c r="D954" s="45" t="str">
        <f aca="false">IF(B954="","",IFERROR(INDEX('Master Database'!$B$5:$B$600,MATCH(B954,'Master Database'!$A$5:$A$600,0)),"(row not found)"))</f>
        <v/>
      </c>
      <c r="E954" s="42"/>
      <c r="F954" s="45" t="str">
        <f aca="false">IF(E954="","",IFERROR(INDEX(Vendor_Register!$B$5:$B$205,MATCH(E954,Vendor_Register!$A$5:$A$205,0)),"(not in register)"))</f>
        <v/>
      </c>
      <c r="G954" s="45" t="str">
        <f aca="false">IF(E954="","",IFERROR(INDEX(Vendor_Register!$E$5:$E$205,MATCH(E954,Vendor_Register!$A$5:$A$205,0)),"(not in register)"))</f>
        <v/>
      </c>
      <c r="H954" s="42"/>
      <c r="I954" s="42"/>
      <c r="J954" s="42"/>
      <c r="K954" s="42"/>
      <c r="L954" s="42"/>
      <c r="M954" s="46"/>
      <c r="N954" s="42"/>
      <c r="O954" s="47" t="str">
        <f aca="false">IF(NOT(ISNUMBER(M954)),"",IFERROR(IF(L954="EUR",M954,IF(L954="IRR",M954/INDEX('Assumptions &amp; FX Reference'!$C$5:$C$25,MATCH(H954,'Assumptions &amp; FX Reference'!$A$5:$A$25,0)),IF(L954="USD",M954*INDEX('Assumptions &amp; FX Reference'!$B$5:$B$25,MATCH(H954,'Assumptions &amp; FX Reference'!$A$5:$A$25,0))/INDEX('Assumptions &amp; FX Reference'!$C$5:$C$25,MATCH(H954,'Assumptions &amp; FX Reference'!$A$5:$A$25,0)),""))),"(FX missing)"))</f>
        <v/>
      </c>
      <c r="P954" s="42"/>
      <c r="Q954" s="42"/>
      <c r="R954" s="42"/>
      <c r="S954" s="42"/>
      <c r="T954" s="42"/>
      <c r="U954" s="42"/>
      <c r="V954" s="42"/>
    </row>
    <row r="955" customFormat="false" ht="15" hidden="false" customHeight="false" outlineLevel="0" collapsed="false">
      <c r="A955" s="42"/>
      <c r="B955" s="42"/>
      <c r="C955" s="45" t="str">
        <f aca="false">IF(B955="","",IFERROR(INDEX('Master Database'!$D$5:$D$600,MATCH(B955,'Master Database'!$A$5:$A$600,0)),"(row not found)"))</f>
        <v/>
      </c>
      <c r="D955" s="45" t="str">
        <f aca="false">IF(B955="","",IFERROR(INDEX('Master Database'!$B$5:$B$600,MATCH(B955,'Master Database'!$A$5:$A$600,0)),"(row not found)"))</f>
        <v/>
      </c>
      <c r="E955" s="42"/>
      <c r="F955" s="45" t="str">
        <f aca="false">IF(E955="","",IFERROR(INDEX(Vendor_Register!$B$5:$B$205,MATCH(E955,Vendor_Register!$A$5:$A$205,0)),"(not in register)"))</f>
        <v/>
      </c>
      <c r="G955" s="45" t="str">
        <f aca="false">IF(E955="","",IFERROR(INDEX(Vendor_Register!$E$5:$E$205,MATCH(E955,Vendor_Register!$A$5:$A$205,0)),"(not in register)"))</f>
        <v/>
      </c>
      <c r="H955" s="42"/>
      <c r="I955" s="42"/>
      <c r="J955" s="42"/>
      <c r="K955" s="42"/>
      <c r="L955" s="42"/>
      <c r="M955" s="46"/>
      <c r="N955" s="42"/>
      <c r="O955" s="47" t="str">
        <f aca="false">IF(NOT(ISNUMBER(M955)),"",IFERROR(IF(L955="EUR",M955,IF(L955="IRR",M955/INDEX('Assumptions &amp; FX Reference'!$C$5:$C$25,MATCH(H955,'Assumptions &amp; FX Reference'!$A$5:$A$25,0)),IF(L955="USD",M955*INDEX('Assumptions &amp; FX Reference'!$B$5:$B$25,MATCH(H955,'Assumptions &amp; FX Reference'!$A$5:$A$25,0))/INDEX('Assumptions &amp; FX Reference'!$C$5:$C$25,MATCH(H955,'Assumptions &amp; FX Reference'!$A$5:$A$25,0)),""))),"(FX missing)"))</f>
        <v/>
      </c>
      <c r="P955" s="42"/>
      <c r="Q955" s="42"/>
      <c r="R955" s="42"/>
      <c r="S955" s="42"/>
      <c r="T955" s="42"/>
      <c r="U955" s="42"/>
      <c r="V955" s="42"/>
    </row>
    <row r="956" customFormat="false" ht="15" hidden="false" customHeight="false" outlineLevel="0" collapsed="false">
      <c r="A956" s="42"/>
      <c r="B956" s="42"/>
      <c r="C956" s="45" t="str">
        <f aca="false">IF(B956="","",IFERROR(INDEX('Master Database'!$D$5:$D$600,MATCH(B956,'Master Database'!$A$5:$A$600,0)),"(row not found)"))</f>
        <v/>
      </c>
      <c r="D956" s="45" t="str">
        <f aca="false">IF(B956="","",IFERROR(INDEX('Master Database'!$B$5:$B$600,MATCH(B956,'Master Database'!$A$5:$A$600,0)),"(row not found)"))</f>
        <v/>
      </c>
      <c r="E956" s="42"/>
      <c r="F956" s="45" t="str">
        <f aca="false">IF(E956="","",IFERROR(INDEX(Vendor_Register!$B$5:$B$205,MATCH(E956,Vendor_Register!$A$5:$A$205,0)),"(not in register)"))</f>
        <v/>
      </c>
      <c r="G956" s="45" t="str">
        <f aca="false">IF(E956="","",IFERROR(INDEX(Vendor_Register!$E$5:$E$205,MATCH(E956,Vendor_Register!$A$5:$A$205,0)),"(not in register)"))</f>
        <v/>
      </c>
      <c r="H956" s="42"/>
      <c r="I956" s="42"/>
      <c r="J956" s="42"/>
      <c r="K956" s="42"/>
      <c r="L956" s="42"/>
      <c r="M956" s="46"/>
      <c r="N956" s="42"/>
      <c r="O956" s="47" t="str">
        <f aca="false">IF(NOT(ISNUMBER(M956)),"",IFERROR(IF(L956="EUR",M956,IF(L956="IRR",M956/INDEX('Assumptions &amp; FX Reference'!$C$5:$C$25,MATCH(H956,'Assumptions &amp; FX Reference'!$A$5:$A$25,0)),IF(L956="USD",M956*INDEX('Assumptions &amp; FX Reference'!$B$5:$B$25,MATCH(H956,'Assumptions &amp; FX Reference'!$A$5:$A$25,0))/INDEX('Assumptions &amp; FX Reference'!$C$5:$C$25,MATCH(H956,'Assumptions &amp; FX Reference'!$A$5:$A$25,0)),""))),"(FX missing)"))</f>
        <v/>
      </c>
      <c r="P956" s="42"/>
      <c r="Q956" s="42"/>
      <c r="R956" s="42"/>
      <c r="S956" s="42"/>
      <c r="T956" s="42"/>
      <c r="U956" s="42"/>
      <c r="V956" s="42"/>
    </row>
    <row r="957" customFormat="false" ht="15" hidden="false" customHeight="false" outlineLevel="0" collapsed="false">
      <c r="A957" s="42"/>
      <c r="B957" s="42"/>
      <c r="C957" s="45" t="str">
        <f aca="false">IF(B957="","",IFERROR(INDEX('Master Database'!$D$5:$D$600,MATCH(B957,'Master Database'!$A$5:$A$600,0)),"(row not found)"))</f>
        <v/>
      </c>
      <c r="D957" s="45" t="str">
        <f aca="false">IF(B957="","",IFERROR(INDEX('Master Database'!$B$5:$B$600,MATCH(B957,'Master Database'!$A$5:$A$600,0)),"(row not found)"))</f>
        <v/>
      </c>
      <c r="E957" s="42"/>
      <c r="F957" s="45" t="str">
        <f aca="false">IF(E957="","",IFERROR(INDEX(Vendor_Register!$B$5:$B$205,MATCH(E957,Vendor_Register!$A$5:$A$205,0)),"(not in register)"))</f>
        <v/>
      </c>
      <c r="G957" s="45" t="str">
        <f aca="false">IF(E957="","",IFERROR(INDEX(Vendor_Register!$E$5:$E$205,MATCH(E957,Vendor_Register!$A$5:$A$205,0)),"(not in register)"))</f>
        <v/>
      </c>
      <c r="H957" s="42"/>
      <c r="I957" s="42"/>
      <c r="J957" s="42"/>
      <c r="K957" s="42"/>
      <c r="L957" s="42"/>
      <c r="M957" s="46"/>
      <c r="N957" s="42"/>
      <c r="O957" s="47" t="str">
        <f aca="false">IF(NOT(ISNUMBER(M957)),"",IFERROR(IF(L957="EUR",M957,IF(L957="IRR",M957/INDEX('Assumptions &amp; FX Reference'!$C$5:$C$25,MATCH(H957,'Assumptions &amp; FX Reference'!$A$5:$A$25,0)),IF(L957="USD",M957*INDEX('Assumptions &amp; FX Reference'!$B$5:$B$25,MATCH(H957,'Assumptions &amp; FX Reference'!$A$5:$A$25,0))/INDEX('Assumptions &amp; FX Reference'!$C$5:$C$25,MATCH(H957,'Assumptions &amp; FX Reference'!$A$5:$A$25,0)),""))),"(FX missing)"))</f>
        <v/>
      </c>
      <c r="P957" s="42"/>
      <c r="Q957" s="42"/>
      <c r="R957" s="42"/>
      <c r="S957" s="42"/>
      <c r="T957" s="42"/>
      <c r="U957" s="42"/>
      <c r="V957" s="42"/>
    </row>
    <row r="958" customFormat="false" ht="15" hidden="false" customHeight="false" outlineLevel="0" collapsed="false">
      <c r="A958" s="42"/>
      <c r="B958" s="42"/>
      <c r="C958" s="45" t="str">
        <f aca="false">IF(B958="","",IFERROR(INDEX('Master Database'!$D$5:$D$600,MATCH(B958,'Master Database'!$A$5:$A$600,0)),"(row not found)"))</f>
        <v/>
      </c>
      <c r="D958" s="45" t="str">
        <f aca="false">IF(B958="","",IFERROR(INDEX('Master Database'!$B$5:$B$600,MATCH(B958,'Master Database'!$A$5:$A$600,0)),"(row not found)"))</f>
        <v/>
      </c>
      <c r="E958" s="42"/>
      <c r="F958" s="45" t="str">
        <f aca="false">IF(E958="","",IFERROR(INDEX(Vendor_Register!$B$5:$B$205,MATCH(E958,Vendor_Register!$A$5:$A$205,0)),"(not in register)"))</f>
        <v/>
      </c>
      <c r="G958" s="45" t="str">
        <f aca="false">IF(E958="","",IFERROR(INDEX(Vendor_Register!$E$5:$E$205,MATCH(E958,Vendor_Register!$A$5:$A$205,0)),"(not in register)"))</f>
        <v/>
      </c>
      <c r="H958" s="42"/>
      <c r="I958" s="42"/>
      <c r="J958" s="42"/>
      <c r="K958" s="42"/>
      <c r="L958" s="42"/>
      <c r="M958" s="46"/>
      <c r="N958" s="42"/>
      <c r="O958" s="47" t="str">
        <f aca="false">IF(NOT(ISNUMBER(M958)),"",IFERROR(IF(L958="EUR",M958,IF(L958="IRR",M958/INDEX('Assumptions &amp; FX Reference'!$C$5:$C$25,MATCH(H958,'Assumptions &amp; FX Reference'!$A$5:$A$25,0)),IF(L958="USD",M958*INDEX('Assumptions &amp; FX Reference'!$B$5:$B$25,MATCH(H958,'Assumptions &amp; FX Reference'!$A$5:$A$25,0))/INDEX('Assumptions &amp; FX Reference'!$C$5:$C$25,MATCH(H958,'Assumptions &amp; FX Reference'!$A$5:$A$25,0)),""))),"(FX missing)"))</f>
        <v/>
      </c>
      <c r="P958" s="42"/>
      <c r="Q958" s="42"/>
      <c r="R958" s="42"/>
      <c r="S958" s="42"/>
      <c r="T958" s="42"/>
      <c r="U958" s="42"/>
      <c r="V958" s="42"/>
    </row>
    <row r="959" customFormat="false" ht="15" hidden="false" customHeight="false" outlineLevel="0" collapsed="false">
      <c r="A959" s="42"/>
      <c r="B959" s="42"/>
      <c r="C959" s="45" t="str">
        <f aca="false">IF(B959="","",IFERROR(INDEX('Master Database'!$D$5:$D$600,MATCH(B959,'Master Database'!$A$5:$A$600,0)),"(row not found)"))</f>
        <v/>
      </c>
      <c r="D959" s="45" t="str">
        <f aca="false">IF(B959="","",IFERROR(INDEX('Master Database'!$B$5:$B$600,MATCH(B959,'Master Database'!$A$5:$A$600,0)),"(row not found)"))</f>
        <v/>
      </c>
      <c r="E959" s="42"/>
      <c r="F959" s="45" t="str">
        <f aca="false">IF(E959="","",IFERROR(INDEX(Vendor_Register!$B$5:$B$205,MATCH(E959,Vendor_Register!$A$5:$A$205,0)),"(not in register)"))</f>
        <v/>
      </c>
      <c r="G959" s="45" t="str">
        <f aca="false">IF(E959="","",IFERROR(INDEX(Vendor_Register!$E$5:$E$205,MATCH(E959,Vendor_Register!$A$5:$A$205,0)),"(not in register)"))</f>
        <v/>
      </c>
      <c r="H959" s="42"/>
      <c r="I959" s="42"/>
      <c r="J959" s="42"/>
      <c r="K959" s="42"/>
      <c r="L959" s="42"/>
      <c r="M959" s="46"/>
      <c r="N959" s="42"/>
      <c r="O959" s="47" t="str">
        <f aca="false">IF(NOT(ISNUMBER(M959)),"",IFERROR(IF(L959="EUR",M959,IF(L959="IRR",M959/INDEX('Assumptions &amp; FX Reference'!$C$5:$C$25,MATCH(H959,'Assumptions &amp; FX Reference'!$A$5:$A$25,0)),IF(L959="USD",M959*INDEX('Assumptions &amp; FX Reference'!$B$5:$B$25,MATCH(H959,'Assumptions &amp; FX Reference'!$A$5:$A$25,0))/INDEX('Assumptions &amp; FX Reference'!$C$5:$C$25,MATCH(H959,'Assumptions &amp; FX Reference'!$A$5:$A$25,0)),""))),"(FX missing)"))</f>
        <v/>
      </c>
      <c r="P959" s="42"/>
      <c r="Q959" s="42"/>
      <c r="R959" s="42"/>
      <c r="S959" s="42"/>
      <c r="T959" s="42"/>
      <c r="U959" s="42"/>
      <c r="V959" s="42"/>
    </row>
    <row r="960" customFormat="false" ht="15" hidden="false" customHeight="false" outlineLevel="0" collapsed="false">
      <c r="A960" s="42"/>
      <c r="B960" s="42"/>
      <c r="C960" s="45" t="str">
        <f aca="false">IF(B960="","",IFERROR(INDEX('Master Database'!$D$5:$D$600,MATCH(B960,'Master Database'!$A$5:$A$600,0)),"(row not found)"))</f>
        <v/>
      </c>
      <c r="D960" s="45" t="str">
        <f aca="false">IF(B960="","",IFERROR(INDEX('Master Database'!$B$5:$B$600,MATCH(B960,'Master Database'!$A$5:$A$600,0)),"(row not found)"))</f>
        <v/>
      </c>
      <c r="E960" s="42"/>
      <c r="F960" s="45" t="str">
        <f aca="false">IF(E960="","",IFERROR(INDEX(Vendor_Register!$B$5:$B$205,MATCH(E960,Vendor_Register!$A$5:$A$205,0)),"(not in register)"))</f>
        <v/>
      </c>
      <c r="G960" s="45" t="str">
        <f aca="false">IF(E960="","",IFERROR(INDEX(Vendor_Register!$E$5:$E$205,MATCH(E960,Vendor_Register!$A$5:$A$205,0)),"(not in register)"))</f>
        <v/>
      </c>
      <c r="H960" s="42"/>
      <c r="I960" s="42"/>
      <c r="J960" s="42"/>
      <c r="K960" s="42"/>
      <c r="L960" s="42"/>
      <c r="M960" s="46"/>
      <c r="N960" s="42"/>
      <c r="O960" s="47" t="str">
        <f aca="false">IF(NOT(ISNUMBER(M960)),"",IFERROR(IF(L960="EUR",M960,IF(L960="IRR",M960/INDEX('Assumptions &amp; FX Reference'!$C$5:$C$25,MATCH(H960,'Assumptions &amp; FX Reference'!$A$5:$A$25,0)),IF(L960="USD",M960*INDEX('Assumptions &amp; FX Reference'!$B$5:$B$25,MATCH(H960,'Assumptions &amp; FX Reference'!$A$5:$A$25,0))/INDEX('Assumptions &amp; FX Reference'!$C$5:$C$25,MATCH(H960,'Assumptions &amp; FX Reference'!$A$5:$A$25,0)),""))),"(FX missing)"))</f>
        <v/>
      </c>
      <c r="P960" s="42"/>
      <c r="Q960" s="42"/>
      <c r="R960" s="42"/>
      <c r="S960" s="42"/>
      <c r="T960" s="42"/>
      <c r="U960" s="42"/>
      <c r="V960" s="42"/>
    </row>
    <row r="961" customFormat="false" ht="15" hidden="false" customHeight="false" outlineLevel="0" collapsed="false">
      <c r="A961" s="42"/>
      <c r="B961" s="42"/>
      <c r="C961" s="45" t="str">
        <f aca="false">IF(B961="","",IFERROR(INDEX('Master Database'!$D$5:$D$600,MATCH(B961,'Master Database'!$A$5:$A$600,0)),"(row not found)"))</f>
        <v/>
      </c>
      <c r="D961" s="45" t="str">
        <f aca="false">IF(B961="","",IFERROR(INDEX('Master Database'!$B$5:$B$600,MATCH(B961,'Master Database'!$A$5:$A$600,0)),"(row not found)"))</f>
        <v/>
      </c>
      <c r="E961" s="42"/>
      <c r="F961" s="45" t="str">
        <f aca="false">IF(E961="","",IFERROR(INDEX(Vendor_Register!$B$5:$B$205,MATCH(E961,Vendor_Register!$A$5:$A$205,0)),"(not in register)"))</f>
        <v/>
      </c>
      <c r="G961" s="45" t="str">
        <f aca="false">IF(E961="","",IFERROR(INDEX(Vendor_Register!$E$5:$E$205,MATCH(E961,Vendor_Register!$A$5:$A$205,0)),"(not in register)"))</f>
        <v/>
      </c>
      <c r="H961" s="42"/>
      <c r="I961" s="42"/>
      <c r="J961" s="42"/>
      <c r="K961" s="42"/>
      <c r="L961" s="42"/>
      <c r="M961" s="46"/>
      <c r="N961" s="42"/>
      <c r="O961" s="47" t="str">
        <f aca="false">IF(NOT(ISNUMBER(M961)),"",IFERROR(IF(L961="EUR",M961,IF(L961="IRR",M961/INDEX('Assumptions &amp; FX Reference'!$C$5:$C$25,MATCH(H961,'Assumptions &amp; FX Reference'!$A$5:$A$25,0)),IF(L961="USD",M961*INDEX('Assumptions &amp; FX Reference'!$B$5:$B$25,MATCH(H961,'Assumptions &amp; FX Reference'!$A$5:$A$25,0))/INDEX('Assumptions &amp; FX Reference'!$C$5:$C$25,MATCH(H961,'Assumptions &amp; FX Reference'!$A$5:$A$25,0)),""))),"(FX missing)"))</f>
        <v/>
      </c>
      <c r="P961" s="42"/>
      <c r="Q961" s="42"/>
      <c r="R961" s="42"/>
      <c r="S961" s="42"/>
      <c r="T961" s="42"/>
      <c r="U961" s="42"/>
      <c r="V961" s="42"/>
    </row>
    <row r="962" customFormat="false" ht="15" hidden="false" customHeight="false" outlineLevel="0" collapsed="false">
      <c r="A962" s="42"/>
      <c r="B962" s="42"/>
      <c r="C962" s="45" t="str">
        <f aca="false">IF(B962="","",IFERROR(INDEX('Master Database'!$D$5:$D$600,MATCH(B962,'Master Database'!$A$5:$A$600,0)),"(row not found)"))</f>
        <v/>
      </c>
      <c r="D962" s="45" t="str">
        <f aca="false">IF(B962="","",IFERROR(INDEX('Master Database'!$B$5:$B$600,MATCH(B962,'Master Database'!$A$5:$A$600,0)),"(row not found)"))</f>
        <v/>
      </c>
      <c r="E962" s="42"/>
      <c r="F962" s="45" t="str">
        <f aca="false">IF(E962="","",IFERROR(INDEX(Vendor_Register!$B$5:$B$205,MATCH(E962,Vendor_Register!$A$5:$A$205,0)),"(not in register)"))</f>
        <v/>
      </c>
      <c r="G962" s="45" t="str">
        <f aca="false">IF(E962="","",IFERROR(INDEX(Vendor_Register!$E$5:$E$205,MATCH(E962,Vendor_Register!$A$5:$A$205,0)),"(not in register)"))</f>
        <v/>
      </c>
      <c r="H962" s="42"/>
      <c r="I962" s="42"/>
      <c r="J962" s="42"/>
      <c r="K962" s="42"/>
      <c r="L962" s="42"/>
      <c r="M962" s="46"/>
      <c r="N962" s="42"/>
      <c r="O962" s="47" t="str">
        <f aca="false">IF(NOT(ISNUMBER(M962)),"",IFERROR(IF(L962="EUR",M962,IF(L962="IRR",M962/INDEX('Assumptions &amp; FX Reference'!$C$5:$C$25,MATCH(H962,'Assumptions &amp; FX Reference'!$A$5:$A$25,0)),IF(L962="USD",M962*INDEX('Assumptions &amp; FX Reference'!$B$5:$B$25,MATCH(H962,'Assumptions &amp; FX Reference'!$A$5:$A$25,0))/INDEX('Assumptions &amp; FX Reference'!$C$5:$C$25,MATCH(H962,'Assumptions &amp; FX Reference'!$A$5:$A$25,0)),""))),"(FX missing)"))</f>
        <v/>
      </c>
      <c r="P962" s="42"/>
      <c r="Q962" s="42"/>
      <c r="R962" s="42"/>
      <c r="S962" s="42"/>
      <c r="T962" s="42"/>
      <c r="U962" s="42"/>
      <c r="V962" s="42"/>
    </row>
    <row r="963" customFormat="false" ht="15" hidden="false" customHeight="false" outlineLevel="0" collapsed="false">
      <c r="A963" s="42"/>
      <c r="B963" s="42"/>
      <c r="C963" s="45" t="str">
        <f aca="false">IF(B963="","",IFERROR(INDEX('Master Database'!$D$5:$D$600,MATCH(B963,'Master Database'!$A$5:$A$600,0)),"(row not found)"))</f>
        <v/>
      </c>
      <c r="D963" s="45" t="str">
        <f aca="false">IF(B963="","",IFERROR(INDEX('Master Database'!$B$5:$B$600,MATCH(B963,'Master Database'!$A$5:$A$600,0)),"(row not found)"))</f>
        <v/>
      </c>
      <c r="E963" s="42"/>
      <c r="F963" s="45" t="str">
        <f aca="false">IF(E963="","",IFERROR(INDEX(Vendor_Register!$B$5:$B$205,MATCH(E963,Vendor_Register!$A$5:$A$205,0)),"(not in register)"))</f>
        <v/>
      </c>
      <c r="G963" s="45" t="str">
        <f aca="false">IF(E963="","",IFERROR(INDEX(Vendor_Register!$E$5:$E$205,MATCH(E963,Vendor_Register!$A$5:$A$205,0)),"(not in register)"))</f>
        <v/>
      </c>
      <c r="H963" s="42"/>
      <c r="I963" s="42"/>
      <c r="J963" s="42"/>
      <c r="K963" s="42"/>
      <c r="L963" s="42"/>
      <c r="M963" s="46"/>
      <c r="N963" s="42"/>
      <c r="O963" s="47" t="str">
        <f aca="false">IF(NOT(ISNUMBER(M963)),"",IFERROR(IF(L963="EUR",M963,IF(L963="IRR",M963/INDEX('Assumptions &amp; FX Reference'!$C$5:$C$25,MATCH(H963,'Assumptions &amp; FX Reference'!$A$5:$A$25,0)),IF(L963="USD",M963*INDEX('Assumptions &amp; FX Reference'!$B$5:$B$25,MATCH(H963,'Assumptions &amp; FX Reference'!$A$5:$A$25,0))/INDEX('Assumptions &amp; FX Reference'!$C$5:$C$25,MATCH(H963,'Assumptions &amp; FX Reference'!$A$5:$A$25,0)),""))),"(FX missing)"))</f>
        <v/>
      </c>
      <c r="P963" s="42"/>
      <c r="Q963" s="42"/>
      <c r="R963" s="42"/>
      <c r="S963" s="42"/>
      <c r="T963" s="42"/>
      <c r="U963" s="42"/>
      <c r="V963" s="42"/>
    </row>
    <row r="964" customFormat="false" ht="15" hidden="false" customHeight="false" outlineLevel="0" collapsed="false">
      <c r="A964" s="42"/>
      <c r="B964" s="42"/>
      <c r="C964" s="45" t="str">
        <f aca="false">IF(B964="","",IFERROR(INDEX('Master Database'!$D$5:$D$600,MATCH(B964,'Master Database'!$A$5:$A$600,0)),"(row not found)"))</f>
        <v/>
      </c>
      <c r="D964" s="45" t="str">
        <f aca="false">IF(B964="","",IFERROR(INDEX('Master Database'!$B$5:$B$600,MATCH(B964,'Master Database'!$A$5:$A$600,0)),"(row not found)"))</f>
        <v/>
      </c>
      <c r="E964" s="42"/>
      <c r="F964" s="45" t="str">
        <f aca="false">IF(E964="","",IFERROR(INDEX(Vendor_Register!$B$5:$B$205,MATCH(E964,Vendor_Register!$A$5:$A$205,0)),"(not in register)"))</f>
        <v/>
      </c>
      <c r="G964" s="45" t="str">
        <f aca="false">IF(E964="","",IFERROR(INDEX(Vendor_Register!$E$5:$E$205,MATCH(E964,Vendor_Register!$A$5:$A$205,0)),"(not in register)"))</f>
        <v/>
      </c>
      <c r="H964" s="42"/>
      <c r="I964" s="42"/>
      <c r="J964" s="42"/>
      <c r="K964" s="42"/>
      <c r="L964" s="42"/>
      <c r="M964" s="46"/>
      <c r="N964" s="42"/>
      <c r="O964" s="47" t="str">
        <f aca="false">IF(NOT(ISNUMBER(M964)),"",IFERROR(IF(L964="EUR",M964,IF(L964="IRR",M964/INDEX('Assumptions &amp; FX Reference'!$C$5:$C$25,MATCH(H964,'Assumptions &amp; FX Reference'!$A$5:$A$25,0)),IF(L964="USD",M964*INDEX('Assumptions &amp; FX Reference'!$B$5:$B$25,MATCH(H964,'Assumptions &amp; FX Reference'!$A$5:$A$25,0))/INDEX('Assumptions &amp; FX Reference'!$C$5:$C$25,MATCH(H964,'Assumptions &amp; FX Reference'!$A$5:$A$25,0)),""))),"(FX missing)"))</f>
        <v/>
      </c>
      <c r="P964" s="42"/>
      <c r="Q964" s="42"/>
      <c r="R964" s="42"/>
      <c r="S964" s="42"/>
      <c r="T964" s="42"/>
      <c r="U964" s="42"/>
      <c r="V964" s="42"/>
    </row>
    <row r="965" customFormat="false" ht="15" hidden="false" customHeight="false" outlineLevel="0" collapsed="false">
      <c r="A965" s="42"/>
      <c r="B965" s="42"/>
      <c r="C965" s="45" t="str">
        <f aca="false">IF(B965="","",IFERROR(INDEX('Master Database'!$D$5:$D$600,MATCH(B965,'Master Database'!$A$5:$A$600,0)),"(row not found)"))</f>
        <v/>
      </c>
      <c r="D965" s="45" t="str">
        <f aca="false">IF(B965="","",IFERROR(INDEX('Master Database'!$B$5:$B$600,MATCH(B965,'Master Database'!$A$5:$A$600,0)),"(row not found)"))</f>
        <v/>
      </c>
      <c r="E965" s="42"/>
      <c r="F965" s="45" t="str">
        <f aca="false">IF(E965="","",IFERROR(INDEX(Vendor_Register!$B$5:$B$205,MATCH(E965,Vendor_Register!$A$5:$A$205,0)),"(not in register)"))</f>
        <v/>
      </c>
      <c r="G965" s="45" t="str">
        <f aca="false">IF(E965="","",IFERROR(INDEX(Vendor_Register!$E$5:$E$205,MATCH(E965,Vendor_Register!$A$5:$A$205,0)),"(not in register)"))</f>
        <v/>
      </c>
      <c r="H965" s="42"/>
      <c r="I965" s="42"/>
      <c r="J965" s="42"/>
      <c r="K965" s="42"/>
      <c r="L965" s="42"/>
      <c r="M965" s="46"/>
      <c r="N965" s="42"/>
      <c r="O965" s="47" t="str">
        <f aca="false">IF(NOT(ISNUMBER(M965)),"",IFERROR(IF(L965="EUR",M965,IF(L965="IRR",M965/INDEX('Assumptions &amp; FX Reference'!$C$5:$C$25,MATCH(H965,'Assumptions &amp; FX Reference'!$A$5:$A$25,0)),IF(L965="USD",M965*INDEX('Assumptions &amp; FX Reference'!$B$5:$B$25,MATCH(H965,'Assumptions &amp; FX Reference'!$A$5:$A$25,0))/INDEX('Assumptions &amp; FX Reference'!$C$5:$C$25,MATCH(H965,'Assumptions &amp; FX Reference'!$A$5:$A$25,0)),""))),"(FX missing)"))</f>
        <v/>
      </c>
      <c r="P965" s="42"/>
      <c r="Q965" s="42"/>
      <c r="R965" s="42"/>
      <c r="S965" s="42"/>
      <c r="T965" s="42"/>
      <c r="U965" s="42"/>
      <c r="V965" s="42"/>
    </row>
    <row r="966" customFormat="false" ht="15" hidden="false" customHeight="false" outlineLevel="0" collapsed="false">
      <c r="A966" s="42"/>
      <c r="B966" s="42"/>
      <c r="C966" s="45" t="str">
        <f aca="false">IF(B966="","",IFERROR(INDEX('Master Database'!$D$5:$D$600,MATCH(B966,'Master Database'!$A$5:$A$600,0)),"(row not found)"))</f>
        <v/>
      </c>
      <c r="D966" s="45" t="str">
        <f aca="false">IF(B966="","",IFERROR(INDEX('Master Database'!$B$5:$B$600,MATCH(B966,'Master Database'!$A$5:$A$600,0)),"(row not found)"))</f>
        <v/>
      </c>
      <c r="E966" s="42"/>
      <c r="F966" s="45" t="str">
        <f aca="false">IF(E966="","",IFERROR(INDEX(Vendor_Register!$B$5:$B$205,MATCH(E966,Vendor_Register!$A$5:$A$205,0)),"(not in register)"))</f>
        <v/>
      </c>
      <c r="G966" s="45" t="str">
        <f aca="false">IF(E966="","",IFERROR(INDEX(Vendor_Register!$E$5:$E$205,MATCH(E966,Vendor_Register!$A$5:$A$205,0)),"(not in register)"))</f>
        <v/>
      </c>
      <c r="H966" s="42"/>
      <c r="I966" s="42"/>
      <c r="J966" s="42"/>
      <c r="K966" s="42"/>
      <c r="L966" s="42"/>
      <c r="M966" s="46"/>
      <c r="N966" s="42"/>
      <c r="O966" s="47" t="str">
        <f aca="false">IF(NOT(ISNUMBER(M966)),"",IFERROR(IF(L966="EUR",M966,IF(L966="IRR",M966/INDEX('Assumptions &amp; FX Reference'!$C$5:$C$25,MATCH(H966,'Assumptions &amp; FX Reference'!$A$5:$A$25,0)),IF(L966="USD",M966*INDEX('Assumptions &amp; FX Reference'!$B$5:$B$25,MATCH(H966,'Assumptions &amp; FX Reference'!$A$5:$A$25,0))/INDEX('Assumptions &amp; FX Reference'!$C$5:$C$25,MATCH(H966,'Assumptions &amp; FX Reference'!$A$5:$A$25,0)),""))),"(FX missing)"))</f>
        <v/>
      </c>
      <c r="P966" s="42"/>
      <c r="Q966" s="42"/>
      <c r="R966" s="42"/>
      <c r="S966" s="42"/>
      <c r="T966" s="42"/>
      <c r="U966" s="42"/>
      <c r="V966" s="42"/>
    </row>
    <row r="967" customFormat="false" ht="15" hidden="false" customHeight="false" outlineLevel="0" collapsed="false">
      <c r="A967" s="42"/>
      <c r="B967" s="42"/>
      <c r="C967" s="45" t="str">
        <f aca="false">IF(B967="","",IFERROR(INDEX('Master Database'!$D$5:$D$600,MATCH(B967,'Master Database'!$A$5:$A$600,0)),"(row not found)"))</f>
        <v/>
      </c>
      <c r="D967" s="45" t="str">
        <f aca="false">IF(B967="","",IFERROR(INDEX('Master Database'!$B$5:$B$600,MATCH(B967,'Master Database'!$A$5:$A$600,0)),"(row not found)"))</f>
        <v/>
      </c>
      <c r="E967" s="42"/>
      <c r="F967" s="45" t="str">
        <f aca="false">IF(E967="","",IFERROR(INDEX(Vendor_Register!$B$5:$B$205,MATCH(E967,Vendor_Register!$A$5:$A$205,0)),"(not in register)"))</f>
        <v/>
      </c>
      <c r="G967" s="45" t="str">
        <f aca="false">IF(E967="","",IFERROR(INDEX(Vendor_Register!$E$5:$E$205,MATCH(E967,Vendor_Register!$A$5:$A$205,0)),"(not in register)"))</f>
        <v/>
      </c>
      <c r="H967" s="42"/>
      <c r="I967" s="42"/>
      <c r="J967" s="42"/>
      <c r="K967" s="42"/>
      <c r="L967" s="42"/>
      <c r="M967" s="46"/>
      <c r="N967" s="42"/>
      <c r="O967" s="47" t="str">
        <f aca="false">IF(NOT(ISNUMBER(M967)),"",IFERROR(IF(L967="EUR",M967,IF(L967="IRR",M967/INDEX('Assumptions &amp; FX Reference'!$C$5:$C$25,MATCH(H967,'Assumptions &amp; FX Reference'!$A$5:$A$25,0)),IF(L967="USD",M967*INDEX('Assumptions &amp; FX Reference'!$B$5:$B$25,MATCH(H967,'Assumptions &amp; FX Reference'!$A$5:$A$25,0))/INDEX('Assumptions &amp; FX Reference'!$C$5:$C$25,MATCH(H967,'Assumptions &amp; FX Reference'!$A$5:$A$25,0)),""))),"(FX missing)"))</f>
        <v/>
      </c>
      <c r="P967" s="42"/>
      <c r="Q967" s="42"/>
      <c r="R967" s="42"/>
      <c r="S967" s="42"/>
      <c r="T967" s="42"/>
      <c r="U967" s="42"/>
      <c r="V967" s="42"/>
    </row>
    <row r="968" customFormat="false" ht="15" hidden="false" customHeight="false" outlineLevel="0" collapsed="false">
      <c r="A968" s="42"/>
      <c r="B968" s="42"/>
      <c r="C968" s="45" t="str">
        <f aca="false">IF(B968="","",IFERROR(INDEX('Master Database'!$D$5:$D$600,MATCH(B968,'Master Database'!$A$5:$A$600,0)),"(row not found)"))</f>
        <v/>
      </c>
      <c r="D968" s="45" t="str">
        <f aca="false">IF(B968="","",IFERROR(INDEX('Master Database'!$B$5:$B$600,MATCH(B968,'Master Database'!$A$5:$A$600,0)),"(row not found)"))</f>
        <v/>
      </c>
      <c r="E968" s="42"/>
      <c r="F968" s="45" t="str">
        <f aca="false">IF(E968="","",IFERROR(INDEX(Vendor_Register!$B$5:$B$205,MATCH(E968,Vendor_Register!$A$5:$A$205,0)),"(not in register)"))</f>
        <v/>
      </c>
      <c r="G968" s="45" t="str">
        <f aca="false">IF(E968="","",IFERROR(INDEX(Vendor_Register!$E$5:$E$205,MATCH(E968,Vendor_Register!$A$5:$A$205,0)),"(not in register)"))</f>
        <v/>
      </c>
      <c r="H968" s="42"/>
      <c r="I968" s="42"/>
      <c r="J968" s="42"/>
      <c r="K968" s="42"/>
      <c r="L968" s="42"/>
      <c r="M968" s="46"/>
      <c r="N968" s="42"/>
      <c r="O968" s="47" t="str">
        <f aca="false">IF(NOT(ISNUMBER(M968)),"",IFERROR(IF(L968="EUR",M968,IF(L968="IRR",M968/INDEX('Assumptions &amp; FX Reference'!$C$5:$C$25,MATCH(H968,'Assumptions &amp; FX Reference'!$A$5:$A$25,0)),IF(L968="USD",M968*INDEX('Assumptions &amp; FX Reference'!$B$5:$B$25,MATCH(H968,'Assumptions &amp; FX Reference'!$A$5:$A$25,0))/INDEX('Assumptions &amp; FX Reference'!$C$5:$C$25,MATCH(H968,'Assumptions &amp; FX Reference'!$A$5:$A$25,0)),""))),"(FX missing)"))</f>
        <v/>
      </c>
      <c r="P968" s="42"/>
      <c r="Q968" s="42"/>
      <c r="R968" s="42"/>
      <c r="S968" s="42"/>
      <c r="T968" s="42"/>
      <c r="U968" s="42"/>
      <c r="V968" s="42"/>
    </row>
    <row r="969" customFormat="false" ht="15" hidden="false" customHeight="false" outlineLevel="0" collapsed="false">
      <c r="A969" s="42"/>
      <c r="B969" s="42"/>
      <c r="C969" s="45" t="str">
        <f aca="false">IF(B969="","",IFERROR(INDEX('Master Database'!$D$5:$D$600,MATCH(B969,'Master Database'!$A$5:$A$600,0)),"(row not found)"))</f>
        <v/>
      </c>
      <c r="D969" s="45" t="str">
        <f aca="false">IF(B969="","",IFERROR(INDEX('Master Database'!$B$5:$B$600,MATCH(B969,'Master Database'!$A$5:$A$600,0)),"(row not found)"))</f>
        <v/>
      </c>
      <c r="E969" s="42"/>
      <c r="F969" s="45" t="str">
        <f aca="false">IF(E969="","",IFERROR(INDEX(Vendor_Register!$B$5:$B$205,MATCH(E969,Vendor_Register!$A$5:$A$205,0)),"(not in register)"))</f>
        <v/>
      </c>
      <c r="G969" s="45" t="str">
        <f aca="false">IF(E969="","",IFERROR(INDEX(Vendor_Register!$E$5:$E$205,MATCH(E969,Vendor_Register!$A$5:$A$205,0)),"(not in register)"))</f>
        <v/>
      </c>
      <c r="H969" s="42"/>
      <c r="I969" s="42"/>
      <c r="J969" s="42"/>
      <c r="K969" s="42"/>
      <c r="L969" s="42"/>
      <c r="M969" s="46"/>
      <c r="N969" s="42"/>
      <c r="O969" s="47" t="str">
        <f aca="false">IF(NOT(ISNUMBER(M969)),"",IFERROR(IF(L969="EUR",M969,IF(L969="IRR",M969/INDEX('Assumptions &amp; FX Reference'!$C$5:$C$25,MATCH(H969,'Assumptions &amp; FX Reference'!$A$5:$A$25,0)),IF(L969="USD",M969*INDEX('Assumptions &amp; FX Reference'!$B$5:$B$25,MATCH(H969,'Assumptions &amp; FX Reference'!$A$5:$A$25,0))/INDEX('Assumptions &amp; FX Reference'!$C$5:$C$25,MATCH(H969,'Assumptions &amp; FX Reference'!$A$5:$A$25,0)),""))),"(FX missing)"))</f>
        <v/>
      </c>
      <c r="P969" s="42"/>
      <c r="Q969" s="42"/>
      <c r="R969" s="42"/>
      <c r="S969" s="42"/>
      <c r="T969" s="42"/>
      <c r="U969" s="42"/>
      <c r="V969" s="42"/>
    </row>
    <row r="970" customFormat="false" ht="15" hidden="false" customHeight="false" outlineLevel="0" collapsed="false">
      <c r="A970" s="42"/>
      <c r="B970" s="42"/>
      <c r="C970" s="45" t="str">
        <f aca="false">IF(B970="","",IFERROR(INDEX('Master Database'!$D$5:$D$600,MATCH(B970,'Master Database'!$A$5:$A$600,0)),"(row not found)"))</f>
        <v/>
      </c>
      <c r="D970" s="45" t="str">
        <f aca="false">IF(B970="","",IFERROR(INDEX('Master Database'!$B$5:$B$600,MATCH(B970,'Master Database'!$A$5:$A$600,0)),"(row not found)"))</f>
        <v/>
      </c>
      <c r="E970" s="42"/>
      <c r="F970" s="45" t="str">
        <f aca="false">IF(E970="","",IFERROR(INDEX(Vendor_Register!$B$5:$B$205,MATCH(E970,Vendor_Register!$A$5:$A$205,0)),"(not in register)"))</f>
        <v/>
      </c>
      <c r="G970" s="45" t="str">
        <f aca="false">IF(E970="","",IFERROR(INDEX(Vendor_Register!$E$5:$E$205,MATCH(E970,Vendor_Register!$A$5:$A$205,0)),"(not in register)"))</f>
        <v/>
      </c>
      <c r="H970" s="42"/>
      <c r="I970" s="42"/>
      <c r="J970" s="42"/>
      <c r="K970" s="42"/>
      <c r="L970" s="42"/>
      <c r="M970" s="46"/>
      <c r="N970" s="42"/>
      <c r="O970" s="47" t="str">
        <f aca="false">IF(NOT(ISNUMBER(M970)),"",IFERROR(IF(L970="EUR",M970,IF(L970="IRR",M970/INDEX('Assumptions &amp; FX Reference'!$C$5:$C$25,MATCH(H970,'Assumptions &amp; FX Reference'!$A$5:$A$25,0)),IF(L970="USD",M970*INDEX('Assumptions &amp; FX Reference'!$B$5:$B$25,MATCH(H970,'Assumptions &amp; FX Reference'!$A$5:$A$25,0))/INDEX('Assumptions &amp; FX Reference'!$C$5:$C$25,MATCH(H970,'Assumptions &amp; FX Reference'!$A$5:$A$25,0)),""))),"(FX missing)"))</f>
        <v/>
      </c>
      <c r="P970" s="42"/>
      <c r="Q970" s="42"/>
      <c r="R970" s="42"/>
      <c r="S970" s="42"/>
      <c r="T970" s="42"/>
      <c r="U970" s="42"/>
      <c r="V970" s="42"/>
    </row>
    <row r="971" customFormat="false" ht="15" hidden="false" customHeight="false" outlineLevel="0" collapsed="false">
      <c r="A971" s="42"/>
      <c r="B971" s="42"/>
      <c r="C971" s="45" t="str">
        <f aca="false">IF(B971="","",IFERROR(INDEX('Master Database'!$D$5:$D$600,MATCH(B971,'Master Database'!$A$5:$A$600,0)),"(row not found)"))</f>
        <v/>
      </c>
      <c r="D971" s="45" t="str">
        <f aca="false">IF(B971="","",IFERROR(INDEX('Master Database'!$B$5:$B$600,MATCH(B971,'Master Database'!$A$5:$A$600,0)),"(row not found)"))</f>
        <v/>
      </c>
      <c r="E971" s="42"/>
      <c r="F971" s="45" t="str">
        <f aca="false">IF(E971="","",IFERROR(INDEX(Vendor_Register!$B$5:$B$205,MATCH(E971,Vendor_Register!$A$5:$A$205,0)),"(not in register)"))</f>
        <v/>
      </c>
      <c r="G971" s="45" t="str">
        <f aca="false">IF(E971="","",IFERROR(INDEX(Vendor_Register!$E$5:$E$205,MATCH(E971,Vendor_Register!$A$5:$A$205,0)),"(not in register)"))</f>
        <v/>
      </c>
      <c r="H971" s="42"/>
      <c r="I971" s="42"/>
      <c r="J971" s="42"/>
      <c r="K971" s="42"/>
      <c r="L971" s="42"/>
      <c r="M971" s="46"/>
      <c r="N971" s="42"/>
      <c r="O971" s="47" t="str">
        <f aca="false">IF(NOT(ISNUMBER(M971)),"",IFERROR(IF(L971="EUR",M971,IF(L971="IRR",M971/INDEX('Assumptions &amp; FX Reference'!$C$5:$C$25,MATCH(H971,'Assumptions &amp; FX Reference'!$A$5:$A$25,0)),IF(L971="USD",M971*INDEX('Assumptions &amp; FX Reference'!$B$5:$B$25,MATCH(H971,'Assumptions &amp; FX Reference'!$A$5:$A$25,0))/INDEX('Assumptions &amp; FX Reference'!$C$5:$C$25,MATCH(H971,'Assumptions &amp; FX Reference'!$A$5:$A$25,0)),""))),"(FX missing)"))</f>
        <v/>
      </c>
      <c r="P971" s="42"/>
      <c r="Q971" s="42"/>
      <c r="R971" s="42"/>
      <c r="S971" s="42"/>
      <c r="T971" s="42"/>
      <c r="U971" s="42"/>
      <c r="V971" s="42"/>
    </row>
    <row r="972" customFormat="false" ht="15" hidden="false" customHeight="false" outlineLevel="0" collapsed="false">
      <c r="A972" s="42"/>
      <c r="B972" s="42"/>
      <c r="C972" s="45" t="str">
        <f aca="false">IF(B972="","",IFERROR(INDEX('Master Database'!$D$5:$D$600,MATCH(B972,'Master Database'!$A$5:$A$600,0)),"(row not found)"))</f>
        <v/>
      </c>
      <c r="D972" s="45" t="str">
        <f aca="false">IF(B972="","",IFERROR(INDEX('Master Database'!$B$5:$B$600,MATCH(B972,'Master Database'!$A$5:$A$600,0)),"(row not found)"))</f>
        <v/>
      </c>
      <c r="E972" s="42"/>
      <c r="F972" s="45" t="str">
        <f aca="false">IF(E972="","",IFERROR(INDEX(Vendor_Register!$B$5:$B$205,MATCH(E972,Vendor_Register!$A$5:$A$205,0)),"(not in register)"))</f>
        <v/>
      </c>
      <c r="G972" s="45" t="str">
        <f aca="false">IF(E972="","",IFERROR(INDEX(Vendor_Register!$E$5:$E$205,MATCH(E972,Vendor_Register!$A$5:$A$205,0)),"(not in register)"))</f>
        <v/>
      </c>
      <c r="H972" s="42"/>
      <c r="I972" s="42"/>
      <c r="J972" s="42"/>
      <c r="K972" s="42"/>
      <c r="L972" s="42"/>
      <c r="M972" s="46"/>
      <c r="N972" s="42"/>
      <c r="O972" s="47" t="str">
        <f aca="false">IF(NOT(ISNUMBER(M972)),"",IFERROR(IF(L972="EUR",M972,IF(L972="IRR",M972/INDEX('Assumptions &amp; FX Reference'!$C$5:$C$25,MATCH(H972,'Assumptions &amp; FX Reference'!$A$5:$A$25,0)),IF(L972="USD",M972*INDEX('Assumptions &amp; FX Reference'!$B$5:$B$25,MATCH(H972,'Assumptions &amp; FX Reference'!$A$5:$A$25,0))/INDEX('Assumptions &amp; FX Reference'!$C$5:$C$25,MATCH(H972,'Assumptions &amp; FX Reference'!$A$5:$A$25,0)),""))),"(FX missing)"))</f>
        <v/>
      </c>
      <c r="P972" s="42"/>
      <c r="Q972" s="42"/>
      <c r="R972" s="42"/>
      <c r="S972" s="42"/>
      <c r="T972" s="42"/>
      <c r="U972" s="42"/>
      <c r="V972" s="42"/>
    </row>
    <row r="973" customFormat="false" ht="15" hidden="false" customHeight="false" outlineLevel="0" collapsed="false">
      <c r="A973" s="42"/>
      <c r="B973" s="42"/>
      <c r="C973" s="45" t="str">
        <f aca="false">IF(B973="","",IFERROR(INDEX('Master Database'!$D$5:$D$600,MATCH(B973,'Master Database'!$A$5:$A$600,0)),"(row not found)"))</f>
        <v/>
      </c>
      <c r="D973" s="45" t="str">
        <f aca="false">IF(B973="","",IFERROR(INDEX('Master Database'!$B$5:$B$600,MATCH(B973,'Master Database'!$A$5:$A$600,0)),"(row not found)"))</f>
        <v/>
      </c>
      <c r="E973" s="42"/>
      <c r="F973" s="45" t="str">
        <f aca="false">IF(E973="","",IFERROR(INDEX(Vendor_Register!$B$5:$B$205,MATCH(E973,Vendor_Register!$A$5:$A$205,0)),"(not in register)"))</f>
        <v/>
      </c>
      <c r="G973" s="45" t="str">
        <f aca="false">IF(E973="","",IFERROR(INDEX(Vendor_Register!$E$5:$E$205,MATCH(E973,Vendor_Register!$A$5:$A$205,0)),"(not in register)"))</f>
        <v/>
      </c>
      <c r="H973" s="42"/>
      <c r="I973" s="42"/>
      <c r="J973" s="42"/>
      <c r="K973" s="42"/>
      <c r="L973" s="42"/>
      <c r="M973" s="46"/>
      <c r="N973" s="42"/>
      <c r="O973" s="47" t="str">
        <f aca="false">IF(NOT(ISNUMBER(M973)),"",IFERROR(IF(L973="EUR",M973,IF(L973="IRR",M973/INDEX('Assumptions &amp; FX Reference'!$C$5:$C$25,MATCH(H973,'Assumptions &amp; FX Reference'!$A$5:$A$25,0)),IF(L973="USD",M973*INDEX('Assumptions &amp; FX Reference'!$B$5:$B$25,MATCH(H973,'Assumptions &amp; FX Reference'!$A$5:$A$25,0))/INDEX('Assumptions &amp; FX Reference'!$C$5:$C$25,MATCH(H973,'Assumptions &amp; FX Reference'!$A$5:$A$25,0)),""))),"(FX missing)"))</f>
        <v/>
      </c>
      <c r="P973" s="42"/>
      <c r="Q973" s="42"/>
      <c r="R973" s="42"/>
      <c r="S973" s="42"/>
      <c r="T973" s="42"/>
      <c r="U973" s="42"/>
      <c r="V973" s="42"/>
    </row>
    <row r="974" customFormat="false" ht="15" hidden="false" customHeight="false" outlineLevel="0" collapsed="false">
      <c r="A974" s="42"/>
      <c r="B974" s="42"/>
      <c r="C974" s="45" t="str">
        <f aca="false">IF(B974="","",IFERROR(INDEX('Master Database'!$D$5:$D$600,MATCH(B974,'Master Database'!$A$5:$A$600,0)),"(row not found)"))</f>
        <v/>
      </c>
      <c r="D974" s="45" t="str">
        <f aca="false">IF(B974="","",IFERROR(INDEX('Master Database'!$B$5:$B$600,MATCH(B974,'Master Database'!$A$5:$A$600,0)),"(row not found)"))</f>
        <v/>
      </c>
      <c r="E974" s="42"/>
      <c r="F974" s="45" t="str">
        <f aca="false">IF(E974="","",IFERROR(INDEX(Vendor_Register!$B$5:$B$205,MATCH(E974,Vendor_Register!$A$5:$A$205,0)),"(not in register)"))</f>
        <v/>
      </c>
      <c r="G974" s="45" t="str">
        <f aca="false">IF(E974="","",IFERROR(INDEX(Vendor_Register!$E$5:$E$205,MATCH(E974,Vendor_Register!$A$5:$A$205,0)),"(not in register)"))</f>
        <v/>
      </c>
      <c r="H974" s="42"/>
      <c r="I974" s="42"/>
      <c r="J974" s="42"/>
      <c r="K974" s="42"/>
      <c r="L974" s="42"/>
      <c r="M974" s="46"/>
      <c r="N974" s="42"/>
      <c r="O974" s="47" t="str">
        <f aca="false">IF(NOT(ISNUMBER(M974)),"",IFERROR(IF(L974="EUR",M974,IF(L974="IRR",M974/INDEX('Assumptions &amp; FX Reference'!$C$5:$C$25,MATCH(H974,'Assumptions &amp; FX Reference'!$A$5:$A$25,0)),IF(L974="USD",M974*INDEX('Assumptions &amp; FX Reference'!$B$5:$B$25,MATCH(H974,'Assumptions &amp; FX Reference'!$A$5:$A$25,0))/INDEX('Assumptions &amp; FX Reference'!$C$5:$C$25,MATCH(H974,'Assumptions &amp; FX Reference'!$A$5:$A$25,0)),""))),"(FX missing)"))</f>
        <v/>
      </c>
      <c r="P974" s="42"/>
      <c r="Q974" s="42"/>
      <c r="R974" s="42"/>
      <c r="S974" s="42"/>
      <c r="T974" s="42"/>
      <c r="U974" s="42"/>
      <c r="V974" s="42"/>
    </row>
    <row r="975" customFormat="false" ht="15" hidden="false" customHeight="false" outlineLevel="0" collapsed="false">
      <c r="A975" s="42"/>
      <c r="B975" s="42"/>
      <c r="C975" s="45" t="str">
        <f aca="false">IF(B975="","",IFERROR(INDEX('Master Database'!$D$5:$D$600,MATCH(B975,'Master Database'!$A$5:$A$600,0)),"(row not found)"))</f>
        <v/>
      </c>
      <c r="D975" s="45" t="str">
        <f aca="false">IF(B975="","",IFERROR(INDEX('Master Database'!$B$5:$B$600,MATCH(B975,'Master Database'!$A$5:$A$600,0)),"(row not found)"))</f>
        <v/>
      </c>
      <c r="E975" s="42"/>
      <c r="F975" s="45" t="str">
        <f aca="false">IF(E975="","",IFERROR(INDEX(Vendor_Register!$B$5:$B$205,MATCH(E975,Vendor_Register!$A$5:$A$205,0)),"(not in register)"))</f>
        <v/>
      </c>
      <c r="G975" s="45" t="str">
        <f aca="false">IF(E975="","",IFERROR(INDEX(Vendor_Register!$E$5:$E$205,MATCH(E975,Vendor_Register!$A$5:$A$205,0)),"(not in register)"))</f>
        <v/>
      </c>
      <c r="H975" s="42"/>
      <c r="I975" s="42"/>
      <c r="J975" s="42"/>
      <c r="K975" s="42"/>
      <c r="L975" s="42"/>
      <c r="M975" s="46"/>
      <c r="N975" s="42"/>
      <c r="O975" s="47" t="str">
        <f aca="false">IF(NOT(ISNUMBER(M975)),"",IFERROR(IF(L975="EUR",M975,IF(L975="IRR",M975/INDEX('Assumptions &amp; FX Reference'!$C$5:$C$25,MATCH(H975,'Assumptions &amp; FX Reference'!$A$5:$A$25,0)),IF(L975="USD",M975*INDEX('Assumptions &amp; FX Reference'!$B$5:$B$25,MATCH(H975,'Assumptions &amp; FX Reference'!$A$5:$A$25,0))/INDEX('Assumptions &amp; FX Reference'!$C$5:$C$25,MATCH(H975,'Assumptions &amp; FX Reference'!$A$5:$A$25,0)),""))),"(FX missing)"))</f>
        <v/>
      </c>
      <c r="P975" s="42"/>
      <c r="Q975" s="42"/>
      <c r="R975" s="42"/>
      <c r="S975" s="42"/>
      <c r="T975" s="42"/>
      <c r="U975" s="42"/>
      <c r="V975" s="42"/>
    </row>
    <row r="976" customFormat="false" ht="15" hidden="false" customHeight="false" outlineLevel="0" collapsed="false">
      <c r="A976" s="42"/>
      <c r="B976" s="42"/>
      <c r="C976" s="45" t="str">
        <f aca="false">IF(B976="","",IFERROR(INDEX('Master Database'!$D$5:$D$600,MATCH(B976,'Master Database'!$A$5:$A$600,0)),"(row not found)"))</f>
        <v/>
      </c>
      <c r="D976" s="45" t="str">
        <f aca="false">IF(B976="","",IFERROR(INDEX('Master Database'!$B$5:$B$600,MATCH(B976,'Master Database'!$A$5:$A$600,0)),"(row not found)"))</f>
        <v/>
      </c>
      <c r="E976" s="42"/>
      <c r="F976" s="45" t="str">
        <f aca="false">IF(E976="","",IFERROR(INDEX(Vendor_Register!$B$5:$B$205,MATCH(E976,Vendor_Register!$A$5:$A$205,0)),"(not in register)"))</f>
        <v/>
      </c>
      <c r="G976" s="45" t="str">
        <f aca="false">IF(E976="","",IFERROR(INDEX(Vendor_Register!$E$5:$E$205,MATCH(E976,Vendor_Register!$A$5:$A$205,0)),"(not in register)"))</f>
        <v/>
      </c>
      <c r="H976" s="42"/>
      <c r="I976" s="42"/>
      <c r="J976" s="42"/>
      <c r="K976" s="42"/>
      <c r="L976" s="42"/>
      <c r="M976" s="46"/>
      <c r="N976" s="42"/>
      <c r="O976" s="47" t="str">
        <f aca="false">IF(NOT(ISNUMBER(M976)),"",IFERROR(IF(L976="EUR",M976,IF(L976="IRR",M976/INDEX('Assumptions &amp; FX Reference'!$C$5:$C$25,MATCH(H976,'Assumptions &amp; FX Reference'!$A$5:$A$25,0)),IF(L976="USD",M976*INDEX('Assumptions &amp; FX Reference'!$B$5:$B$25,MATCH(H976,'Assumptions &amp; FX Reference'!$A$5:$A$25,0))/INDEX('Assumptions &amp; FX Reference'!$C$5:$C$25,MATCH(H976,'Assumptions &amp; FX Reference'!$A$5:$A$25,0)),""))),"(FX missing)"))</f>
        <v/>
      </c>
      <c r="P976" s="42"/>
      <c r="Q976" s="42"/>
      <c r="R976" s="42"/>
      <c r="S976" s="42"/>
      <c r="T976" s="42"/>
      <c r="U976" s="42"/>
      <c r="V976" s="42"/>
    </row>
    <row r="977" customFormat="false" ht="15" hidden="false" customHeight="false" outlineLevel="0" collapsed="false">
      <c r="A977" s="42"/>
      <c r="B977" s="42"/>
      <c r="C977" s="45" t="str">
        <f aca="false">IF(B977="","",IFERROR(INDEX('Master Database'!$D$5:$D$600,MATCH(B977,'Master Database'!$A$5:$A$600,0)),"(row not found)"))</f>
        <v/>
      </c>
      <c r="D977" s="45" t="str">
        <f aca="false">IF(B977="","",IFERROR(INDEX('Master Database'!$B$5:$B$600,MATCH(B977,'Master Database'!$A$5:$A$600,0)),"(row not found)"))</f>
        <v/>
      </c>
      <c r="E977" s="42"/>
      <c r="F977" s="45" t="str">
        <f aca="false">IF(E977="","",IFERROR(INDEX(Vendor_Register!$B$5:$B$205,MATCH(E977,Vendor_Register!$A$5:$A$205,0)),"(not in register)"))</f>
        <v/>
      </c>
      <c r="G977" s="45" t="str">
        <f aca="false">IF(E977="","",IFERROR(INDEX(Vendor_Register!$E$5:$E$205,MATCH(E977,Vendor_Register!$A$5:$A$205,0)),"(not in register)"))</f>
        <v/>
      </c>
      <c r="H977" s="42"/>
      <c r="I977" s="42"/>
      <c r="J977" s="42"/>
      <c r="K977" s="42"/>
      <c r="L977" s="42"/>
      <c r="M977" s="46"/>
      <c r="N977" s="42"/>
      <c r="O977" s="47" t="str">
        <f aca="false">IF(NOT(ISNUMBER(M977)),"",IFERROR(IF(L977="EUR",M977,IF(L977="IRR",M977/INDEX('Assumptions &amp; FX Reference'!$C$5:$C$25,MATCH(H977,'Assumptions &amp; FX Reference'!$A$5:$A$25,0)),IF(L977="USD",M977*INDEX('Assumptions &amp; FX Reference'!$B$5:$B$25,MATCH(H977,'Assumptions &amp; FX Reference'!$A$5:$A$25,0))/INDEX('Assumptions &amp; FX Reference'!$C$5:$C$25,MATCH(H977,'Assumptions &amp; FX Reference'!$A$5:$A$25,0)),""))),"(FX missing)"))</f>
        <v/>
      </c>
      <c r="P977" s="42"/>
      <c r="Q977" s="42"/>
      <c r="R977" s="42"/>
      <c r="S977" s="42"/>
      <c r="T977" s="42"/>
      <c r="U977" s="42"/>
      <c r="V977" s="42"/>
    </row>
    <row r="978" customFormat="false" ht="15" hidden="false" customHeight="false" outlineLevel="0" collapsed="false">
      <c r="A978" s="42"/>
      <c r="B978" s="42"/>
      <c r="C978" s="45" t="str">
        <f aca="false">IF(B978="","",IFERROR(INDEX('Master Database'!$D$5:$D$600,MATCH(B978,'Master Database'!$A$5:$A$600,0)),"(row not found)"))</f>
        <v/>
      </c>
      <c r="D978" s="45" t="str">
        <f aca="false">IF(B978="","",IFERROR(INDEX('Master Database'!$B$5:$B$600,MATCH(B978,'Master Database'!$A$5:$A$600,0)),"(row not found)"))</f>
        <v/>
      </c>
      <c r="E978" s="42"/>
      <c r="F978" s="45" t="str">
        <f aca="false">IF(E978="","",IFERROR(INDEX(Vendor_Register!$B$5:$B$205,MATCH(E978,Vendor_Register!$A$5:$A$205,0)),"(not in register)"))</f>
        <v/>
      </c>
      <c r="G978" s="45" t="str">
        <f aca="false">IF(E978="","",IFERROR(INDEX(Vendor_Register!$E$5:$E$205,MATCH(E978,Vendor_Register!$A$5:$A$205,0)),"(not in register)"))</f>
        <v/>
      </c>
      <c r="H978" s="42"/>
      <c r="I978" s="42"/>
      <c r="J978" s="42"/>
      <c r="K978" s="42"/>
      <c r="L978" s="42"/>
      <c r="M978" s="46"/>
      <c r="N978" s="42"/>
      <c r="O978" s="47" t="str">
        <f aca="false">IF(NOT(ISNUMBER(M978)),"",IFERROR(IF(L978="EUR",M978,IF(L978="IRR",M978/INDEX('Assumptions &amp; FX Reference'!$C$5:$C$25,MATCH(H978,'Assumptions &amp; FX Reference'!$A$5:$A$25,0)),IF(L978="USD",M978*INDEX('Assumptions &amp; FX Reference'!$B$5:$B$25,MATCH(H978,'Assumptions &amp; FX Reference'!$A$5:$A$25,0))/INDEX('Assumptions &amp; FX Reference'!$C$5:$C$25,MATCH(H978,'Assumptions &amp; FX Reference'!$A$5:$A$25,0)),""))),"(FX missing)"))</f>
        <v/>
      </c>
      <c r="P978" s="42"/>
      <c r="Q978" s="42"/>
      <c r="R978" s="42"/>
      <c r="S978" s="42"/>
      <c r="T978" s="42"/>
      <c r="U978" s="42"/>
      <c r="V978" s="42"/>
    </row>
    <row r="979" customFormat="false" ht="15" hidden="false" customHeight="false" outlineLevel="0" collapsed="false">
      <c r="A979" s="42"/>
      <c r="B979" s="42"/>
      <c r="C979" s="45" t="str">
        <f aca="false">IF(B979="","",IFERROR(INDEX('Master Database'!$D$5:$D$600,MATCH(B979,'Master Database'!$A$5:$A$600,0)),"(row not found)"))</f>
        <v/>
      </c>
      <c r="D979" s="45" t="str">
        <f aca="false">IF(B979="","",IFERROR(INDEX('Master Database'!$B$5:$B$600,MATCH(B979,'Master Database'!$A$5:$A$600,0)),"(row not found)"))</f>
        <v/>
      </c>
      <c r="E979" s="42"/>
      <c r="F979" s="45" t="str">
        <f aca="false">IF(E979="","",IFERROR(INDEX(Vendor_Register!$B$5:$B$205,MATCH(E979,Vendor_Register!$A$5:$A$205,0)),"(not in register)"))</f>
        <v/>
      </c>
      <c r="G979" s="45" t="str">
        <f aca="false">IF(E979="","",IFERROR(INDEX(Vendor_Register!$E$5:$E$205,MATCH(E979,Vendor_Register!$A$5:$A$205,0)),"(not in register)"))</f>
        <v/>
      </c>
      <c r="H979" s="42"/>
      <c r="I979" s="42"/>
      <c r="J979" s="42"/>
      <c r="K979" s="42"/>
      <c r="L979" s="42"/>
      <c r="M979" s="46"/>
      <c r="N979" s="42"/>
      <c r="O979" s="47" t="str">
        <f aca="false">IF(NOT(ISNUMBER(M979)),"",IFERROR(IF(L979="EUR",M979,IF(L979="IRR",M979/INDEX('Assumptions &amp; FX Reference'!$C$5:$C$25,MATCH(H979,'Assumptions &amp; FX Reference'!$A$5:$A$25,0)),IF(L979="USD",M979*INDEX('Assumptions &amp; FX Reference'!$B$5:$B$25,MATCH(H979,'Assumptions &amp; FX Reference'!$A$5:$A$25,0))/INDEX('Assumptions &amp; FX Reference'!$C$5:$C$25,MATCH(H979,'Assumptions &amp; FX Reference'!$A$5:$A$25,0)),""))),"(FX missing)"))</f>
        <v/>
      </c>
      <c r="P979" s="42"/>
      <c r="Q979" s="42"/>
      <c r="R979" s="42"/>
      <c r="S979" s="42"/>
      <c r="T979" s="42"/>
      <c r="U979" s="42"/>
      <c r="V979" s="42"/>
    </row>
    <row r="980" customFormat="false" ht="15" hidden="false" customHeight="false" outlineLevel="0" collapsed="false">
      <c r="A980" s="42"/>
      <c r="B980" s="42"/>
      <c r="C980" s="45" t="str">
        <f aca="false">IF(B980="","",IFERROR(INDEX('Master Database'!$D$5:$D$600,MATCH(B980,'Master Database'!$A$5:$A$600,0)),"(row not found)"))</f>
        <v/>
      </c>
      <c r="D980" s="45" t="str">
        <f aca="false">IF(B980="","",IFERROR(INDEX('Master Database'!$B$5:$B$600,MATCH(B980,'Master Database'!$A$5:$A$600,0)),"(row not found)"))</f>
        <v/>
      </c>
      <c r="E980" s="42"/>
      <c r="F980" s="45" t="str">
        <f aca="false">IF(E980="","",IFERROR(INDEX(Vendor_Register!$B$5:$B$205,MATCH(E980,Vendor_Register!$A$5:$A$205,0)),"(not in register)"))</f>
        <v/>
      </c>
      <c r="G980" s="45" t="str">
        <f aca="false">IF(E980="","",IFERROR(INDEX(Vendor_Register!$E$5:$E$205,MATCH(E980,Vendor_Register!$A$5:$A$205,0)),"(not in register)"))</f>
        <v/>
      </c>
      <c r="H980" s="42"/>
      <c r="I980" s="42"/>
      <c r="J980" s="42"/>
      <c r="K980" s="42"/>
      <c r="L980" s="42"/>
      <c r="M980" s="46"/>
      <c r="N980" s="42"/>
      <c r="O980" s="47" t="str">
        <f aca="false">IF(NOT(ISNUMBER(M980)),"",IFERROR(IF(L980="EUR",M980,IF(L980="IRR",M980/INDEX('Assumptions &amp; FX Reference'!$C$5:$C$25,MATCH(H980,'Assumptions &amp; FX Reference'!$A$5:$A$25,0)),IF(L980="USD",M980*INDEX('Assumptions &amp; FX Reference'!$B$5:$B$25,MATCH(H980,'Assumptions &amp; FX Reference'!$A$5:$A$25,0))/INDEX('Assumptions &amp; FX Reference'!$C$5:$C$25,MATCH(H980,'Assumptions &amp; FX Reference'!$A$5:$A$25,0)),""))),"(FX missing)"))</f>
        <v/>
      </c>
      <c r="P980" s="42"/>
      <c r="Q980" s="42"/>
      <c r="R980" s="42"/>
      <c r="S980" s="42"/>
      <c r="T980" s="42"/>
      <c r="U980" s="42"/>
      <c r="V980" s="42"/>
    </row>
    <row r="981" customFormat="false" ht="15" hidden="false" customHeight="false" outlineLevel="0" collapsed="false">
      <c r="A981" s="42"/>
      <c r="B981" s="42"/>
      <c r="C981" s="45" t="str">
        <f aca="false">IF(B981="","",IFERROR(INDEX('Master Database'!$D$5:$D$600,MATCH(B981,'Master Database'!$A$5:$A$600,0)),"(row not found)"))</f>
        <v/>
      </c>
      <c r="D981" s="45" t="str">
        <f aca="false">IF(B981="","",IFERROR(INDEX('Master Database'!$B$5:$B$600,MATCH(B981,'Master Database'!$A$5:$A$600,0)),"(row not found)"))</f>
        <v/>
      </c>
      <c r="E981" s="42"/>
      <c r="F981" s="45" t="str">
        <f aca="false">IF(E981="","",IFERROR(INDEX(Vendor_Register!$B$5:$B$205,MATCH(E981,Vendor_Register!$A$5:$A$205,0)),"(not in register)"))</f>
        <v/>
      </c>
      <c r="G981" s="45" t="str">
        <f aca="false">IF(E981="","",IFERROR(INDEX(Vendor_Register!$E$5:$E$205,MATCH(E981,Vendor_Register!$A$5:$A$205,0)),"(not in register)"))</f>
        <v/>
      </c>
      <c r="H981" s="42"/>
      <c r="I981" s="42"/>
      <c r="J981" s="42"/>
      <c r="K981" s="42"/>
      <c r="L981" s="42"/>
      <c r="M981" s="46"/>
      <c r="N981" s="42"/>
      <c r="O981" s="47" t="str">
        <f aca="false">IF(NOT(ISNUMBER(M981)),"",IFERROR(IF(L981="EUR",M981,IF(L981="IRR",M981/INDEX('Assumptions &amp; FX Reference'!$C$5:$C$25,MATCH(H981,'Assumptions &amp; FX Reference'!$A$5:$A$25,0)),IF(L981="USD",M981*INDEX('Assumptions &amp; FX Reference'!$B$5:$B$25,MATCH(H981,'Assumptions &amp; FX Reference'!$A$5:$A$25,0))/INDEX('Assumptions &amp; FX Reference'!$C$5:$C$25,MATCH(H981,'Assumptions &amp; FX Reference'!$A$5:$A$25,0)),""))),"(FX missing)"))</f>
        <v/>
      </c>
      <c r="P981" s="42"/>
      <c r="Q981" s="42"/>
      <c r="R981" s="42"/>
      <c r="S981" s="42"/>
      <c r="T981" s="42"/>
      <c r="U981" s="42"/>
      <c r="V981" s="42"/>
    </row>
    <row r="982" customFormat="false" ht="15" hidden="false" customHeight="false" outlineLevel="0" collapsed="false">
      <c r="A982" s="42"/>
      <c r="B982" s="42"/>
      <c r="C982" s="45" t="str">
        <f aca="false">IF(B982="","",IFERROR(INDEX('Master Database'!$D$5:$D$600,MATCH(B982,'Master Database'!$A$5:$A$600,0)),"(row not found)"))</f>
        <v/>
      </c>
      <c r="D982" s="45" t="str">
        <f aca="false">IF(B982="","",IFERROR(INDEX('Master Database'!$B$5:$B$600,MATCH(B982,'Master Database'!$A$5:$A$600,0)),"(row not found)"))</f>
        <v/>
      </c>
      <c r="E982" s="42"/>
      <c r="F982" s="45" t="str">
        <f aca="false">IF(E982="","",IFERROR(INDEX(Vendor_Register!$B$5:$B$205,MATCH(E982,Vendor_Register!$A$5:$A$205,0)),"(not in register)"))</f>
        <v/>
      </c>
      <c r="G982" s="45" t="str">
        <f aca="false">IF(E982="","",IFERROR(INDEX(Vendor_Register!$E$5:$E$205,MATCH(E982,Vendor_Register!$A$5:$A$205,0)),"(not in register)"))</f>
        <v/>
      </c>
      <c r="H982" s="42"/>
      <c r="I982" s="42"/>
      <c r="J982" s="42"/>
      <c r="K982" s="42"/>
      <c r="L982" s="42"/>
      <c r="M982" s="46"/>
      <c r="N982" s="42"/>
      <c r="O982" s="47" t="str">
        <f aca="false">IF(NOT(ISNUMBER(M982)),"",IFERROR(IF(L982="EUR",M982,IF(L982="IRR",M982/INDEX('Assumptions &amp; FX Reference'!$C$5:$C$25,MATCH(H982,'Assumptions &amp; FX Reference'!$A$5:$A$25,0)),IF(L982="USD",M982*INDEX('Assumptions &amp; FX Reference'!$B$5:$B$25,MATCH(H982,'Assumptions &amp; FX Reference'!$A$5:$A$25,0))/INDEX('Assumptions &amp; FX Reference'!$C$5:$C$25,MATCH(H982,'Assumptions &amp; FX Reference'!$A$5:$A$25,0)),""))),"(FX missing)"))</f>
        <v/>
      </c>
      <c r="P982" s="42"/>
      <c r="Q982" s="42"/>
      <c r="R982" s="42"/>
      <c r="S982" s="42"/>
      <c r="T982" s="42"/>
      <c r="U982" s="42"/>
      <c r="V982" s="42"/>
    </row>
    <row r="983" customFormat="false" ht="15" hidden="false" customHeight="false" outlineLevel="0" collapsed="false">
      <c r="A983" s="42"/>
      <c r="B983" s="42"/>
      <c r="C983" s="45" t="str">
        <f aca="false">IF(B983="","",IFERROR(INDEX('Master Database'!$D$5:$D$600,MATCH(B983,'Master Database'!$A$5:$A$600,0)),"(row not found)"))</f>
        <v/>
      </c>
      <c r="D983" s="45" t="str">
        <f aca="false">IF(B983="","",IFERROR(INDEX('Master Database'!$B$5:$B$600,MATCH(B983,'Master Database'!$A$5:$A$600,0)),"(row not found)"))</f>
        <v/>
      </c>
      <c r="E983" s="42"/>
      <c r="F983" s="45" t="str">
        <f aca="false">IF(E983="","",IFERROR(INDEX(Vendor_Register!$B$5:$B$205,MATCH(E983,Vendor_Register!$A$5:$A$205,0)),"(not in register)"))</f>
        <v/>
      </c>
      <c r="G983" s="45" t="str">
        <f aca="false">IF(E983="","",IFERROR(INDEX(Vendor_Register!$E$5:$E$205,MATCH(E983,Vendor_Register!$A$5:$A$205,0)),"(not in register)"))</f>
        <v/>
      </c>
      <c r="H983" s="42"/>
      <c r="I983" s="42"/>
      <c r="J983" s="42"/>
      <c r="K983" s="42"/>
      <c r="L983" s="42"/>
      <c r="M983" s="46"/>
      <c r="N983" s="42"/>
      <c r="O983" s="47" t="str">
        <f aca="false">IF(NOT(ISNUMBER(M983)),"",IFERROR(IF(L983="EUR",M983,IF(L983="IRR",M983/INDEX('Assumptions &amp; FX Reference'!$C$5:$C$25,MATCH(H983,'Assumptions &amp; FX Reference'!$A$5:$A$25,0)),IF(L983="USD",M983*INDEX('Assumptions &amp; FX Reference'!$B$5:$B$25,MATCH(H983,'Assumptions &amp; FX Reference'!$A$5:$A$25,0))/INDEX('Assumptions &amp; FX Reference'!$C$5:$C$25,MATCH(H983,'Assumptions &amp; FX Reference'!$A$5:$A$25,0)),""))),"(FX missing)"))</f>
        <v/>
      </c>
      <c r="P983" s="42"/>
      <c r="Q983" s="42"/>
      <c r="R983" s="42"/>
      <c r="S983" s="42"/>
      <c r="T983" s="42"/>
      <c r="U983" s="42"/>
      <c r="V983" s="42"/>
    </row>
    <row r="984" customFormat="false" ht="15" hidden="false" customHeight="false" outlineLevel="0" collapsed="false">
      <c r="A984" s="42"/>
      <c r="B984" s="42"/>
      <c r="C984" s="45" t="str">
        <f aca="false">IF(B984="","",IFERROR(INDEX('Master Database'!$D$5:$D$600,MATCH(B984,'Master Database'!$A$5:$A$600,0)),"(row not found)"))</f>
        <v/>
      </c>
      <c r="D984" s="45" t="str">
        <f aca="false">IF(B984="","",IFERROR(INDEX('Master Database'!$B$5:$B$600,MATCH(B984,'Master Database'!$A$5:$A$600,0)),"(row not found)"))</f>
        <v/>
      </c>
      <c r="E984" s="42"/>
      <c r="F984" s="45" t="str">
        <f aca="false">IF(E984="","",IFERROR(INDEX(Vendor_Register!$B$5:$B$205,MATCH(E984,Vendor_Register!$A$5:$A$205,0)),"(not in register)"))</f>
        <v/>
      </c>
      <c r="G984" s="45" t="str">
        <f aca="false">IF(E984="","",IFERROR(INDEX(Vendor_Register!$E$5:$E$205,MATCH(E984,Vendor_Register!$A$5:$A$205,0)),"(not in register)"))</f>
        <v/>
      </c>
      <c r="H984" s="42"/>
      <c r="I984" s="42"/>
      <c r="J984" s="42"/>
      <c r="K984" s="42"/>
      <c r="L984" s="42"/>
      <c r="M984" s="46"/>
      <c r="N984" s="42"/>
      <c r="O984" s="47" t="str">
        <f aca="false">IF(NOT(ISNUMBER(M984)),"",IFERROR(IF(L984="EUR",M984,IF(L984="IRR",M984/INDEX('Assumptions &amp; FX Reference'!$C$5:$C$25,MATCH(H984,'Assumptions &amp; FX Reference'!$A$5:$A$25,0)),IF(L984="USD",M984*INDEX('Assumptions &amp; FX Reference'!$B$5:$B$25,MATCH(H984,'Assumptions &amp; FX Reference'!$A$5:$A$25,0))/INDEX('Assumptions &amp; FX Reference'!$C$5:$C$25,MATCH(H984,'Assumptions &amp; FX Reference'!$A$5:$A$25,0)),""))),"(FX missing)"))</f>
        <v/>
      </c>
      <c r="P984" s="42"/>
      <c r="Q984" s="42"/>
      <c r="R984" s="42"/>
      <c r="S984" s="42"/>
      <c r="T984" s="42"/>
      <c r="U984" s="42"/>
      <c r="V984" s="42"/>
    </row>
    <row r="985" customFormat="false" ht="15" hidden="false" customHeight="false" outlineLevel="0" collapsed="false">
      <c r="A985" s="42"/>
      <c r="B985" s="42"/>
      <c r="C985" s="45" t="str">
        <f aca="false">IF(B985="","",IFERROR(INDEX('Master Database'!$D$5:$D$600,MATCH(B985,'Master Database'!$A$5:$A$600,0)),"(row not found)"))</f>
        <v/>
      </c>
      <c r="D985" s="45" t="str">
        <f aca="false">IF(B985="","",IFERROR(INDEX('Master Database'!$B$5:$B$600,MATCH(B985,'Master Database'!$A$5:$A$600,0)),"(row not found)"))</f>
        <v/>
      </c>
      <c r="E985" s="42"/>
      <c r="F985" s="45" t="str">
        <f aca="false">IF(E985="","",IFERROR(INDEX(Vendor_Register!$B$5:$B$205,MATCH(E985,Vendor_Register!$A$5:$A$205,0)),"(not in register)"))</f>
        <v/>
      </c>
      <c r="G985" s="45" t="str">
        <f aca="false">IF(E985="","",IFERROR(INDEX(Vendor_Register!$E$5:$E$205,MATCH(E985,Vendor_Register!$A$5:$A$205,0)),"(not in register)"))</f>
        <v/>
      </c>
      <c r="H985" s="42"/>
      <c r="I985" s="42"/>
      <c r="J985" s="42"/>
      <c r="K985" s="42"/>
      <c r="L985" s="42"/>
      <c r="M985" s="46"/>
      <c r="N985" s="42"/>
      <c r="O985" s="47" t="str">
        <f aca="false">IF(NOT(ISNUMBER(M985)),"",IFERROR(IF(L985="EUR",M985,IF(L985="IRR",M985/INDEX('Assumptions &amp; FX Reference'!$C$5:$C$25,MATCH(H985,'Assumptions &amp; FX Reference'!$A$5:$A$25,0)),IF(L985="USD",M985*INDEX('Assumptions &amp; FX Reference'!$B$5:$B$25,MATCH(H985,'Assumptions &amp; FX Reference'!$A$5:$A$25,0))/INDEX('Assumptions &amp; FX Reference'!$C$5:$C$25,MATCH(H985,'Assumptions &amp; FX Reference'!$A$5:$A$25,0)),""))),"(FX missing)"))</f>
        <v/>
      </c>
      <c r="P985" s="42"/>
      <c r="Q985" s="42"/>
      <c r="R985" s="42"/>
      <c r="S985" s="42"/>
      <c r="T985" s="42"/>
      <c r="U985" s="42"/>
      <c r="V985" s="42"/>
    </row>
    <row r="986" customFormat="false" ht="15" hidden="false" customHeight="false" outlineLevel="0" collapsed="false">
      <c r="A986" s="42"/>
      <c r="B986" s="42"/>
      <c r="C986" s="45" t="str">
        <f aca="false">IF(B986="","",IFERROR(INDEX('Master Database'!$D$5:$D$600,MATCH(B986,'Master Database'!$A$5:$A$600,0)),"(row not found)"))</f>
        <v/>
      </c>
      <c r="D986" s="45" t="str">
        <f aca="false">IF(B986="","",IFERROR(INDEX('Master Database'!$B$5:$B$600,MATCH(B986,'Master Database'!$A$5:$A$600,0)),"(row not found)"))</f>
        <v/>
      </c>
      <c r="E986" s="42"/>
      <c r="F986" s="45" t="str">
        <f aca="false">IF(E986="","",IFERROR(INDEX(Vendor_Register!$B$5:$B$205,MATCH(E986,Vendor_Register!$A$5:$A$205,0)),"(not in register)"))</f>
        <v/>
      </c>
      <c r="G986" s="45" t="str">
        <f aca="false">IF(E986="","",IFERROR(INDEX(Vendor_Register!$E$5:$E$205,MATCH(E986,Vendor_Register!$A$5:$A$205,0)),"(not in register)"))</f>
        <v/>
      </c>
      <c r="H986" s="42"/>
      <c r="I986" s="42"/>
      <c r="J986" s="42"/>
      <c r="K986" s="42"/>
      <c r="L986" s="42"/>
      <c r="M986" s="46"/>
      <c r="N986" s="42"/>
      <c r="O986" s="47" t="str">
        <f aca="false">IF(NOT(ISNUMBER(M986)),"",IFERROR(IF(L986="EUR",M986,IF(L986="IRR",M986/INDEX('Assumptions &amp; FX Reference'!$C$5:$C$25,MATCH(H986,'Assumptions &amp; FX Reference'!$A$5:$A$25,0)),IF(L986="USD",M986*INDEX('Assumptions &amp; FX Reference'!$B$5:$B$25,MATCH(H986,'Assumptions &amp; FX Reference'!$A$5:$A$25,0))/INDEX('Assumptions &amp; FX Reference'!$C$5:$C$25,MATCH(H986,'Assumptions &amp; FX Reference'!$A$5:$A$25,0)),""))),"(FX missing)"))</f>
        <v/>
      </c>
      <c r="P986" s="42"/>
      <c r="Q986" s="42"/>
      <c r="R986" s="42"/>
      <c r="S986" s="42"/>
      <c r="T986" s="42"/>
      <c r="U986" s="42"/>
      <c r="V986" s="42"/>
    </row>
    <row r="987" customFormat="false" ht="15" hidden="false" customHeight="false" outlineLevel="0" collapsed="false">
      <c r="A987" s="42"/>
      <c r="B987" s="42"/>
      <c r="C987" s="45" t="str">
        <f aca="false">IF(B987="","",IFERROR(INDEX('Master Database'!$D$5:$D$600,MATCH(B987,'Master Database'!$A$5:$A$600,0)),"(row not found)"))</f>
        <v/>
      </c>
      <c r="D987" s="45" t="str">
        <f aca="false">IF(B987="","",IFERROR(INDEX('Master Database'!$B$5:$B$600,MATCH(B987,'Master Database'!$A$5:$A$600,0)),"(row not found)"))</f>
        <v/>
      </c>
      <c r="E987" s="42"/>
      <c r="F987" s="45" t="str">
        <f aca="false">IF(E987="","",IFERROR(INDEX(Vendor_Register!$B$5:$B$205,MATCH(E987,Vendor_Register!$A$5:$A$205,0)),"(not in register)"))</f>
        <v/>
      </c>
      <c r="G987" s="45" t="str">
        <f aca="false">IF(E987="","",IFERROR(INDEX(Vendor_Register!$E$5:$E$205,MATCH(E987,Vendor_Register!$A$5:$A$205,0)),"(not in register)"))</f>
        <v/>
      </c>
      <c r="H987" s="42"/>
      <c r="I987" s="42"/>
      <c r="J987" s="42"/>
      <c r="K987" s="42"/>
      <c r="L987" s="42"/>
      <c r="M987" s="46"/>
      <c r="N987" s="42"/>
      <c r="O987" s="47" t="str">
        <f aca="false">IF(NOT(ISNUMBER(M987)),"",IFERROR(IF(L987="EUR",M987,IF(L987="IRR",M987/INDEX('Assumptions &amp; FX Reference'!$C$5:$C$25,MATCH(H987,'Assumptions &amp; FX Reference'!$A$5:$A$25,0)),IF(L987="USD",M987*INDEX('Assumptions &amp; FX Reference'!$B$5:$B$25,MATCH(H987,'Assumptions &amp; FX Reference'!$A$5:$A$25,0))/INDEX('Assumptions &amp; FX Reference'!$C$5:$C$25,MATCH(H987,'Assumptions &amp; FX Reference'!$A$5:$A$25,0)),""))),"(FX missing)"))</f>
        <v/>
      </c>
      <c r="P987" s="42"/>
      <c r="Q987" s="42"/>
      <c r="R987" s="42"/>
      <c r="S987" s="42"/>
      <c r="T987" s="42"/>
      <c r="U987" s="42"/>
      <c r="V987" s="42"/>
    </row>
    <row r="988" customFormat="false" ht="15" hidden="false" customHeight="false" outlineLevel="0" collapsed="false">
      <c r="A988" s="42"/>
      <c r="B988" s="42"/>
      <c r="C988" s="45" t="str">
        <f aca="false">IF(B988="","",IFERROR(INDEX('Master Database'!$D$5:$D$600,MATCH(B988,'Master Database'!$A$5:$A$600,0)),"(row not found)"))</f>
        <v/>
      </c>
      <c r="D988" s="45" t="str">
        <f aca="false">IF(B988="","",IFERROR(INDEX('Master Database'!$B$5:$B$600,MATCH(B988,'Master Database'!$A$5:$A$600,0)),"(row not found)"))</f>
        <v/>
      </c>
      <c r="E988" s="42"/>
      <c r="F988" s="45" t="str">
        <f aca="false">IF(E988="","",IFERROR(INDEX(Vendor_Register!$B$5:$B$205,MATCH(E988,Vendor_Register!$A$5:$A$205,0)),"(not in register)"))</f>
        <v/>
      </c>
      <c r="G988" s="45" t="str">
        <f aca="false">IF(E988="","",IFERROR(INDEX(Vendor_Register!$E$5:$E$205,MATCH(E988,Vendor_Register!$A$5:$A$205,0)),"(not in register)"))</f>
        <v/>
      </c>
      <c r="H988" s="42"/>
      <c r="I988" s="42"/>
      <c r="J988" s="42"/>
      <c r="K988" s="42"/>
      <c r="L988" s="42"/>
      <c r="M988" s="46"/>
      <c r="N988" s="42"/>
      <c r="O988" s="47" t="str">
        <f aca="false">IF(NOT(ISNUMBER(M988)),"",IFERROR(IF(L988="EUR",M988,IF(L988="IRR",M988/INDEX('Assumptions &amp; FX Reference'!$C$5:$C$25,MATCH(H988,'Assumptions &amp; FX Reference'!$A$5:$A$25,0)),IF(L988="USD",M988*INDEX('Assumptions &amp; FX Reference'!$B$5:$B$25,MATCH(H988,'Assumptions &amp; FX Reference'!$A$5:$A$25,0))/INDEX('Assumptions &amp; FX Reference'!$C$5:$C$25,MATCH(H988,'Assumptions &amp; FX Reference'!$A$5:$A$25,0)),""))),"(FX missing)"))</f>
        <v/>
      </c>
      <c r="P988" s="42"/>
      <c r="Q988" s="42"/>
      <c r="R988" s="42"/>
      <c r="S988" s="42"/>
      <c r="T988" s="42"/>
      <c r="U988" s="42"/>
      <c r="V988" s="42"/>
    </row>
    <row r="989" customFormat="false" ht="15" hidden="false" customHeight="false" outlineLevel="0" collapsed="false">
      <c r="A989" s="42"/>
      <c r="B989" s="42"/>
      <c r="C989" s="45" t="str">
        <f aca="false">IF(B989="","",IFERROR(INDEX('Master Database'!$D$5:$D$600,MATCH(B989,'Master Database'!$A$5:$A$600,0)),"(row not found)"))</f>
        <v/>
      </c>
      <c r="D989" s="45" t="str">
        <f aca="false">IF(B989="","",IFERROR(INDEX('Master Database'!$B$5:$B$600,MATCH(B989,'Master Database'!$A$5:$A$600,0)),"(row not found)"))</f>
        <v/>
      </c>
      <c r="E989" s="42"/>
      <c r="F989" s="45" t="str">
        <f aca="false">IF(E989="","",IFERROR(INDEX(Vendor_Register!$B$5:$B$205,MATCH(E989,Vendor_Register!$A$5:$A$205,0)),"(not in register)"))</f>
        <v/>
      </c>
      <c r="G989" s="45" t="str">
        <f aca="false">IF(E989="","",IFERROR(INDEX(Vendor_Register!$E$5:$E$205,MATCH(E989,Vendor_Register!$A$5:$A$205,0)),"(not in register)"))</f>
        <v/>
      </c>
      <c r="H989" s="42"/>
      <c r="I989" s="42"/>
      <c r="J989" s="42"/>
      <c r="K989" s="42"/>
      <c r="L989" s="42"/>
      <c r="M989" s="46"/>
      <c r="N989" s="42"/>
      <c r="O989" s="47" t="str">
        <f aca="false">IF(NOT(ISNUMBER(M989)),"",IFERROR(IF(L989="EUR",M989,IF(L989="IRR",M989/INDEX('Assumptions &amp; FX Reference'!$C$5:$C$25,MATCH(H989,'Assumptions &amp; FX Reference'!$A$5:$A$25,0)),IF(L989="USD",M989*INDEX('Assumptions &amp; FX Reference'!$B$5:$B$25,MATCH(H989,'Assumptions &amp; FX Reference'!$A$5:$A$25,0))/INDEX('Assumptions &amp; FX Reference'!$C$5:$C$25,MATCH(H989,'Assumptions &amp; FX Reference'!$A$5:$A$25,0)),""))),"(FX missing)"))</f>
        <v/>
      </c>
      <c r="P989" s="42"/>
      <c r="Q989" s="42"/>
      <c r="R989" s="42"/>
      <c r="S989" s="42"/>
      <c r="T989" s="42"/>
      <c r="U989" s="42"/>
      <c r="V989" s="42"/>
    </row>
    <row r="990" customFormat="false" ht="15" hidden="false" customHeight="false" outlineLevel="0" collapsed="false">
      <c r="A990" s="42"/>
      <c r="B990" s="42"/>
      <c r="C990" s="45" t="str">
        <f aca="false">IF(B990="","",IFERROR(INDEX('Master Database'!$D$5:$D$600,MATCH(B990,'Master Database'!$A$5:$A$600,0)),"(row not found)"))</f>
        <v/>
      </c>
      <c r="D990" s="45" t="str">
        <f aca="false">IF(B990="","",IFERROR(INDEX('Master Database'!$B$5:$B$600,MATCH(B990,'Master Database'!$A$5:$A$600,0)),"(row not found)"))</f>
        <v/>
      </c>
      <c r="E990" s="42"/>
      <c r="F990" s="45" t="str">
        <f aca="false">IF(E990="","",IFERROR(INDEX(Vendor_Register!$B$5:$B$205,MATCH(E990,Vendor_Register!$A$5:$A$205,0)),"(not in register)"))</f>
        <v/>
      </c>
      <c r="G990" s="45" t="str">
        <f aca="false">IF(E990="","",IFERROR(INDEX(Vendor_Register!$E$5:$E$205,MATCH(E990,Vendor_Register!$A$5:$A$205,0)),"(not in register)"))</f>
        <v/>
      </c>
      <c r="H990" s="42"/>
      <c r="I990" s="42"/>
      <c r="J990" s="42"/>
      <c r="K990" s="42"/>
      <c r="L990" s="42"/>
      <c r="M990" s="46"/>
      <c r="N990" s="42"/>
      <c r="O990" s="47" t="str">
        <f aca="false">IF(NOT(ISNUMBER(M990)),"",IFERROR(IF(L990="EUR",M990,IF(L990="IRR",M990/INDEX('Assumptions &amp; FX Reference'!$C$5:$C$25,MATCH(H990,'Assumptions &amp; FX Reference'!$A$5:$A$25,0)),IF(L990="USD",M990*INDEX('Assumptions &amp; FX Reference'!$B$5:$B$25,MATCH(H990,'Assumptions &amp; FX Reference'!$A$5:$A$25,0))/INDEX('Assumptions &amp; FX Reference'!$C$5:$C$25,MATCH(H990,'Assumptions &amp; FX Reference'!$A$5:$A$25,0)),""))),"(FX missing)"))</f>
        <v/>
      </c>
      <c r="P990" s="42"/>
      <c r="Q990" s="42"/>
      <c r="R990" s="42"/>
      <c r="S990" s="42"/>
      <c r="T990" s="42"/>
      <c r="U990" s="42"/>
      <c r="V990" s="42"/>
    </row>
    <row r="991" customFormat="false" ht="15" hidden="false" customHeight="false" outlineLevel="0" collapsed="false">
      <c r="A991" s="42"/>
      <c r="B991" s="42"/>
      <c r="C991" s="45" t="str">
        <f aca="false">IF(B991="","",IFERROR(INDEX('Master Database'!$D$5:$D$600,MATCH(B991,'Master Database'!$A$5:$A$600,0)),"(row not found)"))</f>
        <v/>
      </c>
      <c r="D991" s="45" t="str">
        <f aca="false">IF(B991="","",IFERROR(INDEX('Master Database'!$B$5:$B$600,MATCH(B991,'Master Database'!$A$5:$A$600,0)),"(row not found)"))</f>
        <v/>
      </c>
      <c r="E991" s="42"/>
      <c r="F991" s="45" t="str">
        <f aca="false">IF(E991="","",IFERROR(INDEX(Vendor_Register!$B$5:$B$205,MATCH(E991,Vendor_Register!$A$5:$A$205,0)),"(not in register)"))</f>
        <v/>
      </c>
      <c r="G991" s="45" t="str">
        <f aca="false">IF(E991="","",IFERROR(INDEX(Vendor_Register!$E$5:$E$205,MATCH(E991,Vendor_Register!$A$5:$A$205,0)),"(not in register)"))</f>
        <v/>
      </c>
      <c r="H991" s="42"/>
      <c r="I991" s="42"/>
      <c r="J991" s="42"/>
      <c r="K991" s="42"/>
      <c r="L991" s="42"/>
      <c r="M991" s="46"/>
      <c r="N991" s="42"/>
      <c r="O991" s="47" t="str">
        <f aca="false">IF(NOT(ISNUMBER(M991)),"",IFERROR(IF(L991="EUR",M991,IF(L991="IRR",M991/INDEX('Assumptions &amp; FX Reference'!$C$5:$C$25,MATCH(H991,'Assumptions &amp; FX Reference'!$A$5:$A$25,0)),IF(L991="USD",M991*INDEX('Assumptions &amp; FX Reference'!$B$5:$B$25,MATCH(H991,'Assumptions &amp; FX Reference'!$A$5:$A$25,0))/INDEX('Assumptions &amp; FX Reference'!$C$5:$C$25,MATCH(H991,'Assumptions &amp; FX Reference'!$A$5:$A$25,0)),""))),"(FX missing)"))</f>
        <v/>
      </c>
      <c r="P991" s="42"/>
      <c r="Q991" s="42"/>
      <c r="R991" s="42"/>
      <c r="S991" s="42"/>
      <c r="T991" s="42"/>
      <c r="U991" s="42"/>
      <c r="V991" s="42"/>
    </row>
    <row r="992" customFormat="false" ht="15" hidden="false" customHeight="false" outlineLevel="0" collapsed="false">
      <c r="A992" s="42"/>
      <c r="B992" s="42"/>
      <c r="C992" s="45" t="str">
        <f aca="false">IF(B992="","",IFERROR(INDEX('Master Database'!$D$5:$D$600,MATCH(B992,'Master Database'!$A$5:$A$600,0)),"(row not found)"))</f>
        <v/>
      </c>
      <c r="D992" s="45" t="str">
        <f aca="false">IF(B992="","",IFERROR(INDEX('Master Database'!$B$5:$B$600,MATCH(B992,'Master Database'!$A$5:$A$600,0)),"(row not found)"))</f>
        <v/>
      </c>
      <c r="E992" s="42"/>
      <c r="F992" s="45" t="str">
        <f aca="false">IF(E992="","",IFERROR(INDEX(Vendor_Register!$B$5:$B$205,MATCH(E992,Vendor_Register!$A$5:$A$205,0)),"(not in register)"))</f>
        <v/>
      </c>
      <c r="G992" s="45" t="str">
        <f aca="false">IF(E992="","",IFERROR(INDEX(Vendor_Register!$E$5:$E$205,MATCH(E992,Vendor_Register!$A$5:$A$205,0)),"(not in register)"))</f>
        <v/>
      </c>
      <c r="H992" s="42"/>
      <c r="I992" s="42"/>
      <c r="J992" s="42"/>
      <c r="K992" s="42"/>
      <c r="L992" s="42"/>
      <c r="M992" s="46"/>
      <c r="N992" s="42"/>
      <c r="O992" s="47" t="str">
        <f aca="false">IF(NOT(ISNUMBER(M992)),"",IFERROR(IF(L992="EUR",M992,IF(L992="IRR",M992/INDEX('Assumptions &amp; FX Reference'!$C$5:$C$25,MATCH(H992,'Assumptions &amp; FX Reference'!$A$5:$A$25,0)),IF(L992="USD",M992*INDEX('Assumptions &amp; FX Reference'!$B$5:$B$25,MATCH(H992,'Assumptions &amp; FX Reference'!$A$5:$A$25,0))/INDEX('Assumptions &amp; FX Reference'!$C$5:$C$25,MATCH(H992,'Assumptions &amp; FX Reference'!$A$5:$A$25,0)),""))),"(FX missing)"))</f>
        <v/>
      </c>
      <c r="P992" s="42"/>
      <c r="Q992" s="42"/>
      <c r="R992" s="42"/>
      <c r="S992" s="42"/>
      <c r="T992" s="42"/>
      <c r="U992" s="42"/>
      <c r="V992" s="42"/>
    </row>
    <row r="993" customFormat="false" ht="15" hidden="false" customHeight="false" outlineLevel="0" collapsed="false">
      <c r="A993" s="42"/>
      <c r="B993" s="42"/>
      <c r="C993" s="45" t="str">
        <f aca="false">IF(B993="","",IFERROR(INDEX('Master Database'!$D$5:$D$600,MATCH(B993,'Master Database'!$A$5:$A$600,0)),"(row not found)"))</f>
        <v/>
      </c>
      <c r="D993" s="45" t="str">
        <f aca="false">IF(B993="","",IFERROR(INDEX('Master Database'!$B$5:$B$600,MATCH(B993,'Master Database'!$A$5:$A$600,0)),"(row not found)"))</f>
        <v/>
      </c>
      <c r="E993" s="42"/>
      <c r="F993" s="45" t="str">
        <f aca="false">IF(E993="","",IFERROR(INDEX(Vendor_Register!$B$5:$B$205,MATCH(E993,Vendor_Register!$A$5:$A$205,0)),"(not in register)"))</f>
        <v/>
      </c>
      <c r="G993" s="45" t="str">
        <f aca="false">IF(E993="","",IFERROR(INDEX(Vendor_Register!$E$5:$E$205,MATCH(E993,Vendor_Register!$A$5:$A$205,0)),"(not in register)"))</f>
        <v/>
      </c>
      <c r="H993" s="42"/>
      <c r="I993" s="42"/>
      <c r="J993" s="42"/>
      <c r="K993" s="42"/>
      <c r="L993" s="42"/>
      <c r="M993" s="46"/>
      <c r="N993" s="42"/>
      <c r="O993" s="47" t="str">
        <f aca="false">IF(NOT(ISNUMBER(M993)),"",IFERROR(IF(L993="EUR",M993,IF(L993="IRR",M993/INDEX('Assumptions &amp; FX Reference'!$C$5:$C$25,MATCH(H993,'Assumptions &amp; FX Reference'!$A$5:$A$25,0)),IF(L993="USD",M993*INDEX('Assumptions &amp; FX Reference'!$B$5:$B$25,MATCH(H993,'Assumptions &amp; FX Reference'!$A$5:$A$25,0))/INDEX('Assumptions &amp; FX Reference'!$C$5:$C$25,MATCH(H993,'Assumptions &amp; FX Reference'!$A$5:$A$25,0)),""))),"(FX missing)"))</f>
        <v/>
      </c>
      <c r="P993" s="42"/>
      <c r="Q993" s="42"/>
      <c r="R993" s="42"/>
      <c r="S993" s="42"/>
      <c r="T993" s="42"/>
      <c r="U993" s="42"/>
      <c r="V993" s="42"/>
    </row>
    <row r="994" customFormat="false" ht="15" hidden="false" customHeight="false" outlineLevel="0" collapsed="false">
      <c r="A994" s="42"/>
      <c r="B994" s="42"/>
      <c r="C994" s="45" t="str">
        <f aca="false">IF(B994="","",IFERROR(INDEX('Master Database'!$D$5:$D$600,MATCH(B994,'Master Database'!$A$5:$A$600,0)),"(row not found)"))</f>
        <v/>
      </c>
      <c r="D994" s="45" t="str">
        <f aca="false">IF(B994="","",IFERROR(INDEX('Master Database'!$B$5:$B$600,MATCH(B994,'Master Database'!$A$5:$A$600,0)),"(row not found)"))</f>
        <v/>
      </c>
      <c r="E994" s="42"/>
      <c r="F994" s="45" t="str">
        <f aca="false">IF(E994="","",IFERROR(INDEX(Vendor_Register!$B$5:$B$205,MATCH(E994,Vendor_Register!$A$5:$A$205,0)),"(not in register)"))</f>
        <v/>
      </c>
      <c r="G994" s="45" t="str">
        <f aca="false">IF(E994="","",IFERROR(INDEX(Vendor_Register!$E$5:$E$205,MATCH(E994,Vendor_Register!$A$5:$A$205,0)),"(not in register)"))</f>
        <v/>
      </c>
      <c r="H994" s="42"/>
      <c r="I994" s="42"/>
      <c r="J994" s="42"/>
      <c r="K994" s="42"/>
      <c r="L994" s="42"/>
      <c r="M994" s="46"/>
      <c r="N994" s="42"/>
      <c r="O994" s="47" t="str">
        <f aca="false">IF(NOT(ISNUMBER(M994)),"",IFERROR(IF(L994="EUR",M994,IF(L994="IRR",M994/INDEX('Assumptions &amp; FX Reference'!$C$5:$C$25,MATCH(H994,'Assumptions &amp; FX Reference'!$A$5:$A$25,0)),IF(L994="USD",M994*INDEX('Assumptions &amp; FX Reference'!$B$5:$B$25,MATCH(H994,'Assumptions &amp; FX Reference'!$A$5:$A$25,0))/INDEX('Assumptions &amp; FX Reference'!$C$5:$C$25,MATCH(H994,'Assumptions &amp; FX Reference'!$A$5:$A$25,0)),""))),"(FX missing)"))</f>
        <v/>
      </c>
      <c r="P994" s="42"/>
      <c r="Q994" s="42"/>
      <c r="R994" s="42"/>
      <c r="S994" s="42"/>
      <c r="T994" s="42"/>
      <c r="U994" s="42"/>
      <c r="V994" s="42"/>
    </row>
    <row r="995" customFormat="false" ht="15" hidden="false" customHeight="false" outlineLevel="0" collapsed="false">
      <c r="A995" s="42"/>
      <c r="B995" s="42"/>
      <c r="C995" s="45" t="str">
        <f aca="false">IF(B995="","",IFERROR(INDEX('Master Database'!$D$5:$D$600,MATCH(B995,'Master Database'!$A$5:$A$600,0)),"(row not found)"))</f>
        <v/>
      </c>
      <c r="D995" s="45" t="str">
        <f aca="false">IF(B995="","",IFERROR(INDEX('Master Database'!$B$5:$B$600,MATCH(B995,'Master Database'!$A$5:$A$600,0)),"(row not found)"))</f>
        <v/>
      </c>
      <c r="E995" s="42"/>
      <c r="F995" s="45" t="str">
        <f aca="false">IF(E995="","",IFERROR(INDEX(Vendor_Register!$B$5:$B$205,MATCH(E995,Vendor_Register!$A$5:$A$205,0)),"(not in register)"))</f>
        <v/>
      </c>
      <c r="G995" s="45" t="str">
        <f aca="false">IF(E995="","",IFERROR(INDEX(Vendor_Register!$E$5:$E$205,MATCH(E995,Vendor_Register!$A$5:$A$205,0)),"(not in register)"))</f>
        <v/>
      </c>
      <c r="H995" s="42"/>
      <c r="I995" s="42"/>
      <c r="J995" s="42"/>
      <c r="K995" s="42"/>
      <c r="L995" s="42"/>
      <c r="M995" s="46"/>
      <c r="N995" s="42"/>
      <c r="O995" s="47" t="str">
        <f aca="false">IF(NOT(ISNUMBER(M995)),"",IFERROR(IF(L995="EUR",M995,IF(L995="IRR",M995/INDEX('Assumptions &amp; FX Reference'!$C$5:$C$25,MATCH(H995,'Assumptions &amp; FX Reference'!$A$5:$A$25,0)),IF(L995="USD",M995*INDEX('Assumptions &amp; FX Reference'!$B$5:$B$25,MATCH(H995,'Assumptions &amp; FX Reference'!$A$5:$A$25,0))/INDEX('Assumptions &amp; FX Reference'!$C$5:$C$25,MATCH(H995,'Assumptions &amp; FX Reference'!$A$5:$A$25,0)),""))),"(FX missing)"))</f>
        <v/>
      </c>
      <c r="P995" s="42"/>
      <c r="Q995" s="42"/>
      <c r="R995" s="42"/>
      <c r="S995" s="42"/>
      <c r="T995" s="42"/>
      <c r="U995" s="42"/>
      <c r="V995" s="42"/>
    </row>
    <row r="996" customFormat="false" ht="15" hidden="false" customHeight="false" outlineLevel="0" collapsed="false">
      <c r="A996" s="42"/>
      <c r="B996" s="42"/>
      <c r="C996" s="45" t="str">
        <f aca="false">IF(B996="","",IFERROR(INDEX('Master Database'!$D$5:$D$600,MATCH(B996,'Master Database'!$A$5:$A$600,0)),"(row not found)"))</f>
        <v/>
      </c>
      <c r="D996" s="45" t="str">
        <f aca="false">IF(B996="","",IFERROR(INDEX('Master Database'!$B$5:$B$600,MATCH(B996,'Master Database'!$A$5:$A$600,0)),"(row not found)"))</f>
        <v/>
      </c>
      <c r="E996" s="42"/>
      <c r="F996" s="45" t="str">
        <f aca="false">IF(E996="","",IFERROR(INDEX(Vendor_Register!$B$5:$B$205,MATCH(E996,Vendor_Register!$A$5:$A$205,0)),"(not in register)"))</f>
        <v/>
      </c>
      <c r="G996" s="45" t="str">
        <f aca="false">IF(E996="","",IFERROR(INDEX(Vendor_Register!$E$5:$E$205,MATCH(E996,Vendor_Register!$A$5:$A$205,0)),"(not in register)"))</f>
        <v/>
      </c>
      <c r="H996" s="42"/>
      <c r="I996" s="42"/>
      <c r="J996" s="42"/>
      <c r="K996" s="42"/>
      <c r="L996" s="42"/>
      <c r="M996" s="46"/>
      <c r="N996" s="42"/>
      <c r="O996" s="47" t="str">
        <f aca="false">IF(NOT(ISNUMBER(M996)),"",IFERROR(IF(L996="EUR",M996,IF(L996="IRR",M996/INDEX('Assumptions &amp; FX Reference'!$C$5:$C$25,MATCH(H996,'Assumptions &amp; FX Reference'!$A$5:$A$25,0)),IF(L996="USD",M996*INDEX('Assumptions &amp; FX Reference'!$B$5:$B$25,MATCH(H996,'Assumptions &amp; FX Reference'!$A$5:$A$25,0))/INDEX('Assumptions &amp; FX Reference'!$C$5:$C$25,MATCH(H996,'Assumptions &amp; FX Reference'!$A$5:$A$25,0)),""))),"(FX missing)"))</f>
        <v/>
      </c>
      <c r="P996" s="42"/>
      <c r="Q996" s="42"/>
      <c r="R996" s="42"/>
      <c r="S996" s="42"/>
      <c r="T996" s="42"/>
      <c r="U996" s="42"/>
      <c r="V996" s="42"/>
    </row>
    <row r="997" customFormat="false" ht="15" hidden="false" customHeight="false" outlineLevel="0" collapsed="false">
      <c r="A997" s="42"/>
      <c r="B997" s="42"/>
      <c r="C997" s="45" t="str">
        <f aca="false">IF(B997="","",IFERROR(INDEX('Master Database'!$D$5:$D$600,MATCH(B997,'Master Database'!$A$5:$A$600,0)),"(row not found)"))</f>
        <v/>
      </c>
      <c r="D997" s="45" t="str">
        <f aca="false">IF(B997="","",IFERROR(INDEX('Master Database'!$B$5:$B$600,MATCH(B997,'Master Database'!$A$5:$A$600,0)),"(row not found)"))</f>
        <v/>
      </c>
      <c r="E997" s="42"/>
      <c r="F997" s="45" t="str">
        <f aca="false">IF(E997="","",IFERROR(INDEX(Vendor_Register!$B$5:$B$205,MATCH(E997,Vendor_Register!$A$5:$A$205,0)),"(not in register)"))</f>
        <v/>
      </c>
      <c r="G997" s="45" t="str">
        <f aca="false">IF(E997="","",IFERROR(INDEX(Vendor_Register!$E$5:$E$205,MATCH(E997,Vendor_Register!$A$5:$A$205,0)),"(not in register)"))</f>
        <v/>
      </c>
      <c r="H997" s="42"/>
      <c r="I997" s="42"/>
      <c r="J997" s="42"/>
      <c r="K997" s="42"/>
      <c r="L997" s="42"/>
      <c r="M997" s="46"/>
      <c r="N997" s="42"/>
      <c r="O997" s="47" t="str">
        <f aca="false">IF(NOT(ISNUMBER(M997)),"",IFERROR(IF(L997="EUR",M997,IF(L997="IRR",M997/INDEX('Assumptions &amp; FX Reference'!$C$5:$C$25,MATCH(H997,'Assumptions &amp; FX Reference'!$A$5:$A$25,0)),IF(L997="USD",M997*INDEX('Assumptions &amp; FX Reference'!$B$5:$B$25,MATCH(H997,'Assumptions &amp; FX Reference'!$A$5:$A$25,0))/INDEX('Assumptions &amp; FX Reference'!$C$5:$C$25,MATCH(H997,'Assumptions &amp; FX Reference'!$A$5:$A$25,0)),""))),"(FX missing)"))</f>
        <v/>
      </c>
      <c r="P997" s="42"/>
      <c r="Q997" s="42"/>
      <c r="R997" s="42"/>
      <c r="S997" s="42"/>
      <c r="T997" s="42"/>
      <c r="U997" s="42"/>
      <c r="V997" s="42"/>
    </row>
    <row r="998" customFormat="false" ht="15" hidden="false" customHeight="false" outlineLevel="0" collapsed="false">
      <c r="A998" s="42"/>
      <c r="B998" s="42"/>
      <c r="C998" s="45" t="str">
        <f aca="false">IF(B998="","",IFERROR(INDEX('Master Database'!$D$5:$D$600,MATCH(B998,'Master Database'!$A$5:$A$600,0)),"(row not found)"))</f>
        <v/>
      </c>
      <c r="D998" s="45" t="str">
        <f aca="false">IF(B998="","",IFERROR(INDEX('Master Database'!$B$5:$B$600,MATCH(B998,'Master Database'!$A$5:$A$600,0)),"(row not found)"))</f>
        <v/>
      </c>
      <c r="E998" s="42"/>
      <c r="F998" s="45" t="str">
        <f aca="false">IF(E998="","",IFERROR(INDEX(Vendor_Register!$B$5:$B$205,MATCH(E998,Vendor_Register!$A$5:$A$205,0)),"(not in register)"))</f>
        <v/>
      </c>
      <c r="G998" s="45" t="str">
        <f aca="false">IF(E998="","",IFERROR(INDEX(Vendor_Register!$E$5:$E$205,MATCH(E998,Vendor_Register!$A$5:$A$205,0)),"(not in register)"))</f>
        <v/>
      </c>
      <c r="H998" s="42"/>
      <c r="I998" s="42"/>
      <c r="J998" s="42"/>
      <c r="K998" s="42"/>
      <c r="L998" s="42"/>
      <c r="M998" s="46"/>
      <c r="N998" s="42"/>
      <c r="O998" s="47" t="str">
        <f aca="false">IF(NOT(ISNUMBER(M998)),"",IFERROR(IF(L998="EUR",M998,IF(L998="IRR",M998/INDEX('Assumptions &amp; FX Reference'!$C$5:$C$25,MATCH(H998,'Assumptions &amp; FX Reference'!$A$5:$A$25,0)),IF(L998="USD",M998*INDEX('Assumptions &amp; FX Reference'!$B$5:$B$25,MATCH(H998,'Assumptions &amp; FX Reference'!$A$5:$A$25,0))/INDEX('Assumptions &amp; FX Reference'!$C$5:$C$25,MATCH(H998,'Assumptions &amp; FX Reference'!$A$5:$A$25,0)),""))),"(FX missing)"))</f>
        <v/>
      </c>
      <c r="P998" s="42"/>
      <c r="Q998" s="42"/>
      <c r="R998" s="42"/>
      <c r="S998" s="42"/>
      <c r="T998" s="42"/>
      <c r="U998" s="42"/>
      <c r="V998" s="42"/>
    </row>
    <row r="999" customFormat="false" ht="15" hidden="false" customHeight="false" outlineLevel="0" collapsed="false">
      <c r="A999" s="42"/>
      <c r="B999" s="42"/>
      <c r="C999" s="45" t="str">
        <f aca="false">IF(B999="","",IFERROR(INDEX('Master Database'!$D$5:$D$600,MATCH(B999,'Master Database'!$A$5:$A$600,0)),"(row not found)"))</f>
        <v/>
      </c>
      <c r="D999" s="45" t="str">
        <f aca="false">IF(B999="","",IFERROR(INDEX('Master Database'!$B$5:$B$600,MATCH(B999,'Master Database'!$A$5:$A$600,0)),"(row not found)"))</f>
        <v/>
      </c>
      <c r="E999" s="42"/>
      <c r="F999" s="45" t="str">
        <f aca="false">IF(E999="","",IFERROR(INDEX(Vendor_Register!$B$5:$B$205,MATCH(E999,Vendor_Register!$A$5:$A$205,0)),"(not in register)"))</f>
        <v/>
      </c>
      <c r="G999" s="45" t="str">
        <f aca="false">IF(E999="","",IFERROR(INDEX(Vendor_Register!$E$5:$E$205,MATCH(E999,Vendor_Register!$A$5:$A$205,0)),"(not in register)"))</f>
        <v/>
      </c>
      <c r="H999" s="42"/>
      <c r="I999" s="42"/>
      <c r="J999" s="42"/>
      <c r="K999" s="42"/>
      <c r="L999" s="42"/>
      <c r="M999" s="46"/>
      <c r="N999" s="42"/>
      <c r="O999" s="47" t="str">
        <f aca="false">IF(NOT(ISNUMBER(M999)),"",IFERROR(IF(L999="EUR",M999,IF(L999="IRR",M999/INDEX('Assumptions &amp; FX Reference'!$C$5:$C$25,MATCH(H999,'Assumptions &amp; FX Reference'!$A$5:$A$25,0)),IF(L999="USD",M999*INDEX('Assumptions &amp; FX Reference'!$B$5:$B$25,MATCH(H999,'Assumptions &amp; FX Reference'!$A$5:$A$25,0))/INDEX('Assumptions &amp; FX Reference'!$C$5:$C$25,MATCH(H999,'Assumptions &amp; FX Reference'!$A$5:$A$25,0)),""))),"(FX missing)"))</f>
        <v/>
      </c>
      <c r="P999" s="42"/>
      <c r="Q999" s="42"/>
      <c r="R999" s="42"/>
      <c r="S999" s="42"/>
      <c r="T999" s="42"/>
      <c r="U999" s="42"/>
      <c r="V999" s="42"/>
    </row>
    <row r="1000" customFormat="false" ht="15" hidden="false" customHeight="false" outlineLevel="0" collapsed="false">
      <c r="A1000" s="42"/>
      <c r="B1000" s="42"/>
      <c r="C1000" s="45" t="str">
        <f aca="false">IF(B1000="","",IFERROR(INDEX('Master Database'!$D$5:$D$600,MATCH(B1000,'Master Database'!$A$5:$A$600,0)),"(row not found)"))</f>
        <v/>
      </c>
      <c r="D1000" s="45" t="str">
        <f aca="false">IF(B1000="","",IFERROR(INDEX('Master Database'!$B$5:$B$600,MATCH(B1000,'Master Database'!$A$5:$A$600,0)),"(row not found)"))</f>
        <v/>
      </c>
      <c r="E1000" s="42"/>
      <c r="F1000" s="45" t="str">
        <f aca="false">IF(E1000="","",IFERROR(INDEX(Vendor_Register!$B$5:$B$205,MATCH(E1000,Vendor_Register!$A$5:$A$205,0)),"(not in register)"))</f>
        <v/>
      </c>
      <c r="G1000" s="45" t="str">
        <f aca="false">IF(E1000="","",IFERROR(INDEX(Vendor_Register!$E$5:$E$205,MATCH(E1000,Vendor_Register!$A$5:$A$205,0)),"(not in register)"))</f>
        <v/>
      </c>
      <c r="H1000" s="42"/>
      <c r="I1000" s="42"/>
      <c r="J1000" s="42"/>
      <c r="K1000" s="42"/>
      <c r="L1000" s="42"/>
      <c r="M1000" s="46"/>
      <c r="N1000" s="42"/>
      <c r="O1000" s="47" t="str">
        <f aca="false">IF(NOT(ISNUMBER(M1000)),"",IFERROR(IF(L1000="EUR",M1000,IF(L1000="IRR",M1000/INDEX('Assumptions &amp; FX Reference'!$C$5:$C$25,MATCH(H1000,'Assumptions &amp; FX Reference'!$A$5:$A$25,0)),IF(L1000="USD",M1000*INDEX('Assumptions &amp; FX Reference'!$B$5:$B$25,MATCH(H1000,'Assumptions &amp; FX Reference'!$A$5:$A$25,0))/INDEX('Assumptions &amp; FX Reference'!$C$5:$C$25,MATCH(H1000,'Assumptions &amp; FX Reference'!$A$5:$A$25,0)),""))),"(FX missing)"))</f>
        <v/>
      </c>
      <c r="P1000" s="42"/>
      <c r="Q1000" s="42"/>
      <c r="R1000" s="42"/>
      <c r="S1000" s="42"/>
      <c r="T1000" s="42"/>
      <c r="U1000" s="42"/>
      <c r="V1000" s="42"/>
    </row>
    <row r="1001" customFormat="false" ht="15" hidden="false" customHeight="false" outlineLevel="0" collapsed="false">
      <c r="A1001" s="42"/>
      <c r="B1001" s="42"/>
      <c r="C1001" s="45" t="str">
        <f aca="false">IF(B1001="","",IFERROR(INDEX('Master Database'!$D$5:$D$600,MATCH(B1001,'Master Database'!$A$5:$A$600,0)),"(row not found)"))</f>
        <v/>
      </c>
      <c r="D1001" s="45" t="str">
        <f aca="false">IF(B1001="","",IFERROR(INDEX('Master Database'!$B$5:$B$600,MATCH(B1001,'Master Database'!$A$5:$A$600,0)),"(row not found)"))</f>
        <v/>
      </c>
      <c r="E1001" s="42"/>
      <c r="F1001" s="45" t="str">
        <f aca="false">IF(E1001="","",IFERROR(INDEX(Vendor_Register!$B$5:$B$205,MATCH(E1001,Vendor_Register!$A$5:$A$205,0)),"(not in register)"))</f>
        <v/>
      </c>
      <c r="G1001" s="45" t="str">
        <f aca="false">IF(E1001="","",IFERROR(INDEX(Vendor_Register!$E$5:$E$205,MATCH(E1001,Vendor_Register!$A$5:$A$205,0)),"(not in register)"))</f>
        <v/>
      </c>
      <c r="H1001" s="42"/>
      <c r="I1001" s="42"/>
      <c r="J1001" s="42"/>
      <c r="K1001" s="42"/>
      <c r="L1001" s="42"/>
      <c r="M1001" s="46"/>
      <c r="N1001" s="42"/>
      <c r="O1001" s="47" t="str">
        <f aca="false">IF(NOT(ISNUMBER(M1001)),"",IFERROR(IF(L1001="EUR",M1001,IF(L1001="IRR",M1001/INDEX('Assumptions &amp; FX Reference'!$C$5:$C$25,MATCH(H1001,'Assumptions &amp; FX Reference'!$A$5:$A$25,0)),IF(L1001="USD",M1001*INDEX('Assumptions &amp; FX Reference'!$B$5:$B$25,MATCH(H1001,'Assumptions &amp; FX Reference'!$A$5:$A$25,0))/INDEX('Assumptions &amp; FX Reference'!$C$5:$C$25,MATCH(H1001,'Assumptions &amp; FX Reference'!$A$5:$A$25,0)),""))),"(FX missing)"))</f>
        <v/>
      </c>
      <c r="P1001" s="42"/>
      <c r="Q1001" s="42"/>
      <c r="R1001" s="42"/>
      <c r="S1001" s="42"/>
      <c r="T1001" s="42"/>
      <c r="U1001" s="42"/>
      <c r="V1001" s="42"/>
    </row>
    <row r="1002" customFormat="false" ht="15" hidden="false" customHeight="false" outlineLevel="0" collapsed="false">
      <c r="A1002" s="42"/>
      <c r="B1002" s="42"/>
      <c r="C1002" s="45" t="str">
        <f aca="false">IF(B1002="","",IFERROR(INDEX('Master Database'!$D$5:$D$600,MATCH(B1002,'Master Database'!$A$5:$A$600,0)),"(row not found)"))</f>
        <v/>
      </c>
      <c r="D1002" s="45" t="str">
        <f aca="false">IF(B1002="","",IFERROR(INDEX('Master Database'!$B$5:$B$600,MATCH(B1002,'Master Database'!$A$5:$A$600,0)),"(row not found)"))</f>
        <v/>
      </c>
      <c r="E1002" s="42"/>
      <c r="F1002" s="45" t="str">
        <f aca="false">IF(E1002="","",IFERROR(INDEX(Vendor_Register!$B$5:$B$205,MATCH(E1002,Vendor_Register!$A$5:$A$205,0)),"(not in register)"))</f>
        <v/>
      </c>
      <c r="G1002" s="45" t="str">
        <f aca="false">IF(E1002="","",IFERROR(INDEX(Vendor_Register!$E$5:$E$205,MATCH(E1002,Vendor_Register!$A$5:$A$205,0)),"(not in register)"))</f>
        <v/>
      </c>
      <c r="H1002" s="42"/>
      <c r="I1002" s="42"/>
      <c r="J1002" s="42"/>
      <c r="K1002" s="42"/>
      <c r="L1002" s="42"/>
      <c r="M1002" s="46"/>
      <c r="N1002" s="42"/>
      <c r="O1002" s="47" t="str">
        <f aca="false">IF(NOT(ISNUMBER(M1002)),"",IFERROR(IF(L1002="EUR",M1002,IF(L1002="IRR",M1002/INDEX('Assumptions &amp; FX Reference'!$C$5:$C$25,MATCH(H1002,'Assumptions &amp; FX Reference'!$A$5:$A$25,0)),IF(L1002="USD",M1002*INDEX('Assumptions &amp; FX Reference'!$B$5:$B$25,MATCH(H1002,'Assumptions &amp; FX Reference'!$A$5:$A$25,0))/INDEX('Assumptions &amp; FX Reference'!$C$5:$C$25,MATCH(H1002,'Assumptions &amp; FX Reference'!$A$5:$A$25,0)),""))),"(FX missing)"))</f>
        <v/>
      </c>
      <c r="P1002" s="42"/>
      <c r="Q1002" s="42"/>
      <c r="R1002" s="42"/>
      <c r="S1002" s="42"/>
      <c r="T1002" s="42"/>
      <c r="U1002" s="42"/>
      <c r="V1002" s="42"/>
    </row>
    <row r="1003" customFormat="false" ht="15" hidden="false" customHeight="false" outlineLevel="0" collapsed="false">
      <c r="A1003" s="42"/>
      <c r="B1003" s="42"/>
      <c r="C1003" s="45" t="str">
        <f aca="false">IF(B1003="","",IFERROR(INDEX('Master Database'!$D$5:$D$600,MATCH(B1003,'Master Database'!$A$5:$A$600,0)),"(row not found)"))</f>
        <v/>
      </c>
      <c r="D1003" s="45" t="str">
        <f aca="false">IF(B1003="","",IFERROR(INDEX('Master Database'!$B$5:$B$600,MATCH(B1003,'Master Database'!$A$5:$A$600,0)),"(row not found)"))</f>
        <v/>
      </c>
      <c r="E1003" s="42"/>
      <c r="F1003" s="45" t="str">
        <f aca="false">IF(E1003="","",IFERROR(INDEX(Vendor_Register!$B$5:$B$205,MATCH(E1003,Vendor_Register!$A$5:$A$205,0)),"(not in register)"))</f>
        <v/>
      </c>
      <c r="G1003" s="45" t="str">
        <f aca="false">IF(E1003="","",IFERROR(INDEX(Vendor_Register!$E$5:$E$205,MATCH(E1003,Vendor_Register!$A$5:$A$205,0)),"(not in register)"))</f>
        <v/>
      </c>
      <c r="H1003" s="42"/>
      <c r="I1003" s="42"/>
      <c r="J1003" s="42"/>
      <c r="K1003" s="42"/>
      <c r="L1003" s="42"/>
      <c r="M1003" s="46"/>
      <c r="N1003" s="42"/>
      <c r="O1003" s="47" t="str">
        <f aca="false">IF(NOT(ISNUMBER(M1003)),"",IFERROR(IF(L1003="EUR",M1003,IF(L1003="IRR",M1003/INDEX('Assumptions &amp; FX Reference'!$C$5:$C$25,MATCH(H1003,'Assumptions &amp; FX Reference'!$A$5:$A$25,0)),IF(L1003="USD",M1003*INDEX('Assumptions &amp; FX Reference'!$B$5:$B$25,MATCH(H1003,'Assumptions &amp; FX Reference'!$A$5:$A$25,0))/INDEX('Assumptions &amp; FX Reference'!$C$5:$C$25,MATCH(H1003,'Assumptions &amp; FX Reference'!$A$5:$A$25,0)),""))),"(FX missing)"))</f>
        <v/>
      </c>
      <c r="P1003" s="42"/>
      <c r="Q1003" s="42"/>
      <c r="R1003" s="42"/>
      <c r="S1003" s="42"/>
      <c r="T1003" s="42"/>
      <c r="U1003" s="42"/>
      <c r="V1003" s="42"/>
    </row>
    <row r="1004" customFormat="false" ht="15" hidden="false" customHeight="false" outlineLevel="0" collapsed="false">
      <c r="A1004" s="42"/>
      <c r="B1004" s="42"/>
      <c r="C1004" s="45" t="str">
        <f aca="false">IF(B1004="","",IFERROR(INDEX('Master Database'!$D$5:$D$600,MATCH(B1004,'Master Database'!$A$5:$A$600,0)),"(row not found)"))</f>
        <v/>
      </c>
      <c r="D1004" s="45" t="str">
        <f aca="false">IF(B1004="","",IFERROR(INDEX('Master Database'!$B$5:$B$600,MATCH(B1004,'Master Database'!$A$5:$A$600,0)),"(row not found)"))</f>
        <v/>
      </c>
      <c r="E1004" s="42"/>
      <c r="F1004" s="45" t="str">
        <f aca="false">IF(E1004="","",IFERROR(INDEX(Vendor_Register!$B$5:$B$205,MATCH(E1004,Vendor_Register!$A$5:$A$205,0)),"(not in register)"))</f>
        <v/>
      </c>
      <c r="G1004" s="45" t="str">
        <f aca="false">IF(E1004="","",IFERROR(INDEX(Vendor_Register!$E$5:$E$205,MATCH(E1004,Vendor_Register!$A$5:$A$205,0)),"(not in register)"))</f>
        <v/>
      </c>
      <c r="H1004" s="42"/>
      <c r="I1004" s="42"/>
      <c r="J1004" s="42"/>
      <c r="K1004" s="42"/>
      <c r="L1004" s="42"/>
      <c r="M1004" s="46"/>
      <c r="N1004" s="42"/>
      <c r="O1004" s="47" t="str">
        <f aca="false">IF(NOT(ISNUMBER(M1004)),"",IFERROR(IF(L1004="EUR",M1004,IF(L1004="IRR",M1004/INDEX('Assumptions &amp; FX Reference'!$C$5:$C$25,MATCH(H1004,'Assumptions &amp; FX Reference'!$A$5:$A$25,0)),IF(L1004="USD",M1004*INDEX('Assumptions &amp; FX Reference'!$B$5:$B$25,MATCH(H1004,'Assumptions &amp; FX Reference'!$A$5:$A$25,0))/INDEX('Assumptions &amp; FX Reference'!$C$5:$C$25,MATCH(H1004,'Assumptions &amp; FX Reference'!$A$5:$A$25,0)),""))),"(FX missing)"))</f>
        <v/>
      </c>
      <c r="P1004" s="42"/>
      <c r="Q1004" s="42"/>
      <c r="R1004" s="42"/>
      <c r="S1004" s="42"/>
      <c r="T1004" s="42"/>
      <c r="U1004" s="42"/>
      <c r="V1004" s="42"/>
    </row>
    <row r="1005" customFormat="false" ht="15" hidden="false" customHeight="false" outlineLevel="0" collapsed="false">
      <c r="A1005" s="42"/>
      <c r="B1005" s="42"/>
      <c r="C1005" s="45" t="str">
        <f aca="false">IF(B1005="","",IFERROR(INDEX('Master Database'!$D$5:$D$600,MATCH(B1005,'Master Database'!$A$5:$A$600,0)),"(row not found)"))</f>
        <v/>
      </c>
      <c r="D1005" s="45" t="str">
        <f aca="false">IF(B1005="","",IFERROR(INDEX('Master Database'!$B$5:$B$600,MATCH(B1005,'Master Database'!$A$5:$A$600,0)),"(row not found)"))</f>
        <v/>
      </c>
      <c r="E1005" s="42"/>
      <c r="F1005" s="45" t="str">
        <f aca="false">IF(E1005="","",IFERROR(INDEX(Vendor_Register!$B$5:$B$205,MATCH(E1005,Vendor_Register!$A$5:$A$205,0)),"(not in register)"))</f>
        <v/>
      </c>
      <c r="G1005" s="45" t="str">
        <f aca="false">IF(E1005="","",IFERROR(INDEX(Vendor_Register!$E$5:$E$205,MATCH(E1005,Vendor_Register!$A$5:$A$205,0)),"(not in register)"))</f>
        <v/>
      </c>
      <c r="H1005" s="42"/>
      <c r="I1005" s="42"/>
      <c r="J1005" s="42"/>
      <c r="K1005" s="42"/>
      <c r="L1005" s="42"/>
      <c r="M1005" s="46"/>
      <c r="N1005" s="42"/>
      <c r="O1005" s="47" t="str">
        <f aca="false">IF(NOT(ISNUMBER(M1005)),"",IFERROR(IF(L1005="EUR",M1005,IF(L1005="IRR",M1005/INDEX('Assumptions &amp; FX Reference'!$C$5:$C$25,MATCH(H1005,'Assumptions &amp; FX Reference'!$A$5:$A$25,0)),IF(L1005="USD",M1005*INDEX('Assumptions &amp; FX Reference'!$B$5:$B$25,MATCH(H1005,'Assumptions &amp; FX Reference'!$A$5:$A$25,0))/INDEX('Assumptions &amp; FX Reference'!$C$5:$C$25,MATCH(H1005,'Assumptions &amp; FX Reference'!$A$5:$A$25,0)),""))),"(FX missing)"))</f>
        <v/>
      </c>
      <c r="P1005" s="42"/>
      <c r="Q1005" s="42"/>
      <c r="R1005" s="42"/>
      <c r="S1005" s="42"/>
      <c r="T1005" s="42"/>
      <c r="U1005" s="42"/>
      <c r="V1005" s="42"/>
    </row>
  </sheetData>
  <dataValidations count="6">
    <dataValidation allowBlank="true" errorStyle="stop" operator="between" showDropDown="false" showErrorMessage="false" showInputMessage="false" sqref="E5:E1005" type="list">
      <formula1>Vendor_Register!$A$5:$A$205</formula1>
      <formula2>0</formula2>
    </dataValidation>
    <dataValidation allowBlank="true" errorStyle="stop" operator="between" showDropDown="false" showErrorMessage="false" showInputMessage="false" sqref="H5:H1005" type="list">
      <formula1>Lookup_Codes!$K$5:$K$60</formula1>
      <formula2>0</formula2>
    </dataValidation>
    <dataValidation allowBlank="true" errorStyle="stop" operator="between" showDropDown="false" showErrorMessage="false" showInputMessage="false" sqref="K5:K1005" type="list">
      <formula1>Lookup_Codes!$L$5:$L$60</formula1>
      <formula2>0</formula2>
    </dataValidation>
    <dataValidation allowBlank="true" errorStyle="stop" operator="between" showDropDown="false" showErrorMessage="false" showInputMessage="false" sqref="L5:L1005" type="list">
      <formula1>Lookup_Codes!$J$5:$J$60</formula1>
      <formula2>0</formula2>
    </dataValidation>
    <dataValidation allowBlank="true" errorStyle="stop" operator="between" showDropDown="false" showErrorMessage="false" showInputMessage="false" sqref="N5:N1005" type="list">
      <formula1>Lookup_Codes!$Q$5:$Q$60</formula1>
      <formula2>0</formula2>
    </dataValidation>
    <dataValidation allowBlank="true" errorStyle="stop" operator="between" showDropDown="false" showErrorMessage="false" showInputMessage="false" sqref="Q5:U1005" type="list">
      <formula1>Lookup_Codes!$I$5:$I$60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2"/>
    <col collapsed="false" customWidth="true" hidden="false" outlineLevel="0" max="4" min="4" style="0" width="18"/>
    <col collapsed="false" customWidth="true" hidden="false" outlineLevel="0" max="5" min="5" style="0" width="22"/>
    <col collapsed="false" customWidth="true" hidden="false" outlineLevel="0" max="6" min="6" style="0" width="10"/>
    <col collapsed="false" customWidth="true" hidden="false" outlineLevel="0" max="7" min="7" style="0" width="24"/>
    <col collapsed="false" customWidth="true" hidden="false" outlineLevel="0" max="8" min="8" style="0" width="20"/>
    <col collapsed="false" customWidth="true" hidden="false" outlineLevel="0" max="9" min="9" style="0" width="30"/>
  </cols>
  <sheetData>
    <row r="1" customFormat="false" ht="16.5" hidden="false" customHeight="true" outlineLevel="0" collapsed="false">
      <c r="A1" s="73" t="s">
        <v>1115</v>
      </c>
    </row>
    <row r="2" customFormat="false" ht="15" hidden="false" customHeight="false" outlineLevel="0" collapsed="false">
      <c r="A2" s="8" t="s">
        <v>1116</v>
      </c>
    </row>
    <row r="4" customFormat="false" ht="24" hidden="false" customHeight="true" outlineLevel="0" collapsed="false">
      <c r="A4" s="27" t="s">
        <v>917</v>
      </c>
      <c r="B4" s="27" t="s">
        <v>1117</v>
      </c>
      <c r="C4" s="27" t="s">
        <v>1118</v>
      </c>
      <c r="D4" s="27" t="s">
        <v>1119</v>
      </c>
      <c r="E4" s="27" t="s">
        <v>1120</v>
      </c>
      <c r="F4" s="27" t="s">
        <v>1121</v>
      </c>
      <c r="G4" s="27" t="s">
        <v>1122</v>
      </c>
      <c r="H4" s="27" t="s">
        <v>1123</v>
      </c>
      <c r="I4" s="27" t="s">
        <v>1124</v>
      </c>
    </row>
    <row r="5" customFormat="false" ht="15" hidden="false" customHeight="false" outlineLevel="0" collapsed="false">
      <c r="A5" s="71" t="s">
        <v>936</v>
      </c>
      <c r="B5" s="71" t="s">
        <v>1125</v>
      </c>
      <c r="C5" s="71" t="s">
        <v>1126</v>
      </c>
      <c r="D5" s="71" t="s">
        <v>1127</v>
      </c>
      <c r="E5" s="71" t="s">
        <v>1128</v>
      </c>
      <c r="F5" s="71" t="s">
        <v>1129</v>
      </c>
      <c r="G5" s="71" t="s">
        <v>1130</v>
      </c>
      <c r="H5" s="71" t="s">
        <v>1131</v>
      </c>
      <c r="I5" s="71" t="s">
        <v>1132</v>
      </c>
    </row>
    <row r="6" customFormat="false" ht="15" hidden="false" customHeight="false" outlineLevel="0" collapsed="false">
      <c r="A6" s="42" t="s">
        <v>940</v>
      </c>
      <c r="B6" s="42" t="s">
        <v>1133</v>
      </c>
      <c r="C6" s="42" t="s">
        <v>1126</v>
      </c>
      <c r="D6" s="42"/>
      <c r="E6" s="42" t="s">
        <v>1134</v>
      </c>
      <c r="F6" s="42"/>
      <c r="G6" s="42"/>
      <c r="H6" s="42"/>
      <c r="I6" s="42" t="s">
        <v>1135</v>
      </c>
    </row>
    <row r="7" customFormat="false" ht="15" hidden="false" customHeight="false" outlineLevel="0" collapsed="false">
      <c r="A7" s="42" t="s">
        <v>945</v>
      </c>
      <c r="B7" s="42" t="s">
        <v>1136</v>
      </c>
      <c r="C7" s="42" t="s">
        <v>1126</v>
      </c>
      <c r="D7" s="42"/>
      <c r="E7" s="42" t="s">
        <v>1134</v>
      </c>
      <c r="F7" s="42"/>
      <c r="G7" s="42"/>
      <c r="H7" s="42"/>
      <c r="I7" s="42" t="s">
        <v>1135</v>
      </c>
    </row>
    <row r="8" customFormat="false" ht="15" hidden="false" customHeight="false" outlineLevel="0" collapsed="false">
      <c r="A8" s="42" t="s">
        <v>949</v>
      </c>
      <c r="B8" s="42" t="s">
        <v>1137</v>
      </c>
      <c r="C8" s="42" t="s">
        <v>1126</v>
      </c>
      <c r="D8" s="42"/>
      <c r="E8" s="42" t="s">
        <v>1134</v>
      </c>
      <c r="F8" s="42"/>
      <c r="G8" s="42"/>
      <c r="H8" s="42"/>
      <c r="I8" s="42" t="s">
        <v>1135</v>
      </c>
    </row>
    <row r="9" customFormat="false" ht="15" hidden="false" customHeight="false" outlineLevel="0" collapsed="false">
      <c r="A9" s="42" t="s">
        <v>952</v>
      </c>
      <c r="B9" s="42" t="s">
        <v>1138</v>
      </c>
      <c r="C9" s="42" t="s">
        <v>1126</v>
      </c>
      <c r="D9" s="42"/>
      <c r="E9" s="42" t="s">
        <v>1134</v>
      </c>
      <c r="F9" s="42"/>
      <c r="G9" s="42"/>
      <c r="H9" s="42"/>
      <c r="I9" s="42" t="s">
        <v>1135</v>
      </c>
    </row>
    <row r="10" customFormat="false" ht="15" hidden="false" customHeight="false" outlineLevel="0" collapsed="false">
      <c r="A10" s="42"/>
      <c r="B10" s="42"/>
      <c r="C10" s="42"/>
      <c r="D10" s="42"/>
      <c r="E10" s="42"/>
      <c r="F10" s="42"/>
      <c r="G10" s="42"/>
      <c r="H10" s="42"/>
      <c r="I10" s="42"/>
    </row>
    <row r="11" customFormat="false" ht="15" hidden="false" customHeight="false" outlineLevel="0" collapsed="false">
      <c r="A11" s="42"/>
      <c r="B11" s="42"/>
      <c r="C11" s="42"/>
      <c r="D11" s="42"/>
      <c r="E11" s="42"/>
      <c r="F11" s="42"/>
      <c r="G11" s="42"/>
      <c r="H11" s="42"/>
      <c r="I11" s="42"/>
    </row>
    <row r="12" customFormat="false" ht="15" hidden="false" customHeight="false" outlineLevel="0" collapsed="false">
      <c r="A12" s="42"/>
      <c r="B12" s="42"/>
      <c r="C12" s="42"/>
      <c r="D12" s="42"/>
      <c r="E12" s="42"/>
      <c r="F12" s="42"/>
      <c r="G12" s="42"/>
      <c r="H12" s="42"/>
      <c r="I12" s="42"/>
    </row>
    <row r="13" customFormat="false" ht="15" hidden="false" customHeight="false" outlineLevel="0" collapsed="false">
      <c r="A13" s="42"/>
      <c r="B13" s="42"/>
      <c r="C13" s="42"/>
      <c r="D13" s="42"/>
      <c r="E13" s="42"/>
      <c r="F13" s="42"/>
      <c r="G13" s="42"/>
      <c r="H13" s="42"/>
      <c r="I13" s="42"/>
    </row>
    <row r="14" customFormat="false" ht="15" hidden="false" customHeight="false" outlineLevel="0" collapsed="false">
      <c r="A14" s="42"/>
      <c r="B14" s="42"/>
      <c r="C14" s="42"/>
      <c r="D14" s="42"/>
      <c r="E14" s="42"/>
      <c r="F14" s="42"/>
      <c r="G14" s="42"/>
      <c r="H14" s="42"/>
      <c r="I14" s="42"/>
    </row>
    <row r="15" customFormat="false" ht="15" hidden="false" customHeight="false" outlineLevel="0" collapsed="false">
      <c r="A15" s="42"/>
      <c r="B15" s="42"/>
      <c r="C15" s="42"/>
      <c r="D15" s="42"/>
      <c r="E15" s="42"/>
      <c r="F15" s="42"/>
      <c r="G15" s="42"/>
      <c r="H15" s="42"/>
      <c r="I15" s="42"/>
    </row>
    <row r="16" customFormat="false" ht="15" hidden="false" customHeight="false" outlineLevel="0" collapsed="false">
      <c r="A16" s="42"/>
      <c r="B16" s="42"/>
      <c r="C16" s="42"/>
      <c r="D16" s="42"/>
      <c r="E16" s="42"/>
      <c r="F16" s="42"/>
      <c r="G16" s="42"/>
      <c r="H16" s="42"/>
      <c r="I16" s="42"/>
    </row>
    <row r="17" customFormat="false" ht="15" hidden="false" customHeight="false" outlineLevel="0" collapsed="false">
      <c r="A17" s="42"/>
      <c r="B17" s="42"/>
      <c r="C17" s="42"/>
      <c r="D17" s="42"/>
      <c r="E17" s="42"/>
      <c r="F17" s="42"/>
      <c r="G17" s="42"/>
      <c r="H17" s="42"/>
      <c r="I17" s="42"/>
    </row>
    <row r="18" customFormat="false" ht="15" hidden="false" customHeight="false" outlineLevel="0" collapsed="false">
      <c r="A18" s="42"/>
      <c r="B18" s="42"/>
      <c r="C18" s="42"/>
      <c r="D18" s="42"/>
      <c r="E18" s="42"/>
      <c r="F18" s="42"/>
      <c r="G18" s="42"/>
      <c r="H18" s="42"/>
      <c r="I18" s="42"/>
    </row>
    <row r="19" customFormat="false" ht="15" hidden="false" customHeight="false" outlineLevel="0" collapsed="false">
      <c r="A19" s="42"/>
      <c r="B19" s="42"/>
      <c r="C19" s="42"/>
      <c r="D19" s="42"/>
      <c r="E19" s="42"/>
      <c r="F19" s="42"/>
      <c r="G19" s="42"/>
      <c r="H19" s="42"/>
      <c r="I19" s="42"/>
    </row>
    <row r="20" customFormat="false" ht="15" hidden="false" customHeight="false" outlineLevel="0" collapsed="false">
      <c r="A20" s="42"/>
      <c r="B20" s="42"/>
      <c r="C20" s="42"/>
      <c r="D20" s="42"/>
      <c r="E20" s="42"/>
      <c r="F20" s="42"/>
      <c r="G20" s="42"/>
      <c r="H20" s="42"/>
      <c r="I20" s="42"/>
    </row>
    <row r="21" customFormat="false" ht="15" hidden="false" customHeight="false" outlineLevel="0" collapsed="false">
      <c r="A21" s="42"/>
      <c r="B21" s="42"/>
      <c r="C21" s="42"/>
      <c r="D21" s="42"/>
      <c r="E21" s="42"/>
      <c r="F21" s="42"/>
      <c r="G21" s="42"/>
      <c r="H21" s="42"/>
      <c r="I21" s="42"/>
    </row>
    <row r="22" customFormat="false" ht="15" hidden="false" customHeight="false" outlineLevel="0" collapsed="false">
      <c r="A22" s="42"/>
      <c r="B22" s="42"/>
      <c r="C22" s="42"/>
      <c r="D22" s="42"/>
      <c r="E22" s="42"/>
      <c r="F22" s="42"/>
      <c r="G22" s="42"/>
      <c r="H22" s="42"/>
      <c r="I22" s="42"/>
    </row>
    <row r="23" customFormat="false" ht="15" hidden="false" customHeight="false" outlineLevel="0" collapsed="false">
      <c r="A23" s="42"/>
      <c r="B23" s="42"/>
      <c r="C23" s="42"/>
      <c r="D23" s="42"/>
      <c r="E23" s="42"/>
      <c r="F23" s="42"/>
      <c r="G23" s="42"/>
      <c r="H23" s="42"/>
      <c r="I23" s="42"/>
    </row>
    <row r="24" customFormat="false" ht="15" hidden="false" customHeight="false" outlineLevel="0" collapsed="false">
      <c r="A24" s="42"/>
      <c r="B24" s="42"/>
      <c r="C24" s="42"/>
      <c r="D24" s="42"/>
      <c r="E24" s="42"/>
      <c r="F24" s="42"/>
      <c r="G24" s="42"/>
      <c r="H24" s="42"/>
      <c r="I24" s="42"/>
    </row>
    <row r="25" customFormat="false" ht="15" hidden="false" customHeight="false" outlineLevel="0" collapsed="false">
      <c r="A25" s="42"/>
      <c r="B25" s="42"/>
      <c r="C25" s="42"/>
      <c r="D25" s="42"/>
      <c r="E25" s="42"/>
      <c r="F25" s="42"/>
      <c r="G25" s="42"/>
      <c r="H25" s="42"/>
      <c r="I25" s="42"/>
    </row>
    <row r="26" customFormat="false" ht="15" hidden="false" customHeight="false" outlineLevel="0" collapsed="false">
      <c r="A26" s="42"/>
      <c r="B26" s="42"/>
      <c r="C26" s="42"/>
      <c r="D26" s="42"/>
      <c r="E26" s="42"/>
      <c r="F26" s="42"/>
      <c r="G26" s="42"/>
      <c r="H26" s="42"/>
      <c r="I26" s="42"/>
    </row>
    <row r="27" customFormat="false" ht="15" hidden="false" customHeight="false" outlineLevel="0" collapsed="false">
      <c r="A27" s="42"/>
      <c r="B27" s="42"/>
      <c r="C27" s="42"/>
      <c r="D27" s="42"/>
      <c r="E27" s="42"/>
      <c r="F27" s="42"/>
      <c r="G27" s="42"/>
      <c r="H27" s="42"/>
      <c r="I27" s="42"/>
    </row>
    <row r="28" customFormat="false" ht="15" hidden="false" customHeight="false" outlineLevel="0" collapsed="false">
      <c r="A28" s="42"/>
      <c r="B28" s="42"/>
      <c r="C28" s="42"/>
      <c r="D28" s="42"/>
      <c r="E28" s="42"/>
      <c r="F28" s="42"/>
      <c r="G28" s="42"/>
      <c r="H28" s="42"/>
      <c r="I28" s="42"/>
    </row>
    <row r="29" customFormat="false" ht="15" hidden="false" customHeight="false" outlineLevel="0" collapsed="false">
      <c r="A29" s="42"/>
      <c r="B29" s="42"/>
      <c r="C29" s="42"/>
      <c r="D29" s="42"/>
      <c r="E29" s="42"/>
      <c r="F29" s="42"/>
      <c r="G29" s="42"/>
      <c r="H29" s="42"/>
      <c r="I29" s="42"/>
    </row>
    <row r="30" customFormat="false" ht="15" hidden="false" customHeight="false" outlineLevel="0" collapsed="false">
      <c r="A30" s="42"/>
      <c r="B30" s="42"/>
      <c r="C30" s="42"/>
      <c r="D30" s="42"/>
      <c r="E30" s="42"/>
      <c r="F30" s="42"/>
      <c r="G30" s="42"/>
      <c r="H30" s="42"/>
      <c r="I30" s="42"/>
    </row>
    <row r="31" customFormat="false" ht="15" hidden="false" customHeight="false" outlineLevel="0" collapsed="false">
      <c r="A31" s="42"/>
      <c r="B31" s="42"/>
      <c r="C31" s="42"/>
      <c r="D31" s="42"/>
      <c r="E31" s="42"/>
      <c r="F31" s="42"/>
      <c r="G31" s="42"/>
      <c r="H31" s="42"/>
      <c r="I31" s="42"/>
    </row>
    <row r="32" customFormat="false" ht="15" hidden="false" customHeight="false" outlineLevel="0" collapsed="false">
      <c r="A32" s="42"/>
      <c r="B32" s="42"/>
      <c r="C32" s="42"/>
      <c r="D32" s="42"/>
      <c r="E32" s="42"/>
      <c r="F32" s="42"/>
      <c r="G32" s="42"/>
      <c r="H32" s="42"/>
      <c r="I32" s="42"/>
    </row>
    <row r="33" customFormat="false" ht="15" hidden="false" customHeight="false" outlineLevel="0" collapsed="false">
      <c r="A33" s="42"/>
      <c r="B33" s="42"/>
      <c r="C33" s="42"/>
      <c r="D33" s="42"/>
      <c r="E33" s="42"/>
      <c r="F33" s="42"/>
      <c r="G33" s="42"/>
      <c r="H33" s="42"/>
      <c r="I33" s="42"/>
    </row>
    <row r="34" customFormat="false" ht="15" hidden="false" customHeight="false" outlineLevel="0" collapsed="false">
      <c r="A34" s="42"/>
      <c r="B34" s="42"/>
      <c r="C34" s="42"/>
      <c r="D34" s="42"/>
      <c r="E34" s="42"/>
      <c r="F34" s="42"/>
      <c r="G34" s="42"/>
      <c r="H34" s="42"/>
      <c r="I34" s="42"/>
    </row>
    <row r="35" customFormat="false" ht="15" hidden="false" customHeight="false" outlineLevel="0" collapsed="false">
      <c r="A35" s="42"/>
      <c r="B35" s="42"/>
      <c r="C35" s="42"/>
      <c r="D35" s="42"/>
      <c r="E35" s="42"/>
      <c r="F35" s="42"/>
      <c r="G35" s="42"/>
      <c r="H35" s="42"/>
      <c r="I35" s="42"/>
    </row>
    <row r="36" customFormat="false" ht="15" hidden="false" customHeight="false" outlineLevel="0" collapsed="false">
      <c r="A36" s="42"/>
      <c r="B36" s="42"/>
      <c r="C36" s="42"/>
      <c r="D36" s="42"/>
      <c r="E36" s="42"/>
      <c r="F36" s="42"/>
      <c r="G36" s="42"/>
      <c r="H36" s="42"/>
      <c r="I36" s="42"/>
    </row>
    <row r="37" customFormat="false" ht="15" hidden="false" customHeight="false" outlineLevel="0" collapsed="false">
      <c r="A37" s="42"/>
      <c r="B37" s="42"/>
      <c r="C37" s="42"/>
      <c r="D37" s="42"/>
      <c r="E37" s="42"/>
      <c r="F37" s="42"/>
      <c r="G37" s="42"/>
      <c r="H37" s="42"/>
      <c r="I37" s="42"/>
    </row>
    <row r="38" customFormat="false" ht="15" hidden="false" customHeight="false" outlineLevel="0" collapsed="false">
      <c r="A38" s="42"/>
      <c r="B38" s="42"/>
      <c r="C38" s="42"/>
      <c r="D38" s="42"/>
      <c r="E38" s="42"/>
      <c r="F38" s="42"/>
      <c r="G38" s="42"/>
      <c r="H38" s="42"/>
      <c r="I38" s="42"/>
    </row>
    <row r="39" customFormat="false" ht="15" hidden="false" customHeight="false" outlineLevel="0" collapsed="false">
      <c r="A39" s="42"/>
      <c r="B39" s="42"/>
      <c r="C39" s="42"/>
      <c r="D39" s="42"/>
      <c r="E39" s="42"/>
      <c r="F39" s="42"/>
      <c r="G39" s="42"/>
      <c r="H39" s="42"/>
      <c r="I39" s="42"/>
    </row>
    <row r="40" customFormat="false" ht="15" hidden="false" customHeight="false" outlineLevel="0" collapsed="false">
      <c r="A40" s="42"/>
      <c r="B40" s="42"/>
      <c r="C40" s="42"/>
      <c r="D40" s="42"/>
      <c r="E40" s="42"/>
      <c r="F40" s="42"/>
      <c r="G40" s="42"/>
      <c r="H40" s="42"/>
      <c r="I40" s="42"/>
    </row>
    <row r="41" customFormat="false" ht="15" hidden="false" customHeight="false" outlineLevel="0" collapsed="false">
      <c r="A41" s="42"/>
      <c r="B41" s="42"/>
      <c r="C41" s="42"/>
      <c r="D41" s="42"/>
      <c r="E41" s="42"/>
      <c r="F41" s="42"/>
      <c r="G41" s="42"/>
      <c r="H41" s="42"/>
      <c r="I41" s="42"/>
    </row>
    <row r="42" customFormat="false" ht="15" hidden="false" customHeight="false" outlineLevel="0" collapsed="false">
      <c r="A42" s="42"/>
      <c r="B42" s="42"/>
      <c r="C42" s="42"/>
      <c r="D42" s="42"/>
      <c r="E42" s="42"/>
      <c r="F42" s="42"/>
      <c r="G42" s="42"/>
      <c r="H42" s="42"/>
      <c r="I42" s="42"/>
    </row>
    <row r="43" customFormat="false" ht="15" hidden="false" customHeight="false" outlineLevel="0" collapsed="false">
      <c r="A43" s="42"/>
      <c r="B43" s="42"/>
      <c r="C43" s="42"/>
      <c r="D43" s="42"/>
      <c r="E43" s="42"/>
      <c r="F43" s="42"/>
      <c r="G43" s="42"/>
      <c r="H43" s="42"/>
      <c r="I43" s="42"/>
    </row>
    <row r="44" customFormat="false" ht="15" hidden="false" customHeight="false" outlineLevel="0" collapsed="false">
      <c r="A44" s="42"/>
      <c r="B44" s="42"/>
      <c r="C44" s="42"/>
      <c r="D44" s="42"/>
      <c r="E44" s="42"/>
      <c r="F44" s="42"/>
      <c r="G44" s="42"/>
      <c r="H44" s="42"/>
      <c r="I44" s="42"/>
    </row>
    <row r="45" customFormat="false" ht="15" hidden="false" customHeight="false" outlineLevel="0" collapsed="false">
      <c r="A45" s="42"/>
      <c r="B45" s="42"/>
      <c r="C45" s="42"/>
      <c r="D45" s="42"/>
      <c r="E45" s="42"/>
      <c r="F45" s="42"/>
      <c r="G45" s="42"/>
      <c r="H45" s="42"/>
      <c r="I45" s="42"/>
    </row>
    <row r="46" customFormat="false" ht="15" hidden="false" customHeight="false" outlineLevel="0" collapsed="false">
      <c r="A46" s="42"/>
      <c r="B46" s="42"/>
      <c r="C46" s="42"/>
      <c r="D46" s="42"/>
      <c r="E46" s="42"/>
      <c r="F46" s="42"/>
      <c r="G46" s="42"/>
      <c r="H46" s="42"/>
      <c r="I46" s="42"/>
    </row>
    <row r="47" customFormat="false" ht="15" hidden="false" customHeight="false" outlineLevel="0" collapsed="false">
      <c r="A47" s="42"/>
      <c r="B47" s="42"/>
      <c r="C47" s="42"/>
      <c r="D47" s="42"/>
      <c r="E47" s="42"/>
      <c r="F47" s="42"/>
      <c r="G47" s="42"/>
      <c r="H47" s="42"/>
      <c r="I47" s="42"/>
    </row>
    <row r="48" customFormat="false" ht="15" hidden="false" customHeight="false" outlineLevel="0" collapsed="false">
      <c r="A48" s="42"/>
      <c r="B48" s="42"/>
      <c r="C48" s="42"/>
      <c r="D48" s="42"/>
      <c r="E48" s="42"/>
      <c r="F48" s="42"/>
      <c r="G48" s="42"/>
      <c r="H48" s="42"/>
      <c r="I48" s="42"/>
    </row>
    <row r="49" customFormat="false" ht="15" hidden="false" customHeight="false" outlineLevel="0" collapsed="false">
      <c r="A49" s="42"/>
      <c r="B49" s="42"/>
      <c r="C49" s="42"/>
      <c r="D49" s="42"/>
      <c r="E49" s="42"/>
      <c r="F49" s="42"/>
      <c r="G49" s="42"/>
      <c r="H49" s="42"/>
      <c r="I49" s="42"/>
    </row>
    <row r="50" customFormat="false" ht="15" hidden="false" customHeight="false" outlineLevel="0" collapsed="false">
      <c r="A50" s="42"/>
      <c r="B50" s="42"/>
      <c r="C50" s="42"/>
      <c r="D50" s="42"/>
      <c r="E50" s="42"/>
      <c r="F50" s="42"/>
      <c r="G50" s="42"/>
      <c r="H50" s="42"/>
      <c r="I50" s="42"/>
    </row>
    <row r="51" customFormat="false" ht="15" hidden="false" customHeight="false" outlineLevel="0" collapsed="false">
      <c r="A51" s="42"/>
      <c r="B51" s="42"/>
      <c r="C51" s="42"/>
      <c r="D51" s="42"/>
      <c r="E51" s="42"/>
      <c r="F51" s="42"/>
      <c r="G51" s="42"/>
      <c r="H51" s="42"/>
      <c r="I51" s="42"/>
    </row>
    <row r="52" customFormat="false" ht="15" hidden="false" customHeight="false" outlineLevel="0" collapsed="false">
      <c r="A52" s="42"/>
      <c r="B52" s="42"/>
      <c r="C52" s="42"/>
      <c r="D52" s="42"/>
      <c r="E52" s="42"/>
      <c r="F52" s="42"/>
      <c r="G52" s="42"/>
      <c r="H52" s="42"/>
      <c r="I52" s="42"/>
    </row>
    <row r="53" customFormat="false" ht="15" hidden="false" customHeight="false" outlineLevel="0" collapsed="false">
      <c r="A53" s="42"/>
      <c r="B53" s="42"/>
      <c r="C53" s="42"/>
      <c r="D53" s="42"/>
      <c r="E53" s="42"/>
      <c r="F53" s="42"/>
      <c r="G53" s="42"/>
      <c r="H53" s="42"/>
      <c r="I53" s="42"/>
    </row>
    <row r="54" customFormat="false" ht="15" hidden="false" customHeight="false" outlineLevel="0" collapsed="false">
      <c r="A54" s="42"/>
      <c r="B54" s="42"/>
      <c r="C54" s="42"/>
      <c r="D54" s="42"/>
      <c r="E54" s="42"/>
      <c r="F54" s="42"/>
      <c r="G54" s="42"/>
      <c r="H54" s="42"/>
      <c r="I54" s="42"/>
    </row>
    <row r="55" customFormat="false" ht="15" hidden="false" customHeight="false" outlineLevel="0" collapsed="false">
      <c r="A55" s="42"/>
      <c r="B55" s="42"/>
      <c r="C55" s="42"/>
      <c r="D55" s="42"/>
      <c r="E55" s="42"/>
      <c r="F55" s="42"/>
      <c r="G55" s="42"/>
      <c r="H55" s="42"/>
      <c r="I55" s="42"/>
    </row>
    <row r="56" customFormat="false" ht="15" hidden="false" customHeight="false" outlineLevel="0" collapsed="false">
      <c r="A56" s="42"/>
      <c r="B56" s="42"/>
      <c r="C56" s="42"/>
      <c r="D56" s="42"/>
      <c r="E56" s="42"/>
      <c r="F56" s="42"/>
      <c r="G56" s="42"/>
      <c r="H56" s="42"/>
      <c r="I56" s="42"/>
    </row>
    <row r="57" customFormat="false" ht="15" hidden="false" customHeight="false" outlineLevel="0" collapsed="false">
      <c r="A57" s="42"/>
      <c r="B57" s="42"/>
      <c r="C57" s="42"/>
      <c r="D57" s="42"/>
      <c r="E57" s="42"/>
      <c r="F57" s="42"/>
      <c r="G57" s="42"/>
      <c r="H57" s="42"/>
      <c r="I57" s="42"/>
    </row>
    <row r="58" customFormat="false" ht="15" hidden="false" customHeight="false" outlineLevel="0" collapsed="false">
      <c r="A58" s="42"/>
      <c r="B58" s="42"/>
      <c r="C58" s="42"/>
      <c r="D58" s="42"/>
      <c r="E58" s="42"/>
      <c r="F58" s="42"/>
      <c r="G58" s="42"/>
      <c r="H58" s="42"/>
      <c r="I58" s="42"/>
    </row>
    <row r="59" customFormat="false" ht="15" hidden="false" customHeight="false" outlineLevel="0" collapsed="false">
      <c r="A59" s="42"/>
      <c r="B59" s="42"/>
      <c r="C59" s="42"/>
      <c r="D59" s="42"/>
      <c r="E59" s="42"/>
      <c r="F59" s="42"/>
      <c r="G59" s="42"/>
      <c r="H59" s="42"/>
      <c r="I59" s="42"/>
    </row>
    <row r="60" customFormat="false" ht="15" hidden="false" customHeight="false" outlineLevel="0" collapsed="false">
      <c r="A60" s="42"/>
      <c r="B60" s="42"/>
      <c r="C60" s="42"/>
      <c r="D60" s="42"/>
      <c r="E60" s="42"/>
      <c r="F60" s="42"/>
      <c r="G60" s="42"/>
      <c r="H60" s="42"/>
      <c r="I60" s="42"/>
    </row>
    <row r="61" customFormat="false" ht="15" hidden="false" customHeight="false" outlineLevel="0" collapsed="false">
      <c r="A61" s="42"/>
      <c r="B61" s="42"/>
      <c r="C61" s="42"/>
      <c r="D61" s="42"/>
      <c r="E61" s="42"/>
      <c r="F61" s="42"/>
      <c r="G61" s="42"/>
      <c r="H61" s="42"/>
      <c r="I61" s="42"/>
    </row>
    <row r="62" customFormat="false" ht="15" hidden="false" customHeight="false" outlineLevel="0" collapsed="false">
      <c r="A62" s="42"/>
      <c r="B62" s="42"/>
      <c r="C62" s="42"/>
      <c r="D62" s="42"/>
      <c r="E62" s="42"/>
      <c r="F62" s="42"/>
      <c r="G62" s="42"/>
      <c r="H62" s="42"/>
      <c r="I62" s="42"/>
    </row>
    <row r="63" customFormat="false" ht="15" hidden="false" customHeight="false" outlineLevel="0" collapsed="false">
      <c r="A63" s="42"/>
      <c r="B63" s="42"/>
      <c r="C63" s="42"/>
      <c r="D63" s="42"/>
      <c r="E63" s="42"/>
      <c r="F63" s="42"/>
      <c r="G63" s="42"/>
      <c r="H63" s="42"/>
      <c r="I63" s="42"/>
    </row>
    <row r="64" customFormat="false" ht="15" hidden="false" customHeight="false" outlineLevel="0" collapsed="false">
      <c r="A64" s="42"/>
      <c r="B64" s="42"/>
      <c r="C64" s="42"/>
      <c r="D64" s="42"/>
      <c r="E64" s="42"/>
      <c r="F64" s="42"/>
      <c r="G64" s="42"/>
      <c r="H64" s="42"/>
      <c r="I64" s="42"/>
    </row>
    <row r="65" customFormat="false" ht="15" hidden="false" customHeight="false" outlineLevel="0" collapsed="false">
      <c r="A65" s="42"/>
      <c r="B65" s="42"/>
      <c r="C65" s="42"/>
      <c r="D65" s="42"/>
      <c r="E65" s="42"/>
      <c r="F65" s="42"/>
      <c r="G65" s="42"/>
      <c r="H65" s="42"/>
      <c r="I65" s="42"/>
    </row>
    <row r="66" customFormat="false" ht="15" hidden="false" customHeight="false" outlineLevel="0" collapsed="false">
      <c r="A66" s="42"/>
      <c r="B66" s="42"/>
      <c r="C66" s="42"/>
      <c r="D66" s="42"/>
      <c r="E66" s="42"/>
      <c r="F66" s="42"/>
      <c r="G66" s="42"/>
      <c r="H66" s="42"/>
      <c r="I66" s="42"/>
    </row>
    <row r="67" customFormat="false" ht="15" hidden="false" customHeight="false" outlineLevel="0" collapsed="false">
      <c r="A67" s="42"/>
      <c r="B67" s="42"/>
      <c r="C67" s="42"/>
      <c r="D67" s="42"/>
      <c r="E67" s="42"/>
      <c r="F67" s="42"/>
      <c r="G67" s="42"/>
      <c r="H67" s="42"/>
      <c r="I67" s="42"/>
    </row>
    <row r="68" customFormat="false" ht="15" hidden="false" customHeight="false" outlineLevel="0" collapsed="false">
      <c r="A68" s="42"/>
      <c r="B68" s="42"/>
      <c r="C68" s="42"/>
      <c r="D68" s="42"/>
      <c r="E68" s="42"/>
      <c r="F68" s="42"/>
      <c r="G68" s="42"/>
      <c r="H68" s="42"/>
      <c r="I68" s="42"/>
    </row>
    <row r="69" customFormat="false" ht="15" hidden="false" customHeight="false" outlineLevel="0" collapsed="false">
      <c r="A69" s="42"/>
      <c r="B69" s="42"/>
      <c r="C69" s="42"/>
      <c r="D69" s="42"/>
      <c r="E69" s="42"/>
      <c r="F69" s="42"/>
      <c r="G69" s="42"/>
      <c r="H69" s="42"/>
      <c r="I69" s="42"/>
    </row>
    <row r="70" customFormat="false" ht="15" hidden="false" customHeight="false" outlineLevel="0" collapsed="false">
      <c r="A70" s="42"/>
      <c r="B70" s="42"/>
      <c r="C70" s="42"/>
      <c r="D70" s="42"/>
      <c r="E70" s="42"/>
      <c r="F70" s="42"/>
      <c r="G70" s="42"/>
      <c r="H70" s="42"/>
      <c r="I70" s="42"/>
    </row>
    <row r="71" customFormat="false" ht="15" hidden="false" customHeight="false" outlineLevel="0" collapsed="false">
      <c r="A71" s="42"/>
      <c r="B71" s="42"/>
      <c r="C71" s="42"/>
      <c r="D71" s="42"/>
      <c r="E71" s="42"/>
      <c r="F71" s="42"/>
      <c r="G71" s="42"/>
      <c r="H71" s="42"/>
      <c r="I71" s="42"/>
    </row>
    <row r="72" customFormat="false" ht="15" hidden="false" customHeight="false" outlineLevel="0" collapsed="false">
      <c r="A72" s="42"/>
      <c r="B72" s="42"/>
      <c r="C72" s="42"/>
      <c r="D72" s="42"/>
      <c r="E72" s="42"/>
      <c r="F72" s="42"/>
      <c r="G72" s="42"/>
      <c r="H72" s="42"/>
      <c r="I72" s="42"/>
    </row>
    <row r="73" customFormat="false" ht="15" hidden="false" customHeight="false" outlineLevel="0" collapsed="false">
      <c r="A73" s="42"/>
      <c r="B73" s="42"/>
      <c r="C73" s="42"/>
      <c r="D73" s="42"/>
      <c r="E73" s="42"/>
      <c r="F73" s="42"/>
      <c r="G73" s="42"/>
      <c r="H73" s="42"/>
      <c r="I73" s="42"/>
    </row>
    <row r="74" customFormat="false" ht="15" hidden="false" customHeight="false" outlineLevel="0" collapsed="false">
      <c r="A74" s="42"/>
      <c r="B74" s="42"/>
      <c r="C74" s="42"/>
      <c r="D74" s="42"/>
      <c r="E74" s="42"/>
      <c r="F74" s="42"/>
      <c r="G74" s="42"/>
      <c r="H74" s="42"/>
      <c r="I74" s="42"/>
    </row>
    <row r="75" customFormat="false" ht="15" hidden="false" customHeight="false" outlineLevel="0" collapsed="false">
      <c r="A75" s="42"/>
      <c r="B75" s="42"/>
      <c r="C75" s="42"/>
      <c r="D75" s="42"/>
      <c r="E75" s="42"/>
      <c r="F75" s="42"/>
      <c r="G75" s="42"/>
      <c r="H75" s="42"/>
      <c r="I75" s="42"/>
    </row>
    <row r="76" customFormat="false" ht="15" hidden="false" customHeight="false" outlineLevel="0" collapsed="false">
      <c r="A76" s="42"/>
      <c r="B76" s="42"/>
      <c r="C76" s="42"/>
      <c r="D76" s="42"/>
      <c r="E76" s="42"/>
      <c r="F76" s="42"/>
      <c r="G76" s="42"/>
      <c r="H76" s="42"/>
      <c r="I76" s="42"/>
    </row>
    <row r="77" customFormat="false" ht="15" hidden="false" customHeight="false" outlineLevel="0" collapsed="false">
      <c r="A77" s="42"/>
      <c r="B77" s="42"/>
      <c r="C77" s="42"/>
      <c r="D77" s="42"/>
      <c r="E77" s="42"/>
      <c r="F77" s="42"/>
      <c r="G77" s="42"/>
      <c r="H77" s="42"/>
      <c r="I77" s="42"/>
    </row>
    <row r="78" customFormat="false" ht="15" hidden="false" customHeight="false" outlineLevel="0" collapsed="false">
      <c r="A78" s="42"/>
      <c r="B78" s="42"/>
      <c r="C78" s="42"/>
      <c r="D78" s="42"/>
      <c r="E78" s="42"/>
      <c r="F78" s="42"/>
      <c r="G78" s="42"/>
      <c r="H78" s="42"/>
      <c r="I78" s="42"/>
    </row>
    <row r="79" customFormat="false" ht="15" hidden="false" customHeight="false" outlineLevel="0" collapsed="false">
      <c r="A79" s="42"/>
      <c r="B79" s="42"/>
      <c r="C79" s="42"/>
      <c r="D79" s="42"/>
      <c r="E79" s="42"/>
      <c r="F79" s="42"/>
      <c r="G79" s="42"/>
      <c r="H79" s="42"/>
      <c r="I79" s="42"/>
    </row>
    <row r="80" customFormat="false" ht="15" hidden="false" customHeight="false" outlineLevel="0" collapsed="false">
      <c r="A80" s="42"/>
      <c r="B80" s="42"/>
      <c r="C80" s="42"/>
      <c r="D80" s="42"/>
      <c r="E80" s="42"/>
      <c r="F80" s="42"/>
      <c r="G80" s="42"/>
      <c r="H80" s="42"/>
      <c r="I80" s="42"/>
    </row>
    <row r="81" customFormat="false" ht="15" hidden="false" customHeight="false" outlineLevel="0" collapsed="false">
      <c r="A81" s="42"/>
      <c r="B81" s="42"/>
      <c r="C81" s="42"/>
      <c r="D81" s="42"/>
      <c r="E81" s="42"/>
      <c r="F81" s="42"/>
      <c r="G81" s="42"/>
      <c r="H81" s="42"/>
      <c r="I81" s="42"/>
    </row>
    <row r="82" customFormat="false" ht="15" hidden="false" customHeight="false" outlineLevel="0" collapsed="false">
      <c r="A82" s="42"/>
      <c r="B82" s="42"/>
      <c r="C82" s="42"/>
      <c r="D82" s="42"/>
      <c r="E82" s="42"/>
      <c r="F82" s="42"/>
      <c r="G82" s="42"/>
      <c r="H82" s="42"/>
      <c r="I82" s="42"/>
    </row>
    <row r="83" customFormat="false" ht="15" hidden="false" customHeight="false" outlineLevel="0" collapsed="false">
      <c r="A83" s="42"/>
      <c r="B83" s="42"/>
      <c r="C83" s="42"/>
      <c r="D83" s="42"/>
      <c r="E83" s="42"/>
      <c r="F83" s="42"/>
      <c r="G83" s="42"/>
      <c r="H83" s="42"/>
      <c r="I83" s="42"/>
    </row>
    <row r="84" customFormat="false" ht="15" hidden="false" customHeight="false" outlineLevel="0" collapsed="false">
      <c r="A84" s="42"/>
      <c r="B84" s="42"/>
      <c r="C84" s="42"/>
      <c r="D84" s="42"/>
      <c r="E84" s="42"/>
      <c r="F84" s="42"/>
      <c r="G84" s="42"/>
      <c r="H84" s="42"/>
      <c r="I84" s="42"/>
    </row>
    <row r="85" customFormat="false" ht="15" hidden="false" customHeight="false" outlineLevel="0" collapsed="false">
      <c r="A85" s="42"/>
      <c r="B85" s="42"/>
      <c r="C85" s="42"/>
      <c r="D85" s="42"/>
      <c r="E85" s="42"/>
      <c r="F85" s="42"/>
      <c r="G85" s="42"/>
      <c r="H85" s="42"/>
      <c r="I85" s="42"/>
    </row>
    <row r="86" customFormat="false" ht="15" hidden="false" customHeight="false" outlineLevel="0" collapsed="false">
      <c r="A86" s="42"/>
      <c r="B86" s="42"/>
      <c r="C86" s="42"/>
      <c r="D86" s="42"/>
      <c r="E86" s="42"/>
      <c r="F86" s="42"/>
      <c r="G86" s="42"/>
      <c r="H86" s="42"/>
      <c r="I86" s="42"/>
    </row>
    <row r="87" customFormat="false" ht="15" hidden="false" customHeight="false" outlineLevel="0" collapsed="false">
      <c r="A87" s="42"/>
      <c r="B87" s="42"/>
      <c r="C87" s="42"/>
      <c r="D87" s="42"/>
      <c r="E87" s="42"/>
      <c r="F87" s="42"/>
      <c r="G87" s="42"/>
      <c r="H87" s="42"/>
      <c r="I87" s="42"/>
    </row>
    <row r="88" customFormat="false" ht="15" hidden="false" customHeight="false" outlineLevel="0" collapsed="false">
      <c r="A88" s="42"/>
      <c r="B88" s="42"/>
      <c r="C88" s="42"/>
      <c r="D88" s="42"/>
      <c r="E88" s="42"/>
      <c r="F88" s="42"/>
      <c r="G88" s="42"/>
      <c r="H88" s="42"/>
      <c r="I88" s="42"/>
    </row>
    <row r="89" customFormat="false" ht="15" hidden="false" customHeight="false" outlineLevel="0" collapsed="false">
      <c r="A89" s="42"/>
      <c r="B89" s="42"/>
      <c r="C89" s="42"/>
      <c r="D89" s="42"/>
      <c r="E89" s="42"/>
      <c r="F89" s="42"/>
      <c r="G89" s="42"/>
      <c r="H89" s="42"/>
      <c r="I89" s="42"/>
    </row>
    <row r="90" customFormat="false" ht="15" hidden="false" customHeight="false" outlineLevel="0" collapsed="false">
      <c r="A90" s="42"/>
      <c r="B90" s="42"/>
      <c r="C90" s="42"/>
      <c r="D90" s="42"/>
      <c r="E90" s="42"/>
      <c r="F90" s="42"/>
      <c r="G90" s="42"/>
      <c r="H90" s="42"/>
      <c r="I90" s="42"/>
    </row>
    <row r="91" customFormat="false" ht="15" hidden="false" customHeight="false" outlineLevel="0" collapsed="false">
      <c r="A91" s="42"/>
      <c r="B91" s="42"/>
      <c r="C91" s="42"/>
      <c r="D91" s="42"/>
      <c r="E91" s="42"/>
      <c r="F91" s="42"/>
      <c r="G91" s="42"/>
      <c r="H91" s="42"/>
      <c r="I91" s="42"/>
    </row>
    <row r="92" customFormat="false" ht="15" hidden="false" customHeight="false" outlineLevel="0" collapsed="false">
      <c r="A92" s="42"/>
      <c r="B92" s="42"/>
      <c r="C92" s="42"/>
      <c r="D92" s="42"/>
      <c r="E92" s="42"/>
      <c r="F92" s="42"/>
      <c r="G92" s="42"/>
      <c r="H92" s="42"/>
      <c r="I92" s="42"/>
    </row>
    <row r="93" customFormat="false" ht="15" hidden="false" customHeight="false" outlineLevel="0" collapsed="false">
      <c r="A93" s="42"/>
      <c r="B93" s="42"/>
      <c r="C93" s="42"/>
      <c r="D93" s="42"/>
      <c r="E93" s="42"/>
      <c r="F93" s="42"/>
      <c r="G93" s="42"/>
      <c r="H93" s="42"/>
      <c r="I93" s="42"/>
    </row>
    <row r="94" customFormat="false" ht="15" hidden="false" customHeight="false" outlineLevel="0" collapsed="false">
      <c r="A94" s="42"/>
      <c r="B94" s="42"/>
      <c r="C94" s="42"/>
      <c r="D94" s="42"/>
      <c r="E94" s="42"/>
      <c r="F94" s="42"/>
      <c r="G94" s="42"/>
      <c r="H94" s="42"/>
      <c r="I94" s="42"/>
    </row>
    <row r="95" customFormat="false" ht="15" hidden="false" customHeight="false" outlineLevel="0" collapsed="false">
      <c r="A95" s="42"/>
      <c r="B95" s="42"/>
      <c r="C95" s="42"/>
      <c r="D95" s="42"/>
      <c r="E95" s="42"/>
      <c r="F95" s="42"/>
      <c r="G95" s="42"/>
      <c r="H95" s="42"/>
      <c r="I95" s="42"/>
    </row>
    <row r="96" customFormat="false" ht="15" hidden="false" customHeight="false" outlineLevel="0" collapsed="false">
      <c r="A96" s="42"/>
      <c r="B96" s="42"/>
      <c r="C96" s="42"/>
      <c r="D96" s="42"/>
      <c r="E96" s="42"/>
      <c r="F96" s="42"/>
      <c r="G96" s="42"/>
      <c r="H96" s="42"/>
      <c r="I96" s="42"/>
    </row>
    <row r="97" customFormat="false" ht="15" hidden="false" customHeight="false" outlineLevel="0" collapsed="false">
      <c r="A97" s="42"/>
      <c r="B97" s="42"/>
      <c r="C97" s="42"/>
      <c r="D97" s="42"/>
      <c r="E97" s="42"/>
      <c r="F97" s="42"/>
      <c r="G97" s="42"/>
      <c r="H97" s="42"/>
      <c r="I97" s="42"/>
    </row>
    <row r="98" customFormat="false" ht="15" hidden="false" customHeight="false" outlineLevel="0" collapsed="false">
      <c r="A98" s="42"/>
      <c r="B98" s="42"/>
      <c r="C98" s="42"/>
      <c r="D98" s="42"/>
      <c r="E98" s="42"/>
      <c r="F98" s="42"/>
      <c r="G98" s="42"/>
      <c r="H98" s="42"/>
      <c r="I98" s="42"/>
    </row>
    <row r="99" customFormat="false" ht="15" hidden="false" customHeight="false" outlineLevel="0" collapsed="false">
      <c r="A99" s="42"/>
      <c r="B99" s="42"/>
      <c r="C99" s="42"/>
      <c r="D99" s="42"/>
      <c r="E99" s="42"/>
      <c r="F99" s="42"/>
      <c r="G99" s="42"/>
      <c r="H99" s="42"/>
      <c r="I99" s="42"/>
    </row>
    <row r="100" customFormat="false" ht="15" hidden="false" customHeight="false" outlineLevel="0" collapsed="false">
      <c r="A100" s="42"/>
      <c r="B100" s="42"/>
      <c r="C100" s="42"/>
      <c r="D100" s="42"/>
      <c r="E100" s="42"/>
      <c r="F100" s="42"/>
      <c r="G100" s="42"/>
      <c r="H100" s="42"/>
      <c r="I100" s="42"/>
    </row>
    <row r="101" customFormat="false" ht="15" hidden="false" customHeight="false" outlineLevel="0" collapsed="false">
      <c r="A101" s="42"/>
      <c r="B101" s="42"/>
      <c r="C101" s="42"/>
      <c r="D101" s="42"/>
      <c r="E101" s="42"/>
      <c r="F101" s="42"/>
      <c r="G101" s="42"/>
      <c r="H101" s="42"/>
      <c r="I101" s="42"/>
    </row>
    <row r="102" customFormat="false" ht="15" hidden="false" customHeight="false" outlineLevel="0" collapsed="false">
      <c r="A102" s="42"/>
      <c r="B102" s="42"/>
      <c r="C102" s="42"/>
      <c r="D102" s="42"/>
      <c r="E102" s="42"/>
      <c r="F102" s="42"/>
      <c r="G102" s="42"/>
      <c r="H102" s="42"/>
      <c r="I102" s="42"/>
    </row>
    <row r="103" customFormat="false" ht="15" hidden="false" customHeight="false" outlineLevel="0" collapsed="false">
      <c r="A103" s="42"/>
      <c r="B103" s="42"/>
      <c r="C103" s="42"/>
      <c r="D103" s="42"/>
      <c r="E103" s="42"/>
      <c r="F103" s="42"/>
      <c r="G103" s="42"/>
      <c r="H103" s="42"/>
      <c r="I103" s="42"/>
    </row>
    <row r="104" customFormat="false" ht="15" hidden="false" customHeight="false" outlineLevel="0" collapsed="false">
      <c r="A104" s="42"/>
      <c r="B104" s="42"/>
      <c r="C104" s="42"/>
      <c r="D104" s="42"/>
      <c r="E104" s="42"/>
      <c r="F104" s="42"/>
      <c r="G104" s="42"/>
      <c r="H104" s="42"/>
      <c r="I104" s="42"/>
    </row>
    <row r="105" customFormat="false" ht="15" hidden="false" customHeight="false" outlineLevel="0" collapsed="false">
      <c r="A105" s="42"/>
      <c r="B105" s="42"/>
      <c r="C105" s="42"/>
      <c r="D105" s="42"/>
      <c r="E105" s="42"/>
      <c r="F105" s="42"/>
      <c r="G105" s="42"/>
      <c r="H105" s="42"/>
      <c r="I105" s="42"/>
    </row>
    <row r="106" customFormat="false" ht="15" hidden="false" customHeight="false" outlineLevel="0" collapsed="false">
      <c r="A106" s="42"/>
      <c r="B106" s="42"/>
      <c r="C106" s="42"/>
      <c r="D106" s="42"/>
      <c r="E106" s="42"/>
      <c r="F106" s="42"/>
      <c r="G106" s="42"/>
      <c r="H106" s="42"/>
      <c r="I106" s="42"/>
    </row>
    <row r="107" customFormat="false" ht="15" hidden="false" customHeight="false" outlineLevel="0" collapsed="false">
      <c r="A107" s="42"/>
      <c r="B107" s="42"/>
      <c r="C107" s="42"/>
      <c r="D107" s="42"/>
      <c r="E107" s="42"/>
      <c r="F107" s="42"/>
      <c r="G107" s="42"/>
      <c r="H107" s="42"/>
      <c r="I107" s="42"/>
    </row>
    <row r="108" customFormat="false" ht="15" hidden="false" customHeight="false" outlineLevel="0" collapsed="false">
      <c r="A108" s="42"/>
      <c r="B108" s="42"/>
      <c r="C108" s="42"/>
      <c r="D108" s="42"/>
      <c r="E108" s="42"/>
      <c r="F108" s="42"/>
      <c r="G108" s="42"/>
      <c r="H108" s="42"/>
      <c r="I108" s="42"/>
    </row>
    <row r="109" customFormat="false" ht="15" hidden="false" customHeight="false" outlineLevel="0" collapsed="false">
      <c r="A109" s="42"/>
      <c r="B109" s="42"/>
      <c r="C109" s="42"/>
      <c r="D109" s="42"/>
      <c r="E109" s="42"/>
      <c r="F109" s="42"/>
      <c r="G109" s="42"/>
      <c r="H109" s="42"/>
      <c r="I109" s="42"/>
    </row>
    <row r="110" customFormat="false" ht="15" hidden="false" customHeight="false" outlineLevel="0" collapsed="false">
      <c r="A110" s="42"/>
      <c r="B110" s="42"/>
      <c r="C110" s="42"/>
      <c r="D110" s="42"/>
      <c r="E110" s="42"/>
      <c r="F110" s="42"/>
      <c r="G110" s="42"/>
      <c r="H110" s="42"/>
      <c r="I110" s="42"/>
    </row>
    <row r="111" customFormat="false" ht="15" hidden="false" customHeight="false" outlineLevel="0" collapsed="false">
      <c r="A111" s="42"/>
      <c r="B111" s="42"/>
      <c r="C111" s="42"/>
      <c r="D111" s="42"/>
      <c r="E111" s="42"/>
      <c r="F111" s="42"/>
      <c r="G111" s="42"/>
      <c r="H111" s="42"/>
      <c r="I111" s="42"/>
    </row>
    <row r="112" customFormat="false" ht="15" hidden="false" customHeight="false" outlineLevel="0" collapsed="false">
      <c r="A112" s="42"/>
      <c r="B112" s="42"/>
      <c r="C112" s="42"/>
      <c r="D112" s="42"/>
      <c r="E112" s="42"/>
      <c r="F112" s="42"/>
      <c r="G112" s="42"/>
      <c r="H112" s="42"/>
      <c r="I112" s="42"/>
    </row>
    <row r="113" customFormat="false" ht="15" hidden="false" customHeight="false" outlineLevel="0" collapsed="false">
      <c r="A113" s="42"/>
      <c r="B113" s="42"/>
      <c r="C113" s="42"/>
      <c r="D113" s="42"/>
      <c r="E113" s="42"/>
      <c r="F113" s="42"/>
      <c r="G113" s="42"/>
      <c r="H113" s="42"/>
      <c r="I113" s="42"/>
    </row>
    <row r="114" customFormat="false" ht="15" hidden="false" customHeight="false" outlineLevel="0" collapsed="false">
      <c r="A114" s="42"/>
      <c r="B114" s="42"/>
      <c r="C114" s="42"/>
      <c r="D114" s="42"/>
      <c r="E114" s="42"/>
      <c r="F114" s="42"/>
      <c r="G114" s="42"/>
      <c r="H114" s="42"/>
      <c r="I114" s="42"/>
    </row>
    <row r="115" customFormat="false" ht="15" hidden="false" customHeight="false" outlineLevel="0" collapsed="false">
      <c r="A115" s="42"/>
      <c r="B115" s="42"/>
      <c r="C115" s="42"/>
      <c r="D115" s="42"/>
      <c r="E115" s="42"/>
      <c r="F115" s="42"/>
      <c r="G115" s="42"/>
      <c r="H115" s="42"/>
      <c r="I115" s="42"/>
    </row>
    <row r="116" customFormat="false" ht="15" hidden="false" customHeight="false" outlineLevel="0" collapsed="false">
      <c r="A116" s="42"/>
      <c r="B116" s="42"/>
      <c r="C116" s="42"/>
      <c r="D116" s="42"/>
      <c r="E116" s="42"/>
      <c r="F116" s="42"/>
      <c r="G116" s="42"/>
      <c r="H116" s="42"/>
      <c r="I116" s="42"/>
    </row>
    <row r="117" customFormat="false" ht="15" hidden="false" customHeight="false" outlineLevel="0" collapsed="false">
      <c r="A117" s="42"/>
      <c r="B117" s="42"/>
      <c r="C117" s="42"/>
      <c r="D117" s="42"/>
      <c r="E117" s="42"/>
      <c r="F117" s="42"/>
      <c r="G117" s="42"/>
      <c r="H117" s="42"/>
      <c r="I117" s="42"/>
    </row>
    <row r="118" customFormat="false" ht="15" hidden="false" customHeight="false" outlineLevel="0" collapsed="false">
      <c r="A118" s="42"/>
      <c r="B118" s="42"/>
      <c r="C118" s="42"/>
      <c r="D118" s="42"/>
      <c r="E118" s="42"/>
      <c r="F118" s="42"/>
      <c r="G118" s="42"/>
      <c r="H118" s="42"/>
      <c r="I118" s="42"/>
    </row>
    <row r="119" customFormat="false" ht="15" hidden="false" customHeight="false" outlineLevel="0" collapsed="false">
      <c r="A119" s="42"/>
      <c r="B119" s="42"/>
      <c r="C119" s="42"/>
      <c r="D119" s="42"/>
      <c r="E119" s="42"/>
      <c r="F119" s="42"/>
      <c r="G119" s="42"/>
      <c r="H119" s="42"/>
      <c r="I119" s="42"/>
    </row>
    <row r="120" customFormat="false" ht="15" hidden="false" customHeight="false" outlineLevel="0" collapsed="false">
      <c r="A120" s="42"/>
      <c r="B120" s="42"/>
      <c r="C120" s="42"/>
      <c r="D120" s="42"/>
      <c r="E120" s="42"/>
      <c r="F120" s="42"/>
      <c r="G120" s="42"/>
      <c r="H120" s="42"/>
      <c r="I120" s="42"/>
    </row>
    <row r="121" customFormat="false" ht="15" hidden="false" customHeight="false" outlineLevel="0" collapsed="false">
      <c r="A121" s="42"/>
      <c r="B121" s="42"/>
      <c r="C121" s="42"/>
      <c r="D121" s="42"/>
      <c r="E121" s="42"/>
      <c r="F121" s="42"/>
      <c r="G121" s="42"/>
      <c r="H121" s="42"/>
      <c r="I121" s="42"/>
    </row>
    <row r="122" customFormat="false" ht="15" hidden="false" customHeight="false" outlineLevel="0" collapsed="false">
      <c r="A122" s="42"/>
      <c r="B122" s="42"/>
      <c r="C122" s="42"/>
      <c r="D122" s="42"/>
      <c r="E122" s="42"/>
      <c r="F122" s="42"/>
      <c r="G122" s="42"/>
      <c r="H122" s="42"/>
      <c r="I122" s="42"/>
    </row>
    <row r="123" customFormat="false" ht="15" hidden="false" customHeight="false" outlineLevel="0" collapsed="false">
      <c r="A123" s="42"/>
      <c r="B123" s="42"/>
      <c r="C123" s="42"/>
      <c r="D123" s="42"/>
      <c r="E123" s="42"/>
      <c r="F123" s="42"/>
      <c r="G123" s="42"/>
      <c r="H123" s="42"/>
      <c r="I123" s="42"/>
    </row>
    <row r="124" customFormat="false" ht="15" hidden="false" customHeight="false" outlineLevel="0" collapsed="false">
      <c r="A124" s="42"/>
      <c r="B124" s="42"/>
      <c r="C124" s="42"/>
      <c r="D124" s="42"/>
      <c r="E124" s="42"/>
      <c r="F124" s="42"/>
      <c r="G124" s="42"/>
      <c r="H124" s="42"/>
      <c r="I124" s="42"/>
    </row>
    <row r="125" customFormat="false" ht="15" hidden="false" customHeight="false" outlineLevel="0" collapsed="false">
      <c r="A125" s="42"/>
      <c r="B125" s="42"/>
      <c r="C125" s="42"/>
      <c r="D125" s="42"/>
      <c r="E125" s="42"/>
      <c r="F125" s="42"/>
      <c r="G125" s="42"/>
      <c r="H125" s="42"/>
      <c r="I125" s="42"/>
    </row>
    <row r="126" customFormat="false" ht="15" hidden="false" customHeight="false" outlineLevel="0" collapsed="false">
      <c r="A126" s="42"/>
      <c r="B126" s="42"/>
      <c r="C126" s="42"/>
      <c r="D126" s="42"/>
      <c r="E126" s="42"/>
      <c r="F126" s="42"/>
      <c r="G126" s="42"/>
      <c r="H126" s="42"/>
      <c r="I126" s="42"/>
    </row>
    <row r="127" customFormat="false" ht="15" hidden="false" customHeight="false" outlineLevel="0" collapsed="false">
      <c r="A127" s="42"/>
      <c r="B127" s="42"/>
      <c r="C127" s="42"/>
      <c r="D127" s="42"/>
      <c r="E127" s="42"/>
      <c r="F127" s="42"/>
      <c r="G127" s="42"/>
      <c r="H127" s="42"/>
      <c r="I127" s="42"/>
    </row>
    <row r="128" customFormat="false" ht="15" hidden="false" customHeight="false" outlineLevel="0" collapsed="false">
      <c r="A128" s="42"/>
      <c r="B128" s="42"/>
      <c r="C128" s="42"/>
      <c r="D128" s="42"/>
      <c r="E128" s="42"/>
      <c r="F128" s="42"/>
      <c r="G128" s="42"/>
      <c r="H128" s="42"/>
      <c r="I128" s="42"/>
    </row>
    <row r="129" customFormat="false" ht="15" hidden="false" customHeight="false" outlineLevel="0" collapsed="false">
      <c r="A129" s="42"/>
      <c r="B129" s="42"/>
      <c r="C129" s="42"/>
      <c r="D129" s="42"/>
      <c r="E129" s="42"/>
      <c r="F129" s="42"/>
      <c r="G129" s="42"/>
      <c r="H129" s="42"/>
      <c r="I129" s="42"/>
    </row>
    <row r="130" customFormat="false" ht="15" hidden="false" customHeight="false" outlineLevel="0" collapsed="false">
      <c r="A130" s="42"/>
      <c r="B130" s="42"/>
      <c r="C130" s="42"/>
      <c r="D130" s="42"/>
      <c r="E130" s="42"/>
      <c r="F130" s="42"/>
      <c r="G130" s="42"/>
      <c r="H130" s="42"/>
      <c r="I130" s="42"/>
    </row>
    <row r="131" customFormat="false" ht="15" hidden="false" customHeight="false" outlineLevel="0" collapsed="false">
      <c r="A131" s="42"/>
      <c r="B131" s="42"/>
      <c r="C131" s="42"/>
      <c r="D131" s="42"/>
      <c r="E131" s="42"/>
      <c r="F131" s="42"/>
      <c r="G131" s="42"/>
      <c r="H131" s="42"/>
      <c r="I131" s="42"/>
    </row>
    <row r="132" customFormat="false" ht="15" hidden="false" customHeight="false" outlineLevel="0" collapsed="false">
      <c r="A132" s="42"/>
      <c r="B132" s="42"/>
      <c r="C132" s="42"/>
      <c r="D132" s="42"/>
      <c r="E132" s="42"/>
      <c r="F132" s="42"/>
      <c r="G132" s="42"/>
      <c r="H132" s="42"/>
      <c r="I132" s="42"/>
    </row>
    <row r="133" customFormat="false" ht="15" hidden="false" customHeight="false" outlineLevel="0" collapsed="false">
      <c r="A133" s="42"/>
      <c r="B133" s="42"/>
      <c r="C133" s="42"/>
      <c r="D133" s="42"/>
      <c r="E133" s="42"/>
      <c r="F133" s="42"/>
      <c r="G133" s="42"/>
      <c r="H133" s="42"/>
      <c r="I133" s="42"/>
    </row>
    <row r="134" customFormat="false" ht="15" hidden="false" customHeight="false" outlineLevel="0" collapsed="false">
      <c r="A134" s="42"/>
      <c r="B134" s="42"/>
      <c r="C134" s="42"/>
      <c r="D134" s="42"/>
      <c r="E134" s="42"/>
      <c r="F134" s="42"/>
      <c r="G134" s="42"/>
      <c r="H134" s="42"/>
      <c r="I134" s="42"/>
    </row>
    <row r="135" customFormat="false" ht="15" hidden="false" customHeight="false" outlineLevel="0" collapsed="false">
      <c r="A135" s="42"/>
      <c r="B135" s="42"/>
      <c r="C135" s="42"/>
      <c r="D135" s="42"/>
      <c r="E135" s="42"/>
      <c r="F135" s="42"/>
      <c r="G135" s="42"/>
      <c r="H135" s="42"/>
      <c r="I135" s="42"/>
    </row>
    <row r="136" customFormat="false" ht="15" hidden="false" customHeight="false" outlineLevel="0" collapsed="false">
      <c r="A136" s="42"/>
      <c r="B136" s="42"/>
      <c r="C136" s="42"/>
      <c r="D136" s="42"/>
      <c r="E136" s="42"/>
      <c r="F136" s="42"/>
      <c r="G136" s="42"/>
      <c r="H136" s="42"/>
      <c r="I136" s="42"/>
    </row>
    <row r="137" customFormat="false" ht="15" hidden="false" customHeight="false" outlineLevel="0" collapsed="false">
      <c r="A137" s="42"/>
      <c r="B137" s="42"/>
      <c r="C137" s="42"/>
      <c r="D137" s="42"/>
      <c r="E137" s="42"/>
      <c r="F137" s="42"/>
      <c r="G137" s="42"/>
      <c r="H137" s="42"/>
      <c r="I137" s="42"/>
    </row>
    <row r="138" customFormat="false" ht="15" hidden="false" customHeight="false" outlineLevel="0" collapsed="false">
      <c r="A138" s="42"/>
      <c r="B138" s="42"/>
      <c r="C138" s="42"/>
      <c r="D138" s="42"/>
      <c r="E138" s="42"/>
      <c r="F138" s="42"/>
      <c r="G138" s="42"/>
      <c r="H138" s="42"/>
      <c r="I138" s="42"/>
    </row>
    <row r="139" customFormat="false" ht="15" hidden="false" customHeight="false" outlineLevel="0" collapsed="false">
      <c r="A139" s="42"/>
      <c r="B139" s="42"/>
      <c r="C139" s="42"/>
      <c r="D139" s="42"/>
      <c r="E139" s="42"/>
      <c r="F139" s="42"/>
      <c r="G139" s="42"/>
      <c r="H139" s="42"/>
      <c r="I139" s="42"/>
    </row>
    <row r="140" customFormat="false" ht="15" hidden="false" customHeight="false" outlineLevel="0" collapsed="false">
      <c r="A140" s="42"/>
      <c r="B140" s="42"/>
      <c r="C140" s="42"/>
      <c r="D140" s="42"/>
      <c r="E140" s="42"/>
      <c r="F140" s="42"/>
      <c r="G140" s="42"/>
      <c r="H140" s="42"/>
      <c r="I140" s="42"/>
    </row>
    <row r="141" customFormat="false" ht="15" hidden="false" customHeight="false" outlineLevel="0" collapsed="false">
      <c r="A141" s="42"/>
      <c r="B141" s="42"/>
      <c r="C141" s="42"/>
      <c r="D141" s="42"/>
      <c r="E141" s="42"/>
      <c r="F141" s="42"/>
      <c r="G141" s="42"/>
      <c r="H141" s="42"/>
      <c r="I141" s="42"/>
    </row>
    <row r="142" customFormat="false" ht="15" hidden="false" customHeight="false" outlineLevel="0" collapsed="false">
      <c r="A142" s="42"/>
      <c r="B142" s="42"/>
      <c r="C142" s="42"/>
      <c r="D142" s="42"/>
      <c r="E142" s="42"/>
      <c r="F142" s="42"/>
      <c r="G142" s="42"/>
      <c r="H142" s="42"/>
      <c r="I142" s="42"/>
    </row>
    <row r="143" customFormat="false" ht="15" hidden="false" customHeight="false" outlineLevel="0" collapsed="false">
      <c r="A143" s="42"/>
      <c r="B143" s="42"/>
      <c r="C143" s="42"/>
      <c r="D143" s="42"/>
      <c r="E143" s="42"/>
      <c r="F143" s="42"/>
      <c r="G143" s="42"/>
      <c r="H143" s="42"/>
      <c r="I143" s="42"/>
    </row>
    <row r="144" customFormat="false" ht="15" hidden="false" customHeight="false" outlineLevel="0" collapsed="false">
      <c r="A144" s="42"/>
      <c r="B144" s="42"/>
      <c r="C144" s="42"/>
      <c r="D144" s="42"/>
      <c r="E144" s="42"/>
      <c r="F144" s="42"/>
      <c r="G144" s="42"/>
      <c r="H144" s="42"/>
      <c r="I144" s="42"/>
    </row>
    <row r="145" customFormat="false" ht="15" hidden="false" customHeight="false" outlineLevel="0" collapsed="false">
      <c r="A145" s="42"/>
      <c r="B145" s="42"/>
      <c r="C145" s="42"/>
      <c r="D145" s="42"/>
      <c r="E145" s="42"/>
      <c r="F145" s="42"/>
      <c r="G145" s="42"/>
      <c r="H145" s="42"/>
      <c r="I145" s="42"/>
    </row>
    <row r="146" customFormat="false" ht="15" hidden="false" customHeight="false" outlineLevel="0" collapsed="false">
      <c r="A146" s="42"/>
      <c r="B146" s="42"/>
      <c r="C146" s="42"/>
      <c r="D146" s="42"/>
      <c r="E146" s="42"/>
      <c r="F146" s="42"/>
      <c r="G146" s="42"/>
      <c r="H146" s="42"/>
      <c r="I146" s="42"/>
    </row>
    <row r="147" customFormat="false" ht="15" hidden="false" customHeight="false" outlineLevel="0" collapsed="false">
      <c r="A147" s="42"/>
      <c r="B147" s="42"/>
      <c r="C147" s="42"/>
      <c r="D147" s="42"/>
      <c r="E147" s="42"/>
      <c r="F147" s="42"/>
      <c r="G147" s="42"/>
      <c r="H147" s="42"/>
      <c r="I147" s="42"/>
    </row>
    <row r="148" customFormat="false" ht="15" hidden="false" customHeight="false" outlineLevel="0" collapsed="false">
      <c r="A148" s="42"/>
      <c r="B148" s="42"/>
      <c r="C148" s="42"/>
      <c r="D148" s="42"/>
      <c r="E148" s="42"/>
      <c r="F148" s="42"/>
      <c r="G148" s="42"/>
      <c r="H148" s="42"/>
      <c r="I148" s="42"/>
    </row>
    <row r="149" customFormat="false" ht="15" hidden="false" customHeight="false" outlineLevel="0" collapsed="false">
      <c r="A149" s="42"/>
      <c r="B149" s="42"/>
      <c r="C149" s="42"/>
      <c r="D149" s="42"/>
      <c r="E149" s="42"/>
      <c r="F149" s="42"/>
      <c r="G149" s="42"/>
      <c r="H149" s="42"/>
      <c r="I149" s="42"/>
    </row>
    <row r="150" customFormat="false" ht="15" hidden="false" customHeight="false" outlineLevel="0" collapsed="false">
      <c r="A150" s="42"/>
      <c r="B150" s="42"/>
      <c r="C150" s="42"/>
      <c r="D150" s="42"/>
      <c r="E150" s="42"/>
      <c r="F150" s="42"/>
      <c r="G150" s="42"/>
      <c r="H150" s="42"/>
      <c r="I150" s="42"/>
    </row>
    <row r="151" customFormat="false" ht="15" hidden="false" customHeight="false" outlineLevel="0" collapsed="false">
      <c r="A151" s="42"/>
      <c r="B151" s="42"/>
      <c r="C151" s="42"/>
      <c r="D151" s="42"/>
      <c r="E151" s="42"/>
      <c r="F151" s="42"/>
      <c r="G151" s="42"/>
      <c r="H151" s="42"/>
      <c r="I151" s="42"/>
    </row>
    <row r="152" customFormat="false" ht="15" hidden="false" customHeight="false" outlineLevel="0" collapsed="false">
      <c r="A152" s="42"/>
      <c r="B152" s="42"/>
      <c r="C152" s="42"/>
      <c r="D152" s="42"/>
      <c r="E152" s="42"/>
      <c r="F152" s="42"/>
      <c r="G152" s="42"/>
      <c r="H152" s="42"/>
      <c r="I152" s="42"/>
    </row>
    <row r="153" customFormat="false" ht="15" hidden="false" customHeight="false" outlineLevel="0" collapsed="false">
      <c r="A153" s="42"/>
      <c r="B153" s="42"/>
      <c r="C153" s="42"/>
      <c r="D153" s="42"/>
      <c r="E153" s="42"/>
      <c r="F153" s="42"/>
      <c r="G153" s="42"/>
      <c r="H153" s="42"/>
      <c r="I153" s="42"/>
    </row>
    <row r="154" customFormat="false" ht="15" hidden="false" customHeight="false" outlineLevel="0" collapsed="false">
      <c r="A154" s="42"/>
      <c r="B154" s="42"/>
      <c r="C154" s="42"/>
      <c r="D154" s="42"/>
      <c r="E154" s="42"/>
      <c r="F154" s="42"/>
      <c r="G154" s="42"/>
      <c r="H154" s="42"/>
      <c r="I154" s="42"/>
    </row>
    <row r="155" customFormat="false" ht="15" hidden="false" customHeight="false" outlineLevel="0" collapsed="false">
      <c r="A155" s="42"/>
      <c r="B155" s="42"/>
      <c r="C155" s="42"/>
      <c r="D155" s="42"/>
      <c r="E155" s="42"/>
      <c r="F155" s="42"/>
      <c r="G155" s="42"/>
      <c r="H155" s="42"/>
      <c r="I155" s="42"/>
    </row>
    <row r="156" customFormat="false" ht="15" hidden="false" customHeight="false" outlineLevel="0" collapsed="false">
      <c r="A156" s="42"/>
      <c r="B156" s="42"/>
      <c r="C156" s="42"/>
      <c r="D156" s="42"/>
      <c r="E156" s="42"/>
      <c r="F156" s="42"/>
      <c r="G156" s="42"/>
      <c r="H156" s="42"/>
      <c r="I156" s="42"/>
    </row>
    <row r="157" customFormat="false" ht="15" hidden="false" customHeight="false" outlineLevel="0" collapsed="false">
      <c r="A157" s="42"/>
      <c r="B157" s="42"/>
      <c r="C157" s="42"/>
      <c r="D157" s="42"/>
      <c r="E157" s="42"/>
      <c r="F157" s="42"/>
      <c r="G157" s="42"/>
      <c r="H157" s="42"/>
      <c r="I157" s="42"/>
    </row>
    <row r="158" customFormat="false" ht="15" hidden="false" customHeight="false" outlineLevel="0" collapsed="false">
      <c r="A158" s="42"/>
      <c r="B158" s="42"/>
      <c r="C158" s="42"/>
      <c r="D158" s="42"/>
      <c r="E158" s="42"/>
      <c r="F158" s="42"/>
      <c r="G158" s="42"/>
      <c r="H158" s="42"/>
      <c r="I158" s="42"/>
    </row>
    <row r="159" customFormat="false" ht="15" hidden="false" customHeight="false" outlineLevel="0" collapsed="false">
      <c r="A159" s="42"/>
      <c r="B159" s="42"/>
      <c r="C159" s="42"/>
      <c r="D159" s="42"/>
      <c r="E159" s="42"/>
      <c r="F159" s="42"/>
      <c r="G159" s="42"/>
      <c r="H159" s="42"/>
      <c r="I159" s="42"/>
    </row>
    <row r="160" customFormat="false" ht="15" hidden="false" customHeight="false" outlineLevel="0" collapsed="false">
      <c r="A160" s="42"/>
      <c r="B160" s="42"/>
      <c r="C160" s="42"/>
      <c r="D160" s="42"/>
      <c r="E160" s="42"/>
      <c r="F160" s="42"/>
      <c r="G160" s="42"/>
      <c r="H160" s="42"/>
      <c r="I160" s="42"/>
    </row>
    <row r="161" customFormat="false" ht="15" hidden="false" customHeight="false" outlineLevel="0" collapsed="false">
      <c r="A161" s="42"/>
      <c r="B161" s="42"/>
      <c r="C161" s="42"/>
      <c r="D161" s="42"/>
      <c r="E161" s="42"/>
      <c r="F161" s="42"/>
      <c r="G161" s="42"/>
      <c r="H161" s="42"/>
      <c r="I161" s="42"/>
    </row>
    <row r="162" customFormat="false" ht="15" hidden="false" customHeight="false" outlineLevel="0" collapsed="false">
      <c r="A162" s="42"/>
      <c r="B162" s="42"/>
      <c r="C162" s="42"/>
      <c r="D162" s="42"/>
      <c r="E162" s="42"/>
      <c r="F162" s="42"/>
      <c r="G162" s="42"/>
      <c r="H162" s="42"/>
      <c r="I162" s="42"/>
    </row>
    <row r="163" customFormat="false" ht="15" hidden="false" customHeight="false" outlineLevel="0" collapsed="false">
      <c r="A163" s="42"/>
      <c r="B163" s="42"/>
      <c r="C163" s="42"/>
      <c r="D163" s="42"/>
      <c r="E163" s="42"/>
      <c r="F163" s="42"/>
      <c r="G163" s="42"/>
      <c r="H163" s="42"/>
      <c r="I163" s="42"/>
    </row>
    <row r="164" customFormat="false" ht="15" hidden="false" customHeight="false" outlineLevel="0" collapsed="false">
      <c r="A164" s="42"/>
      <c r="B164" s="42"/>
      <c r="C164" s="42"/>
      <c r="D164" s="42"/>
      <c r="E164" s="42"/>
      <c r="F164" s="42"/>
      <c r="G164" s="42"/>
      <c r="H164" s="42"/>
      <c r="I164" s="42"/>
    </row>
    <row r="165" customFormat="false" ht="15" hidden="false" customHeight="false" outlineLevel="0" collapsed="false">
      <c r="A165" s="42"/>
      <c r="B165" s="42"/>
      <c r="C165" s="42"/>
      <c r="D165" s="42"/>
      <c r="E165" s="42"/>
      <c r="F165" s="42"/>
      <c r="G165" s="42"/>
      <c r="H165" s="42"/>
      <c r="I165" s="42"/>
    </row>
    <row r="166" customFormat="false" ht="15" hidden="false" customHeight="false" outlineLevel="0" collapsed="false">
      <c r="A166" s="42"/>
      <c r="B166" s="42"/>
      <c r="C166" s="42"/>
      <c r="D166" s="42"/>
      <c r="E166" s="42"/>
      <c r="F166" s="42"/>
      <c r="G166" s="42"/>
      <c r="H166" s="42"/>
      <c r="I166" s="42"/>
    </row>
    <row r="167" customFormat="false" ht="15" hidden="false" customHeight="false" outlineLevel="0" collapsed="false">
      <c r="A167" s="42"/>
      <c r="B167" s="42"/>
      <c r="C167" s="42"/>
      <c r="D167" s="42"/>
      <c r="E167" s="42"/>
      <c r="F167" s="42"/>
      <c r="G167" s="42"/>
      <c r="H167" s="42"/>
      <c r="I167" s="42"/>
    </row>
    <row r="168" customFormat="false" ht="15" hidden="false" customHeight="false" outlineLevel="0" collapsed="false">
      <c r="A168" s="42"/>
      <c r="B168" s="42"/>
      <c r="C168" s="42"/>
      <c r="D168" s="42"/>
      <c r="E168" s="42"/>
      <c r="F168" s="42"/>
      <c r="G168" s="42"/>
      <c r="H168" s="42"/>
      <c r="I168" s="42"/>
    </row>
    <row r="169" customFormat="false" ht="15" hidden="false" customHeight="false" outlineLevel="0" collapsed="false">
      <c r="A169" s="42"/>
      <c r="B169" s="42"/>
      <c r="C169" s="42"/>
      <c r="D169" s="42"/>
      <c r="E169" s="42"/>
      <c r="F169" s="42"/>
      <c r="G169" s="42"/>
      <c r="H169" s="42"/>
      <c r="I169" s="42"/>
    </row>
    <row r="170" customFormat="false" ht="15" hidden="false" customHeight="false" outlineLevel="0" collapsed="false">
      <c r="A170" s="42"/>
      <c r="B170" s="42"/>
      <c r="C170" s="42"/>
      <c r="D170" s="42"/>
      <c r="E170" s="42"/>
      <c r="F170" s="42"/>
      <c r="G170" s="42"/>
      <c r="H170" s="42"/>
      <c r="I170" s="42"/>
    </row>
    <row r="171" customFormat="false" ht="15" hidden="false" customHeight="false" outlineLevel="0" collapsed="false">
      <c r="A171" s="42"/>
      <c r="B171" s="42"/>
      <c r="C171" s="42"/>
      <c r="D171" s="42"/>
      <c r="E171" s="42"/>
      <c r="F171" s="42"/>
      <c r="G171" s="42"/>
      <c r="H171" s="42"/>
      <c r="I171" s="42"/>
    </row>
    <row r="172" customFormat="false" ht="15" hidden="false" customHeight="false" outlineLevel="0" collapsed="false">
      <c r="A172" s="42"/>
      <c r="B172" s="42"/>
      <c r="C172" s="42"/>
      <c r="D172" s="42"/>
      <c r="E172" s="42"/>
      <c r="F172" s="42"/>
      <c r="G172" s="42"/>
      <c r="H172" s="42"/>
      <c r="I172" s="42"/>
    </row>
    <row r="173" customFormat="false" ht="15" hidden="false" customHeight="false" outlineLevel="0" collapsed="false">
      <c r="A173" s="42"/>
      <c r="B173" s="42"/>
      <c r="C173" s="42"/>
      <c r="D173" s="42"/>
      <c r="E173" s="42"/>
      <c r="F173" s="42"/>
      <c r="G173" s="42"/>
      <c r="H173" s="42"/>
      <c r="I173" s="42"/>
    </row>
    <row r="174" customFormat="false" ht="15" hidden="false" customHeight="false" outlineLevel="0" collapsed="false">
      <c r="A174" s="42"/>
      <c r="B174" s="42"/>
      <c r="C174" s="42"/>
      <c r="D174" s="42"/>
      <c r="E174" s="42"/>
      <c r="F174" s="42"/>
      <c r="G174" s="42"/>
      <c r="H174" s="42"/>
      <c r="I174" s="42"/>
    </row>
    <row r="175" customFormat="false" ht="15" hidden="false" customHeight="false" outlineLevel="0" collapsed="false">
      <c r="A175" s="42"/>
      <c r="B175" s="42"/>
      <c r="C175" s="42"/>
      <c r="D175" s="42"/>
      <c r="E175" s="42"/>
      <c r="F175" s="42"/>
      <c r="G175" s="42"/>
      <c r="H175" s="42"/>
      <c r="I175" s="42"/>
    </row>
    <row r="176" customFormat="false" ht="15" hidden="false" customHeight="false" outlineLevel="0" collapsed="false">
      <c r="A176" s="42"/>
      <c r="B176" s="42"/>
      <c r="C176" s="42"/>
      <c r="D176" s="42"/>
      <c r="E176" s="42"/>
      <c r="F176" s="42"/>
      <c r="G176" s="42"/>
      <c r="H176" s="42"/>
      <c r="I176" s="42"/>
    </row>
    <row r="177" customFormat="false" ht="15" hidden="false" customHeight="false" outlineLevel="0" collapsed="false">
      <c r="A177" s="42"/>
      <c r="B177" s="42"/>
      <c r="C177" s="42"/>
      <c r="D177" s="42"/>
      <c r="E177" s="42"/>
      <c r="F177" s="42"/>
      <c r="G177" s="42"/>
      <c r="H177" s="42"/>
      <c r="I177" s="42"/>
    </row>
    <row r="178" customFormat="false" ht="15" hidden="false" customHeight="false" outlineLevel="0" collapsed="false">
      <c r="A178" s="42"/>
      <c r="B178" s="42"/>
      <c r="C178" s="42"/>
      <c r="D178" s="42"/>
      <c r="E178" s="42"/>
      <c r="F178" s="42"/>
      <c r="G178" s="42"/>
      <c r="H178" s="42"/>
      <c r="I178" s="42"/>
    </row>
    <row r="179" customFormat="false" ht="15" hidden="false" customHeight="false" outlineLevel="0" collapsed="false">
      <c r="A179" s="42"/>
      <c r="B179" s="42"/>
      <c r="C179" s="42"/>
      <c r="D179" s="42"/>
      <c r="E179" s="42"/>
      <c r="F179" s="42"/>
      <c r="G179" s="42"/>
      <c r="H179" s="42"/>
      <c r="I179" s="42"/>
    </row>
    <row r="180" customFormat="false" ht="15" hidden="false" customHeight="false" outlineLevel="0" collapsed="false">
      <c r="A180" s="42"/>
      <c r="B180" s="42"/>
      <c r="C180" s="42"/>
      <c r="D180" s="42"/>
      <c r="E180" s="42"/>
      <c r="F180" s="42"/>
      <c r="G180" s="42"/>
      <c r="H180" s="42"/>
      <c r="I180" s="42"/>
    </row>
    <row r="181" customFormat="false" ht="15" hidden="false" customHeight="false" outlineLevel="0" collapsed="false">
      <c r="A181" s="42"/>
      <c r="B181" s="42"/>
      <c r="C181" s="42"/>
      <c r="D181" s="42"/>
      <c r="E181" s="42"/>
      <c r="F181" s="42"/>
      <c r="G181" s="42"/>
      <c r="H181" s="42"/>
      <c r="I181" s="42"/>
    </row>
    <row r="182" customFormat="false" ht="15" hidden="false" customHeight="false" outlineLevel="0" collapsed="false">
      <c r="A182" s="42"/>
      <c r="B182" s="42"/>
      <c r="C182" s="42"/>
      <c r="D182" s="42"/>
      <c r="E182" s="42"/>
      <c r="F182" s="42"/>
      <c r="G182" s="42"/>
      <c r="H182" s="42"/>
      <c r="I182" s="42"/>
    </row>
    <row r="183" customFormat="false" ht="15" hidden="false" customHeight="false" outlineLevel="0" collapsed="false">
      <c r="A183" s="42"/>
      <c r="B183" s="42"/>
      <c r="C183" s="42"/>
      <c r="D183" s="42"/>
      <c r="E183" s="42"/>
      <c r="F183" s="42"/>
      <c r="G183" s="42"/>
      <c r="H183" s="42"/>
      <c r="I183" s="42"/>
    </row>
    <row r="184" customFormat="false" ht="15" hidden="false" customHeight="false" outlineLevel="0" collapsed="false">
      <c r="A184" s="42"/>
      <c r="B184" s="42"/>
      <c r="C184" s="42"/>
      <c r="D184" s="42"/>
      <c r="E184" s="42"/>
      <c r="F184" s="42"/>
      <c r="G184" s="42"/>
      <c r="H184" s="42"/>
      <c r="I184" s="42"/>
    </row>
    <row r="185" customFormat="false" ht="15" hidden="false" customHeight="false" outlineLevel="0" collapsed="false">
      <c r="A185" s="42"/>
      <c r="B185" s="42"/>
      <c r="C185" s="42"/>
      <c r="D185" s="42"/>
      <c r="E185" s="42"/>
      <c r="F185" s="42"/>
      <c r="G185" s="42"/>
      <c r="H185" s="42"/>
      <c r="I185" s="42"/>
    </row>
    <row r="186" customFormat="false" ht="15" hidden="false" customHeight="false" outlineLevel="0" collapsed="false">
      <c r="A186" s="42"/>
      <c r="B186" s="42"/>
      <c r="C186" s="42"/>
      <c r="D186" s="42"/>
      <c r="E186" s="42"/>
      <c r="F186" s="42"/>
      <c r="G186" s="42"/>
      <c r="H186" s="42"/>
      <c r="I186" s="42"/>
    </row>
    <row r="187" customFormat="false" ht="15" hidden="false" customHeight="false" outlineLevel="0" collapsed="false">
      <c r="A187" s="42"/>
      <c r="B187" s="42"/>
      <c r="C187" s="42"/>
      <c r="D187" s="42"/>
      <c r="E187" s="42"/>
      <c r="F187" s="42"/>
      <c r="G187" s="42"/>
      <c r="H187" s="42"/>
      <c r="I187" s="42"/>
    </row>
    <row r="188" customFormat="false" ht="15" hidden="false" customHeight="false" outlineLevel="0" collapsed="false">
      <c r="A188" s="42"/>
      <c r="B188" s="42"/>
      <c r="C188" s="42"/>
      <c r="D188" s="42"/>
      <c r="E188" s="42"/>
      <c r="F188" s="42"/>
      <c r="G188" s="42"/>
      <c r="H188" s="42"/>
      <c r="I188" s="42"/>
    </row>
    <row r="189" customFormat="false" ht="15" hidden="false" customHeight="false" outlineLevel="0" collapsed="false">
      <c r="A189" s="42"/>
      <c r="B189" s="42"/>
      <c r="C189" s="42"/>
      <c r="D189" s="42"/>
      <c r="E189" s="42"/>
      <c r="F189" s="42"/>
      <c r="G189" s="42"/>
      <c r="H189" s="42"/>
      <c r="I189" s="42"/>
    </row>
    <row r="190" customFormat="false" ht="15" hidden="false" customHeight="false" outlineLevel="0" collapsed="false">
      <c r="A190" s="42"/>
      <c r="B190" s="42"/>
      <c r="C190" s="42"/>
      <c r="D190" s="42"/>
      <c r="E190" s="42"/>
      <c r="F190" s="42"/>
      <c r="G190" s="42"/>
      <c r="H190" s="42"/>
      <c r="I190" s="42"/>
    </row>
    <row r="191" customFormat="false" ht="15" hidden="false" customHeight="false" outlineLevel="0" collapsed="false">
      <c r="A191" s="42"/>
      <c r="B191" s="42"/>
      <c r="C191" s="42"/>
      <c r="D191" s="42"/>
      <c r="E191" s="42"/>
      <c r="F191" s="42"/>
      <c r="G191" s="42"/>
      <c r="H191" s="42"/>
      <c r="I191" s="42"/>
    </row>
    <row r="192" customFormat="false" ht="15" hidden="false" customHeight="false" outlineLevel="0" collapsed="false">
      <c r="A192" s="42"/>
      <c r="B192" s="42"/>
      <c r="C192" s="42"/>
      <c r="D192" s="42"/>
      <c r="E192" s="42"/>
      <c r="F192" s="42"/>
      <c r="G192" s="42"/>
      <c r="H192" s="42"/>
      <c r="I192" s="42"/>
    </row>
    <row r="193" customFormat="false" ht="15" hidden="false" customHeight="false" outlineLevel="0" collapsed="false">
      <c r="A193" s="42"/>
      <c r="B193" s="42"/>
      <c r="C193" s="42"/>
      <c r="D193" s="42"/>
      <c r="E193" s="42"/>
      <c r="F193" s="42"/>
      <c r="G193" s="42"/>
      <c r="H193" s="42"/>
      <c r="I193" s="42"/>
    </row>
    <row r="194" customFormat="false" ht="15" hidden="false" customHeight="false" outlineLevel="0" collapsed="false">
      <c r="A194" s="42"/>
      <c r="B194" s="42"/>
      <c r="C194" s="42"/>
      <c r="D194" s="42"/>
      <c r="E194" s="42"/>
      <c r="F194" s="42"/>
      <c r="G194" s="42"/>
      <c r="H194" s="42"/>
      <c r="I194" s="42"/>
    </row>
    <row r="195" customFormat="false" ht="15" hidden="false" customHeight="false" outlineLevel="0" collapsed="false">
      <c r="A195" s="42"/>
      <c r="B195" s="42"/>
      <c r="C195" s="42"/>
      <c r="D195" s="42"/>
      <c r="E195" s="42"/>
      <c r="F195" s="42"/>
      <c r="G195" s="42"/>
      <c r="H195" s="42"/>
      <c r="I195" s="42"/>
    </row>
    <row r="196" customFormat="false" ht="15" hidden="false" customHeight="false" outlineLevel="0" collapsed="false">
      <c r="A196" s="42"/>
      <c r="B196" s="42"/>
      <c r="C196" s="42"/>
      <c r="D196" s="42"/>
      <c r="E196" s="42"/>
      <c r="F196" s="42"/>
      <c r="G196" s="42"/>
      <c r="H196" s="42"/>
      <c r="I196" s="42"/>
    </row>
    <row r="197" customFormat="false" ht="15" hidden="false" customHeight="false" outlineLevel="0" collapsed="false">
      <c r="A197" s="42"/>
      <c r="B197" s="42"/>
      <c r="C197" s="42"/>
      <c r="D197" s="42"/>
      <c r="E197" s="42"/>
      <c r="F197" s="42"/>
      <c r="G197" s="42"/>
      <c r="H197" s="42"/>
      <c r="I197" s="42"/>
    </row>
    <row r="198" customFormat="false" ht="15" hidden="false" customHeight="false" outlineLevel="0" collapsed="false">
      <c r="A198" s="42"/>
      <c r="B198" s="42"/>
      <c r="C198" s="42"/>
      <c r="D198" s="42"/>
      <c r="E198" s="42"/>
      <c r="F198" s="42"/>
      <c r="G198" s="42"/>
      <c r="H198" s="42"/>
      <c r="I198" s="42"/>
    </row>
    <row r="199" customFormat="false" ht="15" hidden="false" customHeight="false" outlineLevel="0" collapsed="false">
      <c r="A199" s="42"/>
      <c r="B199" s="42"/>
      <c r="C199" s="42"/>
      <c r="D199" s="42"/>
      <c r="E199" s="42"/>
      <c r="F199" s="42"/>
      <c r="G199" s="42"/>
      <c r="H199" s="42"/>
      <c r="I199" s="42"/>
    </row>
    <row r="200" customFormat="false" ht="15" hidden="false" customHeight="false" outlineLevel="0" collapsed="false">
      <c r="A200" s="42"/>
      <c r="B200" s="42"/>
      <c r="C200" s="42"/>
      <c r="D200" s="42"/>
      <c r="E200" s="42"/>
      <c r="F200" s="42"/>
      <c r="G200" s="42"/>
      <c r="H200" s="42"/>
      <c r="I200" s="42"/>
    </row>
    <row r="201" customFormat="false" ht="15" hidden="false" customHeight="false" outlineLevel="0" collapsed="false">
      <c r="A201" s="42"/>
      <c r="B201" s="42"/>
      <c r="C201" s="42"/>
      <c r="D201" s="42"/>
      <c r="E201" s="42"/>
      <c r="F201" s="42"/>
      <c r="G201" s="42"/>
      <c r="H201" s="42"/>
      <c r="I201" s="42"/>
    </row>
    <row r="202" customFormat="false" ht="15" hidden="false" customHeight="false" outlineLevel="0" collapsed="false">
      <c r="A202" s="42"/>
      <c r="B202" s="42"/>
      <c r="C202" s="42"/>
      <c r="D202" s="42"/>
      <c r="E202" s="42"/>
      <c r="F202" s="42"/>
      <c r="G202" s="42"/>
      <c r="H202" s="42"/>
      <c r="I202" s="42"/>
    </row>
    <row r="203" customFormat="false" ht="15" hidden="false" customHeight="false" outlineLevel="0" collapsed="false">
      <c r="A203" s="42"/>
      <c r="B203" s="42"/>
      <c r="C203" s="42"/>
      <c r="D203" s="42"/>
      <c r="E203" s="42"/>
      <c r="F203" s="42"/>
      <c r="G203" s="42"/>
      <c r="H203" s="42"/>
      <c r="I203" s="42"/>
    </row>
    <row r="204" customFormat="false" ht="15" hidden="false" customHeight="false" outlineLevel="0" collapsed="false">
      <c r="A204" s="42"/>
      <c r="B204" s="42"/>
      <c r="C204" s="42"/>
      <c r="D204" s="42"/>
      <c r="E204" s="42"/>
      <c r="F204" s="42"/>
      <c r="G204" s="42"/>
      <c r="H204" s="42"/>
      <c r="I204" s="42"/>
    </row>
    <row r="205" customFormat="false" ht="15" hidden="false" customHeight="false" outlineLevel="0" collapsed="false">
      <c r="A205" s="42"/>
      <c r="B205" s="42"/>
      <c r="C205" s="42"/>
      <c r="D205" s="42"/>
      <c r="E205" s="42"/>
      <c r="F205" s="42"/>
      <c r="G205" s="42"/>
      <c r="H205" s="42"/>
      <c r="I205" s="42"/>
    </row>
  </sheetData>
  <dataValidations count="3">
    <dataValidation allowBlank="true" errorStyle="stop" operator="between" showDropDown="false" showErrorMessage="false" showInputMessage="false" sqref="D5:D205" type="list">
      <formula1>Lookup_Codes!$O$5:$O$60</formula1>
      <formula2>0</formula2>
    </dataValidation>
    <dataValidation allowBlank="true" errorStyle="stop" operator="between" showDropDown="false" showErrorMessage="false" showInputMessage="false" sqref="E5:E205" type="list">
      <formula1>Lookup_Codes!$P$5:$P$60</formula1>
      <formula2>0</formula2>
    </dataValidation>
    <dataValidation allowBlank="true" errorStyle="stop" operator="between" showDropDown="false" showErrorMessage="false" showInputMessage="false" sqref="F5:F205" type="list">
      <formula1>Lookup_Codes!$Q$5:$Q$60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28"/>
    <col collapsed="false" customWidth="true" hidden="false" outlineLevel="0" max="4" min="4" style="0" width="11"/>
    <col collapsed="false" customWidth="true" hidden="false" outlineLevel="0" max="5" min="5" style="0" width="13"/>
    <col collapsed="false" customWidth="true" hidden="false" outlineLevel="0" max="6" min="6" style="0" width="10"/>
    <col collapsed="false" customWidth="true" hidden="false" outlineLevel="0" max="7" min="7" style="0" width="20"/>
    <col collapsed="false" customWidth="true" hidden="false" outlineLevel="0" max="8" min="8" style="0" width="80"/>
  </cols>
  <sheetData>
    <row r="1" customFormat="false" ht="18" hidden="false" customHeight="true" outlineLevel="0" collapsed="false">
      <c r="A1" s="7" t="s">
        <v>1139</v>
      </c>
    </row>
    <row r="2" customFormat="false" ht="15" hidden="false" customHeight="false" outlineLevel="0" collapsed="false">
      <c r="A2" s="8" t="s">
        <v>1140</v>
      </c>
    </row>
    <row r="4" customFormat="false" ht="24" hidden="false" customHeight="true" outlineLevel="0" collapsed="false">
      <c r="A4" s="74" t="s">
        <v>1141</v>
      </c>
      <c r="B4" s="74" t="s">
        <v>1142</v>
      </c>
      <c r="C4" s="74" t="s">
        <v>1143</v>
      </c>
      <c r="D4" s="74" t="s">
        <v>1144</v>
      </c>
      <c r="E4" s="74" t="s">
        <v>1145</v>
      </c>
      <c r="F4" s="74" t="s">
        <v>1146</v>
      </c>
      <c r="G4" s="74" t="s">
        <v>1147</v>
      </c>
      <c r="H4" s="74" t="s">
        <v>128</v>
      </c>
    </row>
    <row r="5" customFormat="false" ht="15" hidden="false" customHeight="false" outlineLevel="0" collapsed="false">
      <c r="A5" s="68" t="str">
        <f aca="false">B5&amp;"|"&amp;C5</f>
        <v>MAT|I-1</v>
      </c>
      <c r="B5" s="68" t="s">
        <v>1148</v>
      </c>
      <c r="C5" s="68" t="s">
        <v>70</v>
      </c>
      <c r="D5" s="75" t="n">
        <v>0.75</v>
      </c>
      <c r="E5" s="76"/>
      <c r="F5" s="77" t="n">
        <f aca="false">IF(ISNUMBER(E5),E5,D5)</f>
        <v>0.75</v>
      </c>
      <c r="G5" s="68" t="str">
        <f aca="false">IF(ISNUMBER(E5),"Calibrated","Provisional – calibrate")</f>
        <v>Provisional – calibrate</v>
      </c>
      <c r="H5" s="68" t="s">
        <v>1149</v>
      </c>
    </row>
    <row r="6" customFormat="false" ht="15" hidden="false" customHeight="false" outlineLevel="0" collapsed="false">
      <c r="A6" s="68" t="str">
        <f aca="false">B6&amp;"|"&amp;C6</f>
        <v>MAT|I-2</v>
      </c>
      <c r="B6" s="68" t="s">
        <v>1148</v>
      </c>
      <c r="C6" s="68" t="s">
        <v>74</v>
      </c>
      <c r="D6" s="75" t="n">
        <v>0.8</v>
      </c>
      <c r="E6" s="76"/>
      <c r="F6" s="77" t="n">
        <f aca="false">IF(ISNUMBER(E6),E6,D6)</f>
        <v>0.8</v>
      </c>
      <c r="G6" s="68" t="str">
        <f aca="false">IF(ISNUMBER(E6),"Calibrated","Provisional – calibrate")</f>
        <v>Provisional – calibrate</v>
      </c>
      <c r="H6" s="68" t="s">
        <v>1150</v>
      </c>
    </row>
    <row r="7" customFormat="false" ht="15" hidden="false" customHeight="false" outlineLevel="0" collapsed="false">
      <c r="A7" s="68" t="str">
        <f aca="false">B7&amp;"|"&amp;C7</f>
        <v>MAT|S-1</v>
      </c>
      <c r="B7" s="68" t="s">
        <v>1148</v>
      </c>
      <c r="C7" s="68" t="s">
        <v>78</v>
      </c>
      <c r="D7" s="75" t="n">
        <v>0.9</v>
      </c>
      <c r="E7" s="76"/>
      <c r="F7" s="77" t="n">
        <f aca="false">IF(ISNUMBER(E7),E7,D7)</f>
        <v>0.9</v>
      </c>
      <c r="G7" s="68" t="str">
        <f aca="false">IF(ISNUMBER(E7),"Calibrated","Provisional – calibrate")</f>
        <v>Provisional – calibrate</v>
      </c>
      <c r="H7" s="68" t="s">
        <v>1151</v>
      </c>
    </row>
    <row r="8" customFormat="false" ht="15" hidden="false" customHeight="false" outlineLevel="0" collapsed="false">
      <c r="A8" s="68" t="str">
        <f aca="false">B8&amp;"|"&amp;C8</f>
        <v>MAT|S-3</v>
      </c>
      <c r="B8" s="68" t="s">
        <v>1148</v>
      </c>
      <c r="C8" s="68" t="s">
        <v>81</v>
      </c>
      <c r="D8" s="75" t="n">
        <v>0.95</v>
      </c>
      <c r="E8" s="76"/>
      <c r="F8" s="77" t="n">
        <f aca="false">IF(ISNUMBER(E8),E8,D8)</f>
        <v>0.95</v>
      </c>
      <c r="G8" s="68" t="str">
        <f aca="false">IF(ISNUMBER(E8),"Calibrated","Provisional – calibrate")</f>
        <v>Provisional – calibrate</v>
      </c>
      <c r="H8" s="68" t="s">
        <v>1152</v>
      </c>
    </row>
    <row r="9" customFormat="false" ht="15" hidden="false" customHeight="false" outlineLevel="0" collapsed="false">
      <c r="A9" s="68" t="str">
        <f aca="false">B9&amp;"|"&amp;C9</f>
        <v>MAT|S-4</v>
      </c>
      <c r="B9" s="68" t="s">
        <v>1148</v>
      </c>
      <c r="C9" s="68" t="s">
        <v>85</v>
      </c>
      <c r="D9" s="75" t="n">
        <v>1</v>
      </c>
      <c r="E9" s="76"/>
      <c r="F9" s="77" t="n">
        <f aca="false">IF(ISNUMBER(E9),E9,D9)</f>
        <v>1</v>
      </c>
      <c r="G9" s="68" t="str">
        <f aca="false">IF(ISNUMBER(E9),"Calibrated","Provisional – calibrate")</f>
        <v>Provisional – calibrate</v>
      </c>
      <c r="H9" s="68" t="s">
        <v>1153</v>
      </c>
    </row>
    <row r="10" customFormat="false" ht="15" hidden="false" customHeight="false" outlineLevel="0" collapsed="false">
      <c r="A10" s="68" t="str">
        <f aca="false">B10&amp;"|"&amp;C10</f>
        <v>MAT|S-5</v>
      </c>
      <c r="B10" s="68" t="s">
        <v>1148</v>
      </c>
      <c r="C10" s="68" t="s">
        <v>87</v>
      </c>
      <c r="D10" s="75" t="n">
        <v>1</v>
      </c>
      <c r="E10" s="76"/>
      <c r="F10" s="77" t="n">
        <f aca="false">IF(ISNUMBER(E10),E10,D10)</f>
        <v>1</v>
      </c>
      <c r="G10" s="68" t="str">
        <f aca="false">IF(ISNUMBER(E10),"Calibrated","Provisional – calibrate")</f>
        <v>Provisional – calibrate</v>
      </c>
      <c r="H10" s="68" t="s">
        <v>1154</v>
      </c>
    </row>
    <row r="11" customFormat="false" ht="15" hidden="false" customHeight="false" outlineLevel="0" collapsed="false">
      <c r="A11" s="68" t="str">
        <f aca="false">B11&amp;"|"&amp;C11</f>
        <v>MAT|S-6</v>
      </c>
      <c r="B11" s="68" t="s">
        <v>1148</v>
      </c>
      <c r="C11" s="68" t="s">
        <v>90</v>
      </c>
      <c r="D11" s="75" t="n">
        <v>1.1</v>
      </c>
      <c r="E11" s="76"/>
      <c r="F11" s="77" t="n">
        <f aca="false">IF(ISNUMBER(E11),E11,D11)</f>
        <v>1.1</v>
      </c>
      <c r="G11" s="68" t="str">
        <f aca="false">IF(ISNUMBER(E11),"Calibrated","Provisional – calibrate")</f>
        <v>Provisional – calibrate</v>
      </c>
      <c r="H11" s="68" t="s">
        <v>1155</v>
      </c>
    </row>
    <row r="12" customFormat="false" ht="15" hidden="false" customHeight="false" outlineLevel="0" collapsed="false">
      <c r="A12" s="68" t="str">
        <f aca="false">B12&amp;"|"&amp;C12</f>
        <v>MAT|S-8</v>
      </c>
      <c r="B12" s="68" t="s">
        <v>1148</v>
      </c>
      <c r="C12" s="68" t="s">
        <v>94</v>
      </c>
      <c r="D12" s="75" t="n">
        <v>1.25</v>
      </c>
      <c r="E12" s="76"/>
      <c r="F12" s="77" t="n">
        <f aca="false">IF(ISNUMBER(E12),E12,D12)</f>
        <v>1.25</v>
      </c>
      <c r="G12" s="68" t="str">
        <f aca="false">IF(ISNUMBER(E12),"Calibrated","Provisional – calibrate")</f>
        <v>Provisional – calibrate</v>
      </c>
      <c r="H12" s="68" t="s">
        <v>1156</v>
      </c>
    </row>
    <row r="13" customFormat="false" ht="15" hidden="false" customHeight="false" outlineLevel="0" collapsed="false">
      <c r="A13" s="68" t="str">
        <f aca="false">B13&amp;"|"&amp;C13</f>
        <v>MAT|S-9</v>
      </c>
      <c r="B13" s="68" t="s">
        <v>1148</v>
      </c>
      <c r="C13" s="68" t="s">
        <v>98</v>
      </c>
      <c r="D13" s="75" t="n">
        <v>1.35</v>
      </c>
      <c r="E13" s="76"/>
      <c r="F13" s="77" t="n">
        <f aca="false">IF(ISNUMBER(E13),E13,D13)</f>
        <v>1.35</v>
      </c>
      <c r="G13" s="68" t="str">
        <f aca="false">IF(ISNUMBER(E13),"Calibrated","Provisional – calibrate")</f>
        <v>Provisional – calibrate</v>
      </c>
      <c r="H13" s="68" t="s">
        <v>1157</v>
      </c>
    </row>
    <row r="14" customFormat="false" ht="15" hidden="false" customHeight="false" outlineLevel="0" collapsed="false">
      <c r="A14" s="68" t="str">
        <f aca="false">B14&amp;"|"&amp;C14</f>
        <v>MAT|C-6</v>
      </c>
      <c r="B14" s="68" t="s">
        <v>1148</v>
      </c>
      <c r="C14" s="68" t="s">
        <v>102</v>
      </c>
      <c r="D14" s="75" t="n">
        <v>1.3</v>
      </c>
      <c r="E14" s="76"/>
      <c r="F14" s="77" t="n">
        <f aca="false">IF(ISNUMBER(E14),E14,D14)</f>
        <v>1.3</v>
      </c>
      <c r="G14" s="68" t="str">
        <f aca="false">IF(ISNUMBER(E14),"Calibrated","Provisional – calibrate")</f>
        <v>Provisional – calibrate</v>
      </c>
      <c r="H14" s="68" t="s">
        <v>1158</v>
      </c>
    </row>
    <row r="15" customFormat="false" ht="15" hidden="false" customHeight="false" outlineLevel="0" collapsed="false">
      <c r="A15" s="68" t="str">
        <f aca="false">B15&amp;"|"&amp;C15</f>
        <v>MAT|A-7</v>
      </c>
      <c r="B15" s="68" t="s">
        <v>1148</v>
      </c>
      <c r="C15" s="68" t="s">
        <v>104</v>
      </c>
      <c r="D15" s="75" t="n">
        <v>1.4</v>
      </c>
      <c r="E15" s="76"/>
      <c r="F15" s="77" t="n">
        <f aca="false">IF(ISNUMBER(E15),E15,D15)</f>
        <v>1.4</v>
      </c>
      <c r="G15" s="68" t="str">
        <f aca="false">IF(ISNUMBER(E15),"Calibrated","Provisional – calibrate")</f>
        <v>Provisional – calibrate</v>
      </c>
      <c r="H15" s="68" t="s">
        <v>1159</v>
      </c>
    </row>
    <row r="16" customFormat="false" ht="15" hidden="false" customHeight="false" outlineLevel="0" collapsed="false">
      <c r="A16" s="68" t="str">
        <f aca="false">B16&amp;"|"&amp;C16</f>
        <v>MAT|A-8</v>
      </c>
      <c r="B16" s="68" t="s">
        <v>1148</v>
      </c>
      <c r="C16" s="68" t="s">
        <v>108</v>
      </c>
      <c r="D16" s="75" t="n">
        <v>1.5</v>
      </c>
      <c r="E16" s="76"/>
      <c r="F16" s="77" t="n">
        <f aca="false">IF(ISNUMBER(E16),E16,D16)</f>
        <v>1.5</v>
      </c>
      <c r="G16" s="68" t="str">
        <f aca="false">IF(ISNUMBER(E16),"Calibrated","Provisional – calibrate")</f>
        <v>Provisional – calibrate</v>
      </c>
      <c r="H16" s="68" t="s">
        <v>1160</v>
      </c>
    </row>
    <row r="17" customFormat="false" ht="15" hidden="false" customHeight="false" outlineLevel="0" collapsed="false">
      <c r="A17" s="68" t="str">
        <f aca="false">B17&amp;"|"&amp;C17</f>
        <v>MAT|D-1</v>
      </c>
      <c r="B17" s="68" t="s">
        <v>1148</v>
      </c>
      <c r="C17" s="68" t="s">
        <v>111</v>
      </c>
      <c r="D17" s="75" t="n">
        <v>1.7</v>
      </c>
      <c r="E17" s="76"/>
      <c r="F17" s="77" t="n">
        <f aca="false">IF(ISNUMBER(E17),E17,D17)</f>
        <v>1.7</v>
      </c>
      <c r="G17" s="68" t="str">
        <f aca="false">IF(ISNUMBER(E17),"Calibrated","Provisional – calibrate")</f>
        <v>Provisional – calibrate</v>
      </c>
      <c r="H17" s="68" t="s">
        <v>1161</v>
      </c>
    </row>
    <row r="18" customFormat="false" ht="15" hidden="false" customHeight="false" outlineLevel="0" collapsed="false">
      <c r="A18" s="68" t="str">
        <f aca="false">B18&amp;"|"&amp;C18</f>
        <v>MAT|D-2</v>
      </c>
      <c r="B18" s="68" t="s">
        <v>1148</v>
      </c>
      <c r="C18" s="68" t="s">
        <v>115</v>
      </c>
      <c r="D18" s="75" t="n">
        <v>1.9</v>
      </c>
      <c r="E18" s="76"/>
      <c r="F18" s="77" t="n">
        <f aca="false">IF(ISNUMBER(E18),E18,D18)</f>
        <v>1.9</v>
      </c>
      <c r="G18" s="68" t="str">
        <f aca="false">IF(ISNUMBER(E18),"Calibrated","Provisional – calibrate")</f>
        <v>Provisional – calibrate</v>
      </c>
      <c r="H18" s="68" t="s">
        <v>1162</v>
      </c>
    </row>
    <row r="19" customFormat="false" ht="15" hidden="false" customHeight="false" outlineLevel="0" collapsed="false">
      <c r="A19" s="68" t="str">
        <f aca="false">B19&amp;"|"&amp;C19</f>
        <v>MAT|SS316L (non-API)</v>
      </c>
      <c r="B19" s="68" t="s">
        <v>1148</v>
      </c>
      <c r="C19" s="68" t="s">
        <v>119</v>
      </c>
      <c r="D19" s="75" t="n">
        <v>1.35</v>
      </c>
      <c r="E19" s="76"/>
      <c r="F19" s="77" t="n">
        <f aca="false">IF(ISNUMBER(E19),E19,D19)</f>
        <v>1.35</v>
      </c>
      <c r="G19" s="68" t="str">
        <f aca="false">IF(ISNUMBER(E19),"Calibrated","Provisional – calibrate")</f>
        <v>Provisional – calibrate</v>
      </c>
      <c r="H19" s="68" t="s">
        <v>1163</v>
      </c>
    </row>
    <row r="20" customFormat="false" ht="15" hidden="false" customHeight="false" outlineLevel="0" collapsed="false">
      <c r="A20" s="68" t="str">
        <f aca="false">B20&amp;"|"&amp;C20</f>
        <v>MAT|Not stated</v>
      </c>
      <c r="B20" s="68" t="s">
        <v>1148</v>
      </c>
      <c r="C20" s="68" t="s">
        <v>123</v>
      </c>
      <c r="D20" s="75" t="n">
        <v>1</v>
      </c>
      <c r="E20" s="76"/>
      <c r="F20" s="77" t="n">
        <f aca="false">IF(ISNUMBER(E20),E20,D20)</f>
        <v>1</v>
      </c>
      <c r="G20" s="68" t="str">
        <f aca="false">IF(ISNUMBER(E20),"Calibrated","Provisional – calibrate")</f>
        <v>Provisional – calibrate</v>
      </c>
      <c r="H20" s="68" t="s">
        <v>1164</v>
      </c>
    </row>
    <row r="21" customFormat="false" ht="15" hidden="false" customHeight="false" outlineLevel="0" collapsed="false">
      <c r="A21" s="68" t="str">
        <f aca="false">B21&amp;"|"&amp;C21</f>
        <v>SEAL_ARR|Packing</v>
      </c>
      <c r="B21" s="68" t="s">
        <v>1165</v>
      </c>
      <c r="C21" s="68" t="s">
        <v>1166</v>
      </c>
      <c r="D21" s="75" t="n">
        <v>0.9</v>
      </c>
      <c r="E21" s="76"/>
      <c r="F21" s="77" t="n">
        <f aca="false">IF(ISNUMBER(E21),E21,D21)</f>
        <v>0.9</v>
      </c>
      <c r="G21" s="68" t="str">
        <f aca="false">IF(ISNUMBER(E21),"Calibrated","Provisional – calibrate")</f>
        <v>Provisional – calibrate</v>
      </c>
      <c r="H21" s="68" t="s">
        <v>1167</v>
      </c>
    </row>
    <row r="22" customFormat="false" ht="15" hidden="false" customHeight="false" outlineLevel="0" collapsed="false">
      <c r="A22" s="68" t="str">
        <f aca="false">B22&amp;"|"&amp;C22</f>
        <v>SEAL_ARR|Arr 1 - Single</v>
      </c>
      <c r="B22" s="68" t="s">
        <v>1165</v>
      </c>
      <c r="C22" s="68" t="s">
        <v>1168</v>
      </c>
      <c r="D22" s="75" t="n">
        <v>1</v>
      </c>
      <c r="E22" s="76"/>
      <c r="F22" s="77" t="n">
        <f aca="false">IF(ISNUMBER(E22),E22,D22)</f>
        <v>1</v>
      </c>
      <c r="G22" s="68" t="str">
        <f aca="false">IF(ISNUMBER(E22),"Calibrated","Provisional – calibrate")</f>
        <v>Provisional – calibrate</v>
      </c>
      <c r="H22" s="68" t="s">
        <v>1169</v>
      </c>
    </row>
    <row r="23" customFormat="false" ht="15" hidden="false" customHeight="false" outlineLevel="0" collapsed="false">
      <c r="A23" s="68" t="str">
        <f aca="false">B23&amp;"|"&amp;C23</f>
        <v>SEAL_ARR|Arr 2 - Dual Unpressurized</v>
      </c>
      <c r="B23" s="68" t="s">
        <v>1165</v>
      </c>
      <c r="C23" s="68" t="s">
        <v>842</v>
      </c>
      <c r="D23" s="75" t="n">
        <v>1.12</v>
      </c>
      <c r="E23" s="76"/>
      <c r="F23" s="77" t="n">
        <f aca="false">IF(ISNUMBER(E23),E23,D23)</f>
        <v>1.12</v>
      </c>
      <c r="G23" s="68" t="str">
        <f aca="false">IF(ISNUMBER(E23),"Calibrated","Provisional – calibrate")</f>
        <v>Provisional – calibrate</v>
      </c>
      <c r="H23" s="68" t="s">
        <v>1167</v>
      </c>
    </row>
    <row r="24" customFormat="false" ht="15" hidden="false" customHeight="false" outlineLevel="0" collapsed="false">
      <c r="A24" s="68" t="str">
        <f aca="false">B24&amp;"|"&amp;C24</f>
        <v>SEAL_ARR|Arr 3 - Dual Pressurized</v>
      </c>
      <c r="B24" s="68" t="s">
        <v>1165</v>
      </c>
      <c r="C24" s="68" t="s">
        <v>1170</v>
      </c>
      <c r="D24" s="75" t="n">
        <v>1.2</v>
      </c>
      <c r="E24" s="76"/>
      <c r="F24" s="77" t="n">
        <f aca="false">IF(ISNUMBER(E24),E24,D24)</f>
        <v>1.2</v>
      </c>
      <c r="G24" s="68" t="str">
        <f aca="false">IF(ISNUMBER(E24),"Calibrated","Provisional – calibrate")</f>
        <v>Provisional – calibrate</v>
      </c>
      <c r="H24" s="68" t="s">
        <v>1167</v>
      </c>
    </row>
    <row r="25" customFormat="false" ht="15" hidden="false" customHeight="false" outlineLevel="0" collapsed="false">
      <c r="A25" s="68" t="str">
        <f aca="false">B25&amp;"|"&amp;C25</f>
        <v>SEAL_ARR|Sealless - Magnetic Drive</v>
      </c>
      <c r="B25" s="68" t="s">
        <v>1165</v>
      </c>
      <c r="C25" s="68" t="s">
        <v>1171</v>
      </c>
      <c r="D25" s="75" t="n">
        <v>1.15</v>
      </c>
      <c r="E25" s="76"/>
      <c r="F25" s="77" t="n">
        <f aca="false">IF(ISNUMBER(E25),E25,D25)</f>
        <v>1.15</v>
      </c>
      <c r="G25" s="68" t="str">
        <f aca="false">IF(ISNUMBER(E25),"Calibrated","Provisional – calibrate")</f>
        <v>Provisional – calibrate</v>
      </c>
      <c r="H25" s="68" t="s">
        <v>1167</v>
      </c>
    </row>
    <row r="26" customFormat="false" ht="15" hidden="false" customHeight="false" outlineLevel="0" collapsed="false">
      <c r="A26" s="68" t="str">
        <f aca="false">B26&amp;"|"&amp;C26</f>
        <v>SEAL_ARR|Sealless - Canned Motor</v>
      </c>
      <c r="B26" s="68" t="s">
        <v>1165</v>
      </c>
      <c r="C26" s="68" t="s">
        <v>1172</v>
      </c>
      <c r="D26" s="75" t="n">
        <v>1.25</v>
      </c>
      <c r="E26" s="76"/>
      <c r="F26" s="77" t="n">
        <f aca="false">IF(ISNUMBER(E26),E26,D26)</f>
        <v>1.25</v>
      </c>
      <c r="G26" s="68" t="str">
        <f aca="false">IF(ISNUMBER(E26),"Calibrated","Provisional – calibrate")</f>
        <v>Provisional – calibrate</v>
      </c>
      <c r="H26" s="68" t="s">
        <v>1167</v>
      </c>
    </row>
    <row r="27" customFormat="false" ht="15" hidden="false" customHeight="false" outlineLevel="0" collapsed="false">
      <c r="A27" s="68" t="str">
        <f aca="false">B27&amp;"|"&amp;C27</f>
        <v>SEAL_ARR|Not stated</v>
      </c>
      <c r="B27" s="68" t="s">
        <v>1165</v>
      </c>
      <c r="C27" s="68" t="s">
        <v>123</v>
      </c>
      <c r="D27" s="75" t="n">
        <v>1</v>
      </c>
      <c r="E27" s="76"/>
      <c r="F27" s="77" t="n">
        <f aca="false">IF(ISNUMBER(E27),E27,D27)</f>
        <v>1</v>
      </c>
      <c r="G27" s="68" t="str">
        <f aca="false">IF(ISNUMBER(E27),"Calibrated","Provisional – calibrate")</f>
        <v>Provisional – calibrate</v>
      </c>
      <c r="H27" s="68" t="s">
        <v>1173</v>
      </c>
    </row>
    <row r="28" customFormat="false" ht="15" hidden="false" customHeight="false" outlineLevel="0" collapsed="false">
      <c r="A28" s="68" t="str">
        <f aca="false">B28&amp;"|"&amp;C28</f>
        <v>SEAL_CAT|Cat 1</v>
      </c>
      <c r="B28" s="68" t="s">
        <v>1174</v>
      </c>
      <c r="C28" s="68" t="s">
        <v>1175</v>
      </c>
      <c r="D28" s="75" t="n">
        <v>0.95</v>
      </c>
      <c r="E28" s="76"/>
      <c r="F28" s="77" t="n">
        <f aca="false">IF(ISNUMBER(E28),E28,D28)</f>
        <v>0.95</v>
      </c>
      <c r="G28" s="68" t="str">
        <f aca="false">IF(ISNUMBER(E28),"Calibrated","Provisional – calibrate")</f>
        <v>Provisional – calibrate</v>
      </c>
      <c r="H28" s="68" t="s">
        <v>1176</v>
      </c>
    </row>
    <row r="29" customFormat="false" ht="15" hidden="false" customHeight="false" outlineLevel="0" collapsed="false">
      <c r="A29" s="68" t="str">
        <f aca="false">B29&amp;"|"&amp;C29</f>
        <v>SEAL_CAT|Cat 2</v>
      </c>
      <c r="B29" s="68" t="s">
        <v>1174</v>
      </c>
      <c r="C29" s="68" t="s">
        <v>845</v>
      </c>
      <c r="D29" s="75" t="n">
        <v>1</v>
      </c>
      <c r="E29" s="76"/>
      <c r="F29" s="77" t="n">
        <f aca="false">IF(ISNUMBER(E29),E29,D29)</f>
        <v>1</v>
      </c>
      <c r="G29" s="68" t="str">
        <f aca="false">IF(ISNUMBER(E29),"Calibrated","Provisional – calibrate")</f>
        <v>Provisional – calibrate</v>
      </c>
      <c r="H29" s="68" t="s">
        <v>1177</v>
      </c>
    </row>
    <row r="30" customFormat="false" ht="15" hidden="false" customHeight="false" outlineLevel="0" collapsed="false">
      <c r="A30" s="68" t="str">
        <f aca="false">B30&amp;"|"&amp;C30</f>
        <v>SEAL_CAT|Cat 3</v>
      </c>
      <c r="B30" s="68" t="s">
        <v>1174</v>
      </c>
      <c r="C30" s="68" t="s">
        <v>1178</v>
      </c>
      <c r="D30" s="75" t="n">
        <v>1.08</v>
      </c>
      <c r="E30" s="76"/>
      <c r="F30" s="77" t="n">
        <f aca="false">IF(ISNUMBER(E30),E30,D30)</f>
        <v>1.08</v>
      </c>
      <c r="G30" s="68" t="str">
        <f aca="false">IF(ISNUMBER(E30),"Calibrated","Provisional – calibrate")</f>
        <v>Provisional – calibrate</v>
      </c>
      <c r="H30" s="68" t="s">
        <v>1176</v>
      </c>
    </row>
    <row r="31" customFormat="false" ht="15" hidden="false" customHeight="false" outlineLevel="0" collapsed="false">
      <c r="A31" s="68" t="str">
        <f aca="false">B31&amp;"|"&amp;C31</f>
        <v>SEAL_CAT|N/A</v>
      </c>
      <c r="B31" s="68" t="s">
        <v>1174</v>
      </c>
      <c r="C31" s="68" t="s">
        <v>1179</v>
      </c>
      <c r="D31" s="75" t="n">
        <v>1</v>
      </c>
      <c r="E31" s="76"/>
      <c r="F31" s="77" t="n">
        <f aca="false">IF(ISNUMBER(E31),E31,D31)</f>
        <v>1</v>
      </c>
      <c r="G31" s="68" t="str">
        <f aca="false">IF(ISNUMBER(E31),"Calibrated","Provisional – calibrate")</f>
        <v>Provisional – calibrate</v>
      </c>
      <c r="H31" s="68" t="s">
        <v>1176</v>
      </c>
    </row>
    <row r="32" customFormat="false" ht="15" hidden="false" customHeight="false" outlineLevel="0" collapsed="false">
      <c r="A32" s="68" t="str">
        <f aca="false">B32&amp;"|"&amp;C32</f>
        <v>SEAL_CAT|Not stated</v>
      </c>
      <c r="B32" s="68" t="s">
        <v>1174</v>
      </c>
      <c r="C32" s="68" t="s">
        <v>123</v>
      </c>
      <c r="D32" s="75" t="n">
        <v>1</v>
      </c>
      <c r="E32" s="76"/>
      <c r="F32" s="77" t="n">
        <f aca="false">IF(ISNUMBER(E32),E32,D32)</f>
        <v>1</v>
      </c>
      <c r="G32" s="68" t="str">
        <f aca="false">IF(ISNUMBER(E32),"Calibrated","Provisional – calibrate")</f>
        <v>Provisional – calibrate</v>
      </c>
      <c r="H32" s="68" t="s">
        <v>1176</v>
      </c>
    </row>
    <row r="33" customFormat="false" ht="15" hidden="false" customHeight="false" outlineLevel="0" collapsed="false">
      <c r="A33" s="68" t="str">
        <f aca="false">B33&amp;"|"&amp;C33</f>
        <v>SEAL_PLAN|01</v>
      </c>
      <c r="B33" s="68" t="s">
        <v>1180</v>
      </c>
      <c r="C33" s="68" t="s">
        <v>1181</v>
      </c>
      <c r="D33" s="75" t="n">
        <v>1</v>
      </c>
      <c r="E33" s="76"/>
      <c r="F33" s="77" t="n">
        <f aca="false">IF(ISNUMBER(E33),E33,D33)</f>
        <v>1</v>
      </c>
      <c r="G33" s="68" t="str">
        <f aca="false">IF(ISNUMBER(E33),"Calibrated","Provisional – calibrate")</f>
        <v>Provisional – calibrate</v>
      </c>
      <c r="H33" s="68" t="s">
        <v>1182</v>
      </c>
    </row>
    <row r="34" customFormat="false" ht="15" hidden="false" customHeight="false" outlineLevel="0" collapsed="false">
      <c r="A34" s="68" t="str">
        <f aca="false">B34&amp;"|"&amp;C34</f>
        <v>SEAL_PLAN|02</v>
      </c>
      <c r="B34" s="68" t="s">
        <v>1180</v>
      </c>
      <c r="C34" s="68" t="s">
        <v>1183</v>
      </c>
      <c r="D34" s="75" t="n">
        <v>1</v>
      </c>
      <c r="E34" s="76"/>
      <c r="F34" s="77" t="n">
        <f aca="false">IF(ISNUMBER(E34),E34,D34)</f>
        <v>1</v>
      </c>
      <c r="G34" s="68" t="str">
        <f aca="false">IF(ISNUMBER(E34),"Calibrated","Provisional – calibrate")</f>
        <v>Provisional – calibrate</v>
      </c>
      <c r="H34" s="68" t="s">
        <v>1182</v>
      </c>
    </row>
    <row r="35" customFormat="false" ht="15" hidden="false" customHeight="false" outlineLevel="0" collapsed="false">
      <c r="A35" s="68" t="str">
        <f aca="false">B35&amp;"|"&amp;C35</f>
        <v>SEAL_PLAN|11</v>
      </c>
      <c r="B35" s="68" t="s">
        <v>1180</v>
      </c>
      <c r="C35" s="68" t="s">
        <v>1184</v>
      </c>
      <c r="D35" s="75" t="n">
        <v>1</v>
      </c>
      <c r="E35" s="76"/>
      <c r="F35" s="77" t="n">
        <f aca="false">IF(ISNUMBER(E35),E35,D35)</f>
        <v>1</v>
      </c>
      <c r="G35" s="68" t="str">
        <f aca="false">IF(ISNUMBER(E35),"Calibrated","Provisional – calibrate")</f>
        <v>Provisional – calibrate</v>
      </c>
      <c r="H35" s="68" t="s">
        <v>1185</v>
      </c>
    </row>
    <row r="36" customFormat="false" ht="15" hidden="false" customHeight="false" outlineLevel="0" collapsed="false">
      <c r="A36" s="68" t="str">
        <f aca="false">B36&amp;"|"&amp;C36</f>
        <v>SEAL_PLAN|13</v>
      </c>
      <c r="B36" s="68" t="s">
        <v>1180</v>
      </c>
      <c r="C36" s="68" t="s">
        <v>1186</v>
      </c>
      <c r="D36" s="75" t="n">
        <v>1</v>
      </c>
      <c r="E36" s="76"/>
      <c r="F36" s="77" t="n">
        <f aca="false">IF(ISNUMBER(E36),E36,D36)</f>
        <v>1</v>
      </c>
      <c r="G36" s="68" t="str">
        <f aca="false">IF(ISNUMBER(E36),"Calibrated","Provisional – calibrate")</f>
        <v>Provisional – calibrate</v>
      </c>
      <c r="H36" s="68" t="s">
        <v>1182</v>
      </c>
    </row>
    <row r="37" customFormat="false" ht="15" hidden="false" customHeight="false" outlineLevel="0" collapsed="false">
      <c r="A37" s="68" t="str">
        <f aca="false">B37&amp;"|"&amp;C37</f>
        <v>SEAL_PLAN|14</v>
      </c>
      <c r="B37" s="68" t="s">
        <v>1180</v>
      </c>
      <c r="C37" s="68" t="s">
        <v>1187</v>
      </c>
      <c r="D37" s="75" t="n">
        <v>1</v>
      </c>
      <c r="E37" s="76"/>
      <c r="F37" s="77" t="n">
        <f aca="false">IF(ISNUMBER(E37),E37,D37)</f>
        <v>1</v>
      </c>
      <c r="G37" s="68" t="str">
        <f aca="false">IF(ISNUMBER(E37),"Calibrated","Provisional – calibrate")</f>
        <v>Provisional – calibrate</v>
      </c>
      <c r="H37" s="68" t="s">
        <v>1182</v>
      </c>
    </row>
    <row r="38" customFormat="false" ht="15" hidden="false" customHeight="false" outlineLevel="0" collapsed="false">
      <c r="A38" s="68" t="str">
        <f aca="false">B38&amp;"|"&amp;C38</f>
        <v>SEAL_PLAN|21</v>
      </c>
      <c r="B38" s="68" t="s">
        <v>1180</v>
      </c>
      <c r="C38" s="68" t="s">
        <v>1188</v>
      </c>
      <c r="D38" s="75" t="n">
        <v>1.01</v>
      </c>
      <c r="E38" s="76"/>
      <c r="F38" s="77" t="n">
        <f aca="false">IF(ISNUMBER(E38),E38,D38)</f>
        <v>1.01</v>
      </c>
      <c r="G38" s="68" t="str">
        <f aca="false">IF(ISNUMBER(E38),"Calibrated","Provisional – calibrate")</f>
        <v>Provisional – calibrate</v>
      </c>
      <c r="H38" s="68" t="s">
        <v>1182</v>
      </c>
    </row>
    <row r="39" customFormat="false" ht="15" hidden="false" customHeight="false" outlineLevel="0" collapsed="false">
      <c r="A39" s="68" t="str">
        <f aca="false">B39&amp;"|"&amp;C39</f>
        <v>SEAL_PLAN|23</v>
      </c>
      <c r="B39" s="68" t="s">
        <v>1180</v>
      </c>
      <c r="C39" s="68" t="s">
        <v>1189</v>
      </c>
      <c r="D39" s="75" t="n">
        <v>1.03</v>
      </c>
      <c r="E39" s="76"/>
      <c r="F39" s="77" t="n">
        <f aca="false">IF(ISNUMBER(E39),E39,D39)</f>
        <v>1.03</v>
      </c>
      <c r="G39" s="68" t="str">
        <f aca="false">IF(ISNUMBER(E39),"Calibrated","Provisional – calibrate")</f>
        <v>Provisional – calibrate</v>
      </c>
      <c r="H39" s="68" t="s">
        <v>1182</v>
      </c>
    </row>
    <row r="40" customFormat="false" ht="15" hidden="false" customHeight="false" outlineLevel="0" collapsed="false">
      <c r="A40" s="68" t="str">
        <f aca="false">B40&amp;"|"&amp;C40</f>
        <v>SEAL_PLAN|32</v>
      </c>
      <c r="B40" s="68" t="s">
        <v>1180</v>
      </c>
      <c r="C40" s="68" t="s">
        <v>1190</v>
      </c>
      <c r="D40" s="75" t="n">
        <v>1.02</v>
      </c>
      <c r="E40" s="76"/>
      <c r="F40" s="77" t="n">
        <f aca="false">IF(ISNUMBER(E40),E40,D40)</f>
        <v>1.02</v>
      </c>
      <c r="G40" s="68" t="str">
        <f aca="false">IF(ISNUMBER(E40),"Calibrated","Provisional – calibrate")</f>
        <v>Provisional – calibrate</v>
      </c>
      <c r="H40" s="68" t="s">
        <v>1182</v>
      </c>
    </row>
    <row r="41" customFormat="false" ht="15" hidden="false" customHeight="false" outlineLevel="0" collapsed="false">
      <c r="A41" s="68" t="str">
        <f aca="false">B41&amp;"|"&amp;C41</f>
        <v>SEAL_PLAN|52</v>
      </c>
      <c r="B41" s="68" t="s">
        <v>1180</v>
      </c>
      <c r="C41" s="68" t="s">
        <v>1191</v>
      </c>
      <c r="D41" s="75" t="n">
        <v>1.04</v>
      </c>
      <c r="E41" s="76"/>
      <c r="F41" s="77" t="n">
        <f aca="false">IF(ISNUMBER(E41),E41,D41)</f>
        <v>1.04</v>
      </c>
      <c r="G41" s="68" t="str">
        <f aca="false">IF(ISNUMBER(E41),"Calibrated","Provisional – calibrate")</f>
        <v>Provisional – calibrate</v>
      </c>
      <c r="H41" s="68" t="s">
        <v>1182</v>
      </c>
    </row>
    <row r="42" customFormat="false" ht="15" hidden="false" customHeight="false" outlineLevel="0" collapsed="false">
      <c r="A42" s="68" t="str">
        <f aca="false">B42&amp;"|"&amp;C42</f>
        <v>SEAL_PLAN|53A</v>
      </c>
      <c r="B42" s="68" t="s">
        <v>1180</v>
      </c>
      <c r="C42" s="68" t="s">
        <v>1192</v>
      </c>
      <c r="D42" s="75" t="n">
        <v>1.06</v>
      </c>
      <c r="E42" s="76"/>
      <c r="F42" s="77" t="n">
        <f aca="false">IF(ISNUMBER(E42),E42,D42)</f>
        <v>1.06</v>
      </c>
      <c r="G42" s="68" t="str">
        <f aca="false">IF(ISNUMBER(E42),"Calibrated","Provisional – calibrate")</f>
        <v>Provisional – calibrate</v>
      </c>
      <c r="H42" s="68" t="s">
        <v>1182</v>
      </c>
    </row>
    <row r="43" customFormat="false" ht="15" hidden="false" customHeight="false" outlineLevel="0" collapsed="false">
      <c r="A43" s="68" t="str">
        <f aca="false">B43&amp;"|"&amp;C43</f>
        <v>SEAL_PLAN|53B</v>
      </c>
      <c r="B43" s="68" t="s">
        <v>1180</v>
      </c>
      <c r="C43" s="68" t="s">
        <v>1193</v>
      </c>
      <c r="D43" s="75" t="n">
        <v>1.1</v>
      </c>
      <c r="E43" s="76"/>
      <c r="F43" s="77" t="n">
        <f aca="false">IF(ISNUMBER(E43),E43,D43)</f>
        <v>1.1</v>
      </c>
      <c r="G43" s="68" t="str">
        <f aca="false">IF(ISNUMBER(E43),"Calibrated","Provisional – calibrate")</f>
        <v>Provisional – calibrate</v>
      </c>
      <c r="H43" s="68" t="s">
        <v>1182</v>
      </c>
    </row>
    <row r="44" customFormat="false" ht="15" hidden="false" customHeight="false" outlineLevel="0" collapsed="false">
      <c r="A44" s="68" t="str">
        <f aca="false">B44&amp;"|"&amp;C44</f>
        <v>SEAL_PLAN|53C</v>
      </c>
      <c r="B44" s="68" t="s">
        <v>1180</v>
      </c>
      <c r="C44" s="68" t="s">
        <v>1194</v>
      </c>
      <c r="D44" s="75" t="n">
        <v>1.1</v>
      </c>
      <c r="E44" s="76"/>
      <c r="F44" s="77" t="n">
        <f aca="false">IF(ISNUMBER(E44),E44,D44)</f>
        <v>1.1</v>
      </c>
      <c r="G44" s="68" t="str">
        <f aca="false">IF(ISNUMBER(E44),"Calibrated","Provisional – calibrate")</f>
        <v>Provisional – calibrate</v>
      </c>
      <c r="H44" s="68" t="s">
        <v>1182</v>
      </c>
    </row>
    <row r="45" customFormat="false" ht="15" hidden="false" customHeight="false" outlineLevel="0" collapsed="false">
      <c r="A45" s="68" t="str">
        <f aca="false">B45&amp;"|"&amp;C45</f>
        <v>SEAL_PLAN|54</v>
      </c>
      <c r="B45" s="68" t="s">
        <v>1180</v>
      </c>
      <c r="C45" s="68" t="s">
        <v>1195</v>
      </c>
      <c r="D45" s="75" t="n">
        <v>1.18</v>
      </c>
      <c r="E45" s="76"/>
      <c r="F45" s="77" t="n">
        <f aca="false">IF(ISNUMBER(E45),E45,D45)</f>
        <v>1.18</v>
      </c>
      <c r="G45" s="68" t="str">
        <f aca="false">IF(ISNUMBER(E45),"Calibrated","Provisional – calibrate")</f>
        <v>Provisional – calibrate</v>
      </c>
      <c r="H45" s="68" t="s">
        <v>1182</v>
      </c>
    </row>
    <row r="46" customFormat="false" ht="15" hidden="false" customHeight="false" outlineLevel="0" collapsed="false">
      <c r="A46" s="68" t="str">
        <f aca="false">B46&amp;"|"&amp;C46</f>
        <v>SEAL_PLAN|62</v>
      </c>
      <c r="B46" s="68" t="s">
        <v>1180</v>
      </c>
      <c r="C46" s="68" t="s">
        <v>1196</v>
      </c>
      <c r="D46" s="75" t="n">
        <v>1.02</v>
      </c>
      <c r="E46" s="76"/>
      <c r="F46" s="77" t="n">
        <f aca="false">IF(ISNUMBER(E46),E46,D46)</f>
        <v>1.02</v>
      </c>
      <c r="G46" s="68" t="str">
        <f aca="false">IF(ISNUMBER(E46),"Calibrated","Provisional – calibrate")</f>
        <v>Provisional – calibrate</v>
      </c>
      <c r="H46" s="68" t="s">
        <v>1182</v>
      </c>
    </row>
    <row r="47" customFormat="false" ht="15" hidden="false" customHeight="false" outlineLevel="0" collapsed="false">
      <c r="A47" s="68" t="str">
        <f aca="false">B47&amp;"|"&amp;C47</f>
        <v>SEAL_PLAN|65A</v>
      </c>
      <c r="B47" s="68" t="s">
        <v>1180</v>
      </c>
      <c r="C47" s="68" t="s">
        <v>1197</v>
      </c>
      <c r="D47" s="75" t="n">
        <v>1.01</v>
      </c>
      <c r="E47" s="76"/>
      <c r="F47" s="77" t="n">
        <f aca="false">IF(ISNUMBER(E47),E47,D47)</f>
        <v>1.01</v>
      </c>
      <c r="G47" s="68" t="str">
        <f aca="false">IF(ISNUMBER(E47),"Calibrated","Provisional – calibrate")</f>
        <v>Provisional – calibrate</v>
      </c>
      <c r="H47" s="68" t="s">
        <v>1182</v>
      </c>
    </row>
    <row r="48" customFormat="false" ht="15" hidden="false" customHeight="false" outlineLevel="0" collapsed="false">
      <c r="A48" s="68" t="str">
        <f aca="false">B48&amp;"|"&amp;C48</f>
        <v>SEAL_PLAN|72/76</v>
      </c>
      <c r="B48" s="68" t="s">
        <v>1180</v>
      </c>
      <c r="C48" s="68" t="s">
        <v>1198</v>
      </c>
      <c r="D48" s="75" t="n">
        <v>1.04</v>
      </c>
      <c r="E48" s="76"/>
      <c r="F48" s="77" t="n">
        <f aca="false">IF(ISNUMBER(E48),E48,D48)</f>
        <v>1.04</v>
      </c>
      <c r="G48" s="68" t="str">
        <f aca="false">IF(ISNUMBER(E48),"Calibrated","Provisional – calibrate")</f>
        <v>Provisional – calibrate</v>
      </c>
      <c r="H48" s="68" t="s">
        <v>1182</v>
      </c>
    </row>
    <row r="49" customFormat="false" ht="15" hidden="false" customHeight="false" outlineLevel="0" collapsed="false">
      <c r="A49" s="68" t="str">
        <f aca="false">B49&amp;"|"&amp;C49</f>
        <v>SEAL_PLAN|11+52</v>
      </c>
      <c r="B49" s="68" t="s">
        <v>1180</v>
      </c>
      <c r="C49" s="68" t="s">
        <v>848</v>
      </c>
      <c r="D49" s="75" t="n">
        <v>1.04</v>
      </c>
      <c r="E49" s="76"/>
      <c r="F49" s="77" t="n">
        <f aca="false">IF(ISNUMBER(E49),E49,D49)</f>
        <v>1.04</v>
      </c>
      <c r="G49" s="68" t="str">
        <f aca="false">IF(ISNUMBER(E49),"Calibrated","Provisional – calibrate")</f>
        <v>Provisional – calibrate</v>
      </c>
      <c r="H49" s="68" t="s">
        <v>1182</v>
      </c>
    </row>
    <row r="50" customFormat="false" ht="15" hidden="false" customHeight="false" outlineLevel="0" collapsed="false">
      <c r="A50" s="68" t="str">
        <f aca="false">B50&amp;"|"&amp;C50</f>
        <v>SEAL_PLAN|11+53B</v>
      </c>
      <c r="B50" s="68" t="s">
        <v>1180</v>
      </c>
      <c r="C50" s="68" t="s">
        <v>1199</v>
      </c>
      <c r="D50" s="75" t="n">
        <v>1.1</v>
      </c>
      <c r="E50" s="76"/>
      <c r="F50" s="77" t="n">
        <f aca="false">IF(ISNUMBER(E50),E50,D50)</f>
        <v>1.1</v>
      </c>
      <c r="G50" s="68" t="str">
        <f aca="false">IF(ISNUMBER(E50),"Calibrated","Provisional – calibrate")</f>
        <v>Provisional – calibrate</v>
      </c>
      <c r="H50" s="68" t="s">
        <v>1182</v>
      </c>
    </row>
    <row r="51" customFormat="false" ht="15" hidden="false" customHeight="false" outlineLevel="0" collapsed="false">
      <c r="A51" s="68" t="str">
        <f aca="false">B51&amp;"|"&amp;C51</f>
        <v>SEAL_PLAN|23+53B</v>
      </c>
      <c r="B51" s="68" t="s">
        <v>1180</v>
      </c>
      <c r="C51" s="68" t="s">
        <v>1200</v>
      </c>
      <c r="D51" s="75" t="n">
        <v>1.12</v>
      </c>
      <c r="E51" s="76"/>
      <c r="F51" s="77" t="n">
        <f aca="false">IF(ISNUMBER(E51),E51,D51)</f>
        <v>1.12</v>
      </c>
      <c r="G51" s="68" t="str">
        <f aca="false">IF(ISNUMBER(E51),"Calibrated","Provisional – calibrate")</f>
        <v>Provisional – calibrate</v>
      </c>
      <c r="H51" s="68" t="s">
        <v>1182</v>
      </c>
    </row>
    <row r="52" customFormat="false" ht="15" hidden="false" customHeight="false" outlineLevel="0" collapsed="false">
      <c r="A52" s="68" t="str">
        <f aca="false">B52&amp;"|"&amp;C52</f>
        <v>SEAL_PLAN|N/A</v>
      </c>
      <c r="B52" s="68" t="s">
        <v>1180</v>
      </c>
      <c r="C52" s="68" t="s">
        <v>1179</v>
      </c>
      <c r="D52" s="75" t="n">
        <v>1</v>
      </c>
      <c r="E52" s="76"/>
      <c r="F52" s="77" t="n">
        <f aca="false">IF(ISNUMBER(E52),E52,D52)</f>
        <v>1</v>
      </c>
      <c r="G52" s="68" t="str">
        <f aca="false">IF(ISNUMBER(E52),"Calibrated","Provisional – calibrate")</f>
        <v>Provisional – calibrate</v>
      </c>
      <c r="H52" s="68" t="s">
        <v>1182</v>
      </c>
    </row>
    <row r="53" customFormat="false" ht="15" hidden="false" customHeight="false" outlineLevel="0" collapsed="false">
      <c r="A53" s="68" t="str">
        <f aca="false">B53&amp;"|"&amp;C53</f>
        <v>SEAL_PLAN|Not stated</v>
      </c>
      <c r="B53" s="68" t="s">
        <v>1180</v>
      </c>
      <c r="C53" s="68" t="s">
        <v>123</v>
      </c>
      <c r="D53" s="75" t="n">
        <v>1</v>
      </c>
      <c r="E53" s="76"/>
      <c r="F53" s="77" t="n">
        <f aca="false">IF(ISNUMBER(E53),E53,D53)</f>
        <v>1</v>
      </c>
      <c r="G53" s="68" t="str">
        <f aca="false">IF(ISNUMBER(E53),"Calibrated","Provisional – calibrate")</f>
        <v>Provisional – calibrate</v>
      </c>
      <c r="H53" s="68" t="s">
        <v>1201</v>
      </c>
    </row>
    <row r="54" customFormat="false" ht="15" hidden="false" customHeight="false" outlineLevel="0" collapsed="false">
      <c r="A54" s="68" t="str">
        <f aca="false">B54&amp;"|"&amp;C54</f>
        <v>DRV|Electric Motor</v>
      </c>
      <c r="B54" s="68" t="s">
        <v>1202</v>
      </c>
      <c r="C54" s="68" t="s">
        <v>304</v>
      </c>
      <c r="D54" s="75" t="n">
        <v>1</v>
      </c>
      <c r="E54" s="76"/>
      <c r="F54" s="77" t="n">
        <f aca="false">IF(ISNUMBER(E54),E54,D54)</f>
        <v>1</v>
      </c>
      <c r="G54" s="68" t="str">
        <f aca="false">IF(ISNUMBER(E54),"Calibrated","Provisional – calibrate")</f>
        <v>Provisional – calibrate</v>
      </c>
      <c r="H54" s="68" t="s">
        <v>1203</v>
      </c>
    </row>
    <row r="55" customFormat="false" ht="15" hidden="false" customHeight="false" outlineLevel="0" collapsed="false">
      <c r="A55" s="68" t="str">
        <f aca="false">B55&amp;"|"&amp;C55</f>
        <v>DRV|Diesel Engine</v>
      </c>
      <c r="B55" s="68" t="s">
        <v>1202</v>
      </c>
      <c r="C55" s="68" t="s">
        <v>460</v>
      </c>
      <c r="D55" s="75" t="n">
        <v>1.35</v>
      </c>
      <c r="E55" s="76"/>
      <c r="F55" s="77" t="n">
        <f aca="false">IF(ISNUMBER(E55),E55,D55)</f>
        <v>1.35</v>
      </c>
      <c r="G55" s="68" t="str">
        <f aca="false">IF(ISNUMBER(E55),"Calibrated","Provisional – calibrate")</f>
        <v>Provisional – calibrate</v>
      </c>
      <c r="H55" s="68" t="s">
        <v>1204</v>
      </c>
    </row>
    <row r="56" customFormat="false" ht="15" hidden="false" customHeight="false" outlineLevel="0" collapsed="false">
      <c r="A56" s="68" t="str">
        <f aca="false">B56&amp;"|"&amp;C56</f>
        <v>DRV|Steam Turbine</v>
      </c>
      <c r="B56" s="68" t="s">
        <v>1202</v>
      </c>
      <c r="C56" s="68" t="s">
        <v>1205</v>
      </c>
      <c r="D56" s="75" t="n">
        <v>1.6</v>
      </c>
      <c r="E56" s="76"/>
      <c r="F56" s="77" t="n">
        <f aca="false">IF(ISNUMBER(E56),E56,D56)</f>
        <v>1.6</v>
      </c>
      <c r="G56" s="68" t="str">
        <f aca="false">IF(ISNUMBER(E56),"Calibrated","Provisional – calibrate")</f>
        <v>Provisional – calibrate</v>
      </c>
      <c r="H56" s="68" t="s">
        <v>1204</v>
      </c>
    </row>
    <row r="57" customFormat="false" ht="15" hidden="false" customHeight="false" outlineLevel="0" collapsed="false">
      <c r="A57" s="68" t="str">
        <f aca="false">B57&amp;"|"&amp;C57</f>
        <v>DRV|Air / Pneumatic</v>
      </c>
      <c r="B57" s="68" t="s">
        <v>1202</v>
      </c>
      <c r="C57" s="68" t="s">
        <v>1206</v>
      </c>
      <c r="D57" s="75" t="n">
        <v>0.9</v>
      </c>
      <c r="E57" s="76"/>
      <c r="F57" s="77" t="n">
        <f aca="false">IF(ISNUMBER(E57),E57,D57)</f>
        <v>0.9</v>
      </c>
      <c r="G57" s="68" t="str">
        <f aca="false">IF(ISNUMBER(E57),"Calibrated","Provisional – calibrate")</f>
        <v>Provisional – calibrate</v>
      </c>
      <c r="H57" s="68" t="s">
        <v>1204</v>
      </c>
    </row>
    <row r="58" customFormat="false" ht="15" hidden="false" customHeight="false" outlineLevel="0" collapsed="false">
      <c r="A58" s="68" t="str">
        <f aca="false">B58&amp;"|"&amp;C58</f>
        <v>DRV|Portable (Air / Electric)</v>
      </c>
      <c r="B58" s="68" t="s">
        <v>1202</v>
      </c>
      <c r="C58" s="68" t="s">
        <v>752</v>
      </c>
      <c r="D58" s="75" t="n">
        <v>1</v>
      </c>
      <c r="E58" s="76"/>
      <c r="F58" s="77" t="n">
        <f aca="false">IF(ISNUMBER(E58),E58,D58)</f>
        <v>1</v>
      </c>
      <c r="G58" s="68" t="str">
        <f aca="false">IF(ISNUMBER(E58),"Calibrated","Provisional – calibrate")</f>
        <v>Provisional – calibrate</v>
      </c>
      <c r="H58" s="68" t="s">
        <v>1204</v>
      </c>
    </row>
    <row r="59" customFormat="false" ht="15" hidden="false" customHeight="false" outlineLevel="0" collapsed="false">
      <c r="A59" s="68" t="str">
        <f aca="false">B59&amp;"|"&amp;C59</f>
        <v>DRV|Not stated</v>
      </c>
      <c r="B59" s="68" t="s">
        <v>1202</v>
      </c>
      <c r="C59" s="68" t="s">
        <v>123</v>
      </c>
      <c r="D59" s="75" t="n">
        <v>1</v>
      </c>
      <c r="E59" s="76"/>
      <c r="F59" s="77" t="n">
        <f aca="false">IF(ISNUMBER(E59),E59,D59)</f>
        <v>1</v>
      </c>
      <c r="G59" s="68" t="str">
        <f aca="false">IF(ISNUMBER(E59),"Calibrated","Provisional – calibrate")</f>
        <v>Provisional – calibrate</v>
      </c>
      <c r="H59" s="68" t="s">
        <v>1204</v>
      </c>
    </row>
    <row r="60" customFormat="false" ht="15" hidden="false" customHeight="false" outlineLevel="0" collapsed="false">
      <c r="A60" s="68" t="str">
        <f aca="false">B60&amp;"|"&amp;C60</f>
        <v>NACE|Y</v>
      </c>
      <c r="B60" s="68" t="s">
        <v>1207</v>
      </c>
      <c r="C60" s="68" t="s">
        <v>369</v>
      </c>
      <c r="D60" s="75" t="n">
        <v>1.05</v>
      </c>
      <c r="E60" s="76"/>
      <c r="F60" s="77" t="n">
        <f aca="false">IF(ISNUMBER(E60),E60,D60)</f>
        <v>1.05</v>
      </c>
      <c r="G60" s="68" t="str">
        <f aca="false">IF(ISNUMBER(E60),"Calibrated","Provisional – calibrate")</f>
        <v>Provisional – calibrate</v>
      </c>
      <c r="H60" s="68" t="s">
        <v>1208</v>
      </c>
    </row>
    <row r="61" customFormat="false" ht="15" hidden="false" customHeight="false" outlineLevel="0" collapsed="false">
      <c r="A61" s="68" t="str">
        <f aca="false">B61&amp;"|"&amp;C61</f>
        <v>NACE|N</v>
      </c>
      <c r="B61" s="68" t="s">
        <v>1207</v>
      </c>
      <c r="C61" s="68" t="s">
        <v>312</v>
      </c>
      <c r="D61" s="75" t="n">
        <v>1</v>
      </c>
      <c r="E61" s="76"/>
      <c r="F61" s="77" t="n">
        <f aca="false">IF(ISNUMBER(E61),E61,D61)</f>
        <v>1</v>
      </c>
      <c r="G61" s="68" t="str">
        <f aca="false">IF(ISNUMBER(E61),"Calibrated","Provisional – calibrate")</f>
        <v>Provisional – calibrate</v>
      </c>
      <c r="H61" s="68" t="s">
        <v>1209</v>
      </c>
    </row>
    <row r="62" customFormat="false" ht="15" hidden="false" customHeight="false" outlineLevel="0" collapsed="false">
      <c r="A62" s="68" t="str">
        <f aca="false">B62&amp;"|"&amp;C62</f>
        <v>NACE|Not stated</v>
      </c>
      <c r="B62" s="68" t="s">
        <v>1207</v>
      </c>
      <c r="C62" s="68" t="s">
        <v>123</v>
      </c>
      <c r="D62" s="75" t="n">
        <v>1</v>
      </c>
      <c r="E62" s="76"/>
      <c r="F62" s="77" t="n">
        <f aca="false">IF(ISNUMBER(E62),E62,D62)</f>
        <v>1</v>
      </c>
      <c r="G62" s="68" t="str">
        <f aca="false">IF(ISNUMBER(E62),"Calibrated","Provisional – calibrate")</f>
        <v>Provisional – calibrate</v>
      </c>
      <c r="H62" s="68" t="s">
        <v>1208</v>
      </c>
    </row>
    <row r="63" customFormat="false" ht="15" hidden="false" customHeight="false" outlineLevel="0" collapsed="false">
      <c r="A63" s="68" t="str">
        <f aca="false">B63&amp;"|"&amp;C63</f>
        <v>SC_DRV|Y</v>
      </c>
      <c r="B63" s="68" t="s">
        <v>1210</v>
      </c>
      <c r="C63" s="68" t="s">
        <v>369</v>
      </c>
      <c r="D63" s="75" t="n">
        <v>1</v>
      </c>
      <c r="E63" s="76"/>
      <c r="F63" s="77" t="n">
        <f aca="false">IF(ISNUMBER(E63),E63,D63)</f>
        <v>1</v>
      </c>
      <c r="G63" s="68" t="str">
        <f aca="false">IF(ISNUMBER(E63),"Calibrated","Provisional – calibrate")</f>
        <v>Provisional – calibrate</v>
      </c>
      <c r="H63" s="68" t="s">
        <v>1211</v>
      </c>
    </row>
    <row r="64" customFormat="false" ht="15" hidden="false" customHeight="false" outlineLevel="0" collapsed="false">
      <c r="A64" s="68" t="str">
        <f aca="false">B64&amp;"|"&amp;C64</f>
        <v>SC_DRV|N</v>
      </c>
      <c r="B64" s="68" t="s">
        <v>1210</v>
      </c>
      <c r="C64" s="68" t="s">
        <v>312</v>
      </c>
      <c r="D64" s="75" t="n">
        <v>0.75</v>
      </c>
      <c r="E64" s="76"/>
      <c r="F64" s="77" t="n">
        <f aca="false">IF(ISNUMBER(E64),E64,D64)</f>
        <v>0.75</v>
      </c>
      <c r="G64" s="68" t="str">
        <f aca="false">IF(ISNUMBER(E64),"Calibrated","Provisional – calibrate")</f>
        <v>Provisional – calibrate</v>
      </c>
      <c r="H64" s="68" t="s">
        <v>1212</v>
      </c>
    </row>
    <row r="65" customFormat="false" ht="15" hidden="false" customHeight="false" outlineLevel="0" collapsed="false">
      <c r="A65" s="68" t="str">
        <f aca="false">B65&amp;"|"&amp;C65</f>
        <v>SC_DRV|Not stated</v>
      </c>
      <c r="B65" s="68" t="s">
        <v>1210</v>
      </c>
      <c r="C65" s="68" t="s">
        <v>123</v>
      </c>
      <c r="D65" s="75" t="n">
        <v>1</v>
      </c>
      <c r="E65" s="76"/>
      <c r="F65" s="77" t="n">
        <f aca="false">IF(ISNUMBER(E65),E65,D65)</f>
        <v>1</v>
      </c>
      <c r="G65" s="68" t="str">
        <f aca="false">IF(ISNUMBER(E65),"Calibrated","Provisional – calibrate")</f>
        <v>Provisional – calibrate</v>
      </c>
      <c r="H65" s="68" t="s">
        <v>1213</v>
      </c>
    </row>
    <row r="66" customFormat="false" ht="15" hidden="false" customHeight="false" outlineLevel="0" collapsed="false">
      <c r="A66" s="68" t="str">
        <f aca="false">B66&amp;"|"&amp;C66</f>
        <v>SC_BSP|Y</v>
      </c>
      <c r="B66" s="68" t="s">
        <v>1214</v>
      </c>
      <c r="C66" s="68" t="s">
        <v>369</v>
      </c>
      <c r="D66" s="75" t="n">
        <v>1</v>
      </c>
      <c r="E66" s="76"/>
      <c r="F66" s="77" t="n">
        <f aca="false">IF(ISNUMBER(E66),E66,D66)</f>
        <v>1</v>
      </c>
      <c r="G66" s="68" t="str">
        <f aca="false">IF(ISNUMBER(E66),"Calibrated","Provisional – calibrate")</f>
        <v>Provisional – calibrate</v>
      </c>
      <c r="H66" s="68" t="s">
        <v>1215</v>
      </c>
    </row>
    <row r="67" customFormat="false" ht="15" hidden="false" customHeight="false" outlineLevel="0" collapsed="false">
      <c r="A67" s="68" t="str">
        <f aca="false">B67&amp;"|"&amp;C67</f>
        <v>SC_BSP|N</v>
      </c>
      <c r="B67" s="68" t="s">
        <v>1214</v>
      </c>
      <c r="C67" s="68" t="s">
        <v>312</v>
      </c>
      <c r="D67" s="75" t="n">
        <v>0.95</v>
      </c>
      <c r="E67" s="76"/>
      <c r="F67" s="77" t="n">
        <f aca="false">IF(ISNUMBER(E67),E67,D67)</f>
        <v>0.95</v>
      </c>
      <c r="G67" s="68" t="str">
        <f aca="false">IF(ISNUMBER(E67),"Calibrated","Provisional – calibrate")</f>
        <v>Provisional – calibrate</v>
      </c>
      <c r="H67" s="68" t="s">
        <v>1216</v>
      </c>
    </row>
    <row r="68" customFormat="false" ht="15" hidden="false" customHeight="false" outlineLevel="0" collapsed="false">
      <c r="A68" s="68" t="str">
        <f aca="false">B68&amp;"|"&amp;C68</f>
        <v>SC_BSP|Not stated</v>
      </c>
      <c r="B68" s="68" t="s">
        <v>1214</v>
      </c>
      <c r="C68" s="68" t="s">
        <v>123</v>
      </c>
      <c r="D68" s="75" t="n">
        <v>1</v>
      </c>
      <c r="E68" s="76"/>
      <c r="F68" s="77" t="n">
        <f aca="false">IF(ISNUMBER(E68),E68,D68)</f>
        <v>1</v>
      </c>
      <c r="G68" s="68" t="str">
        <f aca="false">IF(ISNUMBER(E68),"Calibrated","Provisional – calibrate")</f>
        <v>Provisional – calibrate</v>
      </c>
      <c r="H68" s="68" t="s">
        <v>1216</v>
      </c>
    </row>
    <row r="69" customFormat="false" ht="15" hidden="false" customHeight="false" outlineLevel="0" collapsed="false">
      <c r="A69" s="68" t="str">
        <f aca="false">B69&amp;"|"&amp;C69</f>
        <v>SC_SEAL|Y</v>
      </c>
      <c r="B69" s="68" t="s">
        <v>1217</v>
      </c>
      <c r="C69" s="68" t="s">
        <v>369</v>
      </c>
      <c r="D69" s="75" t="n">
        <v>1</v>
      </c>
      <c r="E69" s="76"/>
      <c r="F69" s="77" t="n">
        <f aca="false">IF(ISNUMBER(E69),E69,D69)</f>
        <v>1</v>
      </c>
      <c r="G69" s="68" t="str">
        <f aca="false">IF(ISNUMBER(E69),"Calibrated","Provisional – calibrate")</f>
        <v>Provisional – calibrate</v>
      </c>
      <c r="H69" s="68" t="s">
        <v>1218</v>
      </c>
    </row>
    <row r="70" customFormat="false" ht="15" hidden="false" customHeight="false" outlineLevel="0" collapsed="false">
      <c r="A70" s="68" t="str">
        <f aca="false">B70&amp;"|"&amp;C70</f>
        <v>SC_SEAL|N</v>
      </c>
      <c r="B70" s="68" t="s">
        <v>1217</v>
      </c>
      <c r="C70" s="68" t="s">
        <v>312</v>
      </c>
      <c r="D70" s="75" t="n">
        <v>0.93</v>
      </c>
      <c r="E70" s="76"/>
      <c r="F70" s="77" t="n">
        <f aca="false">IF(ISNUMBER(E70),E70,D70)</f>
        <v>0.93</v>
      </c>
      <c r="G70" s="68" t="str">
        <f aca="false">IF(ISNUMBER(E70),"Calibrated","Provisional – calibrate")</f>
        <v>Provisional – calibrate</v>
      </c>
      <c r="H70" s="68" t="s">
        <v>1219</v>
      </c>
    </row>
    <row r="71" customFormat="false" ht="15" hidden="false" customHeight="false" outlineLevel="0" collapsed="false">
      <c r="A71" s="68" t="str">
        <f aca="false">B71&amp;"|"&amp;C71</f>
        <v>SC_SEAL|Not stated</v>
      </c>
      <c r="B71" s="68" t="s">
        <v>1217</v>
      </c>
      <c r="C71" s="68" t="s">
        <v>123</v>
      </c>
      <c r="D71" s="75" t="n">
        <v>1</v>
      </c>
      <c r="E71" s="76"/>
      <c r="F71" s="77" t="n">
        <f aca="false">IF(ISNUMBER(E71),E71,D71)</f>
        <v>1</v>
      </c>
      <c r="G71" s="68" t="str">
        <f aca="false">IF(ISNUMBER(E71),"Calibrated","Provisional – calibrate")</f>
        <v>Provisional – calibrate</v>
      </c>
      <c r="H71" s="68" t="s">
        <v>1219</v>
      </c>
    </row>
    <row r="72" customFormat="false" ht="15" hidden="false" customHeight="false" outlineLevel="0" collapsed="false">
      <c r="A72" s="68" t="str">
        <f aca="false">B72&amp;"|"&amp;C72</f>
        <v>SC_COMM|Y</v>
      </c>
      <c r="B72" s="68" t="s">
        <v>1220</v>
      </c>
      <c r="C72" s="68" t="s">
        <v>369</v>
      </c>
      <c r="D72" s="75" t="n">
        <v>1</v>
      </c>
      <c r="E72" s="76"/>
      <c r="F72" s="77" t="n">
        <f aca="false">IF(ISNUMBER(E72),E72,D72)</f>
        <v>1</v>
      </c>
      <c r="G72" s="68" t="str">
        <f aca="false">IF(ISNUMBER(E72),"Calibrated","Provisional – calibrate")</f>
        <v>Provisional – calibrate</v>
      </c>
      <c r="H72" s="68" t="s">
        <v>1221</v>
      </c>
    </row>
    <row r="73" customFormat="false" ht="15" hidden="false" customHeight="false" outlineLevel="0" collapsed="false">
      <c r="A73" s="68" t="str">
        <f aca="false">B73&amp;"|"&amp;C73</f>
        <v>SC_COMM|N</v>
      </c>
      <c r="B73" s="68" t="s">
        <v>1220</v>
      </c>
      <c r="C73" s="68" t="s">
        <v>312</v>
      </c>
      <c r="D73" s="75" t="n">
        <v>0.98</v>
      </c>
      <c r="E73" s="76"/>
      <c r="F73" s="77" t="n">
        <f aca="false">IF(ISNUMBER(E73),E73,D73)</f>
        <v>0.98</v>
      </c>
      <c r="G73" s="68" t="str">
        <f aca="false">IF(ISNUMBER(E73),"Calibrated","Provisional – calibrate")</f>
        <v>Provisional – calibrate</v>
      </c>
      <c r="H73" s="68" t="s">
        <v>1222</v>
      </c>
    </row>
    <row r="74" customFormat="false" ht="15" hidden="false" customHeight="false" outlineLevel="0" collapsed="false">
      <c r="A74" s="68" t="str">
        <f aca="false">B74&amp;"|"&amp;C74</f>
        <v>SC_COMM|Not stated</v>
      </c>
      <c r="B74" s="68" t="s">
        <v>1220</v>
      </c>
      <c r="C74" s="68" t="s">
        <v>123</v>
      </c>
      <c r="D74" s="75" t="n">
        <v>1</v>
      </c>
      <c r="E74" s="76"/>
      <c r="F74" s="77" t="n">
        <f aca="false">IF(ISNUMBER(E74),E74,D74)</f>
        <v>1</v>
      </c>
      <c r="G74" s="68" t="str">
        <f aca="false">IF(ISNUMBER(E74),"Calibrated","Provisional – calibrate")</f>
        <v>Provisional – calibrate</v>
      </c>
      <c r="H74" s="68" t="s">
        <v>1222</v>
      </c>
    </row>
    <row r="75" customFormat="false" ht="15" hidden="false" customHeight="false" outlineLevel="0" collapsed="false">
      <c r="A75" s="68" t="str">
        <f aca="false">B75&amp;"|"&amp;C75</f>
        <v>SC_2Y|Y</v>
      </c>
      <c r="B75" s="68" t="s">
        <v>1223</v>
      </c>
      <c r="C75" s="68" t="s">
        <v>369</v>
      </c>
      <c r="D75" s="75" t="n">
        <v>1.08</v>
      </c>
      <c r="E75" s="76"/>
      <c r="F75" s="77" t="n">
        <f aca="false">IF(ISNUMBER(E75),E75,D75)</f>
        <v>1.08</v>
      </c>
      <c r="G75" s="68" t="str">
        <f aca="false">IF(ISNUMBER(E75),"Calibrated","Provisional – calibrate")</f>
        <v>Provisional – calibrate</v>
      </c>
      <c r="H75" s="68" t="s">
        <v>1224</v>
      </c>
    </row>
    <row r="76" customFormat="false" ht="15" hidden="false" customHeight="false" outlineLevel="0" collapsed="false">
      <c r="A76" s="68" t="str">
        <f aca="false">B76&amp;"|"&amp;C76</f>
        <v>SC_2Y|N</v>
      </c>
      <c r="B76" s="68" t="s">
        <v>1223</v>
      </c>
      <c r="C76" s="68" t="s">
        <v>312</v>
      </c>
      <c r="D76" s="75" t="n">
        <v>1</v>
      </c>
      <c r="E76" s="76"/>
      <c r="F76" s="77" t="n">
        <f aca="false">IF(ISNUMBER(E76),E76,D76)</f>
        <v>1</v>
      </c>
      <c r="G76" s="68" t="str">
        <f aca="false">IF(ISNUMBER(E76),"Calibrated","Provisional – calibrate")</f>
        <v>Provisional – calibrate</v>
      </c>
      <c r="H76" s="68" t="s">
        <v>1225</v>
      </c>
    </row>
    <row r="77" customFormat="false" ht="15" hidden="false" customHeight="false" outlineLevel="0" collapsed="false">
      <c r="A77" s="68" t="str">
        <f aca="false">B77&amp;"|"&amp;C77</f>
        <v>SC_2Y|Not stated</v>
      </c>
      <c r="B77" s="68" t="s">
        <v>1223</v>
      </c>
      <c r="C77" s="68" t="s">
        <v>123</v>
      </c>
      <c r="D77" s="75" t="n">
        <v>1</v>
      </c>
      <c r="E77" s="76"/>
      <c r="F77" s="77" t="n">
        <f aca="false">IF(ISNUMBER(E77),E77,D77)</f>
        <v>1</v>
      </c>
      <c r="G77" s="68" t="str">
        <f aca="false">IF(ISNUMBER(E77),"Calibrated","Provisional – calibrate")</f>
        <v>Provisional – calibrate</v>
      </c>
      <c r="H77" s="68" t="s">
        <v>1224</v>
      </c>
    </row>
    <row r="78" customFormat="false" ht="15" hidden="false" customHeight="false" outlineLevel="0" collapsed="false">
      <c r="A78" s="68" t="str">
        <f aca="false">B78&amp;"|"&amp;C78</f>
        <v>SC_TPI|Y</v>
      </c>
      <c r="B78" s="68" t="s">
        <v>1226</v>
      </c>
      <c r="C78" s="68" t="s">
        <v>369</v>
      </c>
      <c r="D78" s="75" t="n">
        <v>1.02</v>
      </c>
      <c r="E78" s="76"/>
      <c r="F78" s="77" t="n">
        <f aca="false">IF(ISNUMBER(E78),E78,D78)</f>
        <v>1.02</v>
      </c>
      <c r="G78" s="68" t="str">
        <f aca="false">IF(ISNUMBER(E78),"Calibrated","Provisional – calibrate")</f>
        <v>Provisional – calibrate</v>
      </c>
      <c r="H78" s="68" t="s">
        <v>1227</v>
      </c>
    </row>
    <row r="79" customFormat="false" ht="15" hidden="false" customHeight="false" outlineLevel="0" collapsed="false">
      <c r="A79" s="68" t="str">
        <f aca="false">B79&amp;"|"&amp;C79</f>
        <v>SC_TPI|N</v>
      </c>
      <c r="B79" s="68" t="s">
        <v>1226</v>
      </c>
      <c r="C79" s="68" t="s">
        <v>312</v>
      </c>
      <c r="D79" s="75" t="n">
        <v>1</v>
      </c>
      <c r="E79" s="76"/>
      <c r="F79" s="77" t="n">
        <f aca="false">IF(ISNUMBER(E79),E79,D79)</f>
        <v>1</v>
      </c>
      <c r="G79" s="68" t="str">
        <f aca="false">IF(ISNUMBER(E79),"Calibrated","Provisional – calibrate")</f>
        <v>Provisional – calibrate</v>
      </c>
      <c r="H79" s="68" t="s">
        <v>1228</v>
      </c>
    </row>
    <row r="80" customFormat="false" ht="15" hidden="false" customHeight="false" outlineLevel="0" collapsed="false">
      <c r="A80" s="68" t="str">
        <f aca="false">B80&amp;"|"&amp;C80</f>
        <v>SC_TPI|Not stated</v>
      </c>
      <c r="B80" s="68" t="s">
        <v>1226</v>
      </c>
      <c r="C80" s="68" t="s">
        <v>123</v>
      </c>
      <c r="D80" s="75" t="n">
        <v>1</v>
      </c>
      <c r="E80" s="76"/>
      <c r="F80" s="77" t="n">
        <f aca="false">IF(ISNUMBER(E80),E80,D80)</f>
        <v>1</v>
      </c>
      <c r="G80" s="68" t="str">
        <f aca="false">IF(ISNUMBER(E80),"Calibrated","Provisional – calibrate")</f>
        <v>Provisional – calibrate</v>
      </c>
      <c r="H80" s="68" t="s">
        <v>1227</v>
      </c>
    </row>
    <row r="81" customFormat="false" ht="15" hidden="false" customHeight="false" outlineLevel="0" collapsed="false">
      <c r="A81" s="68" t="str">
        <f aca="false">B81&amp;"|"&amp;C81</f>
        <v>SC_FAT|Y</v>
      </c>
      <c r="B81" s="68" t="s">
        <v>1229</v>
      </c>
      <c r="C81" s="68" t="s">
        <v>369</v>
      </c>
      <c r="D81" s="75" t="n">
        <v>1.02</v>
      </c>
      <c r="E81" s="76"/>
      <c r="F81" s="77" t="n">
        <f aca="false">IF(ISNUMBER(E81),E81,D81)</f>
        <v>1.02</v>
      </c>
      <c r="G81" s="68" t="str">
        <f aca="false">IF(ISNUMBER(E81),"Calibrated","Provisional – calibrate")</f>
        <v>Provisional – calibrate</v>
      </c>
      <c r="H81" s="68" t="s">
        <v>1230</v>
      </c>
    </row>
    <row r="82" customFormat="false" ht="15" hidden="false" customHeight="false" outlineLevel="0" collapsed="false">
      <c r="A82" s="68" t="str">
        <f aca="false">B82&amp;"|"&amp;C82</f>
        <v>SC_FAT|N</v>
      </c>
      <c r="B82" s="68" t="s">
        <v>1229</v>
      </c>
      <c r="C82" s="68" t="s">
        <v>312</v>
      </c>
      <c r="D82" s="75" t="n">
        <v>1</v>
      </c>
      <c r="E82" s="76"/>
      <c r="F82" s="77" t="n">
        <f aca="false">IF(ISNUMBER(E82),E82,D82)</f>
        <v>1</v>
      </c>
      <c r="G82" s="68" t="str">
        <f aca="false">IF(ISNUMBER(E82),"Calibrated","Provisional – calibrate")</f>
        <v>Provisional – calibrate</v>
      </c>
      <c r="H82" s="68" t="s">
        <v>1231</v>
      </c>
    </row>
    <row r="83" customFormat="false" ht="15" hidden="false" customHeight="false" outlineLevel="0" collapsed="false">
      <c r="A83" s="68" t="str">
        <f aca="false">B83&amp;"|"&amp;C83</f>
        <v>SC_FAT|Not stated</v>
      </c>
      <c r="B83" s="68" t="s">
        <v>1229</v>
      </c>
      <c r="C83" s="68" t="s">
        <v>123</v>
      </c>
      <c r="D83" s="75" t="n">
        <v>1</v>
      </c>
      <c r="E83" s="76"/>
      <c r="F83" s="77" t="n">
        <f aca="false">IF(ISNUMBER(E83),E83,D83)</f>
        <v>1</v>
      </c>
      <c r="G83" s="68" t="str">
        <f aca="false">IF(ISNUMBER(E83),"Calibrated","Provisional – calibrate")</f>
        <v>Provisional – calibrate</v>
      </c>
      <c r="H83" s="68" t="s">
        <v>1230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27"/>
    <col collapsed="false" customWidth="true" hidden="false" outlineLevel="0" max="3" min="3" style="0" width="18"/>
    <col collapsed="false" customWidth="true" hidden="false" outlineLevel="0" max="4" min="4" style="0" width="14"/>
    <col collapsed="false" customWidth="true" hidden="false" outlineLevel="0" max="5" min="5" style="0" width="30"/>
    <col collapsed="false" customWidth="true" hidden="false" outlineLevel="0" max="6" min="6" style="0" width="19"/>
    <col collapsed="false" customWidth="true" hidden="false" outlineLevel="0" max="7" min="7" style="0" width="18"/>
    <col collapsed="false" customWidth="true" hidden="false" outlineLevel="0" max="8" min="8" style="0" width="10"/>
    <col collapsed="false" customWidth="true" hidden="false" outlineLevel="0" max="9" min="9" style="0" width="12"/>
    <col collapsed="false" customWidth="true" hidden="false" outlineLevel="0" max="10" min="10" style="0" width="10"/>
    <col collapsed="false" customWidth="true" hidden="false" outlineLevel="0" max="11" min="11" style="0" width="14"/>
    <col collapsed="false" customWidth="true" hidden="false" outlineLevel="0" max="12" min="12" style="0" width="26"/>
    <col collapsed="false" customWidth="true" hidden="false" outlineLevel="0" max="13" min="13" style="0" width="22"/>
    <col collapsed="false" customWidth="true" hidden="false" outlineLevel="0" max="15" min="14" style="0" width="21"/>
    <col collapsed="false" customWidth="true" hidden="false" outlineLevel="0" max="17" min="16" style="0" width="10"/>
    <col collapsed="false" customWidth="true" hidden="false" outlineLevel="0" max="18" min="18" style="0" width="18"/>
    <col collapsed="false" customWidth="true" hidden="false" outlineLevel="0" max="19" min="19" style="0" width="28"/>
    <col collapsed="false" customWidth="true" hidden="false" outlineLevel="0" max="21" min="20" style="0" width="12"/>
    <col collapsed="false" customWidth="true" hidden="false" outlineLevel="0" max="22" min="22" style="0" width="27"/>
    <col collapsed="false" customWidth="true" hidden="false" outlineLevel="0" max="35" min="24" style="0" width="22"/>
  </cols>
  <sheetData>
    <row r="1" customFormat="false" ht="18" hidden="false" customHeight="true" outlineLevel="0" collapsed="false">
      <c r="A1" s="7" t="s">
        <v>1232</v>
      </c>
    </row>
    <row r="2" customFormat="false" ht="15" hidden="false" customHeight="false" outlineLevel="0" collapsed="false">
      <c r="A2" s="8" t="s">
        <v>1233</v>
      </c>
    </row>
    <row r="4" customFormat="false" ht="15" hidden="false" customHeight="false" outlineLevel="0" collapsed="false">
      <c r="A4" s="53" t="s">
        <v>1234</v>
      </c>
      <c r="B4" s="53" t="s">
        <v>903</v>
      </c>
      <c r="C4" s="53" t="s">
        <v>1235</v>
      </c>
      <c r="D4" s="53" t="s">
        <v>1236</v>
      </c>
      <c r="E4" s="53" t="s">
        <v>1237</v>
      </c>
      <c r="F4" s="53" t="s">
        <v>1238</v>
      </c>
      <c r="G4" s="53" t="s">
        <v>1239</v>
      </c>
      <c r="H4" s="53" t="s">
        <v>1240</v>
      </c>
      <c r="I4" s="53" t="s">
        <v>1241</v>
      </c>
      <c r="J4" s="53" t="s">
        <v>923</v>
      </c>
      <c r="K4" s="53" t="s">
        <v>1242</v>
      </c>
      <c r="L4" s="53" t="s">
        <v>197</v>
      </c>
      <c r="M4" s="53" t="s">
        <v>1243</v>
      </c>
      <c r="N4" s="53" t="s">
        <v>1119</v>
      </c>
      <c r="O4" s="53" t="s">
        <v>1244</v>
      </c>
      <c r="P4" s="53" t="s">
        <v>1245</v>
      </c>
      <c r="Q4" s="53" t="s">
        <v>1246</v>
      </c>
      <c r="R4" s="53" t="s">
        <v>1148</v>
      </c>
      <c r="S4" s="53" t="s">
        <v>1165</v>
      </c>
      <c r="T4" s="53" t="s">
        <v>1174</v>
      </c>
      <c r="U4" s="53" t="s">
        <v>1180</v>
      </c>
      <c r="V4" s="53" t="s">
        <v>1202</v>
      </c>
      <c r="X4" s="78" t="s">
        <v>1247</v>
      </c>
      <c r="Y4" s="78" t="s">
        <v>1248</v>
      </c>
      <c r="Z4" s="78" t="s">
        <v>1249</v>
      </c>
      <c r="AA4" s="78" t="s">
        <v>1250</v>
      </c>
      <c r="AB4" s="78" t="s">
        <v>1251</v>
      </c>
      <c r="AC4" s="78" t="s">
        <v>1252</v>
      </c>
      <c r="AD4" s="78" t="s">
        <v>1253</v>
      </c>
      <c r="AE4" s="78" t="s">
        <v>1254</v>
      </c>
      <c r="AF4" s="78" t="s">
        <v>1255</v>
      </c>
      <c r="AG4" s="78" t="s">
        <v>1256</v>
      </c>
      <c r="AH4" s="78" t="s">
        <v>1257</v>
      </c>
      <c r="AI4" s="78" t="s">
        <v>1258</v>
      </c>
    </row>
    <row r="5" customFormat="false" ht="15" hidden="false" customHeight="false" outlineLevel="0" collapsed="false">
      <c r="A5" s="68" t="s">
        <v>45</v>
      </c>
      <c r="B5" s="68" t="s">
        <v>305</v>
      </c>
      <c r="C5" s="68" t="s">
        <v>478</v>
      </c>
      <c r="D5" s="68" t="s">
        <v>479</v>
      </c>
      <c r="E5" s="68" t="s">
        <v>306</v>
      </c>
      <c r="F5" s="68" t="s">
        <v>129</v>
      </c>
      <c r="G5" s="68" t="s">
        <v>1259</v>
      </c>
      <c r="H5" s="68" t="s">
        <v>369</v>
      </c>
      <c r="I5" s="68" t="s">
        <v>369</v>
      </c>
      <c r="J5" s="68" t="s">
        <v>363</v>
      </c>
      <c r="K5" s="68" t="n">
        <v>1385</v>
      </c>
      <c r="L5" s="68" t="s">
        <v>201</v>
      </c>
      <c r="M5" s="68" t="s">
        <v>1260</v>
      </c>
      <c r="N5" s="68" t="s">
        <v>1261</v>
      </c>
      <c r="O5" s="68" t="s">
        <v>1128</v>
      </c>
      <c r="P5" s="68" t="s">
        <v>1129</v>
      </c>
      <c r="Q5" s="68" t="s">
        <v>369</v>
      </c>
      <c r="R5" s="68" t="s">
        <v>70</v>
      </c>
      <c r="S5" s="68" t="s">
        <v>1166</v>
      </c>
      <c r="T5" s="68" t="s">
        <v>1175</v>
      </c>
      <c r="U5" s="68" t="s">
        <v>1181</v>
      </c>
      <c r="V5" s="68" t="s">
        <v>304</v>
      </c>
      <c r="X5" s="68" t="s">
        <v>877</v>
      </c>
      <c r="Y5" s="68" t="s">
        <v>877</v>
      </c>
      <c r="Z5" s="68" t="s">
        <v>877</v>
      </c>
      <c r="AA5" s="68" t="s">
        <v>877</v>
      </c>
      <c r="AB5" s="68" t="s">
        <v>877</v>
      </c>
      <c r="AC5" s="68" t="s">
        <v>877</v>
      </c>
      <c r="AD5" s="68" t="s">
        <v>877</v>
      </c>
      <c r="AE5" s="68" t="s">
        <v>877</v>
      </c>
      <c r="AF5" s="68" t="s">
        <v>877</v>
      </c>
      <c r="AG5" s="68" t="s">
        <v>877</v>
      </c>
      <c r="AH5" s="68" t="s">
        <v>877</v>
      </c>
      <c r="AI5" s="68" t="s">
        <v>877</v>
      </c>
    </row>
    <row r="6" customFormat="false" ht="15" hidden="false" customHeight="false" outlineLevel="0" collapsed="false">
      <c r="A6" s="68" t="s">
        <v>48</v>
      </c>
      <c r="B6" s="68" t="s">
        <v>432</v>
      </c>
      <c r="C6" s="68" t="s">
        <v>1262</v>
      </c>
      <c r="D6" s="68" t="s">
        <v>624</v>
      </c>
      <c r="E6" s="68" t="s">
        <v>674</v>
      </c>
      <c r="F6" s="68" t="s">
        <v>132</v>
      </c>
      <c r="G6" s="68" t="s">
        <v>759</v>
      </c>
      <c r="H6" s="68" t="s">
        <v>312</v>
      </c>
      <c r="I6" s="68" t="s">
        <v>312</v>
      </c>
      <c r="J6" s="68" t="s">
        <v>308</v>
      </c>
      <c r="K6" s="68" t="n">
        <v>1386</v>
      </c>
      <c r="L6" s="68" t="s">
        <v>205</v>
      </c>
      <c r="M6" s="68" t="s">
        <v>366</v>
      </c>
      <c r="N6" s="68" t="s">
        <v>1263</v>
      </c>
      <c r="O6" s="68" t="s">
        <v>1264</v>
      </c>
      <c r="P6" s="68" t="s">
        <v>1265</v>
      </c>
      <c r="Q6" s="68" t="s">
        <v>312</v>
      </c>
      <c r="R6" s="68" t="s">
        <v>74</v>
      </c>
      <c r="S6" s="68" t="s">
        <v>1168</v>
      </c>
      <c r="T6" s="68" t="s">
        <v>845</v>
      </c>
      <c r="U6" s="68" t="s">
        <v>1183</v>
      </c>
      <c r="V6" s="68" t="s">
        <v>460</v>
      </c>
      <c r="X6" s="68" t="s">
        <v>301</v>
      </c>
      <c r="Y6" s="68" t="s">
        <v>45</v>
      </c>
      <c r="Z6" s="68" t="s">
        <v>305</v>
      </c>
      <c r="AA6" s="68" t="s">
        <v>478</v>
      </c>
      <c r="AB6" s="68" t="s">
        <v>306</v>
      </c>
      <c r="AC6" s="68" t="s">
        <v>129</v>
      </c>
      <c r="AD6" s="68" t="s">
        <v>70</v>
      </c>
      <c r="AE6" s="68" t="s">
        <v>369</v>
      </c>
      <c r="AF6" s="68" t="s">
        <v>1166</v>
      </c>
      <c r="AG6" s="68" t="s">
        <v>304</v>
      </c>
      <c r="AH6" s="68" t="n">
        <v>1393</v>
      </c>
      <c r="AI6" s="68" t="s">
        <v>369</v>
      </c>
    </row>
    <row r="7" customFormat="false" ht="15" hidden="false" customHeight="false" outlineLevel="0" collapsed="false">
      <c r="A7" s="68" t="s">
        <v>51</v>
      </c>
      <c r="B7" s="68" t="s">
        <v>334</v>
      </c>
      <c r="C7" s="68" t="s">
        <v>1266</v>
      </c>
      <c r="D7" s="68" t="s">
        <v>646</v>
      </c>
      <c r="E7" s="68" t="s">
        <v>493</v>
      </c>
      <c r="F7" s="68" t="s">
        <v>135</v>
      </c>
      <c r="G7" s="68" t="s">
        <v>123</v>
      </c>
      <c r="I7" s="68" t="s">
        <v>123</v>
      </c>
      <c r="J7" s="68" t="s">
        <v>454</v>
      </c>
      <c r="K7" s="68" t="n">
        <v>1387</v>
      </c>
      <c r="L7" s="68" t="s">
        <v>208</v>
      </c>
      <c r="M7" s="68" t="s">
        <v>482</v>
      </c>
      <c r="N7" s="68" t="s">
        <v>1127</v>
      </c>
      <c r="O7" s="68" t="s">
        <v>1267</v>
      </c>
      <c r="P7" s="68" t="s">
        <v>1268</v>
      </c>
      <c r="Q7" s="68" t="s">
        <v>942</v>
      </c>
      <c r="R7" s="68" t="s">
        <v>78</v>
      </c>
      <c r="S7" s="68" t="s">
        <v>842</v>
      </c>
      <c r="T7" s="68" t="s">
        <v>1178</v>
      </c>
      <c r="U7" s="68" t="s">
        <v>1184</v>
      </c>
      <c r="V7" s="68" t="s">
        <v>1205</v>
      </c>
      <c r="X7" s="68" t="s">
        <v>758</v>
      </c>
      <c r="Y7" s="68" t="s">
        <v>48</v>
      </c>
      <c r="Z7" s="68" t="s">
        <v>432</v>
      </c>
      <c r="AA7" s="68" t="s">
        <v>1262</v>
      </c>
      <c r="AB7" s="68" t="s">
        <v>674</v>
      </c>
      <c r="AC7" s="68" t="s">
        <v>132</v>
      </c>
      <c r="AD7" s="68" t="s">
        <v>74</v>
      </c>
      <c r="AE7" s="68" t="s">
        <v>312</v>
      </c>
      <c r="AF7" s="68" t="s">
        <v>1168</v>
      </c>
      <c r="AG7" s="68" t="s">
        <v>460</v>
      </c>
      <c r="AH7" s="68" t="n">
        <v>1402</v>
      </c>
      <c r="AI7" s="68" t="s">
        <v>312</v>
      </c>
    </row>
    <row r="8" customFormat="false" ht="15" hidden="false" customHeight="false" outlineLevel="0" collapsed="false">
      <c r="A8" s="68" t="s">
        <v>54</v>
      </c>
      <c r="B8" s="68" t="s">
        <v>327</v>
      </c>
      <c r="C8" s="68" t="s">
        <v>491</v>
      </c>
      <c r="D8" s="68" t="s">
        <v>492</v>
      </c>
      <c r="E8" s="68" t="s">
        <v>522</v>
      </c>
      <c r="F8" s="68" t="s">
        <v>138</v>
      </c>
      <c r="K8" s="68" t="n">
        <v>1388</v>
      </c>
      <c r="L8" s="68" t="s">
        <v>212</v>
      </c>
      <c r="M8" s="68" t="s">
        <v>1269</v>
      </c>
      <c r="O8" s="68" t="s">
        <v>1134</v>
      </c>
      <c r="R8" s="68" t="s">
        <v>81</v>
      </c>
      <c r="S8" s="68" t="s">
        <v>1170</v>
      </c>
      <c r="T8" s="68" t="s">
        <v>1179</v>
      </c>
      <c r="U8" s="68" t="s">
        <v>1186</v>
      </c>
      <c r="V8" s="68" t="s">
        <v>1206</v>
      </c>
      <c r="X8" s="68" t="s">
        <v>361</v>
      </c>
      <c r="Y8" s="68" t="s">
        <v>51</v>
      </c>
      <c r="Z8" s="68" t="s">
        <v>334</v>
      </c>
      <c r="AA8" s="68" t="s">
        <v>1266</v>
      </c>
      <c r="AB8" s="68" t="s">
        <v>493</v>
      </c>
      <c r="AC8" s="68" t="s">
        <v>135</v>
      </c>
      <c r="AD8" s="68" t="s">
        <v>78</v>
      </c>
      <c r="AE8" s="68" t="s">
        <v>123</v>
      </c>
      <c r="AF8" s="68" t="s">
        <v>842</v>
      </c>
      <c r="AG8" s="68" t="s">
        <v>1205</v>
      </c>
      <c r="AH8" s="68" t="n">
        <v>1404</v>
      </c>
    </row>
    <row r="9" customFormat="false" ht="15" hidden="false" customHeight="false" outlineLevel="0" collapsed="false">
      <c r="A9" s="68" t="s">
        <v>57</v>
      </c>
      <c r="B9" s="68" t="s">
        <v>391</v>
      </c>
      <c r="C9" s="68" t="s">
        <v>1270</v>
      </c>
      <c r="D9" s="68" t="s">
        <v>303</v>
      </c>
      <c r="E9" s="68" t="s">
        <v>351</v>
      </c>
      <c r="F9" s="68" t="s">
        <v>141</v>
      </c>
      <c r="K9" s="68" t="n">
        <v>1389</v>
      </c>
      <c r="L9" s="68" t="s">
        <v>215</v>
      </c>
      <c r="M9" s="68" t="s">
        <v>1271</v>
      </c>
      <c r="R9" s="68" t="s">
        <v>85</v>
      </c>
      <c r="S9" s="68" t="s">
        <v>1171</v>
      </c>
      <c r="T9" s="68" t="s">
        <v>123</v>
      </c>
      <c r="U9" s="68" t="s">
        <v>1187</v>
      </c>
      <c r="V9" s="68" t="s">
        <v>752</v>
      </c>
      <c r="X9" s="68" t="s">
        <v>476</v>
      </c>
      <c r="Y9" s="68" t="s">
        <v>54</v>
      </c>
      <c r="Z9" s="68" t="s">
        <v>327</v>
      </c>
      <c r="AA9" s="68" t="s">
        <v>491</v>
      </c>
      <c r="AB9" s="68" t="s">
        <v>522</v>
      </c>
      <c r="AC9" s="68" t="s">
        <v>138</v>
      </c>
      <c r="AD9" s="68" t="s">
        <v>81</v>
      </c>
      <c r="AF9" s="68" t="s">
        <v>1170</v>
      </c>
      <c r="AG9" s="68" t="s">
        <v>1206</v>
      </c>
      <c r="AH9" s="68" t="s">
        <v>307</v>
      </c>
    </row>
    <row r="10" customFormat="false" ht="15" hidden="false" customHeight="false" outlineLevel="0" collapsed="false">
      <c r="A10" s="68" t="s">
        <v>60</v>
      </c>
      <c r="B10" s="68" t="s">
        <v>338</v>
      </c>
      <c r="C10" s="68" t="s">
        <v>623</v>
      </c>
      <c r="E10" s="68" t="s">
        <v>347</v>
      </c>
      <c r="F10" s="68" t="s">
        <v>144</v>
      </c>
      <c r="K10" s="68" t="n">
        <v>1390</v>
      </c>
      <c r="L10" s="68" t="s">
        <v>218</v>
      </c>
      <c r="M10" s="68" t="s">
        <v>1272</v>
      </c>
      <c r="R10" s="68" t="s">
        <v>87</v>
      </c>
      <c r="S10" s="68" t="s">
        <v>1172</v>
      </c>
      <c r="U10" s="68" t="s">
        <v>1188</v>
      </c>
      <c r="V10" s="68" t="s">
        <v>123</v>
      </c>
      <c r="X10" s="68" t="s">
        <v>558</v>
      </c>
      <c r="Y10" s="68" t="s">
        <v>57</v>
      </c>
      <c r="Z10" s="68" t="s">
        <v>391</v>
      </c>
      <c r="AA10" s="68" t="s">
        <v>1270</v>
      </c>
      <c r="AB10" s="68" t="s">
        <v>351</v>
      </c>
      <c r="AC10" s="68" t="s">
        <v>141</v>
      </c>
      <c r="AD10" s="68" t="s">
        <v>85</v>
      </c>
      <c r="AF10" s="68" t="s">
        <v>1171</v>
      </c>
      <c r="AG10" s="68" t="s">
        <v>752</v>
      </c>
    </row>
    <row r="11" customFormat="false" ht="15" hidden="false" customHeight="false" outlineLevel="0" collapsed="false">
      <c r="B11" s="68" t="s">
        <v>342</v>
      </c>
      <c r="C11" s="68" t="s">
        <v>1273</v>
      </c>
      <c r="E11" s="68" t="s">
        <v>1274</v>
      </c>
      <c r="F11" s="68" t="s">
        <v>147</v>
      </c>
      <c r="K11" s="68" t="n">
        <v>1391</v>
      </c>
      <c r="L11" s="68" t="s">
        <v>221</v>
      </c>
      <c r="M11" s="68" t="s">
        <v>123</v>
      </c>
      <c r="R11" s="68" t="s">
        <v>90</v>
      </c>
      <c r="S11" s="68" t="s">
        <v>123</v>
      </c>
      <c r="U11" s="68" t="s">
        <v>1189</v>
      </c>
      <c r="X11" s="68" t="s">
        <v>690</v>
      </c>
      <c r="Y11" s="68" t="s">
        <v>60</v>
      </c>
      <c r="Z11" s="68" t="s">
        <v>338</v>
      </c>
      <c r="AA11" s="68" t="s">
        <v>623</v>
      </c>
      <c r="AB11" s="68" t="s">
        <v>347</v>
      </c>
      <c r="AC11" s="68" t="s">
        <v>144</v>
      </c>
      <c r="AD11" s="68" t="s">
        <v>87</v>
      </c>
      <c r="AF11" s="68" t="s">
        <v>1172</v>
      </c>
      <c r="AG11" s="68" t="s">
        <v>123</v>
      </c>
    </row>
    <row r="12" customFormat="false" ht="15" hidden="false" customHeight="false" outlineLevel="0" collapsed="false">
      <c r="B12" s="68" t="s">
        <v>555</v>
      </c>
      <c r="C12" s="68" t="s">
        <v>645</v>
      </c>
      <c r="E12" s="68" t="s">
        <v>1275</v>
      </c>
      <c r="F12" s="68" t="s">
        <v>150</v>
      </c>
      <c r="K12" s="68" t="n">
        <v>1392</v>
      </c>
      <c r="L12" s="68" t="s">
        <v>224</v>
      </c>
      <c r="R12" s="68" t="s">
        <v>94</v>
      </c>
      <c r="U12" s="68" t="s">
        <v>1190</v>
      </c>
      <c r="Z12" s="68" t="s">
        <v>342</v>
      </c>
      <c r="AA12" s="68" t="s">
        <v>1273</v>
      </c>
      <c r="AB12" s="68" t="s">
        <v>1274</v>
      </c>
      <c r="AC12" s="68" t="s">
        <v>147</v>
      </c>
      <c r="AD12" s="68" t="s">
        <v>90</v>
      </c>
      <c r="AF12" s="68" t="s">
        <v>123</v>
      </c>
    </row>
    <row r="13" customFormat="false" ht="15" hidden="false" customHeight="false" outlineLevel="0" collapsed="false">
      <c r="B13" s="68" t="s">
        <v>411</v>
      </c>
      <c r="C13" s="68" t="s">
        <v>673</v>
      </c>
      <c r="E13" s="68" t="s">
        <v>1276</v>
      </c>
      <c r="F13" s="68" t="s">
        <v>153</v>
      </c>
      <c r="K13" s="68" t="n">
        <v>1393</v>
      </c>
      <c r="L13" s="68" t="s">
        <v>123</v>
      </c>
      <c r="R13" s="68" t="s">
        <v>98</v>
      </c>
      <c r="U13" s="68" t="s">
        <v>1191</v>
      </c>
      <c r="Z13" s="68" t="s">
        <v>555</v>
      </c>
      <c r="AA13" s="68" t="s">
        <v>645</v>
      </c>
      <c r="AB13" s="68" t="s">
        <v>1275</v>
      </c>
      <c r="AC13" s="68" t="s">
        <v>150</v>
      </c>
      <c r="AD13" s="68" t="s">
        <v>94</v>
      </c>
    </row>
    <row r="14" customFormat="false" ht="15" hidden="false" customHeight="false" outlineLevel="0" collapsed="false">
      <c r="B14" s="68" t="s">
        <v>346</v>
      </c>
      <c r="C14" s="68" t="s">
        <v>1277</v>
      </c>
      <c r="E14" s="68" t="s">
        <v>682</v>
      </c>
      <c r="F14" s="68" t="s">
        <v>156</v>
      </c>
      <c r="K14" s="68" t="n">
        <v>1394</v>
      </c>
      <c r="R14" s="68" t="s">
        <v>102</v>
      </c>
      <c r="U14" s="68" t="s">
        <v>1192</v>
      </c>
      <c r="Z14" s="68" t="s">
        <v>411</v>
      </c>
      <c r="AA14" s="68" t="s">
        <v>673</v>
      </c>
      <c r="AB14" s="68" t="s">
        <v>1276</v>
      </c>
      <c r="AC14" s="68" t="s">
        <v>153</v>
      </c>
      <c r="AD14" s="68" t="s">
        <v>98</v>
      </c>
    </row>
    <row r="15" customFormat="false" ht="15" hidden="false" customHeight="false" outlineLevel="0" collapsed="false">
      <c r="B15" s="68" t="s">
        <v>453</v>
      </c>
      <c r="C15" s="68" t="s">
        <v>123</v>
      </c>
      <c r="E15" s="68" t="s">
        <v>1278</v>
      </c>
      <c r="F15" s="68" t="s">
        <v>159</v>
      </c>
      <c r="K15" s="68" t="n">
        <v>1395</v>
      </c>
      <c r="R15" s="68" t="s">
        <v>104</v>
      </c>
      <c r="U15" s="68" t="s">
        <v>1193</v>
      </c>
      <c r="Z15" s="68" t="s">
        <v>346</v>
      </c>
      <c r="AA15" s="68" t="s">
        <v>1277</v>
      </c>
      <c r="AB15" s="68" t="s">
        <v>682</v>
      </c>
      <c r="AC15" s="68" t="s">
        <v>156</v>
      </c>
      <c r="AD15" s="68" t="s">
        <v>102</v>
      </c>
    </row>
    <row r="16" customFormat="false" ht="15" hidden="false" customHeight="false" outlineLevel="0" collapsed="false">
      <c r="B16" s="68" t="s">
        <v>663</v>
      </c>
      <c r="E16" s="68" t="s">
        <v>123</v>
      </c>
      <c r="F16" s="68" t="s">
        <v>162</v>
      </c>
      <c r="K16" s="68" t="n">
        <v>1396</v>
      </c>
      <c r="R16" s="68" t="s">
        <v>108</v>
      </c>
      <c r="U16" s="68" t="s">
        <v>1194</v>
      </c>
      <c r="Z16" s="68" t="s">
        <v>453</v>
      </c>
      <c r="AA16" s="68" t="s">
        <v>123</v>
      </c>
      <c r="AB16" s="68" t="s">
        <v>1278</v>
      </c>
      <c r="AC16" s="68" t="s">
        <v>159</v>
      </c>
      <c r="AD16" s="68" t="s">
        <v>104</v>
      </c>
    </row>
    <row r="17" customFormat="false" ht="15" hidden="false" customHeight="false" outlineLevel="0" collapsed="false">
      <c r="B17" s="68" t="s">
        <v>1279</v>
      </c>
      <c r="F17" s="68" t="s">
        <v>165</v>
      </c>
      <c r="K17" s="68" t="n">
        <v>1397</v>
      </c>
      <c r="R17" s="68" t="s">
        <v>111</v>
      </c>
      <c r="U17" s="68" t="s">
        <v>1195</v>
      </c>
      <c r="Z17" s="68" t="s">
        <v>663</v>
      </c>
      <c r="AB17" s="68" t="s">
        <v>123</v>
      </c>
      <c r="AC17" s="68" t="s">
        <v>162</v>
      </c>
      <c r="AD17" s="68" t="s">
        <v>108</v>
      </c>
    </row>
    <row r="18" customFormat="false" ht="15" hidden="false" customHeight="false" outlineLevel="0" collapsed="false">
      <c r="F18" s="68" t="s">
        <v>168</v>
      </c>
      <c r="K18" s="68" t="n">
        <v>1398</v>
      </c>
      <c r="R18" s="68" t="s">
        <v>115</v>
      </c>
      <c r="U18" s="68" t="s">
        <v>1196</v>
      </c>
      <c r="Z18" s="68" t="s">
        <v>1279</v>
      </c>
      <c r="AC18" s="68" t="s">
        <v>165</v>
      </c>
      <c r="AD18" s="68" t="s">
        <v>111</v>
      </c>
    </row>
    <row r="19" customFormat="false" ht="15" hidden="false" customHeight="false" outlineLevel="0" collapsed="false">
      <c r="F19" s="68" t="s">
        <v>171</v>
      </c>
      <c r="K19" s="68" t="n">
        <v>1399</v>
      </c>
      <c r="R19" s="68" t="s">
        <v>119</v>
      </c>
      <c r="U19" s="68" t="s">
        <v>1197</v>
      </c>
      <c r="AC19" s="68" t="s">
        <v>168</v>
      </c>
      <c r="AD19" s="68" t="s">
        <v>115</v>
      </c>
    </row>
    <row r="20" customFormat="false" ht="15" hidden="false" customHeight="false" outlineLevel="0" collapsed="false">
      <c r="F20" s="68" t="s">
        <v>174</v>
      </c>
      <c r="K20" s="68" t="n">
        <v>1400</v>
      </c>
      <c r="R20" s="68" t="s">
        <v>123</v>
      </c>
      <c r="U20" s="68" t="s">
        <v>1198</v>
      </c>
      <c r="AC20" s="68" t="s">
        <v>171</v>
      </c>
      <c r="AD20" s="68" t="s">
        <v>119</v>
      </c>
    </row>
    <row r="21" customFormat="false" ht="15" hidden="false" customHeight="false" outlineLevel="0" collapsed="false">
      <c r="F21" s="68" t="s">
        <v>177</v>
      </c>
      <c r="K21" s="68" t="n">
        <v>1401</v>
      </c>
      <c r="U21" s="68" t="s">
        <v>848</v>
      </c>
      <c r="AC21" s="68" t="s">
        <v>174</v>
      </c>
      <c r="AD21" s="68" t="s">
        <v>123</v>
      </c>
    </row>
    <row r="22" customFormat="false" ht="15" hidden="false" customHeight="false" outlineLevel="0" collapsed="false">
      <c r="F22" s="68" t="s">
        <v>180</v>
      </c>
      <c r="K22" s="68" t="n">
        <v>1402</v>
      </c>
      <c r="U22" s="68" t="s">
        <v>1199</v>
      </c>
      <c r="AC22" s="68" t="s">
        <v>177</v>
      </c>
    </row>
    <row r="23" customFormat="false" ht="15" hidden="false" customHeight="false" outlineLevel="0" collapsed="false">
      <c r="F23" s="68" t="s">
        <v>183</v>
      </c>
      <c r="K23" s="68" t="n">
        <v>1403</v>
      </c>
      <c r="U23" s="68" t="s">
        <v>1200</v>
      </c>
      <c r="AC23" s="68" t="s">
        <v>180</v>
      </c>
    </row>
    <row r="24" customFormat="false" ht="15" hidden="false" customHeight="false" outlineLevel="0" collapsed="false">
      <c r="F24" s="68" t="s">
        <v>186</v>
      </c>
      <c r="K24" s="68" t="n">
        <v>1404</v>
      </c>
      <c r="U24" s="68" t="s">
        <v>1179</v>
      </c>
      <c r="AC24" s="68" t="s">
        <v>183</v>
      </c>
    </row>
    <row r="25" customFormat="false" ht="15" hidden="false" customHeight="false" outlineLevel="0" collapsed="false">
      <c r="F25" s="68" t="s">
        <v>189</v>
      </c>
      <c r="K25" s="68" t="n">
        <v>1405</v>
      </c>
      <c r="U25" s="68" t="s">
        <v>123</v>
      </c>
      <c r="AC25" s="68" t="s">
        <v>186</v>
      </c>
    </row>
    <row r="26" customFormat="false" ht="15" hidden="false" customHeight="false" outlineLevel="0" collapsed="false">
      <c r="F26" s="68" t="s">
        <v>192</v>
      </c>
      <c r="K26" s="68" t="s">
        <v>307</v>
      </c>
      <c r="AC26" s="68" t="s">
        <v>189</v>
      </c>
    </row>
    <row r="27" customFormat="false" ht="15" hidden="false" customHeight="false" outlineLevel="0" collapsed="false">
      <c r="F27" s="68" t="s">
        <v>123</v>
      </c>
      <c r="AC27" s="68" t="s">
        <v>192</v>
      </c>
    </row>
    <row r="28" customFormat="false" ht="15" hidden="false" customHeight="false" outlineLevel="0" collapsed="false">
      <c r="AC28" s="68"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6"/>
    <col collapsed="false" customWidth="true" hidden="false" outlineLevel="0" max="4" min="4" style="0" width="90"/>
  </cols>
  <sheetData>
    <row r="1" customFormat="false" ht="18" hidden="false" customHeight="true" outlineLevel="0" collapsed="false">
      <c r="A1" s="7" t="s">
        <v>1280</v>
      </c>
    </row>
    <row r="2" customFormat="false" ht="15" hidden="false" customHeight="false" outlineLevel="0" collapsed="false">
      <c r="A2" s="8" t="s">
        <v>1281</v>
      </c>
    </row>
    <row r="4" customFormat="false" ht="36" hidden="false" customHeight="true" outlineLevel="0" collapsed="false">
      <c r="A4" s="54" t="s">
        <v>1282</v>
      </c>
      <c r="B4" s="54" t="s">
        <v>1283</v>
      </c>
      <c r="C4" s="54" t="s">
        <v>1284</v>
      </c>
      <c r="D4" s="54" t="s">
        <v>1285</v>
      </c>
    </row>
    <row r="5" customFormat="false" ht="15" hidden="false" customHeight="false" outlineLevel="0" collapsed="false">
      <c r="A5" s="9" t="n">
        <v>1385</v>
      </c>
      <c r="B5" s="79" t="n">
        <v>77.193</v>
      </c>
      <c r="C5" s="68" t="s">
        <v>1286</v>
      </c>
      <c r="D5" s="80" t="s">
        <v>1287</v>
      </c>
    </row>
    <row r="6" customFormat="false" ht="15" hidden="false" customHeight="false" outlineLevel="0" collapsed="false">
      <c r="A6" s="9" t="n">
        <v>1386</v>
      </c>
      <c r="B6" s="79" t="n">
        <v>80.157</v>
      </c>
      <c r="C6" s="68" t="s">
        <v>1288</v>
      </c>
      <c r="D6" s="80" t="s">
        <v>1289</v>
      </c>
    </row>
    <row r="7" customFormat="false" ht="15" hidden="false" customHeight="false" outlineLevel="0" collapsed="false">
      <c r="A7" s="9" t="n">
        <v>1387</v>
      </c>
      <c r="B7" s="79" t="n">
        <v>81.962</v>
      </c>
      <c r="C7" s="68" t="s">
        <v>1290</v>
      </c>
      <c r="D7" s="80" t="s">
        <v>1291</v>
      </c>
    </row>
    <row r="8" customFormat="false" ht="15" hidden="false" customHeight="false" outlineLevel="0" collapsed="false">
      <c r="A8" s="9" t="n">
        <v>1388</v>
      </c>
      <c r="B8" s="79" t="n">
        <v>83.847</v>
      </c>
      <c r="C8" s="68" t="s">
        <v>1292</v>
      </c>
      <c r="D8" s="80" t="s">
        <v>1293</v>
      </c>
    </row>
    <row r="9" customFormat="false" ht="15" hidden="false" customHeight="false" outlineLevel="0" collapsed="false">
      <c r="A9" s="9" t="n">
        <v>1389</v>
      </c>
      <c r="B9" s="79" t="n">
        <v>84.778</v>
      </c>
      <c r="C9" s="68" t="s">
        <v>1294</v>
      </c>
      <c r="D9" s="80" t="s">
        <v>1295</v>
      </c>
    </row>
    <row r="10" customFormat="false" ht="15" hidden="false" customHeight="false" outlineLevel="0" collapsed="false">
      <c r="A10" s="9" t="n">
        <v>1390</v>
      </c>
      <c r="B10" s="79" t="n">
        <v>86.662</v>
      </c>
      <c r="C10" s="68" t="s">
        <v>1296</v>
      </c>
      <c r="D10" s="80" t="s">
        <v>1297</v>
      </c>
    </row>
    <row r="11" customFormat="false" ht="15" hidden="false" customHeight="false" outlineLevel="0" collapsed="false">
      <c r="A11" s="9" t="n">
        <v>1391</v>
      </c>
      <c r="B11" s="79" t="n">
        <v>88.715</v>
      </c>
      <c r="C11" s="68" t="s">
        <v>1298</v>
      </c>
      <c r="D11" s="80" t="s">
        <v>1299</v>
      </c>
    </row>
    <row r="12" customFormat="false" ht="15" hidden="false" customHeight="false" outlineLevel="0" collapsed="false">
      <c r="A12" s="9" t="n">
        <v>1392</v>
      </c>
      <c r="B12" s="79" t="n">
        <v>90.173</v>
      </c>
      <c r="C12" s="68" t="s">
        <v>1300</v>
      </c>
      <c r="D12" s="80" t="s">
        <v>1301</v>
      </c>
    </row>
    <row r="13" customFormat="false" ht="15" hidden="false" customHeight="false" outlineLevel="0" collapsed="false">
      <c r="A13" s="9" t="n">
        <v>1393</v>
      </c>
      <c r="B13" s="79" t="n">
        <v>91.347</v>
      </c>
      <c r="C13" s="68" t="s">
        <v>1302</v>
      </c>
      <c r="D13" s="80" t="s">
        <v>1303</v>
      </c>
    </row>
    <row r="14" customFormat="false" ht="15" hidden="false" customHeight="false" outlineLevel="0" collapsed="false">
      <c r="A14" s="9" t="n">
        <v>1394</v>
      </c>
      <c r="B14" s="79" t="n">
        <v>92.047</v>
      </c>
      <c r="C14" s="68" t="s">
        <v>1304</v>
      </c>
      <c r="D14" s="80" t="s">
        <v>1305</v>
      </c>
    </row>
    <row r="15" customFormat="false" ht="15" hidden="false" customHeight="false" outlineLevel="0" collapsed="false">
      <c r="A15" s="9" t="n">
        <v>1395</v>
      </c>
      <c r="B15" s="79" t="n">
        <v>92.81</v>
      </c>
      <c r="C15" s="68" t="s">
        <v>1306</v>
      </c>
      <c r="D15" s="80" t="s">
        <v>1307</v>
      </c>
    </row>
    <row r="16" customFormat="false" ht="15" hidden="false" customHeight="false" outlineLevel="0" collapsed="false">
      <c r="A16" s="9" t="n">
        <v>1396</v>
      </c>
      <c r="B16" s="79" t="n">
        <v>93.81</v>
      </c>
      <c r="C16" s="68" t="s">
        <v>1308</v>
      </c>
      <c r="D16" s="80" t="s">
        <v>1309</v>
      </c>
    </row>
    <row r="17" customFormat="false" ht="15" hidden="false" customHeight="false" outlineLevel="0" collapsed="false">
      <c r="A17" s="9" t="n">
        <v>1397</v>
      </c>
      <c r="B17" s="79" t="n">
        <v>94.978</v>
      </c>
      <c r="C17" s="68" t="s">
        <v>1310</v>
      </c>
      <c r="D17" s="80" t="s">
        <v>1311</v>
      </c>
    </row>
    <row r="18" customFormat="false" ht="15" hidden="false" customHeight="false" outlineLevel="0" collapsed="false">
      <c r="A18" s="9" t="n">
        <v>1398</v>
      </c>
      <c r="B18" s="79" t="n">
        <v>96.694</v>
      </c>
      <c r="C18" s="68" t="s">
        <v>1312</v>
      </c>
      <c r="D18" s="80" t="s">
        <v>1313</v>
      </c>
    </row>
    <row r="19" customFormat="false" ht="15" hidden="false" customHeight="false" outlineLevel="0" collapsed="false">
      <c r="A19" s="9" t="n">
        <v>1399</v>
      </c>
      <c r="B19" s="79" t="n">
        <v>98.262</v>
      </c>
      <c r="C19" s="68" t="s">
        <v>1314</v>
      </c>
      <c r="D19" s="80" t="s">
        <v>1315</v>
      </c>
    </row>
    <row r="20" customFormat="false" ht="15" hidden="false" customHeight="false" outlineLevel="0" collapsed="false">
      <c r="A20" s="9" t="n">
        <v>1400</v>
      </c>
      <c r="B20" s="79" t="n">
        <v>101.953</v>
      </c>
      <c r="C20" s="68" t="s">
        <v>1316</v>
      </c>
      <c r="D20" s="80" t="s">
        <v>1317</v>
      </c>
    </row>
    <row r="21" customFormat="false" ht="15" hidden="false" customHeight="false" outlineLevel="0" collapsed="false">
      <c r="A21" s="9" t="n">
        <v>1401</v>
      </c>
      <c r="B21" s="79" t="n">
        <v>111.253</v>
      </c>
      <c r="C21" s="68" t="s">
        <v>1318</v>
      </c>
      <c r="D21" s="80" t="s">
        <v>1319</v>
      </c>
    </row>
    <row r="22" customFormat="false" ht="15" hidden="false" customHeight="false" outlineLevel="0" collapsed="false">
      <c r="A22" s="9" t="n">
        <v>1402</v>
      </c>
      <c r="B22" s="79" t="n">
        <v>119.251</v>
      </c>
      <c r="C22" s="68" t="s">
        <v>1320</v>
      </c>
      <c r="D22" s="80" t="s">
        <v>1321</v>
      </c>
    </row>
    <row r="23" customFormat="false" ht="15" hidden="false" customHeight="false" outlineLevel="0" collapsed="false">
      <c r="A23" s="9" t="n">
        <v>1403</v>
      </c>
      <c r="B23" s="79" t="n">
        <v>121.952</v>
      </c>
      <c r="C23" s="68" t="s">
        <v>1322</v>
      </c>
      <c r="D23" s="80" t="s">
        <v>1323</v>
      </c>
    </row>
    <row r="24" customFormat="false" ht="15" hidden="false" customHeight="false" outlineLevel="0" collapsed="false">
      <c r="A24" s="9" t="n">
        <v>1404</v>
      </c>
      <c r="B24" s="79" t="n">
        <v>123.416</v>
      </c>
      <c r="C24" s="68" t="s">
        <v>1324</v>
      </c>
      <c r="D24" s="80" t="s">
        <v>1325</v>
      </c>
    </row>
    <row r="25" customFormat="false" ht="24" hidden="false" customHeight="true" outlineLevel="0" collapsed="false">
      <c r="A25" s="9" t="n">
        <v>1405</v>
      </c>
      <c r="B25" s="81" t="n">
        <v>125.885</v>
      </c>
      <c r="C25" s="68" t="s">
        <v>1326</v>
      </c>
      <c r="D25" s="80" t="s">
        <v>1327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10"/>
    <col collapsed="false" customWidth="true" hidden="false" outlineLevel="0" max="5" min="5" style="0" width="70"/>
    <col collapsed="false" customWidth="true" hidden="false" outlineLevel="0" max="7" min="6" style="0" width="2"/>
    <col collapsed="false" customWidth="true" hidden="false" outlineLevel="0" max="8" min="8" style="0" width="44"/>
    <col collapsed="false" customWidth="true" hidden="false" outlineLevel="0" max="9" min="9" style="0" width="16"/>
    <col collapsed="false" customWidth="true" hidden="false" outlineLevel="0" max="10" min="10" style="0" width="50"/>
  </cols>
  <sheetData>
    <row r="1" customFormat="false" ht="18" hidden="false" customHeight="true" outlineLevel="0" collapsed="false">
      <c r="A1" s="7" t="s">
        <v>1328</v>
      </c>
    </row>
    <row r="2" customFormat="false" ht="15" hidden="false" customHeight="false" outlineLevel="0" collapsed="false">
      <c r="A2" s="8" t="s">
        <v>1329</v>
      </c>
    </row>
    <row r="4" customFormat="false" ht="24" hidden="false" customHeight="true" outlineLevel="0" collapsed="false">
      <c r="A4" s="53" t="s">
        <v>1282</v>
      </c>
      <c r="B4" s="53" t="s">
        <v>1330</v>
      </c>
      <c r="C4" s="53" t="s">
        <v>1331</v>
      </c>
      <c r="D4" s="53" t="s">
        <v>1332</v>
      </c>
      <c r="E4" s="53" t="s">
        <v>1333</v>
      </c>
      <c r="H4" s="54" t="s">
        <v>1334</v>
      </c>
      <c r="I4" s="54" t="s">
        <v>1335</v>
      </c>
      <c r="J4" s="54" t="s">
        <v>1336</v>
      </c>
    </row>
    <row r="5" customFormat="false" ht="15" hidden="false" customHeight="false" outlineLevel="0" collapsed="false">
      <c r="A5" s="9" t="n">
        <v>1385</v>
      </c>
      <c r="B5" s="46" t="n">
        <v>9148</v>
      </c>
      <c r="C5" s="46" t="n">
        <v>11285</v>
      </c>
      <c r="D5" s="82" t="n">
        <f aca="false">IFERROR(C5/B5,"")</f>
        <v>1.2336029733275</v>
      </c>
      <c r="E5" s="80" t="s">
        <v>1337</v>
      </c>
      <c r="H5" s="9" t="s">
        <v>1338</v>
      </c>
      <c r="I5" s="83" t="n">
        <v>1404</v>
      </c>
      <c r="J5" s="80" t="s">
        <v>1339</v>
      </c>
    </row>
    <row r="6" customFormat="false" ht="15" hidden="false" customHeight="false" outlineLevel="0" collapsed="false">
      <c r="A6" s="9" t="n">
        <v>1386</v>
      </c>
      <c r="B6" s="46" t="n">
        <v>9202</v>
      </c>
      <c r="C6" s="46" t="n">
        <v>11781</v>
      </c>
      <c r="D6" s="82" t="n">
        <f aca="false">IFERROR(C6/B6,"")</f>
        <v>1.28026515974788</v>
      </c>
      <c r="E6" s="80" t="s">
        <v>1337</v>
      </c>
      <c r="H6" s="9" t="s">
        <v>1340</v>
      </c>
      <c r="I6" s="84" t="n">
        <f aca="false">IFERROR(INDEX('Assumptions &amp; FX Reference'!$C$5:$C$25,MATCH(I5,'Assumptions &amp; FX Reference'!$A$5:$A$25,0)),"(no FX)")</f>
        <v>695268</v>
      </c>
      <c r="J6" s="80" t="s">
        <v>1341</v>
      </c>
    </row>
    <row r="7" customFormat="false" ht="15" hidden="false" customHeight="false" outlineLevel="0" collapsed="false">
      <c r="A7" s="9" t="n">
        <v>1387</v>
      </c>
      <c r="B7" s="46" t="n">
        <v>9300</v>
      </c>
      <c r="C7" s="46" t="n">
        <v>14260</v>
      </c>
      <c r="D7" s="82" t="n">
        <f aca="false">IFERROR(C7/B7,"")</f>
        <v>1.53333333333333</v>
      </c>
      <c r="E7" s="80" t="s">
        <v>1337</v>
      </c>
      <c r="H7" s="9" t="s">
        <v>1342</v>
      </c>
      <c r="I7" s="83"/>
      <c r="J7" s="80" t="s">
        <v>1343</v>
      </c>
    </row>
    <row r="8" customFormat="false" ht="15" hidden="false" customHeight="false" outlineLevel="0" collapsed="false">
      <c r="A8" s="9" t="n">
        <v>1388</v>
      </c>
      <c r="B8" s="46" t="n">
        <v>9900</v>
      </c>
      <c r="C8" s="46" t="n">
        <v>13400</v>
      </c>
      <c r="D8" s="82" t="n">
        <f aca="false">IFERROR(C8/B8,"")</f>
        <v>1.35353535353535</v>
      </c>
      <c r="E8" s="80" t="s">
        <v>1337</v>
      </c>
      <c r="H8" s="9" t="s">
        <v>1344</v>
      </c>
      <c r="I8" s="84" t="n">
        <f aca="false">IF(ISNUMBER(I7),I7,I6)</f>
        <v>695268</v>
      </c>
      <c r="J8" s="80"/>
    </row>
    <row r="9" customFormat="false" ht="15" hidden="false" customHeight="false" outlineLevel="0" collapsed="false">
      <c r="A9" s="9" t="n">
        <v>1389</v>
      </c>
      <c r="B9" s="46" t="n">
        <v>10200</v>
      </c>
      <c r="C9" s="46" t="n">
        <v>13800</v>
      </c>
      <c r="D9" s="82" t="n">
        <f aca="false">IFERROR(C9/B9,"")</f>
        <v>1.35294117647059</v>
      </c>
      <c r="E9" s="80" t="s">
        <v>1337</v>
      </c>
      <c r="H9" s="9" t="s">
        <v>1345</v>
      </c>
      <c r="I9" s="84" t="n">
        <f aca="false">IFERROR(INDEX('Assumptions &amp; FX Reference'!$B$5:$B$25,MATCH(I5,'Assumptions &amp; FX Reference'!$A$5:$A$25,0)),"(no FX)")</f>
        <v>658533</v>
      </c>
      <c r="J9" s="80" t="s">
        <v>1341</v>
      </c>
    </row>
    <row r="10" customFormat="false" ht="15" hidden="false" customHeight="false" outlineLevel="0" collapsed="false">
      <c r="A10" s="9" t="n">
        <v>1390</v>
      </c>
      <c r="B10" s="46" t="n">
        <v>11300</v>
      </c>
      <c r="C10" s="46" t="n">
        <v>15750</v>
      </c>
      <c r="D10" s="82" t="n">
        <f aca="false">IFERROR(C10/B10,"")</f>
        <v>1.39380530973451</v>
      </c>
      <c r="E10" s="80" t="s">
        <v>1337</v>
      </c>
      <c r="H10" s="9" t="s">
        <v>1346</v>
      </c>
      <c r="I10" s="83"/>
      <c r="J10" s="80" t="s">
        <v>1343</v>
      </c>
    </row>
    <row r="11" customFormat="false" ht="15" hidden="false" customHeight="false" outlineLevel="0" collapsed="false">
      <c r="A11" s="9" t="n">
        <v>1391</v>
      </c>
      <c r="B11" s="46" t="n">
        <v>19000</v>
      </c>
      <c r="C11" s="46" t="n">
        <v>25500</v>
      </c>
      <c r="D11" s="82" t="n">
        <f aca="false">IFERROR(C11/B11,"")</f>
        <v>1.34210526315789</v>
      </c>
      <c r="E11" s="80" t="s">
        <v>1337</v>
      </c>
      <c r="H11" s="9" t="s">
        <v>1347</v>
      </c>
      <c r="I11" s="84" t="n">
        <f aca="false">IF(ISNUMBER(I10),I10,I9)</f>
        <v>658533</v>
      </c>
      <c r="J11" s="80"/>
    </row>
    <row r="12" customFormat="false" ht="24" hidden="false" customHeight="true" outlineLevel="0" collapsed="false">
      <c r="A12" s="9" t="n">
        <v>1392</v>
      </c>
      <c r="B12" s="46" t="n">
        <v>36300</v>
      </c>
      <c r="C12" s="46" t="n">
        <v>42000</v>
      </c>
      <c r="D12" s="82" t="n">
        <f aca="false">IFERROR(C12/B12,"")</f>
        <v>1.15702479338843</v>
      </c>
      <c r="E12" s="80" t="s">
        <v>1348</v>
      </c>
      <c r="H12" s="9" t="s">
        <v>1349</v>
      </c>
      <c r="I12" s="84" t="n">
        <f aca="false">IFERROR(IF(N(INDEX(Escalation_Index!$B$5:$B$25,MATCH(I5,Escalation_Index!$A$5:$A$25,0)))&gt;0,INDEX(Escalation_Index!$B$5:$B$25,MATCH(I5,Escalation_Index!$A$5:$A$25,0)),"(PPI not entered)"),"(PPI not entered)")</f>
        <v>123.416</v>
      </c>
      <c r="J12" s="80"/>
    </row>
    <row r="13" customFormat="false" ht="24" hidden="false" customHeight="true" outlineLevel="0" collapsed="false">
      <c r="A13" s="9" t="n">
        <v>1393</v>
      </c>
      <c r="B13" s="46" t="n">
        <v>31000</v>
      </c>
      <c r="C13" s="46" t="n">
        <v>40530.8</v>
      </c>
      <c r="D13" s="82" t="n">
        <f aca="false">IFERROR(C13/B13,"")</f>
        <v>1.30744516129032</v>
      </c>
      <c r="E13" s="80" t="s">
        <v>1350</v>
      </c>
      <c r="H13" s="9" t="s">
        <v>1351</v>
      </c>
      <c r="I13" s="83" t="n">
        <v>25000</v>
      </c>
      <c r="J13" s="80" t="s">
        <v>1352</v>
      </c>
    </row>
    <row r="14" customFormat="false" ht="15" hidden="false" customHeight="false" outlineLevel="0" collapsed="false">
      <c r="A14" s="9" t="n">
        <v>1394</v>
      </c>
      <c r="B14" s="46" t="n">
        <v>33550</v>
      </c>
      <c r="C14" s="46" t="n">
        <v>36750</v>
      </c>
      <c r="D14" s="82" t="n">
        <f aca="false">IFERROR(C14/B14,"")</f>
        <v>1.09538002980626</v>
      </c>
      <c r="E14" s="80" t="s">
        <v>1337</v>
      </c>
      <c r="H14" s="9" t="s">
        <v>1353</v>
      </c>
      <c r="I14" s="83" t="n">
        <v>1404</v>
      </c>
      <c r="J14" s="80"/>
    </row>
    <row r="15" customFormat="false" ht="15" hidden="false" customHeight="false" outlineLevel="0" collapsed="false">
      <c r="A15" s="9" t="n">
        <v>1395</v>
      </c>
      <c r="B15" s="46" t="n">
        <v>34600</v>
      </c>
      <c r="C15" s="46" t="n">
        <v>38800</v>
      </c>
      <c r="D15" s="82" t="n">
        <f aca="false">IFERROR(C15/B15,"")</f>
        <v>1.12138728323699</v>
      </c>
      <c r="E15" s="80" t="s">
        <v>1337</v>
      </c>
      <c r="H15" s="9" t="s">
        <v>1354</v>
      </c>
      <c r="I15" s="84" t="n">
        <f aca="false">IFERROR(IF(N(INDEX(Escalation_Index!$B$5:$B$25,MATCH(I14,Escalation_Index!$A$5:$A$25,0)))&gt;0,INDEX(Escalation_Index!$B$5:$B$25,MATCH(I14,Escalation_Index!$A$5:$A$25,0)),"(PPI not entered)"),"(PPI not entered)")</f>
        <v>123.416</v>
      </c>
      <c r="J15" s="80"/>
    </row>
    <row r="16" customFormat="false" ht="15" hidden="false" customHeight="false" outlineLevel="0" collapsed="false">
      <c r="A16" s="9" t="n">
        <v>1396</v>
      </c>
      <c r="B16" s="46" t="n">
        <v>37300</v>
      </c>
      <c r="C16" s="46" t="n">
        <v>40250</v>
      </c>
      <c r="D16" s="82" t="n">
        <f aca="false">IFERROR(C16/B16,"")</f>
        <v>1.07908847184987</v>
      </c>
      <c r="E16" s="80" t="s">
        <v>1337</v>
      </c>
      <c r="H16" s="9" t="s">
        <v>1355</v>
      </c>
      <c r="I16" s="76" t="n">
        <v>0.6</v>
      </c>
      <c r="J16" s="80" t="s">
        <v>1356</v>
      </c>
    </row>
    <row r="17" customFormat="false" ht="15" hidden="false" customHeight="false" outlineLevel="0" collapsed="false">
      <c r="A17" s="9" t="n">
        <v>1397</v>
      </c>
      <c r="B17" s="46" t="n">
        <v>47700</v>
      </c>
      <c r="C17" s="46" t="n">
        <v>59000</v>
      </c>
      <c r="D17" s="82" t="n">
        <f aca="false">IFERROR(C17/B17,"")</f>
        <v>1.23689727463312</v>
      </c>
      <c r="E17" s="80" t="s">
        <v>1337</v>
      </c>
      <c r="H17" s="9" t="s">
        <v>1357</v>
      </c>
      <c r="I17" s="76" t="n">
        <v>0.6</v>
      </c>
      <c r="J17" s="80" t="s">
        <v>1358</v>
      </c>
    </row>
    <row r="18" customFormat="false" ht="15" hidden="false" customHeight="false" outlineLevel="0" collapsed="false">
      <c r="A18" s="9" t="n">
        <v>1398</v>
      </c>
      <c r="B18" s="46" t="n">
        <v>135000</v>
      </c>
      <c r="C18" s="46" t="n">
        <v>152800</v>
      </c>
      <c r="D18" s="82" t="n">
        <f aca="false">IFERROR(C18/B18,"")</f>
        <v>1.13185185185185</v>
      </c>
      <c r="E18" s="80" t="s">
        <v>1337</v>
      </c>
    </row>
    <row r="19" customFormat="false" ht="15" hidden="false" customHeight="false" outlineLevel="0" collapsed="false">
      <c r="A19" s="9" t="n">
        <v>1399</v>
      </c>
      <c r="B19" s="46" t="n">
        <v>161000</v>
      </c>
      <c r="C19" s="46" t="n">
        <v>172200</v>
      </c>
      <c r="D19" s="82" t="n">
        <f aca="false">IFERROR(C19/B19,"")</f>
        <v>1.0695652173913</v>
      </c>
      <c r="E19" s="80" t="s">
        <v>1337</v>
      </c>
    </row>
    <row r="20" customFormat="false" ht="15" hidden="false" customHeight="false" outlineLevel="0" collapsed="false">
      <c r="A20" s="9" t="n">
        <v>1400</v>
      </c>
      <c r="B20" s="46" t="n">
        <v>252000</v>
      </c>
      <c r="C20" s="46" t="n">
        <v>298400</v>
      </c>
      <c r="D20" s="82" t="n">
        <f aca="false">IFERROR(C20/B20,"")</f>
        <v>1.18412698412698</v>
      </c>
      <c r="E20" s="80" t="s">
        <v>1337</v>
      </c>
    </row>
    <row r="21" customFormat="false" ht="15" hidden="false" customHeight="false" outlineLevel="0" collapsed="false">
      <c r="A21" s="9" t="n">
        <v>1401</v>
      </c>
      <c r="B21" s="46" t="n">
        <v>263000</v>
      </c>
      <c r="C21" s="46" t="n">
        <v>289500</v>
      </c>
      <c r="D21" s="82" t="n">
        <f aca="false">IFERROR(C21/B21,"")</f>
        <v>1.10076045627376</v>
      </c>
      <c r="E21" s="80" t="s">
        <v>1337</v>
      </c>
    </row>
    <row r="22" customFormat="false" ht="15" hidden="false" customHeight="false" outlineLevel="0" collapsed="false">
      <c r="A22" s="9" t="n">
        <v>1402</v>
      </c>
      <c r="B22" s="46" t="n">
        <v>420000</v>
      </c>
      <c r="C22" s="46" t="n">
        <v>529500</v>
      </c>
      <c r="D22" s="82" t="n">
        <f aca="false">IFERROR(C22/B22,"")</f>
        <v>1.26071428571429</v>
      </c>
      <c r="E22" s="80" t="s">
        <v>1359</v>
      </c>
    </row>
    <row r="23" customFormat="false" ht="15" hidden="false" customHeight="false" outlineLevel="0" collapsed="false">
      <c r="A23" s="9" t="n">
        <v>1403</v>
      </c>
      <c r="B23" s="46" t="n">
        <v>600500</v>
      </c>
      <c r="C23" s="46" t="n">
        <v>653000</v>
      </c>
      <c r="D23" s="82" t="n">
        <f aca="false">IFERROR(C23/B23,"")</f>
        <v>1.08742714404663</v>
      </c>
      <c r="E23" s="80" t="s">
        <v>1337</v>
      </c>
    </row>
    <row r="24" customFormat="false" ht="24" hidden="false" customHeight="true" outlineLevel="0" collapsed="false">
      <c r="A24" s="9" t="n">
        <v>1404</v>
      </c>
      <c r="B24" s="46" t="n">
        <v>658533</v>
      </c>
      <c r="C24" s="46" t="n">
        <v>695268</v>
      </c>
      <c r="D24" s="82" t="n">
        <f aca="false">IFERROR(C24/B24,"")</f>
        <v>1.05578308148567</v>
      </c>
      <c r="E24" s="80" t="s">
        <v>1360</v>
      </c>
    </row>
    <row r="25" customFormat="false" ht="36" hidden="false" customHeight="true" outlineLevel="0" collapsed="false">
      <c r="A25" s="9" t="n">
        <v>1405</v>
      </c>
      <c r="B25" s="70" t="n">
        <f aca="false">C25/1.1</f>
        <v>1818181.81818182</v>
      </c>
      <c r="C25" s="46" t="n">
        <v>2000000</v>
      </c>
      <c r="D25" s="82" t="n">
        <f aca="false">IFERROR(C25/B25,"")</f>
        <v>1.1</v>
      </c>
      <c r="E25" s="80" t="s">
        <v>1361</v>
      </c>
    </row>
  </sheetData>
  <dataValidations count="1">
    <dataValidation allowBlank="true" errorStyle="stop" operator="between" showDropDown="false" showErrorMessage="false" showInputMessage="false" sqref="I5" type="list">
      <formula1>Lookup_Codes!$K$5:$K$60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0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1" topLeftCell="A696"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4"/>
    <col collapsed="false" customWidth="true" hidden="false" outlineLevel="0" max="4" min="4" style="0" width="18"/>
    <col collapsed="false" customWidth="true" hidden="false" outlineLevel="0" max="5" min="5" style="0" width="26"/>
    <col collapsed="false" customWidth="true" hidden="false" outlineLevel="0" max="7" min="6" style="0" width="30"/>
    <col collapsed="false" customWidth="true" hidden="false" outlineLevel="0" max="8" min="8" style="0" width="26"/>
  </cols>
  <sheetData>
    <row r="1" customFormat="false" ht="18" hidden="false" customHeight="true" outlineLevel="0" collapsed="false">
      <c r="A1" s="7" t="s">
        <v>1362</v>
      </c>
    </row>
    <row r="2" customFormat="false" ht="15" hidden="false" customHeight="false" outlineLevel="0" collapsed="false">
      <c r="A2" s="8" t="s">
        <v>1363</v>
      </c>
    </row>
    <row r="4" customFormat="false" ht="24" hidden="false" customHeight="true" outlineLevel="0" collapsed="false">
      <c r="A4" s="53" t="s">
        <v>1364</v>
      </c>
      <c r="B4" s="53" t="s">
        <v>1365</v>
      </c>
      <c r="C4" s="53" t="s">
        <v>1366</v>
      </c>
    </row>
    <row r="5" customFormat="false" ht="15" hidden="false" customHeight="false" outlineLevel="0" collapsed="false">
      <c r="A5" s="9" t="s">
        <v>1367</v>
      </c>
      <c r="B5" s="67" t="n">
        <v>1281</v>
      </c>
      <c r="C5" s="68" t="s">
        <v>1368</v>
      </c>
    </row>
    <row r="6" customFormat="false" ht="15" hidden="false" customHeight="false" outlineLevel="0" collapsed="false">
      <c r="A6" s="9" t="s">
        <v>1369</v>
      </c>
      <c r="B6" s="67" t="n">
        <v>199</v>
      </c>
      <c r="C6" s="68" t="s">
        <v>1370</v>
      </c>
    </row>
    <row r="7" customFormat="false" ht="15" hidden="false" customHeight="false" outlineLevel="0" collapsed="false">
      <c r="A7" s="9" t="s">
        <v>1371</v>
      </c>
      <c r="B7" s="67" t="n">
        <v>7</v>
      </c>
      <c r="C7" s="68" t="s">
        <v>1372</v>
      </c>
    </row>
    <row r="8" customFormat="false" ht="15" hidden="false" customHeight="false" outlineLevel="0" collapsed="false">
      <c r="A8" s="9" t="s">
        <v>1373</v>
      </c>
      <c r="B8" s="67" t="n">
        <v>5</v>
      </c>
      <c r="C8" s="68" t="s">
        <v>1374</v>
      </c>
    </row>
    <row r="9" customFormat="false" ht="15" hidden="false" customHeight="false" outlineLevel="0" collapsed="false">
      <c r="A9" s="63" t="s">
        <v>1375</v>
      </c>
      <c r="B9" s="66" t="n">
        <v>1492</v>
      </c>
    </row>
    <row r="11" customFormat="false" ht="15" hidden="false" customHeight="false" outlineLevel="0" collapsed="false">
      <c r="A11" s="54" t="s">
        <v>242</v>
      </c>
      <c r="B11" s="54" t="s">
        <v>879</v>
      </c>
      <c r="C11" s="54" t="s">
        <v>245</v>
      </c>
      <c r="D11" s="54" t="s">
        <v>1376</v>
      </c>
      <c r="E11" s="54" t="s">
        <v>1377</v>
      </c>
      <c r="F11" s="54" t="s">
        <v>1378</v>
      </c>
      <c r="G11" s="54" t="s">
        <v>1379</v>
      </c>
      <c r="H11" s="54" t="s">
        <v>1364</v>
      </c>
    </row>
    <row r="12" customFormat="false" ht="15" hidden="false" customHeight="false" outlineLevel="0" collapsed="false">
      <c r="A12" s="68" t="n">
        <v>1</v>
      </c>
      <c r="B12" s="68" t="s">
        <v>301</v>
      </c>
      <c r="C12" s="68" t="s">
        <v>302</v>
      </c>
      <c r="D12" s="68" t="s">
        <v>243</v>
      </c>
      <c r="E12" s="68" t="s">
        <v>300</v>
      </c>
      <c r="F12" s="68" t="s">
        <v>300</v>
      </c>
      <c r="G12" s="68" t="s">
        <v>1380</v>
      </c>
      <c r="H12" s="68" t="s">
        <v>1367</v>
      </c>
    </row>
    <row r="13" customFormat="false" ht="15" hidden="false" customHeight="false" outlineLevel="0" collapsed="false">
      <c r="A13" s="68" t="n">
        <v>1</v>
      </c>
      <c r="B13" s="68" t="s">
        <v>301</v>
      </c>
      <c r="C13" s="68" t="s">
        <v>302</v>
      </c>
      <c r="D13" s="68" t="s">
        <v>261</v>
      </c>
      <c r="E13" s="68" t="s">
        <v>306</v>
      </c>
      <c r="F13" s="68" t="s">
        <v>306</v>
      </c>
      <c r="G13" s="68" t="s">
        <v>1381</v>
      </c>
      <c r="H13" s="68" t="s">
        <v>1367</v>
      </c>
    </row>
    <row r="14" customFormat="false" ht="15" hidden="false" customHeight="false" outlineLevel="0" collapsed="false">
      <c r="A14" s="68" t="n">
        <v>1</v>
      </c>
      <c r="B14" s="68" t="s">
        <v>301</v>
      </c>
      <c r="C14" s="68" t="s">
        <v>302</v>
      </c>
      <c r="D14" s="68" t="s">
        <v>249</v>
      </c>
      <c r="E14" s="68" t="n">
        <v>95.8</v>
      </c>
      <c r="F14" s="68" t="n">
        <v>95.8</v>
      </c>
      <c r="G14" s="68" t="s">
        <v>1382</v>
      </c>
      <c r="H14" s="68" t="s">
        <v>1367</v>
      </c>
    </row>
    <row r="15" customFormat="false" ht="15" hidden="false" customHeight="false" outlineLevel="0" collapsed="false">
      <c r="A15" s="68" t="n">
        <v>1</v>
      </c>
      <c r="B15" s="68" t="s">
        <v>301</v>
      </c>
      <c r="C15" s="68" t="s">
        <v>302</v>
      </c>
      <c r="D15" s="68" t="s">
        <v>250</v>
      </c>
      <c r="E15" s="68" t="n">
        <v>54.3</v>
      </c>
      <c r="F15" s="68" t="n">
        <v>54.3</v>
      </c>
      <c r="G15" s="68" t="s">
        <v>1383</v>
      </c>
      <c r="H15" s="68" t="s">
        <v>1367</v>
      </c>
    </row>
    <row r="16" customFormat="false" ht="15" hidden="false" customHeight="false" outlineLevel="0" collapsed="false">
      <c r="A16" s="68" t="n">
        <v>1</v>
      </c>
      <c r="B16" s="68" t="s">
        <v>301</v>
      </c>
      <c r="C16" s="68" t="s">
        <v>302</v>
      </c>
      <c r="D16" s="68" t="s">
        <v>258</v>
      </c>
      <c r="E16" s="68" t="s">
        <v>304</v>
      </c>
      <c r="F16" s="68" t="s">
        <v>304</v>
      </c>
      <c r="G16" s="68" t="s">
        <v>1384</v>
      </c>
      <c r="H16" s="68" t="s">
        <v>1367</v>
      </c>
    </row>
    <row r="17" customFormat="false" ht="15" hidden="false" customHeight="false" outlineLevel="0" collapsed="false">
      <c r="A17" s="68" t="n">
        <v>1</v>
      </c>
      <c r="B17" s="68" t="s">
        <v>301</v>
      </c>
      <c r="C17" s="68" t="s">
        <v>302</v>
      </c>
      <c r="D17" s="68" t="s">
        <v>923</v>
      </c>
      <c r="E17" s="68" t="s">
        <v>308</v>
      </c>
      <c r="F17" s="68" t="s">
        <v>308</v>
      </c>
      <c r="G17" s="68" t="s">
        <v>1385</v>
      </c>
      <c r="H17" s="68" t="s">
        <v>1367</v>
      </c>
    </row>
    <row r="18" customFormat="false" ht="15" hidden="false" customHeight="false" outlineLevel="0" collapsed="false">
      <c r="A18" s="68" t="n">
        <v>1</v>
      </c>
      <c r="B18" s="68" t="s">
        <v>301</v>
      </c>
      <c r="C18" s="68" t="s">
        <v>302</v>
      </c>
      <c r="D18" s="68" t="s">
        <v>1386</v>
      </c>
      <c r="E18" s="68" t="n">
        <v>240000</v>
      </c>
      <c r="F18" s="68" t="n">
        <v>240000</v>
      </c>
      <c r="G18" s="68" t="s">
        <v>1385</v>
      </c>
      <c r="H18" s="68" t="s">
        <v>1367</v>
      </c>
    </row>
    <row r="19" customFormat="false" ht="15" hidden="false" customHeight="false" outlineLevel="0" collapsed="false">
      <c r="A19" s="68" t="n">
        <v>2</v>
      </c>
      <c r="B19" s="68" t="s">
        <v>301</v>
      </c>
      <c r="C19" s="68" t="s">
        <v>302</v>
      </c>
      <c r="D19" s="68" t="s">
        <v>243</v>
      </c>
      <c r="E19" s="68" t="s">
        <v>314</v>
      </c>
      <c r="F19" s="68" t="s">
        <v>314</v>
      </c>
      <c r="G19" s="68" t="s">
        <v>1387</v>
      </c>
      <c r="H19" s="68" t="s">
        <v>1367</v>
      </c>
    </row>
    <row r="20" customFormat="false" ht="15" hidden="false" customHeight="false" outlineLevel="0" collapsed="false">
      <c r="A20" s="68" t="n">
        <v>2</v>
      </c>
      <c r="B20" s="68" t="s">
        <v>301</v>
      </c>
      <c r="C20" s="68" t="s">
        <v>302</v>
      </c>
      <c r="D20" s="68" t="s">
        <v>261</v>
      </c>
      <c r="E20" s="68" t="s">
        <v>306</v>
      </c>
      <c r="F20" s="68" t="s">
        <v>306</v>
      </c>
      <c r="G20" s="68" t="s">
        <v>1388</v>
      </c>
      <c r="H20" s="68" t="s">
        <v>1367</v>
      </c>
    </row>
    <row r="21" customFormat="false" ht="15" hidden="false" customHeight="false" outlineLevel="0" collapsed="false">
      <c r="A21" s="68" t="n">
        <v>2</v>
      </c>
      <c r="B21" s="68" t="s">
        <v>301</v>
      </c>
      <c r="C21" s="68" t="s">
        <v>302</v>
      </c>
      <c r="D21" s="68" t="s">
        <v>249</v>
      </c>
      <c r="E21" s="68" t="n">
        <v>59.9</v>
      </c>
      <c r="F21" s="68" t="n">
        <v>59.9</v>
      </c>
      <c r="G21" s="68" t="s">
        <v>1389</v>
      </c>
      <c r="H21" s="68" t="s">
        <v>1367</v>
      </c>
    </row>
    <row r="22" customFormat="false" ht="15" hidden="false" customHeight="false" outlineLevel="0" collapsed="false">
      <c r="A22" s="68" t="n">
        <v>2</v>
      </c>
      <c r="B22" s="68" t="s">
        <v>301</v>
      </c>
      <c r="C22" s="68" t="s">
        <v>302</v>
      </c>
      <c r="D22" s="68" t="s">
        <v>250</v>
      </c>
      <c r="E22" s="68" t="n">
        <v>33.1</v>
      </c>
      <c r="F22" s="68" t="n">
        <v>33.1</v>
      </c>
      <c r="G22" s="68" t="s">
        <v>1390</v>
      </c>
      <c r="H22" s="68" t="s">
        <v>1367</v>
      </c>
    </row>
    <row r="23" customFormat="false" ht="15" hidden="false" customHeight="false" outlineLevel="0" collapsed="false">
      <c r="A23" s="68" t="n">
        <v>2</v>
      </c>
      <c r="B23" s="68" t="s">
        <v>301</v>
      </c>
      <c r="C23" s="68" t="s">
        <v>302</v>
      </c>
      <c r="D23" s="68" t="s">
        <v>258</v>
      </c>
      <c r="E23" s="68" t="s">
        <v>304</v>
      </c>
      <c r="F23" s="68" t="s">
        <v>304</v>
      </c>
      <c r="G23" s="68" t="s">
        <v>1391</v>
      </c>
      <c r="H23" s="68" t="s">
        <v>1367</v>
      </c>
    </row>
    <row r="24" customFormat="false" ht="15" hidden="false" customHeight="false" outlineLevel="0" collapsed="false">
      <c r="A24" s="68" t="n">
        <v>2</v>
      </c>
      <c r="B24" s="68" t="s">
        <v>301</v>
      </c>
      <c r="C24" s="68" t="s">
        <v>302</v>
      </c>
      <c r="D24" s="68" t="s">
        <v>923</v>
      </c>
      <c r="E24" s="68" t="s">
        <v>308</v>
      </c>
      <c r="F24" s="68" t="s">
        <v>308</v>
      </c>
      <c r="G24" s="68" t="s">
        <v>1392</v>
      </c>
      <c r="H24" s="68" t="s">
        <v>1367</v>
      </c>
    </row>
    <row r="25" customFormat="false" ht="15" hidden="false" customHeight="false" outlineLevel="0" collapsed="false">
      <c r="A25" s="68" t="n">
        <v>2</v>
      </c>
      <c r="B25" s="68" t="s">
        <v>301</v>
      </c>
      <c r="C25" s="68" t="s">
        <v>302</v>
      </c>
      <c r="D25" s="68" t="s">
        <v>1386</v>
      </c>
      <c r="E25" s="68" t="n">
        <v>280000</v>
      </c>
      <c r="F25" s="68" t="n">
        <v>280000</v>
      </c>
      <c r="G25" s="68" t="s">
        <v>1392</v>
      </c>
      <c r="H25" s="68" t="s">
        <v>1367</v>
      </c>
    </row>
    <row r="26" customFormat="false" ht="15" hidden="false" customHeight="false" outlineLevel="0" collapsed="false">
      <c r="A26" s="68" t="n">
        <v>3</v>
      </c>
      <c r="B26" s="68" t="s">
        <v>301</v>
      </c>
      <c r="C26" s="68" t="s">
        <v>302</v>
      </c>
      <c r="D26" s="68" t="s">
        <v>243</v>
      </c>
      <c r="E26" s="68" t="s">
        <v>317</v>
      </c>
      <c r="F26" s="68" t="s">
        <v>317</v>
      </c>
      <c r="G26" s="68" t="s">
        <v>1393</v>
      </c>
      <c r="H26" s="68" t="s">
        <v>1367</v>
      </c>
    </row>
    <row r="27" customFormat="false" ht="15" hidden="false" customHeight="false" outlineLevel="0" collapsed="false">
      <c r="A27" s="68" t="n">
        <v>3</v>
      </c>
      <c r="B27" s="68" t="s">
        <v>301</v>
      </c>
      <c r="C27" s="68" t="s">
        <v>302</v>
      </c>
      <c r="D27" s="68" t="s">
        <v>261</v>
      </c>
      <c r="E27" s="68" t="s">
        <v>306</v>
      </c>
      <c r="F27" s="68" t="s">
        <v>306</v>
      </c>
      <c r="G27" s="68" t="s">
        <v>1394</v>
      </c>
      <c r="H27" s="68" t="s">
        <v>1367</v>
      </c>
    </row>
    <row r="28" customFormat="false" ht="15" hidden="false" customHeight="false" outlineLevel="0" collapsed="false">
      <c r="A28" s="68" t="n">
        <v>3</v>
      </c>
      <c r="B28" s="68" t="s">
        <v>301</v>
      </c>
      <c r="C28" s="68" t="s">
        <v>302</v>
      </c>
      <c r="D28" s="68" t="s">
        <v>249</v>
      </c>
      <c r="E28" s="68" t="n">
        <v>34.8</v>
      </c>
      <c r="F28" s="68" t="n">
        <v>34.8</v>
      </c>
      <c r="G28" s="68" t="s">
        <v>1395</v>
      </c>
      <c r="H28" s="68" t="s">
        <v>1367</v>
      </c>
    </row>
    <row r="29" customFormat="false" ht="15" hidden="false" customHeight="false" outlineLevel="0" collapsed="false">
      <c r="A29" s="68" t="n">
        <v>3</v>
      </c>
      <c r="B29" s="68" t="s">
        <v>301</v>
      </c>
      <c r="C29" s="68" t="s">
        <v>302</v>
      </c>
      <c r="D29" s="68" t="s">
        <v>250</v>
      </c>
      <c r="E29" s="68" t="n">
        <v>57.4</v>
      </c>
      <c r="F29" s="68" t="n">
        <v>57.4</v>
      </c>
      <c r="G29" s="68" t="s">
        <v>1396</v>
      </c>
      <c r="H29" s="68" t="s">
        <v>1367</v>
      </c>
    </row>
    <row r="30" customFormat="false" ht="15" hidden="false" customHeight="false" outlineLevel="0" collapsed="false">
      <c r="A30" s="68" t="n">
        <v>3</v>
      </c>
      <c r="B30" s="68" t="s">
        <v>301</v>
      </c>
      <c r="C30" s="68" t="s">
        <v>302</v>
      </c>
      <c r="D30" s="68" t="s">
        <v>258</v>
      </c>
      <c r="E30" s="68" t="s">
        <v>304</v>
      </c>
      <c r="F30" s="68" t="s">
        <v>304</v>
      </c>
      <c r="G30" s="68" t="s">
        <v>1397</v>
      </c>
      <c r="H30" s="68" t="s">
        <v>1367</v>
      </c>
    </row>
    <row r="31" customFormat="false" ht="15" hidden="false" customHeight="false" outlineLevel="0" collapsed="false">
      <c r="A31" s="68" t="n">
        <v>3</v>
      </c>
      <c r="B31" s="68" t="s">
        <v>301</v>
      </c>
      <c r="C31" s="68" t="s">
        <v>302</v>
      </c>
      <c r="D31" s="68" t="s">
        <v>923</v>
      </c>
      <c r="E31" s="68" t="s">
        <v>308</v>
      </c>
      <c r="F31" s="68" t="s">
        <v>308</v>
      </c>
      <c r="G31" s="68" t="s">
        <v>1398</v>
      </c>
      <c r="H31" s="68" t="s">
        <v>1367</v>
      </c>
    </row>
    <row r="32" customFormat="false" ht="15" hidden="false" customHeight="false" outlineLevel="0" collapsed="false">
      <c r="A32" s="68" t="n">
        <v>3</v>
      </c>
      <c r="B32" s="68" t="s">
        <v>301</v>
      </c>
      <c r="C32" s="68" t="s">
        <v>302</v>
      </c>
      <c r="D32" s="68" t="s">
        <v>1386</v>
      </c>
      <c r="E32" s="68" t="n">
        <v>250000</v>
      </c>
      <c r="F32" s="68" t="n">
        <v>250000</v>
      </c>
      <c r="G32" s="68" t="s">
        <v>1398</v>
      </c>
      <c r="H32" s="68" t="s">
        <v>1367</v>
      </c>
    </row>
    <row r="33" customFormat="false" ht="15" hidden="false" customHeight="false" outlineLevel="0" collapsed="false">
      <c r="A33" s="68" t="n">
        <v>4</v>
      </c>
      <c r="B33" s="68" t="s">
        <v>301</v>
      </c>
      <c r="C33" s="68" t="s">
        <v>302</v>
      </c>
      <c r="D33" s="68" t="s">
        <v>243</v>
      </c>
      <c r="E33" s="68" t="s">
        <v>320</v>
      </c>
      <c r="F33" s="68" t="s">
        <v>320</v>
      </c>
      <c r="G33" s="68" t="s">
        <v>1399</v>
      </c>
      <c r="H33" s="68" t="s">
        <v>1367</v>
      </c>
    </row>
    <row r="34" customFormat="false" ht="15" hidden="false" customHeight="false" outlineLevel="0" collapsed="false">
      <c r="A34" s="68" t="n">
        <v>4</v>
      </c>
      <c r="B34" s="68" t="s">
        <v>301</v>
      </c>
      <c r="C34" s="68" t="s">
        <v>302</v>
      </c>
      <c r="D34" s="68" t="s">
        <v>261</v>
      </c>
      <c r="E34" s="68" t="s">
        <v>306</v>
      </c>
      <c r="F34" s="68" t="s">
        <v>306</v>
      </c>
      <c r="G34" s="68" t="s">
        <v>1400</v>
      </c>
      <c r="H34" s="68" t="s">
        <v>1367</v>
      </c>
    </row>
    <row r="35" customFormat="false" ht="15" hidden="false" customHeight="false" outlineLevel="0" collapsed="false">
      <c r="A35" s="68" t="n">
        <v>4</v>
      </c>
      <c r="B35" s="68" t="s">
        <v>301</v>
      </c>
      <c r="C35" s="68" t="s">
        <v>302</v>
      </c>
      <c r="D35" s="68" t="s">
        <v>249</v>
      </c>
      <c r="E35" s="68" t="n">
        <v>329</v>
      </c>
      <c r="F35" s="68" t="n">
        <v>329</v>
      </c>
      <c r="G35" s="68" t="s">
        <v>1401</v>
      </c>
      <c r="H35" s="68" t="s">
        <v>1367</v>
      </c>
    </row>
    <row r="36" customFormat="false" ht="15" hidden="false" customHeight="false" outlineLevel="0" collapsed="false">
      <c r="A36" s="68" t="n">
        <v>4</v>
      </c>
      <c r="B36" s="68" t="s">
        <v>301</v>
      </c>
      <c r="C36" s="68" t="s">
        <v>302</v>
      </c>
      <c r="D36" s="68" t="s">
        <v>250</v>
      </c>
      <c r="E36" s="68" t="n">
        <v>379</v>
      </c>
      <c r="F36" s="68" t="n">
        <v>379</v>
      </c>
      <c r="G36" s="68" t="s">
        <v>1402</v>
      </c>
      <c r="H36" s="68" t="s">
        <v>1367</v>
      </c>
    </row>
    <row r="37" customFormat="false" ht="15" hidden="false" customHeight="false" outlineLevel="0" collapsed="false">
      <c r="A37" s="68" t="n">
        <v>4</v>
      </c>
      <c r="B37" s="68" t="s">
        <v>301</v>
      </c>
      <c r="C37" s="68" t="s">
        <v>302</v>
      </c>
      <c r="D37" s="68" t="s">
        <v>258</v>
      </c>
      <c r="E37" s="68" t="s">
        <v>304</v>
      </c>
      <c r="F37" s="68" t="s">
        <v>304</v>
      </c>
      <c r="G37" s="68" t="s">
        <v>1403</v>
      </c>
      <c r="H37" s="68" t="s">
        <v>1367</v>
      </c>
    </row>
    <row r="38" customFormat="false" ht="15" hidden="false" customHeight="false" outlineLevel="0" collapsed="false">
      <c r="A38" s="68" t="n">
        <v>4</v>
      </c>
      <c r="B38" s="68" t="s">
        <v>301</v>
      </c>
      <c r="C38" s="68" t="s">
        <v>302</v>
      </c>
      <c r="D38" s="68" t="s">
        <v>923</v>
      </c>
      <c r="E38" s="68" t="s">
        <v>308</v>
      </c>
      <c r="F38" s="68" t="s">
        <v>308</v>
      </c>
      <c r="G38" s="68" t="s">
        <v>1404</v>
      </c>
      <c r="H38" s="68" t="s">
        <v>1367</v>
      </c>
    </row>
    <row r="39" customFormat="false" ht="15" hidden="false" customHeight="false" outlineLevel="0" collapsed="false">
      <c r="A39" s="68" t="n">
        <v>4</v>
      </c>
      <c r="B39" s="68" t="s">
        <v>301</v>
      </c>
      <c r="C39" s="68" t="s">
        <v>302</v>
      </c>
      <c r="D39" s="68" t="s">
        <v>1386</v>
      </c>
      <c r="E39" s="68" t="n">
        <v>420000</v>
      </c>
      <c r="F39" s="68" t="n">
        <v>420000</v>
      </c>
      <c r="G39" s="68" t="s">
        <v>1404</v>
      </c>
      <c r="H39" s="68" t="s">
        <v>1367</v>
      </c>
    </row>
    <row r="40" customFormat="false" ht="15" hidden="false" customHeight="false" outlineLevel="0" collapsed="false">
      <c r="A40" s="68" t="n">
        <v>5</v>
      </c>
      <c r="B40" s="68" t="s">
        <v>301</v>
      </c>
      <c r="C40" s="68" t="s">
        <v>302</v>
      </c>
      <c r="D40" s="68" t="s">
        <v>243</v>
      </c>
      <c r="E40" s="68" t="s">
        <v>323</v>
      </c>
      <c r="F40" s="68" t="s">
        <v>323</v>
      </c>
      <c r="G40" s="68" t="s">
        <v>1405</v>
      </c>
      <c r="H40" s="68" t="s">
        <v>1367</v>
      </c>
    </row>
    <row r="41" customFormat="false" ht="15" hidden="false" customHeight="false" outlineLevel="0" collapsed="false">
      <c r="A41" s="68" t="n">
        <v>5</v>
      </c>
      <c r="B41" s="68" t="s">
        <v>301</v>
      </c>
      <c r="C41" s="68" t="s">
        <v>302</v>
      </c>
      <c r="D41" s="68" t="s">
        <v>261</v>
      </c>
      <c r="E41" s="68" t="s">
        <v>306</v>
      </c>
      <c r="F41" s="68" t="s">
        <v>306</v>
      </c>
      <c r="G41" s="68" t="s">
        <v>1406</v>
      </c>
      <c r="H41" s="68" t="s">
        <v>1367</v>
      </c>
    </row>
    <row r="42" customFormat="false" ht="15" hidden="false" customHeight="false" outlineLevel="0" collapsed="false">
      <c r="A42" s="68" t="n">
        <v>5</v>
      </c>
      <c r="B42" s="68" t="s">
        <v>301</v>
      </c>
      <c r="C42" s="68" t="s">
        <v>302</v>
      </c>
      <c r="D42" s="68" t="s">
        <v>249</v>
      </c>
      <c r="E42" s="68" t="n">
        <v>311.3</v>
      </c>
      <c r="F42" s="68" t="n">
        <v>311.3</v>
      </c>
      <c r="G42" s="68" t="s">
        <v>1407</v>
      </c>
      <c r="H42" s="68" t="s">
        <v>1367</v>
      </c>
    </row>
    <row r="43" customFormat="false" ht="15" hidden="false" customHeight="false" outlineLevel="0" collapsed="false">
      <c r="A43" s="68" t="n">
        <v>5</v>
      </c>
      <c r="B43" s="68" t="s">
        <v>301</v>
      </c>
      <c r="C43" s="68" t="s">
        <v>302</v>
      </c>
      <c r="D43" s="68" t="s">
        <v>250</v>
      </c>
      <c r="E43" s="68" t="n">
        <v>48</v>
      </c>
      <c r="F43" s="68" t="n">
        <v>48</v>
      </c>
      <c r="G43" s="68" t="s">
        <v>1408</v>
      </c>
      <c r="H43" s="68" t="s">
        <v>1367</v>
      </c>
    </row>
    <row r="44" customFormat="false" ht="15" hidden="false" customHeight="false" outlineLevel="0" collapsed="false">
      <c r="A44" s="68" t="n">
        <v>5</v>
      </c>
      <c r="B44" s="68" t="s">
        <v>301</v>
      </c>
      <c r="C44" s="68" t="s">
        <v>302</v>
      </c>
      <c r="D44" s="68" t="s">
        <v>258</v>
      </c>
      <c r="E44" s="68" t="s">
        <v>304</v>
      </c>
      <c r="F44" s="68" t="s">
        <v>304</v>
      </c>
      <c r="G44" s="68" t="s">
        <v>1409</v>
      </c>
      <c r="H44" s="68" t="s">
        <v>1367</v>
      </c>
    </row>
    <row r="45" customFormat="false" ht="15" hidden="false" customHeight="false" outlineLevel="0" collapsed="false">
      <c r="A45" s="68" t="n">
        <v>5</v>
      </c>
      <c r="B45" s="68" t="s">
        <v>301</v>
      </c>
      <c r="C45" s="68" t="s">
        <v>302</v>
      </c>
      <c r="D45" s="68" t="s">
        <v>923</v>
      </c>
      <c r="E45" s="68" t="s">
        <v>308</v>
      </c>
      <c r="F45" s="68" t="s">
        <v>308</v>
      </c>
      <c r="G45" s="68" t="s">
        <v>1410</v>
      </c>
      <c r="H45" s="68" t="s">
        <v>1367</v>
      </c>
    </row>
    <row r="46" customFormat="false" ht="15" hidden="false" customHeight="false" outlineLevel="0" collapsed="false">
      <c r="A46" s="68" t="n">
        <v>5</v>
      </c>
      <c r="B46" s="68" t="s">
        <v>301</v>
      </c>
      <c r="C46" s="68" t="s">
        <v>302</v>
      </c>
      <c r="D46" s="68" t="s">
        <v>1386</v>
      </c>
      <c r="E46" s="68" t="n">
        <v>75000</v>
      </c>
      <c r="F46" s="68" t="n">
        <v>75000</v>
      </c>
      <c r="G46" s="68" t="s">
        <v>1410</v>
      </c>
      <c r="H46" s="68" t="s">
        <v>1367</v>
      </c>
    </row>
    <row r="47" customFormat="false" ht="15" hidden="false" customHeight="false" outlineLevel="0" collapsed="false">
      <c r="A47" s="68" t="n">
        <v>6</v>
      </c>
      <c r="B47" s="68" t="s">
        <v>301</v>
      </c>
      <c r="C47" s="68" t="s">
        <v>302</v>
      </c>
      <c r="D47" s="68" t="s">
        <v>243</v>
      </c>
      <c r="E47" s="68" t="s">
        <v>326</v>
      </c>
      <c r="F47" s="68" t="s">
        <v>326</v>
      </c>
      <c r="G47" s="68" t="s">
        <v>1411</v>
      </c>
      <c r="H47" s="68" t="s">
        <v>1367</v>
      </c>
    </row>
    <row r="48" customFormat="false" ht="15" hidden="false" customHeight="false" outlineLevel="0" collapsed="false">
      <c r="A48" s="68" t="n">
        <v>6</v>
      </c>
      <c r="B48" s="68" t="s">
        <v>301</v>
      </c>
      <c r="C48" s="68" t="s">
        <v>302</v>
      </c>
      <c r="D48" s="68" t="s">
        <v>261</v>
      </c>
      <c r="E48" s="68" t="s">
        <v>306</v>
      </c>
      <c r="F48" s="68" t="s">
        <v>306</v>
      </c>
      <c r="G48" s="68" t="s">
        <v>1412</v>
      </c>
      <c r="H48" s="68" t="s">
        <v>1367</v>
      </c>
    </row>
    <row r="49" customFormat="false" ht="15" hidden="false" customHeight="false" outlineLevel="0" collapsed="false">
      <c r="A49" s="68" t="n">
        <v>6</v>
      </c>
      <c r="B49" s="68" t="s">
        <v>301</v>
      </c>
      <c r="C49" s="68" t="s">
        <v>302</v>
      </c>
      <c r="D49" s="68" t="s">
        <v>249</v>
      </c>
      <c r="E49" s="68" t="n">
        <v>32</v>
      </c>
      <c r="F49" s="68" t="n">
        <v>32</v>
      </c>
      <c r="G49" s="68" t="s">
        <v>1413</v>
      </c>
      <c r="H49" s="68" t="s">
        <v>1367</v>
      </c>
    </row>
    <row r="50" customFormat="false" ht="15" hidden="false" customHeight="false" outlineLevel="0" collapsed="false">
      <c r="A50" s="68" t="n">
        <v>6</v>
      </c>
      <c r="B50" s="68" t="s">
        <v>301</v>
      </c>
      <c r="C50" s="68" t="s">
        <v>302</v>
      </c>
      <c r="D50" s="68" t="s">
        <v>250</v>
      </c>
      <c r="E50" s="68" t="n">
        <v>2.2</v>
      </c>
      <c r="F50" s="68" t="n">
        <v>2.2</v>
      </c>
      <c r="G50" s="68" t="s">
        <v>1414</v>
      </c>
      <c r="H50" s="68" t="s">
        <v>1367</v>
      </c>
    </row>
    <row r="51" customFormat="false" ht="15" hidden="false" customHeight="false" outlineLevel="0" collapsed="false">
      <c r="A51" s="68" t="n">
        <v>6</v>
      </c>
      <c r="B51" s="68" t="s">
        <v>301</v>
      </c>
      <c r="C51" s="68" t="s">
        <v>302</v>
      </c>
      <c r="D51" s="68" t="s">
        <v>258</v>
      </c>
      <c r="E51" s="68" t="s">
        <v>304</v>
      </c>
      <c r="F51" s="68" t="s">
        <v>304</v>
      </c>
      <c r="G51" s="68" t="s">
        <v>1415</v>
      </c>
      <c r="H51" s="68" t="s">
        <v>1367</v>
      </c>
    </row>
    <row r="52" customFormat="false" ht="15" hidden="false" customHeight="false" outlineLevel="0" collapsed="false">
      <c r="A52" s="68" t="n">
        <v>6</v>
      </c>
      <c r="B52" s="68" t="s">
        <v>301</v>
      </c>
      <c r="C52" s="68" t="s">
        <v>302</v>
      </c>
      <c r="D52" s="68" t="s">
        <v>923</v>
      </c>
      <c r="E52" s="68" t="s">
        <v>308</v>
      </c>
      <c r="F52" s="68" t="s">
        <v>308</v>
      </c>
      <c r="G52" s="68" t="s">
        <v>1416</v>
      </c>
      <c r="H52" s="68" t="s">
        <v>1367</v>
      </c>
    </row>
    <row r="53" customFormat="false" ht="15" hidden="false" customHeight="false" outlineLevel="0" collapsed="false">
      <c r="A53" s="68" t="n">
        <v>6</v>
      </c>
      <c r="B53" s="68" t="s">
        <v>301</v>
      </c>
      <c r="C53" s="68" t="s">
        <v>302</v>
      </c>
      <c r="D53" s="68" t="s">
        <v>1386</v>
      </c>
      <c r="E53" s="68" t="n">
        <v>60000</v>
      </c>
      <c r="F53" s="68" t="n">
        <v>60000</v>
      </c>
      <c r="G53" s="68" t="s">
        <v>1416</v>
      </c>
      <c r="H53" s="68" t="s">
        <v>1367</v>
      </c>
    </row>
    <row r="54" customFormat="false" ht="15" hidden="false" customHeight="false" outlineLevel="0" collapsed="false">
      <c r="A54" s="68" t="n">
        <v>7</v>
      </c>
      <c r="B54" s="68" t="s">
        <v>301</v>
      </c>
      <c r="C54" s="68" t="s">
        <v>302</v>
      </c>
      <c r="D54" s="68" t="s">
        <v>243</v>
      </c>
      <c r="E54" s="68" t="s">
        <v>330</v>
      </c>
      <c r="F54" s="68" t="s">
        <v>330</v>
      </c>
      <c r="G54" s="68" t="s">
        <v>1417</v>
      </c>
      <c r="H54" s="68" t="s">
        <v>1367</v>
      </c>
    </row>
    <row r="55" customFormat="false" ht="15" hidden="false" customHeight="false" outlineLevel="0" collapsed="false">
      <c r="A55" s="68" t="n">
        <v>7</v>
      </c>
      <c r="B55" s="68" t="s">
        <v>301</v>
      </c>
      <c r="C55" s="68" t="s">
        <v>302</v>
      </c>
      <c r="D55" s="68" t="s">
        <v>261</v>
      </c>
      <c r="E55" s="68" t="s">
        <v>306</v>
      </c>
      <c r="F55" s="68" t="s">
        <v>306</v>
      </c>
      <c r="G55" s="68" t="s">
        <v>1418</v>
      </c>
      <c r="H55" s="68" t="s">
        <v>1367</v>
      </c>
    </row>
    <row r="56" customFormat="false" ht="15" hidden="false" customHeight="false" outlineLevel="0" collapsed="false">
      <c r="A56" s="68" t="n">
        <v>7</v>
      </c>
      <c r="B56" s="68" t="s">
        <v>301</v>
      </c>
      <c r="C56" s="68" t="s">
        <v>302</v>
      </c>
      <c r="D56" s="68" t="s">
        <v>249</v>
      </c>
      <c r="E56" s="68" t="n">
        <v>36.2</v>
      </c>
      <c r="F56" s="68" t="n">
        <v>36.2</v>
      </c>
      <c r="G56" s="68" t="s">
        <v>1419</v>
      </c>
      <c r="H56" s="68" t="s">
        <v>1367</v>
      </c>
    </row>
    <row r="57" customFormat="false" ht="15" hidden="false" customHeight="false" outlineLevel="0" collapsed="false">
      <c r="A57" s="68" t="n">
        <v>7</v>
      </c>
      <c r="B57" s="68" t="s">
        <v>301</v>
      </c>
      <c r="C57" s="68" t="s">
        <v>302</v>
      </c>
      <c r="D57" s="68" t="s">
        <v>250</v>
      </c>
      <c r="E57" s="68" t="n">
        <v>13.1</v>
      </c>
      <c r="F57" s="68" t="n">
        <v>13.1</v>
      </c>
      <c r="G57" s="68" t="s">
        <v>1420</v>
      </c>
      <c r="H57" s="68" t="s">
        <v>1367</v>
      </c>
    </row>
    <row r="58" customFormat="false" ht="15" hidden="false" customHeight="false" outlineLevel="0" collapsed="false">
      <c r="A58" s="68" t="n">
        <v>7</v>
      </c>
      <c r="B58" s="68" t="s">
        <v>301</v>
      </c>
      <c r="C58" s="68" t="s">
        <v>302</v>
      </c>
      <c r="D58" s="68" t="s">
        <v>258</v>
      </c>
      <c r="E58" s="68" t="s">
        <v>304</v>
      </c>
      <c r="F58" s="68" t="s">
        <v>304</v>
      </c>
      <c r="G58" s="68" t="s">
        <v>1421</v>
      </c>
      <c r="H58" s="68" t="s">
        <v>1367</v>
      </c>
    </row>
    <row r="59" customFormat="false" ht="15" hidden="false" customHeight="false" outlineLevel="0" collapsed="false">
      <c r="A59" s="68" t="n">
        <v>7</v>
      </c>
      <c r="B59" s="68" t="s">
        <v>301</v>
      </c>
      <c r="C59" s="68" t="s">
        <v>302</v>
      </c>
      <c r="D59" s="68" t="s">
        <v>923</v>
      </c>
      <c r="E59" s="68" t="s">
        <v>308</v>
      </c>
      <c r="F59" s="68" t="s">
        <v>308</v>
      </c>
      <c r="G59" s="68" t="s">
        <v>1422</v>
      </c>
      <c r="H59" s="68" t="s">
        <v>1367</v>
      </c>
    </row>
    <row r="60" customFormat="false" ht="15" hidden="false" customHeight="false" outlineLevel="0" collapsed="false">
      <c r="A60" s="68" t="n">
        <v>7</v>
      </c>
      <c r="B60" s="68" t="s">
        <v>301</v>
      </c>
      <c r="C60" s="68" t="s">
        <v>302</v>
      </c>
      <c r="D60" s="68" t="s">
        <v>1386</v>
      </c>
      <c r="E60" s="68" t="n">
        <v>60000</v>
      </c>
      <c r="F60" s="68" t="n">
        <v>60000</v>
      </c>
      <c r="G60" s="68" t="s">
        <v>1422</v>
      </c>
      <c r="H60" s="68" t="s">
        <v>1367</v>
      </c>
    </row>
    <row r="61" customFormat="false" ht="15" hidden="false" customHeight="false" outlineLevel="0" collapsed="false">
      <c r="A61" s="68" t="n">
        <v>8</v>
      </c>
      <c r="B61" s="68" t="s">
        <v>301</v>
      </c>
      <c r="C61" s="68" t="s">
        <v>302</v>
      </c>
      <c r="D61" s="68" t="s">
        <v>243</v>
      </c>
      <c r="E61" s="68" t="s">
        <v>333</v>
      </c>
      <c r="F61" s="68" t="s">
        <v>333</v>
      </c>
      <c r="G61" s="68" t="s">
        <v>1423</v>
      </c>
      <c r="H61" s="68" t="s">
        <v>1367</v>
      </c>
    </row>
    <row r="62" customFormat="false" ht="15" hidden="false" customHeight="false" outlineLevel="0" collapsed="false">
      <c r="A62" s="68" t="n">
        <v>8</v>
      </c>
      <c r="B62" s="68" t="s">
        <v>301</v>
      </c>
      <c r="C62" s="68" t="s">
        <v>302</v>
      </c>
      <c r="D62" s="68" t="s">
        <v>261</v>
      </c>
      <c r="E62" s="68" t="s">
        <v>306</v>
      </c>
      <c r="F62" s="68" t="s">
        <v>306</v>
      </c>
      <c r="G62" s="68" t="s">
        <v>1424</v>
      </c>
      <c r="H62" s="68" t="s">
        <v>1367</v>
      </c>
    </row>
    <row r="63" customFormat="false" ht="15" hidden="false" customHeight="false" outlineLevel="0" collapsed="false">
      <c r="A63" s="68" t="n">
        <v>8</v>
      </c>
      <c r="B63" s="68" t="s">
        <v>301</v>
      </c>
      <c r="C63" s="68" t="s">
        <v>302</v>
      </c>
      <c r="D63" s="68" t="s">
        <v>249</v>
      </c>
      <c r="E63" s="68" t="n">
        <v>1383</v>
      </c>
      <c r="F63" s="68" t="n">
        <v>1383</v>
      </c>
      <c r="G63" s="68" t="s">
        <v>1425</v>
      </c>
      <c r="H63" s="68" t="s">
        <v>1367</v>
      </c>
    </row>
    <row r="64" customFormat="false" ht="15" hidden="false" customHeight="false" outlineLevel="0" collapsed="false">
      <c r="A64" s="68" t="n">
        <v>8</v>
      </c>
      <c r="B64" s="68" t="s">
        <v>301</v>
      </c>
      <c r="C64" s="68" t="s">
        <v>302</v>
      </c>
      <c r="D64" s="68" t="s">
        <v>250</v>
      </c>
      <c r="E64" s="68" t="n">
        <v>423</v>
      </c>
      <c r="F64" s="68" t="n">
        <v>423</v>
      </c>
      <c r="G64" s="68" t="s">
        <v>1426</v>
      </c>
      <c r="H64" s="68" t="s">
        <v>1367</v>
      </c>
    </row>
    <row r="65" customFormat="false" ht="15" hidden="false" customHeight="false" outlineLevel="0" collapsed="false">
      <c r="A65" s="68" t="n">
        <v>8</v>
      </c>
      <c r="B65" s="68" t="s">
        <v>301</v>
      </c>
      <c r="C65" s="68" t="s">
        <v>302</v>
      </c>
      <c r="D65" s="68" t="s">
        <v>258</v>
      </c>
      <c r="E65" s="68" t="s">
        <v>304</v>
      </c>
      <c r="F65" s="68" t="s">
        <v>304</v>
      </c>
      <c r="G65" s="68" t="s">
        <v>1427</v>
      </c>
      <c r="H65" s="68" t="s">
        <v>1367</v>
      </c>
    </row>
    <row r="66" customFormat="false" ht="15" hidden="false" customHeight="false" outlineLevel="0" collapsed="false">
      <c r="A66" s="68" t="n">
        <v>8</v>
      </c>
      <c r="B66" s="68" t="s">
        <v>301</v>
      </c>
      <c r="C66" s="68" t="s">
        <v>302</v>
      </c>
      <c r="D66" s="68" t="s">
        <v>923</v>
      </c>
      <c r="E66" s="68" t="s">
        <v>308</v>
      </c>
      <c r="F66" s="68" t="s">
        <v>308</v>
      </c>
      <c r="G66" s="68" t="s">
        <v>1428</v>
      </c>
      <c r="H66" s="68" t="s">
        <v>1367</v>
      </c>
    </row>
    <row r="67" customFormat="false" ht="15" hidden="false" customHeight="false" outlineLevel="0" collapsed="false">
      <c r="A67" s="68" t="n">
        <v>8</v>
      </c>
      <c r="B67" s="68" t="s">
        <v>301</v>
      </c>
      <c r="C67" s="68" t="s">
        <v>302</v>
      </c>
      <c r="D67" s="68" t="s">
        <v>1386</v>
      </c>
      <c r="E67" s="68" t="n">
        <v>410000</v>
      </c>
      <c r="F67" s="68" t="n">
        <v>410000</v>
      </c>
      <c r="G67" s="68" t="s">
        <v>1428</v>
      </c>
      <c r="H67" s="68" t="s">
        <v>1367</v>
      </c>
    </row>
    <row r="68" customFormat="false" ht="15" hidden="false" customHeight="false" outlineLevel="0" collapsed="false">
      <c r="A68" s="68" t="n">
        <v>9</v>
      </c>
      <c r="B68" s="68" t="s">
        <v>301</v>
      </c>
      <c r="C68" s="68" t="s">
        <v>302</v>
      </c>
      <c r="D68" s="68" t="s">
        <v>243</v>
      </c>
      <c r="E68" s="68" t="s">
        <v>337</v>
      </c>
      <c r="F68" s="68" t="s">
        <v>337</v>
      </c>
      <c r="G68" s="68" t="s">
        <v>1429</v>
      </c>
      <c r="H68" s="68" t="s">
        <v>1367</v>
      </c>
    </row>
    <row r="69" customFormat="false" ht="15" hidden="false" customHeight="false" outlineLevel="0" collapsed="false">
      <c r="A69" s="68" t="n">
        <v>9</v>
      </c>
      <c r="B69" s="68" t="s">
        <v>301</v>
      </c>
      <c r="C69" s="68" t="s">
        <v>302</v>
      </c>
      <c r="D69" s="68" t="s">
        <v>261</v>
      </c>
      <c r="E69" s="68" t="s">
        <v>306</v>
      </c>
      <c r="F69" s="68" t="s">
        <v>306</v>
      </c>
      <c r="G69" s="68" t="s">
        <v>1430</v>
      </c>
      <c r="H69" s="68" t="s">
        <v>1367</v>
      </c>
    </row>
    <row r="70" customFormat="false" ht="15" hidden="false" customHeight="false" outlineLevel="0" collapsed="false">
      <c r="A70" s="68" t="n">
        <v>9</v>
      </c>
      <c r="B70" s="68" t="s">
        <v>301</v>
      </c>
      <c r="C70" s="68" t="s">
        <v>302</v>
      </c>
      <c r="D70" s="68" t="s">
        <v>249</v>
      </c>
      <c r="E70" s="68" t="n">
        <v>41</v>
      </c>
      <c r="F70" s="68" t="n">
        <v>41</v>
      </c>
      <c r="G70" s="68" t="s">
        <v>1431</v>
      </c>
      <c r="H70" s="68" t="s">
        <v>1367</v>
      </c>
    </row>
    <row r="71" customFormat="false" ht="15" hidden="false" customHeight="false" outlineLevel="0" collapsed="false">
      <c r="A71" s="68" t="n">
        <v>9</v>
      </c>
      <c r="B71" s="68" t="s">
        <v>301</v>
      </c>
      <c r="C71" s="68" t="s">
        <v>302</v>
      </c>
      <c r="D71" s="68" t="s">
        <v>250</v>
      </c>
      <c r="E71" s="68" t="n">
        <v>3.9</v>
      </c>
      <c r="F71" s="68" t="n">
        <v>3.9</v>
      </c>
      <c r="G71" s="68" t="s">
        <v>1432</v>
      </c>
      <c r="H71" s="68" t="s">
        <v>1367</v>
      </c>
    </row>
    <row r="72" customFormat="false" ht="15" hidden="false" customHeight="false" outlineLevel="0" collapsed="false">
      <c r="A72" s="68" t="n">
        <v>9</v>
      </c>
      <c r="B72" s="68" t="s">
        <v>301</v>
      </c>
      <c r="C72" s="68" t="s">
        <v>302</v>
      </c>
      <c r="D72" s="68" t="s">
        <v>258</v>
      </c>
      <c r="E72" s="68" t="s">
        <v>304</v>
      </c>
      <c r="F72" s="68" t="s">
        <v>304</v>
      </c>
      <c r="G72" s="68" t="s">
        <v>1433</v>
      </c>
      <c r="H72" s="68" t="s">
        <v>1367</v>
      </c>
    </row>
    <row r="73" customFormat="false" ht="15" hidden="false" customHeight="false" outlineLevel="0" collapsed="false">
      <c r="A73" s="68" t="n">
        <v>9</v>
      </c>
      <c r="B73" s="68" t="s">
        <v>301</v>
      </c>
      <c r="C73" s="68" t="s">
        <v>302</v>
      </c>
      <c r="D73" s="68" t="s">
        <v>923</v>
      </c>
      <c r="E73" s="68" t="s">
        <v>308</v>
      </c>
      <c r="F73" s="68" t="s">
        <v>308</v>
      </c>
      <c r="G73" s="68" t="s">
        <v>1434</v>
      </c>
      <c r="H73" s="68" t="s">
        <v>1367</v>
      </c>
    </row>
    <row r="74" customFormat="false" ht="15" hidden="false" customHeight="false" outlineLevel="0" collapsed="false">
      <c r="A74" s="68" t="n">
        <v>9</v>
      </c>
      <c r="B74" s="68" t="s">
        <v>301</v>
      </c>
      <c r="C74" s="68" t="s">
        <v>302</v>
      </c>
      <c r="D74" s="68" t="s">
        <v>1386</v>
      </c>
      <c r="E74" s="68" t="n">
        <v>8000</v>
      </c>
      <c r="F74" s="68" t="n">
        <v>8000</v>
      </c>
      <c r="G74" s="68" t="s">
        <v>1434</v>
      </c>
      <c r="H74" s="68" t="s">
        <v>1367</v>
      </c>
    </row>
    <row r="75" customFormat="false" ht="15" hidden="false" customHeight="false" outlineLevel="0" collapsed="false">
      <c r="A75" s="68" t="n">
        <v>10</v>
      </c>
      <c r="B75" s="68" t="s">
        <v>301</v>
      </c>
      <c r="C75" s="68" t="s">
        <v>302</v>
      </c>
      <c r="D75" s="68" t="s">
        <v>243</v>
      </c>
      <c r="E75" s="68" t="s">
        <v>341</v>
      </c>
      <c r="F75" s="68" t="s">
        <v>341</v>
      </c>
      <c r="G75" s="68" t="s">
        <v>1435</v>
      </c>
      <c r="H75" s="68" t="s">
        <v>1367</v>
      </c>
    </row>
    <row r="76" customFormat="false" ht="15" hidden="false" customHeight="false" outlineLevel="0" collapsed="false">
      <c r="A76" s="68" t="n">
        <v>10</v>
      </c>
      <c r="B76" s="68" t="s">
        <v>301</v>
      </c>
      <c r="C76" s="68" t="s">
        <v>302</v>
      </c>
      <c r="D76" s="68" t="s">
        <v>261</v>
      </c>
      <c r="E76" s="68" t="s">
        <v>306</v>
      </c>
      <c r="F76" s="68" t="s">
        <v>306</v>
      </c>
      <c r="G76" s="68" t="s">
        <v>1436</v>
      </c>
      <c r="H76" s="68" t="s">
        <v>1367</v>
      </c>
    </row>
    <row r="77" customFormat="false" ht="15" hidden="false" customHeight="false" outlineLevel="0" collapsed="false">
      <c r="A77" s="68" t="n">
        <v>10</v>
      </c>
      <c r="B77" s="68" t="s">
        <v>301</v>
      </c>
      <c r="C77" s="68" t="s">
        <v>302</v>
      </c>
      <c r="D77" s="68" t="s">
        <v>249</v>
      </c>
      <c r="E77" s="68" t="n">
        <v>120</v>
      </c>
      <c r="F77" s="68" t="n">
        <v>120</v>
      </c>
      <c r="G77" s="68" t="s">
        <v>1437</v>
      </c>
      <c r="H77" s="68" t="s">
        <v>1367</v>
      </c>
    </row>
    <row r="78" customFormat="false" ht="15" hidden="false" customHeight="false" outlineLevel="0" collapsed="false">
      <c r="A78" s="68" t="n">
        <v>10</v>
      </c>
      <c r="B78" s="68" t="s">
        <v>301</v>
      </c>
      <c r="C78" s="68" t="s">
        <v>302</v>
      </c>
      <c r="D78" s="68" t="s">
        <v>250</v>
      </c>
      <c r="E78" s="68" t="n">
        <v>13.7</v>
      </c>
      <c r="F78" s="68" t="n">
        <v>13.7</v>
      </c>
      <c r="G78" s="68" t="s">
        <v>1438</v>
      </c>
      <c r="H78" s="68" t="s">
        <v>1367</v>
      </c>
    </row>
    <row r="79" customFormat="false" ht="15" hidden="false" customHeight="false" outlineLevel="0" collapsed="false">
      <c r="A79" s="68" t="n">
        <v>10</v>
      </c>
      <c r="B79" s="68" t="s">
        <v>301</v>
      </c>
      <c r="C79" s="68" t="s">
        <v>302</v>
      </c>
      <c r="D79" s="68" t="s">
        <v>258</v>
      </c>
      <c r="E79" s="68" t="s">
        <v>304</v>
      </c>
      <c r="F79" s="68" t="s">
        <v>304</v>
      </c>
      <c r="G79" s="68" t="s">
        <v>1439</v>
      </c>
      <c r="H79" s="68" t="s">
        <v>1367</v>
      </c>
    </row>
    <row r="80" customFormat="false" ht="15" hidden="false" customHeight="false" outlineLevel="0" collapsed="false">
      <c r="A80" s="68" t="n">
        <v>10</v>
      </c>
      <c r="B80" s="68" t="s">
        <v>301</v>
      </c>
      <c r="C80" s="68" t="s">
        <v>302</v>
      </c>
      <c r="D80" s="68" t="s">
        <v>923</v>
      </c>
      <c r="E80" s="68" t="s">
        <v>308</v>
      </c>
      <c r="F80" s="68" t="s">
        <v>308</v>
      </c>
      <c r="G80" s="68" t="s">
        <v>1440</v>
      </c>
      <c r="H80" s="68" t="s">
        <v>1367</v>
      </c>
    </row>
    <row r="81" customFormat="false" ht="15" hidden="false" customHeight="false" outlineLevel="0" collapsed="false">
      <c r="A81" s="68" t="n">
        <v>10</v>
      </c>
      <c r="B81" s="68" t="s">
        <v>301</v>
      </c>
      <c r="C81" s="68" t="s">
        <v>302</v>
      </c>
      <c r="D81" s="68" t="s">
        <v>1386</v>
      </c>
      <c r="E81" s="68" t="n">
        <v>40000</v>
      </c>
      <c r="F81" s="68" t="n">
        <v>40000</v>
      </c>
      <c r="G81" s="68" t="s">
        <v>1440</v>
      </c>
      <c r="H81" s="68" t="s">
        <v>1367</v>
      </c>
    </row>
    <row r="82" customFormat="false" ht="15" hidden="false" customHeight="false" outlineLevel="0" collapsed="false">
      <c r="A82" s="68" t="n">
        <v>11</v>
      </c>
      <c r="B82" s="68" t="s">
        <v>301</v>
      </c>
      <c r="C82" s="68" t="s">
        <v>302</v>
      </c>
      <c r="D82" s="68" t="s">
        <v>243</v>
      </c>
      <c r="E82" s="68" t="s">
        <v>345</v>
      </c>
      <c r="F82" s="68" t="s">
        <v>345</v>
      </c>
      <c r="G82" s="68" t="s">
        <v>1441</v>
      </c>
      <c r="H82" s="68" t="s">
        <v>1367</v>
      </c>
    </row>
    <row r="83" customFormat="false" ht="15" hidden="false" customHeight="false" outlineLevel="0" collapsed="false">
      <c r="A83" s="68" t="n">
        <v>11</v>
      </c>
      <c r="B83" s="68" t="s">
        <v>301</v>
      </c>
      <c r="C83" s="68" t="s">
        <v>302</v>
      </c>
      <c r="D83" s="68" t="s">
        <v>261</v>
      </c>
      <c r="E83" s="68" t="s">
        <v>347</v>
      </c>
      <c r="F83" s="68" t="s">
        <v>1442</v>
      </c>
      <c r="G83" s="68" t="s">
        <v>1443</v>
      </c>
      <c r="H83" s="68" t="s">
        <v>1367</v>
      </c>
    </row>
    <row r="84" customFormat="false" ht="15" hidden="false" customHeight="false" outlineLevel="0" collapsed="false">
      <c r="A84" s="68" t="n">
        <v>11</v>
      </c>
      <c r="B84" s="68" t="s">
        <v>301</v>
      </c>
      <c r="C84" s="68" t="s">
        <v>302</v>
      </c>
      <c r="D84" s="68" t="s">
        <v>249</v>
      </c>
      <c r="E84" s="68" t="n">
        <v>27.2</v>
      </c>
      <c r="F84" s="68" t="n">
        <v>27.2</v>
      </c>
      <c r="G84" s="68" t="s">
        <v>1444</v>
      </c>
      <c r="H84" s="68" t="s">
        <v>1367</v>
      </c>
    </row>
    <row r="85" customFormat="false" ht="15" hidden="false" customHeight="false" outlineLevel="0" collapsed="false">
      <c r="A85" s="68" t="n">
        <v>11</v>
      </c>
      <c r="B85" s="68" t="s">
        <v>301</v>
      </c>
      <c r="C85" s="68" t="s">
        <v>302</v>
      </c>
      <c r="D85" s="68" t="s">
        <v>250</v>
      </c>
      <c r="E85" s="68" t="n">
        <v>4</v>
      </c>
      <c r="F85" s="68" t="n">
        <v>4</v>
      </c>
      <c r="G85" s="68" t="s">
        <v>1445</v>
      </c>
      <c r="H85" s="68" t="s">
        <v>1367</v>
      </c>
    </row>
    <row r="86" customFormat="false" ht="15" hidden="false" customHeight="false" outlineLevel="0" collapsed="false">
      <c r="A86" s="68" t="n">
        <v>11</v>
      </c>
      <c r="B86" s="68" t="s">
        <v>301</v>
      </c>
      <c r="C86" s="68" t="s">
        <v>302</v>
      </c>
      <c r="D86" s="68" t="s">
        <v>258</v>
      </c>
      <c r="E86" s="68" t="s">
        <v>304</v>
      </c>
      <c r="F86" s="68" t="s">
        <v>304</v>
      </c>
      <c r="G86" s="68" t="s">
        <v>1446</v>
      </c>
      <c r="H86" s="68" t="s">
        <v>1367</v>
      </c>
    </row>
    <row r="87" customFormat="false" ht="15" hidden="false" customHeight="false" outlineLevel="0" collapsed="false">
      <c r="A87" s="68" t="n">
        <v>11</v>
      </c>
      <c r="B87" s="68" t="s">
        <v>301</v>
      </c>
      <c r="C87" s="68" t="s">
        <v>302</v>
      </c>
      <c r="D87" s="68" t="s">
        <v>923</v>
      </c>
      <c r="E87" s="68" t="s">
        <v>308</v>
      </c>
      <c r="F87" s="68" t="s">
        <v>308</v>
      </c>
      <c r="G87" s="68" t="s">
        <v>1447</v>
      </c>
      <c r="H87" s="68" t="s">
        <v>1367</v>
      </c>
    </row>
    <row r="88" customFormat="false" ht="15" hidden="false" customHeight="false" outlineLevel="0" collapsed="false">
      <c r="A88" s="68" t="n">
        <v>11</v>
      </c>
      <c r="B88" s="68" t="s">
        <v>301</v>
      </c>
      <c r="C88" s="68" t="s">
        <v>302</v>
      </c>
      <c r="D88" s="68" t="s">
        <v>1386</v>
      </c>
      <c r="E88" s="68" t="n">
        <v>5000</v>
      </c>
      <c r="F88" s="68" t="n">
        <v>5000</v>
      </c>
      <c r="G88" s="68" t="s">
        <v>1447</v>
      </c>
      <c r="H88" s="68" t="s">
        <v>1367</v>
      </c>
    </row>
    <row r="89" customFormat="false" ht="15" hidden="false" customHeight="false" outlineLevel="0" collapsed="false">
      <c r="A89" s="68" t="n">
        <v>12</v>
      </c>
      <c r="B89" s="68" t="s">
        <v>301</v>
      </c>
      <c r="C89" s="68" t="s">
        <v>302</v>
      </c>
      <c r="D89" s="68" t="s">
        <v>243</v>
      </c>
      <c r="E89" s="68" t="s">
        <v>350</v>
      </c>
      <c r="F89" s="68" t="s">
        <v>350</v>
      </c>
      <c r="G89" s="68" t="s">
        <v>1448</v>
      </c>
      <c r="H89" s="68" t="s">
        <v>1367</v>
      </c>
    </row>
    <row r="90" customFormat="false" ht="15" hidden="false" customHeight="false" outlineLevel="0" collapsed="false">
      <c r="A90" s="68" t="n">
        <v>12</v>
      </c>
      <c r="B90" s="68" t="s">
        <v>301</v>
      </c>
      <c r="C90" s="68" t="s">
        <v>302</v>
      </c>
      <c r="D90" s="68" t="s">
        <v>261</v>
      </c>
      <c r="E90" s="68" t="s">
        <v>351</v>
      </c>
      <c r="F90" s="68" t="s">
        <v>1449</v>
      </c>
      <c r="G90" s="68" t="s">
        <v>1450</v>
      </c>
      <c r="H90" s="68" t="s">
        <v>1367</v>
      </c>
    </row>
    <row r="91" customFormat="false" ht="15" hidden="false" customHeight="false" outlineLevel="0" collapsed="false">
      <c r="A91" s="68" t="n">
        <v>12</v>
      </c>
      <c r="B91" s="68" t="s">
        <v>301</v>
      </c>
      <c r="C91" s="68" t="s">
        <v>302</v>
      </c>
      <c r="D91" s="68" t="s">
        <v>249</v>
      </c>
      <c r="E91" s="68" t="n">
        <v>40.8</v>
      </c>
      <c r="F91" s="68" t="n">
        <v>40.8</v>
      </c>
      <c r="G91" s="68" t="s">
        <v>1451</v>
      </c>
      <c r="H91" s="68" t="s">
        <v>1367</v>
      </c>
    </row>
    <row r="92" customFormat="false" ht="15" hidden="false" customHeight="false" outlineLevel="0" collapsed="false">
      <c r="A92" s="68" t="n">
        <v>12</v>
      </c>
      <c r="B92" s="68" t="s">
        <v>301</v>
      </c>
      <c r="C92" s="68" t="s">
        <v>302</v>
      </c>
      <c r="D92" s="68" t="s">
        <v>250</v>
      </c>
      <c r="E92" s="68" t="n">
        <v>0.8</v>
      </c>
      <c r="F92" s="68" t="n">
        <v>0.8</v>
      </c>
      <c r="G92" s="68" t="s">
        <v>1452</v>
      </c>
      <c r="H92" s="68" t="s">
        <v>1367</v>
      </c>
    </row>
    <row r="93" customFormat="false" ht="15" hidden="false" customHeight="false" outlineLevel="0" collapsed="false">
      <c r="A93" s="68" t="n">
        <v>12</v>
      </c>
      <c r="B93" s="68" t="s">
        <v>301</v>
      </c>
      <c r="C93" s="68" t="s">
        <v>302</v>
      </c>
      <c r="D93" s="68" t="s">
        <v>258</v>
      </c>
      <c r="E93" s="68" t="s">
        <v>304</v>
      </c>
      <c r="F93" s="68" t="s">
        <v>304</v>
      </c>
      <c r="G93" s="68" t="s">
        <v>1453</v>
      </c>
      <c r="H93" s="68" t="s">
        <v>1367</v>
      </c>
    </row>
    <row r="94" customFormat="false" ht="15" hidden="false" customHeight="false" outlineLevel="0" collapsed="false">
      <c r="A94" s="68" t="n">
        <v>12</v>
      </c>
      <c r="B94" s="68" t="s">
        <v>301</v>
      </c>
      <c r="C94" s="68" t="s">
        <v>302</v>
      </c>
      <c r="D94" s="68" t="s">
        <v>923</v>
      </c>
      <c r="E94" s="68" t="s">
        <v>308</v>
      </c>
      <c r="F94" s="68" t="s">
        <v>308</v>
      </c>
      <c r="G94" s="68" t="s">
        <v>1454</v>
      </c>
      <c r="H94" s="68" t="s">
        <v>1367</v>
      </c>
    </row>
    <row r="95" customFormat="false" ht="15" hidden="false" customHeight="false" outlineLevel="0" collapsed="false">
      <c r="A95" s="68" t="n">
        <v>12</v>
      </c>
      <c r="B95" s="68" t="s">
        <v>301</v>
      </c>
      <c r="C95" s="68" t="s">
        <v>302</v>
      </c>
      <c r="D95" s="68" t="s">
        <v>1386</v>
      </c>
      <c r="E95" s="68" t="n">
        <v>3000</v>
      </c>
      <c r="F95" s="68" t="n">
        <v>3000</v>
      </c>
      <c r="G95" s="68" t="s">
        <v>1454</v>
      </c>
      <c r="H95" s="68" t="s">
        <v>1367</v>
      </c>
    </row>
    <row r="96" customFormat="false" ht="15" hidden="false" customHeight="false" outlineLevel="0" collapsed="false">
      <c r="A96" s="68" t="n">
        <v>13</v>
      </c>
      <c r="B96" s="68" t="s">
        <v>301</v>
      </c>
      <c r="C96" s="68" t="s">
        <v>302</v>
      </c>
      <c r="D96" s="68" t="s">
        <v>243</v>
      </c>
      <c r="E96" s="68" t="s">
        <v>354</v>
      </c>
      <c r="F96" s="68" t="s">
        <v>354</v>
      </c>
      <c r="G96" s="68" t="s">
        <v>1455</v>
      </c>
      <c r="H96" s="68" t="s">
        <v>1367</v>
      </c>
    </row>
    <row r="97" customFormat="false" ht="15" hidden="false" customHeight="false" outlineLevel="0" collapsed="false">
      <c r="A97" s="68" t="n">
        <v>13</v>
      </c>
      <c r="B97" s="68" t="s">
        <v>301</v>
      </c>
      <c r="C97" s="68" t="s">
        <v>302</v>
      </c>
      <c r="D97" s="68" t="s">
        <v>261</v>
      </c>
      <c r="E97" s="68" t="s">
        <v>306</v>
      </c>
      <c r="F97" s="68" t="s">
        <v>306</v>
      </c>
      <c r="G97" s="68" t="s">
        <v>1456</v>
      </c>
      <c r="H97" s="68" t="s">
        <v>1367</v>
      </c>
    </row>
    <row r="98" customFormat="false" ht="15" hidden="false" customHeight="false" outlineLevel="0" collapsed="false">
      <c r="A98" s="68" t="n">
        <v>13</v>
      </c>
      <c r="B98" s="68" t="s">
        <v>301</v>
      </c>
      <c r="C98" s="68" t="s">
        <v>302</v>
      </c>
      <c r="D98" s="68" t="s">
        <v>249</v>
      </c>
      <c r="E98" s="68" t="n">
        <v>15</v>
      </c>
      <c r="F98" s="68" t="n">
        <v>15</v>
      </c>
      <c r="G98" s="68" t="s">
        <v>1457</v>
      </c>
      <c r="H98" s="68" t="s">
        <v>1367</v>
      </c>
    </row>
    <row r="99" customFormat="false" ht="15" hidden="false" customHeight="false" outlineLevel="0" collapsed="false">
      <c r="A99" s="68" t="n">
        <v>13</v>
      </c>
      <c r="B99" s="68" t="s">
        <v>301</v>
      </c>
      <c r="C99" s="68" t="s">
        <v>302</v>
      </c>
      <c r="D99" s="68" t="s">
        <v>250</v>
      </c>
      <c r="E99" s="68" t="n">
        <v>5</v>
      </c>
      <c r="F99" s="68" t="n">
        <v>5</v>
      </c>
      <c r="G99" s="68" t="s">
        <v>1458</v>
      </c>
      <c r="H99" s="68" t="s">
        <v>1367</v>
      </c>
    </row>
    <row r="100" customFormat="false" ht="15" hidden="false" customHeight="false" outlineLevel="0" collapsed="false">
      <c r="A100" s="68" t="n">
        <v>13</v>
      </c>
      <c r="B100" s="68" t="s">
        <v>301</v>
      </c>
      <c r="C100" s="68" t="s">
        <v>302</v>
      </c>
      <c r="D100" s="68" t="s">
        <v>258</v>
      </c>
      <c r="E100" s="68" t="s">
        <v>304</v>
      </c>
      <c r="F100" s="68" t="s">
        <v>304</v>
      </c>
      <c r="G100" s="68" t="s">
        <v>1459</v>
      </c>
      <c r="H100" s="68" t="s">
        <v>1367</v>
      </c>
    </row>
    <row r="101" customFormat="false" ht="15" hidden="false" customHeight="false" outlineLevel="0" collapsed="false">
      <c r="A101" s="68" t="n">
        <v>13</v>
      </c>
      <c r="B101" s="68" t="s">
        <v>301</v>
      </c>
      <c r="C101" s="68" t="s">
        <v>302</v>
      </c>
      <c r="D101" s="68" t="s">
        <v>923</v>
      </c>
      <c r="E101" s="68" t="s">
        <v>308</v>
      </c>
      <c r="F101" s="68" t="s">
        <v>308</v>
      </c>
      <c r="G101" s="68" t="s">
        <v>1460</v>
      </c>
      <c r="H101" s="68" t="s">
        <v>1367</v>
      </c>
    </row>
    <row r="102" customFormat="false" ht="15" hidden="false" customHeight="false" outlineLevel="0" collapsed="false">
      <c r="A102" s="68" t="n">
        <v>13</v>
      </c>
      <c r="B102" s="68" t="s">
        <v>301</v>
      </c>
      <c r="C102" s="68" t="s">
        <v>302</v>
      </c>
      <c r="D102" s="68" t="s">
        <v>1386</v>
      </c>
      <c r="E102" s="68" t="n">
        <v>3000</v>
      </c>
      <c r="F102" s="68" t="n">
        <v>3000</v>
      </c>
      <c r="G102" s="68" t="s">
        <v>1460</v>
      </c>
      <c r="H102" s="68" t="s">
        <v>1367</v>
      </c>
    </row>
    <row r="103" customFormat="false" ht="15" hidden="false" customHeight="false" outlineLevel="0" collapsed="false">
      <c r="A103" s="68" t="n">
        <v>14</v>
      </c>
      <c r="B103" s="68" t="s">
        <v>301</v>
      </c>
      <c r="C103" s="68" t="s">
        <v>302</v>
      </c>
      <c r="D103" s="68" t="s">
        <v>243</v>
      </c>
      <c r="E103" s="68" t="s">
        <v>357</v>
      </c>
      <c r="F103" s="68" t="s">
        <v>357</v>
      </c>
      <c r="G103" s="68" t="s">
        <v>1461</v>
      </c>
      <c r="H103" s="68" t="s">
        <v>1367</v>
      </c>
    </row>
    <row r="104" customFormat="false" ht="15" hidden="false" customHeight="false" outlineLevel="0" collapsed="false">
      <c r="A104" s="68" t="n">
        <v>14</v>
      </c>
      <c r="B104" s="68" t="s">
        <v>301</v>
      </c>
      <c r="C104" s="68" t="s">
        <v>302</v>
      </c>
      <c r="D104" s="68" t="s">
        <v>261</v>
      </c>
      <c r="E104" s="68" t="s">
        <v>306</v>
      </c>
      <c r="F104" s="68" t="s">
        <v>306</v>
      </c>
      <c r="G104" s="68" t="s">
        <v>1462</v>
      </c>
      <c r="H104" s="68" t="s">
        <v>1367</v>
      </c>
    </row>
    <row r="105" customFormat="false" ht="15" hidden="false" customHeight="false" outlineLevel="0" collapsed="false">
      <c r="A105" s="68" t="n">
        <v>14</v>
      </c>
      <c r="B105" s="68" t="s">
        <v>301</v>
      </c>
      <c r="C105" s="68" t="s">
        <v>302</v>
      </c>
      <c r="D105" s="68" t="s">
        <v>249</v>
      </c>
      <c r="E105" s="68" t="n">
        <v>18</v>
      </c>
      <c r="F105" s="68" t="n">
        <v>18</v>
      </c>
      <c r="G105" s="68" t="s">
        <v>1463</v>
      </c>
      <c r="H105" s="68" t="s">
        <v>1367</v>
      </c>
    </row>
    <row r="106" customFormat="false" ht="15" hidden="false" customHeight="false" outlineLevel="0" collapsed="false">
      <c r="A106" s="68" t="n">
        <v>14</v>
      </c>
      <c r="B106" s="68" t="s">
        <v>301</v>
      </c>
      <c r="C106" s="68" t="s">
        <v>302</v>
      </c>
      <c r="D106" s="68" t="s">
        <v>250</v>
      </c>
      <c r="E106" s="68" t="n">
        <v>2</v>
      </c>
      <c r="F106" s="68" t="n">
        <v>2</v>
      </c>
      <c r="G106" s="68" t="s">
        <v>1464</v>
      </c>
      <c r="H106" s="68" t="s">
        <v>1367</v>
      </c>
    </row>
    <row r="107" customFormat="false" ht="15" hidden="false" customHeight="false" outlineLevel="0" collapsed="false">
      <c r="A107" s="68" t="n">
        <v>14</v>
      </c>
      <c r="B107" s="68" t="s">
        <v>301</v>
      </c>
      <c r="C107" s="68" t="s">
        <v>302</v>
      </c>
      <c r="D107" s="68" t="s">
        <v>258</v>
      </c>
      <c r="E107" s="68" t="s">
        <v>304</v>
      </c>
      <c r="F107" s="68" t="s">
        <v>304</v>
      </c>
      <c r="G107" s="68" t="s">
        <v>1465</v>
      </c>
      <c r="H107" s="68" t="s">
        <v>1367</v>
      </c>
    </row>
    <row r="108" customFormat="false" ht="15" hidden="false" customHeight="false" outlineLevel="0" collapsed="false">
      <c r="A108" s="68" t="n">
        <v>14</v>
      </c>
      <c r="B108" s="68" t="s">
        <v>301</v>
      </c>
      <c r="C108" s="68" t="s">
        <v>302</v>
      </c>
      <c r="D108" s="68" t="s">
        <v>923</v>
      </c>
      <c r="E108" s="68" t="s">
        <v>308</v>
      </c>
      <c r="F108" s="68" t="s">
        <v>308</v>
      </c>
      <c r="G108" s="68" t="s">
        <v>1466</v>
      </c>
      <c r="H108" s="68" t="s">
        <v>1367</v>
      </c>
    </row>
    <row r="109" customFormat="false" ht="15" hidden="false" customHeight="false" outlineLevel="0" collapsed="false">
      <c r="A109" s="68" t="n">
        <v>14</v>
      </c>
      <c r="B109" s="68" t="s">
        <v>301</v>
      </c>
      <c r="C109" s="68" t="s">
        <v>302</v>
      </c>
      <c r="D109" s="68" t="s">
        <v>1386</v>
      </c>
      <c r="E109" s="68" t="n">
        <v>40000</v>
      </c>
      <c r="F109" s="68" t="n">
        <v>40000</v>
      </c>
      <c r="G109" s="68" t="s">
        <v>1466</v>
      </c>
      <c r="H109" s="68" t="s">
        <v>1367</v>
      </c>
    </row>
    <row r="110" customFormat="false" ht="15" hidden="false" customHeight="false" outlineLevel="0" collapsed="false">
      <c r="A110" s="68" t="n">
        <v>15</v>
      </c>
      <c r="B110" s="68" t="s">
        <v>361</v>
      </c>
      <c r="C110" s="68" t="s">
        <v>362</v>
      </c>
      <c r="D110" s="68" t="s">
        <v>243</v>
      </c>
      <c r="E110" s="68" t="s">
        <v>360</v>
      </c>
      <c r="F110" s="68" t="s">
        <v>360</v>
      </c>
      <c r="G110" s="68" t="s">
        <v>1467</v>
      </c>
      <c r="H110" s="68" t="s">
        <v>1367</v>
      </c>
    </row>
    <row r="111" customFormat="false" ht="15" hidden="false" customHeight="false" outlineLevel="0" collapsed="false">
      <c r="A111" s="68" t="n">
        <v>15</v>
      </c>
      <c r="B111" s="68" t="s">
        <v>361</v>
      </c>
      <c r="C111" s="68" t="s">
        <v>362</v>
      </c>
      <c r="D111" s="68" t="s">
        <v>260</v>
      </c>
      <c r="E111" s="68" t="n">
        <v>2</v>
      </c>
      <c r="F111" s="68" t="n">
        <v>2</v>
      </c>
      <c r="G111" s="68" t="s">
        <v>1468</v>
      </c>
      <c r="H111" s="68" t="s">
        <v>1367</v>
      </c>
    </row>
    <row r="112" customFormat="false" ht="15" hidden="false" customHeight="false" outlineLevel="0" collapsed="false">
      <c r="A112" s="68" t="n">
        <v>15</v>
      </c>
      <c r="B112" s="68" t="s">
        <v>361</v>
      </c>
      <c r="C112" s="68" t="s">
        <v>362</v>
      </c>
      <c r="D112" s="68" t="s">
        <v>261</v>
      </c>
      <c r="E112" s="68" t="s">
        <v>306</v>
      </c>
      <c r="F112" s="68" t="s">
        <v>1469</v>
      </c>
      <c r="G112" s="68"/>
      <c r="H112" s="85" t="s">
        <v>1369</v>
      </c>
    </row>
    <row r="113" customFormat="false" ht="15" hidden="false" customHeight="false" outlineLevel="0" collapsed="false">
      <c r="A113" s="68" t="n">
        <v>15</v>
      </c>
      <c r="B113" s="68" t="s">
        <v>361</v>
      </c>
      <c r="C113" s="68" t="s">
        <v>362</v>
      </c>
      <c r="D113" s="68" t="s">
        <v>248</v>
      </c>
      <c r="E113" s="68" t="n">
        <v>500</v>
      </c>
      <c r="F113" s="68" t="n">
        <v>500</v>
      </c>
      <c r="G113" s="68" t="s">
        <v>1470</v>
      </c>
      <c r="H113" s="68" t="s">
        <v>1367</v>
      </c>
    </row>
    <row r="114" customFormat="false" ht="15" hidden="false" customHeight="false" outlineLevel="0" collapsed="false">
      <c r="A114" s="68" t="n">
        <v>15</v>
      </c>
      <c r="B114" s="68" t="s">
        <v>361</v>
      </c>
      <c r="C114" s="68" t="s">
        <v>362</v>
      </c>
      <c r="D114" s="68" t="s">
        <v>262</v>
      </c>
      <c r="E114" s="68" t="n">
        <v>15.2</v>
      </c>
      <c r="F114" s="68" t="n">
        <v>15.2</v>
      </c>
      <c r="G114" s="68" t="s">
        <v>1470</v>
      </c>
      <c r="H114" s="68" t="s">
        <v>1367</v>
      </c>
    </row>
    <row r="115" customFormat="false" ht="15" hidden="false" customHeight="false" outlineLevel="0" collapsed="false">
      <c r="A115" s="68" t="n">
        <v>15</v>
      </c>
      <c r="B115" s="68" t="s">
        <v>361</v>
      </c>
      <c r="C115" s="68" t="s">
        <v>362</v>
      </c>
      <c r="D115" s="68" t="s">
        <v>250</v>
      </c>
      <c r="E115" s="68" t="n">
        <v>216.3</v>
      </c>
      <c r="F115" s="68" t="n">
        <v>216.3</v>
      </c>
      <c r="G115" s="68" t="s">
        <v>1470</v>
      </c>
      <c r="H115" s="68" t="s">
        <v>1367</v>
      </c>
    </row>
    <row r="116" customFormat="false" ht="15" hidden="false" customHeight="false" outlineLevel="0" collapsed="false">
      <c r="A116" s="68" t="n">
        <v>15</v>
      </c>
      <c r="B116" s="68" t="s">
        <v>361</v>
      </c>
      <c r="C116" s="68" t="s">
        <v>362</v>
      </c>
      <c r="D116" s="68" t="s">
        <v>258</v>
      </c>
      <c r="E116" s="68" t="s">
        <v>304</v>
      </c>
      <c r="F116" s="68" t="s">
        <v>1469</v>
      </c>
      <c r="G116" s="68"/>
      <c r="H116" s="85" t="s">
        <v>1369</v>
      </c>
    </row>
    <row r="117" customFormat="false" ht="15" hidden="false" customHeight="false" outlineLevel="0" collapsed="false">
      <c r="A117" s="68" t="n">
        <v>15</v>
      </c>
      <c r="B117" s="68" t="s">
        <v>361</v>
      </c>
      <c r="C117" s="68" t="s">
        <v>362</v>
      </c>
      <c r="D117" s="68" t="s">
        <v>923</v>
      </c>
      <c r="E117" s="68" t="s">
        <v>363</v>
      </c>
      <c r="F117" s="68" t="s">
        <v>363</v>
      </c>
      <c r="G117" s="68" t="s">
        <v>1471</v>
      </c>
      <c r="H117" s="68" t="s">
        <v>1367</v>
      </c>
    </row>
    <row r="118" customFormat="false" ht="15" hidden="false" customHeight="false" outlineLevel="0" collapsed="false">
      <c r="A118" s="68" t="n">
        <v>15</v>
      </c>
      <c r="B118" s="68" t="s">
        <v>361</v>
      </c>
      <c r="C118" s="68" t="s">
        <v>362</v>
      </c>
      <c r="D118" s="68" t="s">
        <v>1386</v>
      </c>
      <c r="E118" s="68" t="n">
        <v>385000</v>
      </c>
      <c r="F118" s="68" t="n">
        <v>385000</v>
      </c>
      <c r="G118" s="68" t="s">
        <v>1471</v>
      </c>
      <c r="H118" s="68" t="s">
        <v>1367</v>
      </c>
    </row>
    <row r="119" customFormat="false" ht="15" hidden="false" customHeight="false" outlineLevel="0" collapsed="false">
      <c r="A119" s="68" t="n">
        <v>16</v>
      </c>
      <c r="B119" s="68" t="s">
        <v>361</v>
      </c>
      <c r="C119" s="68" t="s">
        <v>371</v>
      </c>
      <c r="D119" s="68" t="s">
        <v>243</v>
      </c>
      <c r="E119" s="68" t="s">
        <v>370</v>
      </c>
      <c r="F119" s="68" t="s">
        <v>370</v>
      </c>
      <c r="G119" s="68" t="s">
        <v>1472</v>
      </c>
      <c r="H119" s="68" t="s">
        <v>1367</v>
      </c>
    </row>
    <row r="120" customFormat="false" ht="15" hidden="false" customHeight="false" outlineLevel="0" collapsed="false">
      <c r="A120" s="68" t="n">
        <v>16</v>
      </c>
      <c r="B120" s="68" t="s">
        <v>361</v>
      </c>
      <c r="C120" s="68" t="s">
        <v>371</v>
      </c>
      <c r="D120" s="68" t="s">
        <v>260</v>
      </c>
      <c r="E120" s="68" t="n">
        <v>2</v>
      </c>
      <c r="F120" s="68" t="n">
        <v>2</v>
      </c>
      <c r="G120" s="68" t="s">
        <v>1473</v>
      </c>
      <c r="H120" s="68" t="s">
        <v>1367</v>
      </c>
    </row>
    <row r="121" customFormat="false" ht="15" hidden="false" customHeight="false" outlineLevel="0" collapsed="false">
      <c r="A121" s="68" t="n">
        <v>16</v>
      </c>
      <c r="B121" s="68" t="s">
        <v>361</v>
      </c>
      <c r="C121" s="68" t="s">
        <v>371</v>
      </c>
      <c r="D121" s="68" t="s">
        <v>261</v>
      </c>
      <c r="E121" s="68" t="s">
        <v>306</v>
      </c>
      <c r="F121" s="68" t="s">
        <v>1469</v>
      </c>
      <c r="G121" s="68"/>
      <c r="H121" s="85" t="s">
        <v>1369</v>
      </c>
    </row>
    <row r="122" customFormat="false" ht="15" hidden="false" customHeight="false" outlineLevel="0" collapsed="false">
      <c r="A122" s="68" t="n">
        <v>16</v>
      </c>
      <c r="B122" s="68" t="s">
        <v>361</v>
      </c>
      <c r="C122" s="68" t="s">
        <v>371</v>
      </c>
      <c r="D122" s="68" t="s">
        <v>248</v>
      </c>
      <c r="E122" s="68" t="n">
        <v>250</v>
      </c>
      <c r="F122" s="68" t="n">
        <v>250</v>
      </c>
      <c r="G122" s="68" t="s">
        <v>1474</v>
      </c>
      <c r="H122" s="68" t="s">
        <v>1367</v>
      </c>
    </row>
    <row r="123" customFormat="false" ht="15" hidden="false" customHeight="false" outlineLevel="0" collapsed="false">
      <c r="A123" s="68" t="n">
        <v>16</v>
      </c>
      <c r="B123" s="68" t="s">
        <v>361</v>
      </c>
      <c r="C123" s="68" t="s">
        <v>371</v>
      </c>
      <c r="D123" s="68" t="s">
        <v>262</v>
      </c>
      <c r="E123" s="68" t="n">
        <v>15.2</v>
      </c>
      <c r="F123" s="68" t="n">
        <v>15.2</v>
      </c>
      <c r="G123" s="68" t="s">
        <v>1474</v>
      </c>
      <c r="H123" s="68" t="s">
        <v>1367</v>
      </c>
    </row>
    <row r="124" customFormat="false" ht="15" hidden="false" customHeight="false" outlineLevel="0" collapsed="false">
      <c r="A124" s="68" t="n">
        <v>16</v>
      </c>
      <c r="B124" s="68" t="s">
        <v>361</v>
      </c>
      <c r="C124" s="68" t="s">
        <v>371</v>
      </c>
      <c r="D124" s="68" t="s">
        <v>250</v>
      </c>
      <c r="E124" s="68" t="n">
        <v>108.1</v>
      </c>
      <c r="F124" s="68" t="n">
        <v>108.1</v>
      </c>
      <c r="G124" s="68" t="s">
        <v>1474</v>
      </c>
      <c r="H124" s="68" t="s">
        <v>1367</v>
      </c>
    </row>
    <row r="125" customFormat="false" ht="15" hidden="false" customHeight="false" outlineLevel="0" collapsed="false">
      <c r="A125" s="68" t="n">
        <v>16</v>
      </c>
      <c r="B125" s="68" t="s">
        <v>361</v>
      </c>
      <c r="C125" s="68" t="s">
        <v>371</v>
      </c>
      <c r="D125" s="68" t="s">
        <v>258</v>
      </c>
      <c r="E125" s="68" t="s">
        <v>304</v>
      </c>
      <c r="F125" s="68" t="s">
        <v>1469</v>
      </c>
      <c r="G125" s="68"/>
      <c r="H125" s="85" t="s">
        <v>1369</v>
      </c>
    </row>
    <row r="126" customFormat="false" ht="15" hidden="false" customHeight="false" outlineLevel="0" collapsed="false">
      <c r="A126" s="68" t="n">
        <v>16</v>
      </c>
      <c r="B126" s="68" t="s">
        <v>361</v>
      </c>
      <c r="C126" s="68" t="s">
        <v>371</v>
      </c>
      <c r="D126" s="68" t="s">
        <v>923</v>
      </c>
      <c r="E126" s="68" t="s">
        <v>363</v>
      </c>
      <c r="F126" s="68" t="s">
        <v>363</v>
      </c>
      <c r="G126" s="68" t="s">
        <v>1475</v>
      </c>
      <c r="H126" s="68" t="s">
        <v>1367</v>
      </c>
    </row>
    <row r="127" customFormat="false" ht="15" hidden="false" customHeight="false" outlineLevel="0" collapsed="false">
      <c r="A127" s="68" t="n">
        <v>16</v>
      </c>
      <c r="B127" s="68" t="s">
        <v>361</v>
      </c>
      <c r="C127" s="68" t="s">
        <v>371</v>
      </c>
      <c r="D127" s="68" t="s">
        <v>1386</v>
      </c>
      <c r="E127" s="68" t="n">
        <v>135000</v>
      </c>
      <c r="F127" s="68" t="n">
        <v>135000</v>
      </c>
      <c r="G127" s="68" t="s">
        <v>1475</v>
      </c>
      <c r="H127" s="68" t="s">
        <v>1367</v>
      </c>
    </row>
    <row r="128" customFormat="false" ht="15" hidden="false" customHeight="false" outlineLevel="0" collapsed="false">
      <c r="A128" s="68" t="n">
        <v>17</v>
      </c>
      <c r="B128" s="68" t="s">
        <v>361</v>
      </c>
      <c r="C128" s="68" t="s">
        <v>375</v>
      </c>
      <c r="D128" s="68" t="s">
        <v>243</v>
      </c>
      <c r="E128" s="68" t="s">
        <v>374</v>
      </c>
      <c r="F128" s="68" t="s">
        <v>374</v>
      </c>
      <c r="G128" s="68" t="s">
        <v>1476</v>
      </c>
      <c r="H128" s="68" t="s">
        <v>1367</v>
      </c>
    </row>
    <row r="129" customFormat="false" ht="15" hidden="false" customHeight="false" outlineLevel="0" collapsed="false">
      <c r="A129" s="68" t="n">
        <v>17</v>
      </c>
      <c r="B129" s="68" t="s">
        <v>361</v>
      </c>
      <c r="C129" s="68" t="s">
        <v>375</v>
      </c>
      <c r="D129" s="68" t="s">
        <v>260</v>
      </c>
      <c r="E129" s="68" t="n">
        <v>2</v>
      </c>
      <c r="F129" s="68" t="n">
        <v>2</v>
      </c>
      <c r="G129" s="68" t="s">
        <v>1477</v>
      </c>
      <c r="H129" s="68" t="s">
        <v>1367</v>
      </c>
    </row>
    <row r="130" customFormat="false" ht="15" hidden="false" customHeight="false" outlineLevel="0" collapsed="false">
      <c r="A130" s="68" t="n">
        <v>17</v>
      </c>
      <c r="B130" s="68" t="s">
        <v>361</v>
      </c>
      <c r="C130" s="68" t="s">
        <v>375</v>
      </c>
      <c r="D130" s="68" t="s">
        <v>261</v>
      </c>
      <c r="E130" s="68" t="s">
        <v>306</v>
      </c>
      <c r="F130" s="68" t="s">
        <v>1469</v>
      </c>
      <c r="G130" s="68"/>
      <c r="H130" s="85" t="s">
        <v>1369</v>
      </c>
    </row>
    <row r="131" customFormat="false" ht="15" hidden="false" customHeight="false" outlineLevel="0" collapsed="false">
      <c r="A131" s="68" t="n">
        <v>17</v>
      </c>
      <c r="B131" s="68" t="s">
        <v>361</v>
      </c>
      <c r="C131" s="68" t="s">
        <v>375</v>
      </c>
      <c r="D131" s="68" t="s">
        <v>248</v>
      </c>
      <c r="E131" s="68" t="n">
        <v>100</v>
      </c>
      <c r="F131" s="68" t="n">
        <v>100</v>
      </c>
      <c r="G131" s="68" t="s">
        <v>1478</v>
      </c>
      <c r="H131" s="68" t="s">
        <v>1367</v>
      </c>
    </row>
    <row r="132" customFormat="false" ht="15" hidden="false" customHeight="false" outlineLevel="0" collapsed="false">
      <c r="A132" s="68" t="n">
        <v>17</v>
      </c>
      <c r="B132" s="68" t="s">
        <v>361</v>
      </c>
      <c r="C132" s="68" t="s">
        <v>375</v>
      </c>
      <c r="D132" s="68" t="s">
        <v>262</v>
      </c>
      <c r="E132" s="68" t="n">
        <v>15.5</v>
      </c>
      <c r="F132" s="68" t="n">
        <v>15.5</v>
      </c>
      <c r="G132" s="68" t="s">
        <v>1478</v>
      </c>
      <c r="H132" s="68" t="s">
        <v>1367</v>
      </c>
    </row>
    <row r="133" customFormat="false" ht="15" hidden="false" customHeight="false" outlineLevel="0" collapsed="false">
      <c r="A133" s="68" t="n">
        <v>17</v>
      </c>
      <c r="B133" s="68" t="s">
        <v>361</v>
      </c>
      <c r="C133" s="68" t="s">
        <v>375</v>
      </c>
      <c r="D133" s="68" t="s">
        <v>250</v>
      </c>
      <c r="E133" s="68" t="n">
        <v>44.2</v>
      </c>
      <c r="F133" s="68" t="n">
        <v>44.2</v>
      </c>
      <c r="G133" s="68" t="s">
        <v>1478</v>
      </c>
      <c r="H133" s="68" t="s">
        <v>1367</v>
      </c>
    </row>
    <row r="134" customFormat="false" ht="15" hidden="false" customHeight="false" outlineLevel="0" collapsed="false">
      <c r="A134" s="68" t="n">
        <v>17</v>
      </c>
      <c r="B134" s="68" t="s">
        <v>361</v>
      </c>
      <c r="C134" s="68" t="s">
        <v>375</v>
      </c>
      <c r="D134" s="68" t="s">
        <v>258</v>
      </c>
      <c r="E134" s="68" t="s">
        <v>304</v>
      </c>
      <c r="F134" s="68" t="s">
        <v>1469</v>
      </c>
      <c r="G134" s="68"/>
      <c r="H134" s="85" t="s">
        <v>1369</v>
      </c>
    </row>
    <row r="135" customFormat="false" ht="15" hidden="false" customHeight="false" outlineLevel="0" collapsed="false">
      <c r="A135" s="68" t="n">
        <v>17</v>
      </c>
      <c r="B135" s="68" t="s">
        <v>361</v>
      </c>
      <c r="C135" s="68" t="s">
        <v>375</v>
      </c>
      <c r="D135" s="68" t="s">
        <v>923</v>
      </c>
      <c r="E135" s="68" t="s">
        <v>363</v>
      </c>
      <c r="F135" s="68" t="s">
        <v>363</v>
      </c>
      <c r="G135" s="68" t="s">
        <v>1479</v>
      </c>
      <c r="H135" s="68" t="s">
        <v>1367</v>
      </c>
    </row>
    <row r="136" customFormat="false" ht="15" hidden="false" customHeight="false" outlineLevel="0" collapsed="false">
      <c r="A136" s="68" t="n">
        <v>17</v>
      </c>
      <c r="B136" s="68" t="s">
        <v>361</v>
      </c>
      <c r="C136" s="68" t="s">
        <v>375</v>
      </c>
      <c r="D136" s="68" t="s">
        <v>1386</v>
      </c>
      <c r="E136" s="68" t="n">
        <v>140000</v>
      </c>
      <c r="F136" s="68" t="n">
        <v>140000</v>
      </c>
      <c r="G136" s="68" t="s">
        <v>1479</v>
      </c>
      <c r="H136" s="68" t="s">
        <v>1367</v>
      </c>
    </row>
    <row r="137" customFormat="false" ht="15" hidden="false" customHeight="false" outlineLevel="0" collapsed="false">
      <c r="A137" s="68" t="n">
        <v>18</v>
      </c>
      <c r="B137" s="68" t="s">
        <v>361</v>
      </c>
      <c r="C137" s="68" t="s">
        <v>379</v>
      </c>
      <c r="D137" s="68" t="s">
        <v>243</v>
      </c>
      <c r="E137" s="68" t="s">
        <v>378</v>
      </c>
      <c r="F137" s="68" t="s">
        <v>378</v>
      </c>
      <c r="G137" s="68" t="s">
        <v>1480</v>
      </c>
      <c r="H137" s="68" t="s">
        <v>1367</v>
      </c>
    </row>
    <row r="138" customFormat="false" ht="15" hidden="false" customHeight="false" outlineLevel="0" collapsed="false">
      <c r="A138" s="68" t="n">
        <v>18</v>
      </c>
      <c r="B138" s="68" t="s">
        <v>361</v>
      </c>
      <c r="C138" s="68" t="s">
        <v>379</v>
      </c>
      <c r="D138" s="68" t="s">
        <v>260</v>
      </c>
      <c r="E138" s="68" t="n">
        <v>2</v>
      </c>
      <c r="F138" s="68" t="n">
        <v>2</v>
      </c>
      <c r="G138" s="68" t="s">
        <v>1481</v>
      </c>
      <c r="H138" s="68" t="s">
        <v>1367</v>
      </c>
    </row>
    <row r="139" customFormat="false" ht="15" hidden="false" customHeight="false" outlineLevel="0" collapsed="false">
      <c r="A139" s="68" t="n">
        <v>18</v>
      </c>
      <c r="B139" s="68" t="s">
        <v>361</v>
      </c>
      <c r="C139" s="68" t="s">
        <v>379</v>
      </c>
      <c r="D139" s="68" t="s">
        <v>261</v>
      </c>
      <c r="E139" s="68" t="s">
        <v>306</v>
      </c>
      <c r="F139" s="68" t="s">
        <v>1469</v>
      </c>
      <c r="G139" s="68"/>
      <c r="H139" s="85" t="s">
        <v>1369</v>
      </c>
    </row>
    <row r="140" customFormat="false" ht="15" hidden="false" customHeight="false" outlineLevel="0" collapsed="false">
      <c r="A140" s="68" t="n">
        <v>18</v>
      </c>
      <c r="B140" s="68" t="s">
        <v>361</v>
      </c>
      <c r="C140" s="68" t="s">
        <v>379</v>
      </c>
      <c r="D140" s="68" t="s">
        <v>248</v>
      </c>
      <c r="E140" s="68" t="n">
        <v>30</v>
      </c>
      <c r="F140" s="68" t="n">
        <v>30</v>
      </c>
      <c r="G140" s="68" t="s">
        <v>1482</v>
      </c>
      <c r="H140" s="68" t="s">
        <v>1367</v>
      </c>
    </row>
    <row r="141" customFormat="false" ht="15" hidden="false" customHeight="false" outlineLevel="0" collapsed="false">
      <c r="A141" s="68" t="n">
        <v>18</v>
      </c>
      <c r="B141" s="68" t="s">
        <v>361</v>
      </c>
      <c r="C141" s="68" t="s">
        <v>379</v>
      </c>
      <c r="D141" s="68" t="s">
        <v>262</v>
      </c>
      <c r="E141" s="68" t="n">
        <v>3</v>
      </c>
      <c r="F141" s="68" t="n">
        <v>3</v>
      </c>
      <c r="G141" s="68" t="s">
        <v>1482</v>
      </c>
      <c r="H141" s="68" t="s">
        <v>1367</v>
      </c>
    </row>
    <row r="142" customFormat="false" ht="15" hidden="false" customHeight="false" outlineLevel="0" collapsed="false">
      <c r="A142" s="68" t="n">
        <v>18</v>
      </c>
      <c r="B142" s="68" t="s">
        <v>361</v>
      </c>
      <c r="C142" s="68" t="s">
        <v>379</v>
      </c>
      <c r="D142" s="68" t="s">
        <v>250</v>
      </c>
      <c r="E142" s="68" t="n">
        <v>2.7</v>
      </c>
      <c r="F142" s="68" t="n">
        <v>2.7</v>
      </c>
      <c r="G142" s="68" t="s">
        <v>1482</v>
      </c>
      <c r="H142" s="68" t="s">
        <v>1367</v>
      </c>
    </row>
    <row r="143" customFormat="false" ht="15" hidden="false" customHeight="false" outlineLevel="0" collapsed="false">
      <c r="A143" s="68" t="n">
        <v>18</v>
      </c>
      <c r="B143" s="68" t="s">
        <v>361</v>
      </c>
      <c r="C143" s="68" t="s">
        <v>379</v>
      </c>
      <c r="D143" s="68" t="s">
        <v>258</v>
      </c>
      <c r="E143" s="68" t="s">
        <v>304</v>
      </c>
      <c r="F143" s="68" t="s">
        <v>1469</v>
      </c>
      <c r="G143" s="68"/>
      <c r="H143" s="85" t="s">
        <v>1369</v>
      </c>
    </row>
    <row r="144" customFormat="false" ht="15" hidden="false" customHeight="false" outlineLevel="0" collapsed="false">
      <c r="A144" s="68" t="n">
        <v>18</v>
      </c>
      <c r="B144" s="68" t="s">
        <v>361</v>
      </c>
      <c r="C144" s="68" t="s">
        <v>379</v>
      </c>
      <c r="D144" s="68" t="s">
        <v>923</v>
      </c>
      <c r="E144" s="68" t="s">
        <v>363</v>
      </c>
      <c r="F144" s="68" t="s">
        <v>363</v>
      </c>
      <c r="G144" s="68" t="s">
        <v>1483</v>
      </c>
      <c r="H144" s="68" t="s">
        <v>1367</v>
      </c>
    </row>
    <row r="145" customFormat="false" ht="15" hidden="false" customHeight="false" outlineLevel="0" collapsed="false">
      <c r="A145" s="68" t="n">
        <v>18</v>
      </c>
      <c r="B145" s="68" t="s">
        <v>361</v>
      </c>
      <c r="C145" s="68" t="s">
        <v>379</v>
      </c>
      <c r="D145" s="68" t="s">
        <v>1386</v>
      </c>
      <c r="E145" s="68" t="n">
        <v>34000</v>
      </c>
      <c r="F145" s="68" t="n">
        <v>34000</v>
      </c>
      <c r="G145" s="68" t="s">
        <v>1483</v>
      </c>
      <c r="H145" s="68" t="s">
        <v>1367</v>
      </c>
    </row>
    <row r="146" customFormat="false" ht="15" hidden="false" customHeight="false" outlineLevel="0" collapsed="false">
      <c r="A146" s="68" t="n">
        <v>19</v>
      </c>
      <c r="B146" s="68" t="s">
        <v>361</v>
      </c>
      <c r="C146" s="68" t="s">
        <v>383</v>
      </c>
      <c r="D146" s="68" t="s">
        <v>243</v>
      </c>
      <c r="E146" s="68" t="s">
        <v>382</v>
      </c>
      <c r="F146" s="68" t="s">
        <v>382</v>
      </c>
      <c r="G146" s="68" t="s">
        <v>1484</v>
      </c>
      <c r="H146" s="68" t="s">
        <v>1367</v>
      </c>
    </row>
    <row r="147" customFormat="false" ht="15" hidden="false" customHeight="false" outlineLevel="0" collapsed="false">
      <c r="A147" s="68" t="n">
        <v>19</v>
      </c>
      <c r="B147" s="68" t="s">
        <v>361</v>
      </c>
      <c r="C147" s="68" t="s">
        <v>383</v>
      </c>
      <c r="D147" s="68" t="s">
        <v>260</v>
      </c>
      <c r="E147" s="68" t="n">
        <v>1</v>
      </c>
      <c r="F147" s="68" t="n">
        <v>1</v>
      </c>
      <c r="G147" s="68" t="s">
        <v>1485</v>
      </c>
      <c r="H147" s="68" t="s">
        <v>1367</v>
      </c>
    </row>
    <row r="148" customFormat="false" ht="15" hidden="false" customHeight="false" outlineLevel="0" collapsed="false">
      <c r="A148" s="68" t="n">
        <v>19</v>
      </c>
      <c r="B148" s="68" t="s">
        <v>361</v>
      </c>
      <c r="C148" s="68" t="s">
        <v>383</v>
      </c>
      <c r="D148" s="68" t="s">
        <v>261</v>
      </c>
      <c r="E148" s="68" t="s">
        <v>306</v>
      </c>
      <c r="F148" s="68" t="s">
        <v>1469</v>
      </c>
      <c r="G148" s="68"/>
      <c r="H148" s="85" t="s">
        <v>1369</v>
      </c>
    </row>
    <row r="149" customFormat="false" ht="15" hidden="false" customHeight="false" outlineLevel="0" collapsed="false">
      <c r="A149" s="68" t="n">
        <v>19</v>
      </c>
      <c r="B149" s="68" t="s">
        <v>361</v>
      </c>
      <c r="C149" s="68" t="s">
        <v>383</v>
      </c>
      <c r="D149" s="68" t="s">
        <v>248</v>
      </c>
      <c r="E149" s="68" t="n">
        <v>40</v>
      </c>
      <c r="F149" s="68" t="n">
        <v>40</v>
      </c>
      <c r="G149" s="68" t="s">
        <v>1486</v>
      </c>
      <c r="H149" s="68" t="s">
        <v>1367</v>
      </c>
    </row>
    <row r="150" customFormat="false" ht="15" hidden="false" customHeight="false" outlineLevel="0" collapsed="false">
      <c r="A150" s="68" t="n">
        <v>19</v>
      </c>
      <c r="B150" s="68" t="s">
        <v>361</v>
      </c>
      <c r="C150" s="68" t="s">
        <v>383</v>
      </c>
      <c r="D150" s="68" t="s">
        <v>262</v>
      </c>
      <c r="E150" s="68" t="n">
        <v>10.4</v>
      </c>
      <c r="F150" s="68" t="n">
        <v>10.4</v>
      </c>
      <c r="G150" s="68" t="s">
        <v>1486</v>
      </c>
      <c r="H150" s="68" t="s">
        <v>1367</v>
      </c>
    </row>
    <row r="151" customFormat="false" ht="15" hidden="false" customHeight="false" outlineLevel="0" collapsed="false">
      <c r="A151" s="68" t="n">
        <v>19</v>
      </c>
      <c r="B151" s="68" t="s">
        <v>361</v>
      </c>
      <c r="C151" s="68" t="s">
        <v>383</v>
      </c>
      <c r="D151" s="68" t="s">
        <v>250</v>
      </c>
      <c r="E151" s="68" t="n">
        <v>12</v>
      </c>
      <c r="F151" s="68" t="n">
        <v>12</v>
      </c>
      <c r="G151" s="68" t="s">
        <v>1486</v>
      </c>
      <c r="H151" s="68" t="s">
        <v>1367</v>
      </c>
    </row>
    <row r="152" customFormat="false" ht="15" hidden="false" customHeight="false" outlineLevel="0" collapsed="false">
      <c r="A152" s="68" t="n">
        <v>19</v>
      </c>
      <c r="B152" s="68" t="s">
        <v>361</v>
      </c>
      <c r="C152" s="68" t="s">
        <v>383</v>
      </c>
      <c r="D152" s="68" t="s">
        <v>258</v>
      </c>
      <c r="E152" s="68" t="s">
        <v>304</v>
      </c>
      <c r="F152" s="68" t="s">
        <v>1469</v>
      </c>
      <c r="G152" s="68"/>
      <c r="H152" s="85" t="s">
        <v>1369</v>
      </c>
    </row>
    <row r="153" customFormat="false" ht="15" hidden="false" customHeight="false" outlineLevel="0" collapsed="false">
      <c r="A153" s="68" t="n">
        <v>19</v>
      </c>
      <c r="B153" s="68" t="s">
        <v>361</v>
      </c>
      <c r="C153" s="68" t="s">
        <v>383</v>
      </c>
      <c r="D153" s="68" t="s">
        <v>923</v>
      </c>
      <c r="E153" s="68" t="s">
        <v>363</v>
      </c>
      <c r="F153" s="68" t="s">
        <v>363</v>
      </c>
      <c r="G153" s="68" t="s">
        <v>1487</v>
      </c>
      <c r="H153" s="68" t="s">
        <v>1367</v>
      </c>
    </row>
    <row r="154" customFormat="false" ht="15" hidden="false" customHeight="false" outlineLevel="0" collapsed="false">
      <c r="A154" s="68" t="n">
        <v>19</v>
      </c>
      <c r="B154" s="68" t="s">
        <v>361</v>
      </c>
      <c r="C154" s="68" t="s">
        <v>383</v>
      </c>
      <c r="D154" s="68" t="s">
        <v>1386</v>
      </c>
      <c r="E154" s="68" t="n">
        <v>29000</v>
      </c>
      <c r="F154" s="68" t="n">
        <v>29000</v>
      </c>
      <c r="G154" s="68" t="s">
        <v>1487</v>
      </c>
      <c r="H154" s="68" t="s">
        <v>1367</v>
      </c>
    </row>
    <row r="155" customFormat="false" ht="15" hidden="false" customHeight="false" outlineLevel="0" collapsed="false">
      <c r="A155" s="68" t="n">
        <v>20</v>
      </c>
      <c r="B155" s="68" t="s">
        <v>361</v>
      </c>
      <c r="C155" s="68" t="s">
        <v>386</v>
      </c>
      <c r="D155" s="68" t="s">
        <v>243</v>
      </c>
      <c r="E155" s="68" t="s">
        <v>382</v>
      </c>
      <c r="F155" s="68" t="s">
        <v>382</v>
      </c>
      <c r="G155" s="68" t="s">
        <v>1488</v>
      </c>
      <c r="H155" s="68" t="s">
        <v>1367</v>
      </c>
    </row>
    <row r="156" customFormat="false" ht="15" hidden="false" customHeight="false" outlineLevel="0" collapsed="false">
      <c r="A156" s="68" t="n">
        <v>20</v>
      </c>
      <c r="B156" s="68" t="s">
        <v>361</v>
      </c>
      <c r="C156" s="68" t="s">
        <v>386</v>
      </c>
      <c r="D156" s="68" t="s">
        <v>260</v>
      </c>
      <c r="E156" s="68" t="n">
        <v>2</v>
      </c>
      <c r="F156" s="68" t="n">
        <v>2</v>
      </c>
      <c r="G156" s="68" t="s">
        <v>1489</v>
      </c>
      <c r="H156" s="68" t="s">
        <v>1367</v>
      </c>
    </row>
    <row r="157" customFormat="false" ht="15" hidden="false" customHeight="false" outlineLevel="0" collapsed="false">
      <c r="A157" s="68" t="n">
        <v>20</v>
      </c>
      <c r="B157" s="68" t="s">
        <v>361</v>
      </c>
      <c r="C157" s="68" t="s">
        <v>386</v>
      </c>
      <c r="D157" s="68" t="s">
        <v>261</v>
      </c>
      <c r="E157" s="68" t="s">
        <v>306</v>
      </c>
      <c r="F157" s="68" t="s">
        <v>1469</v>
      </c>
      <c r="G157" s="68"/>
      <c r="H157" s="85" t="s">
        <v>1369</v>
      </c>
    </row>
    <row r="158" customFormat="false" ht="15" hidden="false" customHeight="false" outlineLevel="0" collapsed="false">
      <c r="A158" s="68" t="n">
        <v>20</v>
      </c>
      <c r="B158" s="68" t="s">
        <v>361</v>
      </c>
      <c r="C158" s="68" t="s">
        <v>386</v>
      </c>
      <c r="D158" s="68" t="s">
        <v>248</v>
      </c>
      <c r="E158" s="68" t="n">
        <v>20</v>
      </c>
      <c r="F158" s="68" t="n">
        <v>20</v>
      </c>
      <c r="G158" s="68" t="s">
        <v>1490</v>
      </c>
      <c r="H158" s="68" t="s">
        <v>1367</v>
      </c>
    </row>
    <row r="159" customFormat="false" ht="15" hidden="false" customHeight="false" outlineLevel="0" collapsed="false">
      <c r="A159" s="68" t="n">
        <v>20</v>
      </c>
      <c r="B159" s="68" t="s">
        <v>361</v>
      </c>
      <c r="C159" s="68" t="s">
        <v>386</v>
      </c>
      <c r="D159" s="68" t="s">
        <v>262</v>
      </c>
      <c r="E159" s="68" t="n">
        <v>10.4</v>
      </c>
      <c r="F159" s="68" t="n">
        <v>10.4</v>
      </c>
      <c r="G159" s="68" t="s">
        <v>1490</v>
      </c>
      <c r="H159" s="68" t="s">
        <v>1367</v>
      </c>
    </row>
    <row r="160" customFormat="false" ht="15" hidden="false" customHeight="false" outlineLevel="0" collapsed="false">
      <c r="A160" s="68" t="n">
        <v>20</v>
      </c>
      <c r="B160" s="68" t="s">
        <v>361</v>
      </c>
      <c r="C160" s="68" t="s">
        <v>386</v>
      </c>
      <c r="D160" s="68" t="s">
        <v>250</v>
      </c>
      <c r="E160" s="68" t="n">
        <v>6</v>
      </c>
      <c r="F160" s="68" t="n">
        <v>6</v>
      </c>
      <c r="G160" s="68" t="s">
        <v>1490</v>
      </c>
      <c r="H160" s="68" t="s">
        <v>1367</v>
      </c>
    </row>
    <row r="161" customFormat="false" ht="15" hidden="false" customHeight="false" outlineLevel="0" collapsed="false">
      <c r="A161" s="68" t="n">
        <v>20</v>
      </c>
      <c r="B161" s="68" t="s">
        <v>361</v>
      </c>
      <c r="C161" s="68" t="s">
        <v>386</v>
      </c>
      <c r="D161" s="68" t="s">
        <v>258</v>
      </c>
      <c r="E161" s="68" t="s">
        <v>304</v>
      </c>
      <c r="F161" s="68" t="s">
        <v>1469</v>
      </c>
      <c r="G161" s="68"/>
      <c r="H161" s="85" t="s">
        <v>1369</v>
      </c>
    </row>
    <row r="162" customFormat="false" ht="15" hidden="false" customHeight="false" outlineLevel="0" collapsed="false">
      <c r="A162" s="68" t="n">
        <v>20</v>
      </c>
      <c r="B162" s="68" t="s">
        <v>361</v>
      </c>
      <c r="C162" s="68" t="s">
        <v>386</v>
      </c>
      <c r="D162" s="68" t="s">
        <v>923</v>
      </c>
      <c r="E162" s="68" t="s">
        <v>363</v>
      </c>
      <c r="F162" s="68" t="s">
        <v>363</v>
      </c>
      <c r="G162" s="68" t="s">
        <v>1491</v>
      </c>
      <c r="H162" s="68" t="s">
        <v>1367</v>
      </c>
    </row>
    <row r="163" customFormat="false" ht="15" hidden="false" customHeight="false" outlineLevel="0" collapsed="false">
      <c r="A163" s="68" t="n">
        <v>20</v>
      </c>
      <c r="B163" s="68" t="s">
        <v>361</v>
      </c>
      <c r="C163" s="68" t="s">
        <v>386</v>
      </c>
      <c r="D163" s="68" t="s">
        <v>1386</v>
      </c>
      <c r="E163" s="68" t="n">
        <v>27500</v>
      </c>
      <c r="F163" s="68" t="n">
        <v>27500</v>
      </c>
      <c r="G163" s="68" t="s">
        <v>1491</v>
      </c>
      <c r="H163" s="68" t="s">
        <v>1367</v>
      </c>
    </row>
    <row r="164" customFormat="false" ht="15" hidden="false" customHeight="false" outlineLevel="0" collapsed="false">
      <c r="A164" s="68" t="n">
        <v>21</v>
      </c>
      <c r="B164" s="68" t="s">
        <v>361</v>
      </c>
      <c r="C164" s="68" t="s">
        <v>390</v>
      </c>
      <c r="D164" s="68" t="s">
        <v>243</v>
      </c>
      <c r="E164" s="68" t="s">
        <v>389</v>
      </c>
      <c r="F164" s="68" t="s">
        <v>389</v>
      </c>
      <c r="G164" s="68" t="s">
        <v>1492</v>
      </c>
      <c r="H164" s="68" t="s">
        <v>1367</v>
      </c>
    </row>
    <row r="165" customFormat="false" ht="15" hidden="false" customHeight="false" outlineLevel="0" collapsed="false">
      <c r="A165" s="68" t="n">
        <v>21</v>
      </c>
      <c r="B165" s="68" t="s">
        <v>361</v>
      </c>
      <c r="C165" s="68" t="s">
        <v>390</v>
      </c>
      <c r="D165" s="68" t="s">
        <v>260</v>
      </c>
      <c r="E165" s="68" t="n">
        <v>2</v>
      </c>
      <c r="F165" s="68" t="n">
        <v>2</v>
      </c>
      <c r="G165" s="68" t="s">
        <v>1493</v>
      </c>
      <c r="H165" s="68" t="s">
        <v>1367</v>
      </c>
    </row>
    <row r="166" customFormat="false" ht="15" hidden="false" customHeight="false" outlineLevel="0" collapsed="false">
      <c r="A166" s="68" t="n">
        <v>21</v>
      </c>
      <c r="B166" s="68" t="s">
        <v>361</v>
      </c>
      <c r="C166" s="68" t="s">
        <v>390</v>
      </c>
      <c r="D166" s="68" t="s">
        <v>261</v>
      </c>
      <c r="E166" s="68" t="s">
        <v>306</v>
      </c>
      <c r="F166" s="68" t="s">
        <v>1469</v>
      </c>
      <c r="G166" s="68"/>
      <c r="H166" s="85" t="s">
        <v>1369</v>
      </c>
    </row>
    <row r="167" customFormat="false" ht="15" hidden="false" customHeight="false" outlineLevel="0" collapsed="false">
      <c r="A167" s="68" t="n">
        <v>21</v>
      </c>
      <c r="B167" s="68" t="s">
        <v>361</v>
      </c>
      <c r="C167" s="68" t="s">
        <v>390</v>
      </c>
      <c r="D167" s="68" t="s">
        <v>248</v>
      </c>
      <c r="E167" s="68" t="n">
        <v>20</v>
      </c>
      <c r="F167" s="68" t="n">
        <v>20</v>
      </c>
      <c r="G167" s="68" t="s">
        <v>1494</v>
      </c>
      <c r="H167" s="68" t="s">
        <v>1367</v>
      </c>
    </row>
    <row r="168" customFormat="false" ht="15" hidden="false" customHeight="false" outlineLevel="0" collapsed="false">
      <c r="A168" s="68" t="n">
        <v>21</v>
      </c>
      <c r="B168" s="68" t="s">
        <v>361</v>
      </c>
      <c r="C168" s="68" t="s">
        <v>390</v>
      </c>
      <c r="D168" s="68" t="s">
        <v>262</v>
      </c>
      <c r="E168" s="68" t="n">
        <v>2.4</v>
      </c>
      <c r="F168" s="68" t="n">
        <v>2.4</v>
      </c>
      <c r="G168" s="68" t="s">
        <v>1494</v>
      </c>
      <c r="H168" s="68" t="s">
        <v>1367</v>
      </c>
    </row>
    <row r="169" customFormat="false" ht="15" hidden="false" customHeight="false" outlineLevel="0" collapsed="false">
      <c r="A169" s="68" t="n">
        <v>21</v>
      </c>
      <c r="B169" s="68" t="s">
        <v>361</v>
      </c>
      <c r="C169" s="68" t="s">
        <v>390</v>
      </c>
      <c r="D169" s="68" t="s">
        <v>250</v>
      </c>
      <c r="E169" s="68" t="n">
        <v>1.35</v>
      </c>
      <c r="F169" s="68" t="n">
        <v>1.35</v>
      </c>
      <c r="G169" s="68" t="s">
        <v>1494</v>
      </c>
      <c r="H169" s="68" t="s">
        <v>1367</v>
      </c>
    </row>
    <row r="170" customFormat="false" ht="15" hidden="false" customHeight="false" outlineLevel="0" collapsed="false">
      <c r="A170" s="68" t="n">
        <v>21</v>
      </c>
      <c r="B170" s="68" t="s">
        <v>361</v>
      </c>
      <c r="C170" s="68" t="s">
        <v>390</v>
      </c>
      <c r="D170" s="68" t="s">
        <v>258</v>
      </c>
      <c r="E170" s="68" t="s">
        <v>304</v>
      </c>
      <c r="F170" s="68" t="s">
        <v>1469</v>
      </c>
      <c r="G170" s="68"/>
      <c r="H170" s="85" t="s">
        <v>1369</v>
      </c>
    </row>
    <row r="171" customFormat="false" ht="15" hidden="false" customHeight="false" outlineLevel="0" collapsed="false">
      <c r="A171" s="68" t="n">
        <v>21</v>
      </c>
      <c r="B171" s="68" t="s">
        <v>361</v>
      </c>
      <c r="C171" s="68" t="s">
        <v>390</v>
      </c>
      <c r="D171" s="68" t="s">
        <v>923</v>
      </c>
      <c r="E171" s="68" t="s">
        <v>363</v>
      </c>
      <c r="F171" s="68" t="s">
        <v>363</v>
      </c>
      <c r="G171" s="68" t="s">
        <v>1495</v>
      </c>
      <c r="H171" s="68" t="s">
        <v>1367</v>
      </c>
    </row>
    <row r="172" customFormat="false" ht="15" hidden="false" customHeight="false" outlineLevel="0" collapsed="false">
      <c r="A172" s="68" t="n">
        <v>21</v>
      </c>
      <c r="B172" s="68" t="s">
        <v>361</v>
      </c>
      <c r="C172" s="68" t="s">
        <v>390</v>
      </c>
      <c r="D172" s="68" t="s">
        <v>1386</v>
      </c>
      <c r="E172" s="68" t="n">
        <v>15000</v>
      </c>
      <c r="F172" s="68" t="n">
        <v>15000</v>
      </c>
      <c r="G172" s="68" t="s">
        <v>1495</v>
      </c>
      <c r="H172" s="68" t="s">
        <v>1367</v>
      </c>
    </row>
    <row r="173" customFormat="false" ht="15" hidden="false" customHeight="false" outlineLevel="0" collapsed="false">
      <c r="A173" s="68" t="n">
        <v>22</v>
      </c>
      <c r="B173" s="68" t="s">
        <v>361</v>
      </c>
      <c r="C173" s="68" t="s">
        <v>394</v>
      </c>
      <c r="D173" s="68" t="s">
        <v>243</v>
      </c>
      <c r="E173" s="68" t="s">
        <v>389</v>
      </c>
      <c r="F173" s="68" t="s">
        <v>389</v>
      </c>
      <c r="G173" s="68" t="s">
        <v>1496</v>
      </c>
      <c r="H173" s="68" t="s">
        <v>1367</v>
      </c>
    </row>
    <row r="174" customFormat="false" ht="15" hidden="false" customHeight="false" outlineLevel="0" collapsed="false">
      <c r="A174" s="68" t="n">
        <v>22</v>
      </c>
      <c r="B174" s="68" t="s">
        <v>361</v>
      </c>
      <c r="C174" s="68" t="s">
        <v>394</v>
      </c>
      <c r="D174" s="68" t="s">
        <v>260</v>
      </c>
      <c r="E174" s="68" t="n">
        <v>1</v>
      </c>
      <c r="F174" s="68" t="n">
        <v>1</v>
      </c>
      <c r="G174" s="68" t="s">
        <v>1497</v>
      </c>
      <c r="H174" s="68" t="s">
        <v>1367</v>
      </c>
    </row>
    <row r="175" customFormat="false" ht="15" hidden="false" customHeight="false" outlineLevel="0" collapsed="false">
      <c r="A175" s="68" t="n">
        <v>22</v>
      </c>
      <c r="B175" s="68" t="s">
        <v>361</v>
      </c>
      <c r="C175" s="68" t="s">
        <v>394</v>
      </c>
      <c r="D175" s="68" t="s">
        <v>261</v>
      </c>
      <c r="E175" s="68" t="s">
        <v>306</v>
      </c>
      <c r="F175" s="68" t="s">
        <v>1469</v>
      </c>
      <c r="G175" s="68"/>
      <c r="H175" s="85" t="s">
        <v>1369</v>
      </c>
    </row>
    <row r="176" customFormat="false" ht="15" hidden="false" customHeight="false" outlineLevel="0" collapsed="false">
      <c r="A176" s="68" t="n">
        <v>22</v>
      </c>
      <c r="B176" s="68" t="s">
        <v>361</v>
      </c>
      <c r="C176" s="68" t="s">
        <v>394</v>
      </c>
      <c r="D176" s="68" t="s">
        <v>248</v>
      </c>
      <c r="E176" s="68" t="n">
        <v>40</v>
      </c>
      <c r="F176" s="68" t="n">
        <v>40</v>
      </c>
      <c r="G176" s="68" t="s">
        <v>1498</v>
      </c>
      <c r="H176" s="68" t="s">
        <v>1367</v>
      </c>
    </row>
    <row r="177" customFormat="false" ht="15" hidden="false" customHeight="false" outlineLevel="0" collapsed="false">
      <c r="A177" s="68" t="n">
        <v>22</v>
      </c>
      <c r="B177" s="68" t="s">
        <v>361</v>
      </c>
      <c r="C177" s="68" t="s">
        <v>394</v>
      </c>
      <c r="D177" s="68" t="s">
        <v>262</v>
      </c>
      <c r="E177" s="68" t="n">
        <v>2.4</v>
      </c>
      <c r="F177" s="68" t="n">
        <v>2.4</v>
      </c>
      <c r="G177" s="68" t="s">
        <v>1498</v>
      </c>
      <c r="H177" s="68" t="s">
        <v>1367</v>
      </c>
    </row>
    <row r="178" customFormat="false" ht="15" hidden="false" customHeight="false" outlineLevel="0" collapsed="false">
      <c r="A178" s="68" t="n">
        <v>22</v>
      </c>
      <c r="B178" s="68" t="s">
        <v>361</v>
      </c>
      <c r="C178" s="68" t="s">
        <v>394</v>
      </c>
      <c r="D178" s="68" t="s">
        <v>250</v>
      </c>
      <c r="E178" s="68" t="n">
        <v>2.7</v>
      </c>
      <c r="F178" s="68" t="n">
        <v>2.7</v>
      </c>
      <c r="G178" s="68" t="s">
        <v>1498</v>
      </c>
      <c r="H178" s="68" t="s">
        <v>1367</v>
      </c>
    </row>
    <row r="179" customFormat="false" ht="15" hidden="false" customHeight="false" outlineLevel="0" collapsed="false">
      <c r="A179" s="68" t="n">
        <v>22</v>
      </c>
      <c r="B179" s="68" t="s">
        <v>361</v>
      </c>
      <c r="C179" s="68" t="s">
        <v>394</v>
      </c>
      <c r="D179" s="68" t="s">
        <v>258</v>
      </c>
      <c r="E179" s="68" t="s">
        <v>304</v>
      </c>
      <c r="F179" s="68" t="s">
        <v>1469</v>
      </c>
      <c r="G179" s="68"/>
      <c r="H179" s="85" t="s">
        <v>1369</v>
      </c>
    </row>
    <row r="180" customFormat="false" ht="15" hidden="false" customHeight="false" outlineLevel="0" collapsed="false">
      <c r="A180" s="68" t="n">
        <v>22</v>
      </c>
      <c r="B180" s="68" t="s">
        <v>361</v>
      </c>
      <c r="C180" s="68" t="s">
        <v>394</v>
      </c>
      <c r="D180" s="68" t="s">
        <v>923</v>
      </c>
      <c r="E180" s="68" t="s">
        <v>363</v>
      </c>
      <c r="F180" s="68" t="s">
        <v>363</v>
      </c>
      <c r="G180" s="68" t="s">
        <v>1499</v>
      </c>
      <c r="H180" s="68" t="s">
        <v>1367</v>
      </c>
    </row>
    <row r="181" customFormat="false" ht="15" hidden="false" customHeight="false" outlineLevel="0" collapsed="false">
      <c r="A181" s="68" t="n">
        <v>22</v>
      </c>
      <c r="B181" s="68" t="s">
        <v>361</v>
      </c>
      <c r="C181" s="68" t="s">
        <v>394</v>
      </c>
      <c r="D181" s="68" t="s">
        <v>1386</v>
      </c>
      <c r="E181" s="68" t="n">
        <v>17000</v>
      </c>
      <c r="F181" s="68" t="n">
        <v>17000</v>
      </c>
      <c r="G181" s="68" t="s">
        <v>1499</v>
      </c>
      <c r="H181" s="68" t="s">
        <v>1367</v>
      </c>
    </row>
    <row r="182" customFormat="false" ht="15" hidden="false" customHeight="false" outlineLevel="0" collapsed="false">
      <c r="A182" s="68" t="n">
        <v>23</v>
      </c>
      <c r="B182" s="68" t="s">
        <v>361</v>
      </c>
      <c r="C182" s="68" t="s">
        <v>398</v>
      </c>
      <c r="D182" s="68" t="s">
        <v>243</v>
      </c>
      <c r="E182" s="68" t="s">
        <v>397</v>
      </c>
      <c r="F182" s="68" t="s">
        <v>397</v>
      </c>
      <c r="G182" s="68" t="s">
        <v>1500</v>
      </c>
      <c r="H182" s="68" t="s">
        <v>1367</v>
      </c>
    </row>
    <row r="183" customFormat="false" ht="15" hidden="false" customHeight="false" outlineLevel="0" collapsed="false">
      <c r="A183" s="68" t="n">
        <v>23</v>
      </c>
      <c r="B183" s="68" t="s">
        <v>361</v>
      </c>
      <c r="C183" s="68" t="s">
        <v>398</v>
      </c>
      <c r="D183" s="68" t="s">
        <v>260</v>
      </c>
      <c r="E183" s="68" t="n">
        <v>1</v>
      </c>
      <c r="F183" s="68" t="n">
        <v>1</v>
      </c>
      <c r="G183" s="68" t="s">
        <v>1501</v>
      </c>
      <c r="H183" s="68" t="s">
        <v>1367</v>
      </c>
    </row>
    <row r="184" customFormat="false" ht="15" hidden="false" customHeight="false" outlineLevel="0" collapsed="false">
      <c r="A184" s="68" t="n">
        <v>23</v>
      </c>
      <c r="B184" s="68" t="s">
        <v>361</v>
      </c>
      <c r="C184" s="68" t="s">
        <v>398</v>
      </c>
      <c r="D184" s="68" t="s">
        <v>261</v>
      </c>
      <c r="E184" s="68" t="s">
        <v>306</v>
      </c>
      <c r="F184" s="68" t="s">
        <v>1469</v>
      </c>
      <c r="G184" s="68"/>
      <c r="H184" s="85" t="s">
        <v>1369</v>
      </c>
    </row>
    <row r="185" customFormat="false" ht="15" hidden="false" customHeight="false" outlineLevel="0" collapsed="false">
      <c r="A185" s="68" t="n">
        <v>23</v>
      </c>
      <c r="B185" s="68" t="s">
        <v>361</v>
      </c>
      <c r="C185" s="68" t="s">
        <v>398</v>
      </c>
      <c r="D185" s="68" t="s">
        <v>248</v>
      </c>
      <c r="E185" s="68" t="n">
        <v>20</v>
      </c>
      <c r="F185" s="68" t="n">
        <v>20</v>
      </c>
      <c r="G185" s="68" t="s">
        <v>1502</v>
      </c>
      <c r="H185" s="68" t="s">
        <v>1367</v>
      </c>
    </row>
    <row r="186" customFormat="false" ht="15" hidden="false" customHeight="false" outlineLevel="0" collapsed="false">
      <c r="A186" s="68" t="n">
        <v>23</v>
      </c>
      <c r="B186" s="68" t="s">
        <v>361</v>
      </c>
      <c r="C186" s="68" t="s">
        <v>398</v>
      </c>
      <c r="D186" s="68" t="s">
        <v>262</v>
      </c>
      <c r="E186" s="68" t="n">
        <v>2.5</v>
      </c>
      <c r="F186" s="68" t="n">
        <v>2.5</v>
      </c>
      <c r="G186" s="68" t="s">
        <v>1502</v>
      </c>
      <c r="H186" s="68" t="s">
        <v>1367</v>
      </c>
    </row>
    <row r="187" customFormat="false" ht="15" hidden="false" customHeight="false" outlineLevel="0" collapsed="false">
      <c r="A187" s="68" t="n">
        <v>23</v>
      </c>
      <c r="B187" s="68" t="s">
        <v>361</v>
      </c>
      <c r="C187" s="68" t="s">
        <v>398</v>
      </c>
      <c r="D187" s="68" t="s">
        <v>250</v>
      </c>
      <c r="E187" s="68" t="n">
        <v>1.4</v>
      </c>
      <c r="F187" s="68" t="n">
        <v>1.4</v>
      </c>
      <c r="G187" s="68" t="s">
        <v>1502</v>
      </c>
      <c r="H187" s="68" t="s">
        <v>1367</v>
      </c>
    </row>
    <row r="188" customFormat="false" ht="15" hidden="false" customHeight="false" outlineLevel="0" collapsed="false">
      <c r="A188" s="68" t="n">
        <v>23</v>
      </c>
      <c r="B188" s="68" t="s">
        <v>361</v>
      </c>
      <c r="C188" s="68" t="s">
        <v>398</v>
      </c>
      <c r="D188" s="68" t="s">
        <v>258</v>
      </c>
      <c r="E188" s="68" t="s">
        <v>304</v>
      </c>
      <c r="F188" s="68" t="s">
        <v>1469</v>
      </c>
      <c r="G188" s="68"/>
      <c r="H188" s="85" t="s">
        <v>1369</v>
      </c>
    </row>
    <row r="189" customFormat="false" ht="15" hidden="false" customHeight="false" outlineLevel="0" collapsed="false">
      <c r="A189" s="68" t="n">
        <v>23</v>
      </c>
      <c r="B189" s="68" t="s">
        <v>361</v>
      </c>
      <c r="C189" s="68" t="s">
        <v>398</v>
      </c>
      <c r="D189" s="68" t="s">
        <v>923</v>
      </c>
      <c r="E189" s="68" t="s">
        <v>363</v>
      </c>
      <c r="F189" s="68" t="s">
        <v>363</v>
      </c>
      <c r="G189" s="68" t="s">
        <v>1503</v>
      </c>
      <c r="H189" s="68" t="s">
        <v>1367</v>
      </c>
    </row>
    <row r="190" customFormat="false" ht="15" hidden="false" customHeight="false" outlineLevel="0" collapsed="false">
      <c r="A190" s="68" t="n">
        <v>23</v>
      </c>
      <c r="B190" s="68" t="s">
        <v>361</v>
      </c>
      <c r="C190" s="68" t="s">
        <v>398</v>
      </c>
      <c r="D190" s="68" t="s">
        <v>1386</v>
      </c>
      <c r="E190" s="68" t="n">
        <v>11000</v>
      </c>
      <c r="F190" s="68" t="n">
        <v>11000</v>
      </c>
      <c r="G190" s="68" t="s">
        <v>1503</v>
      </c>
      <c r="H190" s="68" t="s">
        <v>1367</v>
      </c>
    </row>
    <row r="191" customFormat="false" ht="15" hidden="false" customHeight="false" outlineLevel="0" collapsed="false">
      <c r="A191" s="68" t="n">
        <v>24</v>
      </c>
      <c r="B191" s="68" t="s">
        <v>361</v>
      </c>
      <c r="C191" s="68" t="s">
        <v>402</v>
      </c>
      <c r="D191" s="68" t="s">
        <v>243</v>
      </c>
      <c r="E191" s="68" t="s">
        <v>401</v>
      </c>
      <c r="F191" s="68" t="s">
        <v>401</v>
      </c>
      <c r="G191" s="68" t="s">
        <v>1504</v>
      </c>
      <c r="H191" s="68" t="s">
        <v>1367</v>
      </c>
    </row>
    <row r="192" customFormat="false" ht="15" hidden="false" customHeight="false" outlineLevel="0" collapsed="false">
      <c r="A192" s="68" t="n">
        <v>24</v>
      </c>
      <c r="B192" s="68" t="s">
        <v>361</v>
      </c>
      <c r="C192" s="68" t="s">
        <v>402</v>
      </c>
      <c r="D192" s="68" t="s">
        <v>260</v>
      </c>
      <c r="E192" s="68" t="n">
        <v>3</v>
      </c>
      <c r="F192" s="68" t="n">
        <v>3</v>
      </c>
      <c r="G192" s="68" t="s">
        <v>1505</v>
      </c>
      <c r="H192" s="68" t="s">
        <v>1367</v>
      </c>
    </row>
    <row r="193" customFormat="false" ht="15" hidden="false" customHeight="false" outlineLevel="0" collapsed="false">
      <c r="A193" s="68" t="n">
        <v>24</v>
      </c>
      <c r="B193" s="68" t="s">
        <v>361</v>
      </c>
      <c r="C193" s="68" t="s">
        <v>402</v>
      </c>
      <c r="D193" s="68" t="s">
        <v>261</v>
      </c>
      <c r="E193" s="68" t="s">
        <v>306</v>
      </c>
      <c r="F193" s="68" t="s">
        <v>1469</v>
      </c>
      <c r="G193" s="68"/>
      <c r="H193" s="85" t="s">
        <v>1369</v>
      </c>
    </row>
    <row r="194" customFormat="false" ht="15" hidden="false" customHeight="false" outlineLevel="0" collapsed="false">
      <c r="A194" s="68" t="n">
        <v>24</v>
      </c>
      <c r="B194" s="68" t="s">
        <v>361</v>
      </c>
      <c r="C194" s="68" t="s">
        <v>402</v>
      </c>
      <c r="D194" s="68" t="s">
        <v>248</v>
      </c>
      <c r="E194" s="68" t="n">
        <v>73</v>
      </c>
      <c r="F194" s="68" t="n">
        <v>73</v>
      </c>
      <c r="G194" s="68" t="s">
        <v>1506</v>
      </c>
      <c r="H194" s="68" t="s">
        <v>1367</v>
      </c>
    </row>
    <row r="195" customFormat="false" ht="15" hidden="false" customHeight="false" outlineLevel="0" collapsed="false">
      <c r="A195" s="68" t="n">
        <v>24</v>
      </c>
      <c r="B195" s="68" t="s">
        <v>361</v>
      </c>
      <c r="C195" s="68" t="s">
        <v>402</v>
      </c>
      <c r="D195" s="68" t="s">
        <v>262</v>
      </c>
      <c r="E195" s="68" t="n">
        <v>36.3</v>
      </c>
      <c r="F195" s="68" t="n">
        <v>36.3</v>
      </c>
      <c r="G195" s="68" t="s">
        <v>1506</v>
      </c>
      <c r="H195" s="68" t="s">
        <v>1367</v>
      </c>
    </row>
    <row r="196" customFormat="false" ht="15" hidden="false" customHeight="false" outlineLevel="0" collapsed="false">
      <c r="A196" s="68" t="n">
        <v>24</v>
      </c>
      <c r="B196" s="68" t="s">
        <v>361</v>
      </c>
      <c r="C196" s="68" t="s">
        <v>402</v>
      </c>
      <c r="D196" s="68" t="s">
        <v>250</v>
      </c>
      <c r="E196" s="68" t="n">
        <v>73.6</v>
      </c>
      <c r="F196" s="68" t="n">
        <v>73.6</v>
      </c>
      <c r="G196" s="68" t="s">
        <v>1506</v>
      </c>
      <c r="H196" s="68" t="s">
        <v>1367</v>
      </c>
    </row>
    <row r="197" customFormat="false" ht="15" hidden="false" customHeight="false" outlineLevel="0" collapsed="false">
      <c r="A197" s="68" t="n">
        <v>24</v>
      </c>
      <c r="B197" s="68" t="s">
        <v>361</v>
      </c>
      <c r="C197" s="68" t="s">
        <v>402</v>
      </c>
      <c r="D197" s="68" t="s">
        <v>258</v>
      </c>
      <c r="E197" s="68" t="s">
        <v>304</v>
      </c>
      <c r="F197" s="68" t="s">
        <v>1469</v>
      </c>
      <c r="G197" s="68"/>
      <c r="H197" s="85" t="s">
        <v>1369</v>
      </c>
    </row>
    <row r="198" customFormat="false" ht="15" hidden="false" customHeight="false" outlineLevel="0" collapsed="false">
      <c r="A198" s="68" t="n">
        <v>24</v>
      </c>
      <c r="B198" s="68" t="s">
        <v>361</v>
      </c>
      <c r="C198" s="68" t="s">
        <v>402</v>
      </c>
      <c r="D198" s="68" t="s">
        <v>923</v>
      </c>
      <c r="E198" s="68" t="s">
        <v>363</v>
      </c>
      <c r="F198" s="68" t="s">
        <v>363</v>
      </c>
      <c r="G198" s="68" t="s">
        <v>1507</v>
      </c>
      <c r="H198" s="68" t="s">
        <v>1367</v>
      </c>
    </row>
    <row r="199" customFormat="false" ht="15" hidden="false" customHeight="false" outlineLevel="0" collapsed="false">
      <c r="A199" s="68" t="n">
        <v>24</v>
      </c>
      <c r="B199" s="68" t="s">
        <v>361</v>
      </c>
      <c r="C199" s="68" t="s">
        <v>402</v>
      </c>
      <c r="D199" s="68" t="s">
        <v>1386</v>
      </c>
      <c r="E199" s="68" t="n">
        <v>430000</v>
      </c>
      <c r="F199" s="68" t="n">
        <v>430000</v>
      </c>
      <c r="G199" s="68" t="s">
        <v>1507</v>
      </c>
      <c r="H199" s="68" t="s">
        <v>1367</v>
      </c>
    </row>
    <row r="200" customFormat="false" ht="15" hidden="false" customHeight="false" outlineLevel="0" collapsed="false">
      <c r="A200" s="68" t="n">
        <v>25</v>
      </c>
      <c r="B200" s="68" t="s">
        <v>361</v>
      </c>
      <c r="C200" s="68" t="s">
        <v>406</v>
      </c>
      <c r="D200" s="68" t="s">
        <v>243</v>
      </c>
      <c r="E200" s="68" t="s">
        <v>405</v>
      </c>
      <c r="F200" s="68" t="s">
        <v>405</v>
      </c>
      <c r="G200" s="68" t="s">
        <v>1508</v>
      </c>
      <c r="H200" s="68" t="s">
        <v>1367</v>
      </c>
    </row>
    <row r="201" customFormat="false" ht="15" hidden="false" customHeight="false" outlineLevel="0" collapsed="false">
      <c r="A201" s="68" t="n">
        <v>25</v>
      </c>
      <c r="B201" s="68" t="s">
        <v>361</v>
      </c>
      <c r="C201" s="68" t="s">
        <v>406</v>
      </c>
      <c r="D201" s="68" t="s">
        <v>260</v>
      </c>
      <c r="E201" s="68" t="n">
        <v>3</v>
      </c>
      <c r="F201" s="68" t="n">
        <v>3</v>
      </c>
      <c r="G201" s="68" t="s">
        <v>1509</v>
      </c>
      <c r="H201" s="68" t="s">
        <v>1367</v>
      </c>
    </row>
    <row r="202" customFormat="false" ht="15" hidden="false" customHeight="false" outlineLevel="0" collapsed="false">
      <c r="A202" s="68" t="n">
        <v>25</v>
      </c>
      <c r="B202" s="68" t="s">
        <v>361</v>
      </c>
      <c r="C202" s="68" t="s">
        <v>406</v>
      </c>
      <c r="D202" s="68" t="s">
        <v>261</v>
      </c>
      <c r="E202" s="68" t="s">
        <v>306</v>
      </c>
      <c r="F202" s="68" t="s">
        <v>1469</v>
      </c>
      <c r="G202" s="68"/>
      <c r="H202" s="85" t="s">
        <v>1369</v>
      </c>
    </row>
    <row r="203" customFormat="false" ht="15" hidden="false" customHeight="false" outlineLevel="0" collapsed="false">
      <c r="A203" s="68" t="n">
        <v>25</v>
      </c>
      <c r="B203" s="68" t="s">
        <v>361</v>
      </c>
      <c r="C203" s="68" t="s">
        <v>406</v>
      </c>
      <c r="D203" s="68" t="s">
        <v>248</v>
      </c>
      <c r="E203" s="68" t="n">
        <v>36.5</v>
      </c>
      <c r="F203" s="68" t="n">
        <v>36.5</v>
      </c>
      <c r="G203" s="68" t="s">
        <v>1510</v>
      </c>
      <c r="H203" s="68" t="s">
        <v>1367</v>
      </c>
    </row>
    <row r="204" customFormat="false" ht="15" hidden="false" customHeight="false" outlineLevel="0" collapsed="false">
      <c r="A204" s="68" t="n">
        <v>25</v>
      </c>
      <c r="B204" s="68" t="s">
        <v>361</v>
      </c>
      <c r="C204" s="68" t="s">
        <v>406</v>
      </c>
      <c r="D204" s="68" t="s">
        <v>262</v>
      </c>
      <c r="E204" s="68" t="n">
        <v>36.3</v>
      </c>
      <c r="F204" s="68" t="n">
        <v>36.3</v>
      </c>
      <c r="G204" s="68" t="s">
        <v>1510</v>
      </c>
      <c r="H204" s="68" t="s">
        <v>1367</v>
      </c>
    </row>
    <row r="205" customFormat="false" ht="15" hidden="false" customHeight="false" outlineLevel="0" collapsed="false">
      <c r="A205" s="68" t="n">
        <v>25</v>
      </c>
      <c r="B205" s="68" t="s">
        <v>361</v>
      </c>
      <c r="C205" s="68" t="s">
        <v>406</v>
      </c>
      <c r="D205" s="68" t="s">
        <v>250</v>
      </c>
      <c r="E205" s="68" t="n">
        <v>36.5</v>
      </c>
      <c r="F205" s="68" t="n">
        <v>36.5</v>
      </c>
      <c r="G205" s="68" t="s">
        <v>1510</v>
      </c>
      <c r="H205" s="68" t="s">
        <v>1367</v>
      </c>
    </row>
    <row r="206" customFormat="false" ht="15" hidden="false" customHeight="false" outlineLevel="0" collapsed="false">
      <c r="A206" s="68" t="n">
        <v>25</v>
      </c>
      <c r="B206" s="68" t="s">
        <v>361</v>
      </c>
      <c r="C206" s="68" t="s">
        <v>406</v>
      </c>
      <c r="D206" s="68" t="s">
        <v>258</v>
      </c>
      <c r="E206" s="68" t="s">
        <v>304</v>
      </c>
      <c r="F206" s="68" t="s">
        <v>1469</v>
      </c>
      <c r="G206" s="68"/>
      <c r="H206" s="85" t="s">
        <v>1369</v>
      </c>
    </row>
    <row r="207" customFormat="false" ht="15" hidden="false" customHeight="false" outlineLevel="0" collapsed="false">
      <c r="A207" s="68" t="n">
        <v>25</v>
      </c>
      <c r="B207" s="68" t="s">
        <v>361</v>
      </c>
      <c r="C207" s="68" t="s">
        <v>406</v>
      </c>
      <c r="D207" s="68" t="s">
        <v>923</v>
      </c>
      <c r="E207" s="68" t="s">
        <v>363</v>
      </c>
      <c r="F207" s="68" t="s">
        <v>363</v>
      </c>
      <c r="G207" s="68" t="s">
        <v>1511</v>
      </c>
      <c r="H207" s="68" t="s">
        <v>1367</v>
      </c>
    </row>
    <row r="208" customFormat="false" ht="15" hidden="false" customHeight="false" outlineLevel="0" collapsed="false">
      <c r="A208" s="68" t="n">
        <v>25</v>
      </c>
      <c r="B208" s="68" t="s">
        <v>361</v>
      </c>
      <c r="C208" s="68" t="s">
        <v>406</v>
      </c>
      <c r="D208" s="68" t="s">
        <v>1386</v>
      </c>
      <c r="E208" s="68" t="n">
        <v>285000</v>
      </c>
      <c r="F208" s="68" t="n">
        <v>285000</v>
      </c>
      <c r="G208" s="68" t="s">
        <v>1511</v>
      </c>
      <c r="H208" s="68" t="s">
        <v>1367</v>
      </c>
    </row>
    <row r="209" customFormat="false" ht="15" hidden="false" customHeight="false" outlineLevel="0" collapsed="false">
      <c r="A209" s="68" t="n">
        <v>26</v>
      </c>
      <c r="B209" s="68" t="s">
        <v>361</v>
      </c>
      <c r="C209" s="68" t="s">
        <v>410</v>
      </c>
      <c r="D209" s="68" t="s">
        <v>243</v>
      </c>
      <c r="E209" s="68" t="s">
        <v>409</v>
      </c>
      <c r="F209" s="68" t="s">
        <v>409</v>
      </c>
      <c r="G209" s="68" t="s">
        <v>1512</v>
      </c>
      <c r="H209" s="68" t="s">
        <v>1367</v>
      </c>
    </row>
    <row r="210" customFormat="false" ht="15" hidden="false" customHeight="false" outlineLevel="0" collapsed="false">
      <c r="A210" s="68" t="n">
        <v>26</v>
      </c>
      <c r="B210" s="68" t="s">
        <v>361</v>
      </c>
      <c r="C210" s="68" t="s">
        <v>410</v>
      </c>
      <c r="D210" s="68" t="s">
        <v>260</v>
      </c>
      <c r="E210" s="68" t="n">
        <v>3</v>
      </c>
      <c r="F210" s="68" t="n">
        <v>3</v>
      </c>
      <c r="G210" s="68" t="s">
        <v>1513</v>
      </c>
      <c r="H210" s="68" t="s">
        <v>1367</v>
      </c>
    </row>
    <row r="211" customFormat="false" ht="15" hidden="false" customHeight="false" outlineLevel="0" collapsed="false">
      <c r="A211" s="68" t="n">
        <v>26</v>
      </c>
      <c r="B211" s="68" t="s">
        <v>361</v>
      </c>
      <c r="C211" s="68" t="s">
        <v>410</v>
      </c>
      <c r="D211" s="68" t="s">
        <v>261</v>
      </c>
      <c r="E211" s="68" t="s">
        <v>306</v>
      </c>
      <c r="F211" s="68" t="s">
        <v>1469</v>
      </c>
      <c r="G211" s="68"/>
      <c r="H211" s="85" t="s">
        <v>1369</v>
      </c>
    </row>
    <row r="212" customFormat="false" ht="15" hidden="false" customHeight="false" outlineLevel="0" collapsed="false">
      <c r="A212" s="68" t="n">
        <v>26</v>
      </c>
      <c r="B212" s="68" t="s">
        <v>361</v>
      </c>
      <c r="C212" s="68" t="s">
        <v>410</v>
      </c>
      <c r="D212" s="68" t="s">
        <v>262</v>
      </c>
      <c r="E212" s="68" t="n">
        <v>2</v>
      </c>
      <c r="F212" s="68" t="n">
        <v>2</v>
      </c>
      <c r="G212" s="68" t="s">
        <v>1514</v>
      </c>
      <c r="H212" s="68" t="s">
        <v>1367</v>
      </c>
    </row>
    <row r="213" customFormat="false" ht="15" hidden="false" customHeight="false" outlineLevel="0" collapsed="false">
      <c r="A213" s="68" t="n">
        <v>26</v>
      </c>
      <c r="B213" s="68" t="s">
        <v>361</v>
      </c>
      <c r="C213" s="68" t="s">
        <v>410</v>
      </c>
      <c r="D213" s="68" t="s">
        <v>250</v>
      </c>
      <c r="E213" s="68" t="n">
        <v>0.45</v>
      </c>
      <c r="F213" s="68" t="n">
        <v>0.45</v>
      </c>
      <c r="G213" s="68" t="s">
        <v>1514</v>
      </c>
      <c r="H213" s="68" t="s">
        <v>1367</v>
      </c>
    </row>
    <row r="214" customFormat="false" ht="15" hidden="false" customHeight="false" outlineLevel="0" collapsed="false">
      <c r="A214" s="68" t="n">
        <v>26</v>
      </c>
      <c r="B214" s="68" t="s">
        <v>361</v>
      </c>
      <c r="C214" s="68" t="s">
        <v>410</v>
      </c>
      <c r="D214" s="68" t="s">
        <v>258</v>
      </c>
      <c r="E214" s="68" t="s">
        <v>304</v>
      </c>
      <c r="F214" s="68" t="s">
        <v>1469</v>
      </c>
      <c r="G214" s="68"/>
      <c r="H214" s="85" t="s">
        <v>1369</v>
      </c>
    </row>
    <row r="215" customFormat="false" ht="15" hidden="false" customHeight="false" outlineLevel="0" collapsed="false">
      <c r="A215" s="68" t="n">
        <v>26</v>
      </c>
      <c r="B215" s="68" t="s">
        <v>361</v>
      </c>
      <c r="C215" s="68" t="s">
        <v>410</v>
      </c>
      <c r="D215" s="68" t="s">
        <v>923</v>
      </c>
      <c r="E215" s="68" t="s">
        <v>363</v>
      </c>
      <c r="F215" s="68" t="s">
        <v>363</v>
      </c>
      <c r="G215" s="68" t="s">
        <v>1515</v>
      </c>
      <c r="H215" s="68" t="s">
        <v>1367</v>
      </c>
    </row>
    <row r="216" customFormat="false" ht="15" hidden="false" customHeight="false" outlineLevel="0" collapsed="false">
      <c r="A216" s="68" t="n">
        <v>26</v>
      </c>
      <c r="B216" s="68" t="s">
        <v>361</v>
      </c>
      <c r="C216" s="68" t="s">
        <v>410</v>
      </c>
      <c r="D216" s="68" t="s">
        <v>1386</v>
      </c>
      <c r="E216" s="68" t="n">
        <v>9000</v>
      </c>
      <c r="F216" s="68" t="n">
        <v>9000</v>
      </c>
      <c r="G216" s="68" t="s">
        <v>1515</v>
      </c>
      <c r="H216" s="68" t="s">
        <v>1367</v>
      </c>
    </row>
    <row r="217" customFormat="false" ht="15" hidden="false" customHeight="false" outlineLevel="0" collapsed="false">
      <c r="A217" s="68" t="n">
        <v>27</v>
      </c>
      <c r="B217" s="68" t="s">
        <v>361</v>
      </c>
      <c r="C217" s="68" t="s">
        <v>415</v>
      </c>
      <c r="D217" s="68" t="s">
        <v>243</v>
      </c>
      <c r="E217" s="68" t="s">
        <v>414</v>
      </c>
      <c r="F217" s="68" t="s">
        <v>414</v>
      </c>
      <c r="G217" s="68" t="s">
        <v>1516</v>
      </c>
      <c r="H217" s="68" t="s">
        <v>1367</v>
      </c>
    </row>
    <row r="218" customFormat="false" ht="15" hidden="false" customHeight="false" outlineLevel="0" collapsed="false">
      <c r="A218" s="68" t="n">
        <v>27</v>
      </c>
      <c r="B218" s="68" t="s">
        <v>361</v>
      </c>
      <c r="C218" s="68" t="s">
        <v>415</v>
      </c>
      <c r="D218" s="68" t="s">
        <v>260</v>
      </c>
      <c r="E218" s="68" t="n">
        <v>2</v>
      </c>
      <c r="F218" s="68" t="n">
        <v>2</v>
      </c>
      <c r="G218" s="68" t="s">
        <v>1517</v>
      </c>
      <c r="H218" s="68" t="s">
        <v>1367</v>
      </c>
    </row>
    <row r="219" customFormat="false" ht="15" hidden="false" customHeight="false" outlineLevel="0" collapsed="false">
      <c r="A219" s="68" t="n">
        <v>27</v>
      </c>
      <c r="B219" s="68" t="s">
        <v>361</v>
      </c>
      <c r="C219" s="68" t="s">
        <v>415</v>
      </c>
      <c r="D219" s="68" t="s">
        <v>261</v>
      </c>
      <c r="E219" s="68" t="s">
        <v>306</v>
      </c>
      <c r="F219" s="68" t="s">
        <v>1469</v>
      </c>
      <c r="G219" s="68"/>
      <c r="H219" s="85" t="s">
        <v>1369</v>
      </c>
    </row>
    <row r="220" customFormat="false" ht="15" hidden="false" customHeight="false" outlineLevel="0" collapsed="false">
      <c r="A220" s="68" t="n">
        <v>27</v>
      </c>
      <c r="B220" s="68" t="s">
        <v>361</v>
      </c>
      <c r="C220" s="68" t="s">
        <v>415</v>
      </c>
      <c r="D220" s="68" t="s">
        <v>248</v>
      </c>
      <c r="E220" s="68" t="n">
        <v>15</v>
      </c>
      <c r="F220" s="68" t="n">
        <v>15</v>
      </c>
      <c r="G220" s="68" t="s">
        <v>1518</v>
      </c>
      <c r="H220" s="68" t="s">
        <v>1367</v>
      </c>
    </row>
    <row r="221" customFormat="false" ht="15" hidden="false" customHeight="false" outlineLevel="0" collapsed="false">
      <c r="A221" s="68" t="n">
        <v>27</v>
      </c>
      <c r="B221" s="68" t="s">
        <v>361</v>
      </c>
      <c r="C221" s="68" t="s">
        <v>415</v>
      </c>
      <c r="D221" s="68" t="s">
        <v>262</v>
      </c>
      <c r="E221" s="68" t="n">
        <v>0.8</v>
      </c>
      <c r="F221" s="68" t="n">
        <v>0.8</v>
      </c>
      <c r="G221" s="68" t="s">
        <v>1518</v>
      </c>
      <c r="H221" s="68" t="s">
        <v>1367</v>
      </c>
    </row>
    <row r="222" customFormat="false" ht="15" hidden="false" customHeight="false" outlineLevel="0" collapsed="false">
      <c r="A222" s="68" t="n">
        <v>27</v>
      </c>
      <c r="B222" s="68" t="s">
        <v>361</v>
      </c>
      <c r="C222" s="68" t="s">
        <v>415</v>
      </c>
      <c r="D222" s="68" t="s">
        <v>250</v>
      </c>
      <c r="E222" s="68" t="n">
        <v>0.33</v>
      </c>
      <c r="F222" s="68" t="n">
        <v>0.33</v>
      </c>
      <c r="G222" s="68" t="s">
        <v>1518</v>
      </c>
      <c r="H222" s="68" t="s">
        <v>1367</v>
      </c>
    </row>
    <row r="223" customFormat="false" ht="15" hidden="false" customHeight="false" outlineLevel="0" collapsed="false">
      <c r="A223" s="68" t="n">
        <v>27</v>
      </c>
      <c r="B223" s="68" t="s">
        <v>361</v>
      </c>
      <c r="C223" s="68" t="s">
        <v>415</v>
      </c>
      <c r="D223" s="68" t="s">
        <v>258</v>
      </c>
      <c r="E223" s="68" t="s">
        <v>304</v>
      </c>
      <c r="F223" s="68" t="s">
        <v>1469</v>
      </c>
      <c r="G223" s="68"/>
      <c r="H223" s="85" t="s">
        <v>1369</v>
      </c>
    </row>
    <row r="224" customFormat="false" ht="15" hidden="false" customHeight="false" outlineLevel="0" collapsed="false">
      <c r="A224" s="68" t="n">
        <v>27</v>
      </c>
      <c r="B224" s="68" t="s">
        <v>361</v>
      </c>
      <c r="C224" s="68" t="s">
        <v>415</v>
      </c>
      <c r="D224" s="68" t="s">
        <v>923</v>
      </c>
      <c r="E224" s="68" t="s">
        <v>363</v>
      </c>
      <c r="F224" s="68" t="s">
        <v>363</v>
      </c>
      <c r="G224" s="68" t="s">
        <v>1519</v>
      </c>
      <c r="H224" s="68" t="s">
        <v>1367</v>
      </c>
    </row>
    <row r="225" customFormat="false" ht="15" hidden="false" customHeight="false" outlineLevel="0" collapsed="false">
      <c r="A225" s="68" t="n">
        <v>27</v>
      </c>
      <c r="B225" s="68" t="s">
        <v>361</v>
      </c>
      <c r="C225" s="68" t="s">
        <v>415</v>
      </c>
      <c r="D225" s="68" t="s">
        <v>1386</v>
      </c>
      <c r="E225" s="68" t="n">
        <v>28000</v>
      </c>
      <c r="F225" s="68" t="n">
        <v>28000</v>
      </c>
      <c r="G225" s="68" t="s">
        <v>1519</v>
      </c>
      <c r="H225" s="68" t="s">
        <v>1367</v>
      </c>
    </row>
    <row r="226" customFormat="false" ht="15" hidden="false" customHeight="false" outlineLevel="0" collapsed="false">
      <c r="A226" s="68" t="n">
        <v>28</v>
      </c>
      <c r="B226" s="68" t="s">
        <v>361</v>
      </c>
      <c r="C226" s="68" t="s">
        <v>419</v>
      </c>
      <c r="D226" s="68" t="s">
        <v>243</v>
      </c>
      <c r="E226" s="68" t="s">
        <v>418</v>
      </c>
      <c r="F226" s="68" t="s">
        <v>418</v>
      </c>
      <c r="G226" s="68" t="s">
        <v>1520</v>
      </c>
      <c r="H226" s="68" t="s">
        <v>1367</v>
      </c>
    </row>
    <row r="227" customFormat="false" ht="15" hidden="false" customHeight="false" outlineLevel="0" collapsed="false">
      <c r="A227" s="68" t="n">
        <v>28</v>
      </c>
      <c r="B227" s="68" t="s">
        <v>361</v>
      </c>
      <c r="C227" s="68" t="s">
        <v>419</v>
      </c>
      <c r="D227" s="68" t="s">
        <v>260</v>
      </c>
      <c r="E227" s="68" t="n">
        <v>2</v>
      </c>
      <c r="F227" s="68" t="n">
        <v>2</v>
      </c>
      <c r="G227" s="68" t="s">
        <v>1521</v>
      </c>
      <c r="H227" s="68" t="s">
        <v>1367</v>
      </c>
    </row>
    <row r="228" customFormat="false" ht="15" hidden="false" customHeight="false" outlineLevel="0" collapsed="false">
      <c r="A228" s="68" t="n">
        <v>28</v>
      </c>
      <c r="B228" s="68" t="s">
        <v>361</v>
      </c>
      <c r="C228" s="68" t="s">
        <v>419</v>
      </c>
      <c r="D228" s="68" t="s">
        <v>261</v>
      </c>
      <c r="E228" s="68" t="s">
        <v>306</v>
      </c>
      <c r="F228" s="68" t="s">
        <v>1469</v>
      </c>
      <c r="G228" s="68"/>
      <c r="H228" s="85" t="s">
        <v>1369</v>
      </c>
    </row>
    <row r="229" customFormat="false" ht="15" hidden="false" customHeight="false" outlineLevel="0" collapsed="false">
      <c r="A229" s="68" t="n">
        <v>28</v>
      </c>
      <c r="B229" s="68" t="s">
        <v>361</v>
      </c>
      <c r="C229" s="68" t="s">
        <v>419</v>
      </c>
      <c r="D229" s="68" t="s">
        <v>248</v>
      </c>
      <c r="E229" s="68" t="n">
        <v>27.5</v>
      </c>
      <c r="F229" s="68" t="n">
        <v>27.5</v>
      </c>
      <c r="G229" s="68" t="s">
        <v>1522</v>
      </c>
      <c r="H229" s="68" t="s">
        <v>1367</v>
      </c>
    </row>
    <row r="230" customFormat="false" ht="15" hidden="false" customHeight="false" outlineLevel="0" collapsed="false">
      <c r="A230" s="68" t="n">
        <v>28</v>
      </c>
      <c r="B230" s="68" t="s">
        <v>361</v>
      </c>
      <c r="C230" s="68" t="s">
        <v>419</v>
      </c>
      <c r="D230" s="68" t="s">
        <v>262</v>
      </c>
      <c r="E230" s="68" t="n">
        <v>4.3</v>
      </c>
      <c r="F230" s="68" t="n">
        <v>4.3</v>
      </c>
      <c r="G230" s="68" t="s">
        <v>1522</v>
      </c>
      <c r="H230" s="68" t="s">
        <v>1367</v>
      </c>
    </row>
    <row r="231" customFormat="false" ht="15" hidden="false" customHeight="false" outlineLevel="0" collapsed="false">
      <c r="A231" s="68" t="n">
        <v>28</v>
      </c>
      <c r="B231" s="68" t="s">
        <v>361</v>
      </c>
      <c r="C231" s="68" t="s">
        <v>419</v>
      </c>
      <c r="D231" s="68" t="s">
        <v>250</v>
      </c>
      <c r="E231" s="68" t="n">
        <v>3.3</v>
      </c>
      <c r="F231" s="68" t="n">
        <v>3.3</v>
      </c>
      <c r="G231" s="68" t="s">
        <v>1522</v>
      </c>
      <c r="H231" s="68" t="s">
        <v>1367</v>
      </c>
    </row>
    <row r="232" customFormat="false" ht="15" hidden="false" customHeight="false" outlineLevel="0" collapsed="false">
      <c r="A232" s="68" t="n">
        <v>28</v>
      </c>
      <c r="B232" s="68" t="s">
        <v>361</v>
      </c>
      <c r="C232" s="68" t="s">
        <v>419</v>
      </c>
      <c r="D232" s="68" t="s">
        <v>258</v>
      </c>
      <c r="E232" s="68" t="s">
        <v>304</v>
      </c>
      <c r="F232" s="68" t="s">
        <v>1469</v>
      </c>
      <c r="G232" s="68"/>
      <c r="H232" s="85" t="s">
        <v>1369</v>
      </c>
    </row>
    <row r="233" customFormat="false" ht="15" hidden="false" customHeight="false" outlineLevel="0" collapsed="false">
      <c r="A233" s="68" t="n">
        <v>28</v>
      </c>
      <c r="B233" s="68" t="s">
        <v>361</v>
      </c>
      <c r="C233" s="68" t="s">
        <v>419</v>
      </c>
      <c r="D233" s="68" t="s">
        <v>923</v>
      </c>
      <c r="E233" s="68" t="s">
        <v>363</v>
      </c>
      <c r="F233" s="68" t="s">
        <v>363</v>
      </c>
      <c r="G233" s="68" t="s">
        <v>1523</v>
      </c>
      <c r="H233" s="68" t="s">
        <v>1367</v>
      </c>
    </row>
    <row r="234" customFormat="false" ht="15" hidden="false" customHeight="false" outlineLevel="0" collapsed="false">
      <c r="A234" s="68" t="n">
        <v>28</v>
      </c>
      <c r="B234" s="68" t="s">
        <v>361</v>
      </c>
      <c r="C234" s="68" t="s">
        <v>419</v>
      </c>
      <c r="D234" s="68" t="s">
        <v>1386</v>
      </c>
      <c r="E234" s="68" t="n">
        <v>53000</v>
      </c>
      <c r="F234" s="68" t="n">
        <v>53000</v>
      </c>
      <c r="G234" s="68" t="s">
        <v>1523</v>
      </c>
      <c r="H234" s="68" t="s">
        <v>1367</v>
      </c>
    </row>
    <row r="235" customFormat="false" ht="15" hidden="false" customHeight="false" outlineLevel="0" collapsed="false">
      <c r="A235" s="68" t="n">
        <v>29</v>
      </c>
      <c r="B235" s="68" t="s">
        <v>361</v>
      </c>
      <c r="C235" s="68" t="s">
        <v>423</v>
      </c>
      <c r="D235" s="68" t="s">
        <v>243</v>
      </c>
      <c r="E235" s="68" t="s">
        <v>422</v>
      </c>
      <c r="F235" s="68" t="s">
        <v>422</v>
      </c>
      <c r="G235" s="68" t="s">
        <v>1524</v>
      </c>
      <c r="H235" s="68" t="s">
        <v>1367</v>
      </c>
    </row>
    <row r="236" customFormat="false" ht="15" hidden="false" customHeight="false" outlineLevel="0" collapsed="false">
      <c r="A236" s="68" t="n">
        <v>29</v>
      </c>
      <c r="B236" s="68" t="s">
        <v>361</v>
      </c>
      <c r="C236" s="68" t="s">
        <v>423</v>
      </c>
      <c r="D236" s="68" t="s">
        <v>260</v>
      </c>
      <c r="E236" s="68" t="n">
        <v>2</v>
      </c>
      <c r="F236" s="68" t="n">
        <v>2</v>
      </c>
      <c r="G236" s="68" t="s">
        <v>1525</v>
      </c>
      <c r="H236" s="68" t="s">
        <v>1367</v>
      </c>
    </row>
    <row r="237" customFormat="false" ht="15" hidden="false" customHeight="false" outlineLevel="0" collapsed="false">
      <c r="A237" s="68" t="n">
        <v>29</v>
      </c>
      <c r="B237" s="68" t="s">
        <v>361</v>
      </c>
      <c r="C237" s="68" t="s">
        <v>423</v>
      </c>
      <c r="D237" s="68" t="s">
        <v>261</v>
      </c>
      <c r="E237" s="68" t="s">
        <v>306</v>
      </c>
      <c r="F237" s="68" t="s">
        <v>1469</v>
      </c>
      <c r="G237" s="68"/>
      <c r="H237" s="85" t="s">
        <v>1369</v>
      </c>
    </row>
    <row r="238" customFormat="false" ht="15" hidden="false" customHeight="false" outlineLevel="0" collapsed="false">
      <c r="A238" s="68" t="n">
        <v>29</v>
      </c>
      <c r="B238" s="68" t="s">
        <v>361</v>
      </c>
      <c r="C238" s="68" t="s">
        <v>423</v>
      </c>
      <c r="D238" s="68" t="s">
        <v>248</v>
      </c>
      <c r="E238" s="68" t="n">
        <v>5.5</v>
      </c>
      <c r="F238" s="68" t="n">
        <v>5.5</v>
      </c>
      <c r="G238" s="68" t="s">
        <v>1526</v>
      </c>
      <c r="H238" s="68" t="s">
        <v>1367</v>
      </c>
    </row>
    <row r="239" customFormat="false" ht="15" hidden="false" customHeight="false" outlineLevel="0" collapsed="false">
      <c r="A239" s="68" t="n">
        <v>29</v>
      </c>
      <c r="B239" s="68" t="s">
        <v>361</v>
      </c>
      <c r="C239" s="68" t="s">
        <v>423</v>
      </c>
      <c r="D239" s="68" t="s">
        <v>262</v>
      </c>
      <c r="E239" s="68" t="n">
        <v>7</v>
      </c>
      <c r="F239" s="68" t="n">
        <v>7</v>
      </c>
      <c r="G239" s="68" t="s">
        <v>1526</v>
      </c>
      <c r="H239" s="68" t="s">
        <v>1367</v>
      </c>
    </row>
    <row r="240" customFormat="false" ht="15" hidden="false" customHeight="false" outlineLevel="0" collapsed="false">
      <c r="A240" s="68" t="n">
        <v>29</v>
      </c>
      <c r="B240" s="68" t="s">
        <v>361</v>
      </c>
      <c r="C240" s="68" t="s">
        <v>423</v>
      </c>
      <c r="D240" s="68" t="s">
        <v>250</v>
      </c>
      <c r="E240" s="68" t="n">
        <v>0.11</v>
      </c>
      <c r="F240" s="68" t="n">
        <v>0.11</v>
      </c>
      <c r="G240" s="68" t="s">
        <v>1526</v>
      </c>
      <c r="H240" s="68" t="s">
        <v>1367</v>
      </c>
    </row>
    <row r="241" customFormat="false" ht="15" hidden="false" customHeight="false" outlineLevel="0" collapsed="false">
      <c r="A241" s="68" t="n">
        <v>29</v>
      </c>
      <c r="B241" s="68" t="s">
        <v>361</v>
      </c>
      <c r="C241" s="68" t="s">
        <v>423</v>
      </c>
      <c r="D241" s="68" t="s">
        <v>258</v>
      </c>
      <c r="E241" s="68" t="s">
        <v>304</v>
      </c>
      <c r="F241" s="68" t="s">
        <v>1469</v>
      </c>
      <c r="G241" s="68"/>
      <c r="H241" s="85" t="s">
        <v>1369</v>
      </c>
    </row>
    <row r="242" customFormat="false" ht="15" hidden="false" customHeight="false" outlineLevel="0" collapsed="false">
      <c r="A242" s="68" t="n">
        <v>29</v>
      </c>
      <c r="B242" s="68" t="s">
        <v>361</v>
      </c>
      <c r="C242" s="68" t="s">
        <v>423</v>
      </c>
      <c r="D242" s="68" t="s">
        <v>923</v>
      </c>
      <c r="E242" s="68" t="s">
        <v>363</v>
      </c>
      <c r="F242" s="68" t="s">
        <v>363</v>
      </c>
      <c r="G242" s="68" t="s">
        <v>1527</v>
      </c>
      <c r="H242" s="68" t="s">
        <v>1367</v>
      </c>
    </row>
    <row r="243" customFormat="false" ht="15" hidden="false" customHeight="false" outlineLevel="0" collapsed="false">
      <c r="A243" s="68" t="n">
        <v>29</v>
      </c>
      <c r="B243" s="68" t="s">
        <v>361</v>
      </c>
      <c r="C243" s="68" t="s">
        <v>423</v>
      </c>
      <c r="D243" s="68" t="s">
        <v>1386</v>
      </c>
      <c r="E243" s="68" t="n">
        <v>53000</v>
      </c>
      <c r="F243" s="68" t="n">
        <v>53000</v>
      </c>
      <c r="G243" s="68" t="s">
        <v>1527</v>
      </c>
      <c r="H243" s="68" t="s">
        <v>1367</v>
      </c>
    </row>
    <row r="244" customFormat="false" ht="15" hidden="false" customHeight="false" outlineLevel="0" collapsed="false">
      <c r="A244" s="68" t="n">
        <v>30</v>
      </c>
      <c r="B244" s="68" t="s">
        <v>361</v>
      </c>
      <c r="C244" s="68" t="s">
        <v>427</v>
      </c>
      <c r="D244" s="68" t="s">
        <v>243</v>
      </c>
      <c r="E244" s="68" t="s">
        <v>426</v>
      </c>
      <c r="F244" s="68" t="s">
        <v>426</v>
      </c>
      <c r="G244" s="68" t="s">
        <v>1528</v>
      </c>
      <c r="H244" s="68" t="s">
        <v>1367</v>
      </c>
    </row>
    <row r="245" customFormat="false" ht="15" hidden="false" customHeight="false" outlineLevel="0" collapsed="false">
      <c r="A245" s="68" t="n">
        <v>30</v>
      </c>
      <c r="B245" s="68" t="s">
        <v>361</v>
      </c>
      <c r="C245" s="68" t="s">
        <v>427</v>
      </c>
      <c r="D245" s="68" t="s">
        <v>260</v>
      </c>
      <c r="E245" s="68" t="n">
        <v>2</v>
      </c>
      <c r="F245" s="68" t="n">
        <v>2</v>
      </c>
      <c r="G245" s="68" t="s">
        <v>1529</v>
      </c>
      <c r="H245" s="68" t="s">
        <v>1367</v>
      </c>
    </row>
    <row r="246" customFormat="false" ht="15" hidden="false" customHeight="false" outlineLevel="0" collapsed="false">
      <c r="A246" s="68" t="n">
        <v>30</v>
      </c>
      <c r="B246" s="68" t="s">
        <v>361</v>
      </c>
      <c r="C246" s="68" t="s">
        <v>427</v>
      </c>
      <c r="D246" s="68" t="s">
        <v>261</v>
      </c>
      <c r="E246" s="68" t="s">
        <v>306</v>
      </c>
      <c r="F246" s="68" t="s">
        <v>1469</v>
      </c>
      <c r="G246" s="68"/>
      <c r="H246" s="85" t="s">
        <v>1369</v>
      </c>
    </row>
    <row r="247" customFormat="false" ht="15" hidden="false" customHeight="false" outlineLevel="0" collapsed="false">
      <c r="A247" s="68" t="n">
        <v>30</v>
      </c>
      <c r="B247" s="68" t="s">
        <v>361</v>
      </c>
      <c r="C247" s="68" t="s">
        <v>427</v>
      </c>
      <c r="D247" s="68" t="s">
        <v>248</v>
      </c>
      <c r="E247" s="68" t="n">
        <v>11</v>
      </c>
      <c r="F247" s="68" t="n">
        <v>11</v>
      </c>
      <c r="G247" s="68" t="s">
        <v>1530</v>
      </c>
      <c r="H247" s="68" t="s">
        <v>1367</v>
      </c>
    </row>
    <row r="248" customFormat="false" ht="15" hidden="false" customHeight="false" outlineLevel="0" collapsed="false">
      <c r="A248" s="68" t="n">
        <v>30</v>
      </c>
      <c r="B248" s="68" t="s">
        <v>361</v>
      </c>
      <c r="C248" s="68" t="s">
        <v>427</v>
      </c>
      <c r="D248" s="68" t="s">
        <v>262</v>
      </c>
      <c r="E248" s="68" t="n">
        <v>1.8</v>
      </c>
      <c r="F248" s="68" t="n">
        <v>1.8</v>
      </c>
      <c r="G248" s="68" t="s">
        <v>1530</v>
      </c>
      <c r="H248" s="68" t="s">
        <v>1367</v>
      </c>
    </row>
    <row r="249" customFormat="false" ht="15" hidden="false" customHeight="false" outlineLevel="0" collapsed="false">
      <c r="A249" s="68" t="n">
        <v>30</v>
      </c>
      <c r="B249" s="68" t="s">
        <v>361</v>
      </c>
      <c r="C249" s="68" t="s">
        <v>427</v>
      </c>
      <c r="D249" s="68" t="s">
        <v>250</v>
      </c>
      <c r="E249" s="68" t="n">
        <v>0.54</v>
      </c>
      <c r="F249" s="68" t="n">
        <v>0.54</v>
      </c>
      <c r="G249" s="68" t="s">
        <v>1530</v>
      </c>
      <c r="H249" s="68" t="s">
        <v>1367</v>
      </c>
    </row>
    <row r="250" customFormat="false" ht="15" hidden="false" customHeight="false" outlineLevel="0" collapsed="false">
      <c r="A250" s="68" t="n">
        <v>30</v>
      </c>
      <c r="B250" s="68" t="s">
        <v>361</v>
      </c>
      <c r="C250" s="68" t="s">
        <v>427</v>
      </c>
      <c r="D250" s="68" t="s">
        <v>258</v>
      </c>
      <c r="E250" s="68" t="s">
        <v>304</v>
      </c>
      <c r="F250" s="68" t="s">
        <v>1469</v>
      </c>
      <c r="G250" s="68"/>
      <c r="H250" s="85" t="s">
        <v>1369</v>
      </c>
    </row>
    <row r="251" customFormat="false" ht="15" hidden="false" customHeight="false" outlineLevel="0" collapsed="false">
      <c r="A251" s="68" t="n">
        <v>30</v>
      </c>
      <c r="B251" s="68" t="s">
        <v>361</v>
      </c>
      <c r="C251" s="68" t="s">
        <v>427</v>
      </c>
      <c r="D251" s="68" t="s">
        <v>923</v>
      </c>
      <c r="E251" s="68" t="s">
        <v>363</v>
      </c>
      <c r="F251" s="68" t="s">
        <v>363</v>
      </c>
      <c r="G251" s="68" t="s">
        <v>1531</v>
      </c>
      <c r="H251" s="68" t="s">
        <v>1367</v>
      </c>
    </row>
    <row r="252" customFormat="false" ht="15" hidden="false" customHeight="false" outlineLevel="0" collapsed="false">
      <c r="A252" s="68" t="n">
        <v>30</v>
      </c>
      <c r="B252" s="68" t="s">
        <v>361</v>
      </c>
      <c r="C252" s="68" t="s">
        <v>427</v>
      </c>
      <c r="D252" s="68" t="s">
        <v>1386</v>
      </c>
      <c r="E252" s="68" t="n">
        <v>29000</v>
      </c>
      <c r="F252" s="68" t="n">
        <v>29000</v>
      </c>
      <c r="G252" s="68" t="s">
        <v>1531</v>
      </c>
      <c r="H252" s="68" t="s">
        <v>1367</v>
      </c>
    </row>
    <row r="253" customFormat="false" ht="15" hidden="false" customHeight="false" outlineLevel="0" collapsed="false">
      <c r="A253" s="68" t="n">
        <v>31</v>
      </c>
      <c r="B253" s="68" t="s">
        <v>361</v>
      </c>
      <c r="C253" s="68" t="s">
        <v>431</v>
      </c>
      <c r="D253" s="68" t="s">
        <v>243</v>
      </c>
      <c r="E253" s="68" t="s">
        <v>430</v>
      </c>
      <c r="F253" s="68" t="s">
        <v>430</v>
      </c>
      <c r="G253" s="68" t="s">
        <v>1532</v>
      </c>
      <c r="H253" s="68" t="s">
        <v>1367</v>
      </c>
    </row>
    <row r="254" customFormat="false" ht="15" hidden="false" customHeight="false" outlineLevel="0" collapsed="false">
      <c r="A254" s="68" t="n">
        <v>31</v>
      </c>
      <c r="B254" s="68" t="s">
        <v>361</v>
      </c>
      <c r="C254" s="68" t="s">
        <v>431</v>
      </c>
      <c r="D254" s="68" t="s">
        <v>260</v>
      </c>
      <c r="E254" s="68" t="n">
        <v>2</v>
      </c>
      <c r="F254" s="68" t="n">
        <v>2</v>
      </c>
      <c r="G254" s="68" t="s">
        <v>1533</v>
      </c>
      <c r="H254" s="68" t="s">
        <v>1367</v>
      </c>
    </row>
    <row r="255" customFormat="false" ht="15" hidden="false" customHeight="false" outlineLevel="0" collapsed="false">
      <c r="A255" s="68" t="n">
        <v>31</v>
      </c>
      <c r="B255" s="68" t="s">
        <v>361</v>
      </c>
      <c r="C255" s="68" t="s">
        <v>431</v>
      </c>
      <c r="D255" s="68" t="s">
        <v>261</v>
      </c>
      <c r="E255" s="68" t="s">
        <v>306</v>
      </c>
      <c r="F255" s="68" t="s">
        <v>1469</v>
      </c>
      <c r="G255" s="68"/>
      <c r="H255" s="85" t="s">
        <v>1369</v>
      </c>
    </row>
    <row r="256" customFormat="false" ht="15" hidden="false" customHeight="false" outlineLevel="0" collapsed="false">
      <c r="A256" s="68" t="n">
        <v>31</v>
      </c>
      <c r="B256" s="68" t="s">
        <v>361</v>
      </c>
      <c r="C256" s="68" t="s">
        <v>431</v>
      </c>
      <c r="D256" s="68" t="s">
        <v>248</v>
      </c>
      <c r="E256" s="68" t="n">
        <v>11</v>
      </c>
      <c r="F256" s="68" t="n">
        <v>11</v>
      </c>
      <c r="G256" s="68" t="s">
        <v>1534</v>
      </c>
      <c r="H256" s="68" t="s">
        <v>1367</v>
      </c>
    </row>
    <row r="257" customFormat="false" ht="15" hidden="false" customHeight="false" outlineLevel="0" collapsed="false">
      <c r="A257" s="68" t="n">
        <v>31</v>
      </c>
      <c r="B257" s="68" t="s">
        <v>361</v>
      </c>
      <c r="C257" s="68" t="s">
        <v>431</v>
      </c>
      <c r="D257" s="68" t="s">
        <v>262</v>
      </c>
      <c r="E257" s="68" t="n">
        <v>2.7</v>
      </c>
      <c r="F257" s="68" t="n">
        <v>2.7</v>
      </c>
      <c r="G257" s="68" t="s">
        <v>1534</v>
      </c>
      <c r="H257" s="68" t="s">
        <v>1367</v>
      </c>
    </row>
    <row r="258" customFormat="false" ht="15" hidden="false" customHeight="false" outlineLevel="0" collapsed="false">
      <c r="A258" s="68" t="n">
        <v>31</v>
      </c>
      <c r="B258" s="68" t="s">
        <v>361</v>
      </c>
      <c r="C258" s="68" t="s">
        <v>431</v>
      </c>
      <c r="D258" s="68" t="s">
        <v>250</v>
      </c>
      <c r="E258" s="68" t="n">
        <v>0.8</v>
      </c>
      <c r="F258" s="68" t="n">
        <v>0.8</v>
      </c>
      <c r="G258" s="68" t="s">
        <v>1534</v>
      </c>
      <c r="H258" s="68" t="s">
        <v>1367</v>
      </c>
    </row>
    <row r="259" customFormat="false" ht="15" hidden="false" customHeight="false" outlineLevel="0" collapsed="false">
      <c r="A259" s="68" t="n">
        <v>31</v>
      </c>
      <c r="B259" s="68" t="s">
        <v>361</v>
      </c>
      <c r="C259" s="68" t="s">
        <v>431</v>
      </c>
      <c r="D259" s="68" t="s">
        <v>258</v>
      </c>
      <c r="E259" s="68" t="s">
        <v>304</v>
      </c>
      <c r="F259" s="68" t="s">
        <v>1469</v>
      </c>
      <c r="G259" s="68"/>
      <c r="H259" s="85" t="s">
        <v>1369</v>
      </c>
    </row>
    <row r="260" customFormat="false" ht="15" hidden="false" customHeight="false" outlineLevel="0" collapsed="false">
      <c r="A260" s="68" t="n">
        <v>31</v>
      </c>
      <c r="B260" s="68" t="s">
        <v>361</v>
      </c>
      <c r="C260" s="68" t="s">
        <v>431</v>
      </c>
      <c r="D260" s="68" t="s">
        <v>923</v>
      </c>
      <c r="E260" s="68" t="s">
        <v>363</v>
      </c>
      <c r="F260" s="68" t="s">
        <v>363</v>
      </c>
      <c r="G260" s="68" t="s">
        <v>1535</v>
      </c>
      <c r="H260" s="68" t="s">
        <v>1367</v>
      </c>
    </row>
    <row r="261" customFormat="false" ht="15" hidden="false" customHeight="false" outlineLevel="0" collapsed="false">
      <c r="A261" s="68" t="n">
        <v>31</v>
      </c>
      <c r="B261" s="68" t="s">
        <v>361</v>
      </c>
      <c r="C261" s="68" t="s">
        <v>431</v>
      </c>
      <c r="D261" s="68" t="s">
        <v>1386</v>
      </c>
      <c r="E261" s="68" t="n">
        <v>35000</v>
      </c>
      <c r="F261" s="68" t="n">
        <v>35000</v>
      </c>
      <c r="G261" s="68" t="s">
        <v>1535</v>
      </c>
      <c r="H261" s="68" t="s">
        <v>1367</v>
      </c>
    </row>
    <row r="262" customFormat="false" ht="15" hidden="false" customHeight="false" outlineLevel="0" collapsed="false">
      <c r="A262" s="68" t="n">
        <v>32</v>
      </c>
      <c r="B262" s="68" t="s">
        <v>361</v>
      </c>
      <c r="C262" s="68" t="s">
        <v>436</v>
      </c>
      <c r="D262" s="68" t="s">
        <v>243</v>
      </c>
      <c r="E262" s="68" t="s">
        <v>435</v>
      </c>
      <c r="F262" s="68" t="s">
        <v>435</v>
      </c>
      <c r="G262" s="68" t="s">
        <v>1536</v>
      </c>
      <c r="H262" s="68" t="s">
        <v>1367</v>
      </c>
    </row>
    <row r="263" customFormat="false" ht="15" hidden="false" customHeight="false" outlineLevel="0" collapsed="false">
      <c r="A263" s="68" t="n">
        <v>32</v>
      </c>
      <c r="B263" s="68" t="s">
        <v>361</v>
      </c>
      <c r="C263" s="68" t="s">
        <v>436</v>
      </c>
      <c r="D263" s="68" t="s">
        <v>260</v>
      </c>
      <c r="E263" s="68" t="n">
        <v>1</v>
      </c>
      <c r="F263" s="68" t="n">
        <v>1</v>
      </c>
      <c r="G263" s="68" t="s">
        <v>1537</v>
      </c>
      <c r="H263" s="68" t="s">
        <v>1367</v>
      </c>
    </row>
    <row r="264" customFormat="false" ht="15" hidden="false" customHeight="false" outlineLevel="0" collapsed="false">
      <c r="A264" s="68" t="n">
        <v>32</v>
      </c>
      <c r="B264" s="68" t="s">
        <v>361</v>
      </c>
      <c r="C264" s="68" t="s">
        <v>436</v>
      </c>
      <c r="D264" s="68" t="s">
        <v>261</v>
      </c>
      <c r="E264" s="68" t="s">
        <v>306</v>
      </c>
      <c r="F264" s="68" t="s">
        <v>1469</v>
      </c>
      <c r="G264" s="68"/>
      <c r="H264" s="85" t="s">
        <v>1369</v>
      </c>
    </row>
    <row r="265" customFormat="false" ht="15" hidden="false" customHeight="false" outlineLevel="0" collapsed="false">
      <c r="A265" s="68" t="n">
        <v>32</v>
      </c>
      <c r="B265" s="68" t="s">
        <v>361</v>
      </c>
      <c r="C265" s="68" t="s">
        <v>436</v>
      </c>
      <c r="D265" s="68" t="s">
        <v>248</v>
      </c>
      <c r="E265" s="68" t="n">
        <v>1</v>
      </c>
      <c r="F265" s="68" t="n">
        <v>1</v>
      </c>
      <c r="G265" s="68" t="s">
        <v>1538</v>
      </c>
      <c r="H265" s="68" t="s">
        <v>1367</v>
      </c>
    </row>
    <row r="266" customFormat="false" ht="15" hidden="false" customHeight="false" outlineLevel="0" collapsed="false">
      <c r="A266" s="68" t="n">
        <v>32</v>
      </c>
      <c r="B266" s="68" t="s">
        <v>361</v>
      </c>
      <c r="C266" s="68" t="s">
        <v>436</v>
      </c>
      <c r="D266" s="68" t="s">
        <v>262</v>
      </c>
      <c r="E266" s="68" t="n">
        <v>0.84</v>
      </c>
      <c r="F266" s="68" t="n">
        <v>0.84</v>
      </c>
      <c r="G266" s="68" t="s">
        <v>1538</v>
      </c>
      <c r="H266" s="68" t="s">
        <v>1367</v>
      </c>
    </row>
    <row r="267" customFormat="false" ht="15" hidden="false" customHeight="false" outlineLevel="0" collapsed="false">
      <c r="A267" s="68" t="n">
        <v>32</v>
      </c>
      <c r="B267" s="68" t="s">
        <v>361</v>
      </c>
      <c r="C267" s="68" t="s">
        <v>436</v>
      </c>
      <c r="D267" s="68" t="s">
        <v>250</v>
      </c>
      <c r="E267" s="68" t="n">
        <v>0.02</v>
      </c>
      <c r="F267" s="68" t="n">
        <v>0.02</v>
      </c>
      <c r="G267" s="68" t="s">
        <v>1538</v>
      </c>
      <c r="H267" s="68" t="s">
        <v>1367</v>
      </c>
    </row>
    <row r="268" customFormat="false" ht="15" hidden="false" customHeight="false" outlineLevel="0" collapsed="false">
      <c r="A268" s="68" t="n">
        <v>32</v>
      </c>
      <c r="B268" s="68" t="s">
        <v>361</v>
      </c>
      <c r="C268" s="68" t="s">
        <v>436</v>
      </c>
      <c r="D268" s="68" t="s">
        <v>258</v>
      </c>
      <c r="E268" s="68" t="s">
        <v>304</v>
      </c>
      <c r="F268" s="68" t="s">
        <v>1469</v>
      </c>
      <c r="G268" s="68"/>
      <c r="H268" s="85" t="s">
        <v>1369</v>
      </c>
    </row>
    <row r="269" customFormat="false" ht="15" hidden="false" customHeight="false" outlineLevel="0" collapsed="false">
      <c r="A269" s="68" t="n">
        <v>32</v>
      </c>
      <c r="B269" s="68" t="s">
        <v>361</v>
      </c>
      <c r="C269" s="68" t="s">
        <v>436</v>
      </c>
      <c r="D269" s="68" t="s">
        <v>923</v>
      </c>
      <c r="E269" s="68" t="s">
        <v>363</v>
      </c>
      <c r="F269" s="68" t="s">
        <v>363</v>
      </c>
      <c r="G269" s="68" t="s">
        <v>1539</v>
      </c>
      <c r="H269" s="68" t="s">
        <v>1367</v>
      </c>
    </row>
    <row r="270" customFormat="false" ht="15" hidden="false" customHeight="false" outlineLevel="0" collapsed="false">
      <c r="A270" s="68" t="n">
        <v>32</v>
      </c>
      <c r="B270" s="68" t="s">
        <v>361</v>
      </c>
      <c r="C270" s="68" t="s">
        <v>436</v>
      </c>
      <c r="D270" s="68" t="s">
        <v>1386</v>
      </c>
      <c r="E270" s="68" t="n">
        <v>13350</v>
      </c>
      <c r="F270" s="68" t="n">
        <v>13350</v>
      </c>
      <c r="G270" s="68" t="s">
        <v>1539</v>
      </c>
      <c r="H270" s="68" t="s">
        <v>1367</v>
      </c>
    </row>
    <row r="271" customFormat="false" ht="15" hidden="false" customHeight="false" outlineLevel="0" collapsed="false">
      <c r="A271" s="68" t="n">
        <v>33</v>
      </c>
      <c r="B271" s="68" t="s">
        <v>361</v>
      </c>
      <c r="C271" s="68" t="s">
        <v>440</v>
      </c>
      <c r="D271" s="68" t="s">
        <v>243</v>
      </c>
      <c r="E271" s="68" t="s">
        <v>439</v>
      </c>
      <c r="F271" s="68" t="s">
        <v>439</v>
      </c>
      <c r="G271" s="68" t="s">
        <v>1540</v>
      </c>
      <c r="H271" s="68" t="s">
        <v>1367</v>
      </c>
    </row>
    <row r="272" customFormat="false" ht="15" hidden="false" customHeight="false" outlineLevel="0" collapsed="false">
      <c r="A272" s="68" t="n">
        <v>33</v>
      </c>
      <c r="B272" s="68" t="s">
        <v>361</v>
      </c>
      <c r="C272" s="68" t="s">
        <v>440</v>
      </c>
      <c r="D272" s="68" t="s">
        <v>260</v>
      </c>
      <c r="E272" s="68" t="n">
        <v>2</v>
      </c>
      <c r="F272" s="68" t="n">
        <v>2</v>
      </c>
      <c r="G272" s="68" t="s">
        <v>1541</v>
      </c>
      <c r="H272" s="68" t="s">
        <v>1367</v>
      </c>
    </row>
    <row r="273" customFormat="false" ht="15" hidden="false" customHeight="false" outlineLevel="0" collapsed="false">
      <c r="A273" s="68" t="n">
        <v>33</v>
      </c>
      <c r="B273" s="68" t="s">
        <v>361</v>
      </c>
      <c r="C273" s="68" t="s">
        <v>440</v>
      </c>
      <c r="D273" s="68" t="s">
        <v>261</v>
      </c>
      <c r="E273" s="68" t="s">
        <v>306</v>
      </c>
      <c r="F273" s="68" t="s">
        <v>1469</v>
      </c>
      <c r="G273" s="68"/>
      <c r="H273" s="85" t="s">
        <v>1369</v>
      </c>
    </row>
    <row r="274" customFormat="false" ht="15" hidden="false" customHeight="false" outlineLevel="0" collapsed="false">
      <c r="A274" s="68" t="n">
        <v>33</v>
      </c>
      <c r="B274" s="68" t="s">
        <v>361</v>
      </c>
      <c r="C274" s="68" t="s">
        <v>440</v>
      </c>
      <c r="D274" s="68" t="s">
        <v>248</v>
      </c>
      <c r="E274" s="68" t="n">
        <v>5</v>
      </c>
      <c r="F274" s="68" t="n">
        <v>5</v>
      </c>
      <c r="G274" s="68" t="s">
        <v>1542</v>
      </c>
      <c r="H274" s="68" t="s">
        <v>1367</v>
      </c>
    </row>
    <row r="275" customFormat="false" ht="15" hidden="false" customHeight="false" outlineLevel="0" collapsed="false">
      <c r="A275" s="68" t="n">
        <v>33</v>
      </c>
      <c r="B275" s="68" t="s">
        <v>361</v>
      </c>
      <c r="C275" s="68" t="s">
        <v>440</v>
      </c>
      <c r="D275" s="68" t="s">
        <v>262</v>
      </c>
      <c r="E275" s="68" t="n">
        <v>2</v>
      </c>
      <c r="F275" s="68" t="n">
        <v>2</v>
      </c>
      <c r="G275" s="68" t="s">
        <v>1542</v>
      </c>
      <c r="H275" s="68" t="s">
        <v>1367</v>
      </c>
    </row>
    <row r="276" customFormat="false" ht="15" hidden="false" customHeight="false" outlineLevel="0" collapsed="false">
      <c r="A276" s="68" t="n">
        <v>33</v>
      </c>
      <c r="B276" s="68" t="s">
        <v>361</v>
      </c>
      <c r="C276" s="68" t="s">
        <v>440</v>
      </c>
      <c r="D276" s="68" t="s">
        <v>250</v>
      </c>
      <c r="E276" s="68" t="n">
        <v>0.3</v>
      </c>
      <c r="F276" s="68" t="n">
        <v>0.3</v>
      </c>
      <c r="G276" s="68" t="s">
        <v>1542</v>
      </c>
      <c r="H276" s="68" t="s">
        <v>1367</v>
      </c>
    </row>
    <row r="277" customFormat="false" ht="15" hidden="false" customHeight="false" outlineLevel="0" collapsed="false">
      <c r="A277" s="68" t="n">
        <v>33</v>
      </c>
      <c r="B277" s="68" t="s">
        <v>361</v>
      </c>
      <c r="C277" s="68" t="s">
        <v>440</v>
      </c>
      <c r="D277" s="68" t="s">
        <v>258</v>
      </c>
      <c r="E277" s="68" t="s">
        <v>304</v>
      </c>
      <c r="F277" s="68" t="s">
        <v>1469</v>
      </c>
      <c r="G277" s="68"/>
      <c r="H277" s="85" t="s">
        <v>1369</v>
      </c>
    </row>
    <row r="278" customFormat="false" ht="15" hidden="false" customHeight="false" outlineLevel="0" collapsed="false">
      <c r="A278" s="68" t="n">
        <v>33</v>
      </c>
      <c r="B278" s="68" t="s">
        <v>361</v>
      </c>
      <c r="C278" s="68" t="s">
        <v>440</v>
      </c>
      <c r="D278" s="68" t="s">
        <v>923</v>
      </c>
      <c r="E278" s="68" t="s">
        <v>363</v>
      </c>
      <c r="F278" s="68" t="s">
        <v>363</v>
      </c>
      <c r="G278" s="68" t="s">
        <v>1543</v>
      </c>
      <c r="H278" s="68" t="s">
        <v>1367</v>
      </c>
    </row>
    <row r="279" customFormat="false" ht="15" hidden="false" customHeight="false" outlineLevel="0" collapsed="false">
      <c r="A279" s="68" t="n">
        <v>33</v>
      </c>
      <c r="B279" s="68" t="s">
        <v>361</v>
      </c>
      <c r="C279" s="68" t="s">
        <v>440</v>
      </c>
      <c r="D279" s="68" t="s">
        <v>1386</v>
      </c>
      <c r="E279" s="68" t="n">
        <v>31000</v>
      </c>
      <c r="F279" s="68" t="n">
        <v>31000</v>
      </c>
      <c r="G279" s="68" t="s">
        <v>1543</v>
      </c>
      <c r="H279" s="68" t="s">
        <v>1367</v>
      </c>
    </row>
    <row r="280" customFormat="false" ht="15" hidden="false" customHeight="false" outlineLevel="0" collapsed="false">
      <c r="A280" s="68" t="n">
        <v>34</v>
      </c>
      <c r="B280" s="68" t="s">
        <v>361</v>
      </c>
      <c r="C280" s="68" t="s">
        <v>444</v>
      </c>
      <c r="D280" s="68" t="s">
        <v>243</v>
      </c>
      <c r="E280" s="68" t="s">
        <v>443</v>
      </c>
      <c r="F280" s="68" t="s">
        <v>443</v>
      </c>
      <c r="G280" s="68" t="s">
        <v>1544</v>
      </c>
      <c r="H280" s="68" t="s">
        <v>1367</v>
      </c>
    </row>
    <row r="281" customFormat="false" ht="15" hidden="false" customHeight="false" outlineLevel="0" collapsed="false">
      <c r="A281" s="68" t="n">
        <v>34</v>
      </c>
      <c r="B281" s="68" t="s">
        <v>361</v>
      </c>
      <c r="C281" s="68" t="s">
        <v>444</v>
      </c>
      <c r="D281" s="68" t="s">
        <v>260</v>
      </c>
      <c r="E281" s="68" t="n">
        <v>2</v>
      </c>
      <c r="F281" s="68" t="n">
        <v>2</v>
      </c>
      <c r="G281" s="68" t="s">
        <v>1545</v>
      </c>
      <c r="H281" s="68" t="s">
        <v>1367</v>
      </c>
    </row>
    <row r="282" customFormat="false" ht="15" hidden="false" customHeight="false" outlineLevel="0" collapsed="false">
      <c r="A282" s="68" t="n">
        <v>34</v>
      </c>
      <c r="B282" s="68" t="s">
        <v>361</v>
      </c>
      <c r="C282" s="68" t="s">
        <v>444</v>
      </c>
      <c r="D282" s="68" t="s">
        <v>261</v>
      </c>
      <c r="E282" s="68" t="s">
        <v>306</v>
      </c>
      <c r="F282" s="68" t="s">
        <v>1469</v>
      </c>
      <c r="G282" s="68"/>
      <c r="H282" s="85" t="s">
        <v>1369</v>
      </c>
    </row>
    <row r="283" customFormat="false" ht="15" hidden="false" customHeight="false" outlineLevel="0" collapsed="false">
      <c r="A283" s="68" t="n">
        <v>34</v>
      </c>
      <c r="B283" s="68" t="s">
        <v>361</v>
      </c>
      <c r="C283" s="68" t="s">
        <v>444</v>
      </c>
      <c r="D283" s="68" t="s">
        <v>248</v>
      </c>
      <c r="E283" s="68" t="n">
        <v>33</v>
      </c>
      <c r="F283" s="68" t="n">
        <v>33</v>
      </c>
      <c r="G283" s="68" t="s">
        <v>1546</v>
      </c>
      <c r="H283" s="68" t="s">
        <v>1367</v>
      </c>
    </row>
    <row r="284" customFormat="false" ht="15" hidden="false" customHeight="false" outlineLevel="0" collapsed="false">
      <c r="A284" s="68" t="n">
        <v>34</v>
      </c>
      <c r="B284" s="68" t="s">
        <v>361</v>
      </c>
      <c r="C284" s="68" t="s">
        <v>444</v>
      </c>
      <c r="D284" s="68" t="s">
        <v>262</v>
      </c>
      <c r="E284" s="68" t="n">
        <v>1.5</v>
      </c>
      <c r="F284" s="68" t="n">
        <v>1.5</v>
      </c>
      <c r="G284" s="68" t="s">
        <v>1546</v>
      </c>
      <c r="H284" s="68" t="s">
        <v>1367</v>
      </c>
    </row>
    <row r="285" customFormat="false" ht="15" hidden="false" customHeight="false" outlineLevel="0" collapsed="false">
      <c r="A285" s="68" t="n">
        <v>34</v>
      </c>
      <c r="B285" s="68" t="s">
        <v>361</v>
      </c>
      <c r="C285" s="68" t="s">
        <v>444</v>
      </c>
      <c r="D285" s="68" t="s">
        <v>250</v>
      </c>
      <c r="E285" s="68" t="n">
        <v>1.35</v>
      </c>
      <c r="F285" s="68" t="n">
        <v>1.35</v>
      </c>
      <c r="G285" s="68" t="s">
        <v>1546</v>
      </c>
      <c r="H285" s="68" t="s">
        <v>1367</v>
      </c>
    </row>
    <row r="286" customFormat="false" ht="15" hidden="false" customHeight="false" outlineLevel="0" collapsed="false">
      <c r="A286" s="68" t="n">
        <v>34</v>
      </c>
      <c r="B286" s="68" t="s">
        <v>361</v>
      </c>
      <c r="C286" s="68" t="s">
        <v>444</v>
      </c>
      <c r="D286" s="68" t="s">
        <v>258</v>
      </c>
      <c r="E286" s="68" t="s">
        <v>304</v>
      </c>
      <c r="F286" s="68" t="s">
        <v>1469</v>
      </c>
      <c r="G286" s="68"/>
      <c r="H286" s="85" t="s">
        <v>1369</v>
      </c>
    </row>
    <row r="287" customFormat="false" ht="15" hidden="false" customHeight="false" outlineLevel="0" collapsed="false">
      <c r="A287" s="68" t="n">
        <v>34</v>
      </c>
      <c r="B287" s="68" t="s">
        <v>361</v>
      </c>
      <c r="C287" s="68" t="s">
        <v>444</v>
      </c>
      <c r="D287" s="68" t="s">
        <v>923</v>
      </c>
      <c r="E287" s="68" t="s">
        <v>363</v>
      </c>
      <c r="F287" s="68" t="s">
        <v>363</v>
      </c>
      <c r="G287" s="68" t="s">
        <v>1547</v>
      </c>
      <c r="H287" s="68" t="s">
        <v>1367</v>
      </c>
    </row>
    <row r="288" customFormat="false" ht="15" hidden="false" customHeight="false" outlineLevel="0" collapsed="false">
      <c r="A288" s="68" t="n">
        <v>34</v>
      </c>
      <c r="B288" s="68" t="s">
        <v>361</v>
      </c>
      <c r="C288" s="68" t="s">
        <v>444</v>
      </c>
      <c r="D288" s="68" t="s">
        <v>1386</v>
      </c>
      <c r="E288" s="68" t="n">
        <v>28000</v>
      </c>
      <c r="F288" s="68" t="n">
        <v>28000</v>
      </c>
      <c r="G288" s="68" t="s">
        <v>1547</v>
      </c>
      <c r="H288" s="68" t="s">
        <v>1367</v>
      </c>
    </row>
    <row r="289" customFormat="false" ht="15" hidden="false" customHeight="false" outlineLevel="0" collapsed="false">
      <c r="A289" s="68" t="n">
        <v>35</v>
      </c>
      <c r="B289" s="68" t="s">
        <v>361</v>
      </c>
      <c r="C289" s="68" t="s">
        <v>448</v>
      </c>
      <c r="D289" s="68" t="s">
        <v>243</v>
      </c>
      <c r="E289" s="68" t="s">
        <v>447</v>
      </c>
      <c r="F289" s="68" t="s">
        <v>447</v>
      </c>
      <c r="G289" s="68" t="s">
        <v>1548</v>
      </c>
      <c r="H289" s="68" t="s">
        <v>1367</v>
      </c>
    </row>
    <row r="290" customFormat="false" ht="15" hidden="false" customHeight="false" outlineLevel="0" collapsed="false">
      <c r="A290" s="68" t="n">
        <v>35</v>
      </c>
      <c r="B290" s="68" t="s">
        <v>361</v>
      </c>
      <c r="C290" s="68" t="s">
        <v>448</v>
      </c>
      <c r="D290" s="68" t="s">
        <v>260</v>
      </c>
      <c r="E290" s="68" t="n">
        <v>1</v>
      </c>
      <c r="F290" s="68" t="n">
        <v>1</v>
      </c>
      <c r="G290" s="68" t="s">
        <v>1549</v>
      </c>
      <c r="H290" s="68" t="s">
        <v>1367</v>
      </c>
    </row>
    <row r="291" customFormat="false" ht="15" hidden="false" customHeight="false" outlineLevel="0" collapsed="false">
      <c r="A291" s="68" t="n">
        <v>35</v>
      </c>
      <c r="B291" s="68" t="s">
        <v>361</v>
      </c>
      <c r="C291" s="68" t="s">
        <v>448</v>
      </c>
      <c r="D291" s="68" t="s">
        <v>261</v>
      </c>
      <c r="E291" s="68" t="s">
        <v>306</v>
      </c>
      <c r="F291" s="68" t="s">
        <v>1469</v>
      </c>
      <c r="G291" s="68"/>
      <c r="H291" s="85" t="s">
        <v>1369</v>
      </c>
    </row>
    <row r="292" customFormat="false" ht="15" hidden="false" customHeight="false" outlineLevel="0" collapsed="false">
      <c r="A292" s="68" t="n">
        <v>35</v>
      </c>
      <c r="B292" s="68" t="s">
        <v>361</v>
      </c>
      <c r="C292" s="68" t="s">
        <v>448</v>
      </c>
      <c r="D292" s="68" t="s">
        <v>248</v>
      </c>
      <c r="E292" s="68" t="n">
        <v>10</v>
      </c>
      <c r="F292" s="68" t="n">
        <v>10</v>
      </c>
      <c r="G292" s="68" t="s">
        <v>1550</v>
      </c>
      <c r="H292" s="68" t="s">
        <v>1367</v>
      </c>
    </row>
    <row r="293" customFormat="false" ht="15" hidden="false" customHeight="false" outlineLevel="0" collapsed="false">
      <c r="A293" s="68" t="n">
        <v>35</v>
      </c>
      <c r="B293" s="68" t="s">
        <v>361</v>
      </c>
      <c r="C293" s="68" t="s">
        <v>448</v>
      </c>
      <c r="D293" s="68" t="s">
        <v>262</v>
      </c>
      <c r="E293" s="68" t="n">
        <v>0.6</v>
      </c>
      <c r="F293" s="68" t="n">
        <v>0.6</v>
      </c>
      <c r="G293" s="68" t="s">
        <v>1550</v>
      </c>
      <c r="H293" s="68" t="s">
        <v>1367</v>
      </c>
    </row>
    <row r="294" customFormat="false" ht="15" hidden="false" customHeight="false" outlineLevel="0" collapsed="false">
      <c r="A294" s="68" t="n">
        <v>35</v>
      </c>
      <c r="B294" s="68" t="s">
        <v>361</v>
      </c>
      <c r="C294" s="68" t="s">
        <v>448</v>
      </c>
      <c r="D294" s="68" t="s">
        <v>250</v>
      </c>
      <c r="E294" s="68" t="n">
        <v>0.16</v>
      </c>
      <c r="F294" s="68" t="n">
        <v>0.16</v>
      </c>
      <c r="G294" s="68" t="s">
        <v>1550</v>
      </c>
      <c r="H294" s="68" t="s">
        <v>1367</v>
      </c>
    </row>
    <row r="295" customFormat="false" ht="15" hidden="false" customHeight="false" outlineLevel="0" collapsed="false">
      <c r="A295" s="68" t="n">
        <v>35</v>
      </c>
      <c r="B295" s="68" t="s">
        <v>361</v>
      </c>
      <c r="C295" s="68" t="s">
        <v>448</v>
      </c>
      <c r="D295" s="68" t="s">
        <v>258</v>
      </c>
      <c r="E295" s="68" t="s">
        <v>304</v>
      </c>
      <c r="F295" s="68" t="s">
        <v>1469</v>
      </c>
      <c r="G295" s="68"/>
      <c r="H295" s="85" t="s">
        <v>1369</v>
      </c>
    </row>
    <row r="296" customFormat="false" ht="15" hidden="false" customHeight="false" outlineLevel="0" collapsed="false">
      <c r="A296" s="68" t="n">
        <v>35</v>
      </c>
      <c r="B296" s="68" t="s">
        <v>361</v>
      </c>
      <c r="C296" s="68" t="s">
        <v>448</v>
      </c>
      <c r="D296" s="68" t="s">
        <v>923</v>
      </c>
      <c r="E296" s="68" t="s">
        <v>363</v>
      </c>
      <c r="F296" s="68" t="s">
        <v>363</v>
      </c>
      <c r="G296" s="68" t="s">
        <v>1551</v>
      </c>
      <c r="H296" s="68" t="s">
        <v>1367</v>
      </c>
    </row>
    <row r="297" customFormat="false" ht="15" hidden="false" customHeight="false" outlineLevel="0" collapsed="false">
      <c r="A297" s="68" t="n">
        <v>35</v>
      </c>
      <c r="B297" s="68" t="s">
        <v>361</v>
      </c>
      <c r="C297" s="68" t="s">
        <v>448</v>
      </c>
      <c r="D297" s="68" t="s">
        <v>1386</v>
      </c>
      <c r="E297" s="68" t="n">
        <v>13500</v>
      </c>
      <c r="F297" s="68" t="n">
        <v>13500</v>
      </c>
      <c r="G297" s="68" t="s">
        <v>1551</v>
      </c>
      <c r="H297" s="68" t="s">
        <v>1367</v>
      </c>
    </row>
    <row r="298" customFormat="false" ht="15" hidden="false" customHeight="false" outlineLevel="0" collapsed="false">
      <c r="A298" s="68" t="n">
        <v>36</v>
      </c>
      <c r="B298" s="68" t="s">
        <v>361</v>
      </c>
      <c r="C298" s="68" t="s">
        <v>452</v>
      </c>
      <c r="D298" s="68" t="s">
        <v>243</v>
      </c>
      <c r="E298" s="68" t="s">
        <v>451</v>
      </c>
      <c r="F298" s="68" t="s">
        <v>451</v>
      </c>
      <c r="G298" s="68" t="s">
        <v>1552</v>
      </c>
      <c r="H298" s="68" t="s">
        <v>1367</v>
      </c>
    </row>
    <row r="299" customFormat="false" ht="15" hidden="false" customHeight="false" outlineLevel="0" collapsed="false">
      <c r="A299" s="68" t="n">
        <v>36</v>
      </c>
      <c r="B299" s="68" t="s">
        <v>361</v>
      </c>
      <c r="C299" s="68" t="s">
        <v>452</v>
      </c>
      <c r="D299" s="68" t="s">
        <v>260</v>
      </c>
      <c r="E299" s="68" t="n">
        <v>2</v>
      </c>
      <c r="F299" s="68" t="n">
        <v>2</v>
      </c>
      <c r="G299" s="68" t="s">
        <v>1553</v>
      </c>
      <c r="H299" s="68" t="s">
        <v>1367</v>
      </c>
    </row>
    <row r="300" customFormat="false" ht="15" hidden="false" customHeight="false" outlineLevel="0" collapsed="false">
      <c r="A300" s="68" t="n">
        <v>36</v>
      </c>
      <c r="B300" s="68" t="s">
        <v>361</v>
      </c>
      <c r="C300" s="68" t="s">
        <v>452</v>
      </c>
      <c r="D300" s="68" t="s">
        <v>261</v>
      </c>
      <c r="E300" s="68" t="s">
        <v>306</v>
      </c>
      <c r="F300" s="68" t="s">
        <v>1469</v>
      </c>
      <c r="G300" s="68"/>
      <c r="H300" s="85" t="s">
        <v>1369</v>
      </c>
    </row>
    <row r="301" customFormat="false" ht="15" hidden="false" customHeight="false" outlineLevel="0" collapsed="false">
      <c r="A301" s="68" t="n">
        <v>36</v>
      </c>
      <c r="B301" s="68" t="s">
        <v>361</v>
      </c>
      <c r="C301" s="68" t="s">
        <v>452</v>
      </c>
      <c r="D301" s="68" t="s">
        <v>248</v>
      </c>
      <c r="E301" s="68" t="n">
        <v>480</v>
      </c>
      <c r="F301" s="68" t="n">
        <v>480</v>
      </c>
      <c r="G301" s="68" t="s">
        <v>1554</v>
      </c>
      <c r="H301" s="68" t="s">
        <v>1367</v>
      </c>
    </row>
    <row r="302" customFormat="false" ht="15" hidden="false" customHeight="false" outlineLevel="0" collapsed="false">
      <c r="A302" s="68" t="n">
        <v>36</v>
      </c>
      <c r="B302" s="68" t="s">
        <v>361</v>
      </c>
      <c r="C302" s="68" t="s">
        <v>452</v>
      </c>
      <c r="D302" s="68" t="s">
        <v>262</v>
      </c>
      <c r="E302" s="68" t="n">
        <v>10</v>
      </c>
      <c r="F302" s="68" t="n">
        <v>10</v>
      </c>
      <c r="G302" s="68" t="s">
        <v>1554</v>
      </c>
      <c r="H302" s="68" t="s">
        <v>1367</v>
      </c>
    </row>
    <row r="303" customFormat="false" ht="15" hidden="false" customHeight="false" outlineLevel="0" collapsed="false">
      <c r="A303" s="68" t="n">
        <v>36</v>
      </c>
      <c r="B303" s="68" t="s">
        <v>361</v>
      </c>
      <c r="C303" s="68" t="s">
        <v>452</v>
      </c>
      <c r="D303" s="68" t="s">
        <v>250</v>
      </c>
      <c r="E303" s="68" t="n">
        <v>133</v>
      </c>
      <c r="F303" s="68" t="n">
        <v>133</v>
      </c>
      <c r="G303" s="68" t="s">
        <v>1554</v>
      </c>
      <c r="H303" s="68" t="s">
        <v>1367</v>
      </c>
    </row>
    <row r="304" customFormat="false" ht="15" hidden="false" customHeight="false" outlineLevel="0" collapsed="false">
      <c r="A304" s="68" t="n">
        <v>36</v>
      </c>
      <c r="B304" s="68" t="s">
        <v>361</v>
      </c>
      <c r="C304" s="68" t="s">
        <v>452</v>
      </c>
      <c r="D304" s="68" t="s">
        <v>258</v>
      </c>
      <c r="E304" s="68" t="s">
        <v>304</v>
      </c>
      <c r="F304" s="68" t="s">
        <v>1555</v>
      </c>
      <c r="G304" s="68" t="s">
        <v>243</v>
      </c>
      <c r="H304" s="68" t="s">
        <v>1367</v>
      </c>
    </row>
    <row r="305" customFormat="false" ht="15" hidden="false" customHeight="false" outlineLevel="0" collapsed="false">
      <c r="A305" s="68" t="n">
        <v>36</v>
      </c>
      <c r="B305" s="68" t="s">
        <v>361</v>
      </c>
      <c r="C305" s="68" t="s">
        <v>452</v>
      </c>
      <c r="D305" s="68" t="s">
        <v>923</v>
      </c>
      <c r="E305" s="68" t="s">
        <v>454</v>
      </c>
      <c r="F305" s="68" t="s">
        <v>454</v>
      </c>
      <c r="G305" s="68" t="s">
        <v>1556</v>
      </c>
      <c r="H305" s="68" t="s">
        <v>1367</v>
      </c>
    </row>
    <row r="306" customFormat="false" ht="15" hidden="false" customHeight="false" outlineLevel="0" collapsed="false">
      <c r="A306" s="68" t="n">
        <v>36</v>
      </c>
      <c r="B306" s="68" t="s">
        <v>361</v>
      </c>
      <c r="C306" s="68" t="s">
        <v>452</v>
      </c>
      <c r="D306" s="68" t="s">
        <v>1386</v>
      </c>
      <c r="E306" s="68" t="n">
        <v>37500000000</v>
      </c>
      <c r="F306" s="68" t="n">
        <v>37500000000</v>
      </c>
      <c r="G306" s="68" t="s">
        <v>1556</v>
      </c>
      <c r="H306" s="68" t="s">
        <v>1367</v>
      </c>
    </row>
    <row r="307" customFormat="false" ht="15" hidden="false" customHeight="false" outlineLevel="0" collapsed="false">
      <c r="A307" s="68" t="n">
        <v>37</v>
      </c>
      <c r="B307" s="68" t="s">
        <v>361</v>
      </c>
      <c r="C307" s="68" t="s">
        <v>459</v>
      </c>
      <c r="D307" s="68" t="s">
        <v>243</v>
      </c>
      <c r="E307" s="68" t="s">
        <v>458</v>
      </c>
      <c r="F307" s="68" t="s">
        <v>458</v>
      </c>
      <c r="G307" s="68" t="s">
        <v>1557</v>
      </c>
      <c r="H307" s="68" t="s">
        <v>1367</v>
      </c>
    </row>
    <row r="308" customFormat="false" ht="15" hidden="false" customHeight="false" outlineLevel="0" collapsed="false">
      <c r="A308" s="68" t="n">
        <v>37</v>
      </c>
      <c r="B308" s="68" t="s">
        <v>361</v>
      </c>
      <c r="C308" s="68" t="s">
        <v>459</v>
      </c>
      <c r="D308" s="68" t="s">
        <v>260</v>
      </c>
      <c r="E308" s="68" t="n">
        <v>1</v>
      </c>
      <c r="F308" s="68" t="n">
        <v>1</v>
      </c>
      <c r="G308" s="68" t="s">
        <v>1558</v>
      </c>
      <c r="H308" s="68" t="s">
        <v>1367</v>
      </c>
    </row>
    <row r="309" customFormat="false" ht="15" hidden="false" customHeight="false" outlineLevel="0" collapsed="false">
      <c r="A309" s="68" t="n">
        <v>37</v>
      </c>
      <c r="B309" s="68" t="s">
        <v>361</v>
      </c>
      <c r="C309" s="68" t="s">
        <v>459</v>
      </c>
      <c r="D309" s="68" t="s">
        <v>261</v>
      </c>
      <c r="E309" s="68" t="s">
        <v>306</v>
      </c>
      <c r="F309" s="68" t="s">
        <v>1469</v>
      </c>
      <c r="G309" s="68"/>
      <c r="H309" s="85" t="s">
        <v>1369</v>
      </c>
    </row>
    <row r="310" customFormat="false" ht="15" hidden="false" customHeight="false" outlineLevel="0" collapsed="false">
      <c r="A310" s="68" t="n">
        <v>37</v>
      </c>
      <c r="B310" s="68" t="s">
        <v>361</v>
      </c>
      <c r="C310" s="68" t="s">
        <v>459</v>
      </c>
      <c r="D310" s="68" t="s">
        <v>248</v>
      </c>
      <c r="E310" s="68" t="n">
        <v>480</v>
      </c>
      <c r="F310" s="68" t="n">
        <v>480</v>
      </c>
      <c r="G310" s="68" t="s">
        <v>1559</v>
      </c>
      <c r="H310" s="68" t="s">
        <v>1367</v>
      </c>
    </row>
    <row r="311" customFormat="false" ht="15" hidden="false" customHeight="false" outlineLevel="0" collapsed="false">
      <c r="A311" s="68" t="n">
        <v>37</v>
      </c>
      <c r="B311" s="68" t="s">
        <v>361</v>
      </c>
      <c r="C311" s="68" t="s">
        <v>459</v>
      </c>
      <c r="D311" s="68" t="s">
        <v>262</v>
      </c>
      <c r="E311" s="68" t="n">
        <v>10</v>
      </c>
      <c r="F311" s="68" t="n">
        <v>10</v>
      </c>
      <c r="G311" s="68" t="s">
        <v>1559</v>
      </c>
      <c r="H311" s="68" t="s">
        <v>1367</v>
      </c>
    </row>
    <row r="312" customFormat="false" ht="15" hidden="false" customHeight="false" outlineLevel="0" collapsed="false">
      <c r="A312" s="68" t="n">
        <v>37</v>
      </c>
      <c r="B312" s="68" t="s">
        <v>361</v>
      </c>
      <c r="C312" s="68" t="s">
        <v>459</v>
      </c>
      <c r="D312" s="68" t="s">
        <v>250</v>
      </c>
      <c r="E312" s="68" t="n">
        <v>133</v>
      </c>
      <c r="F312" s="68" t="n">
        <v>133</v>
      </c>
      <c r="G312" s="68" t="s">
        <v>1559</v>
      </c>
      <c r="H312" s="68" t="s">
        <v>1367</v>
      </c>
    </row>
    <row r="313" customFormat="false" ht="15" hidden="false" customHeight="false" outlineLevel="0" collapsed="false">
      <c r="A313" s="68" t="n">
        <v>37</v>
      </c>
      <c r="B313" s="68" t="s">
        <v>361</v>
      </c>
      <c r="C313" s="68" t="s">
        <v>459</v>
      </c>
      <c r="D313" s="68" t="s">
        <v>258</v>
      </c>
      <c r="E313" s="68" t="s">
        <v>460</v>
      </c>
      <c r="F313" s="68" t="s">
        <v>1560</v>
      </c>
      <c r="G313" s="68" t="s">
        <v>243</v>
      </c>
      <c r="H313" s="68" t="s">
        <v>1367</v>
      </c>
    </row>
    <row r="314" customFormat="false" ht="15" hidden="false" customHeight="false" outlineLevel="0" collapsed="false">
      <c r="A314" s="68" t="n">
        <v>37</v>
      </c>
      <c r="B314" s="68" t="s">
        <v>361</v>
      </c>
      <c r="C314" s="68" t="s">
        <v>459</v>
      </c>
      <c r="D314" s="68" t="s">
        <v>923</v>
      </c>
      <c r="E314" s="68" t="s">
        <v>454</v>
      </c>
      <c r="F314" s="68" t="s">
        <v>454</v>
      </c>
      <c r="G314" s="68" t="s">
        <v>1561</v>
      </c>
      <c r="H314" s="68" t="s">
        <v>1367</v>
      </c>
    </row>
    <row r="315" customFormat="false" ht="15" hidden="false" customHeight="false" outlineLevel="0" collapsed="false">
      <c r="A315" s="68" t="n">
        <v>37</v>
      </c>
      <c r="B315" s="68" t="s">
        <v>361</v>
      </c>
      <c r="C315" s="68" t="s">
        <v>459</v>
      </c>
      <c r="D315" s="68" t="s">
        <v>1386</v>
      </c>
      <c r="E315" s="68" t="n">
        <v>45000000000</v>
      </c>
      <c r="F315" s="68" t="n">
        <v>45000000000</v>
      </c>
      <c r="G315" s="68" t="s">
        <v>1561</v>
      </c>
      <c r="H315" s="68" t="s">
        <v>1367</v>
      </c>
    </row>
    <row r="316" customFormat="false" ht="15" hidden="false" customHeight="false" outlineLevel="0" collapsed="false">
      <c r="A316" s="68" t="n">
        <v>38</v>
      </c>
      <c r="B316" s="68" t="s">
        <v>361</v>
      </c>
      <c r="C316" s="68" t="s">
        <v>464</v>
      </c>
      <c r="D316" s="68" t="s">
        <v>243</v>
      </c>
      <c r="E316" s="68" t="s">
        <v>463</v>
      </c>
      <c r="F316" s="68" t="s">
        <v>463</v>
      </c>
      <c r="G316" s="68" t="s">
        <v>1562</v>
      </c>
      <c r="H316" s="68" t="s">
        <v>1367</v>
      </c>
    </row>
    <row r="317" customFormat="false" ht="15" hidden="false" customHeight="false" outlineLevel="0" collapsed="false">
      <c r="A317" s="68" t="n">
        <v>38</v>
      </c>
      <c r="B317" s="68" t="s">
        <v>361</v>
      </c>
      <c r="C317" s="68" t="s">
        <v>464</v>
      </c>
      <c r="D317" s="68" t="s">
        <v>260</v>
      </c>
      <c r="E317" s="68" t="n">
        <v>2</v>
      </c>
      <c r="F317" s="68" t="n">
        <v>2</v>
      </c>
      <c r="G317" s="68" t="s">
        <v>1563</v>
      </c>
      <c r="H317" s="68" t="s">
        <v>1367</v>
      </c>
    </row>
    <row r="318" customFormat="false" ht="15" hidden="false" customHeight="false" outlineLevel="0" collapsed="false">
      <c r="A318" s="68" t="n">
        <v>38</v>
      </c>
      <c r="B318" s="68" t="s">
        <v>361</v>
      </c>
      <c r="C318" s="68" t="s">
        <v>464</v>
      </c>
      <c r="D318" s="68" t="s">
        <v>261</v>
      </c>
      <c r="E318" s="68" t="s">
        <v>306</v>
      </c>
      <c r="F318" s="68" t="s">
        <v>1469</v>
      </c>
      <c r="G318" s="68"/>
      <c r="H318" s="85" t="s">
        <v>1369</v>
      </c>
    </row>
    <row r="319" customFormat="false" ht="15" hidden="false" customHeight="false" outlineLevel="0" collapsed="false">
      <c r="A319" s="68" t="n">
        <v>38</v>
      </c>
      <c r="B319" s="68" t="s">
        <v>361</v>
      </c>
      <c r="C319" s="68" t="s">
        <v>464</v>
      </c>
      <c r="D319" s="68" t="s">
        <v>248</v>
      </c>
      <c r="E319" s="68" t="n">
        <v>15</v>
      </c>
      <c r="F319" s="68" t="n">
        <v>15</v>
      </c>
      <c r="G319" s="68" t="s">
        <v>1564</v>
      </c>
      <c r="H319" s="68" t="s">
        <v>1367</v>
      </c>
    </row>
    <row r="320" customFormat="false" ht="15" hidden="false" customHeight="false" outlineLevel="0" collapsed="false">
      <c r="A320" s="68" t="n">
        <v>38</v>
      </c>
      <c r="B320" s="68" t="s">
        <v>361</v>
      </c>
      <c r="C320" s="68" t="s">
        <v>464</v>
      </c>
      <c r="D320" s="68" t="s">
        <v>262</v>
      </c>
      <c r="E320" s="68" t="n">
        <v>6</v>
      </c>
      <c r="F320" s="68" t="n">
        <v>6</v>
      </c>
      <c r="G320" s="68" t="s">
        <v>1564</v>
      </c>
      <c r="H320" s="68" t="s">
        <v>1367</v>
      </c>
    </row>
    <row r="321" customFormat="false" ht="15" hidden="false" customHeight="false" outlineLevel="0" collapsed="false">
      <c r="A321" s="68" t="n">
        <v>38</v>
      </c>
      <c r="B321" s="68" t="s">
        <v>361</v>
      </c>
      <c r="C321" s="68" t="s">
        <v>464</v>
      </c>
      <c r="D321" s="68" t="s">
        <v>250</v>
      </c>
      <c r="E321" s="68" t="n">
        <v>2.5</v>
      </c>
      <c r="F321" s="68" t="n">
        <v>2.5</v>
      </c>
      <c r="G321" s="68" t="s">
        <v>1564</v>
      </c>
      <c r="H321" s="68" t="s">
        <v>1367</v>
      </c>
    </row>
    <row r="322" customFormat="false" ht="15" hidden="false" customHeight="false" outlineLevel="0" collapsed="false">
      <c r="A322" s="68" t="n">
        <v>38</v>
      </c>
      <c r="B322" s="68" t="s">
        <v>361</v>
      </c>
      <c r="C322" s="68" t="s">
        <v>464</v>
      </c>
      <c r="D322" s="68" t="s">
        <v>258</v>
      </c>
      <c r="E322" s="68" t="s">
        <v>304</v>
      </c>
      <c r="F322" s="68" t="s">
        <v>1469</v>
      </c>
      <c r="G322" s="68"/>
      <c r="H322" s="85" t="s">
        <v>1369</v>
      </c>
    </row>
    <row r="323" customFormat="false" ht="15" hidden="false" customHeight="false" outlineLevel="0" collapsed="false">
      <c r="A323" s="68" t="n">
        <v>38</v>
      </c>
      <c r="B323" s="68" t="s">
        <v>361</v>
      </c>
      <c r="C323" s="68" t="s">
        <v>464</v>
      </c>
      <c r="D323" s="68" t="s">
        <v>923</v>
      </c>
      <c r="E323" s="68" t="s">
        <v>454</v>
      </c>
      <c r="F323" s="68" t="s">
        <v>454</v>
      </c>
      <c r="G323" s="68" t="s">
        <v>1565</v>
      </c>
      <c r="H323" s="68" t="s">
        <v>1367</v>
      </c>
    </row>
    <row r="324" customFormat="false" ht="15" hidden="false" customHeight="false" outlineLevel="0" collapsed="false">
      <c r="A324" s="68" t="n">
        <v>38</v>
      </c>
      <c r="B324" s="68" t="s">
        <v>361</v>
      </c>
      <c r="C324" s="68" t="s">
        <v>464</v>
      </c>
      <c r="D324" s="68" t="s">
        <v>1386</v>
      </c>
      <c r="E324" s="68" t="n">
        <v>2000000000</v>
      </c>
      <c r="F324" s="68" t="n">
        <v>2000000000</v>
      </c>
      <c r="G324" s="68" t="s">
        <v>1565</v>
      </c>
      <c r="H324" s="68" t="s">
        <v>1367</v>
      </c>
    </row>
    <row r="325" customFormat="false" ht="15" hidden="false" customHeight="false" outlineLevel="0" collapsed="false">
      <c r="A325" s="68" t="n">
        <v>39</v>
      </c>
      <c r="B325" s="68" t="s">
        <v>361</v>
      </c>
      <c r="C325" s="68" t="s">
        <v>468</v>
      </c>
      <c r="D325" s="68" t="s">
        <v>243</v>
      </c>
      <c r="E325" s="68" t="s">
        <v>467</v>
      </c>
      <c r="F325" s="68" t="s">
        <v>467</v>
      </c>
      <c r="G325" s="68" t="s">
        <v>1566</v>
      </c>
      <c r="H325" s="68" t="s">
        <v>1367</v>
      </c>
    </row>
    <row r="326" customFormat="false" ht="15" hidden="false" customHeight="false" outlineLevel="0" collapsed="false">
      <c r="A326" s="68" t="n">
        <v>39</v>
      </c>
      <c r="B326" s="68" t="s">
        <v>361</v>
      </c>
      <c r="C326" s="68" t="s">
        <v>468</v>
      </c>
      <c r="D326" s="68" t="s">
        <v>260</v>
      </c>
      <c r="E326" s="68" t="n">
        <v>2</v>
      </c>
      <c r="F326" s="68" t="n">
        <v>2</v>
      </c>
      <c r="G326" s="68" t="s">
        <v>1567</v>
      </c>
      <c r="H326" s="68" t="s">
        <v>1367</v>
      </c>
    </row>
    <row r="327" customFormat="false" ht="15" hidden="false" customHeight="false" outlineLevel="0" collapsed="false">
      <c r="A327" s="68" t="n">
        <v>39</v>
      </c>
      <c r="B327" s="68" t="s">
        <v>361</v>
      </c>
      <c r="C327" s="68" t="s">
        <v>468</v>
      </c>
      <c r="D327" s="68" t="s">
        <v>261</v>
      </c>
      <c r="E327" s="68" t="s">
        <v>306</v>
      </c>
      <c r="F327" s="68" t="s">
        <v>1469</v>
      </c>
      <c r="G327" s="68"/>
      <c r="H327" s="85" t="s">
        <v>1369</v>
      </c>
    </row>
    <row r="328" customFormat="false" ht="15" hidden="false" customHeight="false" outlineLevel="0" collapsed="false">
      <c r="A328" s="68" t="n">
        <v>39</v>
      </c>
      <c r="B328" s="68" t="s">
        <v>361</v>
      </c>
      <c r="C328" s="68" t="s">
        <v>468</v>
      </c>
      <c r="D328" s="68" t="s">
        <v>248</v>
      </c>
      <c r="E328" s="68" t="n">
        <v>15</v>
      </c>
      <c r="F328" s="68" t="n">
        <v>15</v>
      </c>
      <c r="G328" s="68" t="s">
        <v>1568</v>
      </c>
      <c r="H328" s="68" t="s">
        <v>1367</v>
      </c>
    </row>
    <row r="329" customFormat="false" ht="15" hidden="false" customHeight="false" outlineLevel="0" collapsed="false">
      <c r="A329" s="68" t="n">
        <v>39</v>
      </c>
      <c r="B329" s="68" t="s">
        <v>361</v>
      </c>
      <c r="C329" s="68" t="s">
        <v>468</v>
      </c>
      <c r="D329" s="68" t="s">
        <v>262</v>
      </c>
      <c r="E329" s="68" t="n">
        <v>6</v>
      </c>
      <c r="F329" s="68" t="n">
        <v>6</v>
      </c>
      <c r="G329" s="68" t="s">
        <v>1568</v>
      </c>
      <c r="H329" s="68" t="s">
        <v>1367</v>
      </c>
    </row>
    <row r="330" customFormat="false" ht="15" hidden="false" customHeight="false" outlineLevel="0" collapsed="false">
      <c r="A330" s="68" t="n">
        <v>39</v>
      </c>
      <c r="B330" s="68" t="s">
        <v>361</v>
      </c>
      <c r="C330" s="68" t="s">
        <v>468</v>
      </c>
      <c r="D330" s="68" t="s">
        <v>250</v>
      </c>
      <c r="E330" s="68" t="n">
        <v>2.5</v>
      </c>
      <c r="F330" s="68" t="n">
        <v>2.5</v>
      </c>
      <c r="G330" s="68" t="s">
        <v>1568</v>
      </c>
      <c r="H330" s="68" t="s">
        <v>1367</v>
      </c>
    </row>
    <row r="331" customFormat="false" ht="15" hidden="false" customHeight="false" outlineLevel="0" collapsed="false">
      <c r="A331" s="68" t="n">
        <v>39</v>
      </c>
      <c r="B331" s="68" t="s">
        <v>361</v>
      </c>
      <c r="C331" s="68" t="s">
        <v>468</v>
      </c>
      <c r="D331" s="68" t="s">
        <v>258</v>
      </c>
      <c r="E331" s="68" t="s">
        <v>304</v>
      </c>
      <c r="F331" s="68" t="s">
        <v>1469</v>
      </c>
      <c r="G331" s="68"/>
      <c r="H331" s="85" t="s">
        <v>1369</v>
      </c>
    </row>
    <row r="332" customFormat="false" ht="15" hidden="false" customHeight="false" outlineLevel="0" collapsed="false">
      <c r="A332" s="68" t="n">
        <v>39</v>
      </c>
      <c r="B332" s="68" t="s">
        <v>361</v>
      </c>
      <c r="C332" s="68" t="s">
        <v>468</v>
      </c>
      <c r="D332" s="68" t="s">
        <v>923</v>
      </c>
      <c r="E332" s="68" t="s">
        <v>363</v>
      </c>
      <c r="F332" s="68" t="s">
        <v>363</v>
      </c>
      <c r="G332" s="68" t="s">
        <v>1569</v>
      </c>
      <c r="H332" s="68" t="s">
        <v>1367</v>
      </c>
    </row>
    <row r="333" customFormat="false" ht="15" hidden="false" customHeight="false" outlineLevel="0" collapsed="false">
      <c r="A333" s="68" t="n">
        <v>39</v>
      </c>
      <c r="B333" s="68" t="s">
        <v>361</v>
      </c>
      <c r="C333" s="68" t="s">
        <v>468</v>
      </c>
      <c r="D333" s="68" t="s">
        <v>1386</v>
      </c>
      <c r="E333" s="68" t="n">
        <v>17500</v>
      </c>
      <c r="F333" s="68" t="n">
        <v>17500</v>
      </c>
      <c r="G333" s="68" t="s">
        <v>1569</v>
      </c>
      <c r="H333" s="68" t="s">
        <v>1367</v>
      </c>
    </row>
    <row r="334" customFormat="false" ht="15" hidden="false" customHeight="false" outlineLevel="0" collapsed="false">
      <c r="A334" s="68" t="n">
        <v>40</v>
      </c>
      <c r="B334" s="68" t="s">
        <v>361</v>
      </c>
      <c r="C334" s="68" t="s">
        <v>472</v>
      </c>
      <c r="D334" s="68" t="s">
        <v>243</v>
      </c>
      <c r="E334" s="68" t="s">
        <v>471</v>
      </c>
      <c r="F334" s="68" t="s">
        <v>471</v>
      </c>
      <c r="G334" s="68" t="s">
        <v>1570</v>
      </c>
      <c r="H334" s="68" t="s">
        <v>1367</v>
      </c>
    </row>
    <row r="335" customFormat="false" ht="15" hidden="false" customHeight="false" outlineLevel="0" collapsed="false">
      <c r="A335" s="68" t="n">
        <v>40</v>
      </c>
      <c r="B335" s="68" t="s">
        <v>361</v>
      </c>
      <c r="C335" s="68" t="s">
        <v>472</v>
      </c>
      <c r="D335" s="68" t="s">
        <v>260</v>
      </c>
      <c r="E335" s="68" t="n">
        <v>1</v>
      </c>
      <c r="F335" s="68" t="n">
        <v>1</v>
      </c>
      <c r="G335" s="68" t="s">
        <v>1571</v>
      </c>
      <c r="H335" s="68" t="s">
        <v>1367</v>
      </c>
    </row>
    <row r="336" customFormat="false" ht="15" hidden="false" customHeight="false" outlineLevel="0" collapsed="false">
      <c r="A336" s="68" t="n">
        <v>40</v>
      </c>
      <c r="B336" s="68" t="s">
        <v>361</v>
      </c>
      <c r="C336" s="68" t="s">
        <v>472</v>
      </c>
      <c r="D336" s="68" t="s">
        <v>261</v>
      </c>
      <c r="E336" s="68" t="s">
        <v>306</v>
      </c>
      <c r="F336" s="68" t="s">
        <v>1469</v>
      </c>
      <c r="G336" s="68"/>
      <c r="H336" s="85" t="s">
        <v>1369</v>
      </c>
    </row>
    <row r="337" customFormat="false" ht="15" hidden="false" customHeight="false" outlineLevel="0" collapsed="false">
      <c r="A337" s="68" t="n">
        <v>40</v>
      </c>
      <c r="B337" s="68" t="s">
        <v>361</v>
      </c>
      <c r="C337" s="68" t="s">
        <v>472</v>
      </c>
      <c r="D337" s="68" t="s">
        <v>248</v>
      </c>
      <c r="E337" s="68" t="n">
        <v>30</v>
      </c>
      <c r="F337" s="68" t="n">
        <v>30</v>
      </c>
      <c r="G337" s="68" t="s">
        <v>1572</v>
      </c>
      <c r="H337" s="68" t="s">
        <v>1367</v>
      </c>
    </row>
    <row r="338" customFormat="false" ht="15" hidden="false" customHeight="false" outlineLevel="0" collapsed="false">
      <c r="A338" s="68" t="n">
        <v>40</v>
      </c>
      <c r="B338" s="68" t="s">
        <v>361</v>
      </c>
      <c r="C338" s="68" t="s">
        <v>472</v>
      </c>
      <c r="D338" s="68" t="s">
        <v>262</v>
      </c>
      <c r="E338" s="68" t="n">
        <v>3</v>
      </c>
      <c r="F338" s="68" t="n">
        <v>3</v>
      </c>
      <c r="G338" s="68" t="s">
        <v>1572</v>
      </c>
      <c r="H338" s="68" t="s">
        <v>1367</v>
      </c>
    </row>
    <row r="339" customFormat="false" ht="15" hidden="false" customHeight="false" outlineLevel="0" collapsed="false">
      <c r="A339" s="68" t="n">
        <v>40</v>
      </c>
      <c r="B339" s="68" t="s">
        <v>361</v>
      </c>
      <c r="C339" s="68" t="s">
        <v>472</v>
      </c>
      <c r="D339" s="68" t="s">
        <v>250</v>
      </c>
      <c r="E339" s="68" t="n">
        <v>2.5</v>
      </c>
      <c r="F339" s="68" t="n">
        <v>2.5</v>
      </c>
      <c r="G339" s="68" t="s">
        <v>1572</v>
      </c>
      <c r="H339" s="68" t="s">
        <v>1367</v>
      </c>
    </row>
    <row r="340" customFormat="false" ht="15" hidden="false" customHeight="false" outlineLevel="0" collapsed="false">
      <c r="A340" s="68" t="n">
        <v>40</v>
      </c>
      <c r="B340" s="68" t="s">
        <v>361</v>
      </c>
      <c r="C340" s="68" t="s">
        <v>472</v>
      </c>
      <c r="D340" s="68" t="s">
        <v>258</v>
      </c>
      <c r="E340" s="68" t="s">
        <v>304</v>
      </c>
      <c r="F340" s="68" t="s">
        <v>1469</v>
      </c>
      <c r="G340" s="68"/>
      <c r="H340" s="85" t="s">
        <v>1369</v>
      </c>
    </row>
    <row r="341" customFormat="false" ht="15" hidden="false" customHeight="false" outlineLevel="0" collapsed="false">
      <c r="A341" s="68" t="n">
        <v>40</v>
      </c>
      <c r="B341" s="68" t="s">
        <v>361</v>
      </c>
      <c r="C341" s="68" t="s">
        <v>472</v>
      </c>
      <c r="D341" s="68" t="s">
        <v>923</v>
      </c>
      <c r="E341" s="68" t="s">
        <v>363</v>
      </c>
      <c r="F341" s="68" t="s">
        <v>363</v>
      </c>
      <c r="G341" s="68" t="s">
        <v>1573</v>
      </c>
      <c r="H341" s="68" t="s">
        <v>1367</v>
      </c>
    </row>
    <row r="342" customFormat="false" ht="15" hidden="false" customHeight="false" outlineLevel="0" collapsed="false">
      <c r="A342" s="68" t="n">
        <v>40</v>
      </c>
      <c r="B342" s="68" t="s">
        <v>361</v>
      </c>
      <c r="C342" s="68" t="s">
        <v>472</v>
      </c>
      <c r="D342" s="68" t="s">
        <v>1386</v>
      </c>
      <c r="E342" s="68" t="n">
        <v>19500</v>
      </c>
      <c r="F342" s="68" t="n">
        <v>19500</v>
      </c>
      <c r="G342" s="68" t="s">
        <v>1573</v>
      </c>
      <c r="H342" s="68" t="s">
        <v>1367</v>
      </c>
    </row>
    <row r="343" customFormat="false" ht="15" hidden="false" customHeight="false" outlineLevel="0" collapsed="false">
      <c r="A343" s="68" t="n">
        <v>41</v>
      </c>
      <c r="B343" s="68" t="s">
        <v>476</v>
      </c>
      <c r="C343" s="68" t="s">
        <v>477</v>
      </c>
      <c r="D343" s="68" t="s">
        <v>243</v>
      </c>
      <c r="E343" s="68" t="s">
        <v>475</v>
      </c>
      <c r="F343" s="68" t="s">
        <v>475</v>
      </c>
      <c r="G343" s="68" t="s">
        <v>1574</v>
      </c>
      <c r="H343" s="68" t="s">
        <v>1367</v>
      </c>
    </row>
    <row r="344" customFormat="false" ht="15" hidden="false" customHeight="false" outlineLevel="0" collapsed="false">
      <c r="A344" s="68" t="n">
        <v>41</v>
      </c>
      <c r="B344" s="68" t="s">
        <v>476</v>
      </c>
      <c r="C344" s="68" t="s">
        <v>477</v>
      </c>
      <c r="D344" s="68" t="s">
        <v>260</v>
      </c>
      <c r="E344" s="68" t="n">
        <v>3</v>
      </c>
      <c r="F344" s="68" t="n">
        <v>3</v>
      </c>
      <c r="G344" s="68" t="s">
        <v>1575</v>
      </c>
      <c r="H344" s="68" t="s">
        <v>1367</v>
      </c>
    </row>
    <row r="345" customFormat="false" ht="15" hidden="false" customHeight="false" outlineLevel="0" collapsed="false">
      <c r="A345" s="68" t="n">
        <v>41</v>
      </c>
      <c r="B345" s="68" t="s">
        <v>476</v>
      </c>
      <c r="C345" s="68" t="s">
        <v>477</v>
      </c>
      <c r="D345" s="68" t="s">
        <v>246</v>
      </c>
      <c r="E345" s="68" t="s">
        <v>132</v>
      </c>
      <c r="F345" s="68" t="s">
        <v>1576</v>
      </c>
      <c r="G345" s="68" t="s">
        <v>1577</v>
      </c>
      <c r="H345" s="68" t="s">
        <v>1367</v>
      </c>
    </row>
    <row r="346" customFormat="false" ht="15" hidden="false" customHeight="false" outlineLevel="0" collapsed="false">
      <c r="A346" s="68" t="n">
        <v>41</v>
      </c>
      <c r="B346" s="68" t="s">
        <v>476</v>
      </c>
      <c r="C346" s="68" t="s">
        <v>477</v>
      </c>
      <c r="D346" s="68" t="s">
        <v>261</v>
      </c>
      <c r="E346" s="68" t="s">
        <v>306</v>
      </c>
      <c r="F346" s="68" t="s">
        <v>1576</v>
      </c>
      <c r="G346" s="68" t="s">
        <v>1577</v>
      </c>
      <c r="H346" s="68" t="s">
        <v>1367</v>
      </c>
    </row>
    <row r="347" customFormat="false" ht="15" hidden="false" customHeight="false" outlineLevel="0" collapsed="false">
      <c r="A347" s="68" t="n">
        <v>41</v>
      </c>
      <c r="B347" s="68" t="s">
        <v>476</v>
      </c>
      <c r="C347" s="68" t="s">
        <v>477</v>
      </c>
      <c r="D347" s="68" t="s">
        <v>880</v>
      </c>
      <c r="E347" s="68" t="s">
        <v>111</v>
      </c>
      <c r="F347" s="68" t="s">
        <v>1578</v>
      </c>
      <c r="G347" s="68" t="s">
        <v>1579</v>
      </c>
      <c r="H347" s="68" t="s">
        <v>1367</v>
      </c>
    </row>
    <row r="348" customFormat="false" ht="15" hidden="false" customHeight="false" outlineLevel="0" collapsed="false">
      <c r="A348" s="68" t="n">
        <v>41</v>
      </c>
      <c r="B348" s="68" t="s">
        <v>476</v>
      </c>
      <c r="C348" s="68" t="s">
        <v>477</v>
      </c>
      <c r="D348" s="68" t="s">
        <v>248</v>
      </c>
      <c r="E348" s="68" t="n">
        <v>354</v>
      </c>
      <c r="F348" s="68" t="n">
        <v>354</v>
      </c>
      <c r="G348" s="68" t="s">
        <v>1580</v>
      </c>
      <c r="H348" s="68" t="s">
        <v>1367</v>
      </c>
    </row>
    <row r="349" customFormat="false" ht="15" hidden="false" customHeight="false" outlineLevel="0" collapsed="false">
      <c r="A349" s="68" t="n">
        <v>41</v>
      </c>
      <c r="B349" s="68" t="s">
        <v>476</v>
      </c>
      <c r="C349" s="68" t="s">
        <v>477</v>
      </c>
      <c r="D349" s="68" t="s">
        <v>249</v>
      </c>
      <c r="E349" s="68" t="n">
        <v>31.2</v>
      </c>
      <c r="F349" s="68" t="n">
        <v>31.2</v>
      </c>
      <c r="G349" s="68" t="s">
        <v>1581</v>
      </c>
      <c r="H349" s="68" t="s">
        <v>1367</v>
      </c>
    </row>
    <row r="350" customFormat="false" ht="15" hidden="false" customHeight="false" outlineLevel="0" collapsed="false">
      <c r="A350" s="68" t="n">
        <v>41</v>
      </c>
      <c r="B350" s="68" t="s">
        <v>476</v>
      </c>
      <c r="C350" s="68" t="s">
        <v>477</v>
      </c>
      <c r="D350" s="68" t="s">
        <v>262</v>
      </c>
      <c r="E350" s="68" t="n">
        <v>4</v>
      </c>
      <c r="F350" s="68" t="n">
        <v>4</v>
      </c>
      <c r="G350" s="68" t="s">
        <v>1582</v>
      </c>
      <c r="H350" s="68" t="s">
        <v>1367</v>
      </c>
    </row>
    <row r="351" customFormat="false" ht="15" hidden="false" customHeight="false" outlineLevel="0" collapsed="false">
      <c r="A351" s="68" t="n">
        <v>41</v>
      </c>
      <c r="B351" s="68" t="s">
        <v>476</v>
      </c>
      <c r="C351" s="68" t="s">
        <v>477</v>
      </c>
      <c r="D351" s="68" t="s">
        <v>1207</v>
      </c>
      <c r="E351" s="68" t="s">
        <v>312</v>
      </c>
      <c r="F351" s="68" t="s">
        <v>1583</v>
      </c>
      <c r="G351" s="68"/>
      <c r="H351" s="85" t="s">
        <v>1369</v>
      </c>
    </row>
    <row r="352" customFormat="false" ht="15" hidden="false" customHeight="false" outlineLevel="0" collapsed="false">
      <c r="A352" s="68" t="n">
        <v>41</v>
      </c>
      <c r="B352" s="68" t="s">
        <v>476</v>
      </c>
      <c r="C352" s="68" t="s">
        <v>477</v>
      </c>
      <c r="D352" s="68" t="s">
        <v>1584</v>
      </c>
      <c r="E352" s="68" t="s">
        <v>1585</v>
      </c>
      <c r="F352" s="68" t="s">
        <v>1586</v>
      </c>
      <c r="G352" s="68" t="s">
        <v>1587</v>
      </c>
      <c r="H352" s="68" t="s">
        <v>1367</v>
      </c>
    </row>
    <row r="353" customFormat="false" ht="15" hidden="false" customHeight="false" outlineLevel="0" collapsed="false">
      <c r="A353" s="68" t="n">
        <v>41</v>
      </c>
      <c r="B353" s="68" t="s">
        <v>476</v>
      </c>
      <c r="C353" s="68" t="s">
        <v>477</v>
      </c>
      <c r="D353" s="68" t="s">
        <v>258</v>
      </c>
      <c r="E353" s="68" t="s">
        <v>304</v>
      </c>
      <c r="F353" s="68" t="s">
        <v>1469</v>
      </c>
      <c r="G353" s="68"/>
      <c r="H353" s="85" t="s">
        <v>1369</v>
      </c>
    </row>
    <row r="354" customFormat="false" ht="15" hidden="false" customHeight="false" outlineLevel="0" collapsed="false">
      <c r="A354" s="68" t="n">
        <v>41</v>
      </c>
      <c r="B354" s="68" t="s">
        <v>476</v>
      </c>
      <c r="C354" s="68" t="s">
        <v>477</v>
      </c>
      <c r="D354" s="68" t="s">
        <v>923</v>
      </c>
      <c r="E354" s="68" t="s">
        <v>363</v>
      </c>
      <c r="F354" s="68" t="s">
        <v>363</v>
      </c>
      <c r="G354" s="68" t="s">
        <v>1588</v>
      </c>
      <c r="H354" s="68" t="s">
        <v>1367</v>
      </c>
    </row>
    <row r="355" customFormat="false" ht="15" hidden="false" customHeight="false" outlineLevel="0" collapsed="false">
      <c r="A355" s="68" t="n">
        <v>41</v>
      </c>
      <c r="B355" s="68" t="s">
        <v>476</v>
      </c>
      <c r="C355" s="68" t="s">
        <v>477</v>
      </c>
      <c r="D355" s="68" t="s">
        <v>1386</v>
      </c>
      <c r="E355" s="68" t="n">
        <v>55000</v>
      </c>
      <c r="F355" s="68" t="n">
        <v>55000</v>
      </c>
      <c r="G355" s="68" t="s">
        <v>1588</v>
      </c>
      <c r="H355" s="68" t="s">
        <v>1367</v>
      </c>
    </row>
    <row r="356" customFormat="false" ht="15" hidden="false" customHeight="false" outlineLevel="0" collapsed="false">
      <c r="A356" s="68" t="n">
        <v>42</v>
      </c>
      <c r="B356" s="68" t="s">
        <v>476</v>
      </c>
      <c r="C356" s="68" t="s">
        <v>486</v>
      </c>
      <c r="D356" s="68" t="s">
        <v>243</v>
      </c>
      <c r="E356" s="68" t="s">
        <v>485</v>
      </c>
      <c r="F356" s="68" t="s">
        <v>485</v>
      </c>
      <c r="G356" s="68" t="s">
        <v>1589</v>
      </c>
      <c r="H356" s="68" t="s">
        <v>1367</v>
      </c>
    </row>
    <row r="357" customFormat="false" ht="15" hidden="false" customHeight="false" outlineLevel="0" collapsed="false">
      <c r="A357" s="68" t="n">
        <v>42</v>
      </c>
      <c r="B357" s="68" t="s">
        <v>476</v>
      </c>
      <c r="C357" s="68" t="s">
        <v>486</v>
      </c>
      <c r="D357" s="68" t="s">
        <v>260</v>
      </c>
      <c r="E357" s="68" t="n">
        <v>3</v>
      </c>
      <c r="F357" s="68" t="n">
        <v>3</v>
      </c>
      <c r="G357" s="68" t="s">
        <v>1590</v>
      </c>
      <c r="H357" s="68" t="s">
        <v>1367</v>
      </c>
    </row>
    <row r="358" customFormat="false" ht="15" hidden="false" customHeight="false" outlineLevel="0" collapsed="false">
      <c r="A358" s="68" t="n">
        <v>42</v>
      </c>
      <c r="B358" s="68" t="s">
        <v>476</v>
      </c>
      <c r="C358" s="68" t="s">
        <v>486</v>
      </c>
      <c r="D358" s="68" t="s">
        <v>246</v>
      </c>
      <c r="E358" s="68" t="s">
        <v>132</v>
      </c>
      <c r="F358" s="68" t="s">
        <v>1576</v>
      </c>
      <c r="G358" s="68" t="s">
        <v>1591</v>
      </c>
      <c r="H358" s="68" t="s">
        <v>1367</v>
      </c>
    </row>
    <row r="359" customFormat="false" ht="15" hidden="false" customHeight="false" outlineLevel="0" collapsed="false">
      <c r="A359" s="68" t="n">
        <v>42</v>
      </c>
      <c r="B359" s="68" t="s">
        <v>476</v>
      </c>
      <c r="C359" s="68" t="s">
        <v>486</v>
      </c>
      <c r="D359" s="68" t="s">
        <v>261</v>
      </c>
      <c r="E359" s="68" t="s">
        <v>306</v>
      </c>
      <c r="F359" s="68" t="s">
        <v>1576</v>
      </c>
      <c r="G359" s="68" t="s">
        <v>1591</v>
      </c>
      <c r="H359" s="68" t="s">
        <v>1367</v>
      </c>
    </row>
    <row r="360" customFormat="false" ht="15" hidden="false" customHeight="false" outlineLevel="0" collapsed="false">
      <c r="A360" s="68" t="n">
        <v>42</v>
      </c>
      <c r="B360" s="68" t="s">
        <v>476</v>
      </c>
      <c r="C360" s="68" t="s">
        <v>486</v>
      </c>
      <c r="D360" s="68" t="s">
        <v>880</v>
      </c>
      <c r="E360" s="68" t="s">
        <v>111</v>
      </c>
      <c r="F360" s="68" t="s">
        <v>1578</v>
      </c>
      <c r="G360" s="68" t="s">
        <v>1592</v>
      </c>
      <c r="H360" s="68" t="s">
        <v>1367</v>
      </c>
    </row>
    <row r="361" customFormat="false" ht="15" hidden="false" customHeight="false" outlineLevel="0" collapsed="false">
      <c r="A361" s="68" t="n">
        <v>42</v>
      </c>
      <c r="B361" s="68" t="s">
        <v>476</v>
      </c>
      <c r="C361" s="68" t="s">
        <v>486</v>
      </c>
      <c r="D361" s="68" t="s">
        <v>248</v>
      </c>
      <c r="E361" s="68" t="n">
        <v>255</v>
      </c>
      <c r="F361" s="68" t="n">
        <v>255</v>
      </c>
      <c r="G361" s="68" t="s">
        <v>1593</v>
      </c>
      <c r="H361" s="68" t="s">
        <v>1367</v>
      </c>
    </row>
    <row r="362" customFormat="false" ht="15" hidden="false" customHeight="false" outlineLevel="0" collapsed="false">
      <c r="A362" s="68" t="n">
        <v>42</v>
      </c>
      <c r="B362" s="68" t="s">
        <v>476</v>
      </c>
      <c r="C362" s="68" t="s">
        <v>486</v>
      </c>
      <c r="D362" s="68" t="s">
        <v>249</v>
      </c>
      <c r="E362" s="68" t="n">
        <v>170</v>
      </c>
      <c r="F362" s="68" t="n">
        <v>170</v>
      </c>
      <c r="G362" s="68" t="s">
        <v>1594</v>
      </c>
      <c r="H362" s="68" t="s">
        <v>1367</v>
      </c>
    </row>
    <row r="363" customFormat="false" ht="15" hidden="false" customHeight="false" outlineLevel="0" collapsed="false">
      <c r="A363" s="68" t="n">
        <v>42</v>
      </c>
      <c r="B363" s="68" t="s">
        <v>476</v>
      </c>
      <c r="C363" s="68" t="s">
        <v>486</v>
      </c>
      <c r="D363" s="68" t="s">
        <v>262</v>
      </c>
      <c r="E363" s="68" t="n">
        <v>17.2</v>
      </c>
      <c r="F363" s="68" t="n">
        <v>17.2</v>
      </c>
      <c r="G363" s="68" t="s">
        <v>1595</v>
      </c>
      <c r="H363" s="68" t="s">
        <v>1367</v>
      </c>
    </row>
    <row r="364" customFormat="false" ht="15" hidden="false" customHeight="false" outlineLevel="0" collapsed="false">
      <c r="A364" s="68" t="n">
        <v>42</v>
      </c>
      <c r="B364" s="68" t="s">
        <v>476</v>
      </c>
      <c r="C364" s="68" t="s">
        <v>486</v>
      </c>
      <c r="D364" s="68" t="s">
        <v>1207</v>
      </c>
      <c r="E364" s="68" t="s">
        <v>312</v>
      </c>
      <c r="F364" s="68" t="s">
        <v>1583</v>
      </c>
      <c r="G364" s="68"/>
      <c r="H364" s="85" t="s">
        <v>1369</v>
      </c>
    </row>
    <row r="365" customFormat="false" ht="15" hidden="false" customHeight="false" outlineLevel="0" collapsed="false">
      <c r="A365" s="68" t="n">
        <v>42</v>
      </c>
      <c r="B365" s="68" t="s">
        <v>476</v>
      </c>
      <c r="C365" s="68" t="s">
        <v>486</v>
      </c>
      <c r="D365" s="68" t="s">
        <v>1584</v>
      </c>
      <c r="E365" s="68" t="s">
        <v>1585</v>
      </c>
      <c r="F365" s="68" t="s">
        <v>1586</v>
      </c>
      <c r="G365" s="68" t="s">
        <v>1596</v>
      </c>
      <c r="H365" s="68" t="s">
        <v>1367</v>
      </c>
    </row>
    <row r="366" customFormat="false" ht="15" hidden="false" customHeight="false" outlineLevel="0" collapsed="false">
      <c r="A366" s="68" t="n">
        <v>42</v>
      </c>
      <c r="B366" s="68" t="s">
        <v>476</v>
      </c>
      <c r="C366" s="68" t="s">
        <v>486</v>
      </c>
      <c r="D366" s="68" t="s">
        <v>258</v>
      </c>
      <c r="E366" s="68" t="s">
        <v>304</v>
      </c>
      <c r="F366" s="68" t="s">
        <v>1469</v>
      </c>
      <c r="G366" s="68"/>
      <c r="H366" s="85" t="s">
        <v>1369</v>
      </c>
    </row>
    <row r="367" customFormat="false" ht="15" hidden="false" customHeight="false" outlineLevel="0" collapsed="false">
      <c r="A367" s="68" t="n">
        <v>42</v>
      </c>
      <c r="B367" s="68" t="s">
        <v>476</v>
      </c>
      <c r="C367" s="68" t="s">
        <v>486</v>
      </c>
      <c r="D367" s="68" t="s">
        <v>923</v>
      </c>
      <c r="E367" s="68" t="s">
        <v>363</v>
      </c>
      <c r="F367" s="68" t="s">
        <v>363</v>
      </c>
      <c r="G367" s="68" t="s">
        <v>1597</v>
      </c>
      <c r="H367" s="68" t="s">
        <v>1367</v>
      </c>
    </row>
    <row r="368" customFormat="false" ht="15" hidden="false" customHeight="false" outlineLevel="0" collapsed="false">
      <c r="A368" s="68" t="n">
        <v>42</v>
      </c>
      <c r="B368" s="68" t="s">
        <v>476</v>
      </c>
      <c r="C368" s="68" t="s">
        <v>486</v>
      </c>
      <c r="D368" s="68" t="s">
        <v>1386</v>
      </c>
      <c r="E368" s="68" t="n">
        <v>60000</v>
      </c>
      <c r="F368" s="68" t="n">
        <v>60000</v>
      </c>
      <c r="G368" s="68" t="s">
        <v>1597</v>
      </c>
      <c r="H368" s="68" t="s">
        <v>1367</v>
      </c>
    </row>
    <row r="369" customFormat="false" ht="15" hidden="false" customHeight="false" outlineLevel="0" collapsed="false">
      <c r="A369" s="68" t="n">
        <v>43</v>
      </c>
      <c r="B369" s="68" t="s">
        <v>476</v>
      </c>
      <c r="C369" s="68" t="s">
        <v>490</v>
      </c>
      <c r="D369" s="68" t="s">
        <v>243</v>
      </c>
      <c r="E369" s="68" t="s">
        <v>489</v>
      </c>
      <c r="F369" s="68" t="s">
        <v>489</v>
      </c>
      <c r="G369" s="68" t="s">
        <v>1598</v>
      </c>
      <c r="H369" s="68" t="s">
        <v>1367</v>
      </c>
    </row>
    <row r="370" customFormat="false" ht="15" hidden="false" customHeight="false" outlineLevel="0" collapsed="false">
      <c r="A370" s="68" t="n">
        <v>43</v>
      </c>
      <c r="B370" s="68" t="s">
        <v>476</v>
      </c>
      <c r="C370" s="68" t="s">
        <v>490</v>
      </c>
      <c r="D370" s="68" t="s">
        <v>260</v>
      </c>
      <c r="E370" s="68" t="n">
        <v>2</v>
      </c>
      <c r="F370" s="68" t="n">
        <v>2</v>
      </c>
      <c r="G370" s="68" t="s">
        <v>1599</v>
      </c>
      <c r="H370" s="68" t="s">
        <v>1367</v>
      </c>
    </row>
    <row r="371" customFormat="false" ht="15" hidden="false" customHeight="false" outlineLevel="0" collapsed="false">
      <c r="A371" s="68" t="n">
        <v>43</v>
      </c>
      <c r="B371" s="68" t="s">
        <v>476</v>
      </c>
      <c r="C371" s="68" t="s">
        <v>490</v>
      </c>
      <c r="D371" s="68" t="s">
        <v>261</v>
      </c>
      <c r="E371" s="68" t="s">
        <v>493</v>
      </c>
      <c r="F371" s="68" t="s">
        <v>1600</v>
      </c>
      <c r="G371" s="68" t="s">
        <v>1601</v>
      </c>
      <c r="H371" s="68" t="s">
        <v>1367</v>
      </c>
    </row>
    <row r="372" customFormat="false" ht="15" hidden="false" customHeight="false" outlineLevel="0" collapsed="false">
      <c r="A372" s="68" t="n">
        <v>43</v>
      </c>
      <c r="B372" s="68" t="s">
        <v>476</v>
      </c>
      <c r="C372" s="68" t="s">
        <v>490</v>
      </c>
      <c r="D372" s="68" t="s">
        <v>880</v>
      </c>
      <c r="E372" s="68" t="s">
        <v>111</v>
      </c>
      <c r="F372" s="68" t="s">
        <v>1578</v>
      </c>
      <c r="G372" s="68" t="s">
        <v>1602</v>
      </c>
      <c r="H372" s="68" t="s">
        <v>1367</v>
      </c>
    </row>
    <row r="373" customFormat="false" ht="15" hidden="false" customHeight="false" outlineLevel="0" collapsed="false">
      <c r="A373" s="68" t="n">
        <v>43</v>
      </c>
      <c r="B373" s="68" t="s">
        <v>476</v>
      </c>
      <c r="C373" s="68" t="s">
        <v>490</v>
      </c>
      <c r="D373" s="68" t="s">
        <v>248</v>
      </c>
      <c r="E373" s="68" t="n">
        <v>5</v>
      </c>
      <c r="F373" s="68" t="n">
        <v>5</v>
      </c>
      <c r="G373" s="68" t="s">
        <v>1603</v>
      </c>
      <c r="H373" s="68" t="s">
        <v>1367</v>
      </c>
    </row>
    <row r="374" customFormat="false" ht="15" hidden="false" customHeight="false" outlineLevel="0" collapsed="false">
      <c r="A374" s="68" t="n">
        <v>43</v>
      </c>
      <c r="B374" s="68" t="s">
        <v>476</v>
      </c>
      <c r="C374" s="68" t="s">
        <v>490</v>
      </c>
      <c r="D374" s="68" t="s">
        <v>262</v>
      </c>
      <c r="E374" s="68" t="n">
        <v>5.3</v>
      </c>
      <c r="F374" s="68" t="n">
        <v>5.3</v>
      </c>
      <c r="G374" s="68" t="s">
        <v>1604</v>
      </c>
      <c r="H374" s="68" t="s">
        <v>1367</v>
      </c>
    </row>
    <row r="375" customFormat="false" ht="15" hidden="false" customHeight="false" outlineLevel="0" collapsed="false">
      <c r="A375" s="68" t="n">
        <v>43</v>
      </c>
      <c r="B375" s="68" t="s">
        <v>476</v>
      </c>
      <c r="C375" s="68" t="s">
        <v>490</v>
      </c>
      <c r="D375" s="68" t="s">
        <v>1207</v>
      </c>
      <c r="E375" s="68" t="s">
        <v>312</v>
      </c>
      <c r="F375" s="68" t="s">
        <v>1583</v>
      </c>
      <c r="G375" s="68"/>
      <c r="H375" s="85" t="s">
        <v>1369</v>
      </c>
    </row>
    <row r="376" customFormat="false" ht="15" hidden="false" customHeight="false" outlineLevel="0" collapsed="false">
      <c r="A376" s="68" t="n">
        <v>43</v>
      </c>
      <c r="B376" s="68" t="s">
        <v>476</v>
      </c>
      <c r="C376" s="68" t="s">
        <v>490</v>
      </c>
      <c r="D376" s="68" t="s">
        <v>1584</v>
      </c>
      <c r="E376" s="68" t="s">
        <v>1605</v>
      </c>
      <c r="F376" s="68" t="s">
        <v>1606</v>
      </c>
      <c r="G376" s="68" t="s">
        <v>1607</v>
      </c>
      <c r="H376" s="68" t="s">
        <v>1367</v>
      </c>
    </row>
    <row r="377" customFormat="false" ht="15" hidden="false" customHeight="false" outlineLevel="0" collapsed="false">
      <c r="A377" s="68" t="n">
        <v>43</v>
      </c>
      <c r="B377" s="68" t="s">
        <v>476</v>
      </c>
      <c r="C377" s="68" t="s">
        <v>490</v>
      </c>
      <c r="D377" s="68" t="s">
        <v>258</v>
      </c>
      <c r="E377" s="68" t="s">
        <v>304</v>
      </c>
      <c r="F377" s="68" t="s">
        <v>1469</v>
      </c>
      <c r="G377" s="68"/>
      <c r="H377" s="85" t="s">
        <v>1369</v>
      </c>
    </row>
    <row r="378" customFormat="false" ht="15" hidden="false" customHeight="false" outlineLevel="0" collapsed="false">
      <c r="A378" s="68" t="n">
        <v>43</v>
      </c>
      <c r="B378" s="68" t="s">
        <v>476</v>
      </c>
      <c r="C378" s="68" t="s">
        <v>490</v>
      </c>
      <c r="D378" s="68" t="s">
        <v>923</v>
      </c>
      <c r="E378" s="68" t="s">
        <v>363</v>
      </c>
      <c r="F378" s="68" t="s">
        <v>363</v>
      </c>
      <c r="G378" s="68" t="s">
        <v>1608</v>
      </c>
      <c r="H378" s="68" t="s">
        <v>1367</v>
      </c>
    </row>
    <row r="379" customFormat="false" ht="15" hidden="false" customHeight="false" outlineLevel="0" collapsed="false">
      <c r="A379" s="68" t="n">
        <v>43</v>
      </c>
      <c r="B379" s="68" t="s">
        <v>476</v>
      </c>
      <c r="C379" s="68" t="s">
        <v>490</v>
      </c>
      <c r="D379" s="68" t="s">
        <v>1386</v>
      </c>
      <c r="E379" s="68" t="n">
        <v>10000</v>
      </c>
      <c r="F379" s="68" t="n">
        <v>10000</v>
      </c>
      <c r="G379" s="68" t="s">
        <v>1608</v>
      </c>
      <c r="H379" s="68" t="s">
        <v>1367</v>
      </c>
    </row>
    <row r="380" customFormat="false" ht="15" hidden="false" customHeight="false" outlineLevel="0" collapsed="false">
      <c r="A380" s="68" t="n">
        <v>44</v>
      </c>
      <c r="B380" s="68" t="s">
        <v>476</v>
      </c>
      <c r="C380" s="68" t="s">
        <v>497</v>
      </c>
      <c r="D380" s="68" t="s">
        <v>243</v>
      </c>
      <c r="E380" s="68" t="s">
        <v>496</v>
      </c>
      <c r="F380" s="68" t="s">
        <v>496</v>
      </c>
      <c r="G380" s="68" t="s">
        <v>1609</v>
      </c>
      <c r="H380" s="68" t="s">
        <v>1367</v>
      </c>
    </row>
    <row r="381" customFormat="false" ht="15" hidden="false" customHeight="false" outlineLevel="0" collapsed="false">
      <c r="A381" s="68" t="n">
        <v>44</v>
      </c>
      <c r="B381" s="68" t="s">
        <v>476</v>
      </c>
      <c r="C381" s="68" t="s">
        <v>497</v>
      </c>
      <c r="D381" s="68" t="s">
        <v>260</v>
      </c>
      <c r="E381" s="68" t="n">
        <v>2</v>
      </c>
      <c r="F381" s="68" t="n">
        <v>2</v>
      </c>
      <c r="G381" s="68" t="s">
        <v>1610</v>
      </c>
      <c r="H381" s="68" t="s">
        <v>1367</v>
      </c>
    </row>
    <row r="382" customFormat="false" ht="15" hidden="false" customHeight="false" outlineLevel="0" collapsed="false">
      <c r="A382" s="68" t="n">
        <v>44</v>
      </c>
      <c r="B382" s="68" t="s">
        <v>476</v>
      </c>
      <c r="C382" s="68" t="s">
        <v>497</v>
      </c>
      <c r="D382" s="68" t="s">
        <v>246</v>
      </c>
      <c r="E382" s="68" t="s">
        <v>132</v>
      </c>
      <c r="F382" s="68" t="s">
        <v>1576</v>
      </c>
      <c r="G382" s="68" t="s">
        <v>1611</v>
      </c>
      <c r="H382" s="68" t="s">
        <v>1367</v>
      </c>
    </row>
    <row r="383" customFormat="false" ht="15" hidden="false" customHeight="false" outlineLevel="0" collapsed="false">
      <c r="A383" s="68" t="n">
        <v>44</v>
      </c>
      <c r="B383" s="68" t="s">
        <v>476</v>
      </c>
      <c r="C383" s="68" t="s">
        <v>497</v>
      </c>
      <c r="D383" s="68" t="s">
        <v>261</v>
      </c>
      <c r="E383" s="68" t="s">
        <v>306</v>
      </c>
      <c r="F383" s="68" t="s">
        <v>1576</v>
      </c>
      <c r="G383" s="68" t="s">
        <v>1611</v>
      </c>
      <c r="H383" s="68" t="s">
        <v>1367</v>
      </c>
    </row>
    <row r="384" customFormat="false" ht="15" hidden="false" customHeight="false" outlineLevel="0" collapsed="false">
      <c r="A384" s="68" t="n">
        <v>44</v>
      </c>
      <c r="B384" s="68" t="s">
        <v>476</v>
      </c>
      <c r="C384" s="68" t="s">
        <v>497</v>
      </c>
      <c r="D384" s="68" t="s">
        <v>880</v>
      </c>
      <c r="E384" s="68" t="s">
        <v>115</v>
      </c>
      <c r="F384" s="68" t="s">
        <v>1612</v>
      </c>
      <c r="G384" s="68" t="s">
        <v>1613</v>
      </c>
      <c r="H384" s="68" t="s">
        <v>1367</v>
      </c>
    </row>
    <row r="385" customFormat="false" ht="15" hidden="false" customHeight="false" outlineLevel="0" collapsed="false">
      <c r="A385" s="68" t="n">
        <v>44</v>
      </c>
      <c r="B385" s="68" t="s">
        <v>476</v>
      </c>
      <c r="C385" s="68" t="s">
        <v>497</v>
      </c>
      <c r="D385" s="68" t="s">
        <v>248</v>
      </c>
      <c r="E385" s="68" t="n">
        <v>21</v>
      </c>
      <c r="F385" s="68" t="n">
        <v>21</v>
      </c>
      <c r="G385" s="68" t="s">
        <v>1614</v>
      </c>
      <c r="H385" s="68" t="s">
        <v>1367</v>
      </c>
    </row>
    <row r="386" customFormat="false" ht="15" hidden="false" customHeight="false" outlineLevel="0" collapsed="false">
      <c r="A386" s="68" t="n">
        <v>44</v>
      </c>
      <c r="B386" s="68" t="s">
        <v>476</v>
      </c>
      <c r="C386" s="68" t="s">
        <v>497</v>
      </c>
      <c r="D386" s="68" t="s">
        <v>249</v>
      </c>
      <c r="E386" s="68" t="n">
        <v>27.6</v>
      </c>
      <c r="F386" s="68" t="n">
        <v>27.6</v>
      </c>
      <c r="G386" s="68" t="s">
        <v>1615</v>
      </c>
      <c r="H386" s="68" t="s">
        <v>1367</v>
      </c>
    </row>
    <row r="387" customFormat="false" ht="15" hidden="false" customHeight="false" outlineLevel="0" collapsed="false">
      <c r="A387" s="68" t="n">
        <v>44</v>
      </c>
      <c r="B387" s="68" t="s">
        <v>476</v>
      </c>
      <c r="C387" s="68" t="s">
        <v>497</v>
      </c>
      <c r="D387" s="68" t="s">
        <v>262</v>
      </c>
      <c r="E387" s="68" t="n">
        <v>4</v>
      </c>
      <c r="F387" s="68" t="n">
        <v>4</v>
      </c>
      <c r="G387" s="68" t="s">
        <v>1616</v>
      </c>
      <c r="H387" s="68" t="s">
        <v>1367</v>
      </c>
    </row>
    <row r="388" customFormat="false" ht="15" hidden="false" customHeight="false" outlineLevel="0" collapsed="false">
      <c r="A388" s="68" t="n">
        <v>44</v>
      </c>
      <c r="B388" s="68" t="s">
        <v>476</v>
      </c>
      <c r="C388" s="68" t="s">
        <v>497</v>
      </c>
      <c r="D388" s="68" t="s">
        <v>1207</v>
      </c>
      <c r="E388" s="68" t="s">
        <v>312</v>
      </c>
      <c r="F388" s="68" t="s">
        <v>1583</v>
      </c>
      <c r="G388" s="68"/>
      <c r="H388" s="85" t="s">
        <v>1369</v>
      </c>
    </row>
    <row r="389" customFormat="false" ht="15" hidden="false" customHeight="false" outlineLevel="0" collapsed="false">
      <c r="A389" s="68" t="n">
        <v>44</v>
      </c>
      <c r="B389" s="68" t="s">
        <v>476</v>
      </c>
      <c r="C389" s="68" t="s">
        <v>497</v>
      </c>
      <c r="D389" s="68" t="s">
        <v>1584</v>
      </c>
      <c r="E389" s="68" t="s">
        <v>1585</v>
      </c>
      <c r="F389" s="68" t="s">
        <v>1586</v>
      </c>
      <c r="G389" s="68" t="s">
        <v>1617</v>
      </c>
      <c r="H389" s="68" t="s">
        <v>1367</v>
      </c>
    </row>
    <row r="390" customFormat="false" ht="15" hidden="false" customHeight="false" outlineLevel="0" collapsed="false">
      <c r="A390" s="68" t="n">
        <v>44</v>
      </c>
      <c r="B390" s="68" t="s">
        <v>476</v>
      </c>
      <c r="C390" s="68" t="s">
        <v>497</v>
      </c>
      <c r="D390" s="68" t="s">
        <v>258</v>
      </c>
      <c r="E390" s="68" t="s">
        <v>304</v>
      </c>
      <c r="F390" s="68" t="s">
        <v>1469</v>
      </c>
      <c r="G390" s="68"/>
      <c r="H390" s="85" t="s">
        <v>1369</v>
      </c>
    </row>
    <row r="391" customFormat="false" ht="15" hidden="false" customHeight="false" outlineLevel="0" collapsed="false">
      <c r="A391" s="68" t="n">
        <v>44</v>
      </c>
      <c r="B391" s="68" t="s">
        <v>476</v>
      </c>
      <c r="C391" s="68" t="s">
        <v>497</v>
      </c>
      <c r="D391" s="68" t="s">
        <v>923</v>
      </c>
      <c r="E391" s="68" t="s">
        <v>363</v>
      </c>
      <c r="F391" s="68" t="s">
        <v>363</v>
      </c>
      <c r="G391" s="68" t="s">
        <v>1618</v>
      </c>
      <c r="H391" s="68" t="s">
        <v>1367</v>
      </c>
    </row>
    <row r="392" customFormat="false" ht="15" hidden="false" customHeight="false" outlineLevel="0" collapsed="false">
      <c r="A392" s="68" t="n">
        <v>44</v>
      </c>
      <c r="B392" s="68" t="s">
        <v>476</v>
      </c>
      <c r="C392" s="68" t="s">
        <v>497</v>
      </c>
      <c r="D392" s="68" t="s">
        <v>1386</v>
      </c>
      <c r="E392" s="68" t="n">
        <v>30000</v>
      </c>
      <c r="F392" s="68" t="n">
        <v>30000</v>
      </c>
      <c r="G392" s="68" t="s">
        <v>1618</v>
      </c>
      <c r="H392" s="68" t="s">
        <v>1367</v>
      </c>
    </row>
    <row r="393" customFormat="false" ht="15" hidden="false" customHeight="false" outlineLevel="0" collapsed="false">
      <c r="A393" s="68" t="n">
        <v>45</v>
      </c>
      <c r="B393" s="68" t="s">
        <v>476</v>
      </c>
      <c r="C393" s="68" t="s">
        <v>501</v>
      </c>
      <c r="D393" s="68" t="s">
        <v>243</v>
      </c>
      <c r="E393" s="68" t="s">
        <v>500</v>
      </c>
      <c r="F393" s="68" t="s">
        <v>500</v>
      </c>
      <c r="G393" s="68" t="s">
        <v>1619</v>
      </c>
      <c r="H393" s="68" t="s">
        <v>1373</v>
      </c>
    </row>
    <row r="394" customFormat="false" ht="15" hidden="false" customHeight="false" outlineLevel="0" collapsed="false">
      <c r="A394" s="68" t="n">
        <v>45</v>
      </c>
      <c r="B394" s="68" t="s">
        <v>476</v>
      </c>
      <c r="C394" s="68" t="s">
        <v>501</v>
      </c>
      <c r="D394" s="68" t="s">
        <v>260</v>
      </c>
      <c r="E394" s="68" t="n">
        <v>2</v>
      </c>
      <c r="F394" s="68" t="n">
        <v>2</v>
      </c>
      <c r="G394" s="68" t="s">
        <v>1620</v>
      </c>
      <c r="H394" s="68" t="s">
        <v>1367</v>
      </c>
    </row>
    <row r="395" customFormat="false" ht="15" hidden="false" customHeight="false" outlineLevel="0" collapsed="false">
      <c r="A395" s="68" t="n">
        <v>45</v>
      </c>
      <c r="B395" s="68" t="s">
        <v>476</v>
      </c>
      <c r="C395" s="68" t="s">
        <v>501</v>
      </c>
      <c r="D395" s="68" t="s">
        <v>246</v>
      </c>
      <c r="E395" s="68" t="s">
        <v>153</v>
      </c>
      <c r="F395" s="68" t="s">
        <v>1621</v>
      </c>
      <c r="G395" s="68" t="s">
        <v>1622</v>
      </c>
      <c r="H395" s="68" t="s">
        <v>1367</v>
      </c>
    </row>
    <row r="396" customFormat="false" ht="15" hidden="false" customHeight="false" outlineLevel="0" collapsed="false">
      <c r="A396" s="68" t="n">
        <v>45</v>
      </c>
      <c r="B396" s="68" t="s">
        <v>476</v>
      </c>
      <c r="C396" s="68" t="s">
        <v>501</v>
      </c>
      <c r="D396" s="68" t="s">
        <v>261</v>
      </c>
      <c r="E396" s="68" t="s">
        <v>306</v>
      </c>
      <c r="F396" s="68" t="s">
        <v>1621</v>
      </c>
      <c r="G396" s="68" t="s">
        <v>1622</v>
      </c>
      <c r="H396" s="68" t="s">
        <v>1367</v>
      </c>
    </row>
    <row r="397" customFormat="false" ht="15" hidden="false" customHeight="false" outlineLevel="0" collapsed="false">
      <c r="A397" s="68" t="n">
        <v>45</v>
      </c>
      <c r="B397" s="68" t="s">
        <v>476</v>
      </c>
      <c r="C397" s="68" t="s">
        <v>501</v>
      </c>
      <c r="D397" s="68" t="s">
        <v>880</v>
      </c>
      <c r="E397" s="68" t="s">
        <v>115</v>
      </c>
      <c r="F397" s="68" t="s">
        <v>1612</v>
      </c>
      <c r="G397" s="68" t="s">
        <v>1623</v>
      </c>
      <c r="H397" s="68" t="s">
        <v>1367</v>
      </c>
    </row>
    <row r="398" customFormat="false" ht="15" hidden="false" customHeight="false" outlineLevel="0" collapsed="false">
      <c r="A398" s="68" t="n">
        <v>45</v>
      </c>
      <c r="B398" s="68" t="s">
        <v>476</v>
      </c>
      <c r="C398" s="68" t="s">
        <v>501</v>
      </c>
      <c r="D398" s="68" t="s">
        <v>248</v>
      </c>
      <c r="E398" s="68" t="n">
        <v>73</v>
      </c>
      <c r="F398" s="68" t="n">
        <v>73</v>
      </c>
      <c r="G398" s="68" t="s">
        <v>1624</v>
      </c>
      <c r="H398" s="68" t="s">
        <v>1367</v>
      </c>
    </row>
    <row r="399" customFormat="false" ht="15" hidden="false" customHeight="false" outlineLevel="0" collapsed="false">
      <c r="A399" s="68" t="n">
        <v>45</v>
      </c>
      <c r="B399" s="68" t="s">
        <v>476</v>
      </c>
      <c r="C399" s="68" t="s">
        <v>501</v>
      </c>
      <c r="D399" s="68" t="s">
        <v>249</v>
      </c>
      <c r="E399" s="68" t="n">
        <v>607.4</v>
      </c>
      <c r="F399" s="68" t="n">
        <v>607.4</v>
      </c>
      <c r="G399" s="68" t="s">
        <v>1625</v>
      </c>
      <c r="H399" s="68" t="s">
        <v>1367</v>
      </c>
    </row>
    <row r="400" customFormat="false" ht="15" hidden="false" customHeight="false" outlineLevel="0" collapsed="false">
      <c r="A400" s="68" t="n">
        <v>45</v>
      </c>
      <c r="B400" s="68" t="s">
        <v>476</v>
      </c>
      <c r="C400" s="68" t="s">
        <v>501</v>
      </c>
      <c r="D400" s="68" t="s">
        <v>262</v>
      </c>
      <c r="E400" s="68" t="n">
        <v>74.4</v>
      </c>
      <c r="F400" s="68" t="n">
        <v>74.4</v>
      </c>
      <c r="G400" s="68" t="s">
        <v>1626</v>
      </c>
      <c r="H400" s="68" t="s">
        <v>1367</v>
      </c>
    </row>
    <row r="401" customFormat="false" ht="15" hidden="false" customHeight="false" outlineLevel="0" collapsed="false">
      <c r="A401" s="68" t="n">
        <v>45</v>
      </c>
      <c r="B401" s="68" t="s">
        <v>476</v>
      </c>
      <c r="C401" s="68" t="s">
        <v>501</v>
      </c>
      <c r="D401" s="68" t="s">
        <v>1207</v>
      </c>
      <c r="E401" s="68" t="s">
        <v>312</v>
      </c>
      <c r="F401" s="68" t="s">
        <v>1583</v>
      </c>
      <c r="G401" s="68"/>
      <c r="H401" s="85" t="s">
        <v>1369</v>
      </c>
    </row>
    <row r="402" customFormat="false" ht="15" hidden="false" customHeight="false" outlineLevel="0" collapsed="false">
      <c r="A402" s="68" t="n">
        <v>45</v>
      </c>
      <c r="B402" s="68" t="s">
        <v>476</v>
      </c>
      <c r="C402" s="68" t="s">
        <v>501</v>
      </c>
      <c r="D402" s="68" t="s">
        <v>1584</v>
      </c>
      <c r="E402" s="68" t="s">
        <v>1585</v>
      </c>
      <c r="F402" s="68" t="s">
        <v>1586</v>
      </c>
      <c r="G402" s="68" t="s">
        <v>1627</v>
      </c>
      <c r="H402" s="68" t="s">
        <v>1367</v>
      </c>
    </row>
    <row r="403" customFormat="false" ht="15" hidden="false" customHeight="false" outlineLevel="0" collapsed="false">
      <c r="A403" s="68" t="n">
        <v>45</v>
      </c>
      <c r="B403" s="68" t="s">
        <v>476</v>
      </c>
      <c r="C403" s="68" t="s">
        <v>501</v>
      </c>
      <c r="D403" s="68" t="s">
        <v>258</v>
      </c>
      <c r="E403" s="68" t="s">
        <v>304</v>
      </c>
      <c r="F403" s="68" t="s">
        <v>1469</v>
      </c>
      <c r="G403" s="68"/>
      <c r="H403" s="85" t="s">
        <v>1369</v>
      </c>
    </row>
    <row r="404" customFormat="false" ht="15" hidden="false" customHeight="false" outlineLevel="0" collapsed="false">
      <c r="A404" s="68" t="n">
        <v>45</v>
      </c>
      <c r="B404" s="68" t="s">
        <v>476</v>
      </c>
      <c r="C404" s="68" t="s">
        <v>501</v>
      </c>
      <c r="D404" s="68" t="s">
        <v>923</v>
      </c>
      <c r="E404" s="68" t="s">
        <v>363</v>
      </c>
      <c r="F404" s="68" t="s">
        <v>363</v>
      </c>
      <c r="G404" s="68" t="s">
        <v>1628</v>
      </c>
      <c r="H404" s="68" t="s">
        <v>1367</v>
      </c>
    </row>
    <row r="405" customFormat="false" ht="15" hidden="false" customHeight="false" outlineLevel="0" collapsed="false">
      <c r="A405" s="68" t="n">
        <v>45</v>
      </c>
      <c r="B405" s="68" t="s">
        <v>476</v>
      </c>
      <c r="C405" s="68" t="s">
        <v>501</v>
      </c>
      <c r="D405" s="68" t="s">
        <v>1386</v>
      </c>
      <c r="E405" s="68" t="n">
        <v>210000</v>
      </c>
      <c r="F405" s="68" t="n">
        <v>210000</v>
      </c>
      <c r="G405" s="68" t="s">
        <v>1628</v>
      </c>
      <c r="H405" s="68" t="s">
        <v>1367</v>
      </c>
    </row>
    <row r="406" customFormat="false" ht="15" hidden="false" customHeight="false" outlineLevel="0" collapsed="false">
      <c r="A406" s="68" t="n">
        <v>46</v>
      </c>
      <c r="B406" s="68" t="s">
        <v>476</v>
      </c>
      <c r="C406" s="68" t="s">
        <v>505</v>
      </c>
      <c r="D406" s="68" t="s">
        <v>243</v>
      </c>
      <c r="E406" s="68" t="s">
        <v>504</v>
      </c>
      <c r="F406" s="68" t="s">
        <v>504</v>
      </c>
      <c r="G406" s="68" t="s">
        <v>1629</v>
      </c>
      <c r="H406" s="68" t="s">
        <v>1373</v>
      </c>
    </row>
    <row r="407" customFormat="false" ht="15" hidden="false" customHeight="false" outlineLevel="0" collapsed="false">
      <c r="A407" s="68" t="n">
        <v>46</v>
      </c>
      <c r="B407" s="68" t="s">
        <v>476</v>
      </c>
      <c r="C407" s="68" t="s">
        <v>505</v>
      </c>
      <c r="D407" s="68" t="s">
        <v>260</v>
      </c>
      <c r="E407" s="68" t="n">
        <v>2</v>
      </c>
      <c r="F407" s="68" t="n">
        <v>2</v>
      </c>
      <c r="G407" s="68" t="s">
        <v>1630</v>
      </c>
      <c r="H407" s="68" t="s">
        <v>1367</v>
      </c>
    </row>
    <row r="408" customFormat="false" ht="15" hidden="false" customHeight="false" outlineLevel="0" collapsed="false">
      <c r="A408" s="68" t="n">
        <v>46</v>
      </c>
      <c r="B408" s="68" t="s">
        <v>476</v>
      </c>
      <c r="C408" s="68" t="s">
        <v>505</v>
      </c>
      <c r="D408" s="68" t="s">
        <v>246</v>
      </c>
      <c r="E408" s="68" t="s">
        <v>153</v>
      </c>
      <c r="F408" s="68" t="s">
        <v>1621</v>
      </c>
      <c r="G408" s="68" t="s">
        <v>1631</v>
      </c>
      <c r="H408" s="68" t="s">
        <v>1367</v>
      </c>
    </row>
    <row r="409" customFormat="false" ht="15" hidden="false" customHeight="false" outlineLevel="0" collapsed="false">
      <c r="A409" s="68" t="n">
        <v>46</v>
      </c>
      <c r="B409" s="68" t="s">
        <v>476</v>
      </c>
      <c r="C409" s="68" t="s">
        <v>505</v>
      </c>
      <c r="D409" s="68" t="s">
        <v>261</v>
      </c>
      <c r="E409" s="68" t="s">
        <v>306</v>
      </c>
      <c r="F409" s="68" t="s">
        <v>1621</v>
      </c>
      <c r="G409" s="68" t="s">
        <v>1631</v>
      </c>
      <c r="H409" s="68" t="s">
        <v>1367</v>
      </c>
    </row>
    <row r="410" customFormat="false" ht="15" hidden="false" customHeight="false" outlineLevel="0" collapsed="false">
      <c r="A410" s="68" t="n">
        <v>46</v>
      </c>
      <c r="B410" s="68" t="s">
        <v>476</v>
      </c>
      <c r="C410" s="68" t="s">
        <v>505</v>
      </c>
      <c r="D410" s="68" t="s">
        <v>880</v>
      </c>
      <c r="E410" s="68" t="s">
        <v>115</v>
      </c>
      <c r="F410" s="68" t="s">
        <v>1612</v>
      </c>
      <c r="G410" s="68" t="s">
        <v>1632</v>
      </c>
      <c r="H410" s="68" t="s">
        <v>1367</v>
      </c>
    </row>
    <row r="411" customFormat="false" ht="15" hidden="false" customHeight="false" outlineLevel="0" collapsed="false">
      <c r="A411" s="68" t="n">
        <v>46</v>
      </c>
      <c r="B411" s="68" t="s">
        <v>476</v>
      </c>
      <c r="C411" s="68" t="s">
        <v>505</v>
      </c>
      <c r="D411" s="68" t="s">
        <v>248</v>
      </c>
      <c r="E411" s="68" t="n">
        <v>36</v>
      </c>
      <c r="F411" s="68" t="n">
        <v>36</v>
      </c>
      <c r="G411" s="68" t="s">
        <v>1633</v>
      </c>
      <c r="H411" s="68" t="s">
        <v>1367</v>
      </c>
    </row>
    <row r="412" customFormat="false" ht="15" hidden="false" customHeight="false" outlineLevel="0" collapsed="false">
      <c r="A412" s="68" t="n">
        <v>46</v>
      </c>
      <c r="B412" s="68" t="s">
        <v>476</v>
      </c>
      <c r="C412" s="68" t="s">
        <v>505</v>
      </c>
      <c r="D412" s="68" t="s">
        <v>249</v>
      </c>
      <c r="E412" s="68" t="n">
        <v>331</v>
      </c>
      <c r="F412" s="68" t="n">
        <v>331</v>
      </c>
      <c r="G412" s="68" t="s">
        <v>1634</v>
      </c>
      <c r="H412" s="68" t="s">
        <v>1367</v>
      </c>
    </row>
    <row r="413" customFormat="false" ht="15" hidden="false" customHeight="false" outlineLevel="0" collapsed="false">
      <c r="A413" s="68" t="n">
        <v>46</v>
      </c>
      <c r="B413" s="68" t="s">
        <v>476</v>
      </c>
      <c r="C413" s="68" t="s">
        <v>505</v>
      </c>
      <c r="D413" s="68" t="s">
        <v>262</v>
      </c>
      <c r="E413" s="68" t="n">
        <v>37.4</v>
      </c>
      <c r="F413" s="68" t="n">
        <v>37.4</v>
      </c>
      <c r="G413" s="68" t="s">
        <v>1635</v>
      </c>
      <c r="H413" s="68" t="s">
        <v>1367</v>
      </c>
    </row>
    <row r="414" customFormat="false" ht="15" hidden="false" customHeight="false" outlineLevel="0" collapsed="false">
      <c r="A414" s="68" t="n">
        <v>46</v>
      </c>
      <c r="B414" s="68" t="s">
        <v>476</v>
      </c>
      <c r="C414" s="68" t="s">
        <v>505</v>
      </c>
      <c r="D414" s="68" t="s">
        <v>1207</v>
      </c>
      <c r="E414" s="68" t="s">
        <v>312</v>
      </c>
      <c r="F414" s="68" t="s">
        <v>1583</v>
      </c>
      <c r="G414" s="68"/>
      <c r="H414" s="85" t="s">
        <v>1369</v>
      </c>
    </row>
    <row r="415" customFormat="false" ht="15" hidden="false" customHeight="false" outlineLevel="0" collapsed="false">
      <c r="A415" s="68" t="n">
        <v>46</v>
      </c>
      <c r="B415" s="68" t="s">
        <v>476</v>
      </c>
      <c r="C415" s="68" t="s">
        <v>505</v>
      </c>
      <c r="D415" s="68" t="s">
        <v>1584</v>
      </c>
      <c r="E415" s="68" t="s">
        <v>1585</v>
      </c>
      <c r="F415" s="68" t="s">
        <v>1586</v>
      </c>
      <c r="G415" s="68" t="s">
        <v>1636</v>
      </c>
      <c r="H415" s="68" t="s">
        <v>1367</v>
      </c>
    </row>
    <row r="416" customFormat="false" ht="15" hidden="false" customHeight="false" outlineLevel="0" collapsed="false">
      <c r="A416" s="68" t="n">
        <v>46</v>
      </c>
      <c r="B416" s="68" t="s">
        <v>476</v>
      </c>
      <c r="C416" s="68" t="s">
        <v>505</v>
      </c>
      <c r="D416" s="68" t="s">
        <v>258</v>
      </c>
      <c r="E416" s="68" t="s">
        <v>304</v>
      </c>
      <c r="F416" s="68" t="s">
        <v>1469</v>
      </c>
      <c r="G416" s="68"/>
      <c r="H416" s="85" t="s">
        <v>1369</v>
      </c>
    </row>
    <row r="417" customFormat="false" ht="15" hidden="false" customHeight="false" outlineLevel="0" collapsed="false">
      <c r="A417" s="68" t="n">
        <v>46</v>
      </c>
      <c r="B417" s="68" t="s">
        <v>476</v>
      </c>
      <c r="C417" s="68" t="s">
        <v>505</v>
      </c>
      <c r="D417" s="68" t="s">
        <v>923</v>
      </c>
      <c r="E417" s="68" t="s">
        <v>363</v>
      </c>
      <c r="F417" s="68" t="s">
        <v>363</v>
      </c>
      <c r="G417" s="68" t="s">
        <v>1637</v>
      </c>
      <c r="H417" s="68" t="s">
        <v>1367</v>
      </c>
    </row>
    <row r="418" customFormat="false" ht="15" hidden="false" customHeight="false" outlineLevel="0" collapsed="false">
      <c r="A418" s="68" t="n">
        <v>46</v>
      </c>
      <c r="B418" s="68" t="s">
        <v>476</v>
      </c>
      <c r="C418" s="68" t="s">
        <v>505</v>
      </c>
      <c r="D418" s="68" t="s">
        <v>1386</v>
      </c>
      <c r="E418" s="68" t="n">
        <v>150000</v>
      </c>
      <c r="F418" s="68" t="n">
        <v>150000</v>
      </c>
      <c r="G418" s="68" t="s">
        <v>1637</v>
      </c>
      <c r="H418" s="68" t="s">
        <v>1367</v>
      </c>
    </row>
    <row r="419" customFormat="false" ht="15" hidden="false" customHeight="false" outlineLevel="0" collapsed="false">
      <c r="A419" s="68" t="n">
        <v>47</v>
      </c>
      <c r="B419" s="68" t="s">
        <v>476</v>
      </c>
      <c r="C419" s="68" t="s">
        <v>509</v>
      </c>
      <c r="D419" s="68" t="s">
        <v>243</v>
      </c>
      <c r="E419" s="68" t="s">
        <v>508</v>
      </c>
      <c r="F419" s="68" t="s">
        <v>508</v>
      </c>
      <c r="G419" s="68" t="s">
        <v>1638</v>
      </c>
      <c r="H419" s="68" t="s">
        <v>1367</v>
      </c>
    </row>
    <row r="420" customFormat="false" ht="15" hidden="false" customHeight="false" outlineLevel="0" collapsed="false">
      <c r="A420" s="68" t="n">
        <v>47</v>
      </c>
      <c r="B420" s="68" t="s">
        <v>476</v>
      </c>
      <c r="C420" s="68" t="s">
        <v>509</v>
      </c>
      <c r="D420" s="68" t="s">
        <v>260</v>
      </c>
      <c r="E420" s="68" t="n">
        <v>2</v>
      </c>
      <c r="F420" s="68" t="n">
        <v>2</v>
      </c>
      <c r="G420" s="68" t="s">
        <v>1639</v>
      </c>
      <c r="H420" s="68" t="s">
        <v>1367</v>
      </c>
    </row>
    <row r="421" customFormat="false" ht="15" hidden="false" customHeight="false" outlineLevel="0" collapsed="false">
      <c r="A421" s="68" t="n">
        <v>47</v>
      </c>
      <c r="B421" s="68" t="s">
        <v>476</v>
      </c>
      <c r="C421" s="68" t="s">
        <v>509</v>
      </c>
      <c r="D421" s="68" t="s">
        <v>246</v>
      </c>
      <c r="E421" s="68" t="s">
        <v>132</v>
      </c>
      <c r="F421" s="68" t="s">
        <v>1576</v>
      </c>
      <c r="G421" s="68" t="s">
        <v>1640</v>
      </c>
      <c r="H421" s="68" t="s">
        <v>1367</v>
      </c>
    </row>
    <row r="422" customFormat="false" ht="15" hidden="false" customHeight="false" outlineLevel="0" collapsed="false">
      <c r="A422" s="68" t="n">
        <v>47</v>
      </c>
      <c r="B422" s="68" t="s">
        <v>476</v>
      </c>
      <c r="C422" s="68" t="s">
        <v>509</v>
      </c>
      <c r="D422" s="68" t="s">
        <v>261</v>
      </c>
      <c r="E422" s="68" t="s">
        <v>306</v>
      </c>
      <c r="F422" s="68" t="s">
        <v>1576</v>
      </c>
      <c r="G422" s="68" t="s">
        <v>1640</v>
      </c>
      <c r="H422" s="68" t="s">
        <v>1367</v>
      </c>
    </row>
    <row r="423" customFormat="false" ht="15" hidden="false" customHeight="false" outlineLevel="0" collapsed="false">
      <c r="A423" s="68" t="n">
        <v>47</v>
      </c>
      <c r="B423" s="68" t="s">
        <v>476</v>
      </c>
      <c r="C423" s="68" t="s">
        <v>509</v>
      </c>
      <c r="D423" s="68" t="s">
        <v>880</v>
      </c>
      <c r="E423" s="68" t="s">
        <v>87</v>
      </c>
      <c r="F423" s="68" t="s">
        <v>1641</v>
      </c>
      <c r="G423" s="68" t="s">
        <v>1642</v>
      </c>
      <c r="H423" s="68" t="s">
        <v>1367</v>
      </c>
    </row>
    <row r="424" customFormat="false" ht="15" hidden="false" customHeight="false" outlineLevel="0" collapsed="false">
      <c r="A424" s="68" t="n">
        <v>47</v>
      </c>
      <c r="B424" s="68" t="s">
        <v>476</v>
      </c>
      <c r="C424" s="68" t="s">
        <v>509</v>
      </c>
      <c r="D424" s="68" t="s">
        <v>248</v>
      </c>
      <c r="E424" s="68" t="n">
        <v>23</v>
      </c>
      <c r="F424" s="68" t="n">
        <v>23</v>
      </c>
      <c r="G424" s="68" t="s">
        <v>1643</v>
      </c>
      <c r="H424" s="68" t="s">
        <v>1367</v>
      </c>
    </row>
    <row r="425" customFormat="false" ht="15" hidden="false" customHeight="false" outlineLevel="0" collapsed="false">
      <c r="A425" s="68" t="n">
        <v>47</v>
      </c>
      <c r="B425" s="68" t="s">
        <v>476</v>
      </c>
      <c r="C425" s="68" t="s">
        <v>509</v>
      </c>
      <c r="D425" s="68" t="s">
        <v>249</v>
      </c>
      <c r="E425" s="68" t="n">
        <v>158</v>
      </c>
      <c r="F425" s="68" t="n">
        <v>158</v>
      </c>
      <c r="G425" s="68" t="s">
        <v>1644</v>
      </c>
      <c r="H425" s="68" t="s">
        <v>1367</v>
      </c>
    </row>
    <row r="426" customFormat="false" ht="15" hidden="false" customHeight="false" outlineLevel="0" collapsed="false">
      <c r="A426" s="68" t="n">
        <v>47</v>
      </c>
      <c r="B426" s="68" t="s">
        <v>476</v>
      </c>
      <c r="C426" s="68" t="s">
        <v>509</v>
      </c>
      <c r="D426" s="68" t="s">
        <v>262</v>
      </c>
      <c r="E426" s="68" t="n">
        <v>16.7</v>
      </c>
      <c r="F426" s="68" t="n">
        <v>16.7</v>
      </c>
      <c r="G426" s="68" t="s">
        <v>1645</v>
      </c>
      <c r="H426" s="68" t="s">
        <v>1367</v>
      </c>
    </row>
    <row r="427" customFormat="false" ht="15" hidden="false" customHeight="false" outlineLevel="0" collapsed="false">
      <c r="A427" s="68" t="n">
        <v>47</v>
      </c>
      <c r="B427" s="68" t="s">
        <v>476</v>
      </c>
      <c r="C427" s="68" t="s">
        <v>509</v>
      </c>
      <c r="D427" s="68" t="s">
        <v>1207</v>
      </c>
      <c r="E427" s="68" t="s">
        <v>312</v>
      </c>
      <c r="F427" s="68" t="s">
        <v>1583</v>
      </c>
      <c r="G427" s="68"/>
      <c r="H427" s="85" t="s">
        <v>1369</v>
      </c>
    </row>
    <row r="428" customFormat="false" ht="15" hidden="false" customHeight="false" outlineLevel="0" collapsed="false">
      <c r="A428" s="68" t="n">
        <v>47</v>
      </c>
      <c r="B428" s="68" t="s">
        <v>476</v>
      </c>
      <c r="C428" s="68" t="s">
        <v>509</v>
      </c>
      <c r="D428" s="68" t="s">
        <v>1584</v>
      </c>
      <c r="E428" s="68" t="s">
        <v>1585</v>
      </c>
      <c r="F428" s="68" t="s">
        <v>1586</v>
      </c>
      <c r="G428" s="68" t="s">
        <v>1646</v>
      </c>
      <c r="H428" s="68" t="s">
        <v>1367</v>
      </c>
    </row>
    <row r="429" customFormat="false" ht="15" hidden="false" customHeight="false" outlineLevel="0" collapsed="false">
      <c r="A429" s="68" t="n">
        <v>47</v>
      </c>
      <c r="B429" s="68" t="s">
        <v>476</v>
      </c>
      <c r="C429" s="68" t="s">
        <v>509</v>
      </c>
      <c r="D429" s="68" t="s">
        <v>258</v>
      </c>
      <c r="E429" s="68" t="s">
        <v>304</v>
      </c>
      <c r="F429" s="68" t="s">
        <v>1469</v>
      </c>
      <c r="G429" s="68"/>
      <c r="H429" s="85" t="s">
        <v>1369</v>
      </c>
    </row>
    <row r="430" customFormat="false" ht="15" hidden="false" customHeight="false" outlineLevel="0" collapsed="false">
      <c r="A430" s="68" t="n">
        <v>47</v>
      </c>
      <c r="B430" s="68" t="s">
        <v>476</v>
      </c>
      <c r="C430" s="68" t="s">
        <v>509</v>
      </c>
      <c r="D430" s="68" t="s">
        <v>923</v>
      </c>
      <c r="E430" s="68" t="s">
        <v>363</v>
      </c>
      <c r="F430" s="68" t="s">
        <v>363</v>
      </c>
      <c r="G430" s="68" t="s">
        <v>1647</v>
      </c>
      <c r="H430" s="68" t="s">
        <v>1367</v>
      </c>
    </row>
    <row r="431" customFormat="false" ht="15" hidden="false" customHeight="false" outlineLevel="0" collapsed="false">
      <c r="A431" s="68" t="n">
        <v>47</v>
      </c>
      <c r="B431" s="68" t="s">
        <v>476</v>
      </c>
      <c r="C431" s="68" t="s">
        <v>509</v>
      </c>
      <c r="D431" s="68" t="s">
        <v>1386</v>
      </c>
      <c r="E431" s="68" t="n">
        <v>16500</v>
      </c>
      <c r="F431" s="68" t="n">
        <v>16500</v>
      </c>
      <c r="G431" s="68" t="s">
        <v>1647</v>
      </c>
      <c r="H431" s="68" t="s">
        <v>1367</v>
      </c>
    </row>
    <row r="432" customFormat="false" ht="15" hidden="false" customHeight="false" outlineLevel="0" collapsed="false">
      <c r="A432" s="68" t="n">
        <v>48</v>
      </c>
      <c r="B432" s="68" t="s">
        <v>476</v>
      </c>
      <c r="C432" s="68" t="s">
        <v>513</v>
      </c>
      <c r="D432" s="68" t="s">
        <v>243</v>
      </c>
      <c r="E432" s="68" t="s">
        <v>512</v>
      </c>
      <c r="F432" s="68" t="s">
        <v>512</v>
      </c>
      <c r="G432" s="68" t="s">
        <v>1648</v>
      </c>
      <c r="H432" s="68" t="s">
        <v>1367</v>
      </c>
    </row>
    <row r="433" customFormat="false" ht="15" hidden="false" customHeight="false" outlineLevel="0" collapsed="false">
      <c r="A433" s="68" t="n">
        <v>48</v>
      </c>
      <c r="B433" s="68" t="s">
        <v>476</v>
      </c>
      <c r="C433" s="68" t="s">
        <v>513</v>
      </c>
      <c r="D433" s="68" t="s">
        <v>260</v>
      </c>
      <c r="E433" s="68" t="n">
        <v>1</v>
      </c>
      <c r="F433" s="68" t="n">
        <v>1</v>
      </c>
      <c r="G433" s="68" t="s">
        <v>1649</v>
      </c>
      <c r="H433" s="68" t="s">
        <v>1367</v>
      </c>
    </row>
    <row r="434" customFormat="false" ht="15" hidden="false" customHeight="false" outlineLevel="0" collapsed="false">
      <c r="A434" s="68" t="n">
        <v>48</v>
      </c>
      <c r="B434" s="68" t="s">
        <v>476</v>
      </c>
      <c r="C434" s="68" t="s">
        <v>513</v>
      </c>
      <c r="D434" s="68" t="s">
        <v>246</v>
      </c>
      <c r="E434" s="68" t="s">
        <v>132</v>
      </c>
      <c r="F434" s="68" t="s">
        <v>1576</v>
      </c>
      <c r="G434" s="68" t="s">
        <v>1650</v>
      </c>
      <c r="H434" s="68" t="s">
        <v>1367</v>
      </c>
    </row>
    <row r="435" customFormat="false" ht="15" hidden="false" customHeight="false" outlineLevel="0" collapsed="false">
      <c r="A435" s="68" t="n">
        <v>48</v>
      </c>
      <c r="B435" s="68" t="s">
        <v>476</v>
      </c>
      <c r="C435" s="68" t="s">
        <v>513</v>
      </c>
      <c r="D435" s="68" t="s">
        <v>261</v>
      </c>
      <c r="E435" s="68" t="s">
        <v>306</v>
      </c>
      <c r="F435" s="68" t="s">
        <v>1576</v>
      </c>
      <c r="G435" s="68" t="s">
        <v>1650</v>
      </c>
      <c r="H435" s="68" t="s">
        <v>1367</v>
      </c>
    </row>
    <row r="436" customFormat="false" ht="15" hidden="false" customHeight="false" outlineLevel="0" collapsed="false">
      <c r="A436" s="68" t="n">
        <v>48</v>
      </c>
      <c r="B436" s="68" t="s">
        <v>476</v>
      </c>
      <c r="C436" s="68" t="s">
        <v>513</v>
      </c>
      <c r="D436" s="68" t="s">
        <v>880</v>
      </c>
      <c r="E436" s="68" t="s">
        <v>87</v>
      </c>
      <c r="F436" s="68" t="s">
        <v>1641</v>
      </c>
      <c r="G436" s="68" t="s">
        <v>1651</v>
      </c>
      <c r="H436" s="68" t="s">
        <v>1367</v>
      </c>
    </row>
    <row r="437" customFormat="false" ht="15" hidden="false" customHeight="false" outlineLevel="0" collapsed="false">
      <c r="A437" s="68" t="n">
        <v>48</v>
      </c>
      <c r="B437" s="68" t="s">
        <v>476</v>
      </c>
      <c r="C437" s="68" t="s">
        <v>513</v>
      </c>
      <c r="D437" s="68" t="s">
        <v>248</v>
      </c>
      <c r="E437" s="68" t="n">
        <v>43</v>
      </c>
      <c r="F437" s="68" t="n">
        <v>43</v>
      </c>
      <c r="G437" s="68" t="s">
        <v>1652</v>
      </c>
      <c r="H437" s="68" t="s">
        <v>1367</v>
      </c>
    </row>
    <row r="438" customFormat="false" ht="15" hidden="false" customHeight="false" outlineLevel="0" collapsed="false">
      <c r="A438" s="68" t="n">
        <v>48</v>
      </c>
      <c r="B438" s="68" t="s">
        <v>476</v>
      </c>
      <c r="C438" s="68" t="s">
        <v>513</v>
      </c>
      <c r="D438" s="68" t="s">
        <v>249</v>
      </c>
      <c r="E438" s="68" t="n">
        <v>158</v>
      </c>
      <c r="F438" s="68" t="n">
        <v>158</v>
      </c>
      <c r="G438" s="68" t="s">
        <v>1653</v>
      </c>
      <c r="H438" s="68" t="s">
        <v>1367</v>
      </c>
    </row>
    <row r="439" customFormat="false" ht="15" hidden="false" customHeight="false" outlineLevel="0" collapsed="false">
      <c r="A439" s="68" t="n">
        <v>48</v>
      </c>
      <c r="B439" s="68" t="s">
        <v>476</v>
      </c>
      <c r="C439" s="68" t="s">
        <v>513</v>
      </c>
      <c r="D439" s="68" t="s">
        <v>262</v>
      </c>
      <c r="E439" s="68" t="n">
        <v>16.7</v>
      </c>
      <c r="F439" s="68" t="n">
        <v>16.7</v>
      </c>
      <c r="G439" s="68" t="s">
        <v>1654</v>
      </c>
      <c r="H439" s="68" t="s">
        <v>1367</v>
      </c>
    </row>
    <row r="440" customFormat="false" ht="15" hidden="false" customHeight="false" outlineLevel="0" collapsed="false">
      <c r="A440" s="68" t="n">
        <v>48</v>
      </c>
      <c r="B440" s="68" t="s">
        <v>476</v>
      </c>
      <c r="C440" s="68" t="s">
        <v>513</v>
      </c>
      <c r="D440" s="68" t="s">
        <v>1207</v>
      </c>
      <c r="E440" s="68" t="s">
        <v>312</v>
      </c>
      <c r="F440" s="68" t="s">
        <v>1583</v>
      </c>
      <c r="G440" s="68"/>
      <c r="H440" s="85" t="s">
        <v>1369</v>
      </c>
    </row>
    <row r="441" customFormat="false" ht="15" hidden="false" customHeight="false" outlineLevel="0" collapsed="false">
      <c r="A441" s="68" t="n">
        <v>48</v>
      </c>
      <c r="B441" s="68" t="s">
        <v>476</v>
      </c>
      <c r="C441" s="68" t="s">
        <v>513</v>
      </c>
      <c r="D441" s="68" t="s">
        <v>1584</v>
      </c>
      <c r="E441" s="68" t="s">
        <v>1585</v>
      </c>
      <c r="F441" s="68" t="s">
        <v>1586</v>
      </c>
      <c r="G441" s="68" t="s">
        <v>1655</v>
      </c>
      <c r="H441" s="68" t="s">
        <v>1367</v>
      </c>
    </row>
    <row r="442" customFormat="false" ht="15" hidden="false" customHeight="false" outlineLevel="0" collapsed="false">
      <c r="A442" s="68" t="n">
        <v>48</v>
      </c>
      <c r="B442" s="68" t="s">
        <v>476</v>
      </c>
      <c r="C442" s="68" t="s">
        <v>513</v>
      </c>
      <c r="D442" s="68" t="s">
        <v>258</v>
      </c>
      <c r="E442" s="68" t="s">
        <v>304</v>
      </c>
      <c r="F442" s="68" t="s">
        <v>1469</v>
      </c>
      <c r="G442" s="68"/>
      <c r="H442" s="85" t="s">
        <v>1369</v>
      </c>
    </row>
    <row r="443" customFormat="false" ht="15" hidden="false" customHeight="false" outlineLevel="0" collapsed="false">
      <c r="A443" s="68" t="n">
        <v>48</v>
      </c>
      <c r="B443" s="68" t="s">
        <v>476</v>
      </c>
      <c r="C443" s="68" t="s">
        <v>513</v>
      </c>
      <c r="D443" s="68" t="s">
        <v>923</v>
      </c>
      <c r="E443" s="68" t="s">
        <v>363</v>
      </c>
      <c r="F443" s="68" t="s">
        <v>363</v>
      </c>
      <c r="G443" s="68" t="s">
        <v>1656</v>
      </c>
      <c r="H443" s="68" t="s">
        <v>1367</v>
      </c>
    </row>
    <row r="444" customFormat="false" ht="15" hidden="false" customHeight="false" outlineLevel="0" collapsed="false">
      <c r="A444" s="68" t="n">
        <v>48</v>
      </c>
      <c r="B444" s="68" t="s">
        <v>476</v>
      </c>
      <c r="C444" s="68" t="s">
        <v>513</v>
      </c>
      <c r="D444" s="68" t="s">
        <v>1386</v>
      </c>
      <c r="E444" s="68" t="n">
        <v>17500</v>
      </c>
      <c r="F444" s="68" t="n">
        <v>17500</v>
      </c>
      <c r="G444" s="68" t="s">
        <v>1656</v>
      </c>
      <c r="H444" s="68" t="s">
        <v>1367</v>
      </c>
    </row>
    <row r="445" customFormat="false" ht="15" hidden="false" customHeight="false" outlineLevel="0" collapsed="false">
      <c r="A445" s="68" t="n">
        <v>49</v>
      </c>
      <c r="B445" s="68" t="s">
        <v>476</v>
      </c>
      <c r="C445" s="68" t="s">
        <v>517</v>
      </c>
      <c r="D445" s="68" t="s">
        <v>243</v>
      </c>
      <c r="E445" s="68" t="s">
        <v>516</v>
      </c>
      <c r="F445" s="68" t="s">
        <v>516</v>
      </c>
      <c r="G445" s="68" t="s">
        <v>1657</v>
      </c>
      <c r="H445" s="68" t="s">
        <v>1367</v>
      </c>
    </row>
    <row r="446" customFormat="false" ht="15" hidden="false" customHeight="false" outlineLevel="0" collapsed="false">
      <c r="A446" s="68" t="n">
        <v>49</v>
      </c>
      <c r="B446" s="68" t="s">
        <v>476</v>
      </c>
      <c r="C446" s="68" t="s">
        <v>517</v>
      </c>
      <c r="D446" s="68" t="s">
        <v>260</v>
      </c>
      <c r="E446" s="68" t="n">
        <v>2</v>
      </c>
      <c r="F446" s="68" t="n">
        <v>2</v>
      </c>
      <c r="G446" s="68" t="s">
        <v>1658</v>
      </c>
      <c r="H446" s="68" t="s">
        <v>1367</v>
      </c>
    </row>
    <row r="447" customFormat="false" ht="15" hidden="false" customHeight="false" outlineLevel="0" collapsed="false">
      <c r="A447" s="68" t="n">
        <v>49</v>
      </c>
      <c r="B447" s="68" t="s">
        <v>476</v>
      </c>
      <c r="C447" s="68" t="s">
        <v>517</v>
      </c>
      <c r="D447" s="68" t="s">
        <v>246</v>
      </c>
      <c r="E447" s="68" t="s">
        <v>132</v>
      </c>
      <c r="F447" s="68" t="s">
        <v>1576</v>
      </c>
      <c r="G447" s="68" t="s">
        <v>1659</v>
      </c>
      <c r="H447" s="68" t="s">
        <v>1367</v>
      </c>
    </row>
    <row r="448" customFormat="false" ht="15" hidden="false" customHeight="false" outlineLevel="0" collapsed="false">
      <c r="A448" s="68" t="n">
        <v>49</v>
      </c>
      <c r="B448" s="68" t="s">
        <v>476</v>
      </c>
      <c r="C448" s="68" t="s">
        <v>517</v>
      </c>
      <c r="D448" s="68" t="s">
        <v>261</v>
      </c>
      <c r="E448" s="68" t="s">
        <v>306</v>
      </c>
      <c r="F448" s="68" t="s">
        <v>1576</v>
      </c>
      <c r="G448" s="68" t="s">
        <v>1659</v>
      </c>
      <c r="H448" s="68" t="s">
        <v>1367</v>
      </c>
    </row>
    <row r="449" customFormat="false" ht="15" hidden="false" customHeight="false" outlineLevel="0" collapsed="false">
      <c r="A449" s="68" t="n">
        <v>49</v>
      </c>
      <c r="B449" s="68" t="s">
        <v>476</v>
      </c>
      <c r="C449" s="68" t="s">
        <v>517</v>
      </c>
      <c r="D449" s="68" t="s">
        <v>880</v>
      </c>
      <c r="E449" s="68" t="s">
        <v>90</v>
      </c>
      <c r="F449" s="68" t="s">
        <v>1660</v>
      </c>
      <c r="G449" s="68" t="s">
        <v>1661</v>
      </c>
      <c r="H449" s="68" t="s">
        <v>1367</v>
      </c>
    </row>
    <row r="450" customFormat="false" ht="15" hidden="false" customHeight="false" outlineLevel="0" collapsed="false">
      <c r="A450" s="68" t="n">
        <v>49</v>
      </c>
      <c r="B450" s="68" t="s">
        <v>476</v>
      </c>
      <c r="C450" s="68" t="s">
        <v>517</v>
      </c>
      <c r="D450" s="68" t="s">
        <v>248</v>
      </c>
      <c r="E450" s="68" t="n">
        <v>15</v>
      </c>
      <c r="F450" s="68" t="n">
        <v>15</v>
      </c>
      <c r="G450" s="68" t="s">
        <v>1662</v>
      </c>
      <c r="H450" s="68" t="s">
        <v>1367</v>
      </c>
    </row>
    <row r="451" customFormat="false" ht="15" hidden="false" customHeight="false" outlineLevel="0" collapsed="false">
      <c r="A451" s="68" t="n">
        <v>49</v>
      </c>
      <c r="B451" s="68" t="s">
        <v>476</v>
      </c>
      <c r="C451" s="68" t="s">
        <v>517</v>
      </c>
      <c r="D451" s="68" t="s">
        <v>249</v>
      </c>
      <c r="E451" s="68" t="n">
        <v>50</v>
      </c>
      <c r="F451" s="68" t="n">
        <v>50</v>
      </c>
      <c r="G451" s="68" t="s">
        <v>1663</v>
      </c>
      <c r="H451" s="68" t="s">
        <v>1367</v>
      </c>
    </row>
    <row r="452" customFormat="false" ht="15" hidden="false" customHeight="false" outlineLevel="0" collapsed="false">
      <c r="A452" s="68" t="n">
        <v>49</v>
      </c>
      <c r="B452" s="68" t="s">
        <v>476</v>
      </c>
      <c r="C452" s="68" t="s">
        <v>517</v>
      </c>
      <c r="D452" s="68" t="s">
        <v>262</v>
      </c>
      <c r="E452" s="68" t="n">
        <v>7.4</v>
      </c>
      <c r="F452" s="68" t="n">
        <v>7.4</v>
      </c>
      <c r="G452" s="68" t="s">
        <v>1664</v>
      </c>
      <c r="H452" s="68" t="s">
        <v>1367</v>
      </c>
    </row>
    <row r="453" customFormat="false" ht="15" hidden="false" customHeight="false" outlineLevel="0" collapsed="false">
      <c r="A453" s="68" t="n">
        <v>49</v>
      </c>
      <c r="B453" s="68" t="s">
        <v>476</v>
      </c>
      <c r="C453" s="68" t="s">
        <v>517</v>
      </c>
      <c r="D453" s="68" t="s">
        <v>1207</v>
      </c>
      <c r="E453" s="68" t="s">
        <v>312</v>
      </c>
      <c r="F453" s="68" t="s">
        <v>1583</v>
      </c>
      <c r="G453" s="68"/>
      <c r="H453" s="85" t="s">
        <v>1369</v>
      </c>
    </row>
    <row r="454" customFormat="false" ht="15" hidden="false" customHeight="false" outlineLevel="0" collapsed="false">
      <c r="A454" s="68" t="n">
        <v>49</v>
      </c>
      <c r="B454" s="68" t="s">
        <v>476</v>
      </c>
      <c r="C454" s="68" t="s">
        <v>517</v>
      </c>
      <c r="D454" s="68" t="s">
        <v>1584</v>
      </c>
      <c r="E454" s="68" t="s">
        <v>1585</v>
      </c>
      <c r="F454" s="68" t="s">
        <v>1586</v>
      </c>
      <c r="G454" s="68" t="s">
        <v>1665</v>
      </c>
      <c r="H454" s="68" t="s">
        <v>1367</v>
      </c>
    </row>
    <row r="455" customFormat="false" ht="15" hidden="false" customHeight="false" outlineLevel="0" collapsed="false">
      <c r="A455" s="68" t="n">
        <v>49</v>
      </c>
      <c r="B455" s="68" t="s">
        <v>476</v>
      </c>
      <c r="C455" s="68" t="s">
        <v>517</v>
      </c>
      <c r="D455" s="68" t="s">
        <v>258</v>
      </c>
      <c r="E455" s="68" t="s">
        <v>304</v>
      </c>
      <c r="F455" s="68" t="s">
        <v>1469</v>
      </c>
      <c r="G455" s="68"/>
      <c r="H455" s="85" t="s">
        <v>1369</v>
      </c>
    </row>
    <row r="456" customFormat="false" ht="15" hidden="false" customHeight="false" outlineLevel="0" collapsed="false">
      <c r="A456" s="68" t="n">
        <v>49</v>
      </c>
      <c r="B456" s="68" t="s">
        <v>476</v>
      </c>
      <c r="C456" s="68" t="s">
        <v>517</v>
      </c>
      <c r="D456" s="68" t="s">
        <v>923</v>
      </c>
      <c r="E456" s="68" t="s">
        <v>363</v>
      </c>
      <c r="F456" s="68" t="s">
        <v>363</v>
      </c>
      <c r="G456" s="68" t="s">
        <v>1666</v>
      </c>
      <c r="H456" s="68" t="s">
        <v>1367</v>
      </c>
    </row>
    <row r="457" customFormat="false" ht="15" hidden="false" customHeight="false" outlineLevel="0" collapsed="false">
      <c r="A457" s="68" t="n">
        <v>49</v>
      </c>
      <c r="B457" s="68" t="s">
        <v>476</v>
      </c>
      <c r="C457" s="68" t="s">
        <v>517</v>
      </c>
      <c r="D457" s="68" t="s">
        <v>1386</v>
      </c>
      <c r="E457" s="68" t="n">
        <v>10000</v>
      </c>
      <c r="F457" s="68" t="n">
        <v>10000</v>
      </c>
      <c r="G457" s="68" t="s">
        <v>1666</v>
      </c>
      <c r="H457" s="68" t="s">
        <v>1367</v>
      </c>
    </row>
    <row r="458" customFormat="false" ht="15" hidden="false" customHeight="false" outlineLevel="0" collapsed="false">
      <c r="A458" s="68" t="n">
        <v>50</v>
      </c>
      <c r="B458" s="68" t="s">
        <v>476</v>
      </c>
      <c r="C458" s="68" t="s">
        <v>521</v>
      </c>
      <c r="D458" s="68" t="s">
        <v>243</v>
      </c>
      <c r="E458" s="68" t="s">
        <v>520</v>
      </c>
      <c r="F458" s="68" t="s">
        <v>520</v>
      </c>
      <c r="G458" s="68" t="s">
        <v>1667</v>
      </c>
      <c r="H458" s="68" t="s">
        <v>1367</v>
      </c>
    </row>
    <row r="459" customFormat="false" ht="15" hidden="false" customHeight="false" outlineLevel="0" collapsed="false">
      <c r="A459" s="68" t="n">
        <v>50</v>
      </c>
      <c r="B459" s="68" t="s">
        <v>476</v>
      </c>
      <c r="C459" s="68" t="s">
        <v>521</v>
      </c>
      <c r="D459" s="68" t="s">
        <v>260</v>
      </c>
      <c r="E459" s="68" t="n">
        <v>2</v>
      </c>
      <c r="F459" s="68" t="n">
        <v>2</v>
      </c>
      <c r="G459" s="68" t="s">
        <v>1668</v>
      </c>
      <c r="H459" s="68" t="s">
        <v>1367</v>
      </c>
    </row>
    <row r="460" customFormat="false" ht="15" hidden="false" customHeight="false" outlineLevel="0" collapsed="false">
      <c r="A460" s="68" t="n">
        <v>50</v>
      </c>
      <c r="B460" s="68" t="s">
        <v>476</v>
      </c>
      <c r="C460" s="68" t="s">
        <v>521</v>
      </c>
      <c r="D460" s="68" t="s">
        <v>261</v>
      </c>
      <c r="E460" s="68" t="s">
        <v>522</v>
      </c>
      <c r="F460" s="68" t="s">
        <v>1669</v>
      </c>
      <c r="G460" s="68" t="s">
        <v>1670</v>
      </c>
      <c r="H460" s="68" t="s">
        <v>1367</v>
      </c>
    </row>
    <row r="461" customFormat="false" ht="15" hidden="false" customHeight="false" outlineLevel="0" collapsed="false">
      <c r="A461" s="68" t="n">
        <v>50</v>
      </c>
      <c r="B461" s="68" t="s">
        <v>476</v>
      </c>
      <c r="C461" s="68" t="s">
        <v>521</v>
      </c>
      <c r="D461" s="68" t="s">
        <v>880</v>
      </c>
      <c r="E461" s="68" t="s">
        <v>111</v>
      </c>
      <c r="F461" s="68" t="s">
        <v>1578</v>
      </c>
      <c r="G461" s="68" t="s">
        <v>1671</v>
      </c>
      <c r="H461" s="68" t="s">
        <v>1367</v>
      </c>
    </row>
    <row r="462" customFormat="false" ht="15" hidden="false" customHeight="false" outlineLevel="0" collapsed="false">
      <c r="A462" s="68" t="n">
        <v>50</v>
      </c>
      <c r="B462" s="68" t="s">
        <v>476</v>
      </c>
      <c r="C462" s="68" t="s">
        <v>521</v>
      </c>
      <c r="D462" s="68" t="s">
        <v>248</v>
      </c>
      <c r="E462" s="68" t="n">
        <v>6</v>
      </c>
      <c r="F462" s="68" t="n">
        <v>6</v>
      </c>
      <c r="G462" s="68" t="s">
        <v>1672</v>
      </c>
      <c r="H462" s="68" t="s">
        <v>1367</v>
      </c>
    </row>
    <row r="463" customFormat="false" ht="15" hidden="false" customHeight="false" outlineLevel="0" collapsed="false">
      <c r="A463" s="68" t="n">
        <v>50</v>
      </c>
      <c r="B463" s="68" t="s">
        <v>476</v>
      </c>
      <c r="C463" s="68" t="s">
        <v>521</v>
      </c>
      <c r="D463" s="68" t="s">
        <v>262</v>
      </c>
      <c r="E463" s="68" t="n">
        <v>3.6</v>
      </c>
      <c r="F463" s="68" t="n">
        <v>3.6</v>
      </c>
      <c r="G463" s="68" t="s">
        <v>1673</v>
      </c>
      <c r="H463" s="68" t="s">
        <v>1367</v>
      </c>
    </row>
    <row r="464" customFormat="false" ht="15" hidden="false" customHeight="false" outlineLevel="0" collapsed="false">
      <c r="A464" s="68" t="n">
        <v>50</v>
      </c>
      <c r="B464" s="68" t="s">
        <v>476</v>
      </c>
      <c r="C464" s="68" t="s">
        <v>521</v>
      </c>
      <c r="D464" s="68" t="s">
        <v>1207</v>
      </c>
      <c r="E464" s="68" t="s">
        <v>312</v>
      </c>
      <c r="F464" s="68" t="s">
        <v>1583</v>
      </c>
      <c r="G464" s="68"/>
      <c r="H464" s="85" t="s">
        <v>1369</v>
      </c>
    </row>
    <row r="465" customFormat="false" ht="15" hidden="false" customHeight="false" outlineLevel="0" collapsed="false">
      <c r="A465" s="68" t="n">
        <v>50</v>
      </c>
      <c r="B465" s="68" t="s">
        <v>476</v>
      </c>
      <c r="C465" s="68" t="s">
        <v>521</v>
      </c>
      <c r="D465" s="68" t="s">
        <v>1584</v>
      </c>
      <c r="E465" s="68" t="s">
        <v>1605</v>
      </c>
      <c r="F465" s="68" t="s">
        <v>1606</v>
      </c>
      <c r="G465" s="68" t="s">
        <v>1674</v>
      </c>
      <c r="H465" s="68" t="s">
        <v>1367</v>
      </c>
    </row>
    <row r="466" customFormat="false" ht="15" hidden="false" customHeight="false" outlineLevel="0" collapsed="false">
      <c r="A466" s="68" t="n">
        <v>50</v>
      </c>
      <c r="B466" s="68" t="s">
        <v>476</v>
      </c>
      <c r="C466" s="68" t="s">
        <v>521</v>
      </c>
      <c r="D466" s="68" t="s">
        <v>258</v>
      </c>
      <c r="E466" s="68" t="s">
        <v>304</v>
      </c>
      <c r="F466" s="68" t="s">
        <v>1469</v>
      </c>
      <c r="G466" s="68"/>
      <c r="H466" s="85" t="s">
        <v>1369</v>
      </c>
    </row>
    <row r="467" customFormat="false" ht="15" hidden="false" customHeight="false" outlineLevel="0" collapsed="false">
      <c r="A467" s="68" t="n">
        <v>50</v>
      </c>
      <c r="B467" s="68" t="s">
        <v>476</v>
      </c>
      <c r="C467" s="68" t="s">
        <v>521</v>
      </c>
      <c r="D467" s="68" t="s">
        <v>923</v>
      </c>
      <c r="E467" s="68" t="s">
        <v>363</v>
      </c>
      <c r="F467" s="68" t="s">
        <v>363</v>
      </c>
      <c r="G467" s="68" t="s">
        <v>1675</v>
      </c>
      <c r="H467" s="68" t="s">
        <v>1367</v>
      </c>
    </row>
    <row r="468" customFormat="false" ht="15" hidden="false" customHeight="false" outlineLevel="0" collapsed="false">
      <c r="A468" s="68" t="n">
        <v>50</v>
      </c>
      <c r="B468" s="68" t="s">
        <v>476</v>
      </c>
      <c r="C468" s="68" t="s">
        <v>521</v>
      </c>
      <c r="D468" s="68" t="s">
        <v>1386</v>
      </c>
      <c r="E468" s="68" t="n">
        <v>25000</v>
      </c>
      <c r="F468" s="68" t="n">
        <v>25000</v>
      </c>
      <c r="G468" s="68" t="s">
        <v>1675</v>
      </c>
      <c r="H468" s="68" t="s">
        <v>1367</v>
      </c>
    </row>
    <row r="469" customFormat="false" ht="15" hidden="false" customHeight="false" outlineLevel="0" collapsed="false">
      <c r="A469" s="68" t="n">
        <v>51</v>
      </c>
      <c r="B469" s="68" t="s">
        <v>476</v>
      </c>
      <c r="C469" s="68" t="s">
        <v>526</v>
      </c>
      <c r="D469" s="68" t="s">
        <v>243</v>
      </c>
      <c r="E469" s="68" t="s">
        <v>525</v>
      </c>
      <c r="F469" s="68" t="s">
        <v>525</v>
      </c>
      <c r="G469" s="68" t="s">
        <v>1676</v>
      </c>
      <c r="H469" s="68" t="s">
        <v>1367</v>
      </c>
    </row>
    <row r="470" customFormat="false" ht="15" hidden="false" customHeight="false" outlineLevel="0" collapsed="false">
      <c r="A470" s="68" t="n">
        <v>51</v>
      </c>
      <c r="B470" s="68" t="s">
        <v>476</v>
      </c>
      <c r="C470" s="68" t="s">
        <v>526</v>
      </c>
      <c r="D470" s="68" t="s">
        <v>260</v>
      </c>
      <c r="E470" s="68" t="n">
        <v>2</v>
      </c>
      <c r="F470" s="68" t="n">
        <v>2</v>
      </c>
      <c r="G470" s="68" t="s">
        <v>1677</v>
      </c>
      <c r="H470" s="68" t="s">
        <v>1367</v>
      </c>
    </row>
    <row r="471" customFormat="false" ht="15" hidden="false" customHeight="false" outlineLevel="0" collapsed="false">
      <c r="A471" s="68" t="n">
        <v>51</v>
      </c>
      <c r="B471" s="68" t="s">
        <v>476</v>
      </c>
      <c r="C471" s="68" t="s">
        <v>526</v>
      </c>
      <c r="D471" s="68" t="s">
        <v>246</v>
      </c>
      <c r="E471" s="68" t="s">
        <v>132</v>
      </c>
      <c r="F471" s="68" t="s">
        <v>1576</v>
      </c>
      <c r="G471" s="68" t="s">
        <v>1678</v>
      </c>
      <c r="H471" s="68" t="s">
        <v>1367</v>
      </c>
    </row>
    <row r="472" customFormat="false" ht="15" hidden="false" customHeight="false" outlineLevel="0" collapsed="false">
      <c r="A472" s="68" t="n">
        <v>51</v>
      </c>
      <c r="B472" s="68" t="s">
        <v>476</v>
      </c>
      <c r="C472" s="68" t="s">
        <v>526</v>
      </c>
      <c r="D472" s="68" t="s">
        <v>261</v>
      </c>
      <c r="E472" s="68" t="s">
        <v>306</v>
      </c>
      <c r="F472" s="68" t="s">
        <v>1576</v>
      </c>
      <c r="G472" s="68" t="s">
        <v>1678</v>
      </c>
      <c r="H472" s="68" t="s">
        <v>1367</v>
      </c>
    </row>
    <row r="473" customFormat="false" ht="15" hidden="false" customHeight="false" outlineLevel="0" collapsed="false">
      <c r="A473" s="68" t="n">
        <v>51</v>
      </c>
      <c r="B473" s="68" t="s">
        <v>476</v>
      </c>
      <c r="C473" s="68" t="s">
        <v>526</v>
      </c>
      <c r="D473" s="68" t="s">
        <v>880</v>
      </c>
      <c r="E473" s="68" t="s">
        <v>115</v>
      </c>
      <c r="F473" s="68" t="s">
        <v>1612</v>
      </c>
      <c r="G473" s="68" t="s">
        <v>1679</v>
      </c>
      <c r="H473" s="68" t="s">
        <v>1367</v>
      </c>
    </row>
    <row r="474" customFormat="false" ht="15" hidden="false" customHeight="false" outlineLevel="0" collapsed="false">
      <c r="A474" s="68" t="n">
        <v>51</v>
      </c>
      <c r="B474" s="68" t="s">
        <v>476</v>
      </c>
      <c r="C474" s="68" t="s">
        <v>526</v>
      </c>
      <c r="D474" s="68" t="s">
        <v>248</v>
      </c>
      <c r="E474" s="68" t="n">
        <v>11</v>
      </c>
      <c r="F474" s="68" t="n">
        <v>11</v>
      </c>
      <c r="G474" s="68" t="s">
        <v>1680</v>
      </c>
      <c r="H474" s="68" t="s">
        <v>1367</v>
      </c>
    </row>
    <row r="475" customFormat="false" ht="15" hidden="false" customHeight="false" outlineLevel="0" collapsed="false">
      <c r="A475" s="68" t="n">
        <v>51</v>
      </c>
      <c r="B475" s="68" t="s">
        <v>476</v>
      </c>
      <c r="C475" s="68" t="s">
        <v>526</v>
      </c>
      <c r="D475" s="68" t="s">
        <v>249</v>
      </c>
      <c r="E475" s="68" t="n">
        <v>27.6</v>
      </c>
      <c r="F475" s="68" t="n">
        <v>27.6</v>
      </c>
      <c r="G475" s="68" t="s">
        <v>1681</v>
      </c>
      <c r="H475" s="68" t="s">
        <v>1367</v>
      </c>
    </row>
    <row r="476" customFormat="false" ht="15" hidden="false" customHeight="false" outlineLevel="0" collapsed="false">
      <c r="A476" s="68" t="n">
        <v>51</v>
      </c>
      <c r="B476" s="68" t="s">
        <v>476</v>
      </c>
      <c r="C476" s="68" t="s">
        <v>526</v>
      </c>
      <c r="D476" s="68" t="s">
        <v>262</v>
      </c>
      <c r="E476" s="68" t="n">
        <v>3</v>
      </c>
      <c r="F476" s="68" t="n">
        <v>3</v>
      </c>
      <c r="G476" s="68" t="s">
        <v>1682</v>
      </c>
      <c r="H476" s="68" t="s">
        <v>1367</v>
      </c>
    </row>
    <row r="477" customFormat="false" ht="15" hidden="false" customHeight="false" outlineLevel="0" collapsed="false">
      <c r="A477" s="68" t="n">
        <v>51</v>
      </c>
      <c r="B477" s="68" t="s">
        <v>476</v>
      </c>
      <c r="C477" s="68" t="s">
        <v>526</v>
      </c>
      <c r="D477" s="68" t="s">
        <v>1207</v>
      </c>
      <c r="E477" s="68" t="s">
        <v>312</v>
      </c>
      <c r="F477" s="68" t="s">
        <v>1583</v>
      </c>
      <c r="G477" s="68"/>
      <c r="H477" s="85" t="s">
        <v>1369</v>
      </c>
    </row>
    <row r="478" customFormat="false" ht="15" hidden="false" customHeight="false" outlineLevel="0" collapsed="false">
      <c r="A478" s="68" t="n">
        <v>51</v>
      </c>
      <c r="B478" s="68" t="s">
        <v>476</v>
      </c>
      <c r="C478" s="68" t="s">
        <v>526</v>
      </c>
      <c r="D478" s="68" t="s">
        <v>1584</v>
      </c>
      <c r="E478" s="68" t="s">
        <v>1585</v>
      </c>
      <c r="F478" s="68" t="s">
        <v>1586</v>
      </c>
      <c r="G478" s="68" t="s">
        <v>1683</v>
      </c>
      <c r="H478" s="68" t="s">
        <v>1367</v>
      </c>
    </row>
    <row r="479" customFormat="false" ht="15" hidden="false" customHeight="false" outlineLevel="0" collapsed="false">
      <c r="A479" s="68" t="n">
        <v>51</v>
      </c>
      <c r="B479" s="68" t="s">
        <v>476</v>
      </c>
      <c r="C479" s="68" t="s">
        <v>526</v>
      </c>
      <c r="D479" s="68" t="s">
        <v>258</v>
      </c>
      <c r="E479" s="68" t="s">
        <v>304</v>
      </c>
      <c r="F479" s="68" t="s">
        <v>1469</v>
      </c>
      <c r="G479" s="68"/>
      <c r="H479" s="85" t="s">
        <v>1369</v>
      </c>
    </row>
    <row r="480" customFormat="false" ht="15" hidden="false" customHeight="false" outlineLevel="0" collapsed="false">
      <c r="A480" s="68" t="n">
        <v>51</v>
      </c>
      <c r="B480" s="68" t="s">
        <v>476</v>
      </c>
      <c r="C480" s="68" t="s">
        <v>526</v>
      </c>
      <c r="D480" s="68" t="s">
        <v>923</v>
      </c>
      <c r="E480" s="68" t="s">
        <v>363</v>
      </c>
      <c r="F480" s="68" t="s">
        <v>363</v>
      </c>
      <c r="G480" s="68" t="s">
        <v>1684</v>
      </c>
      <c r="H480" s="68" t="s">
        <v>1367</v>
      </c>
    </row>
    <row r="481" customFormat="false" ht="15" hidden="false" customHeight="false" outlineLevel="0" collapsed="false">
      <c r="A481" s="68" t="n">
        <v>51</v>
      </c>
      <c r="B481" s="68" t="s">
        <v>476</v>
      </c>
      <c r="C481" s="68" t="s">
        <v>526</v>
      </c>
      <c r="D481" s="68" t="s">
        <v>1386</v>
      </c>
      <c r="E481" s="68" t="n">
        <v>20000</v>
      </c>
      <c r="F481" s="68" t="n">
        <v>20000</v>
      </c>
      <c r="G481" s="68" t="s">
        <v>1684</v>
      </c>
      <c r="H481" s="68" t="s">
        <v>1367</v>
      </c>
    </row>
    <row r="482" customFormat="false" ht="15" hidden="false" customHeight="false" outlineLevel="0" collapsed="false">
      <c r="A482" s="68" t="n">
        <v>52</v>
      </c>
      <c r="B482" s="68" t="s">
        <v>476</v>
      </c>
      <c r="C482" s="68" t="s">
        <v>530</v>
      </c>
      <c r="D482" s="68" t="s">
        <v>243</v>
      </c>
      <c r="E482" s="68" t="s">
        <v>529</v>
      </c>
      <c r="F482" s="68" t="s">
        <v>529</v>
      </c>
      <c r="G482" s="68" t="s">
        <v>1685</v>
      </c>
      <c r="H482" s="68" t="s">
        <v>1367</v>
      </c>
    </row>
    <row r="483" customFormat="false" ht="15" hidden="false" customHeight="false" outlineLevel="0" collapsed="false">
      <c r="A483" s="68" t="n">
        <v>52</v>
      </c>
      <c r="B483" s="68" t="s">
        <v>476</v>
      </c>
      <c r="C483" s="68" t="s">
        <v>530</v>
      </c>
      <c r="D483" s="68" t="s">
        <v>260</v>
      </c>
      <c r="E483" s="68" t="n">
        <v>2</v>
      </c>
      <c r="F483" s="68" t="n">
        <v>2</v>
      </c>
      <c r="G483" s="68" t="s">
        <v>1686</v>
      </c>
      <c r="H483" s="68" t="s">
        <v>1367</v>
      </c>
    </row>
    <row r="484" customFormat="false" ht="15" hidden="false" customHeight="false" outlineLevel="0" collapsed="false">
      <c r="A484" s="68" t="n">
        <v>52</v>
      </c>
      <c r="B484" s="68" t="s">
        <v>476</v>
      </c>
      <c r="C484" s="68" t="s">
        <v>530</v>
      </c>
      <c r="D484" s="68" t="s">
        <v>246</v>
      </c>
      <c r="E484" s="68" t="s">
        <v>132</v>
      </c>
      <c r="F484" s="68" t="s">
        <v>1576</v>
      </c>
      <c r="G484" s="68" t="s">
        <v>1687</v>
      </c>
      <c r="H484" s="68" t="s">
        <v>1367</v>
      </c>
    </row>
    <row r="485" customFormat="false" ht="15" hidden="false" customHeight="false" outlineLevel="0" collapsed="false">
      <c r="A485" s="68" t="n">
        <v>52</v>
      </c>
      <c r="B485" s="68" t="s">
        <v>476</v>
      </c>
      <c r="C485" s="68" t="s">
        <v>530</v>
      </c>
      <c r="D485" s="68" t="s">
        <v>261</v>
      </c>
      <c r="E485" s="68" t="s">
        <v>306</v>
      </c>
      <c r="F485" s="68" t="s">
        <v>1576</v>
      </c>
      <c r="G485" s="68" t="s">
        <v>1687</v>
      </c>
      <c r="H485" s="68" t="s">
        <v>1367</v>
      </c>
    </row>
    <row r="486" customFormat="false" ht="15" hidden="false" customHeight="false" outlineLevel="0" collapsed="false">
      <c r="A486" s="68" t="n">
        <v>52</v>
      </c>
      <c r="B486" s="68" t="s">
        <v>476</v>
      </c>
      <c r="C486" s="68" t="s">
        <v>530</v>
      </c>
      <c r="D486" s="68" t="s">
        <v>880</v>
      </c>
      <c r="E486" s="68" t="s">
        <v>115</v>
      </c>
      <c r="F486" s="68" t="s">
        <v>1612</v>
      </c>
      <c r="G486" s="68" t="s">
        <v>1688</v>
      </c>
      <c r="H486" s="68" t="s">
        <v>1367</v>
      </c>
    </row>
    <row r="487" customFormat="false" ht="15" hidden="false" customHeight="false" outlineLevel="0" collapsed="false">
      <c r="A487" s="68" t="n">
        <v>52</v>
      </c>
      <c r="B487" s="68" t="s">
        <v>476</v>
      </c>
      <c r="C487" s="68" t="s">
        <v>530</v>
      </c>
      <c r="D487" s="68" t="s">
        <v>248</v>
      </c>
      <c r="E487" s="68" t="n">
        <v>15</v>
      </c>
      <c r="F487" s="68" t="n">
        <v>15</v>
      </c>
      <c r="G487" s="68" t="s">
        <v>1689</v>
      </c>
      <c r="H487" s="68" t="s">
        <v>1367</v>
      </c>
    </row>
    <row r="488" customFormat="false" ht="15" hidden="false" customHeight="false" outlineLevel="0" collapsed="false">
      <c r="A488" s="68" t="n">
        <v>52</v>
      </c>
      <c r="B488" s="68" t="s">
        <v>476</v>
      </c>
      <c r="C488" s="68" t="s">
        <v>530</v>
      </c>
      <c r="D488" s="68" t="s">
        <v>249</v>
      </c>
      <c r="E488" s="68" t="n">
        <v>46.81</v>
      </c>
      <c r="F488" s="68" t="n">
        <v>46.81</v>
      </c>
      <c r="G488" s="68" t="s">
        <v>1690</v>
      </c>
      <c r="H488" s="68" t="s">
        <v>1367</v>
      </c>
    </row>
    <row r="489" customFormat="false" ht="15" hidden="false" customHeight="false" outlineLevel="0" collapsed="false">
      <c r="A489" s="68" t="n">
        <v>52</v>
      </c>
      <c r="B489" s="68" t="s">
        <v>476</v>
      </c>
      <c r="C489" s="68" t="s">
        <v>530</v>
      </c>
      <c r="D489" s="68" t="s">
        <v>262</v>
      </c>
      <c r="E489" s="68" t="n">
        <v>8.5</v>
      </c>
      <c r="F489" s="68" t="n">
        <v>8.5</v>
      </c>
      <c r="G489" s="68" t="s">
        <v>1691</v>
      </c>
      <c r="H489" s="68" t="s">
        <v>1367</v>
      </c>
    </row>
    <row r="490" customFormat="false" ht="15" hidden="false" customHeight="false" outlineLevel="0" collapsed="false">
      <c r="A490" s="68" t="n">
        <v>52</v>
      </c>
      <c r="B490" s="68" t="s">
        <v>476</v>
      </c>
      <c r="C490" s="68" t="s">
        <v>530</v>
      </c>
      <c r="D490" s="68" t="s">
        <v>1207</v>
      </c>
      <c r="E490" s="68" t="s">
        <v>312</v>
      </c>
      <c r="F490" s="68" t="s">
        <v>1583</v>
      </c>
      <c r="G490" s="68"/>
      <c r="H490" s="85" t="s">
        <v>1369</v>
      </c>
    </row>
    <row r="491" customFormat="false" ht="15" hidden="false" customHeight="false" outlineLevel="0" collapsed="false">
      <c r="A491" s="68" t="n">
        <v>52</v>
      </c>
      <c r="B491" s="68" t="s">
        <v>476</v>
      </c>
      <c r="C491" s="68" t="s">
        <v>530</v>
      </c>
      <c r="D491" s="68" t="s">
        <v>1584</v>
      </c>
      <c r="E491" s="68" t="s">
        <v>1585</v>
      </c>
      <c r="F491" s="68" t="s">
        <v>1586</v>
      </c>
      <c r="G491" s="68" t="s">
        <v>1692</v>
      </c>
      <c r="H491" s="68" t="s">
        <v>1367</v>
      </c>
    </row>
    <row r="492" customFormat="false" ht="15" hidden="false" customHeight="false" outlineLevel="0" collapsed="false">
      <c r="A492" s="68" t="n">
        <v>52</v>
      </c>
      <c r="B492" s="68" t="s">
        <v>476</v>
      </c>
      <c r="C492" s="68" t="s">
        <v>530</v>
      </c>
      <c r="D492" s="68" t="s">
        <v>258</v>
      </c>
      <c r="E492" s="68" t="s">
        <v>304</v>
      </c>
      <c r="F492" s="68" t="s">
        <v>1469</v>
      </c>
      <c r="G492" s="68"/>
      <c r="H492" s="85" t="s">
        <v>1369</v>
      </c>
    </row>
    <row r="493" customFormat="false" ht="15" hidden="false" customHeight="false" outlineLevel="0" collapsed="false">
      <c r="A493" s="68" t="n">
        <v>52</v>
      </c>
      <c r="B493" s="68" t="s">
        <v>476</v>
      </c>
      <c r="C493" s="68" t="s">
        <v>530</v>
      </c>
      <c r="D493" s="68" t="s">
        <v>923</v>
      </c>
      <c r="E493" s="68" t="s">
        <v>363</v>
      </c>
      <c r="F493" s="68" t="s">
        <v>363</v>
      </c>
      <c r="G493" s="68" t="s">
        <v>1693</v>
      </c>
      <c r="H493" s="68" t="s">
        <v>1367</v>
      </c>
    </row>
    <row r="494" customFormat="false" ht="15" hidden="false" customHeight="false" outlineLevel="0" collapsed="false">
      <c r="A494" s="68" t="n">
        <v>52</v>
      </c>
      <c r="B494" s="68" t="s">
        <v>476</v>
      </c>
      <c r="C494" s="68" t="s">
        <v>530</v>
      </c>
      <c r="D494" s="68" t="s">
        <v>1386</v>
      </c>
      <c r="E494" s="68" t="n">
        <v>15000</v>
      </c>
      <c r="F494" s="68" t="n">
        <v>15000</v>
      </c>
      <c r="G494" s="68" t="s">
        <v>1693</v>
      </c>
      <c r="H494" s="68" t="s">
        <v>1367</v>
      </c>
    </row>
    <row r="495" customFormat="false" ht="15" hidden="false" customHeight="false" outlineLevel="0" collapsed="false">
      <c r="A495" s="68" t="n">
        <v>53</v>
      </c>
      <c r="B495" s="68" t="s">
        <v>476</v>
      </c>
      <c r="C495" s="68" t="s">
        <v>534</v>
      </c>
      <c r="D495" s="68" t="s">
        <v>246</v>
      </c>
      <c r="E495" s="68" t="s">
        <v>132</v>
      </c>
      <c r="F495" s="68" t="s">
        <v>1576</v>
      </c>
      <c r="G495" s="68" t="s">
        <v>1694</v>
      </c>
      <c r="H495" s="68" t="s">
        <v>1367</v>
      </c>
    </row>
    <row r="496" customFormat="false" ht="15" hidden="false" customHeight="false" outlineLevel="0" collapsed="false">
      <c r="A496" s="68" t="n">
        <v>53</v>
      </c>
      <c r="B496" s="68" t="s">
        <v>476</v>
      </c>
      <c r="C496" s="68" t="s">
        <v>534</v>
      </c>
      <c r="D496" s="68" t="s">
        <v>261</v>
      </c>
      <c r="E496" s="68" t="s">
        <v>306</v>
      </c>
      <c r="F496" s="68" t="s">
        <v>1576</v>
      </c>
      <c r="G496" s="68" t="s">
        <v>1694</v>
      </c>
      <c r="H496" s="68" t="s">
        <v>1367</v>
      </c>
    </row>
    <row r="497" customFormat="false" ht="15" hidden="false" customHeight="false" outlineLevel="0" collapsed="false">
      <c r="A497" s="68" t="n">
        <v>53</v>
      </c>
      <c r="B497" s="68" t="s">
        <v>476</v>
      </c>
      <c r="C497" s="68" t="s">
        <v>534</v>
      </c>
      <c r="D497" s="68" t="s">
        <v>880</v>
      </c>
      <c r="E497" s="68" t="s">
        <v>115</v>
      </c>
      <c r="F497" s="68" t="s">
        <v>1612</v>
      </c>
      <c r="G497" s="68" t="s">
        <v>1695</v>
      </c>
      <c r="H497" s="68" t="s">
        <v>1367</v>
      </c>
    </row>
    <row r="498" customFormat="false" ht="15" hidden="false" customHeight="false" outlineLevel="0" collapsed="false">
      <c r="A498" s="68" t="n">
        <v>53</v>
      </c>
      <c r="B498" s="68" t="s">
        <v>476</v>
      </c>
      <c r="C498" s="68" t="s">
        <v>534</v>
      </c>
      <c r="D498" s="68" t="s">
        <v>248</v>
      </c>
      <c r="E498" s="68" t="n">
        <v>21</v>
      </c>
      <c r="F498" s="68" t="n">
        <v>21</v>
      </c>
      <c r="G498" s="68" t="s">
        <v>1696</v>
      </c>
      <c r="H498" s="68" t="s">
        <v>1367</v>
      </c>
    </row>
    <row r="499" customFormat="false" ht="15" hidden="false" customHeight="false" outlineLevel="0" collapsed="false">
      <c r="A499" s="68" t="n">
        <v>53</v>
      </c>
      <c r="B499" s="68" t="s">
        <v>476</v>
      </c>
      <c r="C499" s="68" t="s">
        <v>534</v>
      </c>
      <c r="D499" s="68" t="s">
        <v>249</v>
      </c>
      <c r="E499" s="68" t="n">
        <v>44.9</v>
      </c>
      <c r="F499" s="68" t="s">
        <v>1697</v>
      </c>
      <c r="G499" s="68" t="s">
        <v>1698</v>
      </c>
      <c r="H499" s="85" t="s">
        <v>1371</v>
      </c>
    </row>
    <row r="500" customFormat="false" ht="15" hidden="false" customHeight="false" outlineLevel="0" collapsed="false">
      <c r="A500" s="68" t="n">
        <v>53</v>
      </c>
      <c r="B500" s="68" t="s">
        <v>476</v>
      </c>
      <c r="C500" s="68" t="s">
        <v>534</v>
      </c>
      <c r="D500" s="68" t="s">
        <v>1207</v>
      </c>
      <c r="E500" s="68" t="s">
        <v>312</v>
      </c>
      <c r="F500" s="68" t="s">
        <v>1583</v>
      </c>
      <c r="G500" s="68"/>
      <c r="H500" s="85" t="s">
        <v>1369</v>
      </c>
    </row>
    <row r="501" customFormat="false" ht="15" hidden="false" customHeight="false" outlineLevel="0" collapsed="false">
      <c r="A501" s="68" t="n">
        <v>53</v>
      </c>
      <c r="B501" s="68" t="s">
        <v>476</v>
      </c>
      <c r="C501" s="68" t="s">
        <v>534</v>
      </c>
      <c r="D501" s="68" t="s">
        <v>1584</v>
      </c>
      <c r="E501" s="68" t="s">
        <v>1585</v>
      </c>
      <c r="F501" s="68" t="s">
        <v>1586</v>
      </c>
      <c r="G501" s="68" t="s">
        <v>1699</v>
      </c>
      <c r="H501" s="68" t="s">
        <v>1367</v>
      </c>
    </row>
    <row r="502" customFormat="false" ht="15" hidden="false" customHeight="false" outlineLevel="0" collapsed="false">
      <c r="A502" s="68" t="n">
        <v>53</v>
      </c>
      <c r="B502" s="68" t="s">
        <v>476</v>
      </c>
      <c r="C502" s="68" t="s">
        <v>534</v>
      </c>
      <c r="D502" s="68" t="s">
        <v>258</v>
      </c>
      <c r="E502" s="68" t="s">
        <v>304</v>
      </c>
      <c r="F502" s="68" t="s">
        <v>1469</v>
      </c>
      <c r="G502" s="68"/>
      <c r="H502" s="85" t="s">
        <v>1369</v>
      </c>
    </row>
    <row r="503" customFormat="false" ht="15" hidden="false" customHeight="false" outlineLevel="0" collapsed="false">
      <c r="A503" s="68" t="n">
        <v>53</v>
      </c>
      <c r="B503" s="68" t="s">
        <v>476</v>
      </c>
      <c r="C503" s="68" t="s">
        <v>534</v>
      </c>
      <c r="D503" s="68" t="s">
        <v>1386</v>
      </c>
      <c r="E503" s="68" t="s">
        <v>307</v>
      </c>
      <c r="F503" s="68" t="s">
        <v>1700</v>
      </c>
      <c r="G503" s="68" t="s">
        <v>1701</v>
      </c>
      <c r="H503" s="68" t="s">
        <v>1367</v>
      </c>
    </row>
    <row r="504" customFormat="false" ht="15" hidden="false" customHeight="false" outlineLevel="0" collapsed="false">
      <c r="A504" s="68" t="n">
        <v>54</v>
      </c>
      <c r="B504" s="68" t="s">
        <v>476</v>
      </c>
      <c r="C504" s="68" t="s">
        <v>539</v>
      </c>
      <c r="D504" s="68" t="s">
        <v>246</v>
      </c>
      <c r="E504" s="68" t="s">
        <v>132</v>
      </c>
      <c r="F504" s="68" t="s">
        <v>1576</v>
      </c>
      <c r="G504" s="68" t="s">
        <v>1702</v>
      </c>
      <c r="H504" s="68" t="s">
        <v>1367</v>
      </c>
    </row>
    <row r="505" customFormat="false" ht="15" hidden="false" customHeight="false" outlineLevel="0" collapsed="false">
      <c r="A505" s="68" t="n">
        <v>54</v>
      </c>
      <c r="B505" s="68" t="s">
        <v>476</v>
      </c>
      <c r="C505" s="68" t="s">
        <v>539</v>
      </c>
      <c r="D505" s="68" t="s">
        <v>261</v>
      </c>
      <c r="E505" s="68" t="s">
        <v>306</v>
      </c>
      <c r="F505" s="68" t="s">
        <v>1576</v>
      </c>
      <c r="G505" s="68" t="s">
        <v>1702</v>
      </c>
      <c r="H505" s="68" t="s">
        <v>1367</v>
      </c>
    </row>
    <row r="506" customFormat="false" ht="15" hidden="false" customHeight="false" outlineLevel="0" collapsed="false">
      <c r="A506" s="68" t="n">
        <v>54</v>
      </c>
      <c r="B506" s="68" t="s">
        <v>476</v>
      </c>
      <c r="C506" s="68" t="s">
        <v>539</v>
      </c>
      <c r="D506" s="68" t="s">
        <v>880</v>
      </c>
      <c r="E506" s="68" t="s">
        <v>115</v>
      </c>
      <c r="F506" s="68" t="s">
        <v>1612</v>
      </c>
      <c r="G506" s="68" t="s">
        <v>1703</v>
      </c>
      <c r="H506" s="68" t="s">
        <v>1367</v>
      </c>
    </row>
    <row r="507" customFormat="false" ht="15" hidden="false" customHeight="false" outlineLevel="0" collapsed="false">
      <c r="A507" s="68" t="n">
        <v>54</v>
      </c>
      <c r="B507" s="68" t="s">
        <v>476</v>
      </c>
      <c r="C507" s="68" t="s">
        <v>539</v>
      </c>
      <c r="D507" s="68" t="s">
        <v>1207</v>
      </c>
      <c r="E507" s="68" t="s">
        <v>312</v>
      </c>
      <c r="F507" s="68" t="s">
        <v>1583</v>
      </c>
      <c r="G507" s="68"/>
      <c r="H507" s="85" t="s">
        <v>1369</v>
      </c>
    </row>
    <row r="508" customFormat="false" ht="15" hidden="false" customHeight="false" outlineLevel="0" collapsed="false">
      <c r="A508" s="68" t="n">
        <v>54</v>
      </c>
      <c r="B508" s="68" t="s">
        <v>476</v>
      </c>
      <c r="C508" s="68" t="s">
        <v>539</v>
      </c>
      <c r="D508" s="68" t="s">
        <v>1584</v>
      </c>
      <c r="E508" s="68" t="s">
        <v>1585</v>
      </c>
      <c r="F508" s="68" t="s">
        <v>1586</v>
      </c>
      <c r="G508" s="68" t="s">
        <v>1704</v>
      </c>
      <c r="H508" s="68" t="s">
        <v>1367</v>
      </c>
    </row>
    <row r="509" customFormat="false" ht="15" hidden="false" customHeight="false" outlineLevel="0" collapsed="false">
      <c r="A509" s="68" t="n">
        <v>54</v>
      </c>
      <c r="B509" s="68" t="s">
        <v>476</v>
      </c>
      <c r="C509" s="68" t="s">
        <v>539</v>
      </c>
      <c r="D509" s="68" t="s">
        <v>258</v>
      </c>
      <c r="E509" s="68" t="s">
        <v>304</v>
      </c>
      <c r="F509" s="68" t="s">
        <v>1469</v>
      </c>
      <c r="G509" s="68"/>
      <c r="H509" s="85" t="s">
        <v>1369</v>
      </c>
    </row>
    <row r="510" customFormat="false" ht="15" hidden="false" customHeight="false" outlineLevel="0" collapsed="false">
      <c r="A510" s="68" t="n">
        <v>54</v>
      </c>
      <c r="B510" s="68" t="s">
        <v>476</v>
      </c>
      <c r="C510" s="68" t="s">
        <v>539</v>
      </c>
      <c r="D510" s="68" t="s">
        <v>1386</v>
      </c>
      <c r="E510" s="68" t="s">
        <v>307</v>
      </c>
      <c r="F510" s="68" t="s">
        <v>1700</v>
      </c>
      <c r="G510" s="68" t="s">
        <v>1705</v>
      </c>
      <c r="H510" s="68" t="s">
        <v>1367</v>
      </c>
    </row>
    <row r="511" customFormat="false" ht="15" hidden="false" customHeight="false" outlineLevel="0" collapsed="false">
      <c r="A511" s="68" t="n">
        <v>55</v>
      </c>
      <c r="B511" s="68" t="s">
        <v>476</v>
      </c>
      <c r="C511" s="68" t="s">
        <v>543</v>
      </c>
      <c r="D511" s="68" t="s">
        <v>246</v>
      </c>
      <c r="E511" s="68" t="s">
        <v>132</v>
      </c>
      <c r="F511" s="68" t="s">
        <v>1576</v>
      </c>
      <c r="G511" s="68" t="s">
        <v>1706</v>
      </c>
      <c r="H511" s="68" t="s">
        <v>1367</v>
      </c>
    </row>
    <row r="512" customFormat="false" ht="15" hidden="false" customHeight="false" outlineLevel="0" collapsed="false">
      <c r="A512" s="68" t="n">
        <v>55</v>
      </c>
      <c r="B512" s="68" t="s">
        <v>476</v>
      </c>
      <c r="C512" s="68" t="s">
        <v>543</v>
      </c>
      <c r="D512" s="68" t="s">
        <v>261</v>
      </c>
      <c r="E512" s="68" t="s">
        <v>306</v>
      </c>
      <c r="F512" s="68" t="s">
        <v>1576</v>
      </c>
      <c r="G512" s="68" t="s">
        <v>1706</v>
      </c>
      <c r="H512" s="68" t="s">
        <v>1367</v>
      </c>
    </row>
    <row r="513" customFormat="false" ht="15" hidden="false" customHeight="false" outlineLevel="0" collapsed="false">
      <c r="A513" s="68" t="n">
        <v>55</v>
      </c>
      <c r="B513" s="68" t="s">
        <v>476</v>
      </c>
      <c r="C513" s="68" t="s">
        <v>543</v>
      </c>
      <c r="D513" s="68" t="s">
        <v>880</v>
      </c>
      <c r="E513" s="68" t="s">
        <v>115</v>
      </c>
      <c r="F513" s="68" t="s">
        <v>1612</v>
      </c>
      <c r="G513" s="68" t="s">
        <v>1707</v>
      </c>
      <c r="H513" s="68" t="s">
        <v>1367</v>
      </c>
    </row>
    <row r="514" customFormat="false" ht="15" hidden="false" customHeight="false" outlineLevel="0" collapsed="false">
      <c r="A514" s="68" t="n">
        <v>55</v>
      </c>
      <c r="B514" s="68" t="s">
        <v>476</v>
      </c>
      <c r="C514" s="68" t="s">
        <v>543</v>
      </c>
      <c r="D514" s="68" t="s">
        <v>1207</v>
      </c>
      <c r="E514" s="68" t="s">
        <v>312</v>
      </c>
      <c r="F514" s="68" t="s">
        <v>1583</v>
      </c>
      <c r="G514" s="68"/>
      <c r="H514" s="85" t="s">
        <v>1369</v>
      </c>
    </row>
    <row r="515" customFormat="false" ht="15" hidden="false" customHeight="false" outlineLevel="0" collapsed="false">
      <c r="A515" s="68" t="n">
        <v>55</v>
      </c>
      <c r="B515" s="68" t="s">
        <v>476</v>
      </c>
      <c r="C515" s="68" t="s">
        <v>543</v>
      </c>
      <c r="D515" s="68" t="s">
        <v>1584</v>
      </c>
      <c r="E515" s="68" t="s">
        <v>1585</v>
      </c>
      <c r="F515" s="68" t="s">
        <v>1586</v>
      </c>
      <c r="G515" s="68" t="s">
        <v>1708</v>
      </c>
      <c r="H515" s="68" t="s">
        <v>1367</v>
      </c>
    </row>
    <row r="516" customFormat="false" ht="15" hidden="false" customHeight="false" outlineLevel="0" collapsed="false">
      <c r="A516" s="68" t="n">
        <v>55</v>
      </c>
      <c r="B516" s="68" t="s">
        <v>476</v>
      </c>
      <c r="C516" s="68" t="s">
        <v>543</v>
      </c>
      <c r="D516" s="68" t="s">
        <v>258</v>
      </c>
      <c r="E516" s="68" t="s">
        <v>304</v>
      </c>
      <c r="F516" s="68" t="s">
        <v>1469</v>
      </c>
      <c r="G516" s="68"/>
      <c r="H516" s="85" t="s">
        <v>1369</v>
      </c>
    </row>
    <row r="517" customFormat="false" ht="15" hidden="false" customHeight="false" outlineLevel="0" collapsed="false">
      <c r="A517" s="68" t="n">
        <v>55</v>
      </c>
      <c r="B517" s="68" t="s">
        <v>476</v>
      </c>
      <c r="C517" s="68" t="s">
        <v>543</v>
      </c>
      <c r="D517" s="68" t="s">
        <v>1386</v>
      </c>
      <c r="E517" s="68" t="s">
        <v>307</v>
      </c>
      <c r="F517" s="68" t="s">
        <v>1700</v>
      </c>
      <c r="G517" s="68" t="s">
        <v>1705</v>
      </c>
      <c r="H517" s="68" t="s">
        <v>1367</v>
      </c>
    </row>
    <row r="518" customFormat="false" ht="15" hidden="false" customHeight="false" outlineLevel="0" collapsed="false">
      <c r="A518" s="68" t="n">
        <v>56</v>
      </c>
      <c r="B518" s="68" t="s">
        <v>476</v>
      </c>
      <c r="C518" s="68" t="s">
        <v>546</v>
      </c>
      <c r="D518" s="68" t="s">
        <v>246</v>
      </c>
      <c r="E518" s="68" t="s">
        <v>132</v>
      </c>
      <c r="F518" s="68" t="s">
        <v>1576</v>
      </c>
      <c r="G518" s="68" t="s">
        <v>1706</v>
      </c>
      <c r="H518" s="68" t="s">
        <v>1367</v>
      </c>
    </row>
    <row r="519" customFormat="false" ht="15" hidden="false" customHeight="false" outlineLevel="0" collapsed="false">
      <c r="A519" s="68" t="n">
        <v>56</v>
      </c>
      <c r="B519" s="68" t="s">
        <v>476</v>
      </c>
      <c r="C519" s="68" t="s">
        <v>546</v>
      </c>
      <c r="D519" s="68" t="s">
        <v>261</v>
      </c>
      <c r="E519" s="68" t="s">
        <v>306</v>
      </c>
      <c r="F519" s="68" t="s">
        <v>1576</v>
      </c>
      <c r="G519" s="68" t="s">
        <v>1706</v>
      </c>
      <c r="H519" s="68" t="s">
        <v>1367</v>
      </c>
    </row>
    <row r="520" customFormat="false" ht="15" hidden="false" customHeight="false" outlineLevel="0" collapsed="false">
      <c r="A520" s="68" t="n">
        <v>56</v>
      </c>
      <c r="B520" s="68" t="s">
        <v>476</v>
      </c>
      <c r="C520" s="68" t="s">
        <v>546</v>
      </c>
      <c r="D520" s="68" t="s">
        <v>880</v>
      </c>
      <c r="E520" s="68" t="s">
        <v>115</v>
      </c>
      <c r="F520" s="68" t="s">
        <v>1612</v>
      </c>
      <c r="G520" s="68" t="s">
        <v>1707</v>
      </c>
      <c r="H520" s="68" t="s">
        <v>1367</v>
      </c>
    </row>
    <row r="521" customFormat="false" ht="15" hidden="false" customHeight="false" outlineLevel="0" collapsed="false">
      <c r="A521" s="68" t="n">
        <v>56</v>
      </c>
      <c r="B521" s="68" t="s">
        <v>476</v>
      </c>
      <c r="C521" s="68" t="s">
        <v>546</v>
      </c>
      <c r="D521" s="68" t="s">
        <v>1207</v>
      </c>
      <c r="E521" s="68" t="s">
        <v>312</v>
      </c>
      <c r="F521" s="68" t="s">
        <v>1583</v>
      </c>
      <c r="G521" s="68"/>
      <c r="H521" s="85" t="s">
        <v>1369</v>
      </c>
    </row>
    <row r="522" customFormat="false" ht="15" hidden="false" customHeight="false" outlineLevel="0" collapsed="false">
      <c r="A522" s="68" t="n">
        <v>56</v>
      </c>
      <c r="B522" s="68" t="s">
        <v>476</v>
      </c>
      <c r="C522" s="68" t="s">
        <v>546</v>
      </c>
      <c r="D522" s="68" t="s">
        <v>1584</v>
      </c>
      <c r="E522" s="68" t="s">
        <v>1585</v>
      </c>
      <c r="F522" s="68" t="s">
        <v>1586</v>
      </c>
      <c r="G522" s="68" t="s">
        <v>1708</v>
      </c>
      <c r="H522" s="68" t="s">
        <v>1367</v>
      </c>
    </row>
    <row r="523" customFormat="false" ht="15" hidden="false" customHeight="false" outlineLevel="0" collapsed="false">
      <c r="A523" s="68" t="n">
        <v>56</v>
      </c>
      <c r="B523" s="68" t="s">
        <v>476</v>
      </c>
      <c r="C523" s="68" t="s">
        <v>546</v>
      </c>
      <c r="D523" s="68" t="s">
        <v>258</v>
      </c>
      <c r="E523" s="68" t="s">
        <v>304</v>
      </c>
      <c r="F523" s="68" t="s">
        <v>1469</v>
      </c>
      <c r="G523" s="68"/>
      <c r="H523" s="85" t="s">
        <v>1369</v>
      </c>
    </row>
    <row r="524" customFormat="false" ht="15" hidden="false" customHeight="false" outlineLevel="0" collapsed="false">
      <c r="A524" s="68" t="n">
        <v>56</v>
      </c>
      <c r="B524" s="68" t="s">
        <v>476</v>
      </c>
      <c r="C524" s="68" t="s">
        <v>546</v>
      </c>
      <c r="D524" s="68" t="s">
        <v>1386</v>
      </c>
      <c r="E524" s="68" t="s">
        <v>307</v>
      </c>
      <c r="F524" s="68" t="s">
        <v>1700</v>
      </c>
      <c r="G524" s="68" t="s">
        <v>1705</v>
      </c>
      <c r="H524" s="68" t="s">
        <v>1367</v>
      </c>
    </row>
    <row r="525" customFormat="false" ht="15" hidden="false" customHeight="false" outlineLevel="0" collapsed="false">
      <c r="A525" s="68" t="n">
        <v>57</v>
      </c>
      <c r="B525" s="68" t="s">
        <v>476</v>
      </c>
      <c r="C525" s="68" t="s">
        <v>550</v>
      </c>
      <c r="D525" s="68" t="s">
        <v>261</v>
      </c>
      <c r="E525" s="68" t="s">
        <v>493</v>
      </c>
      <c r="F525" s="68" t="s">
        <v>1600</v>
      </c>
      <c r="G525" s="68" t="s">
        <v>1709</v>
      </c>
      <c r="H525" s="68" t="s">
        <v>1367</v>
      </c>
    </row>
    <row r="526" customFormat="false" ht="15" hidden="false" customHeight="false" outlineLevel="0" collapsed="false">
      <c r="A526" s="68" t="n">
        <v>57</v>
      </c>
      <c r="B526" s="68" t="s">
        <v>476</v>
      </c>
      <c r="C526" s="68" t="s">
        <v>550</v>
      </c>
      <c r="D526" s="68" t="s">
        <v>880</v>
      </c>
      <c r="E526" s="68" t="s">
        <v>111</v>
      </c>
      <c r="F526" s="68" t="s">
        <v>1578</v>
      </c>
      <c r="G526" s="68" t="s">
        <v>1710</v>
      </c>
      <c r="H526" s="68" t="s">
        <v>1367</v>
      </c>
    </row>
    <row r="527" customFormat="false" ht="15" hidden="false" customHeight="false" outlineLevel="0" collapsed="false">
      <c r="A527" s="68" t="n">
        <v>57</v>
      </c>
      <c r="B527" s="68" t="s">
        <v>476</v>
      </c>
      <c r="C527" s="68" t="s">
        <v>550</v>
      </c>
      <c r="D527" s="68" t="s">
        <v>1207</v>
      </c>
      <c r="E527" s="68" t="s">
        <v>312</v>
      </c>
      <c r="F527" s="68" t="s">
        <v>1583</v>
      </c>
      <c r="G527" s="68"/>
      <c r="H527" s="85" t="s">
        <v>1369</v>
      </c>
    </row>
    <row r="528" customFormat="false" ht="15" hidden="false" customHeight="false" outlineLevel="0" collapsed="false">
      <c r="A528" s="68" t="n">
        <v>57</v>
      </c>
      <c r="B528" s="68" t="s">
        <v>476</v>
      </c>
      <c r="C528" s="68" t="s">
        <v>550</v>
      </c>
      <c r="D528" s="68" t="s">
        <v>1584</v>
      </c>
      <c r="E528" s="68" t="s">
        <v>1605</v>
      </c>
      <c r="F528" s="68" t="s">
        <v>1606</v>
      </c>
      <c r="G528" s="68" t="s">
        <v>1711</v>
      </c>
      <c r="H528" s="68" t="s">
        <v>1367</v>
      </c>
    </row>
    <row r="529" customFormat="false" ht="15" hidden="false" customHeight="false" outlineLevel="0" collapsed="false">
      <c r="A529" s="68" t="n">
        <v>57</v>
      </c>
      <c r="B529" s="68" t="s">
        <v>476</v>
      </c>
      <c r="C529" s="68" t="s">
        <v>550</v>
      </c>
      <c r="D529" s="68" t="s">
        <v>258</v>
      </c>
      <c r="E529" s="68" t="s">
        <v>304</v>
      </c>
      <c r="F529" s="68" t="s">
        <v>1469</v>
      </c>
      <c r="G529" s="68"/>
      <c r="H529" s="85" t="s">
        <v>1369</v>
      </c>
    </row>
    <row r="530" customFormat="false" ht="15" hidden="false" customHeight="false" outlineLevel="0" collapsed="false">
      <c r="A530" s="68" t="n">
        <v>57</v>
      </c>
      <c r="B530" s="68" t="s">
        <v>476</v>
      </c>
      <c r="C530" s="68" t="s">
        <v>550</v>
      </c>
      <c r="D530" s="68" t="s">
        <v>1386</v>
      </c>
      <c r="E530" s="68" t="s">
        <v>307</v>
      </c>
      <c r="F530" s="68" t="s">
        <v>1700</v>
      </c>
      <c r="G530" s="68" t="s">
        <v>1705</v>
      </c>
      <c r="H530" s="68" t="s">
        <v>1367</v>
      </c>
    </row>
    <row r="531" customFormat="false" ht="15" hidden="false" customHeight="false" outlineLevel="0" collapsed="false">
      <c r="A531" s="68" t="n">
        <v>58</v>
      </c>
      <c r="B531" s="68" t="s">
        <v>476</v>
      </c>
      <c r="C531" s="68" t="s">
        <v>554</v>
      </c>
      <c r="D531" s="68" t="s">
        <v>261</v>
      </c>
      <c r="E531" s="68" t="s">
        <v>351</v>
      </c>
      <c r="F531" s="68" t="s">
        <v>1712</v>
      </c>
      <c r="G531" s="68" t="s">
        <v>1713</v>
      </c>
      <c r="H531" s="68" t="s">
        <v>1367</v>
      </c>
    </row>
    <row r="532" customFormat="false" ht="15" hidden="false" customHeight="false" outlineLevel="0" collapsed="false">
      <c r="A532" s="68" t="n">
        <v>58</v>
      </c>
      <c r="B532" s="68" t="s">
        <v>476</v>
      </c>
      <c r="C532" s="68" t="s">
        <v>554</v>
      </c>
      <c r="D532" s="68" t="s">
        <v>880</v>
      </c>
      <c r="E532" s="68" t="s">
        <v>115</v>
      </c>
      <c r="F532" s="68" t="s">
        <v>1612</v>
      </c>
      <c r="G532" s="68" t="s">
        <v>1714</v>
      </c>
      <c r="H532" s="68" t="s">
        <v>1367</v>
      </c>
    </row>
    <row r="533" customFormat="false" ht="15" hidden="false" customHeight="false" outlineLevel="0" collapsed="false">
      <c r="A533" s="68" t="n">
        <v>58</v>
      </c>
      <c r="B533" s="68" t="s">
        <v>476</v>
      </c>
      <c r="C533" s="68" t="s">
        <v>554</v>
      </c>
      <c r="D533" s="68" t="s">
        <v>1207</v>
      </c>
      <c r="E533" s="68" t="s">
        <v>312</v>
      </c>
      <c r="F533" s="68" t="s">
        <v>1583</v>
      </c>
      <c r="G533" s="68"/>
      <c r="H533" s="85" t="s">
        <v>1369</v>
      </c>
    </row>
    <row r="534" customFormat="false" ht="15" hidden="false" customHeight="false" outlineLevel="0" collapsed="false">
      <c r="A534" s="68" t="n">
        <v>58</v>
      </c>
      <c r="B534" s="68" t="s">
        <v>476</v>
      </c>
      <c r="C534" s="68" t="s">
        <v>554</v>
      </c>
      <c r="D534" s="68" t="s">
        <v>1584</v>
      </c>
      <c r="E534" s="68" t="s">
        <v>1585</v>
      </c>
      <c r="F534" s="68" t="s">
        <v>1586</v>
      </c>
      <c r="G534" s="68" t="s">
        <v>1715</v>
      </c>
      <c r="H534" s="68" t="s">
        <v>1367</v>
      </c>
    </row>
    <row r="535" customFormat="false" ht="15" hidden="false" customHeight="false" outlineLevel="0" collapsed="false">
      <c r="A535" s="68" t="n">
        <v>58</v>
      </c>
      <c r="B535" s="68" t="s">
        <v>476</v>
      </c>
      <c r="C535" s="68" t="s">
        <v>554</v>
      </c>
      <c r="D535" s="68" t="s">
        <v>258</v>
      </c>
      <c r="E535" s="68" t="s">
        <v>304</v>
      </c>
      <c r="F535" s="68" t="s">
        <v>1469</v>
      </c>
      <c r="G535" s="68"/>
      <c r="H535" s="85" t="s">
        <v>1369</v>
      </c>
    </row>
    <row r="536" customFormat="false" ht="15" hidden="false" customHeight="false" outlineLevel="0" collapsed="false">
      <c r="A536" s="68" t="n">
        <v>58</v>
      </c>
      <c r="B536" s="68" t="s">
        <v>476</v>
      </c>
      <c r="C536" s="68" t="s">
        <v>554</v>
      </c>
      <c r="D536" s="68" t="s">
        <v>1386</v>
      </c>
      <c r="E536" s="68" t="s">
        <v>307</v>
      </c>
      <c r="F536" s="68" t="s">
        <v>1700</v>
      </c>
      <c r="G536" s="68" t="s">
        <v>1716</v>
      </c>
      <c r="H536" s="68" t="s">
        <v>1367</v>
      </c>
    </row>
    <row r="537" customFormat="false" ht="15" hidden="false" customHeight="false" outlineLevel="0" collapsed="false">
      <c r="A537" s="68" t="n">
        <v>59</v>
      </c>
      <c r="B537" s="68" t="s">
        <v>558</v>
      </c>
      <c r="C537" s="68" t="s">
        <v>559</v>
      </c>
      <c r="D537" s="68" t="s">
        <v>243</v>
      </c>
      <c r="E537" s="68" t="s">
        <v>475</v>
      </c>
      <c r="F537" s="68" t="s">
        <v>475</v>
      </c>
      <c r="G537" s="68" t="s">
        <v>1717</v>
      </c>
      <c r="H537" s="68" t="s">
        <v>1367</v>
      </c>
    </row>
    <row r="538" customFormat="false" ht="15" hidden="false" customHeight="false" outlineLevel="0" collapsed="false">
      <c r="A538" s="68" t="n">
        <v>59</v>
      </c>
      <c r="B538" s="68" t="s">
        <v>558</v>
      </c>
      <c r="C538" s="68" t="s">
        <v>559</v>
      </c>
      <c r="D538" s="68" t="s">
        <v>260</v>
      </c>
      <c r="E538" s="68" t="n">
        <v>3</v>
      </c>
      <c r="F538" s="68" t="n">
        <v>3</v>
      </c>
      <c r="G538" s="68" t="s">
        <v>1718</v>
      </c>
      <c r="H538" s="68" t="s">
        <v>1367</v>
      </c>
    </row>
    <row r="539" customFormat="false" ht="15" hidden="false" customHeight="false" outlineLevel="0" collapsed="false">
      <c r="A539" s="68" t="n">
        <v>59</v>
      </c>
      <c r="B539" s="68" t="s">
        <v>558</v>
      </c>
      <c r="C539" s="68" t="s">
        <v>559</v>
      </c>
      <c r="D539" s="68" t="s">
        <v>246</v>
      </c>
      <c r="E539" s="68" t="s">
        <v>132</v>
      </c>
      <c r="F539" s="68" t="s">
        <v>1576</v>
      </c>
      <c r="G539" s="68" t="s">
        <v>1719</v>
      </c>
      <c r="H539" s="68" t="s">
        <v>1367</v>
      </c>
    </row>
    <row r="540" customFormat="false" ht="15" hidden="false" customHeight="false" outlineLevel="0" collapsed="false">
      <c r="A540" s="68" t="n">
        <v>59</v>
      </c>
      <c r="B540" s="68" t="s">
        <v>558</v>
      </c>
      <c r="C540" s="68" t="s">
        <v>559</v>
      </c>
      <c r="D540" s="68" t="s">
        <v>261</v>
      </c>
      <c r="E540" s="68" t="s">
        <v>306</v>
      </c>
      <c r="F540" s="68" t="s">
        <v>1576</v>
      </c>
      <c r="G540" s="68" t="s">
        <v>1719</v>
      </c>
      <c r="H540" s="68" t="s">
        <v>1367</v>
      </c>
    </row>
    <row r="541" customFormat="false" ht="15" hidden="false" customHeight="false" outlineLevel="0" collapsed="false">
      <c r="A541" s="68" t="n">
        <v>59</v>
      </c>
      <c r="B541" s="68" t="s">
        <v>558</v>
      </c>
      <c r="C541" s="68" t="s">
        <v>559</v>
      </c>
      <c r="D541" s="68" t="s">
        <v>880</v>
      </c>
      <c r="E541" s="68" t="s">
        <v>111</v>
      </c>
      <c r="F541" s="68" t="s">
        <v>1578</v>
      </c>
      <c r="G541" s="68" t="s">
        <v>1720</v>
      </c>
      <c r="H541" s="68" t="s">
        <v>1367</v>
      </c>
    </row>
    <row r="542" customFormat="false" ht="15" hidden="false" customHeight="false" outlineLevel="0" collapsed="false">
      <c r="A542" s="68" t="n">
        <v>59</v>
      </c>
      <c r="B542" s="68" t="s">
        <v>558</v>
      </c>
      <c r="C542" s="68" t="s">
        <v>559</v>
      </c>
      <c r="D542" s="68" t="s">
        <v>248</v>
      </c>
      <c r="E542" s="68" t="n">
        <v>186</v>
      </c>
      <c r="F542" s="68" t="n">
        <v>186</v>
      </c>
      <c r="G542" s="68" t="s">
        <v>1721</v>
      </c>
      <c r="H542" s="68" t="s">
        <v>1367</v>
      </c>
    </row>
    <row r="543" customFormat="false" ht="15" hidden="false" customHeight="false" outlineLevel="0" collapsed="false">
      <c r="A543" s="68" t="n">
        <v>59</v>
      </c>
      <c r="B543" s="68" t="s">
        <v>558</v>
      </c>
      <c r="C543" s="68" t="s">
        <v>559</v>
      </c>
      <c r="D543" s="68" t="s">
        <v>249</v>
      </c>
      <c r="E543" s="68" t="n">
        <v>33.4</v>
      </c>
      <c r="F543" s="68" t="n">
        <v>33.4</v>
      </c>
      <c r="G543" s="68" t="s">
        <v>1722</v>
      </c>
      <c r="H543" s="68" t="s">
        <v>1367</v>
      </c>
    </row>
    <row r="544" customFormat="false" ht="15" hidden="false" customHeight="false" outlineLevel="0" collapsed="false">
      <c r="A544" s="68" t="n">
        <v>59</v>
      </c>
      <c r="B544" s="68" t="s">
        <v>558</v>
      </c>
      <c r="C544" s="68" t="s">
        <v>559</v>
      </c>
      <c r="D544" s="68" t="s">
        <v>262</v>
      </c>
      <c r="E544" s="68" t="n">
        <v>3.9</v>
      </c>
      <c r="F544" s="68" t="n">
        <v>3.9</v>
      </c>
      <c r="G544" s="68" t="s">
        <v>1723</v>
      </c>
      <c r="H544" s="68" t="s">
        <v>1367</v>
      </c>
    </row>
    <row r="545" customFormat="false" ht="15" hidden="false" customHeight="false" outlineLevel="0" collapsed="false">
      <c r="A545" s="68" t="n">
        <v>59</v>
      </c>
      <c r="B545" s="68" t="s">
        <v>558</v>
      </c>
      <c r="C545" s="68" t="s">
        <v>559</v>
      </c>
      <c r="D545" s="68" t="s">
        <v>1207</v>
      </c>
      <c r="E545" s="68" t="s">
        <v>369</v>
      </c>
      <c r="F545" s="68" t="s">
        <v>369</v>
      </c>
      <c r="G545" s="68" t="s">
        <v>1724</v>
      </c>
      <c r="H545" s="68" t="s">
        <v>1367</v>
      </c>
    </row>
    <row r="546" customFormat="false" ht="15" hidden="false" customHeight="false" outlineLevel="0" collapsed="false">
      <c r="A546" s="68" t="n">
        <v>59</v>
      </c>
      <c r="B546" s="68" t="s">
        <v>558</v>
      </c>
      <c r="C546" s="68" t="s">
        <v>559</v>
      </c>
      <c r="D546" s="68" t="s">
        <v>1584</v>
      </c>
      <c r="E546" s="68" t="s">
        <v>1585</v>
      </c>
      <c r="F546" s="68" t="s">
        <v>1586</v>
      </c>
      <c r="G546" s="68" t="s">
        <v>1725</v>
      </c>
      <c r="H546" s="68" t="s">
        <v>1367</v>
      </c>
    </row>
    <row r="547" customFormat="false" ht="15" hidden="false" customHeight="false" outlineLevel="0" collapsed="false">
      <c r="A547" s="68" t="n">
        <v>59</v>
      </c>
      <c r="B547" s="68" t="s">
        <v>558</v>
      </c>
      <c r="C547" s="68" t="s">
        <v>559</v>
      </c>
      <c r="D547" s="68" t="s">
        <v>258</v>
      </c>
      <c r="E547" s="68" t="s">
        <v>304</v>
      </c>
      <c r="F547" s="68" t="s">
        <v>1469</v>
      </c>
      <c r="G547" s="68"/>
      <c r="H547" s="85" t="s">
        <v>1369</v>
      </c>
    </row>
    <row r="548" customFormat="false" ht="15" hidden="false" customHeight="false" outlineLevel="0" collapsed="false">
      <c r="A548" s="68" t="n">
        <v>59</v>
      </c>
      <c r="B548" s="68" t="s">
        <v>558</v>
      </c>
      <c r="C548" s="68" t="s">
        <v>559</v>
      </c>
      <c r="D548" s="68" t="s">
        <v>923</v>
      </c>
      <c r="E548" s="68" t="s">
        <v>363</v>
      </c>
      <c r="F548" s="68" t="s">
        <v>363</v>
      </c>
      <c r="G548" s="68" t="s">
        <v>1726</v>
      </c>
      <c r="H548" s="68" t="s">
        <v>1367</v>
      </c>
    </row>
    <row r="549" customFormat="false" ht="15" hidden="false" customHeight="false" outlineLevel="0" collapsed="false">
      <c r="A549" s="68" t="n">
        <v>59</v>
      </c>
      <c r="B549" s="68" t="s">
        <v>558</v>
      </c>
      <c r="C549" s="68" t="s">
        <v>559</v>
      </c>
      <c r="D549" s="68" t="s">
        <v>1386</v>
      </c>
      <c r="E549" s="68" t="n">
        <v>55000</v>
      </c>
      <c r="F549" s="68" t="n">
        <v>55000</v>
      </c>
      <c r="G549" s="68" t="s">
        <v>1726</v>
      </c>
      <c r="H549" s="68" t="s">
        <v>1367</v>
      </c>
    </row>
    <row r="550" customFormat="false" ht="15" hidden="false" customHeight="false" outlineLevel="0" collapsed="false">
      <c r="A550" s="68" t="n">
        <v>60</v>
      </c>
      <c r="B550" s="68" t="s">
        <v>558</v>
      </c>
      <c r="C550" s="68" t="s">
        <v>563</v>
      </c>
      <c r="D550" s="68" t="s">
        <v>243</v>
      </c>
      <c r="E550" s="68" t="s">
        <v>562</v>
      </c>
      <c r="F550" s="68" t="s">
        <v>562</v>
      </c>
      <c r="G550" s="68" t="s">
        <v>1727</v>
      </c>
      <c r="H550" s="68" t="s">
        <v>1373</v>
      </c>
    </row>
    <row r="551" customFormat="false" ht="15" hidden="false" customHeight="false" outlineLevel="0" collapsed="false">
      <c r="A551" s="68" t="n">
        <v>60</v>
      </c>
      <c r="B551" s="68" t="s">
        <v>558</v>
      </c>
      <c r="C551" s="68" t="s">
        <v>563</v>
      </c>
      <c r="D551" s="68" t="s">
        <v>260</v>
      </c>
      <c r="E551" s="68" t="n">
        <v>2</v>
      </c>
      <c r="F551" s="68" t="n">
        <v>2</v>
      </c>
      <c r="G551" s="68" t="s">
        <v>1728</v>
      </c>
      <c r="H551" s="68" t="s">
        <v>1367</v>
      </c>
    </row>
    <row r="552" customFormat="false" ht="15" hidden="false" customHeight="false" outlineLevel="0" collapsed="false">
      <c r="A552" s="68" t="n">
        <v>60</v>
      </c>
      <c r="B552" s="68" t="s">
        <v>558</v>
      </c>
      <c r="C552" s="68" t="s">
        <v>563</v>
      </c>
      <c r="D552" s="68" t="s">
        <v>246</v>
      </c>
      <c r="E552" s="68" t="s">
        <v>132</v>
      </c>
      <c r="F552" s="68" t="s">
        <v>1576</v>
      </c>
      <c r="G552" s="68" t="s">
        <v>1729</v>
      </c>
      <c r="H552" s="68" t="s">
        <v>1367</v>
      </c>
    </row>
    <row r="553" customFormat="false" ht="15" hidden="false" customHeight="false" outlineLevel="0" collapsed="false">
      <c r="A553" s="68" t="n">
        <v>60</v>
      </c>
      <c r="B553" s="68" t="s">
        <v>558</v>
      </c>
      <c r="C553" s="68" t="s">
        <v>563</v>
      </c>
      <c r="D553" s="68" t="s">
        <v>261</v>
      </c>
      <c r="E553" s="68" t="s">
        <v>306</v>
      </c>
      <c r="F553" s="68" t="s">
        <v>1576</v>
      </c>
      <c r="G553" s="68" t="s">
        <v>1729</v>
      </c>
      <c r="H553" s="68" t="s">
        <v>1367</v>
      </c>
    </row>
    <row r="554" customFormat="false" ht="15" hidden="false" customHeight="false" outlineLevel="0" collapsed="false">
      <c r="A554" s="68" t="n">
        <v>60</v>
      </c>
      <c r="B554" s="68" t="s">
        <v>558</v>
      </c>
      <c r="C554" s="68" t="s">
        <v>563</v>
      </c>
      <c r="D554" s="68" t="s">
        <v>880</v>
      </c>
      <c r="E554" s="68" t="s">
        <v>111</v>
      </c>
      <c r="F554" s="68" t="s">
        <v>1578</v>
      </c>
      <c r="G554" s="68" t="s">
        <v>1730</v>
      </c>
      <c r="H554" s="68" t="s">
        <v>1367</v>
      </c>
    </row>
    <row r="555" customFormat="false" ht="15" hidden="false" customHeight="false" outlineLevel="0" collapsed="false">
      <c r="A555" s="68" t="n">
        <v>60</v>
      </c>
      <c r="B555" s="68" t="s">
        <v>558</v>
      </c>
      <c r="C555" s="68" t="s">
        <v>563</v>
      </c>
      <c r="D555" s="68" t="s">
        <v>248</v>
      </c>
      <c r="E555" s="68" t="n">
        <v>37</v>
      </c>
      <c r="F555" s="68" t="n">
        <v>37</v>
      </c>
      <c r="G555" s="68" t="s">
        <v>1731</v>
      </c>
      <c r="H555" s="68" t="s">
        <v>1367</v>
      </c>
    </row>
    <row r="556" customFormat="false" ht="15" hidden="false" customHeight="false" outlineLevel="0" collapsed="false">
      <c r="A556" s="68" t="n">
        <v>60</v>
      </c>
      <c r="B556" s="68" t="s">
        <v>558</v>
      </c>
      <c r="C556" s="68" t="s">
        <v>563</v>
      </c>
      <c r="D556" s="68" t="s">
        <v>249</v>
      </c>
      <c r="E556" s="68" t="n">
        <v>39</v>
      </c>
      <c r="F556" s="68" t="n">
        <v>39</v>
      </c>
      <c r="G556" s="68" t="s">
        <v>1732</v>
      </c>
      <c r="H556" s="68" t="s">
        <v>1367</v>
      </c>
    </row>
    <row r="557" customFormat="false" ht="15" hidden="false" customHeight="false" outlineLevel="0" collapsed="false">
      <c r="A557" s="68" t="n">
        <v>60</v>
      </c>
      <c r="B557" s="68" t="s">
        <v>558</v>
      </c>
      <c r="C557" s="68" t="s">
        <v>563</v>
      </c>
      <c r="D557" s="68" t="s">
        <v>262</v>
      </c>
      <c r="E557" s="68" t="n">
        <v>5.4</v>
      </c>
      <c r="F557" s="68" t="n">
        <v>5.4</v>
      </c>
      <c r="G557" s="68" t="s">
        <v>1733</v>
      </c>
      <c r="H557" s="68" t="s">
        <v>1367</v>
      </c>
    </row>
    <row r="558" customFormat="false" ht="15" hidden="false" customHeight="false" outlineLevel="0" collapsed="false">
      <c r="A558" s="68" t="n">
        <v>60</v>
      </c>
      <c r="B558" s="68" t="s">
        <v>558</v>
      </c>
      <c r="C558" s="68" t="s">
        <v>563</v>
      </c>
      <c r="D558" s="68" t="s">
        <v>1207</v>
      </c>
      <c r="E558" s="68" t="s">
        <v>369</v>
      </c>
      <c r="F558" s="68" t="s">
        <v>369</v>
      </c>
      <c r="G558" s="68" t="s">
        <v>1734</v>
      </c>
      <c r="H558" s="68" t="s">
        <v>1367</v>
      </c>
    </row>
    <row r="559" customFormat="false" ht="15" hidden="false" customHeight="false" outlineLevel="0" collapsed="false">
      <c r="A559" s="68" t="n">
        <v>60</v>
      </c>
      <c r="B559" s="68" t="s">
        <v>558</v>
      </c>
      <c r="C559" s="68" t="s">
        <v>563</v>
      </c>
      <c r="D559" s="68" t="s">
        <v>1584</v>
      </c>
      <c r="E559" s="68" t="s">
        <v>1585</v>
      </c>
      <c r="F559" s="68" t="s">
        <v>1586</v>
      </c>
      <c r="G559" s="68" t="s">
        <v>1735</v>
      </c>
      <c r="H559" s="68" t="s">
        <v>1367</v>
      </c>
    </row>
    <row r="560" customFormat="false" ht="15" hidden="false" customHeight="false" outlineLevel="0" collapsed="false">
      <c r="A560" s="68" t="n">
        <v>60</v>
      </c>
      <c r="B560" s="68" t="s">
        <v>558</v>
      </c>
      <c r="C560" s="68" t="s">
        <v>563</v>
      </c>
      <c r="D560" s="68" t="s">
        <v>258</v>
      </c>
      <c r="E560" s="68" t="s">
        <v>304</v>
      </c>
      <c r="F560" s="68" t="s">
        <v>1469</v>
      </c>
      <c r="G560" s="68"/>
      <c r="H560" s="85" t="s">
        <v>1369</v>
      </c>
    </row>
    <row r="561" customFormat="false" ht="15" hidden="false" customHeight="false" outlineLevel="0" collapsed="false">
      <c r="A561" s="68" t="n">
        <v>60</v>
      </c>
      <c r="B561" s="68" t="s">
        <v>558</v>
      </c>
      <c r="C561" s="68" t="s">
        <v>563</v>
      </c>
      <c r="D561" s="68" t="s">
        <v>923</v>
      </c>
      <c r="E561" s="68" t="s">
        <v>363</v>
      </c>
      <c r="F561" s="68" t="s">
        <v>363</v>
      </c>
      <c r="G561" s="68" t="s">
        <v>1736</v>
      </c>
      <c r="H561" s="68" t="s">
        <v>1367</v>
      </c>
    </row>
    <row r="562" customFormat="false" ht="15" hidden="false" customHeight="false" outlineLevel="0" collapsed="false">
      <c r="A562" s="68" t="n">
        <v>60</v>
      </c>
      <c r="B562" s="68" t="s">
        <v>558</v>
      </c>
      <c r="C562" s="68" t="s">
        <v>563</v>
      </c>
      <c r="D562" s="68" t="s">
        <v>1386</v>
      </c>
      <c r="E562" s="68" t="n">
        <v>15000</v>
      </c>
      <c r="F562" s="68" t="n">
        <v>15000</v>
      </c>
      <c r="G562" s="68" t="s">
        <v>1736</v>
      </c>
      <c r="H562" s="68" t="s">
        <v>1367</v>
      </c>
    </row>
    <row r="563" customFormat="false" ht="15" hidden="false" customHeight="false" outlineLevel="0" collapsed="false">
      <c r="A563" s="68" t="n">
        <v>61</v>
      </c>
      <c r="B563" s="68" t="s">
        <v>558</v>
      </c>
      <c r="C563" s="68" t="s">
        <v>566</v>
      </c>
      <c r="D563" s="68" t="s">
        <v>243</v>
      </c>
      <c r="E563" s="68" t="s">
        <v>485</v>
      </c>
      <c r="F563" s="68" t="s">
        <v>485</v>
      </c>
      <c r="G563" s="68" t="s">
        <v>1737</v>
      </c>
      <c r="H563" s="68" t="s">
        <v>1367</v>
      </c>
    </row>
    <row r="564" customFormat="false" ht="15" hidden="false" customHeight="false" outlineLevel="0" collapsed="false">
      <c r="A564" s="68" t="n">
        <v>61</v>
      </c>
      <c r="B564" s="68" t="s">
        <v>558</v>
      </c>
      <c r="C564" s="68" t="s">
        <v>566</v>
      </c>
      <c r="D564" s="68" t="s">
        <v>260</v>
      </c>
      <c r="E564" s="68" t="n">
        <v>3</v>
      </c>
      <c r="F564" s="68" t="n">
        <v>3</v>
      </c>
      <c r="G564" s="68" t="s">
        <v>1738</v>
      </c>
      <c r="H564" s="68" t="s">
        <v>1367</v>
      </c>
    </row>
    <row r="565" customFormat="false" ht="15" hidden="false" customHeight="false" outlineLevel="0" collapsed="false">
      <c r="A565" s="68" t="n">
        <v>61</v>
      </c>
      <c r="B565" s="68" t="s">
        <v>558</v>
      </c>
      <c r="C565" s="68" t="s">
        <v>566</v>
      </c>
      <c r="D565" s="68" t="s">
        <v>246</v>
      </c>
      <c r="E565" s="68" t="s">
        <v>132</v>
      </c>
      <c r="F565" s="68" t="s">
        <v>1576</v>
      </c>
      <c r="G565" s="68" t="s">
        <v>1739</v>
      </c>
      <c r="H565" s="68" t="s">
        <v>1367</v>
      </c>
    </row>
    <row r="566" customFormat="false" ht="15" hidden="false" customHeight="false" outlineLevel="0" collapsed="false">
      <c r="A566" s="68" t="n">
        <v>61</v>
      </c>
      <c r="B566" s="68" t="s">
        <v>558</v>
      </c>
      <c r="C566" s="68" t="s">
        <v>566</v>
      </c>
      <c r="D566" s="68" t="s">
        <v>261</v>
      </c>
      <c r="E566" s="68" t="s">
        <v>306</v>
      </c>
      <c r="F566" s="68" t="s">
        <v>1576</v>
      </c>
      <c r="G566" s="68" t="s">
        <v>1739</v>
      </c>
      <c r="H566" s="68" t="s">
        <v>1367</v>
      </c>
    </row>
    <row r="567" customFormat="false" ht="15" hidden="false" customHeight="false" outlineLevel="0" collapsed="false">
      <c r="A567" s="68" t="n">
        <v>61</v>
      </c>
      <c r="B567" s="68" t="s">
        <v>558</v>
      </c>
      <c r="C567" s="68" t="s">
        <v>566</v>
      </c>
      <c r="D567" s="68" t="s">
        <v>880</v>
      </c>
      <c r="E567" s="68" t="s">
        <v>111</v>
      </c>
      <c r="F567" s="68" t="s">
        <v>1578</v>
      </c>
      <c r="G567" s="68" t="s">
        <v>1740</v>
      </c>
      <c r="H567" s="68" t="s">
        <v>1367</v>
      </c>
    </row>
    <row r="568" customFormat="false" ht="15" hidden="false" customHeight="false" outlineLevel="0" collapsed="false">
      <c r="A568" s="68" t="n">
        <v>61</v>
      </c>
      <c r="B568" s="68" t="s">
        <v>558</v>
      </c>
      <c r="C568" s="68" t="s">
        <v>566</v>
      </c>
      <c r="D568" s="68" t="s">
        <v>248</v>
      </c>
      <c r="E568" s="68" t="n">
        <v>173</v>
      </c>
      <c r="F568" s="68" t="n">
        <v>173</v>
      </c>
      <c r="G568" s="68" t="s">
        <v>1741</v>
      </c>
      <c r="H568" s="68" t="s">
        <v>1367</v>
      </c>
    </row>
    <row r="569" customFormat="false" ht="15" hidden="false" customHeight="false" outlineLevel="0" collapsed="false">
      <c r="A569" s="68" t="n">
        <v>61</v>
      </c>
      <c r="B569" s="68" t="s">
        <v>558</v>
      </c>
      <c r="C569" s="68" t="s">
        <v>566</v>
      </c>
      <c r="D569" s="68" t="s">
        <v>249</v>
      </c>
      <c r="E569" s="68" t="n">
        <v>186.3</v>
      </c>
      <c r="F569" s="68" t="n">
        <v>186.3</v>
      </c>
      <c r="G569" s="68" t="s">
        <v>1742</v>
      </c>
      <c r="H569" s="68" t="s">
        <v>1367</v>
      </c>
    </row>
    <row r="570" customFormat="false" ht="15" hidden="false" customHeight="false" outlineLevel="0" collapsed="false">
      <c r="A570" s="68" t="n">
        <v>61</v>
      </c>
      <c r="B570" s="68" t="s">
        <v>558</v>
      </c>
      <c r="C570" s="68" t="s">
        <v>566</v>
      </c>
      <c r="D570" s="68" t="s">
        <v>262</v>
      </c>
      <c r="E570" s="68" t="n">
        <v>18</v>
      </c>
      <c r="F570" s="68" t="n">
        <v>18</v>
      </c>
      <c r="G570" s="68" t="s">
        <v>1743</v>
      </c>
      <c r="H570" s="68" t="s">
        <v>1367</v>
      </c>
    </row>
    <row r="571" customFormat="false" ht="15" hidden="false" customHeight="false" outlineLevel="0" collapsed="false">
      <c r="A571" s="68" t="n">
        <v>61</v>
      </c>
      <c r="B571" s="68" t="s">
        <v>558</v>
      </c>
      <c r="C571" s="68" t="s">
        <v>566</v>
      </c>
      <c r="D571" s="68" t="s">
        <v>1207</v>
      </c>
      <c r="E571" s="68" t="s">
        <v>369</v>
      </c>
      <c r="F571" s="68" t="s">
        <v>369</v>
      </c>
      <c r="G571" s="68" t="s">
        <v>1744</v>
      </c>
      <c r="H571" s="68" t="s">
        <v>1367</v>
      </c>
    </row>
    <row r="572" customFormat="false" ht="15" hidden="false" customHeight="false" outlineLevel="0" collapsed="false">
      <c r="A572" s="68" t="n">
        <v>61</v>
      </c>
      <c r="B572" s="68" t="s">
        <v>558</v>
      </c>
      <c r="C572" s="68" t="s">
        <v>566</v>
      </c>
      <c r="D572" s="68" t="s">
        <v>1584</v>
      </c>
      <c r="E572" s="68" t="s">
        <v>1585</v>
      </c>
      <c r="F572" s="68" t="s">
        <v>1586</v>
      </c>
      <c r="G572" s="68" t="s">
        <v>1745</v>
      </c>
      <c r="H572" s="68" t="s">
        <v>1367</v>
      </c>
    </row>
    <row r="573" customFormat="false" ht="15" hidden="false" customHeight="false" outlineLevel="0" collapsed="false">
      <c r="A573" s="68" t="n">
        <v>61</v>
      </c>
      <c r="B573" s="68" t="s">
        <v>558</v>
      </c>
      <c r="C573" s="68" t="s">
        <v>566</v>
      </c>
      <c r="D573" s="68" t="s">
        <v>258</v>
      </c>
      <c r="E573" s="68" t="s">
        <v>304</v>
      </c>
      <c r="F573" s="68" t="s">
        <v>1469</v>
      </c>
      <c r="G573" s="68"/>
      <c r="H573" s="85" t="s">
        <v>1369</v>
      </c>
    </row>
    <row r="574" customFormat="false" ht="15" hidden="false" customHeight="false" outlineLevel="0" collapsed="false">
      <c r="A574" s="68" t="n">
        <v>61</v>
      </c>
      <c r="B574" s="68" t="s">
        <v>558</v>
      </c>
      <c r="C574" s="68" t="s">
        <v>566</v>
      </c>
      <c r="D574" s="68" t="s">
        <v>923</v>
      </c>
      <c r="E574" s="68" t="s">
        <v>363</v>
      </c>
      <c r="F574" s="68" t="s">
        <v>363</v>
      </c>
      <c r="G574" s="68" t="s">
        <v>1746</v>
      </c>
      <c r="H574" s="68" t="s">
        <v>1367</v>
      </c>
    </row>
    <row r="575" customFormat="false" ht="15" hidden="false" customHeight="false" outlineLevel="0" collapsed="false">
      <c r="A575" s="68" t="n">
        <v>61</v>
      </c>
      <c r="B575" s="68" t="s">
        <v>558</v>
      </c>
      <c r="C575" s="68" t="s">
        <v>566</v>
      </c>
      <c r="D575" s="68" t="s">
        <v>1386</v>
      </c>
      <c r="E575" s="68" t="n">
        <v>60000</v>
      </c>
      <c r="F575" s="68" t="n">
        <v>60000</v>
      </c>
      <c r="G575" s="68" t="s">
        <v>1746</v>
      </c>
      <c r="H575" s="68" t="s">
        <v>1367</v>
      </c>
    </row>
    <row r="576" customFormat="false" ht="15" hidden="false" customHeight="false" outlineLevel="0" collapsed="false">
      <c r="A576" s="68" t="n">
        <v>62</v>
      </c>
      <c r="B576" s="68" t="s">
        <v>558</v>
      </c>
      <c r="C576" s="68" t="s">
        <v>569</v>
      </c>
      <c r="D576" s="68" t="s">
        <v>243</v>
      </c>
      <c r="E576" s="68" t="s">
        <v>489</v>
      </c>
      <c r="F576" s="68" t="s">
        <v>489</v>
      </c>
      <c r="G576" s="68" t="s">
        <v>1747</v>
      </c>
      <c r="H576" s="68" t="s">
        <v>1367</v>
      </c>
    </row>
    <row r="577" customFormat="false" ht="15" hidden="false" customHeight="false" outlineLevel="0" collapsed="false">
      <c r="A577" s="68" t="n">
        <v>62</v>
      </c>
      <c r="B577" s="68" t="s">
        <v>558</v>
      </c>
      <c r="C577" s="68" t="s">
        <v>569</v>
      </c>
      <c r="D577" s="68" t="s">
        <v>260</v>
      </c>
      <c r="E577" s="68" t="n">
        <v>2</v>
      </c>
      <c r="F577" s="68" t="n">
        <v>2</v>
      </c>
      <c r="G577" s="68" t="s">
        <v>1748</v>
      </c>
      <c r="H577" s="68" t="s">
        <v>1367</v>
      </c>
    </row>
    <row r="578" customFormat="false" ht="15" hidden="false" customHeight="false" outlineLevel="0" collapsed="false">
      <c r="A578" s="68" t="n">
        <v>62</v>
      </c>
      <c r="B578" s="68" t="s">
        <v>558</v>
      </c>
      <c r="C578" s="68" t="s">
        <v>569</v>
      </c>
      <c r="D578" s="68" t="s">
        <v>261</v>
      </c>
      <c r="E578" s="68" t="s">
        <v>493</v>
      </c>
      <c r="F578" s="68" t="s">
        <v>1600</v>
      </c>
      <c r="G578" s="68" t="s">
        <v>1749</v>
      </c>
      <c r="H578" s="68" t="s">
        <v>1367</v>
      </c>
    </row>
    <row r="579" customFormat="false" ht="15" hidden="false" customHeight="false" outlineLevel="0" collapsed="false">
      <c r="A579" s="68" t="n">
        <v>62</v>
      </c>
      <c r="B579" s="68" t="s">
        <v>558</v>
      </c>
      <c r="C579" s="68" t="s">
        <v>569</v>
      </c>
      <c r="D579" s="68" t="s">
        <v>880</v>
      </c>
      <c r="E579" s="68" t="s">
        <v>111</v>
      </c>
      <c r="F579" s="68" t="s">
        <v>1578</v>
      </c>
      <c r="G579" s="68" t="s">
        <v>1750</v>
      </c>
      <c r="H579" s="68" t="s">
        <v>1367</v>
      </c>
    </row>
    <row r="580" customFormat="false" ht="15" hidden="false" customHeight="false" outlineLevel="0" collapsed="false">
      <c r="A580" s="68" t="n">
        <v>62</v>
      </c>
      <c r="B580" s="68" t="s">
        <v>558</v>
      </c>
      <c r="C580" s="68" t="s">
        <v>569</v>
      </c>
      <c r="D580" s="68" t="s">
        <v>248</v>
      </c>
      <c r="E580" s="68" t="n">
        <v>5</v>
      </c>
      <c r="F580" s="68" t="n">
        <v>5</v>
      </c>
      <c r="G580" s="68" t="s">
        <v>1751</v>
      </c>
      <c r="H580" s="68" t="s">
        <v>1367</v>
      </c>
    </row>
    <row r="581" customFormat="false" ht="15" hidden="false" customHeight="false" outlineLevel="0" collapsed="false">
      <c r="A581" s="68" t="n">
        <v>62</v>
      </c>
      <c r="B581" s="68" t="s">
        <v>558</v>
      </c>
      <c r="C581" s="68" t="s">
        <v>569</v>
      </c>
      <c r="D581" s="68" t="s">
        <v>262</v>
      </c>
      <c r="E581" s="68" t="n">
        <v>6.5</v>
      </c>
      <c r="F581" s="68" t="n">
        <v>6.5</v>
      </c>
      <c r="G581" s="68" t="s">
        <v>1752</v>
      </c>
      <c r="H581" s="68" t="s">
        <v>1367</v>
      </c>
    </row>
    <row r="582" customFormat="false" ht="15" hidden="false" customHeight="false" outlineLevel="0" collapsed="false">
      <c r="A582" s="68" t="n">
        <v>62</v>
      </c>
      <c r="B582" s="68" t="s">
        <v>558</v>
      </c>
      <c r="C582" s="68" t="s">
        <v>569</v>
      </c>
      <c r="D582" s="68" t="s">
        <v>1207</v>
      </c>
      <c r="E582" s="68" t="s">
        <v>369</v>
      </c>
      <c r="F582" s="68" t="s">
        <v>369</v>
      </c>
      <c r="G582" s="68" t="s">
        <v>1753</v>
      </c>
      <c r="H582" s="68" t="s">
        <v>1367</v>
      </c>
    </row>
    <row r="583" customFormat="false" ht="15" hidden="false" customHeight="false" outlineLevel="0" collapsed="false">
      <c r="A583" s="68" t="n">
        <v>62</v>
      </c>
      <c r="B583" s="68" t="s">
        <v>558</v>
      </c>
      <c r="C583" s="68" t="s">
        <v>569</v>
      </c>
      <c r="D583" s="68" t="s">
        <v>1584</v>
      </c>
      <c r="E583" s="68" t="s">
        <v>1605</v>
      </c>
      <c r="F583" s="68" t="s">
        <v>1606</v>
      </c>
      <c r="G583" s="68" t="s">
        <v>1754</v>
      </c>
      <c r="H583" s="68" t="s">
        <v>1367</v>
      </c>
    </row>
    <row r="584" customFormat="false" ht="15" hidden="false" customHeight="false" outlineLevel="0" collapsed="false">
      <c r="A584" s="68" t="n">
        <v>62</v>
      </c>
      <c r="B584" s="68" t="s">
        <v>558</v>
      </c>
      <c r="C584" s="68" t="s">
        <v>569</v>
      </c>
      <c r="D584" s="68" t="s">
        <v>258</v>
      </c>
      <c r="E584" s="68" t="s">
        <v>304</v>
      </c>
      <c r="F584" s="68" t="s">
        <v>1469</v>
      </c>
      <c r="G584" s="68"/>
      <c r="H584" s="85" t="s">
        <v>1369</v>
      </c>
    </row>
    <row r="585" customFormat="false" ht="15" hidden="false" customHeight="false" outlineLevel="0" collapsed="false">
      <c r="A585" s="68" t="n">
        <v>62</v>
      </c>
      <c r="B585" s="68" t="s">
        <v>558</v>
      </c>
      <c r="C585" s="68" t="s">
        <v>569</v>
      </c>
      <c r="D585" s="68" t="s">
        <v>923</v>
      </c>
      <c r="E585" s="68" t="s">
        <v>363</v>
      </c>
      <c r="F585" s="68" t="s">
        <v>363</v>
      </c>
      <c r="G585" s="68" t="s">
        <v>1755</v>
      </c>
      <c r="H585" s="68" t="s">
        <v>1367</v>
      </c>
    </row>
    <row r="586" customFormat="false" ht="15" hidden="false" customHeight="false" outlineLevel="0" collapsed="false">
      <c r="A586" s="68" t="n">
        <v>62</v>
      </c>
      <c r="B586" s="68" t="s">
        <v>558</v>
      </c>
      <c r="C586" s="68" t="s">
        <v>569</v>
      </c>
      <c r="D586" s="68" t="s">
        <v>1386</v>
      </c>
      <c r="E586" s="68" t="n">
        <v>10000</v>
      </c>
      <c r="F586" s="68" t="n">
        <v>10000</v>
      </c>
      <c r="G586" s="68" t="s">
        <v>1755</v>
      </c>
      <c r="H586" s="68" t="s">
        <v>1367</v>
      </c>
    </row>
    <row r="587" customFormat="false" ht="15" hidden="false" customHeight="false" outlineLevel="0" collapsed="false">
      <c r="A587" s="68" t="n">
        <v>63</v>
      </c>
      <c r="B587" s="68" t="s">
        <v>558</v>
      </c>
      <c r="C587" s="68" t="s">
        <v>572</v>
      </c>
      <c r="D587" s="68" t="s">
        <v>243</v>
      </c>
      <c r="E587" s="68" t="s">
        <v>496</v>
      </c>
      <c r="F587" s="68" t="s">
        <v>496</v>
      </c>
      <c r="G587" s="68" t="s">
        <v>1756</v>
      </c>
      <c r="H587" s="68" t="s">
        <v>1367</v>
      </c>
    </row>
    <row r="588" customFormat="false" ht="15" hidden="false" customHeight="false" outlineLevel="0" collapsed="false">
      <c r="A588" s="68" t="n">
        <v>63</v>
      </c>
      <c r="B588" s="68" t="s">
        <v>558</v>
      </c>
      <c r="C588" s="68" t="s">
        <v>572</v>
      </c>
      <c r="D588" s="68" t="s">
        <v>260</v>
      </c>
      <c r="E588" s="68" t="n">
        <v>2</v>
      </c>
      <c r="F588" s="68" t="n">
        <v>2</v>
      </c>
      <c r="G588" s="68" t="s">
        <v>1757</v>
      </c>
      <c r="H588" s="68" t="s">
        <v>1367</v>
      </c>
    </row>
    <row r="589" customFormat="false" ht="15" hidden="false" customHeight="false" outlineLevel="0" collapsed="false">
      <c r="A589" s="68" t="n">
        <v>63</v>
      </c>
      <c r="B589" s="68" t="s">
        <v>558</v>
      </c>
      <c r="C589" s="68" t="s">
        <v>572</v>
      </c>
      <c r="D589" s="68" t="s">
        <v>246</v>
      </c>
      <c r="E589" s="68" t="s">
        <v>132</v>
      </c>
      <c r="F589" s="68" t="s">
        <v>1576</v>
      </c>
      <c r="G589" s="68" t="s">
        <v>1758</v>
      </c>
      <c r="H589" s="68" t="s">
        <v>1367</v>
      </c>
    </row>
    <row r="590" customFormat="false" ht="15" hidden="false" customHeight="false" outlineLevel="0" collapsed="false">
      <c r="A590" s="68" t="n">
        <v>63</v>
      </c>
      <c r="B590" s="68" t="s">
        <v>558</v>
      </c>
      <c r="C590" s="68" t="s">
        <v>572</v>
      </c>
      <c r="D590" s="68" t="s">
        <v>261</v>
      </c>
      <c r="E590" s="68" t="s">
        <v>306</v>
      </c>
      <c r="F590" s="68" t="s">
        <v>1576</v>
      </c>
      <c r="G590" s="68" t="s">
        <v>1758</v>
      </c>
      <c r="H590" s="68" t="s">
        <v>1367</v>
      </c>
    </row>
    <row r="591" customFormat="false" ht="15" hidden="false" customHeight="false" outlineLevel="0" collapsed="false">
      <c r="A591" s="68" t="n">
        <v>63</v>
      </c>
      <c r="B591" s="68" t="s">
        <v>558</v>
      </c>
      <c r="C591" s="68" t="s">
        <v>572</v>
      </c>
      <c r="D591" s="68" t="s">
        <v>880</v>
      </c>
      <c r="E591" s="68" t="s">
        <v>115</v>
      </c>
      <c r="F591" s="68" t="s">
        <v>1612</v>
      </c>
      <c r="G591" s="68" t="s">
        <v>1759</v>
      </c>
      <c r="H591" s="68" t="s">
        <v>1367</v>
      </c>
    </row>
    <row r="592" customFormat="false" ht="15" hidden="false" customHeight="false" outlineLevel="0" collapsed="false">
      <c r="A592" s="68" t="n">
        <v>63</v>
      </c>
      <c r="B592" s="68" t="s">
        <v>558</v>
      </c>
      <c r="C592" s="68" t="s">
        <v>572</v>
      </c>
      <c r="D592" s="68" t="s">
        <v>248</v>
      </c>
      <c r="E592" s="68" t="n">
        <v>14.5</v>
      </c>
      <c r="F592" s="68" t="n">
        <v>14.5</v>
      </c>
      <c r="G592" s="68" t="s">
        <v>1760</v>
      </c>
      <c r="H592" s="68" t="s">
        <v>1367</v>
      </c>
    </row>
    <row r="593" customFormat="false" ht="15" hidden="false" customHeight="false" outlineLevel="0" collapsed="false">
      <c r="A593" s="68" t="n">
        <v>63</v>
      </c>
      <c r="B593" s="68" t="s">
        <v>558</v>
      </c>
      <c r="C593" s="68" t="s">
        <v>572</v>
      </c>
      <c r="D593" s="68" t="s">
        <v>249</v>
      </c>
      <c r="E593" s="68" t="n">
        <v>27.6</v>
      </c>
      <c r="F593" s="68" t="n">
        <v>27.6</v>
      </c>
      <c r="G593" s="68" t="s">
        <v>1761</v>
      </c>
      <c r="H593" s="68" t="s">
        <v>1367</v>
      </c>
    </row>
    <row r="594" customFormat="false" ht="15" hidden="false" customHeight="false" outlineLevel="0" collapsed="false">
      <c r="A594" s="68" t="n">
        <v>63</v>
      </c>
      <c r="B594" s="68" t="s">
        <v>558</v>
      </c>
      <c r="C594" s="68" t="s">
        <v>572</v>
      </c>
      <c r="D594" s="68" t="s">
        <v>262</v>
      </c>
      <c r="E594" s="68" t="n">
        <v>4</v>
      </c>
      <c r="F594" s="68" t="n">
        <v>4</v>
      </c>
      <c r="G594" s="68" t="s">
        <v>1762</v>
      </c>
      <c r="H594" s="68" t="s">
        <v>1367</v>
      </c>
    </row>
    <row r="595" customFormat="false" ht="15" hidden="false" customHeight="false" outlineLevel="0" collapsed="false">
      <c r="A595" s="68" t="n">
        <v>63</v>
      </c>
      <c r="B595" s="68" t="s">
        <v>558</v>
      </c>
      <c r="C595" s="68" t="s">
        <v>572</v>
      </c>
      <c r="D595" s="68" t="s">
        <v>1207</v>
      </c>
      <c r="E595" s="68" t="s">
        <v>369</v>
      </c>
      <c r="F595" s="68" t="s">
        <v>369</v>
      </c>
      <c r="G595" s="68" t="s">
        <v>1763</v>
      </c>
      <c r="H595" s="68" t="s">
        <v>1367</v>
      </c>
    </row>
    <row r="596" customFormat="false" ht="15" hidden="false" customHeight="false" outlineLevel="0" collapsed="false">
      <c r="A596" s="68" t="n">
        <v>63</v>
      </c>
      <c r="B596" s="68" t="s">
        <v>558</v>
      </c>
      <c r="C596" s="68" t="s">
        <v>572</v>
      </c>
      <c r="D596" s="68" t="s">
        <v>1584</v>
      </c>
      <c r="E596" s="68" t="s">
        <v>1585</v>
      </c>
      <c r="F596" s="68" t="s">
        <v>1586</v>
      </c>
      <c r="G596" s="68" t="s">
        <v>1764</v>
      </c>
      <c r="H596" s="68" t="s">
        <v>1367</v>
      </c>
    </row>
    <row r="597" customFormat="false" ht="15" hidden="false" customHeight="false" outlineLevel="0" collapsed="false">
      <c r="A597" s="68" t="n">
        <v>63</v>
      </c>
      <c r="B597" s="68" t="s">
        <v>558</v>
      </c>
      <c r="C597" s="68" t="s">
        <v>572</v>
      </c>
      <c r="D597" s="68" t="s">
        <v>258</v>
      </c>
      <c r="E597" s="68" t="s">
        <v>304</v>
      </c>
      <c r="F597" s="68" t="s">
        <v>1469</v>
      </c>
      <c r="G597" s="68"/>
      <c r="H597" s="85" t="s">
        <v>1369</v>
      </c>
    </row>
    <row r="598" customFormat="false" ht="15" hidden="false" customHeight="false" outlineLevel="0" collapsed="false">
      <c r="A598" s="68" t="n">
        <v>63</v>
      </c>
      <c r="B598" s="68" t="s">
        <v>558</v>
      </c>
      <c r="C598" s="68" t="s">
        <v>572</v>
      </c>
      <c r="D598" s="68" t="s">
        <v>923</v>
      </c>
      <c r="E598" s="68" t="s">
        <v>363</v>
      </c>
      <c r="F598" s="68" t="s">
        <v>363</v>
      </c>
      <c r="G598" s="68" t="s">
        <v>1765</v>
      </c>
      <c r="H598" s="68" t="s">
        <v>1367</v>
      </c>
    </row>
    <row r="599" customFormat="false" ht="15" hidden="false" customHeight="false" outlineLevel="0" collapsed="false">
      <c r="A599" s="68" t="n">
        <v>63</v>
      </c>
      <c r="B599" s="68" t="s">
        <v>558</v>
      </c>
      <c r="C599" s="68" t="s">
        <v>572</v>
      </c>
      <c r="D599" s="68" t="s">
        <v>1386</v>
      </c>
      <c r="E599" s="68" t="n">
        <v>35000</v>
      </c>
      <c r="F599" s="68" t="n">
        <v>35000</v>
      </c>
      <c r="G599" s="68" t="s">
        <v>1765</v>
      </c>
      <c r="H599" s="68" t="s">
        <v>1367</v>
      </c>
    </row>
    <row r="600" customFormat="false" ht="15" hidden="false" customHeight="false" outlineLevel="0" collapsed="false">
      <c r="A600" s="68" t="n">
        <v>64</v>
      </c>
      <c r="B600" s="68" t="s">
        <v>558</v>
      </c>
      <c r="C600" s="68" t="s">
        <v>575</v>
      </c>
      <c r="D600" s="68" t="s">
        <v>243</v>
      </c>
      <c r="E600" s="68" t="s">
        <v>500</v>
      </c>
      <c r="F600" s="68" t="s">
        <v>500</v>
      </c>
      <c r="G600" s="68" t="s">
        <v>1766</v>
      </c>
      <c r="H600" s="68" t="s">
        <v>1373</v>
      </c>
    </row>
    <row r="601" customFormat="false" ht="15" hidden="false" customHeight="false" outlineLevel="0" collapsed="false">
      <c r="A601" s="68" t="n">
        <v>64</v>
      </c>
      <c r="B601" s="68" t="s">
        <v>558</v>
      </c>
      <c r="C601" s="68" t="s">
        <v>575</v>
      </c>
      <c r="D601" s="68" t="s">
        <v>260</v>
      </c>
      <c r="E601" s="68" t="n">
        <v>2</v>
      </c>
      <c r="F601" s="68" t="n">
        <v>2</v>
      </c>
      <c r="G601" s="68" t="s">
        <v>1767</v>
      </c>
      <c r="H601" s="68" t="s">
        <v>1367</v>
      </c>
    </row>
    <row r="602" customFormat="false" ht="15" hidden="false" customHeight="false" outlineLevel="0" collapsed="false">
      <c r="A602" s="68" t="n">
        <v>64</v>
      </c>
      <c r="B602" s="68" t="s">
        <v>558</v>
      </c>
      <c r="C602" s="68" t="s">
        <v>575</v>
      </c>
      <c r="D602" s="68" t="s">
        <v>246</v>
      </c>
      <c r="E602" s="68" t="s">
        <v>153</v>
      </c>
      <c r="F602" s="68" t="s">
        <v>1621</v>
      </c>
      <c r="G602" s="68" t="s">
        <v>1768</v>
      </c>
      <c r="H602" s="68" t="s">
        <v>1367</v>
      </c>
    </row>
    <row r="603" customFormat="false" ht="15" hidden="false" customHeight="false" outlineLevel="0" collapsed="false">
      <c r="A603" s="68" t="n">
        <v>64</v>
      </c>
      <c r="B603" s="68" t="s">
        <v>558</v>
      </c>
      <c r="C603" s="68" t="s">
        <v>575</v>
      </c>
      <c r="D603" s="68" t="s">
        <v>261</v>
      </c>
      <c r="E603" s="68" t="s">
        <v>306</v>
      </c>
      <c r="F603" s="68" t="s">
        <v>1621</v>
      </c>
      <c r="G603" s="68" t="s">
        <v>1768</v>
      </c>
      <c r="H603" s="68" t="s">
        <v>1367</v>
      </c>
    </row>
    <row r="604" customFormat="false" ht="15" hidden="false" customHeight="false" outlineLevel="0" collapsed="false">
      <c r="A604" s="68" t="n">
        <v>64</v>
      </c>
      <c r="B604" s="68" t="s">
        <v>558</v>
      </c>
      <c r="C604" s="68" t="s">
        <v>575</v>
      </c>
      <c r="D604" s="68" t="s">
        <v>880</v>
      </c>
      <c r="E604" s="68" t="s">
        <v>115</v>
      </c>
      <c r="F604" s="68" t="s">
        <v>1612</v>
      </c>
      <c r="G604" s="68" t="s">
        <v>1769</v>
      </c>
      <c r="H604" s="68" t="s">
        <v>1367</v>
      </c>
    </row>
    <row r="605" customFormat="false" ht="15" hidden="false" customHeight="false" outlineLevel="0" collapsed="false">
      <c r="A605" s="68" t="n">
        <v>64</v>
      </c>
      <c r="B605" s="68" t="s">
        <v>558</v>
      </c>
      <c r="C605" s="68" t="s">
        <v>575</v>
      </c>
      <c r="D605" s="68" t="s">
        <v>248</v>
      </c>
      <c r="E605" s="68" t="n">
        <v>44</v>
      </c>
      <c r="F605" s="68" t="n">
        <v>44</v>
      </c>
      <c r="G605" s="68" t="s">
        <v>1770</v>
      </c>
      <c r="H605" s="68" t="s">
        <v>1367</v>
      </c>
    </row>
    <row r="606" customFormat="false" ht="15" hidden="false" customHeight="false" outlineLevel="0" collapsed="false">
      <c r="A606" s="68" t="n">
        <v>64</v>
      </c>
      <c r="B606" s="68" t="s">
        <v>558</v>
      </c>
      <c r="C606" s="68" t="s">
        <v>575</v>
      </c>
      <c r="D606" s="68" t="s">
        <v>249</v>
      </c>
      <c r="E606" s="68" t="n">
        <v>670</v>
      </c>
      <c r="F606" s="68" t="n">
        <v>670</v>
      </c>
      <c r="G606" s="68" t="s">
        <v>1771</v>
      </c>
      <c r="H606" s="68" t="s">
        <v>1367</v>
      </c>
    </row>
    <row r="607" customFormat="false" ht="15" hidden="false" customHeight="false" outlineLevel="0" collapsed="false">
      <c r="A607" s="68" t="n">
        <v>64</v>
      </c>
      <c r="B607" s="68" t="s">
        <v>558</v>
      </c>
      <c r="C607" s="68" t="s">
        <v>575</v>
      </c>
      <c r="D607" s="68" t="s">
        <v>262</v>
      </c>
      <c r="E607" s="68" t="n">
        <v>74.4</v>
      </c>
      <c r="F607" s="68" t="n">
        <v>74.4</v>
      </c>
      <c r="G607" s="68" t="s">
        <v>1772</v>
      </c>
      <c r="H607" s="68" t="s">
        <v>1367</v>
      </c>
    </row>
    <row r="608" customFormat="false" ht="15" hidden="false" customHeight="false" outlineLevel="0" collapsed="false">
      <c r="A608" s="68" t="n">
        <v>64</v>
      </c>
      <c r="B608" s="68" t="s">
        <v>558</v>
      </c>
      <c r="C608" s="68" t="s">
        <v>575</v>
      </c>
      <c r="D608" s="68" t="s">
        <v>1207</v>
      </c>
      <c r="E608" s="68" t="s">
        <v>369</v>
      </c>
      <c r="F608" s="68" t="s">
        <v>369</v>
      </c>
      <c r="G608" s="68" t="s">
        <v>1773</v>
      </c>
      <c r="H608" s="68" t="s">
        <v>1367</v>
      </c>
    </row>
    <row r="609" customFormat="false" ht="15" hidden="false" customHeight="false" outlineLevel="0" collapsed="false">
      <c r="A609" s="68" t="n">
        <v>64</v>
      </c>
      <c r="B609" s="68" t="s">
        <v>558</v>
      </c>
      <c r="C609" s="68" t="s">
        <v>575</v>
      </c>
      <c r="D609" s="68" t="s">
        <v>1584</v>
      </c>
      <c r="E609" s="68" t="s">
        <v>1585</v>
      </c>
      <c r="F609" s="68" t="s">
        <v>1586</v>
      </c>
      <c r="G609" s="68" t="s">
        <v>1774</v>
      </c>
      <c r="H609" s="68" t="s">
        <v>1367</v>
      </c>
    </row>
    <row r="610" customFormat="false" ht="15" hidden="false" customHeight="false" outlineLevel="0" collapsed="false">
      <c r="A610" s="68" t="n">
        <v>64</v>
      </c>
      <c r="B610" s="68" t="s">
        <v>558</v>
      </c>
      <c r="C610" s="68" t="s">
        <v>575</v>
      </c>
      <c r="D610" s="68" t="s">
        <v>258</v>
      </c>
      <c r="E610" s="68" t="s">
        <v>304</v>
      </c>
      <c r="F610" s="68" t="s">
        <v>1469</v>
      </c>
      <c r="G610" s="68"/>
      <c r="H610" s="85" t="s">
        <v>1369</v>
      </c>
    </row>
    <row r="611" customFormat="false" ht="15" hidden="false" customHeight="false" outlineLevel="0" collapsed="false">
      <c r="A611" s="68" t="n">
        <v>64</v>
      </c>
      <c r="B611" s="68" t="s">
        <v>558</v>
      </c>
      <c r="C611" s="68" t="s">
        <v>575</v>
      </c>
      <c r="D611" s="68" t="s">
        <v>923</v>
      </c>
      <c r="E611" s="68" t="s">
        <v>363</v>
      </c>
      <c r="F611" s="68" t="s">
        <v>363</v>
      </c>
      <c r="G611" s="68" t="s">
        <v>1775</v>
      </c>
      <c r="H611" s="68" t="s">
        <v>1367</v>
      </c>
    </row>
    <row r="612" customFormat="false" ht="15" hidden="false" customHeight="false" outlineLevel="0" collapsed="false">
      <c r="A612" s="68" t="n">
        <v>64</v>
      </c>
      <c r="B612" s="68" t="s">
        <v>558</v>
      </c>
      <c r="C612" s="68" t="s">
        <v>575</v>
      </c>
      <c r="D612" s="68" t="s">
        <v>1386</v>
      </c>
      <c r="E612" s="68" t="n">
        <v>230000</v>
      </c>
      <c r="F612" s="68" t="n">
        <v>230000</v>
      </c>
      <c r="G612" s="68" t="s">
        <v>1775</v>
      </c>
      <c r="H612" s="68" t="s">
        <v>1367</v>
      </c>
    </row>
    <row r="613" customFormat="false" ht="15" hidden="false" customHeight="false" outlineLevel="0" collapsed="false">
      <c r="A613" s="68" t="n">
        <v>65</v>
      </c>
      <c r="B613" s="68" t="s">
        <v>558</v>
      </c>
      <c r="C613" s="68" t="s">
        <v>578</v>
      </c>
      <c r="D613" s="68" t="s">
        <v>243</v>
      </c>
      <c r="E613" s="68" t="s">
        <v>504</v>
      </c>
      <c r="F613" s="68" t="s">
        <v>504</v>
      </c>
      <c r="G613" s="68" t="s">
        <v>1776</v>
      </c>
      <c r="H613" s="68" t="s">
        <v>1373</v>
      </c>
    </row>
    <row r="614" customFormat="false" ht="15" hidden="false" customHeight="false" outlineLevel="0" collapsed="false">
      <c r="A614" s="68" t="n">
        <v>65</v>
      </c>
      <c r="B614" s="68" t="s">
        <v>558</v>
      </c>
      <c r="C614" s="68" t="s">
        <v>578</v>
      </c>
      <c r="D614" s="68" t="s">
        <v>260</v>
      </c>
      <c r="E614" s="68" t="n">
        <v>2</v>
      </c>
      <c r="F614" s="68" t="n">
        <v>2</v>
      </c>
      <c r="G614" s="68" t="s">
        <v>1777</v>
      </c>
      <c r="H614" s="68" t="s">
        <v>1367</v>
      </c>
    </row>
    <row r="615" customFormat="false" ht="15" hidden="false" customHeight="false" outlineLevel="0" collapsed="false">
      <c r="A615" s="68" t="n">
        <v>65</v>
      </c>
      <c r="B615" s="68" t="s">
        <v>558</v>
      </c>
      <c r="C615" s="68" t="s">
        <v>578</v>
      </c>
      <c r="D615" s="68" t="s">
        <v>246</v>
      </c>
      <c r="E615" s="68" t="s">
        <v>153</v>
      </c>
      <c r="F615" s="68" t="s">
        <v>1621</v>
      </c>
      <c r="G615" s="68" t="s">
        <v>1778</v>
      </c>
      <c r="H615" s="68" t="s">
        <v>1367</v>
      </c>
    </row>
    <row r="616" customFormat="false" ht="15" hidden="false" customHeight="false" outlineLevel="0" collapsed="false">
      <c r="A616" s="68" t="n">
        <v>65</v>
      </c>
      <c r="B616" s="68" t="s">
        <v>558</v>
      </c>
      <c r="C616" s="68" t="s">
        <v>578</v>
      </c>
      <c r="D616" s="68" t="s">
        <v>261</v>
      </c>
      <c r="E616" s="68" t="s">
        <v>306</v>
      </c>
      <c r="F616" s="68" t="s">
        <v>1621</v>
      </c>
      <c r="G616" s="68" t="s">
        <v>1778</v>
      </c>
      <c r="H616" s="68" t="s">
        <v>1367</v>
      </c>
    </row>
    <row r="617" customFormat="false" ht="15" hidden="false" customHeight="false" outlineLevel="0" collapsed="false">
      <c r="A617" s="68" t="n">
        <v>65</v>
      </c>
      <c r="B617" s="68" t="s">
        <v>558</v>
      </c>
      <c r="C617" s="68" t="s">
        <v>578</v>
      </c>
      <c r="D617" s="68" t="s">
        <v>880</v>
      </c>
      <c r="E617" s="68" t="s">
        <v>115</v>
      </c>
      <c r="F617" s="68" t="s">
        <v>1612</v>
      </c>
      <c r="G617" s="68" t="s">
        <v>1779</v>
      </c>
      <c r="H617" s="68" t="s">
        <v>1367</v>
      </c>
    </row>
    <row r="618" customFormat="false" ht="15" hidden="false" customHeight="false" outlineLevel="0" collapsed="false">
      <c r="A618" s="68" t="n">
        <v>65</v>
      </c>
      <c r="B618" s="68" t="s">
        <v>558</v>
      </c>
      <c r="C618" s="68" t="s">
        <v>578</v>
      </c>
      <c r="D618" s="68" t="s">
        <v>248</v>
      </c>
      <c r="E618" s="68" t="n">
        <v>22</v>
      </c>
      <c r="F618" s="68" t="n">
        <v>22</v>
      </c>
      <c r="G618" s="68" t="s">
        <v>1780</v>
      </c>
      <c r="H618" s="68" t="s">
        <v>1367</v>
      </c>
    </row>
    <row r="619" customFormat="false" ht="15" hidden="false" customHeight="false" outlineLevel="0" collapsed="false">
      <c r="A619" s="68" t="n">
        <v>65</v>
      </c>
      <c r="B619" s="68" t="s">
        <v>558</v>
      </c>
      <c r="C619" s="68" t="s">
        <v>578</v>
      </c>
      <c r="D619" s="68" t="s">
        <v>249</v>
      </c>
      <c r="E619" s="68" t="n">
        <v>331</v>
      </c>
      <c r="F619" s="68" t="n">
        <v>331</v>
      </c>
      <c r="G619" s="68" t="s">
        <v>1781</v>
      </c>
      <c r="H619" s="68" t="s">
        <v>1367</v>
      </c>
    </row>
    <row r="620" customFormat="false" ht="15" hidden="false" customHeight="false" outlineLevel="0" collapsed="false">
      <c r="A620" s="68" t="n">
        <v>65</v>
      </c>
      <c r="B620" s="68" t="s">
        <v>558</v>
      </c>
      <c r="C620" s="68" t="s">
        <v>578</v>
      </c>
      <c r="D620" s="68" t="s">
        <v>262</v>
      </c>
      <c r="E620" s="68" t="n">
        <v>37.4</v>
      </c>
      <c r="F620" s="68" t="n">
        <v>37.4</v>
      </c>
      <c r="G620" s="68" t="s">
        <v>1782</v>
      </c>
      <c r="H620" s="68" t="s">
        <v>1367</v>
      </c>
    </row>
    <row r="621" customFormat="false" ht="15" hidden="false" customHeight="false" outlineLevel="0" collapsed="false">
      <c r="A621" s="68" t="n">
        <v>65</v>
      </c>
      <c r="B621" s="68" t="s">
        <v>558</v>
      </c>
      <c r="C621" s="68" t="s">
        <v>578</v>
      </c>
      <c r="D621" s="68" t="s">
        <v>1207</v>
      </c>
      <c r="E621" s="68" t="s">
        <v>369</v>
      </c>
      <c r="F621" s="68" t="s">
        <v>369</v>
      </c>
      <c r="G621" s="68" t="s">
        <v>1783</v>
      </c>
      <c r="H621" s="68" t="s">
        <v>1367</v>
      </c>
    </row>
    <row r="622" customFormat="false" ht="15" hidden="false" customHeight="false" outlineLevel="0" collapsed="false">
      <c r="A622" s="68" t="n">
        <v>65</v>
      </c>
      <c r="B622" s="68" t="s">
        <v>558</v>
      </c>
      <c r="C622" s="68" t="s">
        <v>578</v>
      </c>
      <c r="D622" s="68" t="s">
        <v>1584</v>
      </c>
      <c r="E622" s="68" t="s">
        <v>1585</v>
      </c>
      <c r="F622" s="68" t="s">
        <v>1586</v>
      </c>
      <c r="G622" s="68" t="s">
        <v>1784</v>
      </c>
      <c r="H622" s="68" t="s">
        <v>1367</v>
      </c>
    </row>
    <row r="623" customFormat="false" ht="15" hidden="false" customHeight="false" outlineLevel="0" collapsed="false">
      <c r="A623" s="68" t="n">
        <v>65</v>
      </c>
      <c r="B623" s="68" t="s">
        <v>558</v>
      </c>
      <c r="C623" s="68" t="s">
        <v>578</v>
      </c>
      <c r="D623" s="68" t="s">
        <v>258</v>
      </c>
      <c r="E623" s="68" t="s">
        <v>304</v>
      </c>
      <c r="F623" s="68" t="s">
        <v>1469</v>
      </c>
      <c r="G623" s="68"/>
      <c r="H623" s="85" t="s">
        <v>1369</v>
      </c>
    </row>
    <row r="624" customFormat="false" ht="15" hidden="false" customHeight="false" outlineLevel="0" collapsed="false">
      <c r="A624" s="68" t="n">
        <v>65</v>
      </c>
      <c r="B624" s="68" t="s">
        <v>558</v>
      </c>
      <c r="C624" s="68" t="s">
        <v>578</v>
      </c>
      <c r="D624" s="68" t="s">
        <v>923</v>
      </c>
      <c r="E624" s="68" t="s">
        <v>363</v>
      </c>
      <c r="F624" s="68" t="s">
        <v>363</v>
      </c>
      <c r="G624" s="68" t="s">
        <v>1785</v>
      </c>
      <c r="H624" s="68" t="s">
        <v>1367</v>
      </c>
    </row>
    <row r="625" customFormat="false" ht="15" hidden="false" customHeight="false" outlineLevel="0" collapsed="false">
      <c r="A625" s="68" t="n">
        <v>65</v>
      </c>
      <c r="B625" s="68" t="s">
        <v>558</v>
      </c>
      <c r="C625" s="68" t="s">
        <v>578</v>
      </c>
      <c r="D625" s="68" t="s">
        <v>1386</v>
      </c>
      <c r="E625" s="68" t="n">
        <v>160000</v>
      </c>
      <c r="F625" s="68" t="n">
        <v>160000</v>
      </c>
      <c r="G625" s="68" t="s">
        <v>1785</v>
      </c>
      <c r="H625" s="68" t="s">
        <v>1367</v>
      </c>
    </row>
    <row r="626" customFormat="false" ht="15" hidden="false" customHeight="false" outlineLevel="0" collapsed="false">
      <c r="A626" s="68" t="n">
        <v>66</v>
      </c>
      <c r="B626" s="68" t="s">
        <v>558</v>
      </c>
      <c r="C626" s="68" t="s">
        <v>581</v>
      </c>
      <c r="D626" s="68" t="s">
        <v>243</v>
      </c>
      <c r="E626" s="68" t="s">
        <v>508</v>
      </c>
      <c r="F626" s="68" t="s">
        <v>508</v>
      </c>
      <c r="G626" s="68" t="s">
        <v>1786</v>
      </c>
      <c r="H626" s="68" t="s">
        <v>1367</v>
      </c>
    </row>
    <row r="627" customFormat="false" ht="15" hidden="false" customHeight="false" outlineLevel="0" collapsed="false">
      <c r="A627" s="68" t="n">
        <v>66</v>
      </c>
      <c r="B627" s="68" t="s">
        <v>558</v>
      </c>
      <c r="C627" s="68" t="s">
        <v>581</v>
      </c>
      <c r="D627" s="68" t="s">
        <v>260</v>
      </c>
      <c r="E627" s="68" t="n">
        <v>2</v>
      </c>
      <c r="F627" s="68" t="n">
        <v>2</v>
      </c>
      <c r="G627" s="68" t="s">
        <v>1787</v>
      </c>
      <c r="H627" s="68" t="s">
        <v>1367</v>
      </c>
    </row>
    <row r="628" customFormat="false" ht="15" hidden="false" customHeight="false" outlineLevel="0" collapsed="false">
      <c r="A628" s="68" t="n">
        <v>66</v>
      </c>
      <c r="B628" s="68" t="s">
        <v>558</v>
      </c>
      <c r="C628" s="68" t="s">
        <v>581</v>
      </c>
      <c r="D628" s="68" t="s">
        <v>246</v>
      </c>
      <c r="E628" s="68" t="s">
        <v>132</v>
      </c>
      <c r="F628" s="68" t="s">
        <v>1576</v>
      </c>
      <c r="G628" s="68" t="s">
        <v>1788</v>
      </c>
      <c r="H628" s="68" t="s">
        <v>1367</v>
      </c>
    </row>
    <row r="629" customFormat="false" ht="15" hidden="false" customHeight="false" outlineLevel="0" collapsed="false">
      <c r="A629" s="68" t="n">
        <v>66</v>
      </c>
      <c r="B629" s="68" t="s">
        <v>558</v>
      </c>
      <c r="C629" s="68" t="s">
        <v>581</v>
      </c>
      <c r="D629" s="68" t="s">
        <v>261</v>
      </c>
      <c r="E629" s="68" t="s">
        <v>306</v>
      </c>
      <c r="F629" s="68" t="s">
        <v>1576</v>
      </c>
      <c r="G629" s="68" t="s">
        <v>1788</v>
      </c>
      <c r="H629" s="68" t="s">
        <v>1367</v>
      </c>
    </row>
    <row r="630" customFormat="false" ht="15" hidden="false" customHeight="false" outlineLevel="0" collapsed="false">
      <c r="A630" s="68" t="n">
        <v>66</v>
      </c>
      <c r="B630" s="68" t="s">
        <v>558</v>
      </c>
      <c r="C630" s="68" t="s">
        <v>581</v>
      </c>
      <c r="D630" s="68" t="s">
        <v>880</v>
      </c>
      <c r="E630" s="68" t="s">
        <v>87</v>
      </c>
      <c r="F630" s="68" t="s">
        <v>1641</v>
      </c>
      <c r="G630" s="68" t="s">
        <v>1789</v>
      </c>
      <c r="H630" s="68" t="s">
        <v>1367</v>
      </c>
    </row>
    <row r="631" customFormat="false" ht="15" hidden="false" customHeight="false" outlineLevel="0" collapsed="false">
      <c r="A631" s="68" t="n">
        <v>66</v>
      </c>
      <c r="B631" s="68" t="s">
        <v>558</v>
      </c>
      <c r="C631" s="68" t="s">
        <v>581</v>
      </c>
      <c r="D631" s="68" t="s">
        <v>248</v>
      </c>
      <c r="E631" s="68" t="n">
        <v>19</v>
      </c>
      <c r="F631" s="68" t="n">
        <v>19</v>
      </c>
      <c r="G631" s="68" t="s">
        <v>1790</v>
      </c>
      <c r="H631" s="68" t="s">
        <v>1367</v>
      </c>
    </row>
    <row r="632" customFormat="false" ht="15" hidden="false" customHeight="false" outlineLevel="0" collapsed="false">
      <c r="A632" s="68" t="n">
        <v>66</v>
      </c>
      <c r="B632" s="68" t="s">
        <v>558</v>
      </c>
      <c r="C632" s="68" t="s">
        <v>581</v>
      </c>
      <c r="D632" s="68" t="s">
        <v>249</v>
      </c>
      <c r="E632" s="68" t="n">
        <v>168</v>
      </c>
      <c r="F632" s="68" t="n">
        <v>168</v>
      </c>
      <c r="G632" s="68" t="s">
        <v>1791</v>
      </c>
      <c r="H632" s="68" t="s">
        <v>1367</v>
      </c>
    </row>
    <row r="633" customFormat="false" ht="15" hidden="false" customHeight="false" outlineLevel="0" collapsed="false">
      <c r="A633" s="68" t="n">
        <v>66</v>
      </c>
      <c r="B633" s="68" t="s">
        <v>558</v>
      </c>
      <c r="C633" s="68" t="s">
        <v>581</v>
      </c>
      <c r="D633" s="68" t="s">
        <v>262</v>
      </c>
      <c r="E633" s="68" t="n">
        <v>17.8</v>
      </c>
      <c r="F633" s="68" t="n">
        <v>17.8</v>
      </c>
      <c r="G633" s="68" t="s">
        <v>1792</v>
      </c>
      <c r="H633" s="68" t="s">
        <v>1367</v>
      </c>
    </row>
    <row r="634" customFormat="false" ht="15" hidden="false" customHeight="false" outlineLevel="0" collapsed="false">
      <c r="A634" s="68" t="n">
        <v>66</v>
      </c>
      <c r="B634" s="68" t="s">
        <v>558</v>
      </c>
      <c r="C634" s="68" t="s">
        <v>581</v>
      </c>
      <c r="D634" s="68" t="s">
        <v>1207</v>
      </c>
      <c r="E634" s="68" t="s">
        <v>312</v>
      </c>
      <c r="F634" s="68" t="s">
        <v>1583</v>
      </c>
      <c r="G634" s="68"/>
      <c r="H634" s="85" t="s">
        <v>1369</v>
      </c>
    </row>
    <row r="635" customFormat="false" ht="15" hidden="false" customHeight="false" outlineLevel="0" collapsed="false">
      <c r="A635" s="68" t="n">
        <v>66</v>
      </c>
      <c r="B635" s="68" t="s">
        <v>558</v>
      </c>
      <c r="C635" s="68" t="s">
        <v>581</v>
      </c>
      <c r="D635" s="68" t="s">
        <v>1584</v>
      </c>
      <c r="E635" s="68" t="s">
        <v>1585</v>
      </c>
      <c r="F635" s="68" t="s">
        <v>1586</v>
      </c>
      <c r="G635" s="68" t="s">
        <v>1793</v>
      </c>
      <c r="H635" s="68" t="s">
        <v>1367</v>
      </c>
    </row>
    <row r="636" customFormat="false" ht="15" hidden="false" customHeight="false" outlineLevel="0" collapsed="false">
      <c r="A636" s="68" t="n">
        <v>66</v>
      </c>
      <c r="B636" s="68" t="s">
        <v>558</v>
      </c>
      <c r="C636" s="68" t="s">
        <v>581</v>
      </c>
      <c r="D636" s="68" t="s">
        <v>258</v>
      </c>
      <c r="E636" s="68" t="s">
        <v>304</v>
      </c>
      <c r="F636" s="68" t="s">
        <v>1469</v>
      </c>
      <c r="G636" s="68"/>
      <c r="H636" s="85" t="s">
        <v>1369</v>
      </c>
    </row>
    <row r="637" customFormat="false" ht="15" hidden="false" customHeight="false" outlineLevel="0" collapsed="false">
      <c r="A637" s="68" t="n">
        <v>66</v>
      </c>
      <c r="B637" s="68" t="s">
        <v>558</v>
      </c>
      <c r="C637" s="68" t="s">
        <v>581</v>
      </c>
      <c r="D637" s="68" t="s">
        <v>923</v>
      </c>
      <c r="E637" s="68" t="s">
        <v>363</v>
      </c>
      <c r="F637" s="68" t="s">
        <v>363</v>
      </c>
      <c r="G637" s="68" t="s">
        <v>1794</v>
      </c>
      <c r="H637" s="68" t="s">
        <v>1367</v>
      </c>
    </row>
    <row r="638" customFormat="false" ht="15" hidden="false" customHeight="false" outlineLevel="0" collapsed="false">
      <c r="A638" s="68" t="n">
        <v>66</v>
      </c>
      <c r="B638" s="68" t="s">
        <v>558</v>
      </c>
      <c r="C638" s="68" t="s">
        <v>581</v>
      </c>
      <c r="D638" s="68" t="s">
        <v>1386</v>
      </c>
      <c r="E638" s="68" t="n">
        <v>16500</v>
      </c>
      <c r="F638" s="68" t="n">
        <v>16500</v>
      </c>
      <c r="G638" s="68" t="s">
        <v>1794</v>
      </c>
      <c r="H638" s="68" t="s">
        <v>1367</v>
      </c>
    </row>
    <row r="639" customFormat="false" ht="15" hidden="false" customHeight="false" outlineLevel="0" collapsed="false">
      <c r="A639" s="68" t="n">
        <v>67</v>
      </c>
      <c r="B639" s="68" t="s">
        <v>558</v>
      </c>
      <c r="C639" s="68" t="s">
        <v>584</v>
      </c>
      <c r="D639" s="68" t="s">
        <v>243</v>
      </c>
      <c r="E639" s="68" t="s">
        <v>512</v>
      </c>
      <c r="F639" s="68" t="s">
        <v>512</v>
      </c>
      <c r="G639" s="68" t="s">
        <v>1795</v>
      </c>
      <c r="H639" s="68" t="s">
        <v>1367</v>
      </c>
    </row>
    <row r="640" customFormat="false" ht="15" hidden="false" customHeight="false" outlineLevel="0" collapsed="false">
      <c r="A640" s="68" t="n">
        <v>67</v>
      </c>
      <c r="B640" s="68" t="s">
        <v>558</v>
      </c>
      <c r="C640" s="68" t="s">
        <v>584</v>
      </c>
      <c r="D640" s="68" t="s">
        <v>260</v>
      </c>
      <c r="E640" s="68" t="n">
        <v>1</v>
      </c>
      <c r="F640" s="68" t="n">
        <v>1</v>
      </c>
      <c r="G640" s="68" t="s">
        <v>1796</v>
      </c>
      <c r="H640" s="68" t="s">
        <v>1367</v>
      </c>
    </row>
    <row r="641" customFormat="false" ht="15" hidden="false" customHeight="false" outlineLevel="0" collapsed="false">
      <c r="A641" s="68" t="n">
        <v>67</v>
      </c>
      <c r="B641" s="68" t="s">
        <v>558</v>
      </c>
      <c r="C641" s="68" t="s">
        <v>584</v>
      </c>
      <c r="D641" s="68" t="s">
        <v>246</v>
      </c>
      <c r="E641" s="68" t="s">
        <v>132</v>
      </c>
      <c r="F641" s="68" t="s">
        <v>1576</v>
      </c>
      <c r="G641" s="68" t="s">
        <v>1797</v>
      </c>
      <c r="H641" s="68" t="s">
        <v>1367</v>
      </c>
    </row>
    <row r="642" customFormat="false" ht="15" hidden="false" customHeight="false" outlineLevel="0" collapsed="false">
      <c r="A642" s="68" t="n">
        <v>67</v>
      </c>
      <c r="B642" s="68" t="s">
        <v>558</v>
      </c>
      <c r="C642" s="68" t="s">
        <v>584</v>
      </c>
      <c r="D642" s="68" t="s">
        <v>261</v>
      </c>
      <c r="E642" s="68" t="s">
        <v>306</v>
      </c>
      <c r="F642" s="68" t="s">
        <v>1576</v>
      </c>
      <c r="G642" s="68" t="s">
        <v>1797</v>
      </c>
      <c r="H642" s="68" t="s">
        <v>1367</v>
      </c>
    </row>
    <row r="643" customFormat="false" ht="15" hidden="false" customHeight="false" outlineLevel="0" collapsed="false">
      <c r="A643" s="68" t="n">
        <v>67</v>
      </c>
      <c r="B643" s="68" t="s">
        <v>558</v>
      </c>
      <c r="C643" s="68" t="s">
        <v>584</v>
      </c>
      <c r="D643" s="68" t="s">
        <v>880</v>
      </c>
      <c r="E643" s="68" t="s">
        <v>87</v>
      </c>
      <c r="F643" s="68" t="s">
        <v>1641</v>
      </c>
      <c r="G643" s="68" t="s">
        <v>1798</v>
      </c>
      <c r="H643" s="68" t="s">
        <v>1367</v>
      </c>
    </row>
    <row r="644" customFormat="false" ht="15" hidden="false" customHeight="false" outlineLevel="0" collapsed="false">
      <c r="A644" s="68" t="n">
        <v>67</v>
      </c>
      <c r="B644" s="68" t="s">
        <v>558</v>
      </c>
      <c r="C644" s="68" t="s">
        <v>584</v>
      </c>
      <c r="D644" s="68" t="s">
        <v>248</v>
      </c>
      <c r="E644" s="68" t="n">
        <v>33</v>
      </c>
      <c r="F644" s="68" t="n">
        <v>33</v>
      </c>
      <c r="G644" s="68" t="s">
        <v>1799</v>
      </c>
      <c r="H644" s="68" t="s">
        <v>1367</v>
      </c>
    </row>
    <row r="645" customFormat="false" ht="15" hidden="false" customHeight="false" outlineLevel="0" collapsed="false">
      <c r="A645" s="68" t="n">
        <v>67</v>
      </c>
      <c r="B645" s="68" t="s">
        <v>558</v>
      </c>
      <c r="C645" s="68" t="s">
        <v>584</v>
      </c>
      <c r="D645" s="68" t="s">
        <v>249</v>
      </c>
      <c r="E645" s="68" t="n">
        <v>168</v>
      </c>
      <c r="F645" s="68" t="n">
        <v>168</v>
      </c>
      <c r="G645" s="68" t="s">
        <v>1800</v>
      </c>
      <c r="H645" s="68" t="s">
        <v>1367</v>
      </c>
    </row>
    <row r="646" customFormat="false" ht="15" hidden="false" customHeight="false" outlineLevel="0" collapsed="false">
      <c r="A646" s="68" t="n">
        <v>67</v>
      </c>
      <c r="B646" s="68" t="s">
        <v>558</v>
      </c>
      <c r="C646" s="68" t="s">
        <v>584</v>
      </c>
      <c r="D646" s="68" t="s">
        <v>262</v>
      </c>
      <c r="E646" s="68" t="n">
        <v>17.8</v>
      </c>
      <c r="F646" s="68" t="n">
        <v>17.8</v>
      </c>
      <c r="G646" s="68" t="s">
        <v>1801</v>
      </c>
      <c r="H646" s="68" t="s">
        <v>1367</v>
      </c>
    </row>
    <row r="647" customFormat="false" ht="15" hidden="false" customHeight="false" outlineLevel="0" collapsed="false">
      <c r="A647" s="68" t="n">
        <v>67</v>
      </c>
      <c r="B647" s="68" t="s">
        <v>558</v>
      </c>
      <c r="C647" s="68" t="s">
        <v>584</v>
      </c>
      <c r="D647" s="68" t="s">
        <v>1207</v>
      </c>
      <c r="E647" s="68" t="s">
        <v>312</v>
      </c>
      <c r="F647" s="68" t="s">
        <v>1583</v>
      </c>
      <c r="G647" s="68"/>
      <c r="H647" s="85" t="s">
        <v>1369</v>
      </c>
    </row>
    <row r="648" customFormat="false" ht="15" hidden="false" customHeight="false" outlineLevel="0" collapsed="false">
      <c r="A648" s="68" t="n">
        <v>67</v>
      </c>
      <c r="B648" s="68" t="s">
        <v>558</v>
      </c>
      <c r="C648" s="68" t="s">
        <v>584</v>
      </c>
      <c r="D648" s="68" t="s">
        <v>1584</v>
      </c>
      <c r="E648" s="68" t="s">
        <v>1585</v>
      </c>
      <c r="F648" s="68" t="s">
        <v>1586</v>
      </c>
      <c r="G648" s="68" t="s">
        <v>1802</v>
      </c>
      <c r="H648" s="68" t="s">
        <v>1367</v>
      </c>
    </row>
    <row r="649" customFormat="false" ht="15" hidden="false" customHeight="false" outlineLevel="0" collapsed="false">
      <c r="A649" s="68" t="n">
        <v>67</v>
      </c>
      <c r="B649" s="68" t="s">
        <v>558</v>
      </c>
      <c r="C649" s="68" t="s">
        <v>584</v>
      </c>
      <c r="D649" s="68" t="s">
        <v>258</v>
      </c>
      <c r="E649" s="68" t="s">
        <v>304</v>
      </c>
      <c r="F649" s="68" t="s">
        <v>1469</v>
      </c>
      <c r="G649" s="68"/>
      <c r="H649" s="85" t="s">
        <v>1369</v>
      </c>
    </row>
    <row r="650" customFormat="false" ht="15" hidden="false" customHeight="false" outlineLevel="0" collapsed="false">
      <c r="A650" s="68" t="n">
        <v>67</v>
      </c>
      <c r="B650" s="68" t="s">
        <v>558</v>
      </c>
      <c r="C650" s="68" t="s">
        <v>584</v>
      </c>
      <c r="D650" s="68" t="s">
        <v>923</v>
      </c>
      <c r="E650" s="68" t="s">
        <v>363</v>
      </c>
      <c r="F650" s="68" t="s">
        <v>363</v>
      </c>
      <c r="G650" s="68" t="s">
        <v>1803</v>
      </c>
      <c r="H650" s="68" t="s">
        <v>1367</v>
      </c>
    </row>
    <row r="651" customFormat="false" ht="15" hidden="false" customHeight="false" outlineLevel="0" collapsed="false">
      <c r="A651" s="68" t="n">
        <v>67</v>
      </c>
      <c r="B651" s="68" t="s">
        <v>558</v>
      </c>
      <c r="C651" s="68" t="s">
        <v>584</v>
      </c>
      <c r="D651" s="68" t="s">
        <v>1386</v>
      </c>
      <c r="E651" s="68" t="n">
        <v>17500</v>
      </c>
      <c r="F651" s="68" t="n">
        <v>17500</v>
      </c>
      <c r="G651" s="68" t="s">
        <v>1803</v>
      </c>
      <c r="H651" s="68" t="s">
        <v>1367</v>
      </c>
    </row>
    <row r="652" customFormat="false" ht="15" hidden="false" customHeight="false" outlineLevel="0" collapsed="false">
      <c r="A652" s="68" t="n">
        <v>68</v>
      </c>
      <c r="B652" s="68" t="s">
        <v>558</v>
      </c>
      <c r="C652" s="68" t="s">
        <v>587</v>
      </c>
      <c r="D652" s="68" t="s">
        <v>243</v>
      </c>
      <c r="E652" s="68" t="s">
        <v>516</v>
      </c>
      <c r="F652" s="68" t="s">
        <v>516</v>
      </c>
      <c r="G652" s="68" t="s">
        <v>1804</v>
      </c>
      <c r="H652" s="68" t="s">
        <v>1367</v>
      </c>
    </row>
    <row r="653" customFormat="false" ht="15" hidden="false" customHeight="false" outlineLevel="0" collapsed="false">
      <c r="A653" s="68" t="n">
        <v>68</v>
      </c>
      <c r="B653" s="68" t="s">
        <v>558</v>
      </c>
      <c r="C653" s="68" t="s">
        <v>587</v>
      </c>
      <c r="D653" s="68" t="s">
        <v>260</v>
      </c>
      <c r="E653" s="68" t="n">
        <v>2</v>
      </c>
      <c r="F653" s="68" t="n">
        <v>2</v>
      </c>
      <c r="G653" s="68" t="s">
        <v>1805</v>
      </c>
      <c r="H653" s="68" t="s">
        <v>1367</v>
      </c>
    </row>
    <row r="654" customFormat="false" ht="15" hidden="false" customHeight="false" outlineLevel="0" collapsed="false">
      <c r="A654" s="68" t="n">
        <v>68</v>
      </c>
      <c r="B654" s="68" t="s">
        <v>558</v>
      </c>
      <c r="C654" s="68" t="s">
        <v>587</v>
      </c>
      <c r="D654" s="68" t="s">
        <v>246</v>
      </c>
      <c r="E654" s="68" t="s">
        <v>132</v>
      </c>
      <c r="F654" s="68" t="s">
        <v>1576</v>
      </c>
      <c r="G654" s="68" t="s">
        <v>1806</v>
      </c>
      <c r="H654" s="68" t="s">
        <v>1367</v>
      </c>
    </row>
    <row r="655" customFormat="false" ht="15" hidden="false" customHeight="false" outlineLevel="0" collapsed="false">
      <c r="A655" s="68" t="n">
        <v>68</v>
      </c>
      <c r="B655" s="68" t="s">
        <v>558</v>
      </c>
      <c r="C655" s="68" t="s">
        <v>587</v>
      </c>
      <c r="D655" s="68" t="s">
        <v>261</v>
      </c>
      <c r="E655" s="68" t="s">
        <v>306</v>
      </c>
      <c r="F655" s="68" t="s">
        <v>1576</v>
      </c>
      <c r="G655" s="68" t="s">
        <v>1806</v>
      </c>
      <c r="H655" s="68" t="s">
        <v>1367</v>
      </c>
    </row>
    <row r="656" customFormat="false" ht="15" hidden="false" customHeight="false" outlineLevel="0" collapsed="false">
      <c r="A656" s="68" t="n">
        <v>68</v>
      </c>
      <c r="B656" s="68" t="s">
        <v>558</v>
      </c>
      <c r="C656" s="68" t="s">
        <v>587</v>
      </c>
      <c r="D656" s="68" t="s">
        <v>880</v>
      </c>
      <c r="E656" s="68" t="s">
        <v>90</v>
      </c>
      <c r="F656" s="68" t="s">
        <v>1660</v>
      </c>
      <c r="G656" s="68" t="s">
        <v>1807</v>
      </c>
      <c r="H656" s="68" t="s">
        <v>1367</v>
      </c>
    </row>
    <row r="657" customFormat="false" ht="15" hidden="false" customHeight="false" outlineLevel="0" collapsed="false">
      <c r="A657" s="68" t="n">
        <v>68</v>
      </c>
      <c r="B657" s="68" t="s">
        <v>558</v>
      </c>
      <c r="C657" s="68" t="s">
        <v>587</v>
      </c>
      <c r="D657" s="68" t="s">
        <v>248</v>
      </c>
      <c r="E657" s="68" t="n">
        <v>15</v>
      </c>
      <c r="F657" s="68" t="n">
        <v>15</v>
      </c>
      <c r="G657" s="68" t="s">
        <v>1808</v>
      </c>
      <c r="H657" s="68" t="s">
        <v>1367</v>
      </c>
    </row>
    <row r="658" customFormat="false" ht="15" hidden="false" customHeight="false" outlineLevel="0" collapsed="false">
      <c r="A658" s="68" t="n">
        <v>68</v>
      </c>
      <c r="B658" s="68" t="s">
        <v>558</v>
      </c>
      <c r="C658" s="68" t="s">
        <v>587</v>
      </c>
      <c r="D658" s="68" t="s">
        <v>249</v>
      </c>
      <c r="E658" s="68" t="n">
        <v>52</v>
      </c>
      <c r="F658" s="68" t="n">
        <v>52</v>
      </c>
      <c r="G658" s="68" t="s">
        <v>1809</v>
      </c>
      <c r="H658" s="68" t="s">
        <v>1367</v>
      </c>
    </row>
    <row r="659" customFormat="false" ht="15" hidden="false" customHeight="false" outlineLevel="0" collapsed="false">
      <c r="A659" s="68" t="n">
        <v>68</v>
      </c>
      <c r="B659" s="68" t="s">
        <v>558</v>
      </c>
      <c r="C659" s="68" t="s">
        <v>587</v>
      </c>
      <c r="D659" s="68" t="s">
        <v>262</v>
      </c>
      <c r="E659" s="68" t="n">
        <v>7.3</v>
      </c>
      <c r="F659" s="68" t="n">
        <v>7.3</v>
      </c>
      <c r="G659" s="68" t="s">
        <v>1810</v>
      </c>
      <c r="H659" s="68" t="s">
        <v>1367</v>
      </c>
    </row>
    <row r="660" customFormat="false" ht="15" hidden="false" customHeight="false" outlineLevel="0" collapsed="false">
      <c r="A660" s="68" t="n">
        <v>68</v>
      </c>
      <c r="B660" s="68" t="s">
        <v>558</v>
      </c>
      <c r="C660" s="68" t="s">
        <v>587</v>
      </c>
      <c r="D660" s="68" t="s">
        <v>1207</v>
      </c>
      <c r="E660" s="68" t="s">
        <v>312</v>
      </c>
      <c r="F660" s="68" t="s">
        <v>1583</v>
      </c>
      <c r="G660" s="68"/>
      <c r="H660" s="85" t="s">
        <v>1369</v>
      </c>
    </row>
    <row r="661" customFormat="false" ht="15" hidden="false" customHeight="false" outlineLevel="0" collapsed="false">
      <c r="A661" s="68" t="n">
        <v>68</v>
      </c>
      <c r="B661" s="68" t="s">
        <v>558</v>
      </c>
      <c r="C661" s="68" t="s">
        <v>587</v>
      </c>
      <c r="D661" s="68" t="s">
        <v>1584</v>
      </c>
      <c r="E661" s="68" t="s">
        <v>1585</v>
      </c>
      <c r="F661" s="68" t="s">
        <v>1586</v>
      </c>
      <c r="G661" s="68" t="s">
        <v>1811</v>
      </c>
      <c r="H661" s="68" t="s">
        <v>1367</v>
      </c>
    </row>
    <row r="662" customFormat="false" ht="15" hidden="false" customHeight="false" outlineLevel="0" collapsed="false">
      <c r="A662" s="68" t="n">
        <v>68</v>
      </c>
      <c r="B662" s="68" t="s">
        <v>558</v>
      </c>
      <c r="C662" s="68" t="s">
        <v>587</v>
      </c>
      <c r="D662" s="68" t="s">
        <v>258</v>
      </c>
      <c r="E662" s="68" t="s">
        <v>304</v>
      </c>
      <c r="F662" s="68" t="s">
        <v>1469</v>
      </c>
      <c r="G662" s="68"/>
      <c r="H662" s="85" t="s">
        <v>1369</v>
      </c>
    </row>
    <row r="663" customFormat="false" ht="15" hidden="false" customHeight="false" outlineLevel="0" collapsed="false">
      <c r="A663" s="68" t="n">
        <v>68</v>
      </c>
      <c r="B663" s="68" t="s">
        <v>558</v>
      </c>
      <c r="C663" s="68" t="s">
        <v>587</v>
      </c>
      <c r="D663" s="68" t="s">
        <v>923</v>
      </c>
      <c r="E663" s="68" t="s">
        <v>363</v>
      </c>
      <c r="F663" s="68" t="s">
        <v>363</v>
      </c>
      <c r="G663" s="68" t="s">
        <v>1812</v>
      </c>
      <c r="H663" s="68" t="s">
        <v>1367</v>
      </c>
    </row>
    <row r="664" customFormat="false" ht="15" hidden="false" customHeight="false" outlineLevel="0" collapsed="false">
      <c r="A664" s="68" t="n">
        <v>68</v>
      </c>
      <c r="B664" s="68" t="s">
        <v>558</v>
      </c>
      <c r="C664" s="68" t="s">
        <v>587</v>
      </c>
      <c r="D664" s="68" t="s">
        <v>1386</v>
      </c>
      <c r="E664" s="68" t="n">
        <v>10000</v>
      </c>
      <c r="F664" s="68" t="n">
        <v>10000</v>
      </c>
      <c r="G664" s="68" t="s">
        <v>1812</v>
      </c>
      <c r="H664" s="68" t="s">
        <v>1367</v>
      </c>
    </row>
    <row r="665" customFormat="false" ht="15" hidden="false" customHeight="false" outlineLevel="0" collapsed="false">
      <c r="A665" s="68" t="n">
        <v>69</v>
      </c>
      <c r="B665" s="68" t="s">
        <v>558</v>
      </c>
      <c r="C665" s="68" t="s">
        <v>590</v>
      </c>
      <c r="D665" s="68" t="s">
        <v>243</v>
      </c>
      <c r="E665" s="68" t="s">
        <v>520</v>
      </c>
      <c r="F665" s="68" t="s">
        <v>520</v>
      </c>
      <c r="G665" s="68" t="s">
        <v>1813</v>
      </c>
      <c r="H665" s="68" t="s">
        <v>1367</v>
      </c>
    </row>
    <row r="666" customFormat="false" ht="15" hidden="false" customHeight="false" outlineLevel="0" collapsed="false">
      <c r="A666" s="68" t="n">
        <v>69</v>
      </c>
      <c r="B666" s="68" t="s">
        <v>558</v>
      </c>
      <c r="C666" s="68" t="s">
        <v>590</v>
      </c>
      <c r="D666" s="68" t="s">
        <v>260</v>
      </c>
      <c r="E666" s="68" t="n">
        <v>2</v>
      </c>
      <c r="F666" s="68" t="n">
        <v>2</v>
      </c>
      <c r="G666" s="68" t="s">
        <v>1814</v>
      </c>
      <c r="H666" s="68" t="s">
        <v>1367</v>
      </c>
    </row>
    <row r="667" customFormat="false" ht="15" hidden="false" customHeight="false" outlineLevel="0" collapsed="false">
      <c r="A667" s="68" t="n">
        <v>69</v>
      </c>
      <c r="B667" s="68" t="s">
        <v>558</v>
      </c>
      <c r="C667" s="68" t="s">
        <v>590</v>
      </c>
      <c r="D667" s="68" t="s">
        <v>261</v>
      </c>
      <c r="E667" s="68" t="s">
        <v>522</v>
      </c>
      <c r="F667" s="68" t="s">
        <v>1669</v>
      </c>
      <c r="G667" s="68" t="s">
        <v>1815</v>
      </c>
      <c r="H667" s="68" t="s">
        <v>1367</v>
      </c>
    </row>
    <row r="668" customFormat="false" ht="15" hidden="false" customHeight="false" outlineLevel="0" collapsed="false">
      <c r="A668" s="68" t="n">
        <v>69</v>
      </c>
      <c r="B668" s="68" t="s">
        <v>558</v>
      </c>
      <c r="C668" s="68" t="s">
        <v>590</v>
      </c>
      <c r="D668" s="68" t="s">
        <v>880</v>
      </c>
      <c r="E668" s="68" t="s">
        <v>111</v>
      </c>
      <c r="F668" s="68" t="s">
        <v>1578</v>
      </c>
      <c r="G668" s="68" t="s">
        <v>1816</v>
      </c>
      <c r="H668" s="68" t="s">
        <v>1367</v>
      </c>
    </row>
    <row r="669" customFormat="false" ht="15" hidden="false" customHeight="false" outlineLevel="0" collapsed="false">
      <c r="A669" s="68" t="n">
        <v>69</v>
      </c>
      <c r="B669" s="68" t="s">
        <v>558</v>
      </c>
      <c r="C669" s="68" t="s">
        <v>590</v>
      </c>
      <c r="D669" s="68" t="s">
        <v>248</v>
      </c>
      <c r="E669" s="68" t="n">
        <v>5.5</v>
      </c>
      <c r="F669" s="68" t="n">
        <v>5.5</v>
      </c>
      <c r="G669" s="68" t="s">
        <v>1817</v>
      </c>
      <c r="H669" s="68" t="s">
        <v>1367</v>
      </c>
    </row>
    <row r="670" customFormat="false" ht="15" hidden="false" customHeight="false" outlineLevel="0" collapsed="false">
      <c r="A670" s="68" t="n">
        <v>69</v>
      </c>
      <c r="B670" s="68" t="s">
        <v>558</v>
      </c>
      <c r="C670" s="68" t="s">
        <v>590</v>
      </c>
      <c r="D670" s="68" t="s">
        <v>262</v>
      </c>
      <c r="E670" s="68" t="n">
        <v>3.6</v>
      </c>
      <c r="F670" s="68" t="n">
        <v>3.6</v>
      </c>
      <c r="G670" s="68" t="s">
        <v>1818</v>
      </c>
      <c r="H670" s="68" t="s">
        <v>1367</v>
      </c>
    </row>
    <row r="671" customFormat="false" ht="15" hidden="false" customHeight="false" outlineLevel="0" collapsed="false">
      <c r="A671" s="68" t="n">
        <v>69</v>
      </c>
      <c r="B671" s="68" t="s">
        <v>558</v>
      </c>
      <c r="C671" s="68" t="s">
        <v>590</v>
      </c>
      <c r="D671" s="68" t="s">
        <v>1207</v>
      </c>
      <c r="E671" s="68" t="s">
        <v>369</v>
      </c>
      <c r="F671" s="68" t="s">
        <v>369</v>
      </c>
      <c r="G671" s="68" t="s">
        <v>1819</v>
      </c>
      <c r="H671" s="68" t="s">
        <v>1367</v>
      </c>
    </row>
    <row r="672" customFormat="false" ht="15" hidden="false" customHeight="false" outlineLevel="0" collapsed="false">
      <c r="A672" s="68" t="n">
        <v>69</v>
      </c>
      <c r="B672" s="68" t="s">
        <v>558</v>
      </c>
      <c r="C672" s="68" t="s">
        <v>590</v>
      </c>
      <c r="D672" s="68" t="s">
        <v>1584</v>
      </c>
      <c r="E672" s="68" t="s">
        <v>1605</v>
      </c>
      <c r="F672" s="68" t="s">
        <v>1606</v>
      </c>
      <c r="G672" s="68" t="s">
        <v>1820</v>
      </c>
      <c r="H672" s="68" t="s">
        <v>1367</v>
      </c>
    </row>
    <row r="673" customFormat="false" ht="15" hidden="false" customHeight="false" outlineLevel="0" collapsed="false">
      <c r="A673" s="68" t="n">
        <v>69</v>
      </c>
      <c r="B673" s="68" t="s">
        <v>558</v>
      </c>
      <c r="C673" s="68" t="s">
        <v>590</v>
      </c>
      <c r="D673" s="68" t="s">
        <v>258</v>
      </c>
      <c r="E673" s="68" t="s">
        <v>304</v>
      </c>
      <c r="F673" s="68" t="s">
        <v>1469</v>
      </c>
      <c r="G673" s="68"/>
      <c r="H673" s="85" t="s">
        <v>1369</v>
      </c>
    </row>
    <row r="674" customFormat="false" ht="15" hidden="false" customHeight="false" outlineLevel="0" collapsed="false">
      <c r="A674" s="68" t="n">
        <v>69</v>
      </c>
      <c r="B674" s="68" t="s">
        <v>558</v>
      </c>
      <c r="C674" s="68" t="s">
        <v>590</v>
      </c>
      <c r="D674" s="68" t="s">
        <v>923</v>
      </c>
      <c r="E674" s="68" t="s">
        <v>363</v>
      </c>
      <c r="F674" s="68" t="s">
        <v>363</v>
      </c>
      <c r="G674" s="68" t="s">
        <v>1821</v>
      </c>
      <c r="H674" s="68" t="s">
        <v>1367</v>
      </c>
    </row>
    <row r="675" customFormat="false" ht="15" hidden="false" customHeight="false" outlineLevel="0" collapsed="false">
      <c r="A675" s="68" t="n">
        <v>69</v>
      </c>
      <c r="B675" s="68" t="s">
        <v>558</v>
      </c>
      <c r="C675" s="68" t="s">
        <v>590</v>
      </c>
      <c r="D675" s="68" t="s">
        <v>1386</v>
      </c>
      <c r="E675" s="68" t="n">
        <v>25000</v>
      </c>
      <c r="F675" s="68" t="n">
        <v>25000</v>
      </c>
      <c r="G675" s="68" t="s">
        <v>1821</v>
      </c>
      <c r="H675" s="68" t="s">
        <v>1367</v>
      </c>
    </row>
    <row r="676" customFormat="false" ht="15" hidden="false" customHeight="false" outlineLevel="0" collapsed="false">
      <c r="A676" s="68" t="n">
        <v>70</v>
      </c>
      <c r="B676" s="68" t="s">
        <v>558</v>
      </c>
      <c r="C676" s="68" t="s">
        <v>593</v>
      </c>
      <c r="D676" s="68" t="s">
        <v>243</v>
      </c>
      <c r="E676" s="68" t="s">
        <v>525</v>
      </c>
      <c r="F676" s="68" t="s">
        <v>525</v>
      </c>
      <c r="G676" s="68" t="s">
        <v>1822</v>
      </c>
      <c r="H676" s="68" t="s">
        <v>1367</v>
      </c>
    </row>
    <row r="677" customFormat="false" ht="15" hidden="false" customHeight="false" outlineLevel="0" collapsed="false">
      <c r="A677" s="68" t="n">
        <v>70</v>
      </c>
      <c r="B677" s="68" t="s">
        <v>558</v>
      </c>
      <c r="C677" s="68" t="s">
        <v>593</v>
      </c>
      <c r="D677" s="68" t="s">
        <v>260</v>
      </c>
      <c r="E677" s="68" t="n">
        <v>2</v>
      </c>
      <c r="F677" s="68" t="n">
        <v>2</v>
      </c>
      <c r="G677" s="68" t="s">
        <v>1823</v>
      </c>
      <c r="H677" s="68" t="s">
        <v>1367</v>
      </c>
    </row>
    <row r="678" customFormat="false" ht="15" hidden="false" customHeight="false" outlineLevel="0" collapsed="false">
      <c r="A678" s="68" t="n">
        <v>70</v>
      </c>
      <c r="B678" s="68" t="s">
        <v>558</v>
      </c>
      <c r="C678" s="68" t="s">
        <v>593</v>
      </c>
      <c r="D678" s="68" t="s">
        <v>246</v>
      </c>
      <c r="E678" s="68" t="s">
        <v>132</v>
      </c>
      <c r="F678" s="68" t="s">
        <v>1576</v>
      </c>
      <c r="G678" s="68" t="s">
        <v>1824</v>
      </c>
      <c r="H678" s="68" t="s">
        <v>1367</v>
      </c>
    </row>
    <row r="679" customFormat="false" ht="15" hidden="false" customHeight="false" outlineLevel="0" collapsed="false">
      <c r="A679" s="68" t="n">
        <v>70</v>
      </c>
      <c r="B679" s="68" t="s">
        <v>558</v>
      </c>
      <c r="C679" s="68" t="s">
        <v>593</v>
      </c>
      <c r="D679" s="68" t="s">
        <v>261</v>
      </c>
      <c r="E679" s="68" t="s">
        <v>306</v>
      </c>
      <c r="F679" s="68" t="s">
        <v>1576</v>
      </c>
      <c r="G679" s="68" t="s">
        <v>1824</v>
      </c>
      <c r="H679" s="68" t="s">
        <v>1367</v>
      </c>
    </row>
    <row r="680" customFormat="false" ht="15" hidden="false" customHeight="false" outlineLevel="0" collapsed="false">
      <c r="A680" s="68" t="n">
        <v>70</v>
      </c>
      <c r="B680" s="68" t="s">
        <v>558</v>
      </c>
      <c r="C680" s="68" t="s">
        <v>593</v>
      </c>
      <c r="D680" s="68" t="s">
        <v>880</v>
      </c>
      <c r="E680" s="68" t="s">
        <v>115</v>
      </c>
      <c r="F680" s="68" t="s">
        <v>1612</v>
      </c>
      <c r="G680" s="68" t="s">
        <v>1825</v>
      </c>
      <c r="H680" s="68" t="s">
        <v>1367</v>
      </c>
    </row>
    <row r="681" customFormat="false" ht="15" hidden="false" customHeight="false" outlineLevel="0" collapsed="false">
      <c r="A681" s="68" t="n">
        <v>70</v>
      </c>
      <c r="B681" s="68" t="s">
        <v>558</v>
      </c>
      <c r="C681" s="68" t="s">
        <v>593</v>
      </c>
      <c r="D681" s="68" t="s">
        <v>248</v>
      </c>
      <c r="E681" s="68" t="n">
        <v>11</v>
      </c>
      <c r="F681" s="68" t="n">
        <v>11</v>
      </c>
      <c r="G681" s="68" t="s">
        <v>1826</v>
      </c>
      <c r="H681" s="68" t="s">
        <v>1367</v>
      </c>
    </row>
    <row r="682" customFormat="false" ht="15" hidden="false" customHeight="false" outlineLevel="0" collapsed="false">
      <c r="A682" s="68" t="n">
        <v>70</v>
      </c>
      <c r="B682" s="68" t="s">
        <v>558</v>
      </c>
      <c r="C682" s="68" t="s">
        <v>593</v>
      </c>
      <c r="D682" s="68" t="s">
        <v>249</v>
      </c>
      <c r="E682" s="68" t="n">
        <v>28</v>
      </c>
      <c r="F682" s="68" t="n">
        <v>28</v>
      </c>
      <c r="G682" s="68" t="s">
        <v>1827</v>
      </c>
      <c r="H682" s="68" t="s">
        <v>1367</v>
      </c>
    </row>
    <row r="683" customFormat="false" ht="15" hidden="false" customHeight="false" outlineLevel="0" collapsed="false">
      <c r="A683" s="68" t="n">
        <v>70</v>
      </c>
      <c r="B683" s="68" t="s">
        <v>558</v>
      </c>
      <c r="C683" s="68" t="s">
        <v>593</v>
      </c>
      <c r="D683" s="68" t="s">
        <v>262</v>
      </c>
      <c r="E683" s="68" t="n">
        <v>3</v>
      </c>
      <c r="F683" s="68" t="n">
        <v>3</v>
      </c>
      <c r="G683" s="68" t="s">
        <v>1828</v>
      </c>
      <c r="H683" s="68" t="s">
        <v>1367</v>
      </c>
    </row>
    <row r="684" customFormat="false" ht="15" hidden="false" customHeight="false" outlineLevel="0" collapsed="false">
      <c r="A684" s="68" t="n">
        <v>70</v>
      </c>
      <c r="B684" s="68" t="s">
        <v>558</v>
      </c>
      <c r="C684" s="68" t="s">
        <v>593</v>
      </c>
      <c r="D684" s="68" t="s">
        <v>1207</v>
      </c>
      <c r="E684" s="68" t="s">
        <v>369</v>
      </c>
      <c r="F684" s="68" t="s">
        <v>369</v>
      </c>
      <c r="G684" s="68" t="s">
        <v>1829</v>
      </c>
      <c r="H684" s="68" t="s">
        <v>1367</v>
      </c>
    </row>
    <row r="685" customFormat="false" ht="15" hidden="false" customHeight="false" outlineLevel="0" collapsed="false">
      <c r="A685" s="68" t="n">
        <v>70</v>
      </c>
      <c r="B685" s="68" t="s">
        <v>558</v>
      </c>
      <c r="C685" s="68" t="s">
        <v>593</v>
      </c>
      <c r="D685" s="68" t="s">
        <v>1584</v>
      </c>
      <c r="E685" s="68" t="s">
        <v>1585</v>
      </c>
      <c r="F685" s="68" t="s">
        <v>1586</v>
      </c>
      <c r="G685" s="68" t="s">
        <v>1830</v>
      </c>
      <c r="H685" s="68" t="s">
        <v>1367</v>
      </c>
    </row>
    <row r="686" customFormat="false" ht="15" hidden="false" customHeight="false" outlineLevel="0" collapsed="false">
      <c r="A686" s="68" t="n">
        <v>70</v>
      </c>
      <c r="B686" s="68" t="s">
        <v>558</v>
      </c>
      <c r="C686" s="68" t="s">
        <v>593</v>
      </c>
      <c r="D686" s="68" t="s">
        <v>258</v>
      </c>
      <c r="E686" s="68" t="s">
        <v>304</v>
      </c>
      <c r="F686" s="68" t="s">
        <v>1469</v>
      </c>
      <c r="G686" s="68"/>
      <c r="H686" s="85" t="s">
        <v>1369</v>
      </c>
    </row>
    <row r="687" customFormat="false" ht="15" hidden="false" customHeight="false" outlineLevel="0" collapsed="false">
      <c r="A687" s="68" t="n">
        <v>70</v>
      </c>
      <c r="B687" s="68" t="s">
        <v>558</v>
      </c>
      <c r="C687" s="68" t="s">
        <v>593</v>
      </c>
      <c r="D687" s="68" t="s">
        <v>923</v>
      </c>
      <c r="E687" s="68" t="s">
        <v>363</v>
      </c>
      <c r="F687" s="68" t="s">
        <v>363</v>
      </c>
      <c r="G687" s="68" t="s">
        <v>1831</v>
      </c>
      <c r="H687" s="68" t="s">
        <v>1367</v>
      </c>
    </row>
    <row r="688" customFormat="false" ht="15" hidden="false" customHeight="false" outlineLevel="0" collapsed="false">
      <c r="A688" s="68" t="n">
        <v>70</v>
      </c>
      <c r="B688" s="68" t="s">
        <v>558</v>
      </c>
      <c r="C688" s="68" t="s">
        <v>593</v>
      </c>
      <c r="D688" s="68" t="s">
        <v>1386</v>
      </c>
      <c r="E688" s="68" t="n">
        <v>20000</v>
      </c>
      <c r="F688" s="68" t="n">
        <v>20000</v>
      </c>
      <c r="G688" s="68" t="s">
        <v>1831</v>
      </c>
      <c r="H688" s="68" t="s">
        <v>1367</v>
      </c>
    </row>
    <row r="689" customFormat="false" ht="15" hidden="false" customHeight="false" outlineLevel="0" collapsed="false">
      <c r="A689" s="68" t="n">
        <v>71</v>
      </c>
      <c r="B689" s="68" t="s">
        <v>558</v>
      </c>
      <c r="C689" s="68" t="s">
        <v>596</v>
      </c>
      <c r="D689" s="68" t="s">
        <v>243</v>
      </c>
      <c r="E689" s="68" t="s">
        <v>529</v>
      </c>
      <c r="F689" s="68" t="s">
        <v>529</v>
      </c>
      <c r="G689" s="68" t="s">
        <v>1832</v>
      </c>
      <c r="H689" s="68" t="s">
        <v>1367</v>
      </c>
    </row>
    <row r="690" customFormat="false" ht="15" hidden="false" customHeight="false" outlineLevel="0" collapsed="false">
      <c r="A690" s="68" t="n">
        <v>71</v>
      </c>
      <c r="B690" s="68" t="s">
        <v>558</v>
      </c>
      <c r="C690" s="68" t="s">
        <v>596</v>
      </c>
      <c r="D690" s="68" t="s">
        <v>260</v>
      </c>
      <c r="E690" s="68" t="n">
        <v>2</v>
      </c>
      <c r="F690" s="68" t="n">
        <v>2</v>
      </c>
      <c r="G690" s="68" t="s">
        <v>1833</v>
      </c>
      <c r="H690" s="68" t="s">
        <v>1367</v>
      </c>
    </row>
    <row r="691" customFormat="false" ht="15" hidden="false" customHeight="false" outlineLevel="0" collapsed="false">
      <c r="A691" s="68" t="n">
        <v>71</v>
      </c>
      <c r="B691" s="68" t="s">
        <v>558</v>
      </c>
      <c r="C691" s="68" t="s">
        <v>596</v>
      </c>
      <c r="D691" s="68" t="s">
        <v>246</v>
      </c>
      <c r="E691" s="68" t="s">
        <v>132</v>
      </c>
      <c r="F691" s="68" t="s">
        <v>1576</v>
      </c>
      <c r="G691" s="68" t="s">
        <v>1834</v>
      </c>
      <c r="H691" s="68" t="s">
        <v>1367</v>
      </c>
    </row>
    <row r="692" customFormat="false" ht="15" hidden="false" customHeight="false" outlineLevel="0" collapsed="false">
      <c r="A692" s="68" t="n">
        <v>71</v>
      </c>
      <c r="B692" s="68" t="s">
        <v>558</v>
      </c>
      <c r="C692" s="68" t="s">
        <v>596</v>
      </c>
      <c r="D692" s="68" t="s">
        <v>261</v>
      </c>
      <c r="E692" s="68" t="s">
        <v>306</v>
      </c>
      <c r="F692" s="68" t="s">
        <v>1576</v>
      </c>
      <c r="G692" s="68" t="s">
        <v>1834</v>
      </c>
      <c r="H692" s="68" t="s">
        <v>1367</v>
      </c>
    </row>
    <row r="693" customFormat="false" ht="15" hidden="false" customHeight="false" outlineLevel="0" collapsed="false">
      <c r="A693" s="68" t="n">
        <v>71</v>
      </c>
      <c r="B693" s="68" t="s">
        <v>558</v>
      </c>
      <c r="C693" s="68" t="s">
        <v>596</v>
      </c>
      <c r="D693" s="68" t="s">
        <v>880</v>
      </c>
      <c r="E693" s="68" t="s">
        <v>115</v>
      </c>
      <c r="F693" s="68" t="s">
        <v>1612</v>
      </c>
      <c r="G693" s="68" t="s">
        <v>1835</v>
      </c>
      <c r="H693" s="68" t="s">
        <v>1367</v>
      </c>
    </row>
    <row r="694" customFormat="false" ht="15" hidden="false" customHeight="false" outlineLevel="0" collapsed="false">
      <c r="A694" s="68" t="n">
        <v>71</v>
      </c>
      <c r="B694" s="68" t="s">
        <v>558</v>
      </c>
      <c r="C694" s="68" t="s">
        <v>596</v>
      </c>
      <c r="D694" s="68" t="s">
        <v>248</v>
      </c>
      <c r="E694" s="68" t="n">
        <v>15</v>
      </c>
      <c r="F694" s="68" t="n">
        <v>15</v>
      </c>
      <c r="G694" s="68" t="s">
        <v>1836</v>
      </c>
      <c r="H694" s="68" t="s">
        <v>1367</v>
      </c>
    </row>
    <row r="695" customFormat="false" ht="15" hidden="false" customHeight="false" outlineLevel="0" collapsed="false">
      <c r="A695" s="68" t="n">
        <v>71</v>
      </c>
      <c r="B695" s="68" t="s">
        <v>558</v>
      </c>
      <c r="C695" s="68" t="s">
        <v>596</v>
      </c>
      <c r="D695" s="68" t="s">
        <v>249</v>
      </c>
      <c r="E695" s="68" t="n">
        <v>61</v>
      </c>
      <c r="F695" s="68" t="n">
        <v>61</v>
      </c>
      <c r="G695" s="68" t="s">
        <v>1837</v>
      </c>
      <c r="H695" s="68" t="s">
        <v>1367</v>
      </c>
    </row>
    <row r="696" customFormat="false" ht="15" hidden="false" customHeight="false" outlineLevel="0" collapsed="false">
      <c r="A696" s="68" t="n">
        <v>71</v>
      </c>
      <c r="B696" s="68" t="s">
        <v>558</v>
      </c>
      <c r="C696" s="68" t="s">
        <v>596</v>
      </c>
      <c r="D696" s="68" t="s">
        <v>262</v>
      </c>
      <c r="E696" s="68" t="n">
        <v>9</v>
      </c>
      <c r="F696" s="68" t="n">
        <v>9</v>
      </c>
      <c r="G696" s="68" t="s">
        <v>1838</v>
      </c>
      <c r="H696" s="68" t="s">
        <v>1367</v>
      </c>
    </row>
    <row r="697" customFormat="false" ht="15" hidden="false" customHeight="false" outlineLevel="0" collapsed="false">
      <c r="A697" s="68" t="n">
        <v>71</v>
      </c>
      <c r="B697" s="68" t="s">
        <v>558</v>
      </c>
      <c r="C697" s="68" t="s">
        <v>596</v>
      </c>
      <c r="D697" s="68" t="s">
        <v>1207</v>
      </c>
      <c r="E697" s="68" t="s">
        <v>369</v>
      </c>
      <c r="F697" s="68" t="s">
        <v>369</v>
      </c>
      <c r="G697" s="68" t="s">
        <v>1839</v>
      </c>
      <c r="H697" s="68" t="s">
        <v>1367</v>
      </c>
    </row>
    <row r="698" customFormat="false" ht="15" hidden="false" customHeight="false" outlineLevel="0" collapsed="false">
      <c r="A698" s="68" t="n">
        <v>71</v>
      </c>
      <c r="B698" s="68" t="s">
        <v>558</v>
      </c>
      <c r="C698" s="68" t="s">
        <v>596</v>
      </c>
      <c r="D698" s="68" t="s">
        <v>1584</v>
      </c>
      <c r="E698" s="68" t="s">
        <v>1585</v>
      </c>
      <c r="F698" s="68" t="s">
        <v>1586</v>
      </c>
      <c r="G698" s="68" t="s">
        <v>1840</v>
      </c>
      <c r="H698" s="68" t="s">
        <v>1367</v>
      </c>
    </row>
    <row r="699" customFormat="false" ht="15" hidden="false" customHeight="false" outlineLevel="0" collapsed="false">
      <c r="A699" s="68" t="n">
        <v>71</v>
      </c>
      <c r="B699" s="68" t="s">
        <v>558</v>
      </c>
      <c r="C699" s="68" t="s">
        <v>596</v>
      </c>
      <c r="D699" s="68" t="s">
        <v>258</v>
      </c>
      <c r="E699" s="68" t="s">
        <v>304</v>
      </c>
      <c r="F699" s="68" t="s">
        <v>1469</v>
      </c>
      <c r="G699" s="68"/>
      <c r="H699" s="85" t="s">
        <v>1369</v>
      </c>
    </row>
    <row r="700" customFormat="false" ht="15" hidden="false" customHeight="false" outlineLevel="0" collapsed="false">
      <c r="A700" s="68" t="n">
        <v>71</v>
      </c>
      <c r="B700" s="68" t="s">
        <v>558</v>
      </c>
      <c r="C700" s="68" t="s">
        <v>596</v>
      </c>
      <c r="D700" s="68" t="s">
        <v>923</v>
      </c>
      <c r="E700" s="68" t="s">
        <v>363</v>
      </c>
      <c r="F700" s="68" t="s">
        <v>363</v>
      </c>
      <c r="G700" s="68" t="s">
        <v>1841</v>
      </c>
      <c r="H700" s="68" t="s">
        <v>1367</v>
      </c>
    </row>
    <row r="701" customFormat="false" ht="15" hidden="false" customHeight="false" outlineLevel="0" collapsed="false">
      <c r="A701" s="68" t="n">
        <v>71</v>
      </c>
      <c r="B701" s="68" t="s">
        <v>558</v>
      </c>
      <c r="C701" s="68" t="s">
        <v>596</v>
      </c>
      <c r="D701" s="68" t="s">
        <v>1386</v>
      </c>
      <c r="E701" s="68" t="n">
        <v>17500</v>
      </c>
      <c r="F701" s="68" t="n">
        <v>17500</v>
      </c>
      <c r="G701" s="68" t="s">
        <v>1841</v>
      </c>
      <c r="H701" s="68" t="s">
        <v>1367</v>
      </c>
    </row>
    <row r="702" customFormat="false" ht="15" hidden="false" customHeight="false" outlineLevel="0" collapsed="false">
      <c r="A702" s="68" t="n">
        <v>72</v>
      </c>
      <c r="B702" s="68" t="s">
        <v>558</v>
      </c>
      <c r="C702" s="68" t="s">
        <v>599</v>
      </c>
      <c r="D702" s="68" t="s">
        <v>246</v>
      </c>
      <c r="E702" s="68" t="s">
        <v>132</v>
      </c>
      <c r="F702" s="68" t="s">
        <v>1576</v>
      </c>
      <c r="G702" s="68" t="s">
        <v>1842</v>
      </c>
      <c r="H702" s="68" t="s">
        <v>1367</v>
      </c>
    </row>
    <row r="703" customFormat="false" ht="15" hidden="false" customHeight="false" outlineLevel="0" collapsed="false">
      <c r="A703" s="68" t="n">
        <v>72</v>
      </c>
      <c r="B703" s="68" t="s">
        <v>558</v>
      </c>
      <c r="C703" s="68" t="s">
        <v>599</v>
      </c>
      <c r="D703" s="68" t="s">
        <v>261</v>
      </c>
      <c r="E703" s="68" t="s">
        <v>306</v>
      </c>
      <c r="F703" s="68" t="s">
        <v>1576</v>
      </c>
      <c r="G703" s="68" t="s">
        <v>1842</v>
      </c>
      <c r="H703" s="68" t="s">
        <v>1367</v>
      </c>
    </row>
    <row r="704" customFormat="false" ht="15" hidden="false" customHeight="false" outlineLevel="0" collapsed="false">
      <c r="A704" s="68" t="n">
        <v>72</v>
      </c>
      <c r="B704" s="68" t="s">
        <v>558</v>
      </c>
      <c r="C704" s="68" t="s">
        <v>599</v>
      </c>
      <c r="D704" s="68" t="s">
        <v>880</v>
      </c>
      <c r="E704" s="68" t="s">
        <v>115</v>
      </c>
      <c r="F704" s="68" t="s">
        <v>1612</v>
      </c>
      <c r="G704" s="68" t="s">
        <v>1843</v>
      </c>
      <c r="H704" s="68" t="s">
        <v>1367</v>
      </c>
    </row>
    <row r="705" customFormat="false" ht="15" hidden="false" customHeight="false" outlineLevel="0" collapsed="false">
      <c r="A705" s="68" t="n">
        <v>72</v>
      </c>
      <c r="B705" s="68" t="s">
        <v>558</v>
      </c>
      <c r="C705" s="68" t="s">
        <v>599</v>
      </c>
      <c r="D705" s="68" t="s">
        <v>248</v>
      </c>
      <c r="E705" s="68" t="n">
        <v>15</v>
      </c>
      <c r="F705" s="68" t="n">
        <v>15</v>
      </c>
      <c r="G705" s="68" t="s">
        <v>1844</v>
      </c>
      <c r="H705" s="68" t="s">
        <v>1367</v>
      </c>
    </row>
    <row r="706" customFormat="false" ht="15" hidden="false" customHeight="false" outlineLevel="0" collapsed="false">
      <c r="A706" s="68" t="n">
        <v>72</v>
      </c>
      <c r="B706" s="68" t="s">
        <v>558</v>
      </c>
      <c r="C706" s="68" t="s">
        <v>599</v>
      </c>
      <c r="D706" s="68" t="s">
        <v>249</v>
      </c>
      <c r="E706" s="68" t="n">
        <v>44.9</v>
      </c>
      <c r="F706" s="68" t="s">
        <v>1697</v>
      </c>
      <c r="G706" s="68" t="s">
        <v>1845</v>
      </c>
      <c r="H706" s="85" t="s">
        <v>1371</v>
      </c>
    </row>
    <row r="707" customFormat="false" ht="15" hidden="false" customHeight="false" outlineLevel="0" collapsed="false">
      <c r="A707" s="68" t="n">
        <v>72</v>
      </c>
      <c r="B707" s="68" t="s">
        <v>558</v>
      </c>
      <c r="C707" s="68" t="s">
        <v>599</v>
      </c>
      <c r="D707" s="68" t="s">
        <v>1207</v>
      </c>
      <c r="E707" s="68" t="s">
        <v>369</v>
      </c>
      <c r="F707" s="68" t="s">
        <v>369</v>
      </c>
      <c r="G707" s="68" t="s">
        <v>1846</v>
      </c>
      <c r="H707" s="68" t="s">
        <v>1367</v>
      </c>
    </row>
    <row r="708" customFormat="false" ht="15" hidden="false" customHeight="false" outlineLevel="0" collapsed="false">
      <c r="A708" s="68" t="n">
        <v>72</v>
      </c>
      <c r="B708" s="68" t="s">
        <v>558</v>
      </c>
      <c r="C708" s="68" t="s">
        <v>599</v>
      </c>
      <c r="D708" s="68" t="s">
        <v>1584</v>
      </c>
      <c r="E708" s="68" t="s">
        <v>1585</v>
      </c>
      <c r="F708" s="68" t="s">
        <v>1586</v>
      </c>
      <c r="G708" s="68" t="s">
        <v>1847</v>
      </c>
      <c r="H708" s="68" t="s">
        <v>1367</v>
      </c>
    </row>
    <row r="709" customFormat="false" ht="15" hidden="false" customHeight="false" outlineLevel="0" collapsed="false">
      <c r="A709" s="68" t="n">
        <v>72</v>
      </c>
      <c r="B709" s="68" t="s">
        <v>558</v>
      </c>
      <c r="C709" s="68" t="s">
        <v>599</v>
      </c>
      <c r="D709" s="68" t="s">
        <v>258</v>
      </c>
      <c r="E709" s="68" t="s">
        <v>304</v>
      </c>
      <c r="F709" s="68" t="s">
        <v>1469</v>
      </c>
      <c r="G709" s="68"/>
      <c r="H709" s="85" t="s">
        <v>1369</v>
      </c>
    </row>
    <row r="710" customFormat="false" ht="15" hidden="false" customHeight="false" outlineLevel="0" collapsed="false">
      <c r="A710" s="68" t="n">
        <v>72</v>
      </c>
      <c r="B710" s="68" t="s">
        <v>558</v>
      </c>
      <c r="C710" s="68" t="s">
        <v>599</v>
      </c>
      <c r="D710" s="68" t="s">
        <v>1386</v>
      </c>
      <c r="E710" s="68" t="s">
        <v>307</v>
      </c>
      <c r="F710" s="68" t="s">
        <v>1700</v>
      </c>
      <c r="G710" s="68" t="s">
        <v>1848</v>
      </c>
      <c r="H710" s="68" t="s">
        <v>1367</v>
      </c>
    </row>
    <row r="711" customFormat="false" ht="15" hidden="false" customHeight="false" outlineLevel="0" collapsed="false">
      <c r="A711" s="68" t="n">
        <v>73</v>
      </c>
      <c r="B711" s="68" t="s">
        <v>558</v>
      </c>
      <c r="C711" s="68" t="s">
        <v>602</v>
      </c>
      <c r="D711" s="68" t="s">
        <v>246</v>
      </c>
      <c r="E711" s="68" t="s">
        <v>132</v>
      </c>
      <c r="F711" s="68" t="s">
        <v>1576</v>
      </c>
      <c r="G711" s="68" t="s">
        <v>1849</v>
      </c>
      <c r="H711" s="68" t="s">
        <v>1367</v>
      </c>
    </row>
    <row r="712" customFormat="false" ht="15" hidden="false" customHeight="false" outlineLevel="0" collapsed="false">
      <c r="A712" s="68" t="n">
        <v>73</v>
      </c>
      <c r="B712" s="68" t="s">
        <v>558</v>
      </c>
      <c r="C712" s="68" t="s">
        <v>602</v>
      </c>
      <c r="D712" s="68" t="s">
        <v>261</v>
      </c>
      <c r="E712" s="68" t="s">
        <v>306</v>
      </c>
      <c r="F712" s="68" t="s">
        <v>1576</v>
      </c>
      <c r="G712" s="68" t="s">
        <v>1849</v>
      </c>
      <c r="H712" s="68" t="s">
        <v>1367</v>
      </c>
    </row>
    <row r="713" customFormat="false" ht="15" hidden="false" customHeight="false" outlineLevel="0" collapsed="false">
      <c r="A713" s="68" t="n">
        <v>73</v>
      </c>
      <c r="B713" s="68" t="s">
        <v>558</v>
      </c>
      <c r="C713" s="68" t="s">
        <v>602</v>
      </c>
      <c r="D713" s="68" t="s">
        <v>880</v>
      </c>
      <c r="E713" s="68" t="s">
        <v>115</v>
      </c>
      <c r="F713" s="68" t="s">
        <v>1612</v>
      </c>
      <c r="G713" s="68" t="s">
        <v>1850</v>
      </c>
      <c r="H713" s="68" t="s">
        <v>1367</v>
      </c>
    </row>
    <row r="714" customFormat="false" ht="15" hidden="false" customHeight="false" outlineLevel="0" collapsed="false">
      <c r="A714" s="68" t="n">
        <v>73</v>
      </c>
      <c r="B714" s="68" t="s">
        <v>558</v>
      </c>
      <c r="C714" s="68" t="s">
        <v>602</v>
      </c>
      <c r="D714" s="68" t="s">
        <v>1207</v>
      </c>
      <c r="E714" s="68" t="s">
        <v>312</v>
      </c>
      <c r="F714" s="68" t="s">
        <v>1583</v>
      </c>
      <c r="G714" s="68"/>
      <c r="H714" s="85" t="s">
        <v>1369</v>
      </c>
    </row>
    <row r="715" customFormat="false" ht="15" hidden="false" customHeight="false" outlineLevel="0" collapsed="false">
      <c r="A715" s="68" t="n">
        <v>73</v>
      </c>
      <c r="B715" s="68" t="s">
        <v>558</v>
      </c>
      <c r="C715" s="68" t="s">
        <v>602</v>
      </c>
      <c r="D715" s="68" t="s">
        <v>1584</v>
      </c>
      <c r="E715" s="68" t="s">
        <v>1585</v>
      </c>
      <c r="F715" s="68" t="s">
        <v>1586</v>
      </c>
      <c r="G715" s="68" t="s">
        <v>1851</v>
      </c>
      <c r="H715" s="68" t="s">
        <v>1367</v>
      </c>
    </row>
    <row r="716" customFormat="false" ht="15" hidden="false" customHeight="false" outlineLevel="0" collapsed="false">
      <c r="A716" s="68" t="n">
        <v>73</v>
      </c>
      <c r="B716" s="68" t="s">
        <v>558</v>
      </c>
      <c r="C716" s="68" t="s">
        <v>602</v>
      </c>
      <c r="D716" s="68" t="s">
        <v>258</v>
      </c>
      <c r="E716" s="68" t="s">
        <v>304</v>
      </c>
      <c r="F716" s="68" t="s">
        <v>1469</v>
      </c>
      <c r="G716" s="68"/>
      <c r="H716" s="85" t="s">
        <v>1369</v>
      </c>
    </row>
    <row r="717" customFormat="false" ht="15" hidden="false" customHeight="false" outlineLevel="0" collapsed="false">
      <c r="A717" s="68" t="n">
        <v>73</v>
      </c>
      <c r="B717" s="68" t="s">
        <v>558</v>
      </c>
      <c r="C717" s="68" t="s">
        <v>602</v>
      </c>
      <c r="D717" s="68" t="s">
        <v>1386</v>
      </c>
      <c r="E717" s="68" t="s">
        <v>307</v>
      </c>
      <c r="F717" s="68" t="s">
        <v>1700</v>
      </c>
      <c r="G717" s="68" t="s">
        <v>1852</v>
      </c>
      <c r="H717" s="68" t="s">
        <v>1367</v>
      </c>
    </row>
    <row r="718" customFormat="false" ht="15" hidden="false" customHeight="false" outlineLevel="0" collapsed="false">
      <c r="A718" s="68" t="n">
        <v>74</v>
      </c>
      <c r="B718" s="68" t="s">
        <v>558</v>
      </c>
      <c r="C718" s="68" t="s">
        <v>605</v>
      </c>
      <c r="D718" s="68" t="s">
        <v>246</v>
      </c>
      <c r="E718" s="68" t="s">
        <v>132</v>
      </c>
      <c r="F718" s="68" t="s">
        <v>1576</v>
      </c>
      <c r="G718" s="68" t="s">
        <v>1853</v>
      </c>
      <c r="H718" s="68" t="s">
        <v>1367</v>
      </c>
    </row>
    <row r="719" customFormat="false" ht="15" hidden="false" customHeight="false" outlineLevel="0" collapsed="false">
      <c r="A719" s="68" t="n">
        <v>74</v>
      </c>
      <c r="B719" s="68" t="s">
        <v>558</v>
      </c>
      <c r="C719" s="68" t="s">
        <v>605</v>
      </c>
      <c r="D719" s="68" t="s">
        <v>261</v>
      </c>
      <c r="E719" s="68" t="s">
        <v>306</v>
      </c>
      <c r="F719" s="68" t="s">
        <v>1576</v>
      </c>
      <c r="G719" s="68" t="s">
        <v>1853</v>
      </c>
      <c r="H719" s="68" t="s">
        <v>1367</v>
      </c>
    </row>
    <row r="720" customFormat="false" ht="15" hidden="false" customHeight="false" outlineLevel="0" collapsed="false">
      <c r="A720" s="68" t="n">
        <v>74</v>
      </c>
      <c r="B720" s="68" t="s">
        <v>558</v>
      </c>
      <c r="C720" s="68" t="s">
        <v>605</v>
      </c>
      <c r="D720" s="68" t="s">
        <v>880</v>
      </c>
      <c r="E720" s="68" t="s">
        <v>115</v>
      </c>
      <c r="F720" s="68" t="s">
        <v>1612</v>
      </c>
      <c r="G720" s="68" t="s">
        <v>1854</v>
      </c>
      <c r="H720" s="68" t="s">
        <v>1367</v>
      </c>
    </row>
    <row r="721" customFormat="false" ht="15" hidden="false" customHeight="false" outlineLevel="0" collapsed="false">
      <c r="A721" s="68" t="n">
        <v>74</v>
      </c>
      <c r="B721" s="68" t="s">
        <v>558</v>
      </c>
      <c r="C721" s="68" t="s">
        <v>605</v>
      </c>
      <c r="D721" s="68" t="s">
        <v>1207</v>
      </c>
      <c r="E721" s="68" t="s">
        <v>369</v>
      </c>
      <c r="F721" s="68" t="s">
        <v>369</v>
      </c>
      <c r="G721" s="68" t="s">
        <v>1855</v>
      </c>
      <c r="H721" s="68" t="s">
        <v>1367</v>
      </c>
    </row>
    <row r="722" customFormat="false" ht="15" hidden="false" customHeight="false" outlineLevel="0" collapsed="false">
      <c r="A722" s="68" t="n">
        <v>74</v>
      </c>
      <c r="B722" s="68" t="s">
        <v>558</v>
      </c>
      <c r="C722" s="68" t="s">
        <v>605</v>
      </c>
      <c r="D722" s="68" t="s">
        <v>1584</v>
      </c>
      <c r="E722" s="68" t="s">
        <v>1585</v>
      </c>
      <c r="F722" s="68" t="s">
        <v>1586</v>
      </c>
      <c r="G722" s="68" t="s">
        <v>1856</v>
      </c>
      <c r="H722" s="68" t="s">
        <v>1367</v>
      </c>
    </row>
    <row r="723" customFormat="false" ht="15" hidden="false" customHeight="false" outlineLevel="0" collapsed="false">
      <c r="A723" s="68" t="n">
        <v>74</v>
      </c>
      <c r="B723" s="68" t="s">
        <v>558</v>
      </c>
      <c r="C723" s="68" t="s">
        <v>605</v>
      </c>
      <c r="D723" s="68" t="s">
        <v>258</v>
      </c>
      <c r="E723" s="68" t="s">
        <v>304</v>
      </c>
      <c r="F723" s="68" t="s">
        <v>1469</v>
      </c>
      <c r="G723" s="68"/>
      <c r="H723" s="85" t="s">
        <v>1369</v>
      </c>
    </row>
    <row r="724" customFormat="false" ht="15" hidden="false" customHeight="false" outlineLevel="0" collapsed="false">
      <c r="A724" s="68" t="n">
        <v>74</v>
      </c>
      <c r="B724" s="68" t="s">
        <v>558</v>
      </c>
      <c r="C724" s="68" t="s">
        <v>605</v>
      </c>
      <c r="D724" s="68" t="s">
        <v>1386</v>
      </c>
      <c r="E724" s="68" t="s">
        <v>307</v>
      </c>
      <c r="F724" s="68" t="s">
        <v>1700</v>
      </c>
      <c r="G724" s="68" t="s">
        <v>1852</v>
      </c>
      <c r="H724" s="68" t="s">
        <v>1367</v>
      </c>
    </row>
    <row r="725" customFormat="false" ht="15" hidden="false" customHeight="false" outlineLevel="0" collapsed="false">
      <c r="A725" s="68" t="n">
        <v>75</v>
      </c>
      <c r="B725" s="68" t="s">
        <v>558</v>
      </c>
      <c r="C725" s="68" t="s">
        <v>608</v>
      </c>
      <c r="D725" s="68" t="s">
        <v>246</v>
      </c>
      <c r="E725" s="68" t="s">
        <v>132</v>
      </c>
      <c r="F725" s="68" t="s">
        <v>1576</v>
      </c>
      <c r="G725" s="68" t="s">
        <v>1853</v>
      </c>
      <c r="H725" s="68" t="s">
        <v>1367</v>
      </c>
    </row>
    <row r="726" customFormat="false" ht="15" hidden="false" customHeight="false" outlineLevel="0" collapsed="false">
      <c r="A726" s="68" t="n">
        <v>75</v>
      </c>
      <c r="B726" s="68" t="s">
        <v>558</v>
      </c>
      <c r="C726" s="68" t="s">
        <v>608</v>
      </c>
      <c r="D726" s="68" t="s">
        <v>261</v>
      </c>
      <c r="E726" s="68" t="s">
        <v>306</v>
      </c>
      <c r="F726" s="68" t="s">
        <v>1576</v>
      </c>
      <c r="G726" s="68" t="s">
        <v>1853</v>
      </c>
      <c r="H726" s="68" t="s">
        <v>1367</v>
      </c>
    </row>
    <row r="727" customFormat="false" ht="15" hidden="false" customHeight="false" outlineLevel="0" collapsed="false">
      <c r="A727" s="68" t="n">
        <v>75</v>
      </c>
      <c r="B727" s="68" t="s">
        <v>558</v>
      </c>
      <c r="C727" s="68" t="s">
        <v>608</v>
      </c>
      <c r="D727" s="68" t="s">
        <v>880</v>
      </c>
      <c r="E727" s="68" t="s">
        <v>115</v>
      </c>
      <c r="F727" s="68" t="s">
        <v>1612</v>
      </c>
      <c r="G727" s="68" t="s">
        <v>1854</v>
      </c>
      <c r="H727" s="68" t="s">
        <v>1367</v>
      </c>
    </row>
    <row r="728" customFormat="false" ht="15" hidden="false" customHeight="false" outlineLevel="0" collapsed="false">
      <c r="A728" s="68" t="n">
        <v>75</v>
      </c>
      <c r="B728" s="68" t="s">
        <v>558</v>
      </c>
      <c r="C728" s="68" t="s">
        <v>608</v>
      </c>
      <c r="D728" s="68" t="s">
        <v>1207</v>
      </c>
      <c r="E728" s="68" t="s">
        <v>369</v>
      </c>
      <c r="F728" s="68" t="s">
        <v>369</v>
      </c>
      <c r="G728" s="68" t="s">
        <v>1855</v>
      </c>
      <c r="H728" s="68" t="s">
        <v>1367</v>
      </c>
    </row>
    <row r="729" customFormat="false" ht="15" hidden="false" customHeight="false" outlineLevel="0" collapsed="false">
      <c r="A729" s="68" t="n">
        <v>75</v>
      </c>
      <c r="B729" s="68" t="s">
        <v>558</v>
      </c>
      <c r="C729" s="68" t="s">
        <v>608</v>
      </c>
      <c r="D729" s="68" t="s">
        <v>1584</v>
      </c>
      <c r="E729" s="68" t="s">
        <v>1585</v>
      </c>
      <c r="F729" s="68" t="s">
        <v>1586</v>
      </c>
      <c r="G729" s="68" t="s">
        <v>1856</v>
      </c>
      <c r="H729" s="68" t="s">
        <v>1367</v>
      </c>
    </row>
    <row r="730" customFormat="false" ht="15" hidden="false" customHeight="false" outlineLevel="0" collapsed="false">
      <c r="A730" s="68" t="n">
        <v>75</v>
      </c>
      <c r="B730" s="68" t="s">
        <v>558</v>
      </c>
      <c r="C730" s="68" t="s">
        <v>608</v>
      </c>
      <c r="D730" s="68" t="s">
        <v>258</v>
      </c>
      <c r="E730" s="68" t="s">
        <v>304</v>
      </c>
      <c r="F730" s="68" t="s">
        <v>1469</v>
      </c>
      <c r="G730" s="68"/>
      <c r="H730" s="85" t="s">
        <v>1369</v>
      </c>
    </row>
    <row r="731" customFormat="false" ht="15" hidden="false" customHeight="false" outlineLevel="0" collapsed="false">
      <c r="A731" s="68" t="n">
        <v>75</v>
      </c>
      <c r="B731" s="68" t="s">
        <v>558</v>
      </c>
      <c r="C731" s="68" t="s">
        <v>608</v>
      </c>
      <c r="D731" s="68" t="s">
        <v>1386</v>
      </c>
      <c r="E731" s="68" t="s">
        <v>307</v>
      </c>
      <c r="F731" s="68" t="s">
        <v>1700</v>
      </c>
      <c r="G731" s="68" t="s">
        <v>1852</v>
      </c>
      <c r="H731" s="68" t="s">
        <v>1367</v>
      </c>
    </row>
    <row r="732" customFormat="false" ht="15" hidden="false" customHeight="false" outlineLevel="0" collapsed="false">
      <c r="A732" s="68" t="n">
        <v>76</v>
      </c>
      <c r="B732" s="68" t="s">
        <v>558</v>
      </c>
      <c r="C732" s="68" t="s">
        <v>611</v>
      </c>
      <c r="D732" s="68" t="s">
        <v>261</v>
      </c>
      <c r="E732" s="68" t="s">
        <v>493</v>
      </c>
      <c r="F732" s="68" t="s">
        <v>1600</v>
      </c>
      <c r="G732" s="68" t="s">
        <v>1857</v>
      </c>
      <c r="H732" s="68" t="s">
        <v>1367</v>
      </c>
    </row>
    <row r="733" customFormat="false" ht="15" hidden="false" customHeight="false" outlineLevel="0" collapsed="false">
      <c r="A733" s="68" t="n">
        <v>76</v>
      </c>
      <c r="B733" s="68" t="s">
        <v>558</v>
      </c>
      <c r="C733" s="68" t="s">
        <v>611</v>
      </c>
      <c r="D733" s="68" t="s">
        <v>880</v>
      </c>
      <c r="E733" s="68" t="s">
        <v>111</v>
      </c>
      <c r="F733" s="68" t="s">
        <v>1578</v>
      </c>
      <c r="G733" s="68" t="s">
        <v>1858</v>
      </c>
      <c r="H733" s="68" t="s">
        <v>1367</v>
      </c>
    </row>
    <row r="734" customFormat="false" ht="15" hidden="false" customHeight="false" outlineLevel="0" collapsed="false">
      <c r="A734" s="68" t="n">
        <v>76</v>
      </c>
      <c r="B734" s="68" t="s">
        <v>558</v>
      </c>
      <c r="C734" s="68" t="s">
        <v>611</v>
      </c>
      <c r="D734" s="68" t="s">
        <v>1207</v>
      </c>
      <c r="E734" s="68" t="s">
        <v>312</v>
      </c>
      <c r="F734" s="68" t="s">
        <v>1583</v>
      </c>
      <c r="G734" s="68"/>
      <c r="H734" s="85" t="s">
        <v>1369</v>
      </c>
    </row>
    <row r="735" customFormat="false" ht="15" hidden="false" customHeight="false" outlineLevel="0" collapsed="false">
      <c r="A735" s="68" t="n">
        <v>76</v>
      </c>
      <c r="B735" s="68" t="s">
        <v>558</v>
      </c>
      <c r="C735" s="68" t="s">
        <v>611</v>
      </c>
      <c r="D735" s="68" t="s">
        <v>1584</v>
      </c>
      <c r="E735" s="68" t="s">
        <v>1605</v>
      </c>
      <c r="F735" s="68" t="s">
        <v>1606</v>
      </c>
      <c r="G735" s="68" t="s">
        <v>1859</v>
      </c>
      <c r="H735" s="68" t="s">
        <v>1367</v>
      </c>
    </row>
    <row r="736" customFormat="false" ht="15" hidden="false" customHeight="false" outlineLevel="0" collapsed="false">
      <c r="A736" s="68" t="n">
        <v>76</v>
      </c>
      <c r="B736" s="68" t="s">
        <v>558</v>
      </c>
      <c r="C736" s="68" t="s">
        <v>611</v>
      </c>
      <c r="D736" s="68" t="s">
        <v>258</v>
      </c>
      <c r="E736" s="68" t="s">
        <v>304</v>
      </c>
      <c r="F736" s="68" t="s">
        <v>1469</v>
      </c>
      <c r="G736" s="68"/>
      <c r="H736" s="85" t="s">
        <v>1369</v>
      </c>
    </row>
    <row r="737" customFormat="false" ht="15" hidden="false" customHeight="false" outlineLevel="0" collapsed="false">
      <c r="A737" s="68" t="n">
        <v>76</v>
      </c>
      <c r="B737" s="68" t="s">
        <v>558</v>
      </c>
      <c r="C737" s="68" t="s">
        <v>611</v>
      </c>
      <c r="D737" s="68" t="s">
        <v>1386</v>
      </c>
      <c r="E737" s="68" t="s">
        <v>307</v>
      </c>
      <c r="F737" s="68" t="s">
        <v>1700</v>
      </c>
      <c r="G737" s="68" t="s">
        <v>1852</v>
      </c>
      <c r="H737" s="68" t="s">
        <v>1367</v>
      </c>
    </row>
    <row r="738" customFormat="false" ht="15" hidden="false" customHeight="false" outlineLevel="0" collapsed="false">
      <c r="A738" s="68" t="n">
        <v>77</v>
      </c>
      <c r="B738" s="68" t="s">
        <v>558</v>
      </c>
      <c r="C738" s="68" t="s">
        <v>614</v>
      </c>
      <c r="D738" s="68" t="s">
        <v>261</v>
      </c>
      <c r="E738" s="68" t="s">
        <v>351</v>
      </c>
      <c r="F738" s="68" t="s">
        <v>1712</v>
      </c>
      <c r="G738" s="68" t="s">
        <v>1860</v>
      </c>
      <c r="H738" s="68" t="s">
        <v>1367</v>
      </c>
    </row>
    <row r="739" customFormat="false" ht="15" hidden="false" customHeight="false" outlineLevel="0" collapsed="false">
      <c r="A739" s="68" t="n">
        <v>77</v>
      </c>
      <c r="B739" s="68" t="s">
        <v>558</v>
      </c>
      <c r="C739" s="68" t="s">
        <v>614</v>
      </c>
      <c r="D739" s="68" t="s">
        <v>880</v>
      </c>
      <c r="E739" s="68" t="s">
        <v>115</v>
      </c>
      <c r="F739" s="68" t="s">
        <v>1612</v>
      </c>
      <c r="G739" s="68" t="s">
        <v>1861</v>
      </c>
      <c r="H739" s="68" t="s">
        <v>1367</v>
      </c>
    </row>
    <row r="740" customFormat="false" ht="15" hidden="false" customHeight="false" outlineLevel="0" collapsed="false">
      <c r="A740" s="68" t="n">
        <v>77</v>
      </c>
      <c r="B740" s="68" t="s">
        <v>558</v>
      </c>
      <c r="C740" s="68" t="s">
        <v>614</v>
      </c>
      <c r="D740" s="68" t="s">
        <v>1207</v>
      </c>
      <c r="E740" s="68" t="s">
        <v>369</v>
      </c>
      <c r="F740" s="68" t="s">
        <v>369</v>
      </c>
      <c r="G740" s="68" t="s">
        <v>1862</v>
      </c>
      <c r="H740" s="68" t="s">
        <v>1367</v>
      </c>
    </row>
    <row r="741" customFormat="false" ht="15" hidden="false" customHeight="false" outlineLevel="0" collapsed="false">
      <c r="A741" s="68" t="n">
        <v>77</v>
      </c>
      <c r="B741" s="68" t="s">
        <v>558</v>
      </c>
      <c r="C741" s="68" t="s">
        <v>614</v>
      </c>
      <c r="D741" s="68" t="s">
        <v>1584</v>
      </c>
      <c r="E741" s="68" t="s">
        <v>1585</v>
      </c>
      <c r="F741" s="68" t="s">
        <v>1586</v>
      </c>
      <c r="G741" s="68" t="s">
        <v>1863</v>
      </c>
      <c r="H741" s="68" t="s">
        <v>1367</v>
      </c>
    </row>
    <row r="742" customFormat="false" ht="15" hidden="false" customHeight="false" outlineLevel="0" collapsed="false">
      <c r="A742" s="68" t="n">
        <v>77</v>
      </c>
      <c r="B742" s="68" t="s">
        <v>558</v>
      </c>
      <c r="C742" s="68" t="s">
        <v>614</v>
      </c>
      <c r="D742" s="68" t="s">
        <v>258</v>
      </c>
      <c r="E742" s="68" t="s">
        <v>304</v>
      </c>
      <c r="F742" s="68" t="s">
        <v>1469</v>
      </c>
      <c r="G742" s="68"/>
      <c r="H742" s="85" t="s">
        <v>1369</v>
      </c>
    </row>
    <row r="743" customFormat="false" ht="15" hidden="false" customHeight="false" outlineLevel="0" collapsed="false">
      <c r="A743" s="68" t="n">
        <v>77</v>
      </c>
      <c r="B743" s="68" t="s">
        <v>558</v>
      </c>
      <c r="C743" s="68" t="s">
        <v>614</v>
      </c>
      <c r="D743" s="68" t="s">
        <v>1386</v>
      </c>
      <c r="E743" s="68" t="s">
        <v>307</v>
      </c>
      <c r="F743" s="68" t="s">
        <v>1700</v>
      </c>
      <c r="G743" s="68" t="s">
        <v>1864</v>
      </c>
      <c r="H743" s="68" t="s">
        <v>1367</v>
      </c>
    </row>
    <row r="744" customFormat="false" ht="15" hidden="false" customHeight="false" outlineLevel="0" collapsed="false">
      <c r="A744" s="68" t="n">
        <v>78</v>
      </c>
      <c r="B744" s="68" t="s">
        <v>558</v>
      </c>
      <c r="C744" s="68" t="s">
        <v>618</v>
      </c>
      <c r="D744" s="68" t="s">
        <v>246</v>
      </c>
      <c r="E744" s="68" t="s">
        <v>132</v>
      </c>
      <c r="F744" s="68" t="s">
        <v>1576</v>
      </c>
      <c r="G744" s="68" t="s">
        <v>1865</v>
      </c>
      <c r="H744" s="68" t="s">
        <v>1367</v>
      </c>
    </row>
    <row r="745" customFormat="false" ht="15" hidden="false" customHeight="false" outlineLevel="0" collapsed="false">
      <c r="A745" s="68" t="n">
        <v>78</v>
      </c>
      <c r="B745" s="68" t="s">
        <v>558</v>
      </c>
      <c r="C745" s="68" t="s">
        <v>618</v>
      </c>
      <c r="D745" s="68" t="s">
        <v>261</v>
      </c>
      <c r="E745" s="68" t="s">
        <v>306</v>
      </c>
      <c r="F745" s="68" t="s">
        <v>1576</v>
      </c>
      <c r="G745" s="68" t="s">
        <v>1865</v>
      </c>
      <c r="H745" s="68" t="s">
        <v>1367</v>
      </c>
    </row>
    <row r="746" customFormat="false" ht="15" hidden="false" customHeight="false" outlineLevel="0" collapsed="false">
      <c r="A746" s="68" t="n">
        <v>78</v>
      </c>
      <c r="B746" s="68" t="s">
        <v>558</v>
      </c>
      <c r="C746" s="68" t="s">
        <v>618</v>
      </c>
      <c r="D746" s="68" t="s">
        <v>880</v>
      </c>
      <c r="E746" s="68" t="s">
        <v>115</v>
      </c>
      <c r="F746" s="68" t="s">
        <v>1612</v>
      </c>
      <c r="G746" s="68" t="s">
        <v>1866</v>
      </c>
      <c r="H746" s="68" t="s">
        <v>1367</v>
      </c>
    </row>
    <row r="747" customFormat="false" ht="15" hidden="false" customHeight="false" outlineLevel="0" collapsed="false">
      <c r="A747" s="68" t="n">
        <v>78</v>
      </c>
      <c r="B747" s="68" t="s">
        <v>558</v>
      </c>
      <c r="C747" s="68" t="s">
        <v>618</v>
      </c>
      <c r="D747" s="68" t="s">
        <v>248</v>
      </c>
      <c r="E747" s="68" t="n">
        <v>50</v>
      </c>
      <c r="F747" s="68" t="n">
        <v>50</v>
      </c>
      <c r="G747" s="68" t="s">
        <v>1867</v>
      </c>
      <c r="H747" s="68" t="s">
        <v>1367</v>
      </c>
    </row>
    <row r="748" customFormat="false" ht="15" hidden="false" customHeight="false" outlineLevel="0" collapsed="false">
      <c r="A748" s="68" t="n">
        <v>78</v>
      </c>
      <c r="B748" s="68" t="s">
        <v>558</v>
      </c>
      <c r="C748" s="68" t="s">
        <v>618</v>
      </c>
      <c r="D748" s="68" t="s">
        <v>249</v>
      </c>
      <c r="E748" s="68" t="n">
        <v>30.6</v>
      </c>
      <c r="F748" s="68" t="s">
        <v>1868</v>
      </c>
      <c r="G748" s="68" t="s">
        <v>1869</v>
      </c>
      <c r="H748" s="85" t="s">
        <v>1371</v>
      </c>
    </row>
    <row r="749" customFormat="false" ht="15" hidden="false" customHeight="false" outlineLevel="0" collapsed="false">
      <c r="A749" s="68" t="n">
        <v>78</v>
      </c>
      <c r="B749" s="68" t="s">
        <v>558</v>
      </c>
      <c r="C749" s="68" t="s">
        <v>618</v>
      </c>
      <c r="D749" s="68" t="s">
        <v>1207</v>
      </c>
      <c r="E749" s="68" t="s">
        <v>312</v>
      </c>
      <c r="F749" s="68" t="s">
        <v>1583</v>
      </c>
      <c r="G749" s="68"/>
      <c r="H749" s="85" t="s">
        <v>1369</v>
      </c>
    </row>
    <row r="750" customFormat="false" ht="15" hidden="false" customHeight="false" outlineLevel="0" collapsed="false">
      <c r="A750" s="68" t="n">
        <v>78</v>
      </c>
      <c r="B750" s="68" t="s">
        <v>558</v>
      </c>
      <c r="C750" s="68" t="s">
        <v>618</v>
      </c>
      <c r="D750" s="68" t="s">
        <v>1584</v>
      </c>
      <c r="E750" s="68" t="s">
        <v>1585</v>
      </c>
      <c r="F750" s="68" t="s">
        <v>1586</v>
      </c>
      <c r="G750" s="68" t="s">
        <v>1870</v>
      </c>
      <c r="H750" s="68" t="s">
        <v>1367</v>
      </c>
    </row>
    <row r="751" customFormat="false" ht="15" hidden="false" customHeight="false" outlineLevel="0" collapsed="false">
      <c r="A751" s="68" t="n">
        <v>78</v>
      </c>
      <c r="B751" s="68" t="s">
        <v>558</v>
      </c>
      <c r="C751" s="68" t="s">
        <v>618</v>
      </c>
      <c r="D751" s="68" t="s">
        <v>258</v>
      </c>
      <c r="E751" s="68" t="s">
        <v>304</v>
      </c>
      <c r="F751" s="68" t="s">
        <v>1469</v>
      </c>
      <c r="G751" s="68"/>
      <c r="H751" s="85" t="s">
        <v>1369</v>
      </c>
    </row>
    <row r="752" customFormat="false" ht="15" hidden="false" customHeight="false" outlineLevel="0" collapsed="false">
      <c r="A752" s="68" t="n">
        <v>78</v>
      </c>
      <c r="B752" s="68" t="s">
        <v>558</v>
      </c>
      <c r="C752" s="68" t="s">
        <v>618</v>
      </c>
      <c r="D752" s="68" t="s">
        <v>1386</v>
      </c>
      <c r="E752" s="68" t="s">
        <v>307</v>
      </c>
      <c r="F752" s="68" t="s">
        <v>1700</v>
      </c>
      <c r="G752" s="68" t="s">
        <v>1871</v>
      </c>
      <c r="H752" s="68" t="s">
        <v>1367</v>
      </c>
    </row>
    <row r="753" customFormat="false" ht="15" hidden="false" customHeight="false" outlineLevel="0" collapsed="false">
      <c r="A753" s="68" t="n">
        <v>79</v>
      </c>
      <c r="B753" s="68" t="s">
        <v>476</v>
      </c>
      <c r="C753" s="68" t="s">
        <v>622</v>
      </c>
      <c r="D753" s="68" t="s">
        <v>243</v>
      </c>
      <c r="E753" s="68" t="s">
        <v>621</v>
      </c>
      <c r="F753" s="68" t="s">
        <v>621</v>
      </c>
      <c r="G753" s="68" t="s">
        <v>1872</v>
      </c>
      <c r="H753" s="68" t="s">
        <v>1367</v>
      </c>
    </row>
    <row r="754" customFormat="false" ht="15" hidden="false" customHeight="false" outlineLevel="0" collapsed="false">
      <c r="A754" s="68" t="n">
        <v>79</v>
      </c>
      <c r="B754" s="68" t="s">
        <v>476</v>
      </c>
      <c r="C754" s="68" t="s">
        <v>622</v>
      </c>
      <c r="D754" s="68" t="s">
        <v>260</v>
      </c>
      <c r="E754" s="68" t="n">
        <v>2</v>
      </c>
      <c r="F754" s="68" t="n">
        <v>2</v>
      </c>
      <c r="G754" s="68" t="s">
        <v>1873</v>
      </c>
      <c r="H754" s="68" t="s">
        <v>1367</v>
      </c>
    </row>
    <row r="755" customFormat="false" ht="15" hidden="false" customHeight="false" outlineLevel="0" collapsed="false">
      <c r="A755" s="68" t="n">
        <v>79</v>
      </c>
      <c r="B755" s="68" t="s">
        <v>476</v>
      </c>
      <c r="C755" s="68" t="s">
        <v>622</v>
      </c>
      <c r="D755" s="68" t="s">
        <v>261</v>
      </c>
      <c r="E755" s="68" t="s">
        <v>306</v>
      </c>
      <c r="F755" s="68" t="s">
        <v>1874</v>
      </c>
      <c r="G755" s="68" t="s">
        <v>1875</v>
      </c>
      <c r="H755" s="68" t="s">
        <v>1367</v>
      </c>
    </row>
    <row r="756" customFormat="false" ht="15" hidden="false" customHeight="false" outlineLevel="0" collapsed="false">
      <c r="A756" s="68" t="n">
        <v>79</v>
      </c>
      <c r="B756" s="68" t="s">
        <v>476</v>
      </c>
      <c r="C756" s="68" t="s">
        <v>622</v>
      </c>
      <c r="D756" s="68" t="s">
        <v>880</v>
      </c>
      <c r="E756" s="68" t="s">
        <v>74</v>
      </c>
      <c r="F756" s="68" t="s">
        <v>1876</v>
      </c>
      <c r="G756" s="68" t="s">
        <v>1877</v>
      </c>
      <c r="H756" s="68" t="s">
        <v>1367</v>
      </c>
    </row>
    <row r="757" customFormat="false" ht="15" hidden="false" customHeight="false" outlineLevel="0" collapsed="false">
      <c r="A757" s="68" t="n">
        <v>79</v>
      </c>
      <c r="B757" s="68" t="s">
        <v>476</v>
      </c>
      <c r="C757" s="68" t="s">
        <v>622</v>
      </c>
      <c r="D757" s="68" t="s">
        <v>248</v>
      </c>
      <c r="E757" s="68" t="n">
        <v>48</v>
      </c>
      <c r="F757" s="68" t="n">
        <v>48</v>
      </c>
      <c r="G757" s="68" t="s">
        <v>1878</v>
      </c>
      <c r="H757" s="68" t="s">
        <v>1367</v>
      </c>
    </row>
    <row r="758" customFormat="false" ht="15" hidden="false" customHeight="false" outlineLevel="0" collapsed="false">
      <c r="A758" s="68" t="n">
        <v>79</v>
      </c>
      <c r="B758" s="68" t="s">
        <v>476</v>
      </c>
      <c r="C758" s="68" t="s">
        <v>622</v>
      </c>
      <c r="D758" s="68" t="s">
        <v>249</v>
      </c>
      <c r="E758" s="68" t="n">
        <v>36</v>
      </c>
      <c r="F758" s="68" t="n">
        <v>36</v>
      </c>
      <c r="G758" s="68" t="s">
        <v>1879</v>
      </c>
      <c r="H758" s="68" t="s">
        <v>1367</v>
      </c>
    </row>
    <row r="759" customFormat="false" ht="15" hidden="false" customHeight="false" outlineLevel="0" collapsed="false">
      <c r="A759" s="68" t="n">
        <v>79</v>
      </c>
      <c r="B759" s="68" t="s">
        <v>476</v>
      </c>
      <c r="C759" s="68" t="s">
        <v>622</v>
      </c>
      <c r="D759" s="68" t="s">
        <v>262</v>
      </c>
      <c r="E759" s="68" t="n">
        <v>3</v>
      </c>
      <c r="F759" s="68" t="n">
        <v>3</v>
      </c>
      <c r="G759" s="68" t="s">
        <v>1880</v>
      </c>
      <c r="H759" s="68" t="s">
        <v>1367</v>
      </c>
    </row>
    <row r="760" customFormat="false" ht="15" hidden="false" customHeight="false" outlineLevel="0" collapsed="false">
      <c r="A760" s="68" t="n">
        <v>79</v>
      </c>
      <c r="B760" s="68" t="s">
        <v>476</v>
      </c>
      <c r="C760" s="68" t="s">
        <v>622</v>
      </c>
      <c r="D760" s="68" t="s">
        <v>1207</v>
      </c>
      <c r="E760" s="68" t="s">
        <v>312</v>
      </c>
      <c r="F760" s="68" t="s">
        <v>1583</v>
      </c>
      <c r="G760" s="68"/>
      <c r="H760" s="85" t="s">
        <v>1369</v>
      </c>
    </row>
    <row r="761" customFormat="false" ht="15" hidden="false" customHeight="false" outlineLevel="0" collapsed="false">
      <c r="A761" s="68" t="n">
        <v>79</v>
      </c>
      <c r="B761" s="68" t="s">
        <v>476</v>
      </c>
      <c r="C761" s="68" t="s">
        <v>622</v>
      </c>
      <c r="D761" s="68" t="s">
        <v>1584</v>
      </c>
      <c r="E761" s="68" t="s">
        <v>1881</v>
      </c>
      <c r="F761" s="68" t="s">
        <v>1882</v>
      </c>
      <c r="G761" s="68" t="s">
        <v>1883</v>
      </c>
      <c r="H761" s="68" t="s">
        <v>1367</v>
      </c>
    </row>
    <row r="762" customFormat="false" ht="15" hidden="false" customHeight="false" outlineLevel="0" collapsed="false">
      <c r="A762" s="68" t="n">
        <v>79</v>
      </c>
      <c r="B762" s="68" t="s">
        <v>476</v>
      </c>
      <c r="C762" s="68" t="s">
        <v>622</v>
      </c>
      <c r="D762" s="68" t="s">
        <v>258</v>
      </c>
      <c r="E762" s="68" t="s">
        <v>304</v>
      </c>
      <c r="F762" s="68" t="s">
        <v>1469</v>
      </c>
      <c r="G762" s="68"/>
      <c r="H762" s="85" t="s">
        <v>1369</v>
      </c>
    </row>
    <row r="763" customFormat="false" ht="15" hidden="false" customHeight="false" outlineLevel="0" collapsed="false">
      <c r="A763" s="68" t="n">
        <v>79</v>
      </c>
      <c r="B763" s="68" t="s">
        <v>476</v>
      </c>
      <c r="C763" s="68" t="s">
        <v>622</v>
      </c>
      <c r="D763" s="68" t="s">
        <v>923</v>
      </c>
      <c r="E763" s="68" t="s">
        <v>363</v>
      </c>
      <c r="F763" s="68" t="s">
        <v>363</v>
      </c>
      <c r="G763" s="68" t="s">
        <v>1884</v>
      </c>
      <c r="H763" s="68" t="s">
        <v>1367</v>
      </c>
    </row>
    <row r="764" customFormat="false" ht="15" hidden="false" customHeight="false" outlineLevel="0" collapsed="false">
      <c r="A764" s="68" t="n">
        <v>79</v>
      </c>
      <c r="B764" s="68" t="s">
        <v>476</v>
      </c>
      <c r="C764" s="68" t="s">
        <v>622</v>
      </c>
      <c r="D764" s="68" t="s">
        <v>1386</v>
      </c>
      <c r="E764" s="68" t="n">
        <v>6500</v>
      </c>
      <c r="F764" s="68" t="n">
        <v>6500</v>
      </c>
      <c r="G764" s="68" t="s">
        <v>1884</v>
      </c>
      <c r="H764" s="68" t="s">
        <v>1367</v>
      </c>
    </row>
    <row r="765" customFormat="false" ht="15" hidden="false" customHeight="false" outlineLevel="0" collapsed="false">
      <c r="A765" s="68" t="n">
        <v>80</v>
      </c>
      <c r="B765" s="68" t="s">
        <v>476</v>
      </c>
      <c r="C765" s="68" t="s">
        <v>628</v>
      </c>
      <c r="D765" s="68" t="s">
        <v>243</v>
      </c>
      <c r="E765" s="68" t="s">
        <v>627</v>
      </c>
      <c r="F765" s="68" t="s">
        <v>1885</v>
      </c>
      <c r="G765" s="68" t="s">
        <v>1886</v>
      </c>
      <c r="H765" s="68" t="s">
        <v>1367</v>
      </c>
    </row>
    <row r="766" customFormat="false" ht="15" hidden="false" customHeight="false" outlineLevel="0" collapsed="false">
      <c r="A766" s="68" t="n">
        <v>80</v>
      </c>
      <c r="B766" s="68" t="s">
        <v>476</v>
      </c>
      <c r="C766" s="68" t="s">
        <v>628</v>
      </c>
      <c r="D766" s="68" t="s">
        <v>260</v>
      </c>
      <c r="E766" s="68" t="n">
        <v>1</v>
      </c>
      <c r="F766" s="68" t="n">
        <v>1</v>
      </c>
      <c r="G766" s="68" t="s">
        <v>1887</v>
      </c>
      <c r="H766" s="68" t="s">
        <v>1367</v>
      </c>
    </row>
    <row r="767" customFormat="false" ht="15" hidden="false" customHeight="false" outlineLevel="0" collapsed="false">
      <c r="A767" s="68" t="n">
        <v>80</v>
      </c>
      <c r="B767" s="68" t="s">
        <v>476</v>
      </c>
      <c r="C767" s="68" t="s">
        <v>628</v>
      </c>
      <c r="D767" s="68" t="s">
        <v>261</v>
      </c>
      <c r="E767" s="68" t="s">
        <v>306</v>
      </c>
      <c r="F767" s="68" t="s">
        <v>1874</v>
      </c>
      <c r="G767" s="68" t="s">
        <v>1888</v>
      </c>
      <c r="H767" s="68" t="s">
        <v>1367</v>
      </c>
    </row>
    <row r="768" customFormat="false" ht="15" hidden="false" customHeight="false" outlineLevel="0" collapsed="false">
      <c r="A768" s="68" t="n">
        <v>80</v>
      </c>
      <c r="B768" s="68" t="s">
        <v>476</v>
      </c>
      <c r="C768" s="68" t="s">
        <v>628</v>
      </c>
      <c r="D768" s="68" t="s">
        <v>880</v>
      </c>
      <c r="E768" s="68" t="s">
        <v>74</v>
      </c>
      <c r="F768" s="68" t="s">
        <v>1876</v>
      </c>
      <c r="G768" s="68" t="s">
        <v>1889</v>
      </c>
      <c r="H768" s="68" t="s">
        <v>1367</v>
      </c>
    </row>
    <row r="769" customFormat="false" ht="15" hidden="false" customHeight="false" outlineLevel="0" collapsed="false">
      <c r="A769" s="68" t="n">
        <v>80</v>
      </c>
      <c r="B769" s="68" t="s">
        <v>476</v>
      </c>
      <c r="C769" s="68" t="s">
        <v>628</v>
      </c>
      <c r="D769" s="68" t="s">
        <v>248</v>
      </c>
      <c r="E769" s="68" t="n">
        <v>33</v>
      </c>
      <c r="F769" s="68" t="n">
        <v>33</v>
      </c>
      <c r="G769" s="68" t="s">
        <v>1890</v>
      </c>
      <c r="H769" s="68" t="s">
        <v>1367</v>
      </c>
    </row>
    <row r="770" customFormat="false" ht="15" hidden="false" customHeight="false" outlineLevel="0" collapsed="false">
      <c r="A770" s="68" t="n">
        <v>80</v>
      </c>
      <c r="B770" s="68" t="s">
        <v>476</v>
      </c>
      <c r="C770" s="68" t="s">
        <v>628</v>
      </c>
      <c r="D770" s="68" t="s">
        <v>249</v>
      </c>
      <c r="E770" s="68" t="n">
        <v>31</v>
      </c>
      <c r="F770" s="68" t="n">
        <v>31</v>
      </c>
      <c r="G770" s="68" t="s">
        <v>1891</v>
      </c>
      <c r="H770" s="68" t="s">
        <v>1367</v>
      </c>
    </row>
    <row r="771" customFormat="false" ht="15" hidden="false" customHeight="false" outlineLevel="0" collapsed="false">
      <c r="A771" s="68" t="n">
        <v>80</v>
      </c>
      <c r="B771" s="68" t="s">
        <v>476</v>
      </c>
      <c r="C771" s="68" t="s">
        <v>628</v>
      </c>
      <c r="D771" s="68" t="s">
        <v>262</v>
      </c>
      <c r="E771" s="68" t="n">
        <v>2.9</v>
      </c>
      <c r="F771" s="68" t="n">
        <v>2.9</v>
      </c>
      <c r="G771" s="68" t="s">
        <v>1892</v>
      </c>
      <c r="H771" s="68" t="s">
        <v>1367</v>
      </c>
    </row>
    <row r="772" customFormat="false" ht="15" hidden="false" customHeight="false" outlineLevel="0" collapsed="false">
      <c r="A772" s="68" t="n">
        <v>80</v>
      </c>
      <c r="B772" s="68" t="s">
        <v>476</v>
      </c>
      <c r="C772" s="68" t="s">
        <v>628</v>
      </c>
      <c r="D772" s="68" t="s">
        <v>1207</v>
      </c>
      <c r="E772" s="68" t="s">
        <v>312</v>
      </c>
      <c r="F772" s="68" t="s">
        <v>1583</v>
      </c>
      <c r="G772" s="68"/>
      <c r="H772" s="85" t="s">
        <v>1369</v>
      </c>
    </row>
    <row r="773" customFormat="false" ht="15" hidden="false" customHeight="false" outlineLevel="0" collapsed="false">
      <c r="A773" s="68" t="n">
        <v>80</v>
      </c>
      <c r="B773" s="68" t="s">
        <v>476</v>
      </c>
      <c r="C773" s="68" t="s">
        <v>628</v>
      </c>
      <c r="D773" s="68" t="s">
        <v>1584</v>
      </c>
      <c r="E773" s="68" t="s">
        <v>1881</v>
      </c>
      <c r="F773" s="68" t="s">
        <v>1882</v>
      </c>
      <c r="G773" s="68" t="s">
        <v>1893</v>
      </c>
      <c r="H773" s="68" t="s">
        <v>1367</v>
      </c>
    </row>
    <row r="774" customFormat="false" ht="15" hidden="false" customHeight="false" outlineLevel="0" collapsed="false">
      <c r="A774" s="68" t="n">
        <v>80</v>
      </c>
      <c r="B774" s="68" t="s">
        <v>476</v>
      </c>
      <c r="C774" s="68" t="s">
        <v>628</v>
      </c>
      <c r="D774" s="68" t="s">
        <v>258</v>
      </c>
      <c r="E774" s="68" t="s">
        <v>304</v>
      </c>
      <c r="F774" s="68" t="s">
        <v>1469</v>
      </c>
      <c r="G774" s="68"/>
      <c r="H774" s="85" t="s">
        <v>1369</v>
      </c>
    </row>
    <row r="775" customFormat="false" ht="15" hidden="false" customHeight="false" outlineLevel="0" collapsed="false">
      <c r="A775" s="68" t="n">
        <v>80</v>
      </c>
      <c r="B775" s="68" t="s">
        <v>476</v>
      </c>
      <c r="C775" s="68" t="s">
        <v>628</v>
      </c>
      <c r="D775" s="68" t="s">
        <v>923</v>
      </c>
      <c r="E775" s="68" t="s">
        <v>363</v>
      </c>
      <c r="F775" s="68" t="s">
        <v>363</v>
      </c>
      <c r="G775" s="68" t="s">
        <v>1894</v>
      </c>
      <c r="H775" s="68" t="s">
        <v>1367</v>
      </c>
    </row>
    <row r="776" customFormat="false" ht="15" hidden="false" customHeight="false" outlineLevel="0" collapsed="false">
      <c r="A776" s="68" t="n">
        <v>80</v>
      </c>
      <c r="B776" s="68" t="s">
        <v>476</v>
      </c>
      <c r="C776" s="68" t="s">
        <v>628</v>
      </c>
      <c r="D776" s="68" t="s">
        <v>1386</v>
      </c>
      <c r="E776" s="68" t="n">
        <v>6500</v>
      </c>
      <c r="F776" s="68" t="n">
        <v>6500</v>
      </c>
      <c r="G776" s="68" t="s">
        <v>1894</v>
      </c>
      <c r="H776" s="68" t="s">
        <v>1367</v>
      </c>
    </row>
    <row r="777" customFormat="false" ht="15" hidden="false" customHeight="false" outlineLevel="0" collapsed="false">
      <c r="A777" s="68" t="n">
        <v>81</v>
      </c>
      <c r="B777" s="68" t="s">
        <v>476</v>
      </c>
      <c r="C777" s="68" t="s">
        <v>632</v>
      </c>
      <c r="D777" s="68" t="s">
        <v>243</v>
      </c>
      <c r="E777" s="68" t="s">
        <v>631</v>
      </c>
      <c r="F777" s="68" t="s">
        <v>631</v>
      </c>
      <c r="G777" s="68" t="s">
        <v>1895</v>
      </c>
      <c r="H777" s="68" t="s">
        <v>1367</v>
      </c>
    </row>
    <row r="778" customFormat="false" ht="15" hidden="false" customHeight="false" outlineLevel="0" collapsed="false">
      <c r="A778" s="68" t="n">
        <v>81</v>
      </c>
      <c r="B778" s="68" t="s">
        <v>476</v>
      </c>
      <c r="C778" s="68" t="s">
        <v>632</v>
      </c>
      <c r="D778" s="68" t="s">
        <v>260</v>
      </c>
      <c r="E778" s="68" t="n">
        <v>1</v>
      </c>
      <c r="F778" s="68" t="n">
        <v>1</v>
      </c>
      <c r="G778" s="68" t="s">
        <v>1896</v>
      </c>
      <c r="H778" s="68" t="s">
        <v>1367</v>
      </c>
    </row>
    <row r="779" customFormat="false" ht="15" hidden="false" customHeight="false" outlineLevel="0" collapsed="false">
      <c r="A779" s="68" t="n">
        <v>81</v>
      </c>
      <c r="B779" s="68" t="s">
        <v>476</v>
      </c>
      <c r="C779" s="68" t="s">
        <v>632</v>
      </c>
      <c r="D779" s="68" t="s">
        <v>246</v>
      </c>
      <c r="E779" s="68" t="s">
        <v>171</v>
      </c>
      <c r="F779" s="68" t="s">
        <v>1897</v>
      </c>
      <c r="G779" s="68" t="s">
        <v>1898</v>
      </c>
      <c r="H779" s="68" t="s">
        <v>1367</v>
      </c>
    </row>
    <row r="780" customFormat="false" ht="15" hidden="false" customHeight="false" outlineLevel="0" collapsed="false">
      <c r="A780" s="68" t="n">
        <v>81</v>
      </c>
      <c r="B780" s="68" t="s">
        <v>476</v>
      </c>
      <c r="C780" s="68" t="s">
        <v>632</v>
      </c>
      <c r="D780" s="68" t="s">
        <v>261</v>
      </c>
      <c r="E780" s="68" t="s">
        <v>306</v>
      </c>
      <c r="F780" s="68" t="s">
        <v>1897</v>
      </c>
      <c r="G780" s="68" t="s">
        <v>1898</v>
      </c>
      <c r="H780" s="68" t="s">
        <v>1367</v>
      </c>
    </row>
    <row r="781" customFormat="false" ht="15" hidden="false" customHeight="false" outlineLevel="0" collapsed="false">
      <c r="A781" s="68" t="n">
        <v>81</v>
      </c>
      <c r="B781" s="68" t="s">
        <v>476</v>
      </c>
      <c r="C781" s="68" t="s">
        <v>632</v>
      </c>
      <c r="D781" s="68" t="s">
        <v>880</v>
      </c>
      <c r="E781" s="68" t="s">
        <v>90</v>
      </c>
      <c r="F781" s="68" t="s">
        <v>1660</v>
      </c>
      <c r="G781" s="68" t="s">
        <v>1899</v>
      </c>
      <c r="H781" s="68" t="s">
        <v>1367</v>
      </c>
    </row>
    <row r="782" customFormat="false" ht="15" hidden="false" customHeight="false" outlineLevel="0" collapsed="false">
      <c r="A782" s="68" t="n">
        <v>81</v>
      </c>
      <c r="B782" s="68" t="s">
        <v>476</v>
      </c>
      <c r="C782" s="68" t="s">
        <v>632</v>
      </c>
      <c r="D782" s="68" t="s">
        <v>248</v>
      </c>
      <c r="E782" s="68" t="n">
        <v>5.5</v>
      </c>
      <c r="F782" s="68" t="n">
        <v>5.5</v>
      </c>
      <c r="G782" s="68" t="s">
        <v>1900</v>
      </c>
      <c r="H782" s="68" t="s">
        <v>1367</v>
      </c>
    </row>
    <row r="783" customFormat="false" ht="15" hidden="false" customHeight="false" outlineLevel="0" collapsed="false">
      <c r="A783" s="68" t="n">
        <v>81</v>
      </c>
      <c r="B783" s="68" t="s">
        <v>476</v>
      </c>
      <c r="C783" s="68" t="s">
        <v>632</v>
      </c>
      <c r="D783" s="68" t="s">
        <v>249</v>
      </c>
      <c r="E783" s="68" t="n">
        <v>43</v>
      </c>
      <c r="F783" s="68" t="n">
        <v>43</v>
      </c>
      <c r="G783" s="68" t="s">
        <v>1901</v>
      </c>
      <c r="H783" s="68" t="s">
        <v>1367</v>
      </c>
    </row>
    <row r="784" customFormat="false" ht="15" hidden="false" customHeight="false" outlineLevel="0" collapsed="false">
      <c r="A784" s="68" t="n">
        <v>81</v>
      </c>
      <c r="B784" s="68" t="s">
        <v>476</v>
      </c>
      <c r="C784" s="68" t="s">
        <v>632</v>
      </c>
      <c r="D784" s="68" t="s">
        <v>262</v>
      </c>
      <c r="E784" s="68" t="n">
        <v>3.03</v>
      </c>
      <c r="F784" s="68" t="n">
        <v>3.03</v>
      </c>
      <c r="G784" s="68" t="s">
        <v>1902</v>
      </c>
      <c r="H784" s="68" t="s">
        <v>1367</v>
      </c>
    </row>
    <row r="785" customFormat="false" ht="15" hidden="false" customHeight="false" outlineLevel="0" collapsed="false">
      <c r="A785" s="68" t="n">
        <v>81</v>
      </c>
      <c r="B785" s="68" t="s">
        <v>476</v>
      </c>
      <c r="C785" s="68" t="s">
        <v>632</v>
      </c>
      <c r="D785" s="68" t="s">
        <v>1207</v>
      </c>
      <c r="E785" s="68" t="s">
        <v>312</v>
      </c>
      <c r="F785" s="68" t="s">
        <v>1583</v>
      </c>
      <c r="G785" s="68"/>
      <c r="H785" s="85" t="s">
        <v>1369</v>
      </c>
    </row>
    <row r="786" customFormat="false" ht="15" hidden="false" customHeight="false" outlineLevel="0" collapsed="false">
      <c r="A786" s="68" t="n">
        <v>81</v>
      </c>
      <c r="B786" s="68" t="s">
        <v>476</v>
      </c>
      <c r="C786" s="68" t="s">
        <v>632</v>
      </c>
      <c r="D786" s="68" t="s">
        <v>1584</v>
      </c>
      <c r="E786" s="68" t="s">
        <v>1585</v>
      </c>
      <c r="F786" s="68" t="s">
        <v>1586</v>
      </c>
      <c r="G786" s="68" t="s">
        <v>1903</v>
      </c>
      <c r="H786" s="68" t="s">
        <v>1367</v>
      </c>
    </row>
    <row r="787" customFormat="false" ht="15" hidden="false" customHeight="false" outlineLevel="0" collapsed="false">
      <c r="A787" s="68" t="n">
        <v>81</v>
      </c>
      <c r="B787" s="68" t="s">
        <v>476</v>
      </c>
      <c r="C787" s="68" t="s">
        <v>632</v>
      </c>
      <c r="D787" s="68" t="s">
        <v>258</v>
      </c>
      <c r="E787" s="68" t="s">
        <v>304</v>
      </c>
      <c r="F787" s="68" t="s">
        <v>1469</v>
      </c>
      <c r="G787" s="68"/>
      <c r="H787" s="85" t="s">
        <v>1369</v>
      </c>
    </row>
    <row r="788" customFormat="false" ht="15" hidden="false" customHeight="false" outlineLevel="0" collapsed="false">
      <c r="A788" s="68" t="n">
        <v>81</v>
      </c>
      <c r="B788" s="68" t="s">
        <v>476</v>
      </c>
      <c r="C788" s="68" t="s">
        <v>632</v>
      </c>
      <c r="D788" s="68" t="s">
        <v>923</v>
      </c>
      <c r="E788" s="68" t="s">
        <v>363</v>
      </c>
      <c r="F788" s="68" t="s">
        <v>363</v>
      </c>
      <c r="G788" s="68" t="s">
        <v>1904</v>
      </c>
      <c r="H788" s="68" t="s">
        <v>1367</v>
      </c>
    </row>
    <row r="789" customFormat="false" ht="15" hidden="false" customHeight="false" outlineLevel="0" collapsed="false">
      <c r="A789" s="68" t="n">
        <v>81</v>
      </c>
      <c r="B789" s="68" t="s">
        <v>476</v>
      </c>
      <c r="C789" s="68" t="s">
        <v>632</v>
      </c>
      <c r="D789" s="68" t="s">
        <v>1386</v>
      </c>
      <c r="E789" s="68" t="n">
        <v>10000</v>
      </c>
      <c r="F789" s="68" t="n">
        <v>10000</v>
      </c>
      <c r="G789" s="68" t="s">
        <v>1904</v>
      </c>
      <c r="H789" s="68" t="s">
        <v>1367</v>
      </c>
    </row>
    <row r="790" customFormat="false" ht="15" hidden="false" customHeight="false" outlineLevel="0" collapsed="false">
      <c r="A790" s="68" t="n">
        <v>82</v>
      </c>
      <c r="B790" s="68" t="s">
        <v>476</v>
      </c>
      <c r="C790" s="68" t="s">
        <v>636</v>
      </c>
      <c r="D790" s="68" t="s">
        <v>243</v>
      </c>
      <c r="E790" s="68" t="s">
        <v>635</v>
      </c>
      <c r="F790" s="68" t="s">
        <v>635</v>
      </c>
      <c r="G790" s="68" t="s">
        <v>1905</v>
      </c>
      <c r="H790" s="68" t="s">
        <v>1367</v>
      </c>
    </row>
    <row r="791" customFormat="false" ht="15" hidden="false" customHeight="false" outlineLevel="0" collapsed="false">
      <c r="A791" s="68" t="n">
        <v>82</v>
      </c>
      <c r="B791" s="68" t="s">
        <v>476</v>
      </c>
      <c r="C791" s="68" t="s">
        <v>636</v>
      </c>
      <c r="D791" s="68" t="s">
        <v>260</v>
      </c>
      <c r="E791" s="68" t="n">
        <v>1</v>
      </c>
      <c r="F791" s="68" t="n">
        <v>1</v>
      </c>
      <c r="G791" s="68" t="s">
        <v>1906</v>
      </c>
      <c r="H791" s="68" t="s">
        <v>1367</v>
      </c>
    </row>
    <row r="792" customFormat="false" ht="15" hidden="false" customHeight="false" outlineLevel="0" collapsed="false">
      <c r="A792" s="68" t="n">
        <v>82</v>
      </c>
      <c r="B792" s="68" t="s">
        <v>476</v>
      </c>
      <c r="C792" s="68" t="s">
        <v>636</v>
      </c>
      <c r="D792" s="68" t="s">
        <v>261</v>
      </c>
      <c r="E792" s="68" t="s">
        <v>306</v>
      </c>
      <c r="F792" s="68" t="s">
        <v>1874</v>
      </c>
      <c r="G792" s="68" t="s">
        <v>1907</v>
      </c>
      <c r="H792" s="68" t="s">
        <v>1367</v>
      </c>
    </row>
    <row r="793" customFormat="false" ht="15" hidden="false" customHeight="false" outlineLevel="0" collapsed="false">
      <c r="A793" s="68" t="n">
        <v>82</v>
      </c>
      <c r="B793" s="68" t="s">
        <v>476</v>
      </c>
      <c r="C793" s="68" t="s">
        <v>636</v>
      </c>
      <c r="D793" s="68" t="s">
        <v>880</v>
      </c>
      <c r="E793" s="68" t="s">
        <v>78</v>
      </c>
      <c r="F793" s="68" t="s">
        <v>1908</v>
      </c>
      <c r="G793" s="68" t="s">
        <v>1909</v>
      </c>
      <c r="H793" s="68" t="s">
        <v>1367</v>
      </c>
    </row>
    <row r="794" customFormat="false" ht="15" hidden="false" customHeight="false" outlineLevel="0" collapsed="false">
      <c r="A794" s="68" t="n">
        <v>82</v>
      </c>
      <c r="B794" s="68" t="s">
        <v>476</v>
      </c>
      <c r="C794" s="68" t="s">
        <v>636</v>
      </c>
      <c r="D794" s="68" t="s">
        <v>248</v>
      </c>
      <c r="E794" s="68" t="n">
        <v>10</v>
      </c>
      <c r="F794" s="68" t="n">
        <v>10</v>
      </c>
      <c r="G794" s="68" t="s">
        <v>1910</v>
      </c>
      <c r="H794" s="68" t="s">
        <v>1367</v>
      </c>
    </row>
    <row r="795" customFormat="false" ht="15" hidden="false" customHeight="false" outlineLevel="0" collapsed="false">
      <c r="A795" s="68" t="n">
        <v>82</v>
      </c>
      <c r="B795" s="68" t="s">
        <v>476</v>
      </c>
      <c r="C795" s="68" t="s">
        <v>636</v>
      </c>
      <c r="D795" s="68" t="s">
        <v>249</v>
      </c>
      <c r="E795" s="68" t="n">
        <v>41</v>
      </c>
      <c r="F795" s="68" t="n">
        <v>41</v>
      </c>
      <c r="G795" s="68" t="s">
        <v>1911</v>
      </c>
      <c r="H795" s="68" t="s">
        <v>1367</v>
      </c>
    </row>
    <row r="796" customFormat="false" ht="15" hidden="false" customHeight="false" outlineLevel="0" collapsed="false">
      <c r="A796" s="68" t="n">
        <v>82</v>
      </c>
      <c r="B796" s="68" t="s">
        <v>476</v>
      </c>
      <c r="C796" s="68" t="s">
        <v>636</v>
      </c>
      <c r="D796" s="68" t="s">
        <v>262</v>
      </c>
      <c r="E796" s="68" t="n">
        <v>3.1</v>
      </c>
      <c r="F796" s="68" t="n">
        <v>3.1</v>
      </c>
      <c r="G796" s="68" t="s">
        <v>1912</v>
      </c>
      <c r="H796" s="68" t="s">
        <v>1367</v>
      </c>
    </row>
    <row r="797" customFormat="false" ht="15" hidden="false" customHeight="false" outlineLevel="0" collapsed="false">
      <c r="A797" s="68" t="n">
        <v>82</v>
      </c>
      <c r="B797" s="68" t="s">
        <v>476</v>
      </c>
      <c r="C797" s="68" t="s">
        <v>636</v>
      </c>
      <c r="D797" s="68" t="s">
        <v>1207</v>
      </c>
      <c r="E797" s="68" t="s">
        <v>312</v>
      </c>
      <c r="F797" s="68" t="s">
        <v>1583</v>
      </c>
      <c r="G797" s="68"/>
      <c r="H797" s="85" t="s">
        <v>1369</v>
      </c>
    </row>
    <row r="798" customFormat="false" ht="15" hidden="false" customHeight="false" outlineLevel="0" collapsed="false">
      <c r="A798" s="68" t="n">
        <v>82</v>
      </c>
      <c r="B798" s="68" t="s">
        <v>476</v>
      </c>
      <c r="C798" s="68" t="s">
        <v>636</v>
      </c>
      <c r="D798" s="68" t="s">
        <v>1584</v>
      </c>
      <c r="E798" s="68" t="s">
        <v>1881</v>
      </c>
      <c r="F798" s="68" t="s">
        <v>1882</v>
      </c>
      <c r="G798" s="68" t="s">
        <v>1913</v>
      </c>
      <c r="H798" s="68" t="s">
        <v>1367</v>
      </c>
    </row>
    <row r="799" customFormat="false" ht="15" hidden="false" customHeight="false" outlineLevel="0" collapsed="false">
      <c r="A799" s="68" t="n">
        <v>82</v>
      </c>
      <c r="B799" s="68" t="s">
        <v>476</v>
      </c>
      <c r="C799" s="68" t="s">
        <v>636</v>
      </c>
      <c r="D799" s="68" t="s">
        <v>258</v>
      </c>
      <c r="E799" s="68" t="s">
        <v>304</v>
      </c>
      <c r="F799" s="68" t="s">
        <v>1469</v>
      </c>
      <c r="G799" s="68"/>
      <c r="H799" s="85" t="s">
        <v>1369</v>
      </c>
    </row>
    <row r="800" customFormat="false" ht="15" hidden="false" customHeight="false" outlineLevel="0" collapsed="false">
      <c r="A800" s="68" t="n">
        <v>82</v>
      </c>
      <c r="B800" s="68" t="s">
        <v>476</v>
      </c>
      <c r="C800" s="68" t="s">
        <v>636</v>
      </c>
      <c r="D800" s="68" t="s">
        <v>923</v>
      </c>
      <c r="E800" s="68" t="s">
        <v>363</v>
      </c>
      <c r="F800" s="68" t="s">
        <v>363</v>
      </c>
      <c r="G800" s="68" t="s">
        <v>1914</v>
      </c>
      <c r="H800" s="68" t="s">
        <v>1367</v>
      </c>
    </row>
    <row r="801" customFormat="false" ht="15" hidden="false" customHeight="false" outlineLevel="0" collapsed="false">
      <c r="A801" s="68" t="n">
        <v>82</v>
      </c>
      <c r="B801" s="68" t="s">
        <v>476</v>
      </c>
      <c r="C801" s="68" t="s">
        <v>636</v>
      </c>
      <c r="D801" s="68" t="s">
        <v>1386</v>
      </c>
      <c r="E801" s="68" t="n">
        <v>7000</v>
      </c>
      <c r="F801" s="68" t="n">
        <v>7000</v>
      </c>
      <c r="G801" s="68" t="s">
        <v>1914</v>
      </c>
      <c r="H801" s="68" t="s">
        <v>1367</v>
      </c>
    </row>
    <row r="802" customFormat="false" ht="15" hidden="false" customHeight="false" outlineLevel="0" collapsed="false">
      <c r="A802" s="68" t="n">
        <v>83</v>
      </c>
      <c r="B802" s="68" t="s">
        <v>476</v>
      </c>
      <c r="C802" s="68" t="s">
        <v>640</v>
      </c>
      <c r="D802" s="68" t="s">
        <v>243</v>
      </c>
      <c r="E802" s="68" t="s">
        <v>639</v>
      </c>
      <c r="F802" s="68" t="s">
        <v>639</v>
      </c>
      <c r="G802" s="68" t="s">
        <v>1915</v>
      </c>
      <c r="H802" s="68" t="s">
        <v>1367</v>
      </c>
    </row>
    <row r="803" customFormat="false" ht="15" hidden="false" customHeight="false" outlineLevel="0" collapsed="false">
      <c r="A803" s="68" t="n">
        <v>83</v>
      </c>
      <c r="B803" s="68" t="s">
        <v>476</v>
      </c>
      <c r="C803" s="68" t="s">
        <v>640</v>
      </c>
      <c r="D803" s="68" t="s">
        <v>260</v>
      </c>
      <c r="E803" s="68" t="n">
        <v>1</v>
      </c>
      <c r="F803" s="68" t="n">
        <v>1</v>
      </c>
      <c r="G803" s="68" t="s">
        <v>1916</v>
      </c>
      <c r="H803" s="68" t="s">
        <v>1367</v>
      </c>
    </row>
    <row r="804" customFormat="false" ht="15" hidden="false" customHeight="false" outlineLevel="0" collapsed="false">
      <c r="A804" s="68" t="n">
        <v>83</v>
      </c>
      <c r="B804" s="68" t="s">
        <v>476</v>
      </c>
      <c r="C804" s="68" t="s">
        <v>640</v>
      </c>
      <c r="D804" s="68" t="s">
        <v>246</v>
      </c>
      <c r="E804" s="68" t="s">
        <v>171</v>
      </c>
      <c r="F804" s="68" t="s">
        <v>1897</v>
      </c>
      <c r="G804" s="68" t="s">
        <v>1917</v>
      </c>
      <c r="H804" s="68" t="s">
        <v>1367</v>
      </c>
    </row>
    <row r="805" customFormat="false" ht="15" hidden="false" customHeight="false" outlineLevel="0" collapsed="false">
      <c r="A805" s="68" t="n">
        <v>83</v>
      </c>
      <c r="B805" s="68" t="s">
        <v>476</v>
      </c>
      <c r="C805" s="68" t="s">
        <v>640</v>
      </c>
      <c r="D805" s="68" t="s">
        <v>261</v>
      </c>
      <c r="E805" s="68" t="s">
        <v>306</v>
      </c>
      <c r="F805" s="68" t="s">
        <v>1897</v>
      </c>
      <c r="G805" s="68" t="s">
        <v>1917</v>
      </c>
      <c r="H805" s="68" t="s">
        <v>1367</v>
      </c>
    </row>
    <row r="806" customFormat="false" ht="15" hidden="false" customHeight="false" outlineLevel="0" collapsed="false">
      <c r="A806" s="68" t="n">
        <v>83</v>
      </c>
      <c r="B806" s="68" t="s">
        <v>476</v>
      </c>
      <c r="C806" s="68" t="s">
        <v>640</v>
      </c>
      <c r="D806" s="68" t="s">
        <v>880</v>
      </c>
      <c r="E806" s="68" t="s">
        <v>90</v>
      </c>
      <c r="F806" s="68" t="s">
        <v>1660</v>
      </c>
      <c r="G806" s="68" t="s">
        <v>1918</v>
      </c>
      <c r="H806" s="68" t="s">
        <v>1367</v>
      </c>
    </row>
    <row r="807" customFormat="false" ht="15" hidden="false" customHeight="false" outlineLevel="0" collapsed="false">
      <c r="A807" s="68" t="n">
        <v>83</v>
      </c>
      <c r="B807" s="68" t="s">
        <v>476</v>
      </c>
      <c r="C807" s="68" t="s">
        <v>640</v>
      </c>
      <c r="D807" s="68" t="s">
        <v>248</v>
      </c>
      <c r="E807" s="68" t="n">
        <v>5.5</v>
      </c>
      <c r="F807" s="68" t="n">
        <v>5.5</v>
      </c>
      <c r="G807" s="68" t="s">
        <v>1919</v>
      </c>
      <c r="H807" s="68" t="s">
        <v>1367</v>
      </c>
    </row>
    <row r="808" customFormat="false" ht="15" hidden="false" customHeight="false" outlineLevel="0" collapsed="false">
      <c r="A808" s="68" t="n">
        <v>83</v>
      </c>
      <c r="B808" s="68" t="s">
        <v>476</v>
      </c>
      <c r="C808" s="68" t="s">
        <v>640</v>
      </c>
      <c r="D808" s="68" t="s">
        <v>249</v>
      </c>
      <c r="E808" s="68" t="n">
        <v>31</v>
      </c>
      <c r="F808" s="68" t="n">
        <v>31</v>
      </c>
      <c r="G808" s="68" t="s">
        <v>1920</v>
      </c>
      <c r="H808" s="68" t="s">
        <v>1367</v>
      </c>
    </row>
    <row r="809" customFormat="false" ht="15" hidden="false" customHeight="false" outlineLevel="0" collapsed="false">
      <c r="A809" s="68" t="n">
        <v>83</v>
      </c>
      <c r="B809" s="68" t="s">
        <v>476</v>
      </c>
      <c r="C809" s="68" t="s">
        <v>640</v>
      </c>
      <c r="D809" s="68" t="s">
        <v>262</v>
      </c>
      <c r="E809" s="68" t="n">
        <v>3.4</v>
      </c>
      <c r="F809" s="68" t="n">
        <v>3.4</v>
      </c>
      <c r="G809" s="68" t="s">
        <v>1921</v>
      </c>
      <c r="H809" s="68" t="s">
        <v>1367</v>
      </c>
    </row>
    <row r="810" customFormat="false" ht="15" hidden="false" customHeight="false" outlineLevel="0" collapsed="false">
      <c r="A810" s="68" t="n">
        <v>83</v>
      </c>
      <c r="B810" s="68" t="s">
        <v>476</v>
      </c>
      <c r="C810" s="68" t="s">
        <v>640</v>
      </c>
      <c r="D810" s="68" t="s">
        <v>1207</v>
      </c>
      <c r="E810" s="68" t="s">
        <v>312</v>
      </c>
      <c r="F810" s="68" t="s">
        <v>1583</v>
      </c>
      <c r="G810" s="68"/>
      <c r="H810" s="85" t="s">
        <v>1369</v>
      </c>
    </row>
    <row r="811" customFormat="false" ht="15" hidden="false" customHeight="false" outlineLevel="0" collapsed="false">
      <c r="A811" s="68" t="n">
        <v>83</v>
      </c>
      <c r="B811" s="68" t="s">
        <v>476</v>
      </c>
      <c r="C811" s="68" t="s">
        <v>640</v>
      </c>
      <c r="D811" s="68" t="s">
        <v>1584</v>
      </c>
      <c r="E811" s="68" t="s">
        <v>1585</v>
      </c>
      <c r="F811" s="68" t="s">
        <v>1586</v>
      </c>
      <c r="G811" s="68" t="s">
        <v>1922</v>
      </c>
      <c r="H811" s="68" t="s">
        <v>1367</v>
      </c>
    </row>
    <row r="812" customFormat="false" ht="15" hidden="false" customHeight="false" outlineLevel="0" collapsed="false">
      <c r="A812" s="68" t="n">
        <v>83</v>
      </c>
      <c r="B812" s="68" t="s">
        <v>476</v>
      </c>
      <c r="C812" s="68" t="s">
        <v>640</v>
      </c>
      <c r="D812" s="68" t="s">
        <v>258</v>
      </c>
      <c r="E812" s="68" t="s">
        <v>304</v>
      </c>
      <c r="F812" s="68" t="s">
        <v>1469</v>
      </c>
      <c r="G812" s="68"/>
      <c r="H812" s="85" t="s">
        <v>1369</v>
      </c>
    </row>
    <row r="813" customFormat="false" ht="15" hidden="false" customHeight="false" outlineLevel="0" collapsed="false">
      <c r="A813" s="68" t="n">
        <v>83</v>
      </c>
      <c r="B813" s="68" t="s">
        <v>476</v>
      </c>
      <c r="C813" s="68" t="s">
        <v>640</v>
      </c>
      <c r="D813" s="68" t="s">
        <v>923</v>
      </c>
      <c r="E813" s="68" t="s">
        <v>363</v>
      </c>
      <c r="F813" s="68" t="s">
        <v>363</v>
      </c>
      <c r="G813" s="68" t="s">
        <v>1923</v>
      </c>
      <c r="H813" s="68" t="s">
        <v>1367</v>
      </c>
    </row>
    <row r="814" customFormat="false" ht="15" hidden="false" customHeight="false" outlineLevel="0" collapsed="false">
      <c r="A814" s="68" t="n">
        <v>83</v>
      </c>
      <c r="B814" s="68" t="s">
        <v>476</v>
      </c>
      <c r="C814" s="68" t="s">
        <v>640</v>
      </c>
      <c r="D814" s="68" t="s">
        <v>1386</v>
      </c>
      <c r="E814" s="68" t="n">
        <v>10000</v>
      </c>
      <c r="F814" s="68" t="n">
        <v>10000</v>
      </c>
      <c r="G814" s="68" t="s">
        <v>1923</v>
      </c>
      <c r="H814" s="68" t="s">
        <v>1367</v>
      </c>
    </row>
    <row r="815" customFormat="false" ht="15" hidden="false" customHeight="false" outlineLevel="0" collapsed="false">
      <c r="A815" s="68" t="n">
        <v>84</v>
      </c>
      <c r="B815" s="68" t="s">
        <v>476</v>
      </c>
      <c r="C815" s="68" t="s">
        <v>644</v>
      </c>
      <c r="D815" s="68" t="s">
        <v>243</v>
      </c>
      <c r="E815" s="68" t="s">
        <v>643</v>
      </c>
      <c r="F815" s="68" t="s">
        <v>643</v>
      </c>
      <c r="G815" s="68" t="s">
        <v>1924</v>
      </c>
      <c r="H815" s="68" t="s">
        <v>1367</v>
      </c>
    </row>
    <row r="816" customFormat="false" ht="15" hidden="false" customHeight="false" outlineLevel="0" collapsed="false">
      <c r="A816" s="68" t="n">
        <v>84</v>
      </c>
      <c r="B816" s="68" t="s">
        <v>476</v>
      </c>
      <c r="C816" s="68" t="s">
        <v>644</v>
      </c>
      <c r="D816" s="68" t="s">
        <v>260</v>
      </c>
      <c r="E816" s="68" t="n">
        <v>1</v>
      </c>
      <c r="F816" s="68" t="n">
        <v>1</v>
      </c>
      <c r="G816" s="68" t="s">
        <v>1925</v>
      </c>
      <c r="H816" s="68" t="s">
        <v>1367</v>
      </c>
    </row>
    <row r="817" customFormat="false" ht="15" hidden="false" customHeight="false" outlineLevel="0" collapsed="false">
      <c r="A817" s="68" t="n">
        <v>84</v>
      </c>
      <c r="B817" s="68" t="s">
        <v>476</v>
      </c>
      <c r="C817" s="68" t="s">
        <v>644</v>
      </c>
      <c r="D817" s="68" t="s">
        <v>246</v>
      </c>
      <c r="E817" s="68" t="s">
        <v>186</v>
      </c>
      <c r="F817" s="68" t="s">
        <v>1926</v>
      </c>
      <c r="G817" s="68" t="s">
        <v>1927</v>
      </c>
      <c r="H817" s="68" t="s">
        <v>1367</v>
      </c>
    </row>
    <row r="818" customFormat="false" ht="15" hidden="false" customHeight="false" outlineLevel="0" collapsed="false">
      <c r="A818" s="68" t="n">
        <v>84</v>
      </c>
      <c r="B818" s="68" t="s">
        <v>476</v>
      </c>
      <c r="C818" s="68" t="s">
        <v>644</v>
      </c>
      <c r="D818" s="68" t="s">
        <v>261</v>
      </c>
      <c r="E818" s="68" t="s">
        <v>306</v>
      </c>
      <c r="F818" s="68" t="s">
        <v>1926</v>
      </c>
      <c r="G818" s="68" t="s">
        <v>1927</v>
      </c>
      <c r="H818" s="68" t="s">
        <v>1367</v>
      </c>
    </row>
    <row r="819" customFormat="false" ht="15" hidden="false" customHeight="false" outlineLevel="0" collapsed="false">
      <c r="A819" s="68" t="n">
        <v>84</v>
      </c>
      <c r="B819" s="68" t="s">
        <v>476</v>
      </c>
      <c r="C819" s="68" t="s">
        <v>644</v>
      </c>
      <c r="D819" s="68" t="s">
        <v>880</v>
      </c>
      <c r="E819" s="68" t="s">
        <v>74</v>
      </c>
      <c r="F819" s="68" t="s">
        <v>1876</v>
      </c>
      <c r="G819" s="68" t="s">
        <v>1928</v>
      </c>
      <c r="H819" s="68" t="s">
        <v>1367</v>
      </c>
    </row>
    <row r="820" customFormat="false" ht="15" hidden="false" customHeight="false" outlineLevel="0" collapsed="false">
      <c r="A820" s="68" t="n">
        <v>84</v>
      </c>
      <c r="B820" s="68" t="s">
        <v>476</v>
      </c>
      <c r="C820" s="68" t="s">
        <v>644</v>
      </c>
      <c r="D820" s="68" t="s">
        <v>248</v>
      </c>
      <c r="E820" s="68" t="n">
        <v>770</v>
      </c>
      <c r="F820" s="68" t="n">
        <v>770</v>
      </c>
      <c r="G820" s="68" t="s">
        <v>1929</v>
      </c>
      <c r="H820" s="68" t="s">
        <v>1367</v>
      </c>
    </row>
    <row r="821" customFormat="false" ht="15" hidden="false" customHeight="false" outlineLevel="0" collapsed="false">
      <c r="A821" s="68" t="n">
        <v>84</v>
      </c>
      <c r="B821" s="68" t="s">
        <v>476</v>
      </c>
      <c r="C821" s="68" t="s">
        <v>644</v>
      </c>
      <c r="D821" s="68" t="s">
        <v>249</v>
      </c>
      <c r="E821" s="68" t="n">
        <v>107</v>
      </c>
      <c r="F821" s="68" t="n">
        <v>107</v>
      </c>
      <c r="G821" s="68" t="s">
        <v>1930</v>
      </c>
      <c r="H821" s="68" t="s">
        <v>1367</v>
      </c>
    </row>
    <row r="822" customFormat="false" ht="15" hidden="false" customHeight="false" outlineLevel="0" collapsed="false">
      <c r="A822" s="68" t="n">
        <v>84</v>
      </c>
      <c r="B822" s="68" t="s">
        <v>476</v>
      </c>
      <c r="C822" s="68" t="s">
        <v>644</v>
      </c>
      <c r="D822" s="68" t="s">
        <v>262</v>
      </c>
      <c r="E822" s="68" t="n">
        <v>11.3</v>
      </c>
      <c r="F822" s="68" t="n">
        <v>11.3</v>
      </c>
      <c r="G822" s="68" t="s">
        <v>1931</v>
      </c>
      <c r="H822" s="68" t="s">
        <v>1367</v>
      </c>
    </row>
    <row r="823" customFormat="false" ht="15" hidden="false" customHeight="false" outlineLevel="0" collapsed="false">
      <c r="A823" s="68" t="n">
        <v>84</v>
      </c>
      <c r="B823" s="68" t="s">
        <v>476</v>
      </c>
      <c r="C823" s="68" t="s">
        <v>644</v>
      </c>
      <c r="D823" s="68" t="s">
        <v>1207</v>
      </c>
      <c r="E823" s="68" t="s">
        <v>312</v>
      </c>
      <c r="F823" s="68" t="s">
        <v>1583</v>
      </c>
      <c r="G823" s="68"/>
      <c r="H823" s="85" t="s">
        <v>1369</v>
      </c>
    </row>
    <row r="824" customFormat="false" ht="15" hidden="false" customHeight="false" outlineLevel="0" collapsed="false">
      <c r="A824" s="68" t="n">
        <v>84</v>
      </c>
      <c r="B824" s="68" t="s">
        <v>476</v>
      </c>
      <c r="C824" s="68" t="s">
        <v>644</v>
      </c>
      <c r="D824" s="68" t="s">
        <v>1584</v>
      </c>
      <c r="E824" s="68" t="s">
        <v>1932</v>
      </c>
      <c r="F824" s="68" t="s">
        <v>1933</v>
      </c>
      <c r="G824" s="68" t="s">
        <v>1934</v>
      </c>
      <c r="H824" s="68" t="s">
        <v>1367</v>
      </c>
    </row>
    <row r="825" customFormat="false" ht="15" hidden="false" customHeight="false" outlineLevel="0" collapsed="false">
      <c r="A825" s="68" t="n">
        <v>84</v>
      </c>
      <c r="B825" s="68" t="s">
        <v>476</v>
      </c>
      <c r="C825" s="68" t="s">
        <v>644</v>
      </c>
      <c r="D825" s="68" t="s">
        <v>258</v>
      </c>
      <c r="E825" s="68" t="s">
        <v>304</v>
      </c>
      <c r="F825" s="68" t="s">
        <v>1555</v>
      </c>
      <c r="G825" s="68" t="s">
        <v>243</v>
      </c>
      <c r="H825" s="68" t="s">
        <v>1367</v>
      </c>
    </row>
    <row r="826" customFormat="false" ht="15" hidden="false" customHeight="false" outlineLevel="0" collapsed="false">
      <c r="A826" s="68" t="n">
        <v>84</v>
      </c>
      <c r="B826" s="68" t="s">
        <v>476</v>
      </c>
      <c r="C826" s="68" t="s">
        <v>644</v>
      </c>
      <c r="D826" s="68" t="s">
        <v>923</v>
      </c>
      <c r="E826" s="68" t="s">
        <v>363</v>
      </c>
      <c r="F826" s="68" t="s">
        <v>363</v>
      </c>
      <c r="G826" s="68" t="s">
        <v>1935</v>
      </c>
      <c r="H826" s="68" t="s">
        <v>1367</v>
      </c>
    </row>
    <row r="827" customFormat="false" ht="15" hidden="false" customHeight="false" outlineLevel="0" collapsed="false">
      <c r="A827" s="68" t="n">
        <v>84</v>
      </c>
      <c r="B827" s="68" t="s">
        <v>476</v>
      </c>
      <c r="C827" s="68" t="s">
        <v>644</v>
      </c>
      <c r="D827" s="68" t="s">
        <v>1386</v>
      </c>
      <c r="E827" s="68" t="n">
        <v>70000</v>
      </c>
      <c r="F827" s="68" t="n">
        <v>70000</v>
      </c>
      <c r="G827" s="68" t="s">
        <v>1935</v>
      </c>
      <c r="H827" s="68" t="s">
        <v>1367</v>
      </c>
    </row>
    <row r="828" customFormat="false" ht="15" hidden="false" customHeight="false" outlineLevel="0" collapsed="false">
      <c r="A828" s="68" t="n">
        <v>85</v>
      </c>
      <c r="B828" s="68" t="s">
        <v>476</v>
      </c>
      <c r="C828" s="68" t="s">
        <v>650</v>
      </c>
      <c r="D828" s="68" t="s">
        <v>243</v>
      </c>
      <c r="E828" s="68" t="s">
        <v>649</v>
      </c>
      <c r="F828" s="68" t="s">
        <v>649</v>
      </c>
      <c r="G828" s="68" t="s">
        <v>1936</v>
      </c>
      <c r="H828" s="68" t="s">
        <v>1367</v>
      </c>
    </row>
    <row r="829" customFormat="false" ht="15" hidden="false" customHeight="false" outlineLevel="0" collapsed="false">
      <c r="A829" s="68" t="n">
        <v>85</v>
      </c>
      <c r="B829" s="68" t="s">
        <v>476</v>
      </c>
      <c r="C829" s="68" t="s">
        <v>650</v>
      </c>
      <c r="D829" s="68" t="s">
        <v>260</v>
      </c>
      <c r="E829" s="68" t="n">
        <v>1</v>
      </c>
      <c r="F829" s="68" t="n">
        <v>1</v>
      </c>
      <c r="G829" s="68" t="s">
        <v>1937</v>
      </c>
      <c r="H829" s="68" t="s">
        <v>1367</v>
      </c>
    </row>
    <row r="830" customFormat="false" ht="15" hidden="false" customHeight="false" outlineLevel="0" collapsed="false">
      <c r="A830" s="68" t="n">
        <v>85</v>
      </c>
      <c r="B830" s="68" t="s">
        <v>476</v>
      </c>
      <c r="C830" s="68" t="s">
        <v>650</v>
      </c>
      <c r="D830" s="68" t="s">
        <v>246</v>
      </c>
      <c r="E830" s="68" t="s">
        <v>186</v>
      </c>
      <c r="F830" s="68" t="s">
        <v>1926</v>
      </c>
      <c r="G830" s="68" t="s">
        <v>1938</v>
      </c>
      <c r="H830" s="68" t="s">
        <v>1367</v>
      </c>
    </row>
    <row r="831" customFormat="false" ht="15" hidden="false" customHeight="false" outlineLevel="0" collapsed="false">
      <c r="A831" s="68" t="n">
        <v>85</v>
      </c>
      <c r="B831" s="68" t="s">
        <v>476</v>
      </c>
      <c r="C831" s="68" t="s">
        <v>650</v>
      </c>
      <c r="D831" s="68" t="s">
        <v>261</v>
      </c>
      <c r="E831" s="68" t="s">
        <v>306</v>
      </c>
      <c r="F831" s="68" t="s">
        <v>1926</v>
      </c>
      <c r="G831" s="68" t="s">
        <v>1938</v>
      </c>
      <c r="H831" s="68" t="s">
        <v>1367</v>
      </c>
    </row>
    <row r="832" customFormat="false" ht="15" hidden="false" customHeight="false" outlineLevel="0" collapsed="false">
      <c r="A832" s="68" t="n">
        <v>85</v>
      </c>
      <c r="B832" s="68" t="s">
        <v>476</v>
      </c>
      <c r="C832" s="68" t="s">
        <v>650</v>
      </c>
      <c r="D832" s="68" t="s">
        <v>880</v>
      </c>
      <c r="E832" s="68" t="s">
        <v>74</v>
      </c>
      <c r="F832" s="68" t="s">
        <v>1876</v>
      </c>
      <c r="G832" s="68" t="s">
        <v>1939</v>
      </c>
      <c r="H832" s="68" t="s">
        <v>1367</v>
      </c>
    </row>
    <row r="833" customFormat="false" ht="15" hidden="false" customHeight="false" outlineLevel="0" collapsed="false">
      <c r="A833" s="68" t="n">
        <v>85</v>
      </c>
      <c r="B833" s="68" t="s">
        <v>476</v>
      </c>
      <c r="C833" s="68" t="s">
        <v>650</v>
      </c>
      <c r="D833" s="68" t="s">
        <v>248</v>
      </c>
      <c r="E833" s="68" t="n">
        <v>770</v>
      </c>
      <c r="F833" s="68" t="n">
        <v>770</v>
      </c>
      <c r="G833" s="68" t="s">
        <v>1940</v>
      </c>
      <c r="H833" s="68" t="s">
        <v>1367</v>
      </c>
    </row>
    <row r="834" customFormat="false" ht="15" hidden="false" customHeight="false" outlineLevel="0" collapsed="false">
      <c r="A834" s="68" t="n">
        <v>85</v>
      </c>
      <c r="B834" s="68" t="s">
        <v>476</v>
      </c>
      <c r="C834" s="68" t="s">
        <v>650</v>
      </c>
      <c r="D834" s="68" t="s">
        <v>249</v>
      </c>
      <c r="E834" s="68" t="n">
        <v>88.7</v>
      </c>
      <c r="F834" s="68" t="n">
        <v>88.7</v>
      </c>
      <c r="G834" s="68" t="s">
        <v>1941</v>
      </c>
      <c r="H834" s="68" t="s">
        <v>1367</v>
      </c>
    </row>
    <row r="835" customFormat="false" ht="15" hidden="false" customHeight="false" outlineLevel="0" collapsed="false">
      <c r="A835" s="68" t="n">
        <v>85</v>
      </c>
      <c r="B835" s="68" t="s">
        <v>476</v>
      </c>
      <c r="C835" s="68" t="s">
        <v>650</v>
      </c>
      <c r="D835" s="68" t="s">
        <v>262</v>
      </c>
      <c r="E835" s="68" t="n">
        <v>9.5</v>
      </c>
      <c r="F835" s="68" t="n">
        <v>9.5</v>
      </c>
      <c r="G835" s="68" t="s">
        <v>1942</v>
      </c>
      <c r="H835" s="68" t="s">
        <v>1367</v>
      </c>
    </row>
    <row r="836" customFormat="false" ht="15" hidden="false" customHeight="false" outlineLevel="0" collapsed="false">
      <c r="A836" s="68" t="n">
        <v>85</v>
      </c>
      <c r="B836" s="68" t="s">
        <v>476</v>
      </c>
      <c r="C836" s="68" t="s">
        <v>650</v>
      </c>
      <c r="D836" s="68" t="s">
        <v>1207</v>
      </c>
      <c r="E836" s="68" t="s">
        <v>312</v>
      </c>
      <c r="F836" s="68" t="s">
        <v>1583</v>
      </c>
      <c r="G836" s="68"/>
      <c r="H836" s="85" t="s">
        <v>1369</v>
      </c>
    </row>
    <row r="837" customFormat="false" ht="15" hidden="false" customHeight="false" outlineLevel="0" collapsed="false">
      <c r="A837" s="68" t="n">
        <v>85</v>
      </c>
      <c r="B837" s="68" t="s">
        <v>476</v>
      </c>
      <c r="C837" s="68" t="s">
        <v>650</v>
      </c>
      <c r="D837" s="68" t="s">
        <v>1584</v>
      </c>
      <c r="E837" s="68" t="s">
        <v>1932</v>
      </c>
      <c r="F837" s="68" t="s">
        <v>1933</v>
      </c>
      <c r="G837" s="68" t="s">
        <v>1943</v>
      </c>
      <c r="H837" s="68" t="s">
        <v>1367</v>
      </c>
    </row>
    <row r="838" customFormat="false" ht="15" hidden="false" customHeight="false" outlineLevel="0" collapsed="false">
      <c r="A838" s="68" t="n">
        <v>85</v>
      </c>
      <c r="B838" s="68" t="s">
        <v>476</v>
      </c>
      <c r="C838" s="68" t="s">
        <v>650</v>
      </c>
      <c r="D838" s="68" t="s">
        <v>258</v>
      </c>
      <c r="E838" s="68" t="s">
        <v>460</v>
      </c>
      <c r="F838" s="68" t="s">
        <v>1560</v>
      </c>
      <c r="G838" s="68" t="s">
        <v>243</v>
      </c>
      <c r="H838" s="68" t="s">
        <v>1367</v>
      </c>
    </row>
    <row r="839" customFormat="false" ht="15" hidden="false" customHeight="false" outlineLevel="0" collapsed="false">
      <c r="A839" s="68" t="n">
        <v>85</v>
      </c>
      <c r="B839" s="68" t="s">
        <v>476</v>
      </c>
      <c r="C839" s="68" t="s">
        <v>650</v>
      </c>
      <c r="D839" s="68" t="s">
        <v>923</v>
      </c>
      <c r="E839" s="68" t="s">
        <v>363</v>
      </c>
      <c r="F839" s="68" t="s">
        <v>363</v>
      </c>
      <c r="G839" s="68" t="s">
        <v>1944</v>
      </c>
      <c r="H839" s="68" t="s">
        <v>1367</v>
      </c>
    </row>
    <row r="840" customFormat="false" ht="15" hidden="false" customHeight="false" outlineLevel="0" collapsed="false">
      <c r="A840" s="68" t="n">
        <v>85</v>
      </c>
      <c r="B840" s="68" t="s">
        <v>476</v>
      </c>
      <c r="C840" s="68" t="s">
        <v>650</v>
      </c>
      <c r="D840" s="68" t="s">
        <v>1386</v>
      </c>
      <c r="E840" s="68" t="n">
        <v>90000</v>
      </c>
      <c r="F840" s="68" t="n">
        <v>90000</v>
      </c>
      <c r="G840" s="68" t="s">
        <v>1944</v>
      </c>
      <c r="H840" s="68" t="s">
        <v>1367</v>
      </c>
    </row>
    <row r="841" customFormat="false" ht="15" hidden="false" customHeight="false" outlineLevel="0" collapsed="false">
      <c r="A841" s="68" t="n">
        <v>86</v>
      </c>
      <c r="B841" s="68" t="s">
        <v>476</v>
      </c>
      <c r="C841" s="68" t="s">
        <v>654</v>
      </c>
      <c r="D841" s="68" t="s">
        <v>243</v>
      </c>
      <c r="E841" s="68" t="s">
        <v>653</v>
      </c>
      <c r="F841" s="68" t="s">
        <v>653</v>
      </c>
      <c r="G841" s="68" t="s">
        <v>1945</v>
      </c>
      <c r="H841" s="68" t="s">
        <v>1367</v>
      </c>
    </row>
    <row r="842" customFormat="false" ht="15" hidden="false" customHeight="false" outlineLevel="0" collapsed="false">
      <c r="A842" s="68" t="n">
        <v>86</v>
      </c>
      <c r="B842" s="68" t="s">
        <v>476</v>
      </c>
      <c r="C842" s="68" t="s">
        <v>654</v>
      </c>
      <c r="D842" s="68" t="s">
        <v>260</v>
      </c>
      <c r="E842" s="68" t="n">
        <v>2</v>
      </c>
      <c r="F842" s="68" t="n">
        <v>2</v>
      </c>
      <c r="G842" s="68" t="s">
        <v>1946</v>
      </c>
      <c r="H842" s="68" t="s">
        <v>1367</v>
      </c>
    </row>
    <row r="843" customFormat="false" ht="15" hidden="false" customHeight="false" outlineLevel="0" collapsed="false">
      <c r="A843" s="68" t="n">
        <v>86</v>
      </c>
      <c r="B843" s="68" t="s">
        <v>476</v>
      </c>
      <c r="C843" s="68" t="s">
        <v>654</v>
      </c>
      <c r="D843" s="68" t="s">
        <v>246</v>
      </c>
      <c r="E843" s="68" t="s">
        <v>183</v>
      </c>
      <c r="F843" s="68" t="s">
        <v>1947</v>
      </c>
      <c r="G843" s="68" t="s">
        <v>1948</v>
      </c>
      <c r="H843" s="68" t="s">
        <v>1367</v>
      </c>
    </row>
    <row r="844" customFormat="false" ht="15" hidden="false" customHeight="false" outlineLevel="0" collapsed="false">
      <c r="A844" s="68" t="n">
        <v>86</v>
      </c>
      <c r="B844" s="68" t="s">
        <v>476</v>
      </c>
      <c r="C844" s="68" t="s">
        <v>654</v>
      </c>
      <c r="D844" s="68" t="s">
        <v>261</v>
      </c>
      <c r="E844" s="68" t="s">
        <v>306</v>
      </c>
      <c r="F844" s="68" t="s">
        <v>1947</v>
      </c>
      <c r="G844" s="68" t="s">
        <v>1948</v>
      </c>
      <c r="H844" s="68" t="s">
        <v>1367</v>
      </c>
    </row>
    <row r="845" customFormat="false" ht="15" hidden="false" customHeight="false" outlineLevel="0" collapsed="false">
      <c r="A845" s="68" t="n">
        <v>86</v>
      </c>
      <c r="B845" s="68" t="s">
        <v>476</v>
      </c>
      <c r="C845" s="68" t="s">
        <v>654</v>
      </c>
      <c r="D845" s="68" t="s">
        <v>880</v>
      </c>
      <c r="E845" s="68" t="s">
        <v>74</v>
      </c>
      <c r="F845" s="68" t="s">
        <v>1876</v>
      </c>
      <c r="G845" s="68" t="s">
        <v>1949</v>
      </c>
      <c r="H845" s="68" t="s">
        <v>1367</v>
      </c>
    </row>
    <row r="846" customFormat="false" ht="15" hidden="false" customHeight="false" outlineLevel="0" collapsed="false">
      <c r="A846" s="68" t="n">
        <v>86</v>
      </c>
      <c r="B846" s="68" t="s">
        <v>476</v>
      </c>
      <c r="C846" s="68" t="s">
        <v>654</v>
      </c>
      <c r="D846" s="68" t="s">
        <v>248</v>
      </c>
      <c r="E846" s="68" t="n">
        <v>16.5</v>
      </c>
      <c r="F846" s="68" t="n">
        <v>16.5</v>
      </c>
      <c r="G846" s="68" t="s">
        <v>1950</v>
      </c>
      <c r="H846" s="68" t="s">
        <v>1367</v>
      </c>
    </row>
    <row r="847" customFormat="false" ht="15" hidden="false" customHeight="false" outlineLevel="0" collapsed="false">
      <c r="A847" s="68" t="n">
        <v>86</v>
      </c>
      <c r="B847" s="68" t="s">
        <v>476</v>
      </c>
      <c r="C847" s="68" t="s">
        <v>654</v>
      </c>
      <c r="D847" s="68" t="s">
        <v>249</v>
      </c>
      <c r="E847" s="68" t="n">
        <v>107</v>
      </c>
      <c r="F847" s="68" t="n">
        <v>107</v>
      </c>
      <c r="G847" s="68" t="s">
        <v>1951</v>
      </c>
      <c r="H847" s="68" t="s">
        <v>1367</v>
      </c>
    </row>
    <row r="848" customFormat="false" ht="15" hidden="false" customHeight="false" outlineLevel="0" collapsed="false">
      <c r="A848" s="68" t="n">
        <v>86</v>
      </c>
      <c r="B848" s="68" t="s">
        <v>476</v>
      </c>
      <c r="C848" s="68" t="s">
        <v>654</v>
      </c>
      <c r="D848" s="68" t="s">
        <v>262</v>
      </c>
      <c r="E848" s="68" t="n">
        <v>11.3</v>
      </c>
      <c r="F848" s="68" t="n">
        <v>11.3</v>
      </c>
      <c r="G848" s="68" t="s">
        <v>1952</v>
      </c>
      <c r="H848" s="68" t="s">
        <v>1367</v>
      </c>
    </row>
    <row r="849" customFormat="false" ht="15" hidden="false" customHeight="false" outlineLevel="0" collapsed="false">
      <c r="A849" s="68" t="n">
        <v>86</v>
      </c>
      <c r="B849" s="68" t="s">
        <v>476</v>
      </c>
      <c r="C849" s="68" t="s">
        <v>654</v>
      </c>
      <c r="D849" s="68" t="s">
        <v>1207</v>
      </c>
      <c r="E849" s="68" t="s">
        <v>312</v>
      </c>
      <c r="F849" s="68" t="s">
        <v>1583</v>
      </c>
      <c r="G849" s="68"/>
      <c r="H849" s="85" t="s">
        <v>1369</v>
      </c>
    </row>
    <row r="850" customFormat="false" ht="15" hidden="false" customHeight="false" outlineLevel="0" collapsed="false">
      <c r="A850" s="68" t="n">
        <v>86</v>
      </c>
      <c r="B850" s="68" t="s">
        <v>476</v>
      </c>
      <c r="C850" s="68" t="s">
        <v>654</v>
      </c>
      <c r="D850" s="68" t="s">
        <v>1584</v>
      </c>
      <c r="E850" s="68" t="s">
        <v>1932</v>
      </c>
      <c r="F850" s="68" t="s">
        <v>1933</v>
      </c>
      <c r="G850" s="68" t="s">
        <v>1953</v>
      </c>
      <c r="H850" s="68" t="s">
        <v>1367</v>
      </c>
    </row>
    <row r="851" customFormat="false" ht="15" hidden="false" customHeight="false" outlineLevel="0" collapsed="false">
      <c r="A851" s="68" t="n">
        <v>86</v>
      </c>
      <c r="B851" s="68" t="s">
        <v>476</v>
      </c>
      <c r="C851" s="68" t="s">
        <v>654</v>
      </c>
      <c r="D851" s="68" t="s">
        <v>258</v>
      </c>
      <c r="E851" s="68" t="s">
        <v>304</v>
      </c>
      <c r="F851" s="68" t="s">
        <v>1469</v>
      </c>
      <c r="G851" s="68"/>
      <c r="H851" s="85" t="s">
        <v>1369</v>
      </c>
    </row>
    <row r="852" customFormat="false" ht="15" hidden="false" customHeight="false" outlineLevel="0" collapsed="false">
      <c r="A852" s="68" t="n">
        <v>86</v>
      </c>
      <c r="B852" s="68" t="s">
        <v>476</v>
      </c>
      <c r="C852" s="68" t="s">
        <v>654</v>
      </c>
      <c r="D852" s="68" t="s">
        <v>923</v>
      </c>
      <c r="E852" s="68" t="s">
        <v>363</v>
      </c>
      <c r="F852" s="68" t="s">
        <v>363</v>
      </c>
      <c r="G852" s="68" t="s">
        <v>1954</v>
      </c>
      <c r="H852" s="68" t="s">
        <v>1367</v>
      </c>
    </row>
    <row r="853" customFormat="false" ht="15" hidden="false" customHeight="false" outlineLevel="0" collapsed="false">
      <c r="A853" s="68" t="n">
        <v>86</v>
      </c>
      <c r="B853" s="68" t="s">
        <v>476</v>
      </c>
      <c r="C853" s="68" t="s">
        <v>654</v>
      </c>
      <c r="D853" s="68" t="s">
        <v>1386</v>
      </c>
      <c r="E853" s="68" t="n">
        <v>15000</v>
      </c>
      <c r="F853" s="68" t="n">
        <v>15000</v>
      </c>
      <c r="G853" s="68" t="s">
        <v>1954</v>
      </c>
      <c r="H853" s="68" t="s">
        <v>1367</v>
      </c>
    </row>
    <row r="854" customFormat="false" ht="15" hidden="false" customHeight="false" outlineLevel="0" collapsed="false">
      <c r="A854" s="68" t="n">
        <v>87</v>
      </c>
      <c r="B854" s="68" t="s">
        <v>476</v>
      </c>
      <c r="C854" s="68" t="s">
        <v>658</v>
      </c>
      <c r="D854" s="68" t="s">
        <v>243</v>
      </c>
      <c r="E854" s="68" t="s">
        <v>657</v>
      </c>
      <c r="F854" s="68" t="s">
        <v>657</v>
      </c>
      <c r="G854" s="68" t="s">
        <v>1955</v>
      </c>
      <c r="H854" s="68" t="s">
        <v>1367</v>
      </c>
    </row>
    <row r="855" customFormat="false" ht="15" hidden="false" customHeight="false" outlineLevel="0" collapsed="false">
      <c r="A855" s="68" t="n">
        <v>87</v>
      </c>
      <c r="B855" s="68" t="s">
        <v>476</v>
      </c>
      <c r="C855" s="68" t="s">
        <v>658</v>
      </c>
      <c r="D855" s="68" t="s">
        <v>260</v>
      </c>
      <c r="E855" s="68" t="n">
        <v>1</v>
      </c>
      <c r="F855" s="68" t="n">
        <v>1</v>
      </c>
      <c r="G855" s="68" t="s">
        <v>1956</v>
      </c>
      <c r="H855" s="68" t="s">
        <v>1367</v>
      </c>
    </row>
    <row r="856" customFormat="false" ht="15" hidden="false" customHeight="false" outlineLevel="0" collapsed="false">
      <c r="A856" s="68" t="n">
        <v>87</v>
      </c>
      <c r="B856" s="68" t="s">
        <v>476</v>
      </c>
      <c r="C856" s="68" t="s">
        <v>658</v>
      </c>
      <c r="D856" s="68" t="s">
        <v>261</v>
      </c>
      <c r="E856" s="68" t="s">
        <v>306</v>
      </c>
      <c r="F856" s="68" t="s">
        <v>1874</v>
      </c>
      <c r="G856" s="68" t="s">
        <v>1957</v>
      </c>
      <c r="H856" s="68" t="s">
        <v>1367</v>
      </c>
    </row>
    <row r="857" customFormat="false" ht="15" hidden="false" customHeight="false" outlineLevel="0" collapsed="false">
      <c r="A857" s="68" t="n">
        <v>87</v>
      </c>
      <c r="B857" s="68" t="s">
        <v>476</v>
      </c>
      <c r="C857" s="68" t="s">
        <v>658</v>
      </c>
      <c r="D857" s="68" t="s">
        <v>880</v>
      </c>
      <c r="E857" s="68" t="s">
        <v>74</v>
      </c>
      <c r="F857" s="68" t="s">
        <v>1876</v>
      </c>
      <c r="G857" s="68" t="s">
        <v>1958</v>
      </c>
      <c r="H857" s="68" t="s">
        <v>1367</v>
      </c>
    </row>
    <row r="858" customFormat="false" ht="15" hidden="false" customHeight="false" outlineLevel="0" collapsed="false">
      <c r="A858" s="68" t="n">
        <v>87</v>
      </c>
      <c r="B858" s="68" t="s">
        <v>476</v>
      </c>
      <c r="C858" s="68" t="s">
        <v>658</v>
      </c>
      <c r="D858" s="68" t="s">
        <v>248</v>
      </c>
      <c r="E858" s="68" t="n">
        <v>33</v>
      </c>
      <c r="F858" s="68" t="n">
        <v>33</v>
      </c>
      <c r="G858" s="68" t="s">
        <v>1959</v>
      </c>
      <c r="H858" s="68" t="s">
        <v>1367</v>
      </c>
    </row>
    <row r="859" customFormat="false" ht="15" hidden="false" customHeight="false" outlineLevel="0" collapsed="false">
      <c r="A859" s="68" t="n">
        <v>87</v>
      </c>
      <c r="B859" s="68" t="s">
        <v>476</v>
      </c>
      <c r="C859" s="68" t="s">
        <v>658</v>
      </c>
      <c r="D859" s="68" t="s">
        <v>249</v>
      </c>
      <c r="E859" s="68" t="n">
        <v>30.6</v>
      </c>
      <c r="F859" s="68" t="n">
        <v>30.6</v>
      </c>
      <c r="G859" s="68" t="s">
        <v>1960</v>
      </c>
      <c r="H859" s="68" t="s">
        <v>1367</v>
      </c>
    </row>
    <row r="860" customFormat="false" ht="15" hidden="false" customHeight="false" outlineLevel="0" collapsed="false">
      <c r="A860" s="68" t="n">
        <v>87</v>
      </c>
      <c r="B860" s="68" t="s">
        <v>476</v>
      </c>
      <c r="C860" s="68" t="s">
        <v>658</v>
      </c>
      <c r="D860" s="68" t="s">
        <v>262</v>
      </c>
      <c r="E860" s="68" t="n">
        <v>2.9</v>
      </c>
      <c r="F860" s="68" t="n">
        <v>2.9</v>
      </c>
      <c r="G860" s="68" t="s">
        <v>1961</v>
      </c>
      <c r="H860" s="68" t="s">
        <v>1367</v>
      </c>
    </row>
    <row r="861" customFormat="false" ht="15" hidden="false" customHeight="false" outlineLevel="0" collapsed="false">
      <c r="A861" s="68" t="n">
        <v>87</v>
      </c>
      <c r="B861" s="68" t="s">
        <v>476</v>
      </c>
      <c r="C861" s="68" t="s">
        <v>658</v>
      </c>
      <c r="D861" s="68" t="s">
        <v>1207</v>
      </c>
      <c r="E861" s="68" t="s">
        <v>312</v>
      </c>
      <c r="F861" s="68" t="s">
        <v>1583</v>
      </c>
      <c r="G861" s="68"/>
      <c r="H861" s="85" t="s">
        <v>1369</v>
      </c>
    </row>
    <row r="862" customFormat="false" ht="15" hidden="false" customHeight="false" outlineLevel="0" collapsed="false">
      <c r="A862" s="68" t="n">
        <v>87</v>
      </c>
      <c r="B862" s="68" t="s">
        <v>476</v>
      </c>
      <c r="C862" s="68" t="s">
        <v>658</v>
      </c>
      <c r="D862" s="68" t="s">
        <v>1584</v>
      </c>
      <c r="E862" s="68" t="s">
        <v>1881</v>
      </c>
      <c r="F862" s="68" t="s">
        <v>1882</v>
      </c>
      <c r="G862" s="68" t="s">
        <v>1962</v>
      </c>
      <c r="H862" s="68" t="s">
        <v>1367</v>
      </c>
    </row>
    <row r="863" customFormat="false" ht="15" hidden="false" customHeight="false" outlineLevel="0" collapsed="false">
      <c r="A863" s="68" t="n">
        <v>87</v>
      </c>
      <c r="B863" s="68" t="s">
        <v>476</v>
      </c>
      <c r="C863" s="68" t="s">
        <v>658</v>
      </c>
      <c r="D863" s="68" t="s">
        <v>258</v>
      </c>
      <c r="E863" s="68" t="s">
        <v>304</v>
      </c>
      <c r="F863" s="68" t="s">
        <v>1469</v>
      </c>
      <c r="G863" s="68"/>
      <c r="H863" s="85" t="s">
        <v>1369</v>
      </c>
    </row>
    <row r="864" customFormat="false" ht="15" hidden="false" customHeight="false" outlineLevel="0" collapsed="false">
      <c r="A864" s="68" t="n">
        <v>87</v>
      </c>
      <c r="B864" s="68" t="s">
        <v>476</v>
      </c>
      <c r="C864" s="68" t="s">
        <v>658</v>
      </c>
      <c r="D864" s="68" t="s">
        <v>923</v>
      </c>
      <c r="E864" s="68" t="s">
        <v>363</v>
      </c>
      <c r="F864" s="68" t="s">
        <v>363</v>
      </c>
      <c r="G864" s="68" t="s">
        <v>1963</v>
      </c>
      <c r="H864" s="68" t="s">
        <v>1367</v>
      </c>
    </row>
    <row r="865" customFormat="false" ht="15" hidden="false" customHeight="false" outlineLevel="0" collapsed="false">
      <c r="A865" s="68" t="n">
        <v>87</v>
      </c>
      <c r="B865" s="68" t="s">
        <v>476</v>
      </c>
      <c r="C865" s="68" t="s">
        <v>658</v>
      </c>
      <c r="D865" s="68" t="s">
        <v>1386</v>
      </c>
      <c r="E865" s="68" t="n">
        <v>6500</v>
      </c>
      <c r="F865" s="68" t="n">
        <v>6500</v>
      </c>
      <c r="G865" s="68" t="s">
        <v>1963</v>
      </c>
      <c r="H865" s="68" t="s">
        <v>1367</v>
      </c>
    </row>
    <row r="866" customFormat="false" ht="15" hidden="false" customHeight="false" outlineLevel="0" collapsed="false">
      <c r="A866" s="68" t="n">
        <v>88</v>
      </c>
      <c r="B866" s="68" t="s">
        <v>476</v>
      </c>
      <c r="C866" s="68" t="s">
        <v>662</v>
      </c>
      <c r="D866" s="68" t="s">
        <v>243</v>
      </c>
      <c r="E866" s="68" t="s">
        <v>661</v>
      </c>
      <c r="F866" s="68" t="s">
        <v>1964</v>
      </c>
      <c r="G866" s="68" t="s">
        <v>1965</v>
      </c>
      <c r="H866" s="68" t="s">
        <v>1367</v>
      </c>
    </row>
    <row r="867" customFormat="false" ht="15" hidden="false" customHeight="false" outlineLevel="0" collapsed="false">
      <c r="A867" s="68" t="n">
        <v>88</v>
      </c>
      <c r="B867" s="68" t="s">
        <v>476</v>
      </c>
      <c r="C867" s="68" t="s">
        <v>662</v>
      </c>
      <c r="D867" s="68" t="s">
        <v>260</v>
      </c>
      <c r="E867" s="68" t="n">
        <v>2</v>
      </c>
      <c r="F867" s="68" t="n">
        <v>2</v>
      </c>
      <c r="G867" s="68" t="s">
        <v>1966</v>
      </c>
      <c r="H867" s="68" t="s">
        <v>1367</v>
      </c>
    </row>
    <row r="868" customFormat="false" ht="15" hidden="false" customHeight="false" outlineLevel="0" collapsed="false">
      <c r="A868" s="68" t="n">
        <v>88</v>
      </c>
      <c r="B868" s="68" t="s">
        <v>476</v>
      </c>
      <c r="C868" s="68" t="s">
        <v>662</v>
      </c>
      <c r="D868" s="68" t="s">
        <v>261</v>
      </c>
      <c r="E868" s="68" t="s">
        <v>306</v>
      </c>
      <c r="F868" s="68" t="s">
        <v>1874</v>
      </c>
      <c r="G868" s="68" t="s">
        <v>1967</v>
      </c>
      <c r="H868" s="68" t="s">
        <v>1367</v>
      </c>
    </row>
    <row r="869" customFormat="false" ht="15" hidden="false" customHeight="false" outlineLevel="0" collapsed="false">
      <c r="A869" s="68" t="n">
        <v>88</v>
      </c>
      <c r="B869" s="68" t="s">
        <v>476</v>
      </c>
      <c r="C869" s="68" t="s">
        <v>662</v>
      </c>
      <c r="D869" s="68" t="s">
        <v>880</v>
      </c>
      <c r="E869" s="68" t="s">
        <v>74</v>
      </c>
      <c r="F869" s="68" t="s">
        <v>1876</v>
      </c>
      <c r="G869" s="68" t="s">
        <v>1968</v>
      </c>
      <c r="H869" s="68" t="s">
        <v>1367</v>
      </c>
    </row>
    <row r="870" customFormat="false" ht="15" hidden="false" customHeight="false" outlineLevel="0" collapsed="false">
      <c r="A870" s="68" t="n">
        <v>88</v>
      </c>
      <c r="B870" s="68" t="s">
        <v>476</v>
      </c>
      <c r="C870" s="68" t="s">
        <v>662</v>
      </c>
      <c r="D870" s="68" t="s">
        <v>248</v>
      </c>
      <c r="E870" s="68" t="n">
        <v>3</v>
      </c>
      <c r="F870" s="68" t="n">
        <v>3</v>
      </c>
      <c r="G870" s="68" t="s">
        <v>1969</v>
      </c>
      <c r="H870" s="68" t="s">
        <v>1367</v>
      </c>
    </row>
    <row r="871" customFormat="false" ht="15" hidden="false" customHeight="false" outlineLevel="0" collapsed="false">
      <c r="A871" s="68" t="n">
        <v>88</v>
      </c>
      <c r="B871" s="68" t="s">
        <v>476</v>
      </c>
      <c r="C871" s="68" t="s">
        <v>662</v>
      </c>
      <c r="D871" s="68" t="s">
        <v>249</v>
      </c>
      <c r="E871" s="68" t="n">
        <v>30.6</v>
      </c>
      <c r="F871" s="68" t="s">
        <v>1868</v>
      </c>
      <c r="G871" s="68" t="s">
        <v>1970</v>
      </c>
      <c r="H871" s="85" t="s">
        <v>1371</v>
      </c>
    </row>
    <row r="872" customFormat="false" ht="15" hidden="false" customHeight="false" outlineLevel="0" collapsed="false">
      <c r="A872" s="68" t="n">
        <v>88</v>
      </c>
      <c r="B872" s="68" t="s">
        <v>476</v>
      </c>
      <c r="C872" s="68" t="s">
        <v>662</v>
      </c>
      <c r="D872" s="68" t="s">
        <v>1207</v>
      </c>
      <c r="E872" s="68" t="s">
        <v>312</v>
      </c>
      <c r="F872" s="68" t="s">
        <v>1583</v>
      </c>
      <c r="G872" s="68"/>
      <c r="H872" s="85" t="s">
        <v>1369</v>
      </c>
    </row>
    <row r="873" customFormat="false" ht="15" hidden="false" customHeight="false" outlineLevel="0" collapsed="false">
      <c r="A873" s="68" t="n">
        <v>88</v>
      </c>
      <c r="B873" s="68" t="s">
        <v>476</v>
      </c>
      <c r="C873" s="68" t="s">
        <v>662</v>
      </c>
      <c r="D873" s="68" t="s">
        <v>1584</v>
      </c>
      <c r="E873" s="68" t="s">
        <v>1881</v>
      </c>
      <c r="F873" s="68" t="s">
        <v>1882</v>
      </c>
      <c r="G873" s="68" t="s">
        <v>1971</v>
      </c>
      <c r="H873" s="68" t="s">
        <v>1367</v>
      </c>
    </row>
    <row r="874" customFormat="false" ht="15" hidden="false" customHeight="false" outlineLevel="0" collapsed="false">
      <c r="A874" s="68" t="n">
        <v>88</v>
      </c>
      <c r="B874" s="68" t="s">
        <v>476</v>
      </c>
      <c r="C874" s="68" t="s">
        <v>662</v>
      </c>
      <c r="D874" s="68" t="s">
        <v>258</v>
      </c>
      <c r="E874" s="68" t="s">
        <v>304</v>
      </c>
      <c r="F874" s="68" t="s">
        <v>1469</v>
      </c>
      <c r="G874" s="68"/>
      <c r="H874" s="85" t="s">
        <v>1369</v>
      </c>
    </row>
    <row r="875" customFormat="false" ht="15" hidden="false" customHeight="false" outlineLevel="0" collapsed="false">
      <c r="A875" s="68" t="n">
        <v>88</v>
      </c>
      <c r="B875" s="68" t="s">
        <v>476</v>
      </c>
      <c r="C875" s="68" t="s">
        <v>662</v>
      </c>
      <c r="D875" s="68" t="s">
        <v>923</v>
      </c>
      <c r="E875" s="68" t="s">
        <v>454</v>
      </c>
      <c r="F875" s="68" t="s">
        <v>454</v>
      </c>
      <c r="G875" s="68" t="s">
        <v>1972</v>
      </c>
      <c r="H875" s="68" t="s">
        <v>1367</v>
      </c>
    </row>
    <row r="876" customFormat="false" ht="15" hidden="false" customHeight="false" outlineLevel="0" collapsed="false">
      <c r="A876" s="68" t="n">
        <v>88</v>
      </c>
      <c r="B876" s="68" t="s">
        <v>476</v>
      </c>
      <c r="C876" s="68" t="s">
        <v>662</v>
      </c>
      <c r="D876" s="68" t="s">
        <v>1386</v>
      </c>
      <c r="E876" s="68" t="n">
        <v>300000000</v>
      </c>
      <c r="F876" s="68" t="n">
        <v>300000000</v>
      </c>
      <c r="G876" s="68" t="s">
        <v>1972</v>
      </c>
      <c r="H876" s="68" t="s">
        <v>1367</v>
      </c>
    </row>
    <row r="877" customFormat="false" ht="15" hidden="false" customHeight="false" outlineLevel="0" collapsed="false">
      <c r="A877" s="68" t="n">
        <v>89</v>
      </c>
      <c r="B877" s="68" t="s">
        <v>476</v>
      </c>
      <c r="C877" s="68" t="s">
        <v>668</v>
      </c>
      <c r="D877" s="68" t="s">
        <v>243</v>
      </c>
      <c r="E877" s="68" t="s">
        <v>667</v>
      </c>
      <c r="F877" s="68" t="s">
        <v>1973</v>
      </c>
      <c r="G877" s="68" t="s">
        <v>1974</v>
      </c>
      <c r="H877" s="68" t="s">
        <v>1367</v>
      </c>
    </row>
    <row r="878" customFormat="false" ht="15" hidden="false" customHeight="false" outlineLevel="0" collapsed="false">
      <c r="A878" s="68" t="n">
        <v>89</v>
      </c>
      <c r="B878" s="68" t="s">
        <v>476</v>
      </c>
      <c r="C878" s="68" t="s">
        <v>668</v>
      </c>
      <c r="D878" s="68" t="s">
        <v>260</v>
      </c>
      <c r="E878" s="68" t="n">
        <v>2</v>
      </c>
      <c r="F878" s="68" t="n">
        <v>2</v>
      </c>
      <c r="G878" s="68" t="s">
        <v>1975</v>
      </c>
      <c r="H878" s="68" t="s">
        <v>1367</v>
      </c>
    </row>
    <row r="879" customFormat="false" ht="15" hidden="false" customHeight="false" outlineLevel="0" collapsed="false">
      <c r="A879" s="68" t="n">
        <v>89</v>
      </c>
      <c r="B879" s="68" t="s">
        <v>476</v>
      </c>
      <c r="C879" s="68" t="s">
        <v>668</v>
      </c>
      <c r="D879" s="68" t="s">
        <v>261</v>
      </c>
      <c r="E879" s="68" t="s">
        <v>306</v>
      </c>
      <c r="F879" s="68" t="s">
        <v>1874</v>
      </c>
      <c r="G879" s="68" t="s">
        <v>1976</v>
      </c>
      <c r="H879" s="68" t="s">
        <v>1367</v>
      </c>
    </row>
    <row r="880" customFormat="false" ht="15" hidden="false" customHeight="false" outlineLevel="0" collapsed="false">
      <c r="A880" s="68" t="n">
        <v>89</v>
      </c>
      <c r="B880" s="68" t="s">
        <v>476</v>
      </c>
      <c r="C880" s="68" t="s">
        <v>668</v>
      </c>
      <c r="D880" s="68" t="s">
        <v>880</v>
      </c>
      <c r="E880" s="68" t="s">
        <v>74</v>
      </c>
      <c r="F880" s="68" t="s">
        <v>1876</v>
      </c>
      <c r="G880" s="68" t="s">
        <v>1977</v>
      </c>
      <c r="H880" s="68" t="s">
        <v>1367</v>
      </c>
    </row>
    <row r="881" customFormat="false" ht="15" hidden="false" customHeight="false" outlineLevel="0" collapsed="false">
      <c r="A881" s="68" t="n">
        <v>89</v>
      </c>
      <c r="B881" s="68" t="s">
        <v>476</v>
      </c>
      <c r="C881" s="68" t="s">
        <v>668</v>
      </c>
      <c r="D881" s="68" t="s">
        <v>248</v>
      </c>
      <c r="E881" s="68" t="n">
        <v>2</v>
      </c>
      <c r="F881" s="68" t="n">
        <v>2</v>
      </c>
      <c r="G881" s="68" t="s">
        <v>1978</v>
      </c>
      <c r="H881" s="68" t="s">
        <v>1367</v>
      </c>
    </row>
    <row r="882" customFormat="false" ht="15" hidden="false" customHeight="false" outlineLevel="0" collapsed="false">
      <c r="A882" s="68" t="n">
        <v>89</v>
      </c>
      <c r="B882" s="68" t="s">
        <v>476</v>
      </c>
      <c r="C882" s="68" t="s">
        <v>668</v>
      </c>
      <c r="D882" s="68" t="s">
        <v>249</v>
      </c>
      <c r="E882" s="68" t="n">
        <v>30.6</v>
      </c>
      <c r="F882" s="68" t="s">
        <v>1868</v>
      </c>
      <c r="G882" s="68" t="s">
        <v>1979</v>
      </c>
      <c r="H882" s="85" t="s">
        <v>1371</v>
      </c>
    </row>
    <row r="883" customFormat="false" ht="15" hidden="false" customHeight="false" outlineLevel="0" collapsed="false">
      <c r="A883" s="68" t="n">
        <v>89</v>
      </c>
      <c r="B883" s="68" t="s">
        <v>476</v>
      </c>
      <c r="C883" s="68" t="s">
        <v>668</v>
      </c>
      <c r="D883" s="68" t="s">
        <v>1207</v>
      </c>
      <c r="E883" s="68" t="s">
        <v>312</v>
      </c>
      <c r="F883" s="68" t="s">
        <v>1583</v>
      </c>
      <c r="G883" s="68"/>
      <c r="H883" s="85" t="s">
        <v>1369</v>
      </c>
    </row>
    <row r="884" customFormat="false" ht="15" hidden="false" customHeight="false" outlineLevel="0" collapsed="false">
      <c r="A884" s="68" t="n">
        <v>89</v>
      </c>
      <c r="B884" s="68" t="s">
        <v>476</v>
      </c>
      <c r="C884" s="68" t="s">
        <v>668</v>
      </c>
      <c r="D884" s="68" t="s">
        <v>1584</v>
      </c>
      <c r="E884" s="68" t="s">
        <v>1881</v>
      </c>
      <c r="F884" s="68" t="s">
        <v>1882</v>
      </c>
      <c r="G884" s="68" t="s">
        <v>1980</v>
      </c>
      <c r="H884" s="68" t="s">
        <v>1367</v>
      </c>
    </row>
    <row r="885" customFormat="false" ht="15" hidden="false" customHeight="false" outlineLevel="0" collapsed="false">
      <c r="A885" s="68" t="n">
        <v>89</v>
      </c>
      <c r="B885" s="68" t="s">
        <v>476</v>
      </c>
      <c r="C885" s="68" t="s">
        <v>668</v>
      </c>
      <c r="D885" s="68" t="s">
        <v>258</v>
      </c>
      <c r="E885" s="68" t="s">
        <v>304</v>
      </c>
      <c r="F885" s="68" t="s">
        <v>1469</v>
      </c>
      <c r="G885" s="68"/>
      <c r="H885" s="85" t="s">
        <v>1369</v>
      </c>
    </row>
    <row r="886" customFormat="false" ht="15" hidden="false" customHeight="false" outlineLevel="0" collapsed="false">
      <c r="A886" s="68" t="n">
        <v>89</v>
      </c>
      <c r="B886" s="68" t="s">
        <v>476</v>
      </c>
      <c r="C886" s="68" t="s">
        <v>668</v>
      </c>
      <c r="D886" s="68" t="s">
        <v>923</v>
      </c>
      <c r="E886" s="68" t="s">
        <v>454</v>
      </c>
      <c r="F886" s="68" t="s">
        <v>454</v>
      </c>
      <c r="G886" s="68" t="s">
        <v>1981</v>
      </c>
      <c r="H886" s="68" t="s">
        <v>1367</v>
      </c>
    </row>
    <row r="887" customFormat="false" ht="15" hidden="false" customHeight="false" outlineLevel="0" collapsed="false">
      <c r="A887" s="68" t="n">
        <v>89</v>
      </c>
      <c r="B887" s="68" t="s">
        <v>476</v>
      </c>
      <c r="C887" s="68" t="s">
        <v>668</v>
      </c>
      <c r="D887" s="68" t="s">
        <v>1386</v>
      </c>
      <c r="E887" s="68" t="n">
        <v>250000000</v>
      </c>
      <c r="F887" s="68" t="n">
        <v>250000000</v>
      </c>
      <c r="G887" s="68" t="s">
        <v>1981</v>
      </c>
      <c r="H887" s="68" t="s">
        <v>1367</v>
      </c>
    </row>
    <row r="888" customFormat="false" ht="15" hidden="false" customHeight="false" outlineLevel="0" collapsed="false">
      <c r="A888" s="68" t="n">
        <v>90</v>
      </c>
      <c r="B888" s="68" t="s">
        <v>476</v>
      </c>
      <c r="C888" s="68" t="s">
        <v>672</v>
      </c>
      <c r="D888" s="68" t="s">
        <v>243</v>
      </c>
      <c r="E888" s="68" t="s">
        <v>671</v>
      </c>
      <c r="F888" s="68" t="s">
        <v>671</v>
      </c>
      <c r="G888" s="68" t="s">
        <v>1982</v>
      </c>
      <c r="H888" s="68" t="s">
        <v>1367</v>
      </c>
    </row>
    <row r="889" customFormat="false" ht="15" hidden="false" customHeight="false" outlineLevel="0" collapsed="false">
      <c r="A889" s="68" t="n">
        <v>90</v>
      </c>
      <c r="B889" s="68" t="s">
        <v>476</v>
      </c>
      <c r="C889" s="68" t="s">
        <v>672</v>
      </c>
      <c r="D889" s="68" t="s">
        <v>260</v>
      </c>
      <c r="E889" s="68" t="n">
        <v>1</v>
      </c>
      <c r="F889" s="68" t="n">
        <v>1</v>
      </c>
      <c r="G889" s="68" t="s">
        <v>1983</v>
      </c>
      <c r="H889" s="68" t="s">
        <v>1367</v>
      </c>
    </row>
    <row r="890" customFormat="false" ht="15" hidden="false" customHeight="false" outlineLevel="0" collapsed="false">
      <c r="A890" s="68" t="n">
        <v>90</v>
      </c>
      <c r="B890" s="68" t="s">
        <v>476</v>
      </c>
      <c r="C890" s="68" t="s">
        <v>672</v>
      </c>
      <c r="D890" s="68" t="s">
        <v>261</v>
      </c>
      <c r="E890" s="68" t="s">
        <v>674</v>
      </c>
      <c r="F890" s="68" t="s">
        <v>1984</v>
      </c>
      <c r="G890" s="68" t="s">
        <v>1985</v>
      </c>
      <c r="H890" s="68" t="s">
        <v>1367</v>
      </c>
    </row>
    <row r="891" customFormat="false" ht="15" hidden="false" customHeight="false" outlineLevel="0" collapsed="false">
      <c r="A891" s="68" t="n">
        <v>90</v>
      </c>
      <c r="B891" s="68" t="s">
        <v>476</v>
      </c>
      <c r="C891" s="68" t="s">
        <v>672</v>
      </c>
      <c r="D891" s="68" t="s">
        <v>880</v>
      </c>
      <c r="E891" s="68" t="s">
        <v>115</v>
      </c>
      <c r="F891" s="68" t="s">
        <v>1612</v>
      </c>
      <c r="G891" s="68" t="s">
        <v>1986</v>
      </c>
      <c r="H891" s="68" t="s">
        <v>1367</v>
      </c>
    </row>
    <row r="892" customFormat="false" ht="15" hidden="false" customHeight="false" outlineLevel="0" collapsed="false">
      <c r="A892" s="68" t="n">
        <v>90</v>
      </c>
      <c r="B892" s="68" t="s">
        <v>476</v>
      </c>
      <c r="C892" s="68" t="s">
        <v>672</v>
      </c>
      <c r="D892" s="68" t="s">
        <v>248</v>
      </c>
      <c r="E892" s="68" t="n">
        <v>6</v>
      </c>
      <c r="F892" s="68" t="n">
        <v>6</v>
      </c>
      <c r="G892" s="68" t="s">
        <v>1987</v>
      </c>
      <c r="H892" s="68" t="s">
        <v>1367</v>
      </c>
    </row>
    <row r="893" customFormat="false" ht="15" hidden="false" customHeight="false" outlineLevel="0" collapsed="false">
      <c r="A893" s="68" t="n">
        <v>90</v>
      </c>
      <c r="B893" s="68" t="s">
        <v>476</v>
      </c>
      <c r="C893" s="68" t="s">
        <v>672</v>
      </c>
      <c r="D893" s="68" t="s">
        <v>249</v>
      </c>
      <c r="E893" s="68" t="n">
        <v>20.4</v>
      </c>
      <c r="F893" s="68" t="s">
        <v>1988</v>
      </c>
      <c r="G893" s="68" t="s">
        <v>1989</v>
      </c>
      <c r="H893" s="85" t="s">
        <v>1371</v>
      </c>
    </row>
    <row r="894" customFormat="false" ht="15" hidden="false" customHeight="false" outlineLevel="0" collapsed="false">
      <c r="A894" s="68" t="n">
        <v>90</v>
      </c>
      <c r="B894" s="68" t="s">
        <v>476</v>
      </c>
      <c r="C894" s="68" t="s">
        <v>672</v>
      </c>
      <c r="D894" s="68" t="s">
        <v>1207</v>
      </c>
      <c r="E894" s="68" t="s">
        <v>312</v>
      </c>
      <c r="F894" s="68" t="s">
        <v>1583</v>
      </c>
      <c r="G894" s="68"/>
      <c r="H894" s="85" t="s">
        <v>1369</v>
      </c>
    </row>
    <row r="895" customFormat="false" ht="15" hidden="false" customHeight="false" outlineLevel="0" collapsed="false">
      <c r="A895" s="68" t="n">
        <v>90</v>
      </c>
      <c r="B895" s="68" t="s">
        <v>476</v>
      </c>
      <c r="C895" s="68" t="s">
        <v>672</v>
      </c>
      <c r="D895" s="68" t="s">
        <v>1584</v>
      </c>
      <c r="E895" s="68" t="s">
        <v>1990</v>
      </c>
      <c r="F895" s="68" t="s">
        <v>673</v>
      </c>
      <c r="G895" s="68" t="s">
        <v>1991</v>
      </c>
      <c r="H895" s="68" t="s">
        <v>1367</v>
      </c>
    </row>
    <row r="896" customFormat="false" ht="15" hidden="false" customHeight="false" outlineLevel="0" collapsed="false">
      <c r="A896" s="68" t="n">
        <v>90</v>
      </c>
      <c r="B896" s="68" t="s">
        <v>476</v>
      </c>
      <c r="C896" s="68" t="s">
        <v>672</v>
      </c>
      <c r="D896" s="68" t="s">
        <v>258</v>
      </c>
      <c r="E896" s="68" t="s">
        <v>304</v>
      </c>
      <c r="F896" s="68" t="s">
        <v>304</v>
      </c>
      <c r="G896" s="68" t="s">
        <v>1992</v>
      </c>
      <c r="H896" s="68" t="s">
        <v>1367</v>
      </c>
    </row>
    <row r="897" customFormat="false" ht="15" hidden="false" customHeight="false" outlineLevel="0" collapsed="false">
      <c r="A897" s="68" t="n">
        <v>90</v>
      </c>
      <c r="B897" s="68" t="s">
        <v>476</v>
      </c>
      <c r="C897" s="68" t="s">
        <v>672</v>
      </c>
      <c r="D897" s="68" t="s">
        <v>923</v>
      </c>
      <c r="E897" s="68" t="s">
        <v>363</v>
      </c>
      <c r="F897" s="68" t="s">
        <v>363</v>
      </c>
      <c r="G897" s="68" t="s">
        <v>1993</v>
      </c>
      <c r="H897" s="68" t="s">
        <v>1367</v>
      </c>
    </row>
    <row r="898" customFormat="false" ht="15" hidden="false" customHeight="false" outlineLevel="0" collapsed="false">
      <c r="A898" s="68" t="n">
        <v>90</v>
      </c>
      <c r="B898" s="68" t="s">
        <v>476</v>
      </c>
      <c r="C898" s="68" t="s">
        <v>672</v>
      </c>
      <c r="D898" s="68" t="s">
        <v>1386</v>
      </c>
      <c r="E898" s="68" t="n">
        <v>20000</v>
      </c>
      <c r="F898" s="68" t="n">
        <v>20000</v>
      </c>
      <c r="G898" s="68" t="s">
        <v>1993</v>
      </c>
      <c r="H898" s="68" t="s">
        <v>1367</v>
      </c>
    </row>
    <row r="899" customFormat="false" ht="15" hidden="false" customHeight="false" outlineLevel="0" collapsed="false">
      <c r="A899" s="68" t="n">
        <v>91</v>
      </c>
      <c r="B899" s="68" t="s">
        <v>558</v>
      </c>
      <c r="C899" s="68" t="s">
        <v>677</v>
      </c>
      <c r="D899" s="68" t="s">
        <v>243</v>
      </c>
      <c r="E899" s="68" t="s">
        <v>671</v>
      </c>
      <c r="F899" s="68" t="s">
        <v>671</v>
      </c>
      <c r="G899" s="68" t="s">
        <v>1994</v>
      </c>
      <c r="H899" s="68" t="s">
        <v>1367</v>
      </c>
    </row>
    <row r="900" customFormat="false" ht="15" hidden="false" customHeight="false" outlineLevel="0" collapsed="false">
      <c r="A900" s="68" t="n">
        <v>91</v>
      </c>
      <c r="B900" s="68" t="s">
        <v>558</v>
      </c>
      <c r="C900" s="68" t="s">
        <v>677</v>
      </c>
      <c r="D900" s="68" t="s">
        <v>260</v>
      </c>
      <c r="E900" s="68" t="n">
        <v>1</v>
      </c>
      <c r="F900" s="68" t="n">
        <v>1</v>
      </c>
      <c r="G900" s="68" t="s">
        <v>1995</v>
      </c>
      <c r="H900" s="68" t="s">
        <v>1367</v>
      </c>
    </row>
    <row r="901" customFormat="false" ht="15" hidden="false" customHeight="false" outlineLevel="0" collapsed="false">
      <c r="A901" s="68" t="n">
        <v>91</v>
      </c>
      <c r="B901" s="68" t="s">
        <v>558</v>
      </c>
      <c r="C901" s="68" t="s">
        <v>677</v>
      </c>
      <c r="D901" s="68" t="s">
        <v>261</v>
      </c>
      <c r="E901" s="68" t="s">
        <v>674</v>
      </c>
      <c r="F901" s="68" t="s">
        <v>1984</v>
      </c>
      <c r="G901" s="68" t="s">
        <v>1996</v>
      </c>
      <c r="H901" s="68" t="s">
        <v>1367</v>
      </c>
    </row>
    <row r="902" customFormat="false" ht="15" hidden="false" customHeight="false" outlineLevel="0" collapsed="false">
      <c r="A902" s="68" t="n">
        <v>91</v>
      </c>
      <c r="B902" s="68" t="s">
        <v>558</v>
      </c>
      <c r="C902" s="68" t="s">
        <v>677</v>
      </c>
      <c r="D902" s="68" t="s">
        <v>880</v>
      </c>
      <c r="E902" s="68" t="s">
        <v>115</v>
      </c>
      <c r="F902" s="68" t="s">
        <v>1612</v>
      </c>
      <c r="G902" s="68" t="s">
        <v>1997</v>
      </c>
      <c r="H902" s="68" t="s">
        <v>1367</v>
      </c>
    </row>
    <row r="903" customFormat="false" ht="15" hidden="false" customHeight="false" outlineLevel="0" collapsed="false">
      <c r="A903" s="68" t="n">
        <v>91</v>
      </c>
      <c r="B903" s="68" t="s">
        <v>558</v>
      </c>
      <c r="C903" s="68" t="s">
        <v>677</v>
      </c>
      <c r="D903" s="68" t="s">
        <v>248</v>
      </c>
      <c r="E903" s="68" t="n">
        <v>6</v>
      </c>
      <c r="F903" s="68" t="n">
        <v>6</v>
      </c>
      <c r="G903" s="68" t="s">
        <v>1998</v>
      </c>
      <c r="H903" s="68" t="s">
        <v>1367</v>
      </c>
    </row>
    <row r="904" customFormat="false" ht="15" hidden="false" customHeight="false" outlineLevel="0" collapsed="false">
      <c r="A904" s="68" t="n">
        <v>91</v>
      </c>
      <c r="B904" s="68" t="s">
        <v>558</v>
      </c>
      <c r="C904" s="68" t="s">
        <v>677</v>
      </c>
      <c r="D904" s="68" t="s">
        <v>249</v>
      </c>
      <c r="E904" s="68" t="n">
        <v>20.4</v>
      </c>
      <c r="F904" s="68" t="s">
        <v>1988</v>
      </c>
      <c r="G904" s="68" t="s">
        <v>1999</v>
      </c>
      <c r="H904" s="85" t="s">
        <v>1371</v>
      </c>
    </row>
    <row r="905" customFormat="false" ht="15" hidden="false" customHeight="false" outlineLevel="0" collapsed="false">
      <c r="A905" s="68" t="n">
        <v>91</v>
      </c>
      <c r="B905" s="68" t="s">
        <v>558</v>
      </c>
      <c r="C905" s="68" t="s">
        <v>677</v>
      </c>
      <c r="D905" s="68" t="s">
        <v>1207</v>
      </c>
      <c r="E905" s="68" t="s">
        <v>312</v>
      </c>
      <c r="F905" s="68" t="s">
        <v>1583</v>
      </c>
      <c r="G905" s="68"/>
      <c r="H905" s="85" t="s">
        <v>1369</v>
      </c>
    </row>
    <row r="906" customFormat="false" ht="15" hidden="false" customHeight="false" outlineLevel="0" collapsed="false">
      <c r="A906" s="68" t="n">
        <v>91</v>
      </c>
      <c r="B906" s="68" t="s">
        <v>558</v>
      </c>
      <c r="C906" s="68" t="s">
        <v>677</v>
      </c>
      <c r="D906" s="68" t="s">
        <v>1584</v>
      </c>
      <c r="E906" s="68" t="s">
        <v>1990</v>
      </c>
      <c r="F906" s="68" t="s">
        <v>673</v>
      </c>
      <c r="G906" s="68" t="s">
        <v>2000</v>
      </c>
      <c r="H906" s="68" t="s">
        <v>1367</v>
      </c>
    </row>
    <row r="907" customFormat="false" ht="15" hidden="false" customHeight="false" outlineLevel="0" collapsed="false">
      <c r="A907" s="68" t="n">
        <v>91</v>
      </c>
      <c r="B907" s="68" t="s">
        <v>558</v>
      </c>
      <c r="C907" s="68" t="s">
        <v>677</v>
      </c>
      <c r="D907" s="68" t="s">
        <v>258</v>
      </c>
      <c r="E907" s="68" t="s">
        <v>304</v>
      </c>
      <c r="F907" s="68" t="s">
        <v>304</v>
      </c>
      <c r="G907" s="68" t="s">
        <v>2001</v>
      </c>
      <c r="H907" s="68" t="s">
        <v>1367</v>
      </c>
    </row>
    <row r="908" customFormat="false" ht="15" hidden="false" customHeight="false" outlineLevel="0" collapsed="false">
      <c r="A908" s="68" t="n">
        <v>91</v>
      </c>
      <c r="B908" s="68" t="s">
        <v>558</v>
      </c>
      <c r="C908" s="68" t="s">
        <v>677</v>
      </c>
      <c r="D908" s="68" t="s">
        <v>923</v>
      </c>
      <c r="E908" s="68" t="s">
        <v>363</v>
      </c>
      <c r="F908" s="68" t="s">
        <v>363</v>
      </c>
      <c r="G908" s="68" t="s">
        <v>2002</v>
      </c>
      <c r="H908" s="68" t="s">
        <v>1367</v>
      </c>
    </row>
    <row r="909" customFormat="false" ht="15" hidden="false" customHeight="false" outlineLevel="0" collapsed="false">
      <c r="A909" s="68" t="n">
        <v>91</v>
      </c>
      <c r="B909" s="68" t="s">
        <v>558</v>
      </c>
      <c r="C909" s="68" t="s">
        <v>677</v>
      </c>
      <c r="D909" s="68" t="s">
        <v>1386</v>
      </c>
      <c r="E909" s="68" t="n">
        <v>20000</v>
      </c>
      <c r="F909" s="68" t="n">
        <v>20000</v>
      </c>
      <c r="G909" s="68" t="s">
        <v>2002</v>
      </c>
      <c r="H909" s="68" t="s">
        <v>1367</v>
      </c>
    </row>
    <row r="910" customFormat="false" ht="15" hidden="false" customHeight="false" outlineLevel="0" collapsed="false">
      <c r="A910" s="68" t="n">
        <v>92</v>
      </c>
      <c r="B910" s="68" t="s">
        <v>476</v>
      </c>
      <c r="C910" s="68" t="s">
        <v>681</v>
      </c>
      <c r="D910" s="68" t="s">
        <v>243</v>
      </c>
      <c r="E910" s="68" t="s">
        <v>680</v>
      </c>
      <c r="F910" s="68" t="s">
        <v>680</v>
      </c>
      <c r="G910" s="68" t="s">
        <v>2003</v>
      </c>
      <c r="H910" s="68" t="s">
        <v>1367</v>
      </c>
    </row>
    <row r="911" customFormat="false" ht="15" hidden="false" customHeight="false" outlineLevel="0" collapsed="false">
      <c r="A911" s="68" t="n">
        <v>92</v>
      </c>
      <c r="B911" s="68" t="s">
        <v>476</v>
      </c>
      <c r="C911" s="68" t="s">
        <v>681</v>
      </c>
      <c r="D911" s="68" t="s">
        <v>260</v>
      </c>
      <c r="E911" s="68" t="n">
        <v>5</v>
      </c>
      <c r="F911" s="68" t="n">
        <v>5</v>
      </c>
      <c r="G911" s="68" t="s">
        <v>2004</v>
      </c>
      <c r="H911" s="68" t="s">
        <v>1367</v>
      </c>
    </row>
    <row r="912" customFormat="false" ht="15" hidden="false" customHeight="false" outlineLevel="0" collapsed="false">
      <c r="A912" s="68" t="n">
        <v>92</v>
      </c>
      <c r="B912" s="68" t="s">
        <v>476</v>
      </c>
      <c r="C912" s="68" t="s">
        <v>681</v>
      </c>
      <c r="D912" s="68" t="s">
        <v>261</v>
      </c>
      <c r="E912" s="68" t="s">
        <v>682</v>
      </c>
      <c r="F912" s="68" t="s">
        <v>2005</v>
      </c>
      <c r="G912" s="68" t="s">
        <v>2006</v>
      </c>
      <c r="H912" s="68" t="s">
        <v>1367</v>
      </c>
    </row>
    <row r="913" customFormat="false" ht="15" hidden="false" customHeight="false" outlineLevel="0" collapsed="false">
      <c r="A913" s="68" t="n">
        <v>92</v>
      </c>
      <c r="B913" s="68" t="s">
        <v>476</v>
      </c>
      <c r="C913" s="68" t="s">
        <v>681</v>
      </c>
      <c r="D913" s="68" t="s">
        <v>880</v>
      </c>
      <c r="E913" s="68" t="s">
        <v>119</v>
      </c>
      <c r="F913" s="68" t="s">
        <v>2007</v>
      </c>
      <c r="G913" s="68" t="s">
        <v>2008</v>
      </c>
      <c r="H913" s="68" t="s">
        <v>1367</v>
      </c>
    </row>
    <row r="914" customFormat="false" ht="15" hidden="false" customHeight="false" outlineLevel="0" collapsed="false">
      <c r="A914" s="68" t="n">
        <v>92</v>
      </c>
      <c r="B914" s="68" t="s">
        <v>476</v>
      </c>
      <c r="C914" s="68" t="s">
        <v>681</v>
      </c>
      <c r="D914" s="68" t="s">
        <v>248</v>
      </c>
      <c r="E914" s="68" t="n">
        <v>9.6</v>
      </c>
      <c r="F914" s="68" t="n">
        <v>9.6</v>
      </c>
      <c r="G914" s="68" t="s">
        <v>2009</v>
      </c>
      <c r="H914" s="68" t="s">
        <v>1367</v>
      </c>
    </row>
    <row r="915" customFormat="false" ht="15" hidden="false" customHeight="false" outlineLevel="0" collapsed="false">
      <c r="A915" s="68" t="n">
        <v>92</v>
      </c>
      <c r="B915" s="68" t="s">
        <v>476</v>
      </c>
      <c r="C915" s="68" t="s">
        <v>681</v>
      </c>
      <c r="D915" s="68" t="s">
        <v>1207</v>
      </c>
      <c r="E915" s="68" t="s">
        <v>312</v>
      </c>
      <c r="F915" s="68" t="s">
        <v>1583</v>
      </c>
      <c r="G915" s="68"/>
      <c r="H915" s="85" t="s">
        <v>1369</v>
      </c>
    </row>
    <row r="916" customFormat="false" ht="15" hidden="false" customHeight="false" outlineLevel="0" collapsed="false">
      <c r="A916" s="68" t="n">
        <v>92</v>
      </c>
      <c r="B916" s="68" t="s">
        <v>476</v>
      </c>
      <c r="C916" s="68" t="s">
        <v>681</v>
      </c>
      <c r="D916" s="68" t="s">
        <v>258</v>
      </c>
      <c r="E916" s="68" t="s">
        <v>304</v>
      </c>
      <c r="F916" s="68" t="s">
        <v>1469</v>
      </c>
      <c r="G916" s="68"/>
      <c r="H916" s="85" t="s">
        <v>1369</v>
      </c>
    </row>
    <row r="917" customFormat="false" ht="15" hidden="false" customHeight="false" outlineLevel="0" collapsed="false">
      <c r="A917" s="68" t="n">
        <v>92</v>
      </c>
      <c r="B917" s="68" t="s">
        <v>476</v>
      </c>
      <c r="C917" s="68" t="s">
        <v>681</v>
      </c>
      <c r="D917" s="68" t="s">
        <v>923</v>
      </c>
      <c r="E917" s="68" t="s">
        <v>454</v>
      </c>
      <c r="F917" s="68" t="s">
        <v>454</v>
      </c>
      <c r="G917" s="68" t="s">
        <v>2010</v>
      </c>
      <c r="H917" s="68" t="s">
        <v>1367</v>
      </c>
    </row>
    <row r="918" customFormat="false" ht="15" hidden="false" customHeight="false" outlineLevel="0" collapsed="false">
      <c r="A918" s="68" t="n">
        <v>92</v>
      </c>
      <c r="B918" s="68" t="s">
        <v>476</v>
      </c>
      <c r="C918" s="68" t="s">
        <v>681</v>
      </c>
      <c r="D918" s="68" t="s">
        <v>1386</v>
      </c>
      <c r="E918" s="68" t="n">
        <v>100000000</v>
      </c>
      <c r="F918" s="68" t="n">
        <v>100000000</v>
      </c>
      <c r="G918" s="68" t="s">
        <v>2010</v>
      </c>
      <c r="H918" s="68" t="s">
        <v>1367</v>
      </c>
    </row>
    <row r="919" customFormat="false" ht="15" hidden="false" customHeight="false" outlineLevel="0" collapsed="false">
      <c r="A919" s="68" t="n">
        <v>93</v>
      </c>
      <c r="B919" s="68" t="s">
        <v>476</v>
      </c>
      <c r="C919" s="68" t="s">
        <v>686</v>
      </c>
      <c r="D919" s="68" t="s">
        <v>243</v>
      </c>
      <c r="E919" s="68" t="s">
        <v>685</v>
      </c>
      <c r="F919" s="68" t="s">
        <v>685</v>
      </c>
      <c r="G919" s="68" t="s">
        <v>2011</v>
      </c>
      <c r="H919" s="68" t="s">
        <v>1367</v>
      </c>
    </row>
    <row r="920" customFormat="false" ht="15" hidden="false" customHeight="false" outlineLevel="0" collapsed="false">
      <c r="A920" s="68" t="n">
        <v>93</v>
      </c>
      <c r="B920" s="68" t="s">
        <v>476</v>
      </c>
      <c r="C920" s="68" t="s">
        <v>686</v>
      </c>
      <c r="D920" s="68" t="s">
        <v>260</v>
      </c>
      <c r="E920" s="68" t="n">
        <v>1</v>
      </c>
      <c r="F920" s="68" t="n">
        <v>1</v>
      </c>
      <c r="G920" s="68" t="s">
        <v>2012</v>
      </c>
      <c r="H920" s="68" t="s">
        <v>1367</v>
      </c>
    </row>
    <row r="921" customFormat="false" ht="15" hidden="false" customHeight="false" outlineLevel="0" collapsed="false">
      <c r="A921" s="68" t="n">
        <v>93</v>
      </c>
      <c r="B921" s="68" t="s">
        <v>476</v>
      </c>
      <c r="C921" s="68" t="s">
        <v>686</v>
      </c>
      <c r="D921" s="68" t="s">
        <v>261</v>
      </c>
      <c r="E921" s="68" t="s">
        <v>682</v>
      </c>
      <c r="F921" s="68" t="s">
        <v>2005</v>
      </c>
      <c r="G921" s="68" t="s">
        <v>2013</v>
      </c>
      <c r="H921" s="68" t="s">
        <v>1367</v>
      </c>
    </row>
    <row r="922" customFormat="false" ht="15" hidden="false" customHeight="false" outlineLevel="0" collapsed="false">
      <c r="A922" s="68" t="n">
        <v>93</v>
      </c>
      <c r="B922" s="68" t="s">
        <v>476</v>
      </c>
      <c r="C922" s="68" t="s">
        <v>686</v>
      </c>
      <c r="D922" s="68" t="s">
        <v>880</v>
      </c>
      <c r="E922" s="68" t="s">
        <v>119</v>
      </c>
      <c r="F922" s="68" t="s">
        <v>2007</v>
      </c>
      <c r="G922" s="68" t="s">
        <v>2014</v>
      </c>
      <c r="H922" s="68" t="s">
        <v>1367</v>
      </c>
    </row>
    <row r="923" customFormat="false" ht="15" hidden="false" customHeight="false" outlineLevel="0" collapsed="false">
      <c r="A923" s="68" t="n">
        <v>93</v>
      </c>
      <c r="B923" s="68" t="s">
        <v>476</v>
      </c>
      <c r="C923" s="68" t="s">
        <v>686</v>
      </c>
      <c r="D923" s="68" t="s">
        <v>248</v>
      </c>
      <c r="E923" s="68" t="n">
        <v>9.6</v>
      </c>
      <c r="F923" s="68" t="n">
        <v>9.6</v>
      </c>
      <c r="G923" s="68" t="s">
        <v>2015</v>
      </c>
      <c r="H923" s="68" t="s">
        <v>1367</v>
      </c>
    </row>
    <row r="924" customFormat="false" ht="15" hidden="false" customHeight="false" outlineLevel="0" collapsed="false">
      <c r="A924" s="68" t="n">
        <v>93</v>
      </c>
      <c r="B924" s="68" t="s">
        <v>476</v>
      </c>
      <c r="C924" s="68" t="s">
        <v>686</v>
      </c>
      <c r="D924" s="68" t="s">
        <v>1207</v>
      </c>
      <c r="E924" s="68" t="s">
        <v>312</v>
      </c>
      <c r="F924" s="68" t="s">
        <v>1583</v>
      </c>
      <c r="G924" s="68"/>
      <c r="H924" s="85" t="s">
        <v>1369</v>
      </c>
    </row>
    <row r="925" customFormat="false" ht="15" hidden="false" customHeight="false" outlineLevel="0" collapsed="false">
      <c r="A925" s="68" t="n">
        <v>93</v>
      </c>
      <c r="B925" s="68" t="s">
        <v>476</v>
      </c>
      <c r="C925" s="68" t="s">
        <v>686</v>
      </c>
      <c r="D925" s="68" t="s">
        <v>258</v>
      </c>
      <c r="E925" s="68" t="s">
        <v>304</v>
      </c>
      <c r="F925" s="68" t="s">
        <v>1469</v>
      </c>
      <c r="G925" s="68"/>
      <c r="H925" s="85" t="s">
        <v>1369</v>
      </c>
    </row>
    <row r="926" customFormat="false" ht="15" hidden="false" customHeight="false" outlineLevel="0" collapsed="false">
      <c r="A926" s="68" t="n">
        <v>93</v>
      </c>
      <c r="B926" s="68" t="s">
        <v>476</v>
      </c>
      <c r="C926" s="68" t="s">
        <v>686</v>
      </c>
      <c r="D926" s="68" t="s">
        <v>923</v>
      </c>
      <c r="E926" s="68" t="s">
        <v>454</v>
      </c>
      <c r="F926" s="68" t="s">
        <v>454</v>
      </c>
      <c r="G926" s="68" t="s">
        <v>2016</v>
      </c>
      <c r="H926" s="68" t="s">
        <v>1367</v>
      </c>
    </row>
    <row r="927" customFormat="false" ht="15" hidden="false" customHeight="false" outlineLevel="0" collapsed="false">
      <c r="A927" s="68" t="n">
        <v>93</v>
      </c>
      <c r="B927" s="68" t="s">
        <v>476</v>
      </c>
      <c r="C927" s="68" t="s">
        <v>686</v>
      </c>
      <c r="D927" s="68" t="s">
        <v>1386</v>
      </c>
      <c r="E927" s="68" t="n">
        <v>100000000</v>
      </c>
      <c r="F927" s="68" t="n">
        <v>100000000</v>
      </c>
      <c r="G927" s="68" t="s">
        <v>2016</v>
      </c>
      <c r="H927" s="68" t="s">
        <v>1367</v>
      </c>
    </row>
    <row r="928" customFormat="false" ht="15" hidden="false" customHeight="false" outlineLevel="0" collapsed="false">
      <c r="A928" s="68" t="n">
        <v>94</v>
      </c>
      <c r="B928" s="68" t="s">
        <v>690</v>
      </c>
      <c r="C928" s="68" t="s">
        <v>691</v>
      </c>
      <c r="D928" s="68" t="s">
        <v>243</v>
      </c>
      <c r="E928" s="68" t="s">
        <v>689</v>
      </c>
      <c r="F928" s="68" t="s">
        <v>689</v>
      </c>
      <c r="G928" s="68" t="s">
        <v>2017</v>
      </c>
      <c r="H928" s="68" t="s">
        <v>1367</v>
      </c>
    </row>
    <row r="929" customFormat="false" ht="15" hidden="false" customHeight="false" outlineLevel="0" collapsed="false">
      <c r="A929" s="68" t="n">
        <v>94</v>
      </c>
      <c r="B929" s="68" t="s">
        <v>690</v>
      </c>
      <c r="C929" s="68" t="s">
        <v>691</v>
      </c>
      <c r="D929" s="68" t="s">
        <v>260</v>
      </c>
      <c r="E929" s="68" t="n">
        <v>2</v>
      </c>
      <c r="F929" s="68" t="n">
        <v>2</v>
      </c>
      <c r="G929" s="68" t="s">
        <v>2018</v>
      </c>
      <c r="H929" s="68" t="s">
        <v>1367</v>
      </c>
    </row>
    <row r="930" customFormat="false" ht="15" hidden="false" customHeight="false" outlineLevel="0" collapsed="false">
      <c r="A930" s="68" t="n">
        <v>94</v>
      </c>
      <c r="B930" s="68" t="s">
        <v>690</v>
      </c>
      <c r="C930" s="68" t="s">
        <v>691</v>
      </c>
      <c r="D930" s="68" t="s">
        <v>246</v>
      </c>
      <c r="E930" s="68" t="s">
        <v>177</v>
      </c>
      <c r="F930" s="68" t="s">
        <v>2019</v>
      </c>
      <c r="G930" s="68" t="s">
        <v>2017</v>
      </c>
      <c r="H930" s="68" t="s">
        <v>1367</v>
      </c>
    </row>
    <row r="931" customFormat="false" ht="15" hidden="false" customHeight="false" outlineLevel="0" collapsed="false">
      <c r="A931" s="68" t="n">
        <v>94</v>
      </c>
      <c r="B931" s="68" t="s">
        <v>690</v>
      </c>
      <c r="C931" s="68" t="s">
        <v>691</v>
      </c>
      <c r="D931" s="68" t="s">
        <v>261</v>
      </c>
      <c r="E931" s="68" t="s">
        <v>306</v>
      </c>
      <c r="F931" s="68" t="s">
        <v>2019</v>
      </c>
      <c r="G931" s="68" t="s">
        <v>2017</v>
      </c>
      <c r="H931" s="68" t="s">
        <v>1367</v>
      </c>
    </row>
    <row r="932" customFormat="false" ht="15" hidden="false" customHeight="false" outlineLevel="0" collapsed="false">
      <c r="A932" s="68" t="n">
        <v>94</v>
      </c>
      <c r="B932" s="68" t="s">
        <v>690</v>
      </c>
      <c r="C932" s="68" t="s">
        <v>691</v>
      </c>
      <c r="D932" s="68" t="s">
        <v>880</v>
      </c>
      <c r="E932" s="68" t="s">
        <v>111</v>
      </c>
      <c r="F932" s="68" t="s">
        <v>1578</v>
      </c>
      <c r="G932" s="68" t="s">
        <v>2017</v>
      </c>
      <c r="H932" s="68" t="s">
        <v>1367</v>
      </c>
    </row>
    <row r="933" customFormat="false" ht="15" hidden="false" customHeight="false" outlineLevel="0" collapsed="false">
      <c r="A933" s="68" t="n">
        <v>94</v>
      </c>
      <c r="B933" s="68" t="s">
        <v>690</v>
      </c>
      <c r="C933" s="68" t="s">
        <v>691</v>
      </c>
      <c r="D933" s="68" t="s">
        <v>248</v>
      </c>
      <c r="E933" s="68" t="n">
        <v>45</v>
      </c>
      <c r="F933" s="68" t="n">
        <v>45</v>
      </c>
      <c r="G933" s="68" t="s">
        <v>2017</v>
      </c>
      <c r="H933" s="68" t="s">
        <v>1367</v>
      </c>
    </row>
    <row r="934" customFormat="false" ht="15" hidden="false" customHeight="false" outlineLevel="0" collapsed="false">
      <c r="A934" s="68" t="n">
        <v>94</v>
      </c>
      <c r="B934" s="68" t="s">
        <v>690</v>
      </c>
      <c r="C934" s="68" t="s">
        <v>691</v>
      </c>
      <c r="D934" s="68" t="s">
        <v>249</v>
      </c>
      <c r="E934" s="68" t="n">
        <v>139.1</v>
      </c>
      <c r="F934" s="68" t="n">
        <v>139.1</v>
      </c>
      <c r="G934" s="68" t="s">
        <v>2017</v>
      </c>
      <c r="H934" s="68" t="s">
        <v>1367</v>
      </c>
    </row>
    <row r="935" customFormat="false" ht="15" hidden="false" customHeight="false" outlineLevel="0" collapsed="false">
      <c r="A935" s="68" t="n">
        <v>94</v>
      </c>
      <c r="B935" s="68" t="s">
        <v>690</v>
      </c>
      <c r="C935" s="68" t="s">
        <v>691</v>
      </c>
      <c r="D935" s="68" t="s">
        <v>262</v>
      </c>
      <c r="E935" s="68" t="n">
        <v>14.5</v>
      </c>
      <c r="F935" s="68" t="n">
        <v>14.5</v>
      </c>
      <c r="G935" s="68" t="s">
        <v>2017</v>
      </c>
      <c r="H935" s="68" t="s">
        <v>1367</v>
      </c>
    </row>
    <row r="936" customFormat="false" ht="15" hidden="false" customHeight="false" outlineLevel="0" collapsed="false">
      <c r="A936" s="68" t="n">
        <v>94</v>
      </c>
      <c r="B936" s="68" t="s">
        <v>690</v>
      </c>
      <c r="C936" s="68" t="s">
        <v>691</v>
      </c>
      <c r="D936" s="68" t="s">
        <v>1207</v>
      </c>
      <c r="E936" s="68" t="s">
        <v>369</v>
      </c>
      <c r="F936" s="68" t="s">
        <v>369</v>
      </c>
      <c r="G936" s="68" t="s">
        <v>2017</v>
      </c>
      <c r="H936" s="68" t="s">
        <v>1367</v>
      </c>
    </row>
    <row r="937" customFormat="false" ht="15" hidden="false" customHeight="false" outlineLevel="0" collapsed="false">
      <c r="A937" s="68" t="n">
        <v>94</v>
      </c>
      <c r="B937" s="68" t="s">
        <v>690</v>
      </c>
      <c r="C937" s="68" t="s">
        <v>691</v>
      </c>
      <c r="D937" s="68" t="s">
        <v>1584</v>
      </c>
      <c r="E937" s="68" t="s">
        <v>1585</v>
      </c>
      <c r="F937" s="68" t="s">
        <v>1586</v>
      </c>
      <c r="G937" s="68" t="s">
        <v>2017</v>
      </c>
      <c r="H937" s="68" t="s">
        <v>1367</v>
      </c>
    </row>
    <row r="938" customFormat="false" ht="15" hidden="false" customHeight="false" outlineLevel="0" collapsed="false">
      <c r="A938" s="68" t="n">
        <v>94</v>
      </c>
      <c r="B938" s="68" t="s">
        <v>690</v>
      </c>
      <c r="C938" s="68" t="s">
        <v>691</v>
      </c>
      <c r="D938" s="68" t="s">
        <v>258</v>
      </c>
      <c r="E938" s="68" t="s">
        <v>304</v>
      </c>
      <c r="F938" s="68" t="s">
        <v>1469</v>
      </c>
      <c r="G938" s="68"/>
      <c r="H938" s="85" t="s">
        <v>1369</v>
      </c>
    </row>
    <row r="939" customFormat="false" ht="15" hidden="false" customHeight="false" outlineLevel="0" collapsed="false">
      <c r="A939" s="68" t="n">
        <v>94</v>
      </c>
      <c r="B939" s="68" t="s">
        <v>690</v>
      </c>
      <c r="C939" s="68" t="s">
        <v>691</v>
      </c>
      <c r="D939" s="68" t="s">
        <v>923</v>
      </c>
      <c r="E939" s="68" t="s">
        <v>363</v>
      </c>
      <c r="F939" s="68" t="s">
        <v>363</v>
      </c>
      <c r="G939" s="68" t="s">
        <v>2020</v>
      </c>
      <c r="H939" s="68" t="s">
        <v>1367</v>
      </c>
    </row>
    <row r="940" customFormat="false" ht="15" hidden="false" customHeight="false" outlineLevel="0" collapsed="false">
      <c r="A940" s="68" t="n">
        <v>94</v>
      </c>
      <c r="B940" s="68" t="s">
        <v>690</v>
      </c>
      <c r="C940" s="68" t="s">
        <v>691</v>
      </c>
      <c r="D940" s="68" t="s">
        <v>1386</v>
      </c>
      <c r="E940" s="68" t="n">
        <v>111500</v>
      </c>
      <c r="F940" s="68" t="n">
        <v>111500</v>
      </c>
      <c r="G940" s="68" t="s">
        <v>2020</v>
      </c>
      <c r="H940" s="68" t="s">
        <v>1367</v>
      </c>
    </row>
    <row r="941" customFormat="false" ht="15" hidden="false" customHeight="false" outlineLevel="0" collapsed="false">
      <c r="A941" s="68" t="n">
        <v>95</v>
      </c>
      <c r="B941" s="68" t="s">
        <v>690</v>
      </c>
      <c r="C941" s="68" t="s">
        <v>563</v>
      </c>
      <c r="D941" s="68" t="s">
        <v>243</v>
      </c>
      <c r="E941" s="68" t="s">
        <v>621</v>
      </c>
      <c r="F941" s="68" t="s">
        <v>621</v>
      </c>
      <c r="G941" s="68" t="s">
        <v>2021</v>
      </c>
      <c r="H941" s="68" t="s">
        <v>1367</v>
      </c>
    </row>
    <row r="942" customFormat="false" ht="15" hidden="false" customHeight="false" outlineLevel="0" collapsed="false">
      <c r="A942" s="68" t="n">
        <v>95</v>
      </c>
      <c r="B942" s="68" t="s">
        <v>690</v>
      </c>
      <c r="C942" s="68" t="s">
        <v>563</v>
      </c>
      <c r="D942" s="68" t="s">
        <v>260</v>
      </c>
      <c r="E942" s="68" t="n">
        <v>2</v>
      </c>
      <c r="F942" s="68" t="n">
        <v>2</v>
      </c>
      <c r="G942" s="68" t="s">
        <v>2022</v>
      </c>
      <c r="H942" s="68" t="s">
        <v>1367</v>
      </c>
    </row>
    <row r="943" customFormat="false" ht="15" hidden="false" customHeight="false" outlineLevel="0" collapsed="false">
      <c r="A943" s="68" t="n">
        <v>95</v>
      </c>
      <c r="B943" s="68" t="s">
        <v>690</v>
      </c>
      <c r="C943" s="68" t="s">
        <v>563</v>
      </c>
      <c r="D943" s="68" t="s">
        <v>261</v>
      </c>
      <c r="E943" s="68" t="s">
        <v>306</v>
      </c>
      <c r="F943" s="68" t="s">
        <v>1874</v>
      </c>
      <c r="G943" s="68" t="s">
        <v>2021</v>
      </c>
      <c r="H943" s="68" t="s">
        <v>1367</v>
      </c>
    </row>
    <row r="944" customFormat="false" ht="15" hidden="false" customHeight="false" outlineLevel="0" collapsed="false">
      <c r="A944" s="68" t="n">
        <v>95</v>
      </c>
      <c r="B944" s="68" t="s">
        <v>690</v>
      </c>
      <c r="C944" s="68" t="s">
        <v>563</v>
      </c>
      <c r="D944" s="68" t="s">
        <v>880</v>
      </c>
      <c r="E944" s="68" t="s">
        <v>74</v>
      </c>
      <c r="F944" s="68" t="s">
        <v>1876</v>
      </c>
      <c r="G944" s="68" t="s">
        <v>2021</v>
      </c>
      <c r="H944" s="68" t="s">
        <v>1367</v>
      </c>
    </row>
    <row r="945" customFormat="false" ht="15" hidden="false" customHeight="false" outlineLevel="0" collapsed="false">
      <c r="A945" s="68" t="n">
        <v>95</v>
      </c>
      <c r="B945" s="68" t="s">
        <v>690</v>
      </c>
      <c r="C945" s="68" t="s">
        <v>563</v>
      </c>
      <c r="D945" s="68" t="s">
        <v>248</v>
      </c>
      <c r="E945" s="68" t="n">
        <v>53</v>
      </c>
      <c r="F945" s="68" t="n">
        <v>53</v>
      </c>
      <c r="G945" s="68" t="s">
        <v>2021</v>
      </c>
      <c r="H945" s="68" t="s">
        <v>1367</v>
      </c>
    </row>
    <row r="946" customFormat="false" ht="15" hidden="false" customHeight="false" outlineLevel="0" collapsed="false">
      <c r="A946" s="68" t="n">
        <v>95</v>
      </c>
      <c r="B946" s="68" t="s">
        <v>690</v>
      </c>
      <c r="C946" s="68" t="s">
        <v>563</v>
      </c>
      <c r="D946" s="68" t="s">
        <v>249</v>
      </c>
      <c r="E946" s="68" t="n">
        <v>35.7</v>
      </c>
      <c r="F946" s="68" t="n">
        <v>35.7</v>
      </c>
      <c r="G946" s="68" t="s">
        <v>2021</v>
      </c>
      <c r="H946" s="68" t="s">
        <v>1367</v>
      </c>
    </row>
    <row r="947" customFormat="false" ht="15" hidden="false" customHeight="false" outlineLevel="0" collapsed="false">
      <c r="A947" s="68" t="n">
        <v>95</v>
      </c>
      <c r="B947" s="68" t="s">
        <v>690</v>
      </c>
      <c r="C947" s="68" t="s">
        <v>563</v>
      </c>
      <c r="D947" s="68" t="s">
        <v>262</v>
      </c>
      <c r="E947" s="68" t="n">
        <v>2.9</v>
      </c>
      <c r="F947" s="68" t="n">
        <v>2.9</v>
      </c>
      <c r="G947" s="68" t="s">
        <v>2021</v>
      </c>
      <c r="H947" s="68" t="s">
        <v>1367</v>
      </c>
    </row>
    <row r="948" customFormat="false" ht="15" hidden="false" customHeight="false" outlineLevel="0" collapsed="false">
      <c r="A948" s="68" t="n">
        <v>95</v>
      </c>
      <c r="B948" s="68" t="s">
        <v>690</v>
      </c>
      <c r="C948" s="68" t="s">
        <v>563</v>
      </c>
      <c r="D948" s="68" t="s">
        <v>1207</v>
      </c>
      <c r="E948" s="68" t="s">
        <v>312</v>
      </c>
      <c r="F948" s="68" t="s">
        <v>1583</v>
      </c>
      <c r="G948" s="68"/>
      <c r="H948" s="85" t="s">
        <v>1369</v>
      </c>
    </row>
    <row r="949" customFormat="false" ht="15" hidden="false" customHeight="false" outlineLevel="0" collapsed="false">
      <c r="A949" s="68" t="n">
        <v>95</v>
      </c>
      <c r="B949" s="68" t="s">
        <v>690</v>
      </c>
      <c r="C949" s="68" t="s">
        <v>563</v>
      </c>
      <c r="D949" s="68" t="s">
        <v>1584</v>
      </c>
      <c r="E949" s="68" t="s">
        <v>1881</v>
      </c>
      <c r="F949" s="68" t="s">
        <v>1882</v>
      </c>
      <c r="G949" s="68" t="s">
        <v>2021</v>
      </c>
      <c r="H949" s="68" t="s">
        <v>1367</v>
      </c>
    </row>
    <row r="950" customFormat="false" ht="15" hidden="false" customHeight="false" outlineLevel="0" collapsed="false">
      <c r="A950" s="68" t="n">
        <v>95</v>
      </c>
      <c r="B950" s="68" t="s">
        <v>690</v>
      </c>
      <c r="C950" s="68" t="s">
        <v>563</v>
      </c>
      <c r="D950" s="68" t="s">
        <v>258</v>
      </c>
      <c r="E950" s="68" t="s">
        <v>304</v>
      </c>
      <c r="F950" s="68" t="s">
        <v>1469</v>
      </c>
      <c r="G950" s="68"/>
      <c r="H950" s="85" t="s">
        <v>1369</v>
      </c>
    </row>
    <row r="951" customFormat="false" ht="15" hidden="false" customHeight="false" outlineLevel="0" collapsed="false">
      <c r="A951" s="68" t="n">
        <v>95</v>
      </c>
      <c r="B951" s="68" t="s">
        <v>690</v>
      </c>
      <c r="C951" s="68" t="s">
        <v>563</v>
      </c>
      <c r="D951" s="68" t="s">
        <v>923</v>
      </c>
      <c r="E951" s="68" t="s">
        <v>363</v>
      </c>
      <c r="F951" s="68" t="s">
        <v>363</v>
      </c>
      <c r="G951" s="68" t="s">
        <v>2023</v>
      </c>
      <c r="H951" s="68" t="s">
        <v>1367</v>
      </c>
    </row>
    <row r="952" customFormat="false" ht="15" hidden="false" customHeight="false" outlineLevel="0" collapsed="false">
      <c r="A952" s="68" t="n">
        <v>95</v>
      </c>
      <c r="B952" s="68" t="s">
        <v>690</v>
      </c>
      <c r="C952" s="68" t="s">
        <v>563</v>
      </c>
      <c r="D952" s="68" t="s">
        <v>1386</v>
      </c>
      <c r="E952" s="68" t="n">
        <v>15050</v>
      </c>
      <c r="F952" s="68" t="n">
        <v>15050</v>
      </c>
      <c r="G952" s="68" t="s">
        <v>2023</v>
      </c>
      <c r="H952" s="68" t="s">
        <v>1367</v>
      </c>
    </row>
    <row r="953" customFormat="false" ht="15" hidden="false" customHeight="false" outlineLevel="0" collapsed="false">
      <c r="A953" s="68" t="n">
        <v>96</v>
      </c>
      <c r="B953" s="68" t="s">
        <v>690</v>
      </c>
      <c r="C953" s="68" t="s">
        <v>698</v>
      </c>
      <c r="D953" s="68" t="s">
        <v>243</v>
      </c>
      <c r="E953" s="68" t="s">
        <v>512</v>
      </c>
      <c r="F953" s="68" t="s">
        <v>512</v>
      </c>
      <c r="G953" s="68" t="s">
        <v>2024</v>
      </c>
      <c r="H953" s="68" t="s">
        <v>1367</v>
      </c>
    </row>
    <row r="954" customFormat="false" ht="15" hidden="false" customHeight="false" outlineLevel="0" collapsed="false">
      <c r="A954" s="68" t="n">
        <v>96</v>
      </c>
      <c r="B954" s="68" t="s">
        <v>690</v>
      </c>
      <c r="C954" s="68" t="s">
        <v>698</v>
      </c>
      <c r="D954" s="68" t="s">
        <v>260</v>
      </c>
      <c r="E954" s="68" t="n">
        <v>1</v>
      </c>
      <c r="F954" s="68" t="n">
        <v>1</v>
      </c>
      <c r="G954" s="68" t="s">
        <v>2025</v>
      </c>
      <c r="H954" s="68" t="s">
        <v>1367</v>
      </c>
    </row>
    <row r="955" customFormat="false" ht="15" hidden="false" customHeight="false" outlineLevel="0" collapsed="false">
      <c r="A955" s="68" t="n">
        <v>96</v>
      </c>
      <c r="B955" s="68" t="s">
        <v>690</v>
      </c>
      <c r="C955" s="68" t="s">
        <v>698</v>
      </c>
      <c r="D955" s="68" t="s">
        <v>246</v>
      </c>
      <c r="E955" s="68" t="s">
        <v>132</v>
      </c>
      <c r="F955" s="68" t="s">
        <v>1576</v>
      </c>
      <c r="G955" s="68" t="s">
        <v>2024</v>
      </c>
      <c r="H955" s="68" t="s">
        <v>1367</v>
      </c>
    </row>
    <row r="956" customFormat="false" ht="15" hidden="false" customHeight="false" outlineLevel="0" collapsed="false">
      <c r="A956" s="68" t="n">
        <v>96</v>
      </c>
      <c r="B956" s="68" t="s">
        <v>690</v>
      </c>
      <c r="C956" s="68" t="s">
        <v>698</v>
      </c>
      <c r="D956" s="68" t="s">
        <v>261</v>
      </c>
      <c r="E956" s="68" t="s">
        <v>306</v>
      </c>
      <c r="F956" s="68" t="s">
        <v>1576</v>
      </c>
      <c r="G956" s="68" t="s">
        <v>2024</v>
      </c>
      <c r="H956" s="68" t="s">
        <v>1367</v>
      </c>
    </row>
    <row r="957" customFormat="false" ht="15" hidden="false" customHeight="false" outlineLevel="0" collapsed="false">
      <c r="A957" s="68" t="n">
        <v>96</v>
      </c>
      <c r="B957" s="68" t="s">
        <v>690</v>
      </c>
      <c r="C957" s="68" t="s">
        <v>698</v>
      </c>
      <c r="D957" s="68" t="s">
        <v>880</v>
      </c>
      <c r="E957" s="68" t="s">
        <v>74</v>
      </c>
      <c r="F957" s="68" t="s">
        <v>1876</v>
      </c>
      <c r="G957" s="68" t="s">
        <v>2024</v>
      </c>
      <c r="H957" s="68" t="s">
        <v>1367</v>
      </c>
    </row>
    <row r="958" customFormat="false" ht="15" hidden="false" customHeight="false" outlineLevel="0" collapsed="false">
      <c r="A958" s="68" t="n">
        <v>96</v>
      </c>
      <c r="B958" s="68" t="s">
        <v>690</v>
      </c>
      <c r="C958" s="68" t="s">
        <v>698</v>
      </c>
      <c r="D958" s="68" t="s">
        <v>248</v>
      </c>
      <c r="E958" s="68" t="n">
        <v>53</v>
      </c>
      <c r="F958" s="68" t="n">
        <v>53</v>
      </c>
      <c r="G958" s="68" t="s">
        <v>2024</v>
      </c>
      <c r="H958" s="68" t="s">
        <v>1367</v>
      </c>
    </row>
    <row r="959" customFormat="false" ht="15" hidden="false" customHeight="false" outlineLevel="0" collapsed="false">
      <c r="A959" s="68" t="n">
        <v>96</v>
      </c>
      <c r="B959" s="68" t="s">
        <v>690</v>
      </c>
      <c r="C959" s="68" t="s">
        <v>698</v>
      </c>
      <c r="D959" s="68" t="s">
        <v>249</v>
      </c>
      <c r="E959" s="68" t="n">
        <v>122.3</v>
      </c>
      <c r="F959" s="68" t="n">
        <v>122.3</v>
      </c>
      <c r="G959" s="68" t="s">
        <v>2024</v>
      </c>
      <c r="H959" s="68" t="s">
        <v>1367</v>
      </c>
    </row>
    <row r="960" customFormat="false" ht="15" hidden="false" customHeight="false" outlineLevel="0" collapsed="false">
      <c r="A960" s="68" t="n">
        <v>96</v>
      </c>
      <c r="B960" s="68" t="s">
        <v>690</v>
      </c>
      <c r="C960" s="68" t="s">
        <v>698</v>
      </c>
      <c r="D960" s="68" t="s">
        <v>262</v>
      </c>
      <c r="E960" s="68" t="n">
        <v>12</v>
      </c>
      <c r="F960" s="68" t="n">
        <v>12</v>
      </c>
      <c r="G960" s="68" t="s">
        <v>2024</v>
      </c>
      <c r="H960" s="68" t="s">
        <v>1367</v>
      </c>
    </row>
    <row r="961" customFormat="false" ht="15" hidden="false" customHeight="false" outlineLevel="0" collapsed="false">
      <c r="A961" s="68" t="n">
        <v>96</v>
      </c>
      <c r="B961" s="68" t="s">
        <v>690</v>
      </c>
      <c r="C961" s="68" t="s">
        <v>698</v>
      </c>
      <c r="D961" s="68" t="s">
        <v>1207</v>
      </c>
      <c r="E961" s="68" t="s">
        <v>312</v>
      </c>
      <c r="F961" s="68" t="s">
        <v>1583</v>
      </c>
      <c r="G961" s="68"/>
      <c r="H961" s="85" t="s">
        <v>1369</v>
      </c>
    </row>
    <row r="962" customFormat="false" ht="15" hidden="false" customHeight="false" outlineLevel="0" collapsed="false">
      <c r="A962" s="68" t="n">
        <v>96</v>
      </c>
      <c r="B962" s="68" t="s">
        <v>690</v>
      </c>
      <c r="C962" s="68" t="s">
        <v>698</v>
      </c>
      <c r="D962" s="68" t="s">
        <v>1584</v>
      </c>
      <c r="E962" s="68" t="s">
        <v>1585</v>
      </c>
      <c r="F962" s="68" t="s">
        <v>1586</v>
      </c>
      <c r="G962" s="68" t="s">
        <v>2024</v>
      </c>
      <c r="H962" s="68" t="s">
        <v>1367</v>
      </c>
    </row>
    <row r="963" customFormat="false" ht="15" hidden="false" customHeight="false" outlineLevel="0" collapsed="false">
      <c r="A963" s="68" t="n">
        <v>96</v>
      </c>
      <c r="B963" s="68" t="s">
        <v>690</v>
      </c>
      <c r="C963" s="68" t="s">
        <v>698</v>
      </c>
      <c r="D963" s="68" t="s">
        <v>258</v>
      </c>
      <c r="E963" s="68" t="s">
        <v>304</v>
      </c>
      <c r="F963" s="68" t="s">
        <v>1469</v>
      </c>
      <c r="G963" s="68"/>
      <c r="H963" s="85" t="s">
        <v>1369</v>
      </c>
    </row>
    <row r="964" customFormat="false" ht="15" hidden="false" customHeight="false" outlineLevel="0" collapsed="false">
      <c r="A964" s="68" t="n">
        <v>96</v>
      </c>
      <c r="B964" s="68" t="s">
        <v>690</v>
      </c>
      <c r="C964" s="68" t="s">
        <v>698</v>
      </c>
      <c r="D964" s="68" t="s">
        <v>923</v>
      </c>
      <c r="E964" s="68" t="s">
        <v>363</v>
      </c>
      <c r="F964" s="68" t="s">
        <v>363</v>
      </c>
      <c r="G964" s="68" t="s">
        <v>2026</v>
      </c>
      <c r="H964" s="68" t="s">
        <v>1367</v>
      </c>
    </row>
    <row r="965" customFormat="false" ht="15" hidden="false" customHeight="false" outlineLevel="0" collapsed="false">
      <c r="A965" s="68" t="n">
        <v>96</v>
      </c>
      <c r="B965" s="68" t="s">
        <v>690</v>
      </c>
      <c r="C965" s="68" t="s">
        <v>698</v>
      </c>
      <c r="D965" s="68" t="s">
        <v>1386</v>
      </c>
      <c r="E965" s="68" t="n">
        <v>22250</v>
      </c>
      <c r="F965" s="68" t="n">
        <v>22250</v>
      </c>
      <c r="G965" s="68" t="s">
        <v>2026</v>
      </c>
      <c r="H965" s="68" t="s">
        <v>1367</v>
      </c>
    </row>
    <row r="966" customFormat="false" ht="15" hidden="false" customHeight="false" outlineLevel="0" collapsed="false">
      <c r="A966" s="68" t="n">
        <v>97</v>
      </c>
      <c r="B966" s="68" t="s">
        <v>690</v>
      </c>
      <c r="C966" s="68" t="s">
        <v>701</v>
      </c>
      <c r="D966" s="68" t="s">
        <v>243</v>
      </c>
      <c r="E966" s="68" t="s">
        <v>508</v>
      </c>
      <c r="F966" s="68" t="s">
        <v>508</v>
      </c>
      <c r="G966" s="68" t="s">
        <v>2027</v>
      </c>
      <c r="H966" s="68" t="s">
        <v>1367</v>
      </c>
    </row>
    <row r="967" customFormat="false" ht="15" hidden="false" customHeight="false" outlineLevel="0" collapsed="false">
      <c r="A967" s="68" t="n">
        <v>97</v>
      </c>
      <c r="B967" s="68" t="s">
        <v>690</v>
      </c>
      <c r="C967" s="68" t="s">
        <v>701</v>
      </c>
      <c r="D967" s="68" t="s">
        <v>260</v>
      </c>
      <c r="E967" s="68" t="n">
        <v>2</v>
      </c>
      <c r="F967" s="68" t="n">
        <v>2</v>
      </c>
      <c r="G967" s="68" t="s">
        <v>2028</v>
      </c>
      <c r="H967" s="68" t="s">
        <v>1367</v>
      </c>
    </row>
    <row r="968" customFormat="false" ht="15" hidden="false" customHeight="false" outlineLevel="0" collapsed="false">
      <c r="A968" s="68" t="n">
        <v>97</v>
      </c>
      <c r="B968" s="68" t="s">
        <v>690</v>
      </c>
      <c r="C968" s="68" t="s">
        <v>701</v>
      </c>
      <c r="D968" s="68" t="s">
        <v>246</v>
      </c>
      <c r="E968" s="68" t="s">
        <v>132</v>
      </c>
      <c r="F968" s="68" t="s">
        <v>1576</v>
      </c>
      <c r="G968" s="68" t="s">
        <v>2027</v>
      </c>
      <c r="H968" s="68" t="s">
        <v>1367</v>
      </c>
    </row>
    <row r="969" customFormat="false" ht="15" hidden="false" customHeight="false" outlineLevel="0" collapsed="false">
      <c r="A969" s="68" t="n">
        <v>97</v>
      </c>
      <c r="B969" s="68" t="s">
        <v>690</v>
      </c>
      <c r="C969" s="68" t="s">
        <v>701</v>
      </c>
      <c r="D969" s="68" t="s">
        <v>261</v>
      </c>
      <c r="E969" s="68" t="s">
        <v>306</v>
      </c>
      <c r="F969" s="68" t="s">
        <v>1576</v>
      </c>
      <c r="G969" s="68" t="s">
        <v>2027</v>
      </c>
      <c r="H969" s="68" t="s">
        <v>1367</v>
      </c>
    </row>
    <row r="970" customFormat="false" ht="15" hidden="false" customHeight="false" outlineLevel="0" collapsed="false">
      <c r="A970" s="68" t="n">
        <v>97</v>
      </c>
      <c r="B970" s="68" t="s">
        <v>690</v>
      </c>
      <c r="C970" s="68" t="s">
        <v>701</v>
      </c>
      <c r="D970" s="68" t="s">
        <v>880</v>
      </c>
      <c r="E970" s="68" t="s">
        <v>74</v>
      </c>
      <c r="F970" s="68" t="s">
        <v>1876</v>
      </c>
      <c r="G970" s="68" t="s">
        <v>2027</v>
      </c>
      <c r="H970" s="68" t="s">
        <v>1367</v>
      </c>
    </row>
    <row r="971" customFormat="false" ht="15" hidden="false" customHeight="false" outlineLevel="0" collapsed="false">
      <c r="A971" s="68" t="n">
        <v>97</v>
      </c>
      <c r="B971" s="68" t="s">
        <v>690</v>
      </c>
      <c r="C971" s="68" t="s">
        <v>701</v>
      </c>
      <c r="D971" s="68" t="s">
        <v>248</v>
      </c>
      <c r="E971" s="68" t="n">
        <v>31</v>
      </c>
      <c r="F971" s="68" t="n">
        <v>31</v>
      </c>
      <c r="G971" s="68" t="s">
        <v>2027</v>
      </c>
      <c r="H971" s="68" t="s">
        <v>1367</v>
      </c>
    </row>
    <row r="972" customFormat="false" ht="15" hidden="false" customHeight="false" outlineLevel="0" collapsed="false">
      <c r="A972" s="68" t="n">
        <v>97</v>
      </c>
      <c r="B972" s="68" t="s">
        <v>690</v>
      </c>
      <c r="C972" s="68" t="s">
        <v>701</v>
      </c>
      <c r="D972" s="68" t="s">
        <v>249</v>
      </c>
      <c r="E972" s="68" t="n">
        <v>122</v>
      </c>
      <c r="F972" s="68" t="n">
        <v>122</v>
      </c>
      <c r="G972" s="68" t="s">
        <v>2027</v>
      </c>
      <c r="H972" s="68" t="s">
        <v>1367</v>
      </c>
    </row>
    <row r="973" customFormat="false" ht="15" hidden="false" customHeight="false" outlineLevel="0" collapsed="false">
      <c r="A973" s="68" t="n">
        <v>97</v>
      </c>
      <c r="B973" s="68" t="s">
        <v>690</v>
      </c>
      <c r="C973" s="68" t="s">
        <v>701</v>
      </c>
      <c r="D973" s="68" t="s">
        <v>262</v>
      </c>
      <c r="E973" s="68" t="n">
        <v>13</v>
      </c>
      <c r="F973" s="68" t="n">
        <v>13</v>
      </c>
      <c r="G973" s="68" t="s">
        <v>2027</v>
      </c>
      <c r="H973" s="68" t="s">
        <v>1367</v>
      </c>
    </row>
    <row r="974" customFormat="false" ht="15" hidden="false" customHeight="false" outlineLevel="0" collapsed="false">
      <c r="A974" s="68" t="n">
        <v>97</v>
      </c>
      <c r="B974" s="68" t="s">
        <v>690</v>
      </c>
      <c r="C974" s="68" t="s">
        <v>701</v>
      </c>
      <c r="D974" s="68" t="s">
        <v>1207</v>
      </c>
      <c r="E974" s="68" t="s">
        <v>312</v>
      </c>
      <c r="F974" s="68" t="s">
        <v>1583</v>
      </c>
      <c r="G974" s="68"/>
      <c r="H974" s="85" t="s">
        <v>1369</v>
      </c>
    </row>
    <row r="975" customFormat="false" ht="15" hidden="false" customHeight="false" outlineLevel="0" collapsed="false">
      <c r="A975" s="68" t="n">
        <v>97</v>
      </c>
      <c r="B975" s="68" t="s">
        <v>690</v>
      </c>
      <c r="C975" s="68" t="s">
        <v>701</v>
      </c>
      <c r="D975" s="68" t="s">
        <v>1584</v>
      </c>
      <c r="E975" s="68" t="s">
        <v>1585</v>
      </c>
      <c r="F975" s="68" t="s">
        <v>1586</v>
      </c>
      <c r="G975" s="68" t="s">
        <v>2027</v>
      </c>
      <c r="H975" s="68" t="s">
        <v>1367</v>
      </c>
    </row>
    <row r="976" customFormat="false" ht="15" hidden="false" customHeight="false" outlineLevel="0" collapsed="false">
      <c r="A976" s="68" t="n">
        <v>97</v>
      </c>
      <c r="B976" s="68" t="s">
        <v>690</v>
      </c>
      <c r="C976" s="68" t="s">
        <v>701</v>
      </c>
      <c r="D976" s="68" t="s">
        <v>258</v>
      </c>
      <c r="E976" s="68" t="s">
        <v>304</v>
      </c>
      <c r="F976" s="68" t="s">
        <v>1469</v>
      </c>
      <c r="G976" s="68"/>
      <c r="H976" s="85" t="s">
        <v>1369</v>
      </c>
    </row>
    <row r="977" customFormat="false" ht="15" hidden="false" customHeight="false" outlineLevel="0" collapsed="false">
      <c r="A977" s="68" t="n">
        <v>97</v>
      </c>
      <c r="B977" s="68" t="s">
        <v>690</v>
      </c>
      <c r="C977" s="68" t="s">
        <v>701</v>
      </c>
      <c r="D977" s="68" t="s">
        <v>923</v>
      </c>
      <c r="E977" s="68" t="s">
        <v>363</v>
      </c>
      <c r="F977" s="68" t="s">
        <v>363</v>
      </c>
      <c r="G977" s="68" t="s">
        <v>2029</v>
      </c>
      <c r="H977" s="68" t="s">
        <v>1367</v>
      </c>
    </row>
    <row r="978" customFormat="false" ht="15" hidden="false" customHeight="false" outlineLevel="0" collapsed="false">
      <c r="A978" s="68" t="n">
        <v>97</v>
      </c>
      <c r="B978" s="68" t="s">
        <v>690</v>
      </c>
      <c r="C978" s="68" t="s">
        <v>701</v>
      </c>
      <c r="D978" s="68" t="s">
        <v>1386</v>
      </c>
      <c r="E978" s="68" t="n">
        <v>21500</v>
      </c>
      <c r="F978" s="68" t="n">
        <v>21500</v>
      </c>
      <c r="G978" s="68" t="s">
        <v>2029</v>
      </c>
      <c r="H978" s="68" t="s">
        <v>1367</v>
      </c>
    </row>
    <row r="979" customFormat="false" ht="15" hidden="false" customHeight="false" outlineLevel="0" collapsed="false">
      <c r="A979" s="68" t="n">
        <v>98</v>
      </c>
      <c r="B979" s="68" t="s">
        <v>690</v>
      </c>
      <c r="C979" s="68" t="s">
        <v>497</v>
      </c>
      <c r="D979" s="68" t="s">
        <v>243</v>
      </c>
      <c r="E979" s="68" t="s">
        <v>704</v>
      </c>
      <c r="F979" s="68" t="s">
        <v>704</v>
      </c>
      <c r="G979" s="68" t="s">
        <v>2030</v>
      </c>
      <c r="H979" s="68" t="s">
        <v>1367</v>
      </c>
    </row>
    <row r="980" customFormat="false" ht="15" hidden="false" customHeight="false" outlineLevel="0" collapsed="false">
      <c r="A980" s="68" t="n">
        <v>98</v>
      </c>
      <c r="B980" s="68" t="s">
        <v>690</v>
      </c>
      <c r="C980" s="68" t="s">
        <v>497</v>
      </c>
      <c r="D980" s="68" t="s">
        <v>260</v>
      </c>
      <c r="E980" s="68" t="n">
        <v>2</v>
      </c>
      <c r="F980" s="68" t="n">
        <v>2</v>
      </c>
      <c r="G980" s="68" t="s">
        <v>2031</v>
      </c>
      <c r="H980" s="68" t="s">
        <v>1367</v>
      </c>
    </row>
    <row r="981" customFormat="false" ht="15" hidden="false" customHeight="false" outlineLevel="0" collapsed="false">
      <c r="A981" s="68" t="n">
        <v>98</v>
      </c>
      <c r="B981" s="68" t="s">
        <v>690</v>
      </c>
      <c r="C981" s="68" t="s">
        <v>497</v>
      </c>
      <c r="D981" s="68" t="s">
        <v>246</v>
      </c>
      <c r="E981" s="68" t="s">
        <v>153</v>
      </c>
      <c r="F981" s="68" t="s">
        <v>1621</v>
      </c>
      <c r="G981" s="68" t="s">
        <v>2030</v>
      </c>
      <c r="H981" s="68" t="s">
        <v>1367</v>
      </c>
    </row>
    <row r="982" customFormat="false" ht="15" hidden="false" customHeight="false" outlineLevel="0" collapsed="false">
      <c r="A982" s="68" t="n">
        <v>98</v>
      </c>
      <c r="B982" s="68" t="s">
        <v>690</v>
      </c>
      <c r="C982" s="68" t="s">
        <v>497</v>
      </c>
      <c r="D982" s="68" t="s">
        <v>261</v>
      </c>
      <c r="E982" s="68" t="s">
        <v>306</v>
      </c>
      <c r="F982" s="68" t="s">
        <v>1621</v>
      </c>
      <c r="G982" s="68" t="s">
        <v>2030</v>
      </c>
      <c r="H982" s="68" t="s">
        <v>1367</v>
      </c>
    </row>
    <row r="983" customFormat="false" ht="15" hidden="false" customHeight="false" outlineLevel="0" collapsed="false">
      <c r="A983" s="68" t="n">
        <v>98</v>
      </c>
      <c r="B983" s="68" t="s">
        <v>690</v>
      </c>
      <c r="C983" s="68" t="s">
        <v>497</v>
      </c>
      <c r="D983" s="68" t="s">
        <v>880</v>
      </c>
      <c r="E983" s="68" t="s">
        <v>115</v>
      </c>
      <c r="F983" s="68" t="s">
        <v>1612</v>
      </c>
      <c r="G983" s="68" t="s">
        <v>2030</v>
      </c>
      <c r="H983" s="68" t="s">
        <v>1367</v>
      </c>
    </row>
    <row r="984" customFormat="false" ht="15" hidden="false" customHeight="false" outlineLevel="0" collapsed="false">
      <c r="A984" s="68" t="n">
        <v>98</v>
      </c>
      <c r="B984" s="68" t="s">
        <v>690</v>
      </c>
      <c r="C984" s="68" t="s">
        <v>497</v>
      </c>
      <c r="D984" s="68" t="s">
        <v>248</v>
      </c>
      <c r="E984" s="68" t="n">
        <v>91</v>
      </c>
      <c r="F984" s="68" t="n">
        <v>91</v>
      </c>
      <c r="G984" s="68" t="s">
        <v>2030</v>
      </c>
      <c r="H984" s="68" t="s">
        <v>1367</v>
      </c>
    </row>
    <row r="985" customFormat="false" ht="15" hidden="false" customHeight="false" outlineLevel="0" collapsed="false">
      <c r="A985" s="68" t="n">
        <v>98</v>
      </c>
      <c r="B985" s="68" t="s">
        <v>690</v>
      </c>
      <c r="C985" s="68" t="s">
        <v>497</v>
      </c>
      <c r="D985" s="68" t="s">
        <v>249</v>
      </c>
      <c r="E985" s="68" t="n">
        <v>650</v>
      </c>
      <c r="F985" s="68" t="n">
        <v>650</v>
      </c>
      <c r="G985" s="68" t="s">
        <v>2030</v>
      </c>
      <c r="H985" s="68" t="s">
        <v>1367</v>
      </c>
    </row>
    <row r="986" customFormat="false" ht="15" hidden="false" customHeight="false" outlineLevel="0" collapsed="false">
      <c r="A986" s="68" t="n">
        <v>98</v>
      </c>
      <c r="B986" s="68" t="s">
        <v>690</v>
      </c>
      <c r="C986" s="68" t="s">
        <v>497</v>
      </c>
      <c r="D986" s="68" t="s">
        <v>262</v>
      </c>
      <c r="E986" s="68" t="n">
        <v>72.8</v>
      </c>
      <c r="F986" s="68" t="n">
        <v>72.8</v>
      </c>
      <c r="G986" s="68" t="s">
        <v>2030</v>
      </c>
      <c r="H986" s="68" t="s">
        <v>1367</v>
      </c>
    </row>
    <row r="987" customFormat="false" ht="15" hidden="false" customHeight="false" outlineLevel="0" collapsed="false">
      <c r="A987" s="68" t="n">
        <v>98</v>
      </c>
      <c r="B987" s="68" t="s">
        <v>690</v>
      </c>
      <c r="C987" s="68" t="s">
        <v>497</v>
      </c>
      <c r="D987" s="68" t="s">
        <v>1207</v>
      </c>
      <c r="E987" s="68" t="s">
        <v>369</v>
      </c>
      <c r="F987" s="68" t="s">
        <v>369</v>
      </c>
      <c r="G987" s="68" t="s">
        <v>2030</v>
      </c>
      <c r="H987" s="68" t="s">
        <v>1367</v>
      </c>
    </row>
    <row r="988" customFormat="false" ht="15" hidden="false" customHeight="false" outlineLevel="0" collapsed="false">
      <c r="A988" s="68" t="n">
        <v>98</v>
      </c>
      <c r="B988" s="68" t="s">
        <v>690</v>
      </c>
      <c r="C988" s="68" t="s">
        <v>497</v>
      </c>
      <c r="D988" s="68" t="s">
        <v>1584</v>
      </c>
      <c r="E988" s="68" t="s">
        <v>1585</v>
      </c>
      <c r="F988" s="68" t="s">
        <v>1586</v>
      </c>
      <c r="G988" s="68" t="s">
        <v>2030</v>
      </c>
      <c r="H988" s="68" t="s">
        <v>1367</v>
      </c>
    </row>
    <row r="989" customFormat="false" ht="15" hidden="false" customHeight="false" outlineLevel="0" collapsed="false">
      <c r="A989" s="68" t="n">
        <v>98</v>
      </c>
      <c r="B989" s="68" t="s">
        <v>690</v>
      </c>
      <c r="C989" s="68" t="s">
        <v>497</v>
      </c>
      <c r="D989" s="68" t="s">
        <v>258</v>
      </c>
      <c r="E989" s="68" t="s">
        <v>304</v>
      </c>
      <c r="F989" s="68" t="s">
        <v>1469</v>
      </c>
      <c r="G989" s="68"/>
      <c r="H989" s="85" t="s">
        <v>1369</v>
      </c>
    </row>
    <row r="990" customFormat="false" ht="15" hidden="false" customHeight="false" outlineLevel="0" collapsed="false">
      <c r="A990" s="68" t="n">
        <v>98</v>
      </c>
      <c r="B990" s="68" t="s">
        <v>690</v>
      </c>
      <c r="C990" s="68" t="s">
        <v>497</v>
      </c>
      <c r="D990" s="68" t="s">
        <v>923</v>
      </c>
      <c r="E990" s="68" t="s">
        <v>363</v>
      </c>
      <c r="F990" s="68" t="s">
        <v>363</v>
      </c>
      <c r="G990" s="68" t="s">
        <v>2032</v>
      </c>
      <c r="H990" s="68" t="s">
        <v>1367</v>
      </c>
    </row>
    <row r="991" customFormat="false" ht="15" hidden="false" customHeight="false" outlineLevel="0" collapsed="false">
      <c r="A991" s="68" t="n">
        <v>98</v>
      </c>
      <c r="B991" s="68" t="s">
        <v>690</v>
      </c>
      <c r="C991" s="68" t="s">
        <v>497</v>
      </c>
      <c r="D991" s="68" t="s">
        <v>1386</v>
      </c>
      <c r="E991" s="68" t="n">
        <v>317500</v>
      </c>
      <c r="F991" s="68" t="n">
        <v>317500</v>
      </c>
      <c r="G991" s="68" t="s">
        <v>2032</v>
      </c>
      <c r="H991" s="68" t="s">
        <v>1367</v>
      </c>
    </row>
    <row r="992" customFormat="false" ht="15" hidden="false" customHeight="false" outlineLevel="0" collapsed="false">
      <c r="A992" s="68" t="n">
        <v>99</v>
      </c>
      <c r="B992" s="68" t="s">
        <v>690</v>
      </c>
      <c r="C992" s="68" t="s">
        <v>501</v>
      </c>
      <c r="D992" s="68" t="s">
        <v>243</v>
      </c>
      <c r="E992" s="68" t="s">
        <v>489</v>
      </c>
      <c r="F992" s="68" t="s">
        <v>489</v>
      </c>
      <c r="G992" s="68" t="s">
        <v>2033</v>
      </c>
      <c r="H992" s="68" t="s">
        <v>1367</v>
      </c>
    </row>
    <row r="993" customFormat="false" ht="15" hidden="false" customHeight="false" outlineLevel="0" collapsed="false">
      <c r="A993" s="68" t="n">
        <v>99</v>
      </c>
      <c r="B993" s="68" t="s">
        <v>690</v>
      </c>
      <c r="C993" s="68" t="s">
        <v>501</v>
      </c>
      <c r="D993" s="68" t="s">
        <v>260</v>
      </c>
      <c r="E993" s="68" t="n">
        <v>2</v>
      </c>
      <c r="F993" s="68" t="n">
        <v>2</v>
      </c>
      <c r="G993" s="68" t="s">
        <v>2034</v>
      </c>
      <c r="H993" s="68" t="s">
        <v>1367</v>
      </c>
    </row>
    <row r="994" customFormat="false" ht="15" hidden="false" customHeight="false" outlineLevel="0" collapsed="false">
      <c r="A994" s="68" t="n">
        <v>99</v>
      </c>
      <c r="B994" s="68" t="s">
        <v>690</v>
      </c>
      <c r="C994" s="68" t="s">
        <v>501</v>
      </c>
      <c r="D994" s="68" t="s">
        <v>261</v>
      </c>
      <c r="E994" s="68" t="s">
        <v>493</v>
      </c>
      <c r="F994" s="68" t="s">
        <v>1600</v>
      </c>
      <c r="G994" s="68" t="s">
        <v>2033</v>
      </c>
      <c r="H994" s="68" t="s">
        <v>1367</v>
      </c>
    </row>
    <row r="995" customFormat="false" ht="15" hidden="false" customHeight="false" outlineLevel="0" collapsed="false">
      <c r="A995" s="68" t="n">
        <v>99</v>
      </c>
      <c r="B995" s="68" t="s">
        <v>690</v>
      </c>
      <c r="C995" s="68" t="s">
        <v>501</v>
      </c>
      <c r="D995" s="68" t="s">
        <v>880</v>
      </c>
      <c r="E995" s="68" t="s">
        <v>111</v>
      </c>
      <c r="F995" s="68" t="s">
        <v>1578</v>
      </c>
      <c r="G995" s="68" t="s">
        <v>2033</v>
      </c>
      <c r="H995" s="68" t="s">
        <v>1367</v>
      </c>
    </row>
    <row r="996" customFormat="false" ht="15" hidden="false" customHeight="false" outlineLevel="0" collapsed="false">
      <c r="A996" s="68" t="n">
        <v>99</v>
      </c>
      <c r="B996" s="68" t="s">
        <v>690</v>
      </c>
      <c r="C996" s="68" t="s">
        <v>501</v>
      </c>
      <c r="D996" s="68" t="s">
        <v>248</v>
      </c>
      <c r="E996" s="68" t="n">
        <v>5</v>
      </c>
      <c r="F996" s="68" t="n">
        <v>5</v>
      </c>
      <c r="G996" s="68" t="s">
        <v>2033</v>
      </c>
      <c r="H996" s="68" t="s">
        <v>1367</v>
      </c>
    </row>
    <row r="997" customFormat="false" ht="15" hidden="false" customHeight="false" outlineLevel="0" collapsed="false">
      <c r="A997" s="68" t="n">
        <v>99</v>
      </c>
      <c r="B997" s="68" t="s">
        <v>690</v>
      </c>
      <c r="C997" s="68" t="s">
        <v>501</v>
      </c>
      <c r="D997" s="68" t="s">
        <v>262</v>
      </c>
      <c r="E997" s="68" t="n">
        <v>8</v>
      </c>
      <c r="F997" s="68" t="n">
        <v>8</v>
      </c>
      <c r="G997" s="68" t="s">
        <v>2033</v>
      </c>
      <c r="H997" s="68" t="s">
        <v>1367</v>
      </c>
    </row>
    <row r="998" customFormat="false" ht="15" hidden="false" customHeight="false" outlineLevel="0" collapsed="false">
      <c r="A998" s="68" t="n">
        <v>99</v>
      </c>
      <c r="B998" s="68" t="s">
        <v>690</v>
      </c>
      <c r="C998" s="68" t="s">
        <v>501</v>
      </c>
      <c r="D998" s="68" t="s">
        <v>1207</v>
      </c>
      <c r="E998" s="68" t="s">
        <v>369</v>
      </c>
      <c r="F998" s="68" t="s">
        <v>369</v>
      </c>
      <c r="G998" s="68" t="s">
        <v>2033</v>
      </c>
      <c r="H998" s="68" t="s">
        <v>1367</v>
      </c>
    </row>
    <row r="999" customFormat="false" ht="15" hidden="false" customHeight="false" outlineLevel="0" collapsed="false">
      <c r="A999" s="68" t="n">
        <v>99</v>
      </c>
      <c r="B999" s="68" t="s">
        <v>690</v>
      </c>
      <c r="C999" s="68" t="s">
        <v>501</v>
      </c>
      <c r="D999" s="68" t="s">
        <v>1584</v>
      </c>
      <c r="E999" s="68" t="s">
        <v>1605</v>
      </c>
      <c r="F999" s="68" t="s">
        <v>1606</v>
      </c>
      <c r="G999" s="68" t="s">
        <v>2033</v>
      </c>
      <c r="H999" s="68" t="s">
        <v>1367</v>
      </c>
    </row>
    <row r="1000" customFormat="false" ht="15" hidden="false" customHeight="false" outlineLevel="0" collapsed="false">
      <c r="A1000" s="68" t="n">
        <v>99</v>
      </c>
      <c r="B1000" s="68" t="s">
        <v>690</v>
      </c>
      <c r="C1000" s="68" t="s">
        <v>501</v>
      </c>
      <c r="D1000" s="68" t="s">
        <v>258</v>
      </c>
      <c r="E1000" s="68" t="s">
        <v>304</v>
      </c>
      <c r="F1000" s="68" t="s">
        <v>1469</v>
      </c>
      <c r="G1000" s="68"/>
      <c r="H1000" s="85" t="s">
        <v>1369</v>
      </c>
    </row>
    <row r="1001" customFormat="false" ht="15" hidden="false" customHeight="false" outlineLevel="0" collapsed="false">
      <c r="A1001" s="68" t="n">
        <v>99</v>
      </c>
      <c r="B1001" s="68" t="s">
        <v>690</v>
      </c>
      <c r="C1001" s="68" t="s">
        <v>501</v>
      </c>
      <c r="D1001" s="68" t="s">
        <v>923</v>
      </c>
      <c r="E1001" s="68" t="s">
        <v>363</v>
      </c>
      <c r="F1001" s="68" t="s">
        <v>363</v>
      </c>
      <c r="G1001" s="68" t="s">
        <v>2035</v>
      </c>
      <c r="H1001" s="68" t="s">
        <v>1367</v>
      </c>
    </row>
    <row r="1002" customFormat="false" ht="15" hidden="false" customHeight="false" outlineLevel="0" collapsed="false">
      <c r="A1002" s="68" t="n">
        <v>99</v>
      </c>
      <c r="B1002" s="68" t="s">
        <v>690</v>
      </c>
      <c r="C1002" s="68" t="s">
        <v>501</v>
      </c>
      <c r="D1002" s="68" t="s">
        <v>1386</v>
      </c>
      <c r="E1002" s="68" t="n">
        <v>30000</v>
      </c>
      <c r="F1002" s="68" t="n">
        <v>30000</v>
      </c>
      <c r="G1002" s="68" t="s">
        <v>2035</v>
      </c>
      <c r="H1002" s="68" t="s">
        <v>1367</v>
      </c>
    </row>
    <row r="1003" customFormat="false" ht="15" hidden="false" customHeight="false" outlineLevel="0" collapsed="false">
      <c r="A1003" s="68" t="n">
        <v>100</v>
      </c>
      <c r="B1003" s="68" t="s">
        <v>690</v>
      </c>
      <c r="C1003" s="68" t="s">
        <v>711</v>
      </c>
      <c r="D1003" s="68" t="s">
        <v>243</v>
      </c>
      <c r="E1003" s="68" t="s">
        <v>710</v>
      </c>
      <c r="F1003" s="68" t="s">
        <v>710</v>
      </c>
      <c r="G1003" s="68" t="s">
        <v>2036</v>
      </c>
      <c r="H1003" s="68" t="s">
        <v>1367</v>
      </c>
    </row>
    <row r="1004" customFormat="false" ht="15" hidden="false" customHeight="false" outlineLevel="0" collapsed="false">
      <c r="A1004" s="68" t="n">
        <v>100</v>
      </c>
      <c r="B1004" s="68" t="s">
        <v>690</v>
      </c>
      <c r="C1004" s="68" t="s">
        <v>711</v>
      </c>
      <c r="D1004" s="68" t="s">
        <v>260</v>
      </c>
      <c r="E1004" s="68" t="n">
        <v>2</v>
      </c>
      <c r="F1004" s="68" t="n">
        <v>2</v>
      </c>
      <c r="G1004" s="68" t="s">
        <v>2037</v>
      </c>
      <c r="H1004" s="68" t="s">
        <v>1367</v>
      </c>
    </row>
    <row r="1005" customFormat="false" ht="15" hidden="false" customHeight="false" outlineLevel="0" collapsed="false">
      <c r="A1005" s="68" t="n">
        <v>100</v>
      </c>
      <c r="B1005" s="68" t="s">
        <v>690</v>
      </c>
      <c r="C1005" s="68" t="s">
        <v>711</v>
      </c>
      <c r="D1005" s="68" t="s">
        <v>246</v>
      </c>
      <c r="E1005" s="68" t="s">
        <v>132</v>
      </c>
      <c r="F1005" s="68" t="s">
        <v>1576</v>
      </c>
      <c r="G1005" s="68" t="s">
        <v>2036</v>
      </c>
      <c r="H1005" s="68" t="s">
        <v>1367</v>
      </c>
    </row>
    <row r="1006" customFormat="false" ht="15" hidden="false" customHeight="false" outlineLevel="0" collapsed="false">
      <c r="A1006" s="68" t="n">
        <v>100</v>
      </c>
      <c r="B1006" s="68" t="s">
        <v>690</v>
      </c>
      <c r="C1006" s="68" t="s">
        <v>711</v>
      </c>
      <c r="D1006" s="68" t="s">
        <v>261</v>
      </c>
      <c r="E1006" s="68" t="s">
        <v>306</v>
      </c>
      <c r="F1006" s="68" t="s">
        <v>1576</v>
      </c>
      <c r="G1006" s="68" t="s">
        <v>2036</v>
      </c>
      <c r="H1006" s="68" t="s">
        <v>1367</v>
      </c>
    </row>
    <row r="1007" customFormat="false" ht="15" hidden="false" customHeight="false" outlineLevel="0" collapsed="false">
      <c r="A1007" s="68" t="n">
        <v>100</v>
      </c>
      <c r="B1007" s="68" t="s">
        <v>690</v>
      </c>
      <c r="C1007" s="68" t="s">
        <v>711</v>
      </c>
      <c r="D1007" s="68" t="s">
        <v>880</v>
      </c>
      <c r="E1007" s="68" t="s">
        <v>115</v>
      </c>
      <c r="F1007" s="68" t="s">
        <v>1612</v>
      </c>
      <c r="G1007" s="68" t="s">
        <v>2036</v>
      </c>
      <c r="H1007" s="68" t="s">
        <v>1367</v>
      </c>
    </row>
    <row r="1008" customFormat="false" ht="15" hidden="false" customHeight="false" outlineLevel="0" collapsed="false">
      <c r="A1008" s="68" t="n">
        <v>100</v>
      </c>
      <c r="B1008" s="68" t="s">
        <v>690</v>
      </c>
      <c r="C1008" s="68" t="s">
        <v>711</v>
      </c>
      <c r="D1008" s="68" t="s">
        <v>248</v>
      </c>
      <c r="E1008" s="68" t="n">
        <v>15</v>
      </c>
      <c r="F1008" s="68" t="n">
        <v>15</v>
      </c>
      <c r="G1008" s="68" t="s">
        <v>2036</v>
      </c>
      <c r="H1008" s="68" t="s">
        <v>1367</v>
      </c>
    </row>
    <row r="1009" customFormat="false" ht="15" hidden="false" customHeight="false" outlineLevel="0" collapsed="false">
      <c r="A1009" s="68" t="n">
        <v>100</v>
      </c>
      <c r="B1009" s="68" t="s">
        <v>690</v>
      </c>
      <c r="C1009" s="68" t="s">
        <v>711</v>
      </c>
      <c r="D1009" s="68" t="s">
        <v>249</v>
      </c>
      <c r="E1009" s="68" t="n">
        <v>27</v>
      </c>
      <c r="F1009" s="68" t="n">
        <v>27</v>
      </c>
      <c r="G1009" s="68" t="s">
        <v>2036</v>
      </c>
      <c r="H1009" s="68" t="s">
        <v>1367</v>
      </c>
    </row>
    <row r="1010" customFormat="false" ht="15" hidden="false" customHeight="false" outlineLevel="0" collapsed="false">
      <c r="A1010" s="68" t="n">
        <v>100</v>
      </c>
      <c r="B1010" s="68" t="s">
        <v>690</v>
      </c>
      <c r="C1010" s="68" t="s">
        <v>711</v>
      </c>
      <c r="D1010" s="68" t="s">
        <v>262</v>
      </c>
      <c r="E1010" s="68" t="n">
        <v>3.2</v>
      </c>
      <c r="F1010" s="68" t="n">
        <v>3.2</v>
      </c>
      <c r="G1010" s="68" t="s">
        <v>2036</v>
      </c>
      <c r="H1010" s="68" t="s">
        <v>1367</v>
      </c>
    </row>
    <row r="1011" customFormat="false" ht="15" hidden="false" customHeight="false" outlineLevel="0" collapsed="false">
      <c r="A1011" s="68" t="n">
        <v>100</v>
      </c>
      <c r="B1011" s="68" t="s">
        <v>690</v>
      </c>
      <c r="C1011" s="68" t="s">
        <v>711</v>
      </c>
      <c r="D1011" s="68" t="s">
        <v>1207</v>
      </c>
      <c r="E1011" s="68" t="s">
        <v>312</v>
      </c>
      <c r="F1011" s="68" t="s">
        <v>1583</v>
      </c>
      <c r="G1011" s="68"/>
      <c r="H1011" s="85" t="s">
        <v>1369</v>
      </c>
    </row>
    <row r="1012" customFormat="false" ht="15" hidden="false" customHeight="false" outlineLevel="0" collapsed="false">
      <c r="A1012" s="68" t="n">
        <v>100</v>
      </c>
      <c r="B1012" s="68" t="s">
        <v>690</v>
      </c>
      <c r="C1012" s="68" t="s">
        <v>711</v>
      </c>
      <c r="D1012" s="68" t="s">
        <v>1584</v>
      </c>
      <c r="E1012" s="68" t="s">
        <v>1585</v>
      </c>
      <c r="F1012" s="68" t="s">
        <v>1586</v>
      </c>
      <c r="G1012" s="68" t="s">
        <v>2036</v>
      </c>
      <c r="H1012" s="68" t="s">
        <v>1367</v>
      </c>
    </row>
    <row r="1013" customFormat="false" ht="15" hidden="false" customHeight="false" outlineLevel="0" collapsed="false">
      <c r="A1013" s="68" t="n">
        <v>100</v>
      </c>
      <c r="B1013" s="68" t="s">
        <v>690</v>
      </c>
      <c r="C1013" s="68" t="s">
        <v>711</v>
      </c>
      <c r="D1013" s="68" t="s">
        <v>258</v>
      </c>
      <c r="E1013" s="68" t="s">
        <v>304</v>
      </c>
      <c r="F1013" s="68" t="s">
        <v>1469</v>
      </c>
      <c r="G1013" s="68"/>
      <c r="H1013" s="85" t="s">
        <v>1369</v>
      </c>
    </row>
    <row r="1014" customFormat="false" ht="15" hidden="false" customHeight="false" outlineLevel="0" collapsed="false">
      <c r="A1014" s="68" t="n">
        <v>100</v>
      </c>
      <c r="B1014" s="68" t="s">
        <v>690</v>
      </c>
      <c r="C1014" s="68" t="s">
        <v>711</v>
      </c>
      <c r="D1014" s="68" t="s">
        <v>923</v>
      </c>
      <c r="E1014" s="68" t="s">
        <v>363</v>
      </c>
      <c r="F1014" s="68" t="s">
        <v>363</v>
      </c>
      <c r="G1014" s="68" t="s">
        <v>2038</v>
      </c>
      <c r="H1014" s="68" t="s">
        <v>1367</v>
      </c>
    </row>
    <row r="1015" customFormat="false" ht="15" hidden="false" customHeight="false" outlineLevel="0" collapsed="false">
      <c r="A1015" s="68" t="n">
        <v>100</v>
      </c>
      <c r="B1015" s="68" t="s">
        <v>690</v>
      </c>
      <c r="C1015" s="68" t="s">
        <v>711</v>
      </c>
      <c r="D1015" s="68" t="s">
        <v>1386</v>
      </c>
      <c r="E1015" s="68" t="n">
        <v>29000</v>
      </c>
      <c r="F1015" s="68" t="n">
        <v>29000</v>
      </c>
      <c r="G1015" s="68" t="s">
        <v>2038</v>
      </c>
      <c r="H1015" s="68" t="s">
        <v>1367</v>
      </c>
    </row>
    <row r="1016" customFormat="false" ht="15" hidden="false" customHeight="false" outlineLevel="0" collapsed="false">
      <c r="A1016" s="68" t="n">
        <v>101</v>
      </c>
      <c r="B1016" s="68" t="s">
        <v>690</v>
      </c>
      <c r="C1016" s="68" t="s">
        <v>714</v>
      </c>
      <c r="D1016" s="68" t="s">
        <v>243</v>
      </c>
      <c r="E1016" s="68" t="s">
        <v>704</v>
      </c>
      <c r="F1016" s="68" t="s">
        <v>704</v>
      </c>
      <c r="G1016" s="68" t="s">
        <v>2039</v>
      </c>
      <c r="H1016" s="68" t="s">
        <v>1367</v>
      </c>
    </row>
    <row r="1017" customFormat="false" ht="15" hidden="false" customHeight="false" outlineLevel="0" collapsed="false">
      <c r="A1017" s="68" t="n">
        <v>101</v>
      </c>
      <c r="B1017" s="68" t="s">
        <v>690</v>
      </c>
      <c r="C1017" s="68" t="s">
        <v>714</v>
      </c>
      <c r="D1017" s="68" t="s">
        <v>260</v>
      </c>
      <c r="E1017" s="68" t="n">
        <v>3</v>
      </c>
      <c r="F1017" s="68" t="n">
        <v>3</v>
      </c>
      <c r="G1017" s="68" t="s">
        <v>2040</v>
      </c>
      <c r="H1017" s="68" t="s">
        <v>1367</v>
      </c>
    </row>
    <row r="1018" customFormat="false" ht="15" hidden="false" customHeight="false" outlineLevel="0" collapsed="false">
      <c r="A1018" s="68" t="n">
        <v>101</v>
      </c>
      <c r="B1018" s="68" t="s">
        <v>690</v>
      </c>
      <c r="C1018" s="68" t="s">
        <v>714</v>
      </c>
      <c r="D1018" s="68" t="s">
        <v>246</v>
      </c>
      <c r="E1018" s="68" t="s">
        <v>153</v>
      </c>
      <c r="F1018" s="68" t="s">
        <v>1621</v>
      </c>
      <c r="G1018" s="68" t="s">
        <v>2039</v>
      </c>
      <c r="H1018" s="68" t="s">
        <v>1367</v>
      </c>
    </row>
    <row r="1019" customFormat="false" ht="15" hidden="false" customHeight="false" outlineLevel="0" collapsed="false">
      <c r="A1019" s="68" t="n">
        <v>101</v>
      </c>
      <c r="B1019" s="68" t="s">
        <v>690</v>
      </c>
      <c r="C1019" s="68" t="s">
        <v>714</v>
      </c>
      <c r="D1019" s="68" t="s">
        <v>261</v>
      </c>
      <c r="E1019" s="68" t="s">
        <v>306</v>
      </c>
      <c r="F1019" s="68" t="s">
        <v>1621</v>
      </c>
      <c r="G1019" s="68" t="s">
        <v>2039</v>
      </c>
      <c r="H1019" s="68" t="s">
        <v>1367</v>
      </c>
    </row>
    <row r="1020" customFormat="false" ht="15" hidden="false" customHeight="false" outlineLevel="0" collapsed="false">
      <c r="A1020" s="68" t="n">
        <v>101</v>
      </c>
      <c r="B1020" s="68" t="s">
        <v>690</v>
      </c>
      <c r="C1020" s="68" t="s">
        <v>714</v>
      </c>
      <c r="D1020" s="68" t="s">
        <v>880</v>
      </c>
      <c r="E1020" s="68" t="s">
        <v>115</v>
      </c>
      <c r="F1020" s="68" t="s">
        <v>1612</v>
      </c>
      <c r="G1020" s="68" t="s">
        <v>2039</v>
      </c>
      <c r="H1020" s="68" t="s">
        <v>1367</v>
      </c>
    </row>
    <row r="1021" customFormat="false" ht="15" hidden="false" customHeight="false" outlineLevel="0" collapsed="false">
      <c r="A1021" s="68" t="n">
        <v>101</v>
      </c>
      <c r="B1021" s="68" t="s">
        <v>690</v>
      </c>
      <c r="C1021" s="68" t="s">
        <v>714</v>
      </c>
      <c r="D1021" s="68" t="s">
        <v>248</v>
      </c>
      <c r="E1021" s="68" t="n">
        <v>44</v>
      </c>
      <c r="F1021" s="68" t="n">
        <v>44</v>
      </c>
      <c r="G1021" s="68" t="s">
        <v>2039</v>
      </c>
      <c r="H1021" s="68" t="s">
        <v>1367</v>
      </c>
    </row>
    <row r="1022" customFormat="false" ht="15" hidden="false" customHeight="false" outlineLevel="0" collapsed="false">
      <c r="A1022" s="68" t="n">
        <v>101</v>
      </c>
      <c r="B1022" s="68" t="s">
        <v>690</v>
      </c>
      <c r="C1022" s="68" t="s">
        <v>714</v>
      </c>
      <c r="D1022" s="68" t="s">
        <v>249</v>
      </c>
      <c r="E1022" s="68" t="n">
        <v>385</v>
      </c>
      <c r="F1022" s="68" t="n">
        <v>385</v>
      </c>
      <c r="G1022" s="68" t="s">
        <v>2039</v>
      </c>
      <c r="H1022" s="68" t="s">
        <v>1367</v>
      </c>
    </row>
    <row r="1023" customFormat="false" ht="15" hidden="false" customHeight="false" outlineLevel="0" collapsed="false">
      <c r="A1023" s="68" t="n">
        <v>101</v>
      </c>
      <c r="B1023" s="68" t="s">
        <v>690</v>
      </c>
      <c r="C1023" s="68" t="s">
        <v>714</v>
      </c>
      <c r="D1023" s="68" t="s">
        <v>262</v>
      </c>
      <c r="E1023" s="68" t="n">
        <v>48.2</v>
      </c>
      <c r="F1023" s="68" t="n">
        <v>48.2</v>
      </c>
      <c r="G1023" s="68" t="s">
        <v>2039</v>
      </c>
      <c r="H1023" s="68" t="s">
        <v>1367</v>
      </c>
    </row>
    <row r="1024" customFormat="false" ht="15" hidden="false" customHeight="false" outlineLevel="0" collapsed="false">
      <c r="A1024" s="68" t="n">
        <v>101</v>
      </c>
      <c r="B1024" s="68" t="s">
        <v>690</v>
      </c>
      <c r="C1024" s="68" t="s">
        <v>714</v>
      </c>
      <c r="D1024" s="68" t="s">
        <v>1207</v>
      </c>
      <c r="E1024" s="68" t="s">
        <v>369</v>
      </c>
      <c r="F1024" s="68" t="s">
        <v>369</v>
      </c>
      <c r="G1024" s="68" t="s">
        <v>2039</v>
      </c>
      <c r="H1024" s="68" t="s">
        <v>1367</v>
      </c>
    </row>
    <row r="1025" customFormat="false" ht="15" hidden="false" customHeight="false" outlineLevel="0" collapsed="false">
      <c r="A1025" s="68" t="n">
        <v>101</v>
      </c>
      <c r="B1025" s="68" t="s">
        <v>690</v>
      </c>
      <c r="C1025" s="68" t="s">
        <v>714</v>
      </c>
      <c r="D1025" s="68" t="s">
        <v>1584</v>
      </c>
      <c r="E1025" s="68" t="s">
        <v>1585</v>
      </c>
      <c r="F1025" s="68" t="s">
        <v>1586</v>
      </c>
      <c r="G1025" s="68" t="s">
        <v>2039</v>
      </c>
      <c r="H1025" s="68" t="s">
        <v>1367</v>
      </c>
    </row>
    <row r="1026" customFormat="false" ht="15" hidden="false" customHeight="false" outlineLevel="0" collapsed="false">
      <c r="A1026" s="68" t="n">
        <v>101</v>
      </c>
      <c r="B1026" s="68" t="s">
        <v>690</v>
      </c>
      <c r="C1026" s="68" t="s">
        <v>714</v>
      </c>
      <c r="D1026" s="68" t="s">
        <v>258</v>
      </c>
      <c r="E1026" s="68" t="s">
        <v>304</v>
      </c>
      <c r="F1026" s="68" t="s">
        <v>1469</v>
      </c>
      <c r="G1026" s="68"/>
      <c r="H1026" s="85" t="s">
        <v>1369</v>
      </c>
    </row>
    <row r="1027" customFormat="false" ht="15" hidden="false" customHeight="false" outlineLevel="0" collapsed="false">
      <c r="A1027" s="68" t="n">
        <v>101</v>
      </c>
      <c r="B1027" s="68" t="s">
        <v>690</v>
      </c>
      <c r="C1027" s="68" t="s">
        <v>714</v>
      </c>
      <c r="D1027" s="68" t="s">
        <v>923</v>
      </c>
      <c r="E1027" s="68" t="s">
        <v>363</v>
      </c>
      <c r="F1027" s="68" t="s">
        <v>363</v>
      </c>
      <c r="G1027" s="68" t="s">
        <v>2041</v>
      </c>
      <c r="H1027" s="68" t="s">
        <v>1367</v>
      </c>
    </row>
    <row r="1028" customFormat="false" ht="15" hidden="false" customHeight="false" outlineLevel="0" collapsed="false">
      <c r="A1028" s="68" t="n">
        <v>101</v>
      </c>
      <c r="B1028" s="68" t="s">
        <v>690</v>
      </c>
      <c r="C1028" s="68" t="s">
        <v>714</v>
      </c>
      <c r="D1028" s="68" t="s">
        <v>1386</v>
      </c>
      <c r="E1028" s="68" t="n">
        <v>247500</v>
      </c>
      <c r="F1028" s="68" t="n">
        <v>247500</v>
      </c>
      <c r="G1028" s="68" t="s">
        <v>2041</v>
      </c>
      <c r="H1028" s="68" t="s">
        <v>1367</v>
      </c>
    </row>
    <row r="1029" customFormat="false" ht="15" hidden="false" customHeight="false" outlineLevel="0" collapsed="false">
      <c r="A1029" s="68" t="n">
        <v>102</v>
      </c>
      <c r="B1029" s="68" t="s">
        <v>690</v>
      </c>
      <c r="C1029" s="68" t="s">
        <v>509</v>
      </c>
      <c r="D1029" s="68" t="s">
        <v>243</v>
      </c>
      <c r="E1029" s="68" t="s">
        <v>516</v>
      </c>
      <c r="F1029" s="68" t="s">
        <v>516</v>
      </c>
      <c r="G1029" s="68" t="s">
        <v>2042</v>
      </c>
      <c r="H1029" s="68" t="s">
        <v>1367</v>
      </c>
    </row>
    <row r="1030" customFormat="false" ht="15" hidden="false" customHeight="false" outlineLevel="0" collapsed="false">
      <c r="A1030" s="68" t="n">
        <v>102</v>
      </c>
      <c r="B1030" s="68" t="s">
        <v>690</v>
      </c>
      <c r="C1030" s="68" t="s">
        <v>509</v>
      </c>
      <c r="D1030" s="68" t="s">
        <v>260</v>
      </c>
      <c r="E1030" s="68" t="n">
        <v>2</v>
      </c>
      <c r="F1030" s="68" t="n">
        <v>2</v>
      </c>
      <c r="G1030" s="68" t="s">
        <v>2043</v>
      </c>
      <c r="H1030" s="68" t="s">
        <v>1367</v>
      </c>
    </row>
    <row r="1031" customFormat="false" ht="15" hidden="false" customHeight="false" outlineLevel="0" collapsed="false">
      <c r="A1031" s="68" t="n">
        <v>102</v>
      </c>
      <c r="B1031" s="68" t="s">
        <v>690</v>
      </c>
      <c r="C1031" s="68" t="s">
        <v>509</v>
      </c>
      <c r="D1031" s="68" t="s">
        <v>246</v>
      </c>
      <c r="E1031" s="68" t="s">
        <v>132</v>
      </c>
      <c r="F1031" s="68" t="s">
        <v>1576</v>
      </c>
      <c r="G1031" s="68" t="s">
        <v>2042</v>
      </c>
      <c r="H1031" s="68" t="s">
        <v>1367</v>
      </c>
    </row>
    <row r="1032" customFormat="false" ht="15" hidden="false" customHeight="false" outlineLevel="0" collapsed="false">
      <c r="A1032" s="68" t="n">
        <v>102</v>
      </c>
      <c r="B1032" s="68" t="s">
        <v>690</v>
      </c>
      <c r="C1032" s="68" t="s">
        <v>509</v>
      </c>
      <c r="D1032" s="68" t="s">
        <v>261</v>
      </c>
      <c r="E1032" s="68" t="s">
        <v>306</v>
      </c>
      <c r="F1032" s="68" t="s">
        <v>1576</v>
      </c>
      <c r="G1032" s="68" t="s">
        <v>2042</v>
      </c>
      <c r="H1032" s="68" t="s">
        <v>1367</v>
      </c>
    </row>
    <row r="1033" customFormat="false" ht="15" hidden="false" customHeight="false" outlineLevel="0" collapsed="false">
      <c r="A1033" s="68" t="n">
        <v>102</v>
      </c>
      <c r="B1033" s="68" t="s">
        <v>690</v>
      </c>
      <c r="C1033" s="68" t="s">
        <v>509</v>
      </c>
      <c r="D1033" s="68" t="s">
        <v>880</v>
      </c>
      <c r="E1033" s="68" t="s">
        <v>90</v>
      </c>
      <c r="F1033" s="68" t="s">
        <v>1660</v>
      </c>
      <c r="G1033" s="68" t="s">
        <v>2042</v>
      </c>
      <c r="H1033" s="68" t="s">
        <v>1367</v>
      </c>
    </row>
    <row r="1034" customFormat="false" ht="15" hidden="false" customHeight="false" outlineLevel="0" collapsed="false">
      <c r="A1034" s="68" t="n">
        <v>102</v>
      </c>
      <c r="B1034" s="68" t="s">
        <v>690</v>
      </c>
      <c r="C1034" s="68" t="s">
        <v>509</v>
      </c>
      <c r="D1034" s="68" t="s">
        <v>248</v>
      </c>
      <c r="E1034" s="68" t="n">
        <v>10</v>
      </c>
      <c r="F1034" s="68" t="n">
        <v>10</v>
      </c>
      <c r="G1034" s="68" t="s">
        <v>2042</v>
      </c>
      <c r="H1034" s="68" t="s">
        <v>1367</v>
      </c>
    </row>
    <row r="1035" customFormat="false" ht="15" hidden="false" customHeight="false" outlineLevel="0" collapsed="false">
      <c r="A1035" s="68" t="n">
        <v>102</v>
      </c>
      <c r="B1035" s="68" t="s">
        <v>690</v>
      </c>
      <c r="C1035" s="68" t="s">
        <v>509</v>
      </c>
      <c r="D1035" s="68" t="s">
        <v>249</v>
      </c>
      <c r="E1035" s="68" t="n">
        <v>40</v>
      </c>
      <c r="F1035" s="68" t="n">
        <v>40</v>
      </c>
      <c r="G1035" s="68" t="s">
        <v>2042</v>
      </c>
      <c r="H1035" s="68" t="s">
        <v>1367</v>
      </c>
    </row>
    <row r="1036" customFormat="false" ht="15" hidden="false" customHeight="false" outlineLevel="0" collapsed="false">
      <c r="A1036" s="68" t="n">
        <v>102</v>
      </c>
      <c r="B1036" s="68" t="s">
        <v>690</v>
      </c>
      <c r="C1036" s="68" t="s">
        <v>509</v>
      </c>
      <c r="D1036" s="68" t="s">
        <v>262</v>
      </c>
      <c r="E1036" s="68" t="n">
        <v>6.8</v>
      </c>
      <c r="F1036" s="68" t="n">
        <v>6.8</v>
      </c>
      <c r="G1036" s="68" t="s">
        <v>2042</v>
      </c>
      <c r="H1036" s="68" t="s">
        <v>1367</v>
      </c>
    </row>
    <row r="1037" customFormat="false" ht="15" hidden="false" customHeight="false" outlineLevel="0" collapsed="false">
      <c r="A1037" s="68" t="n">
        <v>102</v>
      </c>
      <c r="B1037" s="68" t="s">
        <v>690</v>
      </c>
      <c r="C1037" s="68" t="s">
        <v>509</v>
      </c>
      <c r="D1037" s="68" t="s">
        <v>1207</v>
      </c>
      <c r="E1037" s="68" t="s">
        <v>312</v>
      </c>
      <c r="F1037" s="68" t="s">
        <v>1583</v>
      </c>
      <c r="G1037" s="68"/>
      <c r="H1037" s="85" t="s">
        <v>1369</v>
      </c>
    </row>
    <row r="1038" customFormat="false" ht="15" hidden="false" customHeight="false" outlineLevel="0" collapsed="false">
      <c r="A1038" s="68" t="n">
        <v>102</v>
      </c>
      <c r="B1038" s="68" t="s">
        <v>690</v>
      </c>
      <c r="C1038" s="68" t="s">
        <v>509</v>
      </c>
      <c r="D1038" s="68" t="s">
        <v>1584</v>
      </c>
      <c r="E1038" s="68" t="s">
        <v>1585</v>
      </c>
      <c r="F1038" s="68" t="s">
        <v>1586</v>
      </c>
      <c r="G1038" s="68" t="s">
        <v>2042</v>
      </c>
      <c r="H1038" s="68" t="s">
        <v>1367</v>
      </c>
    </row>
    <row r="1039" customFormat="false" ht="15" hidden="false" customHeight="false" outlineLevel="0" collapsed="false">
      <c r="A1039" s="68" t="n">
        <v>102</v>
      </c>
      <c r="B1039" s="68" t="s">
        <v>690</v>
      </c>
      <c r="C1039" s="68" t="s">
        <v>509</v>
      </c>
      <c r="D1039" s="68" t="s">
        <v>258</v>
      </c>
      <c r="E1039" s="68" t="s">
        <v>304</v>
      </c>
      <c r="F1039" s="68" t="s">
        <v>1469</v>
      </c>
      <c r="G1039" s="68"/>
      <c r="H1039" s="85" t="s">
        <v>1369</v>
      </c>
    </row>
    <row r="1040" customFormat="false" ht="15" hidden="false" customHeight="false" outlineLevel="0" collapsed="false">
      <c r="A1040" s="68" t="n">
        <v>102</v>
      </c>
      <c r="B1040" s="68" t="s">
        <v>690</v>
      </c>
      <c r="C1040" s="68" t="s">
        <v>509</v>
      </c>
      <c r="D1040" s="68" t="s">
        <v>923</v>
      </c>
      <c r="E1040" s="68" t="s">
        <v>363</v>
      </c>
      <c r="F1040" s="68" t="s">
        <v>363</v>
      </c>
      <c r="G1040" s="68" t="s">
        <v>2044</v>
      </c>
      <c r="H1040" s="68" t="s">
        <v>1367</v>
      </c>
    </row>
    <row r="1041" customFormat="false" ht="15" hidden="false" customHeight="false" outlineLevel="0" collapsed="false">
      <c r="A1041" s="68" t="n">
        <v>102</v>
      </c>
      <c r="B1041" s="68" t="s">
        <v>690</v>
      </c>
      <c r="C1041" s="68" t="s">
        <v>509</v>
      </c>
      <c r="D1041" s="68" t="s">
        <v>1386</v>
      </c>
      <c r="E1041" s="68" t="n">
        <v>25500</v>
      </c>
      <c r="F1041" s="68" t="n">
        <v>25500</v>
      </c>
      <c r="G1041" s="68" t="s">
        <v>2044</v>
      </c>
      <c r="H1041" s="68" t="s">
        <v>1367</v>
      </c>
    </row>
    <row r="1042" customFormat="false" ht="15" hidden="false" customHeight="false" outlineLevel="0" collapsed="false">
      <c r="A1042" s="68" t="n">
        <v>103</v>
      </c>
      <c r="B1042" s="68" t="s">
        <v>690</v>
      </c>
      <c r="C1042" s="68" t="s">
        <v>581</v>
      </c>
      <c r="D1042" s="68" t="s">
        <v>243</v>
      </c>
      <c r="E1042" s="68" t="s">
        <v>529</v>
      </c>
      <c r="F1042" s="68" t="s">
        <v>529</v>
      </c>
      <c r="G1042" s="68" t="s">
        <v>2045</v>
      </c>
      <c r="H1042" s="68" t="s">
        <v>1367</v>
      </c>
    </row>
    <row r="1043" customFormat="false" ht="15" hidden="false" customHeight="false" outlineLevel="0" collapsed="false">
      <c r="A1043" s="68" t="n">
        <v>103</v>
      </c>
      <c r="B1043" s="68" t="s">
        <v>690</v>
      </c>
      <c r="C1043" s="68" t="s">
        <v>581</v>
      </c>
      <c r="D1043" s="68" t="s">
        <v>260</v>
      </c>
      <c r="E1043" s="68" t="n">
        <v>2</v>
      </c>
      <c r="F1043" s="68" t="n">
        <v>2</v>
      </c>
      <c r="G1043" s="68" t="s">
        <v>2046</v>
      </c>
      <c r="H1043" s="68" t="s">
        <v>1367</v>
      </c>
    </row>
    <row r="1044" customFormat="false" ht="15" hidden="false" customHeight="false" outlineLevel="0" collapsed="false">
      <c r="A1044" s="68" t="n">
        <v>103</v>
      </c>
      <c r="B1044" s="68" t="s">
        <v>690</v>
      </c>
      <c r="C1044" s="68" t="s">
        <v>581</v>
      </c>
      <c r="D1044" s="68" t="s">
        <v>246</v>
      </c>
      <c r="E1044" s="68" t="s">
        <v>132</v>
      </c>
      <c r="F1044" s="68" t="s">
        <v>1576</v>
      </c>
      <c r="G1044" s="68" t="s">
        <v>2045</v>
      </c>
      <c r="H1044" s="68" t="s">
        <v>1367</v>
      </c>
    </row>
    <row r="1045" customFormat="false" ht="15" hidden="false" customHeight="false" outlineLevel="0" collapsed="false">
      <c r="A1045" s="68" t="n">
        <v>103</v>
      </c>
      <c r="B1045" s="68" t="s">
        <v>690</v>
      </c>
      <c r="C1045" s="68" t="s">
        <v>581</v>
      </c>
      <c r="D1045" s="68" t="s">
        <v>261</v>
      </c>
      <c r="E1045" s="68" t="s">
        <v>306</v>
      </c>
      <c r="F1045" s="68" t="s">
        <v>1576</v>
      </c>
      <c r="G1045" s="68" t="s">
        <v>2045</v>
      </c>
      <c r="H1045" s="68" t="s">
        <v>1367</v>
      </c>
    </row>
    <row r="1046" customFormat="false" ht="15" hidden="false" customHeight="false" outlineLevel="0" collapsed="false">
      <c r="A1046" s="68" t="n">
        <v>103</v>
      </c>
      <c r="B1046" s="68" t="s">
        <v>690</v>
      </c>
      <c r="C1046" s="68" t="s">
        <v>581</v>
      </c>
      <c r="D1046" s="68" t="s">
        <v>880</v>
      </c>
      <c r="E1046" s="68" t="s">
        <v>115</v>
      </c>
      <c r="F1046" s="68" t="s">
        <v>1612</v>
      </c>
      <c r="G1046" s="68" t="s">
        <v>2045</v>
      </c>
      <c r="H1046" s="68" t="s">
        <v>1367</v>
      </c>
    </row>
    <row r="1047" customFormat="false" ht="15" hidden="false" customHeight="false" outlineLevel="0" collapsed="false">
      <c r="A1047" s="68" t="n">
        <v>103</v>
      </c>
      <c r="B1047" s="68" t="s">
        <v>690</v>
      </c>
      <c r="C1047" s="68" t="s">
        <v>581</v>
      </c>
      <c r="D1047" s="68" t="s">
        <v>248</v>
      </c>
      <c r="E1047" s="68" t="n">
        <v>25</v>
      </c>
      <c r="F1047" s="68" t="n">
        <v>25</v>
      </c>
      <c r="G1047" s="68" t="s">
        <v>2045</v>
      </c>
      <c r="H1047" s="68" t="s">
        <v>1367</v>
      </c>
    </row>
    <row r="1048" customFormat="false" ht="15" hidden="false" customHeight="false" outlineLevel="0" collapsed="false">
      <c r="A1048" s="68" t="n">
        <v>103</v>
      </c>
      <c r="B1048" s="68" t="s">
        <v>690</v>
      </c>
      <c r="C1048" s="68" t="s">
        <v>581</v>
      </c>
      <c r="D1048" s="68" t="s">
        <v>249</v>
      </c>
      <c r="E1048" s="68" t="n">
        <v>55</v>
      </c>
      <c r="F1048" s="68" t="n">
        <v>55</v>
      </c>
      <c r="G1048" s="68" t="s">
        <v>2045</v>
      </c>
      <c r="H1048" s="68" t="s">
        <v>1367</v>
      </c>
    </row>
    <row r="1049" customFormat="false" ht="15" hidden="false" customHeight="false" outlineLevel="0" collapsed="false">
      <c r="A1049" s="68" t="n">
        <v>103</v>
      </c>
      <c r="B1049" s="68" t="s">
        <v>690</v>
      </c>
      <c r="C1049" s="68" t="s">
        <v>581</v>
      </c>
      <c r="D1049" s="68" t="s">
        <v>262</v>
      </c>
      <c r="E1049" s="68" t="n">
        <v>5</v>
      </c>
      <c r="F1049" s="68" t="n">
        <v>5</v>
      </c>
      <c r="G1049" s="68" t="s">
        <v>2045</v>
      </c>
      <c r="H1049" s="68" t="s">
        <v>1367</v>
      </c>
    </row>
    <row r="1050" customFormat="false" ht="15" hidden="false" customHeight="false" outlineLevel="0" collapsed="false">
      <c r="A1050" s="68" t="n">
        <v>103</v>
      </c>
      <c r="B1050" s="68" t="s">
        <v>690</v>
      </c>
      <c r="C1050" s="68" t="s">
        <v>581</v>
      </c>
      <c r="D1050" s="68" t="s">
        <v>1207</v>
      </c>
      <c r="E1050" s="68" t="s">
        <v>369</v>
      </c>
      <c r="F1050" s="68" t="s">
        <v>369</v>
      </c>
      <c r="G1050" s="68" t="s">
        <v>2045</v>
      </c>
      <c r="H1050" s="68" t="s">
        <v>1367</v>
      </c>
    </row>
    <row r="1051" customFormat="false" ht="15" hidden="false" customHeight="false" outlineLevel="0" collapsed="false">
      <c r="A1051" s="68" t="n">
        <v>103</v>
      </c>
      <c r="B1051" s="68" t="s">
        <v>690</v>
      </c>
      <c r="C1051" s="68" t="s">
        <v>581</v>
      </c>
      <c r="D1051" s="68" t="s">
        <v>1584</v>
      </c>
      <c r="E1051" s="68" t="s">
        <v>1585</v>
      </c>
      <c r="F1051" s="68" t="s">
        <v>1586</v>
      </c>
      <c r="G1051" s="68" t="s">
        <v>2045</v>
      </c>
      <c r="H1051" s="68" t="s">
        <v>1367</v>
      </c>
    </row>
    <row r="1052" customFormat="false" ht="15" hidden="false" customHeight="false" outlineLevel="0" collapsed="false">
      <c r="A1052" s="68" t="n">
        <v>103</v>
      </c>
      <c r="B1052" s="68" t="s">
        <v>690</v>
      </c>
      <c r="C1052" s="68" t="s">
        <v>581</v>
      </c>
      <c r="D1052" s="68" t="s">
        <v>258</v>
      </c>
      <c r="E1052" s="68" t="s">
        <v>304</v>
      </c>
      <c r="F1052" s="68" t="s">
        <v>1469</v>
      </c>
      <c r="G1052" s="68"/>
      <c r="H1052" s="85" t="s">
        <v>1369</v>
      </c>
    </row>
    <row r="1053" customFormat="false" ht="15" hidden="false" customHeight="false" outlineLevel="0" collapsed="false">
      <c r="A1053" s="68" t="n">
        <v>103</v>
      </c>
      <c r="B1053" s="68" t="s">
        <v>690</v>
      </c>
      <c r="C1053" s="68" t="s">
        <v>581</v>
      </c>
      <c r="D1053" s="68" t="s">
        <v>923</v>
      </c>
      <c r="E1053" s="68" t="s">
        <v>363</v>
      </c>
      <c r="F1053" s="68" t="s">
        <v>363</v>
      </c>
      <c r="G1053" s="68" t="s">
        <v>2047</v>
      </c>
      <c r="H1053" s="68" t="s">
        <v>1367</v>
      </c>
    </row>
    <row r="1054" customFormat="false" ht="15" hidden="false" customHeight="false" outlineLevel="0" collapsed="false">
      <c r="A1054" s="68" t="n">
        <v>103</v>
      </c>
      <c r="B1054" s="68" t="s">
        <v>690</v>
      </c>
      <c r="C1054" s="68" t="s">
        <v>581</v>
      </c>
      <c r="D1054" s="68" t="s">
        <v>1386</v>
      </c>
      <c r="E1054" s="68" t="n">
        <v>31000</v>
      </c>
      <c r="F1054" s="68" t="n">
        <v>31000</v>
      </c>
      <c r="G1054" s="68" t="s">
        <v>2047</v>
      </c>
      <c r="H1054" s="68" t="s">
        <v>1367</v>
      </c>
    </row>
    <row r="1055" customFormat="false" ht="15" hidden="false" customHeight="false" outlineLevel="0" collapsed="false">
      <c r="A1055" s="68" t="n">
        <v>104</v>
      </c>
      <c r="B1055" s="68" t="s">
        <v>690</v>
      </c>
      <c r="C1055" s="68" t="s">
        <v>584</v>
      </c>
      <c r="D1055" s="68" t="s">
        <v>243</v>
      </c>
      <c r="E1055" s="68" t="s">
        <v>721</v>
      </c>
      <c r="F1055" s="68" t="s">
        <v>721</v>
      </c>
      <c r="G1055" s="68" t="s">
        <v>2048</v>
      </c>
      <c r="H1055" s="68" t="s">
        <v>1367</v>
      </c>
    </row>
    <row r="1056" customFormat="false" ht="15" hidden="false" customHeight="false" outlineLevel="0" collapsed="false">
      <c r="A1056" s="68" t="n">
        <v>104</v>
      </c>
      <c r="B1056" s="68" t="s">
        <v>690</v>
      </c>
      <c r="C1056" s="68" t="s">
        <v>584</v>
      </c>
      <c r="D1056" s="68" t="s">
        <v>260</v>
      </c>
      <c r="E1056" s="68" t="n">
        <v>1</v>
      </c>
      <c r="F1056" s="68" t="n">
        <v>1</v>
      </c>
      <c r="G1056" s="68" t="s">
        <v>2049</v>
      </c>
      <c r="H1056" s="68" t="s">
        <v>1367</v>
      </c>
    </row>
    <row r="1057" customFormat="false" ht="15" hidden="false" customHeight="false" outlineLevel="0" collapsed="false">
      <c r="A1057" s="68" t="n">
        <v>104</v>
      </c>
      <c r="B1057" s="68" t="s">
        <v>690</v>
      </c>
      <c r="C1057" s="68" t="s">
        <v>584</v>
      </c>
      <c r="D1057" s="68" t="s">
        <v>246</v>
      </c>
      <c r="E1057" s="68" t="s">
        <v>171</v>
      </c>
      <c r="F1057" s="68" t="s">
        <v>1897</v>
      </c>
      <c r="G1057" s="68" t="s">
        <v>2048</v>
      </c>
      <c r="H1057" s="68" t="s">
        <v>1367</v>
      </c>
    </row>
    <row r="1058" customFormat="false" ht="15" hidden="false" customHeight="false" outlineLevel="0" collapsed="false">
      <c r="A1058" s="68" t="n">
        <v>104</v>
      </c>
      <c r="B1058" s="68" t="s">
        <v>690</v>
      </c>
      <c r="C1058" s="68" t="s">
        <v>584</v>
      </c>
      <c r="D1058" s="68" t="s">
        <v>261</v>
      </c>
      <c r="E1058" s="68" t="s">
        <v>306</v>
      </c>
      <c r="F1058" s="68" t="s">
        <v>1897</v>
      </c>
      <c r="G1058" s="68" t="s">
        <v>2048</v>
      </c>
      <c r="H1058" s="68" t="s">
        <v>1367</v>
      </c>
    </row>
    <row r="1059" customFormat="false" ht="15" hidden="false" customHeight="false" outlineLevel="0" collapsed="false">
      <c r="A1059" s="68" t="n">
        <v>104</v>
      </c>
      <c r="B1059" s="68" t="s">
        <v>690</v>
      </c>
      <c r="C1059" s="68" t="s">
        <v>584</v>
      </c>
      <c r="D1059" s="68" t="s">
        <v>880</v>
      </c>
      <c r="E1059" s="68" t="s">
        <v>90</v>
      </c>
      <c r="F1059" s="68" t="s">
        <v>1660</v>
      </c>
      <c r="G1059" s="68" t="s">
        <v>2048</v>
      </c>
      <c r="H1059" s="68" t="s">
        <v>1367</v>
      </c>
    </row>
    <row r="1060" customFormat="false" ht="15" hidden="false" customHeight="false" outlineLevel="0" collapsed="false">
      <c r="A1060" s="68" t="n">
        <v>104</v>
      </c>
      <c r="B1060" s="68" t="s">
        <v>690</v>
      </c>
      <c r="C1060" s="68" t="s">
        <v>584</v>
      </c>
      <c r="D1060" s="68" t="s">
        <v>248</v>
      </c>
      <c r="E1060" s="68" t="n">
        <v>5</v>
      </c>
      <c r="F1060" s="68" t="n">
        <v>5</v>
      </c>
      <c r="G1060" s="68" t="s">
        <v>2048</v>
      </c>
      <c r="H1060" s="68" t="s">
        <v>1367</v>
      </c>
    </row>
    <row r="1061" customFormat="false" ht="15" hidden="false" customHeight="false" outlineLevel="0" collapsed="false">
      <c r="A1061" s="68" t="n">
        <v>104</v>
      </c>
      <c r="B1061" s="68" t="s">
        <v>690</v>
      </c>
      <c r="C1061" s="68" t="s">
        <v>584</v>
      </c>
      <c r="D1061" s="68" t="s">
        <v>249</v>
      </c>
      <c r="E1061" s="68" t="n">
        <v>21.4</v>
      </c>
      <c r="F1061" s="68" t="n">
        <v>21.4</v>
      </c>
      <c r="G1061" s="68" t="s">
        <v>2048</v>
      </c>
      <c r="H1061" s="68" t="s">
        <v>1367</v>
      </c>
    </row>
    <row r="1062" customFormat="false" ht="15" hidden="false" customHeight="false" outlineLevel="0" collapsed="false">
      <c r="A1062" s="68" t="n">
        <v>104</v>
      </c>
      <c r="B1062" s="68" t="s">
        <v>690</v>
      </c>
      <c r="C1062" s="68" t="s">
        <v>584</v>
      </c>
      <c r="D1062" s="68" t="s">
        <v>262</v>
      </c>
      <c r="E1062" s="68" t="n">
        <v>2</v>
      </c>
      <c r="F1062" s="68" t="n">
        <v>2</v>
      </c>
      <c r="G1062" s="68" t="s">
        <v>2048</v>
      </c>
      <c r="H1062" s="68" t="s">
        <v>1367</v>
      </c>
    </row>
    <row r="1063" customFormat="false" ht="15" hidden="false" customHeight="false" outlineLevel="0" collapsed="false">
      <c r="A1063" s="68" t="n">
        <v>104</v>
      </c>
      <c r="B1063" s="68" t="s">
        <v>690</v>
      </c>
      <c r="C1063" s="68" t="s">
        <v>584</v>
      </c>
      <c r="D1063" s="68" t="s">
        <v>1207</v>
      </c>
      <c r="E1063" s="68" t="s">
        <v>312</v>
      </c>
      <c r="F1063" s="68" t="s">
        <v>1583</v>
      </c>
      <c r="G1063" s="68"/>
      <c r="H1063" s="85" t="s">
        <v>1369</v>
      </c>
    </row>
    <row r="1064" customFormat="false" ht="15" hidden="false" customHeight="false" outlineLevel="0" collapsed="false">
      <c r="A1064" s="68" t="n">
        <v>104</v>
      </c>
      <c r="B1064" s="68" t="s">
        <v>690</v>
      </c>
      <c r="C1064" s="68" t="s">
        <v>584</v>
      </c>
      <c r="D1064" s="68" t="s">
        <v>1584</v>
      </c>
      <c r="E1064" s="68" t="s">
        <v>1585</v>
      </c>
      <c r="F1064" s="68" t="s">
        <v>1586</v>
      </c>
      <c r="G1064" s="68" t="s">
        <v>2048</v>
      </c>
      <c r="H1064" s="68" t="s">
        <v>1367</v>
      </c>
    </row>
    <row r="1065" customFormat="false" ht="15" hidden="false" customHeight="false" outlineLevel="0" collapsed="false">
      <c r="A1065" s="68" t="n">
        <v>104</v>
      </c>
      <c r="B1065" s="68" t="s">
        <v>690</v>
      </c>
      <c r="C1065" s="68" t="s">
        <v>584</v>
      </c>
      <c r="D1065" s="68" t="s">
        <v>258</v>
      </c>
      <c r="E1065" s="68" t="s">
        <v>304</v>
      </c>
      <c r="F1065" s="68" t="s">
        <v>1469</v>
      </c>
      <c r="G1065" s="68"/>
      <c r="H1065" s="85" t="s">
        <v>1369</v>
      </c>
    </row>
    <row r="1066" customFormat="false" ht="15" hidden="false" customHeight="false" outlineLevel="0" collapsed="false">
      <c r="A1066" s="68" t="n">
        <v>104</v>
      </c>
      <c r="B1066" s="68" t="s">
        <v>690</v>
      </c>
      <c r="C1066" s="68" t="s">
        <v>584</v>
      </c>
      <c r="D1066" s="68" t="s">
        <v>923</v>
      </c>
      <c r="E1066" s="68" t="s">
        <v>363</v>
      </c>
      <c r="F1066" s="68" t="s">
        <v>363</v>
      </c>
      <c r="G1066" s="68" t="s">
        <v>2050</v>
      </c>
      <c r="H1066" s="68" t="s">
        <v>1367</v>
      </c>
    </row>
    <row r="1067" customFormat="false" ht="15" hidden="false" customHeight="false" outlineLevel="0" collapsed="false">
      <c r="A1067" s="68" t="n">
        <v>104</v>
      </c>
      <c r="B1067" s="68" t="s">
        <v>690</v>
      </c>
      <c r="C1067" s="68" t="s">
        <v>584</v>
      </c>
      <c r="D1067" s="68" t="s">
        <v>1386</v>
      </c>
      <c r="E1067" s="68" t="n">
        <v>34500</v>
      </c>
      <c r="F1067" s="68" t="n">
        <v>34500</v>
      </c>
      <c r="G1067" s="68" t="s">
        <v>2050</v>
      </c>
      <c r="H1067" s="68" t="s">
        <v>1367</v>
      </c>
    </row>
    <row r="1068" customFormat="false" ht="15" hidden="false" customHeight="false" outlineLevel="0" collapsed="false">
      <c r="A1068" s="68" t="n">
        <v>105</v>
      </c>
      <c r="B1068" s="68" t="s">
        <v>690</v>
      </c>
      <c r="C1068" s="68" t="s">
        <v>724</v>
      </c>
      <c r="D1068" s="68" t="s">
        <v>243</v>
      </c>
      <c r="E1068" s="68" t="s">
        <v>520</v>
      </c>
      <c r="F1068" s="68" t="s">
        <v>520</v>
      </c>
      <c r="G1068" s="68" t="s">
        <v>2051</v>
      </c>
      <c r="H1068" s="68" t="s">
        <v>1367</v>
      </c>
    </row>
    <row r="1069" customFormat="false" ht="15" hidden="false" customHeight="false" outlineLevel="0" collapsed="false">
      <c r="A1069" s="68" t="n">
        <v>105</v>
      </c>
      <c r="B1069" s="68" t="s">
        <v>690</v>
      </c>
      <c r="C1069" s="68" t="s">
        <v>724</v>
      </c>
      <c r="D1069" s="68" t="s">
        <v>260</v>
      </c>
      <c r="E1069" s="68" t="n">
        <v>2</v>
      </c>
      <c r="F1069" s="68" t="n">
        <v>2</v>
      </c>
      <c r="G1069" s="68" t="s">
        <v>2052</v>
      </c>
      <c r="H1069" s="68" t="s">
        <v>1367</v>
      </c>
    </row>
    <row r="1070" customFormat="false" ht="15" hidden="false" customHeight="false" outlineLevel="0" collapsed="false">
      <c r="A1070" s="68" t="n">
        <v>105</v>
      </c>
      <c r="B1070" s="68" t="s">
        <v>690</v>
      </c>
      <c r="C1070" s="68" t="s">
        <v>724</v>
      </c>
      <c r="D1070" s="68" t="s">
        <v>261</v>
      </c>
      <c r="E1070" s="68" t="s">
        <v>522</v>
      </c>
      <c r="F1070" s="68" t="s">
        <v>1669</v>
      </c>
      <c r="G1070" s="68" t="s">
        <v>2051</v>
      </c>
      <c r="H1070" s="68" t="s">
        <v>1367</v>
      </c>
    </row>
    <row r="1071" customFormat="false" ht="15" hidden="false" customHeight="false" outlineLevel="0" collapsed="false">
      <c r="A1071" s="68" t="n">
        <v>105</v>
      </c>
      <c r="B1071" s="68" t="s">
        <v>690</v>
      </c>
      <c r="C1071" s="68" t="s">
        <v>724</v>
      </c>
      <c r="D1071" s="68" t="s">
        <v>880</v>
      </c>
      <c r="E1071" s="68" t="s">
        <v>111</v>
      </c>
      <c r="F1071" s="68" t="s">
        <v>1578</v>
      </c>
      <c r="G1071" s="68" t="s">
        <v>2051</v>
      </c>
      <c r="H1071" s="68" t="s">
        <v>1367</v>
      </c>
    </row>
    <row r="1072" customFormat="false" ht="15" hidden="false" customHeight="false" outlineLevel="0" collapsed="false">
      <c r="A1072" s="68" t="n">
        <v>105</v>
      </c>
      <c r="B1072" s="68" t="s">
        <v>690</v>
      </c>
      <c r="C1072" s="68" t="s">
        <v>724</v>
      </c>
      <c r="D1072" s="68" t="s">
        <v>248</v>
      </c>
      <c r="E1072" s="68" t="n">
        <v>5</v>
      </c>
      <c r="F1072" s="68" t="n">
        <v>5</v>
      </c>
      <c r="G1072" s="68" t="s">
        <v>2051</v>
      </c>
      <c r="H1072" s="68" t="s">
        <v>1367</v>
      </c>
    </row>
    <row r="1073" customFormat="false" ht="15" hidden="false" customHeight="false" outlineLevel="0" collapsed="false">
      <c r="A1073" s="68" t="n">
        <v>105</v>
      </c>
      <c r="B1073" s="68" t="s">
        <v>690</v>
      </c>
      <c r="C1073" s="68" t="s">
        <v>724</v>
      </c>
      <c r="D1073" s="68" t="s">
        <v>262</v>
      </c>
      <c r="E1073" s="68" t="n">
        <v>6.4</v>
      </c>
      <c r="F1073" s="68" t="n">
        <v>6.4</v>
      </c>
      <c r="G1073" s="68" t="s">
        <v>2051</v>
      </c>
      <c r="H1073" s="68" t="s">
        <v>1367</v>
      </c>
    </row>
    <row r="1074" customFormat="false" ht="15" hidden="false" customHeight="false" outlineLevel="0" collapsed="false">
      <c r="A1074" s="68" t="n">
        <v>105</v>
      </c>
      <c r="B1074" s="68" t="s">
        <v>690</v>
      </c>
      <c r="C1074" s="68" t="s">
        <v>724</v>
      </c>
      <c r="D1074" s="68" t="s">
        <v>1207</v>
      </c>
      <c r="E1074" s="68" t="s">
        <v>369</v>
      </c>
      <c r="F1074" s="68" t="s">
        <v>369</v>
      </c>
      <c r="G1074" s="68" t="s">
        <v>2051</v>
      </c>
      <c r="H1074" s="68" t="s">
        <v>1367</v>
      </c>
    </row>
    <row r="1075" customFormat="false" ht="15" hidden="false" customHeight="false" outlineLevel="0" collapsed="false">
      <c r="A1075" s="68" t="n">
        <v>105</v>
      </c>
      <c r="B1075" s="68" t="s">
        <v>690</v>
      </c>
      <c r="C1075" s="68" t="s">
        <v>724</v>
      </c>
      <c r="D1075" s="68" t="s">
        <v>1584</v>
      </c>
      <c r="E1075" s="68" t="s">
        <v>1605</v>
      </c>
      <c r="F1075" s="68" t="s">
        <v>1606</v>
      </c>
      <c r="G1075" s="68" t="s">
        <v>2051</v>
      </c>
      <c r="H1075" s="68" t="s">
        <v>1367</v>
      </c>
    </row>
    <row r="1076" customFormat="false" ht="15" hidden="false" customHeight="false" outlineLevel="0" collapsed="false">
      <c r="A1076" s="68" t="n">
        <v>105</v>
      </c>
      <c r="B1076" s="68" t="s">
        <v>690</v>
      </c>
      <c r="C1076" s="68" t="s">
        <v>724</v>
      </c>
      <c r="D1076" s="68" t="s">
        <v>258</v>
      </c>
      <c r="E1076" s="68" t="s">
        <v>304</v>
      </c>
      <c r="F1076" s="68" t="s">
        <v>1469</v>
      </c>
      <c r="G1076" s="68"/>
      <c r="H1076" s="85" t="s">
        <v>1369</v>
      </c>
    </row>
    <row r="1077" customFormat="false" ht="15" hidden="false" customHeight="false" outlineLevel="0" collapsed="false">
      <c r="A1077" s="68" t="n">
        <v>105</v>
      </c>
      <c r="B1077" s="68" t="s">
        <v>690</v>
      </c>
      <c r="C1077" s="68" t="s">
        <v>724</v>
      </c>
      <c r="D1077" s="68" t="s">
        <v>923</v>
      </c>
      <c r="E1077" s="68" t="s">
        <v>363</v>
      </c>
      <c r="F1077" s="68" t="s">
        <v>363</v>
      </c>
      <c r="G1077" s="68" t="s">
        <v>2053</v>
      </c>
      <c r="H1077" s="68" t="s">
        <v>1367</v>
      </c>
    </row>
    <row r="1078" customFormat="false" ht="15" hidden="false" customHeight="false" outlineLevel="0" collapsed="false">
      <c r="A1078" s="68" t="n">
        <v>105</v>
      </c>
      <c r="B1078" s="68" t="s">
        <v>690</v>
      </c>
      <c r="C1078" s="68" t="s">
        <v>724</v>
      </c>
      <c r="D1078" s="68" t="s">
        <v>1386</v>
      </c>
      <c r="E1078" s="68" t="n">
        <v>25000</v>
      </c>
      <c r="F1078" s="68" t="n">
        <v>25000</v>
      </c>
      <c r="G1078" s="68" t="s">
        <v>2053</v>
      </c>
      <c r="H1078" s="68" t="s">
        <v>1367</v>
      </c>
    </row>
    <row r="1079" customFormat="false" ht="15" hidden="false" customHeight="false" outlineLevel="0" collapsed="false">
      <c r="A1079" s="68" t="n">
        <v>106</v>
      </c>
      <c r="B1079" s="68" t="s">
        <v>690</v>
      </c>
      <c r="C1079" s="68" t="s">
        <v>728</v>
      </c>
      <c r="D1079" s="68" t="s">
        <v>243</v>
      </c>
      <c r="E1079" s="68" t="s">
        <v>525</v>
      </c>
      <c r="F1079" s="68" t="s">
        <v>525</v>
      </c>
      <c r="G1079" s="68" t="s">
        <v>2054</v>
      </c>
      <c r="H1079" s="68" t="s">
        <v>1367</v>
      </c>
    </row>
    <row r="1080" customFormat="false" ht="15" hidden="false" customHeight="false" outlineLevel="0" collapsed="false">
      <c r="A1080" s="68" t="n">
        <v>106</v>
      </c>
      <c r="B1080" s="68" t="s">
        <v>690</v>
      </c>
      <c r="C1080" s="68" t="s">
        <v>728</v>
      </c>
      <c r="D1080" s="68" t="s">
        <v>260</v>
      </c>
      <c r="E1080" s="68" t="n">
        <v>2</v>
      </c>
      <c r="F1080" s="68" t="n">
        <v>2</v>
      </c>
      <c r="G1080" s="68" t="s">
        <v>2055</v>
      </c>
      <c r="H1080" s="68" t="s">
        <v>1367</v>
      </c>
    </row>
    <row r="1081" customFormat="false" ht="15" hidden="false" customHeight="false" outlineLevel="0" collapsed="false">
      <c r="A1081" s="68" t="n">
        <v>106</v>
      </c>
      <c r="B1081" s="68" t="s">
        <v>690</v>
      </c>
      <c r="C1081" s="68" t="s">
        <v>728</v>
      </c>
      <c r="D1081" s="68" t="s">
        <v>246</v>
      </c>
      <c r="E1081" s="68" t="s">
        <v>132</v>
      </c>
      <c r="F1081" s="68" t="s">
        <v>1576</v>
      </c>
      <c r="G1081" s="68" t="s">
        <v>2054</v>
      </c>
      <c r="H1081" s="68" t="s">
        <v>1367</v>
      </c>
    </row>
    <row r="1082" customFormat="false" ht="15" hidden="false" customHeight="false" outlineLevel="0" collapsed="false">
      <c r="A1082" s="68" t="n">
        <v>106</v>
      </c>
      <c r="B1082" s="68" t="s">
        <v>690</v>
      </c>
      <c r="C1082" s="68" t="s">
        <v>728</v>
      </c>
      <c r="D1082" s="68" t="s">
        <v>261</v>
      </c>
      <c r="E1082" s="68" t="s">
        <v>306</v>
      </c>
      <c r="F1082" s="68" t="s">
        <v>1576</v>
      </c>
      <c r="G1082" s="68" t="s">
        <v>2054</v>
      </c>
      <c r="H1082" s="68" t="s">
        <v>1367</v>
      </c>
    </row>
    <row r="1083" customFormat="false" ht="15" hidden="false" customHeight="false" outlineLevel="0" collapsed="false">
      <c r="A1083" s="68" t="n">
        <v>106</v>
      </c>
      <c r="B1083" s="68" t="s">
        <v>690</v>
      </c>
      <c r="C1083" s="68" t="s">
        <v>728</v>
      </c>
      <c r="D1083" s="68" t="s">
        <v>880</v>
      </c>
      <c r="E1083" s="68" t="s">
        <v>115</v>
      </c>
      <c r="F1083" s="68" t="s">
        <v>1612</v>
      </c>
      <c r="G1083" s="68" t="s">
        <v>2054</v>
      </c>
      <c r="H1083" s="68" t="s">
        <v>1367</v>
      </c>
    </row>
    <row r="1084" customFormat="false" ht="15" hidden="false" customHeight="false" outlineLevel="0" collapsed="false">
      <c r="A1084" s="68" t="n">
        <v>106</v>
      </c>
      <c r="B1084" s="68" t="s">
        <v>690</v>
      </c>
      <c r="C1084" s="68" t="s">
        <v>728</v>
      </c>
      <c r="D1084" s="68" t="s">
        <v>248</v>
      </c>
      <c r="E1084" s="68" t="n">
        <v>15</v>
      </c>
      <c r="F1084" s="68" t="n">
        <v>15</v>
      </c>
      <c r="G1084" s="68" t="s">
        <v>2054</v>
      </c>
      <c r="H1084" s="68" t="s">
        <v>1367</v>
      </c>
    </row>
    <row r="1085" customFormat="false" ht="15" hidden="false" customHeight="false" outlineLevel="0" collapsed="false">
      <c r="A1085" s="68" t="n">
        <v>106</v>
      </c>
      <c r="B1085" s="68" t="s">
        <v>690</v>
      </c>
      <c r="C1085" s="68" t="s">
        <v>728</v>
      </c>
      <c r="D1085" s="68" t="s">
        <v>249</v>
      </c>
      <c r="E1085" s="68" t="n">
        <v>50</v>
      </c>
      <c r="F1085" s="68" t="n">
        <v>50</v>
      </c>
      <c r="G1085" s="68" t="s">
        <v>2054</v>
      </c>
      <c r="H1085" s="68" t="s">
        <v>1367</v>
      </c>
    </row>
    <row r="1086" customFormat="false" ht="15" hidden="false" customHeight="false" outlineLevel="0" collapsed="false">
      <c r="A1086" s="68" t="n">
        <v>106</v>
      </c>
      <c r="B1086" s="68" t="s">
        <v>690</v>
      </c>
      <c r="C1086" s="68" t="s">
        <v>728</v>
      </c>
      <c r="D1086" s="68" t="s">
        <v>262</v>
      </c>
      <c r="E1086" s="68" t="n">
        <v>5.7</v>
      </c>
      <c r="F1086" s="68" t="n">
        <v>5.7</v>
      </c>
      <c r="G1086" s="68" t="s">
        <v>2054</v>
      </c>
      <c r="H1086" s="68" t="s">
        <v>1367</v>
      </c>
    </row>
    <row r="1087" customFormat="false" ht="15" hidden="false" customHeight="false" outlineLevel="0" collapsed="false">
      <c r="A1087" s="68" t="n">
        <v>106</v>
      </c>
      <c r="B1087" s="68" t="s">
        <v>690</v>
      </c>
      <c r="C1087" s="68" t="s">
        <v>728</v>
      </c>
      <c r="D1087" s="68" t="s">
        <v>1207</v>
      </c>
      <c r="E1087" s="68" t="s">
        <v>369</v>
      </c>
      <c r="F1087" s="68" t="s">
        <v>369</v>
      </c>
      <c r="G1087" s="68" t="s">
        <v>2054</v>
      </c>
      <c r="H1087" s="68" t="s">
        <v>1367</v>
      </c>
    </row>
    <row r="1088" customFormat="false" ht="15" hidden="false" customHeight="false" outlineLevel="0" collapsed="false">
      <c r="A1088" s="68" t="n">
        <v>106</v>
      </c>
      <c r="B1088" s="68" t="s">
        <v>690</v>
      </c>
      <c r="C1088" s="68" t="s">
        <v>728</v>
      </c>
      <c r="D1088" s="68" t="s">
        <v>1584</v>
      </c>
      <c r="E1088" s="68" t="s">
        <v>1585</v>
      </c>
      <c r="F1088" s="68" t="s">
        <v>1586</v>
      </c>
      <c r="G1088" s="68" t="s">
        <v>2054</v>
      </c>
      <c r="H1088" s="68" t="s">
        <v>1367</v>
      </c>
    </row>
    <row r="1089" customFormat="false" ht="15" hidden="false" customHeight="false" outlineLevel="0" collapsed="false">
      <c r="A1089" s="68" t="n">
        <v>106</v>
      </c>
      <c r="B1089" s="68" t="s">
        <v>690</v>
      </c>
      <c r="C1089" s="68" t="s">
        <v>728</v>
      </c>
      <c r="D1089" s="68" t="s">
        <v>258</v>
      </c>
      <c r="E1089" s="68" t="s">
        <v>304</v>
      </c>
      <c r="F1089" s="68" t="s">
        <v>1469</v>
      </c>
      <c r="G1089" s="68"/>
      <c r="H1089" s="85" t="s">
        <v>1369</v>
      </c>
    </row>
    <row r="1090" customFormat="false" ht="15" hidden="false" customHeight="false" outlineLevel="0" collapsed="false">
      <c r="A1090" s="68" t="n">
        <v>106</v>
      </c>
      <c r="B1090" s="68" t="s">
        <v>690</v>
      </c>
      <c r="C1090" s="68" t="s">
        <v>728</v>
      </c>
      <c r="D1090" s="68" t="s">
        <v>923</v>
      </c>
      <c r="E1090" s="68" t="s">
        <v>363</v>
      </c>
      <c r="F1090" s="68" t="s">
        <v>363</v>
      </c>
      <c r="G1090" s="68" t="s">
        <v>2056</v>
      </c>
      <c r="H1090" s="68" t="s">
        <v>1367</v>
      </c>
    </row>
    <row r="1091" customFormat="false" ht="15" hidden="false" customHeight="false" outlineLevel="0" collapsed="false">
      <c r="A1091" s="68" t="n">
        <v>106</v>
      </c>
      <c r="B1091" s="68" t="s">
        <v>690</v>
      </c>
      <c r="C1091" s="68" t="s">
        <v>728</v>
      </c>
      <c r="D1091" s="68" t="s">
        <v>1386</v>
      </c>
      <c r="E1091" s="68" t="n">
        <v>29600</v>
      </c>
      <c r="F1091" s="68" t="n">
        <v>29600</v>
      </c>
      <c r="G1091" s="68" t="s">
        <v>2056</v>
      </c>
      <c r="H1091" s="68" t="s">
        <v>1367</v>
      </c>
    </row>
    <row r="1092" customFormat="false" ht="15" hidden="false" customHeight="false" outlineLevel="0" collapsed="false">
      <c r="A1092" s="68" t="n">
        <v>107</v>
      </c>
      <c r="B1092" s="68" t="s">
        <v>690</v>
      </c>
      <c r="C1092" s="68" t="s">
        <v>732</v>
      </c>
      <c r="D1092" s="68" t="s">
        <v>243</v>
      </c>
      <c r="E1092" s="68" t="s">
        <v>731</v>
      </c>
      <c r="F1092" s="68" t="s">
        <v>731</v>
      </c>
      <c r="G1092" s="68" t="s">
        <v>2057</v>
      </c>
      <c r="H1092" s="68" t="s">
        <v>1367</v>
      </c>
    </row>
    <row r="1093" customFormat="false" ht="15" hidden="false" customHeight="false" outlineLevel="0" collapsed="false">
      <c r="A1093" s="68" t="n">
        <v>107</v>
      </c>
      <c r="B1093" s="68" t="s">
        <v>690</v>
      </c>
      <c r="C1093" s="68" t="s">
        <v>732</v>
      </c>
      <c r="D1093" s="68" t="s">
        <v>260</v>
      </c>
      <c r="E1093" s="68" t="n">
        <v>2</v>
      </c>
      <c r="F1093" s="68" t="n">
        <v>2</v>
      </c>
      <c r="G1093" s="68" t="s">
        <v>2058</v>
      </c>
      <c r="H1093" s="68" t="s">
        <v>1367</v>
      </c>
    </row>
    <row r="1094" customFormat="false" ht="15" hidden="false" customHeight="false" outlineLevel="0" collapsed="false">
      <c r="A1094" s="68" t="n">
        <v>107</v>
      </c>
      <c r="B1094" s="68" t="s">
        <v>690</v>
      </c>
      <c r="C1094" s="68" t="s">
        <v>732</v>
      </c>
      <c r="D1094" s="68" t="s">
        <v>246</v>
      </c>
      <c r="E1094" s="68" t="s">
        <v>132</v>
      </c>
      <c r="F1094" s="68" t="s">
        <v>1576</v>
      </c>
      <c r="G1094" s="68" t="s">
        <v>2057</v>
      </c>
      <c r="H1094" s="68" t="s">
        <v>1367</v>
      </c>
    </row>
    <row r="1095" customFormat="false" ht="15" hidden="false" customHeight="false" outlineLevel="0" collapsed="false">
      <c r="A1095" s="68" t="n">
        <v>107</v>
      </c>
      <c r="B1095" s="68" t="s">
        <v>690</v>
      </c>
      <c r="C1095" s="68" t="s">
        <v>732</v>
      </c>
      <c r="D1095" s="68" t="s">
        <v>261</v>
      </c>
      <c r="E1095" s="68" t="s">
        <v>306</v>
      </c>
      <c r="F1095" s="68" t="s">
        <v>1576</v>
      </c>
      <c r="G1095" s="68" t="s">
        <v>2057</v>
      </c>
      <c r="H1095" s="68" t="s">
        <v>1367</v>
      </c>
    </row>
    <row r="1096" customFormat="false" ht="15" hidden="false" customHeight="false" outlineLevel="0" collapsed="false">
      <c r="A1096" s="68" t="n">
        <v>107</v>
      </c>
      <c r="B1096" s="68" t="s">
        <v>690</v>
      </c>
      <c r="C1096" s="68" t="s">
        <v>732</v>
      </c>
      <c r="D1096" s="68" t="s">
        <v>880</v>
      </c>
      <c r="E1096" s="68" t="s">
        <v>90</v>
      </c>
      <c r="F1096" s="68" t="s">
        <v>1660</v>
      </c>
      <c r="G1096" s="68" t="s">
        <v>2057</v>
      </c>
      <c r="H1096" s="68" t="s">
        <v>1367</v>
      </c>
    </row>
    <row r="1097" customFormat="false" ht="15" hidden="false" customHeight="false" outlineLevel="0" collapsed="false">
      <c r="A1097" s="68" t="n">
        <v>107</v>
      </c>
      <c r="B1097" s="68" t="s">
        <v>690</v>
      </c>
      <c r="C1097" s="68" t="s">
        <v>732</v>
      </c>
      <c r="D1097" s="68" t="s">
        <v>248</v>
      </c>
      <c r="E1097" s="68" t="n">
        <v>15</v>
      </c>
      <c r="F1097" s="68" t="n">
        <v>15</v>
      </c>
      <c r="G1097" s="68" t="s">
        <v>2057</v>
      </c>
      <c r="H1097" s="68" t="s">
        <v>1367</v>
      </c>
    </row>
    <row r="1098" customFormat="false" ht="15" hidden="false" customHeight="false" outlineLevel="0" collapsed="false">
      <c r="A1098" s="68" t="n">
        <v>107</v>
      </c>
      <c r="B1098" s="68" t="s">
        <v>690</v>
      </c>
      <c r="C1098" s="68" t="s">
        <v>732</v>
      </c>
      <c r="D1098" s="68" t="s">
        <v>249</v>
      </c>
      <c r="E1098" s="68" t="n">
        <v>20</v>
      </c>
      <c r="F1098" s="68" t="n">
        <v>20</v>
      </c>
      <c r="G1098" s="68" t="s">
        <v>2057</v>
      </c>
      <c r="H1098" s="68" t="s">
        <v>1367</v>
      </c>
    </row>
    <row r="1099" customFormat="false" ht="15" hidden="false" customHeight="false" outlineLevel="0" collapsed="false">
      <c r="A1099" s="68" t="n">
        <v>107</v>
      </c>
      <c r="B1099" s="68" t="s">
        <v>690</v>
      </c>
      <c r="C1099" s="68" t="s">
        <v>732</v>
      </c>
      <c r="D1099" s="68" t="s">
        <v>262</v>
      </c>
      <c r="E1099" s="68" t="n">
        <v>2.5</v>
      </c>
      <c r="F1099" s="68" t="n">
        <v>2.5</v>
      </c>
      <c r="G1099" s="68" t="s">
        <v>2057</v>
      </c>
      <c r="H1099" s="68" t="s">
        <v>1367</v>
      </c>
    </row>
    <row r="1100" customFormat="false" ht="15" hidden="false" customHeight="false" outlineLevel="0" collapsed="false">
      <c r="A1100" s="68" t="n">
        <v>107</v>
      </c>
      <c r="B1100" s="68" t="s">
        <v>690</v>
      </c>
      <c r="C1100" s="68" t="s">
        <v>732</v>
      </c>
      <c r="D1100" s="68" t="s">
        <v>1207</v>
      </c>
      <c r="E1100" s="68" t="s">
        <v>312</v>
      </c>
      <c r="F1100" s="68" t="s">
        <v>1583</v>
      </c>
      <c r="G1100" s="68"/>
      <c r="H1100" s="85" t="s">
        <v>1369</v>
      </c>
    </row>
    <row r="1101" customFormat="false" ht="15" hidden="false" customHeight="false" outlineLevel="0" collapsed="false">
      <c r="A1101" s="68" t="n">
        <v>107</v>
      </c>
      <c r="B1101" s="68" t="s">
        <v>690</v>
      </c>
      <c r="C1101" s="68" t="s">
        <v>732</v>
      </c>
      <c r="D1101" s="68" t="s">
        <v>1584</v>
      </c>
      <c r="E1101" s="68" t="s">
        <v>1585</v>
      </c>
      <c r="F1101" s="68" t="s">
        <v>1586</v>
      </c>
      <c r="G1101" s="68" t="s">
        <v>2057</v>
      </c>
      <c r="H1101" s="68" t="s">
        <v>1367</v>
      </c>
    </row>
    <row r="1102" customFormat="false" ht="15" hidden="false" customHeight="false" outlineLevel="0" collapsed="false">
      <c r="A1102" s="68" t="n">
        <v>107</v>
      </c>
      <c r="B1102" s="68" t="s">
        <v>690</v>
      </c>
      <c r="C1102" s="68" t="s">
        <v>732</v>
      </c>
      <c r="D1102" s="68" t="s">
        <v>258</v>
      </c>
      <c r="E1102" s="68" t="s">
        <v>304</v>
      </c>
      <c r="F1102" s="68" t="s">
        <v>1469</v>
      </c>
      <c r="G1102" s="68"/>
      <c r="H1102" s="85" t="s">
        <v>1369</v>
      </c>
    </row>
    <row r="1103" customFormat="false" ht="15" hidden="false" customHeight="false" outlineLevel="0" collapsed="false">
      <c r="A1103" s="68" t="n">
        <v>107</v>
      </c>
      <c r="B1103" s="68" t="s">
        <v>690</v>
      </c>
      <c r="C1103" s="68" t="s">
        <v>732</v>
      </c>
      <c r="D1103" s="68" t="s">
        <v>923</v>
      </c>
      <c r="E1103" s="68" t="s">
        <v>363</v>
      </c>
      <c r="F1103" s="68" t="s">
        <v>363</v>
      </c>
      <c r="G1103" s="68" t="s">
        <v>2059</v>
      </c>
      <c r="H1103" s="68" t="s">
        <v>1367</v>
      </c>
    </row>
    <row r="1104" customFormat="false" ht="15" hidden="false" customHeight="false" outlineLevel="0" collapsed="false">
      <c r="A1104" s="68" t="n">
        <v>107</v>
      </c>
      <c r="B1104" s="68" t="s">
        <v>690</v>
      </c>
      <c r="C1104" s="68" t="s">
        <v>732</v>
      </c>
      <c r="D1104" s="68" t="s">
        <v>1386</v>
      </c>
      <c r="E1104" s="68" t="n">
        <v>26250</v>
      </c>
      <c r="F1104" s="68" t="n">
        <v>26250</v>
      </c>
      <c r="G1104" s="68" t="s">
        <v>2059</v>
      </c>
      <c r="H1104" s="68" t="s">
        <v>1367</v>
      </c>
    </row>
    <row r="1105" customFormat="false" ht="15" hidden="false" customHeight="false" outlineLevel="0" collapsed="false">
      <c r="A1105" s="68" t="n">
        <v>108</v>
      </c>
      <c r="B1105" s="68" t="s">
        <v>690</v>
      </c>
      <c r="C1105" s="68" t="s">
        <v>735</v>
      </c>
      <c r="D1105" s="68" t="s">
        <v>243</v>
      </c>
      <c r="E1105" s="68" t="s">
        <v>635</v>
      </c>
      <c r="F1105" s="68" t="s">
        <v>635</v>
      </c>
      <c r="G1105" s="68" t="s">
        <v>2060</v>
      </c>
      <c r="H1105" s="68" t="s">
        <v>1367</v>
      </c>
    </row>
    <row r="1106" customFormat="false" ht="15" hidden="false" customHeight="false" outlineLevel="0" collapsed="false">
      <c r="A1106" s="68" t="n">
        <v>108</v>
      </c>
      <c r="B1106" s="68" t="s">
        <v>690</v>
      </c>
      <c r="C1106" s="68" t="s">
        <v>735</v>
      </c>
      <c r="D1106" s="68" t="s">
        <v>260</v>
      </c>
      <c r="E1106" s="68" t="n">
        <v>1</v>
      </c>
      <c r="F1106" s="68" t="n">
        <v>1</v>
      </c>
      <c r="G1106" s="68" t="s">
        <v>2061</v>
      </c>
      <c r="H1106" s="68" t="s">
        <v>1367</v>
      </c>
    </row>
    <row r="1107" customFormat="false" ht="15" hidden="false" customHeight="false" outlineLevel="0" collapsed="false">
      <c r="A1107" s="68" t="n">
        <v>108</v>
      </c>
      <c r="B1107" s="68" t="s">
        <v>690</v>
      </c>
      <c r="C1107" s="68" t="s">
        <v>735</v>
      </c>
      <c r="D1107" s="68" t="s">
        <v>261</v>
      </c>
      <c r="E1107" s="68" t="s">
        <v>306</v>
      </c>
      <c r="F1107" s="68" t="s">
        <v>1874</v>
      </c>
      <c r="G1107" s="68" t="s">
        <v>2060</v>
      </c>
      <c r="H1107" s="68" t="s">
        <v>1367</v>
      </c>
    </row>
    <row r="1108" customFormat="false" ht="15" hidden="false" customHeight="false" outlineLevel="0" collapsed="false">
      <c r="A1108" s="68" t="n">
        <v>108</v>
      </c>
      <c r="B1108" s="68" t="s">
        <v>690</v>
      </c>
      <c r="C1108" s="68" t="s">
        <v>735</v>
      </c>
      <c r="D1108" s="68" t="s">
        <v>880</v>
      </c>
      <c r="E1108" s="68" t="s">
        <v>78</v>
      </c>
      <c r="F1108" s="68" t="s">
        <v>1908</v>
      </c>
      <c r="G1108" s="68" t="s">
        <v>2060</v>
      </c>
      <c r="H1108" s="68" t="s">
        <v>1367</v>
      </c>
    </row>
    <row r="1109" customFormat="false" ht="15" hidden="false" customHeight="false" outlineLevel="0" collapsed="false">
      <c r="A1109" s="68" t="n">
        <v>108</v>
      </c>
      <c r="B1109" s="68" t="s">
        <v>690</v>
      </c>
      <c r="C1109" s="68" t="s">
        <v>735</v>
      </c>
      <c r="D1109" s="68" t="s">
        <v>248</v>
      </c>
      <c r="E1109" s="68" t="n">
        <v>10</v>
      </c>
      <c r="F1109" s="68" t="n">
        <v>10</v>
      </c>
      <c r="G1109" s="68" t="s">
        <v>2060</v>
      </c>
      <c r="H1109" s="68" t="s">
        <v>1367</v>
      </c>
    </row>
    <row r="1110" customFormat="false" ht="15" hidden="false" customHeight="false" outlineLevel="0" collapsed="false">
      <c r="A1110" s="68" t="n">
        <v>108</v>
      </c>
      <c r="B1110" s="68" t="s">
        <v>690</v>
      </c>
      <c r="C1110" s="68" t="s">
        <v>735</v>
      </c>
      <c r="D1110" s="68" t="s">
        <v>249</v>
      </c>
      <c r="E1110" s="68" t="n">
        <v>21</v>
      </c>
      <c r="F1110" s="68" t="n">
        <v>21</v>
      </c>
      <c r="G1110" s="68" t="s">
        <v>2060</v>
      </c>
      <c r="H1110" s="68" t="s">
        <v>1367</v>
      </c>
    </row>
    <row r="1111" customFormat="false" ht="15" hidden="false" customHeight="false" outlineLevel="0" collapsed="false">
      <c r="A1111" s="68" t="n">
        <v>108</v>
      </c>
      <c r="B1111" s="68" t="s">
        <v>690</v>
      </c>
      <c r="C1111" s="68" t="s">
        <v>735</v>
      </c>
      <c r="D1111" s="68" t="s">
        <v>262</v>
      </c>
      <c r="E1111" s="68" t="n">
        <v>2</v>
      </c>
      <c r="F1111" s="68" t="n">
        <v>2</v>
      </c>
      <c r="G1111" s="68" t="s">
        <v>2060</v>
      </c>
      <c r="H1111" s="68" t="s">
        <v>1367</v>
      </c>
    </row>
    <row r="1112" customFormat="false" ht="15" hidden="false" customHeight="false" outlineLevel="0" collapsed="false">
      <c r="A1112" s="68" t="n">
        <v>108</v>
      </c>
      <c r="B1112" s="68" t="s">
        <v>690</v>
      </c>
      <c r="C1112" s="68" t="s">
        <v>735</v>
      </c>
      <c r="D1112" s="68" t="s">
        <v>1207</v>
      </c>
      <c r="E1112" s="68" t="s">
        <v>312</v>
      </c>
      <c r="F1112" s="68" t="s">
        <v>1583</v>
      </c>
      <c r="G1112" s="68"/>
      <c r="H1112" s="85" t="s">
        <v>1369</v>
      </c>
    </row>
    <row r="1113" customFormat="false" ht="15" hidden="false" customHeight="false" outlineLevel="0" collapsed="false">
      <c r="A1113" s="68" t="n">
        <v>108</v>
      </c>
      <c r="B1113" s="68" t="s">
        <v>690</v>
      </c>
      <c r="C1113" s="68" t="s">
        <v>735</v>
      </c>
      <c r="D1113" s="68" t="s">
        <v>1584</v>
      </c>
      <c r="E1113" s="68" t="s">
        <v>1881</v>
      </c>
      <c r="F1113" s="68" t="s">
        <v>1882</v>
      </c>
      <c r="G1113" s="68" t="s">
        <v>2060</v>
      </c>
      <c r="H1113" s="68" t="s">
        <v>1367</v>
      </c>
    </row>
    <row r="1114" customFormat="false" ht="15" hidden="false" customHeight="false" outlineLevel="0" collapsed="false">
      <c r="A1114" s="68" t="n">
        <v>108</v>
      </c>
      <c r="B1114" s="68" t="s">
        <v>690</v>
      </c>
      <c r="C1114" s="68" t="s">
        <v>735</v>
      </c>
      <c r="D1114" s="68" t="s">
        <v>258</v>
      </c>
      <c r="E1114" s="68" t="s">
        <v>304</v>
      </c>
      <c r="F1114" s="68" t="s">
        <v>1469</v>
      </c>
      <c r="G1114" s="68"/>
      <c r="H1114" s="85" t="s">
        <v>1369</v>
      </c>
    </row>
    <row r="1115" customFormat="false" ht="15" hidden="false" customHeight="false" outlineLevel="0" collapsed="false">
      <c r="A1115" s="68" t="n">
        <v>108</v>
      </c>
      <c r="B1115" s="68" t="s">
        <v>690</v>
      </c>
      <c r="C1115" s="68" t="s">
        <v>735</v>
      </c>
      <c r="D1115" s="68" t="s">
        <v>923</v>
      </c>
      <c r="E1115" s="68" t="s">
        <v>363</v>
      </c>
      <c r="F1115" s="68" t="s">
        <v>363</v>
      </c>
      <c r="G1115" s="68" t="s">
        <v>2062</v>
      </c>
      <c r="H1115" s="68" t="s">
        <v>1367</v>
      </c>
    </row>
    <row r="1116" customFormat="false" ht="15" hidden="false" customHeight="false" outlineLevel="0" collapsed="false">
      <c r="A1116" s="68" t="n">
        <v>108</v>
      </c>
      <c r="B1116" s="68" t="s">
        <v>690</v>
      </c>
      <c r="C1116" s="68" t="s">
        <v>735</v>
      </c>
      <c r="D1116" s="68" t="s">
        <v>1386</v>
      </c>
      <c r="E1116" s="68" t="n">
        <v>21000</v>
      </c>
      <c r="F1116" s="68" t="n">
        <v>21000</v>
      </c>
      <c r="G1116" s="68" t="s">
        <v>2062</v>
      </c>
      <c r="H1116" s="68" t="s">
        <v>1367</v>
      </c>
    </row>
    <row r="1117" customFormat="false" ht="15" hidden="false" customHeight="false" outlineLevel="0" collapsed="false">
      <c r="A1117" s="68" t="n">
        <v>109</v>
      </c>
      <c r="B1117" s="68" t="s">
        <v>690</v>
      </c>
      <c r="C1117" s="68" t="s">
        <v>738</v>
      </c>
      <c r="D1117" s="68" t="s">
        <v>243</v>
      </c>
      <c r="E1117" s="68" t="s">
        <v>657</v>
      </c>
      <c r="F1117" s="68" t="s">
        <v>657</v>
      </c>
      <c r="G1117" s="68" t="s">
        <v>2063</v>
      </c>
      <c r="H1117" s="68" t="s">
        <v>1367</v>
      </c>
    </row>
    <row r="1118" customFormat="false" ht="15" hidden="false" customHeight="false" outlineLevel="0" collapsed="false">
      <c r="A1118" s="68" t="n">
        <v>109</v>
      </c>
      <c r="B1118" s="68" t="s">
        <v>690</v>
      </c>
      <c r="C1118" s="68" t="s">
        <v>738</v>
      </c>
      <c r="D1118" s="68" t="s">
        <v>260</v>
      </c>
      <c r="E1118" s="68" t="n">
        <v>1</v>
      </c>
      <c r="F1118" s="68" t="n">
        <v>1</v>
      </c>
      <c r="G1118" s="68" t="s">
        <v>2064</v>
      </c>
      <c r="H1118" s="68" t="s">
        <v>1367</v>
      </c>
    </row>
    <row r="1119" customFormat="false" ht="15" hidden="false" customHeight="false" outlineLevel="0" collapsed="false">
      <c r="A1119" s="68" t="n">
        <v>109</v>
      </c>
      <c r="B1119" s="68" t="s">
        <v>690</v>
      </c>
      <c r="C1119" s="68" t="s">
        <v>738</v>
      </c>
      <c r="D1119" s="68" t="s">
        <v>261</v>
      </c>
      <c r="E1119" s="68" t="s">
        <v>306</v>
      </c>
      <c r="F1119" s="68" t="s">
        <v>1874</v>
      </c>
      <c r="G1119" s="68" t="s">
        <v>2063</v>
      </c>
      <c r="H1119" s="68" t="s">
        <v>1367</v>
      </c>
    </row>
    <row r="1120" customFormat="false" ht="15" hidden="false" customHeight="false" outlineLevel="0" collapsed="false">
      <c r="A1120" s="68" t="n">
        <v>109</v>
      </c>
      <c r="B1120" s="68" t="s">
        <v>690</v>
      </c>
      <c r="C1120" s="68" t="s">
        <v>738</v>
      </c>
      <c r="D1120" s="68" t="s">
        <v>880</v>
      </c>
      <c r="E1120" s="68" t="s">
        <v>74</v>
      </c>
      <c r="F1120" s="68" t="s">
        <v>1876</v>
      </c>
      <c r="G1120" s="68" t="s">
        <v>2063</v>
      </c>
      <c r="H1120" s="68" t="s">
        <v>1367</v>
      </c>
    </row>
    <row r="1121" customFormat="false" ht="15" hidden="false" customHeight="false" outlineLevel="0" collapsed="false">
      <c r="A1121" s="68" t="n">
        <v>109</v>
      </c>
      <c r="B1121" s="68" t="s">
        <v>690</v>
      </c>
      <c r="C1121" s="68" t="s">
        <v>738</v>
      </c>
      <c r="D1121" s="68" t="s">
        <v>248</v>
      </c>
      <c r="E1121" s="68" t="n">
        <v>33</v>
      </c>
      <c r="F1121" s="68" t="n">
        <v>33</v>
      </c>
      <c r="G1121" s="68" t="s">
        <v>2063</v>
      </c>
      <c r="H1121" s="68" t="s">
        <v>1367</v>
      </c>
    </row>
    <row r="1122" customFormat="false" ht="15" hidden="false" customHeight="false" outlineLevel="0" collapsed="false">
      <c r="A1122" s="68" t="n">
        <v>109</v>
      </c>
      <c r="B1122" s="68" t="s">
        <v>690</v>
      </c>
      <c r="C1122" s="68" t="s">
        <v>738</v>
      </c>
      <c r="D1122" s="68" t="s">
        <v>249</v>
      </c>
      <c r="E1122" s="68" t="n">
        <v>31</v>
      </c>
      <c r="F1122" s="68" t="n">
        <v>31</v>
      </c>
      <c r="G1122" s="68" t="s">
        <v>2063</v>
      </c>
      <c r="H1122" s="68" t="s">
        <v>1367</v>
      </c>
    </row>
    <row r="1123" customFormat="false" ht="15" hidden="false" customHeight="false" outlineLevel="0" collapsed="false">
      <c r="A1123" s="68" t="n">
        <v>109</v>
      </c>
      <c r="B1123" s="68" t="s">
        <v>690</v>
      </c>
      <c r="C1123" s="68" t="s">
        <v>738</v>
      </c>
      <c r="D1123" s="68" t="s">
        <v>262</v>
      </c>
      <c r="E1123" s="68" t="n">
        <v>2.9</v>
      </c>
      <c r="F1123" s="68" t="n">
        <v>2.9</v>
      </c>
      <c r="G1123" s="68" t="s">
        <v>2063</v>
      </c>
      <c r="H1123" s="68" t="s">
        <v>1367</v>
      </c>
    </row>
    <row r="1124" customFormat="false" ht="15" hidden="false" customHeight="false" outlineLevel="0" collapsed="false">
      <c r="A1124" s="68" t="n">
        <v>109</v>
      </c>
      <c r="B1124" s="68" t="s">
        <v>690</v>
      </c>
      <c r="C1124" s="68" t="s">
        <v>738</v>
      </c>
      <c r="D1124" s="68" t="s">
        <v>1207</v>
      </c>
      <c r="E1124" s="68" t="s">
        <v>312</v>
      </c>
      <c r="F1124" s="68" t="s">
        <v>1583</v>
      </c>
      <c r="G1124" s="68"/>
      <c r="H1124" s="85" t="s">
        <v>1369</v>
      </c>
    </row>
    <row r="1125" customFormat="false" ht="15" hidden="false" customHeight="false" outlineLevel="0" collapsed="false">
      <c r="A1125" s="68" t="n">
        <v>109</v>
      </c>
      <c r="B1125" s="68" t="s">
        <v>690</v>
      </c>
      <c r="C1125" s="68" t="s">
        <v>738</v>
      </c>
      <c r="D1125" s="68" t="s">
        <v>1584</v>
      </c>
      <c r="E1125" s="68" t="s">
        <v>1881</v>
      </c>
      <c r="F1125" s="68" t="s">
        <v>1882</v>
      </c>
      <c r="G1125" s="68" t="s">
        <v>2063</v>
      </c>
      <c r="H1125" s="68" t="s">
        <v>1367</v>
      </c>
    </row>
    <row r="1126" customFormat="false" ht="15" hidden="false" customHeight="false" outlineLevel="0" collapsed="false">
      <c r="A1126" s="68" t="n">
        <v>109</v>
      </c>
      <c r="B1126" s="68" t="s">
        <v>690</v>
      </c>
      <c r="C1126" s="68" t="s">
        <v>738</v>
      </c>
      <c r="D1126" s="68" t="s">
        <v>258</v>
      </c>
      <c r="E1126" s="68" t="s">
        <v>304</v>
      </c>
      <c r="F1126" s="68" t="s">
        <v>1469</v>
      </c>
      <c r="G1126" s="68"/>
      <c r="H1126" s="85" t="s">
        <v>1369</v>
      </c>
    </row>
    <row r="1127" customFormat="false" ht="15" hidden="false" customHeight="false" outlineLevel="0" collapsed="false">
      <c r="A1127" s="68" t="n">
        <v>109</v>
      </c>
      <c r="B1127" s="68" t="s">
        <v>690</v>
      </c>
      <c r="C1127" s="68" t="s">
        <v>738</v>
      </c>
      <c r="D1127" s="68" t="s">
        <v>923</v>
      </c>
      <c r="E1127" s="68" t="s">
        <v>363</v>
      </c>
      <c r="F1127" s="68" t="s">
        <v>363</v>
      </c>
      <c r="G1127" s="68" t="s">
        <v>2065</v>
      </c>
      <c r="H1127" s="68" t="s">
        <v>1367</v>
      </c>
    </row>
    <row r="1128" customFormat="false" ht="15" hidden="false" customHeight="false" outlineLevel="0" collapsed="false">
      <c r="A1128" s="68" t="n">
        <v>109</v>
      </c>
      <c r="B1128" s="68" t="s">
        <v>690</v>
      </c>
      <c r="C1128" s="68" t="s">
        <v>738</v>
      </c>
      <c r="D1128" s="68" t="s">
        <v>1386</v>
      </c>
      <c r="E1128" s="68" t="n">
        <v>16000</v>
      </c>
      <c r="F1128" s="68" t="n">
        <v>16000</v>
      </c>
      <c r="G1128" s="68" t="s">
        <v>2065</v>
      </c>
      <c r="H1128" s="68" t="s">
        <v>1367</v>
      </c>
    </row>
    <row r="1129" customFormat="false" ht="15" hidden="false" customHeight="false" outlineLevel="0" collapsed="false">
      <c r="A1129" s="68" t="n">
        <v>110</v>
      </c>
      <c r="B1129" s="68" t="s">
        <v>690</v>
      </c>
      <c r="C1129" s="68" t="s">
        <v>741</v>
      </c>
      <c r="D1129" s="68" t="s">
        <v>243</v>
      </c>
      <c r="E1129" s="68" t="s">
        <v>643</v>
      </c>
      <c r="F1129" s="68" t="s">
        <v>643</v>
      </c>
      <c r="G1129" s="68" t="s">
        <v>2066</v>
      </c>
      <c r="H1129" s="68" t="s">
        <v>1367</v>
      </c>
    </row>
    <row r="1130" customFormat="false" ht="15" hidden="false" customHeight="false" outlineLevel="0" collapsed="false">
      <c r="A1130" s="68" t="n">
        <v>110</v>
      </c>
      <c r="B1130" s="68" t="s">
        <v>690</v>
      </c>
      <c r="C1130" s="68" t="s">
        <v>741</v>
      </c>
      <c r="D1130" s="68" t="s">
        <v>260</v>
      </c>
      <c r="E1130" s="68" t="n">
        <v>1</v>
      </c>
      <c r="F1130" s="68" t="n">
        <v>1</v>
      </c>
      <c r="G1130" s="68" t="s">
        <v>2067</v>
      </c>
      <c r="H1130" s="68" t="s">
        <v>1367</v>
      </c>
    </row>
    <row r="1131" customFormat="false" ht="15" hidden="false" customHeight="false" outlineLevel="0" collapsed="false">
      <c r="A1131" s="68" t="n">
        <v>110</v>
      </c>
      <c r="B1131" s="68" t="s">
        <v>690</v>
      </c>
      <c r="C1131" s="68" t="s">
        <v>741</v>
      </c>
      <c r="D1131" s="68" t="s">
        <v>246</v>
      </c>
      <c r="E1131" s="68" t="s">
        <v>186</v>
      </c>
      <c r="F1131" s="68" t="s">
        <v>1926</v>
      </c>
      <c r="G1131" s="68" t="s">
        <v>2066</v>
      </c>
      <c r="H1131" s="68" t="s">
        <v>1367</v>
      </c>
    </row>
    <row r="1132" customFormat="false" ht="15" hidden="false" customHeight="false" outlineLevel="0" collapsed="false">
      <c r="A1132" s="68" t="n">
        <v>110</v>
      </c>
      <c r="B1132" s="68" t="s">
        <v>690</v>
      </c>
      <c r="C1132" s="68" t="s">
        <v>741</v>
      </c>
      <c r="D1132" s="68" t="s">
        <v>261</v>
      </c>
      <c r="E1132" s="68" t="s">
        <v>306</v>
      </c>
      <c r="F1132" s="68" t="s">
        <v>1926</v>
      </c>
      <c r="G1132" s="68" t="s">
        <v>2066</v>
      </c>
      <c r="H1132" s="68" t="s">
        <v>1367</v>
      </c>
    </row>
    <row r="1133" customFormat="false" ht="15" hidden="false" customHeight="false" outlineLevel="0" collapsed="false">
      <c r="A1133" s="68" t="n">
        <v>110</v>
      </c>
      <c r="B1133" s="68" t="s">
        <v>690</v>
      </c>
      <c r="C1133" s="68" t="s">
        <v>741</v>
      </c>
      <c r="D1133" s="68" t="s">
        <v>880</v>
      </c>
      <c r="E1133" s="68" t="s">
        <v>74</v>
      </c>
      <c r="F1133" s="68" t="s">
        <v>1876</v>
      </c>
      <c r="G1133" s="68" t="s">
        <v>2066</v>
      </c>
      <c r="H1133" s="68" t="s">
        <v>1367</v>
      </c>
    </row>
    <row r="1134" customFormat="false" ht="15" hidden="false" customHeight="false" outlineLevel="0" collapsed="false">
      <c r="A1134" s="68" t="n">
        <v>110</v>
      </c>
      <c r="B1134" s="68" t="s">
        <v>690</v>
      </c>
      <c r="C1134" s="68" t="s">
        <v>741</v>
      </c>
      <c r="D1134" s="68" t="s">
        <v>248</v>
      </c>
      <c r="E1134" s="68" t="n">
        <v>825</v>
      </c>
      <c r="F1134" s="68" t="n">
        <v>825</v>
      </c>
      <c r="G1134" s="68" t="s">
        <v>2066</v>
      </c>
      <c r="H1134" s="68" t="s">
        <v>1367</v>
      </c>
    </row>
    <row r="1135" customFormat="false" ht="15" hidden="false" customHeight="false" outlineLevel="0" collapsed="false">
      <c r="A1135" s="68" t="n">
        <v>110</v>
      </c>
      <c r="B1135" s="68" t="s">
        <v>690</v>
      </c>
      <c r="C1135" s="68" t="s">
        <v>741</v>
      </c>
      <c r="D1135" s="68" t="s">
        <v>249</v>
      </c>
      <c r="E1135" s="68" t="n">
        <v>107</v>
      </c>
      <c r="F1135" s="68" t="n">
        <v>107</v>
      </c>
      <c r="G1135" s="68" t="s">
        <v>2066</v>
      </c>
      <c r="H1135" s="68" t="s">
        <v>1367</v>
      </c>
    </row>
    <row r="1136" customFormat="false" ht="15" hidden="false" customHeight="false" outlineLevel="0" collapsed="false">
      <c r="A1136" s="68" t="n">
        <v>110</v>
      </c>
      <c r="B1136" s="68" t="s">
        <v>690</v>
      </c>
      <c r="C1136" s="68" t="s">
        <v>741</v>
      </c>
      <c r="D1136" s="68" t="s">
        <v>262</v>
      </c>
      <c r="E1136" s="68" t="n">
        <v>11.3</v>
      </c>
      <c r="F1136" s="68" t="n">
        <v>11.3</v>
      </c>
      <c r="G1136" s="68" t="s">
        <v>2066</v>
      </c>
      <c r="H1136" s="68" t="s">
        <v>1367</v>
      </c>
    </row>
    <row r="1137" customFormat="false" ht="15" hidden="false" customHeight="false" outlineLevel="0" collapsed="false">
      <c r="A1137" s="68" t="n">
        <v>110</v>
      </c>
      <c r="B1137" s="68" t="s">
        <v>690</v>
      </c>
      <c r="C1137" s="68" t="s">
        <v>741</v>
      </c>
      <c r="D1137" s="68" t="s">
        <v>1207</v>
      </c>
      <c r="E1137" s="68" t="s">
        <v>312</v>
      </c>
      <c r="F1137" s="68" t="s">
        <v>1583</v>
      </c>
      <c r="G1137" s="68"/>
      <c r="H1137" s="85" t="s">
        <v>1369</v>
      </c>
    </row>
    <row r="1138" customFormat="false" ht="15" hidden="false" customHeight="false" outlineLevel="0" collapsed="false">
      <c r="A1138" s="68" t="n">
        <v>110</v>
      </c>
      <c r="B1138" s="68" t="s">
        <v>690</v>
      </c>
      <c r="C1138" s="68" t="s">
        <v>741</v>
      </c>
      <c r="D1138" s="68" t="s">
        <v>1584</v>
      </c>
      <c r="E1138" s="68" t="s">
        <v>1932</v>
      </c>
      <c r="F1138" s="68" t="s">
        <v>1933</v>
      </c>
      <c r="G1138" s="68" t="s">
        <v>2066</v>
      </c>
      <c r="H1138" s="68" t="s">
        <v>1367</v>
      </c>
    </row>
    <row r="1139" customFormat="false" ht="15" hidden="false" customHeight="false" outlineLevel="0" collapsed="false">
      <c r="A1139" s="68" t="n">
        <v>110</v>
      </c>
      <c r="B1139" s="68" t="s">
        <v>690</v>
      </c>
      <c r="C1139" s="68" t="s">
        <v>741</v>
      </c>
      <c r="D1139" s="68" t="s">
        <v>258</v>
      </c>
      <c r="E1139" s="68" t="s">
        <v>304</v>
      </c>
      <c r="F1139" s="68" t="s">
        <v>1555</v>
      </c>
      <c r="G1139" s="68" t="s">
        <v>243</v>
      </c>
      <c r="H1139" s="68" t="s">
        <v>1367</v>
      </c>
    </row>
    <row r="1140" customFormat="false" ht="15" hidden="false" customHeight="false" outlineLevel="0" collapsed="false">
      <c r="A1140" s="68" t="n">
        <v>110</v>
      </c>
      <c r="B1140" s="68" t="s">
        <v>690</v>
      </c>
      <c r="C1140" s="68" t="s">
        <v>741</v>
      </c>
      <c r="D1140" s="68" t="s">
        <v>923</v>
      </c>
      <c r="E1140" s="68" t="s">
        <v>363</v>
      </c>
      <c r="F1140" s="68" t="s">
        <v>363</v>
      </c>
      <c r="G1140" s="68" t="s">
        <v>2068</v>
      </c>
      <c r="H1140" s="68" t="s">
        <v>1367</v>
      </c>
    </row>
    <row r="1141" customFormat="false" ht="15" hidden="false" customHeight="false" outlineLevel="0" collapsed="false">
      <c r="A1141" s="68" t="n">
        <v>110</v>
      </c>
      <c r="B1141" s="68" t="s">
        <v>690</v>
      </c>
      <c r="C1141" s="68" t="s">
        <v>741</v>
      </c>
      <c r="D1141" s="68" t="s">
        <v>1386</v>
      </c>
      <c r="E1141" s="68" t="n">
        <v>309660.11</v>
      </c>
      <c r="F1141" s="68" t="n">
        <v>309660.11</v>
      </c>
      <c r="G1141" s="68" t="s">
        <v>2068</v>
      </c>
      <c r="H1141" s="68" t="s">
        <v>1367</v>
      </c>
    </row>
    <row r="1142" customFormat="false" ht="15" hidden="false" customHeight="false" outlineLevel="0" collapsed="false">
      <c r="A1142" s="68" t="n">
        <v>111</v>
      </c>
      <c r="B1142" s="68" t="s">
        <v>690</v>
      </c>
      <c r="C1142" s="68" t="s">
        <v>745</v>
      </c>
      <c r="D1142" s="68" t="s">
        <v>243</v>
      </c>
      <c r="E1142" s="68" t="s">
        <v>649</v>
      </c>
      <c r="F1142" s="68" t="s">
        <v>649</v>
      </c>
      <c r="G1142" s="68" t="s">
        <v>2069</v>
      </c>
      <c r="H1142" s="68" t="s">
        <v>1367</v>
      </c>
    </row>
    <row r="1143" customFormat="false" ht="15" hidden="false" customHeight="false" outlineLevel="0" collapsed="false">
      <c r="A1143" s="68" t="n">
        <v>111</v>
      </c>
      <c r="B1143" s="68" t="s">
        <v>690</v>
      </c>
      <c r="C1143" s="68" t="s">
        <v>745</v>
      </c>
      <c r="D1143" s="68" t="s">
        <v>260</v>
      </c>
      <c r="E1143" s="68" t="n">
        <v>1</v>
      </c>
      <c r="F1143" s="68" t="n">
        <v>1</v>
      </c>
      <c r="G1143" s="68" t="s">
        <v>2070</v>
      </c>
      <c r="H1143" s="68" t="s">
        <v>1367</v>
      </c>
    </row>
    <row r="1144" customFormat="false" ht="15" hidden="false" customHeight="false" outlineLevel="0" collapsed="false">
      <c r="A1144" s="68" t="n">
        <v>111</v>
      </c>
      <c r="B1144" s="68" t="s">
        <v>690</v>
      </c>
      <c r="C1144" s="68" t="s">
        <v>745</v>
      </c>
      <c r="D1144" s="68" t="s">
        <v>246</v>
      </c>
      <c r="E1144" s="68" t="s">
        <v>186</v>
      </c>
      <c r="F1144" s="68" t="s">
        <v>1926</v>
      </c>
      <c r="G1144" s="68" t="s">
        <v>2069</v>
      </c>
      <c r="H1144" s="68" t="s">
        <v>1367</v>
      </c>
    </row>
    <row r="1145" customFormat="false" ht="15" hidden="false" customHeight="false" outlineLevel="0" collapsed="false">
      <c r="A1145" s="68" t="n">
        <v>111</v>
      </c>
      <c r="B1145" s="68" t="s">
        <v>690</v>
      </c>
      <c r="C1145" s="68" t="s">
        <v>745</v>
      </c>
      <c r="D1145" s="68" t="s">
        <v>261</v>
      </c>
      <c r="E1145" s="68" t="s">
        <v>306</v>
      </c>
      <c r="F1145" s="68" t="s">
        <v>1926</v>
      </c>
      <c r="G1145" s="68" t="s">
        <v>2069</v>
      </c>
      <c r="H1145" s="68" t="s">
        <v>1367</v>
      </c>
    </row>
    <row r="1146" customFormat="false" ht="15" hidden="false" customHeight="false" outlineLevel="0" collapsed="false">
      <c r="A1146" s="68" t="n">
        <v>111</v>
      </c>
      <c r="B1146" s="68" t="s">
        <v>690</v>
      </c>
      <c r="C1146" s="68" t="s">
        <v>745</v>
      </c>
      <c r="D1146" s="68" t="s">
        <v>880</v>
      </c>
      <c r="E1146" s="68" t="s">
        <v>74</v>
      </c>
      <c r="F1146" s="68" t="s">
        <v>1876</v>
      </c>
      <c r="G1146" s="68" t="s">
        <v>2069</v>
      </c>
      <c r="H1146" s="68" t="s">
        <v>1367</v>
      </c>
    </row>
    <row r="1147" customFormat="false" ht="15" hidden="false" customHeight="false" outlineLevel="0" collapsed="false">
      <c r="A1147" s="68" t="n">
        <v>111</v>
      </c>
      <c r="B1147" s="68" t="s">
        <v>690</v>
      </c>
      <c r="C1147" s="68" t="s">
        <v>745</v>
      </c>
      <c r="D1147" s="68" t="s">
        <v>248</v>
      </c>
      <c r="E1147" s="68" t="n">
        <v>825</v>
      </c>
      <c r="F1147" s="68" t="n">
        <v>825</v>
      </c>
      <c r="G1147" s="68" t="s">
        <v>2069</v>
      </c>
      <c r="H1147" s="68" t="s">
        <v>1367</v>
      </c>
    </row>
    <row r="1148" customFormat="false" ht="15" hidden="false" customHeight="false" outlineLevel="0" collapsed="false">
      <c r="A1148" s="68" t="n">
        <v>111</v>
      </c>
      <c r="B1148" s="68" t="s">
        <v>690</v>
      </c>
      <c r="C1148" s="68" t="s">
        <v>745</v>
      </c>
      <c r="D1148" s="68" t="s">
        <v>249</v>
      </c>
      <c r="E1148" s="68" t="n">
        <v>107</v>
      </c>
      <c r="F1148" s="68" t="n">
        <v>107</v>
      </c>
      <c r="G1148" s="68" t="s">
        <v>2069</v>
      </c>
      <c r="H1148" s="68" t="s">
        <v>1367</v>
      </c>
    </row>
    <row r="1149" customFormat="false" ht="15" hidden="false" customHeight="false" outlineLevel="0" collapsed="false">
      <c r="A1149" s="68" t="n">
        <v>111</v>
      </c>
      <c r="B1149" s="68" t="s">
        <v>690</v>
      </c>
      <c r="C1149" s="68" t="s">
        <v>745</v>
      </c>
      <c r="D1149" s="68" t="s">
        <v>262</v>
      </c>
      <c r="E1149" s="68" t="n">
        <v>11.3</v>
      </c>
      <c r="F1149" s="68" t="n">
        <v>11.3</v>
      </c>
      <c r="G1149" s="68" t="s">
        <v>2069</v>
      </c>
      <c r="H1149" s="68" t="s">
        <v>1367</v>
      </c>
    </row>
    <row r="1150" customFormat="false" ht="15" hidden="false" customHeight="false" outlineLevel="0" collapsed="false">
      <c r="A1150" s="68" t="n">
        <v>111</v>
      </c>
      <c r="B1150" s="68" t="s">
        <v>690</v>
      </c>
      <c r="C1150" s="68" t="s">
        <v>745</v>
      </c>
      <c r="D1150" s="68" t="s">
        <v>1207</v>
      </c>
      <c r="E1150" s="68" t="s">
        <v>312</v>
      </c>
      <c r="F1150" s="68" t="s">
        <v>1583</v>
      </c>
      <c r="G1150" s="68"/>
      <c r="H1150" s="85" t="s">
        <v>1369</v>
      </c>
    </row>
    <row r="1151" customFormat="false" ht="15" hidden="false" customHeight="false" outlineLevel="0" collapsed="false">
      <c r="A1151" s="68" t="n">
        <v>111</v>
      </c>
      <c r="B1151" s="68" t="s">
        <v>690</v>
      </c>
      <c r="C1151" s="68" t="s">
        <v>745</v>
      </c>
      <c r="D1151" s="68" t="s">
        <v>1584</v>
      </c>
      <c r="E1151" s="68" t="s">
        <v>1932</v>
      </c>
      <c r="F1151" s="68" t="s">
        <v>1933</v>
      </c>
      <c r="G1151" s="68" t="s">
        <v>2069</v>
      </c>
      <c r="H1151" s="68" t="s">
        <v>1367</v>
      </c>
    </row>
    <row r="1152" customFormat="false" ht="15" hidden="false" customHeight="false" outlineLevel="0" collapsed="false">
      <c r="A1152" s="68" t="n">
        <v>111</v>
      </c>
      <c r="B1152" s="68" t="s">
        <v>690</v>
      </c>
      <c r="C1152" s="68" t="s">
        <v>745</v>
      </c>
      <c r="D1152" s="68" t="s">
        <v>258</v>
      </c>
      <c r="E1152" s="68" t="s">
        <v>460</v>
      </c>
      <c r="F1152" s="68" t="s">
        <v>1560</v>
      </c>
      <c r="G1152" s="68" t="s">
        <v>243</v>
      </c>
      <c r="H1152" s="68" t="s">
        <v>1367</v>
      </c>
    </row>
    <row r="1153" customFormat="false" ht="15" hidden="false" customHeight="false" outlineLevel="0" collapsed="false">
      <c r="A1153" s="68" t="n">
        <v>111</v>
      </c>
      <c r="B1153" s="68" t="s">
        <v>690</v>
      </c>
      <c r="C1153" s="68" t="s">
        <v>745</v>
      </c>
      <c r="D1153" s="68" t="s">
        <v>923</v>
      </c>
      <c r="E1153" s="68" t="s">
        <v>363</v>
      </c>
      <c r="F1153" s="68" t="s">
        <v>363</v>
      </c>
      <c r="G1153" s="68" t="s">
        <v>2071</v>
      </c>
      <c r="H1153" s="68" t="s">
        <v>1367</v>
      </c>
    </row>
    <row r="1154" customFormat="false" ht="15" hidden="false" customHeight="false" outlineLevel="0" collapsed="false">
      <c r="A1154" s="68" t="n">
        <v>111</v>
      </c>
      <c r="B1154" s="68" t="s">
        <v>690</v>
      </c>
      <c r="C1154" s="68" t="s">
        <v>745</v>
      </c>
      <c r="D1154" s="68" t="s">
        <v>1386</v>
      </c>
      <c r="E1154" s="68" t="n">
        <v>202973.76</v>
      </c>
      <c r="F1154" s="68" t="n">
        <v>202973.756666667</v>
      </c>
      <c r="G1154" s="68" t="s">
        <v>2071</v>
      </c>
      <c r="H1154" s="68" t="s">
        <v>1367</v>
      </c>
    </row>
    <row r="1155" customFormat="false" ht="15" hidden="false" customHeight="false" outlineLevel="0" collapsed="false">
      <c r="A1155" s="68" t="n">
        <v>112</v>
      </c>
      <c r="B1155" s="68" t="s">
        <v>690</v>
      </c>
      <c r="C1155" s="68" t="s">
        <v>748</v>
      </c>
      <c r="D1155" s="68" t="s">
        <v>243</v>
      </c>
      <c r="E1155" s="68" t="s">
        <v>653</v>
      </c>
      <c r="F1155" s="68" t="s">
        <v>653</v>
      </c>
      <c r="G1155" s="68" t="s">
        <v>2072</v>
      </c>
      <c r="H1155" s="68" t="s">
        <v>1367</v>
      </c>
    </row>
    <row r="1156" customFormat="false" ht="15" hidden="false" customHeight="false" outlineLevel="0" collapsed="false">
      <c r="A1156" s="68" t="n">
        <v>112</v>
      </c>
      <c r="B1156" s="68" t="s">
        <v>690</v>
      </c>
      <c r="C1156" s="68" t="s">
        <v>748</v>
      </c>
      <c r="D1156" s="68" t="s">
        <v>260</v>
      </c>
      <c r="E1156" s="68" t="n">
        <v>2</v>
      </c>
      <c r="F1156" s="68" t="n">
        <v>2</v>
      </c>
      <c r="G1156" s="68" t="s">
        <v>2073</v>
      </c>
      <c r="H1156" s="68" t="s">
        <v>1367</v>
      </c>
    </row>
    <row r="1157" customFormat="false" ht="15" hidden="false" customHeight="false" outlineLevel="0" collapsed="false">
      <c r="A1157" s="68" t="n">
        <v>112</v>
      </c>
      <c r="B1157" s="68" t="s">
        <v>690</v>
      </c>
      <c r="C1157" s="68" t="s">
        <v>748</v>
      </c>
      <c r="D1157" s="68" t="s">
        <v>246</v>
      </c>
      <c r="E1157" s="68" t="s">
        <v>183</v>
      </c>
      <c r="F1157" s="68" t="s">
        <v>1947</v>
      </c>
      <c r="G1157" s="68" t="s">
        <v>2072</v>
      </c>
      <c r="H1157" s="68" t="s">
        <v>1367</v>
      </c>
    </row>
    <row r="1158" customFormat="false" ht="15" hidden="false" customHeight="false" outlineLevel="0" collapsed="false">
      <c r="A1158" s="68" t="n">
        <v>112</v>
      </c>
      <c r="B1158" s="68" t="s">
        <v>690</v>
      </c>
      <c r="C1158" s="68" t="s">
        <v>748</v>
      </c>
      <c r="D1158" s="68" t="s">
        <v>261</v>
      </c>
      <c r="E1158" s="68" t="s">
        <v>306</v>
      </c>
      <c r="F1158" s="68" t="s">
        <v>1947</v>
      </c>
      <c r="G1158" s="68" t="s">
        <v>2072</v>
      </c>
      <c r="H1158" s="68" t="s">
        <v>1367</v>
      </c>
    </row>
    <row r="1159" customFormat="false" ht="15" hidden="false" customHeight="false" outlineLevel="0" collapsed="false">
      <c r="A1159" s="68" t="n">
        <v>112</v>
      </c>
      <c r="B1159" s="68" t="s">
        <v>690</v>
      </c>
      <c r="C1159" s="68" t="s">
        <v>748</v>
      </c>
      <c r="D1159" s="68" t="s">
        <v>880</v>
      </c>
      <c r="E1159" s="68" t="s">
        <v>74</v>
      </c>
      <c r="F1159" s="68" t="s">
        <v>1876</v>
      </c>
      <c r="G1159" s="68" t="s">
        <v>2072</v>
      </c>
      <c r="H1159" s="68" t="s">
        <v>1367</v>
      </c>
    </row>
    <row r="1160" customFormat="false" ht="15" hidden="false" customHeight="false" outlineLevel="0" collapsed="false">
      <c r="A1160" s="68" t="n">
        <v>112</v>
      </c>
      <c r="B1160" s="68" t="s">
        <v>690</v>
      </c>
      <c r="C1160" s="68" t="s">
        <v>748</v>
      </c>
      <c r="D1160" s="68" t="s">
        <v>248</v>
      </c>
      <c r="E1160" s="68" t="n">
        <v>16.5</v>
      </c>
      <c r="F1160" s="68" t="n">
        <v>16.5</v>
      </c>
      <c r="G1160" s="68" t="s">
        <v>2072</v>
      </c>
      <c r="H1160" s="68" t="s">
        <v>1367</v>
      </c>
    </row>
    <row r="1161" customFormat="false" ht="15" hidden="false" customHeight="false" outlineLevel="0" collapsed="false">
      <c r="A1161" s="68" t="n">
        <v>112</v>
      </c>
      <c r="B1161" s="68" t="s">
        <v>690</v>
      </c>
      <c r="C1161" s="68" t="s">
        <v>748</v>
      </c>
      <c r="D1161" s="68" t="s">
        <v>249</v>
      </c>
      <c r="E1161" s="68" t="n">
        <v>107</v>
      </c>
      <c r="F1161" s="68" t="n">
        <v>107</v>
      </c>
      <c r="G1161" s="68" t="s">
        <v>2072</v>
      </c>
      <c r="H1161" s="68" t="s">
        <v>1367</v>
      </c>
    </row>
    <row r="1162" customFormat="false" ht="15" hidden="false" customHeight="false" outlineLevel="0" collapsed="false">
      <c r="A1162" s="68" t="n">
        <v>112</v>
      </c>
      <c r="B1162" s="68" t="s">
        <v>690</v>
      </c>
      <c r="C1162" s="68" t="s">
        <v>748</v>
      </c>
      <c r="D1162" s="68" t="s">
        <v>262</v>
      </c>
      <c r="E1162" s="68" t="n">
        <v>11.3</v>
      </c>
      <c r="F1162" s="68" t="n">
        <v>11.3</v>
      </c>
      <c r="G1162" s="68" t="s">
        <v>2072</v>
      </c>
      <c r="H1162" s="68" t="s">
        <v>1367</v>
      </c>
    </row>
    <row r="1163" customFormat="false" ht="15" hidden="false" customHeight="false" outlineLevel="0" collapsed="false">
      <c r="A1163" s="68" t="n">
        <v>112</v>
      </c>
      <c r="B1163" s="68" t="s">
        <v>690</v>
      </c>
      <c r="C1163" s="68" t="s">
        <v>748</v>
      </c>
      <c r="D1163" s="68" t="s">
        <v>1207</v>
      </c>
      <c r="E1163" s="68" t="s">
        <v>312</v>
      </c>
      <c r="F1163" s="68" t="s">
        <v>1583</v>
      </c>
      <c r="G1163" s="68"/>
      <c r="H1163" s="85" t="s">
        <v>1369</v>
      </c>
    </row>
    <row r="1164" customFormat="false" ht="15" hidden="false" customHeight="false" outlineLevel="0" collapsed="false">
      <c r="A1164" s="68" t="n">
        <v>112</v>
      </c>
      <c r="B1164" s="68" t="s">
        <v>690</v>
      </c>
      <c r="C1164" s="68" t="s">
        <v>748</v>
      </c>
      <c r="D1164" s="68" t="s">
        <v>1584</v>
      </c>
      <c r="E1164" s="68" t="s">
        <v>1932</v>
      </c>
      <c r="F1164" s="68" t="s">
        <v>1933</v>
      </c>
      <c r="G1164" s="68" t="s">
        <v>2072</v>
      </c>
      <c r="H1164" s="68" t="s">
        <v>1367</v>
      </c>
    </row>
    <row r="1165" customFormat="false" ht="15" hidden="false" customHeight="false" outlineLevel="0" collapsed="false">
      <c r="A1165" s="68" t="n">
        <v>112</v>
      </c>
      <c r="B1165" s="68" t="s">
        <v>690</v>
      </c>
      <c r="C1165" s="68" t="s">
        <v>748</v>
      </c>
      <c r="D1165" s="68" t="s">
        <v>258</v>
      </c>
      <c r="E1165" s="68" t="s">
        <v>304</v>
      </c>
      <c r="F1165" s="68" t="s">
        <v>1469</v>
      </c>
      <c r="G1165" s="68"/>
      <c r="H1165" s="85" t="s">
        <v>1369</v>
      </c>
    </row>
    <row r="1166" customFormat="false" ht="15" hidden="false" customHeight="false" outlineLevel="0" collapsed="false">
      <c r="A1166" s="68" t="n">
        <v>112</v>
      </c>
      <c r="B1166" s="68" t="s">
        <v>690</v>
      </c>
      <c r="C1166" s="68" t="s">
        <v>748</v>
      </c>
      <c r="D1166" s="68" t="s">
        <v>923</v>
      </c>
      <c r="E1166" s="68" t="s">
        <v>363</v>
      </c>
      <c r="F1166" s="68" t="s">
        <v>363</v>
      </c>
      <c r="G1166" s="68" t="s">
        <v>2074</v>
      </c>
      <c r="H1166" s="68" t="s">
        <v>1367</v>
      </c>
    </row>
    <row r="1167" customFormat="false" ht="15" hidden="false" customHeight="false" outlineLevel="0" collapsed="false">
      <c r="A1167" s="68" t="n">
        <v>112</v>
      </c>
      <c r="B1167" s="68" t="s">
        <v>690</v>
      </c>
      <c r="C1167" s="68" t="s">
        <v>748</v>
      </c>
      <c r="D1167" s="68" t="s">
        <v>1386</v>
      </c>
      <c r="E1167" s="68" t="n">
        <v>26808.07</v>
      </c>
      <c r="F1167" s="68" t="n">
        <v>26808.0666666667</v>
      </c>
      <c r="G1167" s="68" t="s">
        <v>2074</v>
      </c>
      <c r="H1167" s="68" t="s">
        <v>1367</v>
      </c>
    </row>
    <row r="1168" customFormat="false" ht="15" hidden="false" customHeight="false" outlineLevel="0" collapsed="false">
      <c r="A1168" s="68" t="n">
        <v>113</v>
      </c>
      <c r="B1168" s="68" t="s">
        <v>690</v>
      </c>
      <c r="C1168" s="68" t="s">
        <v>751</v>
      </c>
      <c r="D1168" s="68" t="s">
        <v>243</v>
      </c>
      <c r="E1168" s="68" t="s">
        <v>680</v>
      </c>
      <c r="F1168" s="68" t="s">
        <v>680</v>
      </c>
      <c r="G1168" s="68" t="s">
        <v>2075</v>
      </c>
      <c r="H1168" s="68" t="s">
        <v>1367</v>
      </c>
    </row>
    <row r="1169" customFormat="false" ht="15" hidden="false" customHeight="false" outlineLevel="0" collapsed="false">
      <c r="A1169" s="68" t="n">
        <v>113</v>
      </c>
      <c r="B1169" s="68" t="s">
        <v>690</v>
      </c>
      <c r="C1169" s="68" t="s">
        <v>751</v>
      </c>
      <c r="D1169" s="68" t="s">
        <v>260</v>
      </c>
      <c r="E1169" s="68" t="n">
        <v>2</v>
      </c>
      <c r="F1169" s="68" t="n">
        <v>2</v>
      </c>
      <c r="G1169" s="68" t="s">
        <v>2076</v>
      </c>
      <c r="H1169" s="68" t="s">
        <v>1367</v>
      </c>
    </row>
    <row r="1170" customFormat="false" ht="15" hidden="false" customHeight="false" outlineLevel="0" collapsed="false">
      <c r="A1170" s="68" t="n">
        <v>113</v>
      </c>
      <c r="B1170" s="68" t="s">
        <v>690</v>
      </c>
      <c r="C1170" s="68" t="s">
        <v>751</v>
      </c>
      <c r="D1170" s="68" t="s">
        <v>261</v>
      </c>
      <c r="E1170" s="68" t="s">
        <v>682</v>
      </c>
      <c r="F1170" s="68" t="s">
        <v>2005</v>
      </c>
      <c r="G1170" s="68" t="s">
        <v>2075</v>
      </c>
      <c r="H1170" s="68" t="s">
        <v>1367</v>
      </c>
    </row>
    <row r="1171" customFormat="false" ht="15" hidden="false" customHeight="false" outlineLevel="0" collapsed="false">
      <c r="A1171" s="68" t="n">
        <v>113</v>
      </c>
      <c r="B1171" s="68" t="s">
        <v>690</v>
      </c>
      <c r="C1171" s="68" t="s">
        <v>751</v>
      </c>
      <c r="D1171" s="68" t="s">
        <v>880</v>
      </c>
      <c r="E1171" s="68" t="s">
        <v>119</v>
      </c>
      <c r="F1171" s="68" t="s">
        <v>2007</v>
      </c>
      <c r="G1171" s="68" t="s">
        <v>2075</v>
      </c>
      <c r="H1171" s="68" t="s">
        <v>1367</v>
      </c>
    </row>
    <row r="1172" customFormat="false" ht="15" hidden="false" customHeight="false" outlineLevel="0" collapsed="false">
      <c r="A1172" s="68" t="n">
        <v>113</v>
      </c>
      <c r="B1172" s="68" t="s">
        <v>690</v>
      </c>
      <c r="C1172" s="68" t="s">
        <v>751</v>
      </c>
      <c r="D1172" s="68" t="s">
        <v>248</v>
      </c>
      <c r="E1172" s="68" t="n">
        <v>9.6</v>
      </c>
      <c r="F1172" s="68" t="n">
        <v>9.6</v>
      </c>
      <c r="G1172" s="68" t="s">
        <v>2077</v>
      </c>
      <c r="H1172" s="68" t="s">
        <v>1367</v>
      </c>
    </row>
    <row r="1173" customFormat="false" ht="15" hidden="false" customHeight="false" outlineLevel="0" collapsed="false">
      <c r="A1173" s="68" t="n">
        <v>113</v>
      </c>
      <c r="B1173" s="68" t="s">
        <v>690</v>
      </c>
      <c r="C1173" s="68" t="s">
        <v>751</v>
      </c>
      <c r="D1173" s="68" t="s">
        <v>1207</v>
      </c>
      <c r="E1173" s="68" t="s">
        <v>312</v>
      </c>
      <c r="F1173" s="68" t="s">
        <v>1583</v>
      </c>
      <c r="G1173" s="68"/>
      <c r="H1173" s="85" t="s">
        <v>1369</v>
      </c>
    </row>
    <row r="1174" customFormat="false" ht="15" hidden="false" customHeight="false" outlineLevel="0" collapsed="false">
      <c r="A1174" s="68" t="n">
        <v>113</v>
      </c>
      <c r="B1174" s="68" t="s">
        <v>690</v>
      </c>
      <c r="C1174" s="68" t="s">
        <v>751</v>
      </c>
      <c r="D1174" s="68" t="s">
        <v>258</v>
      </c>
      <c r="E1174" s="68" t="s">
        <v>752</v>
      </c>
      <c r="F1174" s="68" t="s">
        <v>1469</v>
      </c>
      <c r="G1174" s="68"/>
      <c r="H1174" s="85" t="s">
        <v>1369</v>
      </c>
    </row>
    <row r="1175" customFormat="false" ht="15" hidden="false" customHeight="false" outlineLevel="0" collapsed="false">
      <c r="A1175" s="68" t="n">
        <v>113</v>
      </c>
      <c r="B1175" s="68" t="s">
        <v>690</v>
      </c>
      <c r="C1175" s="68" t="s">
        <v>751</v>
      </c>
      <c r="D1175" s="68" t="s">
        <v>923</v>
      </c>
      <c r="E1175" s="68" t="s">
        <v>454</v>
      </c>
      <c r="F1175" s="68" t="s">
        <v>454</v>
      </c>
      <c r="G1175" s="68" t="s">
        <v>2078</v>
      </c>
      <c r="H1175" s="68" t="s">
        <v>1367</v>
      </c>
    </row>
    <row r="1176" customFormat="false" ht="15" hidden="false" customHeight="false" outlineLevel="0" collapsed="false">
      <c r="A1176" s="68" t="n">
        <v>113</v>
      </c>
      <c r="B1176" s="68" t="s">
        <v>690</v>
      </c>
      <c r="C1176" s="68" t="s">
        <v>751</v>
      </c>
      <c r="D1176" s="68" t="s">
        <v>1386</v>
      </c>
      <c r="E1176" s="68" t="n">
        <v>100000000</v>
      </c>
      <c r="F1176" s="68" t="n">
        <v>100000000</v>
      </c>
      <c r="G1176" s="68" t="s">
        <v>2078</v>
      </c>
      <c r="H1176" s="68" t="s">
        <v>1367</v>
      </c>
    </row>
    <row r="1177" customFormat="false" ht="15" hidden="false" customHeight="false" outlineLevel="0" collapsed="false">
      <c r="A1177" s="68" t="n">
        <v>114</v>
      </c>
      <c r="B1177" s="68" t="s">
        <v>690</v>
      </c>
      <c r="C1177" s="68" t="s">
        <v>756</v>
      </c>
      <c r="D1177" s="68" t="s">
        <v>243</v>
      </c>
      <c r="E1177" s="68" t="s">
        <v>680</v>
      </c>
      <c r="F1177" s="68" t="s">
        <v>680</v>
      </c>
      <c r="G1177" s="68" t="s">
        <v>2079</v>
      </c>
      <c r="H1177" s="68" t="s">
        <v>1367</v>
      </c>
    </row>
    <row r="1178" customFormat="false" ht="15" hidden="false" customHeight="false" outlineLevel="0" collapsed="false">
      <c r="A1178" s="68" t="n">
        <v>114</v>
      </c>
      <c r="B1178" s="68" t="s">
        <v>690</v>
      </c>
      <c r="C1178" s="68" t="s">
        <v>756</v>
      </c>
      <c r="D1178" s="68" t="s">
        <v>260</v>
      </c>
      <c r="E1178" s="68" t="n">
        <v>1</v>
      </c>
      <c r="F1178" s="68" t="n">
        <v>1</v>
      </c>
      <c r="G1178" s="68" t="s">
        <v>2080</v>
      </c>
      <c r="H1178" s="68" t="s">
        <v>1367</v>
      </c>
    </row>
    <row r="1179" customFormat="false" ht="15" hidden="false" customHeight="false" outlineLevel="0" collapsed="false">
      <c r="A1179" s="68" t="n">
        <v>114</v>
      </c>
      <c r="B1179" s="68" t="s">
        <v>690</v>
      </c>
      <c r="C1179" s="68" t="s">
        <v>756</v>
      </c>
      <c r="D1179" s="68" t="s">
        <v>261</v>
      </c>
      <c r="E1179" s="68" t="s">
        <v>682</v>
      </c>
      <c r="F1179" s="68" t="s">
        <v>2005</v>
      </c>
      <c r="G1179" s="68" t="s">
        <v>2079</v>
      </c>
      <c r="H1179" s="68" t="s">
        <v>1367</v>
      </c>
    </row>
    <row r="1180" customFormat="false" ht="15" hidden="false" customHeight="false" outlineLevel="0" collapsed="false">
      <c r="A1180" s="68" t="n">
        <v>114</v>
      </c>
      <c r="B1180" s="68" t="s">
        <v>690</v>
      </c>
      <c r="C1180" s="68" t="s">
        <v>756</v>
      </c>
      <c r="D1180" s="68" t="s">
        <v>880</v>
      </c>
      <c r="E1180" s="68" t="s">
        <v>119</v>
      </c>
      <c r="F1180" s="68" t="s">
        <v>2007</v>
      </c>
      <c r="G1180" s="68" t="s">
        <v>2079</v>
      </c>
      <c r="H1180" s="68" t="s">
        <v>1367</v>
      </c>
    </row>
    <row r="1181" customFormat="false" ht="15" hidden="false" customHeight="false" outlineLevel="0" collapsed="false">
      <c r="A1181" s="68" t="n">
        <v>114</v>
      </c>
      <c r="B1181" s="68" t="s">
        <v>690</v>
      </c>
      <c r="C1181" s="68" t="s">
        <v>756</v>
      </c>
      <c r="D1181" s="68" t="s">
        <v>248</v>
      </c>
      <c r="E1181" s="68" t="n">
        <v>9.6</v>
      </c>
      <c r="F1181" s="68" t="n">
        <v>9.6</v>
      </c>
      <c r="G1181" s="68" t="s">
        <v>2081</v>
      </c>
      <c r="H1181" s="68" t="s">
        <v>1367</v>
      </c>
    </row>
    <row r="1182" customFormat="false" ht="15" hidden="false" customHeight="false" outlineLevel="0" collapsed="false">
      <c r="A1182" s="68" t="n">
        <v>114</v>
      </c>
      <c r="B1182" s="68" t="s">
        <v>690</v>
      </c>
      <c r="C1182" s="68" t="s">
        <v>756</v>
      </c>
      <c r="D1182" s="68" t="s">
        <v>1207</v>
      </c>
      <c r="E1182" s="68" t="s">
        <v>312</v>
      </c>
      <c r="F1182" s="68" t="s">
        <v>1583</v>
      </c>
      <c r="G1182" s="68"/>
      <c r="H1182" s="85" t="s">
        <v>1369</v>
      </c>
    </row>
    <row r="1183" customFormat="false" ht="15" hidden="false" customHeight="false" outlineLevel="0" collapsed="false">
      <c r="A1183" s="68" t="n">
        <v>114</v>
      </c>
      <c r="B1183" s="68" t="s">
        <v>690</v>
      </c>
      <c r="C1183" s="68" t="s">
        <v>756</v>
      </c>
      <c r="D1183" s="68" t="s">
        <v>258</v>
      </c>
      <c r="E1183" s="68" t="s">
        <v>752</v>
      </c>
      <c r="F1183" s="68" t="s">
        <v>1469</v>
      </c>
      <c r="G1183" s="68"/>
      <c r="H1183" s="85" t="s">
        <v>1369</v>
      </c>
    </row>
    <row r="1184" customFormat="false" ht="15" hidden="false" customHeight="false" outlineLevel="0" collapsed="false">
      <c r="A1184" s="68" t="n">
        <v>114</v>
      </c>
      <c r="B1184" s="68" t="s">
        <v>690</v>
      </c>
      <c r="C1184" s="68" t="s">
        <v>756</v>
      </c>
      <c r="D1184" s="68" t="s">
        <v>923</v>
      </c>
      <c r="E1184" s="68" t="s">
        <v>454</v>
      </c>
      <c r="F1184" s="68" t="s">
        <v>454</v>
      </c>
      <c r="G1184" s="68" t="s">
        <v>2082</v>
      </c>
      <c r="H1184" s="68" t="s">
        <v>1367</v>
      </c>
    </row>
    <row r="1185" customFormat="false" ht="15" hidden="false" customHeight="false" outlineLevel="0" collapsed="false">
      <c r="A1185" s="68" t="n">
        <v>114</v>
      </c>
      <c r="B1185" s="68" t="s">
        <v>690</v>
      </c>
      <c r="C1185" s="68" t="s">
        <v>756</v>
      </c>
      <c r="D1185" s="68" t="s">
        <v>1386</v>
      </c>
      <c r="E1185" s="68" t="n">
        <v>100000000</v>
      </c>
      <c r="F1185" s="68" t="n">
        <v>100000000</v>
      </c>
      <c r="G1185" s="68" t="s">
        <v>2082</v>
      </c>
      <c r="H1185" s="68" t="s">
        <v>1367</v>
      </c>
    </row>
    <row r="1186" customFormat="false" ht="15" hidden="false" customHeight="false" outlineLevel="0" collapsed="false">
      <c r="A1186" s="68" t="n">
        <v>115</v>
      </c>
      <c r="B1186" s="68" t="s">
        <v>758</v>
      </c>
      <c r="C1186" s="68" t="s">
        <v>302</v>
      </c>
      <c r="D1186" s="68" t="s">
        <v>243</v>
      </c>
      <c r="E1186" s="68" t="s">
        <v>300</v>
      </c>
      <c r="F1186" s="68" t="s">
        <v>300</v>
      </c>
      <c r="G1186" s="68" t="s">
        <v>2083</v>
      </c>
      <c r="H1186" s="68" t="s">
        <v>1367</v>
      </c>
    </row>
    <row r="1187" customFormat="false" ht="15" hidden="false" customHeight="false" outlineLevel="0" collapsed="false">
      <c r="A1187" s="68" t="n">
        <v>115</v>
      </c>
      <c r="B1187" s="68" t="s">
        <v>758</v>
      </c>
      <c r="C1187" s="68" t="s">
        <v>302</v>
      </c>
      <c r="D1187" s="68" t="s">
        <v>261</v>
      </c>
      <c r="E1187" s="68" t="s">
        <v>306</v>
      </c>
      <c r="F1187" s="68" t="s">
        <v>306</v>
      </c>
      <c r="G1187" s="68" t="s">
        <v>2084</v>
      </c>
      <c r="H1187" s="68" t="s">
        <v>1367</v>
      </c>
    </row>
    <row r="1188" customFormat="false" ht="15" hidden="false" customHeight="false" outlineLevel="0" collapsed="false">
      <c r="A1188" s="68" t="n">
        <v>115</v>
      </c>
      <c r="B1188" s="68" t="s">
        <v>758</v>
      </c>
      <c r="C1188" s="68" t="s">
        <v>302</v>
      </c>
      <c r="D1188" s="68" t="s">
        <v>249</v>
      </c>
      <c r="E1188" s="68" t="n">
        <v>95.8</v>
      </c>
      <c r="F1188" s="68" t="n">
        <v>95.8</v>
      </c>
      <c r="G1188" s="68" t="s">
        <v>2085</v>
      </c>
      <c r="H1188" s="68" t="s">
        <v>1367</v>
      </c>
    </row>
    <row r="1189" customFormat="false" ht="15" hidden="false" customHeight="false" outlineLevel="0" collapsed="false">
      <c r="A1189" s="68" t="n">
        <v>115</v>
      </c>
      <c r="B1189" s="68" t="s">
        <v>758</v>
      </c>
      <c r="C1189" s="68" t="s">
        <v>302</v>
      </c>
      <c r="D1189" s="68" t="s">
        <v>250</v>
      </c>
      <c r="E1189" s="68" t="n">
        <v>54.3</v>
      </c>
      <c r="F1189" s="68" t="n">
        <v>54.3</v>
      </c>
      <c r="G1189" s="68" t="s">
        <v>2086</v>
      </c>
      <c r="H1189" s="68" t="s">
        <v>1367</v>
      </c>
    </row>
    <row r="1190" customFormat="false" ht="15" hidden="false" customHeight="false" outlineLevel="0" collapsed="false">
      <c r="A1190" s="68" t="n">
        <v>115</v>
      </c>
      <c r="B1190" s="68" t="s">
        <v>758</v>
      </c>
      <c r="C1190" s="68" t="s">
        <v>302</v>
      </c>
      <c r="D1190" s="68" t="s">
        <v>258</v>
      </c>
      <c r="E1190" s="68" t="s">
        <v>304</v>
      </c>
      <c r="F1190" s="68" t="s">
        <v>304</v>
      </c>
      <c r="G1190" s="68" t="s">
        <v>2087</v>
      </c>
      <c r="H1190" s="68" t="s">
        <v>1367</v>
      </c>
    </row>
    <row r="1191" customFormat="false" ht="15" hidden="false" customHeight="false" outlineLevel="0" collapsed="false">
      <c r="A1191" s="68" t="n">
        <v>115</v>
      </c>
      <c r="B1191" s="68" t="s">
        <v>758</v>
      </c>
      <c r="C1191" s="68" t="s">
        <v>302</v>
      </c>
      <c r="D1191" s="68" t="s">
        <v>923</v>
      </c>
      <c r="E1191" s="68" t="s">
        <v>308</v>
      </c>
      <c r="F1191" s="68" t="s">
        <v>308</v>
      </c>
      <c r="G1191" s="68" t="s">
        <v>2088</v>
      </c>
      <c r="H1191" s="68" t="s">
        <v>1367</v>
      </c>
    </row>
    <row r="1192" customFormat="false" ht="15" hidden="false" customHeight="false" outlineLevel="0" collapsed="false">
      <c r="A1192" s="68" t="n">
        <v>115</v>
      </c>
      <c r="B1192" s="68" t="s">
        <v>758</v>
      </c>
      <c r="C1192" s="68" t="s">
        <v>302</v>
      </c>
      <c r="D1192" s="68" t="s">
        <v>1386</v>
      </c>
      <c r="E1192" s="68" t="n">
        <v>580000</v>
      </c>
      <c r="F1192" s="68" t="n">
        <v>580000</v>
      </c>
      <c r="G1192" s="68" t="s">
        <v>2088</v>
      </c>
      <c r="H1192" s="68" t="s">
        <v>1367</v>
      </c>
    </row>
    <row r="1193" customFormat="false" ht="15" hidden="false" customHeight="false" outlineLevel="0" collapsed="false">
      <c r="A1193" s="68" t="n">
        <v>116</v>
      </c>
      <c r="B1193" s="68" t="s">
        <v>758</v>
      </c>
      <c r="C1193" s="68" t="s">
        <v>302</v>
      </c>
      <c r="D1193" s="68" t="s">
        <v>243</v>
      </c>
      <c r="E1193" s="68" t="s">
        <v>314</v>
      </c>
      <c r="F1193" s="68" t="s">
        <v>314</v>
      </c>
      <c r="G1193" s="68" t="s">
        <v>2089</v>
      </c>
      <c r="H1193" s="68" t="s">
        <v>1367</v>
      </c>
    </row>
    <row r="1194" customFormat="false" ht="15" hidden="false" customHeight="false" outlineLevel="0" collapsed="false">
      <c r="A1194" s="68" t="n">
        <v>116</v>
      </c>
      <c r="B1194" s="68" t="s">
        <v>758</v>
      </c>
      <c r="C1194" s="68" t="s">
        <v>302</v>
      </c>
      <c r="D1194" s="68" t="s">
        <v>261</v>
      </c>
      <c r="E1194" s="68" t="s">
        <v>306</v>
      </c>
      <c r="F1194" s="68" t="s">
        <v>306</v>
      </c>
      <c r="G1194" s="68" t="s">
        <v>2090</v>
      </c>
      <c r="H1194" s="68" t="s">
        <v>1367</v>
      </c>
    </row>
    <row r="1195" customFormat="false" ht="15" hidden="false" customHeight="false" outlineLevel="0" collapsed="false">
      <c r="A1195" s="68" t="n">
        <v>116</v>
      </c>
      <c r="B1195" s="68" t="s">
        <v>758</v>
      </c>
      <c r="C1195" s="68" t="s">
        <v>302</v>
      </c>
      <c r="D1195" s="68" t="s">
        <v>249</v>
      </c>
      <c r="E1195" s="68" t="n">
        <v>59.85</v>
      </c>
      <c r="F1195" s="68" t="n">
        <v>59.85</v>
      </c>
      <c r="G1195" s="68" t="s">
        <v>2091</v>
      </c>
      <c r="H1195" s="68" t="s">
        <v>1367</v>
      </c>
    </row>
    <row r="1196" customFormat="false" ht="15" hidden="false" customHeight="false" outlineLevel="0" collapsed="false">
      <c r="A1196" s="68" t="n">
        <v>116</v>
      </c>
      <c r="B1196" s="68" t="s">
        <v>758</v>
      </c>
      <c r="C1196" s="68" t="s">
        <v>302</v>
      </c>
      <c r="D1196" s="68" t="s">
        <v>250</v>
      </c>
      <c r="E1196" s="68" t="n">
        <v>33.12</v>
      </c>
      <c r="F1196" s="68" t="n">
        <v>33.12</v>
      </c>
      <c r="G1196" s="68" t="s">
        <v>2092</v>
      </c>
      <c r="H1196" s="68" t="s">
        <v>1367</v>
      </c>
    </row>
    <row r="1197" customFormat="false" ht="15" hidden="false" customHeight="false" outlineLevel="0" collapsed="false">
      <c r="A1197" s="68" t="n">
        <v>116</v>
      </c>
      <c r="B1197" s="68" t="s">
        <v>758</v>
      </c>
      <c r="C1197" s="68" t="s">
        <v>302</v>
      </c>
      <c r="D1197" s="68" t="s">
        <v>258</v>
      </c>
      <c r="E1197" s="68" t="s">
        <v>304</v>
      </c>
      <c r="F1197" s="68" t="s">
        <v>304</v>
      </c>
      <c r="G1197" s="68" t="s">
        <v>2093</v>
      </c>
      <c r="H1197" s="68" t="s">
        <v>1367</v>
      </c>
    </row>
    <row r="1198" customFormat="false" ht="15" hidden="false" customHeight="false" outlineLevel="0" collapsed="false">
      <c r="A1198" s="68" t="n">
        <v>116</v>
      </c>
      <c r="B1198" s="68" t="s">
        <v>758</v>
      </c>
      <c r="C1198" s="68" t="s">
        <v>302</v>
      </c>
      <c r="D1198" s="68" t="s">
        <v>923</v>
      </c>
      <c r="E1198" s="68" t="s">
        <v>308</v>
      </c>
      <c r="F1198" s="68" t="s">
        <v>308</v>
      </c>
      <c r="G1198" s="68" t="s">
        <v>2094</v>
      </c>
      <c r="H1198" s="68" t="s">
        <v>1367</v>
      </c>
    </row>
    <row r="1199" customFormat="false" ht="15" hidden="false" customHeight="false" outlineLevel="0" collapsed="false">
      <c r="A1199" s="68" t="n">
        <v>116</v>
      </c>
      <c r="B1199" s="68" t="s">
        <v>758</v>
      </c>
      <c r="C1199" s="68" t="s">
        <v>302</v>
      </c>
      <c r="D1199" s="68" t="s">
        <v>1386</v>
      </c>
      <c r="E1199" s="68" t="n">
        <v>380000</v>
      </c>
      <c r="F1199" s="68" t="n">
        <v>380000</v>
      </c>
      <c r="G1199" s="68" t="s">
        <v>2094</v>
      </c>
      <c r="H1199" s="68" t="s">
        <v>1367</v>
      </c>
    </row>
    <row r="1200" customFormat="false" ht="15" hidden="false" customHeight="false" outlineLevel="0" collapsed="false">
      <c r="A1200" s="68" t="n">
        <v>117</v>
      </c>
      <c r="B1200" s="68" t="s">
        <v>758</v>
      </c>
      <c r="C1200" s="68" t="s">
        <v>302</v>
      </c>
      <c r="D1200" s="68" t="s">
        <v>243</v>
      </c>
      <c r="E1200" s="68" t="s">
        <v>317</v>
      </c>
      <c r="F1200" s="68" t="s">
        <v>317</v>
      </c>
      <c r="G1200" s="68" t="s">
        <v>2095</v>
      </c>
      <c r="H1200" s="68" t="s">
        <v>1367</v>
      </c>
    </row>
    <row r="1201" customFormat="false" ht="15" hidden="false" customHeight="false" outlineLevel="0" collapsed="false">
      <c r="A1201" s="68" t="n">
        <v>117</v>
      </c>
      <c r="B1201" s="68" t="s">
        <v>758</v>
      </c>
      <c r="C1201" s="68" t="s">
        <v>302</v>
      </c>
      <c r="D1201" s="68" t="s">
        <v>261</v>
      </c>
      <c r="E1201" s="68" t="s">
        <v>306</v>
      </c>
      <c r="F1201" s="68" t="s">
        <v>306</v>
      </c>
      <c r="G1201" s="68" t="s">
        <v>2096</v>
      </c>
      <c r="H1201" s="68" t="s">
        <v>1367</v>
      </c>
    </row>
    <row r="1202" customFormat="false" ht="15" hidden="false" customHeight="false" outlineLevel="0" collapsed="false">
      <c r="A1202" s="68" t="n">
        <v>117</v>
      </c>
      <c r="B1202" s="68" t="s">
        <v>758</v>
      </c>
      <c r="C1202" s="68" t="s">
        <v>302</v>
      </c>
      <c r="D1202" s="68" t="s">
        <v>249</v>
      </c>
      <c r="E1202" s="68" t="n">
        <v>34.75</v>
      </c>
      <c r="F1202" s="68" t="n">
        <v>34.75</v>
      </c>
      <c r="G1202" s="68" t="s">
        <v>2097</v>
      </c>
      <c r="H1202" s="68" t="s">
        <v>1367</v>
      </c>
    </row>
    <row r="1203" customFormat="false" ht="15" hidden="false" customHeight="false" outlineLevel="0" collapsed="false">
      <c r="A1203" s="68" t="n">
        <v>117</v>
      </c>
      <c r="B1203" s="68" t="s">
        <v>758</v>
      </c>
      <c r="C1203" s="68" t="s">
        <v>302</v>
      </c>
      <c r="D1203" s="68" t="s">
        <v>250</v>
      </c>
      <c r="E1203" s="68" t="n">
        <v>57.35</v>
      </c>
      <c r="F1203" s="68" t="n">
        <v>57.35</v>
      </c>
      <c r="G1203" s="68" t="s">
        <v>2098</v>
      </c>
      <c r="H1203" s="68" t="s">
        <v>1367</v>
      </c>
    </row>
    <row r="1204" customFormat="false" ht="15" hidden="false" customHeight="false" outlineLevel="0" collapsed="false">
      <c r="A1204" s="68" t="n">
        <v>117</v>
      </c>
      <c r="B1204" s="68" t="s">
        <v>758</v>
      </c>
      <c r="C1204" s="68" t="s">
        <v>302</v>
      </c>
      <c r="D1204" s="68" t="s">
        <v>258</v>
      </c>
      <c r="E1204" s="68" t="s">
        <v>304</v>
      </c>
      <c r="F1204" s="68" t="s">
        <v>304</v>
      </c>
      <c r="G1204" s="68" t="s">
        <v>2099</v>
      </c>
      <c r="H1204" s="68" t="s">
        <v>1367</v>
      </c>
    </row>
    <row r="1205" customFormat="false" ht="15" hidden="false" customHeight="false" outlineLevel="0" collapsed="false">
      <c r="A1205" s="68" t="n">
        <v>117</v>
      </c>
      <c r="B1205" s="68" t="s">
        <v>758</v>
      </c>
      <c r="C1205" s="68" t="s">
        <v>302</v>
      </c>
      <c r="D1205" s="68" t="s">
        <v>923</v>
      </c>
      <c r="E1205" s="68" t="s">
        <v>308</v>
      </c>
      <c r="F1205" s="68" t="s">
        <v>308</v>
      </c>
      <c r="G1205" s="68" t="s">
        <v>2100</v>
      </c>
      <c r="H1205" s="68" t="s">
        <v>1367</v>
      </c>
    </row>
    <row r="1206" customFormat="false" ht="15" hidden="false" customHeight="false" outlineLevel="0" collapsed="false">
      <c r="A1206" s="68" t="n">
        <v>117</v>
      </c>
      <c r="B1206" s="68" t="s">
        <v>758</v>
      </c>
      <c r="C1206" s="68" t="s">
        <v>302</v>
      </c>
      <c r="D1206" s="68" t="s">
        <v>1386</v>
      </c>
      <c r="E1206" s="68" t="n">
        <v>250000</v>
      </c>
      <c r="F1206" s="68" t="n">
        <v>250000</v>
      </c>
      <c r="G1206" s="68" t="s">
        <v>2100</v>
      </c>
      <c r="H1206" s="68" t="s">
        <v>1367</v>
      </c>
    </row>
    <row r="1207" customFormat="false" ht="15" hidden="false" customHeight="false" outlineLevel="0" collapsed="false">
      <c r="A1207" s="68" t="n">
        <v>118</v>
      </c>
      <c r="B1207" s="68" t="s">
        <v>758</v>
      </c>
      <c r="C1207" s="68" t="s">
        <v>302</v>
      </c>
      <c r="D1207" s="68" t="s">
        <v>243</v>
      </c>
      <c r="E1207" s="68" t="s">
        <v>320</v>
      </c>
      <c r="F1207" s="68" t="s">
        <v>320</v>
      </c>
      <c r="G1207" s="68" t="s">
        <v>2101</v>
      </c>
      <c r="H1207" s="68" t="s">
        <v>1367</v>
      </c>
    </row>
    <row r="1208" customFormat="false" ht="15" hidden="false" customHeight="false" outlineLevel="0" collapsed="false">
      <c r="A1208" s="68" t="n">
        <v>118</v>
      </c>
      <c r="B1208" s="68" t="s">
        <v>758</v>
      </c>
      <c r="C1208" s="68" t="s">
        <v>302</v>
      </c>
      <c r="D1208" s="68" t="s">
        <v>261</v>
      </c>
      <c r="E1208" s="68" t="s">
        <v>306</v>
      </c>
      <c r="F1208" s="68" t="s">
        <v>306</v>
      </c>
      <c r="G1208" s="68" t="s">
        <v>2102</v>
      </c>
      <c r="H1208" s="68" t="s">
        <v>1367</v>
      </c>
    </row>
    <row r="1209" customFormat="false" ht="15" hidden="false" customHeight="false" outlineLevel="0" collapsed="false">
      <c r="A1209" s="68" t="n">
        <v>118</v>
      </c>
      <c r="B1209" s="68" t="s">
        <v>758</v>
      </c>
      <c r="C1209" s="68" t="s">
        <v>302</v>
      </c>
      <c r="D1209" s="68" t="s">
        <v>258</v>
      </c>
      <c r="E1209" s="68" t="s">
        <v>304</v>
      </c>
      <c r="F1209" s="68" t="s">
        <v>304</v>
      </c>
      <c r="G1209" s="68" t="s">
        <v>2103</v>
      </c>
      <c r="H1209" s="68" t="s">
        <v>1367</v>
      </c>
    </row>
    <row r="1210" customFormat="false" ht="15" hidden="false" customHeight="false" outlineLevel="0" collapsed="false">
      <c r="A1210" s="68" t="n">
        <v>118</v>
      </c>
      <c r="B1210" s="68" t="s">
        <v>758</v>
      </c>
      <c r="C1210" s="68" t="s">
        <v>302</v>
      </c>
      <c r="D1210" s="68" t="s">
        <v>923</v>
      </c>
      <c r="E1210" s="68" t="s">
        <v>308</v>
      </c>
      <c r="F1210" s="68" t="s">
        <v>308</v>
      </c>
      <c r="G1210" s="68" t="s">
        <v>2104</v>
      </c>
      <c r="H1210" s="68" t="s">
        <v>1367</v>
      </c>
    </row>
    <row r="1211" customFormat="false" ht="15" hidden="false" customHeight="false" outlineLevel="0" collapsed="false">
      <c r="A1211" s="68" t="n">
        <v>118</v>
      </c>
      <c r="B1211" s="68" t="s">
        <v>758</v>
      </c>
      <c r="C1211" s="68" t="s">
        <v>302</v>
      </c>
      <c r="D1211" s="68" t="s">
        <v>1386</v>
      </c>
      <c r="E1211" s="68" t="n">
        <v>320000</v>
      </c>
      <c r="F1211" s="68" t="n">
        <v>320000</v>
      </c>
      <c r="G1211" s="68" t="s">
        <v>2104</v>
      </c>
      <c r="H1211" s="68" t="s">
        <v>1367</v>
      </c>
    </row>
    <row r="1212" customFormat="false" ht="15" hidden="false" customHeight="false" outlineLevel="0" collapsed="false">
      <c r="A1212" s="68" t="n">
        <v>119</v>
      </c>
      <c r="B1212" s="68" t="s">
        <v>758</v>
      </c>
      <c r="C1212" s="68" t="s">
        <v>302</v>
      </c>
      <c r="D1212" s="68" t="s">
        <v>243</v>
      </c>
      <c r="E1212" s="68" t="s">
        <v>323</v>
      </c>
      <c r="F1212" s="68" t="s">
        <v>323</v>
      </c>
      <c r="G1212" s="68" t="s">
        <v>2017</v>
      </c>
      <c r="H1212" s="68" t="s">
        <v>1367</v>
      </c>
    </row>
    <row r="1213" customFormat="false" ht="15" hidden="false" customHeight="false" outlineLevel="0" collapsed="false">
      <c r="A1213" s="68" t="n">
        <v>119</v>
      </c>
      <c r="B1213" s="68" t="s">
        <v>758</v>
      </c>
      <c r="C1213" s="68" t="s">
        <v>302</v>
      </c>
      <c r="D1213" s="68" t="s">
        <v>261</v>
      </c>
      <c r="E1213" s="68" t="s">
        <v>306</v>
      </c>
      <c r="F1213" s="68" t="s">
        <v>306</v>
      </c>
      <c r="G1213" s="68" t="s">
        <v>2105</v>
      </c>
      <c r="H1213" s="68" t="s">
        <v>1367</v>
      </c>
    </row>
    <row r="1214" customFormat="false" ht="15" hidden="false" customHeight="false" outlineLevel="0" collapsed="false">
      <c r="A1214" s="68" t="n">
        <v>119</v>
      </c>
      <c r="B1214" s="68" t="s">
        <v>758</v>
      </c>
      <c r="C1214" s="68" t="s">
        <v>302</v>
      </c>
      <c r="D1214" s="68" t="s">
        <v>249</v>
      </c>
      <c r="E1214" s="68" t="n">
        <v>311.3</v>
      </c>
      <c r="F1214" s="68" t="n">
        <v>311.3</v>
      </c>
      <c r="G1214" s="68" t="s">
        <v>2020</v>
      </c>
      <c r="H1214" s="68" t="s">
        <v>1367</v>
      </c>
    </row>
    <row r="1215" customFormat="false" ht="15" hidden="false" customHeight="false" outlineLevel="0" collapsed="false">
      <c r="A1215" s="68" t="n">
        <v>119</v>
      </c>
      <c r="B1215" s="68" t="s">
        <v>758</v>
      </c>
      <c r="C1215" s="68" t="s">
        <v>302</v>
      </c>
      <c r="D1215" s="68" t="s">
        <v>250</v>
      </c>
      <c r="E1215" s="68" t="n">
        <v>48</v>
      </c>
      <c r="F1215" s="68" t="n">
        <v>48</v>
      </c>
      <c r="G1215" s="68" t="s">
        <v>2106</v>
      </c>
      <c r="H1215" s="68" t="s">
        <v>1367</v>
      </c>
    </row>
    <row r="1216" customFormat="false" ht="15" hidden="false" customHeight="false" outlineLevel="0" collapsed="false">
      <c r="A1216" s="68" t="n">
        <v>119</v>
      </c>
      <c r="B1216" s="68" t="s">
        <v>758</v>
      </c>
      <c r="C1216" s="68" t="s">
        <v>302</v>
      </c>
      <c r="D1216" s="68" t="s">
        <v>258</v>
      </c>
      <c r="E1216" s="68" t="s">
        <v>304</v>
      </c>
      <c r="F1216" s="68" t="s">
        <v>304</v>
      </c>
      <c r="G1216" s="68" t="s">
        <v>2107</v>
      </c>
      <c r="H1216" s="68" t="s">
        <v>1367</v>
      </c>
    </row>
    <row r="1217" customFormat="false" ht="15" hidden="false" customHeight="false" outlineLevel="0" collapsed="false">
      <c r="A1217" s="68" t="n">
        <v>119</v>
      </c>
      <c r="B1217" s="68" t="s">
        <v>758</v>
      </c>
      <c r="C1217" s="68" t="s">
        <v>302</v>
      </c>
      <c r="D1217" s="68" t="s">
        <v>923</v>
      </c>
      <c r="E1217" s="68" t="s">
        <v>308</v>
      </c>
      <c r="F1217" s="68" t="s">
        <v>308</v>
      </c>
      <c r="G1217" s="68" t="s">
        <v>2108</v>
      </c>
      <c r="H1217" s="68" t="s">
        <v>1367</v>
      </c>
    </row>
    <row r="1218" customFormat="false" ht="15" hidden="false" customHeight="false" outlineLevel="0" collapsed="false">
      <c r="A1218" s="68" t="n">
        <v>119</v>
      </c>
      <c r="B1218" s="68" t="s">
        <v>758</v>
      </c>
      <c r="C1218" s="68" t="s">
        <v>302</v>
      </c>
      <c r="D1218" s="68" t="s">
        <v>1386</v>
      </c>
      <c r="E1218" s="68" t="n">
        <v>75000</v>
      </c>
      <c r="F1218" s="68" t="n">
        <v>75000</v>
      </c>
      <c r="G1218" s="68" t="s">
        <v>2108</v>
      </c>
      <c r="H1218" s="68" t="s">
        <v>1367</v>
      </c>
    </row>
    <row r="1219" customFormat="false" ht="15" hidden="false" customHeight="false" outlineLevel="0" collapsed="false">
      <c r="A1219" s="68" t="n">
        <v>120</v>
      </c>
      <c r="B1219" s="68" t="s">
        <v>758</v>
      </c>
      <c r="C1219" s="68" t="s">
        <v>302</v>
      </c>
      <c r="D1219" s="68" t="s">
        <v>243</v>
      </c>
      <c r="E1219" s="68" t="s">
        <v>326</v>
      </c>
      <c r="F1219" s="68" t="s">
        <v>326</v>
      </c>
      <c r="G1219" s="68" t="s">
        <v>2021</v>
      </c>
      <c r="H1219" s="68" t="s">
        <v>1367</v>
      </c>
    </row>
    <row r="1220" customFormat="false" ht="15" hidden="false" customHeight="false" outlineLevel="0" collapsed="false">
      <c r="A1220" s="68" t="n">
        <v>120</v>
      </c>
      <c r="B1220" s="68" t="s">
        <v>758</v>
      </c>
      <c r="C1220" s="68" t="s">
        <v>302</v>
      </c>
      <c r="D1220" s="68" t="s">
        <v>261</v>
      </c>
      <c r="E1220" s="68" t="s">
        <v>306</v>
      </c>
      <c r="F1220" s="68" t="s">
        <v>306</v>
      </c>
      <c r="G1220" s="68" t="s">
        <v>2109</v>
      </c>
      <c r="H1220" s="68" t="s">
        <v>1367</v>
      </c>
    </row>
    <row r="1221" customFormat="false" ht="15" hidden="false" customHeight="false" outlineLevel="0" collapsed="false">
      <c r="A1221" s="68" t="n">
        <v>120</v>
      </c>
      <c r="B1221" s="68" t="s">
        <v>758</v>
      </c>
      <c r="C1221" s="68" t="s">
        <v>302</v>
      </c>
      <c r="D1221" s="68" t="s">
        <v>249</v>
      </c>
      <c r="E1221" s="68" t="n">
        <v>32</v>
      </c>
      <c r="F1221" s="68" t="n">
        <v>32</v>
      </c>
      <c r="G1221" s="68" t="s">
        <v>2023</v>
      </c>
      <c r="H1221" s="68" t="s">
        <v>1367</v>
      </c>
    </row>
    <row r="1222" customFormat="false" ht="15" hidden="false" customHeight="false" outlineLevel="0" collapsed="false">
      <c r="A1222" s="68" t="n">
        <v>120</v>
      </c>
      <c r="B1222" s="68" t="s">
        <v>758</v>
      </c>
      <c r="C1222" s="68" t="s">
        <v>302</v>
      </c>
      <c r="D1222" s="68" t="s">
        <v>250</v>
      </c>
      <c r="E1222" s="68" t="n">
        <v>1</v>
      </c>
      <c r="F1222" s="68" t="n">
        <v>1</v>
      </c>
      <c r="G1222" s="68" t="s">
        <v>2110</v>
      </c>
      <c r="H1222" s="68" t="s">
        <v>1367</v>
      </c>
    </row>
    <row r="1223" customFormat="false" ht="15" hidden="false" customHeight="false" outlineLevel="0" collapsed="false">
      <c r="A1223" s="68" t="n">
        <v>120</v>
      </c>
      <c r="B1223" s="68" t="s">
        <v>758</v>
      </c>
      <c r="C1223" s="68" t="s">
        <v>302</v>
      </c>
      <c r="D1223" s="68" t="s">
        <v>258</v>
      </c>
      <c r="E1223" s="68" t="s">
        <v>304</v>
      </c>
      <c r="F1223" s="68" t="s">
        <v>304</v>
      </c>
      <c r="G1223" s="68" t="s">
        <v>2111</v>
      </c>
      <c r="H1223" s="68" t="s">
        <v>1367</v>
      </c>
    </row>
    <row r="1224" customFormat="false" ht="15" hidden="false" customHeight="false" outlineLevel="0" collapsed="false">
      <c r="A1224" s="68" t="n">
        <v>120</v>
      </c>
      <c r="B1224" s="68" t="s">
        <v>758</v>
      </c>
      <c r="C1224" s="68" t="s">
        <v>302</v>
      </c>
      <c r="D1224" s="68" t="s">
        <v>923</v>
      </c>
      <c r="E1224" s="68" t="s">
        <v>308</v>
      </c>
      <c r="F1224" s="68" t="s">
        <v>308</v>
      </c>
      <c r="G1224" s="68" t="s">
        <v>2112</v>
      </c>
      <c r="H1224" s="68" t="s">
        <v>1367</v>
      </c>
    </row>
    <row r="1225" customFormat="false" ht="15" hidden="false" customHeight="false" outlineLevel="0" collapsed="false">
      <c r="A1225" s="68" t="n">
        <v>120</v>
      </c>
      <c r="B1225" s="68" t="s">
        <v>758</v>
      </c>
      <c r="C1225" s="68" t="s">
        <v>302</v>
      </c>
      <c r="D1225" s="68" t="s">
        <v>1386</v>
      </c>
      <c r="E1225" s="68" t="n">
        <v>60000</v>
      </c>
      <c r="F1225" s="68" t="n">
        <v>60000</v>
      </c>
      <c r="G1225" s="68" t="s">
        <v>2112</v>
      </c>
      <c r="H1225" s="68" t="s">
        <v>1367</v>
      </c>
    </row>
    <row r="1226" customFormat="false" ht="15" hidden="false" customHeight="false" outlineLevel="0" collapsed="false">
      <c r="A1226" s="68" t="n">
        <v>121</v>
      </c>
      <c r="B1226" s="68" t="s">
        <v>758</v>
      </c>
      <c r="C1226" s="68" t="s">
        <v>302</v>
      </c>
      <c r="D1226" s="68" t="s">
        <v>243</v>
      </c>
      <c r="E1226" s="68" t="s">
        <v>330</v>
      </c>
      <c r="F1226" s="68" t="s">
        <v>330</v>
      </c>
      <c r="G1226" s="68" t="s">
        <v>2024</v>
      </c>
      <c r="H1226" s="68" t="s">
        <v>1367</v>
      </c>
    </row>
    <row r="1227" customFormat="false" ht="15" hidden="false" customHeight="false" outlineLevel="0" collapsed="false">
      <c r="A1227" s="68" t="n">
        <v>121</v>
      </c>
      <c r="B1227" s="68" t="s">
        <v>758</v>
      </c>
      <c r="C1227" s="68" t="s">
        <v>302</v>
      </c>
      <c r="D1227" s="68" t="s">
        <v>261</v>
      </c>
      <c r="E1227" s="68" t="s">
        <v>306</v>
      </c>
      <c r="F1227" s="68" t="s">
        <v>306</v>
      </c>
      <c r="G1227" s="68" t="s">
        <v>2113</v>
      </c>
      <c r="H1227" s="68" t="s">
        <v>1367</v>
      </c>
    </row>
    <row r="1228" customFormat="false" ht="15" hidden="false" customHeight="false" outlineLevel="0" collapsed="false">
      <c r="A1228" s="68" t="n">
        <v>121</v>
      </c>
      <c r="B1228" s="68" t="s">
        <v>758</v>
      </c>
      <c r="C1228" s="68" t="s">
        <v>302</v>
      </c>
      <c r="D1228" s="68" t="s">
        <v>249</v>
      </c>
      <c r="E1228" s="68" t="n">
        <v>36.15</v>
      </c>
      <c r="F1228" s="68" t="n">
        <v>36.15</v>
      </c>
      <c r="G1228" s="68" t="s">
        <v>2026</v>
      </c>
      <c r="H1228" s="68" t="s">
        <v>1367</v>
      </c>
    </row>
    <row r="1229" customFormat="false" ht="15" hidden="false" customHeight="false" outlineLevel="0" collapsed="false">
      <c r="A1229" s="68" t="n">
        <v>121</v>
      </c>
      <c r="B1229" s="68" t="s">
        <v>758</v>
      </c>
      <c r="C1229" s="68" t="s">
        <v>302</v>
      </c>
      <c r="D1229" s="68" t="s">
        <v>250</v>
      </c>
      <c r="E1229" s="68" t="n">
        <v>13.1</v>
      </c>
      <c r="F1229" s="68" t="n">
        <v>13.1</v>
      </c>
      <c r="G1229" s="68" t="s">
        <v>2114</v>
      </c>
      <c r="H1229" s="68" t="s">
        <v>1367</v>
      </c>
    </row>
    <row r="1230" customFormat="false" ht="15" hidden="false" customHeight="false" outlineLevel="0" collapsed="false">
      <c r="A1230" s="68" t="n">
        <v>121</v>
      </c>
      <c r="B1230" s="68" t="s">
        <v>758</v>
      </c>
      <c r="C1230" s="68" t="s">
        <v>302</v>
      </c>
      <c r="D1230" s="68" t="s">
        <v>258</v>
      </c>
      <c r="E1230" s="68" t="s">
        <v>304</v>
      </c>
      <c r="F1230" s="68" t="s">
        <v>304</v>
      </c>
      <c r="G1230" s="68" t="s">
        <v>2115</v>
      </c>
      <c r="H1230" s="68" t="s">
        <v>1367</v>
      </c>
    </row>
    <row r="1231" customFormat="false" ht="15" hidden="false" customHeight="false" outlineLevel="0" collapsed="false">
      <c r="A1231" s="68" t="n">
        <v>121</v>
      </c>
      <c r="B1231" s="68" t="s">
        <v>758</v>
      </c>
      <c r="C1231" s="68" t="s">
        <v>302</v>
      </c>
      <c r="D1231" s="68" t="s">
        <v>923</v>
      </c>
      <c r="E1231" s="68" t="s">
        <v>308</v>
      </c>
      <c r="F1231" s="68" t="s">
        <v>308</v>
      </c>
      <c r="G1231" s="68" t="s">
        <v>2116</v>
      </c>
      <c r="H1231" s="68" t="s">
        <v>1367</v>
      </c>
    </row>
    <row r="1232" customFormat="false" ht="15" hidden="false" customHeight="false" outlineLevel="0" collapsed="false">
      <c r="A1232" s="68" t="n">
        <v>121</v>
      </c>
      <c r="B1232" s="68" t="s">
        <v>758</v>
      </c>
      <c r="C1232" s="68" t="s">
        <v>302</v>
      </c>
      <c r="D1232" s="68" t="s">
        <v>1386</v>
      </c>
      <c r="E1232" s="68" t="n">
        <v>60000</v>
      </c>
      <c r="F1232" s="68" t="n">
        <v>60000</v>
      </c>
      <c r="G1232" s="68" t="s">
        <v>2116</v>
      </c>
      <c r="H1232" s="68" t="s">
        <v>1367</v>
      </c>
    </row>
    <row r="1233" customFormat="false" ht="15" hidden="false" customHeight="false" outlineLevel="0" collapsed="false">
      <c r="A1233" s="68" t="n">
        <v>122</v>
      </c>
      <c r="B1233" s="68" t="s">
        <v>758</v>
      </c>
      <c r="C1233" s="68" t="s">
        <v>302</v>
      </c>
      <c r="D1233" s="68" t="s">
        <v>243</v>
      </c>
      <c r="E1233" s="68" t="s">
        <v>333</v>
      </c>
      <c r="F1233" s="68" t="s">
        <v>333</v>
      </c>
      <c r="G1233" s="68" t="s">
        <v>2027</v>
      </c>
      <c r="H1233" s="68" t="s">
        <v>1367</v>
      </c>
    </row>
    <row r="1234" customFormat="false" ht="15" hidden="false" customHeight="false" outlineLevel="0" collapsed="false">
      <c r="A1234" s="68" t="n">
        <v>122</v>
      </c>
      <c r="B1234" s="68" t="s">
        <v>758</v>
      </c>
      <c r="C1234" s="68" t="s">
        <v>302</v>
      </c>
      <c r="D1234" s="68" t="s">
        <v>261</v>
      </c>
      <c r="E1234" s="68" t="s">
        <v>306</v>
      </c>
      <c r="F1234" s="68" t="s">
        <v>306</v>
      </c>
      <c r="G1234" s="68" t="s">
        <v>2117</v>
      </c>
      <c r="H1234" s="68" t="s">
        <v>1367</v>
      </c>
    </row>
    <row r="1235" customFormat="false" ht="15" hidden="false" customHeight="false" outlineLevel="0" collapsed="false">
      <c r="A1235" s="68" t="n">
        <v>122</v>
      </c>
      <c r="B1235" s="68" t="s">
        <v>758</v>
      </c>
      <c r="C1235" s="68" t="s">
        <v>302</v>
      </c>
      <c r="D1235" s="68" t="s">
        <v>249</v>
      </c>
      <c r="E1235" s="68" t="n">
        <v>51.5</v>
      </c>
      <c r="F1235" s="68" t="n">
        <v>51.5</v>
      </c>
      <c r="G1235" s="68" t="s">
        <v>2029</v>
      </c>
      <c r="H1235" s="68" t="s">
        <v>1367</v>
      </c>
    </row>
    <row r="1236" customFormat="false" ht="15" hidden="false" customHeight="false" outlineLevel="0" collapsed="false">
      <c r="A1236" s="68" t="n">
        <v>122</v>
      </c>
      <c r="B1236" s="68" t="s">
        <v>758</v>
      </c>
      <c r="C1236" s="68" t="s">
        <v>302</v>
      </c>
      <c r="D1236" s="68" t="s">
        <v>258</v>
      </c>
      <c r="E1236" s="68" t="s">
        <v>304</v>
      </c>
      <c r="F1236" s="68" t="s">
        <v>304</v>
      </c>
      <c r="G1236" s="68" t="s">
        <v>2118</v>
      </c>
      <c r="H1236" s="68" t="s">
        <v>1367</v>
      </c>
    </row>
    <row r="1237" customFormat="false" ht="15" hidden="false" customHeight="false" outlineLevel="0" collapsed="false">
      <c r="A1237" s="68" t="n">
        <v>122</v>
      </c>
      <c r="B1237" s="68" t="s">
        <v>758</v>
      </c>
      <c r="C1237" s="68" t="s">
        <v>302</v>
      </c>
      <c r="D1237" s="68" t="s">
        <v>923</v>
      </c>
      <c r="E1237" s="68" t="s">
        <v>308</v>
      </c>
      <c r="F1237" s="68" t="s">
        <v>308</v>
      </c>
      <c r="G1237" s="68" t="s">
        <v>2119</v>
      </c>
      <c r="H1237" s="68" t="s">
        <v>1367</v>
      </c>
    </row>
    <row r="1238" customFormat="false" ht="15" hidden="false" customHeight="false" outlineLevel="0" collapsed="false">
      <c r="A1238" s="68" t="n">
        <v>122</v>
      </c>
      <c r="B1238" s="68" t="s">
        <v>758</v>
      </c>
      <c r="C1238" s="68" t="s">
        <v>302</v>
      </c>
      <c r="D1238" s="68" t="s">
        <v>1386</v>
      </c>
      <c r="E1238" s="68" t="n">
        <v>10000</v>
      </c>
      <c r="F1238" s="68" t="n">
        <v>10000</v>
      </c>
      <c r="G1238" s="68" t="s">
        <v>2119</v>
      </c>
      <c r="H1238" s="68" t="s">
        <v>1367</v>
      </c>
    </row>
    <row r="1239" customFormat="false" ht="15" hidden="false" customHeight="false" outlineLevel="0" collapsed="false">
      <c r="A1239" s="68" t="n">
        <v>123</v>
      </c>
      <c r="B1239" s="68" t="s">
        <v>758</v>
      </c>
      <c r="C1239" s="68" t="s">
        <v>302</v>
      </c>
      <c r="D1239" s="68" t="s">
        <v>243</v>
      </c>
      <c r="E1239" s="68" t="s">
        <v>337</v>
      </c>
      <c r="F1239" s="68" t="s">
        <v>337</v>
      </c>
      <c r="G1239" s="68" t="s">
        <v>2030</v>
      </c>
      <c r="H1239" s="68" t="s">
        <v>1367</v>
      </c>
    </row>
    <row r="1240" customFormat="false" ht="15" hidden="false" customHeight="false" outlineLevel="0" collapsed="false">
      <c r="A1240" s="68" t="n">
        <v>123</v>
      </c>
      <c r="B1240" s="68" t="s">
        <v>758</v>
      </c>
      <c r="C1240" s="68" t="s">
        <v>302</v>
      </c>
      <c r="D1240" s="68" t="s">
        <v>261</v>
      </c>
      <c r="E1240" s="68" t="s">
        <v>306</v>
      </c>
      <c r="F1240" s="68" t="s">
        <v>306</v>
      </c>
      <c r="G1240" s="68" t="s">
        <v>2120</v>
      </c>
      <c r="H1240" s="68" t="s">
        <v>1367</v>
      </c>
    </row>
    <row r="1241" customFormat="false" ht="15" hidden="false" customHeight="false" outlineLevel="0" collapsed="false">
      <c r="A1241" s="68" t="n">
        <v>123</v>
      </c>
      <c r="B1241" s="68" t="s">
        <v>758</v>
      </c>
      <c r="C1241" s="68" t="s">
        <v>302</v>
      </c>
      <c r="D1241" s="68" t="s">
        <v>249</v>
      </c>
      <c r="E1241" s="68" t="n">
        <v>41</v>
      </c>
      <c r="F1241" s="68" t="n">
        <v>41</v>
      </c>
      <c r="G1241" s="68" t="s">
        <v>2032</v>
      </c>
      <c r="H1241" s="68" t="s">
        <v>1367</v>
      </c>
    </row>
    <row r="1242" customFormat="false" ht="15" hidden="false" customHeight="false" outlineLevel="0" collapsed="false">
      <c r="A1242" s="68" t="n">
        <v>123</v>
      </c>
      <c r="B1242" s="68" t="s">
        <v>758</v>
      </c>
      <c r="C1242" s="68" t="s">
        <v>302</v>
      </c>
      <c r="D1242" s="68" t="s">
        <v>250</v>
      </c>
      <c r="E1242" s="68" t="n">
        <v>3.9</v>
      </c>
      <c r="F1242" s="68" t="n">
        <v>3.9</v>
      </c>
      <c r="G1242" s="68" t="s">
        <v>2121</v>
      </c>
      <c r="H1242" s="68" t="s">
        <v>1367</v>
      </c>
    </row>
    <row r="1243" customFormat="false" ht="15" hidden="false" customHeight="false" outlineLevel="0" collapsed="false">
      <c r="A1243" s="68" t="n">
        <v>123</v>
      </c>
      <c r="B1243" s="68" t="s">
        <v>758</v>
      </c>
      <c r="C1243" s="68" t="s">
        <v>302</v>
      </c>
      <c r="D1243" s="68" t="s">
        <v>258</v>
      </c>
      <c r="E1243" s="68" t="s">
        <v>304</v>
      </c>
      <c r="F1243" s="68" t="s">
        <v>304</v>
      </c>
      <c r="G1243" s="68" t="s">
        <v>2122</v>
      </c>
      <c r="H1243" s="68" t="s">
        <v>1367</v>
      </c>
    </row>
    <row r="1244" customFormat="false" ht="15" hidden="false" customHeight="false" outlineLevel="0" collapsed="false">
      <c r="A1244" s="68" t="n">
        <v>123</v>
      </c>
      <c r="B1244" s="68" t="s">
        <v>758</v>
      </c>
      <c r="C1244" s="68" t="s">
        <v>302</v>
      </c>
      <c r="D1244" s="68" t="s">
        <v>923</v>
      </c>
      <c r="E1244" s="68" t="s">
        <v>308</v>
      </c>
      <c r="F1244" s="68" t="s">
        <v>308</v>
      </c>
      <c r="G1244" s="68" t="s">
        <v>2123</v>
      </c>
      <c r="H1244" s="68" t="s">
        <v>1367</v>
      </c>
    </row>
    <row r="1245" customFormat="false" ht="15" hidden="false" customHeight="false" outlineLevel="0" collapsed="false">
      <c r="A1245" s="68" t="n">
        <v>123</v>
      </c>
      <c r="B1245" s="68" t="s">
        <v>758</v>
      </c>
      <c r="C1245" s="68" t="s">
        <v>302</v>
      </c>
      <c r="D1245" s="68" t="s">
        <v>1386</v>
      </c>
      <c r="E1245" s="68" t="n">
        <v>8000</v>
      </c>
      <c r="F1245" s="68" t="n">
        <v>8000</v>
      </c>
      <c r="G1245" s="68" t="s">
        <v>2123</v>
      </c>
      <c r="H1245" s="68" t="s">
        <v>1367</v>
      </c>
    </row>
    <row r="1246" customFormat="false" ht="15" hidden="false" customHeight="false" outlineLevel="0" collapsed="false">
      <c r="A1246" s="68" t="n">
        <v>124</v>
      </c>
      <c r="B1246" s="68" t="s">
        <v>758</v>
      </c>
      <c r="C1246" s="68" t="s">
        <v>302</v>
      </c>
      <c r="D1246" s="68" t="s">
        <v>243</v>
      </c>
      <c r="E1246" s="68" t="s">
        <v>341</v>
      </c>
      <c r="F1246" s="68" t="s">
        <v>341</v>
      </c>
      <c r="G1246" s="68" t="s">
        <v>2033</v>
      </c>
      <c r="H1246" s="68" t="s">
        <v>1367</v>
      </c>
    </row>
    <row r="1247" customFormat="false" ht="15" hidden="false" customHeight="false" outlineLevel="0" collapsed="false">
      <c r="A1247" s="68" t="n">
        <v>124</v>
      </c>
      <c r="B1247" s="68" t="s">
        <v>758</v>
      </c>
      <c r="C1247" s="68" t="s">
        <v>302</v>
      </c>
      <c r="D1247" s="68" t="s">
        <v>249</v>
      </c>
      <c r="E1247" s="68" t="n">
        <v>120</v>
      </c>
      <c r="F1247" s="68" t="n">
        <v>120</v>
      </c>
      <c r="G1247" s="68" t="s">
        <v>2035</v>
      </c>
      <c r="H1247" s="68" t="s">
        <v>1367</v>
      </c>
    </row>
    <row r="1248" customFormat="false" ht="15" hidden="false" customHeight="false" outlineLevel="0" collapsed="false">
      <c r="A1248" s="68" t="n">
        <v>124</v>
      </c>
      <c r="B1248" s="68" t="s">
        <v>758</v>
      </c>
      <c r="C1248" s="68" t="s">
        <v>302</v>
      </c>
      <c r="D1248" s="68" t="s">
        <v>250</v>
      </c>
      <c r="E1248" s="68" t="n">
        <v>13.7</v>
      </c>
      <c r="F1248" s="68" t="n">
        <v>13.7</v>
      </c>
      <c r="G1248" s="68" t="s">
        <v>2124</v>
      </c>
      <c r="H1248" s="68" t="s">
        <v>1367</v>
      </c>
    </row>
    <row r="1249" customFormat="false" ht="15" hidden="false" customHeight="false" outlineLevel="0" collapsed="false">
      <c r="A1249" s="68" t="n">
        <v>124</v>
      </c>
      <c r="B1249" s="68" t="s">
        <v>758</v>
      </c>
      <c r="C1249" s="68" t="s">
        <v>302</v>
      </c>
      <c r="D1249" s="68" t="s">
        <v>258</v>
      </c>
      <c r="E1249" s="68" t="s">
        <v>304</v>
      </c>
      <c r="F1249" s="68" t="s">
        <v>304</v>
      </c>
      <c r="G1249" s="68" t="s">
        <v>2125</v>
      </c>
      <c r="H1249" s="68" t="s">
        <v>1367</v>
      </c>
    </row>
    <row r="1250" customFormat="false" ht="15" hidden="false" customHeight="false" outlineLevel="0" collapsed="false">
      <c r="A1250" s="68" t="n">
        <v>124</v>
      </c>
      <c r="B1250" s="68" t="s">
        <v>758</v>
      </c>
      <c r="C1250" s="68" t="s">
        <v>302</v>
      </c>
      <c r="D1250" s="68" t="s">
        <v>923</v>
      </c>
      <c r="E1250" s="68" t="s">
        <v>308</v>
      </c>
      <c r="F1250" s="68" t="s">
        <v>308</v>
      </c>
      <c r="G1250" s="68" t="s">
        <v>2126</v>
      </c>
      <c r="H1250" s="68" t="s">
        <v>1367</v>
      </c>
    </row>
    <row r="1251" customFormat="false" ht="15" hidden="false" customHeight="false" outlineLevel="0" collapsed="false">
      <c r="A1251" s="68" t="n">
        <v>124</v>
      </c>
      <c r="B1251" s="68" t="s">
        <v>758</v>
      </c>
      <c r="C1251" s="68" t="s">
        <v>302</v>
      </c>
      <c r="D1251" s="68" t="s">
        <v>1386</v>
      </c>
      <c r="E1251" s="68" t="n">
        <v>40000</v>
      </c>
      <c r="F1251" s="68" t="n">
        <v>40000</v>
      </c>
      <c r="G1251" s="68" t="s">
        <v>2126</v>
      </c>
      <c r="H1251" s="68" t="s">
        <v>1367</v>
      </c>
    </row>
    <row r="1252" customFormat="false" ht="15" hidden="false" customHeight="false" outlineLevel="0" collapsed="false">
      <c r="A1252" s="68" t="n">
        <v>125</v>
      </c>
      <c r="B1252" s="68" t="s">
        <v>758</v>
      </c>
      <c r="C1252" s="68" t="s">
        <v>302</v>
      </c>
      <c r="D1252" s="68" t="s">
        <v>243</v>
      </c>
      <c r="E1252" s="68" t="s">
        <v>345</v>
      </c>
      <c r="F1252" s="68" t="s">
        <v>345</v>
      </c>
      <c r="G1252" s="68" t="s">
        <v>2036</v>
      </c>
      <c r="H1252" s="68" t="s">
        <v>1367</v>
      </c>
    </row>
    <row r="1253" customFormat="false" ht="15" hidden="false" customHeight="false" outlineLevel="0" collapsed="false">
      <c r="A1253" s="68" t="n">
        <v>125</v>
      </c>
      <c r="B1253" s="68" t="s">
        <v>758</v>
      </c>
      <c r="C1253" s="68" t="s">
        <v>302</v>
      </c>
      <c r="D1253" s="68" t="s">
        <v>261</v>
      </c>
      <c r="E1253" s="68" t="s">
        <v>347</v>
      </c>
      <c r="F1253" s="68" t="s">
        <v>1442</v>
      </c>
      <c r="G1253" s="68" t="s">
        <v>2127</v>
      </c>
      <c r="H1253" s="68" t="s">
        <v>1367</v>
      </c>
    </row>
    <row r="1254" customFormat="false" ht="15" hidden="false" customHeight="false" outlineLevel="0" collapsed="false">
      <c r="A1254" s="68" t="n">
        <v>125</v>
      </c>
      <c r="B1254" s="68" t="s">
        <v>758</v>
      </c>
      <c r="C1254" s="68" t="s">
        <v>302</v>
      </c>
      <c r="D1254" s="68" t="s">
        <v>249</v>
      </c>
      <c r="E1254" s="68" t="n">
        <v>27.2</v>
      </c>
      <c r="F1254" s="68" t="n">
        <v>27.2</v>
      </c>
      <c r="G1254" s="68" t="s">
        <v>2038</v>
      </c>
      <c r="H1254" s="68" t="s">
        <v>1367</v>
      </c>
    </row>
    <row r="1255" customFormat="false" ht="15" hidden="false" customHeight="false" outlineLevel="0" collapsed="false">
      <c r="A1255" s="68" t="n">
        <v>125</v>
      </c>
      <c r="B1255" s="68" t="s">
        <v>758</v>
      </c>
      <c r="C1255" s="68" t="s">
        <v>302</v>
      </c>
      <c r="D1255" s="68" t="s">
        <v>258</v>
      </c>
      <c r="E1255" s="68" t="s">
        <v>123</v>
      </c>
      <c r="F1255" s="68" t="s">
        <v>123</v>
      </c>
      <c r="G1255" s="68" t="s">
        <v>2128</v>
      </c>
      <c r="H1255" s="68" t="s">
        <v>1367</v>
      </c>
    </row>
    <row r="1256" customFormat="false" ht="15" hidden="false" customHeight="false" outlineLevel="0" collapsed="false">
      <c r="A1256" s="68" t="n">
        <v>125</v>
      </c>
      <c r="B1256" s="68" t="s">
        <v>758</v>
      </c>
      <c r="C1256" s="68" t="s">
        <v>302</v>
      </c>
      <c r="D1256" s="68" t="s">
        <v>923</v>
      </c>
      <c r="E1256" s="68" t="s">
        <v>308</v>
      </c>
      <c r="F1256" s="68" t="s">
        <v>308</v>
      </c>
      <c r="G1256" s="68" t="s">
        <v>2129</v>
      </c>
      <c r="H1256" s="68" t="s">
        <v>1367</v>
      </c>
    </row>
    <row r="1257" customFormat="false" ht="15" hidden="false" customHeight="false" outlineLevel="0" collapsed="false">
      <c r="A1257" s="68" t="n">
        <v>125</v>
      </c>
      <c r="B1257" s="68" t="s">
        <v>758</v>
      </c>
      <c r="C1257" s="68" t="s">
        <v>302</v>
      </c>
      <c r="D1257" s="68" t="s">
        <v>1386</v>
      </c>
      <c r="E1257" s="68" t="n">
        <v>5000</v>
      </c>
      <c r="F1257" s="68" t="n">
        <v>5000</v>
      </c>
      <c r="G1257" s="68" t="s">
        <v>2129</v>
      </c>
      <c r="H1257" s="68" t="s">
        <v>1367</v>
      </c>
    </row>
    <row r="1258" customFormat="false" ht="15" hidden="false" customHeight="false" outlineLevel="0" collapsed="false">
      <c r="A1258" s="68" t="n">
        <v>126</v>
      </c>
      <c r="B1258" s="68" t="s">
        <v>758</v>
      </c>
      <c r="C1258" s="68" t="s">
        <v>302</v>
      </c>
      <c r="D1258" s="68" t="s">
        <v>243</v>
      </c>
      <c r="E1258" s="68" t="s">
        <v>350</v>
      </c>
      <c r="F1258" s="68" t="s">
        <v>350</v>
      </c>
      <c r="G1258" s="68" t="s">
        <v>2039</v>
      </c>
      <c r="H1258" s="68" t="s">
        <v>1367</v>
      </c>
    </row>
    <row r="1259" customFormat="false" ht="15" hidden="false" customHeight="false" outlineLevel="0" collapsed="false">
      <c r="A1259" s="68" t="n">
        <v>126</v>
      </c>
      <c r="B1259" s="68" t="s">
        <v>758</v>
      </c>
      <c r="C1259" s="68" t="s">
        <v>302</v>
      </c>
      <c r="D1259" s="68" t="s">
        <v>261</v>
      </c>
      <c r="E1259" s="68" t="s">
        <v>351</v>
      </c>
      <c r="F1259" s="68" t="s">
        <v>1449</v>
      </c>
      <c r="G1259" s="68" t="s">
        <v>2130</v>
      </c>
      <c r="H1259" s="68" t="s">
        <v>1367</v>
      </c>
    </row>
    <row r="1260" customFormat="false" ht="15" hidden="false" customHeight="false" outlineLevel="0" collapsed="false">
      <c r="A1260" s="68" t="n">
        <v>126</v>
      </c>
      <c r="B1260" s="68" t="s">
        <v>758</v>
      </c>
      <c r="C1260" s="68" t="s">
        <v>302</v>
      </c>
      <c r="D1260" s="68" t="s">
        <v>249</v>
      </c>
      <c r="E1260" s="68" t="n">
        <v>40.8</v>
      </c>
      <c r="F1260" s="68" t="n">
        <v>40.8</v>
      </c>
      <c r="G1260" s="68" t="s">
        <v>2041</v>
      </c>
      <c r="H1260" s="68" t="s">
        <v>1367</v>
      </c>
    </row>
    <row r="1261" customFormat="false" ht="15" hidden="false" customHeight="false" outlineLevel="0" collapsed="false">
      <c r="A1261" s="68" t="n">
        <v>126</v>
      </c>
      <c r="B1261" s="68" t="s">
        <v>758</v>
      </c>
      <c r="C1261" s="68" t="s">
        <v>302</v>
      </c>
      <c r="D1261" s="68" t="s">
        <v>250</v>
      </c>
      <c r="E1261" s="68" t="n">
        <v>0.83</v>
      </c>
      <c r="F1261" s="68" t="n">
        <v>0.83</v>
      </c>
      <c r="G1261" s="68" t="s">
        <v>2131</v>
      </c>
      <c r="H1261" s="68" t="s">
        <v>1367</v>
      </c>
    </row>
    <row r="1262" customFormat="false" ht="15" hidden="false" customHeight="false" outlineLevel="0" collapsed="false">
      <c r="A1262" s="68" t="n">
        <v>126</v>
      </c>
      <c r="B1262" s="68" t="s">
        <v>758</v>
      </c>
      <c r="C1262" s="68" t="s">
        <v>302</v>
      </c>
      <c r="D1262" s="68" t="s">
        <v>258</v>
      </c>
      <c r="E1262" s="68" t="s">
        <v>304</v>
      </c>
      <c r="F1262" s="68" t="s">
        <v>304</v>
      </c>
      <c r="G1262" s="68" t="s">
        <v>2132</v>
      </c>
      <c r="H1262" s="68" t="s">
        <v>1367</v>
      </c>
    </row>
    <row r="1263" customFormat="false" ht="15" hidden="false" customHeight="false" outlineLevel="0" collapsed="false">
      <c r="A1263" s="68" t="n">
        <v>126</v>
      </c>
      <c r="B1263" s="68" t="s">
        <v>758</v>
      </c>
      <c r="C1263" s="68" t="s">
        <v>302</v>
      </c>
      <c r="D1263" s="68" t="s">
        <v>923</v>
      </c>
      <c r="E1263" s="68" t="s">
        <v>308</v>
      </c>
      <c r="F1263" s="68" t="s">
        <v>308</v>
      </c>
      <c r="G1263" s="68" t="s">
        <v>2133</v>
      </c>
      <c r="H1263" s="68" t="s">
        <v>1367</v>
      </c>
    </row>
    <row r="1264" customFormat="false" ht="15" hidden="false" customHeight="false" outlineLevel="0" collapsed="false">
      <c r="A1264" s="68" t="n">
        <v>126</v>
      </c>
      <c r="B1264" s="68" t="s">
        <v>758</v>
      </c>
      <c r="C1264" s="68" t="s">
        <v>302</v>
      </c>
      <c r="D1264" s="68" t="s">
        <v>1386</v>
      </c>
      <c r="E1264" s="68" t="n">
        <v>3000</v>
      </c>
      <c r="F1264" s="68" t="n">
        <v>3000</v>
      </c>
      <c r="G1264" s="68" t="s">
        <v>2133</v>
      </c>
      <c r="H1264" s="68" t="s">
        <v>1367</v>
      </c>
    </row>
    <row r="1265" customFormat="false" ht="15" hidden="false" customHeight="false" outlineLevel="0" collapsed="false">
      <c r="A1265" s="68" t="n">
        <v>127</v>
      </c>
      <c r="B1265" s="68" t="s">
        <v>758</v>
      </c>
      <c r="C1265" s="68" t="s">
        <v>302</v>
      </c>
      <c r="D1265" s="68" t="s">
        <v>243</v>
      </c>
      <c r="E1265" s="68" t="s">
        <v>354</v>
      </c>
      <c r="F1265" s="68" t="s">
        <v>354</v>
      </c>
      <c r="G1265" s="68" t="s">
        <v>2042</v>
      </c>
      <c r="H1265" s="68" t="s">
        <v>1367</v>
      </c>
    </row>
    <row r="1266" customFormat="false" ht="15" hidden="false" customHeight="false" outlineLevel="0" collapsed="false">
      <c r="A1266" s="68" t="n">
        <v>127</v>
      </c>
      <c r="B1266" s="68" t="s">
        <v>758</v>
      </c>
      <c r="C1266" s="68" t="s">
        <v>302</v>
      </c>
      <c r="D1266" s="68" t="s">
        <v>261</v>
      </c>
      <c r="E1266" s="68" t="s">
        <v>306</v>
      </c>
      <c r="F1266" s="68" t="s">
        <v>306</v>
      </c>
      <c r="G1266" s="68" t="s">
        <v>2134</v>
      </c>
      <c r="H1266" s="68" t="s">
        <v>1367</v>
      </c>
    </row>
    <row r="1267" customFormat="false" ht="15" hidden="false" customHeight="false" outlineLevel="0" collapsed="false">
      <c r="A1267" s="68" t="n">
        <v>127</v>
      </c>
      <c r="B1267" s="68" t="s">
        <v>758</v>
      </c>
      <c r="C1267" s="68" t="s">
        <v>302</v>
      </c>
      <c r="D1267" s="68" t="s">
        <v>258</v>
      </c>
      <c r="E1267" s="68" t="s">
        <v>304</v>
      </c>
      <c r="F1267" s="68" t="s">
        <v>304</v>
      </c>
      <c r="G1267" s="68" t="s">
        <v>2135</v>
      </c>
      <c r="H1267" s="68" t="s">
        <v>1367</v>
      </c>
    </row>
    <row r="1268" customFormat="false" ht="15" hidden="false" customHeight="false" outlineLevel="0" collapsed="false">
      <c r="A1268" s="68" t="n">
        <v>127</v>
      </c>
      <c r="B1268" s="68" t="s">
        <v>758</v>
      </c>
      <c r="C1268" s="68" t="s">
        <v>302</v>
      </c>
      <c r="D1268" s="68" t="s">
        <v>923</v>
      </c>
      <c r="E1268" s="68" t="s">
        <v>308</v>
      </c>
      <c r="F1268" s="68" t="s">
        <v>308</v>
      </c>
      <c r="G1268" s="68" t="s">
        <v>2136</v>
      </c>
      <c r="H1268" s="68" t="s">
        <v>1367</v>
      </c>
    </row>
    <row r="1269" customFormat="false" ht="15" hidden="false" customHeight="false" outlineLevel="0" collapsed="false">
      <c r="A1269" s="68" t="n">
        <v>127</v>
      </c>
      <c r="B1269" s="68" t="s">
        <v>758</v>
      </c>
      <c r="C1269" s="68" t="s">
        <v>302</v>
      </c>
      <c r="D1269" s="68" t="s">
        <v>1386</v>
      </c>
      <c r="E1269" s="68" t="n">
        <v>3000</v>
      </c>
      <c r="F1269" s="68" t="n">
        <v>3000</v>
      </c>
      <c r="G1269" s="68" t="s">
        <v>2136</v>
      </c>
      <c r="H1269" s="68" t="s">
        <v>1367</v>
      </c>
    </row>
    <row r="1270" customFormat="false" ht="15" hidden="false" customHeight="false" outlineLevel="0" collapsed="false">
      <c r="A1270" s="68" t="n">
        <v>128</v>
      </c>
      <c r="B1270" s="68" t="s">
        <v>758</v>
      </c>
      <c r="C1270" s="68" t="s">
        <v>302</v>
      </c>
      <c r="D1270" s="68" t="s">
        <v>243</v>
      </c>
      <c r="E1270" s="68" t="s">
        <v>357</v>
      </c>
      <c r="F1270" s="68" t="s">
        <v>357</v>
      </c>
      <c r="G1270" s="68" t="s">
        <v>2045</v>
      </c>
      <c r="H1270" s="68" t="s">
        <v>1367</v>
      </c>
    </row>
    <row r="1271" customFormat="false" ht="15" hidden="false" customHeight="false" outlineLevel="0" collapsed="false">
      <c r="A1271" s="68" t="n">
        <v>128</v>
      </c>
      <c r="B1271" s="68" t="s">
        <v>758</v>
      </c>
      <c r="C1271" s="68" t="s">
        <v>302</v>
      </c>
      <c r="D1271" s="68" t="s">
        <v>261</v>
      </c>
      <c r="E1271" s="68" t="s">
        <v>306</v>
      </c>
      <c r="F1271" s="68" t="s">
        <v>306</v>
      </c>
      <c r="G1271" s="68" t="s">
        <v>2137</v>
      </c>
      <c r="H1271" s="68" t="s">
        <v>1367</v>
      </c>
    </row>
    <row r="1272" customFormat="false" ht="15" hidden="false" customHeight="false" outlineLevel="0" collapsed="false">
      <c r="A1272" s="68" t="n">
        <v>128</v>
      </c>
      <c r="B1272" s="68" t="s">
        <v>758</v>
      </c>
      <c r="C1272" s="68" t="s">
        <v>302</v>
      </c>
      <c r="D1272" s="68" t="s">
        <v>258</v>
      </c>
      <c r="E1272" s="68" t="s">
        <v>304</v>
      </c>
      <c r="F1272" s="68" t="s">
        <v>304</v>
      </c>
      <c r="G1272" s="68" t="s">
        <v>2138</v>
      </c>
      <c r="H1272" s="68" t="s">
        <v>1367</v>
      </c>
    </row>
    <row r="1273" customFormat="false" ht="15" hidden="false" customHeight="false" outlineLevel="0" collapsed="false">
      <c r="A1273" s="68" t="n">
        <v>128</v>
      </c>
      <c r="B1273" s="68" t="s">
        <v>758</v>
      </c>
      <c r="C1273" s="68" t="s">
        <v>302</v>
      </c>
      <c r="D1273" s="68" t="s">
        <v>923</v>
      </c>
      <c r="E1273" s="68" t="s">
        <v>308</v>
      </c>
      <c r="F1273" s="68" t="s">
        <v>308</v>
      </c>
      <c r="G1273" s="68" t="s">
        <v>2139</v>
      </c>
      <c r="H1273" s="68" t="s">
        <v>1367</v>
      </c>
    </row>
    <row r="1274" customFormat="false" ht="15" hidden="false" customHeight="false" outlineLevel="0" collapsed="false">
      <c r="A1274" s="68" t="n">
        <v>128</v>
      </c>
      <c r="B1274" s="68" t="s">
        <v>758</v>
      </c>
      <c r="C1274" s="68" t="s">
        <v>302</v>
      </c>
      <c r="D1274" s="68" t="s">
        <v>1386</v>
      </c>
      <c r="E1274" s="68" t="n">
        <v>40000</v>
      </c>
      <c r="F1274" s="68" t="n">
        <v>40000</v>
      </c>
      <c r="G1274" s="68" t="s">
        <v>2139</v>
      </c>
      <c r="H1274" s="68" t="s">
        <v>1367</v>
      </c>
    </row>
    <row r="1275" customFormat="false" ht="15" hidden="false" customHeight="false" outlineLevel="0" collapsed="false">
      <c r="A1275" s="68" t="n">
        <v>129</v>
      </c>
      <c r="B1275" s="68" t="s">
        <v>690</v>
      </c>
      <c r="C1275" s="68" t="s">
        <v>691</v>
      </c>
      <c r="D1275" s="68" t="s">
        <v>243</v>
      </c>
      <c r="E1275" s="68" t="s">
        <v>689</v>
      </c>
      <c r="F1275" s="68" t="s">
        <v>689</v>
      </c>
      <c r="G1275" s="68" t="s">
        <v>2017</v>
      </c>
      <c r="H1275" s="68" t="s">
        <v>1367</v>
      </c>
    </row>
    <row r="1276" customFormat="false" ht="15" hidden="false" customHeight="false" outlineLevel="0" collapsed="false">
      <c r="A1276" s="68" t="n">
        <v>129</v>
      </c>
      <c r="B1276" s="68" t="s">
        <v>690</v>
      </c>
      <c r="C1276" s="68" t="s">
        <v>691</v>
      </c>
      <c r="D1276" s="68" t="s">
        <v>260</v>
      </c>
      <c r="E1276" s="68" t="n">
        <v>2</v>
      </c>
      <c r="F1276" s="68" t="n">
        <v>2</v>
      </c>
      <c r="G1276" s="68" t="s">
        <v>2018</v>
      </c>
      <c r="H1276" s="68" t="s">
        <v>1367</v>
      </c>
    </row>
    <row r="1277" customFormat="false" ht="15" hidden="false" customHeight="false" outlineLevel="0" collapsed="false">
      <c r="A1277" s="68" t="n">
        <v>129</v>
      </c>
      <c r="B1277" s="68" t="s">
        <v>690</v>
      </c>
      <c r="C1277" s="68" t="s">
        <v>691</v>
      </c>
      <c r="D1277" s="68" t="s">
        <v>246</v>
      </c>
      <c r="E1277" s="68" t="s">
        <v>177</v>
      </c>
      <c r="F1277" s="68" t="s">
        <v>2019</v>
      </c>
      <c r="G1277" s="68" t="s">
        <v>2017</v>
      </c>
      <c r="H1277" s="68" t="s">
        <v>1367</v>
      </c>
    </row>
    <row r="1278" customFormat="false" ht="15" hidden="false" customHeight="false" outlineLevel="0" collapsed="false">
      <c r="A1278" s="68" t="n">
        <v>129</v>
      </c>
      <c r="B1278" s="68" t="s">
        <v>690</v>
      </c>
      <c r="C1278" s="68" t="s">
        <v>691</v>
      </c>
      <c r="D1278" s="68" t="s">
        <v>261</v>
      </c>
      <c r="E1278" s="68" t="s">
        <v>306</v>
      </c>
      <c r="F1278" s="68" t="s">
        <v>2019</v>
      </c>
      <c r="G1278" s="68" t="s">
        <v>2017</v>
      </c>
      <c r="H1278" s="68" t="s">
        <v>1367</v>
      </c>
    </row>
    <row r="1279" customFormat="false" ht="15" hidden="false" customHeight="false" outlineLevel="0" collapsed="false">
      <c r="A1279" s="68" t="n">
        <v>129</v>
      </c>
      <c r="B1279" s="68" t="s">
        <v>690</v>
      </c>
      <c r="C1279" s="68" t="s">
        <v>691</v>
      </c>
      <c r="D1279" s="68" t="s">
        <v>880</v>
      </c>
      <c r="E1279" s="68" t="s">
        <v>111</v>
      </c>
      <c r="F1279" s="68" t="s">
        <v>1578</v>
      </c>
      <c r="G1279" s="68" t="s">
        <v>2017</v>
      </c>
      <c r="H1279" s="68" t="s">
        <v>1367</v>
      </c>
    </row>
    <row r="1280" customFormat="false" ht="15" hidden="false" customHeight="false" outlineLevel="0" collapsed="false">
      <c r="A1280" s="68" t="n">
        <v>129</v>
      </c>
      <c r="B1280" s="68" t="s">
        <v>690</v>
      </c>
      <c r="C1280" s="68" t="s">
        <v>691</v>
      </c>
      <c r="D1280" s="68" t="s">
        <v>248</v>
      </c>
      <c r="E1280" s="68" t="n">
        <v>45</v>
      </c>
      <c r="F1280" s="68" t="n">
        <v>45</v>
      </c>
      <c r="G1280" s="68" t="s">
        <v>2017</v>
      </c>
      <c r="H1280" s="68" t="s">
        <v>1367</v>
      </c>
    </row>
    <row r="1281" customFormat="false" ht="15" hidden="false" customHeight="false" outlineLevel="0" collapsed="false">
      <c r="A1281" s="68" t="n">
        <v>129</v>
      </c>
      <c r="B1281" s="68" t="s">
        <v>690</v>
      </c>
      <c r="C1281" s="68" t="s">
        <v>691</v>
      </c>
      <c r="D1281" s="68" t="s">
        <v>249</v>
      </c>
      <c r="E1281" s="68" t="n">
        <v>139.1</v>
      </c>
      <c r="F1281" s="68" t="n">
        <v>139.1</v>
      </c>
      <c r="G1281" s="68" t="s">
        <v>2017</v>
      </c>
      <c r="H1281" s="68" t="s">
        <v>1367</v>
      </c>
    </row>
    <row r="1282" customFormat="false" ht="15" hidden="false" customHeight="false" outlineLevel="0" collapsed="false">
      <c r="A1282" s="68" t="n">
        <v>129</v>
      </c>
      <c r="B1282" s="68" t="s">
        <v>690</v>
      </c>
      <c r="C1282" s="68" t="s">
        <v>691</v>
      </c>
      <c r="D1282" s="68" t="s">
        <v>262</v>
      </c>
      <c r="E1282" s="68" t="n">
        <v>14.5</v>
      </c>
      <c r="F1282" s="68" t="n">
        <v>14.5</v>
      </c>
      <c r="G1282" s="68" t="s">
        <v>2017</v>
      </c>
      <c r="H1282" s="68" t="s">
        <v>1367</v>
      </c>
    </row>
    <row r="1283" customFormat="false" ht="15" hidden="false" customHeight="false" outlineLevel="0" collapsed="false">
      <c r="A1283" s="68" t="n">
        <v>129</v>
      </c>
      <c r="B1283" s="68" t="s">
        <v>690</v>
      </c>
      <c r="C1283" s="68" t="s">
        <v>691</v>
      </c>
      <c r="D1283" s="68" t="s">
        <v>1207</v>
      </c>
      <c r="E1283" s="68" t="s">
        <v>369</v>
      </c>
      <c r="F1283" s="68" t="s">
        <v>369</v>
      </c>
      <c r="G1283" s="68" t="s">
        <v>2017</v>
      </c>
      <c r="H1283" s="68" t="s">
        <v>1367</v>
      </c>
    </row>
    <row r="1284" customFormat="false" ht="15" hidden="false" customHeight="false" outlineLevel="0" collapsed="false">
      <c r="A1284" s="68" t="n">
        <v>129</v>
      </c>
      <c r="B1284" s="68" t="s">
        <v>690</v>
      </c>
      <c r="C1284" s="68" t="s">
        <v>691</v>
      </c>
      <c r="D1284" s="68" t="s">
        <v>1584</v>
      </c>
      <c r="E1284" s="68" t="s">
        <v>1585</v>
      </c>
      <c r="F1284" s="68" t="s">
        <v>1586</v>
      </c>
      <c r="G1284" s="68" t="s">
        <v>2017</v>
      </c>
      <c r="H1284" s="68" t="s">
        <v>1367</v>
      </c>
    </row>
    <row r="1285" customFormat="false" ht="15" hidden="false" customHeight="false" outlineLevel="0" collapsed="false">
      <c r="A1285" s="68" t="n">
        <v>129</v>
      </c>
      <c r="B1285" s="68" t="s">
        <v>690</v>
      </c>
      <c r="C1285" s="68" t="s">
        <v>691</v>
      </c>
      <c r="D1285" s="68" t="s">
        <v>258</v>
      </c>
      <c r="E1285" s="68" t="s">
        <v>304</v>
      </c>
      <c r="F1285" s="68" t="s">
        <v>1469</v>
      </c>
      <c r="G1285" s="68"/>
      <c r="H1285" s="85" t="s">
        <v>1369</v>
      </c>
    </row>
    <row r="1286" customFormat="false" ht="15" hidden="false" customHeight="false" outlineLevel="0" collapsed="false">
      <c r="A1286" s="68" t="n">
        <v>129</v>
      </c>
      <c r="B1286" s="68" t="s">
        <v>690</v>
      </c>
      <c r="C1286" s="68" t="s">
        <v>691</v>
      </c>
      <c r="D1286" s="68" t="s">
        <v>923</v>
      </c>
      <c r="E1286" s="68" t="s">
        <v>363</v>
      </c>
      <c r="F1286" s="68" t="s">
        <v>363</v>
      </c>
      <c r="G1286" s="68" t="s">
        <v>2140</v>
      </c>
      <c r="H1286" s="68" t="s">
        <v>1367</v>
      </c>
    </row>
    <row r="1287" customFormat="false" ht="15" hidden="false" customHeight="false" outlineLevel="0" collapsed="false">
      <c r="A1287" s="68" t="n">
        <v>129</v>
      </c>
      <c r="B1287" s="68" t="s">
        <v>690</v>
      </c>
      <c r="C1287" s="68" t="s">
        <v>691</v>
      </c>
      <c r="D1287" s="68" t="s">
        <v>1386</v>
      </c>
      <c r="E1287" s="68" t="n">
        <v>75000</v>
      </c>
      <c r="F1287" s="68" t="n">
        <v>75000</v>
      </c>
      <c r="G1287" s="68" t="s">
        <v>2140</v>
      </c>
      <c r="H1287" s="68" t="s">
        <v>1367</v>
      </c>
    </row>
    <row r="1288" customFormat="false" ht="15" hidden="false" customHeight="false" outlineLevel="0" collapsed="false">
      <c r="A1288" s="68" t="n">
        <v>130</v>
      </c>
      <c r="B1288" s="68" t="s">
        <v>690</v>
      </c>
      <c r="C1288" s="68" t="s">
        <v>563</v>
      </c>
      <c r="D1288" s="68" t="s">
        <v>243</v>
      </c>
      <c r="E1288" s="68" t="s">
        <v>621</v>
      </c>
      <c r="F1288" s="68" t="s">
        <v>621</v>
      </c>
      <c r="G1288" s="68" t="s">
        <v>2021</v>
      </c>
      <c r="H1288" s="68" t="s">
        <v>1367</v>
      </c>
    </row>
    <row r="1289" customFormat="false" ht="15" hidden="false" customHeight="false" outlineLevel="0" collapsed="false">
      <c r="A1289" s="68" t="n">
        <v>130</v>
      </c>
      <c r="B1289" s="68" t="s">
        <v>690</v>
      </c>
      <c r="C1289" s="68" t="s">
        <v>563</v>
      </c>
      <c r="D1289" s="68" t="s">
        <v>260</v>
      </c>
      <c r="E1289" s="68" t="n">
        <v>2</v>
      </c>
      <c r="F1289" s="68" t="n">
        <v>2</v>
      </c>
      <c r="G1289" s="68" t="s">
        <v>2022</v>
      </c>
      <c r="H1289" s="68" t="s">
        <v>1367</v>
      </c>
    </row>
    <row r="1290" customFormat="false" ht="15" hidden="false" customHeight="false" outlineLevel="0" collapsed="false">
      <c r="A1290" s="68" t="n">
        <v>130</v>
      </c>
      <c r="B1290" s="68" t="s">
        <v>690</v>
      </c>
      <c r="C1290" s="68" t="s">
        <v>563</v>
      </c>
      <c r="D1290" s="68" t="s">
        <v>261</v>
      </c>
      <c r="E1290" s="68" t="s">
        <v>306</v>
      </c>
      <c r="F1290" s="68" t="s">
        <v>1874</v>
      </c>
      <c r="G1290" s="68" t="s">
        <v>2021</v>
      </c>
      <c r="H1290" s="68" t="s">
        <v>1367</v>
      </c>
    </row>
    <row r="1291" customFormat="false" ht="15" hidden="false" customHeight="false" outlineLevel="0" collapsed="false">
      <c r="A1291" s="68" t="n">
        <v>130</v>
      </c>
      <c r="B1291" s="68" t="s">
        <v>690</v>
      </c>
      <c r="C1291" s="68" t="s">
        <v>563</v>
      </c>
      <c r="D1291" s="68" t="s">
        <v>880</v>
      </c>
      <c r="E1291" s="68" t="s">
        <v>74</v>
      </c>
      <c r="F1291" s="68" t="s">
        <v>1876</v>
      </c>
      <c r="G1291" s="68" t="s">
        <v>2021</v>
      </c>
      <c r="H1291" s="68" t="s">
        <v>1367</v>
      </c>
    </row>
    <row r="1292" customFormat="false" ht="15" hidden="false" customHeight="false" outlineLevel="0" collapsed="false">
      <c r="A1292" s="68" t="n">
        <v>130</v>
      </c>
      <c r="B1292" s="68" t="s">
        <v>690</v>
      </c>
      <c r="C1292" s="68" t="s">
        <v>563</v>
      </c>
      <c r="D1292" s="68" t="s">
        <v>248</v>
      </c>
      <c r="E1292" s="68" t="n">
        <v>53</v>
      </c>
      <c r="F1292" s="68" t="n">
        <v>53</v>
      </c>
      <c r="G1292" s="68" t="s">
        <v>2021</v>
      </c>
      <c r="H1292" s="68" t="s">
        <v>1367</v>
      </c>
    </row>
    <row r="1293" customFormat="false" ht="15" hidden="false" customHeight="false" outlineLevel="0" collapsed="false">
      <c r="A1293" s="68" t="n">
        <v>130</v>
      </c>
      <c r="B1293" s="68" t="s">
        <v>690</v>
      </c>
      <c r="C1293" s="68" t="s">
        <v>563</v>
      </c>
      <c r="D1293" s="68" t="s">
        <v>249</v>
      </c>
      <c r="E1293" s="68" t="n">
        <v>35.7</v>
      </c>
      <c r="F1293" s="68" t="n">
        <v>35.7</v>
      </c>
      <c r="G1293" s="68" t="s">
        <v>2021</v>
      </c>
      <c r="H1293" s="68" t="s">
        <v>1367</v>
      </c>
    </row>
    <row r="1294" customFormat="false" ht="15" hidden="false" customHeight="false" outlineLevel="0" collapsed="false">
      <c r="A1294" s="68" t="n">
        <v>130</v>
      </c>
      <c r="B1294" s="68" t="s">
        <v>690</v>
      </c>
      <c r="C1294" s="68" t="s">
        <v>563</v>
      </c>
      <c r="D1294" s="68" t="s">
        <v>262</v>
      </c>
      <c r="E1294" s="68" t="n">
        <v>2.9</v>
      </c>
      <c r="F1294" s="68" t="n">
        <v>2.9</v>
      </c>
      <c r="G1294" s="68" t="s">
        <v>2021</v>
      </c>
      <c r="H1294" s="68" t="s">
        <v>1367</v>
      </c>
    </row>
    <row r="1295" customFormat="false" ht="15" hidden="false" customHeight="false" outlineLevel="0" collapsed="false">
      <c r="A1295" s="68" t="n">
        <v>130</v>
      </c>
      <c r="B1295" s="68" t="s">
        <v>690</v>
      </c>
      <c r="C1295" s="68" t="s">
        <v>563</v>
      </c>
      <c r="D1295" s="68" t="s">
        <v>1207</v>
      </c>
      <c r="E1295" s="68" t="s">
        <v>312</v>
      </c>
      <c r="F1295" s="68" t="s">
        <v>1583</v>
      </c>
      <c r="G1295" s="68"/>
      <c r="H1295" s="85" t="s">
        <v>1369</v>
      </c>
    </row>
    <row r="1296" customFormat="false" ht="15" hidden="false" customHeight="false" outlineLevel="0" collapsed="false">
      <c r="A1296" s="68" t="n">
        <v>130</v>
      </c>
      <c r="B1296" s="68" t="s">
        <v>690</v>
      </c>
      <c r="C1296" s="68" t="s">
        <v>563</v>
      </c>
      <c r="D1296" s="68" t="s">
        <v>1584</v>
      </c>
      <c r="E1296" s="68" t="s">
        <v>1881</v>
      </c>
      <c r="F1296" s="68" t="s">
        <v>1882</v>
      </c>
      <c r="G1296" s="68" t="s">
        <v>2021</v>
      </c>
      <c r="H1296" s="68" t="s">
        <v>1367</v>
      </c>
    </row>
    <row r="1297" customFormat="false" ht="15" hidden="false" customHeight="false" outlineLevel="0" collapsed="false">
      <c r="A1297" s="68" t="n">
        <v>130</v>
      </c>
      <c r="B1297" s="68" t="s">
        <v>690</v>
      </c>
      <c r="C1297" s="68" t="s">
        <v>563</v>
      </c>
      <c r="D1297" s="68" t="s">
        <v>258</v>
      </c>
      <c r="E1297" s="68" t="s">
        <v>304</v>
      </c>
      <c r="F1297" s="68" t="s">
        <v>1469</v>
      </c>
      <c r="G1297" s="68"/>
      <c r="H1297" s="85" t="s">
        <v>1369</v>
      </c>
    </row>
    <row r="1298" customFormat="false" ht="15" hidden="false" customHeight="false" outlineLevel="0" collapsed="false">
      <c r="A1298" s="68" t="n">
        <v>130</v>
      </c>
      <c r="B1298" s="68" t="s">
        <v>690</v>
      </c>
      <c r="C1298" s="68" t="s">
        <v>563</v>
      </c>
      <c r="D1298" s="68" t="s">
        <v>923</v>
      </c>
      <c r="E1298" s="68" t="s">
        <v>363</v>
      </c>
      <c r="F1298" s="68" t="s">
        <v>363</v>
      </c>
      <c r="G1298" s="68" t="s">
        <v>2141</v>
      </c>
      <c r="H1298" s="68" t="s">
        <v>1367</v>
      </c>
    </row>
    <row r="1299" customFormat="false" ht="15" hidden="false" customHeight="false" outlineLevel="0" collapsed="false">
      <c r="A1299" s="68" t="n">
        <v>130</v>
      </c>
      <c r="B1299" s="68" t="s">
        <v>690</v>
      </c>
      <c r="C1299" s="68" t="s">
        <v>563</v>
      </c>
      <c r="D1299" s="68" t="s">
        <v>1386</v>
      </c>
      <c r="E1299" s="68" t="n">
        <v>10000</v>
      </c>
      <c r="F1299" s="68" t="n">
        <v>10000</v>
      </c>
      <c r="G1299" s="68" t="s">
        <v>2141</v>
      </c>
      <c r="H1299" s="68" t="s">
        <v>1367</v>
      </c>
    </row>
    <row r="1300" customFormat="false" ht="15" hidden="false" customHeight="false" outlineLevel="0" collapsed="false">
      <c r="A1300" s="68" t="n">
        <v>131</v>
      </c>
      <c r="B1300" s="68" t="s">
        <v>690</v>
      </c>
      <c r="C1300" s="68" t="s">
        <v>698</v>
      </c>
      <c r="D1300" s="68" t="s">
        <v>243</v>
      </c>
      <c r="E1300" s="68" t="s">
        <v>512</v>
      </c>
      <c r="F1300" s="68" t="s">
        <v>512</v>
      </c>
      <c r="G1300" s="68" t="s">
        <v>2024</v>
      </c>
      <c r="H1300" s="68" t="s">
        <v>1367</v>
      </c>
    </row>
    <row r="1301" customFormat="false" ht="15" hidden="false" customHeight="false" outlineLevel="0" collapsed="false">
      <c r="A1301" s="68" t="n">
        <v>131</v>
      </c>
      <c r="B1301" s="68" t="s">
        <v>690</v>
      </c>
      <c r="C1301" s="68" t="s">
        <v>698</v>
      </c>
      <c r="D1301" s="68" t="s">
        <v>260</v>
      </c>
      <c r="E1301" s="68" t="n">
        <v>1</v>
      </c>
      <c r="F1301" s="68" t="n">
        <v>1</v>
      </c>
      <c r="G1301" s="68" t="s">
        <v>2025</v>
      </c>
      <c r="H1301" s="68" t="s">
        <v>1367</v>
      </c>
    </row>
    <row r="1302" customFormat="false" ht="15" hidden="false" customHeight="false" outlineLevel="0" collapsed="false">
      <c r="A1302" s="68" t="n">
        <v>131</v>
      </c>
      <c r="B1302" s="68" t="s">
        <v>690</v>
      </c>
      <c r="C1302" s="68" t="s">
        <v>698</v>
      </c>
      <c r="D1302" s="68" t="s">
        <v>246</v>
      </c>
      <c r="E1302" s="68" t="s">
        <v>132</v>
      </c>
      <c r="F1302" s="68" t="s">
        <v>1576</v>
      </c>
      <c r="G1302" s="68" t="s">
        <v>2024</v>
      </c>
      <c r="H1302" s="68" t="s">
        <v>1367</v>
      </c>
    </row>
    <row r="1303" customFormat="false" ht="15" hidden="false" customHeight="false" outlineLevel="0" collapsed="false">
      <c r="A1303" s="68" t="n">
        <v>131</v>
      </c>
      <c r="B1303" s="68" t="s">
        <v>690</v>
      </c>
      <c r="C1303" s="68" t="s">
        <v>698</v>
      </c>
      <c r="D1303" s="68" t="s">
        <v>261</v>
      </c>
      <c r="E1303" s="68" t="s">
        <v>306</v>
      </c>
      <c r="F1303" s="68" t="s">
        <v>1576</v>
      </c>
      <c r="G1303" s="68" t="s">
        <v>2024</v>
      </c>
      <c r="H1303" s="68" t="s">
        <v>1367</v>
      </c>
    </row>
    <row r="1304" customFormat="false" ht="15" hidden="false" customHeight="false" outlineLevel="0" collapsed="false">
      <c r="A1304" s="68" t="n">
        <v>131</v>
      </c>
      <c r="B1304" s="68" t="s">
        <v>690</v>
      </c>
      <c r="C1304" s="68" t="s">
        <v>698</v>
      </c>
      <c r="D1304" s="68" t="s">
        <v>880</v>
      </c>
      <c r="E1304" s="68" t="s">
        <v>74</v>
      </c>
      <c r="F1304" s="68" t="s">
        <v>1876</v>
      </c>
      <c r="G1304" s="68" t="s">
        <v>2024</v>
      </c>
      <c r="H1304" s="68" t="s">
        <v>1367</v>
      </c>
    </row>
    <row r="1305" customFormat="false" ht="15" hidden="false" customHeight="false" outlineLevel="0" collapsed="false">
      <c r="A1305" s="68" t="n">
        <v>131</v>
      </c>
      <c r="B1305" s="68" t="s">
        <v>690</v>
      </c>
      <c r="C1305" s="68" t="s">
        <v>698</v>
      </c>
      <c r="D1305" s="68" t="s">
        <v>248</v>
      </c>
      <c r="E1305" s="68" t="n">
        <v>53</v>
      </c>
      <c r="F1305" s="68" t="n">
        <v>53</v>
      </c>
      <c r="G1305" s="68" t="s">
        <v>2024</v>
      </c>
      <c r="H1305" s="68" t="s">
        <v>1367</v>
      </c>
    </row>
    <row r="1306" customFormat="false" ht="15" hidden="false" customHeight="false" outlineLevel="0" collapsed="false">
      <c r="A1306" s="68" t="n">
        <v>131</v>
      </c>
      <c r="B1306" s="68" t="s">
        <v>690</v>
      </c>
      <c r="C1306" s="68" t="s">
        <v>698</v>
      </c>
      <c r="D1306" s="68" t="s">
        <v>249</v>
      </c>
      <c r="E1306" s="68" t="n">
        <v>122.3</v>
      </c>
      <c r="F1306" s="68" t="n">
        <v>122.3</v>
      </c>
      <c r="G1306" s="68" t="s">
        <v>2024</v>
      </c>
      <c r="H1306" s="68" t="s">
        <v>1367</v>
      </c>
    </row>
    <row r="1307" customFormat="false" ht="15" hidden="false" customHeight="false" outlineLevel="0" collapsed="false">
      <c r="A1307" s="68" t="n">
        <v>131</v>
      </c>
      <c r="B1307" s="68" t="s">
        <v>690</v>
      </c>
      <c r="C1307" s="68" t="s">
        <v>698</v>
      </c>
      <c r="D1307" s="68" t="s">
        <v>262</v>
      </c>
      <c r="E1307" s="68" t="n">
        <v>12</v>
      </c>
      <c r="F1307" s="68" t="n">
        <v>12</v>
      </c>
      <c r="G1307" s="68" t="s">
        <v>2024</v>
      </c>
      <c r="H1307" s="68" t="s">
        <v>1367</v>
      </c>
    </row>
    <row r="1308" customFormat="false" ht="15" hidden="false" customHeight="false" outlineLevel="0" collapsed="false">
      <c r="A1308" s="68" t="n">
        <v>131</v>
      </c>
      <c r="B1308" s="68" t="s">
        <v>690</v>
      </c>
      <c r="C1308" s="68" t="s">
        <v>698</v>
      </c>
      <c r="D1308" s="68" t="s">
        <v>1207</v>
      </c>
      <c r="E1308" s="68" t="s">
        <v>312</v>
      </c>
      <c r="F1308" s="68" t="s">
        <v>1583</v>
      </c>
      <c r="G1308" s="68"/>
      <c r="H1308" s="85" t="s">
        <v>1369</v>
      </c>
    </row>
    <row r="1309" customFormat="false" ht="15" hidden="false" customHeight="false" outlineLevel="0" collapsed="false">
      <c r="A1309" s="68" t="n">
        <v>131</v>
      </c>
      <c r="B1309" s="68" t="s">
        <v>690</v>
      </c>
      <c r="C1309" s="68" t="s">
        <v>698</v>
      </c>
      <c r="D1309" s="68" t="s">
        <v>1584</v>
      </c>
      <c r="E1309" s="68" t="s">
        <v>1585</v>
      </c>
      <c r="F1309" s="68" t="s">
        <v>1586</v>
      </c>
      <c r="G1309" s="68" t="s">
        <v>2024</v>
      </c>
      <c r="H1309" s="68" t="s">
        <v>1367</v>
      </c>
    </row>
    <row r="1310" customFormat="false" ht="15" hidden="false" customHeight="false" outlineLevel="0" collapsed="false">
      <c r="A1310" s="68" t="n">
        <v>131</v>
      </c>
      <c r="B1310" s="68" t="s">
        <v>690</v>
      </c>
      <c r="C1310" s="68" t="s">
        <v>698</v>
      </c>
      <c r="D1310" s="68" t="s">
        <v>258</v>
      </c>
      <c r="E1310" s="68" t="s">
        <v>304</v>
      </c>
      <c r="F1310" s="68" t="s">
        <v>1469</v>
      </c>
      <c r="G1310" s="68"/>
      <c r="H1310" s="85" t="s">
        <v>1369</v>
      </c>
    </row>
    <row r="1311" customFormat="false" ht="15" hidden="false" customHeight="false" outlineLevel="0" collapsed="false">
      <c r="A1311" s="68" t="n">
        <v>131</v>
      </c>
      <c r="B1311" s="68" t="s">
        <v>690</v>
      </c>
      <c r="C1311" s="68" t="s">
        <v>698</v>
      </c>
      <c r="D1311" s="68" t="s">
        <v>923</v>
      </c>
      <c r="E1311" s="68" t="s">
        <v>363</v>
      </c>
      <c r="F1311" s="68" t="s">
        <v>363</v>
      </c>
      <c r="G1311" s="68" t="s">
        <v>2142</v>
      </c>
      <c r="H1311" s="68" t="s">
        <v>1367</v>
      </c>
    </row>
    <row r="1312" customFormat="false" ht="15" hidden="false" customHeight="false" outlineLevel="0" collapsed="false">
      <c r="A1312" s="68" t="n">
        <v>131</v>
      </c>
      <c r="B1312" s="68" t="s">
        <v>690</v>
      </c>
      <c r="C1312" s="68" t="s">
        <v>698</v>
      </c>
      <c r="D1312" s="68" t="s">
        <v>1386</v>
      </c>
      <c r="E1312" s="68" t="n">
        <v>15000</v>
      </c>
      <c r="F1312" s="68" t="n">
        <v>15000</v>
      </c>
      <c r="G1312" s="68" t="s">
        <v>2142</v>
      </c>
      <c r="H1312" s="68" t="s">
        <v>1367</v>
      </c>
    </row>
    <row r="1313" customFormat="false" ht="15" hidden="false" customHeight="false" outlineLevel="0" collapsed="false">
      <c r="A1313" s="68" t="n">
        <v>132</v>
      </c>
      <c r="B1313" s="68" t="s">
        <v>690</v>
      </c>
      <c r="C1313" s="68" t="s">
        <v>701</v>
      </c>
      <c r="D1313" s="68" t="s">
        <v>243</v>
      </c>
      <c r="E1313" s="68" t="s">
        <v>508</v>
      </c>
      <c r="F1313" s="68" t="s">
        <v>508</v>
      </c>
      <c r="G1313" s="68" t="s">
        <v>2027</v>
      </c>
      <c r="H1313" s="68" t="s">
        <v>1367</v>
      </c>
    </row>
    <row r="1314" customFormat="false" ht="15" hidden="false" customHeight="false" outlineLevel="0" collapsed="false">
      <c r="A1314" s="68" t="n">
        <v>132</v>
      </c>
      <c r="B1314" s="68" t="s">
        <v>690</v>
      </c>
      <c r="C1314" s="68" t="s">
        <v>701</v>
      </c>
      <c r="D1314" s="68" t="s">
        <v>260</v>
      </c>
      <c r="E1314" s="68" t="n">
        <v>2</v>
      </c>
      <c r="F1314" s="68" t="n">
        <v>2</v>
      </c>
      <c r="G1314" s="68" t="s">
        <v>2028</v>
      </c>
      <c r="H1314" s="68" t="s">
        <v>1367</v>
      </c>
    </row>
    <row r="1315" customFormat="false" ht="15" hidden="false" customHeight="false" outlineLevel="0" collapsed="false">
      <c r="A1315" s="68" t="n">
        <v>132</v>
      </c>
      <c r="B1315" s="68" t="s">
        <v>690</v>
      </c>
      <c r="C1315" s="68" t="s">
        <v>701</v>
      </c>
      <c r="D1315" s="68" t="s">
        <v>246</v>
      </c>
      <c r="E1315" s="68" t="s">
        <v>132</v>
      </c>
      <c r="F1315" s="68" t="s">
        <v>1576</v>
      </c>
      <c r="G1315" s="68" t="s">
        <v>2027</v>
      </c>
      <c r="H1315" s="68" t="s">
        <v>1367</v>
      </c>
    </row>
    <row r="1316" customFormat="false" ht="15" hidden="false" customHeight="false" outlineLevel="0" collapsed="false">
      <c r="A1316" s="68" t="n">
        <v>132</v>
      </c>
      <c r="B1316" s="68" t="s">
        <v>690</v>
      </c>
      <c r="C1316" s="68" t="s">
        <v>701</v>
      </c>
      <c r="D1316" s="68" t="s">
        <v>261</v>
      </c>
      <c r="E1316" s="68" t="s">
        <v>306</v>
      </c>
      <c r="F1316" s="68" t="s">
        <v>1576</v>
      </c>
      <c r="G1316" s="68" t="s">
        <v>2027</v>
      </c>
      <c r="H1316" s="68" t="s">
        <v>1367</v>
      </c>
    </row>
    <row r="1317" customFormat="false" ht="15" hidden="false" customHeight="false" outlineLevel="0" collapsed="false">
      <c r="A1317" s="68" t="n">
        <v>132</v>
      </c>
      <c r="B1317" s="68" t="s">
        <v>690</v>
      </c>
      <c r="C1317" s="68" t="s">
        <v>701</v>
      </c>
      <c r="D1317" s="68" t="s">
        <v>880</v>
      </c>
      <c r="E1317" s="68" t="s">
        <v>74</v>
      </c>
      <c r="F1317" s="68" t="s">
        <v>1876</v>
      </c>
      <c r="G1317" s="68" t="s">
        <v>2027</v>
      </c>
      <c r="H1317" s="68" t="s">
        <v>1367</v>
      </c>
    </row>
    <row r="1318" customFormat="false" ht="15" hidden="false" customHeight="false" outlineLevel="0" collapsed="false">
      <c r="A1318" s="68" t="n">
        <v>132</v>
      </c>
      <c r="B1318" s="68" t="s">
        <v>690</v>
      </c>
      <c r="C1318" s="68" t="s">
        <v>701</v>
      </c>
      <c r="D1318" s="68" t="s">
        <v>248</v>
      </c>
      <c r="E1318" s="68" t="n">
        <v>31</v>
      </c>
      <c r="F1318" s="68" t="n">
        <v>31</v>
      </c>
      <c r="G1318" s="68" t="s">
        <v>2027</v>
      </c>
      <c r="H1318" s="68" t="s">
        <v>1367</v>
      </c>
    </row>
    <row r="1319" customFormat="false" ht="15" hidden="false" customHeight="false" outlineLevel="0" collapsed="false">
      <c r="A1319" s="68" t="n">
        <v>132</v>
      </c>
      <c r="B1319" s="68" t="s">
        <v>690</v>
      </c>
      <c r="C1319" s="68" t="s">
        <v>701</v>
      </c>
      <c r="D1319" s="68" t="s">
        <v>249</v>
      </c>
      <c r="E1319" s="68" t="n">
        <v>122</v>
      </c>
      <c r="F1319" s="68" t="n">
        <v>122</v>
      </c>
      <c r="G1319" s="68" t="s">
        <v>2027</v>
      </c>
      <c r="H1319" s="68" t="s">
        <v>1367</v>
      </c>
    </row>
    <row r="1320" customFormat="false" ht="15" hidden="false" customHeight="false" outlineLevel="0" collapsed="false">
      <c r="A1320" s="68" t="n">
        <v>132</v>
      </c>
      <c r="B1320" s="68" t="s">
        <v>690</v>
      </c>
      <c r="C1320" s="68" t="s">
        <v>701</v>
      </c>
      <c r="D1320" s="68" t="s">
        <v>262</v>
      </c>
      <c r="E1320" s="68" t="n">
        <v>13</v>
      </c>
      <c r="F1320" s="68" t="n">
        <v>13</v>
      </c>
      <c r="G1320" s="68" t="s">
        <v>2027</v>
      </c>
      <c r="H1320" s="68" t="s">
        <v>1367</v>
      </c>
    </row>
    <row r="1321" customFormat="false" ht="15" hidden="false" customHeight="false" outlineLevel="0" collapsed="false">
      <c r="A1321" s="68" t="n">
        <v>132</v>
      </c>
      <c r="B1321" s="68" t="s">
        <v>690</v>
      </c>
      <c r="C1321" s="68" t="s">
        <v>701</v>
      </c>
      <c r="D1321" s="68" t="s">
        <v>1207</v>
      </c>
      <c r="E1321" s="68" t="s">
        <v>312</v>
      </c>
      <c r="F1321" s="68" t="s">
        <v>1583</v>
      </c>
      <c r="G1321" s="68"/>
      <c r="H1321" s="85" t="s">
        <v>1369</v>
      </c>
    </row>
    <row r="1322" customFormat="false" ht="15" hidden="false" customHeight="false" outlineLevel="0" collapsed="false">
      <c r="A1322" s="68" t="n">
        <v>132</v>
      </c>
      <c r="B1322" s="68" t="s">
        <v>690</v>
      </c>
      <c r="C1322" s="68" t="s">
        <v>701</v>
      </c>
      <c r="D1322" s="68" t="s">
        <v>1584</v>
      </c>
      <c r="E1322" s="68" t="s">
        <v>1585</v>
      </c>
      <c r="F1322" s="68" t="s">
        <v>1586</v>
      </c>
      <c r="G1322" s="68" t="s">
        <v>2027</v>
      </c>
      <c r="H1322" s="68" t="s">
        <v>1367</v>
      </c>
    </row>
    <row r="1323" customFormat="false" ht="15" hidden="false" customHeight="false" outlineLevel="0" collapsed="false">
      <c r="A1323" s="68" t="n">
        <v>132</v>
      </c>
      <c r="B1323" s="68" t="s">
        <v>690</v>
      </c>
      <c r="C1323" s="68" t="s">
        <v>701</v>
      </c>
      <c r="D1323" s="68" t="s">
        <v>258</v>
      </c>
      <c r="E1323" s="68" t="s">
        <v>304</v>
      </c>
      <c r="F1323" s="68" t="s">
        <v>1469</v>
      </c>
      <c r="G1323" s="68"/>
      <c r="H1323" s="85" t="s">
        <v>1369</v>
      </c>
    </row>
    <row r="1324" customFormat="false" ht="15" hidden="false" customHeight="false" outlineLevel="0" collapsed="false">
      <c r="A1324" s="68" t="n">
        <v>132</v>
      </c>
      <c r="B1324" s="68" t="s">
        <v>690</v>
      </c>
      <c r="C1324" s="68" t="s">
        <v>701</v>
      </c>
      <c r="D1324" s="68" t="s">
        <v>923</v>
      </c>
      <c r="E1324" s="68" t="s">
        <v>363</v>
      </c>
      <c r="F1324" s="68" t="s">
        <v>363</v>
      </c>
      <c r="G1324" s="68" t="s">
        <v>2143</v>
      </c>
      <c r="H1324" s="68" t="s">
        <v>1367</v>
      </c>
    </row>
    <row r="1325" customFormat="false" ht="15" hidden="false" customHeight="false" outlineLevel="0" collapsed="false">
      <c r="A1325" s="68" t="n">
        <v>132</v>
      </c>
      <c r="B1325" s="68" t="s">
        <v>690</v>
      </c>
      <c r="C1325" s="68" t="s">
        <v>701</v>
      </c>
      <c r="D1325" s="68" t="s">
        <v>1386</v>
      </c>
      <c r="E1325" s="68" t="n">
        <v>12000</v>
      </c>
      <c r="F1325" s="68" t="n">
        <v>12000</v>
      </c>
      <c r="G1325" s="68" t="s">
        <v>2143</v>
      </c>
      <c r="H1325" s="68" t="s">
        <v>1367</v>
      </c>
    </row>
    <row r="1326" customFormat="false" ht="15" hidden="false" customHeight="false" outlineLevel="0" collapsed="false">
      <c r="A1326" s="68" t="n">
        <v>133</v>
      </c>
      <c r="B1326" s="68" t="s">
        <v>690</v>
      </c>
      <c r="C1326" s="68" t="s">
        <v>497</v>
      </c>
      <c r="D1326" s="68" t="s">
        <v>243</v>
      </c>
      <c r="E1326" s="68" t="s">
        <v>704</v>
      </c>
      <c r="F1326" s="68" t="s">
        <v>704</v>
      </c>
      <c r="G1326" s="68" t="s">
        <v>2030</v>
      </c>
      <c r="H1326" s="68" t="s">
        <v>1367</v>
      </c>
    </row>
    <row r="1327" customFormat="false" ht="15" hidden="false" customHeight="false" outlineLevel="0" collapsed="false">
      <c r="A1327" s="68" t="n">
        <v>133</v>
      </c>
      <c r="B1327" s="68" t="s">
        <v>690</v>
      </c>
      <c r="C1327" s="68" t="s">
        <v>497</v>
      </c>
      <c r="D1327" s="68" t="s">
        <v>260</v>
      </c>
      <c r="E1327" s="68" t="n">
        <v>2</v>
      </c>
      <c r="F1327" s="68" t="n">
        <v>2</v>
      </c>
      <c r="G1327" s="68" t="s">
        <v>2031</v>
      </c>
      <c r="H1327" s="68" t="s">
        <v>1367</v>
      </c>
    </row>
    <row r="1328" customFormat="false" ht="15" hidden="false" customHeight="false" outlineLevel="0" collapsed="false">
      <c r="A1328" s="68" t="n">
        <v>133</v>
      </c>
      <c r="B1328" s="68" t="s">
        <v>690</v>
      </c>
      <c r="C1328" s="68" t="s">
        <v>497</v>
      </c>
      <c r="D1328" s="68" t="s">
        <v>246</v>
      </c>
      <c r="E1328" s="68" t="s">
        <v>153</v>
      </c>
      <c r="F1328" s="68" t="s">
        <v>1621</v>
      </c>
      <c r="G1328" s="68" t="s">
        <v>2030</v>
      </c>
      <c r="H1328" s="68" t="s">
        <v>1367</v>
      </c>
    </row>
    <row r="1329" customFormat="false" ht="15" hidden="false" customHeight="false" outlineLevel="0" collapsed="false">
      <c r="A1329" s="68" t="n">
        <v>133</v>
      </c>
      <c r="B1329" s="68" t="s">
        <v>690</v>
      </c>
      <c r="C1329" s="68" t="s">
        <v>497</v>
      </c>
      <c r="D1329" s="68" t="s">
        <v>261</v>
      </c>
      <c r="E1329" s="68" t="s">
        <v>306</v>
      </c>
      <c r="F1329" s="68" t="s">
        <v>1621</v>
      </c>
      <c r="G1329" s="68" t="s">
        <v>2030</v>
      </c>
      <c r="H1329" s="68" t="s">
        <v>1367</v>
      </c>
    </row>
    <row r="1330" customFormat="false" ht="15" hidden="false" customHeight="false" outlineLevel="0" collapsed="false">
      <c r="A1330" s="68" t="n">
        <v>133</v>
      </c>
      <c r="B1330" s="68" t="s">
        <v>690</v>
      </c>
      <c r="C1330" s="68" t="s">
        <v>497</v>
      </c>
      <c r="D1330" s="68" t="s">
        <v>880</v>
      </c>
      <c r="E1330" s="68" t="s">
        <v>115</v>
      </c>
      <c r="F1330" s="68" t="s">
        <v>1612</v>
      </c>
      <c r="G1330" s="68" t="s">
        <v>2030</v>
      </c>
      <c r="H1330" s="68" t="s">
        <v>1367</v>
      </c>
    </row>
    <row r="1331" customFormat="false" ht="15" hidden="false" customHeight="false" outlineLevel="0" collapsed="false">
      <c r="A1331" s="68" t="n">
        <v>133</v>
      </c>
      <c r="B1331" s="68" t="s">
        <v>690</v>
      </c>
      <c r="C1331" s="68" t="s">
        <v>497</v>
      </c>
      <c r="D1331" s="68" t="s">
        <v>248</v>
      </c>
      <c r="E1331" s="68" t="n">
        <v>91</v>
      </c>
      <c r="F1331" s="68" t="n">
        <v>91</v>
      </c>
      <c r="G1331" s="68" t="s">
        <v>2030</v>
      </c>
      <c r="H1331" s="68" t="s">
        <v>1367</v>
      </c>
    </row>
    <row r="1332" customFormat="false" ht="15" hidden="false" customHeight="false" outlineLevel="0" collapsed="false">
      <c r="A1332" s="68" t="n">
        <v>133</v>
      </c>
      <c r="B1332" s="68" t="s">
        <v>690</v>
      </c>
      <c r="C1332" s="68" t="s">
        <v>497</v>
      </c>
      <c r="D1332" s="68" t="s">
        <v>249</v>
      </c>
      <c r="E1332" s="68" t="n">
        <v>650</v>
      </c>
      <c r="F1332" s="68" t="n">
        <v>650</v>
      </c>
      <c r="G1332" s="68" t="s">
        <v>2030</v>
      </c>
      <c r="H1332" s="68" t="s">
        <v>1367</v>
      </c>
    </row>
    <row r="1333" customFormat="false" ht="15" hidden="false" customHeight="false" outlineLevel="0" collapsed="false">
      <c r="A1333" s="68" t="n">
        <v>133</v>
      </c>
      <c r="B1333" s="68" t="s">
        <v>690</v>
      </c>
      <c r="C1333" s="68" t="s">
        <v>497</v>
      </c>
      <c r="D1333" s="68" t="s">
        <v>262</v>
      </c>
      <c r="E1333" s="68" t="n">
        <v>72.8</v>
      </c>
      <c r="F1333" s="68" t="n">
        <v>72.8</v>
      </c>
      <c r="G1333" s="68" t="s">
        <v>2030</v>
      </c>
      <c r="H1333" s="68" t="s">
        <v>1367</v>
      </c>
    </row>
    <row r="1334" customFormat="false" ht="15" hidden="false" customHeight="false" outlineLevel="0" collapsed="false">
      <c r="A1334" s="68" t="n">
        <v>133</v>
      </c>
      <c r="B1334" s="68" t="s">
        <v>690</v>
      </c>
      <c r="C1334" s="68" t="s">
        <v>497</v>
      </c>
      <c r="D1334" s="68" t="s">
        <v>1207</v>
      </c>
      <c r="E1334" s="68" t="s">
        <v>369</v>
      </c>
      <c r="F1334" s="68" t="s">
        <v>369</v>
      </c>
      <c r="G1334" s="68" t="s">
        <v>2030</v>
      </c>
      <c r="H1334" s="68" t="s">
        <v>1367</v>
      </c>
    </row>
    <row r="1335" customFormat="false" ht="15" hidden="false" customHeight="false" outlineLevel="0" collapsed="false">
      <c r="A1335" s="68" t="n">
        <v>133</v>
      </c>
      <c r="B1335" s="68" t="s">
        <v>690</v>
      </c>
      <c r="C1335" s="68" t="s">
        <v>497</v>
      </c>
      <c r="D1335" s="68" t="s">
        <v>1584</v>
      </c>
      <c r="E1335" s="68" t="s">
        <v>1585</v>
      </c>
      <c r="F1335" s="68" t="s">
        <v>1586</v>
      </c>
      <c r="G1335" s="68" t="s">
        <v>2030</v>
      </c>
      <c r="H1335" s="68" t="s">
        <v>1367</v>
      </c>
    </row>
    <row r="1336" customFormat="false" ht="15" hidden="false" customHeight="false" outlineLevel="0" collapsed="false">
      <c r="A1336" s="68" t="n">
        <v>133</v>
      </c>
      <c r="B1336" s="68" t="s">
        <v>690</v>
      </c>
      <c r="C1336" s="68" t="s">
        <v>497</v>
      </c>
      <c r="D1336" s="68" t="s">
        <v>258</v>
      </c>
      <c r="E1336" s="68" t="s">
        <v>304</v>
      </c>
      <c r="F1336" s="68" t="s">
        <v>1469</v>
      </c>
      <c r="G1336" s="68"/>
      <c r="H1336" s="85" t="s">
        <v>1369</v>
      </c>
    </row>
    <row r="1337" customFormat="false" ht="15" hidden="false" customHeight="false" outlineLevel="0" collapsed="false">
      <c r="A1337" s="68" t="n">
        <v>133</v>
      </c>
      <c r="B1337" s="68" t="s">
        <v>690</v>
      </c>
      <c r="C1337" s="68" t="s">
        <v>497</v>
      </c>
      <c r="D1337" s="68" t="s">
        <v>923</v>
      </c>
      <c r="E1337" s="68" t="s">
        <v>363</v>
      </c>
      <c r="F1337" s="68" t="s">
        <v>363</v>
      </c>
      <c r="G1337" s="68" t="s">
        <v>2144</v>
      </c>
      <c r="H1337" s="68" t="s">
        <v>1367</v>
      </c>
    </row>
    <row r="1338" customFormat="false" ht="15" hidden="false" customHeight="false" outlineLevel="0" collapsed="false">
      <c r="A1338" s="68" t="n">
        <v>133</v>
      </c>
      <c r="B1338" s="68" t="s">
        <v>690</v>
      </c>
      <c r="C1338" s="68" t="s">
        <v>497</v>
      </c>
      <c r="D1338" s="68" t="s">
        <v>1386</v>
      </c>
      <c r="E1338" s="68" t="n">
        <v>260000</v>
      </c>
      <c r="F1338" s="68" t="n">
        <v>260000</v>
      </c>
      <c r="G1338" s="68" t="s">
        <v>2144</v>
      </c>
      <c r="H1338" s="68" t="s">
        <v>1367</v>
      </c>
    </row>
    <row r="1339" customFormat="false" ht="15" hidden="false" customHeight="false" outlineLevel="0" collapsed="false">
      <c r="A1339" s="68" t="n">
        <v>134</v>
      </c>
      <c r="B1339" s="68" t="s">
        <v>690</v>
      </c>
      <c r="C1339" s="68" t="s">
        <v>501</v>
      </c>
      <c r="D1339" s="68" t="s">
        <v>243</v>
      </c>
      <c r="E1339" s="68" t="s">
        <v>489</v>
      </c>
      <c r="F1339" s="68" t="s">
        <v>489</v>
      </c>
      <c r="G1339" s="68" t="s">
        <v>2033</v>
      </c>
      <c r="H1339" s="68" t="s">
        <v>1367</v>
      </c>
    </row>
    <row r="1340" customFormat="false" ht="15" hidden="false" customHeight="false" outlineLevel="0" collapsed="false">
      <c r="A1340" s="68" t="n">
        <v>134</v>
      </c>
      <c r="B1340" s="68" t="s">
        <v>690</v>
      </c>
      <c r="C1340" s="68" t="s">
        <v>501</v>
      </c>
      <c r="D1340" s="68" t="s">
        <v>260</v>
      </c>
      <c r="E1340" s="68" t="n">
        <v>2</v>
      </c>
      <c r="F1340" s="68" t="n">
        <v>2</v>
      </c>
      <c r="G1340" s="68" t="s">
        <v>2034</v>
      </c>
      <c r="H1340" s="68" t="s">
        <v>1367</v>
      </c>
    </row>
    <row r="1341" customFormat="false" ht="15" hidden="false" customHeight="false" outlineLevel="0" collapsed="false">
      <c r="A1341" s="68" t="n">
        <v>134</v>
      </c>
      <c r="B1341" s="68" t="s">
        <v>690</v>
      </c>
      <c r="C1341" s="68" t="s">
        <v>501</v>
      </c>
      <c r="D1341" s="68" t="s">
        <v>261</v>
      </c>
      <c r="E1341" s="68" t="s">
        <v>493</v>
      </c>
      <c r="F1341" s="68" t="s">
        <v>1600</v>
      </c>
      <c r="G1341" s="68" t="s">
        <v>2033</v>
      </c>
      <c r="H1341" s="68" t="s">
        <v>1367</v>
      </c>
    </row>
    <row r="1342" customFormat="false" ht="15" hidden="false" customHeight="false" outlineLevel="0" collapsed="false">
      <c r="A1342" s="68" t="n">
        <v>134</v>
      </c>
      <c r="B1342" s="68" t="s">
        <v>690</v>
      </c>
      <c r="C1342" s="68" t="s">
        <v>501</v>
      </c>
      <c r="D1342" s="68" t="s">
        <v>880</v>
      </c>
      <c r="E1342" s="68" t="s">
        <v>111</v>
      </c>
      <c r="F1342" s="68" t="s">
        <v>1578</v>
      </c>
      <c r="G1342" s="68" t="s">
        <v>2033</v>
      </c>
      <c r="H1342" s="68" t="s">
        <v>1367</v>
      </c>
    </row>
    <row r="1343" customFormat="false" ht="15" hidden="false" customHeight="false" outlineLevel="0" collapsed="false">
      <c r="A1343" s="68" t="n">
        <v>134</v>
      </c>
      <c r="B1343" s="68" t="s">
        <v>690</v>
      </c>
      <c r="C1343" s="68" t="s">
        <v>501</v>
      </c>
      <c r="D1343" s="68" t="s">
        <v>248</v>
      </c>
      <c r="E1343" s="68" t="n">
        <v>5</v>
      </c>
      <c r="F1343" s="68" t="n">
        <v>5</v>
      </c>
      <c r="G1343" s="68" t="s">
        <v>2033</v>
      </c>
      <c r="H1343" s="68" t="s">
        <v>1367</v>
      </c>
    </row>
    <row r="1344" customFormat="false" ht="15" hidden="false" customHeight="false" outlineLevel="0" collapsed="false">
      <c r="A1344" s="68" t="n">
        <v>134</v>
      </c>
      <c r="B1344" s="68" t="s">
        <v>690</v>
      </c>
      <c r="C1344" s="68" t="s">
        <v>501</v>
      </c>
      <c r="D1344" s="68" t="s">
        <v>262</v>
      </c>
      <c r="E1344" s="68" t="n">
        <v>8</v>
      </c>
      <c r="F1344" s="68" t="n">
        <v>8</v>
      </c>
      <c r="G1344" s="68" t="s">
        <v>2033</v>
      </c>
      <c r="H1344" s="68" t="s">
        <v>1367</v>
      </c>
    </row>
    <row r="1345" customFormat="false" ht="15" hidden="false" customHeight="false" outlineLevel="0" collapsed="false">
      <c r="A1345" s="68" t="n">
        <v>134</v>
      </c>
      <c r="B1345" s="68" t="s">
        <v>690</v>
      </c>
      <c r="C1345" s="68" t="s">
        <v>501</v>
      </c>
      <c r="D1345" s="68" t="s">
        <v>1207</v>
      </c>
      <c r="E1345" s="68" t="s">
        <v>369</v>
      </c>
      <c r="F1345" s="68" t="s">
        <v>369</v>
      </c>
      <c r="G1345" s="68" t="s">
        <v>2033</v>
      </c>
      <c r="H1345" s="68" t="s">
        <v>1367</v>
      </c>
    </row>
    <row r="1346" customFormat="false" ht="15" hidden="false" customHeight="false" outlineLevel="0" collapsed="false">
      <c r="A1346" s="68" t="n">
        <v>134</v>
      </c>
      <c r="B1346" s="68" t="s">
        <v>690</v>
      </c>
      <c r="C1346" s="68" t="s">
        <v>501</v>
      </c>
      <c r="D1346" s="68" t="s">
        <v>1584</v>
      </c>
      <c r="E1346" s="68" t="s">
        <v>1605</v>
      </c>
      <c r="F1346" s="68" t="s">
        <v>1606</v>
      </c>
      <c r="G1346" s="68" t="s">
        <v>2033</v>
      </c>
      <c r="H1346" s="68" t="s">
        <v>1367</v>
      </c>
    </row>
    <row r="1347" customFormat="false" ht="15" hidden="false" customHeight="false" outlineLevel="0" collapsed="false">
      <c r="A1347" s="68" t="n">
        <v>134</v>
      </c>
      <c r="B1347" s="68" t="s">
        <v>690</v>
      </c>
      <c r="C1347" s="68" t="s">
        <v>501</v>
      </c>
      <c r="D1347" s="68" t="s">
        <v>258</v>
      </c>
      <c r="E1347" s="68" t="s">
        <v>304</v>
      </c>
      <c r="F1347" s="68" t="s">
        <v>1469</v>
      </c>
      <c r="G1347" s="68"/>
      <c r="H1347" s="85" t="s">
        <v>1369</v>
      </c>
    </row>
    <row r="1348" customFormat="false" ht="15" hidden="false" customHeight="false" outlineLevel="0" collapsed="false">
      <c r="A1348" s="68" t="n">
        <v>134</v>
      </c>
      <c r="B1348" s="68" t="s">
        <v>690</v>
      </c>
      <c r="C1348" s="68" t="s">
        <v>501</v>
      </c>
      <c r="D1348" s="68" t="s">
        <v>923</v>
      </c>
      <c r="E1348" s="68" t="s">
        <v>363</v>
      </c>
      <c r="F1348" s="68" t="s">
        <v>363</v>
      </c>
      <c r="G1348" s="68" t="s">
        <v>2145</v>
      </c>
      <c r="H1348" s="68" t="s">
        <v>1367</v>
      </c>
    </row>
    <row r="1349" customFormat="false" ht="15" hidden="false" customHeight="false" outlineLevel="0" collapsed="false">
      <c r="A1349" s="68" t="n">
        <v>134</v>
      </c>
      <c r="B1349" s="68" t="s">
        <v>690</v>
      </c>
      <c r="C1349" s="68" t="s">
        <v>501</v>
      </c>
      <c r="D1349" s="68" t="s">
        <v>1386</v>
      </c>
      <c r="E1349" s="68" t="n">
        <v>10000</v>
      </c>
      <c r="F1349" s="68" t="n">
        <v>10000</v>
      </c>
      <c r="G1349" s="68" t="s">
        <v>2145</v>
      </c>
      <c r="H1349" s="68" t="s">
        <v>1367</v>
      </c>
    </row>
    <row r="1350" customFormat="false" ht="15" hidden="false" customHeight="false" outlineLevel="0" collapsed="false">
      <c r="A1350" s="68" t="n">
        <v>135</v>
      </c>
      <c r="B1350" s="68" t="s">
        <v>690</v>
      </c>
      <c r="C1350" s="68" t="s">
        <v>711</v>
      </c>
      <c r="D1350" s="68" t="s">
        <v>243</v>
      </c>
      <c r="E1350" s="68" t="s">
        <v>710</v>
      </c>
      <c r="F1350" s="68" t="s">
        <v>710</v>
      </c>
      <c r="G1350" s="68" t="s">
        <v>2036</v>
      </c>
      <c r="H1350" s="68" t="s">
        <v>1367</v>
      </c>
    </row>
    <row r="1351" customFormat="false" ht="15" hidden="false" customHeight="false" outlineLevel="0" collapsed="false">
      <c r="A1351" s="68" t="n">
        <v>135</v>
      </c>
      <c r="B1351" s="68" t="s">
        <v>690</v>
      </c>
      <c r="C1351" s="68" t="s">
        <v>711</v>
      </c>
      <c r="D1351" s="68" t="s">
        <v>260</v>
      </c>
      <c r="E1351" s="68" t="n">
        <v>2</v>
      </c>
      <c r="F1351" s="68" t="n">
        <v>2</v>
      </c>
      <c r="G1351" s="68" t="s">
        <v>2037</v>
      </c>
      <c r="H1351" s="68" t="s">
        <v>1367</v>
      </c>
    </row>
    <row r="1352" customFormat="false" ht="15" hidden="false" customHeight="false" outlineLevel="0" collapsed="false">
      <c r="A1352" s="68" t="n">
        <v>135</v>
      </c>
      <c r="B1352" s="68" t="s">
        <v>690</v>
      </c>
      <c r="C1352" s="68" t="s">
        <v>711</v>
      </c>
      <c r="D1352" s="68" t="s">
        <v>246</v>
      </c>
      <c r="E1352" s="68" t="s">
        <v>132</v>
      </c>
      <c r="F1352" s="68" t="s">
        <v>1576</v>
      </c>
      <c r="G1352" s="68" t="s">
        <v>2036</v>
      </c>
      <c r="H1352" s="68" t="s">
        <v>1367</v>
      </c>
    </row>
    <row r="1353" customFormat="false" ht="15" hidden="false" customHeight="false" outlineLevel="0" collapsed="false">
      <c r="A1353" s="68" t="n">
        <v>135</v>
      </c>
      <c r="B1353" s="68" t="s">
        <v>690</v>
      </c>
      <c r="C1353" s="68" t="s">
        <v>711</v>
      </c>
      <c r="D1353" s="68" t="s">
        <v>261</v>
      </c>
      <c r="E1353" s="68" t="s">
        <v>306</v>
      </c>
      <c r="F1353" s="68" t="s">
        <v>1576</v>
      </c>
      <c r="G1353" s="68" t="s">
        <v>2036</v>
      </c>
      <c r="H1353" s="68" t="s">
        <v>1367</v>
      </c>
    </row>
    <row r="1354" customFormat="false" ht="15" hidden="false" customHeight="false" outlineLevel="0" collapsed="false">
      <c r="A1354" s="68" t="n">
        <v>135</v>
      </c>
      <c r="B1354" s="68" t="s">
        <v>690</v>
      </c>
      <c r="C1354" s="68" t="s">
        <v>711</v>
      </c>
      <c r="D1354" s="68" t="s">
        <v>880</v>
      </c>
      <c r="E1354" s="68" t="s">
        <v>115</v>
      </c>
      <c r="F1354" s="68" t="s">
        <v>1612</v>
      </c>
      <c r="G1354" s="68" t="s">
        <v>2036</v>
      </c>
      <c r="H1354" s="68" t="s">
        <v>1367</v>
      </c>
    </row>
    <row r="1355" customFormat="false" ht="15" hidden="false" customHeight="false" outlineLevel="0" collapsed="false">
      <c r="A1355" s="68" t="n">
        <v>135</v>
      </c>
      <c r="B1355" s="68" t="s">
        <v>690</v>
      </c>
      <c r="C1355" s="68" t="s">
        <v>711</v>
      </c>
      <c r="D1355" s="68" t="s">
        <v>248</v>
      </c>
      <c r="E1355" s="68" t="n">
        <v>15</v>
      </c>
      <c r="F1355" s="68" t="n">
        <v>15</v>
      </c>
      <c r="G1355" s="68" t="s">
        <v>2036</v>
      </c>
      <c r="H1355" s="68" t="s">
        <v>1367</v>
      </c>
    </row>
    <row r="1356" customFormat="false" ht="15" hidden="false" customHeight="false" outlineLevel="0" collapsed="false">
      <c r="A1356" s="68" t="n">
        <v>135</v>
      </c>
      <c r="B1356" s="68" t="s">
        <v>690</v>
      </c>
      <c r="C1356" s="68" t="s">
        <v>711</v>
      </c>
      <c r="D1356" s="68" t="s">
        <v>249</v>
      </c>
      <c r="E1356" s="68" t="n">
        <v>27</v>
      </c>
      <c r="F1356" s="68" t="n">
        <v>27</v>
      </c>
      <c r="G1356" s="68" t="s">
        <v>2036</v>
      </c>
      <c r="H1356" s="68" t="s">
        <v>1367</v>
      </c>
    </row>
    <row r="1357" customFormat="false" ht="15" hidden="false" customHeight="false" outlineLevel="0" collapsed="false">
      <c r="A1357" s="68" t="n">
        <v>135</v>
      </c>
      <c r="B1357" s="68" t="s">
        <v>690</v>
      </c>
      <c r="C1357" s="68" t="s">
        <v>711</v>
      </c>
      <c r="D1357" s="68" t="s">
        <v>262</v>
      </c>
      <c r="E1357" s="68" t="n">
        <v>3.2</v>
      </c>
      <c r="F1357" s="68" t="n">
        <v>3.2</v>
      </c>
      <c r="G1357" s="68" t="s">
        <v>2036</v>
      </c>
      <c r="H1357" s="68" t="s">
        <v>1367</v>
      </c>
    </row>
    <row r="1358" customFormat="false" ht="15" hidden="false" customHeight="false" outlineLevel="0" collapsed="false">
      <c r="A1358" s="68" t="n">
        <v>135</v>
      </c>
      <c r="B1358" s="68" t="s">
        <v>690</v>
      </c>
      <c r="C1358" s="68" t="s">
        <v>711</v>
      </c>
      <c r="D1358" s="68" t="s">
        <v>1207</v>
      </c>
      <c r="E1358" s="68" t="s">
        <v>312</v>
      </c>
      <c r="F1358" s="68" t="s">
        <v>1583</v>
      </c>
      <c r="G1358" s="68"/>
      <c r="H1358" s="85" t="s">
        <v>1369</v>
      </c>
    </row>
    <row r="1359" customFormat="false" ht="15" hidden="false" customHeight="false" outlineLevel="0" collapsed="false">
      <c r="A1359" s="68" t="n">
        <v>135</v>
      </c>
      <c r="B1359" s="68" t="s">
        <v>690</v>
      </c>
      <c r="C1359" s="68" t="s">
        <v>711</v>
      </c>
      <c r="D1359" s="68" t="s">
        <v>1584</v>
      </c>
      <c r="E1359" s="68" t="s">
        <v>1585</v>
      </c>
      <c r="F1359" s="68" t="s">
        <v>1586</v>
      </c>
      <c r="G1359" s="68" t="s">
        <v>2036</v>
      </c>
      <c r="H1359" s="68" t="s">
        <v>1367</v>
      </c>
    </row>
    <row r="1360" customFormat="false" ht="15" hidden="false" customHeight="false" outlineLevel="0" collapsed="false">
      <c r="A1360" s="68" t="n">
        <v>135</v>
      </c>
      <c r="B1360" s="68" t="s">
        <v>690</v>
      </c>
      <c r="C1360" s="68" t="s">
        <v>711</v>
      </c>
      <c r="D1360" s="68" t="s">
        <v>258</v>
      </c>
      <c r="E1360" s="68" t="s">
        <v>304</v>
      </c>
      <c r="F1360" s="68" t="s">
        <v>1469</v>
      </c>
      <c r="G1360" s="68"/>
      <c r="H1360" s="85" t="s">
        <v>1369</v>
      </c>
    </row>
    <row r="1361" customFormat="false" ht="15" hidden="false" customHeight="false" outlineLevel="0" collapsed="false">
      <c r="A1361" s="68" t="n">
        <v>135</v>
      </c>
      <c r="B1361" s="68" t="s">
        <v>690</v>
      </c>
      <c r="C1361" s="68" t="s">
        <v>711</v>
      </c>
      <c r="D1361" s="68" t="s">
        <v>923</v>
      </c>
      <c r="E1361" s="68" t="s">
        <v>363</v>
      </c>
      <c r="F1361" s="68" t="s">
        <v>363</v>
      </c>
      <c r="G1361" s="68" t="s">
        <v>2146</v>
      </c>
      <c r="H1361" s="68" t="s">
        <v>1367</v>
      </c>
    </row>
    <row r="1362" customFormat="false" ht="15" hidden="false" customHeight="false" outlineLevel="0" collapsed="false">
      <c r="A1362" s="68" t="n">
        <v>135</v>
      </c>
      <c r="B1362" s="68" t="s">
        <v>690</v>
      </c>
      <c r="C1362" s="68" t="s">
        <v>711</v>
      </c>
      <c r="D1362" s="68" t="s">
        <v>1386</v>
      </c>
      <c r="E1362" s="68" t="n">
        <v>35000</v>
      </c>
      <c r="F1362" s="68" t="n">
        <v>35000</v>
      </c>
      <c r="G1362" s="68" t="s">
        <v>2146</v>
      </c>
      <c r="H1362" s="68" t="s">
        <v>1367</v>
      </c>
    </row>
    <row r="1363" customFormat="false" ht="15" hidden="false" customHeight="false" outlineLevel="0" collapsed="false">
      <c r="A1363" s="68" t="n">
        <v>136</v>
      </c>
      <c r="B1363" s="68" t="s">
        <v>690</v>
      </c>
      <c r="C1363" s="68" t="s">
        <v>714</v>
      </c>
      <c r="D1363" s="68" t="s">
        <v>243</v>
      </c>
      <c r="E1363" s="68" t="s">
        <v>704</v>
      </c>
      <c r="F1363" s="68" t="s">
        <v>704</v>
      </c>
      <c r="G1363" s="68" t="s">
        <v>2039</v>
      </c>
      <c r="H1363" s="68" t="s">
        <v>1367</v>
      </c>
    </row>
    <row r="1364" customFormat="false" ht="15" hidden="false" customHeight="false" outlineLevel="0" collapsed="false">
      <c r="A1364" s="68" t="n">
        <v>136</v>
      </c>
      <c r="B1364" s="68" t="s">
        <v>690</v>
      </c>
      <c r="C1364" s="68" t="s">
        <v>714</v>
      </c>
      <c r="D1364" s="68" t="s">
        <v>260</v>
      </c>
      <c r="E1364" s="68" t="n">
        <v>3</v>
      </c>
      <c r="F1364" s="68" t="n">
        <v>3</v>
      </c>
      <c r="G1364" s="68" t="s">
        <v>2040</v>
      </c>
      <c r="H1364" s="68" t="s">
        <v>1367</v>
      </c>
    </row>
    <row r="1365" customFormat="false" ht="15" hidden="false" customHeight="false" outlineLevel="0" collapsed="false">
      <c r="A1365" s="68" t="n">
        <v>136</v>
      </c>
      <c r="B1365" s="68" t="s">
        <v>690</v>
      </c>
      <c r="C1365" s="68" t="s">
        <v>714</v>
      </c>
      <c r="D1365" s="68" t="s">
        <v>246</v>
      </c>
      <c r="E1365" s="68" t="s">
        <v>153</v>
      </c>
      <c r="F1365" s="68" t="s">
        <v>1621</v>
      </c>
      <c r="G1365" s="68" t="s">
        <v>2039</v>
      </c>
      <c r="H1365" s="68" t="s">
        <v>1367</v>
      </c>
    </row>
    <row r="1366" customFormat="false" ht="15" hidden="false" customHeight="false" outlineLevel="0" collapsed="false">
      <c r="A1366" s="68" t="n">
        <v>136</v>
      </c>
      <c r="B1366" s="68" t="s">
        <v>690</v>
      </c>
      <c r="C1366" s="68" t="s">
        <v>714</v>
      </c>
      <c r="D1366" s="68" t="s">
        <v>261</v>
      </c>
      <c r="E1366" s="68" t="s">
        <v>306</v>
      </c>
      <c r="F1366" s="68" t="s">
        <v>1621</v>
      </c>
      <c r="G1366" s="68" t="s">
        <v>2039</v>
      </c>
      <c r="H1366" s="68" t="s">
        <v>1367</v>
      </c>
    </row>
    <row r="1367" customFormat="false" ht="15" hidden="false" customHeight="false" outlineLevel="0" collapsed="false">
      <c r="A1367" s="68" t="n">
        <v>136</v>
      </c>
      <c r="B1367" s="68" t="s">
        <v>690</v>
      </c>
      <c r="C1367" s="68" t="s">
        <v>714</v>
      </c>
      <c r="D1367" s="68" t="s">
        <v>880</v>
      </c>
      <c r="E1367" s="68" t="s">
        <v>115</v>
      </c>
      <c r="F1367" s="68" t="s">
        <v>1612</v>
      </c>
      <c r="G1367" s="68" t="s">
        <v>2039</v>
      </c>
      <c r="H1367" s="68" t="s">
        <v>1367</v>
      </c>
    </row>
    <row r="1368" customFormat="false" ht="15" hidden="false" customHeight="false" outlineLevel="0" collapsed="false">
      <c r="A1368" s="68" t="n">
        <v>136</v>
      </c>
      <c r="B1368" s="68" t="s">
        <v>690</v>
      </c>
      <c r="C1368" s="68" t="s">
        <v>714</v>
      </c>
      <c r="D1368" s="68" t="s">
        <v>248</v>
      </c>
      <c r="E1368" s="68" t="n">
        <v>44</v>
      </c>
      <c r="F1368" s="68" t="n">
        <v>44</v>
      </c>
      <c r="G1368" s="68" t="s">
        <v>2039</v>
      </c>
      <c r="H1368" s="68" t="s">
        <v>1367</v>
      </c>
    </row>
    <row r="1369" customFormat="false" ht="15" hidden="false" customHeight="false" outlineLevel="0" collapsed="false">
      <c r="A1369" s="68" t="n">
        <v>136</v>
      </c>
      <c r="B1369" s="68" t="s">
        <v>690</v>
      </c>
      <c r="C1369" s="68" t="s">
        <v>714</v>
      </c>
      <c r="D1369" s="68" t="s">
        <v>249</v>
      </c>
      <c r="E1369" s="68" t="n">
        <v>385</v>
      </c>
      <c r="F1369" s="68" t="n">
        <v>385</v>
      </c>
      <c r="G1369" s="68" t="s">
        <v>2039</v>
      </c>
      <c r="H1369" s="68" t="s">
        <v>1367</v>
      </c>
    </row>
    <row r="1370" customFormat="false" ht="15" hidden="false" customHeight="false" outlineLevel="0" collapsed="false">
      <c r="A1370" s="68" t="n">
        <v>136</v>
      </c>
      <c r="B1370" s="68" t="s">
        <v>690</v>
      </c>
      <c r="C1370" s="68" t="s">
        <v>714</v>
      </c>
      <c r="D1370" s="68" t="s">
        <v>262</v>
      </c>
      <c r="E1370" s="68" t="n">
        <v>48.2</v>
      </c>
      <c r="F1370" s="68" t="n">
        <v>48.2</v>
      </c>
      <c r="G1370" s="68" t="s">
        <v>2039</v>
      </c>
      <c r="H1370" s="68" t="s">
        <v>1367</v>
      </c>
    </row>
    <row r="1371" customFormat="false" ht="15" hidden="false" customHeight="false" outlineLevel="0" collapsed="false">
      <c r="A1371" s="68" t="n">
        <v>136</v>
      </c>
      <c r="B1371" s="68" t="s">
        <v>690</v>
      </c>
      <c r="C1371" s="68" t="s">
        <v>714</v>
      </c>
      <c r="D1371" s="68" t="s">
        <v>1207</v>
      </c>
      <c r="E1371" s="68" t="s">
        <v>369</v>
      </c>
      <c r="F1371" s="68" t="s">
        <v>369</v>
      </c>
      <c r="G1371" s="68" t="s">
        <v>2039</v>
      </c>
      <c r="H1371" s="68" t="s">
        <v>1367</v>
      </c>
    </row>
    <row r="1372" customFormat="false" ht="15" hidden="false" customHeight="false" outlineLevel="0" collapsed="false">
      <c r="A1372" s="68" t="n">
        <v>136</v>
      </c>
      <c r="B1372" s="68" t="s">
        <v>690</v>
      </c>
      <c r="C1372" s="68" t="s">
        <v>714</v>
      </c>
      <c r="D1372" s="68" t="s">
        <v>1584</v>
      </c>
      <c r="E1372" s="68" t="s">
        <v>1585</v>
      </c>
      <c r="F1372" s="68" t="s">
        <v>1586</v>
      </c>
      <c r="G1372" s="68" t="s">
        <v>2039</v>
      </c>
      <c r="H1372" s="68" t="s">
        <v>1367</v>
      </c>
    </row>
    <row r="1373" customFormat="false" ht="15" hidden="false" customHeight="false" outlineLevel="0" collapsed="false">
      <c r="A1373" s="68" t="n">
        <v>136</v>
      </c>
      <c r="B1373" s="68" t="s">
        <v>690</v>
      </c>
      <c r="C1373" s="68" t="s">
        <v>714</v>
      </c>
      <c r="D1373" s="68" t="s">
        <v>258</v>
      </c>
      <c r="E1373" s="68" t="s">
        <v>304</v>
      </c>
      <c r="F1373" s="68" t="s">
        <v>1469</v>
      </c>
      <c r="G1373" s="68"/>
      <c r="H1373" s="85" t="s">
        <v>1369</v>
      </c>
    </row>
    <row r="1374" customFormat="false" ht="15" hidden="false" customHeight="false" outlineLevel="0" collapsed="false">
      <c r="A1374" s="68" t="n">
        <v>136</v>
      </c>
      <c r="B1374" s="68" t="s">
        <v>690</v>
      </c>
      <c r="C1374" s="68" t="s">
        <v>714</v>
      </c>
      <c r="D1374" s="68" t="s">
        <v>923</v>
      </c>
      <c r="E1374" s="68" t="s">
        <v>363</v>
      </c>
      <c r="F1374" s="68" t="s">
        <v>363</v>
      </c>
      <c r="G1374" s="68" t="s">
        <v>2147</v>
      </c>
      <c r="H1374" s="68" t="s">
        <v>1367</v>
      </c>
    </row>
    <row r="1375" customFormat="false" ht="15" hidden="false" customHeight="false" outlineLevel="0" collapsed="false">
      <c r="A1375" s="68" t="n">
        <v>136</v>
      </c>
      <c r="B1375" s="68" t="s">
        <v>690</v>
      </c>
      <c r="C1375" s="68" t="s">
        <v>714</v>
      </c>
      <c r="D1375" s="68" t="s">
        <v>1386</v>
      </c>
      <c r="E1375" s="68" t="n">
        <v>180000</v>
      </c>
      <c r="F1375" s="68" t="n">
        <v>180000</v>
      </c>
      <c r="G1375" s="68" t="s">
        <v>2147</v>
      </c>
      <c r="H1375" s="68" t="s">
        <v>1367</v>
      </c>
    </row>
    <row r="1376" customFormat="false" ht="15" hidden="false" customHeight="false" outlineLevel="0" collapsed="false">
      <c r="A1376" s="68" t="n">
        <v>137</v>
      </c>
      <c r="B1376" s="68" t="s">
        <v>690</v>
      </c>
      <c r="C1376" s="68" t="s">
        <v>509</v>
      </c>
      <c r="D1376" s="68" t="s">
        <v>243</v>
      </c>
      <c r="E1376" s="68" t="s">
        <v>516</v>
      </c>
      <c r="F1376" s="68" t="s">
        <v>516</v>
      </c>
      <c r="G1376" s="68" t="s">
        <v>2042</v>
      </c>
      <c r="H1376" s="68" t="s">
        <v>1367</v>
      </c>
    </row>
    <row r="1377" customFormat="false" ht="15" hidden="false" customHeight="false" outlineLevel="0" collapsed="false">
      <c r="A1377" s="68" t="n">
        <v>137</v>
      </c>
      <c r="B1377" s="68" t="s">
        <v>690</v>
      </c>
      <c r="C1377" s="68" t="s">
        <v>509</v>
      </c>
      <c r="D1377" s="68" t="s">
        <v>260</v>
      </c>
      <c r="E1377" s="68" t="n">
        <v>2</v>
      </c>
      <c r="F1377" s="68" t="n">
        <v>2</v>
      </c>
      <c r="G1377" s="68" t="s">
        <v>2043</v>
      </c>
      <c r="H1377" s="68" t="s">
        <v>1367</v>
      </c>
    </row>
    <row r="1378" customFormat="false" ht="15" hidden="false" customHeight="false" outlineLevel="0" collapsed="false">
      <c r="A1378" s="68" t="n">
        <v>137</v>
      </c>
      <c r="B1378" s="68" t="s">
        <v>690</v>
      </c>
      <c r="C1378" s="68" t="s">
        <v>509</v>
      </c>
      <c r="D1378" s="68" t="s">
        <v>246</v>
      </c>
      <c r="E1378" s="68" t="s">
        <v>132</v>
      </c>
      <c r="F1378" s="68" t="s">
        <v>1576</v>
      </c>
      <c r="G1378" s="68" t="s">
        <v>2042</v>
      </c>
      <c r="H1378" s="68" t="s">
        <v>1367</v>
      </c>
    </row>
    <row r="1379" customFormat="false" ht="15" hidden="false" customHeight="false" outlineLevel="0" collapsed="false">
      <c r="A1379" s="68" t="n">
        <v>137</v>
      </c>
      <c r="B1379" s="68" t="s">
        <v>690</v>
      </c>
      <c r="C1379" s="68" t="s">
        <v>509</v>
      </c>
      <c r="D1379" s="68" t="s">
        <v>261</v>
      </c>
      <c r="E1379" s="68" t="s">
        <v>306</v>
      </c>
      <c r="F1379" s="68" t="s">
        <v>1576</v>
      </c>
      <c r="G1379" s="68" t="s">
        <v>2042</v>
      </c>
      <c r="H1379" s="68" t="s">
        <v>1367</v>
      </c>
    </row>
    <row r="1380" customFormat="false" ht="15" hidden="false" customHeight="false" outlineLevel="0" collapsed="false">
      <c r="A1380" s="68" t="n">
        <v>137</v>
      </c>
      <c r="B1380" s="68" t="s">
        <v>690</v>
      </c>
      <c r="C1380" s="68" t="s">
        <v>509</v>
      </c>
      <c r="D1380" s="68" t="s">
        <v>880</v>
      </c>
      <c r="E1380" s="68" t="s">
        <v>90</v>
      </c>
      <c r="F1380" s="68" t="s">
        <v>1660</v>
      </c>
      <c r="G1380" s="68" t="s">
        <v>2042</v>
      </c>
      <c r="H1380" s="68" t="s">
        <v>1367</v>
      </c>
    </row>
    <row r="1381" customFormat="false" ht="15" hidden="false" customHeight="false" outlineLevel="0" collapsed="false">
      <c r="A1381" s="68" t="n">
        <v>137</v>
      </c>
      <c r="B1381" s="68" t="s">
        <v>690</v>
      </c>
      <c r="C1381" s="68" t="s">
        <v>509</v>
      </c>
      <c r="D1381" s="68" t="s">
        <v>248</v>
      </c>
      <c r="E1381" s="68" t="n">
        <v>10</v>
      </c>
      <c r="F1381" s="68" t="n">
        <v>10</v>
      </c>
      <c r="G1381" s="68" t="s">
        <v>2042</v>
      </c>
      <c r="H1381" s="68" t="s">
        <v>1367</v>
      </c>
    </row>
    <row r="1382" customFormat="false" ht="15" hidden="false" customHeight="false" outlineLevel="0" collapsed="false">
      <c r="A1382" s="68" t="n">
        <v>137</v>
      </c>
      <c r="B1382" s="68" t="s">
        <v>690</v>
      </c>
      <c r="C1382" s="68" t="s">
        <v>509</v>
      </c>
      <c r="D1382" s="68" t="s">
        <v>249</v>
      </c>
      <c r="E1382" s="68" t="n">
        <v>40</v>
      </c>
      <c r="F1382" s="68" t="n">
        <v>40</v>
      </c>
      <c r="G1382" s="68" t="s">
        <v>2042</v>
      </c>
      <c r="H1382" s="68" t="s">
        <v>1367</v>
      </c>
    </row>
    <row r="1383" customFormat="false" ht="15" hidden="false" customHeight="false" outlineLevel="0" collapsed="false">
      <c r="A1383" s="68" t="n">
        <v>137</v>
      </c>
      <c r="B1383" s="68" t="s">
        <v>690</v>
      </c>
      <c r="C1383" s="68" t="s">
        <v>509</v>
      </c>
      <c r="D1383" s="68" t="s">
        <v>262</v>
      </c>
      <c r="E1383" s="68" t="n">
        <v>6.8</v>
      </c>
      <c r="F1383" s="68" t="n">
        <v>6.8</v>
      </c>
      <c r="G1383" s="68" t="s">
        <v>2042</v>
      </c>
      <c r="H1383" s="68" t="s">
        <v>1367</v>
      </c>
    </row>
    <row r="1384" customFormat="false" ht="15" hidden="false" customHeight="false" outlineLevel="0" collapsed="false">
      <c r="A1384" s="68" t="n">
        <v>137</v>
      </c>
      <c r="B1384" s="68" t="s">
        <v>690</v>
      </c>
      <c r="C1384" s="68" t="s">
        <v>509</v>
      </c>
      <c r="D1384" s="68" t="s">
        <v>1207</v>
      </c>
      <c r="E1384" s="68" t="s">
        <v>312</v>
      </c>
      <c r="F1384" s="68" t="s">
        <v>1583</v>
      </c>
      <c r="G1384" s="68"/>
      <c r="H1384" s="85" t="s">
        <v>1369</v>
      </c>
    </row>
    <row r="1385" customFormat="false" ht="15" hidden="false" customHeight="false" outlineLevel="0" collapsed="false">
      <c r="A1385" s="68" t="n">
        <v>137</v>
      </c>
      <c r="B1385" s="68" t="s">
        <v>690</v>
      </c>
      <c r="C1385" s="68" t="s">
        <v>509</v>
      </c>
      <c r="D1385" s="68" t="s">
        <v>1584</v>
      </c>
      <c r="E1385" s="68" t="s">
        <v>1585</v>
      </c>
      <c r="F1385" s="68" t="s">
        <v>1586</v>
      </c>
      <c r="G1385" s="68" t="s">
        <v>2042</v>
      </c>
      <c r="H1385" s="68" t="s">
        <v>1367</v>
      </c>
    </row>
    <row r="1386" customFormat="false" ht="15" hidden="false" customHeight="false" outlineLevel="0" collapsed="false">
      <c r="A1386" s="68" t="n">
        <v>137</v>
      </c>
      <c r="B1386" s="68" t="s">
        <v>690</v>
      </c>
      <c r="C1386" s="68" t="s">
        <v>509</v>
      </c>
      <c r="D1386" s="68" t="s">
        <v>258</v>
      </c>
      <c r="E1386" s="68" t="s">
        <v>304</v>
      </c>
      <c r="F1386" s="68" t="s">
        <v>1469</v>
      </c>
      <c r="G1386" s="68"/>
      <c r="H1386" s="85" t="s">
        <v>1369</v>
      </c>
    </row>
    <row r="1387" customFormat="false" ht="15" hidden="false" customHeight="false" outlineLevel="0" collapsed="false">
      <c r="A1387" s="68" t="n">
        <v>137</v>
      </c>
      <c r="B1387" s="68" t="s">
        <v>690</v>
      </c>
      <c r="C1387" s="68" t="s">
        <v>509</v>
      </c>
      <c r="D1387" s="68" t="s">
        <v>923</v>
      </c>
      <c r="E1387" s="68" t="s">
        <v>363</v>
      </c>
      <c r="F1387" s="68" t="s">
        <v>363</v>
      </c>
      <c r="G1387" s="68" t="s">
        <v>2148</v>
      </c>
      <c r="H1387" s="68" t="s">
        <v>1367</v>
      </c>
    </row>
    <row r="1388" customFormat="false" ht="15" hidden="false" customHeight="false" outlineLevel="0" collapsed="false">
      <c r="A1388" s="68" t="n">
        <v>137</v>
      </c>
      <c r="B1388" s="68" t="s">
        <v>690</v>
      </c>
      <c r="C1388" s="68" t="s">
        <v>509</v>
      </c>
      <c r="D1388" s="68" t="s">
        <v>1386</v>
      </c>
      <c r="E1388" s="68" t="n">
        <v>15000</v>
      </c>
      <c r="F1388" s="68" t="n">
        <v>15000</v>
      </c>
      <c r="G1388" s="68" t="s">
        <v>2148</v>
      </c>
      <c r="H1388" s="68" t="s">
        <v>1367</v>
      </c>
    </row>
    <row r="1389" customFormat="false" ht="15" hidden="false" customHeight="false" outlineLevel="0" collapsed="false">
      <c r="A1389" s="68" t="n">
        <v>138</v>
      </c>
      <c r="B1389" s="68" t="s">
        <v>690</v>
      </c>
      <c r="C1389" s="68" t="s">
        <v>581</v>
      </c>
      <c r="D1389" s="68" t="s">
        <v>243</v>
      </c>
      <c r="E1389" s="68" t="s">
        <v>529</v>
      </c>
      <c r="F1389" s="68" t="s">
        <v>529</v>
      </c>
      <c r="G1389" s="68" t="s">
        <v>2045</v>
      </c>
      <c r="H1389" s="68" t="s">
        <v>1367</v>
      </c>
    </row>
    <row r="1390" customFormat="false" ht="15" hidden="false" customHeight="false" outlineLevel="0" collapsed="false">
      <c r="A1390" s="68" t="n">
        <v>138</v>
      </c>
      <c r="B1390" s="68" t="s">
        <v>690</v>
      </c>
      <c r="C1390" s="68" t="s">
        <v>581</v>
      </c>
      <c r="D1390" s="68" t="s">
        <v>260</v>
      </c>
      <c r="E1390" s="68" t="n">
        <v>2</v>
      </c>
      <c r="F1390" s="68" t="n">
        <v>2</v>
      </c>
      <c r="G1390" s="68" t="s">
        <v>2046</v>
      </c>
      <c r="H1390" s="68" t="s">
        <v>1367</v>
      </c>
    </row>
    <row r="1391" customFormat="false" ht="15" hidden="false" customHeight="false" outlineLevel="0" collapsed="false">
      <c r="A1391" s="68" t="n">
        <v>138</v>
      </c>
      <c r="B1391" s="68" t="s">
        <v>690</v>
      </c>
      <c r="C1391" s="68" t="s">
        <v>581</v>
      </c>
      <c r="D1391" s="68" t="s">
        <v>246</v>
      </c>
      <c r="E1391" s="68" t="s">
        <v>132</v>
      </c>
      <c r="F1391" s="68" t="s">
        <v>1576</v>
      </c>
      <c r="G1391" s="68" t="s">
        <v>2045</v>
      </c>
      <c r="H1391" s="68" t="s">
        <v>1367</v>
      </c>
    </row>
    <row r="1392" customFormat="false" ht="15" hidden="false" customHeight="false" outlineLevel="0" collapsed="false">
      <c r="A1392" s="68" t="n">
        <v>138</v>
      </c>
      <c r="B1392" s="68" t="s">
        <v>690</v>
      </c>
      <c r="C1392" s="68" t="s">
        <v>581</v>
      </c>
      <c r="D1392" s="68" t="s">
        <v>261</v>
      </c>
      <c r="E1392" s="68" t="s">
        <v>306</v>
      </c>
      <c r="F1392" s="68" t="s">
        <v>1576</v>
      </c>
      <c r="G1392" s="68" t="s">
        <v>2045</v>
      </c>
      <c r="H1392" s="68" t="s">
        <v>1367</v>
      </c>
    </row>
    <row r="1393" customFormat="false" ht="15" hidden="false" customHeight="false" outlineLevel="0" collapsed="false">
      <c r="A1393" s="68" t="n">
        <v>138</v>
      </c>
      <c r="B1393" s="68" t="s">
        <v>690</v>
      </c>
      <c r="C1393" s="68" t="s">
        <v>581</v>
      </c>
      <c r="D1393" s="68" t="s">
        <v>880</v>
      </c>
      <c r="E1393" s="68" t="s">
        <v>115</v>
      </c>
      <c r="F1393" s="68" t="s">
        <v>1612</v>
      </c>
      <c r="G1393" s="68" t="s">
        <v>2045</v>
      </c>
      <c r="H1393" s="68" t="s">
        <v>1367</v>
      </c>
    </row>
    <row r="1394" customFormat="false" ht="15" hidden="false" customHeight="false" outlineLevel="0" collapsed="false">
      <c r="A1394" s="68" t="n">
        <v>138</v>
      </c>
      <c r="B1394" s="68" t="s">
        <v>690</v>
      </c>
      <c r="C1394" s="68" t="s">
        <v>581</v>
      </c>
      <c r="D1394" s="68" t="s">
        <v>248</v>
      </c>
      <c r="E1394" s="68" t="n">
        <v>25</v>
      </c>
      <c r="F1394" s="68" t="n">
        <v>25</v>
      </c>
      <c r="G1394" s="68" t="s">
        <v>2045</v>
      </c>
      <c r="H1394" s="68" t="s">
        <v>1367</v>
      </c>
    </row>
    <row r="1395" customFormat="false" ht="15" hidden="false" customHeight="false" outlineLevel="0" collapsed="false">
      <c r="A1395" s="68" t="n">
        <v>138</v>
      </c>
      <c r="B1395" s="68" t="s">
        <v>690</v>
      </c>
      <c r="C1395" s="68" t="s">
        <v>581</v>
      </c>
      <c r="D1395" s="68" t="s">
        <v>249</v>
      </c>
      <c r="E1395" s="68" t="n">
        <v>55</v>
      </c>
      <c r="F1395" s="68" t="n">
        <v>55</v>
      </c>
      <c r="G1395" s="68" t="s">
        <v>2045</v>
      </c>
      <c r="H1395" s="68" t="s">
        <v>1367</v>
      </c>
    </row>
    <row r="1396" customFormat="false" ht="15" hidden="false" customHeight="false" outlineLevel="0" collapsed="false">
      <c r="A1396" s="68" t="n">
        <v>138</v>
      </c>
      <c r="B1396" s="68" t="s">
        <v>690</v>
      </c>
      <c r="C1396" s="68" t="s">
        <v>581</v>
      </c>
      <c r="D1396" s="68" t="s">
        <v>262</v>
      </c>
      <c r="E1396" s="68" t="n">
        <v>5</v>
      </c>
      <c r="F1396" s="68" t="n">
        <v>5</v>
      </c>
      <c r="G1396" s="68" t="s">
        <v>2045</v>
      </c>
      <c r="H1396" s="68" t="s">
        <v>1367</v>
      </c>
    </row>
    <row r="1397" customFormat="false" ht="15" hidden="false" customHeight="false" outlineLevel="0" collapsed="false">
      <c r="A1397" s="68" t="n">
        <v>138</v>
      </c>
      <c r="B1397" s="68" t="s">
        <v>690</v>
      </c>
      <c r="C1397" s="68" t="s">
        <v>581</v>
      </c>
      <c r="D1397" s="68" t="s">
        <v>1207</v>
      </c>
      <c r="E1397" s="68" t="s">
        <v>369</v>
      </c>
      <c r="F1397" s="68" t="s">
        <v>369</v>
      </c>
      <c r="G1397" s="68" t="s">
        <v>2045</v>
      </c>
      <c r="H1397" s="68" t="s">
        <v>1367</v>
      </c>
    </row>
    <row r="1398" customFormat="false" ht="15" hidden="false" customHeight="false" outlineLevel="0" collapsed="false">
      <c r="A1398" s="68" t="n">
        <v>138</v>
      </c>
      <c r="B1398" s="68" t="s">
        <v>690</v>
      </c>
      <c r="C1398" s="68" t="s">
        <v>581</v>
      </c>
      <c r="D1398" s="68" t="s">
        <v>1584</v>
      </c>
      <c r="E1398" s="68" t="s">
        <v>1585</v>
      </c>
      <c r="F1398" s="68" t="s">
        <v>1586</v>
      </c>
      <c r="G1398" s="68" t="s">
        <v>2045</v>
      </c>
      <c r="H1398" s="68" t="s">
        <v>1367</v>
      </c>
    </row>
    <row r="1399" customFormat="false" ht="15" hidden="false" customHeight="false" outlineLevel="0" collapsed="false">
      <c r="A1399" s="68" t="n">
        <v>138</v>
      </c>
      <c r="B1399" s="68" t="s">
        <v>690</v>
      </c>
      <c r="C1399" s="68" t="s">
        <v>581</v>
      </c>
      <c r="D1399" s="68" t="s">
        <v>258</v>
      </c>
      <c r="E1399" s="68" t="s">
        <v>304</v>
      </c>
      <c r="F1399" s="68" t="s">
        <v>1469</v>
      </c>
      <c r="G1399" s="68"/>
      <c r="H1399" s="85" t="s">
        <v>1369</v>
      </c>
    </row>
    <row r="1400" customFormat="false" ht="15" hidden="false" customHeight="false" outlineLevel="0" collapsed="false">
      <c r="A1400" s="68" t="n">
        <v>138</v>
      </c>
      <c r="B1400" s="68" t="s">
        <v>690</v>
      </c>
      <c r="C1400" s="68" t="s">
        <v>581</v>
      </c>
      <c r="D1400" s="68" t="s">
        <v>923</v>
      </c>
      <c r="E1400" s="68" t="s">
        <v>363</v>
      </c>
      <c r="F1400" s="68" t="s">
        <v>363</v>
      </c>
      <c r="G1400" s="68" t="s">
        <v>2149</v>
      </c>
      <c r="H1400" s="68" t="s">
        <v>1367</v>
      </c>
    </row>
    <row r="1401" customFormat="false" ht="15" hidden="false" customHeight="false" outlineLevel="0" collapsed="false">
      <c r="A1401" s="68" t="n">
        <v>138</v>
      </c>
      <c r="B1401" s="68" t="s">
        <v>690</v>
      </c>
      <c r="C1401" s="68" t="s">
        <v>581</v>
      </c>
      <c r="D1401" s="68" t="s">
        <v>1386</v>
      </c>
      <c r="E1401" s="68" t="n">
        <v>32000</v>
      </c>
      <c r="F1401" s="68" t="n">
        <v>32000</v>
      </c>
      <c r="G1401" s="68" t="s">
        <v>2149</v>
      </c>
      <c r="H1401" s="68" t="s">
        <v>1367</v>
      </c>
    </row>
    <row r="1402" customFormat="false" ht="15" hidden="false" customHeight="false" outlineLevel="0" collapsed="false">
      <c r="A1402" s="68" t="n">
        <v>139</v>
      </c>
      <c r="B1402" s="68" t="s">
        <v>690</v>
      </c>
      <c r="C1402" s="68" t="s">
        <v>584</v>
      </c>
      <c r="D1402" s="68" t="s">
        <v>243</v>
      </c>
      <c r="E1402" s="68" t="s">
        <v>721</v>
      </c>
      <c r="F1402" s="68" t="s">
        <v>721</v>
      </c>
      <c r="G1402" s="68" t="s">
        <v>2048</v>
      </c>
      <c r="H1402" s="68" t="s">
        <v>1367</v>
      </c>
    </row>
    <row r="1403" customFormat="false" ht="15" hidden="false" customHeight="false" outlineLevel="0" collapsed="false">
      <c r="A1403" s="68" t="n">
        <v>139</v>
      </c>
      <c r="B1403" s="68" t="s">
        <v>690</v>
      </c>
      <c r="C1403" s="68" t="s">
        <v>584</v>
      </c>
      <c r="D1403" s="68" t="s">
        <v>260</v>
      </c>
      <c r="E1403" s="68" t="n">
        <v>1</v>
      </c>
      <c r="F1403" s="68" t="n">
        <v>1</v>
      </c>
      <c r="G1403" s="68" t="s">
        <v>2049</v>
      </c>
      <c r="H1403" s="68" t="s">
        <v>1367</v>
      </c>
    </row>
    <row r="1404" customFormat="false" ht="15" hidden="false" customHeight="false" outlineLevel="0" collapsed="false">
      <c r="A1404" s="68" t="n">
        <v>139</v>
      </c>
      <c r="B1404" s="68" t="s">
        <v>690</v>
      </c>
      <c r="C1404" s="68" t="s">
        <v>584</v>
      </c>
      <c r="D1404" s="68" t="s">
        <v>246</v>
      </c>
      <c r="E1404" s="68" t="s">
        <v>171</v>
      </c>
      <c r="F1404" s="68" t="s">
        <v>1897</v>
      </c>
      <c r="G1404" s="68" t="s">
        <v>2048</v>
      </c>
      <c r="H1404" s="68" t="s">
        <v>1367</v>
      </c>
    </row>
    <row r="1405" customFormat="false" ht="15" hidden="false" customHeight="false" outlineLevel="0" collapsed="false">
      <c r="A1405" s="68" t="n">
        <v>139</v>
      </c>
      <c r="B1405" s="68" t="s">
        <v>690</v>
      </c>
      <c r="C1405" s="68" t="s">
        <v>584</v>
      </c>
      <c r="D1405" s="68" t="s">
        <v>261</v>
      </c>
      <c r="E1405" s="68" t="s">
        <v>306</v>
      </c>
      <c r="F1405" s="68" t="s">
        <v>1897</v>
      </c>
      <c r="G1405" s="68" t="s">
        <v>2048</v>
      </c>
      <c r="H1405" s="68" t="s">
        <v>1367</v>
      </c>
    </row>
    <row r="1406" customFormat="false" ht="15" hidden="false" customHeight="false" outlineLevel="0" collapsed="false">
      <c r="A1406" s="68" t="n">
        <v>139</v>
      </c>
      <c r="B1406" s="68" t="s">
        <v>690</v>
      </c>
      <c r="C1406" s="68" t="s">
        <v>584</v>
      </c>
      <c r="D1406" s="68" t="s">
        <v>880</v>
      </c>
      <c r="E1406" s="68" t="s">
        <v>90</v>
      </c>
      <c r="F1406" s="68" t="s">
        <v>1660</v>
      </c>
      <c r="G1406" s="68" t="s">
        <v>2048</v>
      </c>
      <c r="H1406" s="68" t="s">
        <v>1367</v>
      </c>
    </row>
    <row r="1407" customFormat="false" ht="15" hidden="false" customHeight="false" outlineLevel="0" collapsed="false">
      <c r="A1407" s="68" t="n">
        <v>139</v>
      </c>
      <c r="B1407" s="68" t="s">
        <v>690</v>
      </c>
      <c r="C1407" s="68" t="s">
        <v>584</v>
      </c>
      <c r="D1407" s="68" t="s">
        <v>248</v>
      </c>
      <c r="E1407" s="68" t="n">
        <v>5</v>
      </c>
      <c r="F1407" s="68" t="n">
        <v>5</v>
      </c>
      <c r="G1407" s="68" t="s">
        <v>2048</v>
      </c>
      <c r="H1407" s="68" t="s">
        <v>1367</v>
      </c>
    </row>
    <row r="1408" customFormat="false" ht="15" hidden="false" customHeight="false" outlineLevel="0" collapsed="false">
      <c r="A1408" s="68" t="n">
        <v>139</v>
      </c>
      <c r="B1408" s="68" t="s">
        <v>690</v>
      </c>
      <c r="C1408" s="68" t="s">
        <v>584</v>
      </c>
      <c r="D1408" s="68" t="s">
        <v>249</v>
      </c>
      <c r="E1408" s="68" t="n">
        <v>21.4</v>
      </c>
      <c r="F1408" s="68" t="n">
        <v>21.4</v>
      </c>
      <c r="G1408" s="68" t="s">
        <v>2048</v>
      </c>
      <c r="H1408" s="68" t="s">
        <v>1367</v>
      </c>
    </row>
    <row r="1409" customFormat="false" ht="15" hidden="false" customHeight="false" outlineLevel="0" collapsed="false">
      <c r="A1409" s="68" t="n">
        <v>139</v>
      </c>
      <c r="B1409" s="68" t="s">
        <v>690</v>
      </c>
      <c r="C1409" s="68" t="s">
        <v>584</v>
      </c>
      <c r="D1409" s="68" t="s">
        <v>262</v>
      </c>
      <c r="E1409" s="68" t="n">
        <v>2</v>
      </c>
      <c r="F1409" s="68" t="n">
        <v>2</v>
      </c>
      <c r="G1409" s="68" t="s">
        <v>2048</v>
      </c>
      <c r="H1409" s="68" t="s">
        <v>1367</v>
      </c>
    </row>
    <row r="1410" customFormat="false" ht="15" hidden="false" customHeight="false" outlineLevel="0" collapsed="false">
      <c r="A1410" s="68" t="n">
        <v>139</v>
      </c>
      <c r="B1410" s="68" t="s">
        <v>690</v>
      </c>
      <c r="C1410" s="68" t="s">
        <v>584</v>
      </c>
      <c r="D1410" s="68" t="s">
        <v>1207</v>
      </c>
      <c r="E1410" s="68" t="s">
        <v>312</v>
      </c>
      <c r="F1410" s="68" t="s">
        <v>1583</v>
      </c>
      <c r="G1410" s="68"/>
      <c r="H1410" s="85" t="s">
        <v>1369</v>
      </c>
    </row>
    <row r="1411" customFormat="false" ht="15" hidden="false" customHeight="false" outlineLevel="0" collapsed="false">
      <c r="A1411" s="68" t="n">
        <v>139</v>
      </c>
      <c r="B1411" s="68" t="s">
        <v>690</v>
      </c>
      <c r="C1411" s="68" t="s">
        <v>584</v>
      </c>
      <c r="D1411" s="68" t="s">
        <v>1584</v>
      </c>
      <c r="E1411" s="68" t="s">
        <v>1585</v>
      </c>
      <c r="F1411" s="68" t="s">
        <v>1586</v>
      </c>
      <c r="G1411" s="68" t="s">
        <v>2048</v>
      </c>
      <c r="H1411" s="68" t="s">
        <v>1367</v>
      </c>
    </row>
    <row r="1412" customFormat="false" ht="15" hidden="false" customHeight="false" outlineLevel="0" collapsed="false">
      <c r="A1412" s="68" t="n">
        <v>139</v>
      </c>
      <c r="B1412" s="68" t="s">
        <v>690</v>
      </c>
      <c r="C1412" s="68" t="s">
        <v>584</v>
      </c>
      <c r="D1412" s="68" t="s">
        <v>258</v>
      </c>
      <c r="E1412" s="68" t="s">
        <v>304</v>
      </c>
      <c r="F1412" s="68" t="s">
        <v>1469</v>
      </c>
      <c r="G1412" s="68"/>
      <c r="H1412" s="85" t="s">
        <v>1369</v>
      </c>
    </row>
    <row r="1413" customFormat="false" ht="15" hidden="false" customHeight="false" outlineLevel="0" collapsed="false">
      <c r="A1413" s="68" t="n">
        <v>139</v>
      </c>
      <c r="B1413" s="68" t="s">
        <v>690</v>
      </c>
      <c r="C1413" s="68" t="s">
        <v>584</v>
      </c>
      <c r="D1413" s="68" t="s">
        <v>923</v>
      </c>
      <c r="E1413" s="68" t="s">
        <v>363</v>
      </c>
      <c r="F1413" s="68" t="s">
        <v>363</v>
      </c>
      <c r="G1413" s="68" t="s">
        <v>2150</v>
      </c>
      <c r="H1413" s="68" t="s">
        <v>1367</v>
      </c>
    </row>
    <row r="1414" customFormat="false" ht="15" hidden="false" customHeight="false" outlineLevel="0" collapsed="false">
      <c r="A1414" s="68" t="n">
        <v>139</v>
      </c>
      <c r="B1414" s="68" t="s">
        <v>690</v>
      </c>
      <c r="C1414" s="68" t="s">
        <v>584</v>
      </c>
      <c r="D1414" s="68" t="s">
        <v>1386</v>
      </c>
      <c r="E1414" s="68" t="n">
        <v>15000</v>
      </c>
      <c r="F1414" s="68" t="n">
        <v>15000</v>
      </c>
      <c r="G1414" s="68" t="s">
        <v>2150</v>
      </c>
      <c r="H1414" s="68" t="s">
        <v>1367</v>
      </c>
    </row>
    <row r="1415" customFormat="false" ht="15" hidden="false" customHeight="false" outlineLevel="0" collapsed="false">
      <c r="A1415" s="68" t="n">
        <v>140</v>
      </c>
      <c r="B1415" s="68" t="s">
        <v>690</v>
      </c>
      <c r="C1415" s="68" t="s">
        <v>728</v>
      </c>
      <c r="D1415" s="68" t="s">
        <v>243</v>
      </c>
      <c r="E1415" s="68" t="s">
        <v>525</v>
      </c>
      <c r="F1415" s="68" t="s">
        <v>525</v>
      </c>
      <c r="G1415" s="68" t="s">
        <v>2054</v>
      </c>
      <c r="H1415" s="68" t="s">
        <v>1367</v>
      </c>
    </row>
    <row r="1416" customFormat="false" ht="15" hidden="false" customHeight="false" outlineLevel="0" collapsed="false">
      <c r="A1416" s="68" t="n">
        <v>140</v>
      </c>
      <c r="B1416" s="68" t="s">
        <v>690</v>
      </c>
      <c r="C1416" s="68" t="s">
        <v>728</v>
      </c>
      <c r="D1416" s="68" t="s">
        <v>260</v>
      </c>
      <c r="E1416" s="68" t="n">
        <v>2</v>
      </c>
      <c r="F1416" s="68" t="n">
        <v>2</v>
      </c>
      <c r="G1416" s="68" t="s">
        <v>2055</v>
      </c>
      <c r="H1416" s="68" t="s">
        <v>1367</v>
      </c>
    </row>
    <row r="1417" customFormat="false" ht="15" hidden="false" customHeight="false" outlineLevel="0" collapsed="false">
      <c r="A1417" s="68" t="n">
        <v>140</v>
      </c>
      <c r="B1417" s="68" t="s">
        <v>690</v>
      </c>
      <c r="C1417" s="68" t="s">
        <v>728</v>
      </c>
      <c r="D1417" s="68" t="s">
        <v>246</v>
      </c>
      <c r="E1417" s="68" t="s">
        <v>132</v>
      </c>
      <c r="F1417" s="68" t="s">
        <v>1576</v>
      </c>
      <c r="G1417" s="68" t="s">
        <v>2054</v>
      </c>
      <c r="H1417" s="68" t="s">
        <v>1367</v>
      </c>
    </row>
    <row r="1418" customFormat="false" ht="15" hidden="false" customHeight="false" outlineLevel="0" collapsed="false">
      <c r="A1418" s="68" t="n">
        <v>140</v>
      </c>
      <c r="B1418" s="68" t="s">
        <v>690</v>
      </c>
      <c r="C1418" s="68" t="s">
        <v>728</v>
      </c>
      <c r="D1418" s="68" t="s">
        <v>261</v>
      </c>
      <c r="E1418" s="68" t="s">
        <v>306</v>
      </c>
      <c r="F1418" s="68" t="s">
        <v>1576</v>
      </c>
      <c r="G1418" s="68" t="s">
        <v>2054</v>
      </c>
      <c r="H1418" s="68" t="s">
        <v>1367</v>
      </c>
    </row>
    <row r="1419" customFormat="false" ht="15" hidden="false" customHeight="false" outlineLevel="0" collapsed="false">
      <c r="A1419" s="68" t="n">
        <v>140</v>
      </c>
      <c r="B1419" s="68" t="s">
        <v>690</v>
      </c>
      <c r="C1419" s="68" t="s">
        <v>728</v>
      </c>
      <c r="D1419" s="68" t="s">
        <v>880</v>
      </c>
      <c r="E1419" s="68" t="s">
        <v>115</v>
      </c>
      <c r="F1419" s="68" t="s">
        <v>1612</v>
      </c>
      <c r="G1419" s="68" t="s">
        <v>2054</v>
      </c>
      <c r="H1419" s="68" t="s">
        <v>1367</v>
      </c>
    </row>
    <row r="1420" customFormat="false" ht="15" hidden="false" customHeight="false" outlineLevel="0" collapsed="false">
      <c r="A1420" s="68" t="n">
        <v>140</v>
      </c>
      <c r="B1420" s="68" t="s">
        <v>690</v>
      </c>
      <c r="C1420" s="68" t="s">
        <v>728</v>
      </c>
      <c r="D1420" s="68" t="s">
        <v>248</v>
      </c>
      <c r="E1420" s="68" t="n">
        <v>15</v>
      </c>
      <c r="F1420" s="68" t="n">
        <v>15</v>
      </c>
      <c r="G1420" s="68" t="s">
        <v>2054</v>
      </c>
      <c r="H1420" s="68" t="s">
        <v>1367</v>
      </c>
    </row>
    <row r="1421" customFormat="false" ht="15" hidden="false" customHeight="false" outlineLevel="0" collapsed="false">
      <c r="A1421" s="68" t="n">
        <v>140</v>
      </c>
      <c r="B1421" s="68" t="s">
        <v>690</v>
      </c>
      <c r="C1421" s="68" t="s">
        <v>728</v>
      </c>
      <c r="D1421" s="68" t="s">
        <v>249</v>
      </c>
      <c r="E1421" s="68" t="n">
        <v>50</v>
      </c>
      <c r="F1421" s="68" t="n">
        <v>50</v>
      </c>
      <c r="G1421" s="68" t="s">
        <v>2054</v>
      </c>
      <c r="H1421" s="68" t="s">
        <v>1367</v>
      </c>
    </row>
    <row r="1422" customFormat="false" ht="15" hidden="false" customHeight="false" outlineLevel="0" collapsed="false">
      <c r="A1422" s="68" t="n">
        <v>140</v>
      </c>
      <c r="B1422" s="68" t="s">
        <v>690</v>
      </c>
      <c r="C1422" s="68" t="s">
        <v>728</v>
      </c>
      <c r="D1422" s="68" t="s">
        <v>262</v>
      </c>
      <c r="E1422" s="68" t="n">
        <v>5.7</v>
      </c>
      <c r="F1422" s="68" t="n">
        <v>5.7</v>
      </c>
      <c r="G1422" s="68" t="s">
        <v>2054</v>
      </c>
      <c r="H1422" s="68" t="s">
        <v>1367</v>
      </c>
    </row>
    <row r="1423" customFormat="false" ht="15" hidden="false" customHeight="false" outlineLevel="0" collapsed="false">
      <c r="A1423" s="68" t="n">
        <v>140</v>
      </c>
      <c r="B1423" s="68" t="s">
        <v>690</v>
      </c>
      <c r="C1423" s="68" t="s">
        <v>728</v>
      </c>
      <c r="D1423" s="68" t="s">
        <v>1207</v>
      </c>
      <c r="E1423" s="68" t="s">
        <v>369</v>
      </c>
      <c r="F1423" s="68" t="s">
        <v>369</v>
      </c>
      <c r="G1423" s="68" t="s">
        <v>2054</v>
      </c>
      <c r="H1423" s="68" t="s">
        <v>1367</v>
      </c>
    </row>
    <row r="1424" customFormat="false" ht="15" hidden="false" customHeight="false" outlineLevel="0" collapsed="false">
      <c r="A1424" s="68" t="n">
        <v>140</v>
      </c>
      <c r="B1424" s="68" t="s">
        <v>690</v>
      </c>
      <c r="C1424" s="68" t="s">
        <v>728</v>
      </c>
      <c r="D1424" s="68" t="s">
        <v>1584</v>
      </c>
      <c r="E1424" s="68" t="s">
        <v>1585</v>
      </c>
      <c r="F1424" s="68" t="s">
        <v>1586</v>
      </c>
      <c r="G1424" s="68" t="s">
        <v>2054</v>
      </c>
      <c r="H1424" s="68" t="s">
        <v>1367</v>
      </c>
    </row>
    <row r="1425" customFormat="false" ht="15" hidden="false" customHeight="false" outlineLevel="0" collapsed="false">
      <c r="A1425" s="68" t="n">
        <v>140</v>
      </c>
      <c r="B1425" s="68" t="s">
        <v>690</v>
      </c>
      <c r="C1425" s="68" t="s">
        <v>728</v>
      </c>
      <c r="D1425" s="68" t="s">
        <v>258</v>
      </c>
      <c r="E1425" s="68" t="s">
        <v>304</v>
      </c>
      <c r="F1425" s="68" t="s">
        <v>1469</v>
      </c>
      <c r="G1425" s="68"/>
      <c r="H1425" s="85" t="s">
        <v>1369</v>
      </c>
    </row>
    <row r="1426" customFormat="false" ht="15" hidden="false" customHeight="false" outlineLevel="0" collapsed="false">
      <c r="A1426" s="68" t="n">
        <v>140</v>
      </c>
      <c r="B1426" s="68" t="s">
        <v>690</v>
      </c>
      <c r="C1426" s="68" t="s">
        <v>728</v>
      </c>
      <c r="D1426" s="68" t="s">
        <v>923</v>
      </c>
      <c r="E1426" s="68" t="s">
        <v>363</v>
      </c>
      <c r="F1426" s="68" t="s">
        <v>363</v>
      </c>
      <c r="G1426" s="68" t="s">
        <v>2151</v>
      </c>
      <c r="H1426" s="68" t="s">
        <v>1367</v>
      </c>
    </row>
    <row r="1427" customFormat="false" ht="15" hidden="false" customHeight="false" outlineLevel="0" collapsed="false">
      <c r="A1427" s="68" t="n">
        <v>140</v>
      </c>
      <c r="B1427" s="68" t="s">
        <v>690</v>
      </c>
      <c r="C1427" s="68" t="s">
        <v>728</v>
      </c>
      <c r="D1427" s="68" t="s">
        <v>1386</v>
      </c>
      <c r="E1427" s="68" t="n">
        <v>15000</v>
      </c>
      <c r="F1427" s="68" t="n">
        <v>15000</v>
      </c>
      <c r="G1427" s="68" t="s">
        <v>2151</v>
      </c>
      <c r="H1427" s="68" t="s">
        <v>1367</v>
      </c>
    </row>
    <row r="1428" customFormat="false" ht="15" hidden="false" customHeight="false" outlineLevel="0" collapsed="false">
      <c r="A1428" s="68" t="n">
        <v>141</v>
      </c>
      <c r="B1428" s="68" t="s">
        <v>690</v>
      </c>
      <c r="C1428" s="68" t="s">
        <v>732</v>
      </c>
      <c r="D1428" s="68" t="s">
        <v>243</v>
      </c>
      <c r="E1428" s="68" t="s">
        <v>731</v>
      </c>
      <c r="F1428" s="68" t="s">
        <v>731</v>
      </c>
      <c r="G1428" s="68" t="s">
        <v>2057</v>
      </c>
      <c r="H1428" s="68" t="s">
        <v>1367</v>
      </c>
    </row>
    <row r="1429" customFormat="false" ht="15" hidden="false" customHeight="false" outlineLevel="0" collapsed="false">
      <c r="A1429" s="68" t="n">
        <v>141</v>
      </c>
      <c r="B1429" s="68" t="s">
        <v>690</v>
      </c>
      <c r="C1429" s="68" t="s">
        <v>732</v>
      </c>
      <c r="D1429" s="68" t="s">
        <v>260</v>
      </c>
      <c r="E1429" s="68" t="n">
        <v>2</v>
      </c>
      <c r="F1429" s="68" t="n">
        <v>2</v>
      </c>
      <c r="G1429" s="68" t="s">
        <v>2058</v>
      </c>
      <c r="H1429" s="68" t="s">
        <v>1367</v>
      </c>
    </row>
    <row r="1430" customFormat="false" ht="15" hidden="false" customHeight="false" outlineLevel="0" collapsed="false">
      <c r="A1430" s="68" t="n">
        <v>141</v>
      </c>
      <c r="B1430" s="68" t="s">
        <v>690</v>
      </c>
      <c r="C1430" s="68" t="s">
        <v>732</v>
      </c>
      <c r="D1430" s="68" t="s">
        <v>246</v>
      </c>
      <c r="E1430" s="68" t="s">
        <v>132</v>
      </c>
      <c r="F1430" s="68" t="s">
        <v>1576</v>
      </c>
      <c r="G1430" s="68" t="s">
        <v>2057</v>
      </c>
      <c r="H1430" s="68" t="s">
        <v>1367</v>
      </c>
    </row>
    <row r="1431" customFormat="false" ht="15" hidden="false" customHeight="false" outlineLevel="0" collapsed="false">
      <c r="A1431" s="68" t="n">
        <v>141</v>
      </c>
      <c r="B1431" s="68" t="s">
        <v>690</v>
      </c>
      <c r="C1431" s="68" t="s">
        <v>732</v>
      </c>
      <c r="D1431" s="68" t="s">
        <v>261</v>
      </c>
      <c r="E1431" s="68" t="s">
        <v>306</v>
      </c>
      <c r="F1431" s="68" t="s">
        <v>1576</v>
      </c>
      <c r="G1431" s="68" t="s">
        <v>2057</v>
      </c>
      <c r="H1431" s="68" t="s">
        <v>1367</v>
      </c>
    </row>
    <row r="1432" customFormat="false" ht="15" hidden="false" customHeight="false" outlineLevel="0" collapsed="false">
      <c r="A1432" s="68" t="n">
        <v>141</v>
      </c>
      <c r="B1432" s="68" t="s">
        <v>690</v>
      </c>
      <c r="C1432" s="68" t="s">
        <v>732</v>
      </c>
      <c r="D1432" s="68" t="s">
        <v>880</v>
      </c>
      <c r="E1432" s="68" t="s">
        <v>90</v>
      </c>
      <c r="F1432" s="68" t="s">
        <v>1660</v>
      </c>
      <c r="G1432" s="68" t="s">
        <v>2057</v>
      </c>
      <c r="H1432" s="68" t="s">
        <v>1367</v>
      </c>
    </row>
    <row r="1433" customFormat="false" ht="15" hidden="false" customHeight="false" outlineLevel="0" collapsed="false">
      <c r="A1433" s="68" t="n">
        <v>141</v>
      </c>
      <c r="B1433" s="68" t="s">
        <v>690</v>
      </c>
      <c r="C1433" s="68" t="s">
        <v>732</v>
      </c>
      <c r="D1433" s="68" t="s">
        <v>248</v>
      </c>
      <c r="E1433" s="68" t="n">
        <v>15</v>
      </c>
      <c r="F1433" s="68" t="n">
        <v>15</v>
      </c>
      <c r="G1433" s="68" t="s">
        <v>2057</v>
      </c>
      <c r="H1433" s="68" t="s">
        <v>1367</v>
      </c>
    </row>
    <row r="1434" customFormat="false" ht="15" hidden="false" customHeight="false" outlineLevel="0" collapsed="false">
      <c r="A1434" s="68" t="n">
        <v>141</v>
      </c>
      <c r="B1434" s="68" t="s">
        <v>690</v>
      </c>
      <c r="C1434" s="68" t="s">
        <v>732</v>
      </c>
      <c r="D1434" s="68" t="s">
        <v>249</v>
      </c>
      <c r="E1434" s="68" t="n">
        <v>20</v>
      </c>
      <c r="F1434" s="68" t="n">
        <v>20</v>
      </c>
      <c r="G1434" s="68" t="s">
        <v>2057</v>
      </c>
      <c r="H1434" s="68" t="s">
        <v>1367</v>
      </c>
    </row>
    <row r="1435" customFormat="false" ht="15" hidden="false" customHeight="false" outlineLevel="0" collapsed="false">
      <c r="A1435" s="68" t="n">
        <v>141</v>
      </c>
      <c r="B1435" s="68" t="s">
        <v>690</v>
      </c>
      <c r="C1435" s="68" t="s">
        <v>732</v>
      </c>
      <c r="D1435" s="68" t="s">
        <v>262</v>
      </c>
      <c r="E1435" s="68" t="n">
        <v>2.5</v>
      </c>
      <c r="F1435" s="68" t="n">
        <v>2.5</v>
      </c>
      <c r="G1435" s="68" t="s">
        <v>2057</v>
      </c>
      <c r="H1435" s="68" t="s">
        <v>1367</v>
      </c>
    </row>
    <row r="1436" customFormat="false" ht="15" hidden="false" customHeight="false" outlineLevel="0" collapsed="false">
      <c r="A1436" s="68" t="n">
        <v>141</v>
      </c>
      <c r="B1436" s="68" t="s">
        <v>690</v>
      </c>
      <c r="C1436" s="68" t="s">
        <v>732</v>
      </c>
      <c r="D1436" s="68" t="s">
        <v>1207</v>
      </c>
      <c r="E1436" s="68" t="s">
        <v>312</v>
      </c>
      <c r="F1436" s="68" t="s">
        <v>1583</v>
      </c>
      <c r="G1436" s="68"/>
      <c r="H1436" s="85" t="s">
        <v>1369</v>
      </c>
    </row>
    <row r="1437" customFormat="false" ht="15" hidden="false" customHeight="false" outlineLevel="0" collapsed="false">
      <c r="A1437" s="68" t="n">
        <v>141</v>
      </c>
      <c r="B1437" s="68" t="s">
        <v>690</v>
      </c>
      <c r="C1437" s="68" t="s">
        <v>732</v>
      </c>
      <c r="D1437" s="68" t="s">
        <v>1584</v>
      </c>
      <c r="E1437" s="68" t="s">
        <v>1585</v>
      </c>
      <c r="F1437" s="68" t="s">
        <v>1586</v>
      </c>
      <c r="G1437" s="68" t="s">
        <v>2057</v>
      </c>
      <c r="H1437" s="68" t="s">
        <v>1367</v>
      </c>
    </row>
    <row r="1438" customFormat="false" ht="15" hidden="false" customHeight="false" outlineLevel="0" collapsed="false">
      <c r="A1438" s="68" t="n">
        <v>141</v>
      </c>
      <c r="B1438" s="68" t="s">
        <v>690</v>
      </c>
      <c r="C1438" s="68" t="s">
        <v>732</v>
      </c>
      <c r="D1438" s="68" t="s">
        <v>258</v>
      </c>
      <c r="E1438" s="68" t="s">
        <v>304</v>
      </c>
      <c r="F1438" s="68" t="s">
        <v>1469</v>
      </c>
      <c r="G1438" s="68"/>
      <c r="H1438" s="85" t="s">
        <v>1369</v>
      </c>
    </row>
    <row r="1439" customFormat="false" ht="15" hidden="false" customHeight="false" outlineLevel="0" collapsed="false">
      <c r="A1439" s="68" t="n">
        <v>141</v>
      </c>
      <c r="B1439" s="68" t="s">
        <v>690</v>
      </c>
      <c r="C1439" s="68" t="s">
        <v>732</v>
      </c>
      <c r="D1439" s="68" t="s">
        <v>923</v>
      </c>
      <c r="E1439" s="68" t="s">
        <v>363</v>
      </c>
      <c r="F1439" s="68" t="s">
        <v>363</v>
      </c>
      <c r="G1439" s="68" t="s">
        <v>2152</v>
      </c>
      <c r="H1439" s="68" t="s">
        <v>1367</v>
      </c>
    </row>
    <row r="1440" customFormat="false" ht="15" hidden="false" customHeight="false" outlineLevel="0" collapsed="false">
      <c r="A1440" s="68" t="n">
        <v>141</v>
      </c>
      <c r="B1440" s="68" t="s">
        <v>690</v>
      </c>
      <c r="C1440" s="68" t="s">
        <v>732</v>
      </c>
      <c r="D1440" s="68" t="s">
        <v>1386</v>
      </c>
      <c r="E1440" s="68" t="n">
        <v>15000</v>
      </c>
      <c r="F1440" s="68" t="n">
        <v>15000</v>
      </c>
      <c r="G1440" s="68" t="s">
        <v>2152</v>
      </c>
      <c r="H1440" s="68" t="s">
        <v>1367</v>
      </c>
    </row>
    <row r="1441" customFormat="false" ht="15" hidden="false" customHeight="false" outlineLevel="0" collapsed="false">
      <c r="A1441" s="68" t="n">
        <v>142</v>
      </c>
      <c r="B1441" s="68" t="s">
        <v>690</v>
      </c>
      <c r="C1441" s="68" t="s">
        <v>735</v>
      </c>
      <c r="D1441" s="68" t="s">
        <v>243</v>
      </c>
      <c r="E1441" s="68" t="s">
        <v>635</v>
      </c>
      <c r="F1441" s="68" t="s">
        <v>635</v>
      </c>
      <c r="G1441" s="68" t="s">
        <v>2060</v>
      </c>
      <c r="H1441" s="68" t="s">
        <v>1367</v>
      </c>
    </row>
    <row r="1442" customFormat="false" ht="15" hidden="false" customHeight="false" outlineLevel="0" collapsed="false">
      <c r="A1442" s="68" t="n">
        <v>142</v>
      </c>
      <c r="B1442" s="68" t="s">
        <v>690</v>
      </c>
      <c r="C1442" s="68" t="s">
        <v>735</v>
      </c>
      <c r="D1442" s="68" t="s">
        <v>260</v>
      </c>
      <c r="E1442" s="68" t="n">
        <v>1</v>
      </c>
      <c r="F1442" s="68" t="n">
        <v>1</v>
      </c>
      <c r="G1442" s="68" t="s">
        <v>2061</v>
      </c>
      <c r="H1442" s="68" t="s">
        <v>1367</v>
      </c>
    </row>
    <row r="1443" customFormat="false" ht="15" hidden="false" customHeight="false" outlineLevel="0" collapsed="false">
      <c r="A1443" s="68" t="n">
        <v>142</v>
      </c>
      <c r="B1443" s="68" t="s">
        <v>690</v>
      </c>
      <c r="C1443" s="68" t="s">
        <v>735</v>
      </c>
      <c r="D1443" s="68" t="s">
        <v>261</v>
      </c>
      <c r="E1443" s="68" t="s">
        <v>306</v>
      </c>
      <c r="F1443" s="68" t="s">
        <v>1874</v>
      </c>
      <c r="G1443" s="68" t="s">
        <v>2060</v>
      </c>
      <c r="H1443" s="68" t="s">
        <v>1367</v>
      </c>
    </row>
    <row r="1444" customFormat="false" ht="15" hidden="false" customHeight="false" outlineLevel="0" collapsed="false">
      <c r="A1444" s="68" t="n">
        <v>142</v>
      </c>
      <c r="B1444" s="68" t="s">
        <v>690</v>
      </c>
      <c r="C1444" s="68" t="s">
        <v>735</v>
      </c>
      <c r="D1444" s="68" t="s">
        <v>880</v>
      </c>
      <c r="E1444" s="68" t="s">
        <v>78</v>
      </c>
      <c r="F1444" s="68" t="s">
        <v>1908</v>
      </c>
      <c r="G1444" s="68" t="s">
        <v>2060</v>
      </c>
      <c r="H1444" s="68" t="s">
        <v>1367</v>
      </c>
    </row>
    <row r="1445" customFormat="false" ht="15" hidden="false" customHeight="false" outlineLevel="0" collapsed="false">
      <c r="A1445" s="68" t="n">
        <v>142</v>
      </c>
      <c r="B1445" s="68" t="s">
        <v>690</v>
      </c>
      <c r="C1445" s="68" t="s">
        <v>735</v>
      </c>
      <c r="D1445" s="68" t="s">
        <v>248</v>
      </c>
      <c r="E1445" s="68" t="n">
        <v>10</v>
      </c>
      <c r="F1445" s="68" t="n">
        <v>10</v>
      </c>
      <c r="G1445" s="68" t="s">
        <v>2060</v>
      </c>
      <c r="H1445" s="68" t="s">
        <v>1367</v>
      </c>
    </row>
    <row r="1446" customFormat="false" ht="15" hidden="false" customHeight="false" outlineLevel="0" collapsed="false">
      <c r="A1446" s="68" t="n">
        <v>142</v>
      </c>
      <c r="B1446" s="68" t="s">
        <v>690</v>
      </c>
      <c r="C1446" s="68" t="s">
        <v>735</v>
      </c>
      <c r="D1446" s="68" t="s">
        <v>249</v>
      </c>
      <c r="E1446" s="68" t="n">
        <v>21</v>
      </c>
      <c r="F1446" s="68" t="n">
        <v>21</v>
      </c>
      <c r="G1446" s="68" t="s">
        <v>2060</v>
      </c>
      <c r="H1446" s="68" t="s">
        <v>1367</v>
      </c>
    </row>
    <row r="1447" customFormat="false" ht="15" hidden="false" customHeight="false" outlineLevel="0" collapsed="false">
      <c r="A1447" s="68" t="n">
        <v>142</v>
      </c>
      <c r="B1447" s="68" t="s">
        <v>690</v>
      </c>
      <c r="C1447" s="68" t="s">
        <v>735</v>
      </c>
      <c r="D1447" s="68" t="s">
        <v>262</v>
      </c>
      <c r="E1447" s="68" t="n">
        <v>2</v>
      </c>
      <c r="F1447" s="68" t="n">
        <v>2</v>
      </c>
      <c r="G1447" s="68" t="s">
        <v>2060</v>
      </c>
      <c r="H1447" s="68" t="s">
        <v>1367</v>
      </c>
    </row>
    <row r="1448" customFormat="false" ht="15" hidden="false" customHeight="false" outlineLevel="0" collapsed="false">
      <c r="A1448" s="68" t="n">
        <v>142</v>
      </c>
      <c r="B1448" s="68" t="s">
        <v>690</v>
      </c>
      <c r="C1448" s="68" t="s">
        <v>735</v>
      </c>
      <c r="D1448" s="68" t="s">
        <v>1207</v>
      </c>
      <c r="E1448" s="68" t="s">
        <v>312</v>
      </c>
      <c r="F1448" s="68" t="s">
        <v>1583</v>
      </c>
      <c r="G1448" s="68"/>
      <c r="H1448" s="85" t="s">
        <v>1369</v>
      </c>
    </row>
    <row r="1449" customFormat="false" ht="15" hidden="false" customHeight="false" outlineLevel="0" collapsed="false">
      <c r="A1449" s="68" t="n">
        <v>142</v>
      </c>
      <c r="B1449" s="68" t="s">
        <v>690</v>
      </c>
      <c r="C1449" s="68" t="s">
        <v>735</v>
      </c>
      <c r="D1449" s="68" t="s">
        <v>1584</v>
      </c>
      <c r="E1449" s="68" t="s">
        <v>1881</v>
      </c>
      <c r="F1449" s="68" t="s">
        <v>1882</v>
      </c>
      <c r="G1449" s="68" t="s">
        <v>2060</v>
      </c>
      <c r="H1449" s="68" t="s">
        <v>1367</v>
      </c>
    </row>
    <row r="1450" customFormat="false" ht="15" hidden="false" customHeight="false" outlineLevel="0" collapsed="false">
      <c r="A1450" s="68" t="n">
        <v>142</v>
      </c>
      <c r="B1450" s="68" t="s">
        <v>690</v>
      </c>
      <c r="C1450" s="68" t="s">
        <v>735</v>
      </c>
      <c r="D1450" s="68" t="s">
        <v>258</v>
      </c>
      <c r="E1450" s="68" t="s">
        <v>304</v>
      </c>
      <c r="F1450" s="68" t="s">
        <v>1469</v>
      </c>
      <c r="G1450" s="68"/>
      <c r="H1450" s="85" t="s">
        <v>1369</v>
      </c>
    </row>
    <row r="1451" customFormat="false" ht="15" hidden="false" customHeight="false" outlineLevel="0" collapsed="false">
      <c r="A1451" s="68" t="n">
        <v>142</v>
      </c>
      <c r="B1451" s="68" t="s">
        <v>690</v>
      </c>
      <c r="C1451" s="68" t="s">
        <v>735</v>
      </c>
      <c r="D1451" s="68" t="s">
        <v>923</v>
      </c>
      <c r="E1451" s="68" t="s">
        <v>363</v>
      </c>
      <c r="F1451" s="68" t="s">
        <v>363</v>
      </c>
      <c r="G1451" s="68" t="s">
        <v>2153</v>
      </c>
      <c r="H1451" s="68" t="s">
        <v>1367</v>
      </c>
    </row>
    <row r="1452" customFormat="false" ht="15" hidden="false" customHeight="false" outlineLevel="0" collapsed="false">
      <c r="A1452" s="68" t="n">
        <v>142</v>
      </c>
      <c r="B1452" s="68" t="s">
        <v>690</v>
      </c>
      <c r="C1452" s="68" t="s">
        <v>735</v>
      </c>
      <c r="D1452" s="68" t="s">
        <v>1386</v>
      </c>
      <c r="E1452" s="68" t="n">
        <v>10000</v>
      </c>
      <c r="F1452" s="68" t="n">
        <v>10000</v>
      </c>
      <c r="G1452" s="68" t="s">
        <v>2153</v>
      </c>
      <c r="H1452" s="68" t="s">
        <v>1367</v>
      </c>
    </row>
    <row r="1453" customFormat="false" ht="15" hidden="false" customHeight="false" outlineLevel="0" collapsed="false">
      <c r="A1453" s="68" t="n">
        <v>143</v>
      </c>
      <c r="B1453" s="68" t="s">
        <v>690</v>
      </c>
      <c r="C1453" s="68" t="s">
        <v>738</v>
      </c>
      <c r="D1453" s="68" t="s">
        <v>243</v>
      </c>
      <c r="E1453" s="68" t="s">
        <v>657</v>
      </c>
      <c r="F1453" s="68" t="s">
        <v>657</v>
      </c>
      <c r="G1453" s="68" t="s">
        <v>2063</v>
      </c>
      <c r="H1453" s="68" t="s">
        <v>1367</v>
      </c>
    </row>
    <row r="1454" customFormat="false" ht="15" hidden="false" customHeight="false" outlineLevel="0" collapsed="false">
      <c r="A1454" s="68" t="n">
        <v>143</v>
      </c>
      <c r="B1454" s="68" t="s">
        <v>690</v>
      </c>
      <c r="C1454" s="68" t="s">
        <v>738</v>
      </c>
      <c r="D1454" s="68" t="s">
        <v>260</v>
      </c>
      <c r="E1454" s="68" t="n">
        <v>1</v>
      </c>
      <c r="F1454" s="68" t="n">
        <v>1</v>
      </c>
      <c r="G1454" s="68" t="s">
        <v>2064</v>
      </c>
      <c r="H1454" s="68" t="s">
        <v>1367</v>
      </c>
    </row>
    <row r="1455" customFormat="false" ht="15" hidden="false" customHeight="false" outlineLevel="0" collapsed="false">
      <c r="A1455" s="68" t="n">
        <v>143</v>
      </c>
      <c r="B1455" s="68" t="s">
        <v>690</v>
      </c>
      <c r="C1455" s="68" t="s">
        <v>738</v>
      </c>
      <c r="D1455" s="68" t="s">
        <v>261</v>
      </c>
      <c r="E1455" s="68" t="s">
        <v>306</v>
      </c>
      <c r="F1455" s="68" t="s">
        <v>1874</v>
      </c>
      <c r="G1455" s="68" t="s">
        <v>2063</v>
      </c>
      <c r="H1455" s="68" t="s">
        <v>1367</v>
      </c>
    </row>
    <row r="1456" customFormat="false" ht="15" hidden="false" customHeight="false" outlineLevel="0" collapsed="false">
      <c r="A1456" s="68" t="n">
        <v>143</v>
      </c>
      <c r="B1456" s="68" t="s">
        <v>690</v>
      </c>
      <c r="C1456" s="68" t="s">
        <v>738</v>
      </c>
      <c r="D1456" s="68" t="s">
        <v>880</v>
      </c>
      <c r="E1456" s="68" t="s">
        <v>74</v>
      </c>
      <c r="F1456" s="68" t="s">
        <v>1876</v>
      </c>
      <c r="G1456" s="68" t="s">
        <v>2063</v>
      </c>
      <c r="H1456" s="68" t="s">
        <v>1367</v>
      </c>
    </row>
    <row r="1457" customFormat="false" ht="15" hidden="false" customHeight="false" outlineLevel="0" collapsed="false">
      <c r="A1457" s="68" t="n">
        <v>143</v>
      </c>
      <c r="B1457" s="68" t="s">
        <v>690</v>
      </c>
      <c r="C1457" s="68" t="s">
        <v>738</v>
      </c>
      <c r="D1457" s="68" t="s">
        <v>248</v>
      </c>
      <c r="E1457" s="68" t="n">
        <v>33</v>
      </c>
      <c r="F1457" s="68" t="n">
        <v>33</v>
      </c>
      <c r="G1457" s="68" t="s">
        <v>2063</v>
      </c>
      <c r="H1457" s="68" t="s">
        <v>1367</v>
      </c>
    </row>
    <row r="1458" customFormat="false" ht="15" hidden="false" customHeight="false" outlineLevel="0" collapsed="false">
      <c r="A1458" s="68" t="n">
        <v>143</v>
      </c>
      <c r="B1458" s="68" t="s">
        <v>690</v>
      </c>
      <c r="C1458" s="68" t="s">
        <v>738</v>
      </c>
      <c r="D1458" s="68" t="s">
        <v>249</v>
      </c>
      <c r="E1458" s="68" t="n">
        <v>31</v>
      </c>
      <c r="F1458" s="68" t="n">
        <v>31</v>
      </c>
      <c r="G1458" s="68" t="s">
        <v>2063</v>
      </c>
      <c r="H1458" s="68" t="s">
        <v>1367</v>
      </c>
    </row>
    <row r="1459" customFormat="false" ht="15" hidden="false" customHeight="false" outlineLevel="0" collapsed="false">
      <c r="A1459" s="68" t="n">
        <v>143</v>
      </c>
      <c r="B1459" s="68" t="s">
        <v>690</v>
      </c>
      <c r="C1459" s="68" t="s">
        <v>738</v>
      </c>
      <c r="D1459" s="68" t="s">
        <v>262</v>
      </c>
      <c r="E1459" s="68" t="n">
        <v>2.9</v>
      </c>
      <c r="F1459" s="68" t="n">
        <v>2.9</v>
      </c>
      <c r="G1459" s="68" t="s">
        <v>2063</v>
      </c>
      <c r="H1459" s="68" t="s">
        <v>1367</v>
      </c>
    </row>
    <row r="1460" customFormat="false" ht="15" hidden="false" customHeight="false" outlineLevel="0" collapsed="false">
      <c r="A1460" s="68" t="n">
        <v>143</v>
      </c>
      <c r="B1460" s="68" t="s">
        <v>690</v>
      </c>
      <c r="C1460" s="68" t="s">
        <v>738</v>
      </c>
      <c r="D1460" s="68" t="s">
        <v>1207</v>
      </c>
      <c r="E1460" s="68" t="s">
        <v>312</v>
      </c>
      <c r="F1460" s="68" t="s">
        <v>1583</v>
      </c>
      <c r="G1460" s="68"/>
      <c r="H1460" s="85" t="s">
        <v>1369</v>
      </c>
    </row>
    <row r="1461" customFormat="false" ht="15" hidden="false" customHeight="false" outlineLevel="0" collapsed="false">
      <c r="A1461" s="68" t="n">
        <v>143</v>
      </c>
      <c r="B1461" s="68" t="s">
        <v>690</v>
      </c>
      <c r="C1461" s="68" t="s">
        <v>738</v>
      </c>
      <c r="D1461" s="68" t="s">
        <v>1584</v>
      </c>
      <c r="E1461" s="68" t="s">
        <v>1881</v>
      </c>
      <c r="F1461" s="68" t="s">
        <v>1882</v>
      </c>
      <c r="G1461" s="68" t="s">
        <v>2063</v>
      </c>
      <c r="H1461" s="68" t="s">
        <v>1367</v>
      </c>
    </row>
    <row r="1462" customFormat="false" ht="15" hidden="false" customHeight="false" outlineLevel="0" collapsed="false">
      <c r="A1462" s="68" t="n">
        <v>143</v>
      </c>
      <c r="B1462" s="68" t="s">
        <v>690</v>
      </c>
      <c r="C1462" s="68" t="s">
        <v>738</v>
      </c>
      <c r="D1462" s="68" t="s">
        <v>258</v>
      </c>
      <c r="E1462" s="68" t="s">
        <v>304</v>
      </c>
      <c r="F1462" s="68" t="s">
        <v>1469</v>
      </c>
      <c r="G1462" s="68"/>
      <c r="H1462" s="85" t="s">
        <v>1369</v>
      </c>
    </row>
    <row r="1463" customFormat="false" ht="15" hidden="false" customHeight="false" outlineLevel="0" collapsed="false">
      <c r="A1463" s="68" t="n">
        <v>143</v>
      </c>
      <c r="B1463" s="68" t="s">
        <v>690</v>
      </c>
      <c r="C1463" s="68" t="s">
        <v>738</v>
      </c>
      <c r="D1463" s="68" t="s">
        <v>923</v>
      </c>
      <c r="E1463" s="68" t="s">
        <v>363</v>
      </c>
      <c r="F1463" s="68" t="s">
        <v>363</v>
      </c>
      <c r="G1463" s="68" t="s">
        <v>2154</v>
      </c>
      <c r="H1463" s="68" t="s">
        <v>1367</v>
      </c>
    </row>
    <row r="1464" customFormat="false" ht="15" hidden="false" customHeight="false" outlineLevel="0" collapsed="false">
      <c r="A1464" s="68" t="n">
        <v>143</v>
      </c>
      <c r="B1464" s="68" t="s">
        <v>690</v>
      </c>
      <c r="C1464" s="68" t="s">
        <v>738</v>
      </c>
      <c r="D1464" s="68" t="s">
        <v>1386</v>
      </c>
      <c r="E1464" s="68" t="n">
        <v>6500</v>
      </c>
      <c r="F1464" s="68" t="n">
        <v>6500</v>
      </c>
      <c r="G1464" s="68" t="s">
        <v>2154</v>
      </c>
      <c r="H1464" s="68" t="s">
        <v>1367</v>
      </c>
    </row>
    <row r="1465" customFormat="false" ht="15" hidden="false" customHeight="false" outlineLevel="0" collapsed="false">
      <c r="A1465" s="68" t="n">
        <v>144</v>
      </c>
      <c r="B1465" s="68" t="s">
        <v>690</v>
      </c>
      <c r="C1465" s="68" t="s">
        <v>741</v>
      </c>
      <c r="D1465" s="68" t="s">
        <v>243</v>
      </c>
      <c r="E1465" s="68" t="s">
        <v>643</v>
      </c>
      <c r="F1465" s="68" t="s">
        <v>643</v>
      </c>
      <c r="G1465" s="68" t="s">
        <v>2066</v>
      </c>
      <c r="H1465" s="68" t="s">
        <v>1367</v>
      </c>
    </row>
    <row r="1466" customFormat="false" ht="15" hidden="false" customHeight="false" outlineLevel="0" collapsed="false">
      <c r="A1466" s="68" t="n">
        <v>144</v>
      </c>
      <c r="B1466" s="68" t="s">
        <v>690</v>
      </c>
      <c r="C1466" s="68" t="s">
        <v>741</v>
      </c>
      <c r="D1466" s="68" t="s">
        <v>260</v>
      </c>
      <c r="E1466" s="68" t="n">
        <v>1</v>
      </c>
      <c r="F1466" s="68" t="n">
        <v>1</v>
      </c>
      <c r="G1466" s="68" t="s">
        <v>2067</v>
      </c>
      <c r="H1466" s="68" t="s">
        <v>1367</v>
      </c>
    </row>
    <row r="1467" customFormat="false" ht="15" hidden="false" customHeight="false" outlineLevel="0" collapsed="false">
      <c r="A1467" s="68" t="n">
        <v>144</v>
      </c>
      <c r="B1467" s="68" t="s">
        <v>690</v>
      </c>
      <c r="C1467" s="68" t="s">
        <v>741</v>
      </c>
      <c r="D1467" s="68" t="s">
        <v>246</v>
      </c>
      <c r="E1467" s="68" t="s">
        <v>186</v>
      </c>
      <c r="F1467" s="68" t="s">
        <v>1926</v>
      </c>
      <c r="G1467" s="68" t="s">
        <v>2066</v>
      </c>
      <c r="H1467" s="68" t="s">
        <v>1367</v>
      </c>
    </row>
    <row r="1468" customFormat="false" ht="15" hidden="false" customHeight="false" outlineLevel="0" collapsed="false">
      <c r="A1468" s="68" t="n">
        <v>144</v>
      </c>
      <c r="B1468" s="68" t="s">
        <v>690</v>
      </c>
      <c r="C1468" s="68" t="s">
        <v>741</v>
      </c>
      <c r="D1468" s="68" t="s">
        <v>261</v>
      </c>
      <c r="E1468" s="68" t="s">
        <v>306</v>
      </c>
      <c r="F1468" s="68" t="s">
        <v>1926</v>
      </c>
      <c r="G1468" s="68" t="s">
        <v>2066</v>
      </c>
      <c r="H1468" s="68" t="s">
        <v>1367</v>
      </c>
    </row>
    <row r="1469" customFormat="false" ht="15" hidden="false" customHeight="false" outlineLevel="0" collapsed="false">
      <c r="A1469" s="68" t="n">
        <v>144</v>
      </c>
      <c r="B1469" s="68" t="s">
        <v>690</v>
      </c>
      <c r="C1469" s="68" t="s">
        <v>741</v>
      </c>
      <c r="D1469" s="68" t="s">
        <v>880</v>
      </c>
      <c r="E1469" s="68" t="s">
        <v>74</v>
      </c>
      <c r="F1469" s="68" t="s">
        <v>1876</v>
      </c>
      <c r="G1469" s="68" t="s">
        <v>2066</v>
      </c>
      <c r="H1469" s="68" t="s">
        <v>1367</v>
      </c>
    </row>
    <row r="1470" customFormat="false" ht="15" hidden="false" customHeight="false" outlineLevel="0" collapsed="false">
      <c r="A1470" s="68" t="n">
        <v>144</v>
      </c>
      <c r="B1470" s="68" t="s">
        <v>690</v>
      </c>
      <c r="C1470" s="68" t="s">
        <v>741</v>
      </c>
      <c r="D1470" s="68" t="s">
        <v>248</v>
      </c>
      <c r="E1470" s="68" t="n">
        <v>825</v>
      </c>
      <c r="F1470" s="68" t="n">
        <v>825</v>
      </c>
      <c r="G1470" s="68" t="s">
        <v>2066</v>
      </c>
      <c r="H1470" s="68" t="s">
        <v>1367</v>
      </c>
    </row>
    <row r="1471" customFormat="false" ht="15" hidden="false" customHeight="false" outlineLevel="0" collapsed="false">
      <c r="A1471" s="68" t="n">
        <v>144</v>
      </c>
      <c r="B1471" s="68" t="s">
        <v>690</v>
      </c>
      <c r="C1471" s="68" t="s">
        <v>741</v>
      </c>
      <c r="D1471" s="68" t="s">
        <v>249</v>
      </c>
      <c r="E1471" s="68" t="n">
        <v>107</v>
      </c>
      <c r="F1471" s="68" t="n">
        <v>107</v>
      </c>
      <c r="G1471" s="68" t="s">
        <v>2066</v>
      </c>
      <c r="H1471" s="68" t="s">
        <v>1367</v>
      </c>
    </row>
    <row r="1472" customFormat="false" ht="15" hidden="false" customHeight="false" outlineLevel="0" collapsed="false">
      <c r="A1472" s="68" t="n">
        <v>144</v>
      </c>
      <c r="B1472" s="68" t="s">
        <v>690</v>
      </c>
      <c r="C1472" s="68" t="s">
        <v>741</v>
      </c>
      <c r="D1472" s="68" t="s">
        <v>262</v>
      </c>
      <c r="E1472" s="68" t="n">
        <v>11.3</v>
      </c>
      <c r="F1472" s="68" t="n">
        <v>11.3</v>
      </c>
      <c r="G1472" s="68" t="s">
        <v>2066</v>
      </c>
      <c r="H1472" s="68" t="s">
        <v>1367</v>
      </c>
    </row>
    <row r="1473" customFormat="false" ht="15" hidden="false" customHeight="false" outlineLevel="0" collapsed="false">
      <c r="A1473" s="68" t="n">
        <v>144</v>
      </c>
      <c r="B1473" s="68" t="s">
        <v>690</v>
      </c>
      <c r="C1473" s="68" t="s">
        <v>741</v>
      </c>
      <c r="D1473" s="68" t="s">
        <v>1207</v>
      </c>
      <c r="E1473" s="68" t="s">
        <v>312</v>
      </c>
      <c r="F1473" s="68" t="s">
        <v>1583</v>
      </c>
      <c r="G1473" s="68"/>
      <c r="H1473" s="85" t="s">
        <v>1369</v>
      </c>
    </row>
    <row r="1474" customFormat="false" ht="15" hidden="false" customHeight="false" outlineLevel="0" collapsed="false">
      <c r="A1474" s="68" t="n">
        <v>144</v>
      </c>
      <c r="B1474" s="68" t="s">
        <v>690</v>
      </c>
      <c r="C1474" s="68" t="s">
        <v>741</v>
      </c>
      <c r="D1474" s="68" t="s">
        <v>1584</v>
      </c>
      <c r="E1474" s="68" t="s">
        <v>1932</v>
      </c>
      <c r="F1474" s="68" t="s">
        <v>1933</v>
      </c>
      <c r="G1474" s="68" t="s">
        <v>2066</v>
      </c>
      <c r="H1474" s="68" t="s">
        <v>1367</v>
      </c>
    </row>
    <row r="1475" customFormat="false" ht="15" hidden="false" customHeight="false" outlineLevel="0" collapsed="false">
      <c r="A1475" s="68" t="n">
        <v>144</v>
      </c>
      <c r="B1475" s="68" t="s">
        <v>690</v>
      </c>
      <c r="C1475" s="68" t="s">
        <v>741</v>
      </c>
      <c r="D1475" s="68" t="s">
        <v>258</v>
      </c>
      <c r="E1475" s="68" t="s">
        <v>304</v>
      </c>
      <c r="F1475" s="68" t="s">
        <v>1555</v>
      </c>
      <c r="G1475" s="68" t="s">
        <v>243</v>
      </c>
      <c r="H1475" s="68" t="s">
        <v>1367</v>
      </c>
    </row>
    <row r="1476" customFormat="false" ht="15" hidden="false" customHeight="false" outlineLevel="0" collapsed="false">
      <c r="A1476" s="68" t="n">
        <v>144</v>
      </c>
      <c r="B1476" s="68" t="s">
        <v>690</v>
      </c>
      <c r="C1476" s="68" t="s">
        <v>741</v>
      </c>
      <c r="D1476" s="68" t="s">
        <v>923</v>
      </c>
      <c r="E1476" s="68" t="s">
        <v>363</v>
      </c>
      <c r="F1476" s="68" t="s">
        <v>363</v>
      </c>
      <c r="G1476" s="68" t="s">
        <v>2155</v>
      </c>
      <c r="H1476" s="68" t="s">
        <v>1367</v>
      </c>
    </row>
    <row r="1477" customFormat="false" ht="15" hidden="false" customHeight="false" outlineLevel="0" collapsed="false">
      <c r="A1477" s="68" t="n">
        <v>144</v>
      </c>
      <c r="B1477" s="68" t="s">
        <v>690</v>
      </c>
      <c r="C1477" s="68" t="s">
        <v>741</v>
      </c>
      <c r="D1477" s="68" t="s">
        <v>1386</v>
      </c>
      <c r="E1477" s="68" t="n">
        <v>80000</v>
      </c>
      <c r="F1477" s="68" t="n">
        <v>80000</v>
      </c>
      <c r="G1477" s="68" t="s">
        <v>2155</v>
      </c>
      <c r="H1477" s="68" t="s">
        <v>1367</v>
      </c>
    </row>
    <row r="1478" customFormat="false" ht="15" hidden="false" customHeight="false" outlineLevel="0" collapsed="false">
      <c r="A1478" s="68" t="n">
        <v>145</v>
      </c>
      <c r="B1478" s="68" t="s">
        <v>690</v>
      </c>
      <c r="C1478" s="68" t="s">
        <v>745</v>
      </c>
      <c r="D1478" s="68" t="s">
        <v>243</v>
      </c>
      <c r="E1478" s="68" t="s">
        <v>649</v>
      </c>
      <c r="F1478" s="68" t="s">
        <v>649</v>
      </c>
      <c r="G1478" s="68" t="s">
        <v>2069</v>
      </c>
      <c r="H1478" s="68" t="s">
        <v>1367</v>
      </c>
    </row>
    <row r="1479" customFormat="false" ht="15" hidden="false" customHeight="false" outlineLevel="0" collapsed="false">
      <c r="A1479" s="68" t="n">
        <v>145</v>
      </c>
      <c r="B1479" s="68" t="s">
        <v>690</v>
      </c>
      <c r="C1479" s="68" t="s">
        <v>745</v>
      </c>
      <c r="D1479" s="68" t="s">
        <v>260</v>
      </c>
      <c r="E1479" s="68" t="n">
        <v>1</v>
      </c>
      <c r="F1479" s="68" t="n">
        <v>1</v>
      </c>
      <c r="G1479" s="68" t="s">
        <v>2070</v>
      </c>
      <c r="H1479" s="68" t="s">
        <v>1367</v>
      </c>
    </row>
    <row r="1480" customFormat="false" ht="15" hidden="false" customHeight="false" outlineLevel="0" collapsed="false">
      <c r="A1480" s="68" t="n">
        <v>145</v>
      </c>
      <c r="B1480" s="68" t="s">
        <v>690</v>
      </c>
      <c r="C1480" s="68" t="s">
        <v>745</v>
      </c>
      <c r="D1480" s="68" t="s">
        <v>246</v>
      </c>
      <c r="E1480" s="68" t="s">
        <v>186</v>
      </c>
      <c r="F1480" s="68" t="s">
        <v>1926</v>
      </c>
      <c r="G1480" s="68" t="s">
        <v>2069</v>
      </c>
      <c r="H1480" s="68" t="s">
        <v>1367</v>
      </c>
    </row>
    <row r="1481" customFormat="false" ht="15" hidden="false" customHeight="false" outlineLevel="0" collapsed="false">
      <c r="A1481" s="68" t="n">
        <v>145</v>
      </c>
      <c r="B1481" s="68" t="s">
        <v>690</v>
      </c>
      <c r="C1481" s="68" t="s">
        <v>745</v>
      </c>
      <c r="D1481" s="68" t="s">
        <v>261</v>
      </c>
      <c r="E1481" s="68" t="s">
        <v>306</v>
      </c>
      <c r="F1481" s="68" t="s">
        <v>1926</v>
      </c>
      <c r="G1481" s="68" t="s">
        <v>2069</v>
      </c>
      <c r="H1481" s="68" t="s">
        <v>1367</v>
      </c>
    </row>
    <row r="1482" customFormat="false" ht="15" hidden="false" customHeight="false" outlineLevel="0" collapsed="false">
      <c r="A1482" s="68" t="n">
        <v>145</v>
      </c>
      <c r="B1482" s="68" t="s">
        <v>690</v>
      </c>
      <c r="C1482" s="68" t="s">
        <v>745</v>
      </c>
      <c r="D1482" s="68" t="s">
        <v>880</v>
      </c>
      <c r="E1482" s="68" t="s">
        <v>74</v>
      </c>
      <c r="F1482" s="68" t="s">
        <v>1876</v>
      </c>
      <c r="G1482" s="68" t="s">
        <v>2069</v>
      </c>
      <c r="H1482" s="68" t="s">
        <v>1367</v>
      </c>
    </row>
    <row r="1483" customFormat="false" ht="15" hidden="false" customHeight="false" outlineLevel="0" collapsed="false">
      <c r="A1483" s="68" t="n">
        <v>145</v>
      </c>
      <c r="B1483" s="68" t="s">
        <v>690</v>
      </c>
      <c r="C1483" s="68" t="s">
        <v>745</v>
      </c>
      <c r="D1483" s="68" t="s">
        <v>248</v>
      </c>
      <c r="E1483" s="68" t="n">
        <v>825</v>
      </c>
      <c r="F1483" s="68" t="n">
        <v>825</v>
      </c>
      <c r="G1483" s="68" t="s">
        <v>2069</v>
      </c>
      <c r="H1483" s="68" t="s">
        <v>1367</v>
      </c>
    </row>
    <row r="1484" customFormat="false" ht="15" hidden="false" customHeight="false" outlineLevel="0" collapsed="false">
      <c r="A1484" s="68" t="n">
        <v>145</v>
      </c>
      <c r="B1484" s="68" t="s">
        <v>690</v>
      </c>
      <c r="C1484" s="68" t="s">
        <v>745</v>
      </c>
      <c r="D1484" s="68" t="s">
        <v>249</v>
      </c>
      <c r="E1484" s="68" t="n">
        <v>107</v>
      </c>
      <c r="F1484" s="68" t="n">
        <v>107</v>
      </c>
      <c r="G1484" s="68" t="s">
        <v>2069</v>
      </c>
      <c r="H1484" s="68" t="s">
        <v>1367</v>
      </c>
    </row>
    <row r="1485" customFormat="false" ht="15" hidden="false" customHeight="false" outlineLevel="0" collapsed="false">
      <c r="A1485" s="68" t="n">
        <v>145</v>
      </c>
      <c r="B1485" s="68" t="s">
        <v>690</v>
      </c>
      <c r="C1485" s="68" t="s">
        <v>745</v>
      </c>
      <c r="D1485" s="68" t="s">
        <v>262</v>
      </c>
      <c r="E1485" s="68" t="n">
        <v>11.3</v>
      </c>
      <c r="F1485" s="68" t="n">
        <v>11.3</v>
      </c>
      <c r="G1485" s="68" t="s">
        <v>2069</v>
      </c>
      <c r="H1485" s="68" t="s">
        <v>1367</v>
      </c>
    </row>
    <row r="1486" customFormat="false" ht="15" hidden="false" customHeight="false" outlineLevel="0" collapsed="false">
      <c r="A1486" s="68" t="n">
        <v>145</v>
      </c>
      <c r="B1486" s="68" t="s">
        <v>690</v>
      </c>
      <c r="C1486" s="68" t="s">
        <v>745</v>
      </c>
      <c r="D1486" s="68" t="s">
        <v>1207</v>
      </c>
      <c r="E1486" s="68" t="s">
        <v>312</v>
      </c>
      <c r="F1486" s="68" t="s">
        <v>1583</v>
      </c>
      <c r="G1486" s="68"/>
      <c r="H1486" s="85" t="s">
        <v>1369</v>
      </c>
    </row>
    <row r="1487" customFormat="false" ht="15" hidden="false" customHeight="false" outlineLevel="0" collapsed="false">
      <c r="A1487" s="68" t="n">
        <v>145</v>
      </c>
      <c r="B1487" s="68" t="s">
        <v>690</v>
      </c>
      <c r="C1487" s="68" t="s">
        <v>745</v>
      </c>
      <c r="D1487" s="68" t="s">
        <v>1584</v>
      </c>
      <c r="E1487" s="68" t="s">
        <v>1932</v>
      </c>
      <c r="F1487" s="68" t="s">
        <v>1933</v>
      </c>
      <c r="G1487" s="68" t="s">
        <v>2069</v>
      </c>
      <c r="H1487" s="68" t="s">
        <v>1367</v>
      </c>
    </row>
    <row r="1488" customFormat="false" ht="15" hidden="false" customHeight="false" outlineLevel="0" collapsed="false">
      <c r="A1488" s="68" t="n">
        <v>145</v>
      </c>
      <c r="B1488" s="68" t="s">
        <v>690</v>
      </c>
      <c r="C1488" s="68" t="s">
        <v>745</v>
      </c>
      <c r="D1488" s="68" t="s">
        <v>258</v>
      </c>
      <c r="E1488" s="68" t="s">
        <v>460</v>
      </c>
      <c r="F1488" s="68" t="s">
        <v>1560</v>
      </c>
      <c r="G1488" s="68" t="s">
        <v>243</v>
      </c>
      <c r="H1488" s="68" t="s">
        <v>1367</v>
      </c>
    </row>
    <row r="1489" customFormat="false" ht="15" hidden="false" customHeight="false" outlineLevel="0" collapsed="false">
      <c r="A1489" s="68" t="n">
        <v>145</v>
      </c>
      <c r="B1489" s="68" t="s">
        <v>690</v>
      </c>
      <c r="C1489" s="68" t="s">
        <v>745</v>
      </c>
      <c r="D1489" s="68" t="s">
        <v>923</v>
      </c>
      <c r="E1489" s="68" t="s">
        <v>363</v>
      </c>
      <c r="F1489" s="68" t="s">
        <v>363</v>
      </c>
      <c r="G1489" s="68" t="s">
        <v>2156</v>
      </c>
      <c r="H1489" s="68" t="s">
        <v>1367</v>
      </c>
    </row>
    <row r="1490" customFormat="false" ht="15" hidden="false" customHeight="false" outlineLevel="0" collapsed="false">
      <c r="A1490" s="68" t="n">
        <v>145</v>
      </c>
      <c r="B1490" s="68" t="s">
        <v>690</v>
      </c>
      <c r="C1490" s="68" t="s">
        <v>745</v>
      </c>
      <c r="D1490" s="68" t="s">
        <v>1386</v>
      </c>
      <c r="E1490" s="68" t="n">
        <v>100000</v>
      </c>
      <c r="F1490" s="68" t="n">
        <v>100000</v>
      </c>
      <c r="G1490" s="68" t="s">
        <v>2156</v>
      </c>
      <c r="H1490" s="68" t="s">
        <v>1367</v>
      </c>
    </row>
    <row r="1491" customFormat="false" ht="15" hidden="false" customHeight="false" outlineLevel="0" collapsed="false">
      <c r="A1491" s="68" t="n">
        <v>146</v>
      </c>
      <c r="B1491" s="68" t="s">
        <v>690</v>
      </c>
      <c r="C1491" s="68" t="s">
        <v>748</v>
      </c>
      <c r="D1491" s="68" t="s">
        <v>243</v>
      </c>
      <c r="E1491" s="68" t="s">
        <v>653</v>
      </c>
      <c r="F1491" s="68" t="s">
        <v>653</v>
      </c>
      <c r="G1491" s="68" t="s">
        <v>2072</v>
      </c>
      <c r="H1491" s="68" t="s">
        <v>1367</v>
      </c>
    </row>
    <row r="1492" customFormat="false" ht="15" hidden="false" customHeight="false" outlineLevel="0" collapsed="false">
      <c r="A1492" s="68" t="n">
        <v>146</v>
      </c>
      <c r="B1492" s="68" t="s">
        <v>690</v>
      </c>
      <c r="C1492" s="68" t="s">
        <v>748</v>
      </c>
      <c r="D1492" s="68" t="s">
        <v>260</v>
      </c>
      <c r="E1492" s="68" t="n">
        <v>2</v>
      </c>
      <c r="F1492" s="68" t="n">
        <v>2</v>
      </c>
      <c r="G1492" s="68" t="s">
        <v>2073</v>
      </c>
      <c r="H1492" s="68" t="s">
        <v>1367</v>
      </c>
    </row>
    <row r="1493" customFormat="false" ht="15" hidden="false" customHeight="false" outlineLevel="0" collapsed="false">
      <c r="A1493" s="68" t="n">
        <v>146</v>
      </c>
      <c r="B1493" s="68" t="s">
        <v>690</v>
      </c>
      <c r="C1493" s="68" t="s">
        <v>748</v>
      </c>
      <c r="D1493" s="68" t="s">
        <v>246</v>
      </c>
      <c r="E1493" s="68" t="s">
        <v>183</v>
      </c>
      <c r="F1493" s="68" t="s">
        <v>1947</v>
      </c>
      <c r="G1493" s="68" t="s">
        <v>2072</v>
      </c>
      <c r="H1493" s="68" t="s">
        <v>1367</v>
      </c>
    </row>
    <row r="1494" customFormat="false" ht="15" hidden="false" customHeight="false" outlineLevel="0" collapsed="false">
      <c r="A1494" s="68" t="n">
        <v>146</v>
      </c>
      <c r="B1494" s="68" t="s">
        <v>690</v>
      </c>
      <c r="C1494" s="68" t="s">
        <v>748</v>
      </c>
      <c r="D1494" s="68" t="s">
        <v>261</v>
      </c>
      <c r="E1494" s="68" t="s">
        <v>306</v>
      </c>
      <c r="F1494" s="68" t="s">
        <v>1947</v>
      </c>
      <c r="G1494" s="68" t="s">
        <v>2072</v>
      </c>
      <c r="H1494" s="68" t="s">
        <v>1367</v>
      </c>
    </row>
    <row r="1495" customFormat="false" ht="15" hidden="false" customHeight="false" outlineLevel="0" collapsed="false">
      <c r="A1495" s="68" t="n">
        <v>146</v>
      </c>
      <c r="B1495" s="68" t="s">
        <v>690</v>
      </c>
      <c r="C1495" s="68" t="s">
        <v>748</v>
      </c>
      <c r="D1495" s="68" t="s">
        <v>880</v>
      </c>
      <c r="E1495" s="68" t="s">
        <v>74</v>
      </c>
      <c r="F1495" s="68" t="s">
        <v>1876</v>
      </c>
      <c r="G1495" s="68" t="s">
        <v>2072</v>
      </c>
      <c r="H1495" s="68" t="s">
        <v>1367</v>
      </c>
    </row>
    <row r="1496" customFormat="false" ht="15" hidden="false" customHeight="false" outlineLevel="0" collapsed="false">
      <c r="A1496" s="68" t="n">
        <v>146</v>
      </c>
      <c r="B1496" s="68" t="s">
        <v>690</v>
      </c>
      <c r="C1496" s="68" t="s">
        <v>748</v>
      </c>
      <c r="D1496" s="68" t="s">
        <v>248</v>
      </c>
      <c r="E1496" s="68" t="n">
        <v>16.5</v>
      </c>
      <c r="F1496" s="68" t="n">
        <v>16.5</v>
      </c>
      <c r="G1496" s="68" t="s">
        <v>2072</v>
      </c>
      <c r="H1496" s="68" t="s">
        <v>1367</v>
      </c>
    </row>
    <row r="1497" customFormat="false" ht="15" hidden="false" customHeight="false" outlineLevel="0" collapsed="false">
      <c r="A1497" s="68" t="n">
        <v>146</v>
      </c>
      <c r="B1497" s="68" t="s">
        <v>690</v>
      </c>
      <c r="C1497" s="68" t="s">
        <v>748</v>
      </c>
      <c r="D1497" s="68" t="s">
        <v>249</v>
      </c>
      <c r="E1497" s="68" t="n">
        <v>107</v>
      </c>
      <c r="F1497" s="68" t="n">
        <v>107</v>
      </c>
      <c r="G1497" s="68" t="s">
        <v>2072</v>
      </c>
      <c r="H1497" s="68" t="s">
        <v>1367</v>
      </c>
    </row>
    <row r="1498" customFormat="false" ht="15" hidden="false" customHeight="false" outlineLevel="0" collapsed="false">
      <c r="A1498" s="68" t="n">
        <v>146</v>
      </c>
      <c r="B1498" s="68" t="s">
        <v>690</v>
      </c>
      <c r="C1498" s="68" t="s">
        <v>748</v>
      </c>
      <c r="D1498" s="68" t="s">
        <v>262</v>
      </c>
      <c r="E1498" s="68" t="n">
        <v>11.3</v>
      </c>
      <c r="F1498" s="68" t="n">
        <v>11.3</v>
      </c>
      <c r="G1498" s="68" t="s">
        <v>2072</v>
      </c>
      <c r="H1498" s="68" t="s">
        <v>1367</v>
      </c>
    </row>
    <row r="1499" customFormat="false" ht="15" hidden="false" customHeight="false" outlineLevel="0" collapsed="false">
      <c r="A1499" s="68" t="n">
        <v>146</v>
      </c>
      <c r="B1499" s="68" t="s">
        <v>690</v>
      </c>
      <c r="C1499" s="68" t="s">
        <v>748</v>
      </c>
      <c r="D1499" s="68" t="s">
        <v>1207</v>
      </c>
      <c r="E1499" s="68" t="s">
        <v>312</v>
      </c>
      <c r="F1499" s="68" t="s">
        <v>1583</v>
      </c>
      <c r="G1499" s="68"/>
      <c r="H1499" s="85" t="s">
        <v>1369</v>
      </c>
    </row>
    <row r="1500" customFormat="false" ht="15" hidden="false" customHeight="false" outlineLevel="0" collapsed="false">
      <c r="A1500" s="68" t="n">
        <v>146</v>
      </c>
      <c r="B1500" s="68" t="s">
        <v>690</v>
      </c>
      <c r="C1500" s="68" t="s">
        <v>748</v>
      </c>
      <c r="D1500" s="68" t="s">
        <v>1584</v>
      </c>
      <c r="E1500" s="68" t="s">
        <v>1932</v>
      </c>
      <c r="F1500" s="68" t="s">
        <v>1933</v>
      </c>
      <c r="G1500" s="68" t="s">
        <v>2072</v>
      </c>
      <c r="H1500" s="68" t="s">
        <v>1367</v>
      </c>
    </row>
    <row r="1501" customFormat="false" ht="15" hidden="false" customHeight="false" outlineLevel="0" collapsed="false">
      <c r="A1501" s="68" t="n">
        <v>146</v>
      </c>
      <c r="B1501" s="68" t="s">
        <v>690</v>
      </c>
      <c r="C1501" s="68" t="s">
        <v>748</v>
      </c>
      <c r="D1501" s="68" t="s">
        <v>258</v>
      </c>
      <c r="E1501" s="68" t="s">
        <v>304</v>
      </c>
      <c r="F1501" s="68" t="s">
        <v>1469</v>
      </c>
      <c r="G1501" s="68"/>
      <c r="H1501" s="85" t="s">
        <v>1369</v>
      </c>
    </row>
    <row r="1502" customFormat="false" ht="15" hidden="false" customHeight="false" outlineLevel="0" collapsed="false">
      <c r="A1502" s="68" t="n">
        <v>146</v>
      </c>
      <c r="B1502" s="68" t="s">
        <v>690</v>
      </c>
      <c r="C1502" s="68" t="s">
        <v>748</v>
      </c>
      <c r="D1502" s="68" t="s">
        <v>923</v>
      </c>
      <c r="E1502" s="68" t="s">
        <v>363</v>
      </c>
      <c r="F1502" s="68" t="s">
        <v>363</v>
      </c>
      <c r="G1502" s="68" t="s">
        <v>2157</v>
      </c>
      <c r="H1502" s="68" t="s">
        <v>1367</v>
      </c>
    </row>
    <row r="1503" customFormat="false" ht="15" hidden="false" customHeight="false" outlineLevel="0" collapsed="false">
      <c r="A1503" s="68" t="n">
        <v>146</v>
      </c>
      <c r="B1503" s="68" t="s">
        <v>690</v>
      </c>
      <c r="C1503" s="68" t="s">
        <v>748</v>
      </c>
      <c r="D1503" s="68" t="s">
        <v>1386</v>
      </c>
      <c r="E1503" s="68" t="n">
        <v>15000</v>
      </c>
      <c r="F1503" s="68" t="n">
        <v>15000</v>
      </c>
      <c r="G1503" s="68" t="s">
        <v>2157</v>
      </c>
      <c r="H1503" s="68" t="s">
        <v>1367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3" min="3" style="0" width="90"/>
  </cols>
  <sheetData>
    <row r="1" customFormat="false" ht="17.15" hidden="false" customHeight="false" outlineLevel="0" collapsed="false">
      <c r="A1" s="7" t="s">
        <v>2158</v>
      </c>
    </row>
    <row r="2" customFormat="false" ht="15" hidden="false" customHeight="false" outlineLevel="0" collapsed="false">
      <c r="A2" s="8" t="s">
        <v>2159</v>
      </c>
    </row>
    <row r="4" customFormat="false" ht="15" hidden="false" customHeight="false" outlineLevel="0" collapsed="false">
      <c r="A4" s="53" t="s">
        <v>2160</v>
      </c>
      <c r="B4" s="53" t="s">
        <v>2161</v>
      </c>
      <c r="C4" s="53" t="s">
        <v>2162</v>
      </c>
    </row>
    <row r="5" customFormat="false" ht="15" hidden="false" customHeight="false" outlineLevel="0" collapsed="false">
      <c r="A5" s="68" t="s">
        <v>2163</v>
      </c>
      <c r="B5" s="80" t="s">
        <v>2164</v>
      </c>
      <c r="C5" s="80" t="s">
        <v>2165</v>
      </c>
    </row>
    <row r="6" customFormat="false" ht="15" hidden="false" customHeight="false" outlineLevel="0" collapsed="false">
      <c r="A6" s="68" t="s">
        <v>2166</v>
      </c>
      <c r="B6" s="80" t="s">
        <v>313</v>
      </c>
      <c r="C6" s="80" t="s">
        <v>2167</v>
      </c>
    </row>
    <row r="7" customFormat="false" ht="15" hidden="false" customHeight="false" outlineLevel="0" collapsed="false">
      <c r="A7" s="68" t="s">
        <v>2168</v>
      </c>
      <c r="B7" s="80" t="s">
        <v>2169</v>
      </c>
      <c r="C7" s="80"/>
    </row>
    <row r="8" customFormat="false" ht="15" hidden="false" customHeight="false" outlineLevel="0" collapsed="false">
      <c r="A8" s="68" t="s">
        <v>2170</v>
      </c>
      <c r="B8" s="80" t="s">
        <v>2171</v>
      </c>
      <c r="C8" s="80"/>
    </row>
    <row r="9" customFormat="false" ht="15" hidden="false" customHeight="false" outlineLevel="0" collapsed="false">
      <c r="A9" s="68" t="s">
        <v>2172</v>
      </c>
      <c r="B9" s="80" t="s">
        <v>2173</v>
      </c>
      <c r="C9" s="80" t="s">
        <v>2174</v>
      </c>
    </row>
    <row r="10" customFormat="false" ht="15" hidden="false" customHeight="false" outlineLevel="0" collapsed="false">
      <c r="A10" s="68" t="s">
        <v>2175</v>
      </c>
      <c r="B10" s="80" t="s">
        <v>2176</v>
      </c>
      <c r="C10" s="80" t="s">
        <v>2177</v>
      </c>
    </row>
    <row r="11" customFormat="false" ht="15" hidden="false" customHeight="false" outlineLevel="0" collapsed="false">
      <c r="A11" s="68" t="s">
        <v>2178</v>
      </c>
      <c r="B11" s="80" t="n">
        <v>146</v>
      </c>
      <c r="C11" s="80" t="s">
        <v>2179</v>
      </c>
    </row>
    <row r="12" customFormat="false" ht="15" hidden="false" customHeight="false" outlineLevel="0" collapsed="false">
      <c r="A12" s="68" t="s">
        <v>2180</v>
      </c>
      <c r="B12" s="80" t="s">
        <v>2181</v>
      </c>
      <c r="C12" s="80" t="s">
        <v>2182</v>
      </c>
    </row>
    <row r="13" customFormat="false" ht="15" hidden="false" customHeight="false" outlineLevel="0" collapsed="false">
      <c r="A13" s="68" t="s">
        <v>2183</v>
      </c>
      <c r="B13" s="80" t="s">
        <v>363</v>
      </c>
      <c r="C13" s="80" t="s">
        <v>2184</v>
      </c>
    </row>
    <row r="14" customFormat="false" ht="15" hidden="false" customHeight="false" outlineLevel="0" collapsed="false">
      <c r="A14" s="68" t="s">
        <v>2185</v>
      </c>
      <c r="B14" s="80" t="s">
        <v>2186</v>
      </c>
      <c r="C14" s="80" t="s">
        <v>2187</v>
      </c>
    </row>
    <row r="15" customFormat="false" ht="15" hidden="false" customHeight="false" outlineLevel="0" collapsed="false">
      <c r="A15" s="68" t="s">
        <v>2188</v>
      </c>
      <c r="B15" s="80" t="s">
        <v>2189</v>
      </c>
      <c r="C15" s="80" t="s">
        <v>2190</v>
      </c>
    </row>
    <row r="16" customFormat="false" ht="15" hidden="false" customHeight="false" outlineLevel="0" collapsed="false">
      <c r="A16" s="68" t="s">
        <v>2191</v>
      </c>
      <c r="B16" s="80" t="s">
        <v>2192</v>
      </c>
      <c r="C16" s="80" t="s">
        <v>2193</v>
      </c>
    </row>
    <row r="17" customFormat="false" ht="15" hidden="false" customHeight="false" outlineLevel="0" collapsed="false">
      <c r="A17" s="68" t="s">
        <v>2194</v>
      </c>
      <c r="B17" s="80" t="s">
        <v>2195</v>
      </c>
      <c r="C17" s="80" t="s">
        <v>2196</v>
      </c>
    </row>
    <row r="18" customFormat="false" ht="15" hidden="false" customHeight="false" outlineLevel="0" collapsed="false">
      <c r="A18" s="68" t="s">
        <v>2197</v>
      </c>
      <c r="B18" s="80" t="s">
        <v>2198</v>
      </c>
      <c r="C18" s="80" t="s">
        <v>2199</v>
      </c>
    </row>
    <row r="19" customFormat="false" ht="15" hidden="false" customHeight="false" outlineLevel="0" collapsed="false">
      <c r="A19" s="68" t="s">
        <v>2200</v>
      </c>
      <c r="B19" s="80" t="s">
        <v>2201</v>
      </c>
      <c r="C19" s="80" t="s">
        <v>2202</v>
      </c>
    </row>
    <row r="20" customFormat="false" ht="15" hidden="false" customHeight="false" outlineLevel="0" collapsed="false">
      <c r="A20" s="68" t="s">
        <v>2203</v>
      </c>
      <c r="B20" s="80" t="s">
        <v>2204</v>
      </c>
      <c r="C20" s="80" t="s">
        <v>2205</v>
      </c>
    </row>
    <row r="21" customFormat="false" ht="32.8" hidden="false" customHeight="false" outlineLevel="0" collapsed="false">
      <c r="A21" s="68" t="s">
        <v>2206</v>
      </c>
      <c r="B21" s="80" t="s">
        <v>2207</v>
      </c>
      <c r="C21" s="80" t="s">
        <v>2208</v>
      </c>
    </row>
    <row r="22" customFormat="false" ht="15" hidden="false" customHeight="false" outlineLevel="0" collapsed="false">
      <c r="A22" s="68" t="s">
        <v>2209</v>
      </c>
      <c r="B22" s="80" t="s">
        <v>2210</v>
      </c>
      <c r="C22" s="80" t="s">
        <v>2211</v>
      </c>
    </row>
    <row r="23" customFormat="false" ht="15" hidden="false" customHeight="false" outlineLevel="0" collapsed="false">
      <c r="A23" s="68" t="s">
        <v>2212</v>
      </c>
      <c r="B23" s="80" t="s">
        <v>2213</v>
      </c>
      <c r="C23" s="80" t="s">
        <v>2214</v>
      </c>
    </row>
    <row r="24" customFormat="false" ht="15" hidden="false" customHeight="false" outlineLevel="0" collapsed="false">
      <c r="A24" s="68" t="s">
        <v>2215</v>
      </c>
      <c r="B24" s="80" t="s">
        <v>2216</v>
      </c>
      <c r="C24" s="80" t="s">
        <v>2217</v>
      </c>
    </row>
    <row r="25" customFormat="false" ht="15" hidden="false" customHeight="false" outlineLevel="0" collapsed="false">
      <c r="A25" s="68" t="s">
        <v>2218</v>
      </c>
      <c r="B25" s="80" t="s">
        <v>2219</v>
      </c>
      <c r="C25" s="80" t="s">
        <v>2220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11"/>
    <col collapsed="false" customWidth="true" hidden="false" outlineLevel="0" max="4" min="4" style="0" width="7"/>
    <col collapsed="false" customWidth="true" hidden="false" outlineLevel="0" max="5" min="5" style="0" width="14"/>
    <col collapsed="false" customWidth="true" hidden="false" outlineLevel="0" max="6" min="6" style="0" width="9"/>
    <col collapsed="false" customWidth="true" hidden="false" outlineLevel="0" max="7" min="7" style="0" width="13"/>
    <col collapsed="false" customWidth="true" hidden="false" outlineLevel="0" max="8" min="8" style="0" width="11"/>
    <col collapsed="false" customWidth="true" hidden="false" outlineLevel="0" max="9" min="9" style="0" width="10"/>
    <col collapsed="false" customWidth="true" hidden="false" outlineLevel="0" max="10" min="10" style="0" width="24"/>
    <col collapsed="false" customWidth="true" hidden="false" outlineLevel="0" max="11" min="11" style="0" width="40"/>
    <col collapsed="false" customWidth="true" hidden="false" outlineLevel="0" max="12" min="12" style="0" width="60"/>
    <col collapsed="false" customWidth="true" hidden="false" outlineLevel="0" max="13" min="13" style="0" width="40"/>
    <col collapsed="false" customWidth="true" hidden="false" outlineLevel="0" max="14" min="14" style="0" width="60"/>
  </cols>
  <sheetData>
    <row r="1" customFormat="false" ht="17.15" hidden="false" customHeight="false" outlineLevel="0" collapsed="false">
      <c r="A1" s="7" t="s">
        <v>2221</v>
      </c>
    </row>
    <row r="2" customFormat="false" ht="15" hidden="false" customHeight="false" outlineLevel="0" collapsed="false">
      <c r="A2" s="8" t="s">
        <v>2222</v>
      </c>
    </row>
    <row r="4" customFormat="false" ht="43.25" hidden="false" customHeight="false" outlineLevel="0" collapsed="false">
      <c r="A4" s="53" t="s">
        <v>2223</v>
      </c>
      <c r="B4" s="53" t="s">
        <v>2224</v>
      </c>
      <c r="C4" s="53" t="s">
        <v>2225</v>
      </c>
      <c r="D4" s="53" t="s">
        <v>2226</v>
      </c>
      <c r="E4" s="53" t="s">
        <v>2227</v>
      </c>
      <c r="F4" s="53" t="s">
        <v>2228</v>
      </c>
      <c r="G4" s="53" t="s">
        <v>2229</v>
      </c>
      <c r="H4" s="53" t="s">
        <v>2230</v>
      </c>
      <c r="I4" s="53" t="s">
        <v>2231</v>
      </c>
      <c r="J4" s="53" t="s">
        <v>2232</v>
      </c>
      <c r="K4" s="53" t="s">
        <v>2233</v>
      </c>
      <c r="L4" s="53" t="s">
        <v>2234</v>
      </c>
      <c r="M4" s="53" t="s">
        <v>2235</v>
      </c>
      <c r="N4" s="53" t="s">
        <v>2162</v>
      </c>
    </row>
    <row r="5" customFormat="false" ht="15" hidden="false" customHeight="false" outlineLevel="0" collapsed="false">
      <c r="A5" s="68" t="s">
        <v>2236</v>
      </c>
      <c r="B5" s="68" t="s">
        <v>242</v>
      </c>
      <c r="C5" s="68" t="s">
        <v>2237</v>
      </c>
      <c r="D5" s="68" t="s">
        <v>2238</v>
      </c>
      <c r="E5" s="68" t="s">
        <v>233</v>
      </c>
      <c r="F5" s="68" t="s">
        <v>2239</v>
      </c>
      <c r="G5" s="68" t="s">
        <v>2240</v>
      </c>
      <c r="H5" s="68" t="s">
        <v>2241</v>
      </c>
      <c r="I5" s="68"/>
      <c r="J5" s="68"/>
      <c r="K5" s="80"/>
      <c r="L5" s="80"/>
      <c r="M5" s="80"/>
      <c r="N5" s="80" t="s">
        <v>2242</v>
      </c>
    </row>
    <row r="6" customFormat="false" ht="22.35" hidden="false" customHeight="false" outlineLevel="0" collapsed="false">
      <c r="A6" s="68" t="s">
        <v>2243</v>
      </c>
      <c r="B6" s="68" t="s">
        <v>243</v>
      </c>
      <c r="C6" s="68" t="s">
        <v>2237</v>
      </c>
      <c r="D6" s="68" t="s">
        <v>2244</v>
      </c>
      <c r="E6" s="68" t="s">
        <v>233</v>
      </c>
      <c r="F6" s="68" t="s">
        <v>2239</v>
      </c>
      <c r="G6" s="68" t="s">
        <v>2240</v>
      </c>
      <c r="H6" s="68" t="s">
        <v>2245</v>
      </c>
      <c r="I6" s="68"/>
      <c r="J6" s="68"/>
      <c r="K6" s="80"/>
      <c r="L6" s="80"/>
      <c r="M6" s="80"/>
      <c r="N6" s="80" t="s">
        <v>2246</v>
      </c>
    </row>
    <row r="7" customFormat="false" ht="15" hidden="false" customHeight="false" outlineLevel="0" collapsed="false">
      <c r="A7" s="68" t="s">
        <v>2247</v>
      </c>
      <c r="B7" s="68" t="s">
        <v>244</v>
      </c>
      <c r="C7" s="68" t="s">
        <v>2237</v>
      </c>
      <c r="D7" s="68" t="s">
        <v>2248</v>
      </c>
      <c r="E7" s="68" t="s">
        <v>233</v>
      </c>
      <c r="F7" s="68" t="s">
        <v>2239</v>
      </c>
      <c r="G7" s="68" t="s">
        <v>2240</v>
      </c>
      <c r="H7" s="68" t="s">
        <v>2245</v>
      </c>
      <c r="I7" s="68"/>
      <c r="J7" s="68"/>
      <c r="K7" s="80"/>
      <c r="L7" s="80"/>
      <c r="M7" s="80"/>
      <c r="N7" s="80" t="s">
        <v>2249</v>
      </c>
    </row>
    <row r="8" customFormat="false" ht="15" hidden="false" customHeight="false" outlineLevel="0" collapsed="false">
      <c r="A8" s="68" t="s">
        <v>2250</v>
      </c>
      <c r="B8" s="68" t="s">
        <v>245</v>
      </c>
      <c r="C8" s="68" t="s">
        <v>2237</v>
      </c>
      <c r="D8" s="68" t="s">
        <v>2251</v>
      </c>
      <c r="E8" s="68" t="s">
        <v>233</v>
      </c>
      <c r="F8" s="68" t="s">
        <v>2239</v>
      </c>
      <c r="G8" s="68" t="s">
        <v>2240</v>
      </c>
      <c r="H8" s="68" t="s">
        <v>2245</v>
      </c>
      <c r="I8" s="68"/>
      <c r="J8" s="68"/>
      <c r="K8" s="80"/>
      <c r="L8" s="80"/>
      <c r="M8" s="80"/>
      <c r="N8" s="80" t="s">
        <v>2252</v>
      </c>
    </row>
    <row r="9" customFormat="false" ht="22.35" hidden="false" customHeight="false" outlineLevel="0" collapsed="false">
      <c r="A9" s="68" t="s">
        <v>2253</v>
      </c>
      <c r="B9" s="68" t="s">
        <v>37</v>
      </c>
      <c r="C9" s="68" t="s">
        <v>2237</v>
      </c>
      <c r="D9" s="68" t="s">
        <v>2254</v>
      </c>
      <c r="E9" s="68" t="s">
        <v>233</v>
      </c>
      <c r="F9" s="68" t="s">
        <v>2239</v>
      </c>
      <c r="G9" s="68" t="s">
        <v>2255</v>
      </c>
      <c r="H9" s="68" t="s">
        <v>2256</v>
      </c>
      <c r="I9" s="68"/>
      <c r="J9" s="68" t="s">
        <v>2257</v>
      </c>
      <c r="K9" s="80" t="s">
        <v>2258</v>
      </c>
      <c r="L9" s="80"/>
      <c r="M9" s="80"/>
      <c r="N9" s="80" t="s">
        <v>2259</v>
      </c>
    </row>
    <row r="10" customFormat="false" ht="43.25" hidden="false" customHeight="false" outlineLevel="0" collapsed="false">
      <c r="A10" s="68" t="s">
        <v>2260</v>
      </c>
      <c r="B10" s="68" t="s">
        <v>246</v>
      </c>
      <c r="C10" s="68" t="s">
        <v>2237</v>
      </c>
      <c r="D10" s="68" t="s">
        <v>2261</v>
      </c>
      <c r="E10" s="68" t="s">
        <v>234</v>
      </c>
      <c r="F10" s="68" t="s">
        <v>2262</v>
      </c>
      <c r="G10" s="68" t="s">
        <v>2255</v>
      </c>
      <c r="H10" s="68" t="s">
        <v>2256</v>
      </c>
      <c r="I10" s="68"/>
      <c r="J10" s="68" t="s">
        <v>2263</v>
      </c>
      <c r="K10" s="80" t="s">
        <v>2264</v>
      </c>
      <c r="L10" s="80"/>
      <c r="M10" s="80"/>
      <c r="N10" s="80" t="s">
        <v>2265</v>
      </c>
    </row>
    <row r="11" customFormat="false" ht="22.35" hidden="false" customHeight="false" outlineLevel="0" collapsed="false">
      <c r="A11" s="68" t="s">
        <v>2266</v>
      </c>
      <c r="B11" s="68" t="s">
        <v>247</v>
      </c>
      <c r="C11" s="68" t="s">
        <v>2237</v>
      </c>
      <c r="D11" s="68" t="s">
        <v>2267</v>
      </c>
      <c r="E11" s="68" t="s">
        <v>234</v>
      </c>
      <c r="F11" s="68" t="s">
        <v>2262</v>
      </c>
      <c r="G11" s="68" t="s">
        <v>2255</v>
      </c>
      <c r="H11" s="68" t="s">
        <v>2256</v>
      </c>
      <c r="I11" s="68"/>
      <c r="J11" s="68" t="s">
        <v>2268</v>
      </c>
      <c r="K11" s="80" t="s">
        <v>2269</v>
      </c>
      <c r="L11" s="80"/>
      <c r="M11" s="80"/>
      <c r="N11" s="80" t="s">
        <v>2270</v>
      </c>
    </row>
    <row r="12" customFormat="false" ht="15" hidden="false" customHeight="false" outlineLevel="0" collapsed="false">
      <c r="A12" s="68" t="s">
        <v>2271</v>
      </c>
      <c r="B12" s="68" t="s">
        <v>248</v>
      </c>
      <c r="C12" s="68" t="s">
        <v>2237</v>
      </c>
      <c r="D12" s="68" t="s">
        <v>2272</v>
      </c>
      <c r="E12" s="68" t="s">
        <v>234</v>
      </c>
      <c r="F12" s="68" t="s">
        <v>2262</v>
      </c>
      <c r="G12" s="68" t="s">
        <v>2240</v>
      </c>
      <c r="H12" s="68" t="s">
        <v>2273</v>
      </c>
      <c r="I12" s="68" t="s">
        <v>2274</v>
      </c>
      <c r="J12" s="68"/>
      <c r="K12" s="80"/>
      <c r="L12" s="80"/>
      <c r="M12" s="80"/>
      <c r="N12" s="80" t="s">
        <v>2275</v>
      </c>
    </row>
    <row r="13" customFormat="false" ht="15" hidden="false" customHeight="false" outlineLevel="0" collapsed="false">
      <c r="A13" s="68" t="s">
        <v>2276</v>
      </c>
      <c r="B13" s="68" t="s">
        <v>249</v>
      </c>
      <c r="C13" s="68" t="s">
        <v>2237</v>
      </c>
      <c r="D13" s="68" t="s">
        <v>2277</v>
      </c>
      <c r="E13" s="68" t="s">
        <v>234</v>
      </c>
      <c r="F13" s="68" t="s">
        <v>2262</v>
      </c>
      <c r="G13" s="68" t="s">
        <v>2240</v>
      </c>
      <c r="H13" s="68" t="s">
        <v>2273</v>
      </c>
      <c r="I13" s="68" t="s">
        <v>2278</v>
      </c>
      <c r="J13" s="68"/>
      <c r="K13" s="80"/>
      <c r="L13" s="80"/>
      <c r="M13" s="80"/>
      <c r="N13" s="80" t="s">
        <v>2279</v>
      </c>
    </row>
    <row r="14" customFormat="false" ht="15" hidden="false" customHeight="false" outlineLevel="0" collapsed="false">
      <c r="A14" s="68" t="s">
        <v>2280</v>
      </c>
      <c r="B14" s="68" t="s">
        <v>250</v>
      </c>
      <c r="C14" s="68" t="s">
        <v>2237</v>
      </c>
      <c r="D14" s="68" t="s">
        <v>2281</v>
      </c>
      <c r="E14" s="68" t="s">
        <v>234</v>
      </c>
      <c r="F14" s="68" t="s">
        <v>2262</v>
      </c>
      <c r="G14" s="68" t="s">
        <v>2240</v>
      </c>
      <c r="H14" s="68" t="s">
        <v>2273</v>
      </c>
      <c r="I14" s="68" t="s">
        <v>2282</v>
      </c>
      <c r="J14" s="68"/>
      <c r="K14" s="80"/>
      <c r="L14" s="80"/>
      <c r="M14" s="80"/>
      <c r="N14" s="80" t="s">
        <v>2283</v>
      </c>
    </row>
    <row r="15" customFormat="false" ht="43.25" hidden="false" customHeight="false" outlineLevel="0" collapsed="false">
      <c r="A15" s="68" t="s">
        <v>2284</v>
      </c>
      <c r="B15" s="68" t="s">
        <v>251</v>
      </c>
      <c r="C15" s="68" t="s">
        <v>2237</v>
      </c>
      <c r="D15" s="68" t="s">
        <v>2285</v>
      </c>
      <c r="E15" s="68" t="s">
        <v>234</v>
      </c>
      <c r="F15" s="68" t="s">
        <v>2262</v>
      </c>
      <c r="G15" s="68" t="s">
        <v>2286</v>
      </c>
      <c r="H15" s="68" t="s">
        <v>2273</v>
      </c>
      <c r="I15" s="68"/>
      <c r="J15" s="68"/>
      <c r="K15" s="80"/>
      <c r="L15" s="80" t="s">
        <v>2287</v>
      </c>
      <c r="M15" s="80" t="s">
        <v>2288</v>
      </c>
      <c r="N15" s="80" t="s">
        <v>2289</v>
      </c>
    </row>
    <row r="16" customFormat="false" ht="64.15" hidden="false" customHeight="false" outlineLevel="0" collapsed="false">
      <c r="A16" s="68" t="s">
        <v>2290</v>
      </c>
      <c r="B16" s="68" t="s">
        <v>6</v>
      </c>
      <c r="C16" s="68" t="s">
        <v>2237</v>
      </c>
      <c r="D16" s="68" t="s">
        <v>2291</v>
      </c>
      <c r="E16" s="68" t="s">
        <v>234</v>
      </c>
      <c r="F16" s="68" t="s">
        <v>2239</v>
      </c>
      <c r="G16" s="68" t="s">
        <v>2286</v>
      </c>
      <c r="H16" s="68" t="s">
        <v>2245</v>
      </c>
      <c r="I16" s="68"/>
      <c r="J16" s="68"/>
      <c r="K16" s="80"/>
      <c r="L16" s="80" t="s">
        <v>2292</v>
      </c>
      <c r="M16" s="80" t="s">
        <v>2293</v>
      </c>
      <c r="N16" s="80" t="s">
        <v>2294</v>
      </c>
    </row>
    <row r="17" customFormat="false" ht="32.8" hidden="false" customHeight="false" outlineLevel="0" collapsed="false">
      <c r="A17" s="68" t="s">
        <v>2295</v>
      </c>
      <c r="B17" s="68" t="s">
        <v>252</v>
      </c>
      <c r="C17" s="68" t="s">
        <v>2237</v>
      </c>
      <c r="D17" s="68" t="s">
        <v>2296</v>
      </c>
      <c r="E17" s="68" t="s">
        <v>234</v>
      </c>
      <c r="F17" s="68" t="s">
        <v>2262</v>
      </c>
      <c r="G17" s="68" t="s">
        <v>2255</v>
      </c>
      <c r="H17" s="68" t="s">
        <v>2256</v>
      </c>
      <c r="I17" s="68"/>
      <c r="J17" s="68" t="s">
        <v>2297</v>
      </c>
      <c r="K17" s="80" t="s">
        <v>2298</v>
      </c>
      <c r="L17" s="80"/>
      <c r="M17" s="80"/>
      <c r="N17" s="80" t="s">
        <v>2299</v>
      </c>
    </row>
    <row r="18" customFormat="false" ht="22.35" hidden="false" customHeight="false" outlineLevel="0" collapsed="false">
      <c r="A18" s="68" t="s">
        <v>2300</v>
      </c>
      <c r="B18" s="68" t="s">
        <v>253</v>
      </c>
      <c r="C18" s="68" t="s">
        <v>2237</v>
      </c>
      <c r="D18" s="68" t="s">
        <v>312</v>
      </c>
      <c r="E18" s="68" t="s">
        <v>234</v>
      </c>
      <c r="F18" s="68" t="s">
        <v>2262</v>
      </c>
      <c r="G18" s="68" t="s">
        <v>2255</v>
      </c>
      <c r="H18" s="68" t="s">
        <v>2256</v>
      </c>
      <c r="I18" s="68"/>
      <c r="J18" s="68" t="s">
        <v>2301</v>
      </c>
      <c r="K18" s="80" t="s">
        <v>2302</v>
      </c>
      <c r="L18" s="80"/>
      <c r="M18" s="80"/>
      <c r="N18" s="80" t="s">
        <v>2303</v>
      </c>
    </row>
    <row r="19" customFormat="false" ht="15" hidden="false" customHeight="false" outlineLevel="0" collapsed="false">
      <c r="A19" s="68" t="s">
        <v>2304</v>
      </c>
      <c r="B19" s="68" t="s">
        <v>254</v>
      </c>
      <c r="C19" s="68" t="s">
        <v>2237</v>
      </c>
      <c r="D19" s="68" t="s">
        <v>2305</v>
      </c>
      <c r="E19" s="68" t="s">
        <v>234</v>
      </c>
      <c r="F19" s="68" t="s">
        <v>2262</v>
      </c>
      <c r="G19" s="68" t="s">
        <v>2255</v>
      </c>
      <c r="H19" s="68" t="s">
        <v>2256</v>
      </c>
      <c r="I19" s="68"/>
      <c r="J19" s="68" t="s">
        <v>2306</v>
      </c>
      <c r="K19" s="80" t="s">
        <v>2307</v>
      </c>
      <c r="L19" s="80"/>
      <c r="M19" s="80"/>
      <c r="N19" s="80" t="s">
        <v>2308</v>
      </c>
    </row>
    <row r="20" customFormat="false" ht="32.8" hidden="false" customHeight="false" outlineLevel="0" collapsed="false">
      <c r="A20" s="68" t="s">
        <v>2309</v>
      </c>
      <c r="B20" s="68" t="s">
        <v>255</v>
      </c>
      <c r="C20" s="68" t="s">
        <v>2237</v>
      </c>
      <c r="D20" s="68" t="s">
        <v>2310</v>
      </c>
      <c r="E20" s="68" t="s">
        <v>234</v>
      </c>
      <c r="F20" s="68" t="s">
        <v>2262</v>
      </c>
      <c r="G20" s="68" t="s">
        <v>2255</v>
      </c>
      <c r="H20" s="68" t="s">
        <v>2256</v>
      </c>
      <c r="I20" s="68"/>
      <c r="J20" s="68" t="s">
        <v>2311</v>
      </c>
      <c r="K20" s="80" t="s">
        <v>2312</v>
      </c>
      <c r="L20" s="80"/>
      <c r="M20" s="80"/>
      <c r="N20" s="80" t="s">
        <v>2313</v>
      </c>
    </row>
    <row r="21" customFormat="false" ht="15" hidden="false" customHeight="false" outlineLevel="0" collapsed="false">
      <c r="A21" s="68" t="s">
        <v>2314</v>
      </c>
      <c r="B21" s="68" t="s">
        <v>256</v>
      </c>
      <c r="C21" s="68" t="s">
        <v>2237</v>
      </c>
      <c r="D21" s="68" t="s">
        <v>2315</v>
      </c>
      <c r="E21" s="68" t="s">
        <v>234</v>
      </c>
      <c r="F21" s="68" t="s">
        <v>2262</v>
      </c>
      <c r="G21" s="68" t="s">
        <v>2255</v>
      </c>
      <c r="H21" s="68" t="s">
        <v>2256</v>
      </c>
      <c r="I21" s="68"/>
      <c r="J21" s="68" t="s">
        <v>2316</v>
      </c>
      <c r="K21" s="80" t="s">
        <v>2317</v>
      </c>
      <c r="L21" s="80"/>
      <c r="M21" s="80"/>
      <c r="N21" s="80" t="s">
        <v>2318</v>
      </c>
    </row>
    <row r="22" customFormat="false" ht="32.8" hidden="false" customHeight="false" outlineLevel="0" collapsed="false">
      <c r="A22" s="68" t="s">
        <v>2319</v>
      </c>
      <c r="B22" s="68" t="s">
        <v>257</v>
      </c>
      <c r="C22" s="68" t="s">
        <v>2237</v>
      </c>
      <c r="D22" s="68" t="s">
        <v>2320</v>
      </c>
      <c r="E22" s="68" t="s">
        <v>234</v>
      </c>
      <c r="F22" s="68" t="s">
        <v>2262</v>
      </c>
      <c r="G22" s="68" t="s">
        <v>2255</v>
      </c>
      <c r="H22" s="68" t="s">
        <v>2256</v>
      </c>
      <c r="I22" s="68"/>
      <c r="J22" s="68" t="s">
        <v>2321</v>
      </c>
      <c r="K22" s="80" t="s">
        <v>2322</v>
      </c>
      <c r="L22" s="80"/>
      <c r="M22" s="80"/>
      <c r="N22" s="80" t="s">
        <v>2323</v>
      </c>
    </row>
    <row r="23" customFormat="false" ht="22.35" hidden="false" customHeight="false" outlineLevel="0" collapsed="false">
      <c r="A23" s="68" t="s">
        <v>2324</v>
      </c>
      <c r="B23" s="68" t="s">
        <v>258</v>
      </c>
      <c r="C23" s="68" t="s">
        <v>2237</v>
      </c>
      <c r="D23" s="68" t="s">
        <v>2325</v>
      </c>
      <c r="E23" s="68" t="s">
        <v>234</v>
      </c>
      <c r="F23" s="68" t="s">
        <v>2262</v>
      </c>
      <c r="G23" s="68" t="s">
        <v>2255</v>
      </c>
      <c r="H23" s="68" t="s">
        <v>2256</v>
      </c>
      <c r="I23" s="68"/>
      <c r="J23" s="68" t="s">
        <v>2326</v>
      </c>
      <c r="K23" s="80" t="s">
        <v>2327</v>
      </c>
      <c r="L23" s="80"/>
      <c r="M23" s="80"/>
      <c r="N23" s="80" t="s">
        <v>2328</v>
      </c>
    </row>
    <row r="24" customFormat="false" ht="53.7" hidden="false" customHeight="false" outlineLevel="0" collapsed="false">
      <c r="A24" s="68" t="s">
        <v>2329</v>
      </c>
      <c r="B24" s="68" t="s">
        <v>259</v>
      </c>
      <c r="C24" s="68" t="s">
        <v>2237</v>
      </c>
      <c r="D24" s="68" t="s">
        <v>2330</v>
      </c>
      <c r="E24" s="68" t="s">
        <v>234</v>
      </c>
      <c r="F24" s="68" t="s">
        <v>2262</v>
      </c>
      <c r="G24" s="68" t="s">
        <v>2255</v>
      </c>
      <c r="H24" s="68" t="s">
        <v>2256</v>
      </c>
      <c r="I24" s="68"/>
      <c r="J24" s="68" t="s">
        <v>2331</v>
      </c>
      <c r="K24" s="80" t="s">
        <v>2332</v>
      </c>
      <c r="L24" s="80"/>
      <c r="M24" s="80"/>
      <c r="N24" s="80" t="s">
        <v>2333</v>
      </c>
    </row>
    <row r="25" customFormat="false" ht="15" hidden="false" customHeight="false" outlineLevel="0" collapsed="false">
      <c r="A25" s="68" t="s">
        <v>2334</v>
      </c>
      <c r="B25" s="68" t="s">
        <v>260</v>
      </c>
      <c r="C25" s="68" t="s">
        <v>2237</v>
      </c>
      <c r="D25" s="68" t="s">
        <v>2335</v>
      </c>
      <c r="E25" s="68" t="s">
        <v>234</v>
      </c>
      <c r="F25" s="68" t="s">
        <v>2239</v>
      </c>
      <c r="G25" s="68" t="s">
        <v>2240</v>
      </c>
      <c r="H25" s="68" t="s">
        <v>2241</v>
      </c>
      <c r="I25" s="68"/>
      <c r="J25" s="68"/>
      <c r="K25" s="80"/>
      <c r="L25" s="80"/>
      <c r="M25" s="80"/>
      <c r="N25" s="80" t="s">
        <v>2336</v>
      </c>
    </row>
    <row r="26" customFormat="false" ht="64.15" hidden="false" customHeight="false" outlineLevel="0" collapsed="false">
      <c r="A26" s="68" t="s">
        <v>2337</v>
      </c>
      <c r="B26" s="68" t="s">
        <v>261</v>
      </c>
      <c r="C26" s="68" t="s">
        <v>2237</v>
      </c>
      <c r="D26" s="68" t="s">
        <v>2338</v>
      </c>
      <c r="E26" s="68" t="s">
        <v>235</v>
      </c>
      <c r="F26" s="68" t="s">
        <v>2262</v>
      </c>
      <c r="G26" s="68" t="s">
        <v>2255</v>
      </c>
      <c r="H26" s="68" t="s">
        <v>2256</v>
      </c>
      <c r="I26" s="68"/>
      <c r="J26" s="68" t="s">
        <v>2339</v>
      </c>
      <c r="K26" s="80" t="s">
        <v>2340</v>
      </c>
      <c r="L26" s="80"/>
      <c r="M26" s="80"/>
      <c r="N26" s="80" t="s">
        <v>2341</v>
      </c>
    </row>
    <row r="27" customFormat="false" ht="15" hidden="false" customHeight="false" outlineLevel="0" collapsed="false">
      <c r="A27" s="68" t="s">
        <v>2342</v>
      </c>
      <c r="B27" s="68" t="s">
        <v>262</v>
      </c>
      <c r="C27" s="68" t="s">
        <v>2237</v>
      </c>
      <c r="D27" s="68" t="s">
        <v>2343</v>
      </c>
      <c r="E27" s="68" t="s">
        <v>235</v>
      </c>
      <c r="F27" s="68" t="s">
        <v>2262</v>
      </c>
      <c r="G27" s="68" t="s">
        <v>2240</v>
      </c>
      <c r="H27" s="68" t="s">
        <v>2273</v>
      </c>
      <c r="I27" s="68" t="s">
        <v>2344</v>
      </c>
      <c r="J27" s="68"/>
      <c r="K27" s="80"/>
      <c r="L27" s="80"/>
      <c r="M27" s="80"/>
      <c r="N27" s="80" t="s">
        <v>2345</v>
      </c>
    </row>
    <row r="28" customFormat="false" ht="15" hidden="false" customHeight="false" outlineLevel="0" collapsed="false">
      <c r="A28" s="68" t="s">
        <v>2346</v>
      </c>
      <c r="B28" s="68" t="s">
        <v>263</v>
      </c>
      <c r="C28" s="68" t="s">
        <v>2237</v>
      </c>
      <c r="D28" s="68" t="s">
        <v>2347</v>
      </c>
      <c r="E28" s="68" t="s">
        <v>235</v>
      </c>
      <c r="F28" s="68" t="s">
        <v>2262</v>
      </c>
      <c r="G28" s="68" t="s">
        <v>2255</v>
      </c>
      <c r="H28" s="68" t="s">
        <v>2256</v>
      </c>
      <c r="I28" s="68"/>
      <c r="J28" s="68" t="s">
        <v>2348</v>
      </c>
      <c r="K28" s="80" t="s">
        <v>2349</v>
      </c>
      <c r="L28" s="80"/>
      <c r="M28" s="80"/>
      <c r="N28" s="80" t="s">
        <v>2350</v>
      </c>
    </row>
    <row r="29" customFormat="false" ht="32.8" hidden="false" customHeight="false" outlineLevel="0" collapsed="false">
      <c r="A29" s="68" t="s">
        <v>2351</v>
      </c>
      <c r="B29" s="68" t="s">
        <v>264</v>
      </c>
      <c r="C29" s="68" t="s">
        <v>2237</v>
      </c>
      <c r="D29" s="68" t="s">
        <v>369</v>
      </c>
      <c r="E29" s="68" t="s">
        <v>236</v>
      </c>
      <c r="F29" s="68" t="s">
        <v>2239</v>
      </c>
      <c r="G29" s="68" t="s">
        <v>2255</v>
      </c>
      <c r="H29" s="68" t="s">
        <v>2352</v>
      </c>
      <c r="I29" s="68" t="s">
        <v>2353</v>
      </c>
      <c r="J29" s="68" t="s">
        <v>2354</v>
      </c>
      <c r="K29" s="80" t="s">
        <v>2355</v>
      </c>
      <c r="L29" s="80"/>
      <c r="M29" s="80"/>
      <c r="N29" s="80" t="s">
        <v>2356</v>
      </c>
    </row>
    <row r="30" customFormat="false" ht="15" hidden="false" customHeight="false" outlineLevel="0" collapsed="false">
      <c r="A30" s="68" t="s">
        <v>2357</v>
      </c>
      <c r="B30" s="68" t="s">
        <v>265</v>
      </c>
      <c r="C30" s="68" t="s">
        <v>2237</v>
      </c>
      <c r="D30" s="68" t="s">
        <v>2358</v>
      </c>
      <c r="E30" s="68" t="s">
        <v>236</v>
      </c>
      <c r="F30" s="68" t="s">
        <v>2239</v>
      </c>
      <c r="G30" s="68" t="s">
        <v>2255</v>
      </c>
      <c r="H30" s="68" t="s">
        <v>2256</v>
      </c>
      <c r="I30" s="68"/>
      <c r="J30" s="68" t="s">
        <v>2359</v>
      </c>
      <c r="K30" s="80" t="s">
        <v>2360</v>
      </c>
      <c r="L30" s="80"/>
      <c r="M30" s="80"/>
      <c r="N30" s="80" t="s">
        <v>2361</v>
      </c>
    </row>
    <row r="31" customFormat="false" ht="15" hidden="false" customHeight="false" outlineLevel="0" collapsed="false">
      <c r="A31" s="68" t="s">
        <v>2362</v>
      </c>
      <c r="B31" s="68" t="s">
        <v>266</v>
      </c>
      <c r="C31" s="68" t="s">
        <v>2237</v>
      </c>
      <c r="D31" s="68" t="s">
        <v>2363</v>
      </c>
      <c r="E31" s="68" t="s">
        <v>236</v>
      </c>
      <c r="F31" s="68" t="s">
        <v>2239</v>
      </c>
      <c r="G31" s="68" t="s">
        <v>2240</v>
      </c>
      <c r="H31" s="68" t="s">
        <v>2273</v>
      </c>
      <c r="I31" s="68"/>
      <c r="J31" s="68"/>
      <c r="K31" s="80"/>
      <c r="L31" s="80"/>
      <c r="M31" s="80"/>
      <c r="N31" s="80" t="s">
        <v>2364</v>
      </c>
    </row>
    <row r="32" customFormat="false" ht="126.85" hidden="false" customHeight="false" outlineLevel="0" collapsed="false">
      <c r="A32" s="68" t="s">
        <v>2365</v>
      </c>
      <c r="B32" s="68" t="s">
        <v>267</v>
      </c>
      <c r="C32" s="68" t="s">
        <v>2237</v>
      </c>
      <c r="D32" s="68" t="s">
        <v>2366</v>
      </c>
      <c r="E32" s="68" t="s">
        <v>236</v>
      </c>
      <c r="F32" s="68" t="s">
        <v>2239</v>
      </c>
      <c r="G32" s="68" t="s">
        <v>2286</v>
      </c>
      <c r="H32" s="68" t="s">
        <v>2273</v>
      </c>
      <c r="I32" s="68" t="s">
        <v>363</v>
      </c>
      <c r="J32" s="68"/>
      <c r="K32" s="80"/>
      <c r="L32" s="80" t="s">
        <v>2367</v>
      </c>
      <c r="M32" s="80" t="s">
        <v>2368</v>
      </c>
      <c r="N32" s="80" t="s">
        <v>2369</v>
      </c>
    </row>
    <row r="33" customFormat="false" ht="126.85" hidden="false" customHeight="false" outlineLevel="0" collapsed="false">
      <c r="A33" s="68" t="s">
        <v>2370</v>
      </c>
      <c r="B33" s="68" t="s">
        <v>268</v>
      </c>
      <c r="C33" s="68" t="s">
        <v>2237</v>
      </c>
      <c r="D33" s="68" t="s">
        <v>2371</v>
      </c>
      <c r="E33" s="68" t="s">
        <v>236</v>
      </c>
      <c r="F33" s="68" t="s">
        <v>2239</v>
      </c>
      <c r="G33" s="68" t="s">
        <v>2286</v>
      </c>
      <c r="H33" s="68" t="s">
        <v>2273</v>
      </c>
      <c r="I33" s="68" t="s">
        <v>308</v>
      </c>
      <c r="J33" s="68"/>
      <c r="K33" s="80"/>
      <c r="L33" s="80" t="s">
        <v>2372</v>
      </c>
      <c r="M33" s="80" t="s">
        <v>2373</v>
      </c>
      <c r="N33" s="80" t="s">
        <v>2374</v>
      </c>
    </row>
    <row r="34" customFormat="false" ht="95.5" hidden="false" customHeight="false" outlineLevel="0" collapsed="false">
      <c r="A34" s="68" t="s">
        <v>2375</v>
      </c>
      <c r="B34" s="68" t="s">
        <v>269</v>
      </c>
      <c r="C34" s="68" t="s">
        <v>2237</v>
      </c>
      <c r="D34" s="68" t="s">
        <v>2376</v>
      </c>
      <c r="E34" s="68" t="s">
        <v>236</v>
      </c>
      <c r="F34" s="68" t="s">
        <v>2239</v>
      </c>
      <c r="G34" s="68" t="s">
        <v>2286</v>
      </c>
      <c r="H34" s="68" t="s">
        <v>2273</v>
      </c>
      <c r="I34" s="68" t="s">
        <v>454</v>
      </c>
      <c r="J34" s="68"/>
      <c r="K34" s="80"/>
      <c r="L34" s="80" t="s">
        <v>2377</v>
      </c>
      <c r="M34" s="80" t="s">
        <v>2378</v>
      </c>
      <c r="N34" s="80" t="s">
        <v>2379</v>
      </c>
    </row>
    <row r="35" customFormat="false" ht="22.35" hidden="false" customHeight="false" outlineLevel="0" collapsed="false">
      <c r="A35" s="68" t="s">
        <v>2380</v>
      </c>
      <c r="B35" s="68" t="s">
        <v>270</v>
      </c>
      <c r="C35" s="68" t="s">
        <v>2237</v>
      </c>
      <c r="D35" s="68" t="s">
        <v>2381</v>
      </c>
      <c r="E35" s="68" t="s">
        <v>236</v>
      </c>
      <c r="F35" s="68" t="s">
        <v>2239</v>
      </c>
      <c r="G35" s="68" t="s">
        <v>2240</v>
      </c>
      <c r="H35" s="68" t="s">
        <v>2245</v>
      </c>
      <c r="I35" s="68"/>
      <c r="J35" s="68"/>
      <c r="K35" s="80"/>
      <c r="L35" s="80"/>
      <c r="M35" s="80"/>
      <c r="N35" s="80" t="s">
        <v>2382</v>
      </c>
    </row>
    <row r="36" customFormat="false" ht="22.35" hidden="false" customHeight="false" outlineLevel="0" collapsed="false">
      <c r="A36" s="68" t="s">
        <v>2383</v>
      </c>
      <c r="B36" s="68" t="s">
        <v>197</v>
      </c>
      <c r="C36" s="68" t="s">
        <v>2237</v>
      </c>
      <c r="D36" s="68" t="s">
        <v>2384</v>
      </c>
      <c r="E36" s="68" t="s">
        <v>236</v>
      </c>
      <c r="F36" s="68" t="s">
        <v>2239</v>
      </c>
      <c r="G36" s="68" t="s">
        <v>2255</v>
      </c>
      <c r="H36" s="68" t="s">
        <v>2256</v>
      </c>
      <c r="I36" s="68"/>
      <c r="J36" s="68" t="s">
        <v>2385</v>
      </c>
      <c r="K36" s="80" t="s">
        <v>2386</v>
      </c>
      <c r="L36" s="80"/>
      <c r="M36" s="80"/>
      <c r="N36" s="80" t="s">
        <v>2387</v>
      </c>
    </row>
    <row r="37" customFormat="false" ht="74.6" hidden="false" customHeight="false" outlineLevel="0" collapsed="false">
      <c r="A37" s="68" t="s">
        <v>2388</v>
      </c>
      <c r="B37" s="68" t="s">
        <v>271</v>
      </c>
      <c r="C37" s="68" t="s">
        <v>2237</v>
      </c>
      <c r="D37" s="68" t="s">
        <v>2389</v>
      </c>
      <c r="E37" s="68" t="s">
        <v>236</v>
      </c>
      <c r="F37" s="68" t="s">
        <v>2239</v>
      </c>
      <c r="G37" s="68" t="s">
        <v>2286</v>
      </c>
      <c r="H37" s="68" t="s">
        <v>2273</v>
      </c>
      <c r="I37" s="68" t="s">
        <v>363</v>
      </c>
      <c r="J37" s="68"/>
      <c r="K37" s="80"/>
      <c r="L37" s="80" t="s">
        <v>2390</v>
      </c>
      <c r="M37" s="80" t="s">
        <v>2391</v>
      </c>
      <c r="N37" s="80" t="s">
        <v>2392</v>
      </c>
    </row>
    <row r="38" customFormat="false" ht="53.7" hidden="false" customHeight="false" outlineLevel="0" collapsed="false">
      <c r="A38" s="68" t="s">
        <v>2393</v>
      </c>
      <c r="B38" s="68" t="s">
        <v>272</v>
      </c>
      <c r="C38" s="68" t="s">
        <v>2237</v>
      </c>
      <c r="D38" s="68" t="s">
        <v>2394</v>
      </c>
      <c r="E38" s="68" t="s">
        <v>236</v>
      </c>
      <c r="F38" s="68" t="s">
        <v>2239</v>
      </c>
      <c r="G38" s="68" t="s">
        <v>2286</v>
      </c>
      <c r="H38" s="68" t="s">
        <v>2273</v>
      </c>
      <c r="I38" s="68" t="s">
        <v>308</v>
      </c>
      <c r="J38" s="68"/>
      <c r="K38" s="80"/>
      <c r="L38" s="80" t="s">
        <v>2395</v>
      </c>
      <c r="M38" s="80" t="s">
        <v>2396</v>
      </c>
      <c r="N38" s="80" t="s">
        <v>2397</v>
      </c>
    </row>
    <row r="39" customFormat="false" ht="32.8" hidden="false" customHeight="false" outlineLevel="0" collapsed="false">
      <c r="A39" s="68" t="s">
        <v>2398</v>
      </c>
      <c r="B39" s="68" t="s">
        <v>273</v>
      </c>
      <c r="C39" s="68" t="s">
        <v>2237</v>
      </c>
      <c r="D39" s="68" t="s">
        <v>2399</v>
      </c>
      <c r="E39" s="68" t="s">
        <v>236</v>
      </c>
      <c r="F39" s="68" t="s">
        <v>2239</v>
      </c>
      <c r="G39" s="68" t="s">
        <v>2286</v>
      </c>
      <c r="H39" s="68" t="s">
        <v>2273</v>
      </c>
      <c r="I39" s="68" t="s">
        <v>454</v>
      </c>
      <c r="J39" s="68"/>
      <c r="K39" s="80"/>
      <c r="L39" s="80" t="s">
        <v>2400</v>
      </c>
      <c r="M39" s="80" t="s">
        <v>2401</v>
      </c>
      <c r="N39" s="80" t="s">
        <v>2402</v>
      </c>
    </row>
    <row r="40" customFormat="false" ht="15" hidden="false" customHeight="false" outlineLevel="0" collapsed="false">
      <c r="A40" s="68" t="s">
        <v>2403</v>
      </c>
      <c r="B40" s="68" t="s">
        <v>274</v>
      </c>
      <c r="C40" s="68" t="s">
        <v>2237</v>
      </c>
      <c r="D40" s="68" t="s">
        <v>2404</v>
      </c>
      <c r="E40" s="68" t="s">
        <v>237</v>
      </c>
      <c r="F40" s="68" t="s">
        <v>2239</v>
      </c>
      <c r="G40" s="68" t="s">
        <v>2240</v>
      </c>
      <c r="H40" s="68" t="s">
        <v>2245</v>
      </c>
      <c r="I40" s="68"/>
      <c r="J40" s="68"/>
      <c r="K40" s="80"/>
      <c r="L40" s="80"/>
      <c r="M40" s="80"/>
      <c r="N40" s="80" t="s">
        <v>2405</v>
      </c>
    </row>
    <row r="41" customFormat="false" ht="32.8" hidden="false" customHeight="false" outlineLevel="0" collapsed="false">
      <c r="A41" s="68" t="s">
        <v>2406</v>
      </c>
      <c r="B41" s="68" t="s">
        <v>275</v>
      </c>
      <c r="C41" s="68" t="s">
        <v>2237</v>
      </c>
      <c r="D41" s="68" t="s">
        <v>2407</v>
      </c>
      <c r="E41" s="68" t="s">
        <v>237</v>
      </c>
      <c r="F41" s="68" t="s">
        <v>2239</v>
      </c>
      <c r="G41" s="68" t="s">
        <v>2255</v>
      </c>
      <c r="H41" s="68" t="s">
        <v>2256</v>
      </c>
      <c r="I41" s="68"/>
      <c r="J41" s="68" t="s">
        <v>2408</v>
      </c>
      <c r="K41" s="80" t="s">
        <v>2409</v>
      </c>
      <c r="L41" s="80"/>
      <c r="M41" s="80"/>
      <c r="N41" s="80" t="s">
        <v>2410</v>
      </c>
    </row>
    <row r="42" customFormat="false" ht="15" hidden="false" customHeight="false" outlineLevel="0" collapsed="false">
      <c r="A42" s="68" t="s">
        <v>2411</v>
      </c>
      <c r="B42" s="68" t="s">
        <v>276</v>
      </c>
      <c r="C42" s="68" t="s">
        <v>2237</v>
      </c>
      <c r="D42" s="68" t="s">
        <v>2412</v>
      </c>
      <c r="E42" s="68" t="s">
        <v>238</v>
      </c>
      <c r="F42" s="68" t="s">
        <v>2262</v>
      </c>
      <c r="G42" s="68" t="s">
        <v>2255</v>
      </c>
      <c r="H42" s="68" t="s">
        <v>2256</v>
      </c>
      <c r="I42" s="68"/>
      <c r="J42" s="68" t="s">
        <v>2306</v>
      </c>
      <c r="K42" s="80" t="s">
        <v>2307</v>
      </c>
      <c r="L42" s="80"/>
      <c r="M42" s="80"/>
      <c r="N42" s="80" t="s">
        <v>2413</v>
      </c>
    </row>
    <row r="43" customFormat="false" ht="15" hidden="false" customHeight="false" outlineLevel="0" collapsed="false">
      <c r="A43" s="68" t="s">
        <v>2414</v>
      </c>
      <c r="B43" s="68" t="s">
        <v>277</v>
      </c>
      <c r="C43" s="68" t="s">
        <v>2237</v>
      </c>
      <c r="D43" s="68" t="s">
        <v>2415</v>
      </c>
      <c r="E43" s="68" t="s">
        <v>238</v>
      </c>
      <c r="F43" s="68" t="s">
        <v>2262</v>
      </c>
      <c r="G43" s="68" t="s">
        <v>2240</v>
      </c>
      <c r="H43" s="68" t="s">
        <v>2245</v>
      </c>
      <c r="I43" s="68"/>
      <c r="J43" s="68"/>
      <c r="K43" s="80"/>
      <c r="L43" s="80"/>
      <c r="M43" s="80"/>
      <c r="N43" s="80" t="s">
        <v>2416</v>
      </c>
    </row>
    <row r="44" customFormat="false" ht="15" hidden="false" customHeight="false" outlineLevel="0" collapsed="false">
      <c r="A44" s="68" t="s">
        <v>2417</v>
      </c>
      <c r="B44" s="68" t="s">
        <v>278</v>
      </c>
      <c r="C44" s="68" t="s">
        <v>2237</v>
      </c>
      <c r="D44" s="68" t="s">
        <v>2418</v>
      </c>
      <c r="E44" s="68" t="s">
        <v>238</v>
      </c>
      <c r="F44" s="68" t="s">
        <v>2262</v>
      </c>
      <c r="G44" s="68" t="s">
        <v>2240</v>
      </c>
      <c r="H44" s="68" t="s">
        <v>2245</v>
      </c>
      <c r="I44" s="68"/>
      <c r="J44" s="68"/>
      <c r="K44" s="80"/>
      <c r="L44" s="80"/>
      <c r="M44" s="80"/>
      <c r="N44" s="80" t="s">
        <v>2419</v>
      </c>
    </row>
    <row r="45" customFormat="false" ht="15" hidden="false" customHeight="false" outlineLevel="0" collapsed="false">
      <c r="A45" s="68" t="s">
        <v>2420</v>
      </c>
      <c r="B45" s="68" t="s">
        <v>279</v>
      </c>
      <c r="C45" s="68" t="s">
        <v>2237</v>
      </c>
      <c r="D45" s="68" t="s">
        <v>2421</v>
      </c>
      <c r="E45" s="68" t="s">
        <v>238</v>
      </c>
      <c r="F45" s="68" t="s">
        <v>2262</v>
      </c>
      <c r="G45" s="68" t="s">
        <v>2240</v>
      </c>
      <c r="H45" s="68" t="s">
        <v>2245</v>
      </c>
      <c r="I45" s="68"/>
      <c r="J45" s="68"/>
      <c r="K45" s="80"/>
      <c r="L45" s="80"/>
      <c r="M45" s="80"/>
      <c r="N45" s="80" t="s">
        <v>2422</v>
      </c>
    </row>
    <row r="46" customFormat="false" ht="15" hidden="false" customHeight="false" outlineLevel="0" collapsed="false">
      <c r="A46" s="68" t="s">
        <v>2423</v>
      </c>
      <c r="B46" s="68" t="s">
        <v>280</v>
      </c>
      <c r="C46" s="68" t="s">
        <v>2237</v>
      </c>
      <c r="D46" s="68" t="s">
        <v>2424</v>
      </c>
      <c r="E46" s="68" t="s">
        <v>238</v>
      </c>
      <c r="F46" s="68" t="s">
        <v>2262</v>
      </c>
      <c r="G46" s="68" t="s">
        <v>2240</v>
      </c>
      <c r="H46" s="68" t="s">
        <v>2245</v>
      </c>
      <c r="I46" s="68"/>
      <c r="J46" s="68"/>
      <c r="K46" s="80"/>
      <c r="L46" s="80"/>
      <c r="M46" s="80"/>
      <c r="N46" s="80" t="s">
        <v>2425</v>
      </c>
    </row>
    <row r="47" customFormat="false" ht="15" hidden="false" customHeight="false" outlineLevel="0" collapsed="false">
      <c r="A47" s="68" t="s">
        <v>2426</v>
      </c>
      <c r="B47" s="68" t="s">
        <v>281</v>
      </c>
      <c r="C47" s="68" t="s">
        <v>2237</v>
      </c>
      <c r="D47" s="68" t="s">
        <v>2427</v>
      </c>
      <c r="E47" s="68" t="s">
        <v>238</v>
      </c>
      <c r="F47" s="68" t="s">
        <v>2262</v>
      </c>
      <c r="G47" s="68" t="s">
        <v>2240</v>
      </c>
      <c r="H47" s="68" t="s">
        <v>2245</v>
      </c>
      <c r="I47" s="68"/>
      <c r="J47" s="68"/>
      <c r="K47" s="80"/>
      <c r="L47" s="80"/>
      <c r="M47" s="80"/>
      <c r="N47" s="80" t="s">
        <v>2428</v>
      </c>
    </row>
    <row r="48" customFormat="false" ht="15" hidden="false" customHeight="false" outlineLevel="0" collapsed="false">
      <c r="A48" s="68" t="s">
        <v>2429</v>
      </c>
      <c r="B48" s="68" t="s">
        <v>282</v>
      </c>
      <c r="C48" s="68" t="s">
        <v>2237</v>
      </c>
      <c r="D48" s="68" t="s">
        <v>2430</v>
      </c>
      <c r="E48" s="68" t="s">
        <v>238</v>
      </c>
      <c r="F48" s="68" t="s">
        <v>2262</v>
      </c>
      <c r="G48" s="68" t="s">
        <v>2240</v>
      </c>
      <c r="H48" s="68" t="s">
        <v>2245</v>
      </c>
      <c r="I48" s="68"/>
      <c r="J48" s="68"/>
      <c r="K48" s="80"/>
      <c r="L48" s="80"/>
      <c r="M48" s="80"/>
      <c r="N48" s="80" t="s">
        <v>2431</v>
      </c>
    </row>
    <row r="49" customFormat="false" ht="85.05" hidden="false" customHeight="false" outlineLevel="0" collapsed="false">
      <c r="A49" s="68" t="s">
        <v>2432</v>
      </c>
      <c r="B49" s="68" t="s">
        <v>283</v>
      </c>
      <c r="C49" s="68" t="s">
        <v>2237</v>
      </c>
      <c r="D49" s="68" t="s">
        <v>2433</v>
      </c>
      <c r="E49" s="68" t="s">
        <v>239</v>
      </c>
      <c r="F49" s="68" t="s">
        <v>2239</v>
      </c>
      <c r="G49" s="68" t="s">
        <v>2286</v>
      </c>
      <c r="H49" s="68" t="s">
        <v>2245</v>
      </c>
      <c r="I49" s="68"/>
      <c r="J49" s="68"/>
      <c r="K49" s="80"/>
      <c r="L49" s="80" t="s">
        <v>2434</v>
      </c>
      <c r="M49" s="80" t="s">
        <v>2435</v>
      </c>
      <c r="N49" s="80" t="s">
        <v>2436</v>
      </c>
    </row>
    <row r="50" customFormat="false" ht="32.8" hidden="false" customHeight="false" outlineLevel="0" collapsed="false">
      <c r="A50" s="68" t="s">
        <v>2437</v>
      </c>
      <c r="B50" s="68" t="s">
        <v>284</v>
      </c>
      <c r="C50" s="68" t="s">
        <v>2237</v>
      </c>
      <c r="D50" s="68" t="s">
        <v>2438</v>
      </c>
      <c r="E50" s="68" t="s">
        <v>240</v>
      </c>
      <c r="F50" s="68" t="s">
        <v>2262</v>
      </c>
      <c r="G50" s="68" t="s">
        <v>2286</v>
      </c>
      <c r="H50" s="68" t="s">
        <v>2273</v>
      </c>
      <c r="I50" s="68"/>
      <c r="J50" s="68"/>
      <c r="K50" s="80"/>
      <c r="L50" s="80" t="s">
        <v>2439</v>
      </c>
      <c r="M50" s="80" t="s">
        <v>2440</v>
      </c>
      <c r="N50" s="80" t="s">
        <v>2441</v>
      </c>
    </row>
    <row r="51" customFormat="false" ht="95.5" hidden="false" customHeight="false" outlineLevel="0" collapsed="false">
      <c r="A51" s="68" t="s">
        <v>2442</v>
      </c>
      <c r="B51" s="68" t="s">
        <v>285</v>
      </c>
      <c r="C51" s="68" t="s">
        <v>2237</v>
      </c>
      <c r="D51" s="68" t="s">
        <v>2443</v>
      </c>
      <c r="E51" s="68" t="s">
        <v>240</v>
      </c>
      <c r="F51" s="68" t="s">
        <v>2262</v>
      </c>
      <c r="G51" s="68" t="s">
        <v>2286</v>
      </c>
      <c r="H51" s="68" t="s">
        <v>2273</v>
      </c>
      <c r="I51" s="68"/>
      <c r="J51" s="68"/>
      <c r="K51" s="80"/>
      <c r="L51" s="80" t="s">
        <v>2444</v>
      </c>
      <c r="M51" s="80" t="s">
        <v>2445</v>
      </c>
      <c r="N51" s="80" t="s">
        <v>2446</v>
      </c>
    </row>
    <row r="52" customFormat="false" ht="53.7" hidden="false" customHeight="false" outlineLevel="0" collapsed="false">
      <c r="A52" s="68" t="s">
        <v>2447</v>
      </c>
      <c r="B52" s="68" t="s">
        <v>286</v>
      </c>
      <c r="C52" s="68" t="s">
        <v>2237</v>
      </c>
      <c r="D52" s="68" t="s">
        <v>2448</v>
      </c>
      <c r="E52" s="68" t="s">
        <v>240</v>
      </c>
      <c r="F52" s="68" t="s">
        <v>2262</v>
      </c>
      <c r="G52" s="68" t="s">
        <v>2286</v>
      </c>
      <c r="H52" s="68" t="s">
        <v>2273</v>
      </c>
      <c r="I52" s="68"/>
      <c r="J52" s="68"/>
      <c r="K52" s="80"/>
      <c r="L52" s="80" t="s">
        <v>2449</v>
      </c>
      <c r="M52" s="80" t="s">
        <v>2450</v>
      </c>
      <c r="N52" s="80" t="s">
        <v>2451</v>
      </c>
    </row>
    <row r="53" customFormat="false" ht="210.4" hidden="false" customHeight="false" outlineLevel="0" collapsed="false">
      <c r="A53" s="68" t="s">
        <v>2452</v>
      </c>
      <c r="B53" s="68" t="s">
        <v>287</v>
      </c>
      <c r="C53" s="68" t="s">
        <v>2237</v>
      </c>
      <c r="D53" s="68" t="s">
        <v>2453</v>
      </c>
      <c r="E53" s="68" t="s">
        <v>240</v>
      </c>
      <c r="F53" s="68" t="s">
        <v>2262</v>
      </c>
      <c r="G53" s="68" t="s">
        <v>2286</v>
      </c>
      <c r="H53" s="68" t="s">
        <v>2273</v>
      </c>
      <c r="I53" s="68"/>
      <c r="J53" s="68"/>
      <c r="K53" s="80"/>
      <c r="L53" s="80" t="s">
        <v>2454</v>
      </c>
      <c r="M53" s="80" t="s">
        <v>2455</v>
      </c>
      <c r="N53" s="80" t="s">
        <v>2456</v>
      </c>
    </row>
    <row r="54" customFormat="false" ht="15" hidden="false" customHeight="false" outlineLevel="0" collapsed="false">
      <c r="A54" s="68" t="s">
        <v>2457</v>
      </c>
      <c r="B54" s="68" t="s">
        <v>288</v>
      </c>
      <c r="C54" s="68" t="s">
        <v>2237</v>
      </c>
      <c r="D54" s="68" t="s">
        <v>2458</v>
      </c>
      <c r="E54" s="68" t="s">
        <v>240</v>
      </c>
      <c r="F54" s="68" t="s">
        <v>2239</v>
      </c>
      <c r="G54" s="68" t="s">
        <v>2286</v>
      </c>
      <c r="H54" s="68" t="s">
        <v>2273</v>
      </c>
      <c r="I54" s="68"/>
      <c r="J54" s="68"/>
      <c r="K54" s="80"/>
      <c r="L54" s="80" t="s">
        <v>2459</v>
      </c>
      <c r="M54" s="80" t="s">
        <v>2460</v>
      </c>
      <c r="N54" s="80" t="s">
        <v>2461</v>
      </c>
    </row>
    <row r="55" customFormat="false" ht="22.35" hidden="false" customHeight="false" outlineLevel="0" collapsed="false">
      <c r="A55" s="68" t="s">
        <v>2462</v>
      </c>
      <c r="B55" s="68" t="s">
        <v>289</v>
      </c>
      <c r="C55" s="68" t="s">
        <v>2237</v>
      </c>
      <c r="D55" s="68" t="s">
        <v>2463</v>
      </c>
      <c r="E55" s="68" t="s">
        <v>240</v>
      </c>
      <c r="F55" s="68" t="s">
        <v>2239</v>
      </c>
      <c r="G55" s="68" t="s">
        <v>2286</v>
      </c>
      <c r="H55" s="68" t="s">
        <v>2273</v>
      </c>
      <c r="I55" s="68" t="s">
        <v>363</v>
      </c>
      <c r="J55" s="68"/>
      <c r="K55" s="80"/>
      <c r="L55" s="80" t="s">
        <v>2464</v>
      </c>
      <c r="M55" s="80" t="s">
        <v>2465</v>
      </c>
      <c r="N55" s="80" t="s">
        <v>2466</v>
      </c>
    </row>
    <row r="56" customFormat="false" ht="53.7" hidden="false" customHeight="false" outlineLevel="0" collapsed="false">
      <c r="A56" s="68" t="s">
        <v>2467</v>
      </c>
      <c r="B56" s="68" t="s">
        <v>290</v>
      </c>
      <c r="C56" s="68" t="s">
        <v>2237</v>
      </c>
      <c r="D56" s="68" t="s">
        <v>2468</v>
      </c>
      <c r="E56" s="68" t="s">
        <v>240</v>
      </c>
      <c r="F56" s="68" t="s">
        <v>2262</v>
      </c>
      <c r="G56" s="68" t="s">
        <v>2286</v>
      </c>
      <c r="H56" s="68" t="s">
        <v>2273</v>
      </c>
      <c r="I56" s="68"/>
      <c r="J56" s="68"/>
      <c r="K56" s="80"/>
      <c r="L56" s="80" t="s">
        <v>2469</v>
      </c>
      <c r="M56" s="80" t="s">
        <v>2470</v>
      </c>
      <c r="N56" s="80"/>
    </row>
    <row r="57" customFormat="false" ht="22.35" hidden="false" customHeight="false" outlineLevel="0" collapsed="false">
      <c r="A57" s="68" t="s">
        <v>2471</v>
      </c>
      <c r="B57" s="68" t="s">
        <v>291</v>
      </c>
      <c r="C57" s="68" t="s">
        <v>2237</v>
      </c>
      <c r="D57" s="68" t="s">
        <v>2472</v>
      </c>
      <c r="E57" s="68" t="s">
        <v>240</v>
      </c>
      <c r="F57" s="68" t="s">
        <v>2262</v>
      </c>
      <c r="G57" s="68" t="s">
        <v>2286</v>
      </c>
      <c r="H57" s="68" t="s">
        <v>2273</v>
      </c>
      <c r="I57" s="68"/>
      <c r="J57" s="68"/>
      <c r="K57" s="80"/>
      <c r="L57" s="80" t="s">
        <v>2473</v>
      </c>
      <c r="M57" s="80" t="s">
        <v>2474</v>
      </c>
      <c r="N57" s="80"/>
    </row>
    <row r="58" customFormat="false" ht="32.8" hidden="false" customHeight="false" outlineLevel="0" collapsed="false">
      <c r="A58" s="68" t="s">
        <v>2475</v>
      </c>
      <c r="B58" s="68" t="s">
        <v>292</v>
      </c>
      <c r="C58" s="68" t="s">
        <v>2237</v>
      </c>
      <c r="D58" s="68" t="s">
        <v>2476</v>
      </c>
      <c r="E58" s="68" t="s">
        <v>240</v>
      </c>
      <c r="F58" s="68" t="s">
        <v>2262</v>
      </c>
      <c r="G58" s="68" t="s">
        <v>2286</v>
      </c>
      <c r="H58" s="68" t="s">
        <v>2245</v>
      </c>
      <c r="I58" s="68"/>
      <c r="J58" s="68"/>
      <c r="K58" s="80"/>
      <c r="L58" s="80" t="s">
        <v>2477</v>
      </c>
      <c r="M58" s="80" t="s">
        <v>2478</v>
      </c>
      <c r="N58" s="80" t="s">
        <v>2479</v>
      </c>
    </row>
    <row r="59" customFormat="false" ht="22.35" hidden="false" customHeight="false" outlineLevel="0" collapsed="false">
      <c r="A59" s="68" t="s">
        <v>2480</v>
      </c>
      <c r="B59" s="68" t="s">
        <v>293</v>
      </c>
      <c r="C59" s="68" t="s">
        <v>2237</v>
      </c>
      <c r="D59" s="68" t="s">
        <v>2481</v>
      </c>
      <c r="E59" s="68" t="s">
        <v>240</v>
      </c>
      <c r="F59" s="68" t="s">
        <v>2239</v>
      </c>
      <c r="G59" s="68" t="s">
        <v>2286</v>
      </c>
      <c r="H59" s="68" t="s">
        <v>2273</v>
      </c>
      <c r="I59" s="68" t="s">
        <v>363</v>
      </c>
      <c r="J59" s="68"/>
      <c r="K59" s="80"/>
      <c r="L59" s="80" t="s">
        <v>2482</v>
      </c>
      <c r="M59" s="80" t="s">
        <v>2483</v>
      </c>
      <c r="N59" s="80"/>
    </row>
    <row r="60" customFormat="false" ht="32.8" hidden="false" customHeight="false" outlineLevel="0" collapsed="false">
      <c r="A60" s="68" t="s">
        <v>2484</v>
      </c>
      <c r="B60" s="68" t="s">
        <v>294</v>
      </c>
      <c r="C60" s="68" t="s">
        <v>2237</v>
      </c>
      <c r="D60" s="68" t="s">
        <v>2485</v>
      </c>
      <c r="E60" s="68" t="s">
        <v>240</v>
      </c>
      <c r="F60" s="68" t="s">
        <v>2262</v>
      </c>
      <c r="G60" s="68" t="s">
        <v>2286</v>
      </c>
      <c r="H60" s="68" t="s">
        <v>2273</v>
      </c>
      <c r="I60" s="68" t="s">
        <v>363</v>
      </c>
      <c r="J60" s="68"/>
      <c r="K60" s="80"/>
      <c r="L60" s="80" t="s">
        <v>2486</v>
      </c>
      <c r="M60" s="80" t="s">
        <v>2487</v>
      </c>
      <c r="N60" s="80" t="s">
        <v>2488</v>
      </c>
    </row>
    <row r="61" customFormat="false" ht="15" hidden="false" customHeight="false" outlineLevel="0" collapsed="false">
      <c r="A61" s="68" t="s">
        <v>2489</v>
      </c>
      <c r="B61" s="68" t="s">
        <v>295</v>
      </c>
      <c r="C61" s="68" t="s">
        <v>2237</v>
      </c>
      <c r="D61" s="68" t="s">
        <v>2490</v>
      </c>
      <c r="E61" s="68" t="s">
        <v>239</v>
      </c>
      <c r="F61" s="68" t="s">
        <v>2239</v>
      </c>
      <c r="G61" s="68" t="s">
        <v>2240</v>
      </c>
      <c r="H61" s="68" t="s">
        <v>2245</v>
      </c>
      <c r="I61" s="68"/>
      <c r="J61" s="68"/>
      <c r="K61" s="80"/>
      <c r="L61" s="80"/>
      <c r="M61" s="80"/>
      <c r="N61" s="80" t="s">
        <v>2491</v>
      </c>
    </row>
    <row r="62" customFormat="false" ht="15" hidden="false" customHeight="false" outlineLevel="0" collapsed="false">
      <c r="A62" s="68" t="s">
        <v>2492</v>
      </c>
      <c r="B62" s="68" t="s">
        <v>296</v>
      </c>
      <c r="C62" s="68" t="s">
        <v>2237</v>
      </c>
      <c r="D62" s="68" t="s">
        <v>2493</v>
      </c>
      <c r="E62" s="68" t="s">
        <v>239</v>
      </c>
      <c r="F62" s="68" t="s">
        <v>2239</v>
      </c>
      <c r="G62" s="68" t="s">
        <v>2240</v>
      </c>
      <c r="H62" s="68" t="s">
        <v>2245</v>
      </c>
      <c r="I62" s="68"/>
      <c r="J62" s="68"/>
      <c r="K62" s="80"/>
      <c r="L62" s="80"/>
      <c r="M62" s="80"/>
      <c r="N62" s="80"/>
    </row>
    <row r="63" customFormat="false" ht="15" hidden="false" customHeight="false" outlineLevel="0" collapsed="false">
      <c r="A63" s="68" t="s">
        <v>2494</v>
      </c>
      <c r="B63" s="68" t="s">
        <v>297</v>
      </c>
      <c r="C63" s="68" t="s">
        <v>2237</v>
      </c>
      <c r="D63" s="68" t="s">
        <v>2495</v>
      </c>
      <c r="E63" s="68" t="s">
        <v>239</v>
      </c>
      <c r="F63" s="68" t="s">
        <v>2239</v>
      </c>
      <c r="G63" s="68" t="s">
        <v>2255</v>
      </c>
      <c r="H63" s="68" t="s">
        <v>2256</v>
      </c>
      <c r="I63" s="68"/>
      <c r="J63" s="68" t="s">
        <v>2496</v>
      </c>
      <c r="K63" s="80" t="s">
        <v>2497</v>
      </c>
      <c r="L63" s="80"/>
      <c r="M63" s="80"/>
      <c r="N63" s="80" t="s">
        <v>2498</v>
      </c>
    </row>
    <row r="64" customFormat="false" ht="15" hidden="false" customHeight="false" outlineLevel="0" collapsed="false">
      <c r="A64" s="68" t="s">
        <v>2166</v>
      </c>
      <c r="B64" s="68" t="s">
        <v>298</v>
      </c>
      <c r="C64" s="68" t="s">
        <v>2237</v>
      </c>
      <c r="D64" s="68" t="s">
        <v>2499</v>
      </c>
      <c r="E64" s="68" t="s">
        <v>241</v>
      </c>
      <c r="F64" s="68" t="s">
        <v>2239</v>
      </c>
      <c r="G64" s="68" t="s">
        <v>2500</v>
      </c>
      <c r="H64" s="68" t="s">
        <v>2245</v>
      </c>
      <c r="I64" s="68"/>
      <c r="J64" s="68"/>
      <c r="K64" s="80"/>
      <c r="L64" s="80"/>
      <c r="M64" s="80"/>
      <c r="N64" s="80" t="s">
        <v>2501</v>
      </c>
    </row>
    <row r="65" customFormat="false" ht="22.35" hidden="false" customHeight="false" outlineLevel="0" collapsed="false">
      <c r="A65" s="68" t="s">
        <v>2181</v>
      </c>
      <c r="B65" s="68" t="s">
        <v>299</v>
      </c>
      <c r="C65" s="68" t="s">
        <v>2237</v>
      </c>
      <c r="D65" s="68" t="s">
        <v>2502</v>
      </c>
      <c r="E65" s="68" t="s">
        <v>241</v>
      </c>
      <c r="F65" s="68" t="s">
        <v>2239</v>
      </c>
      <c r="G65" s="68" t="s">
        <v>2286</v>
      </c>
      <c r="H65" s="68" t="s">
        <v>2245</v>
      </c>
      <c r="I65" s="68"/>
      <c r="J65" s="68"/>
      <c r="K65" s="80"/>
      <c r="L65" s="80" t="s">
        <v>2503</v>
      </c>
      <c r="M65" s="80" t="s">
        <v>2504</v>
      </c>
      <c r="N65" s="80" t="s">
        <v>2505</v>
      </c>
    </row>
    <row r="66" customFormat="false" ht="32.8" hidden="false" customHeight="false" outlineLevel="0" collapsed="false">
      <c r="A66" s="68" t="s">
        <v>2506</v>
      </c>
      <c r="B66" s="68" t="s">
        <v>1338</v>
      </c>
      <c r="C66" s="68" t="s">
        <v>2507</v>
      </c>
      <c r="D66" s="68" t="s">
        <v>2508</v>
      </c>
      <c r="E66" s="68" t="s">
        <v>828</v>
      </c>
      <c r="F66" s="68" t="s">
        <v>2239</v>
      </c>
      <c r="G66" s="68" t="s">
        <v>2255</v>
      </c>
      <c r="H66" s="68" t="s">
        <v>2273</v>
      </c>
      <c r="I66" s="68"/>
      <c r="J66" s="68" t="s">
        <v>2354</v>
      </c>
      <c r="K66" s="80" t="s">
        <v>2355</v>
      </c>
      <c r="L66" s="80"/>
      <c r="M66" s="80"/>
      <c r="N66" s="80" t="s">
        <v>1339</v>
      </c>
    </row>
    <row r="67" customFormat="false" ht="32.8" hidden="false" customHeight="false" outlineLevel="0" collapsed="false">
      <c r="A67" s="68" t="s">
        <v>2509</v>
      </c>
      <c r="B67" s="68" t="s">
        <v>1340</v>
      </c>
      <c r="C67" s="68" t="s">
        <v>2507</v>
      </c>
      <c r="D67" s="68" t="s">
        <v>2510</v>
      </c>
      <c r="E67" s="68" t="s">
        <v>828</v>
      </c>
      <c r="F67" s="68" t="s">
        <v>2262</v>
      </c>
      <c r="G67" s="68" t="s">
        <v>2286</v>
      </c>
      <c r="H67" s="68" t="s">
        <v>2273</v>
      </c>
      <c r="I67" s="68"/>
      <c r="J67" s="68"/>
      <c r="K67" s="80"/>
      <c r="L67" s="80" t="s">
        <v>2511</v>
      </c>
      <c r="M67" s="80" t="s">
        <v>2512</v>
      </c>
      <c r="N67" s="80" t="s">
        <v>1341</v>
      </c>
    </row>
    <row r="68" customFormat="false" ht="15" hidden="false" customHeight="false" outlineLevel="0" collapsed="false">
      <c r="A68" s="68" t="s">
        <v>2513</v>
      </c>
      <c r="B68" s="68" t="s">
        <v>1342</v>
      </c>
      <c r="C68" s="68" t="s">
        <v>2507</v>
      </c>
      <c r="D68" s="68" t="s">
        <v>2514</v>
      </c>
      <c r="E68" s="68" t="s">
        <v>828</v>
      </c>
      <c r="F68" s="68" t="s">
        <v>2262</v>
      </c>
      <c r="G68" s="68" t="s">
        <v>2240</v>
      </c>
      <c r="H68" s="68" t="s">
        <v>2245</v>
      </c>
      <c r="I68" s="68"/>
      <c r="J68" s="68"/>
      <c r="K68" s="80"/>
      <c r="L68" s="80"/>
      <c r="M68" s="80"/>
      <c r="N68" s="80" t="s">
        <v>1343</v>
      </c>
    </row>
    <row r="69" customFormat="false" ht="15" hidden="false" customHeight="false" outlineLevel="0" collapsed="false">
      <c r="A69" s="68" t="s">
        <v>2515</v>
      </c>
      <c r="B69" s="68" t="s">
        <v>1344</v>
      </c>
      <c r="C69" s="68" t="s">
        <v>2507</v>
      </c>
      <c r="D69" s="68" t="s">
        <v>2516</v>
      </c>
      <c r="E69" s="68" t="s">
        <v>828</v>
      </c>
      <c r="F69" s="68" t="s">
        <v>2239</v>
      </c>
      <c r="G69" s="68" t="s">
        <v>2286</v>
      </c>
      <c r="H69" s="68" t="s">
        <v>2273</v>
      </c>
      <c r="I69" s="68"/>
      <c r="J69" s="68"/>
      <c r="K69" s="80"/>
      <c r="L69" s="80" t="s">
        <v>2517</v>
      </c>
      <c r="M69" s="80" t="s">
        <v>2517</v>
      </c>
      <c r="N69" s="80"/>
    </row>
    <row r="70" customFormat="false" ht="32.8" hidden="false" customHeight="false" outlineLevel="0" collapsed="false">
      <c r="A70" s="68" t="s">
        <v>2518</v>
      </c>
      <c r="B70" s="68" t="s">
        <v>1345</v>
      </c>
      <c r="C70" s="68" t="s">
        <v>2507</v>
      </c>
      <c r="D70" s="68" t="s">
        <v>2519</v>
      </c>
      <c r="E70" s="68" t="s">
        <v>828</v>
      </c>
      <c r="F70" s="68" t="s">
        <v>2262</v>
      </c>
      <c r="G70" s="68" t="s">
        <v>2286</v>
      </c>
      <c r="H70" s="68" t="s">
        <v>2273</v>
      </c>
      <c r="I70" s="68"/>
      <c r="J70" s="68"/>
      <c r="K70" s="80"/>
      <c r="L70" s="80" t="s">
        <v>2520</v>
      </c>
      <c r="M70" s="80" t="s">
        <v>2521</v>
      </c>
      <c r="N70" s="80" t="s">
        <v>1341</v>
      </c>
    </row>
    <row r="71" customFormat="false" ht="15" hidden="false" customHeight="false" outlineLevel="0" collapsed="false">
      <c r="A71" s="68" t="s">
        <v>2522</v>
      </c>
      <c r="B71" s="68" t="s">
        <v>1346</v>
      </c>
      <c r="C71" s="68" t="s">
        <v>2507</v>
      </c>
      <c r="D71" s="68" t="s">
        <v>2523</v>
      </c>
      <c r="E71" s="68" t="s">
        <v>828</v>
      </c>
      <c r="F71" s="68" t="s">
        <v>2262</v>
      </c>
      <c r="G71" s="68" t="s">
        <v>2240</v>
      </c>
      <c r="H71" s="68" t="s">
        <v>2245</v>
      </c>
      <c r="I71" s="68"/>
      <c r="J71" s="68"/>
      <c r="K71" s="80"/>
      <c r="L71" s="80"/>
      <c r="M71" s="80"/>
      <c r="N71" s="80" t="s">
        <v>1343</v>
      </c>
    </row>
    <row r="72" customFormat="false" ht="15" hidden="false" customHeight="false" outlineLevel="0" collapsed="false">
      <c r="A72" s="68" t="s">
        <v>2524</v>
      </c>
      <c r="B72" s="68" t="s">
        <v>1347</v>
      </c>
      <c r="C72" s="68" t="s">
        <v>2507</v>
      </c>
      <c r="D72" s="68" t="s">
        <v>2525</v>
      </c>
      <c r="E72" s="68" t="s">
        <v>828</v>
      </c>
      <c r="F72" s="68" t="s">
        <v>2239</v>
      </c>
      <c r="G72" s="68" t="s">
        <v>2286</v>
      </c>
      <c r="H72" s="68" t="s">
        <v>2273</v>
      </c>
      <c r="I72" s="68"/>
      <c r="J72" s="68"/>
      <c r="K72" s="80"/>
      <c r="L72" s="80" t="s">
        <v>2526</v>
      </c>
      <c r="M72" s="80" t="s">
        <v>2526</v>
      </c>
      <c r="N72" s="80"/>
    </row>
    <row r="73" customFormat="false" ht="64.15" hidden="false" customHeight="false" outlineLevel="0" collapsed="false">
      <c r="A73" s="68" t="s">
        <v>2527</v>
      </c>
      <c r="B73" s="68" t="s">
        <v>1349</v>
      </c>
      <c r="C73" s="68" t="s">
        <v>2507</v>
      </c>
      <c r="D73" s="68" t="s">
        <v>2528</v>
      </c>
      <c r="E73" s="68" t="s">
        <v>828</v>
      </c>
      <c r="F73" s="68" t="s">
        <v>2262</v>
      </c>
      <c r="G73" s="68" t="s">
        <v>2286</v>
      </c>
      <c r="H73" s="68" t="s">
        <v>2273</v>
      </c>
      <c r="I73" s="68"/>
      <c r="J73" s="68"/>
      <c r="K73" s="80"/>
      <c r="L73" s="80" t="s">
        <v>2529</v>
      </c>
      <c r="M73" s="80" t="s">
        <v>2530</v>
      </c>
      <c r="N73" s="80"/>
    </row>
    <row r="74" customFormat="false" ht="15" hidden="false" customHeight="false" outlineLevel="0" collapsed="false">
      <c r="A74" s="68" t="s">
        <v>2531</v>
      </c>
      <c r="B74" s="68" t="s">
        <v>1351</v>
      </c>
      <c r="C74" s="68" t="s">
        <v>2507</v>
      </c>
      <c r="D74" s="68" t="s">
        <v>2532</v>
      </c>
      <c r="E74" s="68" t="s">
        <v>828</v>
      </c>
      <c r="F74" s="68" t="s">
        <v>2262</v>
      </c>
      <c r="G74" s="68" t="s">
        <v>2240</v>
      </c>
      <c r="H74" s="68" t="s">
        <v>2273</v>
      </c>
      <c r="I74" s="68"/>
      <c r="J74" s="68"/>
      <c r="K74" s="80"/>
      <c r="L74" s="80"/>
      <c r="M74" s="80"/>
      <c r="N74" s="80" t="s">
        <v>1352</v>
      </c>
    </row>
    <row r="75" customFormat="false" ht="15" hidden="false" customHeight="false" outlineLevel="0" collapsed="false">
      <c r="A75" s="68" t="s">
        <v>2533</v>
      </c>
      <c r="B75" s="68" t="s">
        <v>1353</v>
      </c>
      <c r="C75" s="68" t="s">
        <v>2507</v>
      </c>
      <c r="D75" s="68" t="s">
        <v>2534</v>
      </c>
      <c r="E75" s="68" t="s">
        <v>828</v>
      </c>
      <c r="F75" s="68" t="s">
        <v>2262</v>
      </c>
      <c r="G75" s="68" t="s">
        <v>2240</v>
      </c>
      <c r="H75" s="68" t="s">
        <v>2273</v>
      </c>
      <c r="I75" s="68"/>
      <c r="J75" s="68"/>
      <c r="K75" s="80"/>
      <c r="L75" s="80"/>
      <c r="M75" s="80"/>
      <c r="N75" s="80"/>
    </row>
    <row r="76" customFormat="false" ht="64.15" hidden="false" customHeight="false" outlineLevel="0" collapsed="false">
      <c r="A76" s="68" t="s">
        <v>2535</v>
      </c>
      <c r="B76" s="68" t="s">
        <v>1354</v>
      </c>
      <c r="C76" s="68" t="s">
        <v>2507</v>
      </c>
      <c r="D76" s="68" t="s">
        <v>2536</v>
      </c>
      <c r="E76" s="68" t="s">
        <v>828</v>
      </c>
      <c r="F76" s="68" t="s">
        <v>2262</v>
      </c>
      <c r="G76" s="68" t="s">
        <v>2286</v>
      </c>
      <c r="H76" s="68" t="s">
        <v>2273</v>
      </c>
      <c r="I76" s="68"/>
      <c r="J76" s="68"/>
      <c r="K76" s="80"/>
      <c r="L76" s="80" t="s">
        <v>2537</v>
      </c>
      <c r="M76" s="80" t="s">
        <v>2538</v>
      </c>
      <c r="N76" s="80"/>
    </row>
    <row r="77" customFormat="false" ht="15" hidden="false" customHeight="false" outlineLevel="0" collapsed="false">
      <c r="A77" s="68" t="s">
        <v>2539</v>
      </c>
      <c r="B77" s="68" t="s">
        <v>1355</v>
      </c>
      <c r="C77" s="68" t="s">
        <v>2507</v>
      </c>
      <c r="D77" s="68" t="s">
        <v>2540</v>
      </c>
      <c r="E77" s="68" t="s">
        <v>828</v>
      </c>
      <c r="F77" s="68" t="s">
        <v>2262</v>
      </c>
      <c r="G77" s="68" t="s">
        <v>2240</v>
      </c>
      <c r="H77" s="68" t="s">
        <v>2273</v>
      </c>
      <c r="I77" s="68"/>
      <c r="J77" s="68"/>
      <c r="K77" s="80"/>
      <c r="L77" s="80"/>
      <c r="M77" s="80"/>
      <c r="N77" s="80" t="s">
        <v>1356</v>
      </c>
    </row>
    <row r="78" customFormat="false" ht="15" hidden="false" customHeight="false" outlineLevel="0" collapsed="false">
      <c r="A78" s="68" t="s">
        <v>2541</v>
      </c>
      <c r="B78" s="68" t="s">
        <v>1357</v>
      </c>
      <c r="C78" s="68" t="s">
        <v>2507</v>
      </c>
      <c r="D78" s="68" t="s">
        <v>2542</v>
      </c>
      <c r="E78" s="68" t="s">
        <v>828</v>
      </c>
      <c r="F78" s="68" t="s">
        <v>2262</v>
      </c>
      <c r="G78" s="68" t="s">
        <v>2240</v>
      </c>
      <c r="H78" s="68" t="s">
        <v>2273</v>
      </c>
      <c r="I78" s="68"/>
      <c r="J78" s="68"/>
      <c r="K78" s="80"/>
      <c r="L78" s="80"/>
      <c r="M78" s="80"/>
      <c r="N78" s="80" t="s">
        <v>1358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3" min="3" style="0" width="14"/>
    <col collapsed="false" customWidth="true" hidden="false" outlineLevel="0" max="4" min="4" style="0" width="110"/>
    <col collapsed="false" customWidth="true" hidden="false" outlineLevel="0" max="5" min="5" style="0" width="50"/>
  </cols>
  <sheetData>
    <row r="1" customFormat="false" ht="17.15" hidden="false" customHeight="false" outlineLevel="0" collapsed="false">
      <c r="A1" s="7" t="s">
        <v>2543</v>
      </c>
    </row>
    <row r="2" customFormat="false" ht="15" hidden="false" customHeight="false" outlineLevel="0" collapsed="false">
      <c r="A2" s="8" t="s">
        <v>2544</v>
      </c>
    </row>
    <row r="4" customFormat="false" ht="15" hidden="false" customHeight="false" outlineLevel="0" collapsed="false">
      <c r="A4" s="53" t="s">
        <v>2545</v>
      </c>
      <c r="B4" s="53" t="s">
        <v>2546</v>
      </c>
      <c r="C4" s="53" t="s">
        <v>2228</v>
      </c>
      <c r="D4" s="53" t="s">
        <v>2547</v>
      </c>
      <c r="E4" s="53" t="s">
        <v>2548</v>
      </c>
    </row>
    <row r="5" customFormat="false" ht="22.35" hidden="false" customHeight="false" outlineLevel="0" collapsed="false">
      <c r="A5" s="68" t="s">
        <v>2549</v>
      </c>
      <c r="B5" s="68" t="s">
        <v>2550</v>
      </c>
      <c r="C5" s="68" t="s">
        <v>2551</v>
      </c>
      <c r="D5" s="80" t="s">
        <v>2552</v>
      </c>
      <c r="E5" s="80" t="s">
        <v>2553</v>
      </c>
    </row>
    <row r="6" customFormat="false" ht="22.35" hidden="false" customHeight="false" outlineLevel="0" collapsed="false">
      <c r="A6" s="68" t="s">
        <v>2554</v>
      </c>
      <c r="B6" s="68" t="s">
        <v>2555</v>
      </c>
      <c r="C6" s="68" t="s">
        <v>2551</v>
      </c>
      <c r="D6" s="80" t="s">
        <v>2556</v>
      </c>
      <c r="E6" s="80" t="s">
        <v>2557</v>
      </c>
    </row>
    <row r="7" customFormat="false" ht="15" hidden="false" customHeight="false" outlineLevel="0" collapsed="false">
      <c r="A7" s="68" t="s">
        <v>2558</v>
      </c>
      <c r="B7" s="68" t="s">
        <v>2559</v>
      </c>
      <c r="C7" s="68" t="s">
        <v>2560</v>
      </c>
      <c r="D7" s="80" t="s">
        <v>2561</v>
      </c>
      <c r="E7" s="80" t="s">
        <v>2562</v>
      </c>
    </row>
    <row r="8" customFormat="false" ht="15" hidden="false" customHeight="false" outlineLevel="0" collapsed="false">
      <c r="A8" s="68" t="s">
        <v>2563</v>
      </c>
      <c r="B8" s="68" t="s">
        <v>2564</v>
      </c>
      <c r="C8" s="68" t="s">
        <v>2560</v>
      </c>
      <c r="D8" s="80" t="s">
        <v>2565</v>
      </c>
      <c r="E8" s="80" t="s">
        <v>2566</v>
      </c>
    </row>
    <row r="9" customFormat="false" ht="22.35" hidden="false" customHeight="false" outlineLevel="0" collapsed="false">
      <c r="A9" s="68" t="s">
        <v>2567</v>
      </c>
      <c r="B9" s="68" t="s">
        <v>2568</v>
      </c>
      <c r="C9" s="68" t="s">
        <v>2569</v>
      </c>
      <c r="D9" s="80" t="s">
        <v>2570</v>
      </c>
      <c r="E9" s="80" t="s">
        <v>2571</v>
      </c>
    </row>
    <row r="10" customFormat="false" ht="15" hidden="false" customHeight="false" outlineLevel="0" collapsed="false">
      <c r="A10" s="68" t="s">
        <v>2572</v>
      </c>
      <c r="B10" s="68" t="s">
        <v>834</v>
      </c>
      <c r="C10" s="68" t="s">
        <v>2551</v>
      </c>
      <c r="D10" s="80" t="s">
        <v>2573</v>
      </c>
      <c r="E10" s="80" t="s">
        <v>2574</v>
      </c>
    </row>
    <row r="11" customFormat="false" ht="15" hidden="false" customHeight="false" outlineLevel="0" collapsed="false">
      <c r="A11" s="68" t="s">
        <v>2575</v>
      </c>
      <c r="B11" s="68" t="s">
        <v>2576</v>
      </c>
      <c r="C11" s="68" t="s">
        <v>2551</v>
      </c>
      <c r="D11" s="80" t="s">
        <v>2577</v>
      </c>
      <c r="E11" s="80"/>
    </row>
    <row r="12" customFormat="false" ht="22.35" hidden="false" customHeight="false" outlineLevel="0" collapsed="false">
      <c r="A12" s="68" t="s">
        <v>2578</v>
      </c>
      <c r="B12" s="68" t="s">
        <v>2579</v>
      </c>
      <c r="C12" s="68" t="s">
        <v>2551</v>
      </c>
      <c r="D12" s="80" t="s">
        <v>2580</v>
      </c>
      <c r="E12" s="80"/>
    </row>
    <row r="13" customFormat="false" ht="15" hidden="false" customHeight="false" outlineLevel="0" collapsed="false">
      <c r="A13" s="68" t="s">
        <v>2581</v>
      </c>
      <c r="B13" s="68" t="s">
        <v>2582</v>
      </c>
      <c r="C13" s="68" t="s">
        <v>2551</v>
      </c>
      <c r="D13" s="80" t="s">
        <v>2583</v>
      </c>
      <c r="E13" s="80" t="s">
        <v>2584</v>
      </c>
    </row>
    <row r="14" customFormat="false" ht="15" hidden="false" customHeight="false" outlineLevel="0" collapsed="false">
      <c r="A14" s="68" t="s">
        <v>2585</v>
      </c>
      <c r="B14" s="68" t="s">
        <v>2586</v>
      </c>
      <c r="C14" s="68" t="s">
        <v>2551</v>
      </c>
      <c r="D14" s="80" t="s">
        <v>2587</v>
      </c>
      <c r="E14" s="80" t="s">
        <v>2588</v>
      </c>
    </row>
    <row r="15" customFormat="false" ht="15" hidden="false" customHeight="false" outlineLevel="0" collapsed="false">
      <c r="A15" s="68" t="s">
        <v>2589</v>
      </c>
      <c r="B15" s="68" t="s">
        <v>2590</v>
      </c>
      <c r="C15" s="68" t="s">
        <v>2551</v>
      </c>
      <c r="D15" s="80" t="s">
        <v>2591</v>
      </c>
      <c r="E15" s="80"/>
    </row>
    <row r="16" customFormat="false" ht="22.35" hidden="false" customHeight="false" outlineLevel="0" collapsed="false">
      <c r="A16" s="68" t="s">
        <v>2592</v>
      </c>
      <c r="B16" s="68" t="s">
        <v>907</v>
      </c>
      <c r="C16" s="68" t="s">
        <v>2551</v>
      </c>
      <c r="D16" s="80" t="s">
        <v>2593</v>
      </c>
      <c r="E16" s="80" t="s">
        <v>2594</v>
      </c>
    </row>
    <row r="17" customFormat="false" ht="15" hidden="false" customHeight="false" outlineLevel="0" collapsed="false">
      <c r="A17" s="68" t="s">
        <v>2595</v>
      </c>
      <c r="B17" s="68" t="s">
        <v>2596</v>
      </c>
      <c r="C17" s="68" t="s">
        <v>2551</v>
      </c>
      <c r="D17" s="80" t="s">
        <v>2597</v>
      </c>
      <c r="E17" s="80"/>
    </row>
    <row r="18" customFormat="false" ht="15" hidden="false" customHeight="false" outlineLevel="0" collapsed="false">
      <c r="A18" s="68" t="s">
        <v>2598</v>
      </c>
      <c r="B18" s="68" t="s">
        <v>2599</v>
      </c>
      <c r="C18" s="68" t="s">
        <v>2551</v>
      </c>
      <c r="D18" s="80" t="s">
        <v>2600</v>
      </c>
      <c r="E18" s="80" t="s">
        <v>2601</v>
      </c>
    </row>
    <row r="19" customFormat="false" ht="15" hidden="false" customHeight="false" outlineLevel="0" collapsed="false">
      <c r="A19" s="68" t="s">
        <v>2602</v>
      </c>
      <c r="B19" s="68" t="s">
        <v>2603</v>
      </c>
      <c r="C19" s="68" t="s">
        <v>2551</v>
      </c>
      <c r="D19" s="80" t="s">
        <v>2604</v>
      </c>
      <c r="E19" s="80"/>
    </row>
    <row r="20" customFormat="false" ht="15" hidden="false" customHeight="false" outlineLevel="0" collapsed="false">
      <c r="A20" s="68" t="s">
        <v>2605</v>
      </c>
      <c r="B20" s="68" t="s">
        <v>2606</v>
      </c>
      <c r="C20" s="68" t="s">
        <v>18</v>
      </c>
      <c r="D20" s="80" t="s">
        <v>2607</v>
      </c>
      <c r="E20" s="80"/>
    </row>
    <row r="21" customFormat="false" ht="15" hidden="false" customHeight="false" outlineLevel="0" collapsed="false">
      <c r="A21" s="68" t="s">
        <v>2608</v>
      </c>
      <c r="B21" s="68" t="s">
        <v>2609</v>
      </c>
      <c r="C21" s="68" t="s">
        <v>18</v>
      </c>
      <c r="D21" s="80" t="s">
        <v>2610</v>
      </c>
      <c r="E21" s="80"/>
    </row>
    <row r="22" customFormat="false" ht="22.35" hidden="false" customHeight="false" outlineLevel="0" collapsed="false">
      <c r="A22" s="68" t="s">
        <v>2611</v>
      </c>
      <c r="B22" s="68" t="s">
        <v>2612</v>
      </c>
      <c r="C22" s="68" t="s">
        <v>18</v>
      </c>
      <c r="D22" s="80" t="s">
        <v>2613</v>
      </c>
      <c r="E22" s="80"/>
    </row>
    <row r="23" customFormat="false" ht="15" hidden="false" customHeight="false" outlineLevel="0" collapsed="false">
      <c r="A23" s="68" t="s">
        <v>2614</v>
      </c>
      <c r="B23" s="68" t="s">
        <v>299</v>
      </c>
      <c r="C23" s="68" t="s">
        <v>2551</v>
      </c>
      <c r="D23" s="80" t="s">
        <v>2615</v>
      </c>
      <c r="E23" s="80"/>
    </row>
    <row r="24" customFormat="false" ht="15" hidden="false" customHeight="false" outlineLevel="0" collapsed="false">
      <c r="A24" s="68" t="s">
        <v>2616</v>
      </c>
      <c r="B24" s="68" t="s">
        <v>2617</v>
      </c>
      <c r="C24" s="68" t="s">
        <v>2618</v>
      </c>
      <c r="D24" s="80" t="s">
        <v>2619</v>
      </c>
      <c r="E24" s="80" t="s">
        <v>2620</v>
      </c>
    </row>
    <row r="25" customFormat="false" ht="22.35" hidden="false" customHeight="false" outlineLevel="0" collapsed="false">
      <c r="A25" s="68" t="s">
        <v>2621</v>
      </c>
      <c r="B25" s="68" t="s">
        <v>20</v>
      </c>
      <c r="C25" s="68" t="s">
        <v>20</v>
      </c>
      <c r="D25" s="80" t="s">
        <v>2622</v>
      </c>
      <c r="E25" s="8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7"/>
    <col collapsed="false" customWidth="true" hidden="false" outlineLevel="0" max="3" min="3" style="0" width="30"/>
    <col collapsed="false" customWidth="true" hidden="false" outlineLevel="0" max="4" min="4" style="0" width="13"/>
    <col collapsed="false" customWidth="true" hidden="false" outlineLevel="0" max="5" min="5" style="0" width="22"/>
    <col collapsed="false" customWidth="true" hidden="false" outlineLevel="0" max="6" min="6" style="0" width="110"/>
  </cols>
  <sheetData>
    <row r="1" customFormat="false" ht="17.15" hidden="false" customHeight="false" outlineLevel="0" collapsed="false">
      <c r="A1" s="7" t="s">
        <v>2623</v>
      </c>
    </row>
    <row r="2" customFormat="false" ht="15" hidden="false" customHeight="false" outlineLevel="0" collapsed="false">
      <c r="A2" s="8" t="s">
        <v>2624</v>
      </c>
    </row>
    <row r="4" customFormat="false" ht="15" hidden="false" customHeight="false" outlineLevel="0" collapsed="false">
      <c r="A4" s="53" t="s">
        <v>2181</v>
      </c>
      <c r="B4" s="53" t="s">
        <v>2236</v>
      </c>
      <c r="C4" s="53" t="s">
        <v>2223</v>
      </c>
      <c r="D4" s="53" t="s">
        <v>2625</v>
      </c>
      <c r="E4" s="53" t="s">
        <v>2161</v>
      </c>
      <c r="F4" s="53" t="s">
        <v>2626</v>
      </c>
    </row>
    <row r="5" customFormat="false" ht="22.35" hidden="false" customHeight="false" outlineLevel="0" collapsed="false">
      <c r="A5" s="68" t="s">
        <v>2627</v>
      </c>
      <c r="B5" s="68" t="n">
        <v>1</v>
      </c>
      <c r="C5" s="68" t="s">
        <v>2253</v>
      </c>
      <c r="D5" s="68" t="s">
        <v>2628</v>
      </c>
      <c r="E5" s="68" t="s">
        <v>45</v>
      </c>
      <c r="F5" s="80" t="s">
        <v>2629</v>
      </c>
    </row>
    <row r="6" customFormat="false" ht="22.35" hidden="false" customHeight="false" outlineLevel="0" collapsed="false">
      <c r="A6" s="68" t="s">
        <v>2627</v>
      </c>
      <c r="B6" s="68" t="n">
        <v>1</v>
      </c>
      <c r="C6" s="68" t="s">
        <v>2260</v>
      </c>
      <c r="D6" s="68" t="s">
        <v>2628</v>
      </c>
      <c r="E6" s="68" t="s">
        <v>123</v>
      </c>
      <c r="F6" s="80" t="s">
        <v>2630</v>
      </c>
    </row>
    <row r="7" customFormat="false" ht="15" hidden="false" customHeight="false" outlineLevel="0" collapsed="false">
      <c r="A7" s="68" t="s">
        <v>2627</v>
      </c>
      <c r="B7" s="68" t="n">
        <v>1</v>
      </c>
      <c r="C7" s="68" t="s">
        <v>2266</v>
      </c>
      <c r="D7" s="68" t="s">
        <v>2628</v>
      </c>
      <c r="E7" s="68" t="s">
        <v>123</v>
      </c>
      <c r="F7" s="80" t="s">
        <v>2631</v>
      </c>
    </row>
    <row r="8" customFormat="false" ht="15" hidden="false" customHeight="false" outlineLevel="0" collapsed="false">
      <c r="A8" s="68" t="s">
        <v>2627</v>
      </c>
      <c r="B8" s="68" t="n">
        <v>1</v>
      </c>
      <c r="C8" s="68" t="s">
        <v>2276</v>
      </c>
      <c r="D8" s="68" t="s">
        <v>2632</v>
      </c>
      <c r="E8" s="68" t="n">
        <v>95.8</v>
      </c>
      <c r="F8" s="80" t="s">
        <v>2633</v>
      </c>
    </row>
    <row r="9" customFormat="false" ht="15" hidden="false" customHeight="false" outlineLevel="0" collapsed="false">
      <c r="A9" s="68" t="s">
        <v>2627</v>
      </c>
      <c r="B9" s="68" t="n">
        <v>1</v>
      </c>
      <c r="C9" s="68" t="s">
        <v>2324</v>
      </c>
      <c r="D9" s="68" t="s">
        <v>2632</v>
      </c>
      <c r="E9" s="68" t="s">
        <v>304</v>
      </c>
      <c r="F9" s="80" t="s">
        <v>2634</v>
      </c>
    </row>
    <row r="10" customFormat="false" ht="22.35" hidden="false" customHeight="false" outlineLevel="0" collapsed="false">
      <c r="A10" s="68" t="s">
        <v>2627</v>
      </c>
      <c r="B10" s="68" t="n">
        <v>1</v>
      </c>
      <c r="C10" s="68" t="s">
        <v>2383</v>
      </c>
      <c r="D10" s="68" t="s">
        <v>2628</v>
      </c>
      <c r="E10" s="68" t="s">
        <v>123</v>
      </c>
      <c r="F10" s="80" t="s">
        <v>2635</v>
      </c>
    </row>
    <row r="11" customFormat="false" ht="22.35" hidden="false" customHeight="false" outlineLevel="0" collapsed="false">
      <c r="A11" s="68" t="s">
        <v>2636</v>
      </c>
      <c r="B11" s="68" t="n">
        <v>2</v>
      </c>
      <c r="C11" s="68" t="s">
        <v>2253</v>
      </c>
      <c r="D11" s="68" t="s">
        <v>2628</v>
      </c>
      <c r="E11" s="68" t="s">
        <v>45</v>
      </c>
      <c r="F11" s="80" t="s">
        <v>2629</v>
      </c>
    </row>
    <row r="12" customFormat="false" ht="22.35" hidden="false" customHeight="false" outlineLevel="0" collapsed="false">
      <c r="A12" s="68" t="s">
        <v>2636</v>
      </c>
      <c r="B12" s="68" t="n">
        <v>2</v>
      </c>
      <c r="C12" s="68" t="s">
        <v>2260</v>
      </c>
      <c r="D12" s="68" t="s">
        <v>2628</v>
      </c>
      <c r="E12" s="68" t="s">
        <v>123</v>
      </c>
      <c r="F12" s="80" t="s">
        <v>2630</v>
      </c>
    </row>
    <row r="13" customFormat="false" ht="15" hidden="false" customHeight="false" outlineLevel="0" collapsed="false">
      <c r="A13" s="68" t="s">
        <v>2636</v>
      </c>
      <c r="B13" s="68" t="n">
        <v>2</v>
      </c>
      <c r="C13" s="68" t="s">
        <v>2266</v>
      </c>
      <c r="D13" s="68" t="s">
        <v>2628</v>
      </c>
      <c r="E13" s="68" t="s">
        <v>123</v>
      </c>
      <c r="F13" s="80" t="s">
        <v>2631</v>
      </c>
    </row>
    <row r="14" customFormat="false" ht="15" hidden="false" customHeight="false" outlineLevel="0" collapsed="false">
      <c r="A14" s="68" t="s">
        <v>2636</v>
      </c>
      <c r="B14" s="68" t="n">
        <v>2</v>
      </c>
      <c r="C14" s="68" t="s">
        <v>2276</v>
      </c>
      <c r="D14" s="68" t="s">
        <v>2632</v>
      </c>
      <c r="E14" s="68" t="n">
        <v>59.9</v>
      </c>
      <c r="F14" s="80" t="s">
        <v>2637</v>
      </c>
    </row>
    <row r="15" customFormat="false" ht="15" hidden="false" customHeight="false" outlineLevel="0" collapsed="false">
      <c r="A15" s="68" t="s">
        <v>2636</v>
      </c>
      <c r="B15" s="68" t="n">
        <v>2</v>
      </c>
      <c r="C15" s="68" t="s">
        <v>2324</v>
      </c>
      <c r="D15" s="68" t="s">
        <v>2632</v>
      </c>
      <c r="E15" s="68" t="s">
        <v>304</v>
      </c>
      <c r="F15" s="80" t="s">
        <v>2638</v>
      </c>
    </row>
    <row r="16" customFormat="false" ht="22.35" hidden="false" customHeight="false" outlineLevel="0" collapsed="false">
      <c r="A16" s="68" t="s">
        <v>2636</v>
      </c>
      <c r="B16" s="68" t="n">
        <v>2</v>
      </c>
      <c r="C16" s="68" t="s">
        <v>2383</v>
      </c>
      <c r="D16" s="68" t="s">
        <v>2628</v>
      </c>
      <c r="E16" s="68" t="s">
        <v>123</v>
      </c>
      <c r="F16" s="80" t="s">
        <v>2639</v>
      </c>
    </row>
    <row r="17" customFormat="false" ht="22.35" hidden="false" customHeight="false" outlineLevel="0" collapsed="false">
      <c r="A17" s="68" t="s">
        <v>2640</v>
      </c>
      <c r="B17" s="68" t="n">
        <v>3</v>
      </c>
      <c r="C17" s="68" t="s">
        <v>2253</v>
      </c>
      <c r="D17" s="68" t="s">
        <v>2628</v>
      </c>
      <c r="E17" s="68" t="s">
        <v>45</v>
      </c>
      <c r="F17" s="80" t="s">
        <v>2629</v>
      </c>
    </row>
    <row r="18" customFormat="false" ht="22.35" hidden="false" customHeight="false" outlineLevel="0" collapsed="false">
      <c r="A18" s="68" t="s">
        <v>2640</v>
      </c>
      <c r="B18" s="68" t="n">
        <v>3</v>
      </c>
      <c r="C18" s="68" t="s">
        <v>2260</v>
      </c>
      <c r="D18" s="68" t="s">
        <v>2628</v>
      </c>
      <c r="E18" s="68" t="s">
        <v>123</v>
      </c>
      <c r="F18" s="80" t="s">
        <v>2630</v>
      </c>
    </row>
    <row r="19" customFormat="false" ht="15" hidden="false" customHeight="false" outlineLevel="0" collapsed="false">
      <c r="A19" s="68" t="s">
        <v>2640</v>
      </c>
      <c r="B19" s="68" t="n">
        <v>3</v>
      </c>
      <c r="C19" s="68" t="s">
        <v>2266</v>
      </c>
      <c r="D19" s="68" t="s">
        <v>2628</v>
      </c>
      <c r="E19" s="68" t="s">
        <v>123</v>
      </c>
      <c r="F19" s="80" t="s">
        <v>2631</v>
      </c>
    </row>
    <row r="20" customFormat="false" ht="15" hidden="false" customHeight="false" outlineLevel="0" collapsed="false">
      <c r="A20" s="68" t="s">
        <v>2640</v>
      </c>
      <c r="B20" s="68" t="n">
        <v>3</v>
      </c>
      <c r="C20" s="68" t="s">
        <v>2276</v>
      </c>
      <c r="D20" s="68" t="s">
        <v>2632</v>
      </c>
      <c r="E20" s="68" t="n">
        <v>34.8</v>
      </c>
      <c r="F20" s="80" t="s">
        <v>2641</v>
      </c>
    </row>
    <row r="21" customFormat="false" ht="15" hidden="false" customHeight="false" outlineLevel="0" collapsed="false">
      <c r="A21" s="68" t="s">
        <v>2640</v>
      </c>
      <c r="B21" s="68" t="n">
        <v>3</v>
      </c>
      <c r="C21" s="68" t="s">
        <v>2324</v>
      </c>
      <c r="D21" s="68" t="s">
        <v>2632</v>
      </c>
      <c r="E21" s="68" t="s">
        <v>304</v>
      </c>
      <c r="F21" s="80" t="s">
        <v>2642</v>
      </c>
    </row>
    <row r="22" customFormat="false" ht="22.35" hidden="false" customHeight="false" outlineLevel="0" collapsed="false">
      <c r="A22" s="68" t="s">
        <v>2640</v>
      </c>
      <c r="B22" s="68" t="n">
        <v>3</v>
      </c>
      <c r="C22" s="68" t="s">
        <v>2383</v>
      </c>
      <c r="D22" s="68" t="s">
        <v>2628</v>
      </c>
      <c r="E22" s="68" t="s">
        <v>123</v>
      </c>
      <c r="F22" s="80" t="s">
        <v>2643</v>
      </c>
    </row>
    <row r="23" customFormat="false" ht="22.35" hidden="false" customHeight="false" outlineLevel="0" collapsed="false">
      <c r="A23" s="68" t="s">
        <v>2644</v>
      </c>
      <c r="B23" s="68" t="n">
        <v>4</v>
      </c>
      <c r="C23" s="68" t="s">
        <v>2253</v>
      </c>
      <c r="D23" s="68" t="s">
        <v>2628</v>
      </c>
      <c r="E23" s="68" t="s">
        <v>45</v>
      </c>
      <c r="F23" s="80" t="s">
        <v>2629</v>
      </c>
    </row>
    <row r="24" customFormat="false" ht="22.35" hidden="false" customHeight="false" outlineLevel="0" collapsed="false">
      <c r="A24" s="68" t="s">
        <v>2644</v>
      </c>
      <c r="B24" s="68" t="n">
        <v>4</v>
      </c>
      <c r="C24" s="68" t="s">
        <v>2260</v>
      </c>
      <c r="D24" s="68" t="s">
        <v>2628</v>
      </c>
      <c r="E24" s="68" t="s">
        <v>123</v>
      </c>
      <c r="F24" s="80" t="s">
        <v>2630</v>
      </c>
    </row>
    <row r="25" customFormat="false" ht="15" hidden="false" customHeight="false" outlineLevel="0" collapsed="false">
      <c r="A25" s="68" t="s">
        <v>2644</v>
      </c>
      <c r="B25" s="68" t="n">
        <v>4</v>
      </c>
      <c r="C25" s="68" t="s">
        <v>2266</v>
      </c>
      <c r="D25" s="68" t="s">
        <v>2628</v>
      </c>
      <c r="E25" s="68" t="s">
        <v>123</v>
      </c>
      <c r="F25" s="80" t="s">
        <v>2631</v>
      </c>
    </row>
    <row r="26" customFormat="false" ht="15" hidden="false" customHeight="false" outlineLevel="0" collapsed="false">
      <c r="A26" s="68" t="s">
        <v>2644</v>
      </c>
      <c r="B26" s="68" t="n">
        <v>4</v>
      </c>
      <c r="C26" s="68" t="s">
        <v>2276</v>
      </c>
      <c r="D26" s="68" t="s">
        <v>2632</v>
      </c>
      <c r="E26" s="68" t="n">
        <v>329</v>
      </c>
      <c r="F26" s="80" t="s">
        <v>2645</v>
      </c>
    </row>
    <row r="27" customFormat="false" ht="15" hidden="false" customHeight="false" outlineLevel="0" collapsed="false">
      <c r="A27" s="68" t="s">
        <v>2644</v>
      </c>
      <c r="B27" s="68" t="n">
        <v>4</v>
      </c>
      <c r="C27" s="68" t="s">
        <v>2324</v>
      </c>
      <c r="D27" s="68" t="s">
        <v>2632</v>
      </c>
      <c r="E27" s="68" t="s">
        <v>304</v>
      </c>
      <c r="F27" s="80" t="s">
        <v>2646</v>
      </c>
    </row>
    <row r="28" customFormat="false" ht="22.35" hidden="false" customHeight="false" outlineLevel="0" collapsed="false">
      <c r="A28" s="68" t="s">
        <v>2644</v>
      </c>
      <c r="B28" s="68" t="n">
        <v>4</v>
      </c>
      <c r="C28" s="68" t="s">
        <v>2383</v>
      </c>
      <c r="D28" s="68" t="s">
        <v>2628</v>
      </c>
      <c r="E28" s="68" t="s">
        <v>123</v>
      </c>
      <c r="F28" s="80" t="s">
        <v>2647</v>
      </c>
    </row>
    <row r="29" customFormat="false" ht="22.35" hidden="false" customHeight="false" outlineLevel="0" collapsed="false">
      <c r="A29" s="68" t="s">
        <v>2648</v>
      </c>
      <c r="B29" s="68" t="n">
        <v>5</v>
      </c>
      <c r="C29" s="68" t="s">
        <v>2253</v>
      </c>
      <c r="D29" s="68" t="s">
        <v>2628</v>
      </c>
      <c r="E29" s="68" t="s">
        <v>45</v>
      </c>
      <c r="F29" s="80" t="s">
        <v>2629</v>
      </c>
    </row>
    <row r="30" customFormat="false" ht="22.35" hidden="false" customHeight="false" outlineLevel="0" collapsed="false">
      <c r="A30" s="68" t="s">
        <v>2648</v>
      </c>
      <c r="B30" s="68" t="n">
        <v>5</v>
      </c>
      <c r="C30" s="68" t="s">
        <v>2260</v>
      </c>
      <c r="D30" s="68" t="s">
        <v>2628</v>
      </c>
      <c r="E30" s="68" t="s">
        <v>123</v>
      </c>
      <c r="F30" s="80" t="s">
        <v>2630</v>
      </c>
    </row>
    <row r="31" customFormat="false" ht="15" hidden="false" customHeight="false" outlineLevel="0" collapsed="false">
      <c r="A31" s="68" t="s">
        <v>2648</v>
      </c>
      <c r="B31" s="68" t="n">
        <v>5</v>
      </c>
      <c r="C31" s="68" t="s">
        <v>2266</v>
      </c>
      <c r="D31" s="68" t="s">
        <v>2628</v>
      </c>
      <c r="E31" s="68" t="s">
        <v>123</v>
      </c>
      <c r="F31" s="80" t="s">
        <v>2631</v>
      </c>
    </row>
    <row r="32" customFormat="false" ht="15" hidden="false" customHeight="false" outlineLevel="0" collapsed="false">
      <c r="A32" s="68" t="s">
        <v>2648</v>
      </c>
      <c r="B32" s="68" t="n">
        <v>5</v>
      </c>
      <c r="C32" s="68" t="s">
        <v>2276</v>
      </c>
      <c r="D32" s="68" t="s">
        <v>2632</v>
      </c>
      <c r="E32" s="68" t="n">
        <v>311.3</v>
      </c>
      <c r="F32" s="80" t="s">
        <v>2649</v>
      </c>
    </row>
    <row r="33" customFormat="false" ht="15" hidden="false" customHeight="false" outlineLevel="0" collapsed="false">
      <c r="A33" s="68" t="s">
        <v>2648</v>
      </c>
      <c r="B33" s="68" t="n">
        <v>5</v>
      </c>
      <c r="C33" s="68" t="s">
        <v>2324</v>
      </c>
      <c r="D33" s="68" t="s">
        <v>2632</v>
      </c>
      <c r="E33" s="68" t="s">
        <v>304</v>
      </c>
      <c r="F33" s="80" t="s">
        <v>2650</v>
      </c>
    </row>
    <row r="34" customFormat="false" ht="22.35" hidden="false" customHeight="false" outlineLevel="0" collapsed="false">
      <c r="A34" s="68" t="s">
        <v>2648</v>
      </c>
      <c r="B34" s="68" t="n">
        <v>5</v>
      </c>
      <c r="C34" s="68" t="s">
        <v>2383</v>
      </c>
      <c r="D34" s="68" t="s">
        <v>2628</v>
      </c>
      <c r="E34" s="68" t="s">
        <v>123</v>
      </c>
      <c r="F34" s="80" t="s">
        <v>2651</v>
      </c>
    </row>
    <row r="35" customFormat="false" ht="22.35" hidden="false" customHeight="false" outlineLevel="0" collapsed="false">
      <c r="A35" s="68" t="s">
        <v>2652</v>
      </c>
      <c r="B35" s="68" t="n">
        <v>6</v>
      </c>
      <c r="C35" s="68" t="s">
        <v>2253</v>
      </c>
      <c r="D35" s="68" t="s">
        <v>2628</v>
      </c>
      <c r="E35" s="68" t="s">
        <v>48</v>
      </c>
      <c r="F35" s="80" t="s">
        <v>2653</v>
      </c>
    </row>
    <row r="36" customFormat="false" ht="22.35" hidden="false" customHeight="false" outlineLevel="0" collapsed="false">
      <c r="A36" s="68" t="s">
        <v>2652</v>
      </c>
      <c r="B36" s="68" t="n">
        <v>6</v>
      </c>
      <c r="C36" s="68" t="s">
        <v>2260</v>
      </c>
      <c r="D36" s="68" t="s">
        <v>2628</v>
      </c>
      <c r="E36" s="68" t="s">
        <v>123</v>
      </c>
      <c r="F36" s="80" t="s">
        <v>2630</v>
      </c>
    </row>
    <row r="37" customFormat="false" ht="15" hidden="false" customHeight="false" outlineLevel="0" collapsed="false">
      <c r="A37" s="68" t="s">
        <v>2652</v>
      </c>
      <c r="B37" s="68" t="n">
        <v>6</v>
      </c>
      <c r="C37" s="68" t="s">
        <v>2266</v>
      </c>
      <c r="D37" s="68" t="s">
        <v>2628</v>
      </c>
      <c r="E37" s="68" t="s">
        <v>123</v>
      </c>
      <c r="F37" s="80" t="s">
        <v>2631</v>
      </c>
    </row>
    <row r="38" customFormat="false" ht="15" hidden="false" customHeight="false" outlineLevel="0" collapsed="false">
      <c r="A38" s="68" t="s">
        <v>2652</v>
      </c>
      <c r="B38" s="68" t="n">
        <v>6</v>
      </c>
      <c r="C38" s="68" t="s">
        <v>2276</v>
      </c>
      <c r="D38" s="68" t="s">
        <v>2632</v>
      </c>
      <c r="E38" s="68" t="n">
        <v>32</v>
      </c>
      <c r="F38" s="80" t="s">
        <v>2654</v>
      </c>
    </row>
    <row r="39" customFormat="false" ht="15" hidden="false" customHeight="false" outlineLevel="0" collapsed="false">
      <c r="A39" s="68" t="s">
        <v>2652</v>
      </c>
      <c r="B39" s="68" t="n">
        <v>6</v>
      </c>
      <c r="C39" s="68" t="s">
        <v>2324</v>
      </c>
      <c r="D39" s="68" t="s">
        <v>2632</v>
      </c>
      <c r="E39" s="68" t="s">
        <v>304</v>
      </c>
      <c r="F39" s="80" t="s">
        <v>2655</v>
      </c>
    </row>
    <row r="40" customFormat="false" ht="22.35" hidden="false" customHeight="false" outlineLevel="0" collapsed="false">
      <c r="A40" s="68" t="s">
        <v>2652</v>
      </c>
      <c r="B40" s="68" t="n">
        <v>6</v>
      </c>
      <c r="C40" s="68" t="s">
        <v>2383</v>
      </c>
      <c r="D40" s="68" t="s">
        <v>2628</v>
      </c>
      <c r="E40" s="68" t="s">
        <v>123</v>
      </c>
      <c r="F40" s="80" t="s">
        <v>2656</v>
      </c>
    </row>
    <row r="41" customFormat="false" ht="22.35" hidden="false" customHeight="false" outlineLevel="0" collapsed="false">
      <c r="A41" s="68" t="s">
        <v>2657</v>
      </c>
      <c r="B41" s="68" t="n">
        <v>7</v>
      </c>
      <c r="C41" s="68" t="s">
        <v>2253</v>
      </c>
      <c r="D41" s="68" t="s">
        <v>2628</v>
      </c>
      <c r="E41" s="68" t="s">
        <v>48</v>
      </c>
      <c r="F41" s="80" t="s">
        <v>2653</v>
      </c>
    </row>
    <row r="42" customFormat="false" ht="22.35" hidden="false" customHeight="false" outlineLevel="0" collapsed="false">
      <c r="A42" s="68" t="s">
        <v>2657</v>
      </c>
      <c r="B42" s="68" t="n">
        <v>7</v>
      </c>
      <c r="C42" s="68" t="s">
        <v>2260</v>
      </c>
      <c r="D42" s="68" t="s">
        <v>2628</v>
      </c>
      <c r="E42" s="68" t="s">
        <v>123</v>
      </c>
      <c r="F42" s="80" t="s">
        <v>2630</v>
      </c>
    </row>
    <row r="43" customFormat="false" ht="15" hidden="false" customHeight="false" outlineLevel="0" collapsed="false">
      <c r="A43" s="68" t="s">
        <v>2657</v>
      </c>
      <c r="B43" s="68" t="n">
        <v>7</v>
      </c>
      <c r="C43" s="68" t="s">
        <v>2266</v>
      </c>
      <c r="D43" s="68" t="s">
        <v>2628</v>
      </c>
      <c r="E43" s="68" t="s">
        <v>123</v>
      </c>
      <c r="F43" s="80" t="s">
        <v>2631</v>
      </c>
    </row>
    <row r="44" customFormat="false" ht="15" hidden="false" customHeight="false" outlineLevel="0" collapsed="false">
      <c r="A44" s="68" t="s">
        <v>2657</v>
      </c>
      <c r="B44" s="68" t="n">
        <v>7</v>
      </c>
      <c r="C44" s="68" t="s">
        <v>2276</v>
      </c>
      <c r="D44" s="68" t="s">
        <v>2632</v>
      </c>
      <c r="E44" s="68" t="n">
        <v>36.2</v>
      </c>
      <c r="F44" s="80" t="s">
        <v>2658</v>
      </c>
    </row>
    <row r="45" customFormat="false" ht="15" hidden="false" customHeight="false" outlineLevel="0" collapsed="false">
      <c r="A45" s="68" t="s">
        <v>2657</v>
      </c>
      <c r="B45" s="68" t="n">
        <v>7</v>
      </c>
      <c r="C45" s="68" t="s">
        <v>2324</v>
      </c>
      <c r="D45" s="68" t="s">
        <v>2632</v>
      </c>
      <c r="E45" s="68" t="s">
        <v>304</v>
      </c>
      <c r="F45" s="80" t="s">
        <v>2659</v>
      </c>
    </row>
    <row r="46" customFormat="false" ht="22.35" hidden="false" customHeight="false" outlineLevel="0" collapsed="false">
      <c r="A46" s="68" t="s">
        <v>2657</v>
      </c>
      <c r="B46" s="68" t="n">
        <v>7</v>
      </c>
      <c r="C46" s="68" t="s">
        <v>2383</v>
      </c>
      <c r="D46" s="68" t="s">
        <v>2628</v>
      </c>
      <c r="E46" s="68" t="s">
        <v>123</v>
      </c>
      <c r="F46" s="80" t="s">
        <v>2660</v>
      </c>
    </row>
    <row r="47" customFormat="false" ht="22.35" hidden="false" customHeight="false" outlineLevel="0" collapsed="false">
      <c r="A47" s="68" t="s">
        <v>2661</v>
      </c>
      <c r="B47" s="68" t="n">
        <v>8</v>
      </c>
      <c r="C47" s="68" t="s">
        <v>2253</v>
      </c>
      <c r="D47" s="68" t="s">
        <v>2628</v>
      </c>
      <c r="E47" s="68" t="s">
        <v>51</v>
      </c>
      <c r="F47" s="80" t="s">
        <v>2662</v>
      </c>
    </row>
    <row r="48" customFormat="false" ht="22.35" hidden="false" customHeight="false" outlineLevel="0" collapsed="false">
      <c r="A48" s="68" t="s">
        <v>2661</v>
      </c>
      <c r="B48" s="68" t="n">
        <v>8</v>
      </c>
      <c r="C48" s="68" t="s">
        <v>2260</v>
      </c>
      <c r="D48" s="68" t="s">
        <v>2628</v>
      </c>
      <c r="E48" s="68" t="s">
        <v>123</v>
      </c>
      <c r="F48" s="80" t="s">
        <v>2630</v>
      </c>
    </row>
    <row r="49" customFormat="false" ht="15" hidden="false" customHeight="false" outlineLevel="0" collapsed="false">
      <c r="A49" s="68" t="s">
        <v>2661</v>
      </c>
      <c r="B49" s="68" t="n">
        <v>8</v>
      </c>
      <c r="C49" s="68" t="s">
        <v>2266</v>
      </c>
      <c r="D49" s="68" t="s">
        <v>2628</v>
      </c>
      <c r="E49" s="68" t="s">
        <v>123</v>
      </c>
      <c r="F49" s="80" t="s">
        <v>2631</v>
      </c>
    </row>
    <row r="50" customFormat="false" ht="15" hidden="false" customHeight="false" outlineLevel="0" collapsed="false">
      <c r="A50" s="68" t="s">
        <v>2661</v>
      </c>
      <c r="B50" s="68" t="n">
        <v>8</v>
      </c>
      <c r="C50" s="68" t="s">
        <v>2276</v>
      </c>
      <c r="D50" s="68" t="s">
        <v>2632</v>
      </c>
      <c r="E50" s="68" t="n">
        <v>1383</v>
      </c>
      <c r="F50" s="80" t="s">
        <v>2663</v>
      </c>
    </row>
    <row r="51" customFormat="false" ht="15" hidden="false" customHeight="false" outlineLevel="0" collapsed="false">
      <c r="A51" s="68" t="s">
        <v>2661</v>
      </c>
      <c r="B51" s="68" t="n">
        <v>8</v>
      </c>
      <c r="C51" s="68" t="s">
        <v>2324</v>
      </c>
      <c r="D51" s="68" t="s">
        <v>2632</v>
      </c>
      <c r="E51" s="68" t="s">
        <v>304</v>
      </c>
      <c r="F51" s="80" t="s">
        <v>2664</v>
      </c>
    </row>
    <row r="52" customFormat="false" ht="22.35" hidden="false" customHeight="false" outlineLevel="0" collapsed="false">
      <c r="A52" s="68" t="s">
        <v>2661</v>
      </c>
      <c r="B52" s="68" t="n">
        <v>8</v>
      </c>
      <c r="C52" s="68" t="s">
        <v>2383</v>
      </c>
      <c r="D52" s="68" t="s">
        <v>2628</v>
      </c>
      <c r="E52" s="68" t="s">
        <v>123</v>
      </c>
      <c r="F52" s="80" t="s">
        <v>2665</v>
      </c>
    </row>
    <row r="53" customFormat="false" ht="43.25" hidden="false" customHeight="false" outlineLevel="0" collapsed="false">
      <c r="A53" s="68" t="s">
        <v>2666</v>
      </c>
      <c r="B53" s="68" t="n">
        <v>9</v>
      </c>
      <c r="C53" s="68" t="s">
        <v>2253</v>
      </c>
      <c r="D53" s="68" t="s">
        <v>2628</v>
      </c>
      <c r="E53" s="68" t="s">
        <v>48</v>
      </c>
      <c r="F53" s="80" t="s">
        <v>2667</v>
      </c>
    </row>
    <row r="54" customFormat="false" ht="22.35" hidden="false" customHeight="false" outlineLevel="0" collapsed="false">
      <c r="A54" s="68" t="s">
        <v>2666</v>
      </c>
      <c r="B54" s="68" t="n">
        <v>9</v>
      </c>
      <c r="C54" s="68" t="s">
        <v>2260</v>
      </c>
      <c r="D54" s="68" t="s">
        <v>2628</v>
      </c>
      <c r="E54" s="68" t="s">
        <v>123</v>
      </c>
      <c r="F54" s="80" t="s">
        <v>2630</v>
      </c>
    </row>
    <row r="55" customFormat="false" ht="15" hidden="false" customHeight="false" outlineLevel="0" collapsed="false">
      <c r="A55" s="68" t="s">
        <v>2666</v>
      </c>
      <c r="B55" s="68" t="n">
        <v>9</v>
      </c>
      <c r="C55" s="68" t="s">
        <v>2266</v>
      </c>
      <c r="D55" s="68" t="s">
        <v>2628</v>
      </c>
      <c r="E55" s="68" t="s">
        <v>123</v>
      </c>
      <c r="F55" s="80" t="s">
        <v>2631</v>
      </c>
    </row>
    <row r="56" customFormat="false" ht="15" hidden="false" customHeight="false" outlineLevel="0" collapsed="false">
      <c r="A56" s="68" t="s">
        <v>2666</v>
      </c>
      <c r="B56" s="68" t="n">
        <v>9</v>
      </c>
      <c r="C56" s="68" t="s">
        <v>2276</v>
      </c>
      <c r="D56" s="68" t="s">
        <v>2632</v>
      </c>
      <c r="E56" s="68" t="n">
        <v>41</v>
      </c>
      <c r="F56" s="80" t="s">
        <v>2668</v>
      </c>
    </row>
    <row r="57" customFormat="false" ht="15" hidden="false" customHeight="false" outlineLevel="0" collapsed="false">
      <c r="A57" s="68" t="s">
        <v>2666</v>
      </c>
      <c r="B57" s="68" t="n">
        <v>9</v>
      </c>
      <c r="C57" s="68" t="s">
        <v>2324</v>
      </c>
      <c r="D57" s="68" t="s">
        <v>2632</v>
      </c>
      <c r="E57" s="68" t="s">
        <v>304</v>
      </c>
      <c r="F57" s="80" t="s">
        <v>2669</v>
      </c>
    </row>
    <row r="58" customFormat="false" ht="22.35" hidden="false" customHeight="false" outlineLevel="0" collapsed="false">
      <c r="A58" s="68" t="s">
        <v>2666</v>
      </c>
      <c r="B58" s="68" t="n">
        <v>9</v>
      </c>
      <c r="C58" s="68" t="s">
        <v>2383</v>
      </c>
      <c r="D58" s="68" t="s">
        <v>2628</v>
      </c>
      <c r="E58" s="68" t="s">
        <v>123</v>
      </c>
      <c r="F58" s="80" t="s">
        <v>2670</v>
      </c>
    </row>
    <row r="59" customFormat="false" ht="22.35" hidden="false" customHeight="false" outlineLevel="0" collapsed="false">
      <c r="A59" s="68" t="s">
        <v>2671</v>
      </c>
      <c r="B59" s="68" t="n">
        <v>10</v>
      </c>
      <c r="C59" s="68" t="s">
        <v>2253</v>
      </c>
      <c r="D59" s="68" t="s">
        <v>2628</v>
      </c>
      <c r="E59" s="68" t="s">
        <v>54</v>
      </c>
      <c r="F59" s="80" t="s">
        <v>2672</v>
      </c>
    </row>
    <row r="60" customFormat="false" ht="22.35" hidden="false" customHeight="false" outlineLevel="0" collapsed="false">
      <c r="A60" s="68" t="s">
        <v>2671</v>
      </c>
      <c r="B60" s="68" t="n">
        <v>10</v>
      </c>
      <c r="C60" s="68" t="s">
        <v>2260</v>
      </c>
      <c r="D60" s="68" t="s">
        <v>2628</v>
      </c>
      <c r="E60" s="68" t="s">
        <v>123</v>
      </c>
      <c r="F60" s="80" t="s">
        <v>2630</v>
      </c>
    </row>
    <row r="61" customFormat="false" ht="15" hidden="false" customHeight="false" outlineLevel="0" collapsed="false">
      <c r="A61" s="68" t="s">
        <v>2671</v>
      </c>
      <c r="B61" s="68" t="n">
        <v>10</v>
      </c>
      <c r="C61" s="68" t="s">
        <v>2266</v>
      </c>
      <c r="D61" s="68" t="s">
        <v>2628</v>
      </c>
      <c r="E61" s="68" t="s">
        <v>123</v>
      </c>
      <c r="F61" s="80" t="s">
        <v>2631</v>
      </c>
    </row>
    <row r="62" customFormat="false" ht="15" hidden="false" customHeight="false" outlineLevel="0" collapsed="false">
      <c r="A62" s="68" t="s">
        <v>2671</v>
      </c>
      <c r="B62" s="68" t="n">
        <v>10</v>
      </c>
      <c r="C62" s="68" t="s">
        <v>2276</v>
      </c>
      <c r="D62" s="68" t="s">
        <v>2632</v>
      </c>
      <c r="E62" s="68" t="n">
        <v>120</v>
      </c>
      <c r="F62" s="80" t="s">
        <v>2673</v>
      </c>
    </row>
    <row r="63" customFormat="false" ht="15" hidden="false" customHeight="false" outlineLevel="0" collapsed="false">
      <c r="A63" s="68" t="s">
        <v>2671</v>
      </c>
      <c r="B63" s="68" t="n">
        <v>10</v>
      </c>
      <c r="C63" s="68" t="s">
        <v>2324</v>
      </c>
      <c r="D63" s="68" t="s">
        <v>2632</v>
      </c>
      <c r="E63" s="68" t="s">
        <v>304</v>
      </c>
      <c r="F63" s="80" t="s">
        <v>2674</v>
      </c>
    </row>
    <row r="64" customFormat="false" ht="22.35" hidden="false" customHeight="false" outlineLevel="0" collapsed="false">
      <c r="A64" s="68" t="s">
        <v>2671</v>
      </c>
      <c r="B64" s="68" t="n">
        <v>10</v>
      </c>
      <c r="C64" s="68" t="s">
        <v>2383</v>
      </c>
      <c r="D64" s="68" t="s">
        <v>2628</v>
      </c>
      <c r="E64" s="68" t="s">
        <v>123</v>
      </c>
      <c r="F64" s="80" t="s">
        <v>2675</v>
      </c>
    </row>
    <row r="65" customFormat="false" ht="22.35" hidden="false" customHeight="false" outlineLevel="0" collapsed="false">
      <c r="A65" s="68" t="s">
        <v>2676</v>
      </c>
      <c r="B65" s="68" t="n">
        <v>11</v>
      </c>
      <c r="C65" s="68" t="s">
        <v>2253</v>
      </c>
      <c r="D65" s="68" t="s">
        <v>2628</v>
      </c>
      <c r="E65" s="68" t="s">
        <v>57</v>
      </c>
      <c r="F65" s="80" t="s">
        <v>2677</v>
      </c>
    </row>
    <row r="66" customFormat="false" ht="22.35" hidden="false" customHeight="false" outlineLevel="0" collapsed="false">
      <c r="A66" s="68" t="s">
        <v>2676</v>
      </c>
      <c r="B66" s="68" t="n">
        <v>11</v>
      </c>
      <c r="C66" s="68" t="s">
        <v>2260</v>
      </c>
      <c r="D66" s="68" t="s">
        <v>2628</v>
      </c>
      <c r="E66" s="68" t="s">
        <v>192</v>
      </c>
      <c r="F66" s="80" t="s">
        <v>2678</v>
      </c>
    </row>
    <row r="67" customFormat="false" ht="15" hidden="false" customHeight="false" outlineLevel="0" collapsed="false">
      <c r="A67" s="68" t="s">
        <v>2676</v>
      </c>
      <c r="B67" s="68" t="n">
        <v>11</v>
      </c>
      <c r="C67" s="68" t="s">
        <v>2266</v>
      </c>
      <c r="D67" s="68" t="s">
        <v>2628</v>
      </c>
      <c r="E67" s="68" t="s">
        <v>123</v>
      </c>
      <c r="F67" s="80" t="s">
        <v>2631</v>
      </c>
    </row>
    <row r="68" customFormat="false" ht="15" hidden="false" customHeight="false" outlineLevel="0" collapsed="false">
      <c r="A68" s="68" t="s">
        <v>2676</v>
      </c>
      <c r="B68" s="68" t="n">
        <v>11</v>
      </c>
      <c r="C68" s="68" t="s">
        <v>2276</v>
      </c>
      <c r="D68" s="68" t="s">
        <v>2632</v>
      </c>
      <c r="E68" s="68" t="n">
        <v>27.2</v>
      </c>
      <c r="F68" s="80" t="s">
        <v>2679</v>
      </c>
    </row>
    <row r="69" customFormat="false" ht="15" hidden="false" customHeight="false" outlineLevel="0" collapsed="false">
      <c r="A69" s="68" t="s">
        <v>2676</v>
      </c>
      <c r="B69" s="68" t="n">
        <v>11</v>
      </c>
      <c r="C69" s="68" t="s">
        <v>2324</v>
      </c>
      <c r="D69" s="68" t="s">
        <v>2632</v>
      </c>
      <c r="E69" s="68" t="s">
        <v>304</v>
      </c>
      <c r="F69" s="80" t="s">
        <v>2680</v>
      </c>
    </row>
    <row r="70" customFormat="false" ht="22.35" hidden="false" customHeight="false" outlineLevel="0" collapsed="false">
      <c r="A70" s="68" t="s">
        <v>2676</v>
      </c>
      <c r="B70" s="68" t="n">
        <v>11</v>
      </c>
      <c r="C70" s="68" t="s">
        <v>2383</v>
      </c>
      <c r="D70" s="68" t="s">
        <v>2628</v>
      </c>
      <c r="E70" s="68" t="s">
        <v>123</v>
      </c>
      <c r="F70" s="80" t="s">
        <v>2681</v>
      </c>
    </row>
    <row r="71" customFormat="false" ht="22.35" hidden="false" customHeight="false" outlineLevel="0" collapsed="false">
      <c r="A71" s="68" t="s">
        <v>2682</v>
      </c>
      <c r="B71" s="68" t="n">
        <v>12</v>
      </c>
      <c r="C71" s="68" t="s">
        <v>2253</v>
      </c>
      <c r="D71" s="68" t="s">
        <v>2628</v>
      </c>
      <c r="E71" s="68" t="s">
        <v>57</v>
      </c>
      <c r="F71" s="80" t="s">
        <v>2677</v>
      </c>
    </row>
    <row r="72" customFormat="false" ht="22.35" hidden="false" customHeight="false" outlineLevel="0" collapsed="false">
      <c r="A72" s="68" t="s">
        <v>2682</v>
      </c>
      <c r="B72" s="68" t="n">
        <v>12</v>
      </c>
      <c r="C72" s="68" t="s">
        <v>2260</v>
      </c>
      <c r="D72" s="68" t="s">
        <v>2628</v>
      </c>
      <c r="E72" s="68" t="s">
        <v>192</v>
      </c>
      <c r="F72" s="80" t="s">
        <v>2678</v>
      </c>
    </row>
    <row r="73" customFormat="false" ht="15" hidden="false" customHeight="false" outlineLevel="0" collapsed="false">
      <c r="A73" s="68" t="s">
        <v>2682</v>
      </c>
      <c r="B73" s="68" t="n">
        <v>12</v>
      </c>
      <c r="C73" s="68" t="s">
        <v>2266</v>
      </c>
      <c r="D73" s="68" t="s">
        <v>2628</v>
      </c>
      <c r="E73" s="68" t="s">
        <v>123</v>
      </c>
      <c r="F73" s="80" t="s">
        <v>2631</v>
      </c>
    </row>
    <row r="74" customFormat="false" ht="15" hidden="false" customHeight="false" outlineLevel="0" collapsed="false">
      <c r="A74" s="68" t="s">
        <v>2682</v>
      </c>
      <c r="B74" s="68" t="n">
        <v>12</v>
      </c>
      <c r="C74" s="68" t="s">
        <v>2276</v>
      </c>
      <c r="D74" s="68" t="s">
        <v>2632</v>
      </c>
      <c r="E74" s="68" t="n">
        <v>40.8</v>
      </c>
      <c r="F74" s="80" t="s">
        <v>2683</v>
      </c>
    </row>
    <row r="75" customFormat="false" ht="15" hidden="false" customHeight="false" outlineLevel="0" collapsed="false">
      <c r="A75" s="68" t="s">
        <v>2682</v>
      </c>
      <c r="B75" s="68" t="n">
        <v>12</v>
      </c>
      <c r="C75" s="68" t="s">
        <v>2324</v>
      </c>
      <c r="D75" s="68" t="s">
        <v>2632</v>
      </c>
      <c r="E75" s="68" t="s">
        <v>304</v>
      </c>
      <c r="F75" s="80" t="s">
        <v>2684</v>
      </c>
    </row>
    <row r="76" customFormat="false" ht="22.35" hidden="false" customHeight="false" outlineLevel="0" collapsed="false">
      <c r="A76" s="68" t="s">
        <v>2682</v>
      </c>
      <c r="B76" s="68" t="n">
        <v>12</v>
      </c>
      <c r="C76" s="68" t="s">
        <v>2383</v>
      </c>
      <c r="D76" s="68" t="s">
        <v>2628</v>
      </c>
      <c r="E76" s="68" t="s">
        <v>123</v>
      </c>
      <c r="F76" s="80" t="s">
        <v>2685</v>
      </c>
    </row>
    <row r="77" customFormat="false" ht="22.35" hidden="false" customHeight="false" outlineLevel="0" collapsed="false">
      <c r="A77" s="68" t="s">
        <v>2686</v>
      </c>
      <c r="B77" s="68" t="n">
        <v>13</v>
      </c>
      <c r="C77" s="68" t="s">
        <v>2253</v>
      </c>
      <c r="D77" s="68" t="s">
        <v>2628</v>
      </c>
      <c r="E77" s="68" t="s">
        <v>48</v>
      </c>
      <c r="F77" s="80" t="s">
        <v>2653</v>
      </c>
    </row>
    <row r="78" customFormat="false" ht="22.35" hidden="false" customHeight="false" outlineLevel="0" collapsed="false">
      <c r="A78" s="68" t="s">
        <v>2686</v>
      </c>
      <c r="B78" s="68" t="n">
        <v>13</v>
      </c>
      <c r="C78" s="68" t="s">
        <v>2260</v>
      </c>
      <c r="D78" s="68" t="s">
        <v>2628</v>
      </c>
      <c r="E78" s="68" t="s">
        <v>123</v>
      </c>
      <c r="F78" s="80" t="s">
        <v>2630</v>
      </c>
    </row>
    <row r="79" customFormat="false" ht="15" hidden="false" customHeight="false" outlineLevel="0" collapsed="false">
      <c r="A79" s="68" t="s">
        <v>2686</v>
      </c>
      <c r="B79" s="68" t="n">
        <v>13</v>
      </c>
      <c r="C79" s="68" t="s">
        <v>2266</v>
      </c>
      <c r="D79" s="68" t="s">
        <v>2628</v>
      </c>
      <c r="E79" s="68" t="s">
        <v>123</v>
      </c>
      <c r="F79" s="80" t="s">
        <v>2631</v>
      </c>
    </row>
    <row r="80" customFormat="false" ht="15" hidden="false" customHeight="false" outlineLevel="0" collapsed="false">
      <c r="A80" s="68" t="s">
        <v>2686</v>
      </c>
      <c r="B80" s="68" t="n">
        <v>13</v>
      </c>
      <c r="C80" s="68" t="s">
        <v>2276</v>
      </c>
      <c r="D80" s="68" t="s">
        <v>2632</v>
      </c>
      <c r="E80" s="68" t="n">
        <v>15</v>
      </c>
      <c r="F80" s="80" t="s">
        <v>2687</v>
      </c>
    </row>
    <row r="81" customFormat="false" ht="15" hidden="false" customHeight="false" outlineLevel="0" collapsed="false">
      <c r="A81" s="68" t="s">
        <v>2686</v>
      </c>
      <c r="B81" s="68" t="n">
        <v>13</v>
      </c>
      <c r="C81" s="68" t="s">
        <v>2324</v>
      </c>
      <c r="D81" s="68" t="s">
        <v>2632</v>
      </c>
      <c r="E81" s="68" t="s">
        <v>304</v>
      </c>
      <c r="F81" s="80" t="s">
        <v>2688</v>
      </c>
    </row>
    <row r="82" customFormat="false" ht="22.35" hidden="false" customHeight="false" outlineLevel="0" collapsed="false">
      <c r="A82" s="68" t="s">
        <v>2686</v>
      </c>
      <c r="B82" s="68" t="n">
        <v>13</v>
      </c>
      <c r="C82" s="68" t="s">
        <v>2383</v>
      </c>
      <c r="D82" s="68" t="s">
        <v>2628</v>
      </c>
      <c r="E82" s="68" t="s">
        <v>123</v>
      </c>
      <c r="F82" s="80" t="s">
        <v>2689</v>
      </c>
    </row>
    <row r="83" customFormat="false" ht="22.35" hidden="false" customHeight="false" outlineLevel="0" collapsed="false">
      <c r="A83" s="68" t="s">
        <v>2690</v>
      </c>
      <c r="B83" s="68" t="n">
        <v>14</v>
      </c>
      <c r="C83" s="68" t="s">
        <v>2253</v>
      </c>
      <c r="D83" s="68" t="s">
        <v>2628</v>
      </c>
      <c r="E83" s="68" t="s">
        <v>54</v>
      </c>
      <c r="F83" s="80" t="s">
        <v>2672</v>
      </c>
    </row>
    <row r="84" customFormat="false" ht="22.35" hidden="false" customHeight="false" outlineLevel="0" collapsed="false">
      <c r="A84" s="68" t="s">
        <v>2690</v>
      </c>
      <c r="B84" s="68" t="n">
        <v>14</v>
      </c>
      <c r="C84" s="68" t="s">
        <v>2260</v>
      </c>
      <c r="D84" s="68" t="s">
        <v>2628</v>
      </c>
      <c r="E84" s="68" t="s">
        <v>123</v>
      </c>
      <c r="F84" s="80" t="s">
        <v>2630</v>
      </c>
    </row>
    <row r="85" customFormat="false" ht="15" hidden="false" customHeight="false" outlineLevel="0" collapsed="false">
      <c r="A85" s="68" t="s">
        <v>2690</v>
      </c>
      <c r="B85" s="68" t="n">
        <v>14</v>
      </c>
      <c r="C85" s="68" t="s">
        <v>2266</v>
      </c>
      <c r="D85" s="68" t="s">
        <v>2628</v>
      </c>
      <c r="E85" s="68" t="s">
        <v>123</v>
      </c>
      <c r="F85" s="80" t="s">
        <v>2631</v>
      </c>
    </row>
    <row r="86" customFormat="false" ht="15" hidden="false" customHeight="false" outlineLevel="0" collapsed="false">
      <c r="A86" s="68" t="s">
        <v>2690</v>
      </c>
      <c r="B86" s="68" t="n">
        <v>14</v>
      </c>
      <c r="C86" s="68" t="s">
        <v>2276</v>
      </c>
      <c r="D86" s="68" t="s">
        <v>2632</v>
      </c>
      <c r="E86" s="68" t="n">
        <v>18</v>
      </c>
      <c r="F86" s="80" t="s">
        <v>2691</v>
      </c>
    </row>
    <row r="87" customFormat="false" ht="15" hidden="false" customHeight="false" outlineLevel="0" collapsed="false">
      <c r="A87" s="68" t="s">
        <v>2690</v>
      </c>
      <c r="B87" s="68" t="n">
        <v>14</v>
      </c>
      <c r="C87" s="68" t="s">
        <v>2324</v>
      </c>
      <c r="D87" s="68" t="s">
        <v>2632</v>
      </c>
      <c r="E87" s="68" t="s">
        <v>304</v>
      </c>
      <c r="F87" s="80" t="s">
        <v>2692</v>
      </c>
    </row>
    <row r="88" customFormat="false" ht="22.35" hidden="false" customHeight="false" outlineLevel="0" collapsed="false">
      <c r="A88" s="68" t="s">
        <v>2690</v>
      </c>
      <c r="B88" s="68" t="n">
        <v>14</v>
      </c>
      <c r="C88" s="68" t="s">
        <v>2383</v>
      </c>
      <c r="D88" s="68" t="s">
        <v>2628</v>
      </c>
      <c r="E88" s="68" t="s">
        <v>123</v>
      </c>
      <c r="F88" s="80" t="s">
        <v>2693</v>
      </c>
    </row>
    <row r="89" customFormat="false" ht="22.35" hidden="false" customHeight="false" outlineLevel="0" collapsed="false">
      <c r="A89" s="68" t="s">
        <v>2694</v>
      </c>
      <c r="B89" s="68" t="n">
        <v>15</v>
      </c>
      <c r="C89" s="68" t="s">
        <v>2253</v>
      </c>
      <c r="D89" s="68" t="s">
        <v>2628</v>
      </c>
      <c r="E89" s="68" t="s">
        <v>45</v>
      </c>
      <c r="F89" s="80" t="s">
        <v>2629</v>
      </c>
    </row>
    <row r="90" customFormat="false" ht="22.35" hidden="false" customHeight="false" outlineLevel="0" collapsed="false">
      <c r="A90" s="68" t="s">
        <v>2694</v>
      </c>
      <c r="B90" s="68" t="n">
        <v>15</v>
      </c>
      <c r="C90" s="68" t="s">
        <v>2260</v>
      </c>
      <c r="D90" s="68" t="s">
        <v>2628</v>
      </c>
      <c r="E90" s="68" t="s">
        <v>123</v>
      </c>
      <c r="F90" s="80" t="s">
        <v>2630</v>
      </c>
    </row>
    <row r="91" customFormat="false" ht="15" hidden="false" customHeight="false" outlineLevel="0" collapsed="false">
      <c r="A91" s="68" t="s">
        <v>2694</v>
      </c>
      <c r="B91" s="68" t="n">
        <v>15</v>
      </c>
      <c r="C91" s="68" t="s">
        <v>2266</v>
      </c>
      <c r="D91" s="68" t="s">
        <v>2628</v>
      </c>
      <c r="E91" s="68" t="s">
        <v>123</v>
      </c>
      <c r="F91" s="80" t="s">
        <v>2631</v>
      </c>
    </row>
    <row r="92" customFormat="false" ht="15" hidden="false" customHeight="false" outlineLevel="0" collapsed="false">
      <c r="A92" s="68" t="s">
        <v>2694</v>
      </c>
      <c r="B92" s="68" t="n">
        <v>15</v>
      </c>
      <c r="C92" s="68" t="s">
        <v>2295</v>
      </c>
      <c r="D92" s="68" t="s">
        <v>2628</v>
      </c>
      <c r="E92" s="68" t="s">
        <v>123</v>
      </c>
      <c r="F92" s="80" t="s">
        <v>2695</v>
      </c>
    </row>
    <row r="93" customFormat="false" ht="15" hidden="false" customHeight="false" outlineLevel="0" collapsed="false">
      <c r="A93" s="68" t="s">
        <v>2694</v>
      </c>
      <c r="B93" s="68" t="n">
        <v>15</v>
      </c>
      <c r="C93" s="68" t="s">
        <v>2324</v>
      </c>
      <c r="D93" s="68" t="s">
        <v>2696</v>
      </c>
      <c r="E93" s="68" t="s">
        <v>304</v>
      </c>
      <c r="F93" s="80" t="s">
        <v>2697</v>
      </c>
    </row>
    <row r="94" customFormat="false" ht="15" hidden="false" customHeight="false" outlineLevel="0" collapsed="false">
      <c r="A94" s="68" t="s">
        <v>2694</v>
      </c>
      <c r="B94" s="68" t="n">
        <v>15</v>
      </c>
      <c r="C94" s="68" t="s">
        <v>2337</v>
      </c>
      <c r="D94" s="68" t="s">
        <v>2696</v>
      </c>
      <c r="E94" s="68" t="s">
        <v>306</v>
      </c>
      <c r="F94" s="80" t="s">
        <v>2698</v>
      </c>
    </row>
    <row r="95" customFormat="false" ht="15" hidden="false" customHeight="false" outlineLevel="0" collapsed="false">
      <c r="A95" s="68" t="s">
        <v>2694</v>
      </c>
      <c r="B95" s="68" t="n">
        <v>15</v>
      </c>
      <c r="C95" s="68" t="s">
        <v>2342</v>
      </c>
      <c r="D95" s="68" t="s">
        <v>2628</v>
      </c>
      <c r="E95" s="68" t="n">
        <v>15.2</v>
      </c>
      <c r="F95" s="80" t="s">
        <v>2699</v>
      </c>
    </row>
    <row r="96" customFormat="false" ht="32.8" hidden="false" customHeight="false" outlineLevel="0" collapsed="false">
      <c r="A96" s="68" t="s">
        <v>2694</v>
      </c>
      <c r="B96" s="68" t="n">
        <v>15</v>
      </c>
      <c r="C96" s="68" t="s">
        <v>2351</v>
      </c>
      <c r="D96" s="68" t="s">
        <v>2696</v>
      </c>
      <c r="E96" s="68" t="n">
        <v>1402</v>
      </c>
      <c r="F96" s="80" t="s">
        <v>2700</v>
      </c>
    </row>
    <row r="97" customFormat="false" ht="22.35" hidden="false" customHeight="false" outlineLevel="0" collapsed="false">
      <c r="A97" s="68" t="s">
        <v>2694</v>
      </c>
      <c r="B97" s="68" t="n">
        <v>15</v>
      </c>
      <c r="C97" s="68" t="s">
        <v>2357</v>
      </c>
      <c r="D97" s="68" t="s">
        <v>2632</v>
      </c>
      <c r="E97" s="68" t="s">
        <v>363</v>
      </c>
      <c r="F97" s="80" t="s">
        <v>2701</v>
      </c>
    </row>
    <row r="98" customFormat="false" ht="15" hidden="false" customHeight="false" outlineLevel="0" collapsed="false">
      <c r="A98" s="68" t="s">
        <v>2694</v>
      </c>
      <c r="B98" s="68" t="n">
        <v>15</v>
      </c>
      <c r="C98" s="68" t="s">
        <v>2362</v>
      </c>
      <c r="D98" s="68" t="s">
        <v>2632</v>
      </c>
      <c r="E98" s="68" t="n">
        <v>385000</v>
      </c>
      <c r="F98" s="80" t="s">
        <v>2702</v>
      </c>
    </row>
    <row r="99" customFormat="false" ht="22.35" hidden="false" customHeight="false" outlineLevel="0" collapsed="false">
      <c r="A99" s="68" t="s">
        <v>2694</v>
      </c>
      <c r="B99" s="68" t="n">
        <v>15</v>
      </c>
      <c r="C99" s="68" t="s">
        <v>2375</v>
      </c>
      <c r="D99" s="68" t="s">
        <v>2703</v>
      </c>
      <c r="E99" s="68" t="n">
        <v>203857500000</v>
      </c>
      <c r="F99" s="80" t="s">
        <v>2704</v>
      </c>
    </row>
    <row r="100" customFormat="false" ht="43.25" hidden="false" customHeight="false" outlineLevel="0" collapsed="false">
      <c r="A100" s="68" t="s">
        <v>2694</v>
      </c>
      <c r="B100" s="68" t="n">
        <v>15</v>
      </c>
      <c r="C100" s="68" t="s">
        <v>2383</v>
      </c>
      <c r="D100" s="68" t="s">
        <v>2696</v>
      </c>
      <c r="E100" s="68" t="s">
        <v>201</v>
      </c>
      <c r="F100" s="80" t="s">
        <v>2705</v>
      </c>
    </row>
    <row r="101" customFormat="false" ht="22.35" hidden="false" customHeight="false" outlineLevel="0" collapsed="false">
      <c r="A101" s="68" t="s">
        <v>2694</v>
      </c>
      <c r="B101" s="68" t="n">
        <v>15</v>
      </c>
      <c r="C101" s="68" t="s">
        <v>2420</v>
      </c>
      <c r="D101" s="68" t="s">
        <v>2696</v>
      </c>
      <c r="E101" s="68" t="s">
        <v>312</v>
      </c>
      <c r="F101" s="80" t="s">
        <v>2706</v>
      </c>
    </row>
    <row r="102" customFormat="false" ht="22.35" hidden="false" customHeight="false" outlineLevel="0" collapsed="false">
      <c r="A102" s="68" t="s">
        <v>2694</v>
      </c>
      <c r="B102" s="68" t="n">
        <v>15</v>
      </c>
      <c r="C102" s="68" t="s">
        <v>2423</v>
      </c>
      <c r="D102" s="68" t="s">
        <v>2696</v>
      </c>
      <c r="E102" s="68" t="s">
        <v>312</v>
      </c>
      <c r="F102" s="80" t="s">
        <v>2706</v>
      </c>
    </row>
    <row r="103" customFormat="false" ht="22.35" hidden="false" customHeight="false" outlineLevel="0" collapsed="false">
      <c r="A103" s="68" t="s">
        <v>2694</v>
      </c>
      <c r="B103" s="68" t="n">
        <v>15</v>
      </c>
      <c r="C103" s="68" t="s">
        <v>2426</v>
      </c>
      <c r="D103" s="68" t="s">
        <v>2696</v>
      </c>
      <c r="E103" s="68" t="s">
        <v>312</v>
      </c>
      <c r="F103" s="80" t="s">
        <v>2706</v>
      </c>
    </row>
    <row r="104" customFormat="false" ht="22.35" hidden="false" customHeight="false" outlineLevel="0" collapsed="false">
      <c r="A104" s="68" t="s">
        <v>2707</v>
      </c>
      <c r="B104" s="68" t="n">
        <v>16</v>
      </c>
      <c r="C104" s="68" t="s">
        <v>2253</v>
      </c>
      <c r="D104" s="68" t="s">
        <v>2628</v>
      </c>
      <c r="E104" s="68" t="s">
        <v>45</v>
      </c>
      <c r="F104" s="80" t="s">
        <v>2629</v>
      </c>
    </row>
    <row r="105" customFormat="false" ht="22.35" hidden="false" customHeight="false" outlineLevel="0" collapsed="false">
      <c r="A105" s="68" t="s">
        <v>2707</v>
      </c>
      <c r="B105" s="68" t="n">
        <v>16</v>
      </c>
      <c r="C105" s="68" t="s">
        <v>2260</v>
      </c>
      <c r="D105" s="68" t="s">
        <v>2628</v>
      </c>
      <c r="E105" s="68" t="s">
        <v>123</v>
      </c>
      <c r="F105" s="80" t="s">
        <v>2630</v>
      </c>
    </row>
    <row r="106" customFormat="false" ht="15" hidden="false" customHeight="false" outlineLevel="0" collapsed="false">
      <c r="A106" s="68" t="s">
        <v>2707</v>
      </c>
      <c r="B106" s="68" t="n">
        <v>16</v>
      </c>
      <c r="C106" s="68" t="s">
        <v>2266</v>
      </c>
      <c r="D106" s="68" t="s">
        <v>2628</v>
      </c>
      <c r="E106" s="68" t="s">
        <v>123</v>
      </c>
      <c r="F106" s="80" t="s">
        <v>2631</v>
      </c>
    </row>
    <row r="107" customFormat="false" ht="15" hidden="false" customHeight="false" outlineLevel="0" collapsed="false">
      <c r="A107" s="68" t="s">
        <v>2707</v>
      </c>
      <c r="B107" s="68" t="n">
        <v>16</v>
      </c>
      <c r="C107" s="68" t="s">
        <v>2295</v>
      </c>
      <c r="D107" s="68" t="s">
        <v>2628</v>
      </c>
      <c r="E107" s="68" t="s">
        <v>123</v>
      </c>
      <c r="F107" s="80" t="s">
        <v>2695</v>
      </c>
    </row>
    <row r="108" customFormat="false" ht="15" hidden="false" customHeight="false" outlineLevel="0" collapsed="false">
      <c r="A108" s="68" t="s">
        <v>2707</v>
      </c>
      <c r="B108" s="68" t="n">
        <v>16</v>
      </c>
      <c r="C108" s="68" t="s">
        <v>2324</v>
      </c>
      <c r="D108" s="68" t="s">
        <v>2696</v>
      </c>
      <c r="E108" s="68" t="s">
        <v>304</v>
      </c>
      <c r="F108" s="80" t="s">
        <v>2697</v>
      </c>
    </row>
    <row r="109" customFormat="false" ht="15" hidden="false" customHeight="false" outlineLevel="0" collapsed="false">
      <c r="A109" s="68" t="s">
        <v>2707</v>
      </c>
      <c r="B109" s="68" t="n">
        <v>16</v>
      </c>
      <c r="C109" s="68" t="s">
        <v>2337</v>
      </c>
      <c r="D109" s="68" t="s">
        <v>2696</v>
      </c>
      <c r="E109" s="68" t="s">
        <v>306</v>
      </c>
      <c r="F109" s="80" t="s">
        <v>2698</v>
      </c>
    </row>
    <row r="110" customFormat="false" ht="15" hidden="false" customHeight="false" outlineLevel="0" collapsed="false">
      <c r="A110" s="68" t="s">
        <v>2707</v>
      </c>
      <c r="B110" s="68" t="n">
        <v>16</v>
      </c>
      <c r="C110" s="68" t="s">
        <v>2342</v>
      </c>
      <c r="D110" s="68" t="s">
        <v>2628</v>
      </c>
      <c r="E110" s="68" t="n">
        <v>15.2</v>
      </c>
      <c r="F110" s="80" t="s">
        <v>2699</v>
      </c>
    </row>
    <row r="111" customFormat="false" ht="32.8" hidden="false" customHeight="false" outlineLevel="0" collapsed="false">
      <c r="A111" s="68" t="s">
        <v>2707</v>
      </c>
      <c r="B111" s="68" t="n">
        <v>16</v>
      </c>
      <c r="C111" s="68" t="s">
        <v>2351</v>
      </c>
      <c r="D111" s="68" t="s">
        <v>2696</v>
      </c>
      <c r="E111" s="68" t="n">
        <v>1402</v>
      </c>
      <c r="F111" s="80" t="s">
        <v>2700</v>
      </c>
    </row>
    <row r="112" customFormat="false" ht="22.35" hidden="false" customHeight="false" outlineLevel="0" collapsed="false">
      <c r="A112" s="68" t="s">
        <v>2707</v>
      </c>
      <c r="B112" s="68" t="n">
        <v>16</v>
      </c>
      <c r="C112" s="68" t="s">
        <v>2357</v>
      </c>
      <c r="D112" s="68" t="s">
        <v>2632</v>
      </c>
      <c r="E112" s="68" t="s">
        <v>363</v>
      </c>
      <c r="F112" s="80" t="s">
        <v>2708</v>
      </c>
    </row>
    <row r="113" customFormat="false" ht="15" hidden="false" customHeight="false" outlineLevel="0" collapsed="false">
      <c r="A113" s="68" t="s">
        <v>2707</v>
      </c>
      <c r="B113" s="68" t="n">
        <v>16</v>
      </c>
      <c r="C113" s="68" t="s">
        <v>2362</v>
      </c>
      <c r="D113" s="68" t="s">
        <v>2632</v>
      </c>
      <c r="E113" s="68" t="n">
        <v>135000</v>
      </c>
      <c r="F113" s="80" t="s">
        <v>2709</v>
      </c>
    </row>
    <row r="114" customFormat="false" ht="22.35" hidden="false" customHeight="false" outlineLevel="0" collapsed="false">
      <c r="A114" s="68" t="s">
        <v>2707</v>
      </c>
      <c r="B114" s="68" t="n">
        <v>16</v>
      </c>
      <c r="C114" s="68" t="s">
        <v>2375</v>
      </c>
      <c r="D114" s="68" t="s">
        <v>2703</v>
      </c>
      <c r="E114" s="68" t="n">
        <v>71482500000</v>
      </c>
      <c r="F114" s="80" t="s">
        <v>2710</v>
      </c>
    </row>
    <row r="115" customFormat="false" ht="43.25" hidden="false" customHeight="false" outlineLevel="0" collapsed="false">
      <c r="A115" s="68" t="s">
        <v>2707</v>
      </c>
      <c r="B115" s="68" t="n">
        <v>16</v>
      </c>
      <c r="C115" s="68" t="s">
        <v>2383</v>
      </c>
      <c r="D115" s="68" t="s">
        <v>2696</v>
      </c>
      <c r="E115" s="68" t="s">
        <v>201</v>
      </c>
      <c r="F115" s="80" t="s">
        <v>2705</v>
      </c>
    </row>
    <row r="116" customFormat="false" ht="22.35" hidden="false" customHeight="false" outlineLevel="0" collapsed="false">
      <c r="A116" s="68" t="s">
        <v>2707</v>
      </c>
      <c r="B116" s="68" t="n">
        <v>16</v>
      </c>
      <c r="C116" s="68" t="s">
        <v>2420</v>
      </c>
      <c r="D116" s="68" t="s">
        <v>2696</v>
      </c>
      <c r="E116" s="68" t="s">
        <v>312</v>
      </c>
      <c r="F116" s="80" t="s">
        <v>2706</v>
      </c>
    </row>
    <row r="117" customFormat="false" ht="22.35" hidden="false" customHeight="false" outlineLevel="0" collapsed="false">
      <c r="A117" s="68" t="s">
        <v>2707</v>
      </c>
      <c r="B117" s="68" t="n">
        <v>16</v>
      </c>
      <c r="C117" s="68" t="s">
        <v>2423</v>
      </c>
      <c r="D117" s="68" t="s">
        <v>2696</v>
      </c>
      <c r="E117" s="68" t="s">
        <v>312</v>
      </c>
      <c r="F117" s="80" t="s">
        <v>2706</v>
      </c>
    </row>
    <row r="118" customFormat="false" ht="22.35" hidden="false" customHeight="false" outlineLevel="0" collapsed="false">
      <c r="A118" s="68" t="s">
        <v>2707</v>
      </c>
      <c r="B118" s="68" t="n">
        <v>16</v>
      </c>
      <c r="C118" s="68" t="s">
        <v>2426</v>
      </c>
      <c r="D118" s="68" t="s">
        <v>2696</v>
      </c>
      <c r="E118" s="68" t="s">
        <v>312</v>
      </c>
      <c r="F118" s="80" t="s">
        <v>2706</v>
      </c>
    </row>
    <row r="119" customFormat="false" ht="22.35" hidden="false" customHeight="false" outlineLevel="0" collapsed="false">
      <c r="A119" s="68" t="s">
        <v>2711</v>
      </c>
      <c r="B119" s="68" t="n">
        <v>17</v>
      </c>
      <c r="C119" s="68" t="s">
        <v>2253</v>
      </c>
      <c r="D119" s="68" t="s">
        <v>2628</v>
      </c>
      <c r="E119" s="68" t="s">
        <v>45</v>
      </c>
      <c r="F119" s="80" t="s">
        <v>2629</v>
      </c>
    </row>
    <row r="120" customFormat="false" ht="22.35" hidden="false" customHeight="false" outlineLevel="0" collapsed="false">
      <c r="A120" s="68" t="s">
        <v>2711</v>
      </c>
      <c r="B120" s="68" t="n">
        <v>17</v>
      </c>
      <c r="C120" s="68" t="s">
        <v>2260</v>
      </c>
      <c r="D120" s="68" t="s">
        <v>2628</v>
      </c>
      <c r="E120" s="68" t="s">
        <v>123</v>
      </c>
      <c r="F120" s="80" t="s">
        <v>2630</v>
      </c>
    </row>
    <row r="121" customFormat="false" ht="15" hidden="false" customHeight="false" outlineLevel="0" collapsed="false">
      <c r="A121" s="68" t="s">
        <v>2711</v>
      </c>
      <c r="B121" s="68" t="n">
        <v>17</v>
      </c>
      <c r="C121" s="68" t="s">
        <v>2266</v>
      </c>
      <c r="D121" s="68" t="s">
        <v>2628</v>
      </c>
      <c r="E121" s="68" t="s">
        <v>123</v>
      </c>
      <c r="F121" s="80" t="s">
        <v>2631</v>
      </c>
    </row>
    <row r="122" customFormat="false" ht="15" hidden="false" customHeight="false" outlineLevel="0" collapsed="false">
      <c r="A122" s="68" t="s">
        <v>2711</v>
      </c>
      <c r="B122" s="68" t="n">
        <v>17</v>
      </c>
      <c r="C122" s="68" t="s">
        <v>2295</v>
      </c>
      <c r="D122" s="68" t="s">
        <v>2628</v>
      </c>
      <c r="E122" s="68" t="s">
        <v>123</v>
      </c>
      <c r="F122" s="80" t="s">
        <v>2695</v>
      </c>
    </row>
    <row r="123" customFormat="false" ht="15" hidden="false" customHeight="false" outlineLevel="0" collapsed="false">
      <c r="A123" s="68" t="s">
        <v>2711</v>
      </c>
      <c r="B123" s="68" t="n">
        <v>17</v>
      </c>
      <c r="C123" s="68" t="s">
        <v>2324</v>
      </c>
      <c r="D123" s="68" t="s">
        <v>2696</v>
      </c>
      <c r="E123" s="68" t="s">
        <v>304</v>
      </c>
      <c r="F123" s="80" t="s">
        <v>2697</v>
      </c>
    </row>
    <row r="124" customFormat="false" ht="15" hidden="false" customHeight="false" outlineLevel="0" collapsed="false">
      <c r="A124" s="68" t="s">
        <v>2711</v>
      </c>
      <c r="B124" s="68" t="n">
        <v>17</v>
      </c>
      <c r="C124" s="68" t="s">
        <v>2337</v>
      </c>
      <c r="D124" s="68" t="s">
        <v>2696</v>
      </c>
      <c r="E124" s="68" t="s">
        <v>306</v>
      </c>
      <c r="F124" s="80" t="s">
        <v>2698</v>
      </c>
    </row>
    <row r="125" customFormat="false" ht="15" hidden="false" customHeight="false" outlineLevel="0" collapsed="false">
      <c r="A125" s="68" t="s">
        <v>2711</v>
      </c>
      <c r="B125" s="68" t="n">
        <v>17</v>
      </c>
      <c r="C125" s="68" t="s">
        <v>2342</v>
      </c>
      <c r="D125" s="68" t="s">
        <v>2628</v>
      </c>
      <c r="E125" s="68" t="n">
        <v>15.5</v>
      </c>
      <c r="F125" s="80" t="s">
        <v>2699</v>
      </c>
    </row>
    <row r="126" customFormat="false" ht="32.8" hidden="false" customHeight="false" outlineLevel="0" collapsed="false">
      <c r="A126" s="68" t="s">
        <v>2711</v>
      </c>
      <c r="B126" s="68" t="n">
        <v>17</v>
      </c>
      <c r="C126" s="68" t="s">
        <v>2351</v>
      </c>
      <c r="D126" s="68" t="s">
        <v>2696</v>
      </c>
      <c r="E126" s="68" t="n">
        <v>1402</v>
      </c>
      <c r="F126" s="80" t="s">
        <v>2700</v>
      </c>
    </row>
    <row r="127" customFormat="false" ht="22.35" hidden="false" customHeight="false" outlineLevel="0" collapsed="false">
      <c r="A127" s="68" t="s">
        <v>2711</v>
      </c>
      <c r="B127" s="68" t="n">
        <v>17</v>
      </c>
      <c r="C127" s="68" t="s">
        <v>2357</v>
      </c>
      <c r="D127" s="68" t="s">
        <v>2632</v>
      </c>
      <c r="E127" s="68" t="s">
        <v>363</v>
      </c>
      <c r="F127" s="80" t="s">
        <v>2712</v>
      </c>
    </row>
    <row r="128" customFormat="false" ht="15" hidden="false" customHeight="false" outlineLevel="0" collapsed="false">
      <c r="A128" s="68" t="s">
        <v>2711</v>
      </c>
      <c r="B128" s="68" t="n">
        <v>17</v>
      </c>
      <c r="C128" s="68" t="s">
        <v>2362</v>
      </c>
      <c r="D128" s="68" t="s">
        <v>2632</v>
      </c>
      <c r="E128" s="68" t="n">
        <v>140000</v>
      </c>
      <c r="F128" s="80" t="s">
        <v>2713</v>
      </c>
    </row>
    <row r="129" customFormat="false" ht="22.35" hidden="false" customHeight="false" outlineLevel="0" collapsed="false">
      <c r="A129" s="68" t="s">
        <v>2711</v>
      </c>
      <c r="B129" s="68" t="n">
        <v>17</v>
      </c>
      <c r="C129" s="68" t="s">
        <v>2375</v>
      </c>
      <c r="D129" s="68" t="s">
        <v>2703</v>
      </c>
      <c r="E129" s="68" t="n">
        <v>74130000000</v>
      </c>
      <c r="F129" s="80" t="s">
        <v>2714</v>
      </c>
    </row>
    <row r="130" customFormat="false" ht="43.25" hidden="false" customHeight="false" outlineLevel="0" collapsed="false">
      <c r="A130" s="68" t="s">
        <v>2711</v>
      </c>
      <c r="B130" s="68" t="n">
        <v>17</v>
      </c>
      <c r="C130" s="68" t="s">
        <v>2383</v>
      </c>
      <c r="D130" s="68" t="s">
        <v>2696</v>
      </c>
      <c r="E130" s="68" t="s">
        <v>201</v>
      </c>
      <c r="F130" s="80" t="s">
        <v>2705</v>
      </c>
    </row>
    <row r="131" customFormat="false" ht="22.35" hidden="false" customHeight="false" outlineLevel="0" collapsed="false">
      <c r="A131" s="68" t="s">
        <v>2711</v>
      </c>
      <c r="B131" s="68" t="n">
        <v>17</v>
      </c>
      <c r="C131" s="68" t="s">
        <v>2420</v>
      </c>
      <c r="D131" s="68" t="s">
        <v>2696</v>
      </c>
      <c r="E131" s="68" t="s">
        <v>312</v>
      </c>
      <c r="F131" s="80" t="s">
        <v>2706</v>
      </c>
    </row>
    <row r="132" customFormat="false" ht="22.35" hidden="false" customHeight="false" outlineLevel="0" collapsed="false">
      <c r="A132" s="68" t="s">
        <v>2711</v>
      </c>
      <c r="B132" s="68" t="n">
        <v>17</v>
      </c>
      <c r="C132" s="68" t="s">
        <v>2423</v>
      </c>
      <c r="D132" s="68" t="s">
        <v>2696</v>
      </c>
      <c r="E132" s="68" t="s">
        <v>312</v>
      </c>
      <c r="F132" s="80" t="s">
        <v>2706</v>
      </c>
    </row>
    <row r="133" customFormat="false" ht="22.35" hidden="false" customHeight="false" outlineLevel="0" collapsed="false">
      <c r="A133" s="68" t="s">
        <v>2711</v>
      </c>
      <c r="B133" s="68" t="n">
        <v>17</v>
      </c>
      <c r="C133" s="68" t="s">
        <v>2426</v>
      </c>
      <c r="D133" s="68" t="s">
        <v>2696</v>
      </c>
      <c r="E133" s="68" t="s">
        <v>312</v>
      </c>
      <c r="F133" s="80" t="s">
        <v>2706</v>
      </c>
    </row>
    <row r="134" customFormat="false" ht="22.35" hidden="false" customHeight="false" outlineLevel="0" collapsed="false">
      <c r="A134" s="68" t="s">
        <v>2715</v>
      </c>
      <c r="B134" s="68" t="n">
        <v>18</v>
      </c>
      <c r="C134" s="68" t="s">
        <v>2253</v>
      </c>
      <c r="D134" s="68" t="s">
        <v>2628</v>
      </c>
      <c r="E134" s="68" t="s">
        <v>48</v>
      </c>
      <c r="F134" s="80" t="s">
        <v>2653</v>
      </c>
    </row>
    <row r="135" customFormat="false" ht="22.35" hidden="false" customHeight="false" outlineLevel="0" collapsed="false">
      <c r="A135" s="68" t="s">
        <v>2715</v>
      </c>
      <c r="B135" s="68" t="n">
        <v>18</v>
      </c>
      <c r="C135" s="68" t="s">
        <v>2260</v>
      </c>
      <c r="D135" s="68" t="s">
        <v>2628</v>
      </c>
      <c r="E135" s="68" t="s">
        <v>123</v>
      </c>
      <c r="F135" s="80" t="s">
        <v>2630</v>
      </c>
    </row>
    <row r="136" customFormat="false" ht="15" hidden="false" customHeight="false" outlineLevel="0" collapsed="false">
      <c r="A136" s="68" t="s">
        <v>2715</v>
      </c>
      <c r="B136" s="68" t="n">
        <v>18</v>
      </c>
      <c r="C136" s="68" t="s">
        <v>2266</v>
      </c>
      <c r="D136" s="68" t="s">
        <v>2628</v>
      </c>
      <c r="E136" s="68" t="s">
        <v>123</v>
      </c>
      <c r="F136" s="80" t="s">
        <v>2631</v>
      </c>
    </row>
    <row r="137" customFormat="false" ht="15" hidden="false" customHeight="false" outlineLevel="0" collapsed="false">
      <c r="A137" s="68" t="s">
        <v>2715</v>
      </c>
      <c r="B137" s="68" t="n">
        <v>18</v>
      </c>
      <c r="C137" s="68" t="s">
        <v>2295</v>
      </c>
      <c r="D137" s="68" t="s">
        <v>2628</v>
      </c>
      <c r="E137" s="68" t="s">
        <v>123</v>
      </c>
      <c r="F137" s="80" t="s">
        <v>2695</v>
      </c>
    </row>
    <row r="138" customFormat="false" ht="15" hidden="false" customHeight="false" outlineLevel="0" collapsed="false">
      <c r="A138" s="68" t="s">
        <v>2715</v>
      </c>
      <c r="B138" s="68" t="n">
        <v>18</v>
      </c>
      <c r="C138" s="68" t="s">
        <v>2324</v>
      </c>
      <c r="D138" s="68" t="s">
        <v>2696</v>
      </c>
      <c r="E138" s="68" t="s">
        <v>304</v>
      </c>
      <c r="F138" s="80" t="s">
        <v>2697</v>
      </c>
    </row>
    <row r="139" customFormat="false" ht="15" hidden="false" customHeight="false" outlineLevel="0" collapsed="false">
      <c r="A139" s="68" t="s">
        <v>2715</v>
      </c>
      <c r="B139" s="68" t="n">
        <v>18</v>
      </c>
      <c r="C139" s="68" t="s">
        <v>2337</v>
      </c>
      <c r="D139" s="68" t="s">
        <v>2696</v>
      </c>
      <c r="E139" s="68" t="s">
        <v>306</v>
      </c>
      <c r="F139" s="80" t="s">
        <v>2698</v>
      </c>
    </row>
    <row r="140" customFormat="false" ht="15" hidden="false" customHeight="false" outlineLevel="0" collapsed="false">
      <c r="A140" s="68" t="s">
        <v>2715</v>
      </c>
      <c r="B140" s="68" t="n">
        <v>18</v>
      </c>
      <c r="C140" s="68" t="s">
        <v>2342</v>
      </c>
      <c r="D140" s="68" t="s">
        <v>2628</v>
      </c>
      <c r="E140" s="68" t="n">
        <v>3</v>
      </c>
      <c r="F140" s="80" t="s">
        <v>2699</v>
      </c>
    </row>
    <row r="141" customFormat="false" ht="32.8" hidden="false" customHeight="false" outlineLevel="0" collapsed="false">
      <c r="A141" s="68" t="s">
        <v>2715</v>
      </c>
      <c r="B141" s="68" t="n">
        <v>18</v>
      </c>
      <c r="C141" s="68" t="s">
        <v>2351</v>
      </c>
      <c r="D141" s="68" t="s">
        <v>2696</v>
      </c>
      <c r="E141" s="68" t="n">
        <v>1402</v>
      </c>
      <c r="F141" s="80" t="s">
        <v>2700</v>
      </c>
    </row>
    <row r="142" customFormat="false" ht="22.35" hidden="false" customHeight="false" outlineLevel="0" collapsed="false">
      <c r="A142" s="68" t="s">
        <v>2715</v>
      </c>
      <c r="B142" s="68" t="n">
        <v>18</v>
      </c>
      <c r="C142" s="68" t="s">
        <v>2357</v>
      </c>
      <c r="D142" s="68" t="s">
        <v>2632</v>
      </c>
      <c r="E142" s="68" t="s">
        <v>363</v>
      </c>
      <c r="F142" s="80" t="s">
        <v>2716</v>
      </c>
    </row>
    <row r="143" customFormat="false" ht="15" hidden="false" customHeight="false" outlineLevel="0" collapsed="false">
      <c r="A143" s="68" t="s">
        <v>2715</v>
      </c>
      <c r="B143" s="68" t="n">
        <v>18</v>
      </c>
      <c r="C143" s="68" t="s">
        <v>2362</v>
      </c>
      <c r="D143" s="68" t="s">
        <v>2632</v>
      </c>
      <c r="E143" s="68" t="n">
        <v>34000</v>
      </c>
      <c r="F143" s="80" t="s">
        <v>2717</v>
      </c>
    </row>
    <row r="144" customFormat="false" ht="22.35" hidden="false" customHeight="false" outlineLevel="0" collapsed="false">
      <c r="A144" s="68" t="s">
        <v>2715</v>
      </c>
      <c r="B144" s="68" t="n">
        <v>18</v>
      </c>
      <c r="C144" s="68" t="s">
        <v>2375</v>
      </c>
      <c r="D144" s="68" t="s">
        <v>2703</v>
      </c>
      <c r="E144" s="68" t="n">
        <v>18003000000</v>
      </c>
      <c r="F144" s="80" t="s">
        <v>2718</v>
      </c>
    </row>
    <row r="145" customFormat="false" ht="43.25" hidden="false" customHeight="false" outlineLevel="0" collapsed="false">
      <c r="A145" s="68" t="s">
        <v>2715</v>
      </c>
      <c r="B145" s="68" t="n">
        <v>18</v>
      </c>
      <c r="C145" s="68" t="s">
        <v>2383</v>
      </c>
      <c r="D145" s="68" t="s">
        <v>2696</v>
      </c>
      <c r="E145" s="68" t="s">
        <v>201</v>
      </c>
      <c r="F145" s="80" t="s">
        <v>2705</v>
      </c>
    </row>
    <row r="146" customFormat="false" ht="22.35" hidden="false" customHeight="false" outlineLevel="0" collapsed="false">
      <c r="A146" s="68" t="s">
        <v>2715</v>
      </c>
      <c r="B146" s="68" t="n">
        <v>18</v>
      </c>
      <c r="C146" s="68" t="s">
        <v>2420</v>
      </c>
      <c r="D146" s="68" t="s">
        <v>2696</v>
      </c>
      <c r="E146" s="68" t="s">
        <v>312</v>
      </c>
      <c r="F146" s="80" t="s">
        <v>2706</v>
      </c>
    </row>
    <row r="147" customFormat="false" ht="22.35" hidden="false" customHeight="false" outlineLevel="0" collapsed="false">
      <c r="A147" s="68" t="s">
        <v>2715</v>
      </c>
      <c r="B147" s="68" t="n">
        <v>18</v>
      </c>
      <c r="C147" s="68" t="s">
        <v>2423</v>
      </c>
      <c r="D147" s="68" t="s">
        <v>2696</v>
      </c>
      <c r="E147" s="68" t="s">
        <v>312</v>
      </c>
      <c r="F147" s="80" t="s">
        <v>2706</v>
      </c>
    </row>
    <row r="148" customFormat="false" ht="22.35" hidden="false" customHeight="false" outlineLevel="0" collapsed="false">
      <c r="A148" s="68" t="s">
        <v>2715</v>
      </c>
      <c r="B148" s="68" t="n">
        <v>18</v>
      </c>
      <c r="C148" s="68" t="s">
        <v>2426</v>
      </c>
      <c r="D148" s="68" t="s">
        <v>2696</v>
      </c>
      <c r="E148" s="68" t="s">
        <v>312</v>
      </c>
      <c r="F148" s="80" t="s">
        <v>2706</v>
      </c>
    </row>
    <row r="149" customFormat="false" ht="22.35" hidden="false" customHeight="false" outlineLevel="0" collapsed="false">
      <c r="A149" s="68" t="s">
        <v>2719</v>
      </c>
      <c r="B149" s="68" t="n">
        <v>19</v>
      </c>
      <c r="C149" s="68" t="s">
        <v>2253</v>
      </c>
      <c r="D149" s="68" t="s">
        <v>2628</v>
      </c>
      <c r="E149" s="68" t="s">
        <v>48</v>
      </c>
      <c r="F149" s="80" t="s">
        <v>2653</v>
      </c>
    </row>
    <row r="150" customFormat="false" ht="22.35" hidden="false" customHeight="false" outlineLevel="0" collapsed="false">
      <c r="A150" s="68" t="s">
        <v>2719</v>
      </c>
      <c r="B150" s="68" t="n">
        <v>19</v>
      </c>
      <c r="C150" s="68" t="s">
        <v>2260</v>
      </c>
      <c r="D150" s="68" t="s">
        <v>2628</v>
      </c>
      <c r="E150" s="68" t="s">
        <v>123</v>
      </c>
      <c r="F150" s="80" t="s">
        <v>2630</v>
      </c>
    </row>
    <row r="151" customFormat="false" ht="15" hidden="false" customHeight="false" outlineLevel="0" collapsed="false">
      <c r="A151" s="68" t="s">
        <v>2719</v>
      </c>
      <c r="B151" s="68" t="n">
        <v>19</v>
      </c>
      <c r="C151" s="68" t="s">
        <v>2266</v>
      </c>
      <c r="D151" s="68" t="s">
        <v>2628</v>
      </c>
      <c r="E151" s="68" t="s">
        <v>123</v>
      </c>
      <c r="F151" s="80" t="s">
        <v>2631</v>
      </c>
    </row>
    <row r="152" customFormat="false" ht="15" hidden="false" customHeight="false" outlineLevel="0" collapsed="false">
      <c r="A152" s="68" t="s">
        <v>2719</v>
      </c>
      <c r="B152" s="68" t="n">
        <v>19</v>
      </c>
      <c r="C152" s="68" t="s">
        <v>2295</v>
      </c>
      <c r="D152" s="68" t="s">
        <v>2628</v>
      </c>
      <c r="E152" s="68" t="s">
        <v>123</v>
      </c>
      <c r="F152" s="80" t="s">
        <v>2695</v>
      </c>
    </row>
    <row r="153" customFormat="false" ht="15" hidden="false" customHeight="false" outlineLevel="0" collapsed="false">
      <c r="A153" s="68" t="s">
        <v>2719</v>
      </c>
      <c r="B153" s="68" t="n">
        <v>19</v>
      </c>
      <c r="C153" s="68" t="s">
        <v>2324</v>
      </c>
      <c r="D153" s="68" t="s">
        <v>2696</v>
      </c>
      <c r="E153" s="68" t="s">
        <v>304</v>
      </c>
      <c r="F153" s="80" t="s">
        <v>2697</v>
      </c>
    </row>
    <row r="154" customFormat="false" ht="15" hidden="false" customHeight="false" outlineLevel="0" collapsed="false">
      <c r="A154" s="68" t="s">
        <v>2719</v>
      </c>
      <c r="B154" s="68" t="n">
        <v>19</v>
      </c>
      <c r="C154" s="68" t="s">
        <v>2337</v>
      </c>
      <c r="D154" s="68" t="s">
        <v>2696</v>
      </c>
      <c r="E154" s="68" t="s">
        <v>306</v>
      </c>
      <c r="F154" s="80" t="s">
        <v>2698</v>
      </c>
    </row>
    <row r="155" customFormat="false" ht="15" hidden="false" customHeight="false" outlineLevel="0" collapsed="false">
      <c r="A155" s="68" t="s">
        <v>2719</v>
      </c>
      <c r="B155" s="68" t="n">
        <v>19</v>
      </c>
      <c r="C155" s="68" t="s">
        <v>2342</v>
      </c>
      <c r="D155" s="68" t="s">
        <v>2628</v>
      </c>
      <c r="E155" s="68" t="n">
        <v>10.4</v>
      </c>
      <c r="F155" s="80" t="s">
        <v>2699</v>
      </c>
    </row>
    <row r="156" customFormat="false" ht="32.8" hidden="false" customHeight="false" outlineLevel="0" collapsed="false">
      <c r="A156" s="68" t="s">
        <v>2719</v>
      </c>
      <c r="B156" s="68" t="n">
        <v>19</v>
      </c>
      <c r="C156" s="68" t="s">
        <v>2351</v>
      </c>
      <c r="D156" s="68" t="s">
        <v>2696</v>
      </c>
      <c r="E156" s="68" t="n">
        <v>1402</v>
      </c>
      <c r="F156" s="80" t="s">
        <v>2700</v>
      </c>
    </row>
    <row r="157" customFormat="false" ht="22.35" hidden="false" customHeight="false" outlineLevel="0" collapsed="false">
      <c r="A157" s="68" t="s">
        <v>2719</v>
      </c>
      <c r="B157" s="68" t="n">
        <v>19</v>
      </c>
      <c r="C157" s="68" t="s">
        <v>2357</v>
      </c>
      <c r="D157" s="68" t="s">
        <v>2632</v>
      </c>
      <c r="E157" s="68" t="s">
        <v>363</v>
      </c>
      <c r="F157" s="80" t="s">
        <v>2720</v>
      </c>
    </row>
    <row r="158" customFormat="false" ht="15" hidden="false" customHeight="false" outlineLevel="0" collapsed="false">
      <c r="A158" s="68" t="s">
        <v>2719</v>
      </c>
      <c r="B158" s="68" t="n">
        <v>19</v>
      </c>
      <c r="C158" s="68" t="s">
        <v>2362</v>
      </c>
      <c r="D158" s="68" t="s">
        <v>2632</v>
      </c>
      <c r="E158" s="68" t="n">
        <v>29000</v>
      </c>
      <c r="F158" s="80" t="s">
        <v>2721</v>
      </c>
    </row>
    <row r="159" customFormat="false" ht="22.35" hidden="false" customHeight="false" outlineLevel="0" collapsed="false">
      <c r="A159" s="68" t="s">
        <v>2719</v>
      </c>
      <c r="B159" s="68" t="n">
        <v>19</v>
      </c>
      <c r="C159" s="68" t="s">
        <v>2375</v>
      </c>
      <c r="D159" s="68" t="s">
        <v>2703</v>
      </c>
      <c r="E159" s="68" t="n">
        <v>15355500000</v>
      </c>
      <c r="F159" s="80" t="s">
        <v>2722</v>
      </c>
    </row>
    <row r="160" customFormat="false" ht="43.25" hidden="false" customHeight="false" outlineLevel="0" collapsed="false">
      <c r="A160" s="68" t="s">
        <v>2719</v>
      </c>
      <c r="B160" s="68" t="n">
        <v>19</v>
      </c>
      <c r="C160" s="68" t="s">
        <v>2383</v>
      </c>
      <c r="D160" s="68" t="s">
        <v>2696</v>
      </c>
      <c r="E160" s="68" t="s">
        <v>201</v>
      </c>
      <c r="F160" s="80" t="s">
        <v>2705</v>
      </c>
    </row>
    <row r="161" customFormat="false" ht="22.35" hidden="false" customHeight="false" outlineLevel="0" collapsed="false">
      <c r="A161" s="68" t="s">
        <v>2719</v>
      </c>
      <c r="B161" s="68" t="n">
        <v>19</v>
      </c>
      <c r="C161" s="68" t="s">
        <v>2420</v>
      </c>
      <c r="D161" s="68" t="s">
        <v>2696</v>
      </c>
      <c r="E161" s="68" t="s">
        <v>312</v>
      </c>
      <c r="F161" s="80" t="s">
        <v>2706</v>
      </c>
    </row>
    <row r="162" customFormat="false" ht="22.35" hidden="false" customHeight="false" outlineLevel="0" collapsed="false">
      <c r="A162" s="68" t="s">
        <v>2719</v>
      </c>
      <c r="B162" s="68" t="n">
        <v>19</v>
      </c>
      <c r="C162" s="68" t="s">
        <v>2423</v>
      </c>
      <c r="D162" s="68" t="s">
        <v>2696</v>
      </c>
      <c r="E162" s="68" t="s">
        <v>312</v>
      </c>
      <c r="F162" s="80" t="s">
        <v>2706</v>
      </c>
    </row>
    <row r="163" customFormat="false" ht="22.35" hidden="false" customHeight="false" outlineLevel="0" collapsed="false">
      <c r="A163" s="68" t="s">
        <v>2719</v>
      </c>
      <c r="B163" s="68" t="n">
        <v>19</v>
      </c>
      <c r="C163" s="68" t="s">
        <v>2426</v>
      </c>
      <c r="D163" s="68" t="s">
        <v>2696</v>
      </c>
      <c r="E163" s="68" t="s">
        <v>312</v>
      </c>
      <c r="F163" s="80" t="s">
        <v>2706</v>
      </c>
    </row>
    <row r="164" customFormat="false" ht="22.35" hidden="false" customHeight="false" outlineLevel="0" collapsed="false">
      <c r="A164" s="68" t="s">
        <v>2723</v>
      </c>
      <c r="B164" s="68" t="n">
        <v>20</v>
      </c>
      <c r="C164" s="68" t="s">
        <v>2253</v>
      </c>
      <c r="D164" s="68" t="s">
        <v>2628</v>
      </c>
      <c r="E164" s="68" t="s">
        <v>48</v>
      </c>
      <c r="F164" s="80" t="s">
        <v>2653</v>
      </c>
    </row>
    <row r="165" customFormat="false" ht="22.35" hidden="false" customHeight="false" outlineLevel="0" collapsed="false">
      <c r="A165" s="68" t="s">
        <v>2723</v>
      </c>
      <c r="B165" s="68" t="n">
        <v>20</v>
      </c>
      <c r="C165" s="68" t="s">
        <v>2260</v>
      </c>
      <c r="D165" s="68" t="s">
        <v>2628</v>
      </c>
      <c r="E165" s="68" t="s">
        <v>123</v>
      </c>
      <c r="F165" s="80" t="s">
        <v>2630</v>
      </c>
    </row>
    <row r="166" customFormat="false" ht="15" hidden="false" customHeight="false" outlineLevel="0" collapsed="false">
      <c r="A166" s="68" t="s">
        <v>2723</v>
      </c>
      <c r="B166" s="68" t="n">
        <v>20</v>
      </c>
      <c r="C166" s="68" t="s">
        <v>2266</v>
      </c>
      <c r="D166" s="68" t="s">
        <v>2628</v>
      </c>
      <c r="E166" s="68" t="s">
        <v>123</v>
      </c>
      <c r="F166" s="80" t="s">
        <v>2631</v>
      </c>
    </row>
    <row r="167" customFormat="false" ht="15" hidden="false" customHeight="false" outlineLevel="0" collapsed="false">
      <c r="A167" s="68" t="s">
        <v>2723</v>
      </c>
      <c r="B167" s="68" t="n">
        <v>20</v>
      </c>
      <c r="C167" s="68" t="s">
        <v>2295</v>
      </c>
      <c r="D167" s="68" t="s">
        <v>2628</v>
      </c>
      <c r="E167" s="68" t="s">
        <v>123</v>
      </c>
      <c r="F167" s="80" t="s">
        <v>2695</v>
      </c>
    </row>
    <row r="168" customFormat="false" ht="15" hidden="false" customHeight="false" outlineLevel="0" collapsed="false">
      <c r="A168" s="68" t="s">
        <v>2723</v>
      </c>
      <c r="B168" s="68" t="n">
        <v>20</v>
      </c>
      <c r="C168" s="68" t="s">
        <v>2324</v>
      </c>
      <c r="D168" s="68" t="s">
        <v>2696</v>
      </c>
      <c r="E168" s="68" t="s">
        <v>304</v>
      </c>
      <c r="F168" s="80" t="s">
        <v>2697</v>
      </c>
    </row>
    <row r="169" customFormat="false" ht="15" hidden="false" customHeight="false" outlineLevel="0" collapsed="false">
      <c r="A169" s="68" t="s">
        <v>2723</v>
      </c>
      <c r="B169" s="68" t="n">
        <v>20</v>
      </c>
      <c r="C169" s="68" t="s">
        <v>2337</v>
      </c>
      <c r="D169" s="68" t="s">
        <v>2696</v>
      </c>
      <c r="E169" s="68" t="s">
        <v>306</v>
      </c>
      <c r="F169" s="80" t="s">
        <v>2698</v>
      </c>
    </row>
    <row r="170" customFormat="false" ht="15" hidden="false" customHeight="false" outlineLevel="0" collapsed="false">
      <c r="A170" s="68" t="s">
        <v>2723</v>
      </c>
      <c r="B170" s="68" t="n">
        <v>20</v>
      </c>
      <c r="C170" s="68" t="s">
        <v>2342</v>
      </c>
      <c r="D170" s="68" t="s">
        <v>2628</v>
      </c>
      <c r="E170" s="68" t="n">
        <v>10.4</v>
      </c>
      <c r="F170" s="80" t="s">
        <v>2699</v>
      </c>
    </row>
    <row r="171" customFormat="false" ht="32.8" hidden="false" customHeight="false" outlineLevel="0" collapsed="false">
      <c r="A171" s="68" t="s">
        <v>2723</v>
      </c>
      <c r="B171" s="68" t="n">
        <v>20</v>
      </c>
      <c r="C171" s="68" t="s">
        <v>2351</v>
      </c>
      <c r="D171" s="68" t="s">
        <v>2696</v>
      </c>
      <c r="E171" s="68" t="n">
        <v>1402</v>
      </c>
      <c r="F171" s="80" t="s">
        <v>2700</v>
      </c>
    </row>
    <row r="172" customFormat="false" ht="22.35" hidden="false" customHeight="false" outlineLevel="0" collapsed="false">
      <c r="A172" s="68" t="s">
        <v>2723</v>
      </c>
      <c r="B172" s="68" t="n">
        <v>20</v>
      </c>
      <c r="C172" s="68" t="s">
        <v>2357</v>
      </c>
      <c r="D172" s="68" t="s">
        <v>2632</v>
      </c>
      <c r="E172" s="68" t="s">
        <v>363</v>
      </c>
      <c r="F172" s="80" t="s">
        <v>2724</v>
      </c>
    </row>
    <row r="173" customFormat="false" ht="15" hidden="false" customHeight="false" outlineLevel="0" collapsed="false">
      <c r="A173" s="68" t="s">
        <v>2723</v>
      </c>
      <c r="B173" s="68" t="n">
        <v>20</v>
      </c>
      <c r="C173" s="68" t="s">
        <v>2362</v>
      </c>
      <c r="D173" s="68" t="s">
        <v>2632</v>
      </c>
      <c r="E173" s="68" t="n">
        <v>27500</v>
      </c>
      <c r="F173" s="80" t="s">
        <v>2725</v>
      </c>
    </row>
    <row r="174" customFormat="false" ht="22.35" hidden="false" customHeight="false" outlineLevel="0" collapsed="false">
      <c r="A174" s="68" t="s">
        <v>2723</v>
      </c>
      <c r="B174" s="68" t="n">
        <v>20</v>
      </c>
      <c r="C174" s="68" t="s">
        <v>2375</v>
      </c>
      <c r="D174" s="68" t="s">
        <v>2703</v>
      </c>
      <c r="E174" s="68" t="n">
        <v>14561250000</v>
      </c>
      <c r="F174" s="80" t="s">
        <v>2726</v>
      </c>
    </row>
    <row r="175" customFormat="false" ht="43.25" hidden="false" customHeight="false" outlineLevel="0" collapsed="false">
      <c r="A175" s="68" t="s">
        <v>2723</v>
      </c>
      <c r="B175" s="68" t="n">
        <v>20</v>
      </c>
      <c r="C175" s="68" t="s">
        <v>2383</v>
      </c>
      <c r="D175" s="68" t="s">
        <v>2696</v>
      </c>
      <c r="E175" s="68" t="s">
        <v>201</v>
      </c>
      <c r="F175" s="80" t="s">
        <v>2705</v>
      </c>
    </row>
    <row r="176" customFormat="false" ht="22.35" hidden="false" customHeight="false" outlineLevel="0" collapsed="false">
      <c r="A176" s="68" t="s">
        <v>2723</v>
      </c>
      <c r="B176" s="68" t="n">
        <v>20</v>
      </c>
      <c r="C176" s="68" t="s">
        <v>2420</v>
      </c>
      <c r="D176" s="68" t="s">
        <v>2696</v>
      </c>
      <c r="E176" s="68" t="s">
        <v>312</v>
      </c>
      <c r="F176" s="80" t="s">
        <v>2706</v>
      </c>
    </row>
    <row r="177" customFormat="false" ht="22.35" hidden="false" customHeight="false" outlineLevel="0" collapsed="false">
      <c r="A177" s="68" t="s">
        <v>2723</v>
      </c>
      <c r="B177" s="68" t="n">
        <v>20</v>
      </c>
      <c r="C177" s="68" t="s">
        <v>2423</v>
      </c>
      <c r="D177" s="68" t="s">
        <v>2696</v>
      </c>
      <c r="E177" s="68" t="s">
        <v>312</v>
      </c>
      <c r="F177" s="80" t="s">
        <v>2706</v>
      </c>
    </row>
    <row r="178" customFormat="false" ht="22.35" hidden="false" customHeight="false" outlineLevel="0" collapsed="false">
      <c r="A178" s="68" t="s">
        <v>2723</v>
      </c>
      <c r="B178" s="68" t="n">
        <v>20</v>
      </c>
      <c r="C178" s="68" t="s">
        <v>2426</v>
      </c>
      <c r="D178" s="68" t="s">
        <v>2696</v>
      </c>
      <c r="E178" s="68" t="s">
        <v>312</v>
      </c>
      <c r="F178" s="80" t="s">
        <v>2706</v>
      </c>
    </row>
    <row r="179" customFormat="false" ht="22.35" hidden="false" customHeight="false" outlineLevel="0" collapsed="false">
      <c r="A179" s="68" t="s">
        <v>2727</v>
      </c>
      <c r="B179" s="68" t="n">
        <v>21</v>
      </c>
      <c r="C179" s="68" t="s">
        <v>2253</v>
      </c>
      <c r="D179" s="68" t="s">
        <v>2628</v>
      </c>
      <c r="E179" s="68" t="s">
        <v>48</v>
      </c>
      <c r="F179" s="80" t="s">
        <v>2653</v>
      </c>
    </row>
    <row r="180" customFormat="false" ht="22.35" hidden="false" customHeight="false" outlineLevel="0" collapsed="false">
      <c r="A180" s="68" t="s">
        <v>2727</v>
      </c>
      <c r="B180" s="68" t="n">
        <v>21</v>
      </c>
      <c r="C180" s="68" t="s">
        <v>2260</v>
      </c>
      <c r="D180" s="68" t="s">
        <v>2628</v>
      </c>
      <c r="E180" s="68" t="s">
        <v>123</v>
      </c>
      <c r="F180" s="80" t="s">
        <v>2630</v>
      </c>
    </row>
    <row r="181" customFormat="false" ht="15" hidden="false" customHeight="false" outlineLevel="0" collapsed="false">
      <c r="A181" s="68" t="s">
        <v>2727</v>
      </c>
      <c r="B181" s="68" t="n">
        <v>21</v>
      </c>
      <c r="C181" s="68" t="s">
        <v>2266</v>
      </c>
      <c r="D181" s="68" t="s">
        <v>2628</v>
      </c>
      <c r="E181" s="68" t="s">
        <v>123</v>
      </c>
      <c r="F181" s="80" t="s">
        <v>2631</v>
      </c>
    </row>
    <row r="182" customFormat="false" ht="15" hidden="false" customHeight="false" outlineLevel="0" collapsed="false">
      <c r="A182" s="68" t="s">
        <v>2727</v>
      </c>
      <c r="B182" s="68" t="n">
        <v>21</v>
      </c>
      <c r="C182" s="68" t="s">
        <v>2295</v>
      </c>
      <c r="D182" s="68" t="s">
        <v>2628</v>
      </c>
      <c r="E182" s="68" t="s">
        <v>123</v>
      </c>
      <c r="F182" s="80" t="s">
        <v>2695</v>
      </c>
    </row>
    <row r="183" customFormat="false" ht="15" hidden="false" customHeight="false" outlineLevel="0" collapsed="false">
      <c r="A183" s="68" t="s">
        <v>2727</v>
      </c>
      <c r="B183" s="68" t="n">
        <v>21</v>
      </c>
      <c r="C183" s="68" t="s">
        <v>2324</v>
      </c>
      <c r="D183" s="68" t="s">
        <v>2696</v>
      </c>
      <c r="E183" s="68" t="s">
        <v>304</v>
      </c>
      <c r="F183" s="80" t="s">
        <v>2697</v>
      </c>
    </row>
    <row r="184" customFormat="false" ht="15" hidden="false" customHeight="false" outlineLevel="0" collapsed="false">
      <c r="A184" s="68" t="s">
        <v>2727</v>
      </c>
      <c r="B184" s="68" t="n">
        <v>21</v>
      </c>
      <c r="C184" s="68" t="s">
        <v>2337</v>
      </c>
      <c r="D184" s="68" t="s">
        <v>2696</v>
      </c>
      <c r="E184" s="68" t="s">
        <v>306</v>
      </c>
      <c r="F184" s="80" t="s">
        <v>2698</v>
      </c>
    </row>
    <row r="185" customFormat="false" ht="15" hidden="false" customHeight="false" outlineLevel="0" collapsed="false">
      <c r="A185" s="68" t="s">
        <v>2727</v>
      </c>
      <c r="B185" s="68" t="n">
        <v>21</v>
      </c>
      <c r="C185" s="68" t="s">
        <v>2342</v>
      </c>
      <c r="D185" s="68" t="s">
        <v>2628</v>
      </c>
      <c r="E185" s="68" t="n">
        <v>2.4</v>
      </c>
      <c r="F185" s="80" t="s">
        <v>2699</v>
      </c>
    </row>
    <row r="186" customFormat="false" ht="32.8" hidden="false" customHeight="false" outlineLevel="0" collapsed="false">
      <c r="A186" s="68" t="s">
        <v>2727</v>
      </c>
      <c r="B186" s="68" t="n">
        <v>21</v>
      </c>
      <c r="C186" s="68" t="s">
        <v>2351</v>
      </c>
      <c r="D186" s="68" t="s">
        <v>2696</v>
      </c>
      <c r="E186" s="68" t="n">
        <v>1402</v>
      </c>
      <c r="F186" s="80" t="s">
        <v>2700</v>
      </c>
    </row>
    <row r="187" customFormat="false" ht="22.35" hidden="false" customHeight="false" outlineLevel="0" collapsed="false">
      <c r="A187" s="68" t="s">
        <v>2727</v>
      </c>
      <c r="B187" s="68" t="n">
        <v>21</v>
      </c>
      <c r="C187" s="68" t="s">
        <v>2357</v>
      </c>
      <c r="D187" s="68" t="s">
        <v>2632</v>
      </c>
      <c r="E187" s="68" t="s">
        <v>363</v>
      </c>
      <c r="F187" s="80" t="s">
        <v>2728</v>
      </c>
    </row>
    <row r="188" customFormat="false" ht="15" hidden="false" customHeight="false" outlineLevel="0" collapsed="false">
      <c r="A188" s="68" t="s">
        <v>2727</v>
      </c>
      <c r="B188" s="68" t="n">
        <v>21</v>
      </c>
      <c r="C188" s="68" t="s">
        <v>2362</v>
      </c>
      <c r="D188" s="68" t="s">
        <v>2632</v>
      </c>
      <c r="E188" s="68" t="n">
        <v>15000</v>
      </c>
      <c r="F188" s="80" t="s">
        <v>2729</v>
      </c>
    </row>
    <row r="189" customFormat="false" ht="22.35" hidden="false" customHeight="false" outlineLevel="0" collapsed="false">
      <c r="A189" s="68" t="s">
        <v>2727</v>
      </c>
      <c r="B189" s="68" t="n">
        <v>21</v>
      </c>
      <c r="C189" s="68" t="s">
        <v>2375</v>
      </c>
      <c r="D189" s="68" t="s">
        <v>2703</v>
      </c>
      <c r="E189" s="68" t="n">
        <v>7942500000</v>
      </c>
      <c r="F189" s="80" t="s">
        <v>2730</v>
      </c>
    </row>
    <row r="190" customFormat="false" ht="43.25" hidden="false" customHeight="false" outlineLevel="0" collapsed="false">
      <c r="A190" s="68" t="s">
        <v>2727</v>
      </c>
      <c r="B190" s="68" t="n">
        <v>21</v>
      </c>
      <c r="C190" s="68" t="s">
        <v>2383</v>
      </c>
      <c r="D190" s="68" t="s">
        <v>2696</v>
      </c>
      <c r="E190" s="68" t="s">
        <v>201</v>
      </c>
      <c r="F190" s="80" t="s">
        <v>2705</v>
      </c>
    </row>
    <row r="191" customFormat="false" ht="22.35" hidden="false" customHeight="false" outlineLevel="0" collapsed="false">
      <c r="A191" s="68" t="s">
        <v>2727</v>
      </c>
      <c r="B191" s="68" t="n">
        <v>21</v>
      </c>
      <c r="C191" s="68" t="s">
        <v>2420</v>
      </c>
      <c r="D191" s="68" t="s">
        <v>2696</v>
      </c>
      <c r="E191" s="68" t="s">
        <v>312</v>
      </c>
      <c r="F191" s="80" t="s">
        <v>2706</v>
      </c>
    </row>
    <row r="192" customFormat="false" ht="22.35" hidden="false" customHeight="false" outlineLevel="0" collapsed="false">
      <c r="A192" s="68" t="s">
        <v>2727</v>
      </c>
      <c r="B192" s="68" t="n">
        <v>21</v>
      </c>
      <c r="C192" s="68" t="s">
        <v>2423</v>
      </c>
      <c r="D192" s="68" t="s">
        <v>2696</v>
      </c>
      <c r="E192" s="68" t="s">
        <v>312</v>
      </c>
      <c r="F192" s="80" t="s">
        <v>2706</v>
      </c>
    </row>
    <row r="193" customFormat="false" ht="22.35" hidden="false" customHeight="false" outlineLevel="0" collapsed="false">
      <c r="A193" s="68" t="s">
        <v>2727</v>
      </c>
      <c r="B193" s="68" t="n">
        <v>21</v>
      </c>
      <c r="C193" s="68" t="s">
        <v>2426</v>
      </c>
      <c r="D193" s="68" t="s">
        <v>2696</v>
      </c>
      <c r="E193" s="68" t="s">
        <v>312</v>
      </c>
      <c r="F193" s="80" t="s">
        <v>2706</v>
      </c>
    </row>
    <row r="194" customFormat="false" ht="22.35" hidden="false" customHeight="false" outlineLevel="0" collapsed="false">
      <c r="A194" s="68" t="s">
        <v>2731</v>
      </c>
      <c r="B194" s="68" t="n">
        <v>22</v>
      </c>
      <c r="C194" s="68" t="s">
        <v>2253</v>
      </c>
      <c r="D194" s="68" t="s">
        <v>2628</v>
      </c>
      <c r="E194" s="68" t="s">
        <v>48</v>
      </c>
      <c r="F194" s="80" t="s">
        <v>2653</v>
      </c>
    </row>
    <row r="195" customFormat="false" ht="22.35" hidden="false" customHeight="false" outlineLevel="0" collapsed="false">
      <c r="A195" s="68" t="s">
        <v>2731</v>
      </c>
      <c r="B195" s="68" t="n">
        <v>22</v>
      </c>
      <c r="C195" s="68" t="s">
        <v>2260</v>
      </c>
      <c r="D195" s="68" t="s">
        <v>2628</v>
      </c>
      <c r="E195" s="68" t="s">
        <v>123</v>
      </c>
      <c r="F195" s="80" t="s">
        <v>2630</v>
      </c>
    </row>
    <row r="196" customFormat="false" ht="15" hidden="false" customHeight="false" outlineLevel="0" collapsed="false">
      <c r="A196" s="68" t="s">
        <v>2731</v>
      </c>
      <c r="B196" s="68" t="n">
        <v>22</v>
      </c>
      <c r="C196" s="68" t="s">
        <v>2266</v>
      </c>
      <c r="D196" s="68" t="s">
        <v>2628</v>
      </c>
      <c r="E196" s="68" t="s">
        <v>123</v>
      </c>
      <c r="F196" s="80" t="s">
        <v>2631</v>
      </c>
    </row>
    <row r="197" customFormat="false" ht="15" hidden="false" customHeight="false" outlineLevel="0" collapsed="false">
      <c r="A197" s="68" t="s">
        <v>2731</v>
      </c>
      <c r="B197" s="68" t="n">
        <v>22</v>
      </c>
      <c r="C197" s="68" t="s">
        <v>2295</v>
      </c>
      <c r="D197" s="68" t="s">
        <v>2628</v>
      </c>
      <c r="E197" s="68" t="s">
        <v>123</v>
      </c>
      <c r="F197" s="80" t="s">
        <v>2695</v>
      </c>
    </row>
    <row r="198" customFormat="false" ht="15" hidden="false" customHeight="false" outlineLevel="0" collapsed="false">
      <c r="A198" s="68" t="s">
        <v>2731</v>
      </c>
      <c r="B198" s="68" t="n">
        <v>22</v>
      </c>
      <c r="C198" s="68" t="s">
        <v>2324</v>
      </c>
      <c r="D198" s="68" t="s">
        <v>2696</v>
      </c>
      <c r="E198" s="68" t="s">
        <v>304</v>
      </c>
      <c r="F198" s="80" t="s">
        <v>2697</v>
      </c>
    </row>
    <row r="199" customFormat="false" ht="15" hidden="false" customHeight="false" outlineLevel="0" collapsed="false">
      <c r="A199" s="68" t="s">
        <v>2731</v>
      </c>
      <c r="B199" s="68" t="n">
        <v>22</v>
      </c>
      <c r="C199" s="68" t="s">
        <v>2337</v>
      </c>
      <c r="D199" s="68" t="s">
        <v>2696</v>
      </c>
      <c r="E199" s="68" t="s">
        <v>306</v>
      </c>
      <c r="F199" s="80" t="s">
        <v>2698</v>
      </c>
    </row>
    <row r="200" customFormat="false" ht="15" hidden="false" customHeight="false" outlineLevel="0" collapsed="false">
      <c r="A200" s="68" t="s">
        <v>2731</v>
      </c>
      <c r="B200" s="68" t="n">
        <v>22</v>
      </c>
      <c r="C200" s="68" t="s">
        <v>2342</v>
      </c>
      <c r="D200" s="68" t="s">
        <v>2628</v>
      </c>
      <c r="E200" s="68" t="n">
        <v>2.4</v>
      </c>
      <c r="F200" s="80" t="s">
        <v>2699</v>
      </c>
    </row>
    <row r="201" customFormat="false" ht="32.8" hidden="false" customHeight="false" outlineLevel="0" collapsed="false">
      <c r="A201" s="68" t="s">
        <v>2731</v>
      </c>
      <c r="B201" s="68" t="n">
        <v>22</v>
      </c>
      <c r="C201" s="68" t="s">
        <v>2351</v>
      </c>
      <c r="D201" s="68" t="s">
        <v>2696</v>
      </c>
      <c r="E201" s="68" t="n">
        <v>1402</v>
      </c>
      <c r="F201" s="80" t="s">
        <v>2700</v>
      </c>
    </row>
    <row r="202" customFormat="false" ht="22.35" hidden="false" customHeight="false" outlineLevel="0" collapsed="false">
      <c r="A202" s="68" t="s">
        <v>2731</v>
      </c>
      <c r="B202" s="68" t="n">
        <v>22</v>
      </c>
      <c r="C202" s="68" t="s">
        <v>2357</v>
      </c>
      <c r="D202" s="68" t="s">
        <v>2632</v>
      </c>
      <c r="E202" s="68" t="s">
        <v>363</v>
      </c>
      <c r="F202" s="80" t="s">
        <v>2732</v>
      </c>
    </row>
    <row r="203" customFormat="false" ht="15" hidden="false" customHeight="false" outlineLevel="0" collapsed="false">
      <c r="A203" s="68" t="s">
        <v>2731</v>
      </c>
      <c r="B203" s="68" t="n">
        <v>22</v>
      </c>
      <c r="C203" s="68" t="s">
        <v>2362</v>
      </c>
      <c r="D203" s="68" t="s">
        <v>2632</v>
      </c>
      <c r="E203" s="68" t="n">
        <v>17000</v>
      </c>
      <c r="F203" s="80" t="s">
        <v>2733</v>
      </c>
    </row>
    <row r="204" customFormat="false" ht="22.35" hidden="false" customHeight="false" outlineLevel="0" collapsed="false">
      <c r="A204" s="68" t="s">
        <v>2731</v>
      </c>
      <c r="B204" s="68" t="n">
        <v>22</v>
      </c>
      <c r="C204" s="68" t="s">
        <v>2375</v>
      </c>
      <c r="D204" s="68" t="s">
        <v>2703</v>
      </c>
      <c r="E204" s="68" t="n">
        <v>9001500000</v>
      </c>
      <c r="F204" s="80" t="s">
        <v>2734</v>
      </c>
    </row>
    <row r="205" customFormat="false" ht="43.25" hidden="false" customHeight="false" outlineLevel="0" collapsed="false">
      <c r="A205" s="68" t="s">
        <v>2731</v>
      </c>
      <c r="B205" s="68" t="n">
        <v>22</v>
      </c>
      <c r="C205" s="68" t="s">
        <v>2383</v>
      </c>
      <c r="D205" s="68" t="s">
        <v>2696</v>
      </c>
      <c r="E205" s="68" t="s">
        <v>201</v>
      </c>
      <c r="F205" s="80" t="s">
        <v>2705</v>
      </c>
    </row>
    <row r="206" customFormat="false" ht="22.35" hidden="false" customHeight="false" outlineLevel="0" collapsed="false">
      <c r="A206" s="68" t="s">
        <v>2731</v>
      </c>
      <c r="B206" s="68" t="n">
        <v>22</v>
      </c>
      <c r="C206" s="68" t="s">
        <v>2420</v>
      </c>
      <c r="D206" s="68" t="s">
        <v>2696</v>
      </c>
      <c r="E206" s="68" t="s">
        <v>312</v>
      </c>
      <c r="F206" s="80" t="s">
        <v>2706</v>
      </c>
    </row>
    <row r="207" customFormat="false" ht="22.35" hidden="false" customHeight="false" outlineLevel="0" collapsed="false">
      <c r="A207" s="68" t="s">
        <v>2731</v>
      </c>
      <c r="B207" s="68" t="n">
        <v>22</v>
      </c>
      <c r="C207" s="68" t="s">
        <v>2423</v>
      </c>
      <c r="D207" s="68" t="s">
        <v>2696</v>
      </c>
      <c r="E207" s="68" t="s">
        <v>312</v>
      </c>
      <c r="F207" s="80" t="s">
        <v>2706</v>
      </c>
    </row>
    <row r="208" customFormat="false" ht="22.35" hidden="false" customHeight="false" outlineLevel="0" collapsed="false">
      <c r="A208" s="68" t="s">
        <v>2731</v>
      </c>
      <c r="B208" s="68" t="n">
        <v>22</v>
      </c>
      <c r="C208" s="68" t="s">
        <v>2426</v>
      </c>
      <c r="D208" s="68" t="s">
        <v>2696</v>
      </c>
      <c r="E208" s="68" t="s">
        <v>312</v>
      </c>
      <c r="F208" s="80" t="s">
        <v>2706</v>
      </c>
    </row>
    <row r="209" customFormat="false" ht="22.35" hidden="false" customHeight="false" outlineLevel="0" collapsed="false">
      <c r="A209" s="68" t="s">
        <v>2735</v>
      </c>
      <c r="B209" s="68" t="n">
        <v>23</v>
      </c>
      <c r="C209" s="68" t="s">
        <v>2253</v>
      </c>
      <c r="D209" s="68" t="s">
        <v>2628</v>
      </c>
      <c r="E209" s="68" t="s">
        <v>48</v>
      </c>
      <c r="F209" s="80" t="s">
        <v>2653</v>
      </c>
    </row>
    <row r="210" customFormat="false" ht="22.35" hidden="false" customHeight="false" outlineLevel="0" collapsed="false">
      <c r="A210" s="68" t="s">
        <v>2735</v>
      </c>
      <c r="B210" s="68" t="n">
        <v>23</v>
      </c>
      <c r="C210" s="68" t="s">
        <v>2260</v>
      </c>
      <c r="D210" s="68" t="s">
        <v>2628</v>
      </c>
      <c r="E210" s="68" t="s">
        <v>123</v>
      </c>
      <c r="F210" s="80" t="s">
        <v>2630</v>
      </c>
    </row>
    <row r="211" customFormat="false" ht="15" hidden="false" customHeight="false" outlineLevel="0" collapsed="false">
      <c r="A211" s="68" t="s">
        <v>2735</v>
      </c>
      <c r="B211" s="68" t="n">
        <v>23</v>
      </c>
      <c r="C211" s="68" t="s">
        <v>2266</v>
      </c>
      <c r="D211" s="68" t="s">
        <v>2628</v>
      </c>
      <c r="E211" s="68" t="s">
        <v>123</v>
      </c>
      <c r="F211" s="80" t="s">
        <v>2631</v>
      </c>
    </row>
    <row r="212" customFormat="false" ht="15" hidden="false" customHeight="false" outlineLevel="0" collapsed="false">
      <c r="A212" s="68" t="s">
        <v>2735</v>
      </c>
      <c r="B212" s="68" t="n">
        <v>23</v>
      </c>
      <c r="C212" s="68" t="s">
        <v>2295</v>
      </c>
      <c r="D212" s="68" t="s">
        <v>2628</v>
      </c>
      <c r="E212" s="68" t="s">
        <v>123</v>
      </c>
      <c r="F212" s="80" t="s">
        <v>2695</v>
      </c>
    </row>
    <row r="213" customFormat="false" ht="15" hidden="false" customHeight="false" outlineLevel="0" collapsed="false">
      <c r="A213" s="68" t="s">
        <v>2735</v>
      </c>
      <c r="B213" s="68" t="n">
        <v>23</v>
      </c>
      <c r="C213" s="68" t="s">
        <v>2324</v>
      </c>
      <c r="D213" s="68" t="s">
        <v>2696</v>
      </c>
      <c r="E213" s="68" t="s">
        <v>304</v>
      </c>
      <c r="F213" s="80" t="s">
        <v>2697</v>
      </c>
    </row>
    <row r="214" customFormat="false" ht="15" hidden="false" customHeight="false" outlineLevel="0" collapsed="false">
      <c r="A214" s="68" t="s">
        <v>2735</v>
      </c>
      <c r="B214" s="68" t="n">
        <v>23</v>
      </c>
      <c r="C214" s="68" t="s">
        <v>2337</v>
      </c>
      <c r="D214" s="68" t="s">
        <v>2696</v>
      </c>
      <c r="E214" s="68" t="s">
        <v>306</v>
      </c>
      <c r="F214" s="80" t="s">
        <v>2698</v>
      </c>
    </row>
    <row r="215" customFormat="false" ht="15" hidden="false" customHeight="false" outlineLevel="0" collapsed="false">
      <c r="A215" s="68" t="s">
        <v>2735</v>
      </c>
      <c r="B215" s="68" t="n">
        <v>23</v>
      </c>
      <c r="C215" s="68" t="s">
        <v>2342</v>
      </c>
      <c r="D215" s="68" t="s">
        <v>2628</v>
      </c>
      <c r="E215" s="68" t="n">
        <v>2.5</v>
      </c>
      <c r="F215" s="80" t="s">
        <v>2699</v>
      </c>
    </row>
    <row r="216" customFormat="false" ht="32.8" hidden="false" customHeight="false" outlineLevel="0" collapsed="false">
      <c r="A216" s="68" t="s">
        <v>2735</v>
      </c>
      <c r="B216" s="68" t="n">
        <v>23</v>
      </c>
      <c r="C216" s="68" t="s">
        <v>2351</v>
      </c>
      <c r="D216" s="68" t="s">
        <v>2696</v>
      </c>
      <c r="E216" s="68" t="n">
        <v>1402</v>
      </c>
      <c r="F216" s="80" t="s">
        <v>2700</v>
      </c>
    </row>
    <row r="217" customFormat="false" ht="22.35" hidden="false" customHeight="false" outlineLevel="0" collapsed="false">
      <c r="A217" s="68" t="s">
        <v>2735</v>
      </c>
      <c r="B217" s="68" t="n">
        <v>23</v>
      </c>
      <c r="C217" s="68" t="s">
        <v>2357</v>
      </c>
      <c r="D217" s="68" t="s">
        <v>2632</v>
      </c>
      <c r="E217" s="68" t="s">
        <v>363</v>
      </c>
      <c r="F217" s="80" t="s">
        <v>2736</v>
      </c>
    </row>
    <row r="218" customFormat="false" ht="15" hidden="false" customHeight="false" outlineLevel="0" collapsed="false">
      <c r="A218" s="68" t="s">
        <v>2735</v>
      </c>
      <c r="B218" s="68" t="n">
        <v>23</v>
      </c>
      <c r="C218" s="68" t="s">
        <v>2362</v>
      </c>
      <c r="D218" s="68" t="s">
        <v>2632</v>
      </c>
      <c r="E218" s="68" t="n">
        <v>11000</v>
      </c>
      <c r="F218" s="80" t="s">
        <v>2737</v>
      </c>
    </row>
    <row r="219" customFormat="false" ht="22.35" hidden="false" customHeight="false" outlineLevel="0" collapsed="false">
      <c r="A219" s="68" t="s">
        <v>2735</v>
      </c>
      <c r="B219" s="68" t="n">
        <v>23</v>
      </c>
      <c r="C219" s="68" t="s">
        <v>2375</v>
      </c>
      <c r="D219" s="68" t="s">
        <v>2703</v>
      </c>
      <c r="E219" s="68" t="n">
        <v>5824500000</v>
      </c>
      <c r="F219" s="80" t="s">
        <v>2738</v>
      </c>
    </row>
    <row r="220" customFormat="false" ht="43.25" hidden="false" customHeight="false" outlineLevel="0" collapsed="false">
      <c r="A220" s="68" t="s">
        <v>2735</v>
      </c>
      <c r="B220" s="68" t="n">
        <v>23</v>
      </c>
      <c r="C220" s="68" t="s">
        <v>2383</v>
      </c>
      <c r="D220" s="68" t="s">
        <v>2696</v>
      </c>
      <c r="E220" s="68" t="s">
        <v>201</v>
      </c>
      <c r="F220" s="80" t="s">
        <v>2705</v>
      </c>
    </row>
    <row r="221" customFormat="false" ht="22.35" hidden="false" customHeight="false" outlineLevel="0" collapsed="false">
      <c r="A221" s="68" t="s">
        <v>2735</v>
      </c>
      <c r="B221" s="68" t="n">
        <v>23</v>
      </c>
      <c r="C221" s="68" t="s">
        <v>2420</v>
      </c>
      <c r="D221" s="68" t="s">
        <v>2696</v>
      </c>
      <c r="E221" s="68" t="s">
        <v>312</v>
      </c>
      <c r="F221" s="80" t="s">
        <v>2706</v>
      </c>
    </row>
    <row r="222" customFormat="false" ht="22.35" hidden="false" customHeight="false" outlineLevel="0" collapsed="false">
      <c r="A222" s="68" t="s">
        <v>2735</v>
      </c>
      <c r="B222" s="68" t="n">
        <v>23</v>
      </c>
      <c r="C222" s="68" t="s">
        <v>2423</v>
      </c>
      <c r="D222" s="68" t="s">
        <v>2696</v>
      </c>
      <c r="E222" s="68" t="s">
        <v>312</v>
      </c>
      <c r="F222" s="80" t="s">
        <v>2706</v>
      </c>
    </row>
    <row r="223" customFormat="false" ht="22.35" hidden="false" customHeight="false" outlineLevel="0" collapsed="false">
      <c r="A223" s="68" t="s">
        <v>2735</v>
      </c>
      <c r="B223" s="68" t="n">
        <v>23</v>
      </c>
      <c r="C223" s="68" t="s">
        <v>2426</v>
      </c>
      <c r="D223" s="68" t="s">
        <v>2696</v>
      </c>
      <c r="E223" s="68" t="s">
        <v>312</v>
      </c>
      <c r="F223" s="80" t="s">
        <v>2706</v>
      </c>
    </row>
    <row r="224" customFormat="false" ht="22.35" hidden="false" customHeight="false" outlineLevel="0" collapsed="false">
      <c r="A224" s="68" t="s">
        <v>2739</v>
      </c>
      <c r="B224" s="68" t="n">
        <v>24</v>
      </c>
      <c r="C224" s="68" t="s">
        <v>2253</v>
      </c>
      <c r="D224" s="68" t="s">
        <v>2628</v>
      </c>
      <c r="E224" s="68" t="s">
        <v>51</v>
      </c>
      <c r="F224" s="80" t="s">
        <v>2662</v>
      </c>
    </row>
    <row r="225" customFormat="false" ht="22.35" hidden="false" customHeight="false" outlineLevel="0" collapsed="false">
      <c r="A225" s="68" t="s">
        <v>2739</v>
      </c>
      <c r="B225" s="68" t="n">
        <v>24</v>
      </c>
      <c r="C225" s="68" t="s">
        <v>2260</v>
      </c>
      <c r="D225" s="68" t="s">
        <v>2628</v>
      </c>
      <c r="E225" s="68" t="s">
        <v>123</v>
      </c>
      <c r="F225" s="80" t="s">
        <v>2630</v>
      </c>
    </row>
    <row r="226" customFormat="false" ht="15" hidden="false" customHeight="false" outlineLevel="0" collapsed="false">
      <c r="A226" s="68" t="s">
        <v>2739</v>
      </c>
      <c r="B226" s="68" t="n">
        <v>24</v>
      </c>
      <c r="C226" s="68" t="s">
        <v>2266</v>
      </c>
      <c r="D226" s="68" t="s">
        <v>2628</v>
      </c>
      <c r="E226" s="68" t="s">
        <v>123</v>
      </c>
      <c r="F226" s="80" t="s">
        <v>2631</v>
      </c>
    </row>
    <row r="227" customFormat="false" ht="15" hidden="false" customHeight="false" outlineLevel="0" collapsed="false">
      <c r="A227" s="68" t="s">
        <v>2739</v>
      </c>
      <c r="B227" s="68" t="n">
        <v>24</v>
      </c>
      <c r="C227" s="68" t="s">
        <v>2295</v>
      </c>
      <c r="D227" s="68" t="s">
        <v>2628</v>
      </c>
      <c r="E227" s="68" t="s">
        <v>123</v>
      </c>
      <c r="F227" s="80" t="s">
        <v>2695</v>
      </c>
    </row>
    <row r="228" customFormat="false" ht="15" hidden="false" customHeight="false" outlineLevel="0" collapsed="false">
      <c r="A228" s="68" t="s">
        <v>2739</v>
      </c>
      <c r="B228" s="68" t="n">
        <v>24</v>
      </c>
      <c r="C228" s="68" t="s">
        <v>2324</v>
      </c>
      <c r="D228" s="68" t="s">
        <v>2696</v>
      </c>
      <c r="E228" s="68" t="s">
        <v>304</v>
      </c>
      <c r="F228" s="80" t="s">
        <v>2697</v>
      </c>
    </row>
    <row r="229" customFormat="false" ht="15" hidden="false" customHeight="false" outlineLevel="0" collapsed="false">
      <c r="A229" s="68" t="s">
        <v>2739</v>
      </c>
      <c r="B229" s="68" t="n">
        <v>24</v>
      </c>
      <c r="C229" s="68" t="s">
        <v>2337</v>
      </c>
      <c r="D229" s="68" t="s">
        <v>2696</v>
      </c>
      <c r="E229" s="68" t="s">
        <v>306</v>
      </c>
      <c r="F229" s="80" t="s">
        <v>2698</v>
      </c>
    </row>
    <row r="230" customFormat="false" ht="15" hidden="false" customHeight="false" outlineLevel="0" collapsed="false">
      <c r="A230" s="68" t="s">
        <v>2739</v>
      </c>
      <c r="B230" s="68" t="n">
        <v>24</v>
      </c>
      <c r="C230" s="68" t="s">
        <v>2342</v>
      </c>
      <c r="D230" s="68" t="s">
        <v>2628</v>
      </c>
      <c r="E230" s="68" t="n">
        <v>36.3</v>
      </c>
      <c r="F230" s="80" t="s">
        <v>2699</v>
      </c>
    </row>
    <row r="231" customFormat="false" ht="32.8" hidden="false" customHeight="false" outlineLevel="0" collapsed="false">
      <c r="A231" s="68" t="s">
        <v>2739</v>
      </c>
      <c r="B231" s="68" t="n">
        <v>24</v>
      </c>
      <c r="C231" s="68" t="s">
        <v>2351</v>
      </c>
      <c r="D231" s="68" t="s">
        <v>2696</v>
      </c>
      <c r="E231" s="68" t="n">
        <v>1402</v>
      </c>
      <c r="F231" s="80" t="s">
        <v>2700</v>
      </c>
    </row>
    <row r="232" customFormat="false" ht="22.35" hidden="false" customHeight="false" outlineLevel="0" collapsed="false">
      <c r="A232" s="68" t="s">
        <v>2739</v>
      </c>
      <c r="B232" s="68" t="n">
        <v>24</v>
      </c>
      <c r="C232" s="68" t="s">
        <v>2357</v>
      </c>
      <c r="D232" s="68" t="s">
        <v>2632</v>
      </c>
      <c r="E232" s="68" t="s">
        <v>363</v>
      </c>
      <c r="F232" s="80" t="s">
        <v>2740</v>
      </c>
    </row>
    <row r="233" customFormat="false" ht="15" hidden="false" customHeight="false" outlineLevel="0" collapsed="false">
      <c r="A233" s="68" t="s">
        <v>2739</v>
      </c>
      <c r="B233" s="68" t="n">
        <v>24</v>
      </c>
      <c r="C233" s="68" t="s">
        <v>2362</v>
      </c>
      <c r="D233" s="68" t="s">
        <v>2632</v>
      </c>
      <c r="E233" s="68" t="n">
        <v>430000</v>
      </c>
      <c r="F233" s="80" t="s">
        <v>2741</v>
      </c>
    </row>
    <row r="234" customFormat="false" ht="22.35" hidden="false" customHeight="false" outlineLevel="0" collapsed="false">
      <c r="A234" s="68" t="s">
        <v>2739</v>
      </c>
      <c r="B234" s="68" t="n">
        <v>24</v>
      </c>
      <c r="C234" s="68" t="s">
        <v>2375</v>
      </c>
      <c r="D234" s="68" t="s">
        <v>2703</v>
      </c>
      <c r="E234" s="68" t="n">
        <v>227685000000</v>
      </c>
      <c r="F234" s="80" t="s">
        <v>2742</v>
      </c>
    </row>
    <row r="235" customFormat="false" ht="43.25" hidden="false" customHeight="false" outlineLevel="0" collapsed="false">
      <c r="A235" s="68" t="s">
        <v>2739</v>
      </c>
      <c r="B235" s="68" t="n">
        <v>24</v>
      </c>
      <c r="C235" s="68" t="s">
        <v>2383</v>
      </c>
      <c r="D235" s="68" t="s">
        <v>2696</v>
      </c>
      <c r="E235" s="68" t="s">
        <v>201</v>
      </c>
      <c r="F235" s="80" t="s">
        <v>2705</v>
      </c>
    </row>
    <row r="236" customFormat="false" ht="22.35" hidden="false" customHeight="false" outlineLevel="0" collapsed="false">
      <c r="A236" s="68" t="s">
        <v>2739</v>
      </c>
      <c r="B236" s="68" t="n">
        <v>24</v>
      </c>
      <c r="C236" s="68" t="s">
        <v>2420</v>
      </c>
      <c r="D236" s="68" t="s">
        <v>2696</v>
      </c>
      <c r="E236" s="68" t="s">
        <v>312</v>
      </c>
      <c r="F236" s="80" t="s">
        <v>2706</v>
      </c>
    </row>
    <row r="237" customFormat="false" ht="22.35" hidden="false" customHeight="false" outlineLevel="0" collapsed="false">
      <c r="A237" s="68" t="s">
        <v>2739</v>
      </c>
      <c r="B237" s="68" t="n">
        <v>24</v>
      </c>
      <c r="C237" s="68" t="s">
        <v>2423</v>
      </c>
      <c r="D237" s="68" t="s">
        <v>2696</v>
      </c>
      <c r="E237" s="68" t="s">
        <v>312</v>
      </c>
      <c r="F237" s="80" t="s">
        <v>2706</v>
      </c>
    </row>
    <row r="238" customFormat="false" ht="22.35" hidden="false" customHeight="false" outlineLevel="0" collapsed="false">
      <c r="A238" s="68" t="s">
        <v>2739</v>
      </c>
      <c r="B238" s="68" t="n">
        <v>24</v>
      </c>
      <c r="C238" s="68" t="s">
        <v>2426</v>
      </c>
      <c r="D238" s="68" t="s">
        <v>2696</v>
      </c>
      <c r="E238" s="68" t="s">
        <v>312</v>
      </c>
      <c r="F238" s="80" t="s">
        <v>2706</v>
      </c>
    </row>
    <row r="239" customFormat="false" ht="22.35" hidden="false" customHeight="false" outlineLevel="0" collapsed="false">
      <c r="A239" s="68" t="s">
        <v>2743</v>
      </c>
      <c r="B239" s="68" t="n">
        <v>25</v>
      </c>
      <c r="C239" s="68" t="s">
        <v>2253</v>
      </c>
      <c r="D239" s="68" t="s">
        <v>2628</v>
      </c>
      <c r="E239" s="68" t="s">
        <v>51</v>
      </c>
      <c r="F239" s="80" t="s">
        <v>2662</v>
      </c>
    </row>
    <row r="240" customFormat="false" ht="22.35" hidden="false" customHeight="false" outlineLevel="0" collapsed="false">
      <c r="A240" s="68" t="s">
        <v>2743</v>
      </c>
      <c r="B240" s="68" t="n">
        <v>25</v>
      </c>
      <c r="C240" s="68" t="s">
        <v>2260</v>
      </c>
      <c r="D240" s="68" t="s">
        <v>2628</v>
      </c>
      <c r="E240" s="68" t="s">
        <v>123</v>
      </c>
      <c r="F240" s="80" t="s">
        <v>2630</v>
      </c>
    </row>
    <row r="241" customFormat="false" ht="15" hidden="false" customHeight="false" outlineLevel="0" collapsed="false">
      <c r="A241" s="68" t="s">
        <v>2743</v>
      </c>
      <c r="B241" s="68" t="n">
        <v>25</v>
      </c>
      <c r="C241" s="68" t="s">
        <v>2266</v>
      </c>
      <c r="D241" s="68" t="s">
        <v>2628</v>
      </c>
      <c r="E241" s="68" t="s">
        <v>123</v>
      </c>
      <c r="F241" s="80" t="s">
        <v>2631</v>
      </c>
    </row>
    <row r="242" customFormat="false" ht="15" hidden="false" customHeight="false" outlineLevel="0" collapsed="false">
      <c r="A242" s="68" t="s">
        <v>2743</v>
      </c>
      <c r="B242" s="68" t="n">
        <v>25</v>
      </c>
      <c r="C242" s="68" t="s">
        <v>2295</v>
      </c>
      <c r="D242" s="68" t="s">
        <v>2628</v>
      </c>
      <c r="E242" s="68" t="s">
        <v>123</v>
      </c>
      <c r="F242" s="80" t="s">
        <v>2695</v>
      </c>
    </row>
    <row r="243" customFormat="false" ht="15" hidden="false" customHeight="false" outlineLevel="0" collapsed="false">
      <c r="A243" s="68" t="s">
        <v>2743</v>
      </c>
      <c r="B243" s="68" t="n">
        <v>25</v>
      </c>
      <c r="C243" s="68" t="s">
        <v>2324</v>
      </c>
      <c r="D243" s="68" t="s">
        <v>2696</v>
      </c>
      <c r="E243" s="68" t="s">
        <v>304</v>
      </c>
      <c r="F243" s="80" t="s">
        <v>2697</v>
      </c>
    </row>
    <row r="244" customFormat="false" ht="15" hidden="false" customHeight="false" outlineLevel="0" collapsed="false">
      <c r="A244" s="68" t="s">
        <v>2743</v>
      </c>
      <c r="B244" s="68" t="n">
        <v>25</v>
      </c>
      <c r="C244" s="68" t="s">
        <v>2337</v>
      </c>
      <c r="D244" s="68" t="s">
        <v>2696</v>
      </c>
      <c r="E244" s="68" t="s">
        <v>306</v>
      </c>
      <c r="F244" s="80" t="s">
        <v>2698</v>
      </c>
    </row>
    <row r="245" customFormat="false" ht="15" hidden="false" customHeight="false" outlineLevel="0" collapsed="false">
      <c r="A245" s="68" t="s">
        <v>2743</v>
      </c>
      <c r="B245" s="68" t="n">
        <v>25</v>
      </c>
      <c r="C245" s="68" t="s">
        <v>2342</v>
      </c>
      <c r="D245" s="68" t="s">
        <v>2628</v>
      </c>
      <c r="E245" s="68" t="n">
        <v>36.3</v>
      </c>
      <c r="F245" s="80" t="s">
        <v>2699</v>
      </c>
    </row>
    <row r="246" customFormat="false" ht="32.8" hidden="false" customHeight="false" outlineLevel="0" collapsed="false">
      <c r="A246" s="68" t="s">
        <v>2743</v>
      </c>
      <c r="B246" s="68" t="n">
        <v>25</v>
      </c>
      <c r="C246" s="68" t="s">
        <v>2351</v>
      </c>
      <c r="D246" s="68" t="s">
        <v>2696</v>
      </c>
      <c r="E246" s="68" t="n">
        <v>1402</v>
      </c>
      <c r="F246" s="80" t="s">
        <v>2700</v>
      </c>
    </row>
    <row r="247" customFormat="false" ht="22.35" hidden="false" customHeight="false" outlineLevel="0" collapsed="false">
      <c r="A247" s="68" t="s">
        <v>2743</v>
      </c>
      <c r="B247" s="68" t="n">
        <v>25</v>
      </c>
      <c r="C247" s="68" t="s">
        <v>2357</v>
      </c>
      <c r="D247" s="68" t="s">
        <v>2632</v>
      </c>
      <c r="E247" s="68" t="s">
        <v>363</v>
      </c>
      <c r="F247" s="80" t="s">
        <v>2744</v>
      </c>
    </row>
    <row r="248" customFormat="false" ht="15" hidden="false" customHeight="false" outlineLevel="0" collapsed="false">
      <c r="A248" s="68" t="s">
        <v>2743</v>
      </c>
      <c r="B248" s="68" t="n">
        <v>25</v>
      </c>
      <c r="C248" s="68" t="s">
        <v>2362</v>
      </c>
      <c r="D248" s="68" t="s">
        <v>2632</v>
      </c>
      <c r="E248" s="68" t="n">
        <v>285000</v>
      </c>
      <c r="F248" s="80" t="s">
        <v>2745</v>
      </c>
    </row>
    <row r="249" customFormat="false" ht="22.35" hidden="false" customHeight="false" outlineLevel="0" collapsed="false">
      <c r="A249" s="68" t="s">
        <v>2743</v>
      </c>
      <c r="B249" s="68" t="n">
        <v>25</v>
      </c>
      <c r="C249" s="68" t="s">
        <v>2375</v>
      </c>
      <c r="D249" s="68" t="s">
        <v>2703</v>
      </c>
      <c r="E249" s="68" t="n">
        <v>150907500000</v>
      </c>
      <c r="F249" s="80" t="s">
        <v>2746</v>
      </c>
    </row>
    <row r="250" customFormat="false" ht="43.25" hidden="false" customHeight="false" outlineLevel="0" collapsed="false">
      <c r="A250" s="68" t="s">
        <v>2743</v>
      </c>
      <c r="B250" s="68" t="n">
        <v>25</v>
      </c>
      <c r="C250" s="68" t="s">
        <v>2383</v>
      </c>
      <c r="D250" s="68" t="s">
        <v>2696</v>
      </c>
      <c r="E250" s="68" t="s">
        <v>201</v>
      </c>
      <c r="F250" s="80" t="s">
        <v>2705</v>
      </c>
    </row>
    <row r="251" customFormat="false" ht="22.35" hidden="false" customHeight="false" outlineLevel="0" collapsed="false">
      <c r="A251" s="68" t="s">
        <v>2743</v>
      </c>
      <c r="B251" s="68" t="n">
        <v>25</v>
      </c>
      <c r="C251" s="68" t="s">
        <v>2420</v>
      </c>
      <c r="D251" s="68" t="s">
        <v>2696</v>
      </c>
      <c r="E251" s="68" t="s">
        <v>312</v>
      </c>
      <c r="F251" s="80" t="s">
        <v>2706</v>
      </c>
    </row>
    <row r="252" customFormat="false" ht="22.35" hidden="false" customHeight="false" outlineLevel="0" collapsed="false">
      <c r="A252" s="68" t="s">
        <v>2743</v>
      </c>
      <c r="B252" s="68" t="n">
        <v>25</v>
      </c>
      <c r="C252" s="68" t="s">
        <v>2423</v>
      </c>
      <c r="D252" s="68" t="s">
        <v>2696</v>
      </c>
      <c r="E252" s="68" t="s">
        <v>312</v>
      </c>
      <c r="F252" s="80" t="s">
        <v>2706</v>
      </c>
    </row>
    <row r="253" customFormat="false" ht="22.35" hidden="false" customHeight="false" outlineLevel="0" collapsed="false">
      <c r="A253" s="68" t="s">
        <v>2743</v>
      </c>
      <c r="B253" s="68" t="n">
        <v>25</v>
      </c>
      <c r="C253" s="68" t="s">
        <v>2426</v>
      </c>
      <c r="D253" s="68" t="s">
        <v>2696</v>
      </c>
      <c r="E253" s="68" t="s">
        <v>312</v>
      </c>
      <c r="F253" s="80" t="s">
        <v>2706</v>
      </c>
    </row>
    <row r="254" customFormat="false" ht="43.25" hidden="false" customHeight="false" outlineLevel="0" collapsed="false">
      <c r="A254" s="68" t="s">
        <v>2747</v>
      </c>
      <c r="B254" s="68" t="n">
        <v>26</v>
      </c>
      <c r="C254" s="68" t="s">
        <v>2253</v>
      </c>
      <c r="D254" s="68" t="s">
        <v>2628</v>
      </c>
      <c r="E254" s="68" t="s">
        <v>57</v>
      </c>
      <c r="F254" s="80" t="s">
        <v>2748</v>
      </c>
    </row>
    <row r="255" customFormat="false" ht="22.35" hidden="false" customHeight="false" outlineLevel="0" collapsed="false">
      <c r="A255" s="68" t="s">
        <v>2747</v>
      </c>
      <c r="B255" s="68" t="n">
        <v>26</v>
      </c>
      <c r="C255" s="68" t="s">
        <v>2260</v>
      </c>
      <c r="D255" s="68" t="s">
        <v>2628</v>
      </c>
      <c r="E255" s="68" t="s">
        <v>123</v>
      </c>
      <c r="F255" s="80" t="s">
        <v>2630</v>
      </c>
    </row>
    <row r="256" customFormat="false" ht="15" hidden="false" customHeight="false" outlineLevel="0" collapsed="false">
      <c r="A256" s="68" t="s">
        <v>2747</v>
      </c>
      <c r="B256" s="68" t="n">
        <v>26</v>
      </c>
      <c r="C256" s="68" t="s">
        <v>2266</v>
      </c>
      <c r="D256" s="68" t="s">
        <v>2628</v>
      </c>
      <c r="E256" s="68" t="s">
        <v>123</v>
      </c>
      <c r="F256" s="80" t="s">
        <v>2631</v>
      </c>
    </row>
    <row r="257" customFormat="false" ht="15" hidden="false" customHeight="false" outlineLevel="0" collapsed="false">
      <c r="A257" s="68" t="s">
        <v>2747</v>
      </c>
      <c r="B257" s="68" t="n">
        <v>26</v>
      </c>
      <c r="C257" s="68" t="s">
        <v>2295</v>
      </c>
      <c r="D257" s="68" t="s">
        <v>2628</v>
      </c>
      <c r="E257" s="68" t="s">
        <v>123</v>
      </c>
      <c r="F257" s="80" t="s">
        <v>2695</v>
      </c>
    </row>
    <row r="258" customFormat="false" ht="15" hidden="false" customHeight="false" outlineLevel="0" collapsed="false">
      <c r="A258" s="68" t="s">
        <v>2747</v>
      </c>
      <c r="B258" s="68" t="n">
        <v>26</v>
      </c>
      <c r="C258" s="68" t="s">
        <v>2324</v>
      </c>
      <c r="D258" s="68" t="s">
        <v>2696</v>
      </c>
      <c r="E258" s="68" t="s">
        <v>304</v>
      </c>
      <c r="F258" s="80" t="s">
        <v>2697</v>
      </c>
    </row>
    <row r="259" customFormat="false" ht="15" hidden="false" customHeight="false" outlineLevel="0" collapsed="false">
      <c r="A259" s="68" t="s">
        <v>2747</v>
      </c>
      <c r="B259" s="68" t="n">
        <v>26</v>
      </c>
      <c r="C259" s="68" t="s">
        <v>2337</v>
      </c>
      <c r="D259" s="68" t="s">
        <v>2696</v>
      </c>
      <c r="E259" s="68" t="s">
        <v>306</v>
      </c>
      <c r="F259" s="80" t="s">
        <v>2698</v>
      </c>
    </row>
    <row r="260" customFormat="false" ht="15" hidden="false" customHeight="false" outlineLevel="0" collapsed="false">
      <c r="A260" s="68" t="s">
        <v>2747</v>
      </c>
      <c r="B260" s="68" t="n">
        <v>26</v>
      </c>
      <c r="C260" s="68" t="s">
        <v>2342</v>
      </c>
      <c r="D260" s="68" t="s">
        <v>2628</v>
      </c>
      <c r="E260" s="68" t="n">
        <v>2</v>
      </c>
      <c r="F260" s="80" t="s">
        <v>2699</v>
      </c>
    </row>
    <row r="261" customFormat="false" ht="32.8" hidden="false" customHeight="false" outlineLevel="0" collapsed="false">
      <c r="A261" s="68" t="s">
        <v>2747</v>
      </c>
      <c r="B261" s="68" t="n">
        <v>26</v>
      </c>
      <c r="C261" s="68" t="s">
        <v>2351</v>
      </c>
      <c r="D261" s="68" t="s">
        <v>2696</v>
      </c>
      <c r="E261" s="68" t="n">
        <v>1402</v>
      </c>
      <c r="F261" s="80" t="s">
        <v>2700</v>
      </c>
    </row>
    <row r="262" customFormat="false" ht="22.35" hidden="false" customHeight="false" outlineLevel="0" collapsed="false">
      <c r="A262" s="68" t="s">
        <v>2747</v>
      </c>
      <c r="B262" s="68" t="n">
        <v>26</v>
      </c>
      <c r="C262" s="68" t="s">
        <v>2357</v>
      </c>
      <c r="D262" s="68" t="s">
        <v>2632</v>
      </c>
      <c r="E262" s="68" t="s">
        <v>363</v>
      </c>
      <c r="F262" s="80" t="s">
        <v>2749</v>
      </c>
    </row>
    <row r="263" customFormat="false" ht="15" hidden="false" customHeight="false" outlineLevel="0" collapsed="false">
      <c r="A263" s="68" t="s">
        <v>2747</v>
      </c>
      <c r="B263" s="68" t="n">
        <v>26</v>
      </c>
      <c r="C263" s="68" t="s">
        <v>2362</v>
      </c>
      <c r="D263" s="68" t="s">
        <v>2632</v>
      </c>
      <c r="E263" s="68" t="n">
        <v>9000</v>
      </c>
      <c r="F263" s="80" t="s">
        <v>2750</v>
      </c>
    </row>
    <row r="264" customFormat="false" ht="22.35" hidden="false" customHeight="false" outlineLevel="0" collapsed="false">
      <c r="A264" s="68" t="s">
        <v>2747</v>
      </c>
      <c r="B264" s="68" t="n">
        <v>26</v>
      </c>
      <c r="C264" s="68" t="s">
        <v>2375</v>
      </c>
      <c r="D264" s="68" t="s">
        <v>2703</v>
      </c>
      <c r="E264" s="68" t="n">
        <v>4765500000</v>
      </c>
      <c r="F264" s="80" t="s">
        <v>2751</v>
      </c>
    </row>
    <row r="265" customFormat="false" ht="43.25" hidden="false" customHeight="false" outlineLevel="0" collapsed="false">
      <c r="A265" s="68" t="s">
        <v>2747</v>
      </c>
      <c r="B265" s="68" t="n">
        <v>26</v>
      </c>
      <c r="C265" s="68" t="s">
        <v>2383</v>
      </c>
      <c r="D265" s="68" t="s">
        <v>2696</v>
      </c>
      <c r="E265" s="68" t="s">
        <v>201</v>
      </c>
      <c r="F265" s="80" t="s">
        <v>2705</v>
      </c>
    </row>
    <row r="266" customFormat="false" ht="22.35" hidden="false" customHeight="false" outlineLevel="0" collapsed="false">
      <c r="A266" s="68" t="s">
        <v>2747</v>
      </c>
      <c r="B266" s="68" t="n">
        <v>26</v>
      </c>
      <c r="C266" s="68" t="s">
        <v>2420</v>
      </c>
      <c r="D266" s="68" t="s">
        <v>2696</v>
      </c>
      <c r="E266" s="68" t="s">
        <v>312</v>
      </c>
      <c r="F266" s="80" t="s">
        <v>2706</v>
      </c>
    </row>
    <row r="267" customFormat="false" ht="22.35" hidden="false" customHeight="false" outlineLevel="0" collapsed="false">
      <c r="A267" s="68" t="s">
        <v>2747</v>
      </c>
      <c r="B267" s="68" t="n">
        <v>26</v>
      </c>
      <c r="C267" s="68" t="s">
        <v>2423</v>
      </c>
      <c r="D267" s="68" t="s">
        <v>2696</v>
      </c>
      <c r="E267" s="68" t="s">
        <v>312</v>
      </c>
      <c r="F267" s="80" t="s">
        <v>2706</v>
      </c>
    </row>
    <row r="268" customFormat="false" ht="22.35" hidden="false" customHeight="false" outlineLevel="0" collapsed="false">
      <c r="A268" s="68" t="s">
        <v>2747</v>
      </c>
      <c r="B268" s="68" t="n">
        <v>26</v>
      </c>
      <c r="C268" s="68" t="s">
        <v>2426</v>
      </c>
      <c r="D268" s="68" t="s">
        <v>2696</v>
      </c>
      <c r="E268" s="68" t="s">
        <v>312</v>
      </c>
      <c r="F268" s="80" t="s">
        <v>2706</v>
      </c>
    </row>
    <row r="269" customFormat="false" ht="22.35" hidden="false" customHeight="false" outlineLevel="0" collapsed="false">
      <c r="A269" s="68" t="s">
        <v>2752</v>
      </c>
      <c r="B269" s="68" t="n">
        <v>27</v>
      </c>
      <c r="C269" s="68" t="s">
        <v>2253</v>
      </c>
      <c r="D269" s="68" t="s">
        <v>2628</v>
      </c>
      <c r="E269" s="68" t="s">
        <v>54</v>
      </c>
      <c r="F269" s="80" t="s">
        <v>2672</v>
      </c>
    </row>
    <row r="270" customFormat="false" ht="22.35" hidden="false" customHeight="false" outlineLevel="0" collapsed="false">
      <c r="A270" s="68" t="s">
        <v>2752</v>
      </c>
      <c r="B270" s="68" t="n">
        <v>27</v>
      </c>
      <c r="C270" s="68" t="s">
        <v>2260</v>
      </c>
      <c r="D270" s="68" t="s">
        <v>2628</v>
      </c>
      <c r="E270" s="68" t="s">
        <v>123</v>
      </c>
      <c r="F270" s="80" t="s">
        <v>2630</v>
      </c>
    </row>
    <row r="271" customFormat="false" ht="15" hidden="false" customHeight="false" outlineLevel="0" collapsed="false">
      <c r="A271" s="68" t="s">
        <v>2752</v>
      </c>
      <c r="B271" s="68" t="n">
        <v>27</v>
      </c>
      <c r="C271" s="68" t="s">
        <v>2266</v>
      </c>
      <c r="D271" s="68" t="s">
        <v>2628</v>
      </c>
      <c r="E271" s="68" t="s">
        <v>123</v>
      </c>
      <c r="F271" s="80" t="s">
        <v>2631</v>
      </c>
    </row>
    <row r="272" customFormat="false" ht="15" hidden="false" customHeight="false" outlineLevel="0" collapsed="false">
      <c r="A272" s="68" t="s">
        <v>2752</v>
      </c>
      <c r="B272" s="68" t="n">
        <v>27</v>
      </c>
      <c r="C272" s="68" t="s">
        <v>2295</v>
      </c>
      <c r="D272" s="68" t="s">
        <v>2628</v>
      </c>
      <c r="E272" s="68" t="s">
        <v>123</v>
      </c>
      <c r="F272" s="80" t="s">
        <v>2695</v>
      </c>
    </row>
    <row r="273" customFormat="false" ht="15" hidden="false" customHeight="false" outlineLevel="0" collapsed="false">
      <c r="A273" s="68" t="s">
        <v>2752</v>
      </c>
      <c r="B273" s="68" t="n">
        <v>27</v>
      </c>
      <c r="C273" s="68" t="s">
        <v>2324</v>
      </c>
      <c r="D273" s="68" t="s">
        <v>2696</v>
      </c>
      <c r="E273" s="68" t="s">
        <v>304</v>
      </c>
      <c r="F273" s="80" t="s">
        <v>2697</v>
      </c>
    </row>
    <row r="274" customFormat="false" ht="15" hidden="false" customHeight="false" outlineLevel="0" collapsed="false">
      <c r="A274" s="68" t="s">
        <v>2752</v>
      </c>
      <c r="B274" s="68" t="n">
        <v>27</v>
      </c>
      <c r="C274" s="68" t="s">
        <v>2337</v>
      </c>
      <c r="D274" s="68" t="s">
        <v>2696</v>
      </c>
      <c r="E274" s="68" t="s">
        <v>306</v>
      </c>
      <c r="F274" s="80" t="s">
        <v>2698</v>
      </c>
    </row>
    <row r="275" customFormat="false" ht="15" hidden="false" customHeight="false" outlineLevel="0" collapsed="false">
      <c r="A275" s="68" t="s">
        <v>2752</v>
      </c>
      <c r="B275" s="68" t="n">
        <v>27</v>
      </c>
      <c r="C275" s="68" t="s">
        <v>2342</v>
      </c>
      <c r="D275" s="68" t="s">
        <v>2628</v>
      </c>
      <c r="E275" s="68" t="n">
        <v>0.8</v>
      </c>
      <c r="F275" s="80" t="s">
        <v>2699</v>
      </c>
    </row>
    <row r="276" customFormat="false" ht="32.8" hidden="false" customHeight="false" outlineLevel="0" collapsed="false">
      <c r="A276" s="68" t="s">
        <v>2752</v>
      </c>
      <c r="B276" s="68" t="n">
        <v>27</v>
      </c>
      <c r="C276" s="68" t="s">
        <v>2351</v>
      </c>
      <c r="D276" s="68" t="s">
        <v>2696</v>
      </c>
      <c r="E276" s="68" t="n">
        <v>1402</v>
      </c>
      <c r="F276" s="80" t="s">
        <v>2700</v>
      </c>
    </row>
    <row r="277" customFormat="false" ht="22.35" hidden="false" customHeight="false" outlineLevel="0" collapsed="false">
      <c r="A277" s="68" t="s">
        <v>2752</v>
      </c>
      <c r="B277" s="68" t="n">
        <v>27</v>
      </c>
      <c r="C277" s="68" t="s">
        <v>2357</v>
      </c>
      <c r="D277" s="68" t="s">
        <v>2632</v>
      </c>
      <c r="E277" s="68" t="s">
        <v>363</v>
      </c>
      <c r="F277" s="80" t="s">
        <v>2753</v>
      </c>
    </row>
    <row r="278" customFormat="false" ht="15" hidden="false" customHeight="false" outlineLevel="0" collapsed="false">
      <c r="A278" s="68" t="s">
        <v>2752</v>
      </c>
      <c r="B278" s="68" t="n">
        <v>27</v>
      </c>
      <c r="C278" s="68" t="s">
        <v>2362</v>
      </c>
      <c r="D278" s="68" t="s">
        <v>2632</v>
      </c>
      <c r="E278" s="68" t="n">
        <v>28000</v>
      </c>
      <c r="F278" s="80" t="s">
        <v>2754</v>
      </c>
    </row>
    <row r="279" customFormat="false" ht="22.35" hidden="false" customHeight="false" outlineLevel="0" collapsed="false">
      <c r="A279" s="68" t="s">
        <v>2752</v>
      </c>
      <c r="B279" s="68" t="n">
        <v>27</v>
      </c>
      <c r="C279" s="68" t="s">
        <v>2375</v>
      </c>
      <c r="D279" s="68" t="s">
        <v>2703</v>
      </c>
      <c r="E279" s="68" t="n">
        <v>14826000000</v>
      </c>
      <c r="F279" s="80" t="s">
        <v>2755</v>
      </c>
    </row>
    <row r="280" customFormat="false" ht="43.25" hidden="false" customHeight="false" outlineLevel="0" collapsed="false">
      <c r="A280" s="68" t="s">
        <v>2752</v>
      </c>
      <c r="B280" s="68" t="n">
        <v>27</v>
      </c>
      <c r="C280" s="68" t="s">
        <v>2383</v>
      </c>
      <c r="D280" s="68" t="s">
        <v>2696</v>
      </c>
      <c r="E280" s="68" t="s">
        <v>201</v>
      </c>
      <c r="F280" s="80" t="s">
        <v>2705</v>
      </c>
    </row>
    <row r="281" customFormat="false" ht="22.35" hidden="false" customHeight="false" outlineLevel="0" collapsed="false">
      <c r="A281" s="68" t="s">
        <v>2752</v>
      </c>
      <c r="B281" s="68" t="n">
        <v>27</v>
      </c>
      <c r="C281" s="68" t="s">
        <v>2420</v>
      </c>
      <c r="D281" s="68" t="s">
        <v>2696</v>
      </c>
      <c r="E281" s="68" t="s">
        <v>312</v>
      </c>
      <c r="F281" s="80" t="s">
        <v>2706</v>
      </c>
    </row>
    <row r="282" customFormat="false" ht="22.35" hidden="false" customHeight="false" outlineLevel="0" collapsed="false">
      <c r="A282" s="68" t="s">
        <v>2752</v>
      </c>
      <c r="B282" s="68" t="n">
        <v>27</v>
      </c>
      <c r="C282" s="68" t="s">
        <v>2423</v>
      </c>
      <c r="D282" s="68" t="s">
        <v>2696</v>
      </c>
      <c r="E282" s="68" t="s">
        <v>312</v>
      </c>
      <c r="F282" s="80" t="s">
        <v>2706</v>
      </c>
    </row>
    <row r="283" customFormat="false" ht="22.35" hidden="false" customHeight="false" outlineLevel="0" collapsed="false">
      <c r="A283" s="68" t="s">
        <v>2752</v>
      </c>
      <c r="B283" s="68" t="n">
        <v>27</v>
      </c>
      <c r="C283" s="68" t="s">
        <v>2426</v>
      </c>
      <c r="D283" s="68" t="s">
        <v>2696</v>
      </c>
      <c r="E283" s="68" t="s">
        <v>312</v>
      </c>
      <c r="F283" s="80" t="s">
        <v>2706</v>
      </c>
    </row>
    <row r="284" customFormat="false" ht="22.35" hidden="false" customHeight="false" outlineLevel="0" collapsed="false">
      <c r="A284" s="68" t="s">
        <v>2756</v>
      </c>
      <c r="B284" s="68" t="n">
        <v>28</v>
      </c>
      <c r="C284" s="68" t="s">
        <v>2253</v>
      </c>
      <c r="D284" s="68" t="s">
        <v>2628</v>
      </c>
      <c r="E284" s="68" t="s">
        <v>54</v>
      </c>
      <c r="F284" s="80" t="s">
        <v>2672</v>
      </c>
    </row>
    <row r="285" customFormat="false" ht="22.35" hidden="false" customHeight="false" outlineLevel="0" collapsed="false">
      <c r="A285" s="68" t="s">
        <v>2756</v>
      </c>
      <c r="B285" s="68" t="n">
        <v>28</v>
      </c>
      <c r="C285" s="68" t="s">
        <v>2260</v>
      </c>
      <c r="D285" s="68" t="s">
        <v>2628</v>
      </c>
      <c r="E285" s="68" t="s">
        <v>123</v>
      </c>
      <c r="F285" s="80" t="s">
        <v>2630</v>
      </c>
    </row>
    <row r="286" customFormat="false" ht="15" hidden="false" customHeight="false" outlineLevel="0" collapsed="false">
      <c r="A286" s="68" t="s">
        <v>2756</v>
      </c>
      <c r="B286" s="68" t="n">
        <v>28</v>
      </c>
      <c r="C286" s="68" t="s">
        <v>2266</v>
      </c>
      <c r="D286" s="68" t="s">
        <v>2628</v>
      </c>
      <c r="E286" s="68" t="s">
        <v>123</v>
      </c>
      <c r="F286" s="80" t="s">
        <v>2631</v>
      </c>
    </row>
    <row r="287" customFormat="false" ht="15" hidden="false" customHeight="false" outlineLevel="0" collapsed="false">
      <c r="A287" s="68" t="s">
        <v>2756</v>
      </c>
      <c r="B287" s="68" t="n">
        <v>28</v>
      </c>
      <c r="C287" s="68" t="s">
        <v>2295</v>
      </c>
      <c r="D287" s="68" t="s">
        <v>2628</v>
      </c>
      <c r="E287" s="68" t="s">
        <v>123</v>
      </c>
      <c r="F287" s="80" t="s">
        <v>2695</v>
      </c>
    </row>
    <row r="288" customFormat="false" ht="15" hidden="false" customHeight="false" outlineLevel="0" collapsed="false">
      <c r="A288" s="68" t="s">
        <v>2756</v>
      </c>
      <c r="B288" s="68" t="n">
        <v>28</v>
      </c>
      <c r="C288" s="68" t="s">
        <v>2324</v>
      </c>
      <c r="D288" s="68" t="s">
        <v>2696</v>
      </c>
      <c r="E288" s="68" t="s">
        <v>304</v>
      </c>
      <c r="F288" s="80" t="s">
        <v>2697</v>
      </c>
    </row>
    <row r="289" customFormat="false" ht="15" hidden="false" customHeight="false" outlineLevel="0" collapsed="false">
      <c r="A289" s="68" t="s">
        <v>2756</v>
      </c>
      <c r="B289" s="68" t="n">
        <v>28</v>
      </c>
      <c r="C289" s="68" t="s">
        <v>2337</v>
      </c>
      <c r="D289" s="68" t="s">
        <v>2696</v>
      </c>
      <c r="E289" s="68" t="s">
        <v>306</v>
      </c>
      <c r="F289" s="80" t="s">
        <v>2698</v>
      </c>
    </row>
    <row r="290" customFormat="false" ht="15" hidden="false" customHeight="false" outlineLevel="0" collapsed="false">
      <c r="A290" s="68" t="s">
        <v>2756</v>
      </c>
      <c r="B290" s="68" t="n">
        <v>28</v>
      </c>
      <c r="C290" s="68" t="s">
        <v>2342</v>
      </c>
      <c r="D290" s="68" t="s">
        <v>2628</v>
      </c>
      <c r="E290" s="68" t="n">
        <v>4.3</v>
      </c>
      <c r="F290" s="80" t="s">
        <v>2699</v>
      </c>
    </row>
    <row r="291" customFormat="false" ht="32.8" hidden="false" customHeight="false" outlineLevel="0" collapsed="false">
      <c r="A291" s="68" t="s">
        <v>2756</v>
      </c>
      <c r="B291" s="68" t="n">
        <v>28</v>
      </c>
      <c r="C291" s="68" t="s">
        <v>2351</v>
      </c>
      <c r="D291" s="68" t="s">
        <v>2696</v>
      </c>
      <c r="E291" s="68" t="n">
        <v>1402</v>
      </c>
      <c r="F291" s="80" t="s">
        <v>2700</v>
      </c>
    </row>
    <row r="292" customFormat="false" ht="22.35" hidden="false" customHeight="false" outlineLevel="0" collapsed="false">
      <c r="A292" s="68" t="s">
        <v>2756</v>
      </c>
      <c r="B292" s="68" t="n">
        <v>28</v>
      </c>
      <c r="C292" s="68" t="s">
        <v>2357</v>
      </c>
      <c r="D292" s="68" t="s">
        <v>2632</v>
      </c>
      <c r="E292" s="68" t="s">
        <v>363</v>
      </c>
      <c r="F292" s="80" t="s">
        <v>2757</v>
      </c>
    </row>
    <row r="293" customFormat="false" ht="15" hidden="false" customHeight="false" outlineLevel="0" collapsed="false">
      <c r="A293" s="68" t="s">
        <v>2756</v>
      </c>
      <c r="B293" s="68" t="n">
        <v>28</v>
      </c>
      <c r="C293" s="68" t="s">
        <v>2362</v>
      </c>
      <c r="D293" s="68" t="s">
        <v>2632</v>
      </c>
      <c r="E293" s="68" t="n">
        <v>53000</v>
      </c>
      <c r="F293" s="80" t="s">
        <v>2758</v>
      </c>
    </row>
    <row r="294" customFormat="false" ht="22.35" hidden="false" customHeight="false" outlineLevel="0" collapsed="false">
      <c r="A294" s="68" t="s">
        <v>2756</v>
      </c>
      <c r="B294" s="68" t="n">
        <v>28</v>
      </c>
      <c r="C294" s="68" t="s">
        <v>2375</v>
      </c>
      <c r="D294" s="68" t="s">
        <v>2703</v>
      </c>
      <c r="E294" s="68" t="n">
        <v>28063500000</v>
      </c>
      <c r="F294" s="80" t="s">
        <v>2759</v>
      </c>
    </row>
    <row r="295" customFormat="false" ht="43.25" hidden="false" customHeight="false" outlineLevel="0" collapsed="false">
      <c r="A295" s="68" t="s">
        <v>2756</v>
      </c>
      <c r="B295" s="68" t="n">
        <v>28</v>
      </c>
      <c r="C295" s="68" t="s">
        <v>2383</v>
      </c>
      <c r="D295" s="68" t="s">
        <v>2696</v>
      </c>
      <c r="E295" s="68" t="s">
        <v>201</v>
      </c>
      <c r="F295" s="80" t="s">
        <v>2705</v>
      </c>
    </row>
    <row r="296" customFormat="false" ht="22.35" hidden="false" customHeight="false" outlineLevel="0" collapsed="false">
      <c r="A296" s="68" t="s">
        <v>2756</v>
      </c>
      <c r="B296" s="68" t="n">
        <v>28</v>
      </c>
      <c r="C296" s="68" t="s">
        <v>2420</v>
      </c>
      <c r="D296" s="68" t="s">
        <v>2696</v>
      </c>
      <c r="E296" s="68" t="s">
        <v>312</v>
      </c>
      <c r="F296" s="80" t="s">
        <v>2706</v>
      </c>
    </row>
    <row r="297" customFormat="false" ht="22.35" hidden="false" customHeight="false" outlineLevel="0" collapsed="false">
      <c r="A297" s="68" t="s">
        <v>2756</v>
      </c>
      <c r="B297" s="68" t="n">
        <v>28</v>
      </c>
      <c r="C297" s="68" t="s">
        <v>2423</v>
      </c>
      <c r="D297" s="68" t="s">
        <v>2696</v>
      </c>
      <c r="E297" s="68" t="s">
        <v>312</v>
      </c>
      <c r="F297" s="80" t="s">
        <v>2706</v>
      </c>
    </row>
    <row r="298" customFormat="false" ht="22.35" hidden="false" customHeight="false" outlineLevel="0" collapsed="false">
      <c r="A298" s="68" t="s">
        <v>2756</v>
      </c>
      <c r="B298" s="68" t="n">
        <v>28</v>
      </c>
      <c r="C298" s="68" t="s">
        <v>2426</v>
      </c>
      <c r="D298" s="68" t="s">
        <v>2696</v>
      </c>
      <c r="E298" s="68" t="s">
        <v>312</v>
      </c>
      <c r="F298" s="80" t="s">
        <v>2706</v>
      </c>
    </row>
    <row r="299" customFormat="false" ht="22.35" hidden="false" customHeight="false" outlineLevel="0" collapsed="false">
      <c r="A299" s="68" t="s">
        <v>2760</v>
      </c>
      <c r="B299" s="68" t="n">
        <v>29</v>
      </c>
      <c r="C299" s="68" t="s">
        <v>2253</v>
      </c>
      <c r="D299" s="68" t="s">
        <v>2628</v>
      </c>
      <c r="E299" s="68" t="s">
        <v>54</v>
      </c>
      <c r="F299" s="80" t="s">
        <v>2672</v>
      </c>
    </row>
    <row r="300" customFormat="false" ht="22.35" hidden="false" customHeight="false" outlineLevel="0" collapsed="false">
      <c r="A300" s="68" t="s">
        <v>2760</v>
      </c>
      <c r="B300" s="68" t="n">
        <v>29</v>
      </c>
      <c r="C300" s="68" t="s">
        <v>2260</v>
      </c>
      <c r="D300" s="68" t="s">
        <v>2628</v>
      </c>
      <c r="E300" s="68" t="s">
        <v>123</v>
      </c>
      <c r="F300" s="80" t="s">
        <v>2630</v>
      </c>
    </row>
    <row r="301" customFormat="false" ht="15" hidden="false" customHeight="false" outlineLevel="0" collapsed="false">
      <c r="A301" s="68" t="s">
        <v>2760</v>
      </c>
      <c r="B301" s="68" t="n">
        <v>29</v>
      </c>
      <c r="C301" s="68" t="s">
        <v>2266</v>
      </c>
      <c r="D301" s="68" t="s">
        <v>2628</v>
      </c>
      <c r="E301" s="68" t="s">
        <v>123</v>
      </c>
      <c r="F301" s="80" t="s">
        <v>2631</v>
      </c>
    </row>
    <row r="302" customFormat="false" ht="15" hidden="false" customHeight="false" outlineLevel="0" collapsed="false">
      <c r="A302" s="68" t="s">
        <v>2760</v>
      </c>
      <c r="B302" s="68" t="n">
        <v>29</v>
      </c>
      <c r="C302" s="68" t="s">
        <v>2295</v>
      </c>
      <c r="D302" s="68" t="s">
        <v>2628</v>
      </c>
      <c r="E302" s="68" t="s">
        <v>123</v>
      </c>
      <c r="F302" s="80" t="s">
        <v>2695</v>
      </c>
    </row>
    <row r="303" customFormat="false" ht="15" hidden="false" customHeight="false" outlineLevel="0" collapsed="false">
      <c r="A303" s="68" t="s">
        <v>2760</v>
      </c>
      <c r="B303" s="68" t="n">
        <v>29</v>
      </c>
      <c r="C303" s="68" t="s">
        <v>2324</v>
      </c>
      <c r="D303" s="68" t="s">
        <v>2696</v>
      </c>
      <c r="E303" s="68" t="s">
        <v>304</v>
      </c>
      <c r="F303" s="80" t="s">
        <v>2697</v>
      </c>
    </row>
    <row r="304" customFormat="false" ht="15" hidden="false" customHeight="false" outlineLevel="0" collapsed="false">
      <c r="A304" s="68" t="s">
        <v>2760</v>
      </c>
      <c r="B304" s="68" t="n">
        <v>29</v>
      </c>
      <c r="C304" s="68" t="s">
        <v>2337</v>
      </c>
      <c r="D304" s="68" t="s">
        <v>2696</v>
      </c>
      <c r="E304" s="68" t="s">
        <v>306</v>
      </c>
      <c r="F304" s="80" t="s">
        <v>2698</v>
      </c>
    </row>
    <row r="305" customFormat="false" ht="15" hidden="false" customHeight="false" outlineLevel="0" collapsed="false">
      <c r="A305" s="68" t="s">
        <v>2760</v>
      </c>
      <c r="B305" s="68" t="n">
        <v>29</v>
      </c>
      <c r="C305" s="68" t="s">
        <v>2342</v>
      </c>
      <c r="D305" s="68" t="s">
        <v>2628</v>
      </c>
      <c r="E305" s="68" t="n">
        <v>7</v>
      </c>
      <c r="F305" s="80" t="s">
        <v>2699</v>
      </c>
    </row>
    <row r="306" customFormat="false" ht="32.8" hidden="false" customHeight="false" outlineLevel="0" collapsed="false">
      <c r="A306" s="68" t="s">
        <v>2760</v>
      </c>
      <c r="B306" s="68" t="n">
        <v>29</v>
      </c>
      <c r="C306" s="68" t="s">
        <v>2351</v>
      </c>
      <c r="D306" s="68" t="s">
        <v>2696</v>
      </c>
      <c r="E306" s="68" t="n">
        <v>1402</v>
      </c>
      <c r="F306" s="80" t="s">
        <v>2700</v>
      </c>
    </row>
    <row r="307" customFormat="false" ht="22.35" hidden="false" customHeight="false" outlineLevel="0" collapsed="false">
      <c r="A307" s="68" t="s">
        <v>2760</v>
      </c>
      <c r="B307" s="68" t="n">
        <v>29</v>
      </c>
      <c r="C307" s="68" t="s">
        <v>2357</v>
      </c>
      <c r="D307" s="68" t="s">
        <v>2632</v>
      </c>
      <c r="E307" s="68" t="s">
        <v>363</v>
      </c>
      <c r="F307" s="80" t="s">
        <v>2761</v>
      </c>
    </row>
    <row r="308" customFormat="false" ht="15" hidden="false" customHeight="false" outlineLevel="0" collapsed="false">
      <c r="A308" s="68" t="s">
        <v>2760</v>
      </c>
      <c r="B308" s="68" t="n">
        <v>29</v>
      </c>
      <c r="C308" s="68" t="s">
        <v>2362</v>
      </c>
      <c r="D308" s="68" t="s">
        <v>2632</v>
      </c>
      <c r="E308" s="68" t="n">
        <v>53000</v>
      </c>
      <c r="F308" s="80" t="s">
        <v>2762</v>
      </c>
    </row>
    <row r="309" customFormat="false" ht="22.35" hidden="false" customHeight="false" outlineLevel="0" collapsed="false">
      <c r="A309" s="68" t="s">
        <v>2760</v>
      </c>
      <c r="B309" s="68" t="n">
        <v>29</v>
      </c>
      <c r="C309" s="68" t="s">
        <v>2375</v>
      </c>
      <c r="D309" s="68" t="s">
        <v>2703</v>
      </c>
      <c r="E309" s="68" t="n">
        <v>28063500000</v>
      </c>
      <c r="F309" s="80" t="s">
        <v>2763</v>
      </c>
    </row>
    <row r="310" customFormat="false" ht="43.25" hidden="false" customHeight="false" outlineLevel="0" collapsed="false">
      <c r="A310" s="68" t="s">
        <v>2760</v>
      </c>
      <c r="B310" s="68" t="n">
        <v>29</v>
      </c>
      <c r="C310" s="68" t="s">
        <v>2383</v>
      </c>
      <c r="D310" s="68" t="s">
        <v>2696</v>
      </c>
      <c r="E310" s="68" t="s">
        <v>201</v>
      </c>
      <c r="F310" s="80" t="s">
        <v>2705</v>
      </c>
    </row>
    <row r="311" customFormat="false" ht="22.35" hidden="false" customHeight="false" outlineLevel="0" collapsed="false">
      <c r="A311" s="68" t="s">
        <v>2760</v>
      </c>
      <c r="B311" s="68" t="n">
        <v>29</v>
      </c>
      <c r="C311" s="68" t="s">
        <v>2420</v>
      </c>
      <c r="D311" s="68" t="s">
        <v>2696</v>
      </c>
      <c r="E311" s="68" t="s">
        <v>312</v>
      </c>
      <c r="F311" s="80" t="s">
        <v>2706</v>
      </c>
    </row>
    <row r="312" customFormat="false" ht="22.35" hidden="false" customHeight="false" outlineLevel="0" collapsed="false">
      <c r="A312" s="68" t="s">
        <v>2760</v>
      </c>
      <c r="B312" s="68" t="n">
        <v>29</v>
      </c>
      <c r="C312" s="68" t="s">
        <v>2423</v>
      </c>
      <c r="D312" s="68" t="s">
        <v>2696</v>
      </c>
      <c r="E312" s="68" t="s">
        <v>312</v>
      </c>
      <c r="F312" s="80" t="s">
        <v>2706</v>
      </c>
    </row>
    <row r="313" customFormat="false" ht="22.35" hidden="false" customHeight="false" outlineLevel="0" collapsed="false">
      <c r="A313" s="68" t="s">
        <v>2760</v>
      </c>
      <c r="B313" s="68" t="n">
        <v>29</v>
      </c>
      <c r="C313" s="68" t="s">
        <v>2426</v>
      </c>
      <c r="D313" s="68" t="s">
        <v>2696</v>
      </c>
      <c r="E313" s="68" t="s">
        <v>312</v>
      </c>
      <c r="F313" s="80" t="s">
        <v>2706</v>
      </c>
    </row>
    <row r="314" customFormat="false" ht="22.35" hidden="false" customHeight="false" outlineLevel="0" collapsed="false">
      <c r="A314" s="68" t="s">
        <v>2764</v>
      </c>
      <c r="B314" s="68" t="n">
        <v>30</v>
      </c>
      <c r="C314" s="68" t="s">
        <v>2253</v>
      </c>
      <c r="D314" s="68" t="s">
        <v>2628</v>
      </c>
      <c r="E314" s="68" t="s">
        <v>48</v>
      </c>
      <c r="F314" s="80" t="s">
        <v>2653</v>
      </c>
    </row>
    <row r="315" customFormat="false" ht="22.35" hidden="false" customHeight="false" outlineLevel="0" collapsed="false">
      <c r="A315" s="68" t="s">
        <v>2764</v>
      </c>
      <c r="B315" s="68" t="n">
        <v>30</v>
      </c>
      <c r="C315" s="68" t="s">
        <v>2260</v>
      </c>
      <c r="D315" s="68" t="s">
        <v>2628</v>
      </c>
      <c r="E315" s="68" t="s">
        <v>123</v>
      </c>
      <c r="F315" s="80" t="s">
        <v>2630</v>
      </c>
    </row>
    <row r="316" customFormat="false" ht="15" hidden="false" customHeight="false" outlineLevel="0" collapsed="false">
      <c r="A316" s="68" t="s">
        <v>2764</v>
      </c>
      <c r="B316" s="68" t="n">
        <v>30</v>
      </c>
      <c r="C316" s="68" t="s">
        <v>2266</v>
      </c>
      <c r="D316" s="68" t="s">
        <v>2628</v>
      </c>
      <c r="E316" s="68" t="s">
        <v>123</v>
      </c>
      <c r="F316" s="80" t="s">
        <v>2631</v>
      </c>
    </row>
    <row r="317" customFormat="false" ht="15" hidden="false" customHeight="false" outlineLevel="0" collapsed="false">
      <c r="A317" s="68" t="s">
        <v>2764</v>
      </c>
      <c r="B317" s="68" t="n">
        <v>30</v>
      </c>
      <c r="C317" s="68" t="s">
        <v>2295</v>
      </c>
      <c r="D317" s="68" t="s">
        <v>2628</v>
      </c>
      <c r="E317" s="68" t="s">
        <v>123</v>
      </c>
      <c r="F317" s="80" t="s">
        <v>2695</v>
      </c>
    </row>
    <row r="318" customFormat="false" ht="15" hidden="false" customHeight="false" outlineLevel="0" collapsed="false">
      <c r="A318" s="68" t="s">
        <v>2764</v>
      </c>
      <c r="B318" s="68" t="n">
        <v>30</v>
      </c>
      <c r="C318" s="68" t="s">
        <v>2324</v>
      </c>
      <c r="D318" s="68" t="s">
        <v>2696</v>
      </c>
      <c r="E318" s="68" t="s">
        <v>304</v>
      </c>
      <c r="F318" s="80" t="s">
        <v>2697</v>
      </c>
    </row>
    <row r="319" customFormat="false" ht="15" hidden="false" customHeight="false" outlineLevel="0" collapsed="false">
      <c r="A319" s="68" t="s">
        <v>2764</v>
      </c>
      <c r="B319" s="68" t="n">
        <v>30</v>
      </c>
      <c r="C319" s="68" t="s">
        <v>2337</v>
      </c>
      <c r="D319" s="68" t="s">
        <v>2696</v>
      </c>
      <c r="E319" s="68" t="s">
        <v>306</v>
      </c>
      <c r="F319" s="80" t="s">
        <v>2698</v>
      </c>
    </row>
    <row r="320" customFormat="false" ht="15" hidden="false" customHeight="false" outlineLevel="0" collapsed="false">
      <c r="A320" s="68" t="s">
        <v>2764</v>
      </c>
      <c r="B320" s="68" t="n">
        <v>30</v>
      </c>
      <c r="C320" s="68" t="s">
        <v>2342</v>
      </c>
      <c r="D320" s="68" t="s">
        <v>2628</v>
      </c>
      <c r="E320" s="68" t="n">
        <v>1.8</v>
      </c>
      <c r="F320" s="80" t="s">
        <v>2699</v>
      </c>
    </row>
    <row r="321" customFormat="false" ht="32.8" hidden="false" customHeight="false" outlineLevel="0" collapsed="false">
      <c r="A321" s="68" t="s">
        <v>2764</v>
      </c>
      <c r="B321" s="68" t="n">
        <v>30</v>
      </c>
      <c r="C321" s="68" t="s">
        <v>2351</v>
      </c>
      <c r="D321" s="68" t="s">
        <v>2696</v>
      </c>
      <c r="E321" s="68" t="n">
        <v>1402</v>
      </c>
      <c r="F321" s="80" t="s">
        <v>2700</v>
      </c>
    </row>
    <row r="322" customFormat="false" ht="22.35" hidden="false" customHeight="false" outlineLevel="0" collapsed="false">
      <c r="A322" s="68" t="s">
        <v>2764</v>
      </c>
      <c r="B322" s="68" t="n">
        <v>30</v>
      </c>
      <c r="C322" s="68" t="s">
        <v>2357</v>
      </c>
      <c r="D322" s="68" t="s">
        <v>2632</v>
      </c>
      <c r="E322" s="68" t="s">
        <v>363</v>
      </c>
      <c r="F322" s="80" t="s">
        <v>2765</v>
      </c>
    </row>
    <row r="323" customFormat="false" ht="15" hidden="false" customHeight="false" outlineLevel="0" collapsed="false">
      <c r="A323" s="68" t="s">
        <v>2764</v>
      </c>
      <c r="B323" s="68" t="n">
        <v>30</v>
      </c>
      <c r="C323" s="68" t="s">
        <v>2362</v>
      </c>
      <c r="D323" s="68" t="s">
        <v>2632</v>
      </c>
      <c r="E323" s="68" t="n">
        <v>29000</v>
      </c>
      <c r="F323" s="80" t="s">
        <v>2766</v>
      </c>
    </row>
    <row r="324" customFormat="false" ht="22.35" hidden="false" customHeight="false" outlineLevel="0" collapsed="false">
      <c r="A324" s="68" t="s">
        <v>2764</v>
      </c>
      <c r="B324" s="68" t="n">
        <v>30</v>
      </c>
      <c r="C324" s="68" t="s">
        <v>2375</v>
      </c>
      <c r="D324" s="68" t="s">
        <v>2703</v>
      </c>
      <c r="E324" s="68" t="n">
        <v>15355500000</v>
      </c>
      <c r="F324" s="80" t="s">
        <v>2767</v>
      </c>
    </row>
    <row r="325" customFormat="false" ht="43.25" hidden="false" customHeight="false" outlineLevel="0" collapsed="false">
      <c r="A325" s="68" t="s">
        <v>2764</v>
      </c>
      <c r="B325" s="68" t="n">
        <v>30</v>
      </c>
      <c r="C325" s="68" t="s">
        <v>2383</v>
      </c>
      <c r="D325" s="68" t="s">
        <v>2696</v>
      </c>
      <c r="E325" s="68" t="s">
        <v>201</v>
      </c>
      <c r="F325" s="80" t="s">
        <v>2705</v>
      </c>
    </row>
    <row r="326" customFormat="false" ht="22.35" hidden="false" customHeight="false" outlineLevel="0" collapsed="false">
      <c r="A326" s="68" t="s">
        <v>2764</v>
      </c>
      <c r="B326" s="68" t="n">
        <v>30</v>
      </c>
      <c r="C326" s="68" t="s">
        <v>2420</v>
      </c>
      <c r="D326" s="68" t="s">
        <v>2696</v>
      </c>
      <c r="E326" s="68" t="s">
        <v>312</v>
      </c>
      <c r="F326" s="80" t="s">
        <v>2706</v>
      </c>
    </row>
    <row r="327" customFormat="false" ht="22.35" hidden="false" customHeight="false" outlineLevel="0" collapsed="false">
      <c r="A327" s="68" t="s">
        <v>2764</v>
      </c>
      <c r="B327" s="68" t="n">
        <v>30</v>
      </c>
      <c r="C327" s="68" t="s">
        <v>2423</v>
      </c>
      <c r="D327" s="68" t="s">
        <v>2696</v>
      </c>
      <c r="E327" s="68" t="s">
        <v>312</v>
      </c>
      <c r="F327" s="80" t="s">
        <v>2706</v>
      </c>
    </row>
    <row r="328" customFormat="false" ht="22.35" hidden="false" customHeight="false" outlineLevel="0" collapsed="false">
      <c r="A328" s="68" t="s">
        <v>2764</v>
      </c>
      <c r="B328" s="68" t="n">
        <v>30</v>
      </c>
      <c r="C328" s="68" t="s">
        <v>2426</v>
      </c>
      <c r="D328" s="68" t="s">
        <v>2696</v>
      </c>
      <c r="E328" s="68" t="s">
        <v>312</v>
      </c>
      <c r="F328" s="80" t="s">
        <v>2706</v>
      </c>
    </row>
    <row r="329" customFormat="false" ht="22.35" hidden="false" customHeight="false" outlineLevel="0" collapsed="false">
      <c r="A329" s="68" t="s">
        <v>2768</v>
      </c>
      <c r="B329" s="68" t="n">
        <v>31</v>
      </c>
      <c r="C329" s="68" t="s">
        <v>2253</v>
      </c>
      <c r="D329" s="68" t="s">
        <v>2628</v>
      </c>
      <c r="E329" s="68" t="s">
        <v>54</v>
      </c>
      <c r="F329" s="80" t="s">
        <v>2672</v>
      </c>
    </row>
    <row r="330" customFormat="false" ht="22.35" hidden="false" customHeight="false" outlineLevel="0" collapsed="false">
      <c r="A330" s="68" t="s">
        <v>2768</v>
      </c>
      <c r="B330" s="68" t="n">
        <v>31</v>
      </c>
      <c r="C330" s="68" t="s">
        <v>2260</v>
      </c>
      <c r="D330" s="68" t="s">
        <v>2628</v>
      </c>
      <c r="E330" s="68" t="s">
        <v>123</v>
      </c>
      <c r="F330" s="80" t="s">
        <v>2630</v>
      </c>
    </row>
    <row r="331" customFormat="false" ht="15" hidden="false" customHeight="false" outlineLevel="0" collapsed="false">
      <c r="A331" s="68" t="s">
        <v>2768</v>
      </c>
      <c r="B331" s="68" t="n">
        <v>31</v>
      </c>
      <c r="C331" s="68" t="s">
        <v>2266</v>
      </c>
      <c r="D331" s="68" t="s">
        <v>2628</v>
      </c>
      <c r="E331" s="68" t="s">
        <v>123</v>
      </c>
      <c r="F331" s="80" t="s">
        <v>2631</v>
      </c>
    </row>
    <row r="332" customFormat="false" ht="15" hidden="false" customHeight="false" outlineLevel="0" collapsed="false">
      <c r="A332" s="68" t="s">
        <v>2768</v>
      </c>
      <c r="B332" s="68" t="n">
        <v>31</v>
      </c>
      <c r="C332" s="68" t="s">
        <v>2295</v>
      </c>
      <c r="D332" s="68" t="s">
        <v>2628</v>
      </c>
      <c r="E332" s="68" t="s">
        <v>123</v>
      </c>
      <c r="F332" s="80" t="s">
        <v>2695</v>
      </c>
    </row>
    <row r="333" customFormat="false" ht="15" hidden="false" customHeight="false" outlineLevel="0" collapsed="false">
      <c r="A333" s="68" t="s">
        <v>2768</v>
      </c>
      <c r="B333" s="68" t="n">
        <v>31</v>
      </c>
      <c r="C333" s="68" t="s">
        <v>2324</v>
      </c>
      <c r="D333" s="68" t="s">
        <v>2696</v>
      </c>
      <c r="E333" s="68" t="s">
        <v>304</v>
      </c>
      <c r="F333" s="80" t="s">
        <v>2697</v>
      </c>
    </row>
    <row r="334" customFormat="false" ht="15" hidden="false" customHeight="false" outlineLevel="0" collapsed="false">
      <c r="A334" s="68" t="s">
        <v>2768</v>
      </c>
      <c r="B334" s="68" t="n">
        <v>31</v>
      </c>
      <c r="C334" s="68" t="s">
        <v>2337</v>
      </c>
      <c r="D334" s="68" t="s">
        <v>2696</v>
      </c>
      <c r="E334" s="68" t="s">
        <v>306</v>
      </c>
      <c r="F334" s="80" t="s">
        <v>2698</v>
      </c>
    </row>
    <row r="335" customFormat="false" ht="15" hidden="false" customHeight="false" outlineLevel="0" collapsed="false">
      <c r="A335" s="68" t="s">
        <v>2768</v>
      </c>
      <c r="B335" s="68" t="n">
        <v>31</v>
      </c>
      <c r="C335" s="68" t="s">
        <v>2342</v>
      </c>
      <c r="D335" s="68" t="s">
        <v>2628</v>
      </c>
      <c r="E335" s="68" t="n">
        <v>2.7</v>
      </c>
      <c r="F335" s="80" t="s">
        <v>2699</v>
      </c>
    </row>
    <row r="336" customFormat="false" ht="32.8" hidden="false" customHeight="false" outlineLevel="0" collapsed="false">
      <c r="A336" s="68" t="s">
        <v>2768</v>
      </c>
      <c r="B336" s="68" t="n">
        <v>31</v>
      </c>
      <c r="C336" s="68" t="s">
        <v>2351</v>
      </c>
      <c r="D336" s="68" t="s">
        <v>2696</v>
      </c>
      <c r="E336" s="68" t="n">
        <v>1402</v>
      </c>
      <c r="F336" s="80" t="s">
        <v>2700</v>
      </c>
    </row>
    <row r="337" customFormat="false" ht="22.35" hidden="false" customHeight="false" outlineLevel="0" collapsed="false">
      <c r="A337" s="68" t="s">
        <v>2768</v>
      </c>
      <c r="B337" s="68" t="n">
        <v>31</v>
      </c>
      <c r="C337" s="68" t="s">
        <v>2357</v>
      </c>
      <c r="D337" s="68" t="s">
        <v>2632</v>
      </c>
      <c r="E337" s="68" t="s">
        <v>363</v>
      </c>
      <c r="F337" s="80" t="s">
        <v>2769</v>
      </c>
    </row>
    <row r="338" customFormat="false" ht="15" hidden="false" customHeight="false" outlineLevel="0" collapsed="false">
      <c r="A338" s="68" t="s">
        <v>2768</v>
      </c>
      <c r="B338" s="68" t="n">
        <v>31</v>
      </c>
      <c r="C338" s="68" t="s">
        <v>2362</v>
      </c>
      <c r="D338" s="68" t="s">
        <v>2632</v>
      </c>
      <c r="E338" s="68" t="n">
        <v>35000</v>
      </c>
      <c r="F338" s="80" t="s">
        <v>2770</v>
      </c>
    </row>
    <row r="339" customFormat="false" ht="22.35" hidden="false" customHeight="false" outlineLevel="0" collapsed="false">
      <c r="A339" s="68" t="s">
        <v>2768</v>
      </c>
      <c r="B339" s="68" t="n">
        <v>31</v>
      </c>
      <c r="C339" s="68" t="s">
        <v>2375</v>
      </c>
      <c r="D339" s="68" t="s">
        <v>2703</v>
      </c>
      <c r="E339" s="68" t="n">
        <v>18532500000</v>
      </c>
      <c r="F339" s="80" t="s">
        <v>2771</v>
      </c>
    </row>
    <row r="340" customFormat="false" ht="43.25" hidden="false" customHeight="false" outlineLevel="0" collapsed="false">
      <c r="A340" s="68" t="s">
        <v>2768</v>
      </c>
      <c r="B340" s="68" t="n">
        <v>31</v>
      </c>
      <c r="C340" s="68" t="s">
        <v>2383</v>
      </c>
      <c r="D340" s="68" t="s">
        <v>2696</v>
      </c>
      <c r="E340" s="68" t="s">
        <v>201</v>
      </c>
      <c r="F340" s="80" t="s">
        <v>2705</v>
      </c>
    </row>
    <row r="341" customFormat="false" ht="22.35" hidden="false" customHeight="false" outlineLevel="0" collapsed="false">
      <c r="A341" s="68" t="s">
        <v>2768</v>
      </c>
      <c r="B341" s="68" t="n">
        <v>31</v>
      </c>
      <c r="C341" s="68" t="s">
        <v>2420</v>
      </c>
      <c r="D341" s="68" t="s">
        <v>2696</v>
      </c>
      <c r="E341" s="68" t="s">
        <v>312</v>
      </c>
      <c r="F341" s="80" t="s">
        <v>2706</v>
      </c>
    </row>
    <row r="342" customFormat="false" ht="22.35" hidden="false" customHeight="false" outlineLevel="0" collapsed="false">
      <c r="A342" s="68" t="s">
        <v>2768</v>
      </c>
      <c r="B342" s="68" t="n">
        <v>31</v>
      </c>
      <c r="C342" s="68" t="s">
        <v>2423</v>
      </c>
      <c r="D342" s="68" t="s">
        <v>2696</v>
      </c>
      <c r="E342" s="68" t="s">
        <v>312</v>
      </c>
      <c r="F342" s="80" t="s">
        <v>2706</v>
      </c>
    </row>
    <row r="343" customFormat="false" ht="22.35" hidden="false" customHeight="false" outlineLevel="0" collapsed="false">
      <c r="A343" s="68" t="s">
        <v>2768</v>
      </c>
      <c r="B343" s="68" t="n">
        <v>31</v>
      </c>
      <c r="C343" s="68" t="s">
        <v>2426</v>
      </c>
      <c r="D343" s="68" t="s">
        <v>2696</v>
      </c>
      <c r="E343" s="68" t="s">
        <v>312</v>
      </c>
      <c r="F343" s="80" t="s">
        <v>2706</v>
      </c>
    </row>
    <row r="344" customFormat="false" ht="22.35" hidden="false" customHeight="false" outlineLevel="0" collapsed="false">
      <c r="A344" s="68" t="s">
        <v>2772</v>
      </c>
      <c r="B344" s="68" t="n">
        <v>32</v>
      </c>
      <c r="C344" s="68" t="s">
        <v>2253</v>
      </c>
      <c r="D344" s="68" t="s">
        <v>2628</v>
      </c>
      <c r="E344" s="68" t="s">
        <v>54</v>
      </c>
      <c r="F344" s="80" t="s">
        <v>2672</v>
      </c>
    </row>
    <row r="345" customFormat="false" ht="22.35" hidden="false" customHeight="false" outlineLevel="0" collapsed="false">
      <c r="A345" s="68" t="s">
        <v>2772</v>
      </c>
      <c r="B345" s="68" t="n">
        <v>32</v>
      </c>
      <c r="C345" s="68" t="s">
        <v>2260</v>
      </c>
      <c r="D345" s="68" t="s">
        <v>2628</v>
      </c>
      <c r="E345" s="68" t="s">
        <v>123</v>
      </c>
      <c r="F345" s="80" t="s">
        <v>2630</v>
      </c>
    </row>
    <row r="346" customFormat="false" ht="15" hidden="false" customHeight="false" outlineLevel="0" collapsed="false">
      <c r="A346" s="68" t="s">
        <v>2772</v>
      </c>
      <c r="B346" s="68" t="n">
        <v>32</v>
      </c>
      <c r="C346" s="68" t="s">
        <v>2266</v>
      </c>
      <c r="D346" s="68" t="s">
        <v>2628</v>
      </c>
      <c r="E346" s="68" t="s">
        <v>123</v>
      </c>
      <c r="F346" s="80" t="s">
        <v>2631</v>
      </c>
    </row>
    <row r="347" customFormat="false" ht="15" hidden="false" customHeight="false" outlineLevel="0" collapsed="false">
      <c r="A347" s="68" t="s">
        <v>2772</v>
      </c>
      <c r="B347" s="68" t="n">
        <v>32</v>
      </c>
      <c r="C347" s="68" t="s">
        <v>2295</v>
      </c>
      <c r="D347" s="68" t="s">
        <v>2628</v>
      </c>
      <c r="E347" s="68" t="s">
        <v>123</v>
      </c>
      <c r="F347" s="80" t="s">
        <v>2695</v>
      </c>
    </row>
    <row r="348" customFormat="false" ht="15" hidden="false" customHeight="false" outlineLevel="0" collapsed="false">
      <c r="A348" s="68" t="s">
        <v>2772</v>
      </c>
      <c r="B348" s="68" t="n">
        <v>32</v>
      </c>
      <c r="C348" s="68" t="s">
        <v>2324</v>
      </c>
      <c r="D348" s="68" t="s">
        <v>2696</v>
      </c>
      <c r="E348" s="68" t="s">
        <v>304</v>
      </c>
      <c r="F348" s="80" t="s">
        <v>2697</v>
      </c>
    </row>
    <row r="349" customFormat="false" ht="15" hidden="false" customHeight="false" outlineLevel="0" collapsed="false">
      <c r="A349" s="68" t="s">
        <v>2772</v>
      </c>
      <c r="B349" s="68" t="n">
        <v>32</v>
      </c>
      <c r="C349" s="68" t="s">
        <v>2337</v>
      </c>
      <c r="D349" s="68" t="s">
        <v>2696</v>
      </c>
      <c r="E349" s="68" t="s">
        <v>306</v>
      </c>
      <c r="F349" s="80" t="s">
        <v>2698</v>
      </c>
    </row>
    <row r="350" customFormat="false" ht="15" hidden="false" customHeight="false" outlineLevel="0" collapsed="false">
      <c r="A350" s="68" t="s">
        <v>2772</v>
      </c>
      <c r="B350" s="68" t="n">
        <v>32</v>
      </c>
      <c r="C350" s="68" t="s">
        <v>2342</v>
      </c>
      <c r="D350" s="68" t="s">
        <v>2628</v>
      </c>
      <c r="E350" s="68" t="n">
        <v>0.84</v>
      </c>
      <c r="F350" s="80" t="s">
        <v>2699</v>
      </c>
    </row>
    <row r="351" customFormat="false" ht="32.8" hidden="false" customHeight="false" outlineLevel="0" collapsed="false">
      <c r="A351" s="68" t="s">
        <v>2772</v>
      </c>
      <c r="B351" s="68" t="n">
        <v>32</v>
      </c>
      <c r="C351" s="68" t="s">
        <v>2351</v>
      </c>
      <c r="D351" s="68" t="s">
        <v>2696</v>
      </c>
      <c r="E351" s="68" t="n">
        <v>1402</v>
      </c>
      <c r="F351" s="80" t="s">
        <v>2700</v>
      </c>
    </row>
    <row r="352" customFormat="false" ht="22.35" hidden="false" customHeight="false" outlineLevel="0" collapsed="false">
      <c r="A352" s="68" t="s">
        <v>2772</v>
      </c>
      <c r="B352" s="68" t="n">
        <v>32</v>
      </c>
      <c r="C352" s="68" t="s">
        <v>2357</v>
      </c>
      <c r="D352" s="68" t="s">
        <v>2632</v>
      </c>
      <c r="E352" s="68" t="s">
        <v>363</v>
      </c>
      <c r="F352" s="80" t="s">
        <v>2773</v>
      </c>
    </row>
    <row r="353" customFormat="false" ht="15" hidden="false" customHeight="false" outlineLevel="0" collapsed="false">
      <c r="A353" s="68" t="s">
        <v>2772</v>
      </c>
      <c r="B353" s="68" t="n">
        <v>32</v>
      </c>
      <c r="C353" s="68" t="s">
        <v>2362</v>
      </c>
      <c r="D353" s="68" t="s">
        <v>2632</v>
      </c>
      <c r="E353" s="68" t="n">
        <v>13350</v>
      </c>
      <c r="F353" s="80" t="s">
        <v>2774</v>
      </c>
    </row>
    <row r="354" customFormat="false" ht="22.35" hidden="false" customHeight="false" outlineLevel="0" collapsed="false">
      <c r="A354" s="68" t="s">
        <v>2772</v>
      </c>
      <c r="B354" s="68" t="n">
        <v>32</v>
      </c>
      <c r="C354" s="68" t="s">
        <v>2375</v>
      </c>
      <c r="D354" s="68" t="s">
        <v>2703</v>
      </c>
      <c r="E354" s="68" t="n">
        <v>7068825000</v>
      </c>
      <c r="F354" s="80" t="s">
        <v>2775</v>
      </c>
    </row>
    <row r="355" customFormat="false" ht="43.25" hidden="false" customHeight="false" outlineLevel="0" collapsed="false">
      <c r="A355" s="68" t="s">
        <v>2772</v>
      </c>
      <c r="B355" s="68" t="n">
        <v>32</v>
      </c>
      <c r="C355" s="68" t="s">
        <v>2383</v>
      </c>
      <c r="D355" s="68" t="s">
        <v>2696</v>
      </c>
      <c r="E355" s="68" t="s">
        <v>201</v>
      </c>
      <c r="F355" s="80" t="s">
        <v>2705</v>
      </c>
    </row>
    <row r="356" customFormat="false" ht="22.35" hidden="false" customHeight="false" outlineLevel="0" collapsed="false">
      <c r="A356" s="68" t="s">
        <v>2772</v>
      </c>
      <c r="B356" s="68" t="n">
        <v>32</v>
      </c>
      <c r="C356" s="68" t="s">
        <v>2420</v>
      </c>
      <c r="D356" s="68" t="s">
        <v>2696</v>
      </c>
      <c r="E356" s="68" t="s">
        <v>312</v>
      </c>
      <c r="F356" s="80" t="s">
        <v>2706</v>
      </c>
    </row>
    <row r="357" customFormat="false" ht="22.35" hidden="false" customHeight="false" outlineLevel="0" collapsed="false">
      <c r="A357" s="68" t="s">
        <v>2772</v>
      </c>
      <c r="B357" s="68" t="n">
        <v>32</v>
      </c>
      <c r="C357" s="68" t="s">
        <v>2423</v>
      </c>
      <c r="D357" s="68" t="s">
        <v>2696</v>
      </c>
      <c r="E357" s="68" t="s">
        <v>312</v>
      </c>
      <c r="F357" s="80" t="s">
        <v>2706</v>
      </c>
    </row>
    <row r="358" customFormat="false" ht="22.35" hidden="false" customHeight="false" outlineLevel="0" collapsed="false">
      <c r="A358" s="68" t="s">
        <v>2772</v>
      </c>
      <c r="B358" s="68" t="n">
        <v>32</v>
      </c>
      <c r="C358" s="68" t="s">
        <v>2426</v>
      </c>
      <c r="D358" s="68" t="s">
        <v>2696</v>
      </c>
      <c r="E358" s="68" t="s">
        <v>312</v>
      </c>
      <c r="F358" s="80" t="s">
        <v>2706</v>
      </c>
    </row>
    <row r="359" customFormat="false" ht="43.25" hidden="false" customHeight="false" outlineLevel="0" collapsed="false">
      <c r="A359" s="68" t="s">
        <v>2776</v>
      </c>
      <c r="B359" s="68" t="n">
        <v>33</v>
      </c>
      <c r="C359" s="68" t="s">
        <v>2253</v>
      </c>
      <c r="D359" s="68" t="s">
        <v>2628</v>
      </c>
      <c r="E359" s="68" t="s">
        <v>54</v>
      </c>
      <c r="F359" s="80" t="s">
        <v>2777</v>
      </c>
    </row>
    <row r="360" customFormat="false" ht="22.35" hidden="false" customHeight="false" outlineLevel="0" collapsed="false">
      <c r="A360" s="68" t="s">
        <v>2776</v>
      </c>
      <c r="B360" s="68" t="n">
        <v>33</v>
      </c>
      <c r="C360" s="68" t="s">
        <v>2260</v>
      </c>
      <c r="D360" s="68" t="s">
        <v>2628</v>
      </c>
      <c r="E360" s="68" t="s">
        <v>123</v>
      </c>
      <c r="F360" s="80" t="s">
        <v>2630</v>
      </c>
    </row>
    <row r="361" customFormat="false" ht="15" hidden="false" customHeight="false" outlineLevel="0" collapsed="false">
      <c r="A361" s="68" t="s">
        <v>2776</v>
      </c>
      <c r="B361" s="68" t="n">
        <v>33</v>
      </c>
      <c r="C361" s="68" t="s">
        <v>2266</v>
      </c>
      <c r="D361" s="68" t="s">
        <v>2628</v>
      </c>
      <c r="E361" s="68" t="s">
        <v>123</v>
      </c>
      <c r="F361" s="80" t="s">
        <v>2631</v>
      </c>
    </row>
    <row r="362" customFormat="false" ht="15" hidden="false" customHeight="false" outlineLevel="0" collapsed="false">
      <c r="A362" s="68" t="s">
        <v>2776</v>
      </c>
      <c r="B362" s="68" t="n">
        <v>33</v>
      </c>
      <c r="C362" s="68" t="s">
        <v>2295</v>
      </c>
      <c r="D362" s="68" t="s">
        <v>2628</v>
      </c>
      <c r="E362" s="68" t="s">
        <v>123</v>
      </c>
      <c r="F362" s="80" t="s">
        <v>2695</v>
      </c>
    </row>
    <row r="363" customFormat="false" ht="15" hidden="false" customHeight="false" outlineLevel="0" collapsed="false">
      <c r="A363" s="68" t="s">
        <v>2776</v>
      </c>
      <c r="B363" s="68" t="n">
        <v>33</v>
      </c>
      <c r="C363" s="68" t="s">
        <v>2324</v>
      </c>
      <c r="D363" s="68" t="s">
        <v>2696</v>
      </c>
      <c r="E363" s="68" t="s">
        <v>304</v>
      </c>
      <c r="F363" s="80" t="s">
        <v>2697</v>
      </c>
    </row>
    <row r="364" customFormat="false" ht="15" hidden="false" customHeight="false" outlineLevel="0" collapsed="false">
      <c r="A364" s="68" t="s">
        <v>2776</v>
      </c>
      <c r="B364" s="68" t="n">
        <v>33</v>
      </c>
      <c r="C364" s="68" t="s">
        <v>2337</v>
      </c>
      <c r="D364" s="68" t="s">
        <v>2696</v>
      </c>
      <c r="E364" s="68" t="s">
        <v>306</v>
      </c>
      <c r="F364" s="80" t="s">
        <v>2698</v>
      </c>
    </row>
    <row r="365" customFormat="false" ht="15" hidden="false" customHeight="false" outlineLevel="0" collapsed="false">
      <c r="A365" s="68" t="s">
        <v>2776</v>
      </c>
      <c r="B365" s="68" t="n">
        <v>33</v>
      </c>
      <c r="C365" s="68" t="s">
        <v>2342</v>
      </c>
      <c r="D365" s="68" t="s">
        <v>2628</v>
      </c>
      <c r="E365" s="68" t="n">
        <v>2</v>
      </c>
      <c r="F365" s="80" t="s">
        <v>2699</v>
      </c>
    </row>
    <row r="366" customFormat="false" ht="32.8" hidden="false" customHeight="false" outlineLevel="0" collapsed="false">
      <c r="A366" s="68" t="s">
        <v>2776</v>
      </c>
      <c r="B366" s="68" t="n">
        <v>33</v>
      </c>
      <c r="C366" s="68" t="s">
        <v>2351</v>
      </c>
      <c r="D366" s="68" t="s">
        <v>2696</v>
      </c>
      <c r="E366" s="68" t="n">
        <v>1402</v>
      </c>
      <c r="F366" s="80" t="s">
        <v>2700</v>
      </c>
    </row>
    <row r="367" customFormat="false" ht="22.35" hidden="false" customHeight="false" outlineLevel="0" collapsed="false">
      <c r="A367" s="68" t="s">
        <v>2776</v>
      </c>
      <c r="B367" s="68" t="n">
        <v>33</v>
      </c>
      <c r="C367" s="68" t="s">
        <v>2357</v>
      </c>
      <c r="D367" s="68" t="s">
        <v>2632</v>
      </c>
      <c r="E367" s="68" t="s">
        <v>363</v>
      </c>
      <c r="F367" s="80" t="s">
        <v>2778</v>
      </c>
    </row>
    <row r="368" customFormat="false" ht="15" hidden="false" customHeight="false" outlineLevel="0" collapsed="false">
      <c r="A368" s="68" t="s">
        <v>2776</v>
      </c>
      <c r="B368" s="68" t="n">
        <v>33</v>
      </c>
      <c r="C368" s="68" t="s">
        <v>2362</v>
      </c>
      <c r="D368" s="68" t="s">
        <v>2632</v>
      </c>
      <c r="E368" s="68" t="n">
        <v>31000</v>
      </c>
      <c r="F368" s="80" t="s">
        <v>2779</v>
      </c>
    </row>
    <row r="369" customFormat="false" ht="22.35" hidden="false" customHeight="false" outlineLevel="0" collapsed="false">
      <c r="A369" s="68" t="s">
        <v>2776</v>
      </c>
      <c r="B369" s="68" t="n">
        <v>33</v>
      </c>
      <c r="C369" s="68" t="s">
        <v>2375</v>
      </c>
      <c r="D369" s="68" t="s">
        <v>2703</v>
      </c>
      <c r="E369" s="68" t="n">
        <v>16414500000</v>
      </c>
      <c r="F369" s="80" t="s">
        <v>2780</v>
      </c>
    </row>
    <row r="370" customFormat="false" ht="43.25" hidden="false" customHeight="false" outlineLevel="0" collapsed="false">
      <c r="A370" s="68" t="s">
        <v>2776</v>
      </c>
      <c r="B370" s="68" t="n">
        <v>33</v>
      </c>
      <c r="C370" s="68" t="s">
        <v>2383</v>
      </c>
      <c r="D370" s="68" t="s">
        <v>2696</v>
      </c>
      <c r="E370" s="68" t="s">
        <v>201</v>
      </c>
      <c r="F370" s="80" t="s">
        <v>2705</v>
      </c>
    </row>
    <row r="371" customFormat="false" ht="22.35" hidden="false" customHeight="false" outlineLevel="0" collapsed="false">
      <c r="A371" s="68" t="s">
        <v>2776</v>
      </c>
      <c r="B371" s="68" t="n">
        <v>33</v>
      </c>
      <c r="C371" s="68" t="s">
        <v>2420</v>
      </c>
      <c r="D371" s="68" t="s">
        <v>2696</v>
      </c>
      <c r="E371" s="68" t="s">
        <v>312</v>
      </c>
      <c r="F371" s="80" t="s">
        <v>2706</v>
      </c>
    </row>
    <row r="372" customFormat="false" ht="22.35" hidden="false" customHeight="false" outlineLevel="0" collapsed="false">
      <c r="A372" s="68" t="s">
        <v>2776</v>
      </c>
      <c r="B372" s="68" t="n">
        <v>33</v>
      </c>
      <c r="C372" s="68" t="s">
        <v>2423</v>
      </c>
      <c r="D372" s="68" t="s">
        <v>2696</v>
      </c>
      <c r="E372" s="68" t="s">
        <v>312</v>
      </c>
      <c r="F372" s="80" t="s">
        <v>2706</v>
      </c>
    </row>
    <row r="373" customFormat="false" ht="22.35" hidden="false" customHeight="false" outlineLevel="0" collapsed="false">
      <c r="A373" s="68" t="s">
        <v>2776</v>
      </c>
      <c r="B373" s="68" t="n">
        <v>33</v>
      </c>
      <c r="C373" s="68" t="s">
        <v>2426</v>
      </c>
      <c r="D373" s="68" t="s">
        <v>2696</v>
      </c>
      <c r="E373" s="68" t="s">
        <v>312</v>
      </c>
      <c r="F373" s="80" t="s">
        <v>2706</v>
      </c>
    </row>
    <row r="374" customFormat="false" ht="22.35" hidden="false" customHeight="false" outlineLevel="0" collapsed="false">
      <c r="A374" s="68" t="s">
        <v>2781</v>
      </c>
      <c r="B374" s="68" t="n">
        <v>34</v>
      </c>
      <c r="C374" s="68" t="s">
        <v>2253</v>
      </c>
      <c r="D374" s="68" t="s">
        <v>2628</v>
      </c>
      <c r="E374" s="68" t="s">
        <v>51</v>
      </c>
      <c r="F374" s="80" t="s">
        <v>2662</v>
      </c>
    </row>
    <row r="375" customFormat="false" ht="22.35" hidden="false" customHeight="false" outlineLevel="0" collapsed="false">
      <c r="A375" s="68" t="s">
        <v>2781</v>
      </c>
      <c r="B375" s="68" t="n">
        <v>34</v>
      </c>
      <c r="C375" s="68" t="s">
        <v>2260</v>
      </c>
      <c r="D375" s="68" t="s">
        <v>2628</v>
      </c>
      <c r="E375" s="68" t="s">
        <v>123</v>
      </c>
      <c r="F375" s="80" t="s">
        <v>2630</v>
      </c>
    </row>
    <row r="376" customFormat="false" ht="15" hidden="false" customHeight="false" outlineLevel="0" collapsed="false">
      <c r="A376" s="68" t="s">
        <v>2781</v>
      </c>
      <c r="B376" s="68" t="n">
        <v>34</v>
      </c>
      <c r="C376" s="68" t="s">
        <v>2266</v>
      </c>
      <c r="D376" s="68" t="s">
        <v>2628</v>
      </c>
      <c r="E376" s="68" t="s">
        <v>123</v>
      </c>
      <c r="F376" s="80" t="s">
        <v>2631</v>
      </c>
    </row>
    <row r="377" customFormat="false" ht="15" hidden="false" customHeight="false" outlineLevel="0" collapsed="false">
      <c r="A377" s="68" t="s">
        <v>2781</v>
      </c>
      <c r="B377" s="68" t="n">
        <v>34</v>
      </c>
      <c r="C377" s="68" t="s">
        <v>2295</v>
      </c>
      <c r="D377" s="68" t="s">
        <v>2628</v>
      </c>
      <c r="E377" s="68" t="s">
        <v>123</v>
      </c>
      <c r="F377" s="80" t="s">
        <v>2695</v>
      </c>
    </row>
    <row r="378" customFormat="false" ht="15" hidden="false" customHeight="false" outlineLevel="0" collapsed="false">
      <c r="A378" s="68" t="s">
        <v>2781</v>
      </c>
      <c r="B378" s="68" t="n">
        <v>34</v>
      </c>
      <c r="C378" s="68" t="s">
        <v>2324</v>
      </c>
      <c r="D378" s="68" t="s">
        <v>2696</v>
      </c>
      <c r="E378" s="68" t="s">
        <v>304</v>
      </c>
      <c r="F378" s="80" t="s">
        <v>2697</v>
      </c>
    </row>
    <row r="379" customFormat="false" ht="15" hidden="false" customHeight="false" outlineLevel="0" collapsed="false">
      <c r="A379" s="68" t="s">
        <v>2781</v>
      </c>
      <c r="B379" s="68" t="n">
        <v>34</v>
      </c>
      <c r="C379" s="68" t="s">
        <v>2337</v>
      </c>
      <c r="D379" s="68" t="s">
        <v>2696</v>
      </c>
      <c r="E379" s="68" t="s">
        <v>306</v>
      </c>
      <c r="F379" s="80" t="s">
        <v>2698</v>
      </c>
    </row>
    <row r="380" customFormat="false" ht="15" hidden="false" customHeight="false" outlineLevel="0" collapsed="false">
      <c r="A380" s="68" t="s">
        <v>2781</v>
      </c>
      <c r="B380" s="68" t="n">
        <v>34</v>
      </c>
      <c r="C380" s="68" t="s">
        <v>2342</v>
      </c>
      <c r="D380" s="68" t="s">
        <v>2628</v>
      </c>
      <c r="E380" s="68" t="n">
        <v>1.5</v>
      </c>
      <c r="F380" s="80" t="s">
        <v>2699</v>
      </c>
    </row>
    <row r="381" customFormat="false" ht="32.8" hidden="false" customHeight="false" outlineLevel="0" collapsed="false">
      <c r="A381" s="68" t="s">
        <v>2781</v>
      </c>
      <c r="B381" s="68" t="n">
        <v>34</v>
      </c>
      <c r="C381" s="68" t="s">
        <v>2351</v>
      </c>
      <c r="D381" s="68" t="s">
        <v>2696</v>
      </c>
      <c r="E381" s="68" t="n">
        <v>1402</v>
      </c>
      <c r="F381" s="80" t="s">
        <v>2700</v>
      </c>
    </row>
    <row r="382" customFormat="false" ht="22.35" hidden="false" customHeight="false" outlineLevel="0" collapsed="false">
      <c r="A382" s="68" t="s">
        <v>2781</v>
      </c>
      <c r="B382" s="68" t="n">
        <v>34</v>
      </c>
      <c r="C382" s="68" t="s">
        <v>2357</v>
      </c>
      <c r="D382" s="68" t="s">
        <v>2632</v>
      </c>
      <c r="E382" s="68" t="s">
        <v>363</v>
      </c>
      <c r="F382" s="80" t="s">
        <v>2782</v>
      </c>
    </row>
    <row r="383" customFormat="false" ht="15" hidden="false" customHeight="false" outlineLevel="0" collapsed="false">
      <c r="A383" s="68" t="s">
        <v>2781</v>
      </c>
      <c r="B383" s="68" t="n">
        <v>34</v>
      </c>
      <c r="C383" s="68" t="s">
        <v>2362</v>
      </c>
      <c r="D383" s="68" t="s">
        <v>2632</v>
      </c>
      <c r="E383" s="68" t="n">
        <v>28000</v>
      </c>
      <c r="F383" s="80" t="s">
        <v>2783</v>
      </c>
    </row>
    <row r="384" customFormat="false" ht="22.35" hidden="false" customHeight="false" outlineLevel="0" collapsed="false">
      <c r="A384" s="68" t="s">
        <v>2781</v>
      </c>
      <c r="B384" s="68" t="n">
        <v>34</v>
      </c>
      <c r="C384" s="68" t="s">
        <v>2375</v>
      </c>
      <c r="D384" s="68" t="s">
        <v>2703</v>
      </c>
      <c r="E384" s="68" t="n">
        <v>14826000000</v>
      </c>
      <c r="F384" s="80" t="s">
        <v>2784</v>
      </c>
    </row>
    <row r="385" customFormat="false" ht="43.25" hidden="false" customHeight="false" outlineLevel="0" collapsed="false">
      <c r="A385" s="68" t="s">
        <v>2781</v>
      </c>
      <c r="B385" s="68" t="n">
        <v>34</v>
      </c>
      <c r="C385" s="68" t="s">
        <v>2383</v>
      </c>
      <c r="D385" s="68" t="s">
        <v>2696</v>
      </c>
      <c r="E385" s="68" t="s">
        <v>201</v>
      </c>
      <c r="F385" s="80" t="s">
        <v>2705</v>
      </c>
    </row>
    <row r="386" customFormat="false" ht="22.35" hidden="false" customHeight="false" outlineLevel="0" collapsed="false">
      <c r="A386" s="68" t="s">
        <v>2781</v>
      </c>
      <c r="B386" s="68" t="n">
        <v>34</v>
      </c>
      <c r="C386" s="68" t="s">
        <v>2420</v>
      </c>
      <c r="D386" s="68" t="s">
        <v>2696</v>
      </c>
      <c r="E386" s="68" t="s">
        <v>312</v>
      </c>
      <c r="F386" s="80" t="s">
        <v>2706</v>
      </c>
    </row>
    <row r="387" customFormat="false" ht="22.35" hidden="false" customHeight="false" outlineLevel="0" collapsed="false">
      <c r="A387" s="68" t="s">
        <v>2781</v>
      </c>
      <c r="B387" s="68" t="n">
        <v>34</v>
      </c>
      <c r="C387" s="68" t="s">
        <v>2423</v>
      </c>
      <c r="D387" s="68" t="s">
        <v>2696</v>
      </c>
      <c r="E387" s="68" t="s">
        <v>312</v>
      </c>
      <c r="F387" s="80" t="s">
        <v>2706</v>
      </c>
    </row>
    <row r="388" customFormat="false" ht="22.35" hidden="false" customHeight="false" outlineLevel="0" collapsed="false">
      <c r="A388" s="68" t="s">
        <v>2781</v>
      </c>
      <c r="B388" s="68" t="n">
        <v>34</v>
      </c>
      <c r="C388" s="68" t="s">
        <v>2426</v>
      </c>
      <c r="D388" s="68" t="s">
        <v>2696</v>
      </c>
      <c r="E388" s="68" t="s">
        <v>312</v>
      </c>
      <c r="F388" s="80" t="s">
        <v>2706</v>
      </c>
    </row>
    <row r="389" customFormat="false" ht="22.35" hidden="false" customHeight="false" outlineLevel="0" collapsed="false">
      <c r="A389" s="68" t="s">
        <v>2785</v>
      </c>
      <c r="B389" s="68" t="n">
        <v>35</v>
      </c>
      <c r="C389" s="68" t="s">
        <v>2253</v>
      </c>
      <c r="D389" s="68" t="s">
        <v>2628</v>
      </c>
      <c r="E389" s="68" t="s">
        <v>57</v>
      </c>
      <c r="F389" s="80" t="s">
        <v>2677</v>
      </c>
    </row>
    <row r="390" customFormat="false" ht="22.35" hidden="false" customHeight="false" outlineLevel="0" collapsed="false">
      <c r="A390" s="68" t="s">
        <v>2785</v>
      </c>
      <c r="B390" s="68" t="n">
        <v>35</v>
      </c>
      <c r="C390" s="68" t="s">
        <v>2260</v>
      </c>
      <c r="D390" s="68" t="s">
        <v>2628</v>
      </c>
      <c r="E390" s="68" t="s">
        <v>123</v>
      </c>
      <c r="F390" s="80" t="s">
        <v>2630</v>
      </c>
    </row>
    <row r="391" customFormat="false" ht="15" hidden="false" customHeight="false" outlineLevel="0" collapsed="false">
      <c r="A391" s="68" t="s">
        <v>2785</v>
      </c>
      <c r="B391" s="68" t="n">
        <v>35</v>
      </c>
      <c r="C391" s="68" t="s">
        <v>2266</v>
      </c>
      <c r="D391" s="68" t="s">
        <v>2628</v>
      </c>
      <c r="E391" s="68" t="s">
        <v>123</v>
      </c>
      <c r="F391" s="80" t="s">
        <v>2631</v>
      </c>
    </row>
    <row r="392" customFormat="false" ht="15" hidden="false" customHeight="false" outlineLevel="0" collapsed="false">
      <c r="A392" s="68" t="s">
        <v>2785</v>
      </c>
      <c r="B392" s="68" t="n">
        <v>35</v>
      </c>
      <c r="C392" s="68" t="s">
        <v>2295</v>
      </c>
      <c r="D392" s="68" t="s">
        <v>2628</v>
      </c>
      <c r="E392" s="68" t="s">
        <v>123</v>
      </c>
      <c r="F392" s="80" t="s">
        <v>2695</v>
      </c>
    </row>
    <row r="393" customFormat="false" ht="22.35" hidden="false" customHeight="false" outlineLevel="0" collapsed="false">
      <c r="A393" s="68" t="s">
        <v>2785</v>
      </c>
      <c r="B393" s="68" t="n">
        <v>35</v>
      </c>
      <c r="C393" s="68" t="s">
        <v>2324</v>
      </c>
      <c r="D393" s="68" t="s">
        <v>2696</v>
      </c>
      <c r="E393" s="68" t="s">
        <v>304</v>
      </c>
      <c r="F393" s="80" t="s">
        <v>2786</v>
      </c>
    </row>
    <row r="394" customFormat="false" ht="15" hidden="false" customHeight="false" outlineLevel="0" collapsed="false">
      <c r="A394" s="68" t="s">
        <v>2785</v>
      </c>
      <c r="B394" s="68" t="n">
        <v>35</v>
      </c>
      <c r="C394" s="68" t="s">
        <v>2337</v>
      </c>
      <c r="D394" s="68" t="s">
        <v>2696</v>
      </c>
      <c r="E394" s="68" t="s">
        <v>306</v>
      </c>
      <c r="F394" s="80" t="s">
        <v>2698</v>
      </c>
    </row>
    <row r="395" customFormat="false" ht="15" hidden="false" customHeight="false" outlineLevel="0" collapsed="false">
      <c r="A395" s="68" t="s">
        <v>2785</v>
      </c>
      <c r="B395" s="68" t="n">
        <v>35</v>
      </c>
      <c r="C395" s="68" t="s">
        <v>2342</v>
      </c>
      <c r="D395" s="68" t="s">
        <v>2628</v>
      </c>
      <c r="E395" s="68" t="n">
        <v>0.6</v>
      </c>
      <c r="F395" s="80" t="s">
        <v>2699</v>
      </c>
    </row>
    <row r="396" customFormat="false" ht="32.8" hidden="false" customHeight="false" outlineLevel="0" collapsed="false">
      <c r="A396" s="68" t="s">
        <v>2785</v>
      </c>
      <c r="B396" s="68" t="n">
        <v>35</v>
      </c>
      <c r="C396" s="68" t="s">
        <v>2351</v>
      </c>
      <c r="D396" s="68" t="s">
        <v>2696</v>
      </c>
      <c r="E396" s="68" t="n">
        <v>1402</v>
      </c>
      <c r="F396" s="80" t="s">
        <v>2700</v>
      </c>
    </row>
    <row r="397" customFormat="false" ht="22.35" hidden="false" customHeight="false" outlineLevel="0" collapsed="false">
      <c r="A397" s="68" t="s">
        <v>2785</v>
      </c>
      <c r="B397" s="68" t="n">
        <v>35</v>
      </c>
      <c r="C397" s="68" t="s">
        <v>2357</v>
      </c>
      <c r="D397" s="68" t="s">
        <v>2632</v>
      </c>
      <c r="E397" s="68" t="s">
        <v>363</v>
      </c>
      <c r="F397" s="80" t="s">
        <v>2787</v>
      </c>
    </row>
    <row r="398" customFormat="false" ht="15" hidden="false" customHeight="false" outlineLevel="0" collapsed="false">
      <c r="A398" s="68" t="s">
        <v>2785</v>
      </c>
      <c r="B398" s="68" t="n">
        <v>35</v>
      </c>
      <c r="C398" s="68" t="s">
        <v>2362</v>
      </c>
      <c r="D398" s="68" t="s">
        <v>2632</v>
      </c>
      <c r="E398" s="68" t="n">
        <v>13500</v>
      </c>
      <c r="F398" s="80" t="s">
        <v>2788</v>
      </c>
    </row>
    <row r="399" customFormat="false" ht="22.35" hidden="false" customHeight="false" outlineLevel="0" collapsed="false">
      <c r="A399" s="68" t="s">
        <v>2785</v>
      </c>
      <c r="B399" s="68" t="n">
        <v>35</v>
      </c>
      <c r="C399" s="68" t="s">
        <v>2375</v>
      </c>
      <c r="D399" s="68" t="s">
        <v>2703</v>
      </c>
      <c r="E399" s="68" t="n">
        <v>7148250000</v>
      </c>
      <c r="F399" s="80" t="s">
        <v>2789</v>
      </c>
    </row>
    <row r="400" customFormat="false" ht="43.25" hidden="false" customHeight="false" outlineLevel="0" collapsed="false">
      <c r="A400" s="68" t="s">
        <v>2785</v>
      </c>
      <c r="B400" s="68" t="n">
        <v>35</v>
      </c>
      <c r="C400" s="68" t="s">
        <v>2383</v>
      </c>
      <c r="D400" s="68" t="s">
        <v>2696</v>
      </c>
      <c r="E400" s="68" t="s">
        <v>201</v>
      </c>
      <c r="F400" s="80" t="s">
        <v>2705</v>
      </c>
    </row>
    <row r="401" customFormat="false" ht="22.35" hidden="false" customHeight="false" outlineLevel="0" collapsed="false">
      <c r="A401" s="68" t="s">
        <v>2785</v>
      </c>
      <c r="B401" s="68" t="n">
        <v>35</v>
      </c>
      <c r="C401" s="68" t="s">
        <v>2420</v>
      </c>
      <c r="D401" s="68" t="s">
        <v>2696</v>
      </c>
      <c r="E401" s="68" t="s">
        <v>312</v>
      </c>
      <c r="F401" s="80" t="s">
        <v>2706</v>
      </c>
    </row>
    <row r="402" customFormat="false" ht="22.35" hidden="false" customHeight="false" outlineLevel="0" collapsed="false">
      <c r="A402" s="68" t="s">
        <v>2785</v>
      </c>
      <c r="B402" s="68" t="n">
        <v>35</v>
      </c>
      <c r="C402" s="68" t="s">
        <v>2423</v>
      </c>
      <c r="D402" s="68" t="s">
        <v>2696</v>
      </c>
      <c r="E402" s="68" t="s">
        <v>312</v>
      </c>
      <c r="F402" s="80" t="s">
        <v>2706</v>
      </c>
    </row>
    <row r="403" customFormat="false" ht="22.35" hidden="false" customHeight="false" outlineLevel="0" collapsed="false">
      <c r="A403" s="68" t="s">
        <v>2785</v>
      </c>
      <c r="B403" s="68" t="n">
        <v>35</v>
      </c>
      <c r="C403" s="68" t="s">
        <v>2426</v>
      </c>
      <c r="D403" s="68" t="s">
        <v>2696</v>
      </c>
      <c r="E403" s="68" t="s">
        <v>312</v>
      </c>
      <c r="F403" s="80" t="s">
        <v>2706</v>
      </c>
    </row>
    <row r="404" customFormat="false" ht="22.35" hidden="false" customHeight="false" outlineLevel="0" collapsed="false">
      <c r="A404" s="68" t="s">
        <v>2790</v>
      </c>
      <c r="B404" s="68" t="n">
        <v>36</v>
      </c>
      <c r="C404" s="68" t="s">
        <v>2253</v>
      </c>
      <c r="D404" s="68" t="s">
        <v>2628</v>
      </c>
      <c r="E404" s="68" t="s">
        <v>60</v>
      </c>
      <c r="F404" s="80" t="s">
        <v>2791</v>
      </c>
    </row>
    <row r="405" customFormat="false" ht="22.35" hidden="false" customHeight="false" outlineLevel="0" collapsed="false">
      <c r="A405" s="68" t="s">
        <v>2790</v>
      </c>
      <c r="B405" s="68" t="n">
        <v>36</v>
      </c>
      <c r="C405" s="68" t="s">
        <v>2260</v>
      </c>
      <c r="D405" s="68" t="s">
        <v>2628</v>
      </c>
      <c r="E405" s="68" t="s">
        <v>123</v>
      </c>
      <c r="F405" s="80" t="s">
        <v>2630</v>
      </c>
    </row>
    <row r="406" customFormat="false" ht="15" hidden="false" customHeight="false" outlineLevel="0" collapsed="false">
      <c r="A406" s="68" t="s">
        <v>2790</v>
      </c>
      <c r="B406" s="68" t="n">
        <v>36</v>
      </c>
      <c r="C406" s="68" t="s">
        <v>2266</v>
      </c>
      <c r="D406" s="68" t="s">
        <v>2628</v>
      </c>
      <c r="E406" s="68" t="s">
        <v>123</v>
      </c>
      <c r="F406" s="80" t="s">
        <v>2631</v>
      </c>
    </row>
    <row r="407" customFormat="false" ht="15" hidden="false" customHeight="false" outlineLevel="0" collapsed="false">
      <c r="A407" s="68" t="s">
        <v>2790</v>
      </c>
      <c r="B407" s="68" t="n">
        <v>36</v>
      </c>
      <c r="C407" s="68" t="s">
        <v>2295</v>
      </c>
      <c r="D407" s="68" t="s">
        <v>2628</v>
      </c>
      <c r="E407" s="68" t="s">
        <v>123</v>
      </c>
      <c r="F407" s="80" t="s">
        <v>2695</v>
      </c>
    </row>
    <row r="408" customFormat="false" ht="15" hidden="false" customHeight="false" outlineLevel="0" collapsed="false">
      <c r="A408" s="68" t="s">
        <v>2790</v>
      </c>
      <c r="B408" s="68" t="n">
        <v>36</v>
      </c>
      <c r="C408" s="68" t="s">
        <v>2324</v>
      </c>
      <c r="D408" s="68" t="s">
        <v>2632</v>
      </c>
      <c r="E408" s="68" t="s">
        <v>304</v>
      </c>
      <c r="F408" s="80" t="s">
        <v>2792</v>
      </c>
    </row>
    <row r="409" customFormat="false" ht="15" hidden="false" customHeight="false" outlineLevel="0" collapsed="false">
      <c r="A409" s="68" t="s">
        <v>2790</v>
      </c>
      <c r="B409" s="68" t="n">
        <v>36</v>
      </c>
      <c r="C409" s="68" t="s">
        <v>2337</v>
      </c>
      <c r="D409" s="68" t="s">
        <v>2696</v>
      </c>
      <c r="E409" s="68" t="s">
        <v>306</v>
      </c>
      <c r="F409" s="80" t="s">
        <v>2698</v>
      </c>
    </row>
    <row r="410" customFormat="false" ht="15" hidden="false" customHeight="false" outlineLevel="0" collapsed="false">
      <c r="A410" s="68" t="s">
        <v>2790</v>
      </c>
      <c r="B410" s="68" t="n">
        <v>36</v>
      </c>
      <c r="C410" s="68" t="s">
        <v>2342</v>
      </c>
      <c r="D410" s="68" t="s">
        <v>2628</v>
      </c>
      <c r="E410" s="68" t="n">
        <v>10</v>
      </c>
      <c r="F410" s="80" t="s">
        <v>2699</v>
      </c>
    </row>
    <row r="411" customFormat="false" ht="22.35" hidden="false" customHeight="false" outlineLevel="0" collapsed="false">
      <c r="A411" s="68" t="s">
        <v>2790</v>
      </c>
      <c r="B411" s="68" t="n">
        <v>36</v>
      </c>
      <c r="C411" s="68" t="s">
        <v>2351</v>
      </c>
      <c r="D411" s="68" t="s">
        <v>2696</v>
      </c>
      <c r="E411" s="68" t="n">
        <v>1402</v>
      </c>
      <c r="F411" s="80" t="s">
        <v>2793</v>
      </c>
    </row>
    <row r="412" customFormat="false" ht="43.25" hidden="false" customHeight="false" outlineLevel="0" collapsed="false">
      <c r="A412" s="68" t="s">
        <v>2790</v>
      </c>
      <c r="B412" s="68" t="n">
        <v>36</v>
      </c>
      <c r="C412" s="68" t="s">
        <v>2383</v>
      </c>
      <c r="D412" s="68" t="s">
        <v>2696</v>
      </c>
      <c r="E412" s="68" t="s">
        <v>201</v>
      </c>
      <c r="F412" s="80" t="s">
        <v>2705</v>
      </c>
    </row>
    <row r="413" customFormat="false" ht="22.35" hidden="false" customHeight="false" outlineLevel="0" collapsed="false">
      <c r="A413" s="68" t="s">
        <v>2790</v>
      </c>
      <c r="B413" s="68" t="n">
        <v>36</v>
      </c>
      <c r="C413" s="68" t="s">
        <v>2420</v>
      </c>
      <c r="D413" s="68" t="s">
        <v>2696</v>
      </c>
      <c r="E413" s="68" t="s">
        <v>312</v>
      </c>
      <c r="F413" s="80" t="s">
        <v>2706</v>
      </c>
    </row>
    <row r="414" customFormat="false" ht="22.35" hidden="false" customHeight="false" outlineLevel="0" collapsed="false">
      <c r="A414" s="68" t="s">
        <v>2790</v>
      </c>
      <c r="B414" s="68" t="n">
        <v>36</v>
      </c>
      <c r="C414" s="68" t="s">
        <v>2423</v>
      </c>
      <c r="D414" s="68" t="s">
        <v>2696</v>
      </c>
      <c r="E414" s="68" t="s">
        <v>312</v>
      </c>
      <c r="F414" s="80" t="s">
        <v>2706</v>
      </c>
    </row>
    <row r="415" customFormat="false" ht="22.35" hidden="false" customHeight="false" outlineLevel="0" collapsed="false">
      <c r="A415" s="68" t="s">
        <v>2790</v>
      </c>
      <c r="B415" s="68" t="n">
        <v>36</v>
      </c>
      <c r="C415" s="68" t="s">
        <v>2426</v>
      </c>
      <c r="D415" s="68" t="s">
        <v>2696</v>
      </c>
      <c r="E415" s="68" t="s">
        <v>312</v>
      </c>
      <c r="F415" s="80" t="s">
        <v>2706</v>
      </c>
    </row>
    <row r="416" customFormat="false" ht="22.35" hidden="false" customHeight="false" outlineLevel="0" collapsed="false">
      <c r="A416" s="68" t="s">
        <v>2794</v>
      </c>
      <c r="B416" s="68" t="n">
        <v>37</v>
      </c>
      <c r="C416" s="68" t="s">
        <v>2253</v>
      </c>
      <c r="D416" s="68" t="s">
        <v>2628</v>
      </c>
      <c r="E416" s="68" t="s">
        <v>60</v>
      </c>
      <c r="F416" s="80" t="s">
        <v>2791</v>
      </c>
    </row>
    <row r="417" customFormat="false" ht="22.35" hidden="false" customHeight="false" outlineLevel="0" collapsed="false">
      <c r="A417" s="68" t="s">
        <v>2794</v>
      </c>
      <c r="B417" s="68" t="n">
        <v>37</v>
      </c>
      <c r="C417" s="68" t="s">
        <v>2260</v>
      </c>
      <c r="D417" s="68" t="s">
        <v>2628</v>
      </c>
      <c r="E417" s="68" t="s">
        <v>123</v>
      </c>
      <c r="F417" s="80" t="s">
        <v>2630</v>
      </c>
    </row>
    <row r="418" customFormat="false" ht="15" hidden="false" customHeight="false" outlineLevel="0" collapsed="false">
      <c r="A418" s="68" t="s">
        <v>2794</v>
      </c>
      <c r="B418" s="68" t="n">
        <v>37</v>
      </c>
      <c r="C418" s="68" t="s">
        <v>2266</v>
      </c>
      <c r="D418" s="68" t="s">
        <v>2628</v>
      </c>
      <c r="E418" s="68" t="s">
        <v>123</v>
      </c>
      <c r="F418" s="80" t="s">
        <v>2631</v>
      </c>
    </row>
    <row r="419" customFormat="false" ht="15" hidden="false" customHeight="false" outlineLevel="0" collapsed="false">
      <c r="A419" s="68" t="s">
        <v>2794</v>
      </c>
      <c r="B419" s="68" t="n">
        <v>37</v>
      </c>
      <c r="C419" s="68" t="s">
        <v>2295</v>
      </c>
      <c r="D419" s="68" t="s">
        <v>2628</v>
      </c>
      <c r="E419" s="68" t="s">
        <v>123</v>
      </c>
      <c r="F419" s="80" t="s">
        <v>2695</v>
      </c>
    </row>
    <row r="420" customFormat="false" ht="15" hidden="false" customHeight="false" outlineLevel="0" collapsed="false">
      <c r="A420" s="68" t="s">
        <v>2794</v>
      </c>
      <c r="B420" s="68" t="n">
        <v>37</v>
      </c>
      <c r="C420" s="68" t="s">
        <v>2324</v>
      </c>
      <c r="D420" s="68" t="s">
        <v>2632</v>
      </c>
      <c r="E420" s="68" t="s">
        <v>460</v>
      </c>
      <c r="F420" s="80" t="s">
        <v>2795</v>
      </c>
    </row>
    <row r="421" customFormat="false" ht="15" hidden="false" customHeight="false" outlineLevel="0" collapsed="false">
      <c r="A421" s="68" t="s">
        <v>2794</v>
      </c>
      <c r="B421" s="68" t="n">
        <v>37</v>
      </c>
      <c r="C421" s="68" t="s">
        <v>2337</v>
      </c>
      <c r="D421" s="68" t="s">
        <v>2696</v>
      </c>
      <c r="E421" s="68" t="s">
        <v>306</v>
      </c>
      <c r="F421" s="80" t="s">
        <v>2698</v>
      </c>
    </row>
    <row r="422" customFormat="false" ht="15" hidden="false" customHeight="false" outlineLevel="0" collapsed="false">
      <c r="A422" s="68" t="s">
        <v>2794</v>
      </c>
      <c r="B422" s="68" t="n">
        <v>37</v>
      </c>
      <c r="C422" s="68" t="s">
        <v>2342</v>
      </c>
      <c r="D422" s="68" t="s">
        <v>2628</v>
      </c>
      <c r="E422" s="68" t="n">
        <v>10</v>
      </c>
      <c r="F422" s="80" t="s">
        <v>2699</v>
      </c>
    </row>
    <row r="423" customFormat="false" ht="22.35" hidden="false" customHeight="false" outlineLevel="0" collapsed="false">
      <c r="A423" s="68" t="s">
        <v>2794</v>
      </c>
      <c r="B423" s="68" t="n">
        <v>37</v>
      </c>
      <c r="C423" s="68" t="s">
        <v>2351</v>
      </c>
      <c r="D423" s="68" t="s">
        <v>2696</v>
      </c>
      <c r="E423" s="68" t="n">
        <v>1402</v>
      </c>
      <c r="F423" s="80" t="s">
        <v>2796</v>
      </c>
    </row>
    <row r="424" customFormat="false" ht="43.25" hidden="false" customHeight="false" outlineLevel="0" collapsed="false">
      <c r="A424" s="68" t="s">
        <v>2794</v>
      </c>
      <c r="B424" s="68" t="n">
        <v>37</v>
      </c>
      <c r="C424" s="68" t="s">
        <v>2383</v>
      </c>
      <c r="D424" s="68" t="s">
        <v>2696</v>
      </c>
      <c r="E424" s="68" t="s">
        <v>201</v>
      </c>
      <c r="F424" s="80" t="s">
        <v>2705</v>
      </c>
    </row>
    <row r="425" customFormat="false" ht="22.35" hidden="false" customHeight="false" outlineLevel="0" collapsed="false">
      <c r="A425" s="68" t="s">
        <v>2794</v>
      </c>
      <c r="B425" s="68" t="n">
        <v>37</v>
      </c>
      <c r="C425" s="68" t="s">
        <v>2420</v>
      </c>
      <c r="D425" s="68" t="s">
        <v>2696</v>
      </c>
      <c r="E425" s="68" t="s">
        <v>312</v>
      </c>
      <c r="F425" s="80" t="s">
        <v>2706</v>
      </c>
    </row>
    <row r="426" customFormat="false" ht="22.35" hidden="false" customHeight="false" outlineLevel="0" collapsed="false">
      <c r="A426" s="68" t="s">
        <v>2794</v>
      </c>
      <c r="B426" s="68" t="n">
        <v>37</v>
      </c>
      <c r="C426" s="68" t="s">
        <v>2423</v>
      </c>
      <c r="D426" s="68" t="s">
        <v>2696</v>
      </c>
      <c r="E426" s="68" t="s">
        <v>312</v>
      </c>
      <c r="F426" s="80" t="s">
        <v>2706</v>
      </c>
    </row>
    <row r="427" customFormat="false" ht="22.35" hidden="false" customHeight="false" outlineLevel="0" collapsed="false">
      <c r="A427" s="68" t="s">
        <v>2794</v>
      </c>
      <c r="B427" s="68" t="n">
        <v>37</v>
      </c>
      <c r="C427" s="68" t="s">
        <v>2426</v>
      </c>
      <c r="D427" s="68" t="s">
        <v>2696</v>
      </c>
      <c r="E427" s="68" t="s">
        <v>312</v>
      </c>
      <c r="F427" s="80" t="s">
        <v>2706</v>
      </c>
    </row>
    <row r="428" customFormat="false" ht="22.35" hidden="false" customHeight="false" outlineLevel="0" collapsed="false">
      <c r="A428" s="68" t="s">
        <v>2797</v>
      </c>
      <c r="B428" s="68" t="n">
        <v>38</v>
      </c>
      <c r="C428" s="68" t="s">
        <v>2253</v>
      </c>
      <c r="D428" s="68" t="s">
        <v>2628</v>
      </c>
      <c r="E428" s="68" t="s">
        <v>60</v>
      </c>
      <c r="F428" s="80" t="s">
        <v>2791</v>
      </c>
    </row>
    <row r="429" customFormat="false" ht="22.35" hidden="false" customHeight="false" outlineLevel="0" collapsed="false">
      <c r="A429" s="68" t="s">
        <v>2797</v>
      </c>
      <c r="B429" s="68" t="n">
        <v>38</v>
      </c>
      <c r="C429" s="68" t="s">
        <v>2260</v>
      </c>
      <c r="D429" s="68" t="s">
        <v>2628</v>
      </c>
      <c r="E429" s="68" t="s">
        <v>123</v>
      </c>
      <c r="F429" s="80" t="s">
        <v>2630</v>
      </c>
    </row>
    <row r="430" customFormat="false" ht="15" hidden="false" customHeight="false" outlineLevel="0" collapsed="false">
      <c r="A430" s="68" t="s">
        <v>2797</v>
      </c>
      <c r="B430" s="68" t="n">
        <v>38</v>
      </c>
      <c r="C430" s="68" t="s">
        <v>2266</v>
      </c>
      <c r="D430" s="68" t="s">
        <v>2628</v>
      </c>
      <c r="E430" s="68" t="s">
        <v>123</v>
      </c>
      <c r="F430" s="80" t="s">
        <v>2631</v>
      </c>
    </row>
    <row r="431" customFormat="false" ht="15" hidden="false" customHeight="false" outlineLevel="0" collapsed="false">
      <c r="A431" s="68" t="s">
        <v>2797</v>
      </c>
      <c r="B431" s="68" t="n">
        <v>38</v>
      </c>
      <c r="C431" s="68" t="s">
        <v>2295</v>
      </c>
      <c r="D431" s="68" t="s">
        <v>2628</v>
      </c>
      <c r="E431" s="68" t="s">
        <v>123</v>
      </c>
      <c r="F431" s="80" t="s">
        <v>2695</v>
      </c>
    </row>
    <row r="432" customFormat="false" ht="15" hidden="false" customHeight="false" outlineLevel="0" collapsed="false">
      <c r="A432" s="68" t="s">
        <v>2797</v>
      </c>
      <c r="B432" s="68" t="n">
        <v>38</v>
      </c>
      <c r="C432" s="68" t="s">
        <v>2324</v>
      </c>
      <c r="D432" s="68" t="s">
        <v>2696</v>
      </c>
      <c r="E432" s="68" t="s">
        <v>304</v>
      </c>
      <c r="F432" s="80" t="s">
        <v>2697</v>
      </c>
    </row>
    <row r="433" customFormat="false" ht="15" hidden="false" customHeight="false" outlineLevel="0" collapsed="false">
      <c r="A433" s="68" t="s">
        <v>2797</v>
      </c>
      <c r="B433" s="68" t="n">
        <v>38</v>
      </c>
      <c r="C433" s="68" t="s">
        <v>2337</v>
      </c>
      <c r="D433" s="68" t="s">
        <v>2696</v>
      </c>
      <c r="E433" s="68" t="s">
        <v>306</v>
      </c>
      <c r="F433" s="80" t="s">
        <v>2698</v>
      </c>
    </row>
    <row r="434" customFormat="false" ht="15" hidden="false" customHeight="false" outlineLevel="0" collapsed="false">
      <c r="A434" s="68" t="s">
        <v>2797</v>
      </c>
      <c r="B434" s="68" t="n">
        <v>38</v>
      </c>
      <c r="C434" s="68" t="s">
        <v>2342</v>
      </c>
      <c r="D434" s="68" t="s">
        <v>2628</v>
      </c>
      <c r="E434" s="68" t="n">
        <v>6</v>
      </c>
      <c r="F434" s="80" t="s">
        <v>2699</v>
      </c>
    </row>
    <row r="435" customFormat="false" ht="22.35" hidden="false" customHeight="false" outlineLevel="0" collapsed="false">
      <c r="A435" s="68" t="s">
        <v>2797</v>
      </c>
      <c r="B435" s="68" t="n">
        <v>38</v>
      </c>
      <c r="C435" s="68" t="s">
        <v>2351</v>
      </c>
      <c r="D435" s="68" t="s">
        <v>2696</v>
      </c>
      <c r="E435" s="68" t="n">
        <v>1402</v>
      </c>
      <c r="F435" s="80" t="s">
        <v>2798</v>
      </c>
    </row>
    <row r="436" customFormat="false" ht="43.25" hidden="false" customHeight="false" outlineLevel="0" collapsed="false">
      <c r="A436" s="68" t="s">
        <v>2797</v>
      </c>
      <c r="B436" s="68" t="n">
        <v>38</v>
      </c>
      <c r="C436" s="68" t="s">
        <v>2383</v>
      </c>
      <c r="D436" s="68" t="s">
        <v>2696</v>
      </c>
      <c r="E436" s="68" t="s">
        <v>201</v>
      </c>
      <c r="F436" s="80" t="s">
        <v>2705</v>
      </c>
    </row>
    <row r="437" customFormat="false" ht="22.35" hidden="false" customHeight="false" outlineLevel="0" collapsed="false">
      <c r="A437" s="68" t="s">
        <v>2797</v>
      </c>
      <c r="B437" s="68" t="n">
        <v>38</v>
      </c>
      <c r="C437" s="68" t="s">
        <v>2420</v>
      </c>
      <c r="D437" s="68" t="s">
        <v>2696</v>
      </c>
      <c r="E437" s="68" t="s">
        <v>312</v>
      </c>
      <c r="F437" s="80" t="s">
        <v>2706</v>
      </c>
    </row>
    <row r="438" customFormat="false" ht="22.35" hidden="false" customHeight="false" outlineLevel="0" collapsed="false">
      <c r="A438" s="68" t="s">
        <v>2797</v>
      </c>
      <c r="B438" s="68" t="n">
        <v>38</v>
      </c>
      <c r="C438" s="68" t="s">
        <v>2423</v>
      </c>
      <c r="D438" s="68" t="s">
        <v>2696</v>
      </c>
      <c r="E438" s="68" t="s">
        <v>312</v>
      </c>
      <c r="F438" s="80" t="s">
        <v>2706</v>
      </c>
    </row>
    <row r="439" customFormat="false" ht="22.35" hidden="false" customHeight="false" outlineLevel="0" collapsed="false">
      <c r="A439" s="68" t="s">
        <v>2797</v>
      </c>
      <c r="B439" s="68" t="n">
        <v>38</v>
      </c>
      <c r="C439" s="68" t="s">
        <v>2426</v>
      </c>
      <c r="D439" s="68" t="s">
        <v>2696</v>
      </c>
      <c r="E439" s="68" t="s">
        <v>312</v>
      </c>
      <c r="F439" s="80" t="s">
        <v>2706</v>
      </c>
    </row>
    <row r="440" customFormat="false" ht="22.35" hidden="false" customHeight="false" outlineLevel="0" collapsed="false">
      <c r="A440" s="68" t="s">
        <v>2799</v>
      </c>
      <c r="B440" s="68" t="n">
        <v>39</v>
      </c>
      <c r="C440" s="68" t="s">
        <v>2253</v>
      </c>
      <c r="D440" s="68" t="s">
        <v>2628</v>
      </c>
      <c r="E440" s="68" t="s">
        <v>48</v>
      </c>
      <c r="F440" s="80" t="s">
        <v>2653</v>
      </c>
    </row>
    <row r="441" customFormat="false" ht="22.35" hidden="false" customHeight="false" outlineLevel="0" collapsed="false">
      <c r="A441" s="68" t="s">
        <v>2799</v>
      </c>
      <c r="B441" s="68" t="n">
        <v>39</v>
      </c>
      <c r="C441" s="68" t="s">
        <v>2260</v>
      </c>
      <c r="D441" s="68" t="s">
        <v>2628</v>
      </c>
      <c r="E441" s="68" t="s">
        <v>123</v>
      </c>
      <c r="F441" s="80" t="s">
        <v>2630</v>
      </c>
    </row>
    <row r="442" customFormat="false" ht="15" hidden="false" customHeight="false" outlineLevel="0" collapsed="false">
      <c r="A442" s="68" t="s">
        <v>2799</v>
      </c>
      <c r="B442" s="68" t="n">
        <v>39</v>
      </c>
      <c r="C442" s="68" t="s">
        <v>2266</v>
      </c>
      <c r="D442" s="68" t="s">
        <v>2628</v>
      </c>
      <c r="E442" s="68" t="s">
        <v>123</v>
      </c>
      <c r="F442" s="80" t="s">
        <v>2631</v>
      </c>
    </row>
    <row r="443" customFormat="false" ht="15" hidden="false" customHeight="false" outlineLevel="0" collapsed="false">
      <c r="A443" s="68" t="s">
        <v>2799</v>
      </c>
      <c r="B443" s="68" t="n">
        <v>39</v>
      </c>
      <c r="C443" s="68" t="s">
        <v>2295</v>
      </c>
      <c r="D443" s="68" t="s">
        <v>2628</v>
      </c>
      <c r="E443" s="68" t="s">
        <v>123</v>
      </c>
      <c r="F443" s="80" t="s">
        <v>2695</v>
      </c>
    </row>
    <row r="444" customFormat="false" ht="15" hidden="false" customHeight="false" outlineLevel="0" collapsed="false">
      <c r="A444" s="68" t="s">
        <v>2799</v>
      </c>
      <c r="B444" s="68" t="n">
        <v>39</v>
      </c>
      <c r="C444" s="68" t="s">
        <v>2324</v>
      </c>
      <c r="D444" s="68" t="s">
        <v>2696</v>
      </c>
      <c r="E444" s="68" t="s">
        <v>304</v>
      </c>
      <c r="F444" s="80" t="s">
        <v>2697</v>
      </c>
    </row>
    <row r="445" customFormat="false" ht="15" hidden="false" customHeight="false" outlineLevel="0" collapsed="false">
      <c r="A445" s="68" t="s">
        <v>2799</v>
      </c>
      <c r="B445" s="68" t="n">
        <v>39</v>
      </c>
      <c r="C445" s="68" t="s">
        <v>2337</v>
      </c>
      <c r="D445" s="68" t="s">
        <v>2696</v>
      </c>
      <c r="E445" s="68" t="s">
        <v>306</v>
      </c>
      <c r="F445" s="80" t="s">
        <v>2698</v>
      </c>
    </row>
    <row r="446" customFormat="false" ht="15" hidden="false" customHeight="false" outlineLevel="0" collapsed="false">
      <c r="A446" s="68" t="s">
        <v>2799</v>
      </c>
      <c r="B446" s="68" t="n">
        <v>39</v>
      </c>
      <c r="C446" s="68" t="s">
        <v>2342</v>
      </c>
      <c r="D446" s="68" t="s">
        <v>2628</v>
      </c>
      <c r="E446" s="68" t="n">
        <v>6</v>
      </c>
      <c r="F446" s="80" t="s">
        <v>2699</v>
      </c>
    </row>
    <row r="447" customFormat="false" ht="32.8" hidden="false" customHeight="false" outlineLevel="0" collapsed="false">
      <c r="A447" s="68" t="s">
        <v>2799</v>
      </c>
      <c r="B447" s="68" t="n">
        <v>39</v>
      </c>
      <c r="C447" s="68" t="s">
        <v>2351</v>
      </c>
      <c r="D447" s="68" t="s">
        <v>2696</v>
      </c>
      <c r="E447" s="68" t="n">
        <v>1402</v>
      </c>
      <c r="F447" s="80" t="s">
        <v>2700</v>
      </c>
    </row>
    <row r="448" customFormat="false" ht="22.35" hidden="false" customHeight="false" outlineLevel="0" collapsed="false">
      <c r="A448" s="68" t="s">
        <v>2799</v>
      </c>
      <c r="B448" s="68" t="n">
        <v>39</v>
      </c>
      <c r="C448" s="68" t="s">
        <v>2357</v>
      </c>
      <c r="D448" s="68" t="s">
        <v>2632</v>
      </c>
      <c r="E448" s="68" t="s">
        <v>363</v>
      </c>
      <c r="F448" s="80" t="s">
        <v>2800</v>
      </c>
    </row>
    <row r="449" customFormat="false" ht="15" hidden="false" customHeight="false" outlineLevel="0" collapsed="false">
      <c r="A449" s="68" t="s">
        <v>2799</v>
      </c>
      <c r="B449" s="68" t="n">
        <v>39</v>
      </c>
      <c r="C449" s="68" t="s">
        <v>2362</v>
      </c>
      <c r="D449" s="68" t="s">
        <v>2632</v>
      </c>
      <c r="E449" s="68" t="n">
        <v>17500</v>
      </c>
      <c r="F449" s="80" t="s">
        <v>2801</v>
      </c>
    </row>
    <row r="450" customFormat="false" ht="22.35" hidden="false" customHeight="false" outlineLevel="0" collapsed="false">
      <c r="A450" s="68" t="s">
        <v>2799</v>
      </c>
      <c r="B450" s="68" t="n">
        <v>39</v>
      </c>
      <c r="C450" s="68" t="s">
        <v>2375</v>
      </c>
      <c r="D450" s="68" t="s">
        <v>2703</v>
      </c>
      <c r="E450" s="68" t="n">
        <v>9266250000</v>
      </c>
      <c r="F450" s="80" t="s">
        <v>2802</v>
      </c>
    </row>
    <row r="451" customFormat="false" ht="43.25" hidden="false" customHeight="false" outlineLevel="0" collapsed="false">
      <c r="A451" s="68" t="s">
        <v>2799</v>
      </c>
      <c r="B451" s="68" t="n">
        <v>39</v>
      </c>
      <c r="C451" s="68" t="s">
        <v>2383</v>
      </c>
      <c r="D451" s="68" t="s">
        <v>2696</v>
      </c>
      <c r="E451" s="68" t="s">
        <v>201</v>
      </c>
      <c r="F451" s="80" t="s">
        <v>2705</v>
      </c>
    </row>
    <row r="452" customFormat="false" ht="22.35" hidden="false" customHeight="false" outlineLevel="0" collapsed="false">
      <c r="A452" s="68" t="s">
        <v>2799</v>
      </c>
      <c r="B452" s="68" t="n">
        <v>39</v>
      </c>
      <c r="C452" s="68" t="s">
        <v>2420</v>
      </c>
      <c r="D452" s="68" t="s">
        <v>2696</v>
      </c>
      <c r="E452" s="68" t="s">
        <v>312</v>
      </c>
      <c r="F452" s="80" t="s">
        <v>2706</v>
      </c>
    </row>
    <row r="453" customFormat="false" ht="22.35" hidden="false" customHeight="false" outlineLevel="0" collapsed="false">
      <c r="A453" s="68" t="s">
        <v>2799</v>
      </c>
      <c r="B453" s="68" t="n">
        <v>39</v>
      </c>
      <c r="C453" s="68" t="s">
        <v>2423</v>
      </c>
      <c r="D453" s="68" t="s">
        <v>2696</v>
      </c>
      <c r="E453" s="68" t="s">
        <v>312</v>
      </c>
      <c r="F453" s="80" t="s">
        <v>2706</v>
      </c>
    </row>
    <row r="454" customFormat="false" ht="22.35" hidden="false" customHeight="false" outlineLevel="0" collapsed="false">
      <c r="A454" s="68" t="s">
        <v>2799</v>
      </c>
      <c r="B454" s="68" t="n">
        <v>39</v>
      </c>
      <c r="C454" s="68" t="s">
        <v>2426</v>
      </c>
      <c r="D454" s="68" t="s">
        <v>2696</v>
      </c>
      <c r="E454" s="68" t="s">
        <v>312</v>
      </c>
      <c r="F454" s="80" t="s">
        <v>2706</v>
      </c>
    </row>
    <row r="455" customFormat="false" ht="22.35" hidden="false" customHeight="false" outlineLevel="0" collapsed="false">
      <c r="A455" s="68" t="s">
        <v>2803</v>
      </c>
      <c r="B455" s="68" t="n">
        <v>40</v>
      </c>
      <c r="C455" s="68" t="s">
        <v>2253</v>
      </c>
      <c r="D455" s="68" t="s">
        <v>2628</v>
      </c>
      <c r="E455" s="68" t="s">
        <v>60</v>
      </c>
      <c r="F455" s="80" t="s">
        <v>2791</v>
      </c>
    </row>
    <row r="456" customFormat="false" ht="22.35" hidden="false" customHeight="false" outlineLevel="0" collapsed="false">
      <c r="A456" s="68" t="s">
        <v>2803</v>
      </c>
      <c r="B456" s="68" t="n">
        <v>40</v>
      </c>
      <c r="C456" s="68" t="s">
        <v>2260</v>
      </c>
      <c r="D456" s="68" t="s">
        <v>2628</v>
      </c>
      <c r="E456" s="68" t="s">
        <v>123</v>
      </c>
      <c r="F456" s="80" t="s">
        <v>2630</v>
      </c>
    </row>
    <row r="457" customFormat="false" ht="15" hidden="false" customHeight="false" outlineLevel="0" collapsed="false">
      <c r="A457" s="68" t="s">
        <v>2803</v>
      </c>
      <c r="B457" s="68" t="n">
        <v>40</v>
      </c>
      <c r="C457" s="68" t="s">
        <v>2266</v>
      </c>
      <c r="D457" s="68" t="s">
        <v>2628</v>
      </c>
      <c r="E457" s="68" t="s">
        <v>123</v>
      </c>
      <c r="F457" s="80" t="s">
        <v>2631</v>
      </c>
    </row>
    <row r="458" customFormat="false" ht="15" hidden="false" customHeight="false" outlineLevel="0" collapsed="false">
      <c r="A458" s="68" t="s">
        <v>2803</v>
      </c>
      <c r="B458" s="68" t="n">
        <v>40</v>
      </c>
      <c r="C458" s="68" t="s">
        <v>2295</v>
      </c>
      <c r="D458" s="68" t="s">
        <v>2628</v>
      </c>
      <c r="E458" s="68" t="s">
        <v>123</v>
      </c>
      <c r="F458" s="80" t="s">
        <v>2695</v>
      </c>
    </row>
    <row r="459" customFormat="false" ht="15" hidden="false" customHeight="false" outlineLevel="0" collapsed="false">
      <c r="A459" s="68" t="s">
        <v>2803</v>
      </c>
      <c r="B459" s="68" t="n">
        <v>40</v>
      </c>
      <c r="C459" s="68" t="s">
        <v>2324</v>
      </c>
      <c r="D459" s="68" t="s">
        <v>2696</v>
      </c>
      <c r="E459" s="68" t="s">
        <v>304</v>
      </c>
      <c r="F459" s="80" t="s">
        <v>2697</v>
      </c>
    </row>
    <row r="460" customFormat="false" ht="15" hidden="false" customHeight="false" outlineLevel="0" collapsed="false">
      <c r="A460" s="68" t="s">
        <v>2803</v>
      </c>
      <c r="B460" s="68" t="n">
        <v>40</v>
      </c>
      <c r="C460" s="68" t="s">
        <v>2337</v>
      </c>
      <c r="D460" s="68" t="s">
        <v>2696</v>
      </c>
      <c r="E460" s="68" t="s">
        <v>306</v>
      </c>
      <c r="F460" s="80" t="s">
        <v>2698</v>
      </c>
    </row>
    <row r="461" customFormat="false" ht="15" hidden="false" customHeight="false" outlineLevel="0" collapsed="false">
      <c r="A461" s="68" t="s">
        <v>2803</v>
      </c>
      <c r="B461" s="68" t="n">
        <v>40</v>
      </c>
      <c r="C461" s="68" t="s">
        <v>2342</v>
      </c>
      <c r="D461" s="68" t="s">
        <v>2628</v>
      </c>
      <c r="E461" s="68" t="n">
        <v>3</v>
      </c>
      <c r="F461" s="80" t="s">
        <v>2699</v>
      </c>
    </row>
    <row r="462" customFormat="false" ht="32.8" hidden="false" customHeight="false" outlineLevel="0" collapsed="false">
      <c r="A462" s="68" t="s">
        <v>2803</v>
      </c>
      <c r="B462" s="68" t="n">
        <v>40</v>
      </c>
      <c r="C462" s="68" t="s">
        <v>2351</v>
      </c>
      <c r="D462" s="68" t="s">
        <v>2696</v>
      </c>
      <c r="E462" s="68" t="n">
        <v>1402</v>
      </c>
      <c r="F462" s="80" t="s">
        <v>2700</v>
      </c>
    </row>
    <row r="463" customFormat="false" ht="22.35" hidden="false" customHeight="false" outlineLevel="0" collapsed="false">
      <c r="A463" s="68" t="s">
        <v>2803</v>
      </c>
      <c r="B463" s="68" t="n">
        <v>40</v>
      </c>
      <c r="C463" s="68" t="s">
        <v>2357</v>
      </c>
      <c r="D463" s="68" t="s">
        <v>2632</v>
      </c>
      <c r="E463" s="68" t="s">
        <v>363</v>
      </c>
      <c r="F463" s="80" t="s">
        <v>2804</v>
      </c>
    </row>
    <row r="464" customFormat="false" ht="15" hidden="false" customHeight="false" outlineLevel="0" collapsed="false">
      <c r="A464" s="68" t="s">
        <v>2803</v>
      </c>
      <c r="B464" s="68" t="n">
        <v>40</v>
      </c>
      <c r="C464" s="68" t="s">
        <v>2362</v>
      </c>
      <c r="D464" s="68" t="s">
        <v>2632</v>
      </c>
      <c r="E464" s="68" t="n">
        <v>19500</v>
      </c>
      <c r="F464" s="80" t="s">
        <v>2805</v>
      </c>
    </row>
    <row r="465" customFormat="false" ht="22.35" hidden="false" customHeight="false" outlineLevel="0" collapsed="false">
      <c r="A465" s="68" t="s">
        <v>2803</v>
      </c>
      <c r="B465" s="68" t="n">
        <v>40</v>
      </c>
      <c r="C465" s="68" t="s">
        <v>2375</v>
      </c>
      <c r="D465" s="68" t="s">
        <v>2703</v>
      </c>
      <c r="E465" s="68" t="n">
        <v>10325250000</v>
      </c>
      <c r="F465" s="80" t="s">
        <v>2806</v>
      </c>
    </row>
    <row r="466" customFormat="false" ht="43.25" hidden="false" customHeight="false" outlineLevel="0" collapsed="false">
      <c r="A466" s="68" t="s">
        <v>2803</v>
      </c>
      <c r="B466" s="68" t="n">
        <v>40</v>
      </c>
      <c r="C466" s="68" t="s">
        <v>2383</v>
      </c>
      <c r="D466" s="68" t="s">
        <v>2696</v>
      </c>
      <c r="E466" s="68" t="s">
        <v>201</v>
      </c>
      <c r="F466" s="80" t="s">
        <v>2705</v>
      </c>
    </row>
    <row r="467" customFormat="false" ht="22.35" hidden="false" customHeight="false" outlineLevel="0" collapsed="false">
      <c r="A467" s="68" t="s">
        <v>2803</v>
      </c>
      <c r="B467" s="68" t="n">
        <v>40</v>
      </c>
      <c r="C467" s="68" t="s">
        <v>2420</v>
      </c>
      <c r="D467" s="68" t="s">
        <v>2696</v>
      </c>
      <c r="E467" s="68" t="s">
        <v>312</v>
      </c>
      <c r="F467" s="80" t="s">
        <v>2706</v>
      </c>
    </row>
    <row r="468" customFormat="false" ht="22.35" hidden="false" customHeight="false" outlineLevel="0" collapsed="false">
      <c r="A468" s="68" t="s">
        <v>2803</v>
      </c>
      <c r="B468" s="68" t="n">
        <v>40</v>
      </c>
      <c r="C468" s="68" t="s">
        <v>2423</v>
      </c>
      <c r="D468" s="68" t="s">
        <v>2696</v>
      </c>
      <c r="E468" s="68" t="s">
        <v>312</v>
      </c>
      <c r="F468" s="80" t="s">
        <v>2706</v>
      </c>
    </row>
    <row r="469" customFormat="false" ht="22.35" hidden="false" customHeight="false" outlineLevel="0" collapsed="false">
      <c r="A469" s="68" t="s">
        <v>2803</v>
      </c>
      <c r="B469" s="68" t="n">
        <v>40</v>
      </c>
      <c r="C469" s="68" t="s">
        <v>2426</v>
      </c>
      <c r="D469" s="68" t="s">
        <v>2696</v>
      </c>
      <c r="E469" s="68" t="s">
        <v>312</v>
      </c>
      <c r="F469" s="80" t="s">
        <v>2706</v>
      </c>
    </row>
    <row r="470" customFormat="false" ht="22.35" hidden="false" customHeight="false" outlineLevel="0" collapsed="false">
      <c r="A470" s="68" t="s">
        <v>2807</v>
      </c>
      <c r="B470" s="68" t="n">
        <v>41</v>
      </c>
      <c r="C470" s="68" t="s">
        <v>2253</v>
      </c>
      <c r="D470" s="68" t="s">
        <v>2628</v>
      </c>
      <c r="E470" s="68" t="s">
        <v>45</v>
      </c>
      <c r="F470" s="80" t="s">
        <v>2629</v>
      </c>
    </row>
    <row r="471" customFormat="false" ht="22.35" hidden="false" customHeight="false" outlineLevel="0" collapsed="false">
      <c r="A471" s="68" t="s">
        <v>2807</v>
      </c>
      <c r="B471" s="68" t="n">
        <v>41</v>
      </c>
      <c r="C471" s="68" t="s">
        <v>2260</v>
      </c>
      <c r="D471" s="68" t="s">
        <v>2628</v>
      </c>
      <c r="E471" s="68" t="s">
        <v>132</v>
      </c>
      <c r="F471" s="80" t="s">
        <v>2808</v>
      </c>
    </row>
    <row r="472" customFormat="false" ht="32.8" hidden="false" customHeight="false" outlineLevel="0" collapsed="false">
      <c r="A472" s="68" t="s">
        <v>2807</v>
      </c>
      <c r="B472" s="68" t="n">
        <v>41</v>
      </c>
      <c r="C472" s="68" t="s">
        <v>2266</v>
      </c>
      <c r="D472" s="68" t="s">
        <v>2628</v>
      </c>
      <c r="E472" s="68" t="s">
        <v>111</v>
      </c>
      <c r="F472" s="80" t="s">
        <v>2809</v>
      </c>
    </row>
    <row r="473" customFormat="false" ht="15" hidden="false" customHeight="false" outlineLevel="0" collapsed="false">
      <c r="A473" s="68" t="s">
        <v>2807</v>
      </c>
      <c r="B473" s="68" t="n">
        <v>41</v>
      </c>
      <c r="C473" s="68" t="s">
        <v>2300</v>
      </c>
      <c r="D473" s="68" t="s">
        <v>2632</v>
      </c>
      <c r="E473" s="68" t="s">
        <v>479</v>
      </c>
      <c r="F473" s="80" t="s">
        <v>2810</v>
      </c>
    </row>
    <row r="474" customFormat="false" ht="22.35" hidden="false" customHeight="false" outlineLevel="0" collapsed="false">
      <c r="A474" s="68" t="s">
        <v>2807</v>
      </c>
      <c r="B474" s="68" t="n">
        <v>41</v>
      </c>
      <c r="C474" s="68" t="s">
        <v>2304</v>
      </c>
      <c r="D474" s="68" t="s">
        <v>2696</v>
      </c>
      <c r="E474" s="68" t="s">
        <v>312</v>
      </c>
      <c r="F474" s="80" t="s">
        <v>2811</v>
      </c>
    </row>
    <row r="475" customFormat="false" ht="15" hidden="false" customHeight="false" outlineLevel="0" collapsed="false">
      <c r="A475" s="68" t="s">
        <v>2807</v>
      </c>
      <c r="B475" s="68" t="n">
        <v>41</v>
      </c>
      <c r="C475" s="68" t="s">
        <v>2324</v>
      </c>
      <c r="D475" s="68" t="s">
        <v>2696</v>
      </c>
      <c r="E475" s="68" t="s">
        <v>304</v>
      </c>
      <c r="F475" s="80" t="s">
        <v>2812</v>
      </c>
    </row>
    <row r="476" customFormat="false" ht="22.35" hidden="false" customHeight="false" outlineLevel="0" collapsed="false">
      <c r="A476" s="68" t="s">
        <v>2807</v>
      </c>
      <c r="B476" s="68" t="n">
        <v>41</v>
      </c>
      <c r="C476" s="68" t="s">
        <v>2351</v>
      </c>
      <c r="D476" s="68" t="s">
        <v>2696</v>
      </c>
      <c r="E476" s="68" t="n">
        <v>1393</v>
      </c>
      <c r="F476" s="80" t="s">
        <v>2813</v>
      </c>
    </row>
    <row r="477" customFormat="false" ht="43.25" hidden="false" customHeight="false" outlineLevel="0" collapsed="false">
      <c r="A477" s="68" t="s">
        <v>2807</v>
      </c>
      <c r="B477" s="68" t="n">
        <v>41</v>
      </c>
      <c r="C477" s="68" t="s">
        <v>2383</v>
      </c>
      <c r="D477" s="68" t="s">
        <v>2696</v>
      </c>
      <c r="E477" s="68" t="s">
        <v>208</v>
      </c>
      <c r="F477" s="80" t="s">
        <v>2814</v>
      </c>
    </row>
    <row r="478" customFormat="false" ht="15" hidden="false" customHeight="false" outlineLevel="0" collapsed="false">
      <c r="A478" s="68" t="s">
        <v>2807</v>
      </c>
      <c r="B478" s="68" t="n">
        <v>41</v>
      </c>
      <c r="C478" s="68" t="s">
        <v>2426</v>
      </c>
      <c r="D478" s="68" t="s">
        <v>2696</v>
      </c>
      <c r="E478" s="68" t="s">
        <v>312</v>
      </c>
      <c r="F478" s="80" t="s">
        <v>2815</v>
      </c>
    </row>
    <row r="479" customFormat="false" ht="43.25" hidden="false" customHeight="false" outlineLevel="0" collapsed="false">
      <c r="A479" s="68" t="s">
        <v>2816</v>
      </c>
      <c r="B479" s="68" t="n">
        <v>42</v>
      </c>
      <c r="C479" s="68" t="s">
        <v>2253</v>
      </c>
      <c r="D479" s="68" t="s">
        <v>2628</v>
      </c>
      <c r="E479" s="68" t="s">
        <v>45</v>
      </c>
      <c r="F479" s="80" t="s">
        <v>2817</v>
      </c>
    </row>
    <row r="480" customFormat="false" ht="22.35" hidden="false" customHeight="false" outlineLevel="0" collapsed="false">
      <c r="A480" s="68" t="s">
        <v>2816</v>
      </c>
      <c r="B480" s="68" t="n">
        <v>42</v>
      </c>
      <c r="C480" s="68" t="s">
        <v>2260</v>
      </c>
      <c r="D480" s="68" t="s">
        <v>2628</v>
      </c>
      <c r="E480" s="68" t="s">
        <v>132</v>
      </c>
      <c r="F480" s="80" t="s">
        <v>2808</v>
      </c>
    </row>
    <row r="481" customFormat="false" ht="32.8" hidden="false" customHeight="false" outlineLevel="0" collapsed="false">
      <c r="A481" s="68" t="s">
        <v>2816</v>
      </c>
      <c r="B481" s="68" t="n">
        <v>42</v>
      </c>
      <c r="C481" s="68" t="s">
        <v>2266</v>
      </c>
      <c r="D481" s="68" t="s">
        <v>2628</v>
      </c>
      <c r="E481" s="68" t="s">
        <v>111</v>
      </c>
      <c r="F481" s="80" t="s">
        <v>2809</v>
      </c>
    </row>
    <row r="482" customFormat="false" ht="15" hidden="false" customHeight="false" outlineLevel="0" collapsed="false">
      <c r="A482" s="68" t="s">
        <v>2816</v>
      </c>
      <c r="B482" s="68" t="n">
        <v>42</v>
      </c>
      <c r="C482" s="68" t="s">
        <v>2300</v>
      </c>
      <c r="D482" s="68" t="s">
        <v>2632</v>
      </c>
      <c r="E482" s="68" t="s">
        <v>479</v>
      </c>
      <c r="F482" s="80" t="s">
        <v>2810</v>
      </c>
    </row>
    <row r="483" customFormat="false" ht="22.35" hidden="false" customHeight="false" outlineLevel="0" collapsed="false">
      <c r="A483" s="68" t="s">
        <v>2816</v>
      </c>
      <c r="B483" s="68" t="n">
        <v>42</v>
      </c>
      <c r="C483" s="68" t="s">
        <v>2304</v>
      </c>
      <c r="D483" s="68" t="s">
        <v>2696</v>
      </c>
      <c r="E483" s="68" t="s">
        <v>312</v>
      </c>
      <c r="F483" s="80" t="s">
        <v>2818</v>
      </c>
    </row>
    <row r="484" customFormat="false" ht="15" hidden="false" customHeight="false" outlineLevel="0" collapsed="false">
      <c r="A484" s="68" t="s">
        <v>2816</v>
      </c>
      <c r="B484" s="68" t="n">
        <v>42</v>
      </c>
      <c r="C484" s="68" t="s">
        <v>2324</v>
      </c>
      <c r="D484" s="68" t="s">
        <v>2696</v>
      </c>
      <c r="E484" s="68" t="s">
        <v>304</v>
      </c>
      <c r="F484" s="80" t="s">
        <v>2812</v>
      </c>
    </row>
    <row r="485" customFormat="false" ht="22.35" hidden="false" customHeight="false" outlineLevel="0" collapsed="false">
      <c r="A485" s="68" t="s">
        <v>2816</v>
      </c>
      <c r="B485" s="68" t="n">
        <v>42</v>
      </c>
      <c r="C485" s="68" t="s">
        <v>2351</v>
      </c>
      <c r="D485" s="68" t="s">
        <v>2696</v>
      </c>
      <c r="E485" s="68" t="n">
        <v>1393</v>
      </c>
      <c r="F485" s="80" t="s">
        <v>2813</v>
      </c>
    </row>
    <row r="486" customFormat="false" ht="43.25" hidden="false" customHeight="false" outlineLevel="0" collapsed="false">
      <c r="A486" s="68" t="s">
        <v>2816</v>
      </c>
      <c r="B486" s="68" t="n">
        <v>42</v>
      </c>
      <c r="C486" s="68" t="s">
        <v>2383</v>
      </c>
      <c r="D486" s="68" t="s">
        <v>2696</v>
      </c>
      <c r="E486" s="68" t="s">
        <v>208</v>
      </c>
      <c r="F486" s="80" t="s">
        <v>2814</v>
      </c>
    </row>
    <row r="487" customFormat="false" ht="15" hidden="false" customHeight="false" outlineLevel="0" collapsed="false">
      <c r="A487" s="68" t="s">
        <v>2816</v>
      </c>
      <c r="B487" s="68" t="n">
        <v>42</v>
      </c>
      <c r="C487" s="68" t="s">
        <v>2426</v>
      </c>
      <c r="D487" s="68" t="s">
        <v>2696</v>
      </c>
      <c r="E487" s="68" t="s">
        <v>312</v>
      </c>
      <c r="F487" s="80" t="s">
        <v>2815</v>
      </c>
    </row>
    <row r="488" customFormat="false" ht="43.25" hidden="false" customHeight="false" outlineLevel="0" collapsed="false">
      <c r="A488" s="68" t="s">
        <v>2819</v>
      </c>
      <c r="B488" s="68" t="n">
        <v>43</v>
      </c>
      <c r="C488" s="68" t="s">
        <v>2253</v>
      </c>
      <c r="D488" s="68" t="s">
        <v>2628</v>
      </c>
      <c r="E488" s="68" t="s">
        <v>54</v>
      </c>
      <c r="F488" s="80" t="s">
        <v>2777</v>
      </c>
    </row>
    <row r="489" customFormat="false" ht="22.35" hidden="false" customHeight="false" outlineLevel="0" collapsed="false">
      <c r="A489" s="68" t="s">
        <v>2819</v>
      </c>
      <c r="B489" s="68" t="n">
        <v>43</v>
      </c>
      <c r="C489" s="68" t="s">
        <v>2260</v>
      </c>
      <c r="D489" s="68" t="s">
        <v>2628</v>
      </c>
      <c r="E489" s="68" t="s">
        <v>192</v>
      </c>
      <c r="F489" s="80" t="s">
        <v>2678</v>
      </c>
    </row>
    <row r="490" customFormat="false" ht="32.8" hidden="false" customHeight="false" outlineLevel="0" collapsed="false">
      <c r="A490" s="68" t="s">
        <v>2819</v>
      </c>
      <c r="B490" s="68" t="n">
        <v>43</v>
      </c>
      <c r="C490" s="68" t="s">
        <v>2266</v>
      </c>
      <c r="D490" s="68" t="s">
        <v>2628</v>
      </c>
      <c r="E490" s="68" t="s">
        <v>111</v>
      </c>
      <c r="F490" s="80" t="s">
        <v>2809</v>
      </c>
    </row>
    <row r="491" customFormat="false" ht="15" hidden="false" customHeight="false" outlineLevel="0" collapsed="false">
      <c r="A491" s="68" t="s">
        <v>2819</v>
      </c>
      <c r="B491" s="68" t="n">
        <v>43</v>
      </c>
      <c r="C491" s="68" t="s">
        <v>2300</v>
      </c>
      <c r="D491" s="68" t="s">
        <v>2632</v>
      </c>
      <c r="E491" s="68" t="s">
        <v>492</v>
      </c>
      <c r="F491" s="80" t="s">
        <v>2820</v>
      </c>
    </row>
    <row r="492" customFormat="false" ht="22.35" hidden="false" customHeight="false" outlineLevel="0" collapsed="false">
      <c r="A492" s="68" t="s">
        <v>2819</v>
      </c>
      <c r="B492" s="68" t="n">
        <v>43</v>
      </c>
      <c r="C492" s="68" t="s">
        <v>2304</v>
      </c>
      <c r="D492" s="68" t="s">
        <v>2696</v>
      </c>
      <c r="E492" s="68" t="s">
        <v>312</v>
      </c>
      <c r="F492" s="80" t="s">
        <v>2821</v>
      </c>
    </row>
    <row r="493" customFormat="false" ht="15" hidden="false" customHeight="false" outlineLevel="0" collapsed="false">
      <c r="A493" s="68" t="s">
        <v>2819</v>
      </c>
      <c r="B493" s="68" t="n">
        <v>43</v>
      </c>
      <c r="C493" s="68" t="s">
        <v>2324</v>
      </c>
      <c r="D493" s="68" t="s">
        <v>2696</v>
      </c>
      <c r="E493" s="68" t="s">
        <v>304</v>
      </c>
      <c r="F493" s="80" t="s">
        <v>2812</v>
      </c>
    </row>
    <row r="494" customFormat="false" ht="22.35" hidden="false" customHeight="false" outlineLevel="0" collapsed="false">
      <c r="A494" s="68" t="s">
        <v>2819</v>
      </c>
      <c r="B494" s="68" t="n">
        <v>43</v>
      </c>
      <c r="C494" s="68" t="s">
        <v>2351</v>
      </c>
      <c r="D494" s="68" t="s">
        <v>2696</v>
      </c>
      <c r="E494" s="68" t="n">
        <v>1393</v>
      </c>
      <c r="F494" s="80" t="s">
        <v>2813</v>
      </c>
    </row>
    <row r="495" customFormat="false" ht="43.25" hidden="false" customHeight="false" outlineLevel="0" collapsed="false">
      <c r="A495" s="68" t="s">
        <v>2819</v>
      </c>
      <c r="B495" s="68" t="n">
        <v>43</v>
      </c>
      <c r="C495" s="68" t="s">
        <v>2383</v>
      </c>
      <c r="D495" s="68" t="s">
        <v>2696</v>
      </c>
      <c r="E495" s="68" t="s">
        <v>208</v>
      </c>
      <c r="F495" s="80" t="s">
        <v>2814</v>
      </c>
    </row>
    <row r="496" customFormat="false" ht="15" hidden="false" customHeight="false" outlineLevel="0" collapsed="false">
      <c r="A496" s="68" t="s">
        <v>2819</v>
      </c>
      <c r="B496" s="68" t="n">
        <v>43</v>
      </c>
      <c r="C496" s="68" t="s">
        <v>2426</v>
      </c>
      <c r="D496" s="68" t="s">
        <v>2696</v>
      </c>
      <c r="E496" s="68" t="s">
        <v>312</v>
      </c>
      <c r="F496" s="80" t="s">
        <v>2815</v>
      </c>
    </row>
    <row r="497" customFormat="false" ht="22.35" hidden="false" customHeight="false" outlineLevel="0" collapsed="false">
      <c r="A497" s="68" t="s">
        <v>2822</v>
      </c>
      <c r="B497" s="68" t="n">
        <v>44</v>
      </c>
      <c r="C497" s="68" t="s">
        <v>2253</v>
      </c>
      <c r="D497" s="68" t="s">
        <v>2628</v>
      </c>
      <c r="E497" s="68" t="s">
        <v>48</v>
      </c>
      <c r="F497" s="80" t="s">
        <v>2653</v>
      </c>
    </row>
    <row r="498" customFormat="false" ht="22.35" hidden="false" customHeight="false" outlineLevel="0" collapsed="false">
      <c r="A498" s="68" t="s">
        <v>2822</v>
      </c>
      <c r="B498" s="68" t="n">
        <v>44</v>
      </c>
      <c r="C498" s="68" t="s">
        <v>2260</v>
      </c>
      <c r="D498" s="68" t="s">
        <v>2628</v>
      </c>
      <c r="E498" s="68" t="s">
        <v>132</v>
      </c>
      <c r="F498" s="80" t="s">
        <v>2808</v>
      </c>
    </row>
    <row r="499" customFormat="false" ht="32.8" hidden="false" customHeight="false" outlineLevel="0" collapsed="false">
      <c r="A499" s="68" t="s">
        <v>2822</v>
      </c>
      <c r="B499" s="68" t="n">
        <v>44</v>
      </c>
      <c r="C499" s="68" t="s">
        <v>2266</v>
      </c>
      <c r="D499" s="68" t="s">
        <v>2628</v>
      </c>
      <c r="E499" s="68" t="s">
        <v>115</v>
      </c>
      <c r="F499" s="80" t="s">
        <v>2823</v>
      </c>
    </row>
    <row r="500" customFormat="false" ht="15" hidden="false" customHeight="false" outlineLevel="0" collapsed="false">
      <c r="A500" s="68" t="s">
        <v>2822</v>
      </c>
      <c r="B500" s="68" t="n">
        <v>44</v>
      </c>
      <c r="C500" s="68" t="s">
        <v>2300</v>
      </c>
      <c r="D500" s="68" t="s">
        <v>2632</v>
      </c>
      <c r="E500" s="68" t="s">
        <v>479</v>
      </c>
      <c r="F500" s="80" t="s">
        <v>2810</v>
      </c>
    </row>
    <row r="501" customFormat="false" ht="22.35" hidden="false" customHeight="false" outlineLevel="0" collapsed="false">
      <c r="A501" s="68" t="s">
        <v>2822</v>
      </c>
      <c r="B501" s="68" t="n">
        <v>44</v>
      </c>
      <c r="C501" s="68" t="s">
        <v>2304</v>
      </c>
      <c r="D501" s="68" t="s">
        <v>2696</v>
      </c>
      <c r="E501" s="68" t="s">
        <v>312</v>
      </c>
      <c r="F501" s="80" t="s">
        <v>2824</v>
      </c>
    </row>
    <row r="502" customFormat="false" ht="15" hidden="false" customHeight="false" outlineLevel="0" collapsed="false">
      <c r="A502" s="68" t="s">
        <v>2822</v>
      </c>
      <c r="B502" s="68" t="n">
        <v>44</v>
      </c>
      <c r="C502" s="68" t="s">
        <v>2324</v>
      </c>
      <c r="D502" s="68" t="s">
        <v>2696</v>
      </c>
      <c r="E502" s="68" t="s">
        <v>304</v>
      </c>
      <c r="F502" s="80" t="s">
        <v>2812</v>
      </c>
    </row>
    <row r="503" customFormat="false" ht="22.35" hidden="false" customHeight="false" outlineLevel="0" collapsed="false">
      <c r="A503" s="68" t="s">
        <v>2822</v>
      </c>
      <c r="B503" s="68" t="n">
        <v>44</v>
      </c>
      <c r="C503" s="68" t="s">
        <v>2351</v>
      </c>
      <c r="D503" s="68" t="s">
        <v>2696</v>
      </c>
      <c r="E503" s="68" t="n">
        <v>1393</v>
      </c>
      <c r="F503" s="80" t="s">
        <v>2813</v>
      </c>
    </row>
    <row r="504" customFormat="false" ht="43.25" hidden="false" customHeight="false" outlineLevel="0" collapsed="false">
      <c r="A504" s="68" t="s">
        <v>2822</v>
      </c>
      <c r="B504" s="68" t="n">
        <v>44</v>
      </c>
      <c r="C504" s="68" t="s">
        <v>2383</v>
      </c>
      <c r="D504" s="68" t="s">
        <v>2696</v>
      </c>
      <c r="E504" s="68" t="s">
        <v>208</v>
      </c>
      <c r="F504" s="80" t="s">
        <v>2814</v>
      </c>
    </row>
    <row r="505" customFormat="false" ht="15" hidden="false" customHeight="false" outlineLevel="0" collapsed="false">
      <c r="A505" s="68" t="s">
        <v>2822</v>
      </c>
      <c r="B505" s="68" t="n">
        <v>44</v>
      </c>
      <c r="C505" s="68" t="s">
        <v>2426</v>
      </c>
      <c r="D505" s="68" t="s">
        <v>2696</v>
      </c>
      <c r="E505" s="68" t="s">
        <v>312</v>
      </c>
      <c r="F505" s="80" t="s">
        <v>2815</v>
      </c>
    </row>
    <row r="506" customFormat="false" ht="22.35" hidden="false" customHeight="false" outlineLevel="0" collapsed="false">
      <c r="A506" s="68" t="s">
        <v>2825</v>
      </c>
      <c r="B506" s="68" t="n">
        <v>45</v>
      </c>
      <c r="C506" s="68" t="s">
        <v>2253</v>
      </c>
      <c r="D506" s="68" t="s">
        <v>2628</v>
      </c>
      <c r="E506" s="68" t="s">
        <v>51</v>
      </c>
      <c r="F506" s="80" t="s">
        <v>2662</v>
      </c>
    </row>
    <row r="507" customFormat="false" ht="22.35" hidden="false" customHeight="false" outlineLevel="0" collapsed="false">
      <c r="A507" s="68" t="s">
        <v>2825</v>
      </c>
      <c r="B507" s="68" t="n">
        <v>45</v>
      </c>
      <c r="C507" s="68" t="s">
        <v>2260</v>
      </c>
      <c r="D507" s="68" t="s">
        <v>2628</v>
      </c>
      <c r="E507" s="68" t="s">
        <v>153</v>
      </c>
      <c r="F507" s="80" t="s">
        <v>2826</v>
      </c>
    </row>
    <row r="508" customFormat="false" ht="32.8" hidden="false" customHeight="false" outlineLevel="0" collapsed="false">
      <c r="A508" s="68" t="s">
        <v>2825</v>
      </c>
      <c r="B508" s="68" t="n">
        <v>45</v>
      </c>
      <c r="C508" s="68" t="s">
        <v>2266</v>
      </c>
      <c r="D508" s="68" t="s">
        <v>2628</v>
      </c>
      <c r="E508" s="68" t="s">
        <v>115</v>
      </c>
      <c r="F508" s="80" t="s">
        <v>2823</v>
      </c>
    </row>
    <row r="509" customFormat="false" ht="15" hidden="false" customHeight="false" outlineLevel="0" collapsed="false">
      <c r="A509" s="68" t="s">
        <v>2825</v>
      </c>
      <c r="B509" s="68" t="n">
        <v>45</v>
      </c>
      <c r="C509" s="68" t="s">
        <v>2300</v>
      </c>
      <c r="D509" s="68" t="s">
        <v>2632</v>
      </c>
      <c r="E509" s="68" t="s">
        <v>479</v>
      </c>
      <c r="F509" s="80" t="s">
        <v>2810</v>
      </c>
    </row>
    <row r="510" customFormat="false" ht="22.35" hidden="false" customHeight="false" outlineLevel="0" collapsed="false">
      <c r="A510" s="68" t="s">
        <v>2825</v>
      </c>
      <c r="B510" s="68" t="n">
        <v>45</v>
      </c>
      <c r="C510" s="68" t="s">
        <v>2304</v>
      </c>
      <c r="D510" s="68" t="s">
        <v>2696</v>
      </c>
      <c r="E510" s="68" t="s">
        <v>312</v>
      </c>
      <c r="F510" s="80" t="s">
        <v>2827</v>
      </c>
    </row>
    <row r="511" customFormat="false" ht="15" hidden="false" customHeight="false" outlineLevel="0" collapsed="false">
      <c r="A511" s="68" t="s">
        <v>2825</v>
      </c>
      <c r="B511" s="68" t="n">
        <v>45</v>
      </c>
      <c r="C511" s="68" t="s">
        <v>2324</v>
      </c>
      <c r="D511" s="68" t="s">
        <v>2696</v>
      </c>
      <c r="E511" s="68" t="s">
        <v>304</v>
      </c>
      <c r="F511" s="80" t="s">
        <v>2812</v>
      </c>
    </row>
    <row r="512" customFormat="false" ht="22.35" hidden="false" customHeight="false" outlineLevel="0" collapsed="false">
      <c r="A512" s="68" t="s">
        <v>2825</v>
      </c>
      <c r="B512" s="68" t="n">
        <v>45</v>
      </c>
      <c r="C512" s="68" t="s">
        <v>2351</v>
      </c>
      <c r="D512" s="68" t="s">
        <v>2696</v>
      </c>
      <c r="E512" s="68" t="n">
        <v>1393</v>
      </c>
      <c r="F512" s="80" t="s">
        <v>2813</v>
      </c>
    </row>
    <row r="513" customFormat="false" ht="43.25" hidden="false" customHeight="false" outlineLevel="0" collapsed="false">
      <c r="A513" s="68" t="s">
        <v>2825</v>
      </c>
      <c r="B513" s="68" t="n">
        <v>45</v>
      </c>
      <c r="C513" s="68" t="s">
        <v>2383</v>
      </c>
      <c r="D513" s="68" t="s">
        <v>2696</v>
      </c>
      <c r="E513" s="68" t="s">
        <v>208</v>
      </c>
      <c r="F513" s="80" t="s">
        <v>2814</v>
      </c>
    </row>
    <row r="514" customFormat="false" ht="15" hidden="false" customHeight="false" outlineLevel="0" collapsed="false">
      <c r="A514" s="68" t="s">
        <v>2825</v>
      </c>
      <c r="B514" s="68" t="n">
        <v>45</v>
      </c>
      <c r="C514" s="68" t="s">
        <v>2426</v>
      </c>
      <c r="D514" s="68" t="s">
        <v>2696</v>
      </c>
      <c r="E514" s="68" t="s">
        <v>312</v>
      </c>
      <c r="F514" s="80" t="s">
        <v>2815</v>
      </c>
    </row>
    <row r="515" customFormat="false" ht="22.35" hidden="false" customHeight="false" outlineLevel="0" collapsed="false">
      <c r="A515" s="68" t="s">
        <v>2828</v>
      </c>
      <c r="B515" s="68" t="n">
        <v>46</v>
      </c>
      <c r="C515" s="68" t="s">
        <v>2253</v>
      </c>
      <c r="D515" s="68" t="s">
        <v>2628</v>
      </c>
      <c r="E515" s="68" t="s">
        <v>51</v>
      </c>
      <c r="F515" s="80" t="s">
        <v>2662</v>
      </c>
    </row>
    <row r="516" customFormat="false" ht="22.35" hidden="false" customHeight="false" outlineLevel="0" collapsed="false">
      <c r="A516" s="68" t="s">
        <v>2828</v>
      </c>
      <c r="B516" s="68" t="n">
        <v>46</v>
      </c>
      <c r="C516" s="68" t="s">
        <v>2260</v>
      </c>
      <c r="D516" s="68" t="s">
        <v>2628</v>
      </c>
      <c r="E516" s="68" t="s">
        <v>153</v>
      </c>
      <c r="F516" s="80" t="s">
        <v>2826</v>
      </c>
    </row>
    <row r="517" customFormat="false" ht="32.8" hidden="false" customHeight="false" outlineLevel="0" collapsed="false">
      <c r="A517" s="68" t="s">
        <v>2828</v>
      </c>
      <c r="B517" s="68" t="n">
        <v>46</v>
      </c>
      <c r="C517" s="68" t="s">
        <v>2266</v>
      </c>
      <c r="D517" s="68" t="s">
        <v>2628</v>
      </c>
      <c r="E517" s="68" t="s">
        <v>115</v>
      </c>
      <c r="F517" s="80" t="s">
        <v>2823</v>
      </c>
    </row>
    <row r="518" customFormat="false" ht="15" hidden="false" customHeight="false" outlineLevel="0" collapsed="false">
      <c r="A518" s="68" t="s">
        <v>2828</v>
      </c>
      <c r="B518" s="68" t="n">
        <v>46</v>
      </c>
      <c r="C518" s="68" t="s">
        <v>2300</v>
      </c>
      <c r="D518" s="68" t="s">
        <v>2632</v>
      </c>
      <c r="E518" s="68" t="s">
        <v>479</v>
      </c>
      <c r="F518" s="80" t="s">
        <v>2810</v>
      </c>
    </row>
    <row r="519" customFormat="false" ht="22.35" hidden="false" customHeight="false" outlineLevel="0" collapsed="false">
      <c r="A519" s="68" t="s">
        <v>2828</v>
      </c>
      <c r="B519" s="68" t="n">
        <v>46</v>
      </c>
      <c r="C519" s="68" t="s">
        <v>2304</v>
      </c>
      <c r="D519" s="68" t="s">
        <v>2696</v>
      </c>
      <c r="E519" s="68" t="s">
        <v>312</v>
      </c>
      <c r="F519" s="80" t="s">
        <v>2829</v>
      </c>
    </row>
    <row r="520" customFormat="false" ht="15" hidden="false" customHeight="false" outlineLevel="0" collapsed="false">
      <c r="A520" s="68" t="s">
        <v>2828</v>
      </c>
      <c r="B520" s="68" t="n">
        <v>46</v>
      </c>
      <c r="C520" s="68" t="s">
        <v>2324</v>
      </c>
      <c r="D520" s="68" t="s">
        <v>2696</v>
      </c>
      <c r="E520" s="68" t="s">
        <v>304</v>
      </c>
      <c r="F520" s="80" t="s">
        <v>2812</v>
      </c>
    </row>
    <row r="521" customFormat="false" ht="22.35" hidden="false" customHeight="false" outlineLevel="0" collapsed="false">
      <c r="A521" s="68" t="s">
        <v>2828</v>
      </c>
      <c r="B521" s="68" t="n">
        <v>46</v>
      </c>
      <c r="C521" s="68" t="s">
        <v>2351</v>
      </c>
      <c r="D521" s="68" t="s">
        <v>2696</v>
      </c>
      <c r="E521" s="68" t="n">
        <v>1393</v>
      </c>
      <c r="F521" s="80" t="s">
        <v>2813</v>
      </c>
    </row>
    <row r="522" customFormat="false" ht="43.25" hidden="false" customHeight="false" outlineLevel="0" collapsed="false">
      <c r="A522" s="68" t="s">
        <v>2828</v>
      </c>
      <c r="B522" s="68" t="n">
        <v>46</v>
      </c>
      <c r="C522" s="68" t="s">
        <v>2383</v>
      </c>
      <c r="D522" s="68" t="s">
        <v>2696</v>
      </c>
      <c r="E522" s="68" t="s">
        <v>208</v>
      </c>
      <c r="F522" s="80" t="s">
        <v>2814</v>
      </c>
    </row>
    <row r="523" customFormat="false" ht="15" hidden="false" customHeight="false" outlineLevel="0" collapsed="false">
      <c r="A523" s="68" t="s">
        <v>2828</v>
      </c>
      <c r="B523" s="68" t="n">
        <v>46</v>
      </c>
      <c r="C523" s="68" t="s">
        <v>2426</v>
      </c>
      <c r="D523" s="68" t="s">
        <v>2696</v>
      </c>
      <c r="E523" s="68" t="s">
        <v>312</v>
      </c>
      <c r="F523" s="80" t="s">
        <v>2815</v>
      </c>
    </row>
    <row r="524" customFormat="false" ht="22.35" hidden="false" customHeight="false" outlineLevel="0" collapsed="false">
      <c r="A524" s="68" t="s">
        <v>2830</v>
      </c>
      <c r="B524" s="68" t="n">
        <v>47</v>
      </c>
      <c r="C524" s="68" t="s">
        <v>2253</v>
      </c>
      <c r="D524" s="68" t="s">
        <v>2628</v>
      </c>
      <c r="E524" s="68" t="s">
        <v>48</v>
      </c>
      <c r="F524" s="80" t="s">
        <v>2653</v>
      </c>
    </row>
    <row r="525" customFormat="false" ht="22.35" hidden="false" customHeight="false" outlineLevel="0" collapsed="false">
      <c r="A525" s="68" t="s">
        <v>2830</v>
      </c>
      <c r="B525" s="68" t="n">
        <v>47</v>
      </c>
      <c r="C525" s="68" t="s">
        <v>2260</v>
      </c>
      <c r="D525" s="68" t="s">
        <v>2628</v>
      </c>
      <c r="E525" s="68" t="s">
        <v>132</v>
      </c>
      <c r="F525" s="80" t="s">
        <v>2808</v>
      </c>
    </row>
    <row r="526" customFormat="false" ht="32.8" hidden="false" customHeight="false" outlineLevel="0" collapsed="false">
      <c r="A526" s="68" t="s">
        <v>2830</v>
      </c>
      <c r="B526" s="68" t="n">
        <v>47</v>
      </c>
      <c r="C526" s="68" t="s">
        <v>2266</v>
      </c>
      <c r="D526" s="68" t="s">
        <v>2628</v>
      </c>
      <c r="E526" s="68" t="s">
        <v>87</v>
      </c>
      <c r="F526" s="80" t="s">
        <v>2831</v>
      </c>
    </row>
    <row r="527" customFormat="false" ht="15" hidden="false" customHeight="false" outlineLevel="0" collapsed="false">
      <c r="A527" s="68" t="s">
        <v>2830</v>
      </c>
      <c r="B527" s="68" t="n">
        <v>47</v>
      </c>
      <c r="C527" s="68" t="s">
        <v>2300</v>
      </c>
      <c r="D527" s="68" t="s">
        <v>2632</v>
      </c>
      <c r="E527" s="68" t="s">
        <v>479</v>
      </c>
      <c r="F527" s="80" t="s">
        <v>2810</v>
      </c>
    </row>
    <row r="528" customFormat="false" ht="22.35" hidden="false" customHeight="false" outlineLevel="0" collapsed="false">
      <c r="A528" s="68" t="s">
        <v>2830</v>
      </c>
      <c r="B528" s="68" t="n">
        <v>47</v>
      </c>
      <c r="C528" s="68" t="s">
        <v>2304</v>
      </c>
      <c r="D528" s="68" t="s">
        <v>2696</v>
      </c>
      <c r="E528" s="68" t="s">
        <v>312</v>
      </c>
      <c r="F528" s="80" t="s">
        <v>2832</v>
      </c>
    </row>
    <row r="529" customFormat="false" ht="15" hidden="false" customHeight="false" outlineLevel="0" collapsed="false">
      <c r="A529" s="68" t="s">
        <v>2830</v>
      </c>
      <c r="B529" s="68" t="n">
        <v>47</v>
      </c>
      <c r="C529" s="68" t="s">
        <v>2324</v>
      </c>
      <c r="D529" s="68" t="s">
        <v>2696</v>
      </c>
      <c r="E529" s="68" t="s">
        <v>304</v>
      </c>
      <c r="F529" s="80" t="s">
        <v>2812</v>
      </c>
    </row>
    <row r="530" customFormat="false" ht="22.35" hidden="false" customHeight="false" outlineLevel="0" collapsed="false">
      <c r="A530" s="68" t="s">
        <v>2830</v>
      </c>
      <c r="B530" s="68" t="n">
        <v>47</v>
      </c>
      <c r="C530" s="68" t="s">
        <v>2351</v>
      </c>
      <c r="D530" s="68" t="s">
        <v>2696</v>
      </c>
      <c r="E530" s="68" t="n">
        <v>1393</v>
      </c>
      <c r="F530" s="80" t="s">
        <v>2813</v>
      </c>
    </row>
    <row r="531" customFormat="false" ht="43.25" hidden="false" customHeight="false" outlineLevel="0" collapsed="false">
      <c r="A531" s="68" t="s">
        <v>2830</v>
      </c>
      <c r="B531" s="68" t="n">
        <v>47</v>
      </c>
      <c r="C531" s="68" t="s">
        <v>2383</v>
      </c>
      <c r="D531" s="68" t="s">
        <v>2696</v>
      </c>
      <c r="E531" s="68" t="s">
        <v>208</v>
      </c>
      <c r="F531" s="80" t="s">
        <v>2814</v>
      </c>
    </row>
    <row r="532" customFormat="false" ht="15" hidden="false" customHeight="false" outlineLevel="0" collapsed="false">
      <c r="A532" s="68" t="s">
        <v>2830</v>
      </c>
      <c r="B532" s="68" t="n">
        <v>47</v>
      </c>
      <c r="C532" s="68" t="s">
        <v>2426</v>
      </c>
      <c r="D532" s="68" t="s">
        <v>2696</v>
      </c>
      <c r="E532" s="68" t="s">
        <v>312</v>
      </c>
      <c r="F532" s="80" t="s">
        <v>2815</v>
      </c>
    </row>
    <row r="533" customFormat="false" ht="22.35" hidden="false" customHeight="false" outlineLevel="0" collapsed="false">
      <c r="A533" s="68" t="s">
        <v>2833</v>
      </c>
      <c r="B533" s="68" t="n">
        <v>48</v>
      </c>
      <c r="C533" s="68" t="s">
        <v>2253</v>
      </c>
      <c r="D533" s="68" t="s">
        <v>2628</v>
      </c>
      <c r="E533" s="68" t="s">
        <v>48</v>
      </c>
      <c r="F533" s="80" t="s">
        <v>2653</v>
      </c>
    </row>
    <row r="534" customFormat="false" ht="22.35" hidden="false" customHeight="false" outlineLevel="0" collapsed="false">
      <c r="A534" s="68" t="s">
        <v>2833</v>
      </c>
      <c r="B534" s="68" t="n">
        <v>48</v>
      </c>
      <c r="C534" s="68" t="s">
        <v>2260</v>
      </c>
      <c r="D534" s="68" t="s">
        <v>2628</v>
      </c>
      <c r="E534" s="68" t="s">
        <v>132</v>
      </c>
      <c r="F534" s="80" t="s">
        <v>2808</v>
      </c>
    </row>
    <row r="535" customFormat="false" ht="32.8" hidden="false" customHeight="false" outlineLevel="0" collapsed="false">
      <c r="A535" s="68" t="s">
        <v>2833</v>
      </c>
      <c r="B535" s="68" t="n">
        <v>48</v>
      </c>
      <c r="C535" s="68" t="s">
        <v>2266</v>
      </c>
      <c r="D535" s="68" t="s">
        <v>2628</v>
      </c>
      <c r="E535" s="68" t="s">
        <v>87</v>
      </c>
      <c r="F535" s="80" t="s">
        <v>2831</v>
      </c>
    </row>
    <row r="536" customFormat="false" ht="15" hidden="false" customHeight="false" outlineLevel="0" collapsed="false">
      <c r="A536" s="68" t="s">
        <v>2833</v>
      </c>
      <c r="B536" s="68" t="n">
        <v>48</v>
      </c>
      <c r="C536" s="68" t="s">
        <v>2300</v>
      </c>
      <c r="D536" s="68" t="s">
        <v>2632</v>
      </c>
      <c r="E536" s="68" t="s">
        <v>479</v>
      </c>
      <c r="F536" s="80" t="s">
        <v>2810</v>
      </c>
    </row>
    <row r="537" customFormat="false" ht="22.35" hidden="false" customHeight="false" outlineLevel="0" collapsed="false">
      <c r="A537" s="68" t="s">
        <v>2833</v>
      </c>
      <c r="B537" s="68" t="n">
        <v>48</v>
      </c>
      <c r="C537" s="68" t="s">
        <v>2304</v>
      </c>
      <c r="D537" s="68" t="s">
        <v>2696</v>
      </c>
      <c r="E537" s="68" t="s">
        <v>312</v>
      </c>
      <c r="F537" s="80" t="s">
        <v>2834</v>
      </c>
    </row>
    <row r="538" customFormat="false" ht="15" hidden="false" customHeight="false" outlineLevel="0" collapsed="false">
      <c r="A538" s="68" t="s">
        <v>2833</v>
      </c>
      <c r="B538" s="68" t="n">
        <v>48</v>
      </c>
      <c r="C538" s="68" t="s">
        <v>2324</v>
      </c>
      <c r="D538" s="68" t="s">
        <v>2696</v>
      </c>
      <c r="E538" s="68" t="s">
        <v>304</v>
      </c>
      <c r="F538" s="80" t="s">
        <v>2812</v>
      </c>
    </row>
    <row r="539" customFormat="false" ht="22.35" hidden="false" customHeight="false" outlineLevel="0" collapsed="false">
      <c r="A539" s="68" t="s">
        <v>2833</v>
      </c>
      <c r="B539" s="68" t="n">
        <v>48</v>
      </c>
      <c r="C539" s="68" t="s">
        <v>2351</v>
      </c>
      <c r="D539" s="68" t="s">
        <v>2696</v>
      </c>
      <c r="E539" s="68" t="n">
        <v>1393</v>
      </c>
      <c r="F539" s="80" t="s">
        <v>2813</v>
      </c>
    </row>
    <row r="540" customFormat="false" ht="43.25" hidden="false" customHeight="false" outlineLevel="0" collapsed="false">
      <c r="A540" s="68" t="s">
        <v>2833</v>
      </c>
      <c r="B540" s="68" t="n">
        <v>48</v>
      </c>
      <c r="C540" s="68" t="s">
        <v>2383</v>
      </c>
      <c r="D540" s="68" t="s">
        <v>2696</v>
      </c>
      <c r="E540" s="68" t="s">
        <v>208</v>
      </c>
      <c r="F540" s="80" t="s">
        <v>2814</v>
      </c>
    </row>
    <row r="541" customFormat="false" ht="15" hidden="false" customHeight="false" outlineLevel="0" collapsed="false">
      <c r="A541" s="68" t="s">
        <v>2833</v>
      </c>
      <c r="B541" s="68" t="n">
        <v>48</v>
      </c>
      <c r="C541" s="68" t="s">
        <v>2426</v>
      </c>
      <c r="D541" s="68" t="s">
        <v>2696</v>
      </c>
      <c r="E541" s="68" t="s">
        <v>312</v>
      </c>
      <c r="F541" s="80" t="s">
        <v>2815</v>
      </c>
    </row>
    <row r="542" customFormat="false" ht="22.35" hidden="false" customHeight="false" outlineLevel="0" collapsed="false">
      <c r="A542" s="68" t="s">
        <v>2835</v>
      </c>
      <c r="B542" s="68" t="n">
        <v>49</v>
      </c>
      <c r="C542" s="68" t="s">
        <v>2253</v>
      </c>
      <c r="D542" s="68" t="s">
        <v>2628</v>
      </c>
      <c r="E542" s="68" t="s">
        <v>54</v>
      </c>
      <c r="F542" s="80" t="s">
        <v>2672</v>
      </c>
    </row>
    <row r="543" customFormat="false" ht="22.35" hidden="false" customHeight="false" outlineLevel="0" collapsed="false">
      <c r="A543" s="68" t="s">
        <v>2835</v>
      </c>
      <c r="B543" s="68" t="n">
        <v>49</v>
      </c>
      <c r="C543" s="68" t="s">
        <v>2260</v>
      </c>
      <c r="D543" s="68" t="s">
        <v>2628</v>
      </c>
      <c r="E543" s="68" t="s">
        <v>132</v>
      </c>
      <c r="F543" s="80" t="s">
        <v>2808</v>
      </c>
    </row>
    <row r="544" customFormat="false" ht="32.8" hidden="false" customHeight="false" outlineLevel="0" collapsed="false">
      <c r="A544" s="68" t="s">
        <v>2835</v>
      </c>
      <c r="B544" s="68" t="n">
        <v>49</v>
      </c>
      <c r="C544" s="68" t="s">
        <v>2266</v>
      </c>
      <c r="D544" s="68" t="s">
        <v>2628</v>
      </c>
      <c r="E544" s="68" t="s">
        <v>90</v>
      </c>
      <c r="F544" s="80" t="s">
        <v>2836</v>
      </c>
    </row>
    <row r="545" customFormat="false" ht="15" hidden="false" customHeight="false" outlineLevel="0" collapsed="false">
      <c r="A545" s="68" t="s">
        <v>2835</v>
      </c>
      <c r="B545" s="68" t="n">
        <v>49</v>
      </c>
      <c r="C545" s="68" t="s">
        <v>2300</v>
      </c>
      <c r="D545" s="68" t="s">
        <v>2632</v>
      </c>
      <c r="E545" s="68" t="s">
        <v>479</v>
      </c>
      <c r="F545" s="80" t="s">
        <v>2810</v>
      </c>
    </row>
    <row r="546" customFormat="false" ht="22.35" hidden="false" customHeight="false" outlineLevel="0" collapsed="false">
      <c r="A546" s="68" t="s">
        <v>2835</v>
      </c>
      <c r="B546" s="68" t="n">
        <v>49</v>
      </c>
      <c r="C546" s="68" t="s">
        <v>2304</v>
      </c>
      <c r="D546" s="68" t="s">
        <v>2696</v>
      </c>
      <c r="E546" s="68" t="s">
        <v>312</v>
      </c>
      <c r="F546" s="80" t="s">
        <v>2837</v>
      </c>
    </row>
    <row r="547" customFormat="false" ht="15" hidden="false" customHeight="false" outlineLevel="0" collapsed="false">
      <c r="A547" s="68" t="s">
        <v>2835</v>
      </c>
      <c r="B547" s="68" t="n">
        <v>49</v>
      </c>
      <c r="C547" s="68" t="s">
        <v>2324</v>
      </c>
      <c r="D547" s="68" t="s">
        <v>2696</v>
      </c>
      <c r="E547" s="68" t="s">
        <v>304</v>
      </c>
      <c r="F547" s="80" t="s">
        <v>2812</v>
      </c>
    </row>
    <row r="548" customFormat="false" ht="22.35" hidden="false" customHeight="false" outlineLevel="0" collapsed="false">
      <c r="A548" s="68" t="s">
        <v>2835</v>
      </c>
      <c r="B548" s="68" t="n">
        <v>49</v>
      </c>
      <c r="C548" s="68" t="s">
        <v>2351</v>
      </c>
      <c r="D548" s="68" t="s">
        <v>2696</v>
      </c>
      <c r="E548" s="68" t="n">
        <v>1393</v>
      </c>
      <c r="F548" s="80" t="s">
        <v>2813</v>
      </c>
    </row>
    <row r="549" customFormat="false" ht="43.25" hidden="false" customHeight="false" outlineLevel="0" collapsed="false">
      <c r="A549" s="68" t="s">
        <v>2835</v>
      </c>
      <c r="B549" s="68" t="n">
        <v>49</v>
      </c>
      <c r="C549" s="68" t="s">
        <v>2383</v>
      </c>
      <c r="D549" s="68" t="s">
        <v>2696</v>
      </c>
      <c r="E549" s="68" t="s">
        <v>208</v>
      </c>
      <c r="F549" s="80" t="s">
        <v>2814</v>
      </c>
    </row>
    <row r="550" customFormat="false" ht="15" hidden="false" customHeight="false" outlineLevel="0" collapsed="false">
      <c r="A550" s="68" t="s">
        <v>2835</v>
      </c>
      <c r="B550" s="68" t="n">
        <v>49</v>
      </c>
      <c r="C550" s="68" t="s">
        <v>2426</v>
      </c>
      <c r="D550" s="68" t="s">
        <v>2696</v>
      </c>
      <c r="E550" s="68" t="s">
        <v>312</v>
      </c>
      <c r="F550" s="80" t="s">
        <v>2815</v>
      </c>
    </row>
    <row r="551" customFormat="false" ht="43.25" hidden="false" customHeight="false" outlineLevel="0" collapsed="false">
      <c r="A551" s="68" t="s">
        <v>2838</v>
      </c>
      <c r="B551" s="68" t="n">
        <v>50</v>
      </c>
      <c r="C551" s="68" t="s">
        <v>2253</v>
      </c>
      <c r="D551" s="68" t="s">
        <v>2628</v>
      </c>
      <c r="E551" s="68" t="s">
        <v>54</v>
      </c>
      <c r="F551" s="80" t="s">
        <v>2777</v>
      </c>
    </row>
    <row r="552" customFormat="false" ht="22.35" hidden="false" customHeight="false" outlineLevel="0" collapsed="false">
      <c r="A552" s="68" t="s">
        <v>2838</v>
      </c>
      <c r="B552" s="68" t="n">
        <v>50</v>
      </c>
      <c r="C552" s="68" t="s">
        <v>2260</v>
      </c>
      <c r="D552" s="68" t="s">
        <v>2628</v>
      </c>
      <c r="E552" s="68" t="s">
        <v>192</v>
      </c>
      <c r="F552" s="80" t="s">
        <v>2678</v>
      </c>
    </row>
    <row r="553" customFormat="false" ht="32.8" hidden="false" customHeight="false" outlineLevel="0" collapsed="false">
      <c r="A553" s="68" t="s">
        <v>2838</v>
      </c>
      <c r="B553" s="68" t="n">
        <v>50</v>
      </c>
      <c r="C553" s="68" t="s">
        <v>2266</v>
      </c>
      <c r="D553" s="68" t="s">
        <v>2628</v>
      </c>
      <c r="E553" s="68" t="s">
        <v>111</v>
      </c>
      <c r="F553" s="80" t="s">
        <v>2809</v>
      </c>
    </row>
    <row r="554" customFormat="false" ht="15" hidden="false" customHeight="false" outlineLevel="0" collapsed="false">
      <c r="A554" s="68" t="s">
        <v>2838</v>
      </c>
      <c r="B554" s="68" t="n">
        <v>50</v>
      </c>
      <c r="C554" s="68" t="s">
        <v>2300</v>
      </c>
      <c r="D554" s="68" t="s">
        <v>2632</v>
      </c>
      <c r="E554" s="68" t="s">
        <v>492</v>
      </c>
      <c r="F554" s="80" t="s">
        <v>2820</v>
      </c>
    </row>
    <row r="555" customFormat="false" ht="22.35" hidden="false" customHeight="false" outlineLevel="0" collapsed="false">
      <c r="A555" s="68" t="s">
        <v>2838</v>
      </c>
      <c r="B555" s="68" t="n">
        <v>50</v>
      </c>
      <c r="C555" s="68" t="s">
        <v>2304</v>
      </c>
      <c r="D555" s="68" t="s">
        <v>2696</v>
      </c>
      <c r="E555" s="68" t="s">
        <v>312</v>
      </c>
      <c r="F555" s="80" t="s">
        <v>2839</v>
      </c>
    </row>
    <row r="556" customFormat="false" ht="15" hidden="false" customHeight="false" outlineLevel="0" collapsed="false">
      <c r="A556" s="68" t="s">
        <v>2838</v>
      </c>
      <c r="B556" s="68" t="n">
        <v>50</v>
      </c>
      <c r="C556" s="68" t="s">
        <v>2324</v>
      </c>
      <c r="D556" s="68" t="s">
        <v>2696</v>
      </c>
      <c r="E556" s="68" t="s">
        <v>304</v>
      </c>
      <c r="F556" s="80" t="s">
        <v>2812</v>
      </c>
    </row>
    <row r="557" customFormat="false" ht="22.35" hidden="false" customHeight="false" outlineLevel="0" collapsed="false">
      <c r="A557" s="68" t="s">
        <v>2838</v>
      </c>
      <c r="B557" s="68" t="n">
        <v>50</v>
      </c>
      <c r="C557" s="68" t="s">
        <v>2351</v>
      </c>
      <c r="D557" s="68" t="s">
        <v>2696</v>
      </c>
      <c r="E557" s="68" t="n">
        <v>1393</v>
      </c>
      <c r="F557" s="80" t="s">
        <v>2813</v>
      </c>
    </row>
    <row r="558" customFormat="false" ht="43.25" hidden="false" customHeight="false" outlineLevel="0" collapsed="false">
      <c r="A558" s="68" t="s">
        <v>2838</v>
      </c>
      <c r="B558" s="68" t="n">
        <v>50</v>
      </c>
      <c r="C558" s="68" t="s">
        <v>2383</v>
      </c>
      <c r="D558" s="68" t="s">
        <v>2696</v>
      </c>
      <c r="E558" s="68" t="s">
        <v>208</v>
      </c>
      <c r="F558" s="80" t="s">
        <v>2814</v>
      </c>
    </row>
    <row r="559" customFormat="false" ht="15" hidden="false" customHeight="false" outlineLevel="0" collapsed="false">
      <c r="A559" s="68" t="s">
        <v>2838</v>
      </c>
      <c r="B559" s="68" t="n">
        <v>50</v>
      </c>
      <c r="C559" s="68" t="s">
        <v>2426</v>
      </c>
      <c r="D559" s="68" t="s">
        <v>2696</v>
      </c>
      <c r="E559" s="68" t="s">
        <v>312</v>
      </c>
      <c r="F559" s="80" t="s">
        <v>2815</v>
      </c>
    </row>
    <row r="560" customFormat="false" ht="22.35" hidden="false" customHeight="false" outlineLevel="0" collapsed="false">
      <c r="A560" s="68" t="s">
        <v>2840</v>
      </c>
      <c r="B560" s="68" t="n">
        <v>51</v>
      </c>
      <c r="C560" s="68" t="s">
        <v>2253</v>
      </c>
      <c r="D560" s="68" t="s">
        <v>2628</v>
      </c>
      <c r="E560" s="68" t="s">
        <v>48</v>
      </c>
      <c r="F560" s="80" t="s">
        <v>2653</v>
      </c>
    </row>
    <row r="561" customFormat="false" ht="22.35" hidden="false" customHeight="false" outlineLevel="0" collapsed="false">
      <c r="A561" s="68" t="s">
        <v>2840</v>
      </c>
      <c r="B561" s="68" t="n">
        <v>51</v>
      </c>
      <c r="C561" s="68" t="s">
        <v>2260</v>
      </c>
      <c r="D561" s="68" t="s">
        <v>2628</v>
      </c>
      <c r="E561" s="68" t="s">
        <v>132</v>
      </c>
      <c r="F561" s="80" t="s">
        <v>2808</v>
      </c>
    </row>
    <row r="562" customFormat="false" ht="32.8" hidden="false" customHeight="false" outlineLevel="0" collapsed="false">
      <c r="A562" s="68" t="s">
        <v>2840</v>
      </c>
      <c r="B562" s="68" t="n">
        <v>51</v>
      </c>
      <c r="C562" s="68" t="s">
        <v>2266</v>
      </c>
      <c r="D562" s="68" t="s">
        <v>2628</v>
      </c>
      <c r="E562" s="68" t="s">
        <v>115</v>
      </c>
      <c r="F562" s="80" t="s">
        <v>2823</v>
      </c>
    </row>
    <row r="563" customFormat="false" ht="15" hidden="false" customHeight="false" outlineLevel="0" collapsed="false">
      <c r="A563" s="68" t="s">
        <v>2840</v>
      </c>
      <c r="B563" s="68" t="n">
        <v>51</v>
      </c>
      <c r="C563" s="68" t="s">
        <v>2300</v>
      </c>
      <c r="D563" s="68" t="s">
        <v>2632</v>
      </c>
      <c r="E563" s="68" t="s">
        <v>479</v>
      </c>
      <c r="F563" s="80" t="s">
        <v>2810</v>
      </c>
    </row>
    <row r="564" customFormat="false" ht="22.35" hidden="false" customHeight="false" outlineLevel="0" collapsed="false">
      <c r="A564" s="68" t="s">
        <v>2840</v>
      </c>
      <c r="B564" s="68" t="n">
        <v>51</v>
      </c>
      <c r="C564" s="68" t="s">
        <v>2304</v>
      </c>
      <c r="D564" s="68" t="s">
        <v>2696</v>
      </c>
      <c r="E564" s="68" t="s">
        <v>312</v>
      </c>
      <c r="F564" s="80" t="s">
        <v>2841</v>
      </c>
    </row>
    <row r="565" customFormat="false" ht="15" hidden="false" customHeight="false" outlineLevel="0" collapsed="false">
      <c r="A565" s="68" t="s">
        <v>2840</v>
      </c>
      <c r="B565" s="68" t="n">
        <v>51</v>
      </c>
      <c r="C565" s="68" t="s">
        <v>2324</v>
      </c>
      <c r="D565" s="68" t="s">
        <v>2696</v>
      </c>
      <c r="E565" s="68" t="s">
        <v>304</v>
      </c>
      <c r="F565" s="80" t="s">
        <v>2812</v>
      </c>
    </row>
    <row r="566" customFormat="false" ht="22.35" hidden="false" customHeight="false" outlineLevel="0" collapsed="false">
      <c r="A566" s="68" t="s">
        <v>2840</v>
      </c>
      <c r="B566" s="68" t="n">
        <v>51</v>
      </c>
      <c r="C566" s="68" t="s">
        <v>2351</v>
      </c>
      <c r="D566" s="68" t="s">
        <v>2696</v>
      </c>
      <c r="E566" s="68" t="n">
        <v>1393</v>
      </c>
      <c r="F566" s="80" t="s">
        <v>2813</v>
      </c>
    </row>
    <row r="567" customFormat="false" ht="43.25" hidden="false" customHeight="false" outlineLevel="0" collapsed="false">
      <c r="A567" s="68" t="s">
        <v>2840</v>
      </c>
      <c r="B567" s="68" t="n">
        <v>51</v>
      </c>
      <c r="C567" s="68" t="s">
        <v>2383</v>
      </c>
      <c r="D567" s="68" t="s">
        <v>2696</v>
      </c>
      <c r="E567" s="68" t="s">
        <v>208</v>
      </c>
      <c r="F567" s="80" t="s">
        <v>2814</v>
      </c>
    </row>
    <row r="568" customFormat="false" ht="15" hidden="false" customHeight="false" outlineLevel="0" collapsed="false">
      <c r="A568" s="68" t="s">
        <v>2840</v>
      </c>
      <c r="B568" s="68" t="n">
        <v>51</v>
      </c>
      <c r="C568" s="68" t="s">
        <v>2426</v>
      </c>
      <c r="D568" s="68" t="s">
        <v>2696</v>
      </c>
      <c r="E568" s="68" t="s">
        <v>312</v>
      </c>
      <c r="F568" s="80" t="s">
        <v>2815</v>
      </c>
    </row>
    <row r="569" customFormat="false" ht="22.35" hidden="false" customHeight="false" outlineLevel="0" collapsed="false">
      <c r="A569" s="68" t="s">
        <v>2842</v>
      </c>
      <c r="B569" s="68" t="n">
        <v>52</v>
      </c>
      <c r="C569" s="68" t="s">
        <v>2253</v>
      </c>
      <c r="D569" s="68" t="s">
        <v>2628</v>
      </c>
      <c r="E569" s="68" t="s">
        <v>54</v>
      </c>
      <c r="F569" s="80" t="s">
        <v>2672</v>
      </c>
    </row>
    <row r="570" customFormat="false" ht="22.35" hidden="false" customHeight="false" outlineLevel="0" collapsed="false">
      <c r="A570" s="68" t="s">
        <v>2842</v>
      </c>
      <c r="B570" s="68" t="n">
        <v>52</v>
      </c>
      <c r="C570" s="68" t="s">
        <v>2260</v>
      </c>
      <c r="D570" s="68" t="s">
        <v>2628</v>
      </c>
      <c r="E570" s="68" t="s">
        <v>132</v>
      </c>
      <c r="F570" s="80" t="s">
        <v>2808</v>
      </c>
    </row>
    <row r="571" customFormat="false" ht="32.8" hidden="false" customHeight="false" outlineLevel="0" collapsed="false">
      <c r="A571" s="68" t="s">
        <v>2842</v>
      </c>
      <c r="B571" s="68" t="n">
        <v>52</v>
      </c>
      <c r="C571" s="68" t="s">
        <v>2266</v>
      </c>
      <c r="D571" s="68" t="s">
        <v>2628</v>
      </c>
      <c r="E571" s="68" t="s">
        <v>115</v>
      </c>
      <c r="F571" s="80" t="s">
        <v>2823</v>
      </c>
    </row>
    <row r="572" customFormat="false" ht="15" hidden="false" customHeight="false" outlineLevel="0" collapsed="false">
      <c r="A572" s="68" t="s">
        <v>2842</v>
      </c>
      <c r="B572" s="68" t="n">
        <v>52</v>
      </c>
      <c r="C572" s="68" t="s">
        <v>2300</v>
      </c>
      <c r="D572" s="68" t="s">
        <v>2632</v>
      </c>
      <c r="E572" s="68" t="s">
        <v>479</v>
      </c>
      <c r="F572" s="80" t="s">
        <v>2810</v>
      </c>
    </row>
    <row r="573" customFormat="false" ht="22.35" hidden="false" customHeight="false" outlineLevel="0" collapsed="false">
      <c r="A573" s="68" t="s">
        <v>2842</v>
      </c>
      <c r="B573" s="68" t="n">
        <v>52</v>
      </c>
      <c r="C573" s="68" t="s">
        <v>2304</v>
      </c>
      <c r="D573" s="68" t="s">
        <v>2696</v>
      </c>
      <c r="E573" s="68" t="s">
        <v>312</v>
      </c>
      <c r="F573" s="80" t="s">
        <v>2843</v>
      </c>
    </row>
    <row r="574" customFormat="false" ht="15" hidden="false" customHeight="false" outlineLevel="0" collapsed="false">
      <c r="A574" s="68" t="s">
        <v>2842</v>
      </c>
      <c r="B574" s="68" t="n">
        <v>52</v>
      </c>
      <c r="C574" s="68" t="s">
        <v>2324</v>
      </c>
      <c r="D574" s="68" t="s">
        <v>2696</v>
      </c>
      <c r="E574" s="68" t="s">
        <v>304</v>
      </c>
      <c r="F574" s="80" t="s">
        <v>2812</v>
      </c>
    </row>
    <row r="575" customFormat="false" ht="22.35" hidden="false" customHeight="false" outlineLevel="0" collapsed="false">
      <c r="A575" s="68" t="s">
        <v>2842</v>
      </c>
      <c r="B575" s="68" t="n">
        <v>52</v>
      </c>
      <c r="C575" s="68" t="s">
        <v>2351</v>
      </c>
      <c r="D575" s="68" t="s">
        <v>2696</v>
      </c>
      <c r="E575" s="68" t="n">
        <v>1393</v>
      </c>
      <c r="F575" s="80" t="s">
        <v>2813</v>
      </c>
    </row>
    <row r="576" customFormat="false" ht="43.25" hidden="false" customHeight="false" outlineLevel="0" collapsed="false">
      <c r="A576" s="68" t="s">
        <v>2842</v>
      </c>
      <c r="B576" s="68" t="n">
        <v>52</v>
      </c>
      <c r="C576" s="68" t="s">
        <v>2383</v>
      </c>
      <c r="D576" s="68" t="s">
        <v>2696</v>
      </c>
      <c r="E576" s="68" t="s">
        <v>208</v>
      </c>
      <c r="F576" s="80" t="s">
        <v>2814</v>
      </c>
    </row>
    <row r="577" customFormat="false" ht="15" hidden="false" customHeight="false" outlineLevel="0" collapsed="false">
      <c r="A577" s="68" t="s">
        <v>2842</v>
      </c>
      <c r="B577" s="68" t="n">
        <v>52</v>
      </c>
      <c r="C577" s="68" t="s">
        <v>2426</v>
      </c>
      <c r="D577" s="68" t="s">
        <v>2696</v>
      </c>
      <c r="E577" s="68" t="s">
        <v>312</v>
      </c>
      <c r="F577" s="80" t="s">
        <v>2815</v>
      </c>
    </row>
    <row r="578" customFormat="false" ht="22.35" hidden="false" customHeight="false" outlineLevel="0" collapsed="false">
      <c r="A578" s="68" t="s">
        <v>2844</v>
      </c>
      <c r="B578" s="68" t="n">
        <v>53</v>
      </c>
      <c r="C578" s="68" t="s">
        <v>2253</v>
      </c>
      <c r="D578" s="68" t="s">
        <v>2628</v>
      </c>
      <c r="E578" s="68" t="s">
        <v>48</v>
      </c>
      <c r="F578" s="80" t="s">
        <v>2653</v>
      </c>
    </row>
    <row r="579" customFormat="false" ht="43.25" hidden="false" customHeight="false" outlineLevel="0" collapsed="false">
      <c r="A579" s="68" t="s">
        <v>2844</v>
      </c>
      <c r="B579" s="68" t="n">
        <v>53</v>
      </c>
      <c r="C579" s="68" t="s">
        <v>2260</v>
      </c>
      <c r="D579" s="68" t="s">
        <v>2628</v>
      </c>
      <c r="E579" s="68" t="s">
        <v>132</v>
      </c>
      <c r="F579" s="80" t="s">
        <v>2845</v>
      </c>
    </row>
    <row r="580" customFormat="false" ht="53.7" hidden="false" customHeight="false" outlineLevel="0" collapsed="false">
      <c r="A580" s="68" t="s">
        <v>2844</v>
      </c>
      <c r="B580" s="68" t="n">
        <v>53</v>
      </c>
      <c r="C580" s="68" t="s">
        <v>2266</v>
      </c>
      <c r="D580" s="68" t="s">
        <v>2628</v>
      </c>
      <c r="E580" s="68" t="s">
        <v>115</v>
      </c>
      <c r="F580" s="80" t="s">
        <v>2846</v>
      </c>
    </row>
    <row r="581" customFormat="false" ht="15" hidden="false" customHeight="false" outlineLevel="0" collapsed="false">
      <c r="A581" s="68" t="s">
        <v>2844</v>
      </c>
      <c r="B581" s="68" t="n">
        <v>53</v>
      </c>
      <c r="C581" s="68" t="s">
        <v>2271</v>
      </c>
      <c r="D581" s="68" t="s">
        <v>2632</v>
      </c>
      <c r="E581" s="68" t="n">
        <v>21</v>
      </c>
      <c r="F581" s="80" t="s">
        <v>2847</v>
      </c>
    </row>
    <row r="582" customFormat="false" ht="15" hidden="false" customHeight="false" outlineLevel="0" collapsed="false">
      <c r="A582" s="68" t="s">
        <v>2844</v>
      </c>
      <c r="B582" s="68" t="n">
        <v>53</v>
      </c>
      <c r="C582" s="68" t="s">
        <v>2276</v>
      </c>
      <c r="D582" s="68" t="s">
        <v>2696</v>
      </c>
      <c r="E582" s="68" t="n">
        <v>44.9</v>
      </c>
      <c r="F582" s="80" t="s">
        <v>2848</v>
      </c>
    </row>
    <row r="583" customFormat="false" ht="15" hidden="false" customHeight="false" outlineLevel="0" collapsed="false">
      <c r="A583" s="68" t="s">
        <v>2844</v>
      </c>
      <c r="B583" s="68" t="n">
        <v>53</v>
      </c>
      <c r="C583" s="68" t="s">
        <v>2300</v>
      </c>
      <c r="D583" s="68" t="s">
        <v>2632</v>
      </c>
      <c r="E583" s="68" t="s">
        <v>479</v>
      </c>
      <c r="F583" s="80" t="s">
        <v>2810</v>
      </c>
    </row>
    <row r="584" customFormat="false" ht="22.35" hidden="false" customHeight="false" outlineLevel="0" collapsed="false">
      <c r="A584" s="68" t="s">
        <v>2844</v>
      </c>
      <c r="B584" s="68" t="n">
        <v>53</v>
      </c>
      <c r="C584" s="68" t="s">
        <v>2304</v>
      </c>
      <c r="D584" s="68" t="s">
        <v>2696</v>
      </c>
      <c r="E584" s="68" t="s">
        <v>312</v>
      </c>
      <c r="F584" s="80" t="s">
        <v>2849</v>
      </c>
    </row>
    <row r="585" customFormat="false" ht="15" hidden="false" customHeight="false" outlineLevel="0" collapsed="false">
      <c r="A585" s="68" t="s">
        <v>2844</v>
      </c>
      <c r="B585" s="68" t="n">
        <v>53</v>
      </c>
      <c r="C585" s="68" t="s">
        <v>2324</v>
      </c>
      <c r="D585" s="68" t="s">
        <v>2696</v>
      </c>
      <c r="E585" s="68" t="s">
        <v>304</v>
      </c>
      <c r="F585" s="80" t="s">
        <v>2812</v>
      </c>
    </row>
    <row r="586" customFormat="false" ht="22.35" hidden="false" customHeight="false" outlineLevel="0" collapsed="false">
      <c r="A586" s="68" t="s">
        <v>2844</v>
      </c>
      <c r="B586" s="68" t="n">
        <v>53</v>
      </c>
      <c r="C586" s="68" t="s">
        <v>2351</v>
      </c>
      <c r="D586" s="68" t="s">
        <v>2696</v>
      </c>
      <c r="E586" s="68" t="n">
        <v>1393</v>
      </c>
      <c r="F586" s="80" t="s">
        <v>2813</v>
      </c>
    </row>
    <row r="587" customFormat="false" ht="15" hidden="false" customHeight="false" outlineLevel="0" collapsed="false">
      <c r="A587" s="68" t="s">
        <v>2844</v>
      </c>
      <c r="B587" s="68" t="n">
        <v>53</v>
      </c>
      <c r="C587" s="68" t="s">
        <v>2362</v>
      </c>
      <c r="D587" s="68" t="s">
        <v>2628</v>
      </c>
      <c r="E587" s="68" t="s">
        <v>307</v>
      </c>
      <c r="F587" s="80" t="s">
        <v>2850</v>
      </c>
    </row>
    <row r="588" customFormat="false" ht="15" hidden="false" customHeight="false" outlineLevel="0" collapsed="false">
      <c r="A588" s="68" t="s">
        <v>2844</v>
      </c>
      <c r="B588" s="68" t="n">
        <v>53</v>
      </c>
      <c r="C588" s="68" t="s">
        <v>2383</v>
      </c>
      <c r="D588" s="68" t="s">
        <v>2628</v>
      </c>
      <c r="E588" s="68" t="s">
        <v>123</v>
      </c>
      <c r="F588" s="80" t="s">
        <v>2851</v>
      </c>
    </row>
    <row r="589" customFormat="false" ht="22.35" hidden="false" customHeight="false" outlineLevel="0" collapsed="false">
      <c r="A589" s="68" t="s">
        <v>2852</v>
      </c>
      <c r="B589" s="68" t="n">
        <v>54</v>
      </c>
      <c r="C589" s="68" t="s">
        <v>2253</v>
      </c>
      <c r="D589" s="68" t="s">
        <v>2628</v>
      </c>
      <c r="E589" s="68" t="s">
        <v>48</v>
      </c>
      <c r="F589" s="80" t="s">
        <v>2653</v>
      </c>
    </row>
    <row r="590" customFormat="false" ht="43.25" hidden="false" customHeight="false" outlineLevel="0" collapsed="false">
      <c r="A590" s="68" t="s">
        <v>2852</v>
      </c>
      <c r="B590" s="68" t="n">
        <v>54</v>
      </c>
      <c r="C590" s="68" t="s">
        <v>2260</v>
      </c>
      <c r="D590" s="68" t="s">
        <v>2628</v>
      </c>
      <c r="E590" s="68" t="s">
        <v>132</v>
      </c>
      <c r="F590" s="80" t="s">
        <v>2853</v>
      </c>
    </row>
    <row r="591" customFormat="false" ht="53.7" hidden="false" customHeight="false" outlineLevel="0" collapsed="false">
      <c r="A591" s="68" t="s">
        <v>2852</v>
      </c>
      <c r="B591" s="68" t="n">
        <v>54</v>
      </c>
      <c r="C591" s="68" t="s">
        <v>2266</v>
      </c>
      <c r="D591" s="68" t="s">
        <v>2628</v>
      </c>
      <c r="E591" s="68" t="s">
        <v>115</v>
      </c>
      <c r="F591" s="80" t="s">
        <v>2854</v>
      </c>
    </row>
    <row r="592" customFormat="false" ht="15" hidden="false" customHeight="false" outlineLevel="0" collapsed="false">
      <c r="A592" s="68" t="s">
        <v>2852</v>
      </c>
      <c r="B592" s="68" t="n">
        <v>54</v>
      </c>
      <c r="C592" s="68" t="s">
        <v>2295</v>
      </c>
      <c r="D592" s="68" t="s">
        <v>2632</v>
      </c>
      <c r="E592" s="68" t="s">
        <v>478</v>
      </c>
      <c r="F592" s="80" t="s">
        <v>2855</v>
      </c>
    </row>
    <row r="593" customFormat="false" ht="15" hidden="false" customHeight="false" outlineLevel="0" collapsed="false">
      <c r="A593" s="68" t="s">
        <v>2852</v>
      </c>
      <c r="B593" s="68" t="n">
        <v>54</v>
      </c>
      <c r="C593" s="68" t="s">
        <v>2300</v>
      </c>
      <c r="D593" s="68" t="s">
        <v>2632</v>
      </c>
      <c r="E593" s="68" t="s">
        <v>479</v>
      </c>
      <c r="F593" s="80" t="s">
        <v>2856</v>
      </c>
    </row>
    <row r="594" customFormat="false" ht="22.35" hidden="false" customHeight="false" outlineLevel="0" collapsed="false">
      <c r="A594" s="68" t="s">
        <v>2852</v>
      </c>
      <c r="B594" s="68" t="n">
        <v>54</v>
      </c>
      <c r="C594" s="68" t="s">
        <v>2304</v>
      </c>
      <c r="D594" s="68" t="s">
        <v>2696</v>
      </c>
      <c r="E594" s="68" t="s">
        <v>312</v>
      </c>
      <c r="F594" s="80" t="s">
        <v>2857</v>
      </c>
    </row>
    <row r="595" customFormat="false" ht="15" hidden="false" customHeight="false" outlineLevel="0" collapsed="false">
      <c r="A595" s="68" t="s">
        <v>2852</v>
      </c>
      <c r="B595" s="68" t="n">
        <v>54</v>
      </c>
      <c r="C595" s="68" t="s">
        <v>2324</v>
      </c>
      <c r="D595" s="68" t="s">
        <v>2696</v>
      </c>
      <c r="E595" s="68" t="s">
        <v>304</v>
      </c>
      <c r="F595" s="80" t="s">
        <v>2812</v>
      </c>
    </row>
    <row r="596" customFormat="false" ht="15" hidden="false" customHeight="false" outlineLevel="0" collapsed="false">
      <c r="A596" s="68" t="s">
        <v>2852</v>
      </c>
      <c r="B596" s="68" t="n">
        <v>54</v>
      </c>
      <c r="C596" s="68" t="s">
        <v>2337</v>
      </c>
      <c r="D596" s="68" t="s">
        <v>2632</v>
      </c>
      <c r="E596" s="68" t="s">
        <v>306</v>
      </c>
      <c r="F596" s="80" t="s">
        <v>2855</v>
      </c>
    </row>
    <row r="597" customFormat="false" ht="22.35" hidden="false" customHeight="false" outlineLevel="0" collapsed="false">
      <c r="A597" s="68" t="s">
        <v>2852</v>
      </c>
      <c r="B597" s="68" t="n">
        <v>54</v>
      </c>
      <c r="C597" s="68" t="s">
        <v>2351</v>
      </c>
      <c r="D597" s="68" t="s">
        <v>2696</v>
      </c>
      <c r="E597" s="68" t="n">
        <v>1393</v>
      </c>
      <c r="F597" s="80" t="s">
        <v>2813</v>
      </c>
    </row>
    <row r="598" customFormat="false" ht="15" hidden="false" customHeight="false" outlineLevel="0" collapsed="false">
      <c r="A598" s="68" t="s">
        <v>2852</v>
      </c>
      <c r="B598" s="68" t="n">
        <v>54</v>
      </c>
      <c r="C598" s="68" t="s">
        <v>2362</v>
      </c>
      <c r="D598" s="68" t="s">
        <v>2628</v>
      </c>
      <c r="E598" s="68" t="s">
        <v>307</v>
      </c>
      <c r="F598" s="80" t="s">
        <v>2850</v>
      </c>
    </row>
    <row r="599" customFormat="false" ht="15" hidden="false" customHeight="false" outlineLevel="0" collapsed="false">
      <c r="A599" s="68" t="s">
        <v>2852</v>
      </c>
      <c r="B599" s="68" t="n">
        <v>54</v>
      </c>
      <c r="C599" s="68" t="s">
        <v>2383</v>
      </c>
      <c r="D599" s="68" t="s">
        <v>2628</v>
      </c>
      <c r="E599" s="68" t="s">
        <v>123</v>
      </c>
      <c r="F599" s="80" t="s">
        <v>2851</v>
      </c>
    </row>
    <row r="600" customFormat="false" ht="22.35" hidden="false" customHeight="false" outlineLevel="0" collapsed="false">
      <c r="A600" s="68" t="s">
        <v>2858</v>
      </c>
      <c r="B600" s="68" t="n">
        <v>55</v>
      </c>
      <c r="C600" s="68" t="s">
        <v>2253</v>
      </c>
      <c r="D600" s="68" t="s">
        <v>2628</v>
      </c>
      <c r="E600" s="68" t="s">
        <v>51</v>
      </c>
      <c r="F600" s="80" t="s">
        <v>2662</v>
      </c>
    </row>
    <row r="601" customFormat="false" ht="43.25" hidden="false" customHeight="false" outlineLevel="0" collapsed="false">
      <c r="A601" s="68" t="s">
        <v>2858</v>
      </c>
      <c r="B601" s="68" t="n">
        <v>55</v>
      </c>
      <c r="C601" s="68" t="s">
        <v>2260</v>
      </c>
      <c r="D601" s="68" t="s">
        <v>2628</v>
      </c>
      <c r="E601" s="68" t="s">
        <v>132</v>
      </c>
      <c r="F601" s="80" t="s">
        <v>2859</v>
      </c>
    </row>
    <row r="602" customFormat="false" ht="53.7" hidden="false" customHeight="false" outlineLevel="0" collapsed="false">
      <c r="A602" s="68" t="s">
        <v>2858</v>
      </c>
      <c r="B602" s="68" t="n">
        <v>55</v>
      </c>
      <c r="C602" s="68" t="s">
        <v>2266</v>
      </c>
      <c r="D602" s="68" t="s">
        <v>2628</v>
      </c>
      <c r="E602" s="68" t="s">
        <v>115</v>
      </c>
      <c r="F602" s="80" t="s">
        <v>2860</v>
      </c>
    </row>
    <row r="603" customFormat="false" ht="15" hidden="false" customHeight="false" outlineLevel="0" collapsed="false">
      <c r="A603" s="68" t="s">
        <v>2858</v>
      </c>
      <c r="B603" s="68" t="n">
        <v>55</v>
      </c>
      <c r="C603" s="68" t="s">
        <v>2295</v>
      </c>
      <c r="D603" s="68" t="s">
        <v>2632</v>
      </c>
      <c r="E603" s="68" t="s">
        <v>478</v>
      </c>
      <c r="F603" s="80" t="s">
        <v>2861</v>
      </c>
    </row>
    <row r="604" customFormat="false" ht="15" hidden="false" customHeight="false" outlineLevel="0" collapsed="false">
      <c r="A604" s="68" t="s">
        <v>2858</v>
      </c>
      <c r="B604" s="68" t="n">
        <v>55</v>
      </c>
      <c r="C604" s="68" t="s">
        <v>2300</v>
      </c>
      <c r="D604" s="68" t="s">
        <v>2632</v>
      </c>
      <c r="E604" s="68" t="s">
        <v>479</v>
      </c>
      <c r="F604" s="80" t="s">
        <v>2862</v>
      </c>
    </row>
    <row r="605" customFormat="false" ht="22.35" hidden="false" customHeight="false" outlineLevel="0" collapsed="false">
      <c r="A605" s="68" t="s">
        <v>2858</v>
      </c>
      <c r="B605" s="68" t="n">
        <v>55</v>
      </c>
      <c r="C605" s="68" t="s">
        <v>2304</v>
      </c>
      <c r="D605" s="68" t="s">
        <v>2696</v>
      </c>
      <c r="E605" s="68" t="s">
        <v>312</v>
      </c>
      <c r="F605" s="80" t="s">
        <v>2863</v>
      </c>
    </row>
    <row r="606" customFormat="false" ht="15" hidden="false" customHeight="false" outlineLevel="0" collapsed="false">
      <c r="A606" s="68" t="s">
        <v>2858</v>
      </c>
      <c r="B606" s="68" t="n">
        <v>55</v>
      </c>
      <c r="C606" s="68" t="s">
        <v>2324</v>
      </c>
      <c r="D606" s="68" t="s">
        <v>2696</v>
      </c>
      <c r="E606" s="68" t="s">
        <v>304</v>
      </c>
      <c r="F606" s="80" t="s">
        <v>2812</v>
      </c>
    </row>
    <row r="607" customFormat="false" ht="15" hidden="false" customHeight="false" outlineLevel="0" collapsed="false">
      <c r="A607" s="68" t="s">
        <v>2858</v>
      </c>
      <c r="B607" s="68" t="n">
        <v>55</v>
      </c>
      <c r="C607" s="68" t="s">
        <v>2337</v>
      </c>
      <c r="D607" s="68" t="s">
        <v>2632</v>
      </c>
      <c r="E607" s="68" t="s">
        <v>306</v>
      </c>
      <c r="F607" s="80" t="s">
        <v>2861</v>
      </c>
    </row>
    <row r="608" customFormat="false" ht="22.35" hidden="false" customHeight="false" outlineLevel="0" collapsed="false">
      <c r="A608" s="68" t="s">
        <v>2858</v>
      </c>
      <c r="B608" s="68" t="n">
        <v>55</v>
      </c>
      <c r="C608" s="68" t="s">
        <v>2351</v>
      </c>
      <c r="D608" s="68" t="s">
        <v>2696</v>
      </c>
      <c r="E608" s="68" t="n">
        <v>1393</v>
      </c>
      <c r="F608" s="80" t="s">
        <v>2813</v>
      </c>
    </row>
    <row r="609" customFormat="false" ht="15" hidden="false" customHeight="false" outlineLevel="0" collapsed="false">
      <c r="A609" s="68" t="s">
        <v>2858</v>
      </c>
      <c r="B609" s="68" t="n">
        <v>55</v>
      </c>
      <c r="C609" s="68" t="s">
        <v>2362</v>
      </c>
      <c r="D609" s="68" t="s">
        <v>2628</v>
      </c>
      <c r="E609" s="68" t="s">
        <v>307</v>
      </c>
      <c r="F609" s="80" t="s">
        <v>2850</v>
      </c>
    </row>
    <row r="610" customFormat="false" ht="15" hidden="false" customHeight="false" outlineLevel="0" collapsed="false">
      <c r="A610" s="68" t="s">
        <v>2858</v>
      </c>
      <c r="B610" s="68" t="n">
        <v>55</v>
      </c>
      <c r="C610" s="68" t="s">
        <v>2383</v>
      </c>
      <c r="D610" s="68" t="s">
        <v>2628</v>
      </c>
      <c r="E610" s="68" t="s">
        <v>123</v>
      </c>
      <c r="F610" s="80" t="s">
        <v>2851</v>
      </c>
    </row>
    <row r="611" customFormat="false" ht="22.35" hidden="false" customHeight="false" outlineLevel="0" collapsed="false">
      <c r="A611" s="68" t="s">
        <v>2864</v>
      </c>
      <c r="B611" s="68" t="n">
        <v>56</v>
      </c>
      <c r="C611" s="68" t="s">
        <v>2253</v>
      </c>
      <c r="D611" s="68" t="s">
        <v>2628</v>
      </c>
      <c r="E611" s="68" t="s">
        <v>51</v>
      </c>
      <c r="F611" s="80" t="s">
        <v>2662</v>
      </c>
    </row>
    <row r="612" customFormat="false" ht="43.25" hidden="false" customHeight="false" outlineLevel="0" collapsed="false">
      <c r="A612" s="68" t="s">
        <v>2864</v>
      </c>
      <c r="B612" s="68" t="n">
        <v>56</v>
      </c>
      <c r="C612" s="68" t="s">
        <v>2260</v>
      </c>
      <c r="D612" s="68" t="s">
        <v>2628</v>
      </c>
      <c r="E612" s="68" t="s">
        <v>132</v>
      </c>
      <c r="F612" s="80" t="s">
        <v>2859</v>
      </c>
    </row>
    <row r="613" customFormat="false" ht="53.7" hidden="false" customHeight="false" outlineLevel="0" collapsed="false">
      <c r="A613" s="68" t="s">
        <v>2864</v>
      </c>
      <c r="B613" s="68" t="n">
        <v>56</v>
      </c>
      <c r="C613" s="68" t="s">
        <v>2266</v>
      </c>
      <c r="D613" s="68" t="s">
        <v>2628</v>
      </c>
      <c r="E613" s="68" t="s">
        <v>115</v>
      </c>
      <c r="F613" s="80" t="s">
        <v>2860</v>
      </c>
    </row>
    <row r="614" customFormat="false" ht="15" hidden="false" customHeight="false" outlineLevel="0" collapsed="false">
      <c r="A614" s="68" t="s">
        <v>2864</v>
      </c>
      <c r="B614" s="68" t="n">
        <v>56</v>
      </c>
      <c r="C614" s="68" t="s">
        <v>2295</v>
      </c>
      <c r="D614" s="68" t="s">
        <v>2632</v>
      </c>
      <c r="E614" s="68" t="s">
        <v>478</v>
      </c>
      <c r="F614" s="80" t="s">
        <v>2861</v>
      </c>
    </row>
    <row r="615" customFormat="false" ht="15" hidden="false" customHeight="false" outlineLevel="0" collapsed="false">
      <c r="A615" s="68" t="s">
        <v>2864</v>
      </c>
      <c r="B615" s="68" t="n">
        <v>56</v>
      </c>
      <c r="C615" s="68" t="s">
        <v>2300</v>
      </c>
      <c r="D615" s="68" t="s">
        <v>2632</v>
      </c>
      <c r="E615" s="68" t="s">
        <v>479</v>
      </c>
      <c r="F615" s="80" t="s">
        <v>2862</v>
      </c>
    </row>
    <row r="616" customFormat="false" ht="22.35" hidden="false" customHeight="false" outlineLevel="0" collapsed="false">
      <c r="A616" s="68" t="s">
        <v>2864</v>
      </c>
      <c r="B616" s="68" t="n">
        <v>56</v>
      </c>
      <c r="C616" s="68" t="s">
        <v>2304</v>
      </c>
      <c r="D616" s="68" t="s">
        <v>2696</v>
      </c>
      <c r="E616" s="68" t="s">
        <v>312</v>
      </c>
      <c r="F616" s="80" t="s">
        <v>2863</v>
      </c>
    </row>
    <row r="617" customFormat="false" ht="15" hidden="false" customHeight="false" outlineLevel="0" collapsed="false">
      <c r="A617" s="68" t="s">
        <v>2864</v>
      </c>
      <c r="B617" s="68" t="n">
        <v>56</v>
      </c>
      <c r="C617" s="68" t="s">
        <v>2324</v>
      </c>
      <c r="D617" s="68" t="s">
        <v>2696</v>
      </c>
      <c r="E617" s="68" t="s">
        <v>304</v>
      </c>
      <c r="F617" s="80" t="s">
        <v>2812</v>
      </c>
    </row>
    <row r="618" customFormat="false" ht="15" hidden="false" customHeight="false" outlineLevel="0" collapsed="false">
      <c r="A618" s="68" t="s">
        <v>2864</v>
      </c>
      <c r="B618" s="68" t="n">
        <v>56</v>
      </c>
      <c r="C618" s="68" t="s">
        <v>2337</v>
      </c>
      <c r="D618" s="68" t="s">
        <v>2632</v>
      </c>
      <c r="E618" s="68" t="s">
        <v>306</v>
      </c>
      <c r="F618" s="80" t="s">
        <v>2861</v>
      </c>
    </row>
    <row r="619" customFormat="false" ht="22.35" hidden="false" customHeight="false" outlineLevel="0" collapsed="false">
      <c r="A619" s="68" t="s">
        <v>2864</v>
      </c>
      <c r="B619" s="68" t="n">
        <v>56</v>
      </c>
      <c r="C619" s="68" t="s">
        <v>2351</v>
      </c>
      <c r="D619" s="68" t="s">
        <v>2696</v>
      </c>
      <c r="E619" s="68" t="n">
        <v>1393</v>
      </c>
      <c r="F619" s="80" t="s">
        <v>2813</v>
      </c>
    </row>
    <row r="620" customFormat="false" ht="15" hidden="false" customHeight="false" outlineLevel="0" collapsed="false">
      <c r="A620" s="68" t="s">
        <v>2864</v>
      </c>
      <c r="B620" s="68" t="n">
        <v>56</v>
      </c>
      <c r="C620" s="68" t="s">
        <v>2362</v>
      </c>
      <c r="D620" s="68" t="s">
        <v>2628</v>
      </c>
      <c r="E620" s="68" t="s">
        <v>307</v>
      </c>
      <c r="F620" s="80" t="s">
        <v>2850</v>
      </c>
    </row>
    <row r="621" customFormat="false" ht="15" hidden="false" customHeight="false" outlineLevel="0" collapsed="false">
      <c r="A621" s="68" t="s">
        <v>2864</v>
      </c>
      <c r="B621" s="68" t="n">
        <v>56</v>
      </c>
      <c r="C621" s="68" t="s">
        <v>2383</v>
      </c>
      <c r="D621" s="68" t="s">
        <v>2628</v>
      </c>
      <c r="E621" s="68" t="s">
        <v>123</v>
      </c>
      <c r="F621" s="80" t="s">
        <v>2851</v>
      </c>
    </row>
    <row r="622" customFormat="false" ht="22.35" hidden="false" customHeight="false" outlineLevel="0" collapsed="false">
      <c r="A622" s="68" t="s">
        <v>2865</v>
      </c>
      <c r="B622" s="68" t="n">
        <v>57</v>
      </c>
      <c r="C622" s="68" t="s">
        <v>2253</v>
      </c>
      <c r="D622" s="68" t="s">
        <v>2628</v>
      </c>
      <c r="E622" s="68" t="s">
        <v>54</v>
      </c>
      <c r="F622" s="80" t="s">
        <v>2672</v>
      </c>
    </row>
    <row r="623" customFormat="false" ht="43.25" hidden="false" customHeight="false" outlineLevel="0" collapsed="false">
      <c r="A623" s="68" t="s">
        <v>2865</v>
      </c>
      <c r="B623" s="68" t="n">
        <v>57</v>
      </c>
      <c r="C623" s="68" t="s">
        <v>2260</v>
      </c>
      <c r="D623" s="68" t="s">
        <v>2628</v>
      </c>
      <c r="E623" s="68" t="s">
        <v>192</v>
      </c>
      <c r="F623" s="80" t="s">
        <v>2866</v>
      </c>
    </row>
    <row r="624" customFormat="false" ht="53.7" hidden="false" customHeight="false" outlineLevel="0" collapsed="false">
      <c r="A624" s="68" t="s">
        <v>2865</v>
      </c>
      <c r="B624" s="68" t="n">
        <v>57</v>
      </c>
      <c r="C624" s="68" t="s">
        <v>2266</v>
      </c>
      <c r="D624" s="68" t="s">
        <v>2628</v>
      </c>
      <c r="E624" s="68" t="s">
        <v>111</v>
      </c>
      <c r="F624" s="80" t="s">
        <v>2867</v>
      </c>
    </row>
    <row r="625" customFormat="false" ht="15" hidden="false" customHeight="false" outlineLevel="0" collapsed="false">
      <c r="A625" s="68" t="s">
        <v>2865</v>
      </c>
      <c r="B625" s="68" t="n">
        <v>57</v>
      </c>
      <c r="C625" s="68" t="s">
        <v>2295</v>
      </c>
      <c r="D625" s="68" t="s">
        <v>2632</v>
      </c>
      <c r="E625" s="68" t="s">
        <v>491</v>
      </c>
      <c r="F625" s="80" t="s">
        <v>2868</v>
      </c>
    </row>
    <row r="626" customFormat="false" ht="15" hidden="false" customHeight="false" outlineLevel="0" collapsed="false">
      <c r="A626" s="68" t="s">
        <v>2865</v>
      </c>
      <c r="B626" s="68" t="n">
        <v>57</v>
      </c>
      <c r="C626" s="68" t="s">
        <v>2300</v>
      </c>
      <c r="D626" s="68" t="s">
        <v>2632</v>
      </c>
      <c r="E626" s="68" t="s">
        <v>492</v>
      </c>
      <c r="F626" s="80" t="s">
        <v>2869</v>
      </c>
    </row>
    <row r="627" customFormat="false" ht="22.35" hidden="false" customHeight="false" outlineLevel="0" collapsed="false">
      <c r="A627" s="68" t="s">
        <v>2865</v>
      </c>
      <c r="B627" s="68" t="n">
        <v>57</v>
      </c>
      <c r="C627" s="68" t="s">
        <v>2304</v>
      </c>
      <c r="D627" s="68" t="s">
        <v>2696</v>
      </c>
      <c r="E627" s="68" t="s">
        <v>312</v>
      </c>
      <c r="F627" s="80" t="s">
        <v>2870</v>
      </c>
    </row>
    <row r="628" customFormat="false" ht="15" hidden="false" customHeight="false" outlineLevel="0" collapsed="false">
      <c r="A628" s="68" t="s">
        <v>2865</v>
      </c>
      <c r="B628" s="68" t="n">
        <v>57</v>
      </c>
      <c r="C628" s="68" t="s">
        <v>2324</v>
      </c>
      <c r="D628" s="68" t="s">
        <v>2696</v>
      </c>
      <c r="E628" s="68" t="s">
        <v>304</v>
      </c>
      <c r="F628" s="80" t="s">
        <v>2812</v>
      </c>
    </row>
    <row r="629" customFormat="false" ht="15" hidden="false" customHeight="false" outlineLevel="0" collapsed="false">
      <c r="A629" s="68" t="s">
        <v>2865</v>
      </c>
      <c r="B629" s="68" t="n">
        <v>57</v>
      </c>
      <c r="C629" s="68" t="s">
        <v>2337</v>
      </c>
      <c r="D629" s="68" t="s">
        <v>2632</v>
      </c>
      <c r="E629" s="68" t="s">
        <v>493</v>
      </c>
      <c r="F629" s="80" t="s">
        <v>2868</v>
      </c>
    </row>
    <row r="630" customFormat="false" ht="22.35" hidden="false" customHeight="false" outlineLevel="0" collapsed="false">
      <c r="A630" s="68" t="s">
        <v>2865</v>
      </c>
      <c r="B630" s="68" t="n">
        <v>57</v>
      </c>
      <c r="C630" s="68" t="s">
        <v>2351</v>
      </c>
      <c r="D630" s="68" t="s">
        <v>2696</v>
      </c>
      <c r="E630" s="68" t="n">
        <v>1393</v>
      </c>
      <c r="F630" s="80" t="s">
        <v>2813</v>
      </c>
    </row>
    <row r="631" customFormat="false" ht="15" hidden="false" customHeight="false" outlineLevel="0" collapsed="false">
      <c r="A631" s="68" t="s">
        <v>2865</v>
      </c>
      <c r="B631" s="68" t="n">
        <v>57</v>
      </c>
      <c r="C631" s="68" t="s">
        <v>2362</v>
      </c>
      <c r="D631" s="68" t="s">
        <v>2628</v>
      </c>
      <c r="E631" s="68" t="s">
        <v>307</v>
      </c>
      <c r="F631" s="80" t="s">
        <v>2850</v>
      </c>
    </row>
    <row r="632" customFormat="false" ht="15" hidden="false" customHeight="false" outlineLevel="0" collapsed="false">
      <c r="A632" s="68" t="s">
        <v>2865</v>
      </c>
      <c r="B632" s="68" t="n">
        <v>57</v>
      </c>
      <c r="C632" s="68" t="s">
        <v>2383</v>
      </c>
      <c r="D632" s="68" t="s">
        <v>2628</v>
      </c>
      <c r="E632" s="68" t="s">
        <v>123</v>
      </c>
      <c r="F632" s="80" t="s">
        <v>2851</v>
      </c>
    </row>
    <row r="633" customFormat="false" ht="43.25" hidden="false" customHeight="false" outlineLevel="0" collapsed="false">
      <c r="A633" s="68" t="s">
        <v>2871</v>
      </c>
      <c r="B633" s="68" t="n">
        <v>58</v>
      </c>
      <c r="C633" s="68" t="s">
        <v>2253</v>
      </c>
      <c r="D633" s="68" t="s">
        <v>2628</v>
      </c>
      <c r="E633" s="68" t="s">
        <v>54</v>
      </c>
      <c r="F633" s="80" t="s">
        <v>2777</v>
      </c>
    </row>
    <row r="634" customFormat="false" ht="43.25" hidden="false" customHeight="false" outlineLevel="0" collapsed="false">
      <c r="A634" s="68" t="s">
        <v>2871</v>
      </c>
      <c r="B634" s="68" t="n">
        <v>58</v>
      </c>
      <c r="C634" s="68" t="s">
        <v>2260</v>
      </c>
      <c r="D634" s="68" t="s">
        <v>2628</v>
      </c>
      <c r="E634" s="68" t="s">
        <v>192</v>
      </c>
      <c r="F634" s="80" t="s">
        <v>2872</v>
      </c>
    </row>
    <row r="635" customFormat="false" ht="53.7" hidden="false" customHeight="false" outlineLevel="0" collapsed="false">
      <c r="A635" s="68" t="s">
        <v>2871</v>
      </c>
      <c r="B635" s="68" t="n">
        <v>58</v>
      </c>
      <c r="C635" s="68" t="s">
        <v>2266</v>
      </c>
      <c r="D635" s="68" t="s">
        <v>2628</v>
      </c>
      <c r="E635" s="68" t="s">
        <v>115</v>
      </c>
      <c r="F635" s="80" t="s">
        <v>2873</v>
      </c>
    </row>
    <row r="636" customFormat="false" ht="15" hidden="false" customHeight="false" outlineLevel="0" collapsed="false">
      <c r="A636" s="68" t="s">
        <v>2871</v>
      </c>
      <c r="B636" s="68" t="n">
        <v>58</v>
      </c>
      <c r="C636" s="68" t="s">
        <v>2295</v>
      </c>
      <c r="D636" s="68" t="s">
        <v>2632</v>
      </c>
      <c r="E636" s="68" t="s">
        <v>478</v>
      </c>
      <c r="F636" s="80" t="s">
        <v>2874</v>
      </c>
    </row>
    <row r="637" customFormat="false" ht="15" hidden="false" customHeight="false" outlineLevel="0" collapsed="false">
      <c r="A637" s="68" t="s">
        <v>2871</v>
      </c>
      <c r="B637" s="68" t="n">
        <v>58</v>
      </c>
      <c r="C637" s="68" t="s">
        <v>2300</v>
      </c>
      <c r="D637" s="68" t="s">
        <v>2632</v>
      </c>
      <c r="E637" s="68" t="s">
        <v>479</v>
      </c>
      <c r="F637" s="80" t="s">
        <v>2875</v>
      </c>
    </row>
    <row r="638" customFormat="false" ht="22.35" hidden="false" customHeight="false" outlineLevel="0" collapsed="false">
      <c r="A638" s="68" t="s">
        <v>2871</v>
      </c>
      <c r="B638" s="68" t="n">
        <v>58</v>
      </c>
      <c r="C638" s="68" t="s">
        <v>2304</v>
      </c>
      <c r="D638" s="68" t="s">
        <v>2696</v>
      </c>
      <c r="E638" s="68" t="s">
        <v>312</v>
      </c>
      <c r="F638" s="80" t="s">
        <v>2876</v>
      </c>
    </row>
    <row r="639" customFormat="false" ht="15" hidden="false" customHeight="false" outlineLevel="0" collapsed="false">
      <c r="A639" s="68" t="s">
        <v>2871</v>
      </c>
      <c r="B639" s="68" t="n">
        <v>58</v>
      </c>
      <c r="C639" s="68" t="s">
        <v>2324</v>
      </c>
      <c r="D639" s="68" t="s">
        <v>2696</v>
      </c>
      <c r="E639" s="68" t="s">
        <v>304</v>
      </c>
      <c r="F639" s="80" t="s">
        <v>2812</v>
      </c>
    </row>
    <row r="640" customFormat="false" ht="15" hidden="false" customHeight="false" outlineLevel="0" collapsed="false">
      <c r="A640" s="68" t="s">
        <v>2871</v>
      </c>
      <c r="B640" s="68" t="n">
        <v>58</v>
      </c>
      <c r="C640" s="68" t="s">
        <v>2337</v>
      </c>
      <c r="D640" s="68" t="s">
        <v>2632</v>
      </c>
      <c r="E640" s="68" t="s">
        <v>351</v>
      </c>
      <c r="F640" s="80" t="s">
        <v>2877</v>
      </c>
    </row>
    <row r="641" customFormat="false" ht="22.35" hidden="false" customHeight="false" outlineLevel="0" collapsed="false">
      <c r="A641" s="68" t="s">
        <v>2871</v>
      </c>
      <c r="B641" s="68" t="n">
        <v>58</v>
      </c>
      <c r="C641" s="68" t="s">
        <v>2351</v>
      </c>
      <c r="D641" s="68" t="s">
        <v>2696</v>
      </c>
      <c r="E641" s="68" t="n">
        <v>1393</v>
      </c>
      <c r="F641" s="80" t="s">
        <v>2813</v>
      </c>
    </row>
    <row r="642" customFormat="false" ht="15" hidden="false" customHeight="false" outlineLevel="0" collapsed="false">
      <c r="A642" s="68" t="s">
        <v>2871</v>
      </c>
      <c r="B642" s="68" t="n">
        <v>58</v>
      </c>
      <c r="C642" s="68" t="s">
        <v>2362</v>
      </c>
      <c r="D642" s="68" t="s">
        <v>2628</v>
      </c>
      <c r="E642" s="68" t="s">
        <v>307</v>
      </c>
      <c r="F642" s="80" t="s">
        <v>2850</v>
      </c>
    </row>
    <row r="643" customFormat="false" ht="15" hidden="false" customHeight="false" outlineLevel="0" collapsed="false">
      <c r="A643" s="68" t="s">
        <v>2871</v>
      </c>
      <c r="B643" s="68" t="n">
        <v>58</v>
      </c>
      <c r="C643" s="68" t="s">
        <v>2383</v>
      </c>
      <c r="D643" s="68" t="s">
        <v>2628</v>
      </c>
      <c r="E643" s="68" t="s">
        <v>123</v>
      </c>
      <c r="F643" s="80" t="s">
        <v>2851</v>
      </c>
    </row>
    <row r="644" customFormat="false" ht="22.35" hidden="false" customHeight="false" outlineLevel="0" collapsed="false">
      <c r="A644" s="68" t="s">
        <v>2878</v>
      </c>
      <c r="B644" s="68" t="n">
        <v>59</v>
      </c>
      <c r="C644" s="68" t="s">
        <v>2253</v>
      </c>
      <c r="D644" s="68" t="s">
        <v>2628</v>
      </c>
      <c r="E644" s="68" t="s">
        <v>45</v>
      </c>
      <c r="F644" s="80" t="s">
        <v>2629</v>
      </c>
    </row>
    <row r="645" customFormat="false" ht="22.35" hidden="false" customHeight="false" outlineLevel="0" collapsed="false">
      <c r="A645" s="68" t="s">
        <v>2878</v>
      </c>
      <c r="B645" s="68" t="n">
        <v>59</v>
      </c>
      <c r="C645" s="68" t="s">
        <v>2260</v>
      </c>
      <c r="D645" s="68" t="s">
        <v>2628</v>
      </c>
      <c r="E645" s="68" t="s">
        <v>132</v>
      </c>
      <c r="F645" s="80" t="s">
        <v>2808</v>
      </c>
    </row>
    <row r="646" customFormat="false" ht="32.8" hidden="false" customHeight="false" outlineLevel="0" collapsed="false">
      <c r="A646" s="68" t="s">
        <v>2878</v>
      </c>
      <c r="B646" s="68" t="n">
        <v>59</v>
      </c>
      <c r="C646" s="68" t="s">
        <v>2266</v>
      </c>
      <c r="D646" s="68" t="s">
        <v>2628</v>
      </c>
      <c r="E646" s="68" t="s">
        <v>111</v>
      </c>
      <c r="F646" s="80" t="s">
        <v>2809</v>
      </c>
    </row>
    <row r="647" customFormat="false" ht="15" hidden="false" customHeight="false" outlineLevel="0" collapsed="false">
      <c r="A647" s="68" t="s">
        <v>2878</v>
      </c>
      <c r="B647" s="68" t="n">
        <v>59</v>
      </c>
      <c r="C647" s="68" t="s">
        <v>2300</v>
      </c>
      <c r="D647" s="68" t="s">
        <v>2632</v>
      </c>
      <c r="E647" s="68" t="s">
        <v>479</v>
      </c>
      <c r="F647" s="80" t="s">
        <v>2810</v>
      </c>
    </row>
    <row r="648" customFormat="false" ht="15" hidden="false" customHeight="false" outlineLevel="0" collapsed="false">
      <c r="A648" s="68" t="s">
        <v>2878</v>
      </c>
      <c r="B648" s="68" t="n">
        <v>59</v>
      </c>
      <c r="C648" s="68" t="s">
        <v>2304</v>
      </c>
      <c r="D648" s="68" t="s">
        <v>2632</v>
      </c>
      <c r="E648" s="68" t="s">
        <v>369</v>
      </c>
      <c r="F648" s="80" t="s">
        <v>2879</v>
      </c>
    </row>
    <row r="649" customFormat="false" ht="15" hidden="false" customHeight="false" outlineLevel="0" collapsed="false">
      <c r="A649" s="68" t="s">
        <v>2878</v>
      </c>
      <c r="B649" s="68" t="n">
        <v>59</v>
      </c>
      <c r="C649" s="68" t="s">
        <v>2324</v>
      </c>
      <c r="D649" s="68" t="s">
        <v>2696</v>
      </c>
      <c r="E649" s="68" t="s">
        <v>304</v>
      </c>
      <c r="F649" s="80" t="s">
        <v>2812</v>
      </c>
    </row>
    <row r="650" customFormat="false" ht="22.35" hidden="false" customHeight="false" outlineLevel="0" collapsed="false">
      <c r="A650" s="68" t="s">
        <v>2878</v>
      </c>
      <c r="B650" s="68" t="n">
        <v>59</v>
      </c>
      <c r="C650" s="68" t="s">
        <v>2351</v>
      </c>
      <c r="D650" s="68" t="s">
        <v>2696</v>
      </c>
      <c r="E650" s="68" t="n">
        <v>1393</v>
      </c>
      <c r="F650" s="80" t="s">
        <v>2813</v>
      </c>
    </row>
    <row r="651" customFormat="false" ht="43.25" hidden="false" customHeight="false" outlineLevel="0" collapsed="false">
      <c r="A651" s="68" t="s">
        <v>2878</v>
      </c>
      <c r="B651" s="68" t="n">
        <v>59</v>
      </c>
      <c r="C651" s="68" t="s">
        <v>2383</v>
      </c>
      <c r="D651" s="68" t="s">
        <v>2696</v>
      </c>
      <c r="E651" s="68" t="s">
        <v>208</v>
      </c>
      <c r="F651" s="80" t="s">
        <v>2814</v>
      </c>
    </row>
    <row r="652" customFormat="false" ht="15" hidden="false" customHeight="false" outlineLevel="0" collapsed="false">
      <c r="A652" s="68" t="s">
        <v>2878</v>
      </c>
      <c r="B652" s="68" t="n">
        <v>59</v>
      </c>
      <c r="C652" s="68" t="s">
        <v>2426</v>
      </c>
      <c r="D652" s="68" t="s">
        <v>2696</v>
      </c>
      <c r="E652" s="68" t="s">
        <v>312</v>
      </c>
      <c r="F652" s="80" t="s">
        <v>2815</v>
      </c>
    </row>
    <row r="653" customFormat="false" ht="22.35" hidden="false" customHeight="false" outlineLevel="0" collapsed="false">
      <c r="A653" s="68" t="s">
        <v>2880</v>
      </c>
      <c r="B653" s="68" t="n">
        <v>60</v>
      </c>
      <c r="C653" s="68" t="s">
        <v>2253</v>
      </c>
      <c r="D653" s="68" t="s">
        <v>2628</v>
      </c>
      <c r="E653" s="68" t="s">
        <v>45</v>
      </c>
      <c r="F653" s="80" t="s">
        <v>2629</v>
      </c>
    </row>
    <row r="654" customFormat="false" ht="22.35" hidden="false" customHeight="false" outlineLevel="0" collapsed="false">
      <c r="A654" s="68" t="s">
        <v>2880</v>
      </c>
      <c r="B654" s="68" t="n">
        <v>60</v>
      </c>
      <c r="C654" s="68" t="s">
        <v>2260</v>
      </c>
      <c r="D654" s="68" t="s">
        <v>2628</v>
      </c>
      <c r="E654" s="68" t="s">
        <v>132</v>
      </c>
      <c r="F654" s="80" t="s">
        <v>2808</v>
      </c>
    </row>
    <row r="655" customFormat="false" ht="32.8" hidden="false" customHeight="false" outlineLevel="0" collapsed="false">
      <c r="A655" s="68" t="s">
        <v>2880</v>
      </c>
      <c r="B655" s="68" t="n">
        <v>60</v>
      </c>
      <c r="C655" s="68" t="s">
        <v>2266</v>
      </c>
      <c r="D655" s="68" t="s">
        <v>2628</v>
      </c>
      <c r="E655" s="68" t="s">
        <v>111</v>
      </c>
      <c r="F655" s="80" t="s">
        <v>2809</v>
      </c>
    </row>
    <row r="656" customFormat="false" ht="15" hidden="false" customHeight="false" outlineLevel="0" collapsed="false">
      <c r="A656" s="68" t="s">
        <v>2880</v>
      </c>
      <c r="B656" s="68" t="n">
        <v>60</v>
      </c>
      <c r="C656" s="68" t="s">
        <v>2300</v>
      </c>
      <c r="D656" s="68" t="s">
        <v>2632</v>
      </c>
      <c r="E656" s="68" t="s">
        <v>479</v>
      </c>
      <c r="F656" s="80" t="s">
        <v>2810</v>
      </c>
    </row>
    <row r="657" customFormat="false" ht="15" hidden="false" customHeight="false" outlineLevel="0" collapsed="false">
      <c r="A657" s="68" t="s">
        <v>2880</v>
      </c>
      <c r="B657" s="68" t="n">
        <v>60</v>
      </c>
      <c r="C657" s="68" t="s">
        <v>2304</v>
      </c>
      <c r="D657" s="68" t="s">
        <v>2632</v>
      </c>
      <c r="E657" s="68" t="s">
        <v>369</v>
      </c>
      <c r="F657" s="80" t="s">
        <v>2881</v>
      </c>
    </row>
    <row r="658" customFormat="false" ht="15" hidden="false" customHeight="false" outlineLevel="0" collapsed="false">
      <c r="A658" s="68" t="s">
        <v>2880</v>
      </c>
      <c r="B658" s="68" t="n">
        <v>60</v>
      </c>
      <c r="C658" s="68" t="s">
        <v>2324</v>
      </c>
      <c r="D658" s="68" t="s">
        <v>2696</v>
      </c>
      <c r="E658" s="68" t="s">
        <v>304</v>
      </c>
      <c r="F658" s="80" t="s">
        <v>2812</v>
      </c>
    </row>
    <row r="659" customFormat="false" ht="22.35" hidden="false" customHeight="false" outlineLevel="0" collapsed="false">
      <c r="A659" s="68" t="s">
        <v>2880</v>
      </c>
      <c r="B659" s="68" t="n">
        <v>60</v>
      </c>
      <c r="C659" s="68" t="s">
        <v>2351</v>
      </c>
      <c r="D659" s="68" t="s">
        <v>2696</v>
      </c>
      <c r="E659" s="68" t="n">
        <v>1393</v>
      </c>
      <c r="F659" s="80" t="s">
        <v>2813</v>
      </c>
    </row>
    <row r="660" customFormat="false" ht="43.25" hidden="false" customHeight="false" outlineLevel="0" collapsed="false">
      <c r="A660" s="68" t="s">
        <v>2880</v>
      </c>
      <c r="B660" s="68" t="n">
        <v>60</v>
      </c>
      <c r="C660" s="68" t="s">
        <v>2383</v>
      </c>
      <c r="D660" s="68" t="s">
        <v>2696</v>
      </c>
      <c r="E660" s="68" t="s">
        <v>208</v>
      </c>
      <c r="F660" s="80" t="s">
        <v>2814</v>
      </c>
    </row>
    <row r="661" customFormat="false" ht="15" hidden="false" customHeight="false" outlineLevel="0" collapsed="false">
      <c r="A661" s="68" t="s">
        <v>2880</v>
      </c>
      <c r="B661" s="68" t="n">
        <v>60</v>
      </c>
      <c r="C661" s="68" t="s">
        <v>2426</v>
      </c>
      <c r="D661" s="68" t="s">
        <v>2696</v>
      </c>
      <c r="E661" s="68" t="s">
        <v>312</v>
      </c>
      <c r="F661" s="80" t="s">
        <v>2815</v>
      </c>
    </row>
    <row r="662" customFormat="false" ht="43.25" hidden="false" customHeight="false" outlineLevel="0" collapsed="false">
      <c r="A662" s="68" t="s">
        <v>2882</v>
      </c>
      <c r="B662" s="68" t="n">
        <v>61</v>
      </c>
      <c r="C662" s="68" t="s">
        <v>2253</v>
      </c>
      <c r="D662" s="68" t="s">
        <v>2628</v>
      </c>
      <c r="E662" s="68" t="s">
        <v>45</v>
      </c>
      <c r="F662" s="80" t="s">
        <v>2817</v>
      </c>
    </row>
    <row r="663" customFormat="false" ht="22.35" hidden="false" customHeight="false" outlineLevel="0" collapsed="false">
      <c r="A663" s="68" t="s">
        <v>2882</v>
      </c>
      <c r="B663" s="68" t="n">
        <v>61</v>
      </c>
      <c r="C663" s="68" t="s">
        <v>2260</v>
      </c>
      <c r="D663" s="68" t="s">
        <v>2628</v>
      </c>
      <c r="E663" s="68" t="s">
        <v>132</v>
      </c>
      <c r="F663" s="80" t="s">
        <v>2808</v>
      </c>
    </row>
    <row r="664" customFormat="false" ht="32.8" hidden="false" customHeight="false" outlineLevel="0" collapsed="false">
      <c r="A664" s="68" t="s">
        <v>2882</v>
      </c>
      <c r="B664" s="68" t="n">
        <v>61</v>
      </c>
      <c r="C664" s="68" t="s">
        <v>2266</v>
      </c>
      <c r="D664" s="68" t="s">
        <v>2628</v>
      </c>
      <c r="E664" s="68" t="s">
        <v>111</v>
      </c>
      <c r="F664" s="80" t="s">
        <v>2809</v>
      </c>
    </row>
    <row r="665" customFormat="false" ht="15" hidden="false" customHeight="false" outlineLevel="0" collapsed="false">
      <c r="A665" s="68" t="s">
        <v>2882</v>
      </c>
      <c r="B665" s="68" t="n">
        <v>61</v>
      </c>
      <c r="C665" s="68" t="s">
        <v>2300</v>
      </c>
      <c r="D665" s="68" t="s">
        <v>2632</v>
      </c>
      <c r="E665" s="68" t="s">
        <v>479</v>
      </c>
      <c r="F665" s="80" t="s">
        <v>2810</v>
      </c>
    </row>
    <row r="666" customFormat="false" ht="15" hidden="false" customHeight="false" outlineLevel="0" collapsed="false">
      <c r="A666" s="68" t="s">
        <v>2882</v>
      </c>
      <c r="B666" s="68" t="n">
        <v>61</v>
      </c>
      <c r="C666" s="68" t="s">
        <v>2304</v>
      </c>
      <c r="D666" s="68" t="s">
        <v>2632</v>
      </c>
      <c r="E666" s="68" t="s">
        <v>369</v>
      </c>
      <c r="F666" s="80" t="s">
        <v>2883</v>
      </c>
    </row>
    <row r="667" customFormat="false" ht="15" hidden="false" customHeight="false" outlineLevel="0" collapsed="false">
      <c r="A667" s="68" t="s">
        <v>2882</v>
      </c>
      <c r="B667" s="68" t="n">
        <v>61</v>
      </c>
      <c r="C667" s="68" t="s">
        <v>2324</v>
      </c>
      <c r="D667" s="68" t="s">
        <v>2696</v>
      </c>
      <c r="E667" s="68" t="s">
        <v>304</v>
      </c>
      <c r="F667" s="80" t="s">
        <v>2812</v>
      </c>
    </row>
    <row r="668" customFormat="false" ht="22.35" hidden="false" customHeight="false" outlineLevel="0" collapsed="false">
      <c r="A668" s="68" t="s">
        <v>2882</v>
      </c>
      <c r="B668" s="68" t="n">
        <v>61</v>
      </c>
      <c r="C668" s="68" t="s">
        <v>2351</v>
      </c>
      <c r="D668" s="68" t="s">
        <v>2696</v>
      </c>
      <c r="E668" s="68" t="n">
        <v>1393</v>
      </c>
      <c r="F668" s="80" t="s">
        <v>2813</v>
      </c>
    </row>
    <row r="669" customFormat="false" ht="43.25" hidden="false" customHeight="false" outlineLevel="0" collapsed="false">
      <c r="A669" s="68" t="s">
        <v>2882</v>
      </c>
      <c r="B669" s="68" t="n">
        <v>61</v>
      </c>
      <c r="C669" s="68" t="s">
        <v>2383</v>
      </c>
      <c r="D669" s="68" t="s">
        <v>2696</v>
      </c>
      <c r="E669" s="68" t="s">
        <v>208</v>
      </c>
      <c r="F669" s="80" t="s">
        <v>2814</v>
      </c>
    </row>
    <row r="670" customFormat="false" ht="15" hidden="false" customHeight="false" outlineLevel="0" collapsed="false">
      <c r="A670" s="68" t="s">
        <v>2882</v>
      </c>
      <c r="B670" s="68" t="n">
        <v>61</v>
      </c>
      <c r="C670" s="68" t="s">
        <v>2426</v>
      </c>
      <c r="D670" s="68" t="s">
        <v>2696</v>
      </c>
      <c r="E670" s="68" t="s">
        <v>312</v>
      </c>
      <c r="F670" s="80" t="s">
        <v>2815</v>
      </c>
    </row>
    <row r="671" customFormat="false" ht="43.25" hidden="false" customHeight="false" outlineLevel="0" collapsed="false">
      <c r="A671" s="68" t="s">
        <v>2884</v>
      </c>
      <c r="B671" s="68" t="n">
        <v>62</v>
      </c>
      <c r="C671" s="68" t="s">
        <v>2253</v>
      </c>
      <c r="D671" s="68" t="s">
        <v>2628</v>
      </c>
      <c r="E671" s="68" t="s">
        <v>54</v>
      </c>
      <c r="F671" s="80" t="s">
        <v>2777</v>
      </c>
    </row>
    <row r="672" customFormat="false" ht="22.35" hidden="false" customHeight="false" outlineLevel="0" collapsed="false">
      <c r="A672" s="68" t="s">
        <v>2884</v>
      </c>
      <c r="B672" s="68" t="n">
        <v>62</v>
      </c>
      <c r="C672" s="68" t="s">
        <v>2260</v>
      </c>
      <c r="D672" s="68" t="s">
        <v>2628</v>
      </c>
      <c r="E672" s="68" t="s">
        <v>192</v>
      </c>
      <c r="F672" s="80" t="s">
        <v>2678</v>
      </c>
    </row>
    <row r="673" customFormat="false" ht="32.8" hidden="false" customHeight="false" outlineLevel="0" collapsed="false">
      <c r="A673" s="68" t="s">
        <v>2884</v>
      </c>
      <c r="B673" s="68" t="n">
        <v>62</v>
      </c>
      <c r="C673" s="68" t="s">
        <v>2266</v>
      </c>
      <c r="D673" s="68" t="s">
        <v>2628</v>
      </c>
      <c r="E673" s="68" t="s">
        <v>111</v>
      </c>
      <c r="F673" s="80" t="s">
        <v>2809</v>
      </c>
    </row>
    <row r="674" customFormat="false" ht="15" hidden="false" customHeight="false" outlineLevel="0" collapsed="false">
      <c r="A674" s="68" t="s">
        <v>2884</v>
      </c>
      <c r="B674" s="68" t="n">
        <v>62</v>
      </c>
      <c r="C674" s="68" t="s">
        <v>2300</v>
      </c>
      <c r="D674" s="68" t="s">
        <v>2632</v>
      </c>
      <c r="E674" s="68" t="s">
        <v>492</v>
      </c>
      <c r="F674" s="80" t="s">
        <v>2820</v>
      </c>
    </row>
    <row r="675" customFormat="false" ht="15" hidden="false" customHeight="false" outlineLevel="0" collapsed="false">
      <c r="A675" s="68" t="s">
        <v>2884</v>
      </c>
      <c r="B675" s="68" t="n">
        <v>62</v>
      </c>
      <c r="C675" s="68" t="s">
        <v>2304</v>
      </c>
      <c r="D675" s="68" t="s">
        <v>2632</v>
      </c>
      <c r="E675" s="68" t="s">
        <v>369</v>
      </c>
      <c r="F675" s="80" t="s">
        <v>2885</v>
      </c>
    </row>
    <row r="676" customFormat="false" ht="15" hidden="false" customHeight="false" outlineLevel="0" collapsed="false">
      <c r="A676" s="68" t="s">
        <v>2884</v>
      </c>
      <c r="B676" s="68" t="n">
        <v>62</v>
      </c>
      <c r="C676" s="68" t="s">
        <v>2324</v>
      </c>
      <c r="D676" s="68" t="s">
        <v>2696</v>
      </c>
      <c r="E676" s="68" t="s">
        <v>304</v>
      </c>
      <c r="F676" s="80" t="s">
        <v>2812</v>
      </c>
    </row>
    <row r="677" customFormat="false" ht="22.35" hidden="false" customHeight="false" outlineLevel="0" collapsed="false">
      <c r="A677" s="68" t="s">
        <v>2884</v>
      </c>
      <c r="B677" s="68" t="n">
        <v>62</v>
      </c>
      <c r="C677" s="68" t="s">
        <v>2351</v>
      </c>
      <c r="D677" s="68" t="s">
        <v>2696</v>
      </c>
      <c r="E677" s="68" t="n">
        <v>1393</v>
      </c>
      <c r="F677" s="80" t="s">
        <v>2813</v>
      </c>
    </row>
    <row r="678" customFormat="false" ht="43.25" hidden="false" customHeight="false" outlineLevel="0" collapsed="false">
      <c r="A678" s="68" t="s">
        <v>2884</v>
      </c>
      <c r="B678" s="68" t="n">
        <v>62</v>
      </c>
      <c r="C678" s="68" t="s">
        <v>2383</v>
      </c>
      <c r="D678" s="68" t="s">
        <v>2696</v>
      </c>
      <c r="E678" s="68" t="s">
        <v>208</v>
      </c>
      <c r="F678" s="80" t="s">
        <v>2814</v>
      </c>
    </row>
    <row r="679" customFormat="false" ht="15" hidden="false" customHeight="false" outlineLevel="0" collapsed="false">
      <c r="A679" s="68" t="s">
        <v>2884</v>
      </c>
      <c r="B679" s="68" t="n">
        <v>62</v>
      </c>
      <c r="C679" s="68" t="s">
        <v>2426</v>
      </c>
      <c r="D679" s="68" t="s">
        <v>2696</v>
      </c>
      <c r="E679" s="68" t="s">
        <v>312</v>
      </c>
      <c r="F679" s="80" t="s">
        <v>2815</v>
      </c>
    </row>
    <row r="680" customFormat="false" ht="22.35" hidden="false" customHeight="false" outlineLevel="0" collapsed="false">
      <c r="A680" s="68" t="s">
        <v>2886</v>
      </c>
      <c r="B680" s="68" t="n">
        <v>63</v>
      </c>
      <c r="C680" s="68" t="s">
        <v>2253</v>
      </c>
      <c r="D680" s="68" t="s">
        <v>2628</v>
      </c>
      <c r="E680" s="68" t="s">
        <v>48</v>
      </c>
      <c r="F680" s="80" t="s">
        <v>2653</v>
      </c>
    </row>
    <row r="681" customFormat="false" ht="22.35" hidden="false" customHeight="false" outlineLevel="0" collapsed="false">
      <c r="A681" s="68" t="s">
        <v>2886</v>
      </c>
      <c r="B681" s="68" t="n">
        <v>63</v>
      </c>
      <c r="C681" s="68" t="s">
        <v>2260</v>
      </c>
      <c r="D681" s="68" t="s">
        <v>2628</v>
      </c>
      <c r="E681" s="68" t="s">
        <v>132</v>
      </c>
      <c r="F681" s="80" t="s">
        <v>2808</v>
      </c>
    </row>
    <row r="682" customFormat="false" ht="32.8" hidden="false" customHeight="false" outlineLevel="0" collapsed="false">
      <c r="A682" s="68" t="s">
        <v>2886</v>
      </c>
      <c r="B682" s="68" t="n">
        <v>63</v>
      </c>
      <c r="C682" s="68" t="s">
        <v>2266</v>
      </c>
      <c r="D682" s="68" t="s">
        <v>2628</v>
      </c>
      <c r="E682" s="68" t="s">
        <v>115</v>
      </c>
      <c r="F682" s="80" t="s">
        <v>2823</v>
      </c>
    </row>
    <row r="683" customFormat="false" ht="15" hidden="false" customHeight="false" outlineLevel="0" collapsed="false">
      <c r="A683" s="68" t="s">
        <v>2886</v>
      </c>
      <c r="B683" s="68" t="n">
        <v>63</v>
      </c>
      <c r="C683" s="68" t="s">
        <v>2300</v>
      </c>
      <c r="D683" s="68" t="s">
        <v>2632</v>
      </c>
      <c r="E683" s="68" t="s">
        <v>479</v>
      </c>
      <c r="F683" s="80" t="s">
        <v>2810</v>
      </c>
    </row>
    <row r="684" customFormat="false" ht="15" hidden="false" customHeight="false" outlineLevel="0" collapsed="false">
      <c r="A684" s="68" t="s">
        <v>2886</v>
      </c>
      <c r="B684" s="68" t="n">
        <v>63</v>
      </c>
      <c r="C684" s="68" t="s">
        <v>2304</v>
      </c>
      <c r="D684" s="68" t="s">
        <v>2632</v>
      </c>
      <c r="E684" s="68" t="s">
        <v>369</v>
      </c>
      <c r="F684" s="80" t="s">
        <v>2887</v>
      </c>
    </row>
    <row r="685" customFormat="false" ht="15" hidden="false" customHeight="false" outlineLevel="0" collapsed="false">
      <c r="A685" s="68" t="s">
        <v>2886</v>
      </c>
      <c r="B685" s="68" t="n">
        <v>63</v>
      </c>
      <c r="C685" s="68" t="s">
        <v>2324</v>
      </c>
      <c r="D685" s="68" t="s">
        <v>2696</v>
      </c>
      <c r="E685" s="68" t="s">
        <v>304</v>
      </c>
      <c r="F685" s="80" t="s">
        <v>2812</v>
      </c>
    </row>
    <row r="686" customFormat="false" ht="22.35" hidden="false" customHeight="false" outlineLevel="0" collapsed="false">
      <c r="A686" s="68" t="s">
        <v>2886</v>
      </c>
      <c r="B686" s="68" t="n">
        <v>63</v>
      </c>
      <c r="C686" s="68" t="s">
        <v>2351</v>
      </c>
      <c r="D686" s="68" t="s">
        <v>2696</v>
      </c>
      <c r="E686" s="68" t="n">
        <v>1393</v>
      </c>
      <c r="F686" s="80" t="s">
        <v>2813</v>
      </c>
    </row>
    <row r="687" customFormat="false" ht="43.25" hidden="false" customHeight="false" outlineLevel="0" collapsed="false">
      <c r="A687" s="68" t="s">
        <v>2886</v>
      </c>
      <c r="B687" s="68" t="n">
        <v>63</v>
      </c>
      <c r="C687" s="68" t="s">
        <v>2383</v>
      </c>
      <c r="D687" s="68" t="s">
        <v>2696</v>
      </c>
      <c r="E687" s="68" t="s">
        <v>208</v>
      </c>
      <c r="F687" s="80" t="s">
        <v>2814</v>
      </c>
    </row>
    <row r="688" customFormat="false" ht="15" hidden="false" customHeight="false" outlineLevel="0" collapsed="false">
      <c r="A688" s="68" t="s">
        <v>2886</v>
      </c>
      <c r="B688" s="68" t="n">
        <v>63</v>
      </c>
      <c r="C688" s="68" t="s">
        <v>2426</v>
      </c>
      <c r="D688" s="68" t="s">
        <v>2696</v>
      </c>
      <c r="E688" s="68" t="s">
        <v>312</v>
      </c>
      <c r="F688" s="80" t="s">
        <v>2815</v>
      </c>
    </row>
    <row r="689" customFormat="false" ht="22.35" hidden="false" customHeight="false" outlineLevel="0" collapsed="false">
      <c r="A689" s="68" t="s">
        <v>2888</v>
      </c>
      <c r="B689" s="68" t="n">
        <v>64</v>
      </c>
      <c r="C689" s="68" t="s">
        <v>2253</v>
      </c>
      <c r="D689" s="68" t="s">
        <v>2628</v>
      </c>
      <c r="E689" s="68" t="s">
        <v>51</v>
      </c>
      <c r="F689" s="80" t="s">
        <v>2662</v>
      </c>
    </row>
    <row r="690" customFormat="false" ht="22.35" hidden="false" customHeight="false" outlineLevel="0" collapsed="false">
      <c r="A690" s="68" t="s">
        <v>2888</v>
      </c>
      <c r="B690" s="68" t="n">
        <v>64</v>
      </c>
      <c r="C690" s="68" t="s">
        <v>2260</v>
      </c>
      <c r="D690" s="68" t="s">
        <v>2628</v>
      </c>
      <c r="E690" s="68" t="s">
        <v>153</v>
      </c>
      <c r="F690" s="80" t="s">
        <v>2826</v>
      </c>
    </row>
    <row r="691" customFormat="false" ht="32.8" hidden="false" customHeight="false" outlineLevel="0" collapsed="false">
      <c r="A691" s="68" t="s">
        <v>2888</v>
      </c>
      <c r="B691" s="68" t="n">
        <v>64</v>
      </c>
      <c r="C691" s="68" t="s">
        <v>2266</v>
      </c>
      <c r="D691" s="68" t="s">
        <v>2628</v>
      </c>
      <c r="E691" s="68" t="s">
        <v>115</v>
      </c>
      <c r="F691" s="80" t="s">
        <v>2823</v>
      </c>
    </row>
    <row r="692" customFormat="false" ht="15" hidden="false" customHeight="false" outlineLevel="0" collapsed="false">
      <c r="A692" s="68" t="s">
        <v>2888</v>
      </c>
      <c r="B692" s="68" t="n">
        <v>64</v>
      </c>
      <c r="C692" s="68" t="s">
        <v>2300</v>
      </c>
      <c r="D692" s="68" t="s">
        <v>2632</v>
      </c>
      <c r="E692" s="68" t="s">
        <v>479</v>
      </c>
      <c r="F692" s="80" t="s">
        <v>2810</v>
      </c>
    </row>
    <row r="693" customFormat="false" ht="15" hidden="false" customHeight="false" outlineLevel="0" collapsed="false">
      <c r="A693" s="68" t="s">
        <v>2888</v>
      </c>
      <c r="B693" s="68" t="n">
        <v>64</v>
      </c>
      <c r="C693" s="68" t="s">
        <v>2304</v>
      </c>
      <c r="D693" s="68" t="s">
        <v>2632</v>
      </c>
      <c r="E693" s="68" t="s">
        <v>369</v>
      </c>
      <c r="F693" s="80" t="s">
        <v>2889</v>
      </c>
    </row>
    <row r="694" customFormat="false" ht="15" hidden="false" customHeight="false" outlineLevel="0" collapsed="false">
      <c r="A694" s="68" t="s">
        <v>2888</v>
      </c>
      <c r="B694" s="68" t="n">
        <v>64</v>
      </c>
      <c r="C694" s="68" t="s">
        <v>2324</v>
      </c>
      <c r="D694" s="68" t="s">
        <v>2696</v>
      </c>
      <c r="E694" s="68" t="s">
        <v>304</v>
      </c>
      <c r="F694" s="80" t="s">
        <v>2812</v>
      </c>
    </row>
    <row r="695" customFormat="false" ht="22.35" hidden="false" customHeight="false" outlineLevel="0" collapsed="false">
      <c r="A695" s="68" t="s">
        <v>2888</v>
      </c>
      <c r="B695" s="68" t="n">
        <v>64</v>
      </c>
      <c r="C695" s="68" t="s">
        <v>2351</v>
      </c>
      <c r="D695" s="68" t="s">
        <v>2696</v>
      </c>
      <c r="E695" s="68" t="n">
        <v>1393</v>
      </c>
      <c r="F695" s="80" t="s">
        <v>2813</v>
      </c>
    </row>
    <row r="696" customFormat="false" ht="43.25" hidden="false" customHeight="false" outlineLevel="0" collapsed="false">
      <c r="A696" s="68" t="s">
        <v>2888</v>
      </c>
      <c r="B696" s="68" t="n">
        <v>64</v>
      </c>
      <c r="C696" s="68" t="s">
        <v>2383</v>
      </c>
      <c r="D696" s="68" t="s">
        <v>2696</v>
      </c>
      <c r="E696" s="68" t="s">
        <v>208</v>
      </c>
      <c r="F696" s="80" t="s">
        <v>2814</v>
      </c>
    </row>
    <row r="697" customFormat="false" ht="15" hidden="false" customHeight="false" outlineLevel="0" collapsed="false">
      <c r="A697" s="68" t="s">
        <v>2888</v>
      </c>
      <c r="B697" s="68" t="n">
        <v>64</v>
      </c>
      <c r="C697" s="68" t="s">
        <v>2426</v>
      </c>
      <c r="D697" s="68" t="s">
        <v>2696</v>
      </c>
      <c r="E697" s="68" t="s">
        <v>312</v>
      </c>
      <c r="F697" s="80" t="s">
        <v>2815</v>
      </c>
    </row>
    <row r="698" customFormat="false" ht="22.35" hidden="false" customHeight="false" outlineLevel="0" collapsed="false">
      <c r="A698" s="68" t="s">
        <v>2890</v>
      </c>
      <c r="B698" s="68" t="n">
        <v>65</v>
      </c>
      <c r="C698" s="68" t="s">
        <v>2253</v>
      </c>
      <c r="D698" s="68" t="s">
        <v>2628</v>
      </c>
      <c r="E698" s="68" t="s">
        <v>51</v>
      </c>
      <c r="F698" s="80" t="s">
        <v>2662</v>
      </c>
    </row>
    <row r="699" customFormat="false" ht="22.35" hidden="false" customHeight="false" outlineLevel="0" collapsed="false">
      <c r="A699" s="68" t="s">
        <v>2890</v>
      </c>
      <c r="B699" s="68" t="n">
        <v>65</v>
      </c>
      <c r="C699" s="68" t="s">
        <v>2260</v>
      </c>
      <c r="D699" s="68" t="s">
        <v>2628</v>
      </c>
      <c r="E699" s="68" t="s">
        <v>153</v>
      </c>
      <c r="F699" s="80" t="s">
        <v>2826</v>
      </c>
    </row>
    <row r="700" customFormat="false" ht="32.8" hidden="false" customHeight="false" outlineLevel="0" collapsed="false">
      <c r="A700" s="68" t="s">
        <v>2890</v>
      </c>
      <c r="B700" s="68" t="n">
        <v>65</v>
      </c>
      <c r="C700" s="68" t="s">
        <v>2266</v>
      </c>
      <c r="D700" s="68" t="s">
        <v>2628</v>
      </c>
      <c r="E700" s="68" t="s">
        <v>115</v>
      </c>
      <c r="F700" s="80" t="s">
        <v>2823</v>
      </c>
    </row>
    <row r="701" customFormat="false" ht="15" hidden="false" customHeight="false" outlineLevel="0" collapsed="false">
      <c r="A701" s="68" t="s">
        <v>2890</v>
      </c>
      <c r="B701" s="68" t="n">
        <v>65</v>
      </c>
      <c r="C701" s="68" t="s">
        <v>2300</v>
      </c>
      <c r="D701" s="68" t="s">
        <v>2632</v>
      </c>
      <c r="E701" s="68" t="s">
        <v>479</v>
      </c>
      <c r="F701" s="80" t="s">
        <v>2810</v>
      </c>
    </row>
    <row r="702" customFormat="false" ht="15" hidden="false" customHeight="false" outlineLevel="0" collapsed="false">
      <c r="A702" s="68" t="s">
        <v>2890</v>
      </c>
      <c r="B702" s="68" t="n">
        <v>65</v>
      </c>
      <c r="C702" s="68" t="s">
        <v>2304</v>
      </c>
      <c r="D702" s="68" t="s">
        <v>2632</v>
      </c>
      <c r="E702" s="68" t="s">
        <v>369</v>
      </c>
      <c r="F702" s="80" t="s">
        <v>2891</v>
      </c>
    </row>
    <row r="703" customFormat="false" ht="15" hidden="false" customHeight="false" outlineLevel="0" collapsed="false">
      <c r="A703" s="68" t="s">
        <v>2890</v>
      </c>
      <c r="B703" s="68" t="n">
        <v>65</v>
      </c>
      <c r="C703" s="68" t="s">
        <v>2324</v>
      </c>
      <c r="D703" s="68" t="s">
        <v>2696</v>
      </c>
      <c r="E703" s="68" t="s">
        <v>304</v>
      </c>
      <c r="F703" s="80" t="s">
        <v>2812</v>
      </c>
    </row>
    <row r="704" customFormat="false" ht="22.35" hidden="false" customHeight="false" outlineLevel="0" collapsed="false">
      <c r="A704" s="68" t="s">
        <v>2890</v>
      </c>
      <c r="B704" s="68" t="n">
        <v>65</v>
      </c>
      <c r="C704" s="68" t="s">
        <v>2351</v>
      </c>
      <c r="D704" s="68" t="s">
        <v>2696</v>
      </c>
      <c r="E704" s="68" t="n">
        <v>1393</v>
      </c>
      <c r="F704" s="80" t="s">
        <v>2813</v>
      </c>
    </row>
    <row r="705" customFormat="false" ht="43.25" hidden="false" customHeight="false" outlineLevel="0" collapsed="false">
      <c r="A705" s="68" t="s">
        <v>2890</v>
      </c>
      <c r="B705" s="68" t="n">
        <v>65</v>
      </c>
      <c r="C705" s="68" t="s">
        <v>2383</v>
      </c>
      <c r="D705" s="68" t="s">
        <v>2696</v>
      </c>
      <c r="E705" s="68" t="s">
        <v>208</v>
      </c>
      <c r="F705" s="80" t="s">
        <v>2814</v>
      </c>
    </row>
    <row r="706" customFormat="false" ht="15" hidden="false" customHeight="false" outlineLevel="0" collapsed="false">
      <c r="A706" s="68" t="s">
        <v>2890</v>
      </c>
      <c r="B706" s="68" t="n">
        <v>65</v>
      </c>
      <c r="C706" s="68" t="s">
        <v>2426</v>
      </c>
      <c r="D706" s="68" t="s">
        <v>2696</v>
      </c>
      <c r="E706" s="68" t="s">
        <v>312</v>
      </c>
      <c r="F706" s="80" t="s">
        <v>2815</v>
      </c>
    </row>
    <row r="707" customFormat="false" ht="22.35" hidden="false" customHeight="false" outlineLevel="0" collapsed="false">
      <c r="A707" s="68" t="s">
        <v>2892</v>
      </c>
      <c r="B707" s="68" t="n">
        <v>66</v>
      </c>
      <c r="C707" s="68" t="s">
        <v>2253</v>
      </c>
      <c r="D707" s="68" t="s">
        <v>2628</v>
      </c>
      <c r="E707" s="68" t="s">
        <v>48</v>
      </c>
      <c r="F707" s="80" t="s">
        <v>2653</v>
      </c>
    </row>
    <row r="708" customFormat="false" ht="22.35" hidden="false" customHeight="false" outlineLevel="0" collapsed="false">
      <c r="A708" s="68" t="s">
        <v>2892</v>
      </c>
      <c r="B708" s="68" t="n">
        <v>66</v>
      </c>
      <c r="C708" s="68" t="s">
        <v>2260</v>
      </c>
      <c r="D708" s="68" t="s">
        <v>2628</v>
      </c>
      <c r="E708" s="68" t="s">
        <v>132</v>
      </c>
      <c r="F708" s="80" t="s">
        <v>2808</v>
      </c>
    </row>
    <row r="709" customFormat="false" ht="32.8" hidden="false" customHeight="false" outlineLevel="0" collapsed="false">
      <c r="A709" s="68" t="s">
        <v>2892</v>
      </c>
      <c r="B709" s="68" t="n">
        <v>66</v>
      </c>
      <c r="C709" s="68" t="s">
        <v>2266</v>
      </c>
      <c r="D709" s="68" t="s">
        <v>2628</v>
      </c>
      <c r="E709" s="68" t="s">
        <v>87</v>
      </c>
      <c r="F709" s="80" t="s">
        <v>2831</v>
      </c>
    </row>
    <row r="710" customFormat="false" ht="15" hidden="false" customHeight="false" outlineLevel="0" collapsed="false">
      <c r="A710" s="68" t="s">
        <v>2892</v>
      </c>
      <c r="B710" s="68" t="n">
        <v>66</v>
      </c>
      <c r="C710" s="68" t="s">
        <v>2300</v>
      </c>
      <c r="D710" s="68" t="s">
        <v>2632</v>
      </c>
      <c r="E710" s="68" t="s">
        <v>479</v>
      </c>
      <c r="F710" s="80" t="s">
        <v>2810</v>
      </c>
    </row>
    <row r="711" customFormat="false" ht="22.35" hidden="false" customHeight="false" outlineLevel="0" collapsed="false">
      <c r="A711" s="68" t="s">
        <v>2892</v>
      </c>
      <c r="B711" s="68" t="n">
        <v>66</v>
      </c>
      <c r="C711" s="68" t="s">
        <v>2304</v>
      </c>
      <c r="D711" s="68" t="s">
        <v>2696</v>
      </c>
      <c r="E711" s="68" t="s">
        <v>312</v>
      </c>
      <c r="F711" s="80" t="s">
        <v>2893</v>
      </c>
    </row>
    <row r="712" customFormat="false" ht="15" hidden="false" customHeight="false" outlineLevel="0" collapsed="false">
      <c r="A712" s="68" t="s">
        <v>2892</v>
      </c>
      <c r="B712" s="68" t="n">
        <v>66</v>
      </c>
      <c r="C712" s="68" t="s">
        <v>2324</v>
      </c>
      <c r="D712" s="68" t="s">
        <v>2696</v>
      </c>
      <c r="E712" s="68" t="s">
        <v>304</v>
      </c>
      <c r="F712" s="80" t="s">
        <v>2812</v>
      </c>
    </row>
    <row r="713" customFormat="false" ht="22.35" hidden="false" customHeight="false" outlineLevel="0" collapsed="false">
      <c r="A713" s="68" t="s">
        <v>2892</v>
      </c>
      <c r="B713" s="68" t="n">
        <v>66</v>
      </c>
      <c r="C713" s="68" t="s">
        <v>2351</v>
      </c>
      <c r="D713" s="68" t="s">
        <v>2696</v>
      </c>
      <c r="E713" s="68" t="n">
        <v>1393</v>
      </c>
      <c r="F713" s="80" t="s">
        <v>2813</v>
      </c>
    </row>
    <row r="714" customFormat="false" ht="43.25" hidden="false" customHeight="false" outlineLevel="0" collapsed="false">
      <c r="A714" s="68" t="s">
        <v>2892</v>
      </c>
      <c r="B714" s="68" t="n">
        <v>66</v>
      </c>
      <c r="C714" s="68" t="s">
        <v>2383</v>
      </c>
      <c r="D714" s="68" t="s">
        <v>2696</v>
      </c>
      <c r="E714" s="68" t="s">
        <v>208</v>
      </c>
      <c r="F714" s="80" t="s">
        <v>2814</v>
      </c>
    </row>
    <row r="715" customFormat="false" ht="15" hidden="false" customHeight="false" outlineLevel="0" collapsed="false">
      <c r="A715" s="68" t="s">
        <v>2892</v>
      </c>
      <c r="B715" s="68" t="n">
        <v>66</v>
      </c>
      <c r="C715" s="68" t="s">
        <v>2426</v>
      </c>
      <c r="D715" s="68" t="s">
        <v>2696</v>
      </c>
      <c r="E715" s="68" t="s">
        <v>312</v>
      </c>
      <c r="F715" s="80" t="s">
        <v>2815</v>
      </c>
    </row>
    <row r="716" customFormat="false" ht="22.35" hidden="false" customHeight="false" outlineLevel="0" collapsed="false">
      <c r="A716" s="68" t="s">
        <v>2894</v>
      </c>
      <c r="B716" s="68" t="n">
        <v>67</v>
      </c>
      <c r="C716" s="68" t="s">
        <v>2253</v>
      </c>
      <c r="D716" s="68" t="s">
        <v>2628</v>
      </c>
      <c r="E716" s="68" t="s">
        <v>48</v>
      </c>
      <c r="F716" s="80" t="s">
        <v>2653</v>
      </c>
    </row>
    <row r="717" customFormat="false" ht="22.35" hidden="false" customHeight="false" outlineLevel="0" collapsed="false">
      <c r="A717" s="68" t="s">
        <v>2894</v>
      </c>
      <c r="B717" s="68" t="n">
        <v>67</v>
      </c>
      <c r="C717" s="68" t="s">
        <v>2260</v>
      </c>
      <c r="D717" s="68" t="s">
        <v>2628</v>
      </c>
      <c r="E717" s="68" t="s">
        <v>132</v>
      </c>
      <c r="F717" s="80" t="s">
        <v>2808</v>
      </c>
    </row>
    <row r="718" customFormat="false" ht="32.8" hidden="false" customHeight="false" outlineLevel="0" collapsed="false">
      <c r="A718" s="68" t="s">
        <v>2894</v>
      </c>
      <c r="B718" s="68" t="n">
        <v>67</v>
      </c>
      <c r="C718" s="68" t="s">
        <v>2266</v>
      </c>
      <c r="D718" s="68" t="s">
        <v>2628</v>
      </c>
      <c r="E718" s="68" t="s">
        <v>87</v>
      </c>
      <c r="F718" s="80" t="s">
        <v>2831</v>
      </c>
    </row>
    <row r="719" customFormat="false" ht="15" hidden="false" customHeight="false" outlineLevel="0" collapsed="false">
      <c r="A719" s="68" t="s">
        <v>2894</v>
      </c>
      <c r="B719" s="68" t="n">
        <v>67</v>
      </c>
      <c r="C719" s="68" t="s">
        <v>2300</v>
      </c>
      <c r="D719" s="68" t="s">
        <v>2632</v>
      </c>
      <c r="E719" s="68" t="s">
        <v>479</v>
      </c>
      <c r="F719" s="80" t="s">
        <v>2810</v>
      </c>
    </row>
    <row r="720" customFormat="false" ht="22.35" hidden="false" customHeight="false" outlineLevel="0" collapsed="false">
      <c r="A720" s="68" t="s">
        <v>2894</v>
      </c>
      <c r="B720" s="68" t="n">
        <v>67</v>
      </c>
      <c r="C720" s="68" t="s">
        <v>2304</v>
      </c>
      <c r="D720" s="68" t="s">
        <v>2696</v>
      </c>
      <c r="E720" s="68" t="s">
        <v>312</v>
      </c>
      <c r="F720" s="80" t="s">
        <v>2895</v>
      </c>
    </row>
    <row r="721" customFormat="false" ht="15" hidden="false" customHeight="false" outlineLevel="0" collapsed="false">
      <c r="A721" s="68" t="s">
        <v>2894</v>
      </c>
      <c r="B721" s="68" t="n">
        <v>67</v>
      </c>
      <c r="C721" s="68" t="s">
        <v>2324</v>
      </c>
      <c r="D721" s="68" t="s">
        <v>2696</v>
      </c>
      <c r="E721" s="68" t="s">
        <v>304</v>
      </c>
      <c r="F721" s="80" t="s">
        <v>2812</v>
      </c>
    </row>
    <row r="722" customFormat="false" ht="22.35" hidden="false" customHeight="false" outlineLevel="0" collapsed="false">
      <c r="A722" s="68" t="s">
        <v>2894</v>
      </c>
      <c r="B722" s="68" t="n">
        <v>67</v>
      </c>
      <c r="C722" s="68" t="s">
        <v>2351</v>
      </c>
      <c r="D722" s="68" t="s">
        <v>2696</v>
      </c>
      <c r="E722" s="68" t="n">
        <v>1393</v>
      </c>
      <c r="F722" s="80" t="s">
        <v>2813</v>
      </c>
    </row>
    <row r="723" customFormat="false" ht="43.25" hidden="false" customHeight="false" outlineLevel="0" collapsed="false">
      <c r="A723" s="68" t="s">
        <v>2894</v>
      </c>
      <c r="B723" s="68" t="n">
        <v>67</v>
      </c>
      <c r="C723" s="68" t="s">
        <v>2383</v>
      </c>
      <c r="D723" s="68" t="s">
        <v>2696</v>
      </c>
      <c r="E723" s="68" t="s">
        <v>208</v>
      </c>
      <c r="F723" s="80" t="s">
        <v>2814</v>
      </c>
    </row>
    <row r="724" customFormat="false" ht="15" hidden="false" customHeight="false" outlineLevel="0" collapsed="false">
      <c r="A724" s="68" t="s">
        <v>2894</v>
      </c>
      <c r="B724" s="68" t="n">
        <v>67</v>
      </c>
      <c r="C724" s="68" t="s">
        <v>2426</v>
      </c>
      <c r="D724" s="68" t="s">
        <v>2696</v>
      </c>
      <c r="E724" s="68" t="s">
        <v>312</v>
      </c>
      <c r="F724" s="80" t="s">
        <v>2815</v>
      </c>
    </row>
    <row r="725" customFormat="false" ht="22.35" hidden="false" customHeight="false" outlineLevel="0" collapsed="false">
      <c r="A725" s="68" t="s">
        <v>2896</v>
      </c>
      <c r="B725" s="68" t="n">
        <v>68</v>
      </c>
      <c r="C725" s="68" t="s">
        <v>2253</v>
      </c>
      <c r="D725" s="68" t="s">
        <v>2628</v>
      </c>
      <c r="E725" s="68" t="s">
        <v>54</v>
      </c>
      <c r="F725" s="80" t="s">
        <v>2672</v>
      </c>
    </row>
    <row r="726" customFormat="false" ht="22.35" hidden="false" customHeight="false" outlineLevel="0" collapsed="false">
      <c r="A726" s="68" t="s">
        <v>2896</v>
      </c>
      <c r="B726" s="68" t="n">
        <v>68</v>
      </c>
      <c r="C726" s="68" t="s">
        <v>2260</v>
      </c>
      <c r="D726" s="68" t="s">
        <v>2628</v>
      </c>
      <c r="E726" s="68" t="s">
        <v>132</v>
      </c>
      <c r="F726" s="80" t="s">
        <v>2808</v>
      </c>
    </row>
    <row r="727" customFormat="false" ht="32.8" hidden="false" customHeight="false" outlineLevel="0" collapsed="false">
      <c r="A727" s="68" t="s">
        <v>2896</v>
      </c>
      <c r="B727" s="68" t="n">
        <v>68</v>
      </c>
      <c r="C727" s="68" t="s">
        <v>2266</v>
      </c>
      <c r="D727" s="68" t="s">
        <v>2628</v>
      </c>
      <c r="E727" s="68" t="s">
        <v>90</v>
      </c>
      <c r="F727" s="80" t="s">
        <v>2836</v>
      </c>
    </row>
    <row r="728" customFormat="false" ht="15" hidden="false" customHeight="false" outlineLevel="0" collapsed="false">
      <c r="A728" s="68" t="s">
        <v>2896</v>
      </c>
      <c r="B728" s="68" t="n">
        <v>68</v>
      </c>
      <c r="C728" s="68" t="s">
        <v>2300</v>
      </c>
      <c r="D728" s="68" t="s">
        <v>2632</v>
      </c>
      <c r="E728" s="68" t="s">
        <v>479</v>
      </c>
      <c r="F728" s="80" t="s">
        <v>2810</v>
      </c>
    </row>
    <row r="729" customFormat="false" ht="22.35" hidden="false" customHeight="false" outlineLevel="0" collapsed="false">
      <c r="A729" s="68" t="s">
        <v>2896</v>
      </c>
      <c r="B729" s="68" t="n">
        <v>68</v>
      </c>
      <c r="C729" s="68" t="s">
        <v>2304</v>
      </c>
      <c r="D729" s="68" t="s">
        <v>2696</v>
      </c>
      <c r="E729" s="68" t="s">
        <v>312</v>
      </c>
      <c r="F729" s="80" t="s">
        <v>2897</v>
      </c>
    </row>
    <row r="730" customFormat="false" ht="15" hidden="false" customHeight="false" outlineLevel="0" collapsed="false">
      <c r="A730" s="68" t="s">
        <v>2896</v>
      </c>
      <c r="B730" s="68" t="n">
        <v>68</v>
      </c>
      <c r="C730" s="68" t="s">
        <v>2324</v>
      </c>
      <c r="D730" s="68" t="s">
        <v>2696</v>
      </c>
      <c r="E730" s="68" t="s">
        <v>304</v>
      </c>
      <c r="F730" s="80" t="s">
        <v>2812</v>
      </c>
    </row>
    <row r="731" customFormat="false" ht="22.35" hidden="false" customHeight="false" outlineLevel="0" collapsed="false">
      <c r="A731" s="68" t="s">
        <v>2896</v>
      </c>
      <c r="B731" s="68" t="n">
        <v>68</v>
      </c>
      <c r="C731" s="68" t="s">
        <v>2351</v>
      </c>
      <c r="D731" s="68" t="s">
        <v>2696</v>
      </c>
      <c r="E731" s="68" t="n">
        <v>1393</v>
      </c>
      <c r="F731" s="80" t="s">
        <v>2813</v>
      </c>
    </row>
    <row r="732" customFormat="false" ht="43.25" hidden="false" customHeight="false" outlineLevel="0" collapsed="false">
      <c r="A732" s="68" t="s">
        <v>2896</v>
      </c>
      <c r="B732" s="68" t="n">
        <v>68</v>
      </c>
      <c r="C732" s="68" t="s">
        <v>2383</v>
      </c>
      <c r="D732" s="68" t="s">
        <v>2696</v>
      </c>
      <c r="E732" s="68" t="s">
        <v>208</v>
      </c>
      <c r="F732" s="80" t="s">
        <v>2814</v>
      </c>
    </row>
    <row r="733" customFormat="false" ht="15" hidden="false" customHeight="false" outlineLevel="0" collapsed="false">
      <c r="A733" s="68" t="s">
        <v>2896</v>
      </c>
      <c r="B733" s="68" t="n">
        <v>68</v>
      </c>
      <c r="C733" s="68" t="s">
        <v>2426</v>
      </c>
      <c r="D733" s="68" t="s">
        <v>2696</v>
      </c>
      <c r="E733" s="68" t="s">
        <v>312</v>
      </c>
      <c r="F733" s="80" t="s">
        <v>2815</v>
      </c>
    </row>
    <row r="734" customFormat="false" ht="43.25" hidden="false" customHeight="false" outlineLevel="0" collapsed="false">
      <c r="A734" s="68" t="s">
        <v>2898</v>
      </c>
      <c r="B734" s="68" t="n">
        <v>69</v>
      </c>
      <c r="C734" s="68" t="s">
        <v>2253</v>
      </c>
      <c r="D734" s="68" t="s">
        <v>2628</v>
      </c>
      <c r="E734" s="68" t="s">
        <v>54</v>
      </c>
      <c r="F734" s="80" t="s">
        <v>2777</v>
      </c>
    </row>
    <row r="735" customFormat="false" ht="22.35" hidden="false" customHeight="false" outlineLevel="0" collapsed="false">
      <c r="A735" s="68" t="s">
        <v>2898</v>
      </c>
      <c r="B735" s="68" t="n">
        <v>69</v>
      </c>
      <c r="C735" s="68" t="s">
        <v>2260</v>
      </c>
      <c r="D735" s="68" t="s">
        <v>2628</v>
      </c>
      <c r="E735" s="68" t="s">
        <v>192</v>
      </c>
      <c r="F735" s="80" t="s">
        <v>2678</v>
      </c>
    </row>
    <row r="736" customFormat="false" ht="32.8" hidden="false" customHeight="false" outlineLevel="0" collapsed="false">
      <c r="A736" s="68" t="s">
        <v>2898</v>
      </c>
      <c r="B736" s="68" t="n">
        <v>69</v>
      </c>
      <c r="C736" s="68" t="s">
        <v>2266</v>
      </c>
      <c r="D736" s="68" t="s">
        <v>2628</v>
      </c>
      <c r="E736" s="68" t="s">
        <v>111</v>
      </c>
      <c r="F736" s="80" t="s">
        <v>2809</v>
      </c>
    </row>
    <row r="737" customFormat="false" ht="15" hidden="false" customHeight="false" outlineLevel="0" collapsed="false">
      <c r="A737" s="68" t="s">
        <v>2898</v>
      </c>
      <c r="B737" s="68" t="n">
        <v>69</v>
      </c>
      <c r="C737" s="68" t="s">
        <v>2300</v>
      </c>
      <c r="D737" s="68" t="s">
        <v>2632</v>
      </c>
      <c r="E737" s="68" t="s">
        <v>492</v>
      </c>
      <c r="F737" s="80" t="s">
        <v>2820</v>
      </c>
    </row>
    <row r="738" customFormat="false" ht="15" hidden="false" customHeight="false" outlineLevel="0" collapsed="false">
      <c r="A738" s="68" t="s">
        <v>2898</v>
      </c>
      <c r="B738" s="68" t="n">
        <v>69</v>
      </c>
      <c r="C738" s="68" t="s">
        <v>2304</v>
      </c>
      <c r="D738" s="68" t="s">
        <v>2632</v>
      </c>
      <c r="E738" s="68" t="s">
        <v>369</v>
      </c>
      <c r="F738" s="80" t="s">
        <v>2899</v>
      </c>
    </row>
    <row r="739" customFormat="false" ht="15" hidden="false" customHeight="false" outlineLevel="0" collapsed="false">
      <c r="A739" s="68" t="s">
        <v>2898</v>
      </c>
      <c r="B739" s="68" t="n">
        <v>69</v>
      </c>
      <c r="C739" s="68" t="s">
        <v>2324</v>
      </c>
      <c r="D739" s="68" t="s">
        <v>2696</v>
      </c>
      <c r="E739" s="68" t="s">
        <v>304</v>
      </c>
      <c r="F739" s="80" t="s">
        <v>2812</v>
      </c>
    </row>
    <row r="740" customFormat="false" ht="22.35" hidden="false" customHeight="false" outlineLevel="0" collapsed="false">
      <c r="A740" s="68" t="s">
        <v>2898</v>
      </c>
      <c r="B740" s="68" t="n">
        <v>69</v>
      </c>
      <c r="C740" s="68" t="s">
        <v>2351</v>
      </c>
      <c r="D740" s="68" t="s">
        <v>2696</v>
      </c>
      <c r="E740" s="68" t="n">
        <v>1393</v>
      </c>
      <c r="F740" s="80" t="s">
        <v>2813</v>
      </c>
    </row>
    <row r="741" customFormat="false" ht="43.25" hidden="false" customHeight="false" outlineLevel="0" collapsed="false">
      <c r="A741" s="68" t="s">
        <v>2898</v>
      </c>
      <c r="B741" s="68" t="n">
        <v>69</v>
      </c>
      <c r="C741" s="68" t="s">
        <v>2383</v>
      </c>
      <c r="D741" s="68" t="s">
        <v>2696</v>
      </c>
      <c r="E741" s="68" t="s">
        <v>208</v>
      </c>
      <c r="F741" s="80" t="s">
        <v>2814</v>
      </c>
    </row>
    <row r="742" customFormat="false" ht="15" hidden="false" customHeight="false" outlineLevel="0" collapsed="false">
      <c r="A742" s="68" t="s">
        <v>2898</v>
      </c>
      <c r="B742" s="68" t="n">
        <v>69</v>
      </c>
      <c r="C742" s="68" t="s">
        <v>2426</v>
      </c>
      <c r="D742" s="68" t="s">
        <v>2696</v>
      </c>
      <c r="E742" s="68" t="s">
        <v>312</v>
      </c>
      <c r="F742" s="80" t="s">
        <v>2815</v>
      </c>
    </row>
    <row r="743" customFormat="false" ht="22.35" hidden="false" customHeight="false" outlineLevel="0" collapsed="false">
      <c r="A743" s="68" t="s">
        <v>2900</v>
      </c>
      <c r="B743" s="68" t="n">
        <v>70</v>
      </c>
      <c r="C743" s="68" t="s">
        <v>2253</v>
      </c>
      <c r="D743" s="68" t="s">
        <v>2628</v>
      </c>
      <c r="E743" s="68" t="s">
        <v>48</v>
      </c>
      <c r="F743" s="80" t="s">
        <v>2653</v>
      </c>
    </row>
    <row r="744" customFormat="false" ht="22.35" hidden="false" customHeight="false" outlineLevel="0" collapsed="false">
      <c r="A744" s="68" t="s">
        <v>2900</v>
      </c>
      <c r="B744" s="68" t="n">
        <v>70</v>
      </c>
      <c r="C744" s="68" t="s">
        <v>2260</v>
      </c>
      <c r="D744" s="68" t="s">
        <v>2628</v>
      </c>
      <c r="E744" s="68" t="s">
        <v>132</v>
      </c>
      <c r="F744" s="80" t="s">
        <v>2808</v>
      </c>
    </row>
    <row r="745" customFormat="false" ht="32.8" hidden="false" customHeight="false" outlineLevel="0" collapsed="false">
      <c r="A745" s="68" t="s">
        <v>2900</v>
      </c>
      <c r="B745" s="68" t="n">
        <v>70</v>
      </c>
      <c r="C745" s="68" t="s">
        <v>2266</v>
      </c>
      <c r="D745" s="68" t="s">
        <v>2628</v>
      </c>
      <c r="E745" s="68" t="s">
        <v>115</v>
      </c>
      <c r="F745" s="80" t="s">
        <v>2823</v>
      </c>
    </row>
    <row r="746" customFormat="false" ht="15" hidden="false" customHeight="false" outlineLevel="0" collapsed="false">
      <c r="A746" s="68" t="s">
        <v>2900</v>
      </c>
      <c r="B746" s="68" t="n">
        <v>70</v>
      </c>
      <c r="C746" s="68" t="s">
        <v>2300</v>
      </c>
      <c r="D746" s="68" t="s">
        <v>2632</v>
      </c>
      <c r="E746" s="68" t="s">
        <v>479</v>
      </c>
      <c r="F746" s="80" t="s">
        <v>2810</v>
      </c>
    </row>
    <row r="747" customFormat="false" ht="15" hidden="false" customHeight="false" outlineLevel="0" collapsed="false">
      <c r="A747" s="68" t="s">
        <v>2900</v>
      </c>
      <c r="B747" s="68" t="n">
        <v>70</v>
      </c>
      <c r="C747" s="68" t="s">
        <v>2304</v>
      </c>
      <c r="D747" s="68" t="s">
        <v>2632</v>
      </c>
      <c r="E747" s="68" t="s">
        <v>369</v>
      </c>
      <c r="F747" s="80" t="s">
        <v>2901</v>
      </c>
    </row>
    <row r="748" customFormat="false" ht="15" hidden="false" customHeight="false" outlineLevel="0" collapsed="false">
      <c r="A748" s="68" t="s">
        <v>2900</v>
      </c>
      <c r="B748" s="68" t="n">
        <v>70</v>
      </c>
      <c r="C748" s="68" t="s">
        <v>2324</v>
      </c>
      <c r="D748" s="68" t="s">
        <v>2696</v>
      </c>
      <c r="E748" s="68" t="s">
        <v>304</v>
      </c>
      <c r="F748" s="80" t="s">
        <v>2812</v>
      </c>
    </row>
    <row r="749" customFormat="false" ht="22.35" hidden="false" customHeight="false" outlineLevel="0" collapsed="false">
      <c r="A749" s="68" t="s">
        <v>2900</v>
      </c>
      <c r="B749" s="68" t="n">
        <v>70</v>
      </c>
      <c r="C749" s="68" t="s">
        <v>2351</v>
      </c>
      <c r="D749" s="68" t="s">
        <v>2696</v>
      </c>
      <c r="E749" s="68" t="n">
        <v>1393</v>
      </c>
      <c r="F749" s="80" t="s">
        <v>2813</v>
      </c>
    </row>
    <row r="750" customFormat="false" ht="43.25" hidden="false" customHeight="false" outlineLevel="0" collapsed="false">
      <c r="A750" s="68" t="s">
        <v>2900</v>
      </c>
      <c r="B750" s="68" t="n">
        <v>70</v>
      </c>
      <c r="C750" s="68" t="s">
        <v>2383</v>
      </c>
      <c r="D750" s="68" t="s">
        <v>2696</v>
      </c>
      <c r="E750" s="68" t="s">
        <v>208</v>
      </c>
      <c r="F750" s="80" t="s">
        <v>2814</v>
      </c>
    </row>
    <row r="751" customFormat="false" ht="15" hidden="false" customHeight="false" outlineLevel="0" collapsed="false">
      <c r="A751" s="68" t="s">
        <v>2900</v>
      </c>
      <c r="B751" s="68" t="n">
        <v>70</v>
      </c>
      <c r="C751" s="68" t="s">
        <v>2426</v>
      </c>
      <c r="D751" s="68" t="s">
        <v>2696</v>
      </c>
      <c r="E751" s="68" t="s">
        <v>312</v>
      </c>
      <c r="F751" s="80" t="s">
        <v>2815</v>
      </c>
    </row>
    <row r="752" customFormat="false" ht="22.35" hidden="false" customHeight="false" outlineLevel="0" collapsed="false">
      <c r="A752" s="68" t="s">
        <v>2902</v>
      </c>
      <c r="B752" s="68" t="n">
        <v>71</v>
      </c>
      <c r="C752" s="68" t="s">
        <v>2253</v>
      </c>
      <c r="D752" s="68" t="s">
        <v>2628</v>
      </c>
      <c r="E752" s="68" t="s">
        <v>54</v>
      </c>
      <c r="F752" s="80" t="s">
        <v>2672</v>
      </c>
    </row>
    <row r="753" customFormat="false" ht="22.35" hidden="false" customHeight="false" outlineLevel="0" collapsed="false">
      <c r="A753" s="68" t="s">
        <v>2902</v>
      </c>
      <c r="B753" s="68" t="n">
        <v>71</v>
      </c>
      <c r="C753" s="68" t="s">
        <v>2260</v>
      </c>
      <c r="D753" s="68" t="s">
        <v>2628</v>
      </c>
      <c r="E753" s="68" t="s">
        <v>132</v>
      </c>
      <c r="F753" s="80" t="s">
        <v>2808</v>
      </c>
    </row>
    <row r="754" customFormat="false" ht="32.8" hidden="false" customHeight="false" outlineLevel="0" collapsed="false">
      <c r="A754" s="68" t="s">
        <v>2902</v>
      </c>
      <c r="B754" s="68" t="n">
        <v>71</v>
      </c>
      <c r="C754" s="68" t="s">
        <v>2266</v>
      </c>
      <c r="D754" s="68" t="s">
        <v>2628</v>
      </c>
      <c r="E754" s="68" t="s">
        <v>115</v>
      </c>
      <c r="F754" s="80" t="s">
        <v>2823</v>
      </c>
    </row>
    <row r="755" customFormat="false" ht="15" hidden="false" customHeight="false" outlineLevel="0" collapsed="false">
      <c r="A755" s="68" t="s">
        <v>2902</v>
      </c>
      <c r="B755" s="68" t="n">
        <v>71</v>
      </c>
      <c r="C755" s="68" t="s">
        <v>2300</v>
      </c>
      <c r="D755" s="68" t="s">
        <v>2632</v>
      </c>
      <c r="E755" s="68" t="s">
        <v>479</v>
      </c>
      <c r="F755" s="80" t="s">
        <v>2810</v>
      </c>
    </row>
    <row r="756" customFormat="false" ht="15" hidden="false" customHeight="false" outlineLevel="0" collapsed="false">
      <c r="A756" s="68" t="s">
        <v>2902</v>
      </c>
      <c r="B756" s="68" t="n">
        <v>71</v>
      </c>
      <c r="C756" s="68" t="s">
        <v>2304</v>
      </c>
      <c r="D756" s="68" t="s">
        <v>2632</v>
      </c>
      <c r="E756" s="68" t="s">
        <v>369</v>
      </c>
      <c r="F756" s="80" t="s">
        <v>2903</v>
      </c>
    </row>
    <row r="757" customFormat="false" ht="15" hidden="false" customHeight="false" outlineLevel="0" collapsed="false">
      <c r="A757" s="68" t="s">
        <v>2902</v>
      </c>
      <c r="B757" s="68" t="n">
        <v>71</v>
      </c>
      <c r="C757" s="68" t="s">
        <v>2324</v>
      </c>
      <c r="D757" s="68" t="s">
        <v>2696</v>
      </c>
      <c r="E757" s="68" t="s">
        <v>304</v>
      </c>
      <c r="F757" s="80" t="s">
        <v>2812</v>
      </c>
    </row>
    <row r="758" customFormat="false" ht="22.35" hidden="false" customHeight="false" outlineLevel="0" collapsed="false">
      <c r="A758" s="68" t="s">
        <v>2902</v>
      </c>
      <c r="B758" s="68" t="n">
        <v>71</v>
      </c>
      <c r="C758" s="68" t="s">
        <v>2351</v>
      </c>
      <c r="D758" s="68" t="s">
        <v>2696</v>
      </c>
      <c r="E758" s="68" t="n">
        <v>1393</v>
      </c>
      <c r="F758" s="80" t="s">
        <v>2813</v>
      </c>
    </row>
    <row r="759" customFormat="false" ht="43.25" hidden="false" customHeight="false" outlineLevel="0" collapsed="false">
      <c r="A759" s="68" t="s">
        <v>2902</v>
      </c>
      <c r="B759" s="68" t="n">
        <v>71</v>
      </c>
      <c r="C759" s="68" t="s">
        <v>2383</v>
      </c>
      <c r="D759" s="68" t="s">
        <v>2696</v>
      </c>
      <c r="E759" s="68" t="s">
        <v>208</v>
      </c>
      <c r="F759" s="80" t="s">
        <v>2814</v>
      </c>
    </row>
    <row r="760" customFormat="false" ht="15" hidden="false" customHeight="false" outlineLevel="0" collapsed="false">
      <c r="A760" s="68" t="s">
        <v>2902</v>
      </c>
      <c r="B760" s="68" t="n">
        <v>71</v>
      </c>
      <c r="C760" s="68" t="s">
        <v>2426</v>
      </c>
      <c r="D760" s="68" t="s">
        <v>2696</v>
      </c>
      <c r="E760" s="68" t="s">
        <v>312</v>
      </c>
      <c r="F760" s="80" t="s">
        <v>2815</v>
      </c>
    </row>
    <row r="761" customFormat="false" ht="22.35" hidden="false" customHeight="false" outlineLevel="0" collapsed="false">
      <c r="A761" s="68" t="s">
        <v>2904</v>
      </c>
      <c r="B761" s="68" t="n">
        <v>72</v>
      </c>
      <c r="C761" s="68" t="s">
        <v>2253</v>
      </c>
      <c r="D761" s="68" t="s">
        <v>2628</v>
      </c>
      <c r="E761" s="68" t="s">
        <v>48</v>
      </c>
      <c r="F761" s="80" t="s">
        <v>2653</v>
      </c>
    </row>
    <row r="762" customFormat="false" ht="43.25" hidden="false" customHeight="false" outlineLevel="0" collapsed="false">
      <c r="A762" s="68" t="s">
        <v>2904</v>
      </c>
      <c r="B762" s="68" t="n">
        <v>72</v>
      </c>
      <c r="C762" s="68" t="s">
        <v>2260</v>
      </c>
      <c r="D762" s="68" t="s">
        <v>2628</v>
      </c>
      <c r="E762" s="68" t="s">
        <v>132</v>
      </c>
      <c r="F762" s="80" t="s">
        <v>2905</v>
      </c>
    </row>
    <row r="763" customFormat="false" ht="53.7" hidden="false" customHeight="false" outlineLevel="0" collapsed="false">
      <c r="A763" s="68" t="s">
        <v>2904</v>
      </c>
      <c r="B763" s="68" t="n">
        <v>72</v>
      </c>
      <c r="C763" s="68" t="s">
        <v>2266</v>
      </c>
      <c r="D763" s="68" t="s">
        <v>2628</v>
      </c>
      <c r="E763" s="68" t="s">
        <v>115</v>
      </c>
      <c r="F763" s="80" t="s">
        <v>2906</v>
      </c>
    </row>
    <row r="764" customFormat="false" ht="15" hidden="false" customHeight="false" outlineLevel="0" collapsed="false">
      <c r="A764" s="68" t="s">
        <v>2904</v>
      </c>
      <c r="B764" s="68" t="n">
        <v>72</v>
      </c>
      <c r="C764" s="68" t="s">
        <v>2271</v>
      </c>
      <c r="D764" s="68" t="s">
        <v>2632</v>
      </c>
      <c r="E764" s="68" t="n">
        <v>15</v>
      </c>
      <c r="F764" s="80" t="s">
        <v>2907</v>
      </c>
    </row>
    <row r="765" customFormat="false" ht="15" hidden="false" customHeight="false" outlineLevel="0" collapsed="false">
      <c r="A765" s="68" t="s">
        <v>2904</v>
      </c>
      <c r="B765" s="68" t="n">
        <v>72</v>
      </c>
      <c r="C765" s="68" t="s">
        <v>2276</v>
      </c>
      <c r="D765" s="68" t="s">
        <v>2696</v>
      </c>
      <c r="E765" s="68" t="n">
        <v>44.9</v>
      </c>
      <c r="F765" s="80" t="s">
        <v>2908</v>
      </c>
    </row>
    <row r="766" customFormat="false" ht="15" hidden="false" customHeight="false" outlineLevel="0" collapsed="false">
      <c r="A766" s="68" t="s">
        <v>2904</v>
      </c>
      <c r="B766" s="68" t="n">
        <v>72</v>
      </c>
      <c r="C766" s="68" t="s">
        <v>2300</v>
      </c>
      <c r="D766" s="68" t="s">
        <v>2632</v>
      </c>
      <c r="E766" s="68" t="s">
        <v>479</v>
      </c>
      <c r="F766" s="80" t="s">
        <v>2810</v>
      </c>
    </row>
    <row r="767" customFormat="false" ht="15" hidden="false" customHeight="false" outlineLevel="0" collapsed="false">
      <c r="A767" s="68" t="s">
        <v>2904</v>
      </c>
      <c r="B767" s="68" t="n">
        <v>72</v>
      </c>
      <c r="C767" s="68" t="s">
        <v>2304</v>
      </c>
      <c r="D767" s="68" t="s">
        <v>2632</v>
      </c>
      <c r="E767" s="68" t="s">
        <v>369</v>
      </c>
      <c r="F767" s="80" t="s">
        <v>2909</v>
      </c>
    </row>
    <row r="768" customFormat="false" ht="15" hidden="false" customHeight="false" outlineLevel="0" collapsed="false">
      <c r="A768" s="68" t="s">
        <v>2904</v>
      </c>
      <c r="B768" s="68" t="n">
        <v>72</v>
      </c>
      <c r="C768" s="68" t="s">
        <v>2324</v>
      </c>
      <c r="D768" s="68" t="s">
        <v>2696</v>
      </c>
      <c r="E768" s="68" t="s">
        <v>304</v>
      </c>
      <c r="F768" s="80" t="s">
        <v>2812</v>
      </c>
    </row>
    <row r="769" customFormat="false" ht="22.35" hidden="false" customHeight="false" outlineLevel="0" collapsed="false">
      <c r="A769" s="68" t="s">
        <v>2904</v>
      </c>
      <c r="B769" s="68" t="n">
        <v>72</v>
      </c>
      <c r="C769" s="68" t="s">
        <v>2351</v>
      </c>
      <c r="D769" s="68" t="s">
        <v>2696</v>
      </c>
      <c r="E769" s="68" t="n">
        <v>1393</v>
      </c>
      <c r="F769" s="80" t="s">
        <v>2813</v>
      </c>
    </row>
    <row r="770" customFormat="false" ht="15" hidden="false" customHeight="false" outlineLevel="0" collapsed="false">
      <c r="A770" s="68" t="s">
        <v>2904</v>
      </c>
      <c r="B770" s="68" t="n">
        <v>72</v>
      </c>
      <c r="C770" s="68" t="s">
        <v>2362</v>
      </c>
      <c r="D770" s="68" t="s">
        <v>2628</v>
      </c>
      <c r="E770" s="68" t="s">
        <v>307</v>
      </c>
      <c r="F770" s="80" t="s">
        <v>2850</v>
      </c>
    </row>
    <row r="771" customFormat="false" ht="15" hidden="false" customHeight="false" outlineLevel="0" collapsed="false">
      <c r="A771" s="68" t="s">
        <v>2904</v>
      </c>
      <c r="B771" s="68" t="n">
        <v>72</v>
      </c>
      <c r="C771" s="68" t="s">
        <v>2383</v>
      </c>
      <c r="D771" s="68" t="s">
        <v>2628</v>
      </c>
      <c r="E771" s="68" t="s">
        <v>123</v>
      </c>
      <c r="F771" s="80" t="s">
        <v>2851</v>
      </c>
    </row>
    <row r="772" customFormat="false" ht="22.35" hidden="false" customHeight="false" outlineLevel="0" collapsed="false">
      <c r="A772" s="68" t="s">
        <v>2910</v>
      </c>
      <c r="B772" s="68" t="n">
        <v>73</v>
      </c>
      <c r="C772" s="68" t="s">
        <v>2253</v>
      </c>
      <c r="D772" s="68" t="s">
        <v>2628</v>
      </c>
      <c r="E772" s="68" t="s">
        <v>48</v>
      </c>
      <c r="F772" s="80" t="s">
        <v>2653</v>
      </c>
    </row>
    <row r="773" customFormat="false" ht="43.25" hidden="false" customHeight="false" outlineLevel="0" collapsed="false">
      <c r="A773" s="68" t="s">
        <v>2910</v>
      </c>
      <c r="B773" s="68" t="n">
        <v>73</v>
      </c>
      <c r="C773" s="68" t="s">
        <v>2260</v>
      </c>
      <c r="D773" s="68" t="s">
        <v>2628</v>
      </c>
      <c r="E773" s="68" t="s">
        <v>132</v>
      </c>
      <c r="F773" s="80" t="s">
        <v>2911</v>
      </c>
    </row>
    <row r="774" customFormat="false" ht="53.7" hidden="false" customHeight="false" outlineLevel="0" collapsed="false">
      <c r="A774" s="68" t="s">
        <v>2910</v>
      </c>
      <c r="B774" s="68" t="n">
        <v>73</v>
      </c>
      <c r="C774" s="68" t="s">
        <v>2266</v>
      </c>
      <c r="D774" s="68" t="s">
        <v>2628</v>
      </c>
      <c r="E774" s="68" t="s">
        <v>115</v>
      </c>
      <c r="F774" s="80" t="s">
        <v>2912</v>
      </c>
    </row>
    <row r="775" customFormat="false" ht="15" hidden="false" customHeight="false" outlineLevel="0" collapsed="false">
      <c r="A775" s="68" t="s">
        <v>2910</v>
      </c>
      <c r="B775" s="68" t="n">
        <v>73</v>
      </c>
      <c r="C775" s="68" t="s">
        <v>2295</v>
      </c>
      <c r="D775" s="68" t="s">
        <v>2632</v>
      </c>
      <c r="E775" s="68" t="s">
        <v>478</v>
      </c>
      <c r="F775" s="80" t="s">
        <v>2913</v>
      </c>
    </row>
    <row r="776" customFormat="false" ht="15" hidden="false" customHeight="false" outlineLevel="0" collapsed="false">
      <c r="A776" s="68" t="s">
        <v>2910</v>
      </c>
      <c r="B776" s="68" t="n">
        <v>73</v>
      </c>
      <c r="C776" s="68" t="s">
        <v>2300</v>
      </c>
      <c r="D776" s="68" t="s">
        <v>2632</v>
      </c>
      <c r="E776" s="68" t="s">
        <v>479</v>
      </c>
      <c r="F776" s="80" t="s">
        <v>2914</v>
      </c>
    </row>
    <row r="777" customFormat="false" ht="22.35" hidden="false" customHeight="false" outlineLevel="0" collapsed="false">
      <c r="A777" s="68" t="s">
        <v>2910</v>
      </c>
      <c r="B777" s="68" t="n">
        <v>73</v>
      </c>
      <c r="C777" s="68" t="s">
        <v>2304</v>
      </c>
      <c r="D777" s="68" t="s">
        <v>2696</v>
      </c>
      <c r="E777" s="68" t="s">
        <v>312</v>
      </c>
      <c r="F777" s="80" t="s">
        <v>2915</v>
      </c>
    </row>
    <row r="778" customFormat="false" ht="15" hidden="false" customHeight="false" outlineLevel="0" collapsed="false">
      <c r="A778" s="68" t="s">
        <v>2910</v>
      </c>
      <c r="B778" s="68" t="n">
        <v>73</v>
      </c>
      <c r="C778" s="68" t="s">
        <v>2324</v>
      </c>
      <c r="D778" s="68" t="s">
        <v>2696</v>
      </c>
      <c r="E778" s="68" t="s">
        <v>304</v>
      </c>
      <c r="F778" s="80" t="s">
        <v>2812</v>
      </c>
    </row>
    <row r="779" customFormat="false" ht="15" hidden="false" customHeight="false" outlineLevel="0" collapsed="false">
      <c r="A779" s="68" t="s">
        <v>2910</v>
      </c>
      <c r="B779" s="68" t="n">
        <v>73</v>
      </c>
      <c r="C779" s="68" t="s">
        <v>2337</v>
      </c>
      <c r="D779" s="68" t="s">
        <v>2632</v>
      </c>
      <c r="E779" s="68" t="s">
        <v>306</v>
      </c>
      <c r="F779" s="80" t="s">
        <v>2913</v>
      </c>
    </row>
    <row r="780" customFormat="false" ht="22.35" hidden="false" customHeight="false" outlineLevel="0" collapsed="false">
      <c r="A780" s="68" t="s">
        <v>2910</v>
      </c>
      <c r="B780" s="68" t="n">
        <v>73</v>
      </c>
      <c r="C780" s="68" t="s">
        <v>2351</v>
      </c>
      <c r="D780" s="68" t="s">
        <v>2696</v>
      </c>
      <c r="E780" s="68" t="n">
        <v>1393</v>
      </c>
      <c r="F780" s="80" t="s">
        <v>2813</v>
      </c>
    </row>
    <row r="781" customFormat="false" ht="15" hidden="false" customHeight="false" outlineLevel="0" collapsed="false">
      <c r="A781" s="68" t="s">
        <v>2910</v>
      </c>
      <c r="B781" s="68" t="n">
        <v>73</v>
      </c>
      <c r="C781" s="68" t="s">
        <v>2362</v>
      </c>
      <c r="D781" s="68" t="s">
        <v>2628</v>
      </c>
      <c r="E781" s="68" t="s">
        <v>307</v>
      </c>
      <c r="F781" s="80" t="s">
        <v>2850</v>
      </c>
    </row>
    <row r="782" customFormat="false" ht="15" hidden="false" customHeight="false" outlineLevel="0" collapsed="false">
      <c r="A782" s="68" t="s">
        <v>2910</v>
      </c>
      <c r="B782" s="68" t="n">
        <v>73</v>
      </c>
      <c r="C782" s="68" t="s">
        <v>2383</v>
      </c>
      <c r="D782" s="68" t="s">
        <v>2628</v>
      </c>
      <c r="E782" s="68" t="s">
        <v>123</v>
      </c>
      <c r="F782" s="80" t="s">
        <v>2851</v>
      </c>
    </row>
    <row r="783" customFormat="false" ht="22.35" hidden="false" customHeight="false" outlineLevel="0" collapsed="false">
      <c r="A783" s="68" t="s">
        <v>2916</v>
      </c>
      <c r="B783" s="68" t="n">
        <v>74</v>
      </c>
      <c r="C783" s="68" t="s">
        <v>2253</v>
      </c>
      <c r="D783" s="68" t="s">
        <v>2628</v>
      </c>
      <c r="E783" s="68" t="s">
        <v>51</v>
      </c>
      <c r="F783" s="80" t="s">
        <v>2662</v>
      </c>
    </row>
    <row r="784" customFormat="false" ht="43.25" hidden="false" customHeight="false" outlineLevel="0" collapsed="false">
      <c r="A784" s="68" t="s">
        <v>2916</v>
      </c>
      <c r="B784" s="68" t="n">
        <v>74</v>
      </c>
      <c r="C784" s="68" t="s">
        <v>2260</v>
      </c>
      <c r="D784" s="68" t="s">
        <v>2628</v>
      </c>
      <c r="E784" s="68" t="s">
        <v>132</v>
      </c>
      <c r="F784" s="80" t="s">
        <v>2917</v>
      </c>
    </row>
    <row r="785" customFormat="false" ht="53.7" hidden="false" customHeight="false" outlineLevel="0" collapsed="false">
      <c r="A785" s="68" t="s">
        <v>2916</v>
      </c>
      <c r="B785" s="68" t="n">
        <v>74</v>
      </c>
      <c r="C785" s="68" t="s">
        <v>2266</v>
      </c>
      <c r="D785" s="68" t="s">
        <v>2628</v>
      </c>
      <c r="E785" s="68" t="s">
        <v>115</v>
      </c>
      <c r="F785" s="80" t="s">
        <v>2918</v>
      </c>
    </row>
    <row r="786" customFormat="false" ht="15" hidden="false" customHeight="false" outlineLevel="0" collapsed="false">
      <c r="A786" s="68" t="s">
        <v>2916</v>
      </c>
      <c r="B786" s="68" t="n">
        <v>74</v>
      </c>
      <c r="C786" s="68" t="s">
        <v>2295</v>
      </c>
      <c r="D786" s="68" t="s">
        <v>2632</v>
      </c>
      <c r="E786" s="68" t="s">
        <v>478</v>
      </c>
      <c r="F786" s="80" t="s">
        <v>2919</v>
      </c>
    </row>
    <row r="787" customFormat="false" ht="15" hidden="false" customHeight="false" outlineLevel="0" collapsed="false">
      <c r="A787" s="68" t="s">
        <v>2916</v>
      </c>
      <c r="B787" s="68" t="n">
        <v>74</v>
      </c>
      <c r="C787" s="68" t="s">
        <v>2300</v>
      </c>
      <c r="D787" s="68" t="s">
        <v>2632</v>
      </c>
      <c r="E787" s="68" t="s">
        <v>479</v>
      </c>
      <c r="F787" s="80" t="s">
        <v>2920</v>
      </c>
    </row>
    <row r="788" customFormat="false" ht="15" hidden="false" customHeight="false" outlineLevel="0" collapsed="false">
      <c r="A788" s="68" t="s">
        <v>2916</v>
      </c>
      <c r="B788" s="68" t="n">
        <v>74</v>
      </c>
      <c r="C788" s="68" t="s">
        <v>2304</v>
      </c>
      <c r="D788" s="68" t="s">
        <v>2632</v>
      </c>
      <c r="E788" s="68" t="s">
        <v>369</v>
      </c>
      <c r="F788" s="80" t="s">
        <v>2921</v>
      </c>
    </row>
    <row r="789" customFormat="false" ht="15" hidden="false" customHeight="false" outlineLevel="0" collapsed="false">
      <c r="A789" s="68" t="s">
        <v>2916</v>
      </c>
      <c r="B789" s="68" t="n">
        <v>74</v>
      </c>
      <c r="C789" s="68" t="s">
        <v>2324</v>
      </c>
      <c r="D789" s="68" t="s">
        <v>2696</v>
      </c>
      <c r="E789" s="68" t="s">
        <v>304</v>
      </c>
      <c r="F789" s="80" t="s">
        <v>2812</v>
      </c>
    </row>
    <row r="790" customFormat="false" ht="15" hidden="false" customHeight="false" outlineLevel="0" collapsed="false">
      <c r="A790" s="68" t="s">
        <v>2916</v>
      </c>
      <c r="B790" s="68" t="n">
        <v>74</v>
      </c>
      <c r="C790" s="68" t="s">
        <v>2337</v>
      </c>
      <c r="D790" s="68" t="s">
        <v>2632</v>
      </c>
      <c r="E790" s="68" t="s">
        <v>306</v>
      </c>
      <c r="F790" s="80" t="s">
        <v>2919</v>
      </c>
    </row>
    <row r="791" customFormat="false" ht="22.35" hidden="false" customHeight="false" outlineLevel="0" collapsed="false">
      <c r="A791" s="68" t="s">
        <v>2916</v>
      </c>
      <c r="B791" s="68" t="n">
        <v>74</v>
      </c>
      <c r="C791" s="68" t="s">
        <v>2351</v>
      </c>
      <c r="D791" s="68" t="s">
        <v>2696</v>
      </c>
      <c r="E791" s="68" t="n">
        <v>1393</v>
      </c>
      <c r="F791" s="80" t="s">
        <v>2813</v>
      </c>
    </row>
    <row r="792" customFormat="false" ht="15" hidden="false" customHeight="false" outlineLevel="0" collapsed="false">
      <c r="A792" s="68" t="s">
        <v>2916</v>
      </c>
      <c r="B792" s="68" t="n">
        <v>74</v>
      </c>
      <c r="C792" s="68" t="s">
        <v>2362</v>
      </c>
      <c r="D792" s="68" t="s">
        <v>2628</v>
      </c>
      <c r="E792" s="68" t="s">
        <v>307</v>
      </c>
      <c r="F792" s="80" t="s">
        <v>2850</v>
      </c>
    </row>
    <row r="793" customFormat="false" ht="15" hidden="false" customHeight="false" outlineLevel="0" collapsed="false">
      <c r="A793" s="68" t="s">
        <v>2916</v>
      </c>
      <c r="B793" s="68" t="n">
        <v>74</v>
      </c>
      <c r="C793" s="68" t="s">
        <v>2383</v>
      </c>
      <c r="D793" s="68" t="s">
        <v>2628</v>
      </c>
      <c r="E793" s="68" t="s">
        <v>123</v>
      </c>
      <c r="F793" s="80" t="s">
        <v>2851</v>
      </c>
    </row>
    <row r="794" customFormat="false" ht="22.35" hidden="false" customHeight="false" outlineLevel="0" collapsed="false">
      <c r="A794" s="68" t="s">
        <v>2922</v>
      </c>
      <c r="B794" s="68" t="n">
        <v>75</v>
      </c>
      <c r="C794" s="68" t="s">
        <v>2253</v>
      </c>
      <c r="D794" s="68" t="s">
        <v>2628</v>
      </c>
      <c r="E794" s="68" t="s">
        <v>51</v>
      </c>
      <c r="F794" s="80" t="s">
        <v>2662</v>
      </c>
    </row>
    <row r="795" customFormat="false" ht="43.25" hidden="false" customHeight="false" outlineLevel="0" collapsed="false">
      <c r="A795" s="68" t="s">
        <v>2922</v>
      </c>
      <c r="B795" s="68" t="n">
        <v>75</v>
      </c>
      <c r="C795" s="68" t="s">
        <v>2260</v>
      </c>
      <c r="D795" s="68" t="s">
        <v>2628</v>
      </c>
      <c r="E795" s="68" t="s">
        <v>132</v>
      </c>
      <c r="F795" s="80" t="s">
        <v>2917</v>
      </c>
    </row>
    <row r="796" customFormat="false" ht="53.7" hidden="false" customHeight="false" outlineLevel="0" collapsed="false">
      <c r="A796" s="68" t="s">
        <v>2922</v>
      </c>
      <c r="B796" s="68" t="n">
        <v>75</v>
      </c>
      <c r="C796" s="68" t="s">
        <v>2266</v>
      </c>
      <c r="D796" s="68" t="s">
        <v>2628</v>
      </c>
      <c r="E796" s="68" t="s">
        <v>115</v>
      </c>
      <c r="F796" s="80" t="s">
        <v>2918</v>
      </c>
    </row>
    <row r="797" customFormat="false" ht="15" hidden="false" customHeight="false" outlineLevel="0" collapsed="false">
      <c r="A797" s="68" t="s">
        <v>2922</v>
      </c>
      <c r="B797" s="68" t="n">
        <v>75</v>
      </c>
      <c r="C797" s="68" t="s">
        <v>2295</v>
      </c>
      <c r="D797" s="68" t="s">
        <v>2632</v>
      </c>
      <c r="E797" s="68" t="s">
        <v>478</v>
      </c>
      <c r="F797" s="80" t="s">
        <v>2919</v>
      </c>
    </row>
    <row r="798" customFormat="false" ht="15" hidden="false" customHeight="false" outlineLevel="0" collapsed="false">
      <c r="A798" s="68" t="s">
        <v>2922</v>
      </c>
      <c r="B798" s="68" t="n">
        <v>75</v>
      </c>
      <c r="C798" s="68" t="s">
        <v>2300</v>
      </c>
      <c r="D798" s="68" t="s">
        <v>2632</v>
      </c>
      <c r="E798" s="68" t="s">
        <v>479</v>
      </c>
      <c r="F798" s="80" t="s">
        <v>2920</v>
      </c>
    </row>
    <row r="799" customFormat="false" ht="15" hidden="false" customHeight="false" outlineLevel="0" collapsed="false">
      <c r="A799" s="68" t="s">
        <v>2922</v>
      </c>
      <c r="B799" s="68" t="n">
        <v>75</v>
      </c>
      <c r="C799" s="68" t="s">
        <v>2304</v>
      </c>
      <c r="D799" s="68" t="s">
        <v>2632</v>
      </c>
      <c r="E799" s="68" t="s">
        <v>369</v>
      </c>
      <c r="F799" s="80" t="s">
        <v>2921</v>
      </c>
    </row>
    <row r="800" customFormat="false" ht="15" hidden="false" customHeight="false" outlineLevel="0" collapsed="false">
      <c r="A800" s="68" t="s">
        <v>2922</v>
      </c>
      <c r="B800" s="68" t="n">
        <v>75</v>
      </c>
      <c r="C800" s="68" t="s">
        <v>2324</v>
      </c>
      <c r="D800" s="68" t="s">
        <v>2696</v>
      </c>
      <c r="E800" s="68" t="s">
        <v>304</v>
      </c>
      <c r="F800" s="80" t="s">
        <v>2812</v>
      </c>
    </row>
    <row r="801" customFormat="false" ht="15" hidden="false" customHeight="false" outlineLevel="0" collapsed="false">
      <c r="A801" s="68" t="s">
        <v>2922</v>
      </c>
      <c r="B801" s="68" t="n">
        <v>75</v>
      </c>
      <c r="C801" s="68" t="s">
        <v>2337</v>
      </c>
      <c r="D801" s="68" t="s">
        <v>2632</v>
      </c>
      <c r="E801" s="68" t="s">
        <v>306</v>
      </c>
      <c r="F801" s="80" t="s">
        <v>2919</v>
      </c>
    </row>
    <row r="802" customFormat="false" ht="22.35" hidden="false" customHeight="false" outlineLevel="0" collapsed="false">
      <c r="A802" s="68" t="s">
        <v>2922</v>
      </c>
      <c r="B802" s="68" t="n">
        <v>75</v>
      </c>
      <c r="C802" s="68" t="s">
        <v>2351</v>
      </c>
      <c r="D802" s="68" t="s">
        <v>2696</v>
      </c>
      <c r="E802" s="68" t="n">
        <v>1393</v>
      </c>
      <c r="F802" s="80" t="s">
        <v>2813</v>
      </c>
    </row>
    <row r="803" customFormat="false" ht="15" hidden="false" customHeight="false" outlineLevel="0" collapsed="false">
      <c r="A803" s="68" t="s">
        <v>2922</v>
      </c>
      <c r="B803" s="68" t="n">
        <v>75</v>
      </c>
      <c r="C803" s="68" t="s">
        <v>2362</v>
      </c>
      <c r="D803" s="68" t="s">
        <v>2628</v>
      </c>
      <c r="E803" s="68" t="s">
        <v>307</v>
      </c>
      <c r="F803" s="80" t="s">
        <v>2850</v>
      </c>
    </row>
    <row r="804" customFormat="false" ht="15" hidden="false" customHeight="false" outlineLevel="0" collapsed="false">
      <c r="A804" s="68" t="s">
        <v>2922</v>
      </c>
      <c r="B804" s="68" t="n">
        <v>75</v>
      </c>
      <c r="C804" s="68" t="s">
        <v>2383</v>
      </c>
      <c r="D804" s="68" t="s">
        <v>2628</v>
      </c>
      <c r="E804" s="68" t="s">
        <v>123</v>
      </c>
      <c r="F804" s="80" t="s">
        <v>2851</v>
      </c>
    </row>
    <row r="805" customFormat="false" ht="22.35" hidden="false" customHeight="false" outlineLevel="0" collapsed="false">
      <c r="A805" s="68" t="s">
        <v>2923</v>
      </c>
      <c r="B805" s="68" t="n">
        <v>76</v>
      </c>
      <c r="C805" s="68" t="s">
        <v>2253</v>
      </c>
      <c r="D805" s="68" t="s">
        <v>2628</v>
      </c>
      <c r="E805" s="68" t="s">
        <v>54</v>
      </c>
      <c r="F805" s="80" t="s">
        <v>2672</v>
      </c>
    </row>
    <row r="806" customFormat="false" ht="43.25" hidden="false" customHeight="false" outlineLevel="0" collapsed="false">
      <c r="A806" s="68" t="s">
        <v>2923</v>
      </c>
      <c r="B806" s="68" t="n">
        <v>76</v>
      </c>
      <c r="C806" s="68" t="s">
        <v>2260</v>
      </c>
      <c r="D806" s="68" t="s">
        <v>2628</v>
      </c>
      <c r="E806" s="68" t="s">
        <v>192</v>
      </c>
      <c r="F806" s="80" t="s">
        <v>2924</v>
      </c>
    </row>
    <row r="807" customFormat="false" ht="53.7" hidden="false" customHeight="false" outlineLevel="0" collapsed="false">
      <c r="A807" s="68" t="s">
        <v>2923</v>
      </c>
      <c r="B807" s="68" t="n">
        <v>76</v>
      </c>
      <c r="C807" s="68" t="s">
        <v>2266</v>
      </c>
      <c r="D807" s="68" t="s">
        <v>2628</v>
      </c>
      <c r="E807" s="68" t="s">
        <v>111</v>
      </c>
      <c r="F807" s="80" t="s">
        <v>2925</v>
      </c>
    </row>
    <row r="808" customFormat="false" ht="15" hidden="false" customHeight="false" outlineLevel="0" collapsed="false">
      <c r="A808" s="68" t="s">
        <v>2923</v>
      </c>
      <c r="B808" s="68" t="n">
        <v>76</v>
      </c>
      <c r="C808" s="68" t="s">
        <v>2295</v>
      </c>
      <c r="D808" s="68" t="s">
        <v>2632</v>
      </c>
      <c r="E808" s="68" t="s">
        <v>491</v>
      </c>
      <c r="F808" s="80" t="s">
        <v>2926</v>
      </c>
    </row>
    <row r="809" customFormat="false" ht="15" hidden="false" customHeight="false" outlineLevel="0" collapsed="false">
      <c r="A809" s="68" t="s">
        <v>2923</v>
      </c>
      <c r="B809" s="68" t="n">
        <v>76</v>
      </c>
      <c r="C809" s="68" t="s">
        <v>2300</v>
      </c>
      <c r="D809" s="68" t="s">
        <v>2632</v>
      </c>
      <c r="E809" s="68" t="s">
        <v>492</v>
      </c>
      <c r="F809" s="80" t="s">
        <v>2927</v>
      </c>
    </row>
    <row r="810" customFormat="false" ht="22.35" hidden="false" customHeight="false" outlineLevel="0" collapsed="false">
      <c r="A810" s="68" t="s">
        <v>2923</v>
      </c>
      <c r="B810" s="68" t="n">
        <v>76</v>
      </c>
      <c r="C810" s="68" t="s">
        <v>2304</v>
      </c>
      <c r="D810" s="68" t="s">
        <v>2696</v>
      </c>
      <c r="E810" s="68" t="s">
        <v>312</v>
      </c>
      <c r="F810" s="80" t="s">
        <v>2928</v>
      </c>
    </row>
    <row r="811" customFormat="false" ht="15" hidden="false" customHeight="false" outlineLevel="0" collapsed="false">
      <c r="A811" s="68" t="s">
        <v>2923</v>
      </c>
      <c r="B811" s="68" t="n">
        <v>76</v>
      </c>
      <c r="C811" s="68" t="s">
        <v>2324</v>
      </c>
      <c r="D811" s="68" t="s">
        <v>2696</v>
      </c>
      <c r="E811" s="68" t="s">
        <v>304</v>
      </c>
      <c r="F811" s="80" t="s">
        <v>2812</v>
      </c>
    </row>
    <row r="812" customFormat="false" ht="15" hidden="false" customHeight="false" outlineLevel="0" collapsed="false">
      <c r="A812" s="68" t="s">
        <v>2923</v>
      </c>
      <c r="B812" s="68" t="n">
        <v>76</v>
      </c>
      <c r="C812" s="68" t="s">
        <v>2337</v>
      </c>
      <c r="D812" s="68" t="s">
        <v>2632</v>
      </c>
      <c r="E812" s="68" t="s">
        <v>493</v>
      </c>
      <c r="F812" s="80" t="s">
        <v>2926</v>
      </c>
    </row>
    <row r="813" customFormat="false" ht="22.35" hidden="false" customHeight="false" outlineLevel="0" collapsed="false">
      <c r="A813" s="68" t="s">
        <v>2923</v>
      </c>
      <c r="B813" s="68" t="n">
        <v>76</v>
      </c>
      <c r="C813" s="68" t="s">
        <v>2351</v>
      </c>
      <c r="D813" s="68" t="s">
        <v>2696</v>
      </c>
      <c r="E813" s="68" t="n">
        <v>1393</v>
      </c>
      <c r="F813" s="80" t="s">
        <v>2813</v>
      </c>
    </row>
    <row r="814" customFormat="false" ht="15" hidden="false" customHeight="false" outlineLevel="0" collapsed="false">
      <c r="A814" s="68" t="s">
        <v>2923</v>
      </c>
      <c r="B814" s="68" t="n">
        <v>76</v>
      </c>
      <c r="C814" s="68" t="s">
        <v>2362</v>
      </c>
      <c r="D814" s="68" t="s">
        <v>2628</v>
      </c>
      <c r="E814" s="68" t="s">
        <v>307</v>
      </c>
      <c r="F814" s="80" t="s">
        <v>2850</v>
      </c>
    </row>
    <row r="815" customFormat="false" ht="15" hidden="false" customHeight="false" outlineLevel="0" collapsed="false">
      <c r="A815" s="68" t="s">
        <v>2923</v>
      </c>
      <c r="B815" s="68" t="n">
        <v>76</v>
      </c>
      <c r="C815" s="68" t="s">
        <v>2383</v>
      </c>
      <c r="D815" s="68" t="s">
        <v>2628</v>
      </c>
      <c r="E815" s="68" t="s">
        <v>123</v>
      </c>
      <c r="F815" s="80" t="s">
        <v>2851</v>
      </c>
    </row>
    <row r="816" customFormat="false" ht="43.25" hidden="false" customHeight="false" outlineLevel="0" collapsed="false">
      <c r="A816" s="68" t="s">
        <v>2929</v>
      </c>
      <c r="B816" s="68" t="n">
        <v>77</v>
      </c>
      <c r="C816" s="68" t="s">
        <v>2253</v>
      </c>
      <c r="D816" s="68" t="s">
        <v>2628</v>
      </c>
      <c r="E816" s="68" t="s">
        <v>54</v>
      </c>
      <c r="F816" s="80" t="s">
        <v>2777</v>
      </c>
    </row>
    <row r="817" customFormat="false" ht="43.25" hidden="false" customHeight="false" outlineLevel="0" collapsed="false">
      <c r="A817" s="68" t="s">
        <v>2929</v>
      </c>
      <c r="B817" s="68" t="n">
        <v>77</v>
      </c>
      <c r="C817" s="68" t="s">
        <v>2260</v>
      </c>
      <c r="D817" s="68" t="s">
        <v>2628</v>
      </c>
      <c r="E817" s="68" t="s">
        <v>192</v>
      </c>
      <c r="F817" s="80" t="s">
        <v>2930</v>
      </c>
    </row>
    <row r="818" customFormat="false" ht="53.7" hidden="false" customHeight="false" outlineLevel="0" collapsed="false">
      <c r="A818" s="68" t="s">
        <v>2929</v>
      </c>
      <c r="B818" s="68" t="n">
        <v>77</v>
      </c>
      <c r="C818" s="68" t="s">
        <v>2266</v>
      </c>
      <c r="D818" s="68" t="s">
        <v>2628</v>
      </c>
      <c r="E818" s="68" t="s">
        <v>115</v>
      </c>
      <c r="F818" s="80" t="s">
        <v>2931</v>
      </c>
    </row>
    <row r="819" customFormat="false" ht="15" hidden="false" customHeight="false" outlineLevel="0" collapsed="false">
      <c r="A819" s="68" t="s">
        <v>2929</v>
      </c>
      <c r="B819" s="68" t="n">
        <v>77</v>
      </c>
      <c r="C819" s="68" t="s">
        <v>2295</v>
      </c>
      <c r="D819" s="68" t="s">
        <v>2632</v>
      </c>
      <c r="E819" s="68" t="s">
        <v>478</v>
      </c>
      <c r="F819" s="80" t="s">
        <v>2932</v>
      </c>
    </row>
    <row r="820" customFormat="false" ht="15" hidden="false" customHeight="false" outlineLevel="0" collapsed="false">
      <c r="A820" s="68" t="s">
        <v>2929</v>
      </c>
      <c r="B820" s="68" t="n">
        <v>77</v>
      </c>
      <c r="C820" s="68" t="s">
        <v>2300</v>
      </c>
      <c r="D820" s="68" t="s">
        <v>2632</v>
      </c>
      <c r="E820" s="68" t="s">
        <v>479</v>
      </c>
      <c r="F820" s="80" t="s">
        <v>2933</v>
      </c>
    </row>
    <row r="821" customFormat="false" ht="15" hidden="false" customHeight="false" outlineLevel="0" collapsed="false">
      <c r="A821" s="68" t="s">
        <v>2929</v>
      </c>
      <c r="B821" s="68" t="n">
        <v>77</v>
      </c>
      <c r="C821" s="68" t="s">
        <v>2304</v>
      </c>
      <c r="D821" s="68" t="s">
        <v>2632</v>
      </c>
      <c r="E821" s="68" t="s">
        <v>369</v>
      </c>
      <c r="F821" s="80" t="s">
        <v>2934</v>
      </c>
    </row>
    <row r="822" customFormat="false" ht="15" hidden="false" customHeight="false" outlineLevel="0" collapsed="false">
      <c r="A822" s="68" t="s">
        <v>2929</v>
      </c>
      <c r="B822" s="68" t="n">
        <v>77</v>
      </c>
      <c r="C822" s="68" t="s">
        <v>2324</v>
      </c>
      <c r="D822" s="68" t="s">
        <v>2696</v>
      </c>
      <c r="E822" s="68" t="s">
        <v>304</v>
      </c>
      <c r="F822" s="80" t="s">
        <v>2812</v>
      </c>
    </row>
    <row r="823" customFormat="false" ht="15" hidden="false" customHeight="false" outlineLevel="0" collapsed="false">
      <c r="A823" s="68" t="s">
        <v>2929</v>
      </c>
      <c r="B823" s="68" t="n">
        <v>77</v>
      </c>
      <c r="C823" s="68" t="s">
        <v>2337</v>
      </c>
      <c r="D823" s="68" t="s">
        <v>2632</v>
      </c>
      <c r="E823" s="68" t="s">
        <v>351</v>
      </c>
      <c r="F823" s="80" t="s">
        <v>2935</v>
      </c>
    </row>
    <row r="824" customFormat="false" ht="22.35" hidden="false" customHeight="false" outlineLevel="0" collapsed="false">
      <c r="A824" s="68" t="s">
        <v>2929</v>
      </c>
      <c r="B824" s="68" t="n">
        <v>77</v>
      </c>
      <c r="C824" s="68" t="s">
        <v>2351</v>
      </c>
      <c r="D824" s="68" t="s">
        <v>2696</v>
      </c>
      <c r="E824" s="68" t="n">
        <v>1393</v>
      </c>
      <c r="F824" s="80" t="s">
        <v>2813</v>
      </c>
    </row>
    <row r="825" customFormat="false" ht="15" hidden="false" customHeight="false" outlineLevel="0" collapsed="false">
      <c r="A825" s="68" t="s">
        <v>2929</v>
      </c>
      <c r="B825" s="68" t="n">
        <v>77</v>
      </c>
      <c r="C825" s="68" t="s">
        <v>2362</v>
      </c>
      <c r="D825" s="68" t="s">
        <v>2628</v>
      </c>
      <c r="E825" s="68" t="s">
        <v>307</v>
      </c>
      <c r="F825" s="80" t="s">
        <v>2850</v>
      </c>
    </row>
    <row r="826" customFormat="false" ht="15" hidden="false" customHeight="false" outlineLevel="0" collapsed="false">
      <c r="A826" s="68" t="s">
        <v>2929</v>
      </c>
      <c r="B826" s="68" t="n">
        <v>77</v>
      </c>
      <c r="C826" s="68" t="s">
        <v>2383</v>
      </c>
      <c r="D826" s="68" t="s">
        <v>2628</v>
      </c>
      <c r="E826" s="68" t="s">
        <v>123</v>
      </c>
      <c r="F826" s="80" t="s">
        <v>2851</v>
      </c>
    </row>
    <row r="827" customFormat="false" ht="22.35" hidden="false" customHeight="false" outlineLevel="0" collapsed="false">
      <c r="A827" s="68" t="s">
        <v>2936</v>
      </c>
      <c r="B827" s="68" t="n">
        <v>78</v>
      </c>
      <c r="C827" s="68" t="s">
        <v>2253</v>
      </c>
      <c r="D827" s="68" t="s">
        <v>2628</v>
      </c>
      <c r="E827" s="68" t="s">
        <v>51</v>
      </c>
      <c r="F827" s="80" t="s">
        <v>2662</v>
      </c>
    </row>
    <row r="828" customFormat="false" ht="43.25" hidden="false" customHeight="false" outlineLevel="0" collapsed="false">
      <c r="A828" s="68" t="s">
        <v>2936</v>
      </c>
      <c r="B828" s="68" t="n">
        <v>78</v>
      </c>
      <c r="C828" s="68" t="s">
        <v>2260</v>
      </c>
      <c r="D828" s="68" t="s">
        <v>2628</v>
      </c>
      <c r="E828" s="68" t="s">
        <v>132</v>
      </c>
      <c r="F828" s="80" t="s">
        <v>2937</v>
      </c>
    </row>
    <row r="829" customFormat="false" ht="53.7" hidden="false" customHeight="false" outlineLevel="0" collapsed="false">
      <c r="A829" s="68" t="s">
        <v>2936</v>
      </c>
      <c r="B829" s="68" t="n">
        <v>78</v>
      </c>
      <c r="C829" s="68" t="s">
        <v>2266</v>
      </c>
      <c r="D829" s="68" t="s">
        <v>2628</v>
      </c>
      <c r="E829" s="68" t="s">
        <v>115</v>
      </c>
      <c r="F829" s="80" t="s">
        <v>2938</v>
      </c>
    </row>
    <row r="830" customFormat="false" ht="15" hidden="false" customHeight="false" outlineLevel="0" collapsed="false">
      <c r="A830" s="68" t="s">
        <v>2936</v>
      </c>
      <c r="B830" s="68" t="n">
        <v>78</v>
      </c>
      <c r="C830" s="68" t="s">
        <v>2271</v>
      </c>
      <c r="D830" s="68" t="s">
        <v>2632</v>
      </c>
      <c r="E830" s="68" t="n">
        <v>50</v>
      </c>
      <c r="F830" s="80" t="s">
        <v>2939</v>
      </c>
    </row>
    <row r="831" customFormat="false" ht="15" hidden="false" customHeight="false" outlineLevel="0" collapsed="false">
      <c r="A831" s="68" t="s">
        <v>2936</v>
      </c>
      <c r="B831" s="68" t="n">
        <v>78</v>
      </c>
      <c r="C831" s="68" t="s">
        <v>2276</v>
      </c>
      <c r="D831" s="68" t="s">
        <v>2696</v>
      </c>
      <c r="E831" s="68" t="n">
        <v>30.6</v>
      </c>
      <c r="F831" s="80" t="s">
        <v>2940</v>
      </c>
    </row>
    <row r="832" customFormat="false" ht="15" hidden="false" customHeight="false" outlineLevel="0" collapsed="false">
      <c r="A832" s="68" t="s">
        <v>2936</v>
      </c>
      <c r="B832" s="68" t="n">
        <v>78</v>
      </c>
      <c r="C832" s="68" t="s">
        <v>2300</v>
      </c>
      <c r="D832" s="68" t="s">
        <v>2632</v>
      </c>
      <c r="E832" s="68" t="s">
        <v>479</v>
      </c>
      <c r="F832" s="80" t="s">
        <v>2810</v>
      </c>
    </row>
    <row r="833" customFormat="false" ht="22.35" hidden="false" customHeight="false" outlineLevel="0" collapsed="false">
      <c r="A833" s="68" t="s">
        <v>2936</v>
      </c>
      <c r="B833" s="68" t="n">
        <v>78</v>
      </c>
      <c r="C833" s="68" t="s">
        <v>2304</v>
      </c>
      <c r="D833" s="68" t="s">
        <v>2696</v>
      </c>
      <c r="E833" s="68" t="s">
        <v>312</v>
      </c>
      <c r="F833" s="80" t="s">
        <v>2941</v>
      </c>
    </row>
    <row r="834" customFormat="false" ht="15" hidden="false" customHeight="false" outlineLevel="0" collapsed="false">
      <c r="A834" s="68" t="s">
        <v>2936</v>
      </c>
      <c r="B834" s="68" t="n">
        <v>78</v>
      </c>
      <c r="C834" s="68" t="s">
        <v>2324</v>
      </c>
      <c r="D834" s="68" t="s">
        <v>2696</v>
      </c>
      <c r="E834" s="68" t="s">
        <v>304</v>
      </c>
      <c r="F834" s="80" t="s">
        <v>2812</v>
      </c>
    </row>
    <row r="835" customFormat="false" ht="22.35" hidden="false" customHeight="false" outlineLevel="0" collapsed="false">
      <c r="A835" s="68" t="s">
        <v>2936</v>
      </c>
      <c r="B835" s="68" t="n">
        <v>78</v>
      </c>
      <c r="C835" s="68" t="s">
        <v>2351</v>
      </c>
      <c r="D835" s="68" t="s">
        <v>2696</v>
      </c>
      <c r="E835" s="68" t="n">
        <v>1393</v>
      </c>
      <c r="F835" s="80" t="s">
        <v>2813</v>
      </c>
    </row>
    <row r="836" customFormat="false" ht="15" hidden="false" customHeight="false" outlineLevel="0" collapsed="false">
      <c r="A836" s="68" t="s">
        <v>2936</v>
      </c>
      <c r="B836" s="68" t="n">
        <v>78</v>
      </c>
      <c r="C836" s="68" t="s">
        <v>2362</v>
      </c>
      <c r="D836" s="68" t="s">
        <v>2628</v>
      </c>
      <c r="E836" s="68" t="s">
        <v>307</v>
      </c>
      <c r="F836" s="80" t="s">
        <v>2850</v>
      </c>
    </row>
    <row r="837" customFormat="false" ht="15" hidden="false" customHeight="false" outlineLevel="0" collapsed="false">
      <c r="A837" s="68" t="s">
        <v>2936</v>
      </c>
      <c r="B837" s="68" t="n">
        <v>78</v>
      </c>
      <c r="C837" s="68" t="s">
        <v>2383</v>
      </c>
      <c r="D837" s="68" t="s">
        <v>2628</v>
      </c>
      <c r="E837" s="68" t="s">
        <v>123</v>
      </c>
      <c r="F837" s="80" t="s">
        <v>2851</v>
      </c>
    </row>
    <row r="838" customFormat="false" ht="22.35" hidden="false" customHeight="false" outlineLevel="0" collapsed="false">
      <c r="A838" s="68" t="s">
        <v>2942</v>
      </c>
      <c r="B838" s="68" t="n">
        <v>79</v>
      </c>
      <c r="C838" s="68" t="s">
        <v>2253</v>
      </c>
      <c r="D838" s="68" t="s">
        <v>2628</v>
      </c>
      <c r="E838" s="68" t="s">
        <v>48</v>
      </c>
      <c r="F838" s="80" t="s">
        <v>2653</v>
      </c>
    </row>
    <row r="839" customFormat="false" ht="22.35" hidden="false" customHeight="false" outlineLevel="0" collapsed="false">
      <c r="A839" s="68" t="s">
        <v>2942</v>
      </c>
      <c r="B839" s="68" t="n">
        <v>79</v>
      </c>
      <c r="C839" s="68" t="s">
        <v>2260</v>
      </c>
      <c r="D839" s="68" t="s">
        <v>2628</v>
      </c>
      <c r="E839" s="68" t="s">
        <v>192</v>
      </c>
      <c r="F839" s="80" t="s">
        <v>2678</v>
      </c>
    </row>
    <row r="840" customFormat="false" ht="32.8" hidden="false" customHeight="false" outlineLevel="0" collapsed="false">
      <c r="A840" s="68" t="s">
        <v>2942</v>
      </c>
      <c r="B840" s="68" t="n">
        <v>79</v>
      </c>
      <c r="C840" s="68" t="s">
        <v>2266</v>
      </c>
      <c r="D840" s="68" t="s">
        <v>2628</v>
      </c>
      <c r="E840" s="68" t="s">
        <v>74</v>
      </c>
      <c r="F840" s="80" t="s">
        <v>2943</v>
      </c>
    </row>
    <row r="841" customFormat="false" ht="15" hidden="false" customHeight="false" outlineLevel="0" collapsed="false">
      <c r="A841" s="68" t="s">
        <v>2942</v>
      </c>
      <c r="B841" s="68" t="n">
        <v>79</v>
      </c>
      <c r="C841" s="68" t="s">
        <v>2300</v>
      </c>
      <c r="D841" s="68" t="s">
        <v>2632</v>
      </c>
      <c r="E841" s="68" t="s">
        <v>624</v>
      </c>
      <c r="F841" s="80" t="s">
        <v>2944</v>
      </c>
    </row>
    <row r="842" customFormat="false" ht="22.35" hidden="false" customHeight="false" outlineLevel="0" collapsed="false">
      <c r="A842" s="68" t="s">
        <v>2942</v>
      </c>
      <c r="B842" s="68" t="n">
        <v>79</v>
      </c>
      <c r="C842" s="68" t="s">
        <v>2304</v>
      </c>
      <c r="D842" s="68" t="s">
        <v>2696</v>
      </c>
      <c r="E842" s="68" t="s">
        <v>312</v>
      </c>
      <c r="F842" s="80" t="s">
        <v>2945</v>
      </c>
    </row>
    <row r="843" customFormat="false" ht="15" hidden="false" customHeight="false" outlineLevel="0" collapsed="false">
      <c r="A843" s="68" t="s">
        <v>2942</v>
      </c>
      <c r="B843" s="68" t="n">
        <v>79</v>
      </c>
      <c r="C843" s="68" t="s">
        <v>2324</v>
      </c>
      <c r="D843" s="68" t="s">
        <v>2696</v>
      </c>
      <c r="E843" s="68" t="s">
        <v>304</v>
      </c>
      <c r="F843" s="80" t="s">
        <v>2812</v>
      </c>
    </row>
    <row r="844" customFormat="false" ht="22.35" hidden="false" customHeight="false" outlineLevel="0" collapsed="false">
      <c r="A844" s="68" t="s">
        <v>2942</v>
      </c>
      <c r="B844" s="68" t="n">
        <v>79</v>
      </c>
      <c r="C844" s="68" t="s">
        <v>2351</v>
      </c>
      <c r="D844" s="68" t="s">
        <v>2696</v>
      </c>
      <c r="E844" s="68" t="n">
        <v>1393</v>
      </c>
      <c r="F844" s="80" t="s">
        <v>2813</v>
      </c>
    </row>
    <row r="845" customFormat="false" ht="43.25" hidden="false" customHeight="false" outlineLevel="0" collapsed="false">
      <c r="A845" s="68" t="s">
        <v>2942</v>
      </c>
      <c r="B845" s="68" t="n">
        <v>79</v>
      </c>
      <c r="C845" s="68" t="s">
        <v>2383</v>
      </c>
      <c r="D845" s="68" t="s">
        <v>2696</v>
      </c>
      <c r="E845" s="68" t="s">
        <v>208</v>
      </c>
      <c r="F845" s="80" t="s">
        <v>2814</v>
      </c>
    </row>
    <row r="846" customFormat="false" ht="15" hidden="false" customHeight="false" outlineLevel="0" collapsed="false">
      <c r="A846" s="68" t="s">
        <v>2942</v>
      </c>
      <c r="B846" s="68" t="n">
        <v>79</v>
      </c>
      <c r="C846" s="68" t="s">
        <v>2426</v>
      </c>
      <c r="D846" s="68" t="s">
        <v>2696</v>
      </c>
      <c r="E846" s="68" t="s">
        <v>312</v>
      </c>
      <c r="F846" s="80" t="s">
        <v>2815</v>
      </c>
    </row>
    <row r="847" customFormat="false" ht="22.35" hidden="false" customHeight="false" outlineLevel="0" collapsed="false">
      <c r="A847" s="68" t="s">
        <v>2946</v>
      </c>
      <c r="B847" s="68" t="n">
        <v>80</v>
      </c>
      <c r="C847" s="68" t="s">
        <v>2253</v>
      </c>
      <c r="D847" s="68" t="s">
        <v>2628</v>
      </c>
      <c r="E847" s="68" t="s">
        <v>48</v>
      </c>
      <c r="F847" s="80" t="s">
        <v>2653</v>
      </c>
    </row>
    <row r="848" customFormat="false" ht="22.35" hidden="false" customHeight="false" outlineLevel="0" collapsed="false">
      <c r="A848" s="68" t="s">
        <v>2946</v>
      </c>
      <c r="B848" s="68" t="n">
        <v>80</v>
      </c>
      <c r="C848" s="68" t="s">
        <v>2260</v>
      </c>
      <c r="D848" s="68" t="s">
        <v>2628</v>
      </c>
      <c r="E848" s="68" t="s">
        <v>192</v>
      </c>
      <c r="F848" s="80" t="s">
        <v>2678</v>
      </c>
    </row>
    <row r="849" customFormat="false" ht="32.8" hidden="false" customHeight="false" outlineLevel="0" collapsed="false">
      <c r="A849" s="68" t="s">
        <v>2946</v>
      </c>
      <c r="B849" s="68" t="n">
        <v>80</v>
      </c>
      <c r="C849" s="68" t="s">
        <v>2266</v>
      </c>
      <c r="D849" s="68" t="s">
        <v>2628</v>
      </c>
      <c r="E849" s="68" t="s">
        <v>74</v>
      </c>
      <c r="F849" s="80" t="s">
        <v>2943</v>
      </c>
    </row>
    <row r="850" customFormat="false" ht="15" hidden="false" customHeight="false" outlineLevel="0" collapsed="false">
      <c r="A850" s="68" t="s">
        <v>2946</v>
      </c>
      <c r="B850" s="68" t="n">
        <v>80</v>
      </c>
      <c r="C850" s="68" t="s">
        <v>2300</v>
      </c>
      <c r="D850" s="68" t="s">
        <v>2632</v>
      </c>
      <c r="E850" s="68" t="s">
        <v>624</v>
      </c>
      <c r="F850" s="80" t="s">
        <v>2944</v>
      </c>
    </row>
    <row r="851" customFormat="false" ht="22.35" hidden="false" customHeight="false" outlineLevel="0" collapsed="false">
      <c r="A851" s="68" t="s">
        <v>2946</v>
      </c>
      <c r="B851" s="68" t="n">
        <v>80</v>
      </c>
      <c r="C851" s="68" t="s">
        <v>2304</v>
      </c>
      <c r="D851" s="68" t="s">
        <v>2696</v>
      </c>
      <c r="E851" s="68" t="s">
        <v>312</v>
      </c>
      <c r="F851" s="80" t="s">
        <v>2947</v>
      </c>
    </row>
    <row r="852" customFormat="false" ht="15" hidden="false" customHeight="false" outlineLevel="0" collapsed="false">
      <c r="A852" s="68" t="s">
        <v>2946</v>
      </c>
      <c r="B852" s="68" t="n">
        <v>80</v>
      </c>
      <c r="C852" s="68" t="s">
        <v>2324</v>
      </c>
      <c r="D852" s="68" t="s">
        <v>2696</v>
      </c>
      <c r="E852" s="68" t="s">
        <v>304</v>
      </c>
      <c r="F852" s="80" t="s">
        <v>2812</v>
      </c>
    </row>
    <row r="853" customFormat="false" ht="22.35" hidden="false" customHeight="false" outlineLevel="0" collapsed="false">
      <c r="A853" s="68" t="s">
        <v>2946</v>
      </c>
      <c r="B853" s="68" t="n">
        <v>80</v>
      </c>
      <c r="C853" s="68" t="s">
        <v>2351</v>
      </c>
      <c r="D853" s="68" t="s">
        <v>2696</v>
      </c>
      <c r="E853" s="68" t="n">
        <v>1393</v>
      </c>
      <c r="F853" s="80" t="s">
        <v>2813</v>
      </c>
    </row>
    <row r="854" customFormat="false" ht="43.25" hidden="false" customHeight="false" outlineLevel="0" collapsed="false">
      <c r="A854" s="68" t="s">
        <v>2946</v>
      </c>
      <c r="B854" s="68" t="n">
        <v>80</v>
      </c>
      <c r="C854" s="68" t="s">
        <v>2383</v>
      </c>
      <c r="D854" s="68" t="s">
        <v>2696</v>
      </c>
      <c r="E854" s="68" t="s">
        <v>208</v>
      </c>
      <c r="F854" s="80" t="s">
        <v>2814</v>
      </c>
    </row>
    <row r="855" customFormat="false" ht="15" hidden="false" customHeight="false" outlineLevel="0" collapsed="false">
      <c r="A855" s="68" t="s">
        <v>2946</v>
      </c>
      <c r="B855" s="68" t="n">
        <v>80</v>
      </c>
      <c r="C855" s="68" t="s">
        <v>2426</v>
      </c>
      <c r="D855" s="68" t="s">
        <v>2696</v>
      </c>
      <c r="E855" s="68" t="s">
        <v>312</v>
      </c>
      <c r="F855" s="80" t="s">
        <v>2815</v>
      </c>
    </row>
    <row r="856" customFormat="false" ht="22.35" hidden="false" customHeight="false" outlineLevel="0" collapsed="false">
      <c r="A856" s="68" t="s">
        <v>2948</v>
      </c>
      <c r="B856" s="68" t="n">
        <v>81</v>
      </c>
      <c r="C856" s="68" t="s">
        <v>2253</v>
      </c>
      <c r="D856" s="68" t="s">
        <v>2628</v>
      </c>
      <c r="E856" s="68" t="s">
        <v>54</v>
      </c>
      <c r="F856" s="80" t="s">
        <v>2672</v>
      </c>
    </row>
    <row r="857" customFormat="false" ht="22.35" hidden="false" customHeight="false" outlineLevel="0" collapsed="false">
      <c r="A857" s="68" t="s">
        <v>2948</v>
      </c>
      <c r="B857" s="68" t="n">
        <v>81</v>
      </c>
      <c r="C857" s="68" t="s">
        <v>2260</v>
      </c>
      <c r="D857" s="68" t="s">
        <v>2628</v>
      </c>
      <c r="E857" s="68" t="s">
        <v>171</v>
      </c>
      <c r="F857" s="80" t="s">
        <v>2949</v>
      </c>
    </row>
    <row r="858" customFormat="false" ht="32.8" hidden="false" customHeight="false" outlineLevel="0" collapsed="false">
      <c r="A858" s="68" t="s">
        <v>2948</v>
      </c>
      <c r="B858" s="68" t="n">
        <v>81</v>
      </c>
      <c r="C858" s="68" t="s">
        <v>2266</v>
      </c>
      <c r="D858" s="68" t="s">
        <v>2628</v>
      </c>
      <c r="E858" s="68" t="s">
        <v>90</v>
      </c>
      <c r="F858" s="80" t="s">
        <v>2836</v>
      </c>
    </row>
    <row r="859" customFormat="false" ht="15" hidden="false" customHeight="false" outlineLevel="0" collapsed="false">
      <c r="A859" s="68" t="s">
        <v>2948</v>
      </c>
      <c r="B859" s="68" t="n">
        <v>81</v>
      </c>
      <c r="C859" s="68" t="s">
        <v>2300</v>
      </c>
      <c r="D859" s="68" t="s">
        <v>2632</v>
      </c>
      <c r="E859" s="68" t="s">
        <v>479</v>
      </c>
      <c r="F859" s="80" t="s">
        <v>2810</v>
      </c>
    </row>
    <row r="860" customFormat="false" ht="22.35" hidden="false" customHeight="false" outlineLevel="0" collapsed="false">
      <c r="A860" s="68" t="s">
        <v>2948</v>
      </c>
      <c r="B860" s="68" t="n">
        <v>81</v>
      </c>
      <c r="C860" s="68" t="s">
        <v>2304</v>
      </c>
      <c r="D860" s="68" t="s">
        <v>2696</v>
      </c>
      <c r="E860" s="68" t="s">
        <v>312</v>
      </c>
      <c r="F860" s="80" t="s">
        <v>2950</v>
      </c>
    </row>
    <row r="861" customFormat="false" ht="15" hidden="false" customHeight="false" outlineLevel="0" collapsed="false">
      <c r="A861" s="68" t="s">
        <v>2948</v>
      </c>
      <c r="B861" s="68" t="n">
        <v>81</v>
      </c>
      <c r="C861" s="68" t="s">
        <v>2324</v>
      </c>
      <c r="D861" s="68" t="s">
        <v>2696</v>
      </c>
      <c r="E861" s="68" t="s">
        <v>304</v>
      </c>
      <c r="F861" s="80" t="s">
        <v>2812</v>
      </c>
    </row>
    <row r="862" customFormat="false" ht="22.35" hidden="false" customHeight="false" outlineLevel="0" collapsed="false">
      <c r="A862" s="68" t="s">
        <v>2948</v>
      </c>
      <c r="B862" s="68" t="n">
        <v>81</v>
      </c>
      <c r="C862" s="68" t="s">
        <v>2351</v>
      </c>
      <c r="D862" s="68" t="s">
        <v>2696</v>
      </c>
      <c r="E862" s="68" t="n">
        <v>1393</v>
      </c>
      <c r="F862" s="80" t="s">
        <v>2813</v>
      </c>
    </row>
    <row r="863" customFormat="false" ht="43.25" hidden="false" customHeight="false" outlineLevel="0" collapsed="false">
      <c r="A863" s="68" t="s">
        <v>2948</v>
      </c>
      <c r="B863" s="68" t="n">
        <v>81</v>
      </c>
      <c r="C863" s="68" t="s">
        <v>2383</v>
      </c>
      <c r="D863" s="68" t="s">
        <v>2696</v>
      </c>
      <c r="E863" s="68" t="s">
        <v>208</v>
      </c>
      <c r="F863" s="80" t="s">
        <v>2814</v>
      </c>
    </row>
    <row r="864" customFormat="false" ht="15" hidden="false" customHeight="false" outlineLevel="0" collapsed="false">
      <c r="A864" s="68" t="s">
        <v>2948</v>
      </c>
      <c r="B864" s="68" t="n">
        <v>81</v>
      </c>
      <c r="C864" s="68" t="s">
        <v>2426</v>
      </c>
      <c r="D864" s="68" t="s">
        <v>2696</v>
      </c>
      <c r="E864" s="68" t="s">
        <v>312</v>
      </c>
      <c r="F864" s="80" t="s">
        <v>2815</v>
      </c>
    </row>
    <row r="865" customFormat="false" ht="22.35" hidden="false" customHeight="false" outlineLevel="0" collapsed="false">
      <c r="A865" s="68" t="s">
        <v>2951</v>
      </c>
      <c r="B865" s="68" t="n">
        <v>82</v>
      </c>
      <c r="C865" s="68" t="s">
        <v>2253</v>
      </c>
      <c r="D865" s="68" t="s">
        <v>2628</v>
      </c>
      <c r="E865" s="68" t="s">
        <v>57</v>
      </c>
      <c r="F865" s="80" t="s">
        <v>2677</v>
      </c>
    </row>
    <row r="866" customFormat="false" ht="22.35" hidden="false" customHeight="false" outlineLevel="0" collapsed="false">
      <c r="A866" s="68" t="s">
        <v>2951</v>
      </c>
      <c r="B866" s="68" t="n">
        <v>82</v>
      </c>
      <c r="C866" s="68" t="s">
        <v>2260</v>
      </c>
      <c r="D866" s="68" t="s">
        <v>2628</v>
      </c>
      <c r="E866" s="68" t="s">
        <v>192</v>
      </c>
      <c r="F866" s="80" t="s">
        <v>2678</v>
      </c>
    </row>
    <row r="867" customFormat="false" ht="32.8" hidden="false" customHeight="false" outlineLevel="0" collapsed="false">
      <c r="A867" s="68" t="s">
        <v>2951</v>
      </c>
      <c r="B867" s="68" t="n">
        <v>82</v>
      </c>
      <c r="C867" s="68" t="s">
        <v>2266</v>
      </c>
      <c r="D867" s="68" t="s">
        <v>2628</v>
      </c>
      <c r="E867" s="68" t="s">
        <v>78</v>
      </c>
      <c r="F867" s="80" t="s">
        <v>2952</v>
      </c>
    </row>
    <row r="868" customFormat="false" ht="15" hidden="false" customHeight="false" outlineLevel="0" collapsed="false">
      <c r="A868" s="68" t="s">
        <v>2951</v>
      </c>
      <c r="B868" s="68" t="n">
        <v>82</v>
      </c>
      <c r="C868" s="68" t="s">
        <v>2300</v>
      </c>
      <c r="D868" s="68" t="s">
        <v>2632</v>
      </c>
      <c r="E868" s="68" t="s">
        <v>624</v>
      </c>
      <c r="F868" s="80" t="s">
        <v>2944</v>
      </c>
    </row>
    <row r="869" customFormat="false" ht="22.35" hidden="false" customHeight="false" outlineLevel="0" collapsed="false">
      <c r="A869" s="68" t="s">
        <v>2951</v>
      </c>
      <c r="B869" s="68" t="n">
        <v>82</v>
      </c>
      <c r="C869" s="68" t="s">
        <v>2304</v>
      </c>
      <c r="D869" s="68" t="s">
        <v>2696</v>
      </c>
      <c r="E869" s="68" t="s">
        <v>312</v>
      </c>
      <c r="F869" s="80" t="s">
        <v>2953</v>
      </c>
    </row>
    <row r="870" customFormat="false" ht="15" hidden="false" customHeight="false" outlineLevel="0" collapsed="false">
      <c r="A870" s="68" t="s">
        <v>2951</v>
      </c>
      <c r="B870" s="68" t="n">
        <v>82</v>
      </c>
      <c r="C870" s="68" t="s">
        <v>2324</v>
      </c>
      <c r="D870" s="68" t="s">
        <v>2696</v>
      </c>
      <c r="E870" s="68" t="s">
        <v>304</v>
      </c>
      <c r="F870" s="80" t="s">
        <v>2812</v>
      </c>
    </row>
    <row r="871" customFormat="false" ht="22.35" hidden="false" customHeight="false" outlineLevel="0" collapsed="false">
      <c r="A871" s="68" t="s">
        <v>2951</v>
      </c>
      <c r="B871" s="68" t="n">
        <v>82</v>
      </c>
      <c r="C871" s="68" t="s">
        <v>2351</v>
      </c>
      <c r="D871" s="68" t="s">
        <v>2696</v>
      </c>
      <c r="E871" s="68" t="n">
        <v>1393</v>
      </c>
      <c r="F871" s="80" t="s">
        <v>2813</v>
      </c>
    </row>
    <row r="872" customFormat="false" ht="43.25" hidden="false" customHeight="false" outlineLevel="0" collapsed="false">
      <c r="A872" s="68" t="s">
        <v>2951</v>
      </c>
      <c r="B872" s="68" t="n">
        <v>82</v>
      </c>
      <c r="C872" s="68" t="s">
        <v>2383</v>
      </c>
      <c r="D872" s="68" t="s">
        <v>2696</v>
      </c>
      <c r="E872" s="68" t="s">
        <v>208</v>
      </c>
      <c r="F872" s="80" t="s">
        <v>2814</v>
      </c>
    </row>
    <row r="873" customFormat="false" ht="15" hidden="false" customHeight="false" outlineLevel="0" collapsed="false">
      <c r="A873" s="68" t="s">
        <v>2951</v>
      </c>
      <c r="B873" s="68" t="n">
        <v>82</v>
      </c>
      <c r="C873" s="68" t="s">
        <v>2426</v>
      </c>
      <c r="D873" s="68" t="s">
        <v>2696</v>
      </c>
      <c r="E873" s="68" t="s">
        <v>312</v>
      </c>
      <c r="F873" s="80" t="s">
        <v>2815</v>
      </c>
    </row>
    <row r="874" customFormat="false" ht="22.35" hidden="false" customHeight="false" outlineLevel="0" collapsed="false">
      <c r="A874" s="68" t="s">
        <v>2954</v>
      </c>
      <c r="B874" s="68" t="n">
        <v>83</v>
      </c>
      <c r="C874" s="68" t="s">
        <v>2253</v>
      </c>
      <c r="D874" s="68" t="s">
        <v>2628</v>
      </c>
      <c r="E874" s="68" t="s">
        <v>54</v>
      </c>
      <c r="F874" s="80" t="s">
        <v>2672</v>
      </c>
    </row>
    <row r="875" customFormat="false" ht="22.35" hidden="false" customHeight="false" outlineLevel="0" collapsed="false">
      <c r="A875" s="68" t="s">
        <v>2954</v>
      </c>
      <c r="B875" s="68" t="n">
        <v>83</v>
      </c>
      <c r="C875" s="68" t="s">
        <v>2260</v>
      </c>
      <c r="D875" s="68" t="s">
        <v>2628</v>
      </c>
      <c r="E875" s="68" t="s">
        <v>171</v>
      </c>
      <c r="F875" s="80" t="s">
        <v>2949</v>
      </c>
    </row>
    <row r="876" customFormat="false" ht="32.8" hidden="false" customHeight="false" outlineLevel="0" collapsed="false">
      <c r="A876" s="68" t="s">
        <v>2954</v>
      </c>
      <c r="B876" s="68" t="n">
        <v>83</v>
      </c>
      <c r="C876" s="68" t="s">
        <v>2266</v>
      </c>
      <c r="D876" s="68" t="s">
        <v>2628</v>
      </c>
      <c r="E876" s="68" t="s">
        <v>90</v>
      </c>
      <c r="F876" s="80" t="s">
        <v>2836</v>
      </c>
    </row>
    <row r="877" customFormat="false" ht="15" hidden="false" customHeight="false" outlineLevel="0" collapsed="false">
      <c r="A877" s="68" t="s">
        <v>2954</v>
      </c>
      <c r="B877" s="68" t="n">
        <v>83</v>
      </c>
      <c r="C877" s="68" t="s">
        <v>2300</v>
      </c>
      <c r="D877" s="68" t="s">
        <v>2632</v>
      </c>
      <c r="E877" s="68" t="s">
        <v>479</v>
      </c>
      <c r="F877" s="80" t="s">
        <v>2810</v>
      </c>
    </row>
    <row r="878" customFormat="false" ht="22.35" hidden="false" customHeight="false" outlineLevel="0" collapsed="false">
      <c r="A878" s="68" t="s">
        <v>2954</v>
      </c>
      <c r="B878" s="68" t="n">
        <v>83</v>
      </c>
      <c r="C878" s="68" t="s">
        <v>2304</v>
      </c>
      <c r="D878" s="68" t="s">
        <v>2696</v>
      </c>
      <c r="E878" s="68" t="s">
        <v>312</v>
      </c>
      <c r="F878" s="80" t="s">
        <v>2955</v>
      </c>
    </row>
    <row r="879" customFormat="false" ht="15" hidden="false" customHeight="false" outlineLevel="0" collapsed="false">
      <c r="A879" s="68" t="s">
        <v>2954</v>
      </c>
      <c r="B879" s="68" t="n">
        <v>83</v>
      </c>
      <c r="C879" s="68" t="s">
        <v>2324</v>
      </c>
      <c r="D879" s="68" t="s">
        <v>2696</v>
      </c>
      <c r="E879" s="68" t="s">
        <v>304</v>
      </c>
      <c r="F879" s="80" t="s">
        <v>2812</v>
      </c>
    </row>
    <row r="880" customFormat="false" ht="22.35" hidden="false" customHeight="false" outlineLevel="0" collapsed="false">
      <c r="A880" s="68" t="s">
        <v>2954</v>
      </c>
      <c r="B880" s="68" t="n">
        <v>83</v>
      </c>
      <c r="C880" s="68" t="s">
        <v>2351</v>
      </c>
      <c r="D880" s="68" t="s">
        <v>2696</v>
      </c>
      <c r="E880" s="68" t="n">
        <v>1393</v>
      </c>
      <c r="F880" s="80" t="s">
        <v>2813</v>
      </c>
    </row>
    <row r="881" customFormat="false" ht="43.25" hidden="false" customHeight="false" outlineLevel="0" collapsed="false">
      <c r="A881" s="68" t="s">
        <v>2954</v>
      </c>
      <c r="B881" s="68" t="n">
        <v>83</v>
      </c>
      <c r="C881" s="68" t="s">
        <v>2383</v>
      </c>
      <c r="D881" s="68" t="s">
        <v>2696</v>
      </c>
      <c r="E881" s="68" t="s">
        <v>208</v>
      </c>
      <c r="F881" s="80" t="s">
        <v>2814</v>
      </c>
    </row>
    <row r="882" customFormat="false" ht="15" hidden="false" customHeight="false" outlineLevel="0" collapsed="false">
      <c r="A882" s="68" t="s">
        <v>2954</v>
      </c>
      <c r="B882" s="68" t="n">
        <v>83</v>
      </c>
      <c r="C882" s="68" t="s">
        <v>2426</v>
      </c>
      <c r="D882" s="68" t="s">
        <v>2696</v>
      </c>
      <c r="E882" s="68" t="s">
        <v>312</v>
      </c>
      <c r="F882" s="80" t="s">
        <v>2815</v>
      </c>
    </row>
    <row r="883" customFormat="false" ht="22.35" hidden="false" customHeight="false" outlineLevel="0" collapsed="false">
      <c r="A883" s="68" t="s">
        <v>2956</v>
      </c>
      <c r="B883" s="68" t="n">
        <v>84</v>
      </c>
      <c r="C883" s="68" t="s">
        <v>2253</v>
      </c>
      <c r="D883" s="68" t="s">
        <v>2628</v>
      </c>
      <c r="E883" s="68" t="s">
        <v>60</v>
      </c>
      <c r="F883" s="80" t="s">
        <v>2791</v>
      </c>
    </row>
    <row r="884" customFormat="false" ht="43.25" hidden="false" customHeight="false" outlineLevel="0" collapsed="false">
      <c r="A884" s="68" t="s">
        <v>2956</v>
      </c>
      <c r="B884" s="68" t="n">
        <v>84</v>
      </c>
      <c r="C884" s="68" t="s">
        <v>2260</v>
      </c>
      <c r="D884" s="68" t="s">
        <v>2628</v>
      </c>
      <c r="E884" s="68" t="s">
        <v>186</v>
      </c>
      <c r="F884" s="80" t="s">
        <v>2957</v>
      </c>
    </row>
    <row r="885" customFormat="false" ht="32.8" hidden="false" customHeight="false" outlineLevel="0" collapsed="false">
      <c r="A885" s="68" t="s">
        <v>2956</v>
      </c>
      <c r="B885" s="68" t="n">
        <v>84</v>
      </c>
      <c r="C885" s="68" t="s">
        <v>2266</v>
      </c>
      <c r="D885" s="68" t="s">
        <v>2628</v>
      </c>
      <c r="E885" s="68" t="s">
        <v>74</v>
      </c>
      <c r="F885" s="80" t="s">
        <v>2943</v>
      </c>
    </row>
    <row r="886" customFormat="false" ht="15" hidden="false" customHeight="false" outlineLevel="0" collapsed="false">
      <c r="A886" s="68" t="s">
        <v>2956</v>
      </c>
      <c r="B886" s="68" t="n">
        <v>84</v>
      </c>
      <c r="C886" s="68" t="s">
        <v>2300</v>
      </c>
      <c r="D886" s="68" t="s">
        <v>2632</v>
      </c>
      <c r="E886" s="68" t="s">
        <v>646</v>
      </c>
      <c r="F886" s="80" t="s">
        <v>2958</v>
      </c>
    </row>
    <row r="887" customFormat="false" ht="22.35" hidden="false" customHeight="false" outlineLevel="0" collapsed="false">
      <c r="A887" s="68" t="s">
        <v>2956</v>
      </c>
      <c r="B887" s="68" t="n">
        <v>84</v>
      </c>
      <c r="C887" s="68" t="s">
        <v>2304</v>
      </c>
      <c r="D887" s="68" t="s">
        <v>2696</v>
      </c>
      <c r="E887" s="68" t="s">
        <v>312</v>
      </c>
      <c r="F887" s="80" t="s">
        <v>2959</v>
      </c>
    </row>
    <row r="888" customFormat="false" ht="15" hidden="false" customHeight="false" outlineLevel="0" collapsed="false">
      <c r="A888" s="68" t="s">
        <v>2956</v>
      </c>
      <c r="B888" s="68" t="n">
        <v>84</v>
      </c>
      <c r="C888" s="68" t="s">
        <v>2324</v>
      </c>
      <c r="D888" s="68" t="s">
        <v>2632</v>
      </c>
      <c r="E888" s="68" t="s">
        <v>304</v>
      </c>
      <c r="F888" s="80" t="s">
        <v>2792</v>
      </c>
    </row>
    <row r="889" customFormat="false" ht="22.35" hidden="false" customHeight="false" outlineLevel="0" collapsed="false">
      <c r="A889" s="68" t="s">
        <v>2956</v>
      </c>
      <c r="B889" s="68" t="n">
        <v>84</v>
      </c>
      <c r="C889" s="68" t="s">
        <v>2351</v>
      </c>
      <c r="D889" s="68" t="s">
        <v>2696</v>
      </c>
      <c r="E889" s="68" t="n">
        <v>1393</v>
      </c>
      <c r="F889" s="80" t="s">
        <v>2813</v>
      </c>
    </row>
    <row r="890" customFormat="false" ht="43.25" hidden="false" customHeight="false" outlineLevel="0" collapsed="false">
      <c r="A890" s="68" t="s">
        <v>2956</v>
      </c>
      <c r="B890" s="68" t="n">
        <v>84</v>
      </c>
      <c r="C890" s="68" t="s">
        <v>2383</v>
      </c>
      <c r="D890" s="68" t="s">
        <v>2696</v>
      </c>
      <c r="E890" s="68" t="s">
        <v>208</v>
      </c>
      <c r="F890" s="80" t="s">
        <v>2814</v>
      </c>
    </row>
    <row r="891" customFormat="false" ht="15" hidden="false" customHeight="false" outlineLevel="0" collapsed="false">
      <c r="A891" s="68" t="s">
        <v>2956</v>
      </c>
      <c r="B891" s="68" t="n">
        <v>84</v>
      </c>
      <c r="C891" s="68" t="s">
        <v>2426</v>
      </c>
      <c r="D891" s="68" t="s">
        <v>2696</v>
      </c>
      <c r="E891" s="68" t="s">
        <v>312</v>
      </c>
      <c r="F891" s="80" t="s">
        <v>2815</v>
      </c>
    </row>
    <row r="892" customFormat="false" ht="22.35" hidden="false" customHeight="false" outlineLevel="0" collapsed="false">
      <c r="A892" s="68" t="s">
        <v>2960</v>
      </c>
      <c r="B892" s="68" t="n">
        <v>85</v>
      </c>
      <c r="C892" s="68" t="s">
        <v>2253</v>
      </c>
      <c r="D892" s="68" t="s">
        <v>2628</v>
      </c>
      <c r="E892" s="68" t="s">
        <v>60</v>
      </c>
      <c r="F892" s="80" t="s">
        <v>2791</v>
      </c>
    </row>
    <row r="893" customFormat="false" ht="43.25" hidden="false" customHeight="false" outlineLevel="0" collapsed="false">
      <c r="A893" s="68" t="s">
        <v>2960</v>
      </c>
      <c r="B893" s="68" t="n">
        <v>85</v>
      </c>
      <c r="C893" s="68" t="s">
        <v>2260</v>
      </c>
      <c r="D893" s="68" t="s">
        <v>2628</v>
      </c>
      <c r="E893" s="68" t="s">
        <v>186</v>
      </c>
      <c r="F893" s="80" t="s">
        <v>2957</v>
      </c>
    </row>
    <row r="894" customFormat="false" ht="32.8" hidden="false" customHeight="false" outlineLevel="0" collapsed="false">
      <c r="A894" s="68" t="s">
        <v>2960</v>
      </c>
      <c r="B894" s="68" t="n">
        <v>85</v>
      </c>
      <c r="C894" s="68" t="s">
        <v>2266</v>
      </c>
      <c r="D894" s="68" t="s">
        <v>2628</v>
      </c>
      <c r="E894" s="68" t="s">
        <v>74</v>
      </c>
      <c r="F894" s="80" t="s">
        <v>2943</v>
      </c>
    </row>
    <row r="895" customFormat="false" ht="15" hidden="false" customHeight="false" outlineLevel="0" collapsed="false">
      <c r="A895" s="68" t="s">
        <v>2960</v>
      </c>
      <c r="B895" s="68" t="n">
        <v>85</v>
      </c>
      <c r="C895" s="68" t="s">
        <v>2300</v>
      </c>
      <c r="D895" s="68" t="s">
        <v>2632</v>
      </c>
      <c r="E895" s="68" t="s">
        <v>646</v>
      </c>
      <c r="F895" s="80" t="s">
        <v>2958</v>
      </c>
    </row>
    <row r="896" customFormat="false" ht="22.35" hidden="false" customHeight="false" outlineLevel="0" collapsed="false">
      <c r="A896" s="68" t="s">
        <v>2960</v>
      </c>
      <c r="B896" s="68" t="n">
        <v>85</v>
      </c>
      <c r="C896" s="68" t="s">
        <v>2304</v>
      </c>
      <c r="D896" s="68" t="s">
        <v>2696</v>
      </c>
      <c r="E896" s="68" t="s">
        <v>312</v>
      </c>
      <c r="F896" s="80" t="s">
        <v>2961</v>
      </c>
    </row>
    <row r="897" customFormat="false" ht="15" hidden="false" customHeight="false" outlineLevel="0" collapsed="false">
      <c r="A897" s="68" t="s">
        <v>2960</v>
      </c>
      <c r="B897" s="68" t="n">
        <v>85</v>
      </c>
      <c r="C897" s="68" t="s">
        <v>2324</v>
      </c>
      <c r="D897" s="68" t="s">
        <v>2632</v>
      </c>
      <c r="E897" s="68" t="s">
        <v>460</v>
      </c>
      <c r="F897" s="80" t="s">
        <v>2795</v>
      </c>
    </row>
    <row r="898" customFormat="false" ht="22.35" hidden="false" customHeight="false" outlineLevel="0" collapsed="false">
      <c r="A898" s="68" t="s">
        <v>2960</v>
      </c>
      <c r="B898" s="68" t="n">
        <v>85</v>
      </c>
      <c r="C898" s="68" t="s">
        <v>2351</v>
      </c>
      <c r="D898" s="68" t="s">
        <v>2696</v>
      </c>
      <c r="E898" s="68" t="n">
        <v>1393</v>
      </c>
      <c r="F898" s="80" t="s">
        <v>2813</v>
      </c>
    </row>
    <row r="899" customFormat="false" ht="43.25" hidden="false" customHeight="false" outlineLevel="0" collapsed="false">
      <c r="A899" s="68" t="s">
        <v>2960</v>
      </c>
      <c r="B899" s="68" t="n">
        <v>85</v>
      </c>
      <c r="C899" s="68" t="s">
        <v>2383</v>
      </c>
      <c r="D899" s="68" t="s">
        <v>2696</v>
      </c>
      <c r="E899" s="68" t="s">
        <v>208</v>
      </c>
      <c r="F899" s="80" t="s">
        <v>2814</v>
      </c>
    </row>
    <row r="900" customFormat="false" ht="15" hidden="false" customHeight="false" outlineLevel="0" collapsed="false">
      <c r="A900" s="68" t="s">
        <v>2960</v>
      </c>
      <c r="B900" s="68" t="n">
        <v>85</v>
      </c>
      <c r="C900" s="68" t="s">
        <v>2426</v>
      </c>
      <c r="D900" s="68" t="s">
        <v>2696</v>
      </c>
      <c r="E900" s="68" t="s">
        <v>312</v>
      </c>
      <c r="F900" s="80" t="s">
        <v>2815</v>
      </c>
    </row>
    <row r="901" customFormat="false" ht="22.35" hidden="false" customHeight="false" outlineLevel="0" collapsed="false">
      <c r="A901" s="68" t="s">
        <v>2962</v>
      </c>
      <c r="B901" s="68" t="n">
        <v>86</v>
      </c>
      <c r="C901" s="68" t="s">
        <v>2253</v>
      </c>
      <c r="D901" s="68" t="s">
        <v>2628</v>
      </c>
      <c r="E901" s="68" t="s">
        <v>60</v>
      </c>
      <c r="F901" s="80" t="s">
        <v>2791</v>
      </c>
    </row>
    <row r="902" customFormat="false" ht="43.25" hidden="false" customHeight="false" outlineLevel="0" collapsed="false">
      <c r="A902" s="68" t="s">
        <v>2962</v>
      </c>
      <c r="B902" s="68" t="n">
        <v>86</v>
      </c>
      <c r="C902" s="68" t="s">
        <v>2260</v>
      </c>
      <c r="D902" s="68" t="s">
        <v>2628</v>
      </c>
      <c r="E902" s="68" t="s">
        <v>183</v>
      </c>
      <c r="F902" s="80" t="s">
        <v>2963</v>
      </c>
    </row>
    <row r="903" customFormat="false" ht="32.8" hidden="false" customHeight="false" outlineLevel="0" collapsed="false">
      <c r="A903" s="68" t="s">
        <v>2962</v>
      </c>
      <c r="B903" s="68" t="n">
        <v>86</v>
      </c>
      <c r="C903" s="68" t="s">
        <v>2266</v>
      </c>
      <c r="D903" s="68" t="s">
        <v>2628</v>
      </c>
      <c r="E903" s="68" t="s">
        <v>74</v>
      </c>
      <c r="F903" s="80" t="s">
        <v>2943</v>
      </c>
    </row>
    <row r="904" customFormat="false" ht="15" hidden="false" customHeight="false" outlineLevel="0" collapsed="false">
      <c r="A904" s="68" t="s">
        <v>2962</v>
      </c>
      <c r="B904" s="68" t="n">
        <v>86</v>
      </c>
      <c r="C904" s="68" t="s">
        <v>2300</v>
      </c>
      <c r="D904" s="68" t="s">
        <v>2632</v>
      </c>
      <c r="E904" s="68" t="s">
        <v>646</v>
      </c>
      <c r="F904" s="80" t="s">
        <v>2958</v>
      </c>
    </row>
    <row r="905" customFormat="false" ht="22.35" hidden="false" customHeight="false" outlineLevel="0" collapsed="false">
      <c r="A905" s="68" t="s">
        <v>2962</v>
      </c>
      <c r="B905" s="68" t="n">
        <v>86</v>
      </c>
      <c r="C905" s="68" t="s">
        <v>2304</v>
      </c>
      <c r="D905" s="68" t="s">
        <v>2696</v>
      </c>
      <c r="E905" s="68" t="s">
        <v>312</v>
      </c>
      <c r="F905" s="80" t="s">
        <v>2964</v>
      </c>
    </row>
    <row r="906" customFormat="false" ht="15" hidden="false" customHeight="false" outlineLevel="0" collapsed="false">
      <c r="A906" s="68" t="s">
        <v>2962</v>
      </c>
      <c r="B906" s="68" t="n">
        <v>86</v>
      </c>
      <c r="C906" s="68" t="s">
        <v>2324</v>
      </c>
      <c r="D906" s="68" t="s">
        <v>2696</v>
      </c>
      <c r="E906" s="68" t="s">
        <v>304</v>
      </c>
      <c r="F906" s="80" t="s">
        <v>2812</v>
      </c>
    </row>
    <row r="907" customFormat="false" ht="22.35" hidden="false" customHeight="false" outlineLevel="0" collapsed="false">
      <c r="A907" s="68" t="s">
        <v>2962</v>
      </c>
      <c r="B907" s="68" t="n">
        <v>86</v>
      </c>
      <c r="C907" s="68" t="s">
        <v>2351</v>
      </c>
      <c r="D907" s="68" t="s">
        <v>2696</v>
      </c>
      <c r="E907" s="68" t="n">
        <v>1393</v>
      </c>
      <c r="F907" s="80" t="s">
        <v>2813</v>
      </c>
    </row>
    <row r="908" customFormat="false" ht="43.25" hidden="false" customHeight="false" outlineLevel="0" collapsed="false">
      <c r="A908" s="68" t="s">
        <v>2962</v>
      </c>
      <c r="B908" s="68" t="n">
        <v>86</v>
      </c>
      <c r="C908" s="68" t="s">
        <v>2383</v>
      </c>
      <c r="D908" s="68" t="s">
        <v>2696</v>
      </c>
      <c r="E908" s="68" t="s">
        <v>208</v>
      </c>
      <c r="F908" s="80" t="s">
        <v>2814</v>
      </c>
    </row>
    <row r="909" customFormat="false" ht="15" hidden="false" customHeight="false" outlineLevel="0" collapsed="false">
      <c r="A909" s="68" t="s">
        <v>2962</v>
      </c>
      <c r="B909" s="68" t="n">
        <v>86</v>
      </c>
      <c r="C909" s="68" t="s">
        <v>2426</v>
      </c>
      <c r="D909" s="68" t="s">
        <v>2696</v>
      </c>
      <c r="E909" s="68" t="s">
        <v>312</v>
      </c>
      <c r="F909" s="80" t="s">
        <v>2815</v>
      </c>
    </row>
    <row r="910" customFormat="false" ht="22.35" hidden="false" customHeight="false" outlineLevel="0" collapsed="false">
      <c r="A910" s="68" t="s">
        <v>2965</v>
      </c>
      <c r="B910" s="68" t="n">
        <v>87</v>
      </c>
      <c r="C910" s="68" t="s">
        <v>2253</v>
      </c>
      <c r="D910" s="68" t="s">
        <v>2628</v>
      </c>
      <c r="E910" s="68" t="s">
        <v>60</v>
      </c>
      <c r="F910" s="80" t="s">
        <v>2791</v>
      </c>
    </row>
    <row r="911" customFormat="false" ht="22.35" hidden="false" customHeight="false" outlineLevel="0" collapsed="false">
      <c r="A911" s="68" t="s">
        <v>2965</v>
      </c>
      <c r="B911" s="68" t="n">
        <v>87</v>
      </c>
      <c r="C911" s="68" t="s">
        <v>2260</v>
      </c>
      <c r="D911" s="68" t="s">
        <v>2628</v>
      </c>
      <c r="E911" s="68" t="s">
        <v>192</v>
      </c>
      <c r="F911" s="80" t="s">
        <v>2678</v>
      </c>
    </row>
    <row r="912" customFormat="false" ht="32.8" hidden="false" customHeight="false" outlineLevel="0" collapsed="false">
      <c r="A912" s="68" t="s">
        <v>2965</v>
      </c>
      <c r="B912" s="68" t="n">
        <v>87</v>
      </c>
      <c r="C912" s="68" t="s">
        <v>2266</v>
      </c>
      <c r="D912" s="68" t="s">
        <v>2628</v>
      </c>
      <c r="E912" s="68" t="s">
        <v>74</v>
      </c>
      <c r="F912" s="80" t="s">
        <v>2943</v>
      </c>
    </row>
    <row r="913" customFormat="false" ht="15" hidden="false" customHeight="false" outlineLevel="0" collapsed="false">
      <c r="A913" s="68" t="s">
        <v>2965</v>
      </c>
      <c r="B913" s="68" t="n">
        <v>87</v>
      </c>
      <c r="C913" s="68" t="s">
        <v>2300</v>
      </c>
      <c r="D913" s="68" t="s">
        <v>2632</v>
      </c>
      <c r="E913" s="68" t="s">
        <v>624</v>
      </c>
      <c r="F913" s="80" t="s">
        <v>2944</v>
      </c>
    </row>
    <row r="914" customFormat="false" ht="22.35" hidden="false" customHeight="false" outlineLevel="0" collapsed="false">
      <c r="A914" s="68" t="s">
        <v>2965</v>
      </c>
      <c r="B914" s="68" t="n">
        <v>87</v>
      </c>
      <c r="C914" s="68" t="s">
        <v>2304</v>
      </c>
      <c r="D914" s="68" t="s">
        <v>2696</v>
      </c>
      <c r="E914" s="68" t="s">
        <v>312</v>
      </c>
      <c r="F914" s="80" t="s">
        <v>2966</v>
      </c>
    </row>
    <row r="915" customFormat="false" ht="15" hidden="false" customHeight="false" outlineLevel="0" collapsed="false">
      <c r="A915" s="68" t="s">
        <v>2965</v>
      </c>
      <c r="B915" s="68" t="n">
        <v>87</v>
      </c>
      <c r="C915" s="68" t="s">
        <v>2324</v>
      </c>
      <c r="D915" s="68" t="s">
        <v>2696</v>
      </c>
      <c r="E915" s="68" t="s">
        <v>304</v>
      </c>
      <c r="F915" s="80" t="s">
        <v>2812</v>
      </c>
    </row>
    <row r="916" customFormat="false" ht="22.35" hidden="false" customHeight="false" outlineLevel="0" collapsed="false">
      <c r="A916" s="68" t="s">
        <v>2965</v>
      </c>
      <c r="B916" s="68" t="n">
        <v>87</v>
      </c>
      <c r="C916" s="68" t="s">
        <v>2351</v>
      </c>
      <c r="D916" s="68" t="s">
        <v>2696</v>
      </c>
      <c r="E916" s="68" t="n">
        <v>1393</v>
      </c>
      <c r="F916" s="80" t="s">
        <v>2813</v>
      </c>
    </row>
    <row r="917" customFormat="false" ht="43.25" hidden="false" customHeight="false" outlineLevel="0" collapsed="false">
      <c r="A917" s="68" t="s">
        <v>2965</v>
      </c>
      <c r="B917" s="68" t="n">
        <v>87</v>
      </c>
      <c r="C917" s="68" t="s">
        <v>2383</v>
      </c>
      <c r="D917" s="68" t="s">
        <v>2696</v>
      </c>
      <c r="E917" s="68" t="s">
        <v>208</v>
      </c>
      <c r="F917" s="80" t="s">
        <v>2814</v>
      </c>
    </row>
    <row r="918" customFormat="false" ht="15" hidden="false" customHeight="false" outlineLevel="0" collapsed="false">
      <c r="A918" s="68" t="s">
        <v>2965</v>
      </c>
      <c r="B918" s="68" t="n">
        <v>87</v>
      </c>
      <c r="C918" s="68" t="s">
        <v>2426</v>
      </c>
      <c r="D918" s="68" t="s">
        <v>2696</v>
      </c>
      <c r="E918" s="68" t="s">
        <v>312</v>
      </c>
      <c r="F918" s="80" t="s">
        <v>2815</v>
      </c>
    </row>
    <row r="919" customFormat="false" ht="22.35" hidden="false" customHeight="false" outlineLevel="0" collapsed="false">
      <c r="A919" s="68" t="s">
        <v>2967</v>
      </c>
      <c r="B919" s="68" t="n">
        <v>88</v>
      </c>
      <c r="C919" s="68" t="s">
        <v>2253</v>
      </c>
      <c r="D919" s="68" t="s">
        <v>2628</v>
      </c>
      <c r="E919" s="68" t="s">
        <v>48</v>
      </c>
      <c r="F919" s="80" t="s">
        <v>2653</v>
      </c>
    </row>
    <row r="920" customFormat="false" ht="22.35" hidden="false" customHeight="false" outlineLevel="0" collapsed="false">
      <c r="A920" s="68" t="s">
        <v>2967</v>
      </c>
      <c r="B920" s="68" t="n">
        <v>88</v>
      </c>
      <c r="C920" s="68" t="s">
        <v>2260</v>
      </c>
      <c r="D920" s="68" t="s">
        <v>2628</v>
      </c>
      <c r="E920" s="68" t="s">
        <v>192</v>
      </c>
      <c r="F920" s="80" t="s">
        <v>2678</v>
      </c>
    </row>
    <row r="921" customFormat="false" ht="32.8" hidden="false" customHeight="false" outlineLevel="0" collapsed="false">
      <c r="A921" s="68" t="s">
        <v>2967</v>
      </c>
      <c r="B921" s="68" t="n">
        <v>88</v>
      </c>
      <c r="C921" s="68" t="s">
        <v>2266</v>
      </c>
      <c r="D921" s="68" t="s">
        <v>2628</v>
      </c>
      <c r="E921" s="68" t="s">
        <v>74</v>
      </c>
      <c r="F921" s="80" t="s">
        <v>2943</v>
      </c>
    </row>
    <row r="922" customFormat="false" ht="15" hidden="false" customHeight="false" outlineLevel="0" collapsed="false">
      <c r="A922" s="68" t="s">
        <v>2967</v>
      </c>
      <c r="B922" s="68" t="n">
        <v>88</v>
      </c>
      <c r="C922" s="68" t="s">
        <v>2276</v>
      </c>
      <c r="D922" s="68" t="s">
        <v>2696</v>
      </c>
      <c r="E922" s="68" t="n">
        <v>30.6</v>
      </c>
      <c r="F922" s="80" t="s">
        <v>2968</v>
      </c>
    </row>
    <row r="923" customFormat="false" ht="15" hidden="false" customHeight="false" outlineLevel="0" collapsed="false">
      <c r="A923" s="68" t="s">
        <v>2967</v>
      </c>
      <c r="B923" s="68" t="n">
        <v>88</v>
      </c>
      <c r="C923" s="68" t="s">
        <v>2300</v>
      </c>
      <c r="D923" s="68" t="s">
        <v>2632</v>
      </c>
      <c r="E923" s="68" t="s">
        <v>624</v>
      </c>
      <c r="F923" s="80" t="s">
        <v>2944</v>
      </c>
    </row>
    <row r="924" customFormat="false" ht="22.35" hidden="false" customHeight="false" outlineLevel="0" collapsed="false">
      <c r="A924" s="68" t="s">
        <v>2967</v>
      </c>
      <c r="B924" s="68" t="n">
        <v>88</v>
      </c>
      <c r="C924" s="68" t="s">
        <v>2304</v>
      </c>
      <c r="D924" s="68" t="s">
        <v>2696</v>
      </c>
      <c r="E924" s="68" t="s">
        <v>312</v>
      </c>
      <c r="F924" s="80" t="s">
        <v>2969</v>
      </c>
    </row>
    <row r="925" customFormat="false" ht="15" hidden="false" customHeight="false" outlineLevel="0" collapsed="false">
      <c r="A925" s="68" t="s">
        <v>2967</v>
      </c>
      <c r="B925" s="68" t="n">
        <v>88</v>
      </c>
      <c r="C925" s="68" t="s">
        <v>2324</v>
      </c>
      <c r="D925" s="68" t="s">
        <v>2696</v>
      </c>
      <c r="E925" s="68" t="s">
        <v>304</v>
      </c>
      <c r="F925" s="80" t="s">
        <v>2812</v>
      </c>
    </row>
    <row r="926" customFormat="false" ht="22.35" hidden="false" customHeight="false" outlineLevel="0" collapsed="false">
      <c r="A926" s="68" t="s">
        <v>2967</v>
      </c>
      <c r="B926" s="68" t="n">
        <v>88</v>
      </c>
      <c r="C926" s="68" t="s">
        <v>2351</v>
      </c>
      <c r="D926" s="68" t="s">
        <v>2696</v>
      </c>
      <c r="E926" s="68" t="n">
        <v>1393</v>
      </c>
      <c r="F926" s="80" t="s">
        <v>2813</v>
      </c>
    </row>
    <row r="927" customFormat="false" ht="15" hidden="false" customHeight="false" outlineLevel="0" collapsed="false">
      <c r="A927" s="68" t="s">
        <v>2967</v>
      </c>
      <c r="B927" s="68" t="n">
        <v>88</v>
      </c>
      <c r="C927" s="68" t="s">
        <v>2357</v>
      </c>
      <c r="D927" s="68" t="s">
        <v>2632</v>
      </c>
      <c r="E927" s="68" t="s">
        <v>454</v>
      </c>
      <c r="F927" s="80" t="s">
        <v>2970</v>
      </c>
    </row>
    <row r="928" customFormat="false" ht="43.25" hidden="false" customHeight="false" outlineLevel="0" collapsed="false">
      <c r="A928" s="68" t="s">
        <v>2967</v>
      </c>
      <c r="B928" s="68" t="n">
        <v>88</v>
      </c>
      <c r="C928" s="68" t="s">
        <v>2383</v>
      </c>
      <c r="D928" s="68" t="s">
        <v>2696</v>
      </c>
      <c r="E928" s="68" t="s">
        <v>201</v>
      </c>
      <c r="F928" s="80" t="s">
        <v>2971</v>
      </c>
    </row>
    <row r="929" customFormat="false" ht="15" hidden="false" customHeight="false" outlineLevel="0" collapsed="false">
      <c r="A929" s="68" t="s">
        <v>2967</v>
      </c>
      <c r="B929" s="68" t="n">
        <v>88</v>
      </c>
      <c r="C929" s="68" t="s">
        <v>2426</v>
      </c>
      <c r="D929" s="68" t="s">
        <v>2696</v>
      </c>
      <c r="E929" s="68" t="s">
        <v>312</v>
      </c>
      <c r="F929" s="80" t="s">
        <v>2972</v>
      </c>
    </row>
    <row r="930" customFormat="false" ht="22.35" hidden="false" customHeight="false" outlineLevel="0" collapsed="false">
      <c r="A930" s="68" t="s">
        <v>2973</v>
      </c>
      <c r="B930" s="68" t="n">
        <v>89</v>
      </c>
      <c r="C930" s="68" t="s">
        <v>2253</v>
      </c>
      <c r="D930" s="68" t="s">
        <v>2628</v>
      </c>
      <c r="E930" s="68" t="s">
        <v>48</v>
      </c>
      <c r="F930" s="80" t="s">
        <v>2653</v>
      </c>
    </row>
    <row r="931" customFormat="false" ht="22.35" hidden="false" customHeight="false" outlineLevel="0" collapsed="false">
      <c r="A931" s="68" t="s">
        <v>2973</v>
      </c>
      <c r="B931" s="68" t="n">
        <v>89</v>
      </c>
      <c r="C931" s="68" t="s">
        <v>2260</v>
      </c>
      <c r="D931" s="68" t="s">
        <v>2628</v>
      </c>
      <c r="E931" s="68" t="s">
        <v>192</v>
      </c>
      <c r="F931" s="80" t="s">
        <v>2678</v>
      </c>
    </row>
    <row r="932" customFormat="false" ht="32.8" hidden="false" customHeight="false" outlineLevel="0" collapsed="false">
      <c r="A932" s="68" t="s">
        <v>2973</v>
      </c>
      <c r="B932" s="68" t="n">
        <v>89</v>
      </c>
      <c r="C932" s="68" t="s">
        <v>2266</v>
      </c>
      <c r="D932" s="68" t="s">
        <v>2628</v>
      </c>
      <c r="E932" s="68" t="s">
        <v>74</v>
      </c>
      <c r="F932" s="80" t="s">
        <v>2943</v>
      </c>
    </row>
    <row r="933" customFormat="false" ht="15" hidden="false" customHeight="false" outlineLevel="0" collapsed="false">
      <c r="A933" s="68" t="s">
        <v>2973</v>
      </c>
      <c r="B933" s="68" t="n">
        <v>89</v>
      </c>
      <c r="C933" s="68" t="s">
        <v>2276</v>
      </c>
      <c r="D933" s="68" t="s">
        <v>2696</v>
      </c>
      <c r="E933" s="68" t="n">
        <v>30.6</v>
      </c>
      <c r="F933" s="80" t="s">
        <v>2974</v>
      </c>
    </row>
    <row r="934" customFormat="false" ht="15" hidden="false" customHeight="false" outlineLevel="0" collapsed="false">
      <c r="A934" s="68" t="s">
        <v>2973</v>
      </c>
      <c r="B934" s="68" t="n">
        <v>89</v>
      </c>
      <c r="C934" s="68" t="s">
        <v>2300</v>
      </c>
      <c r="D934" s="68" t="s">
        <v>2632</v>
      </c>
      <c r="E934" s="68" t="s">
        <v>624</v>
      </c>
      <c r="F934" s="80" t="s">
        <v>2944</v>
      </c>
    </row>
    <row r="935" customFormat="false" ht="22.35" hidden="false" customHeight="false" outlineLevel="0" collapsed="false">
      <c r="A935" s="68" t="s">
        <v>2973</v>
      </c>
      <c r="B935" s="68" t="n">
        <v>89</v>
      </c>
      <c r="C935" s="68" t="s">
        <v>2304</v>
      </c>
      <c r="D935" s="68" t="s">
        <v>2696</v>
      </c>
      <c r="E935" s="68" t="s">
        <v>312</v>
      </c>
      <c r="F935" s="80" t="s">
        <v>2975</v>
      </c>
    </row>
    <row r="936" customFormat="false" ht="15" hidden="false" customHeight="false" outlineLevel="0" collapsed="false">
      <c r="A936" s="68" t="s">
        <v>2973</v>
      </c>
      <c r="B936" s="68" t="n">
        <v>89</v>
      </c>
      <c r="C936" s="68" t="s">
        <v>2324</v>
      </c>
      <c r="D936" s="68" t="s">
        <v>2696</v>
      </c>
      <c r="E936" s="68" t="s">
        <v>304</v>
      </c>
      <c r="F936" s="80" t="s">
        <v>2812</v>
      </c>
    </row>
    <row r="937" customFormat="false" ht="22.35" hidden="false" customHeight="false" outlineLevel="0" collapsed="false">
      <c r="A937" s="68" t="s">
        <v>2973</v>
      </c>
      <c r="B937" s="68" t="n">
        <v>89</v>
      </c>
      <c r="C937" s="68" t="s">
        <v>2351</v>
      </c>
      <c r="D937" s="68" t="s">
        <v>2696</v>
      </c>
      <c r="E937" s="68" t="n">
        <v>1393</v>
      </c>
      <c r="F937" s="80" t="s">
        <v>2813</v>
      </c>
    </row>
    <row r="938" customFormat="false" ht="15" hidden="false" customHeight="false" outlineLevel="0" collapsed="false">
      <c r="A938" s="68" t="s">
        <v>2973</v>
      </c>
      <c r="B938" s="68" t="n">
        <v>89</v>
      </c>
      <c r="C938" s="68" t="s">
        <v>2357</v>
      </c>
      <c r="D938" s="68" t="s">
        <v>2632</v>
      </c>
      <c r="E938" s="68" t="s">
        <v>454</v>
      </c>
      <c r="F938" s="80" t="s">
        <v>2976</v>
      </c>
    </row>
    <row r="939" customFormat="false" ht="43.25" hidden="false" customHeight="false" outlineLevel="0" collapsed="false">
      <c r="A939" s="68" t="s">
        <v>2973</v>
      </c>
      <c r="B939" s="68" t="n">
        <v>89</v>
      </c>
      <c r="C939" s="68" t="s">
        <v>2383</v>
      </c>
      <c r="D939" s="68" t="s">
        <v>2696</v>
      </c>
      <c r="E939" s="68" t="s">
        <v>201</v>
      </c>
      <c r="F939" s="80" t="s">
        <v>2971</v>
      </c>
    </row>
    <row r="940" customFormat="false" ht="15" hidden="false" customHeight="false" outlineLevel="0" collapsed="false">
      <c r="A940" s="68" t="s">
        <v>2973</v>
      </c>
      <c r="B940" s="68" t="n">
        <v>89</v>
      </c>
      <c r="C940" s="68" t="s">
        <v>2426</v>
      </c>
      <c r="D940" s="68" t="s">
        <v>2696</v>
      </c>
      <c r="E940" s="68" t="s">
        <v>312</v>
      </c>
      <c r="F940" s="80" t="s">
        <v>2972</v>
      </c>
    </row>
    <row r="941" customFormat="false" ht="22.35" hidden="false" customHeight="false" outlineLevel="0" collapsed="false">
      <c r="A941" s="68" t="s">
        <v>2977</v>
      </c>
      <c r="B941" s="68" t="n">
        <v>90</v>
      </c>
      <c r="C941" s="68" t="s">
        <v>2253</v>
      </c>
      <c r="D941" s="68" t="s">
        <v>2628</v>
      </c>
      <c r="E941" s="68" t="s">
        <v>51</v>
      </c>
      <c r="F941" s="80" t="s">
        <v>2662</v>
      </c>
    </row>
    <row r="942" customFormat="false" ht="22.35" hidden="false" customHeight="false" outlineLevel="0" collapsed="false">
      <c r="A942" s="68" t="s">
        <v>2977</v>
      </c>
      <c r="B942" s="68" t="n">
        <v>90</v>
      </c>
      <c r="C942" s="68" t="s">
        <v>2260</v>
      </c>
      <c r="D942" s="68" t="s">
        <v>2628</v>
      </c>
      <c r="E942" s="68" t="s">
        <v>192</v>
      </c>
      <c r="F942" s="80" t="s">
        <v>2678</v>
      </c>
    </row>
    <row r="943" customFormat="false" ht="32.8" hidden="false" customHeight="false" outlineLevel="0" collapsed="false">
      <c r="A943" s="68" t="s">
        <v>2977</v>
      </c>
      <c r="B943" s="68" t="n">
        <v>90</v>
      </c>
      <c r="C943" s="68" t="s">
        <v>2266</v>
      </c>
      <c r="D943" s="68" t="s">
        <v>2628</v>
      </c>
      <c r="E943" s="68" t="s">
        <v>115</v>
      </c>
      <c r="F943" s="80" t="s">
        <v>2823</v>
      </c>
    </row>
    <row r="944" customFormat="false" ht="15" hidden="false" customHeight="false" outlineLevel="0" collapsed="false">
      <c r="A944" s="68" t="s">
        <v>2977</v>
      </c>
      <c r="B944" s="68" t="n">
        <v>90</v>
      </c>
      <c r="C944" s="68" t="s">
        <v>2276</v>
      </c>
      <c r="D944" s="68" t="s">
        <v>2696</v>
      </c>
      <c r="E944" s="68" t="n">
        <v>20.4</v>
      </c>
      <c r="F944" s="80" t="s">
        <v>2978</v>
      </c>
    </row>
    <row r="945" customFormat="false" ht="22.35" hidden="false" customHeight="false" outlineLevel="0" collapsed="false">
      <c r="A945" s="68" t="s">
        <v>2977</v>
      </c>
      <c r="B945" s="68" t="n">
        <v>90</v>
      </c>
      <c r="C945" s="68" t="s">
        <v>2304</v>
      </c>
      <c r="D945" s="68" t="s">
        <v>2696</v>
      </c>
      <c r="E945" s="68" t="s">
        <v>312</v>
      </c>
      <c r="F945" s="80" t="s">
        <v>2979</v>
      </c>
    </row>
    <row r="946" customFormat="false" ht="15" hidden="false" customHeight="false" outlineLevel="0" collapsed="false">
      <c r="A946" s="68" t="s">
        <v>2977</v>
      </c>
      <c r="B946" s="68" t="n">
        <v>90</v>
      </c>
      <c r="C946" s="68" t="s">
        <v>2324</v>
      </c>
      <c r="D946" s="68" t="s">
        <v>2632</v>
      </c>
      <c r="E946" s="68" t="s">
        <v>304</v>
      </c>
      <c r="F946" s="80" t="s">
        <v>2980</v>
      </c>
    </row>
    <row r="947" customFormat="false" ht="22.35" hidden="false" customHeight="false" outlineLevel="0" collapsed="false">
      <c r="A947" s="68" t="s">
        <v>2977</v>
      </c>
      <c r="B947" s="68" t="n">
        <v>90</v>
      </c>
      <c r="C947" s="68" t="s">
        <v>2351</v>
      </c>
      <c r="D947" s="68" t="s">
        <v>2696</v>
      </c>
      <c r="E947" s="68" t="n">
        <v>1393</v>
      </c>
      <c r="F947" s="80" t="s">
        <v>2813</v>
      </c>
    </row>
    <row r="948" customFormat="false" ht="43.25" hidden="false" customHeight="false" outlineLevel="0" collapsed="false">
      <c r="A948" s="68" t="s">
        <v>2977</v>
      </c>
      <c r="B948" s="68" t="n">
        <v>90</v>
      </c>
      <c r="C948" s="68" t="s">
        <v>2383</v>
      </c>
      <c r="D948" s="68" t="s">
        <v>2696</v>
      </c>
      <c r="E948" s="68" t="s">
        <v>208</v>
      </c>
      <c r="F948" s="80" t="s">
        <v>2814</v>
      </c>
    </row>
    <row r="949" customFormat="false" ht="15" hidden="false" customHeight="false" outlineLevel="0" collapsed="false">
      <c r="A949" s="68" t="s">
        <v>2977</v>
      </c>
      <c r="B949" s="68" t="n">
        <v>90</v>
      </c>
      <c r="C949" s="68" t="s">
        <v>2426</v>
      </c>
      <c r="D949" s="68" t="s">
        <v>2696</v>
      </c>
      <c r="E949" s="68" t="s">
        <v>312</v>
      </c>
      <c r="F949" s="80" t="s">
        <v>2815</v>
      </c>
    </row>
    <row r="950" customFormat="false" ht="22.35" hidden="false" customHeight="false" outlineLevel="0" collapsed="false">
      <c r="A950" s="68" t="s">
        <v>2981</v>
      </c>
      <c r="B950" s="68" t="n">
        <v>91</v>
      </c>
      <c r="C950" s="68" t="s">
        <v>2253</v>
      </c>
      <c r="D950" s="68" t="s">
        <v>2628</v>
      </c>
      <c r="E950" s="68" t="s">
        <v>51</v>
      </c>
      <c r="F950" s="80" t="s">
        <v>2662</v>
      </c>
    </row>
    <row r="951" customFormat="false" ht="22.35" hidden="false" customHeight="false" outlineLevel="0" collapsed="false">
      <c r="A951" s="68" t="s">
        <v>2981</v>
      </c>
      <c r="B951" s="68" t="n">
        <v>91</v>
      </c>
      <c r="C951" s="68" t="s">
        <v>2260</v>
      </c>
      <c r="D951" s="68" t="s">
        <v>2628</v>
      </c>
      <c r="E951" s="68" t="s">
        <v>192</v>
      </c>
      <c r="F951" s="80" t="s">
        <v>2678</v>
      </c>
    </row>
    <row r="952" customFormat="false" ht="32.8" hidden="false" customHeight="false" outlineLevel="0" collapsed="false">
      <c r="A952" s="68" t="s">
        <v>2981</v>
      </c>
      <c r="B952" s="68" t="n">
        <v>91</v>
      </c>
      <c r="C952" s="68" t="s">
        <v>2266</v>
      </c>
      <c r="D952" s="68" t="s">
        <v>2628</v>
      </c>
      <c r="E952" s="68" t="s">
        <v>115</v>
      </c>
      <c r="F952" s="80" t="s">
        <v>2823</v>
      </c>
    </row>
    <row r="953" customFormat="false" ht="15" hidden="false" customHeight="false" outlineLevel="0" collapsed="false">
      <c r="A953" s="68" t="s">
        <v>2981</v>
      </c>
      <c r="B953" s="68" t="n">
        <v>91</v>
      </c>
      <c r="C953" s="68" t="s">
        <v>2276</v>
      </c>
      <c r="D953" s="68" t="s">
        <v>2696</v>
      </c>
      <c r="E953" s="68" t="n">
        <v>20.4</v>
      </c>
      <c r="F953" s="80" t="s">
        <v>2982</v>
      </c>
    </row>
    <row r="954" customFormat="false" ht="22.35" hidden="false" customHeight="false" outlineLevel="0" collapsed="false">
      <c r="A954" s="68" t="s">
        <v>2981</v>
      </c>
      <c r="B954" s="68" t="n">
        <v>91</v>
      </c>
      <c r="C954" s="68" t="s">
        <v>2304</v>
      </c>
      <c r="D954" s="68" t="s">
        <v>2696</v>
      </c>
      <c r="E954" s="68" t="s">
        <v>312</v>
      </c>
      <c r="F954" s="80" t="s">
        <v>2983</v>
      </c>
    </row>
    <row r="955" customFormat="false" ht="15" hidden="false" customHeight="false" outlineLevel="0" collapsed="false">
      <c r="A955" s="68" t="s">
        <v>2981</v>
      </c>
      <c r="B955" s="68" t="n">
        <v>91</v>
      </c>
      <c r="C955" s="68" t="s">
        <v>2324</v>
      </c>
      <c r="D955" s="68" t="s">
        <v>2632</v>
      </c>
      <c r="E955" s="68" t="s">
        <v>304</v>
      </c>
      <c r="F955" s="80" t="s">
        <v>2984</v>
      </c>
    </row>
    <row r="956" customFormat="false" ht="22.35" hidden="false" customHeight="false" outlineLevel="0" collapsed="false">
      <c r="A956" s="68" t="s">
        <v>2981</v>
      </c>
      <c r="B956" s="68" t="n">
        <v>91</v>
      </c>
      <c r="C956" s="68" t="s">
        <v>2351</v>
      </c>
      <c r="D956" s="68" t="s">
        <v>2696</v>
      </c>
      <c r="E956" s="68" t="n">
        <v>1393</v>
      </c>
      <c r="F956" s="80" t="s">
        <v>2813</v>
      </c>
    </row>
    <row r="957" customFormat="false" ht="43.25" hidden="false" customHeight="false" outlineLevel="0" collapsed="false">
      <c r="A957" s="68" t="s">
        <v>2981</v>
      </c>
      <c r="B957" s="68" t="n">
        <v>91</v>
      </c>
      <c r="C957" s="68" t="s">
        <v>2383</v>
      </c>
      <c r="D957" s="68" t="s">
        <v>2696</v>
      </c>
      <c r="E957" s="68" t="s">
        <v>208</v>
      </c>
      <c r="F957" s="80" t="s">
        <v>2814</v>
      </c>
    </row>
    <row r="958" customFormat="false" ht="15" hidden="false" customHeight="false" outlineLevel="0" collapsed="false">
      <c r="A958" s="68" t="s">
        <v>2981</v>
      </c>
      <c r="B958" s="68" t="n">
        <v>91</v>
      </c>
      <c r="C958" s="68" t="s">
        <v>2426</v>
      </c>
      <c r="D958" s="68" t="s">
        <v>2696</v>
      </c>
      <c r="E958" s="68" t="s">
        <v>312</v>
      </c>
      <c r="F958" s="80" t="s">
        <v>2815</v>
      </c>
    </row>
    <row r="959" customFormat="false" ht="43.25" hidden="false" customHeight="false" outlineLevel="0" collapsed="false">
      <c r="A959" s="68" t="s">
        <v>2985</v>
      </c>
      <c r="B959" s="68" t="n">
        <v>92</v>
      </c>
      <c r="C959" s="68" t="s">
        <v>2253</v>
      </c>
      <c r="D959" s="68" t="s">
        <v>2628</v>
      </c>
      <c r="E959" s="68" t="s">
        <v>57</v>
      </c>
      <c r="F959" s="80" t="s">
        <v>2748</v>
      </c>
    </row>
    <row r="960" customFormat="false" ht="22.35" hidden="false" customHeight="false" outlineLevel="0" collapsed="false">
      <c r="A960" s="68" t="s">
        <v>2985</v>
      </c>
      <c r="B960" s="68" t="n">
        <v>92</v>
      </c>
      <c r="C960" s="68" t="s">
        <v>2260</v>
      </c>
      <c r="D960" s="68" t="s">
        <v>2628</v>
      </c>
      <c r="E960" s="68" t="s">
        <v>192</v>
      </c>
      <c r="F960" s="80" t="s">
        <v>2678</v>
      </c>
    </row>
    <row r="961" customFormat="false" ht="32.8" hidden="false" customHeight="false" outlineLevel="0" collapsed="false">
      <c r="A961" s="68" t="s">
        <v>2985</v>
      </c>
      <c r="B961" s="68" t="n">
        <v>92</v>
      </c>
      <c r="C961" s="68" t="s">
        <v>2266</v>
      </c>
      <c r="D961" s="68" t="s">
        <v>2628</v>
      </c>
      <c r="E961" s="68" t="s">
        <v>119</v>
      </c>
      <c r="F961" s="80" t="s">
        <v>2986</v>
      </c>
    </row>
    <row r="962" customFormat="false" ht="15" hidden="false" customHeight="false" outlineLevel="0" collapsed="false">
      <c r="A962" s="68" t="s">
        <v>2985</v>
      </c>
      <c r="B962" s="68" t="n">
        <v>92</v>
      </c>
      <c r="C962" s="68" t="s">
        <v>2271</v>
      </c>
      <c r="D962" s="68" t="s">
        <v>2632</v>
      </c>
      <c r="E962" s="68" t="n">
        <v>9.6</v>
      </c>
      <c r="F962" s="80" t="s">
        <v>2987</v>
      </c>
    </row>
    <row r="963" customFormat="false" ht="22.35" hidden="false" customHeight="false" outlineLevel="0" collapsed="false">
      <c r="A963" s="68" t="s">
        <v>2985</v>
      </c>
      <c r="B963" s="68" t="n">
        <v>92</v>
      </c>
      <c r="C963" s="68" t="s">
        <v>2295</v>
      </c>
      <c r="D963" s="68" t="s">
        <v>2632</v>
      </c>
      <c r="E963" s="68" t="s">
        <v>123</v>
      </c>
      <c r="F963" s="80" t="s">
        <v>2988</v>
      </c>
    </row>
    <row r="964" customFormat="false" ht="22.35" hidden="false" customHeight="false" outlineLevel="0" collapsed="false">
      <c r="A964" s="68" t="s">
        <v>2985</v>
      </c>
      <c r="B964" s="68" t="n">
        <v>92</v>
      </c>
      <c r="C964" s="68" t="s">
        <v>2304</v>
      </c>
      <c r="D964" s="68" t="s">
        <v>2696</v>
      </c>
      <c r="E964" s="68" t="s">
        <v>312</v>
      </c>
      <c r="F964" s="80" t="s">
        <v>2989</v>
      </c>
    </row>
    <row r="965" customFormat="false" ht="15" hidden="false" customHeight="false" outlineLevel="0" collapsed="false">
      <c r="A965" s="68" t="s">
        <v>2985</v>
      </c>
      <c r="B965" s="68" t="n">
        <v>92</v>
      </c>
      <c r="C965" s="68" t="s">
        <v>2324</v>
      </c>
      <c r="D965" s="68" t="s">
        <v>2696</v>
      </c>
      <c r="E965" s="68" t="s">
        <v>304</v>
      </c>
      <c r="F965" s="80" t="s">
        <v>2812</v>
      </c>
    </row>
    <row r="966" customFormat="false" ht="22.35" hidden="false" customHeight="false" outlineLevel="0" collapsed="false">
      <c r="A966" s="68" t="s">
        <v>2985</v>
      </c>
      <c r="B966" s="68" t="n">
        <v>92</v>
      </c>
      <c r="C966" s="68" t="s">
        <v>2351</v>
      </c>
      <c r="D966" s="68" t="s">
        <v>2696</v>
      </c>
      <c r="E966" s="68" t="n">
        <v>1393</v>
      </c>
      <c r="F966" s="80" t="s">
        <v>2813</v>
      </c>
    </row>
    <row r="967" customFormat="false" ht="15" hidden="false" customHeight="false" outlineLevel="0" collapsed="false">
      <c r="A967" s="68" t="s">
        <v>2985</v>
      </c>
      <c r="B967" s="68" t="n">
        <v>92</v>
      </c>
      <c r="C967" s="68" t="s">
        <v>2357</v>
      </c>
      <c r="D967" s="68" t="s">
        <v>2632</v>
      </c>
      <c r="E967" s="68" t="s">
        <v>454</v>
      </c>
      <c r="F967" s="80" t="s">
        <v>2990</v>
      </c>
    </row>
    <row r="968" customFormat="false" ht="43.25" hidden="false" customHeight="false" outlineLevel="0" collapsed="false">
      <c r="A968" s="68" t="s">
        <v>2985</v>
      </c>
      <c r="B968" s="68" t="n">
        <v>92</v>
      </c>
      <c r="C968" s="68" t="s">
        <v>2383</v>
      </c>
      <c r="D968" s="68" t="s">
        <v>2696</v>
      </c>
      <c r="E968" s="68" t="s">
        <v>201</v>
      </c>
      <c r="F968" s="80" t="s">
        <v>2971</v>
      </c>
    </row>
    <row r="969" customFormat="false" ht="15" hidden="false" customHeight="false" outlineLevel="0" collapsed="false">
      <c r="A969" s="68" t="s">
        <v>2985</v>
      </c>
      <c r="B969" s="68" t="n">
        <v>92</v>
      </c>
      <c r="C969" s="68" t="s">
        <v>2426</v>
      </c>
      <c r="D969" s="68" t="s">
        <v>2696</v>
      </c>
      <c r="E969" s="68" t="s">
        <v>312</v>
      </c>
      <c r="F969" s="80" t="s">
        <v>2972</v>
      </c>
    </row>
    <row r="970" customFormat="false" ht="43.25" hidden="false" customHeight="false" outlineLevel="0" collapsed="false">
      <c r="A970" s="68" t="s">
        <v>2991</v>
      </c>
      <c r="B970" s="68" t="n">
        <v>93</v>
      </c>
      <c r="C970" s="68" t="s">
        <v>2253</v>
      </c>
      <c r="D970" s="68" t="s">
        <v>2628</v>
      </c>
      <c r="E970" s="68" t="s">
        <v>57</v>
      </c>
      <c r="F970" s="80" t="s">
        <v>2992</v>
      </c>
    </row>
    <row r="971" customFormat="false" ht="22.35" hidden="false" customHeight="false" outlineLevel="0" collapsed="false">
      <c r="A971" s="68" t="s">
        <v>2991</v>
      </c>
      <c r="B971" s="68" t="n">
        <v>93</v>
      </c>
      <c r="C971" s="68" t="s">
        <v>2260</v>
      </c>
      <c r="D971" s="68" t="s">
        <v>2628</v>
      </c>
      <c r="E971" s="68" t="s">
        <v>192</v>
      </c>
      <c r="F971" s="80" t="s">
        <v>2678</v>
      </c>
    </row>
    <row r="972" customFormat="false" ht="32.8" hidden="false" customHeight="false" outlineLevel="0" collapsed="false">
      <c r="A972" s="68" t="s">
        <v>2991</v>
      </c>
      <c r="B972" s="68" t="n">
        <v>93</v>
      </c>
      <c r="C972" s="68" t="s">
        <v>2266</v>
      </c>
      <c r="D972" s="68" t="s">
        <v>2628</v>
      </c>
      <c r="E972" s="68" t="s">
        <v>119</v>
      </c>
      <c r="F972" s="80" t="s">
        <v>2986</v>
      </c>
    </row>
    <row r="973" customFormat="false" ht="22.35" hidden="false" customHeight="false" outlineLevel="0" collapsed="false">
      <c r="A973" s="68" t="s">
        <v>2991</v>
      </c>
      <c r="B973" s="68" t="n">
        <v>93</v>
      </c>
      <c r="C973" s="68" t="s">
        <v>2295</v>
      </c>
      <c r="D973" s="68" t="s">
        <v>2632</v>
      </c>
      <c r="E973" s="68" t="s">
        <v>123</v>
      </c>
      <c r="F973" s="80" t="s">
        <v>2988</v>
      </c>
    </row>
    <row r="974" customFormat="false" ht="22.35" hidden="false" customHeight="false" outlineLevel="0" collapsed="false">
      <c r="A974" s="68" t="s">
        <v>2991</v>
      </c>
      <c r="B974" s="68" t="n">
        <v>93</v>
      </c>
      <c r="C974" s="68" t="s">
        <v>2304</v>
      </c>
      <c r="D974" s="68" t="s">
        <v>2696</v>
      </c>
      <c r="E974" s="68" t="s">
        <v>312</v>
      </c>
      <c r="F974" s="80" t="s">
        <v>2993</v>
      </c>
    </row>
    <row r="975" customFormat="false" ht="15" hidden="false" customHeight="false" outlineLevel="0" collapsed="false">
      <c r="A975" s="68" t="s">
        <v>2991</v>
      </c>
      <c r="B975" s="68" t="n">
        <v>93</v>
      </c>
      <c r="C975" s="68" t="s">
        <v>2324</v>
      </c>
      <c r="D975" s="68" t="s">
        <v>2696</v>
      </c>
      <c r="E975" s="68" t="s">
        <v>304</v>
      </c>
      <c r="F975" s="80" t="s">
        <v>2812</v>
      </c>
    </row>
    <row r="976" customFormat="false" ht="22.35" hidden="false" customHeight="false" outlineLevel="0" collapsed="false">
      <c r="A976" s="68" t="s">
        <v>2991</v>
      </c>
      <c r="B976" s="68" t="n">
        <v>93</v>
      </c>
      <c r="C976" s="68" t="s">
        <v>2351</v>
      </c>
      <c r="D976" s="68" t="s">
        <v>2696</v>
      </c>
      <c r="E976" s="68" t="n">
        <v>1393</v>
      </c>
      <c r="F976" s="80" t="s">
        <v>2813</v>
      </c>
    </row>
    <row r="977" customFormat="false" ht="15" hidden="false" customHeight="false" outlineLevel="0" collapsed="false">
      <c r="A977" s="68" t="s">
        <v>2991</v>
      </c>
      <c r="B977" s="68" t="n">
        <v>93</v>
      </c>
      <c r="C977" s="68" t="s">
        <v>2357</v>
      </c>
      <c r="D977" s="68" t="s">
        <v>2632</v>
      </c>
      <c r="E977" s="68" t="s">
        <v>454</v>
      </c>
      <c r="F977" s="80" t="s">
        <v>2994</v>
      </c>
    </row>
    <row r="978" customFormat="false" ht="43.25" hidden="false" customHeight="false" outlineLevel="0" collapsed="false">
      <c r="A978" s="68" t="s">
        <v>2991</v>
      </c>
      <c r="B978" s="68" t="n">
        <v>93</v>
      </c>
      <c r="C978" s="68" t="s">
        <v>2383</v>
      </c>
      <c r="D978" s="68" t="s">
        <v>2696</v>
      </c>
      <c r="E978" s="68" t="s">
        <v>201</v>
      </c>
      <c r="F978" s="80" t="s">
        <v>2971</v>
      </c>
    </row>
    <row r="979" customFormat="false" ht="15" hidden="false" customHeight="false" outlineLevel="0" collapsed="false">
      <c r="A979" s="68" t="s">
        <v>2991</v>
      </c>
      <c r="B979" s="68" t="n">
        <v>93</v>
      </c>
      <c r="C979" s="68" t="s">
        <v>2426</v>
      </c>
      <c r="D979" s="68" t="s">
        <v>2696</v>
      </c>
      <c r="E979" s="68" t="s">
        <v>312</v>
      </c>
      <c r="F979" s="80" t="s">
        <v>2972</v>
      </c>
    </row>
    <row r="980" customFormat="false" ht="22.35" hidden="false" customHeight="false" outlineLevel="0" collapsed="false">
      <c r="A980" s="68" t="s">
        <v>2995</v>
      </c>
      <c r="B980" s="68" t="n">
        <v>94</v>
      </c>
      <c r="C980" s="68" t="s">
        <v>2253</v>
      </c>
      <c r="D980" s="68" t="s">
        <v>2628</v>
      </c>
      <c r="E980" s="68" t="s">
        <v>45</v>
      </c>
      <c r="F980" s="80" t="s">
        <v>2629</v>
      </c>
    </row>
    <row r="981" customFormat="false" ht="22.35" hidden="false" customHeight="false" outlineLevel="0" collapsed="false">
      <c r="A981" s="68" t="s">
        <v>2995</v>
      </c>
      <c r="B981" s="68" t="n">
        <v>94</v>
      </c>
      <c r="C981" s="68" t="s">
        <v>2260</v>
      </c>
      <c r="D981" s="68" t="s">
        <v>2628</v>
      </c>
      <c r="E981" s="68" t="s">
        <v>177</v>
      </c>
      <c r="F981" s="80" t="s">
        <v>2996</v>
      </c>
    </row>
    <row r="982" customFormat="false" ht="32.8" hidden="false" customHeight="false" outlineLevel="0" collapsed="false">
      <c r="A982" s="68" t="s">
        <v>2995</v>
      </c>
      <c r="B982" s="68" t="n">
        <v>94</v>
      </c>
      <c r="C982" s="68" t="s">
        <v>2266</v>
      </c>
      <c r="D982" s="68" t="s">
        <v>2628</v>
      </c>
      <c r="E982" s="68" t="s">
        <v>111</v>
      </c>
      <c r="F982" s="80" t="s">
        <v>2809</v>
      </c>
    </row>
    <row r="983" customFormat="false" ht="15" hidden="false" customHeight="false" outlineLevel="0" collapsed="false">
      <c r="A983" s="68" t="s">
        <v>2995</v>
      </c>
      <c r="B983" s="68" t="n">
        <v>94</v>
      </c>
      <c r="C983" s="68" t="s">
        <v>2300</v>
      </c>
      <c r="D983" s="68" t="s">
        <v>2632</v>
      </c>
      <c r="E983" s="68" t="s">
        <v>479</v>
      </c>
      <c r="F983" s="80" t="s">
        <v>2810</v>
      </c>
    </row>
    <row r="984" customFormat="false" ht="15" hidden="false" customHeight="false" outlineLevel="0" collapsed="false">
      <c r="A984" s="68" t="s">
        <v>2995</v>
      </c>
      <c r="B984" s="68" t="n">
        <v>94</v>
      </c>
      <c r="C984" s="68" t="s">
        <v>2304</v>
      </c>
      <c r="D984" s="68" t="s">
        <v>2632</v>
      </c>
      <c r="E984" s="68" t="s">
        <v>369</v>
      </c>
      <c r="F984" s="80" t="s">
        <v>2997</v>
      </c>
    </row>
    <row r="985" customFormat="false" ht="15" hidden="false" customHeight="false" outlineLevel="0" collapsed="false">
      <c r="A985" s="68" t="s">
        <v>2995</v>
      </c>
      <c r="B985" s="68" t="n">
        <v>94</v>
      </c>
      <c r="C985" s="68" t="s">
        <v>2324</v>
      </c>
      <c r="D985" s="68" t="s">
        <v>2696</v>
      </c>
      <c r="E985" s="68" t="s">
        <v>304</v>
      </c>
      <c r="F985" s="80" t="s">
        <v>2812</v>
      </c>
    </row>
    <row r="986" customFormat="false" ht="15" hidden="false" customHeight="false" outlineLevel="0" collapsed="false">
      <c r="A986" s="68" t="s">
        <v>2995</v>
      </c>
      <c r="B986" s="68" t="n">
        <v>94</v>
      </c>
      <c r="C986" s="68" t="s">
        <v>2351</v>
      </c>
      <c r="D986" s="68" t="s">
        <v>2632</v>
      </c>
      <c r="E986" s="68" t="n">
        <v>1404</v>
      </c>
      <c r="F986" s="80" t="s">
        <v>2998</v>
      </c>
    </row>
    <row r="987" customFormat="false" ht="43.25" hidden="false" customHeight="false" outlineLevel="0" collapsed="false">
      <c r="A987" s="68" t="s">
        <v>2995</v>
      </c>
      <c r="B987" s="68" t="n">
        <v>94</v>
      </c>
      <c r="C987" s="68" t="s">
        <v>2383</v>
      </c>
      <c r="D987" s="68" t="s">
        <v>2628</v>
      </c>
      <c r="E987" s="68" t="s">
        <v>208</v>
      </c>
      <c r="F987" s="80" t="s">
        <v>2999</v>
      </c>
    </row>
    <row r="988" customFormat="false" ht="22.35" hidden="false" customHeight="false" outlineLevel="0" collapsed="false">
      <c r="A988" s="68" t="s">
        <v>3000</v>
      </c>
      <c r="B988" s="68" t="n">
        <v>95</v>
      </c>
      <c r="C988" s="68" t="s">
        <v>2253</v>
      </c>
      <c r="D988" s="68" t="s">
        <v>2628</v>
      </c>
      <c r="E988" s="68" t="s">
        <v>48</v>
      </c>
      <c r="F988" s="80" t="s">
        <v>2653</v>
      </c>
    </row>
    <row r="989" customFormat="false" ht="22.35" hidden="false" customHeight="false" outlineLevel="0" collapsed="false">
      <c r="A989" s="68" t="s">
        <v>3000</v>
      </c>
      <c r="B989" s="68" t="n">
        <v>95</v>
      </c>
      <c r="C989" s="68" t="s">
        <v>2260</v>
      </c>
      <c r="D989" s="68" t="s">
        <v>2628</v>
      </c>
      <c r="E989" s="68" t="s">
        <v>192</v>
      </c>
      <c r="F989" s="80" t="s">
        <v>2678</v>
      </c>
    </row>
    <row r="990" customFormat="false" ht="32.8" hidden="false" customHeight="false" outlineLevel="0" collapsed="false">
      <c r="A990" s="68" t="s">
        <v>3000</v>
      </c>
      <c r="B990" s="68" t="n">
        <v>95</v>
      </c>
      <c r="C990" s="68" t="s">
        <v>2266</v>
      </c>
      <c r="D990" s="68" t="s">
        <v>2628</v>
      </c>
      <c r="E990" s="68" t="s">
        <v>74</v>
      </c>
      <c r="F990" s="80" t="s">
        <v>2943</v>
      </c>
    </row>
    <row r="991" customFormat="false" ht="15" hidden="false" customHeight="false" outlineLevel="0" collapsed="false">
      <c r="A991" s="68" t="s">
        <v>3000</v>
      </c>
      <c r="B991" s="68" t="n">
        <v>95</v>
      </c>
      <c r="C991" s="68" t="s">
        <v>2300</v>
      </c>
      <c r="D991" s="68" t="s">
        <v>2632</v>
      </c>
      <c r="E991" s="68" t="s">
        <v>624</v>
      </c>
      <c r="F991" s="80" t="s">
        <v>2944</v>
      </c>
    </row>
    <row r="992" customFormat="false" ht="22.35" hidden="false" customHeight="false" outlineLevel="0" collapsed="false">
      <c r="A992" s="68" t="s">
        <v>3000</v>
      </c>
      <c r="B992" s="68" t="n">
        <v>95</v>
      </c>
      <c r="C992" s="68" t="s">
        <v>2304</v>
      </c>
      <c r="D992" s="68" t="s">
        <v>2696</v>
      </c>
      <c r="E992" s="68" t="s">
        <v>312</v>
      </c>
      <c r="F992" s="80" t="s">
        <v>3001</v>
      </c>
    </row>
    <row r="993" customFormat="false" ht="15" hidden="false" customHeight="false" outlineLevel="0" collapsed="false">
      <c r="A993" s="68" t="s">
        <v>3000</v>
      </c>
      <c r="B993" s="68" t="n">
        <v>95</v>
      </c>
      <c r="C993" s="68" t="s">
        <v>2324</v>
      </c>
      <c r="D993" s="68" t="s">
        <v>2696</v>
      </c>
      <c r="E993" s="68" t="s">
        <v>304</v>
      </c>
      <c r="F993" s="80" t="s">
        <v>2812</v>
      </c>
    </row>
    <row r="994" customFormat="false" ht="15" hidden="false" customHeight="false" outlineLevel="0" collapsed="false">
      <c r="A994" s="68" t="s">
        <v>3000</v>
      </c>
      <c r="B994" s="68" t="n">
        <v>95</v>
      </c>
      <c r="C994" s="68" t="s">
        <v>2351</v>
      </c>
      <c r="D994" s="68" t="s">
        <v>2632</v>
      </c>
      <c r="E994" s="68" t="n">
        <v>1404</v>
      </c>
      <c r="F994" s="80" t="s">
        <v>2998</v>
      </c>
    </row>
    <row r="995" customFormat="false" ht="43.25" hidden="false" customHeight="false" outlineLevel="0" collapsed="false">
      <c r="A995" s="68" t="s">
        <v>3000</v>
      </c>
      <c r="B995" s="68" t="n">
        <v>95</v>
      </c>
      <c r="C995" s="68" t="s">
        <v>2383</v>
      </c>
      <c r="D995" s="68" t="s">
        <v>2628</v>
      </c>
      <c r="E995" s="68" t="s">
        <v>208</v>
      </c>
      <c r="F995" s="80" t="s">
        <v>2999</v>
      </c>
    </row>
    <row r="996" customFormat="false" ht="22.35" hidden="false" customHeight="false" outlineLevel="0" collapsed="false">
      <c r="A996" s="68" t="s">
        <v>3002</v>
      </c>
      <c r="B996" s="68" t="n">
        <v>96</v>
      </c>
      <c r="C996" s="68" t="s">
        <v>2253</v>
      </c>
      <c r="D996" s="68" t="s">
        <v>2628</v>
      </c>
      <c r="E996" s="68" t="s">
        <v>48</v>
      </c>
      <c r="F996" s="80" t="s">
        <v>2653</v>
      </c>
    </row>
    <row r="997" customFormat="false" ht="22.35" hidden="false" customHeight="false" outlineLevel="0" collapsed="false">
      <c r="A997" s="68" t="s">
        <v>3002</v>
      </c>
      <c r="B997" s="68" t="n">
        <v>96</v>
      </c>
      <c r="C997" s="68" t="s">
        <v>2260</v>
      </c>
      <c r="D997" s="68" t="s">
        <v>2628</v>
      </c>
      <c r="E997" s="68" t="s">
        <v>132</v>
      </c>
      <c r="F997" s="80" t="s">
        <v>2808</v>
      </c>
    </row>
    <row r="998" customFormat="false" ht="32.8" hidden="false" customHeight="false" outlineLevel="0" collapsed="false">
      <c r="A998" s="68" t="s">
        <v>3002</v>
      </c>
      <c r="B998" s="68" t="n">
        <v>96</v>
      </c>
      <c r="C998" s="68" t="s">
        <v>2266</v>
      </c>
      <c r="D998" s="68" t="s">
        <v>2628</v>
      </c>
      <c r="E998" s="68" t="s">
        <v>74</v>
      </c>
      <c r="F998" s="80" t="s">
        <v>2943</v>
      </c>
    </row>
    <row r="999" customFormat="false" ht="15" hidden="false" customHeight="false" outlineLevel="0" collapsed="false">
      <c r="A999" s="68" t="s">
        <v>3002</v>
      </c>
      <c r="B999" s="68" t="n">
        <v>96</v>
      </c>
      <c r="C999" s="68" t="s">
        <v>2300</v>
      </c>
      <c r="D999" s="68" t="s">
        <v>2632</v>
      </c>
      <c r="E999" s="68" t="s">
        <v>479</v>
      </c>
      <c r="F999" s="80" t="s">
        <v>2810</v>
      </c>
    </row>
    <row r="1000" customFormat="false" ht="22.35" hidden="false" customHeight="false" outlineLevel="0" collapsed="false">
      <c r="A1000" s="68" t="s">
        <v>3002</v>
      </c>
      <c r="B1000" s="68" t="n">
        <v>96</v>
      </c>
      <c r="C1000" s="68" t="s">
        <v>2304</v>
      </c>
      <c r="D1000" s="68" t="s">
        <v>2696</v>
      </c>
      <c r="E1000" s="68" t="s">
        <v>312</v>
      </c>
      <c r="F1000" s="80" t="s">
        <v>3003</v>
      </c>
    </row>
    <row r="1001" customFormat="false" ht="15" hidden="false" customHeight="false" outlineLevel="0" collapsed="false">
      <c r="A1001" s="68" t="s">
        <v>3002</v>
      </c>
      <c r="B1001" s="68" t="n">
        <v>96</v>
      </c>
      <c r="C1001" s="68" t="s">
        <v>2324</v>
      </c>
      <c r="D1001" s="68" t="s">
        <v>2696</v>
      </c>
      <c r="E1001" s="68" t="s">
        <v>304</v>
      </c>
      <c r="F1001" s="80" t="s">
        <v>2812</v>
      </c>
    </row>
    <row r="1002" customFormat="false" ht="15" hidden="false" customHeight="false" outlineLevel="0" collapsed="false">
      <c r="A1002" s="68" t="s">
        <v>3002</v>
      </c>
      <c r="B1002" s="68" t="n">
        <v>96</v>
      </c>
      <c r="C1002" s="68" t="s">
        <v>2351</v>
      </c>
      <c r="D1002" s="68" t="s">
        <v>2632</v>
      </c>
      <c r="E1002" s="68" t="n">
        <v>1404</v>
      </c>
      <c r="F1002" s="80" t="s">
        <v>2998</v>
      </c>
    </row>
    <row r="1003" customFormat="false" ht="43.25" hidden="false" customHeight="false" outlineLevel="0" collapsed="false">
      <c r="A1003" s="68" t="s">
        <v>3002</v>
      </c>
      <c r="B1003" s="68" t="n">
        <v>96</v>
      </c>
      <c r="C1003" s="68" t="s">
        <v>2383</v>
      </c>
      <c r="D1003" s="68" t="s">
        <v>2628</v>
      </c>
      <c r="E1003" s="68" t="s">
        <v>208</v>
      </c>
      <c r="F1003" s="80" t="s">
        <v>2999</v>
      </c>
    </row>
    <row r="1004" customFormat="false" ht="22.35" hidden="false" customHeight="false" outlineLevel="0" collapsed="false">
      <c r="A1004" s="68" t="s">
        <v>3004</v>
      </c>
      <c r="B1004" s="68" t="n">
        <v>97</v>
      </c>
      <c r="C1004" s="68" t="s">
        <v>2253</v>
      </c>
      <c r="D1004" s="68" t="s">
        <v>2628</v>
      </c>
      <c r="E1004" s="68" t="s">
        <v>48</v>
      </c>
      <c r="F1004" s="80" t="s">
        <v>2653</v>
      </c>
    </row>
    <row r="1005" customFormat="false" ht="22.35" hidden="false" customHeight="false" outlineLevel="0" collapsed="false">
      <c r="A1005" s="68" t="s">
        <v>3004</v>
      </c>
      <c r="B1005" s="68" t="n">
        <v>97</v>
      </c>
      <c r="C1005" s="68" t="s">
        <v>2260</v>
      </c>
      <c r="D1005" s="68" t="s">
        <v>2628</v>
      </c>
      <c r="E1005" s="68" t="s">
        <v>132</v>
      </c>
      <c r="F1005" s="80" t="s">
        <v>2808</v>
      </c>
    </row>
    <row r="1006" customFormat="false" ht="32.8" hidden="false" customHeight="false" outlineLevel="0" collapsed="false">
      <c r="A1006" s="68" t="s">
        <v>3004</v>
      </c>
      <c r="B1006" s="68" t="n">
        <v>97</v>
      </c>
      <c r="C1006" s="68" t="s">
        <v>2266</v>
      </c>
      <c r="D1006" s="68" t="s">
        <v>2628</v>
      </c>
      <c r="E1006" s="68" t="s">
        <v>74</v>
      </c>
      <c r="F1006" s="80" t="s">
        <v>2943</v>
      </c>
    </row>
    <row r="1007" customFormat="false" ht="15" hidden="false" customHeight="false" outlineLevel="0" collapsed="false">
      <c r="A1007" s="68" t="s">
        <v>3004</v>
      </c>
      <c r="B1007" s="68" t="n">
        <v>97</v>
      </c>
      <c r="C1007" s="68" t="s">
        <v>2300</v>
      </c>
      <c r="D1007" s="68" t="s">
        <v>2632</v>
      </c>
      <c r="E1007" s="68" t="s">
        <v>479</v>
      </c>
      <c r="F1007" s="80" t="s">
        <v>2810</v>
      </c>
    </row>
    <row r="1008" customFormat="false" ht="22.35" hidden="false" customHeight="false" outlineLevel="0" collapsed="false">
      <c r="A1008" s="68" t="s">
        <v>3004</v>
      </c>
      <c r="B1008" s="68" t="n">
        <v>97</v>
      </c>
      <c r="C1008" s="68" t="s">
        <v>2304</v>
      </c>
      <c r="D1008" s="68" t="s">
        <v>2696</v>
      </c>
      <c r="E1008" s="68" t="s">
        <v>312</v>
      </c>
      <c r="F1008" s="80" t="s">
        <v>3005</v>
      </c>
    </row>
    <row r="1009" customFormat="false" ht="15" hidden="false" customHeight="false" outlineLevel="0" collapsed="false">
      <c r="A1009" s="68" t="s">
        <v>3004</v>
      </c>
      <c r="B1009" s="68" t="n">
        <v>97</v>
      </c>
      <c r="C1009" s="68" t="s">
        <v>2324</v>
      </c>
      <c r="D1009" s="68" t="s">
        <v>2696</v>
      </c>
      <c r="E1009" s="68" t="s">
        <v>304</v>
      </c>
      <c r="F1009" s="80" t="s">
        <v>2812</v>
      </c>
    </row>
    <row r="1010" customFormat="false" ht="15" hidden="false" customHeight="false" outlineLevel="0" collapsed="false">
      <c r="A1010" s="68" t="s">
        <v>3004</v>
      </c>
      <c r="B1010" s="68" t="n">
        <v>97</v>
      </c>
      <c r="C1010" s="68" t="s">
        <v>2351</v>
      </c>
      <c r="D1010" s="68" t="s">
        <v>2632</v>
      </c>
      <c r="E1010" s="68" t="n">
        <v>1404</v>
      </c>
      <c r="F1010" s="80" t="s">
        <v>2998</v>
      </c>
    </row>
    <row r="1011" customFormat="false" ht="43.25" hidden="false" customHeight="false" outlineLevel="0" collapsed="false">
      <c r="A1011" s="68" t="s">
        <v>3004</v>
      </c>
      <c r="B1011" s="68" t="n">
        <v>97</v>
      </c>
      <c r="C1011" s="68" t="s">
        <v>2383</v>
      </c>
      <c r="D1011" s="68" t="s">
        <v>2628</v>
      </c>
      <c r="E1011" s="68" t="s">
        <v>208</v>
      </c>
      <c r="F1011" s="80" t="s">
        <v>2999</v>
      </c>
    </row>
    <row r="1012" customFormat="false" ht="22.35" hidden="false" customHeight="false" outlineLevel="0" collapsed="false">
      <c r="A1012" s="68" t="s">
        <v>3006</v>
      </c>
      <c r="B1012" s="68" t="n">
        <v>98</v>
      </c>
      <c r="C1012" s="68" t="s">
        <v>2253</v>
      </c>
      <c r="D1012" s="68" t="s">
        <v>2628</v>
      </c>
      <c r="E1012" s="68" t="s">
        <v>51</v>
      </c>
      <c r="F1012" s="80" t="s">
        <v>2662</v>
      </c>
    </row>
    <row r="1013" customFormat="false" ht="22.35" hidden="false" customHeight="false" outlineLevel="0" collapsed="false">
      <c r="A1013" s="68" t="s">
        <v>3006</v>
      </c>
      <c r="B1013" s="68" t="n">
        <v>98</v>
      </c>
      <c r="C1013" s="68" t="s">
        <v>2260</v>
      </c>
      <c r="D1013" s="68" t="s">
        <v>2628</v>
      </c>
      <c r="E1013" s="68" t="s">
        <v>153</v>
      </c>
      <c r="F1013" s="80" t="s">
        <v>2826</v>
      </c>
    </row>
    <row r="1014" customFormat="false" ht="32.8" hidden="false" customHeight="false" outlineLevel="0" collapsed="false">
      <c r="A1014" s="68" t="s">
        <v>3006</v>
      </c>
      <c r="B1014" s="68" t="n">
        <v>98</v>
      </c>
      <c r="C1014" s="68" t="s">
        <v>2266</v>
      </c>
      <c r="D1014" s="68" t="s">
        <v>2628</v>
      </c>
      <c r="E1014" s="68" t="s">
        <v>115</v>
      </c>
      <c r="F1014" s="80" t="s">
        <v>2823</v>
      </c>
    </row>
    <row r="1015" customFormat="false" ht="15" hidden="false" customHeight="false" outlineLevel="0" collapsed="false">
      <c r="A1015" s="68" t="s">
        <v>3006</v>
      </c>
      <c r="B1015" s="68" t="n">
        <v>98</v>
      </c>
      <c r="C1015" s="68" t="s">
        <v>2300</v>
      </c>
      <c r="D1015" s="68" t="s">
        <v>2632</v>
      </c>
      <c r="E1015" s="68" t="s">
        <v>479</v>
      </c>
      <c r="F1015" s="80" t="s">
        <v>2810</v>
      </c>
    </row>
    <row r="1016" customFormat="false" ht="15" hidden="false" customHeight="false" outlineLevel="0" collapsed="false">
      <c r="A1016" s="68" t="s">
        <v>3006</v>
      </c>
      <c r="B1016" s="68" t="n">
        <v>98</v>
      </c>
      <c r="C1016" s="68" t="s">
        <v>2304</v>
      </c>
      <c r="D1016" s="68" t="s">
        <v>2632</v>
      </c>
      <c r="E1016" s="68" t="s">
        <v>369</v>
      </c>
      <c r="F1016" s="80" t="s">
        <v>3007</v>
      </c>
    </row>
    <row r="1017" customFormat="false" ht="15" hidden="false" customHeight="false" outlineLevel="0" collapsed="false">
      <c r="A1017" s="68" t="s">
        <v>3006</v>
      </c>
      <c r="B1017" s="68" t="n">
        <v>98</v>
      </c>
      <c r="C1017" s="68" t="s">
        <v>2324</v>
      </c>
      <c r="D1017" s="68" t="s">
        <v>2696</v>
      </c>
      <c r="E1017" s="68" t="s">
        <v>304</v>
      </c>
      <c r="F1017" s="80" t="s">
        <v>2812</v>
      </c>
    </row>
    <row r="1018" customFormat="false" ht="15" hidden="false" customHeight="false" outlineLevel="0" collapsed="false">
      <c r="A1018" s="68" t="s">
        <v>3006</v>
      </c>
      <c r="B1018" s="68" t="n">
        <v>98</v>
      </c>
      <c r="C1018" s="68" t="s">
        <v>2351</v>
      </c>
      <c r="D1018" s="68" t="s">
        <v>2632</v>
      </c>
      <c r="E1018" s="68" t="n">
        <v>1404</v>
      </c>
      <c r="F1018" s="80" t="s">
        <v>2998</v>
      </c>
    </row>
    <row r="1019" customFormat="false" ht="43.25" hidden="false" customHeight="false" outlineLevel="0" collapsed="false">
      <c r="A1019" s="68" t="s">
        <v>3006</v>
      </c>
      <c r="B1019" s="68" t="n">
        <v>98</v>
      </c>
      <c r="C1019" s="68" t="s">
        <v>2383</v>
      </c>
      <c r="D1019" s="68" t="s">
        <v>2628</v>
      </c>
      <c r="E1019" s="68" t="s">
        <v>208</v>
      </c>
      <c r="F1019" s="80" t="s">
        <v>2999</v>
      </c>
    </row>
    <row r="1020" customFormat="false" ht="43.25" hidden="false" customHeight="false" outlineLevel="0" collapsed="false">
      <c r="A1020" s="68" t="s">
        <v>3008</v>
      </c>
      <c r="B1020" s="68" t="n">
        <v>99</v>
      </c>
      <c r="C1020" s="68" t="s">
        <v>2253</v>
      </c>
      <c r="D1020" s="68" t="s">
        <v>2628</v>
      </c>
      <c r="E1020" s="68" t="s">
        <v>54</v>
      </c>
      <c r="F1020" s="80" t="s">
        <v>2777</v>
      </c>
    </row>
    <row r="1021" customFormat="false" ht="22.35" hidden="false" customHeight="false" outlineLevel="0" collapsed="false">
      <c r="A1021" s="68" t="s">
        <v>3008</v>
      </c>
      <c r="B1021" s="68" t="n">
        <v>99</v>
      </c>
      <c r="C1021" s="68" t="s">
        <v>2260</v>
      </c>
      <c r="D1021" s="68" t="s">
        <v>2628</v>
      </c>
      <c r="E1021" s="68" t="s">
        <v>192</v>
      </c>
      <c r="F1021" s="80" t="s">
        <v>2678</v>
      </c>
    </row>
    <row r="1022" customFormat="false" ht="32.8" hidden="false" customHeight="false" outlineLevel="0" collapsed="false">
      <c r="A1022" s="68" t="s">
        <v>3008</v>
      </c>
      <c r="B1022" s="68" t="n">
        <v>99</v>
      </c>
      <c r="C1022" s="68" t="s">
        <v>2266</v>
      </c>
      <c r="D1022" s="68" t="s">
        <v>2628</v>
      </c>
      <c r="E1022" s="68" t="s">
        <v>111</v>
      </c>
      <c r="F1022" s="80" t="s">
        <v>2809</v>
      </c>
    </row>
    <row r="1023" customFormat="false" ht="15" hidden="false" customHeight="false" outlineLevel="0" collapsed="false">
      <c r="A1023" s="68" t="s">
        <v>3008</v>
      </c>
      <c r="B1023" s="68" t="n">
        <v>99</v>
      </c>
      <c r="C1023" s="68" t="s">
        <v>2300</v>
      </c>
      <c r="D1023" s="68" t="s">
        <v>2632</v>
      </c>
      <c r="E1023" s="68" t="s">
        <v>492</v>
      </c>
      <c r="F1023" s="80" t="s">
        <v>2820</v>
      </c>
    </row>
    <row r="1024" customFormat="false" ht="15" hidden="false" customHeight="false" outlineLevel="0" collapsed="false">
      <c r="A1024" s="68" t="s">
        <v>3008</v>
      </c>
      <c r="B1024" s="68" t="n">
        <v>99</v>
      </c>
      <c r="C1024" s="68" t="s">
        <v>2304</v>
      </c>
      <c r="D1024" s="68" t="s">
        <v>2632</v>
      </c>
      <c r="E1024" s="68" t="s">
        <v>369</v>
      </c>
      <c r="F1024" s="80" t="s">
        <v>3009</v>
      </c>
    </row>
    <row r="1025" customFormat="false" ht="15" hidden="false" customHeight="false" outlineLevel="0" collapsed="false">
      <c r="A1025" s="68" t="s">
        <v>3008</v>
      </c>
      <c r="B1025" s="68" t="n">
        <v>99</v>
      </c>
      <c r="C1025" s="68" t="s">
        <v>2324</v>
      </c>
      <c r="D1025" s="68" t="s">
        <v>2696</v>
      </c>
      <c r="E1025" s="68" t="s">
        <v>304</v>
      </c>
      <c r="F1025" s="80" t="s">
        <v>2812</v>
      </c>
    </row>
    <row r="1026" customFormat="false" ht="15" hidden="false" customHeight="false" outlineLevel="0" collapsed="false">
      <c r="A1026" s="68" t="s">
        <v>3008</v>
      </c>
      <c r="B1026" s="68" t="n">
        <v>99</v>
      </c>
      <c r="C1026" s="68" t="s">
        <v>2351</v>
      </c>
      <c r="D1026" s="68" t="s">
        <v>2632</v>
      </c>
      <c r="E1026" s="68" t="n">
        <v>1404</v>
      </c>
      <c r="F1026" s="80" t="s">
        <v>2998</v>
      </c>
    </row>
    <row r="1027" customFormat="false" ht="43.25" hidden="false" customHeight="false" outlineLevel="0" collapsed="false">
      <c r="A1027" s="68" t="s">
        <v>3008</v>
      </c>
      <c r="B1027" s="68" t="n">
        <v>99</v>
      </c>
      <c r="C1027" s="68" t="s">
        <v>2383</v>
      </c>
      <c r="D1027" s="68" t="s">
        <v>2628</v>
      </c>
      <c r="E1027" s="68" t="s">
        <v>208</v>
      </c>
      <c r="F1027" s="80" t="s">
        <v>2999</v>
      </c>
    </row>
    <row r="1028" customFormat="false" ht="22.35" hidden="false" customHeight="false" outlineLevel="0" collapsed="false">
      <c r="A1028" s="68" t="s">
        <v>3010</v>
      </c>
      <c r="B1028" s="68" t="n">
        <v>100</v>
      </c>
      <c r="C1028" s="68" t="s">
        <v>2253</v>
      </c>
      <c r="D1028" s="68" t="s">
        <v>2628</v>
      </c>
      <c r="E1028" s="68" t="s">
        <v>51</v>
      </c>
      <c r="F1028" s="80" t="s">
        <v>2662</v>
      </c>
    </row>
    <row r="1029" customFormat="false" ht="22.35" hidden="false" customHeight="false" outlineLevel="0" collapsed="false">
      <c r="A1029" s="68" t="s">
        <v>3010</v>
      </c>
      <c r="B1029" s="68" t="n">
        <v>100</v>
      </c>
      <c r="C1029" s="68" t="s">
        <v>2260</v>
      </c>
      <c r="D1029" s="68" t="s">
        <v>2628</v>
      </c>
      <c r="E1029" s="68" t="s">
        <v>132</v>
      </c>
      <c r="F1029" s="80" t="s">
        <v>2808</v>
      </c>
    </row>
    <row r="1030" customFormat="false" ht="32.8" hidden="false" customHeight="false" outlineLevel="0" collapsed="false">
      <c r="A1030" s="68" t="s">
        <v>3010</v>
      </c>
      <c r="B1030" s="68" t="n">
        <v>100</v>
      </c>
      <c r="C1030" s="68" t="s">
        <v>2266</v>
      </c>
      <c r="D1030" s="68" t="s">
        <v>2628</v>
      </c>
      <c r="E1030" s="68" t="s">
        <v>115</v>
      </c>
      <c r="F1030" s="80" t="s">
        <v>2823</v>
      </c>
    </row>
    <row r="1031" customFormat="false" ht="15" hidden="false" customHeight="false" outlineLevel="0" collapsed="false">
      <c r="A1031" s="68" t="s">
        <v>3010</v>
      </c>
      <c r="B1031" s="68" t="n">
        <v>100</v>
      </c>
      <c r="C1031" s="68" t="s">
        <v>2300</v>
      </c>
      <c r="D1031" s="68" t="s">
        <v>2632</v>
      </c>
      <c r="E1031" s="68" t="s">
        <v>479</v>
      </c>
      <c r="F1031" s="80" t="s">
        <v>2810</v>
      </c>
    </row>
    <row r="1032" customFormat="false" ht="22.35" hidden="false" customHeight="false" outlineLevel="0" collapsed="false">
      <c r="A1032" s="68" t="s">
        <v>3010</v>
      </c>
      <c r="B1032" s="68" t="n">
        <v>100</v>
      </c>
      <c r="C1032" s="68" t="s">
        <v>2304</v>
      </c>
      <c r="D1032" s="68" t="s">
        <v>2696</v>
      </c>
      <c r="E1032" s="68" t="s">
        <v>312</v>
      </c>
      <c r="F1032" s="80" t="s">
        <v>3011</v>
      </c>
    </row>
    <row r="1033" customFormat="false" ht="15" hidden="false" customHeight="false" outlineLevel="0" collapsed="false">
      <c r="A1033" s="68" t="s">
        <v>3010</v>
      </c>
      <c r="B1033" s="68" t="n">
        <v>100</v>
      </c>
      <c r="C1033" s="68" t="s">
        <v>2324</v>
      </c>
      <c r="D1033" s="68" t="s">
        <v>2696</v>
      </c>
      <c r="E1033" s="68" t="s">
        <v>304</v>
      </c>
      <c r="F1033" s="80" t="s">
        <v>2812</v>
      </c>
    </row>
    <row r="1034" customFormat="false" ht="15" hidden="false" customHeight="false" outlineLevel="0" collapsed="false">
      <c r="A1034" s="68" t="s">
        <v>3010</v>
      </c>
      <c r="B1034" s="68" t="n">
        <v>100</v>
      </c>
      <c r="C1034" s="68" t="s">
        <v>2351</v>
      </c>
      <c r="D1034" s="68" t="s">
        <v>2632</v>
      </c>
      <c r="E1034" s="68" t="n">
        <v>1404</v>
      </c>
      <c r="F1034" s="80" t="s">
        <v>2998</v>
      </c>
    </row>
    <row r="1035" customFormat="false" ht="43.25" hidden="false" customHeight="false" outlineLevel="0" collapsed="false">
      <c r="A1035" s="68" t="s">
        <v>3010</v>
      </c>
      <c r="B1035" s="68" t="n">
        <v>100</v>
      </c>
      <c r="C1035" s="68" t="s">
        <v>2383</v>
      </c>
      <c r="D1035" s="68" t="s">
        <v>2628</v>
      </c>
      <c r="E1035" s="68" t="s">
        <v>208</v>
      </c>
      <c r="F1035" s="80" t="s">
        <v>2999</v>
      </c>
    </row>
    <row r="1036" customFormat="false" ht="22.35" hidden="false" customHeight="false" outlineLevel="0" collapsed="false">
      <c r="A1036" s="68" t="s">
        <v>3012</v>
      </c>
      <c r="B1036" s="68" t="n">
        <v>101</v>
      </c>
      <c r="C1036" s="68" t="s">
        <v>2253</v>
      </c>
      <c r="D1036" s="68" t="s">
        <v>2628</v>
      </c>
      <c r="E1036" s="68" t="s">
        <v>51</v>
      </c>
      <c r="F1036" s="80" t="s">
        <v>2662</v>
      </c>
    </row>
    <row r="1037" customFormat="false" ht="22.35" hidden="false" customHeight="false" outlineLevel="0" collapsed="false">
      <c r="A1037" s="68" t="s">
        <v>3012</v>
      </c>
      <c r="B1037" s="68" t="n">
        <v>101</v>
      </c>
      <c r="C1037" s="68" t="s">
        <v>2260</v>
      </c>
      <c r="D1037" s="68" t="s">
        <v>2628</v>
      </c>
      <c r="E1037" s="68" t="s">
        <v>153</v>
      </c>
      <c r="F1037" s="80" t="s">
        <v>2826</v>
      </c>
    </row>
    <row r="1038" customFormat="false" ht="32.8" hidden="false" customHeight="false" outlineLevel="0" collapsed="false">
      <c r="A1038" s="68" t="s">
        <v>3012</v>
      </c>
      <c r="B1038" s="68" t="n">
        <v>101</v>
      </c>
      <c r="C1038" s="68" t="s">
        <v>2266</v>
      </c>
      <c r="D1038" s="68" t="s">
        <v>2628</v>
      </c>
      <c r="E1038" s="68" t="s">
        <v>115</v>
      </c>
      <c r="F1038" s="80" t="s">
        <v>2823</v>
      </c>
    </row>
    <row r="1039" customFormat="false" ht="15" hidden="false" customHeight="false" outlineLevel="0" collapsed="false">
      <c r="A1039" s="68" t="s">
        <v>3012</v>
      </c>
      <c r="B1039" s="68" t="n">
        <v>101</v>
      </c>
      <c r="C1039" s="68" t="s">
        <v>2300</v>
      </c>
      <c r="D1039" s="68" t="s">
        <v>2632</v>
      </c>
      <c r="E1039" s="68" t="s">
        <v>479</v>
      </c>
      <c r="F1039" s="80" t="s">
        <v>2810</v>
      </c>
    </row>
    <row r="1040" customFormat="false" ht="15" hidden="false" customHeight="false" outlineLevel="0" collapsed="false">
      <c r="A1040" s="68" t="s">
        <v>3012</v>
      </c>
      <c r="B1040" s="68" t="n">
        <v>101</v>
      </c>
      <c r="C1040" s="68" t="s">
        <v>2304</v>
      </c>
      <c r="D1040" s="68" t="s">
        <v>2632</v>
      </c>
      <c r="E1040" s="68" t="s">
        <v>369</v>
      </c>
      <c r="F1040" s="80" t="s">
        <v>3013</v>
      </c>
    </row>
    <row r="1041" customFormat="false" ht="15" hidden="false" customHeight="false" outlineLevel="0" collapsed="false">
      <c r="A1041" s="68" t="s">
        <v>3012</v>
      </c>
      <c r="B1041" s="68" t="n">
        <v>101</v>
      </c>
      <c r="C1041" s="68" t="s">
        <v>2324</v>
      </c>
      <c r="D1041" s="68" t="s">
        <v>2696</v>
      </c>
      <c r="E1041" s="68" t="s">
        <v>304</v>
      </c>
      <c r="F1041" s="80" t="s">
        <v>2812</v>
      </c>
    </row>
    <row r="1042" customFormat="false" ht="15" hidden="false" customHeight="false" outlineLevel="0" collapsed="false">
      <c r="A1042" s="68" t="s">
        <v>3012</v>
      </c>
      <c r="B1042" s="68" t="n">
        <v>101</v>
      </c>
      <c r="C1042" s="68" t="s">
        <v>2351</v>
      </c>
      <c r="D1042" s="68" t="s">
        <v>2632</v>
      </c>
      <c r="E1042" s="68" t="n">
        <v>1404</v>
      </c>
      <c r="F1042" s="80" t="s">
        <v>2998</v>
      </c>
    </row>
    <row r="1043" customFormat="false" ht="43.25" hidden="false" customHeight="false" outlineLevel="0" collapsed="false">
      <c r="A1043" s="68" t="s">
        <v>3012</v>
      </c>
      <c r="B1043" s="68" t="n">
        <v>101</v>
      </c>
      <c r="C1043" s="68" t="s">
        <v>2383</v>
      </c>
      <c r="D1043" s="68" t="s">
        <v>2628</v>
      </c>
      <c r="E1043" s="68" t="s">
        <v>208</v>
      </c>
      <c r="F1043" s="80" t="s">
        <v>2999</v>
      </c>
    </row>
    <row r="1044" customFormat="false" ht="22.35" hidden="false" customHeight="false" outlineLevel="0" collapsed="false">
      <c r="A1044" s="68" t="s">
        <v>3014</v>
      </c>
      <c r="B1044" s="68" t="n">
        <v>102</v>
      </c>
      <c r="C1044" s="68" t="s">
        <v>2253</v>
      </c>
      <c r="D1044" s="68" t="s">
        <v>2628</v>
      </c>
      <c r="E1044" s="68" t="s">
        <v>54</v>
      </c>
      <c r="F1044" s="80" t="s">
        <v>2672</v>
      </c>
    </row>
    <row r="1045" customFormat="false" ht="22.35" hidden="false" customHeight="false" outlineLevel="0" collapsed="false">
      <c r="A1045" s="68" t="s">
        <v>3014</v>
      </c>
      <c r="B1045" s="68" t="n">
        <v>102</v>
      </c>
      <c r="C1045" s="68" t="s">
        <v>2260</v>
      </c>
      <c r="D1045" s="68" t="s">
        <v>2628</v>
      </c>
      <c r="E1045" s="68" t="s">
        <v>132</v>
      </c>
      <c r="F1045" s="80" t="s">
        <v>2808</v>
      </c>
    </row>
    <row r="1046" customFormat="false" ht="32.8" hidden="false" customHeight="false" outlineLevel="0" collapsed="false">
      <c r="A1046" s="68" t="s">
        <v>3014</v>
      </c>
      <c r="B1046" s="68" t="n">
        <v>102</v>
      </c>
      <c r="C1046" s="68" t="s">
        <v>2266</v>
      </c>
      <c r="D1046" s="68" t="s">
        <v>2628</v>
      </c>
      <c r="E1046" s="68" t="s">
        <v>90</v>
      </c>
      <c r="F1046" s="80" t="s">
        <v>2836</v>
      </c>
    </row>
    <row r="1047" customFormat="false" ht="15" hidden="false" customHeight="false" outlineLevel="0" collapsed="false">
      <c r="A1047" s="68" t="s">
        <v>3014</v>
      </c>
      <c r="B1047" s="68" t="n">
        <v>102</v>
      </c>
      <c r="C1047" s="68" t="s">
        <v>2300</v>
      </c>
      <c r="D1047" s="68" t="s">
        <v>2632</v>
      </c>
      <c r="E1047" s="68" t="s">
        <v>479</v>
      </c>
      <c r="F1047" s="80" t="s">
        <v>2810</v>
      </c>
    </row>
    <row r="1048" customFormat="false" ht="22.35" hidden="false" customHeight="false" outlineLevel="0" collapsed="false">
      <c r="A1048" s="68" t="s">
        <v>3014</v>
      </c>
      <c r="B1048" s="68" t="n">
        <v>102</v>
      </c>
      <c r="C1048" s="68" t="s">
        <v>2304</v>
      </c>
      <c r="D1048" s="68" t="s">
        <v>2696</v>
      </c>
      <c r="E1048" s="68" t="s">
        <v>312</v>
      </c>
      <c r="F1048" s="80" t="s">
        <v>3015</v>
      </c>
    </row>
    <row r="1049" customFormat="false" ht="15" hidden="false" customHeight="false" outlineLevel="0" collapsed="false">
      <c r="A1049" s="68" t="s">
        <v>3014</v>
      </c>
      <c r="B1049" s="68" t="n">
        <v>102</v>
      </c>
      <c r="C1049" s="68" t="s">
        <v>2324</v>
      </c>
      <c r="D1049" s="68" t="s">
        <v>2696</v>
      </c>
      <c r="E1049" s="68" t="s">
        <v>304</v>
      </c>
      <c r="F1049" s="80" t="s">
        <v>2812</v>
      </c>
    </row>
    <row r="1050" customFormat="false" ht="15" hidden="false" customHeight="false" outlineLevel="0" collapsed="false">
      <c r="A1050" s="68" t="s">
        <v>3014</v>
      </c>
      <c r="B1050" s="68" t="n">
        <v>102</v>
      </c>
      <c r="C1050" s="68" t="s">
        <v>2351</v>
      </c>
      <c r="D1050" s="68" t="s">
        <v>2632</v>
      </c>
      <c r="E1050" s="68" t="n">
        <v>1404</v>
      </c>
      <c r="F1050" s="80" t="s">
        <v>2998</v>
      </c>
    </row>
    <row r="1051" customFormat="false" ht="43.25" hidden="false" customHeight="false" outlineLevel="0" collapsed="false">
      <c r="A1051" s="68" t="s">
        <v>3014</v>
      </c>
      <c r="B1051" s="68" t="n">
        <v>102</v>
      </c>
      <c r="C1051" s="68" t="s">
        <v>2383</v>
      </c>
      <c r="D1051" s="68" t="s">
        <v>2628</v>
      </c>
      <c r="E1051" s="68" t="s">
        <v>208</v>
      </c>
      <c r="F1051" s="80" t="s">
        <v>2999</v>
      </c>
    </row>
    <row r="1052" customFormat="false" ht="22.35" hidden="false" customHeight="false" outlineLevel="0" collapsed="false">
      <c r="A1052" s="68" t="s">
        <v>3016</v>
      </c>
      <c r="B1052" s="68" t="n">
        <v>103</v>
      </c>
      <c r="C1052" s="68" t="s">
        <v>2253</v>
      </c>
      <c r="D1052" s="68" t="s">
        <v>2628</v>
      </c>
      <c r="E1052" s="68" t="s">
        <v>54</v>
      </c>
      <c r="F1052" s="80" t="s">
        <v>2672</v>
      </c>
    </row>
    <row r="1053" customFormat="false" ht="22.35" hidden="false" customHeight="false" outlineLevel="0" collapsed="false">
      <c r="A1053" s="68" t="s">
        <v>3016</v>
      </c>
      <c r="B1053" s="68" t="n">
        <v>103</v>
      </c>
      <c r="C1053" s="68" t="s">
        <v>2260</v>
      </c>
      <c r="D1053" s="68" t="s">
        <v>2628</v>
      </c>
      <c r="E1053" s="68" t="s">
        <v>132</v>
      </c>
      <c r="F1053" s="80" t="s">
        <v>2808</v>
      </c>
    </row>
    <row r="1054" customFormat="false" ht="32.8" hidden="false" customHeight="false" outlineLevel="0" collapsed="false">
      <c r="A1054" s="68" t="s">
        <v>3016</v>
      </c>
      <c r="B1054" s="68" t="n">
        <v>103</v>
      </c>
      <c r="C1054" s="68" t="s">
        <v>2266</v>
      </c>
      <c r="D1054" s="68" t="s">
        <v>2628</v>
      </c>
      <c r="E1054" s="68" t="s">
        <v>115</v>
      </c>
      <c r="F1054" s="80" t="s">
        <v>2823</v>
      </c>
    </row>
    <row r="1055" customFormat="false" ht="15" hidden="false" customHeight="false" outlineLevel="0" collapsed="false">
      <c r="A1055" s="68" t="s">
        <v>3016</v>
      </c>
      <c r="B1055" s="68" t="n">
        <v>103</v>
      </c>
      <c r="C1055" s="68" t="s">
        <v>2300</v>
      </c>
      <c r="D1055" s="68" t="s">
        <v>2632</v>
      </c>
      <c r="E1055" s="68" t="s">
        <v>479</v>
      </c>
      <c r="F1055" s="80" t="s">
        <v>2810</v>
      </c>
    </row>
    <row r="1056" customFormat="false" ht="15" hidden="false" customHeight="false" outlineLevel="0" collapsed="false">
      <c r="A1056" s="68" t="s">
        <v>3016</v>
      </c>
      <c r="B1056" s="68" t="n">
        <v>103</v>
      </c>
      <c r="C1056" s="68" t="s">
        <v>2304</v>
      </c>
      <c r="D1056" s="68" t="s">
        <v>2632</v>
      </c>
      <c r="E1056" s="68" t="s">
        <v>369</v>
      </c>
      <c r="F1056" s="80" t="s">
        <v>3017</v>
      </c>
    </row>
    <row r="1057" customFormat="false" ht="15" hidden="false" customHeight="false" outlineLevel="0" collapsed="false">
      <c r="A1057" s="68" t="s">
        <v>3016</v>
      </c>
      <c r="B1057" s="68" t="n">
        <v>103</v>
      </c>
      <c r="C1057" s="68" t="s">
        <v>2324</v>
      </c>
      <c r="D1057" s="68" t="s">
        <v>2696</v>
      </c>
      <c r="E1057" s="68" t="s">
        <v>304</v>
      </c>
      <c r="F1057" s="80" t="s">
        <v>2812</v>
      </c>
    </row>
    <row r="1058" customFormat="false" ht="15" hidden="false" customHeight="false" outlineLevel="0" collapsed="false">
      <c r="A1058" s="68" t="s">
        <v>3016</v>
      </c>
      <c r="B1058" s="68" t="n">
        <v>103</v>
      </c>
      <c r="C1058" s="68" t="s">
        <v>2351</v>
      </c>
      <c r="D1058" s="68" t="s">
        <v>2632</v>
      </c>
      <c r="E1058" s="68" t="n">
        <v>1404</v>
      </c>
      <c r="F1058" s="80" t="s">
        <v>2998</v>
      </c>
    </row>
    <row r="1059" customFormat="false" ht="43.25" hidden="false" customHeight="false" outlineLevel="0" collapsed="false">
      <c r="A1059" s="68" t="s">
        <v>3016</v>
      </c>
      <c r="B1059" s="68" t="n">
        <v>103</v>
      </c>
      <c r="C1059" s="68" t="s">
        <v>2383</v>
      </c>
      <c r="D1059" s="68" t="s">
        <v>2628</v>
      </c>
      <c r="E1059" s="68" t="s">
        <v>208</v>
      </c>
      <c r="F1059" s="80" t="s">
        <v>2999</v>
      </c>
    </row>
    <row r="1060" customFormat="false" ht="22.35" hidden="false" customHeight="false" outlineLevel="0" collapsed="false">
      <c r="A1060" s="68" t="s">
        <v>3018</v>
      </c>
      <c r="B1060" s="68" t="n">
        <v>104</v>
      </c>
      <c r="C1060" s="68" t="s">
        <v>2253</v>
      </c>
      <c r="D1060" s="68" t="s">
        <v>2628</v>
      </c>
      <c r="E1060" s="68" t="s">
        <v>54</v>
      </c>
      <c r="F1060" s="80" t="s">
        <v>2672</v>
      </c>
    </row>
    <row r="1061" customFormat="false" ht="22.35" hidden="false" customHeight="false" outlineLevel="0" collapsed="false">
      <c r="A1061" s="68" t="s">
        <v>3018</v>
      </c>
      <c r="B1061" s="68" t="n">
        <v>104</v>
      </c>
      <c r="C1061" s="68" t="s">
        <v>2260</v>
      </c>
      <c r="D1061" s="68" t="s">
        <v>2628</v>
      </c>
      <c r="E1061" s="68" t="s">
        <v>171</v>
      </c>
      <c r="F1061" s="80" t="s">
        <v>2949</v>
      </c>
    </row>
    <row r="1062" customFormat="false" ht="32.8" hidden="false" customHeight="false" outlineLevel="0" collapsed="false">
      <c r="A1062" s="68" t="s">
        <v>3018</v>
      </c>
      <c r="B1062" s="68" t="n">
        <v>104</v>
      </c>
      <c r="C1062" s="68" t="s">
        <v>2266</v>
      </c>
      <c r="D1062" s="68" t="s">
        <v>2628</v>
      </c>
      <c r="E1062" s="68" t="s">
        <v>90</v>
      </c>
      <c r="F1062" s="80" t="s">
        <v>2836</v>
      </c>
    </row>
    <row r="1063" customFormat="false" ht="15" hidden="false" customHeight="false" outlineLevel="0" collapsed="false">
      <c r="A1063" s="68" t="s">
        <v>3018</v>
      </c>
      <c r="B1063" s="68" t="n">
        <v>104</v>
      </c>
      <c r="C1063" s="68" t="s">
        <v>2300</v>
      </c>
      <c r="D1063" s="68" t="s">
        <v>2632</v>
      </c>
      <c r="E1063" s="68" t="s">
        <v>479</v>
      </c>
      <c r="F1063" s="80" t="s">
        <v>2810</v>
      </c>
    </row>
    <row r="1064" customFormat="false" ht="22.35" hidden="false" customHeight="false" outlineLevel="0" collapsed="false">
      <c r="A1064" s="68" t="s">
        <v>3018</v>
      </c>
      <c r="B1064" s="68" t="n">
        <v>104</v>
      </c>
      <c r="C1064" s="68" t="s">
        <v>2304</v>
      </c>
      <c r="D1064" s="68" t="s">
        <v>2696</v>
      </c>
      <c r="E1064" s="68" t="s">
        <v>312</v>
      </c>
      <c r="F1064" s="80" t="s">
        <v>3019</v>
      </c>
    </row>
    <row r="1065" customFormat="false" ht="15" hidden="false" customHeight="false" outlineLevel="0" collapsed="false">
      <c r="A1065" s="68" t="s">
        <v>3018</v>
      </c>
      <c r="B1065" s="68" t="n">
        <v>104</v>
      </c>
      <c r="C1065" s="68" t="s">
        <v>2324</v>
      </c>
      <c r="D1065" s="68" t="s">
        <v>2696</v>
      </c>
      <c r="E1065" s="68" t="s">
        <v>304</v>
      </c>
      <c r="F1065" s="80" t="s">
        <v>2812</v>
      </c>
    </row>
    <row r="1066" customFormat="false" ht="15" hidden="false" customHeight="false" outlineLevel="0" collapsed="false">
      <c r="A1066" s="68" t="s">
        <v>3018</v>
      </c>
      <c r="B1066" s="68" t="n">
        <v>104</v>
      </c>
      <c r="C1066" s="68" t="s">
        <v>2351</v>
      </c>
      <c r="D1066" s="68" t="s">
        <v>2632</v>
      </c>
      <c r="E1066" s="68" t="n">
        <v>1404</v>
      </c>
      <c r="F1066" s="80" t="s">
        <v>2998</v>
      </c>
    </row>
    <row r="1067" customFormat="false" ht="43.25" hidden="false" customHeight="false" outlineLevel="0" collapsed="false">
      <c r="A1067" s="68" t="s">
        <v>3018</v>
      </c>
      <c r="B1067" s="68" t="n">
        <v>104</v>
      </c>
      <c r="C1067" s="68" t="s">
        <v>2383</v>
      </c>
      <c r="D1067" s="68" t="s">
        <v>2628</v>
      </c>
      <c r="E1067" s="68" t="s">
        <v>208</v>
      </c>
      <c r="F1067" s="80" t="s">
        <v>2999</v>
      </c>
    </row>
    <row r="1068" customFormat="false" ht="43.25" hidden="false" customHeight="false" outlineLevel="0" collapsed="false">
      <c r="A1068" s="68" t="s">
        <v>3020</v>
      </c>
      <c r="B1068" s="68" t="n">
        <v>105</v>
      </c>
      <c r="C1068" s="68" t="s">
        <v>2253</v>
      </c>
      <c r="D1068" s="68" t="s">
        <v>2628</v>
      </c>
      <c r="E1068" s="68" t="s">
        <v>54</v>
      </c>
      <c r="F1068" s="80" t="s">
        <v>2777</v>
      </c>
    </row>
    <row r="1069" customFormat="false" ht="22.35" hidden="false" customHeight="false" outlineLevel="0" collapsed="false">
      <c r="A1069" s="68" t="s">
        <v>3020</v>
      </c>
      <c r="B1069" s="68" t="n">
        <v>105</v>
      </c>
      <c r="C1069" s="68" t="s">
        <v>2260</v>
      </c>
      <c r="D1069" s="68" t="s">
        <v>2628</v>
      </c>
      <c r="E1069" s="68" t="s">
        <v>192</v>
      </c>
      <c r="F1069" s="80" t="s">
        <v>2678</v>
      </c>
    </row>
    <row r="1070" customFormat="false" ht="32.8" hidden="false" customHeight="false" outlineLevel="0" collapsed="false">
      <c r="A1070" s="68" t="s">
        <v>3020</v>
      </c>
      <c r="B1070" s="68" t="n">
        <v>105</v>
      </c>
      <c r="C1070" s="68" t="s">
        <v>2266</v>
      </c>
      <c r="D1070" s="68" t="s">
        <v>2628</v>
      </c>
      <c r="E1070" s="68" t="s">
        <v>111</v>
      </c>
      <c r="F1070" s="80" t="s">
        <v>2809</v>
      </c>
    </row>
    <row r="1071" customFormat="false" ht="15" hidden="false" customHeight="false" outlineLevel="0" collapsed="false">
      <c r="A1071" s="68" t="s">
        <v>3020</v>
      </c>
      <c r="B1071" s="68" t="n">
        <v>105</v>
      </c>
      <c r="C1071" s="68" t="s">
        <v>2300</v>
      </c>
      <c r="D1071" s="68" t="s">
        <v>2632</v>
      </c>
      <c r="E1071" s="68" t="s">
        <v>492</v>
      </c>
      <c r="F1071" s="80" t="s">
        <v>2820</v>
      </c>
    </row>
    <row r="1072" customFormat="false" ht="15" hidden="false" customHeight="false" outlineLevel="0" collapsed="false">
      <c r="A1072" s="68" t="s">
        <v>3020</v>
      </c>
      <c r="B1072" s="68" t="n">
        <v>105</v>
      </c>
      <c r="C1072" s="68" t="s">
        <v>2304</v>
      </c>
      <c r="D1072" s="68" t="s">
        <v>2632</v>
      </c>
      <c r="E1072" s="68" t="s">
        <v>369</v>
      </c>
      <c r="F1072" s="80" t="s">
        <v>3021</v>
      </c>
    </row>
    <row r="1073" customFormat="false" ht="15" hidden="false" customHeight="false" outlineLevel="0" collapsed="false">
      <c r="A1073" s="68" t="s">
        <v>3020</v>
      </c>
      <c r="B1073" s="68" t="n">
        <v>105</v>
      </c>
      <c r="C1073" s="68" t="s">
        <v>2324</v>
      </c>
      <c r="D1073" s="68" t="s">
        <v>2696</v>
      </c>
      <c r="E1073" s="68" t="s">
        <v>304</v>
      </c>
      <c r="F1073" s="80" t="s">
        <v>2812</v>
      </c>
    </row>
    <row r="1074" customFormat="false" ht="15" hidden="false" customHeight="false" outlineLevel="0" collapsed="false">
      <c r="A1074" s="68" t="s">
        <v>3020</v>
      </c>
      <c r="B1074" s="68" t="n">
        <v>105</v>
      </c>
      <c r="C1074" s="68" t="s">
        <v>2351</v>
      </c>
      <c r="D1074" s="68" t="s">
        <v>2632</v>
      </c>
      <c r="E1074" s="68" t="n">
        <v>1393</v>
      </c>
      <c r="F1074" s="80" t="s">
        <v>3022</v>
      </c>
    </row>
    <row r="1075" customFormat="false" ht="22.35" hidden="false" customHeight="false" outlineLevel="0" collapsed="false">
      <c r="A1075" s="68" t="s">
        <v>3020</v>
      </c>
      <c r="B1075" s="68" t="n">
        <v>105</v>
      </c>
      <c r="C1075" s="68" t="s">
        <v>2362</v>
      </c>
      <c r="D1075" s="68" t="s">
        <v>2632</v>
      </c>
      <c r="E1075" s="68" t="n">
        <v>25000</v>
      </c>
      <c r="F1075" s="80" t="s">
        <v>3023</v>
      </c>
    </row>
    <row r="1076" customFormat="false" ht="22.35" hidden="false" customHeight="false" outlineLevel="0" collapsed="false">
      <c r="A1076" s="68" t="s">
        <v>3020</v>
      </c>
      <c r="B1076" s="68" t="n">
        <v>105</v>
      </c>
      <c r="C1076" s="68" t="s">
        <v>2383</v>
      </c>
      <c r="D1076" s="68" t="s">
        <v>2628</v>
      </c>
      <c r="E1076" s="68" t="s">
        <v>208</v>
      </c>
      <c r="F1076" s="80" t="s">
        <v>3024</v>
      </c>
    </row>
    <row r="1077" customFormat="false" ht="22.35" hidden="false" customHeight="false" outlineLevel="0" collapsed="false">
      <c r="A1077" s="68" t="s">
        <v>3025</v>
      </c>
      <c r="B1077" s="68" t="n">
        <v>106</v>
      </c>
      <c r="C1077" s="68" t="s">
        <v>2253</v>
      </c>
      <c r="D1077" s="68" t="s">
        <v>2628</v>
      </c>
      <c r="E1077" s="68" t="s">
        <v>48</v>
      </c>
      <c r="F1077" s="80" t="s">
        <v>2653</v>
      </c>
    </row>
    <row r="1078" customFormat="false" ht="22.35" hidden="false" customHeight="false" outlineLevel="0" collapsed="false">
      <c r="A1078" s="68" t="s">
        <v>3025</v>
      </c>
      <c r="B1078" s="68" t="n">
        <v>106</v>
      </c>
      <c r="C1078" s="68" t="s">
        <v>2260</v>
      </c>
      <c r="D1078" s="68" t="s">
        <v>2628</v>
      </c>
      <c r="E1078" s="68" t="s">
        <v>132</v>
      </c>
      <c r="F1078" s="80" t="s">
        <v>2808</v>
      </c>
    </row>
    <row r="1079" customFormat="false" ht="32.8" hidden="false" customHeight="false" outlineLevel="0" collapsed="false">
      <c r="A1079" s="68" t="s">
        <v>3025</v>
      </c>
      <c r="B1079" s="68" t="n">
        <v>106</v>
      </c>
      <c r="C1079" s="68" t="s">
        <v>2266</v>
      </c>
      <c r="D1079" s="68" t="s">
        <v>2628</v>
      </c>
      <c r="E1079" s="68" t="s">
        <v>115</v>
      </c>
      <c r="F1079" s="80" t="s">
        <v>2823</v>
      </c>
    </row>
    <row r="1080" customFormat="false" ht="15" hidden="false" customHeight="false" outlineLevel="0" collapsed="false">
      <c r="A1080" s="68" t="s">
        <v>3025</v>
      </c>
      <c r="B1080" s="68" t="n">
        <v>106</v>
      </c>
      <c r="C1080" s="68" t="s">
        <v>2300</v>
      </c>
      <c r="D1080" s="68" t="s">
        <v>2632</v>
      </c>
      <c r="E1080" s="68" t="s">
        <v>479</v>
      </c>
      <c r="F1080" s="80" t="s">
        <v>2810</v>
      </c>
    </row>
    <row r="1081" customFormat="false" ht="15" hidden="false" customHeight="false" outlineLevel="0" collapsed="false">
      <c r="A1081" s="68" t="s">
        <v>3025</v>
      </c>
      <c r="B1081" s="68" t="n">
        <v>106</v>
      </c>
      <c r="C1081" s="68" t="s">
        <v>2304</v>
      </c>
      <c r="D1081" s="68" t="s">
        <v>2632</v>
      </c>
      <c r="E1081" s="68" t="s">
        <v>369</v>
      </c>
      <c r="F1081" s="80" t="s">
        <v>3026</v>
      </c>
    </row>
    <row r="1082" customFormat="false" ht="15" hidden="false" customHeight="false" outlineLevel="0" collapsed="false">
      <c r="A1082" s="68" t="s">
        <v>3025</v>
      </c>
      <c r="B1082" s="68" t="n">
        <v>106</v>
      </c>
      <c r="C1082" s="68" t="s">
        <v>2324</v>
      </c>
      <c r="D1082" s="68" t="s">
        <v>2696</v>
      </c>
      <c r="E1082" s="68" t="s">
        <v>304</v>
      </c>
      <c r="F1082" s="80" t="s">
        <v>2812</v>
      </c>
    </row>
    <row r="1083" customFormat="false" ht="15" hidden="false" customHeight="false" outlineLevel="0" collapsed="false">
      <c r="A1083" s="68" t="s">
        <v>3025</v>
      </c>
      <c r="B1083" s="68" t="n">
        <v>106</v>
      </c>
      <c r="C1083" s="68" t="s">
        <v>2351</v>
      </c>
      <c r="D1083" s="68" t="s">
        <v>2632</v>
      </c>
      <c r="E1083" s="68" t="n">
        <v>1404</v>
      </c>
      <c r="F1083" s="80" t="s">
        <v>2998</v>
      </c>
    </row>
    <row r="1084" customFormat="false" ht="43.25" hidden="false" customHeight="false" outlineLevel="0" collapsed="false">
      <c r="A1084" s="68" t="s">
        <v>3025</v>
      </c>
      <c r="B1084" s="68" t="n">
        <v>106</v>
      </c>
      <c r="C1084" s="68" t="s">
        <v>2383</v>
      </c>
      <c r="D1084" s="68" t="s">
        <v>2628</v>
      </c>
      <c r="E1084" s="68" t="s">
        <v>208</v>
      </c>
      <c r="F1084" s="80" t="s">
        <v>2999</v>
      </c>
    </row>
    <row r="1085" customFormat="false" ht="22.35" hidden="false" customHeight="false" outlineLevel="0" collapsed="false">
      <c r="A1085" s="68" t="s">
        <v>3027</v>
      </c>
      <c r="B1085" s="68" t="n">
        <v>107</v>
      </c>
      <c r="C1085" s="68" t="s">
        <v>2253</v>
      </c>
      <c r="D1085" s="68" t="s">
        <v>2628</v>
      </c>
      <c r="E1085" s="68" t="s">
        <v>54</v>
      </c>
      <c r="F1085" s="80" t="s">
        <v>2672</v>
      </c>
    </row>
    <row r="1086" customFormat="false" ht="22.35" hidden="false" customHeight="false" outlineLevel="0" collapsed="false">
      <c r="A1086" s="68" t="s">
        <v>3027</v>
      </c>
      <c r="B1086" s="68" t="n">
        <v>107</v>
      </c>
      <c r="C1086" s="68" t="s">
        <v>2260</v>
      </c>
      <c r="D1086" s="68" t="s">
        <v>2628</v>
      </c>
      <c r="E1086" s="68" t="s">
        <v>132</v>
      </c>
      <c r="F1086" s="80" t="s">
        <v>2808</v>
      </c>
    </row>
    <row r="1087" customFormat="false" ht="32.8" hidden="false" customHeight="false" outlineLevel="0" collapsed="false">
      <c r="A1087" s="68" t="s">
        <v>3027</v>
      </c>
      <c r="B1087" s="68" t="n">
        <v>107</v>
      </c>
      <c r="C1087" s="68" t="s">
        <v>2266</v>
      </c>
      <c r="D1087" s="68" t="s">
        <v>2628</v>
      </c>
      <c r="E1087" s="68" t="s">
        <v>90</v>
      </c>
      <c r="F1087" s="80" t="s">
        <v>2836</v>
      </c>
    </row>
    <row r="1088" customFormat="false" ht="15" hidden="false" customHeight="false" outlineLevel="0" collapsed="false">
      <c r="A1088" s="68" t="s">
        <v>3027</v>
      </c>
      <c r="B1088" s="68" t="n">
        <v>107</v>
      </c>
      <c r="C1088" s="68" t="s">
        <v>2300</v>
      </c>
      <c r="D1088" s="68" t="s">
        <v>2632</v>
      </c>
      <c r="E1088" s="68" t="s">
        <v>479</v>
      </c>
      <c r="F1088" s="80" t="s">
        <v>2810</v>
      </c>
    </row>
    <row r="1089" customFormat="false" ht="22.35" hidden="false" customHeight="false" outlineLevel="0" collapsed="false">
      <c r="A1089" s="68" t="s">
        <v>3027</v>
      </c>
      <c r="B1089" s="68" t="n">
        <v>107</v>
      </c>
      <c r="C1089" s="68" t="s">
        <v>2304</v>
      </c>
      <c r="D1089" s="68" t="s">
        <v>2696</v>
      </c>
      <c r="E1089" s="68" t="s">
        <v>312</v>
      </c>
      <c r="F1089" s="80" t="s">
        <v>3028</v>
      </c>
    </row>
    <row r="1090" customFormat="false" ht="15" hidden="false" customHeight="false" outlineLevel="0" collapsed="false">
      <c r="A1090" s="68" t="s">
        <v>3027</v>
      </c>
      <c r="B1090" s="68" t="n">
        <v>107</v>
      </c>
      <c r="C1090" s="68" t="s">
        <v>2324</v>
      </c>
      <c r="D1090" s="68" t="s">
        <v>2696</v>
      </c>
      <c r="E1090" s="68" t="s">
        <v>304</v>
      </c>
      <c r="F1090" s="80" t="s">
        <v>2812</v>
      </c>
    </row>
    <row r="1091" customFormat="false" ht="15" hidden="false" customHeight="false" outlineLevel="0" collapsed="false">
      <c r="A1091" s="68" t="s">
        <v>3027</v>
      </c>
      <c r="B1091" s="68" t="n">
        <v>107</v>
      </c>
      <c r="C1091" s="68" t="s">
        <v>2351</v>
      </c>
      <c r="D1091" s="68" t="s">
        <v>2632</v>
      </c>
      <c r="E1091" s="68" t="n">
        <v>1404</v>
      </c>
      <c r="F1091" s="80" t="s">
        <v>2998</v>
      </c>
    </row>
    <row r="1092" customFormat="false" ht="43.25" hidden="false" customHeight="false" outlineLevel="0" collapsed="false">
      <c r="A1092" s="68" t="s">
        <v>3027</v>
      </c>
      <c r="B1092" s="68" t="n">
        <v>107</v>
      </c>
      <c r="C1092" s="68" t="s">
        <v>2383</v>
      </c>
      <c r="D1092" s="68" t="s">
        <v>2628</v>
      </c>
      <c r="E1092" s="68" t="s">
        <v>208</v>
      </c>
      <c r="F1092" s="80" t="s">
        <v>2999</v>
      </c>
    </row>
    <row r="1093" customFormat="false" ht="22.35" hidden="false" customHeight="false" outlineLevel="0" collapsed="false">
      <c r="A1093" s="68" t="s">
        <v>3029</v>
      </c>
      <c r="B1093" s="68" t="n">
        <v>108</v>
      </c>
      <c r="C1093" s="68" t="s">
        <v>2253</v>
      </c>
      <c r="D1093" s="68" t="s">
        <v>2628</v>
      </c>
      <c r="E1093" s="68" t="s">
        <v>57</v>
      </c>
      <c r="F1093" s="80" t="s">
        <v>2677</v>
      </c>
    </row>
    <row r="1094" customFormat="false" ht="22.35" hidden="false" customHeight="false" outlineLevel="0" collapsed="false">
      <c r="A1094" s="68" t="s">
        <v>3029</v>
      </c>
      <c r="B1094" s="68" t="n">
        <v>108</v>
      </c>
      <c r="C1094" s="68" t="s">
        <v>2260</v>
      </c>
      <c r="D1094" s="68" t="s">
        <v>2628</v>
      </c>
      <c r="E1094" s="68" t="s">
        <v>192</v>
      </c>
      <c r="F1094" s="80" t="s">
        <v>2678</v>
      </c>
    </row>
    <row r="1095" customFormat="false" ht="32.8" hidden="false" customHeight="false" outlineLevel="0" collapsed="false">
      <c r="A1095" s="68" t="s">
        <v>3029</v>
      </c>
      <c r="B1095" s="68" t="n">
        <v>108</v>
      </c>
      <c r="C1095" s="68" t="s">
        <v>2266</v>
      </c>
      <c r="D1095" s="68" t="s">
        <v>2628</v>
      </c>
      <c r="E1095" s="68" t="s">
        <v>78</v>
      </c>
      <c r="F1095" s="80" t="s">
        <v>2952</v>
      </c>
    </row>
    <row r="1096" customFormat="false" ht="15" hidden="false" customHeight="false" outlineLevel="0" collapsed="false">
      <c r="A1096" s="68" t="s">
        <v>3029</v>
      </c>
      <c r="B1096" s="68" t="n">
        <v>108</v>
      </c>
      <c r="C1096" s="68" t="s">
        <v>2300</v>
      </c>
      <c r="D1096" s="68" t="s">
        <v>2632</v>
      </c>
      <c r="E1096" s="68" t="s">
        <v>624</v>
      </c>
      <c r="F1096" s="80" t="s">
        <v>2944</v>
      </c>
    </row>
    <row r="1097" customFormat="false" ht="22.35" hidden="false" customHeight="false" outlineLevel="0" collapsed="false">
      <c r="A1097" s="68" t="s">
        <v>3029</v>
      </c>
      <c r="B1097" s="68" t="n">
        <v>108</v>
      </c>
      <c r="C1097" s="68" t="s">
        <v>2304</v>
      </c>
      <c r="D1097" s="68" t="s">
        <v>2696</v>
      </c>
      <c r="E1097" s="68" t="s">
        <v>312</v>
      </c>
      <c r="F1097" s="80" t="s">
        <v>3030</v>
      </c>
    </row>
    <row r="1098" customFormat="false" ht="15" hidden="false" customHeight="false" outlineLevel="0" collapsed="false">
      <c r="A1098" s="68" t="s">
        <v>3029</v>
      </c>
      <c r="B1098" s="68" t="n">
        <v>108</v>
      </c>
      <c r="C1098" s="68" t="s">
        <v>2324</v>
      </c>
      <c r="D1098" s="68" t="s">
        <v>2696</v>
      </c>
      <c r="E1098" s="68" t="s">
        <v>304</v>
      </c>
      <c r="F1098" s="80" t="s">
        <v>2812</v>
      </c>
    </row>
    <row r="1099" customFormat="false" ht="15" hidden="false" customHeight="false" outlineLevel="0" collapsed="false">
      <c r="A1099" s="68" t="s">
        <v>3029</v>
      </c>
      <c r="B1099" s="68" t="n">
        <v>108</v>
      </c>
      <c r="C1099" s="68" t="s">
        <v>2351</v>
      </c>
      <c r="D1099" s="68" t="s">
        <v>2632</v>
      </c>
      <c r="E1099" s="68" t="n">
        <v>1404</v>
      </c>
      <c r="F1099" s="80" t="s">
        <v>2998</v>
      </c>
    </row>
    <row r="1100" customFormat="false" ht="43.25" hidden="false" customHeight="false" outlineLevel="0" collapsed="false">
      <c r="A1100" s="68" t="s">
        <v>3029</v>
      </c>
      <c r="B1100" s="68" t="n">
        <v>108</v>
      </c>
      <c r="C1100" s="68" t="s">
        <v>2383</v>
      </c>
      <c r="D1100" s="68" t="s">
        <v>2628</v>
      </c>
      <c r="E1100" s="68" t="s">
        <v>208</v>
      </c>
      <c r="F1100" s="80" t="s">
        <v>2999</v>
      </c>
    </row>
    <row r="1101" customFormat="false" ht="22.35" hidden="false" customHeight="false" outlineLevel="0" collapsed="false">
      <c r="A1101" s="68" t="s">
        <v>3031</v>
      </c>
      <c r="B1101" s="68" t="n">
        <v>109</v>
      </c>
      <c r="C1101" s="68" t="s">
        <v>2253</v>
      </c>
      <c r="D1101" s="68" t="s">
        <v>2628</v>
      </c>
      <c r="E1101" s="68" t="s">
        <v>60</v>
      </c>
      <c r="F1101" s="80" t="s">
        <v>2791</v>
      </c>
    </row>
    <row r="1102" customFormat="false" ht="22.35" hidden="false" customHeight="false" outlineLevel="0" collapsed="false">
      <c r="A1102" s="68" t="s">
        <v>3031</v>
      </c>
      <c r="B1102" s="68" t="n">
        <v>109</v>
      </c>
      <c r="C1102" s="68" t="s">
        <v>2260</v>
      </c>
      <c r="D1102" s="68" t="s">
        <v>2628</v>
      </c>
      <c r="E1102" s="68" t="s">
        <v>192</v>
      </c>
      <c r="F1102" s="80" t="s">
        <v>2678</v>
      </c>
    </row>
    <row r="1103" customFormat="false" ht="32.8" hidden="false" customHeight="false" outlineLevel="0" collapsed="false">
      <c r="A1103" s="68" t="s">
        <v>3031</v>
      </c>
      <c r="B1103" s="68" t="n">
        <v>109</v>
      </c>
      <c r="C1103" s="68" t="s">
        <v>2266</v>
      </c>
      <c r="D1103" s="68" t="s">
        <v>2628</v>
      </c>
      <c r="E1103" s="68" t="s">
        <v>74</v>
      </c>
      <c r="F1103" s="80" t="s">
        <v>2943</v>
      </c>
    </row>
    <row r="1104" customFormat="false" ht="15" hidden="false" customHeight="false" outlineLevel="0" collapsed="false">
      <c r="A1104" s="68" t="s">
        <v>3031</v>
      </c>
      <c r="B1104" s="68" t="n">
        <v>109</v>
      </c>
      <c r="C1104" s="68" t="s">
        <v>2300</v>
      </c>
      <c r="D1104" s="68" t="s">
        <v>2632</v>
      </c>
      <c r="E1104" s="68" t="s">
        <v>624</v>
      </c>
      <c r="F1104" s="80" t="s">
        <v>2944</v>
      </c>
    </row>
    <row r="1105" customFormat="false" ht="22.35" hidden="false" customHeight="false" outlineLevel="0" collapsed="false">
      <c r="A1105" s="68" t="s">
        <v>3031</v>
      </c>
      <c r="B1105" s="68" t="n">
        <v>109</v>
      </c>
      <c r="C1105" s="68" t="s">
        <v>2304</v>
      </c>
      <c r="D1105" s="68" t="s">
        <v>2696</v>
      </c>
      <c r="E1105" s="68" t="s">
        <v>312</v>
      </c>
      <c r="F1105" s="80" t="s">
        <v>3032</v>
      </c>
    </row>
    <row r="1106" customFormat="false" ht="15" hidden="false" customHeight="false" outlineLevel="0" collapsed="false">
      <c r="A1106" s="68" t="s">
        <v>3031</v>
      </c>
      <c r="B1106" s="68" t="n">
        <v>109</v>
      </c>
      <c r="C1106" s="68" t="s">
        <v>2324</v>
      </c>
      <c r="D1106" s="68" t="s">
        <v>2696</v>
      </c>
      <c r="E1106" s="68" t="s">
        <v>304</v>
      </c>
      <c r="F1106" s="80" t="s">
        <v>2812</v>
      </c>
    </row>
    <row r="1107" customFormat="false" ht="15" hidden="false" customHeight="false" outlineLevel="0" collapsed="false">
      <c r="A1107" s="68" t="s">
        <v>3031</v>
      </c>
      <c r="B1107" s="68" t="n">
        <v>109</v>
      </c>
      <c r="C1107" s="68" t="s">
        <v>2351</v>
      </c>
      <c r="D1107" s="68" t="s">
        <v>2632</v>
      </c>
      <c r="E1107" s="68" t="n">
        <v>1404</v>
      </c>
      <c r="F1107" s="80" t="s">
        <v>2998</v>
      </c>
    </row>
    <row r="1108" customFormat="false" ht="43.25" hidden="false" customHeight="false" outlineLevel="0" collapsed="false">
      <c r="A1108" s="68" t="s">
        <v>3031</v>
      </c>
      <c r="B1108" s="68" t="n">
        <v>109</v>
      </c>
      <c r="C1108" s="68" t="s">
        <v>2383</v>
      </c>
      <c r="D1108" s="68" t="s">
        <v>2628</v>
      </c>
      <c r="E1108" s="68" t="s">
        <v>208</v>
      </c>
      <c r="F1108" s="80" t="s">
        <v>2999</v>
      </c>
    </row>
    <row r="1109" customFormat="false" ht="22.35" hidden="false" customHeight="false" outlineLevel="0" collapsed="false">
      <c r="A1109" s="68" t="s">
        <v>3033</v>
      </c>
      <c r="B1109" s="68" t="n">
        <v>110</v>
      </c>
      <c r="C1109" s="68" t="s">
        <v>2253</v>
      </c>
      <c r="D1109" s="68" t="s">
        <v>2628</v>
      </c>
      <c r="E1109" s="68" t="s">
        <v>60</v>
      </c>
      <c r="F1109" s="80" t="s">
        <v>2791</v>
      </c>
    </row>
    <row r="1110" customFormat="false" ht="22.35" hidden="false" customHeight="false" outlineLevel="0" collapsed="false">
      <c r="A1110" s="68" t="s">
        <v>3033</v>
      </c>
      <c r="B1110" s="68" t="n">
        <v>110</v>
      </c>
      <c r="C1110" s="68" t="s">
        <v>2260</v>
      </c>
      <c r="D1110" s="68" t="s">
        <v>2628</v>
      </c>
      <c r="E1110" s="68" t="s">
        <v>186</v>
      </c>
      <c r="F1110" s="80" t="s">
        <v>3034</v>
      </c>
    </row>
    <row r="1111" customFormat="false" ht="32.8" hidden="false" customHeight="false" outlineLevel="0" collapsed="false">
      <c r="A1111" s="68" t="s">
        <v>3033</v>
      </c>
      <c r="B1111" s="68" t="n">
        <v>110</v>
      </c>
      <c r="C1111" s="68" t="s">
        <v>2266</v>
      </c>
      <c r="D1111" s="68" t="s">
        <v>2628</v>
      </c>
      <c r="E1111" s="68" t="s">
        <v>74</v>
      </c>
      <c r="F1111" s="80" t="s">
        <v>2943</v>
      </c>
    </row>
    <row r="1112" customFormat="false" ht="15" hidden="false" customHeight="false" outlineLevel="0" collapsed="false">
      <c r="A1112" s="68" t="s">
        <v>3033</v>
      </c>
      <c r="B1112" s="68" t="n">
        <v>110</v>
      </c>
      <c r="C1112" s="68" t="s">
        <v>2300</v>
      </c>
      <c r="D1112" s="68" t="s">
        <v>2632</v>
      </c>
      <c r="E1112" s="68" t="s">
        <v>646</v>
      </c>
      <c r="F1112" s="80" t="s">
        <v>2958</v>
      </c>
    </row>
    <row r="1113" customFormat="false" ht="22.35" hidden="false" customHeight="false" outlineLevel="0" collapsed="false">
      <c r="A1113" s="68" t="s">
        <v>3033</v>
      </c>
      <c r="B1113" s="68" t="n">
        <v>110</v>
      </c>
      <c r="C1113" s="68" t="s">
        <v>2304</v>
      </c>
      <c r="D1113" s="68" t="s">
        <v>2696</v>
      </c>
      <c r="E1113" s="68" t="s">
        <v>312</v>
      </c>
      <c r="F1113" s="80" t="s">
        <v>3035</v>
      </c>
    </row>
    <row r="1114" customFormat="false" ht="15" hidden="false" customHeight="false" outlineLevel="0" collapsed="false">
      <c r="A1114" s="68" t="s">
        <v>3033</v>
      </c>
      <c r="B1114" s="68" t="n">
        <v>110</v>
      </c>
      <c r="C1114" s="68" t="s">
        <v>2324</v>
      </c>
      <c r="D1114" s="68" t="s">
        <v>2632</v>
      </c>
      <c r="E1114" s="68" t="s">
        <v>304</v>
      </c>
      <c r="F1114" s="80" t="s">
        <v>2792</v>
      </c>
    </row>
    <row r="1115" customFormat="false" ht="15" hidden="false" customHeight="false" outlineLevel="0" collapsed="false">
      <c r="A1115" s="68" t="s">
        <v>3033</v>
      </c>
      <c r="B1115" s="68" t="n">
        <v>110</v>
      </c>
      <c r="C1115" s="68" t="s">
        <v>2351</v>
      </c>
      <c r="D1115" s="68" t="s">
        <v>2632</v>
      </c>
      <c r="E1115" s="68" t="n">
        <v>1404</v>
      </c>
      <c r="F1115" s="80" t="s">
        <v>2998</v>
      </c>
    </row>
    <row r="1116" customFormat="false" ht="43.25" hidden="false" customHeight="false" outlineLevel="0" collapsed="false">
      <c r="A1116" s="68" t="s">
        <v>3033</v>
      </c>
      <c r="B1116" s="68" t="n">
        <v>110</v>
      </c>
      <c r="C1116" s="68" t="s">
        <v>2383</v>
      </c>
      <c r="D1116" s="68" t="s">
        <v>2628</v>
      </c>
      <c r="E1116" s="68" t="s">
        <v>208</v>
      </c>
      <c r="F1116" s="80" t="s">
        <v>2999</v>
      </c>
    </row>
    <row r="1117" customFormat="false" ht="22.35" hidden="false" customHeight="false" outlineLevel="0" collapsed="false">
      <c r="A1117" s="68" t="s">
        <v>3036</v>
      </c>
      <c r="B1117" s="68" t="n">
        <v>111</v>
      </c>
      <c r="C1117" s="68" t="s">
        <v>2253</v>
      </c>
      <c r="D1117" s="68" t="s">
        <v>2628</v>
      </c>
      <c r="E1117" s="68" t="s">
        <v>60</v>
      </c>
      <c r="F1117" s="80" t="s">
        <v>2791</v>
      </c>
    </row>
    <row r="1118" customFormat="false" ht="22.35" hidden="false" customHeight="false" outlineLevel="0" collapsed="false">
      <c r="A1118" s="68" t="s">
        <v>3036</v>
      </c>
      <c r="B1118" s="68" t="n">
        <v>111</v>
      </c>
      <c r="C1118" s="68" t="s">
        <v>2260</v>
      </c>
      <c r="D1118" s="68" t="s">
        <v>2628</v>
      </c>
      <c r="E1118" s="68" t="s">
        <v>186</v>
      </c>
      <c r="F1118" s="80" t="s">
        <v>3034</v>
      </c>
    </row>
    <row r="1119" customFormat="false" ht="32.8" hidden="false" customHeight="false" outlineLevel="0" collapsed="false">
      <c r="A1119" s="68" t="s">
        <v>3036</v>
      </c>
      <c r="B1119" s="68" t="n">
        <v>111</v>
      </c>
      <c r="C1119" s="68" t="s">
        <v>2266</v>
      </c>
      <c r="D1119" s="68" t="s">
        <v>2628</v>
      </c>
      <c r="E1119" s="68" t="s">
        <v>74</v>
      </c>
      <c r="F1119" s="80" t="s">
        <v>2943</v>
      </c>
    </row>
    <row r="1120" customFormat="false" ht="15" hidden="false" customHeight="false" outlineLevel="0" collapsed="false">
      <c r="A1120" s="68" t="s">
        <v>3036</v>
      </c>
      <c r="B1120" s="68" t="n">
        <v>111</v>
      </c>
      <c r="C1120" s="68" t="s">
        <v>2300</v>
      </c>
      <c r="D1120" s="68" t="s">
        <v>2632</v>
      </c>
      <c r="E1120" s="68" t="s">
        <v>646</v>
      </c>
      <c r="F1120" s="80" t="s">
        <v>2958</v>
      </c>
    </row>
    <row r="1121" customFormat="false" ht="22.35" hidden="false" customHeight="false" outlineLevel="0" collapsed="false">
      <c r="A1121" s="68" t="s">
        <v>3036</v>
      </c>
      <c r="B1121" s="68" t="n">
        <v>111</v>
      </c>
      <c r="C1121" s="68" t="s">
        <v>2304</v>
      </c>
      <c r="D1121" s="68" t="s">
        <v>2696</v>
      </c>
      <c r="E1121" s="68" t="s">
        <v>312</v>
      </c>
      <c r="F1121" s="80" t="s">
        <v>3037</v>
      </c>
    </row>
    <row r="1122" customFormat="false" ht="15" hidden="false" customHeight="false" outlineLevel="0" collapsed="false">
      <c r="A1122" s="68" t="s">
        <v>3036</v>
      </c>
      <c r="B1122" s="68" t="n">
        <v>111</v>
      </c>
      <c r="C1122" s="68" t="s">
        <v>2324</v>
      </c>
      <c r="D1122" s="68" t="s">
        <v>2632</v>
      </c>
      <c r="E1122" s="68" t="s">
        <v>460</v>
      </c>
      <c r="F1122" s="80" t="s">
        <v>2795</v>
      </c>
    </row>
    <row r="1123" customFormat="false" ht="15" hidden="false" customHeight="false" outlineLevel="0" collapsed="false">
      <c r="A1123" s="68" t="s">
        <v>3036</v>
      </c>
      <c r="B1123" s="68" t="n">
        <v>111</v>
      </c>
      <c r="C1123" s="68" t="s">
        <v>2351</v>
      </c>
      <c r="D1123" s="68" t="s">
        <v>2632</v>
      </c>
      <c r="E1123" s="68" t="n">
        <v>1404</v>
      </c>
      <c r="F1123" s="80" t="s">
        <v>2998</v>
      </c>
    </row>
    <row r="1124" customFormat="false" ht="43.25" hidden="false" customHeight="false" outlineLevel="0" collapsed="false">
      <c r="A1124" s="68" t="s">
        <v>3036</v>
      </c>
      <c r="B1124" s="68" t="n">
        <v>111</v>
      </c>
      <c r="C1124" s="68" t="s">
        <v>2383</v>
      </c>
      <c r="D1124" s="68" t="s">
        <v>2628</v>
      </c>
      <c r="E1124" s="68" t="s">
        <v>208</v>
      </c>
      <c r="F1124" s="80" t="s">
        <v>2999</v>
      </c>
    </row>
    <row r="1125" customFormat="false" ht="22.35" hidden="false" customHeight="false" outlineLevel="0" collapsed="false">
      <c r="A1125" s="68" t="s">
        <v>3038</v>
      </c>
      <c r="B1125" s="68" t="n">
        <v>112</v>
      </c>
      <c r="C1125" s="68" t="s">
        <v>2253</v>
      </c>
      <c r="D1125" s="68" t="s">
        <v>2628</v>
      </c>
      <c r="E1125" s="68" t="s">
        <v>60</v>
      </c>
      <c r="F1125" s="80" t="s">
        <v>2791</v>
      </c>
    </row>
    <row r="1126" customFormat="false" ht="22.35" hidden="false" customHeight="false" outlineLevel="0" collapsed="false">
      <c r="A1126" s="68" t="s">
        <v>3038</v>
      </c>
      <c r="B1126" s="68" t="n">
        <v>112</v>
      </c>
      <c r="C1126" s="68" t="s">
        <v>2260</v>
      </c>
      <c r="D1126" s="68" t="s">
        <v>2628</v>
      </c>
      <c r="E1126" s="68" t="s">
        <v>183</v>
      </c>
      <c r="F1126" s="80" t="s">
        <v>3039</v>
      </c>
    </row>
    <row r="1127" customFormat="false" ht="32.8" hidden="false" customHeight="false" outlineLevel="0" collapsed="false">
      <c r="A1127" s="68" t="s">
        <v>3038</v>
      </c>
      <c r="B1127" s="68" t="n">
        <v>112</v>
      </c>
      <c r="C1127" s="68" t="s">
        <v>2266</v>
      </c>
      <c r="D1127" s="68" t="s">
        <v>2628</v>
      </c>
      <c r="E1127" s="68" t="s">
        <v>74</v>
      </c>
      <c r="F1127" s="80" t="s">
        <v>2943</v>
      </c>
    </row>
    <row r="1128" customFormat="false" ht="15" hidden="false" customHeight="false" outlineLevel="0" collapsed="false">
      <c r="A1128" s="68" t="s">
        <v>3038</v>
      </c>
      <c r="B1128" s="68" t="n">
        <v>112</v>
      </c>
      <c r="C1128" s="68" t="s">
        <v>2300</v>
      </c>
      <c r="D1128" s="68" t="s">
        <v>2632</v>
      </c>
      <c r="E1128" s="68" t="s">
        <v>646</v>
      </c>
      <c r="F1128" s="80" t="s">
        <v>2958</v>
      </c>
    </row>
    <row r="1129" customFormat="false" ht="22.35" hidden="false" customHeight="false" outlineLevel="0" collapsed="false">
      <c r="A1129" s="68" t="s">
        <v>3038</v>
      </c>
      <c r="B1129" s="68" t="n">
        <v>112</v>
      </c>
      <c r="C1129" s="68" t="s">
        <v>2304</v>
      </c>
      <c r="D1129" s="68" t="s">
        <v>2696</v>
      </c>
      <c r="E1129" s="68" t="s">
        <v>312</v>
      </c>
      <c r="F1129" s="80" t="s">
        <v>3040</v>
      </c>
    </row>
    <row r="1130" customFormat="false" ht="15" hidden="false" customHeight="false" outlineLevel="0" collapsed="false">
      <c r="A1130" s="68" t="s">
        <v>3038</v>
      </c>
      <c r="B1130" s="68" t="n">
        <v>112</v>
      </c>
      <c r="C1130" s="68" t="s">
        <v>2324</v>
      </c>
      <c r="D1130" s="68" t="s">
        <v>2696</v>
      </c>
      <c r="E1130" s="68" t="s">
        <v>304</v>
      </c>
      <c r="F1130" s="80" t="s">
        <v>2812</v>
      </c>
    </row>
    <row r="1131" customFormat="false" ht="15" hidden="false" customHeight="false" outlineLevel="0" collapsed="false">
      <c r="A1131" s="68" t="s">
        <v>3038</v>
      </c>
      <c r="B1131" s="68" t="n">
        <v>112</v>
      </c>
      <c r="C1131" s="68" t="s">
        <v>2351</v>
      </c>
      <c r="D1131" s="68" t="s">
        <v>2632</v>
      </c>
      <c r="E1131" s="68" t="n">
        <v>1404</v>
      </c>
      <c r="F1131" s="80" t="s">
        <v>2998</v>
      </c>
    </row>
    <row r="1132" customFormat="false" ht="43.25" hidden="false" customHeight="false" outlineLevel="0" collapsed="false">
      <c r="A1132" s="68" t="s">
        <v>3038</v>
      </c>
      <c r="B1132" s="68" t="n">
        <v>112</v>
      </c>
      <c r="C1132" s="68" t="s">
        <v>2383</v>
      </c>
      <c r="D1132" s="68" t="s">
        <v>2628</v>
      </c>
      <c r="E1132" s="68" t="s">
        <v>208</v>
      </c>
      <c r="F1132" s="80" t="s">
        <v>2999</v>
      </c>
    </row>
    <row r="1133" customFormat="false" ht="43.25" hidden="false" customHeight="false" outlineLevel="0" collapsed="false">
      <c r="A1133" s="68" t="s">
        <v>3041</v>
      </c>
      <c r="B1133" s="68" t="n">
        <v>113</v>
      </c>
      <c r="C1133" s="68" t="s">
        <v>2253</v>
      </c>
      <c r="D1133" s="68" t="s">
        <v>2628</v>
      </c>
      <c r="E1133" s="68" t="s">
        <v>57</v>
      </c>
      <c r="F1133" s="80" t="s">
        <v>2748</v>
      </c>
    </row>
    <row r="1134" customFormat="false" ht="22.35" hidden="false" customHeight="false" outlineLevel="0" collapsed="false">
      <c r="A1134" s="68" t="s">
        <v>3041</v>
      </c>
      <c r="B1134" s="68" t="n">
        <v>113</v>
      </c>
      <c r="C1134" s="68" t="s">
        <v>2260</v>
      </c>
      <c r="D1134" s="68" t="s">
        <v>2628</v>
      </c>
      <c r="E1134" s="68" t="s">
        <v>192</v>
      </c>
      <c r="F1134" s="80" t="s">
        <v>2678</v>
      </c>
    </row>
    <row r="1135" customFormat="false" ht="32.8" hidden="false" customHeight="false" outlineLevel="0" collapsed="false">
      <c r="A1135" s="68" t="s">
        <v>3041</v>
      </c>
      <c r="B1135" s="68" t="n">
        <v>113</v>
      </c>
      <c r="C1135" s="68" t="s">
        <v>2266</v>
      </c>
      <c r="D1135" s="68" t="s">
        <v>2628</v>
      </c>
      <c r="E1135" s="68" t="s">
        <v>119</v>
      </c>
      <c r="F1135" s="80" t="s">
        <v>2986</v>
      </c>
    </row>
    <row r="1136" customFormat="false" ht="15" hidden="false" customHeight="false" outlineLevel="0" collapsed="false">
      <c r="A1136" s="68" t="s">
        <v>3041</v>
      </c>
      <c r="B1136" s="68" t="n">
        <v>113</v>
      </c>
      <c r="C1136" s="68" t="s">
        <v>2271</v>
      </c>
      <c r="D1136" s="68" t="s">
        <v>2632</v>
      </c>
      <c r="E1136" s="68" t="n">
        <v>9.6</v>
      </c>
      <c r="F1136" s="80" t="s">
        <v>3042</v>
      </c>
    </row>
    <row r="1137" customFormat="false" ht="22.35" hidden="false" customHeight="false" outlineLevel="0" collapsed="false">
      <c r="A1137" s="68" t="s">
        <v>3041</v>
      </c>
      <c r="B1137" s="68" t="n">
        <v>113</v>
      </c>
      <c r="C1137" s="68" t="s">
        <v>2295</v>
      </c>
      <c r="D1137" s="68" t="s">
        <v>2632</v>
      </c>
      <c r="E1137" s="68" t="s">
        <v>123</v>
      </c>
      <c r="F1137" s="80" t="s">
        <v>2988</v>
      </c>
    </row>
    <row r="1138" customFormat="false" ht="22.35" hidden="false" customHeight="false" outlineLevel="0" collapsed="false">
      <c r="A1138" s="68" t="s">
        <v>3041</v>
      </c>
      <c r="B1138" s="68" t="n">
        <v>113</v>
      </c>
      <c r="C1138" s="68" t="s">
        <v>2304</v>
      </c>
      <c r="D1138" s="68" t="s">
        <v>2696</v>
      </c>
      <c r="E1138" s="68" t="s">
        <v>312</v>
      </c>
      <c r="F1138" s="80" t="s">
        <v>3043</v>
      </c>
    </row>
    <row r="1139" customFormat="false" ht="15" hidden="false" customHeight="false" outlineLevel="0" collapsed="false">
      <c r="A1139" s="68" t="s">
        <v>3041</v>
      </c>
      <c r="B1139" s="68" t="n">
        <v>113</v>
      </c>
      <c r="C1139" s="68" t="s">
        <v>2324</v>
      </c>
      <c r="D1139" s="68" t="s">
        <v>2696</v>
      </c>
      <c r="E1139" s="68" t="s">
        <v>752</v>
      </c>
      <c r="F1139" s="80" t="s">
        <v>2812</v>
      </c>
    </row>
    <row r="1140" customFormat="false" ht="15" hidden="false" customHeight="false" outlineLevel="0" collapsed="false">
      <c r="A1140" s="68" t="s">
        <v>3041</v>
      </c>
      <c r="B1140" s="68" t="n">
        <v>113</v>
      </c>
      <c r="C1140" s="68" t="s">
        <v>2351</v>
      </c>
      <c r="D1140" s="68" t="s">
        <v>2632</v>
      </c>
      <c r="E1140" s="68" t="n">
        <v>1393</v>
      </c>
      <c r="F1140" s="80" t="s">
        <v>3022</v>
      </c>
    </row>
    <row r="1141" customFormat="false" ht="22.35" hidden="false" customHeight="false" outlineLevel="0" collapsed="false">
      <c r="A1141" s="68" t="s">
        <v>3041</v>
      </c>
      <c r="B1141" s="68" t="n">
        <v>113</v>
      </c>
      <c r="C1141" s="68" t="s">
        <v>2362</v>
      </c>
      <c r="D1141" s="68" t="s">
        <v>2632</v>
      </c>
      <c r="E1141" s="68" t="n">
        <v>100000000</v>
      </c>
      <c r="F1141" s="80" t="s">
        <v>3044</v>
      </c>
    </row>
    <row r="1142" customFormat="false" ht="22.35" hidden="false" customHeight="false" outlineLevel="0" collapsed="false">
      <c r="A1142" s="68" t="s">
        <v>3041</v>
      </c>
      <c r="B1142" s="68" t="n">
        <v>113</v>
      </c>
      <c r="C1142" s="68" t="s">
        <v>2383</v>
      </c>
      <c r="D1142" s="68" t="s">
        <v>2628</v>
      </c>
      <c r="E1142" s="68" t="s">
        <v>123</v>
      </c>
      <c r="F1142" s="80" t="s">
        <v>3045</v>
      </c>
    </row>
    <row r="1143" customFormat="false" ht="43.25" hidden="false" customHeight="false" outlineLevel="0" collapsed="false">
      <c r="A1143" s="68" t="s">
        <v>3046</v>
      </c>
      <c r="B1143" s="68" t="n">
        <v>114</v>
      </c>
      <c r="C1143" s="68" t="s">
        <v>2253</v>
      </c>
      <c r="D1143" s="68" t="s">
        <v>2628</v>
      </c>
      <c r="E1143" s="68" t="s">
        <v>57</v>
      </c>
      <c r="F1143" s="80" t="s">
        <v>2748</v>
      </c>
    </row>
    <row r="1144" customFormat="false" ht="22.35" hidden="false" customHeight="false" outlineLevel="0" collapsed="false">
      <c r="A1144" s="68" t="s">
        <v>3046</v>
      </c>
      <c r="B1144" s="68" t="n">
        <v>114</v>
      </c>
      <c r="C1144" s="68" t="s">
        <v>2260</v>
      </c>
      <c r="D1144" s="68" t="s">
        <v>2628</v>
      </c>
      <c r="E1144" s="68" t="s">
        <v>192</v>
      </c>
      <c r="F1144" s="80" t="s">
        <v>2678</v>
      </c>
    </row>
    <row r="1145" customFormat="false" ht="32.8" hidden="false" customHeight="false" outlineLevel="0" collapsed="false">
      <c r="A1145" s="68" t="s">
        <v>3046</v>
      </c>
      <c r="B1145" s="68" t="n">
        <v>114</v>
      </c>
      <c r="C1145" s="68" t="s">
        <v>2266</v>
      </c>
      <c r="D1145" s="68" t="s">
        <v>2628</v>
      </c>
      <c r="E1145" s="68" t="s">
        <v>119</v>
      </c>
      <c r="F1145" s="80" t="s">
        <v>2986</v>
      </c>
    </row>
    <row r="1146" customFormat="false" ht="15" hidden="false" customHeight="false" outlineLevel="0" collapsed="false">
      <c r="A1146" s="68" t="s">
        <v>3046</v>
      </c>
      <c r="B1146" s="68" t="n">
        <v>114</v>
      </c>
      <c r="C1146" s="68" t="s">
        <v>2271</v>
      </c>
      <c r="D1146" s="68" t="s">
        <v>2632</v>
      </c>
      <c r="E1146" s="68" t="n">
        <v>9.6</v>
      </c>
      <c r="F1146" s="80" t="s">
        <v>3047</v>
      </c>
    </row>
    <row r="1147" customFormat="false" ht="22.35" hidden="false" customHeight="false" outlineLevel="0" collapsed="false">
      <c r="A1147" s="68" t="s">
        <v>3046</v>
      </c>
      <c r="B1147" s="68" t="n">
        <v>114</v>
      </c>
      <c r="C1147" s="68" t="s">
        <v>2295</v>
      </c>
      <c r="D1147" s="68" t="s">
        <v>2632</v>
      </c>
      <c r="E1147" s="68" t="s">
        <v>123</v>
      </c>
      <c r="F1147" s="80" t="s">
        <v>2988</v>
      </c>
    </row>
    <row r="1148" customFormat="false" ht="22.35" hidden="false" customHeight="false" outlineLevel="0" collapsed="false">
      <c r="A1148" s="68" t="s">
        <v>3046</v>
      </c>
      <c r="B1148" s="68" t="n">
        <v>114</v>
      </c>
      <c r="C1148" s="68" t="s">
        <v>2304</v>
      </c>
      <c r="D1148" s="68" t="s">
        <v>2696</v>
      </c>
      <c r="E1148" s="68" t="s">
        <v>312</v>
      </c>
      <c r="F1148" s="80" t="s">
        <v>3048</v>
      </c>
    </row>
    <row r="1149" customFormat="false" ht="15" hidden="false" customHeight="false" outlineLevel="0" collapsed="false">
      <c r="A1149" s="68" t="s">
        <v>3046</v>
      </c>
      <c r="B1149" s="68" t="n">
        <v>114</v>
      </c>
      <c r="C1149" s="68" t="s">
        <v>2324</v>
      </c>
      <c r="D1149" s="68" t="s">
        <v>2696</v>
      </c>
      <c r="E1149" s="68" t="s">
        <v>752</v>
      </c>
      <c r="F1149" s="80" t="s">
        <v>2812</v>
      </c>
    </row>
    <row r="1150" customFormat="false" ht="15" hidden="false" customHeight="false" outlineLevel="0" collapsed="false">
      <c r="A1150" s="68" t="s">
        <v>3046</v>
      </c>
      <c r="B1150" s="68" t="n">
        <v>114</v>
      </c>
      <c r="C1150" s="68" t="s">
        <v>2351</v>
      </c>
      <c r="D1150" s="68" t="s">
        <v>2632</v>
      </c>
      <c r="E1150" s="68" t="n">
        <v>1393</v>
      </c>
      <c r="F1150" s="80" t="s">
        <v>3022</v>
      </c>
    </row>
    <row r="1151" customFormat="false" ht="22.35" hidden="false" customHeight="false" outlineLevel="0" collapsed="false">
      <c r="A1151" s="68" t="s">
        <v>3046</v>
      </c>
      <c r="B1151" s="68" t="n">
        <v>114</v>
      </c>
      <c r="C1151" s="68" t="s">
        <v>2362</v>
      </c>
      <c r="D1151" s="68" t="s">
        <v>2632</v>
      </c>
      <c r="E1151" s="68" t="n">
        <v>100000000</v>
      </c>
      <c r="F1151" s="80" t="s">
        <v>3049</v>
      </c>
    </row>
    <row r="1152" customFormat="false" ht="22.35" hidden="false" customHeight="false" outlineLevel="0" collapsed="false">
      <c r="A1152" s="68" t="s">
        <v>3046</v>
      </c>
      <c r="B1152" s="68" t="n">
        <v>114</v>
      </c>
      <c r="C1152" s="68" t="s">
        <v>2383</v>
      </c>
      <c r="D1152" s="68" t="s">
        <v>2628</v>
      </c>
      <c r="E1152" s="68" t="s">
        <v>123</v>
      </c>
      <c r="F1152" s="80" t="s">
        <v>3045</v>
      </c>
    </row>
    <row r="1153" customFormat="false" ht="22.35" hidden="false" customHeight="false" outlineLevel="0" collapsed="false">
      <c r="A1153" s="68" t="s">
        <v>3050</v>
      </c>
      <c r="B1153" s="68" t="n">
        <v>115</v>
      </c>
      <c r="C1153" s="68" t="s">
        <v>2253</v>
      </c>
      <c r="D1153" s="68" t="s">
        <v>2628</v>
      </c>
      <c r="E1153" s="68" t="s">
        <v>45</v>
      </c>
      <c r="F1153" s="80" t="s">
        <v>2629</v>
      </c>
    </row>
    <row r="1154" customFormat="false" ht="22.35" hidden="false" customHeight="false" outlineLevel="0" collapsed="false">
      <c r="A1154" s="68" t="s">
        <v>3050</v>
      </c>
      <c r="B1154" s="68" t="n">
        <v>115</v>
      </c>
      <c r="C1154" s="68" t="s">
        <v>2260</v>
      </c>
      <c r="D1154" s="68" t="s">
        <v>2628</v>
      </c>
      <c r="E1154" s="68" t="s">
        <v>123</v>
      </c>
      <c r="F1154" s="80" t="s">
        <v>2630</v>
      </c>
    </row>
    <row r="1155" customFormat="false" ht="15" hidden="false" customHeight="false" outlineLevel="0" collapsed="false">
      <c r="A1155" s="68" t="s">
        <v>3050</v>
      </c>
      <c r="B1155" s="68" t="n">
        <v>115</v>
      </c>
      <c r="C1155" s="68" t="s">
        <v>2266</v>
      </c>
      <c r="D1155" s="68" t="s">
        <v>2628</v>
      </c>
      <c r="E1155" s="68" t="s">
        <v>123</v>
      </c>
      <c r="F1155" s="80" t="s">
        <v>2631</v>
      </c>
    </row>
    <row r="1156" customFormat="false" ht="15" hidden="false" customHeight="false" outlineLevel="0" collapsed="false">
      <c r="A1156" s="68" t="s">
        <v>3050</v>
      </c>
      <c r="B1156" s="68" t="n">
        <v>115</v>
      </c>
      <c r="C1156" s="68" t="s">
        <v>2276</v>
      </c>
      <c r="D1156" s="68" t="s">
        <v>2632</v>
      </c>
      <c r="E1156" s="68" t="n">
        <v>95.8</v>
      </c>
      <c r="F1156" s="80" t="s">
        <v>3051</v>
      </c>
    </row>
    <row r="1157" customFormat="false" ht="15" hidden="false" customHeight="false" outlineLevel="0" collapsed="false">
      <c r="A1157" s="68" t="s">
        <v>3050</v>
      </c>
      <c r="B1157" s="68" t="n">
        <v>115</v>
      </c>
      <c r="C1157" s="68" t="s">
        <v>2324</v>
      </c>
      <c r="D1157" s="68" t="s">
        <v>2632</v>
      </c>
      <c r="E1157" s="68" t="s">
        <v>304</v>
      </c>
      <c r="F1157" s="80" t="s">
        <v>3052</v>
      </c>
    </row>
    <row r="1158" customFormat="false" ht="15" hidden="false" customHeight="false" outlineLevel="0" collapsed="false">
      <c r="A1158" s="68" t="s">
        <v>3050</v>
      </c>
      <c r="B1158" s="68" t="n">
        <v>115</v>
      </c>
      <c r="C1158" s="68" t="s">
        <v>2383</v>
      </c>
      <c r="D1158" s="68" t="s">
        <v>2628</v>
      </c>
      <c r="E1158" s="68" t="s">
        <v>123</v>
      </c>
      <c r="F1158" s="80" t="s">
        <v>3053</v>
      </c>
    </row>
    <row r="1159" customFormat="false" ht="22.35" hidden="false" customHeight="false" outlineLevel="0" collapsed="false">
      <c r="A1159" s="68" t="s">
        <v>3054</v>
      </c>
      <c r="B1159" s="68" t="n">
        <v>116</v>
      </c>
      <c r="C1159" s="68" t="s">
        <v>2253</v>
      </c>
      <c r="D1159" s="68" t="s">
        <v>2628</v>
      </c>
      <c r="E1159" s="68" t="s">
        <v>45</v>
      </c>
      <c r="F1159" s="80" t="s">
        <v>2629</v>
      </c>
    </row>
    <row r="1160" customFormat="false" ht="22.35" hidden="false" customHeight="false" outlineLevel="0" collapsed="false">
      <c r="A1160" s="68" t="s">
        <v>3054</v>
      </c>
      <c r="B1160" s="68" t="n">
        <v>116</v>
      </c>
      <c r="C1160" s="68" t="s">
        <v>2260</v>
      </c>
      <c r="D1160" s="68" t="s">
        <v>2628</v>
      </c>
      <c r="E1160" s="68" t="s">
        <v>123</v>
      </c>
      <c r="F1160" s="80" t="s">
        <v>2630</v>
      </c>
    </row>
    <row r="1161" customFormat="false" ht="15" hidden="false" customHeight="false" outlineLevel="0" collapsed="false">
      <c r="A1161" s="68" t="s">
        <v>3054</v>
      </c>
      <c r="B1161" s="68" t="n">
        <v>116</v>
      </c>
      <c r="C1161" s="68" t="s">
        <v>2266</v>
      </c>
      <c r="D1161" s="68" t="s">
        <v>2628</v>
      </c>
      <c r="E1161" s="68" t="s">
        <v>123</v>
      </c>
      <c r="F1161" s="80" t="s">
        <v>2631</v>
      </c>
    </row>
    <row r="1162" customFormat="false" ht="15" hidden="false" customHeight="false" outlineLevel="0" collapsed="false">
      <c r="A1162" s="68" t="s">
        <v>3054</v>
      </c>
      <c r="B1162" s="68" t="n">
        <v>116</v>
      </c>
      <c r="C1162" s="68" t="s">
        <v>2276</v>
      </c>
      <c r="D1162" s="68" t="s">
        <v>2632</v>
      </c>
      <c r="E1162" s="68" t="n">
        <v>59.85</v>
      </c>
      <c r="F1162" s="80" t="s">
        <v>3055</v>
      </c>
    </row>
    <row r="1163" customFormat="false" ht="15" hidden="false" customHeight="false" outlineLevel="0" collapsed="false">
      <c r="A1163" s="68" t="s">
        <v>3054</v>
      </c>
      <c r="B1163" s="68" t="n">
        <v>116</v>
      </c>
      <c r="C1163" s="68" t="s">
        <v>2324</v>
      </c>
      <c r="D1163" s="68" t="s">
        <v>2632</v>
      </c>
      <c r="E1163" s="68" t="s">
        <v>304</v>
      </c>
      <c r="F1163" s="80" t="s">
        <v>3056</v>
      </c>
    </row>
    <row r="1164" customFormat="false" ht="15" hidden="false" customHeight="false" outlineLevel="0" collapsed="false">
      <c r="A1164" s="68" t="s">
        <v>3054</v>
      </c>
      <c r="B1164" s="68" t="n">
        <v>116</v>
      </c>
      <c r="C1164" s="68" t="s">
        <v>2383</v>
      </c>
      <c r="D1164" s="68" t="s">
        <v>2628</v>
      </c>
      <c r="E1164" s="68" t="s">
        <v>123</v>
      </c>
      <c r="F1164" s="80" t="s">
        <v>3053</v>
      </c>
    </row>
    <row r="1165" customFormat="false" ht="22.35" hidden="false" customHeight="false" outlineLevel="0" collapsed="false">
      <c r="A1165" s="68" t="s">
        <v>3057</v>
      </c>
      <c r="B1165" s="68" t="n">
        <v>117</v>
      </c>
      <c r="C1165" s="68" t="s">
        <v>2253</v>
      </c>
      <c r="D1165" s="68" t="s">
        <v>2628</v>
      </c>
      <c r="E1165" s="68" t="s">
        <v>45</v>
      </c>
      <c r="F1165" s="80" t="s">
        <v>2629</v>
      </c>
    </row>
    <row r="1166" customFormat="false" ht="22.35" hidden="false" customHeight="false" outlineLevel="0" collapsed="false">
      <c r="A1166" s="68" t="s">
        <v>3057</v>
      </c>
      <c r="B1166" s="68" t="n">
        <v>117</v>
      </c>
      <c r="C1166" s="68" t="s">
        <v>2260</v>
      </c>
      <c r="D1166" s="68" t="s">
        <v>2628</v>
      </c>
      <c r="E1166" s="68" t="s">
        <v>123</v>
      </c>
      <c r="F1166" s="80" t="s">
        <v>2630</v>
      </c>
    </row>
    <row r="1167" customFormat="false" ht="15" hidden="false" customHeight="false" outlineLevel="0" collapsed="false">
      <c r="A1167" s="68" t="s">
        <v>3057</v>
      </c>
      <c r="B1167" s="68" t="n">
        <v>117</v>
      </c>
      <c r="C1167" s="68" t="s">
        <v>2266</v>
      </c>
      <c r="D1167" s="68" t="s">
        <v>2628</v>
      </c>
      <c r="E1167" s="68" t="s">
        <v>123</v>
      </c>
      <c r="F1167" s="80" t="s">
        <v>2631</v>
      </c>
    </row>
    <row r="1168" customFormat="false" ht="15" hidden="false" customHeight="false" outlineLevel="0" collapsed="false">
      <c r="A1168" s="68" t="s">
        <v>3057</v>
      </c>
      <c r="B1168" s="68" t="n">
        <v>117</v>
      </c>
      <c r="C1168" s="68" t="s">
        <v>2276</v>
      </c>
      <c r="D1168" s="68" t="s">
        <v>2632</v>
      </c>
      <c r="E1168" s="68" t="n">
        <v>34.75</v>
      </c>
      <c r="F1168" s="80" t="s">
        <v>3058</v>
      </c>
    </row>
    <row r="1169" customFormat="false" ht="15" hidden="false" customHeight="false" outlineLevel="0" collapsed="false">
      <c r="A1169" s="68" t="s">
        <v>3057</v>
      </c>
      <c r="B1169" s="68" t="n">
        <v>117</v>
      </c>
      <c r="C1169" s="68" t="s">
        <v>2324</v>
      </c>
      <c r="D1169" s="68" t="s">
        <v>2632</v>
      </c>
      <c r="E1169" s="68" t="s">
        <v>304</v>
      </c>
      <c r="F1169" s="80" t="s">
        <v>3059</v>
      </c>
    </row>
    <row r="1170" customFormat="false" ht="15" hidden="false" customHeight="false" outlineLevel="0" collapsed="false">
      <c r="A1170" s="68" t="s">
        <v>3057</v>
      </c>
      <c r="B1170" s="68" t="n">
        <v>117</v>
      </c>
      <c r="C1170" s="68" t="s">
        <v>2383</v>
      </c>
      <c r="D1170" s="68" t="s">
        <v>2628</v>
      </c>
      <c r="E1170" s="68" t="s">
        <v>123</v>
      </c>
      <c r="F1170" s="80" t="s">
        <v>3053</v>
      </c>
    </row>
    <row r="1171" customFormat="false" ht="22.35" hidden="false" customHeight="false" outlineLevel="0" collapsed="false">
      <c r="A1171" s="68" t="s">
        <v>3060</v>
      </c>
      <c r="B1171" s="68" t="n">
        <v>118</v>
      </c>
      <c r="C1171" s="68" t="s">
        <v>2253</v>
      </c>
      <c r="D1171" s="68" t="s">
        <v>2628</v>
      </c>
      <c r="E1171" s="68" t="s">
        <v>45</v>
      </c>
      <c r="F1171" s="80" t="s">
        <v>2629</v>
      </c>
    </row>
    <row r="1172" customFormat="false" ht="22.35" hidden="false" customHeight="false" outlineLevel="0" collapsed="false">
      <c r="A1172" s="68" t="s">
        <v>3060</v>
      </c>
      <c r="B1172" s="68" t="n">
        <v>118</v>
      </c>
      <c r="C1172" s="68" t="s">
        <v>2260</v>
      </c>
      <c r="D1172" s="68" t="s">
        <v>2628</v>
      </c>
      <c r="E1172" s="68" t="s">
        <v>123</v>
      </c>
      <c r="F1172" s="80" t="s">
        <v>2630</v>
      </c>
    </row>
    <row r="1173" customFormat="false" ht="15" hidden="false" customHeight="false" outlineLevel="0" collapsed="false">
      <c r="A1173" s="68" t="s">
        <v>3060</v>
      </c>
      <c r="B1173" s="68" t="n">
        <v>118</v>
      </c>
      <c r="C1173" s="68" t="s">
        <v>2266</v>
      </c>
      <c r="D1173" s="68" t="s">
        <v>2628</v>
      </c>
      <c r="E1173" s="68" t="s">
        <v>123</v>
      </c>
      <c r="F1173" s="80" t="s">
        <v>2631</v>
      </c>
    </row>
    <row r="1174" customFormat="false" ht="15" hidden="false" customHeight="false" outlineLevel="0" collapsed="false">
      <c r="A1174" s="68" t="s">
        <v>3060</v>
      </c>
      <c r="B1174" s="68" t="n">
        <v>118</v>
      </c>
      <c r="C1174" s="68" t="s">
        <v>2324</v>
      </c>
      <c r="D1174" s="68" t="s">
        <v>2632</v>
      </c>
      <c r="E1174" s="68" t="s">
        <v>304</v>
      </c>
      <c r="F1174" s="80" t="s">
        <v>3061</v>
      </c>
    </row>
    <row r="1175" customFormat="false" ht="15" hidden="false" customHeight="false" outlineLevel="0" collapsed="false">
      <c r="A1175" s="68" t="s">
        <v>3060</v>
      </c>
      <c r="B1175" s="68" t="n">
        <v>118</v>
      </c>
      <c r="C1175" s="68" t="s">
        <v>2383</v>
      </c>
      <c r="D1175" s="68" t="s">
        <v>2628</v>
      </c>
      <c r="E1175" s="68" t="s">
        <v>123</v>
      </c>
      <c r="F1175" s="80" t="s">
        <v>3053</v>
      </c>
    </row>
    <row r="1176" customFormat="false" ht="22.35" hidden="false" customHeight="false" outlineLevel="0" collapsed="false">
      <c r="A1176" s="68" t="s">
        <v>3062</v>
      </c>
      <c r="B1176" s="68" t="n">
        <v>119</v>
      </c>
      <c r="C1176" s="68" t="s">
        <v>2253</v>
      </c>
      <c r="D1176" s="68" t="s">
        <v>2628</v>
      </c>
      <c r="E1176" s="68" t="s">
        <v>45</v>
      </c>
      <c r="F1176" s="80" t="s">
        <v>2629</v>
      </c>
    </row>
    <row r="1177" customFormat="false" ht="22.35" hidden="false" customHeight="false" outlineLevel="0" collapsed="false">
      <c r="A1177" s="68" t="s">
        <v>3062</v>
      </c>
      <c r="B1177" s="68" t="n">
        <v>119</v>
      </c>
      <c r="C1177" s="68" t="s">
        <v>2260</v>
      </c>
      <c r="D1177" s="68" t="s">
        <v>2628</v>
      </c>
      <c r="E1177" s="68" t="s">
        <v>123</v>
      </c>
      <c r="F1177" s="80" t="s">
        <v>2630</v>
      </c>
    </row>
    <row r="1178" customFormat="false" ht="15" hidden="false" customHeight="false" outlineLevel="0" collapsed="false">
      <c r="A1178" s="68" t="s">
        <v>3062</v>
      </c>
      <c r="B1178" s="68" t="n">
        <v>119</v>
      </c>
      <c r="C1178" s="68" t="s">
        <v>2266</v>
      </c>
      <c r="D1178" s="68" t="s">
        <v>2628</v>
      </c>
      <c r="E1178" s="68" t="s">
        <v>123</v>
      </c>
      <c r="F1178" s="80" t="s">
        <v>2631</v>
      </c>
    </row>
    <row r="1179" customFormat="false" ht="15" hidden="false" customHeight="false" outlineLevel="0" collapsed="false">
      <c r="A1179" s="68" t="s">
        <v>3062</v>
      </c>
      <c r="B1179" s="68" t="n">
        <v>119</v>
      </c>
      <c r="C1179" s="68" t="s">
        <v>2276</v>
      </c>
      <c r="D1179" s="68" t="s">
        <v>2632</v>
      </c>
      <c r="E1179" s="68" t="n">
        <v>311.3</v>
      </c>
      <c r="F1179" s="80" t="s">
        <v>3063</v>
      </c>
    </row>
    <row r="1180" customFormat="false" ht="15" hidden="false" customHeight="false" outlineLevel="0" collapsed="false">
      <c r="A1180" s="68" t="s">
        <v>3062</v>
      </c>
      <c r="B1180" s="68" t="n">
        <v>119</v>
      </c>
      <c r="C1180" s="68" t="s">
        <v>2324</v>
      </c>
      <c r="D1180" s="68" t="s">
        <v>2632</v>
      </c>
      <c r="E1180" s="68" t="s">
        <v>304</v>
      </c>
      <c r="F1180" s="80" t="s">
        <v>3064</v>
      </c>
    </row>
    <row r="1181" customFormat="false" ht="15" hidden="false" customHeight="false" outlineLevel="0" collapsed="false">
      <c r="A1181" s="68" t="s">
        <v>3062</v>
      </c>
      <c r="B1181" s="68" t="n">
        <v>119</v>
      </c>
      <c r="C1181" s="68" t="s">
        <v>2383</v>
      </c>
      <c r="D1181" s="68" t="s">
        <v>2628</v>
      </c>
      <c r="E1181" s="68" t="s">
        <v>123</v>
      </c>
      <c r="F1181" s="80" t="s">
        <v>3053</v>
      </c>
    </row>
    <row r="1182" customFormat="false" ht="22.35" hidden="false" customHeight="false" outlineLevel="0" collapsed="false">
      <c r="A1182" s="68" t="s">
        <v>3065</v>
      </c>
      <c r="B1182" s="68" t="n">
        <v>120</v>
      </c>
      <c r="C1182" s="68" t="s">
        <v>2253</v>
      </c>
      <c r="D1182" s="68" t="s">
        <v>2628</v>
      </c>
      <c r="E1182" s="68" t="s">
        <v>48</v>
      </c>
      <c r="F1182" s="80" t="s">
        <v>2653</v>
      </c>
    </row>
    <row r="1183" customFormat="false" ht="22.35" hidden="false" customHeight="false" outlineLevel="0" collapsed="false">
      <c r="A1183" s="68" t="s">
        <v>3065</v>
      </c>
      <c r="B1183" s="68" t="n">
        <v>120</v>
      </c>
      <c r="C1183" s="68" t="s">
        <v>2260</v>
      </c>
      <c r="D1183" s="68" t="s">
        <v>2628</v>
      </c>
      <c r="E1183" s="68" t="s">
        <v>123</v>
      </c>
      <c r="F1183" s="80" t="s">
        <v>2630</v>
      </c>
    </row>
    <row r="1184" customFormat="false" ht="15" hidden="false" customHeight="false" outlineLevel="0" collapsed="false">
      <c r="A1184" s="68" t="s">
        <v>3065</v>
      </c>
      <c r="B1184" s="68" t="n">
        <v>120</v>
      </c>
      <c r="C1184" s="68" t="s">
        <v>2266</v>
      </c>
      <c r="D1184" s="68" t="s">
        <v>2628</v>
      </c>
      <c r="E1184" s="68" t="s">
        <v>123</v>
      </c>
      <c r="F1184" s="80" t="s">
        <v>2631</v>
      </c>
    </row>
    <row r="1185" customFormat="false" ht="15" hidden="false" customHeight="false" outlineLevel="0" collapsed="false">
      <c r="A1185" s="68" t="s">
        <v>3065</v>
      </c>
      <c r="B1185" s="68" t="n">
        <v>120</v>
      </c>
      <c r="C1185" s="68" t="s">
        <v>2276</v>
      </c>
      <c r="D1185" s="68" t="s">
        <v>2632</v>
      </c>
      <c r="E1185" s="68" t="n">
        <v>32</v>
      </c>
      <c r="F1185" s="80" t="s">
        <v>3066</v>
      </c>
    </row>
    <row r="1186" customFormat="false" ht="15" hidden="false" customHeight="false" outlineLevel="0" collapsed="false">
      <c r="A1186" s="68" t="s">
        <v>3065</v>
      </c>
      <c r="B1186" s="68" t="n">
        <v>120</v>
      </c>
      <c r="C1186" s="68" t="s">
        <v>2324</v>
      </c>
      <c r="D1186" s="68" t="s">
        <v>2632</v>
      </c>
      <c r="E1186" s="68" t="s">
        <v>304</v>
      </c>
      <c r="F1186" s="80" t="s">
        <v>3067</v>
      </c>
    </row>
    <row r="1187" customFormat="false" ht="15" hidden="false" customHeight="false" outlineLevel="0" collapsed="false">
      <c r="A1187" s="68" t="s">
        <v>3065</v>
      </c>
      <c r="B1187" s="68" t="n">
        <v>120</v>
      </c>
      <c r="C1187" s="68" t="s">
        <v>2383</v>
      </c>
      <c r="D1187" s="68" t="s">
        <v>2628</v>
      </c>
      <c r="E1187" s="68" t="s">
        <v>123</v>
      </c>
      <c r="F1187" s="80" t="s">
        <v>3053</v>
      </c>
    </row>
    <row r="1188" customFormat="false" ht="22.35" hidden="false" customHeight="false" outlineLevel="0" collapsed="false">
      <c r="A1188" s="68" t="s">
        <v>3068</v>
      </c>
      <c r="B1188" s="68" t="n">
        <v>121</v>
      </c>
      <c r="C1188" s="68" t="s">
        <v>2253</v>
      </c>
      <c r="D1188" s="68" t="s">
        <v>2628</v>
      </c>
      <c r="E1188" s="68" t="s">
        <v>48</v>
      </c>
      <c r="F1188" s="80" t="s">
        <v>2653</v>
      </c>
    </row>
    <row r="1189" customFormat="false" ht="22.35" hidden="false" customHeight="false" outlineLevel="0" collapsed="false">
      <c r="A1189" s="68" t="s">
        <v>3068</v>
      </c>
      <c r="B1189" s="68" t="n">
        <v>121</v>
      </c>
      <c r="C1189" s="68" t="s">
        <v>2260</v>
      </c>
      <c r="D1189" s="68" t="s">
        <v>2628</v>
      </c>
      <c r="E1189" s="68" t="s">
        <v>123</v>
      </c>
      <c r="F1189" s="80" t="s">
        <v>2630</v>
      </c>
    </row>
    <row r="1190" customFormat="false" ht="15" hidden="false" customHeight="false" outlineLevel="0" collapsed="false">
      <c r="A1190" s="68" t="s">
        <v>3068</v>
      </c>
      <c r="B1190" s="68" t="n">
        <v>121</v>
      </c>
      <c r="C1190" s="68" t="s">
        <v>2266</v>
      </c>
      <c r="D1190" s="68" t="s">
        <v>2628</v>
      </c>
      <c r="E1190" s="68" t="s">
        <v>123</v>
      </c>
      <c r="F1190" s="80" t="s">
        <v>2631</v>
      </c>
    </row>
    <row r="1191" customFormat="false" ht="15" hidden="false" customHeight="false" outlineLevel="0" collapsed="false">
      <c r="A1191" s="68" t="s">
        <v>3068</v>
      </c>
      <c r="B1191" s="68" t="n">
        <v>121</v>
      </c>
      <c r="C1191" s="68" t="s">
        <v>2276</v>
      </c>
      <c r="D1191" s="68" t="s">
        <v>2632</v>
      </c>
      <c r="E1191" s="68" t="n">
        <v>36.15</v>
      </c>
      <c r="F1191" s="80" t="s">
        <v>3069</v>
      </c>
    </row>
    <row r="1192" customFormat="false" ht="15" hidden="false" customHeight="false" outlineLevel="0" collapsed="false">
      <c r="A1192" s="68" t="s">
        <v>3068</v>
      </c>
      <c r="B1192" s="68" t="n">
        <v>121</v>
      </c>
      <c r="C1192" s="68" t="s">
        <v>2324</v>
      </c>
      <c r="D1192" s="68" t="s">
        <v>2632</v>
      </c>
      <c r="E1192" s="68" t="s">
        <v>304</v>
      </c>
      <c r="F1192" s="80" t="s">
        <v>3070</v>
      </c>
    </row>
    <row r="1193" customFormat="false" ht="15" hidden="false" customHeight="false" outlineLevel="0" collapsed="false">
      <c r="A1193" s="68" t="s">
        <v>3068</v>
      </c>
      <c r="B1193" s="68" t="n">
        <v>121</v>
      </c>
      <c r="C1193" s="68" t="s">
        <v>2383</v>
      </c>
      <c r="D1193" s="68" t="s">
        <v>2628</v>
      </c>
      <c r="E1193" s="68" t="s">
        <v>123</v>
      </c>
      <c r="F1193" s="80" t="s">
        <v>3053</v>
      </c>
    </row>
    <row r="1194" customFormat="false" ht="22.35" hidden="false" customHeight="false" outlineLevel="0" collapsed="false">
      <c r="A1194" s="68" t="s">
        <v>3071</v>
      </c>
      <c r="B1194" s="68" t="n">
        <v>122</v>
      </c>
      <c r="C1194" s="68" t="s">
        <v>2253</v>
      </c>
      <c r="D1194" s="68" t="s">
        <v>2628</v>
      </c>
      <c r="E1194" s="68" t="s">
        <v>51</v>
      </c>
      <c r="F1194" s="80" t="s">
        <v>2662</v>
      </c>
    </row>
    <row r="1195" customFormat="false" ht="22.35" hidden="false" customHeight="false" outlineLevel="0" collapsed="false">
      <c r="A1195" s="68" t="s">
        <v>3071</v>
      </c>
      <c r="B1195" s="68" t="n">
        <v>122</v>
      </c>
      <c r="C1195" s="68" t="s">
        <v>2260</v>
      </c>
      <c r="D1195" s="68" t="s">
        <v>2628</v>
      </c>
      <c r="E1195" s="68" t="s">
        <v>123</v>
      </c>
      <c r="F1195" s="80" t="s">
        <v>2630</v>
      </c>
    </row>
    <row r="1196" customFormat="false" ht="15" hidden="false" customHeight="false" outlineLevel="0" collapsed="false">
      <c r="A1196" s="68" t="s">
        <v>3071</v>
      </c>
      <c r="B1196" s="68" t="n">
        <v>122</v>
      </c>
      <c r="C1196" s="68" t="s">
        <v>2266</v>
      </c>
      <c r="D1196" s="68" t="s">
        <v>2628</v>
      </c>
      <c r="E1196" s="68" t="s">
        <v>123</v>
      </c>
      <c r="F1196" s="80" t="s">
        <v>2631</v>
      </c>
    </row>
    <row r="1197" customFormat="false" ht="15" hidden="false" customHeight="false" outlineLevel="0" collapsed="false">
      <c r="A1197" s="68" t="s">
        <v>3071</v>
      </c>
      <c r="B1197" s="68" t="n">
        <v>122</v>
      </c>
      <c r="C1197" s="68" t="s">
        <v>2276</v>
      </c>
      <c r="D1197" s="68" t="s">
        <v>2632</v>
      </c>
      <c r="E1197" s="68" t="n">
        <v>51.5</v>
      </c>
      <c r="F1197" s="80" t="s">
        <v>3072</v>
      </c>
    </row>
    <row r="1198" customFormat="false" ht="15" hidden="false" customHeight="false" outlineLevel="0" collapsed="false">
      <c r="A1198" s="68" t="s">
        <v>3071</v>
      </c>
      <c r="B1198" s="68" t="n">
        <v>122</v>
      </c>
      <c r="C1198" s="68" t="s">
        <v>2324</v>
      </c>
      <c r="D1198" s="68" t="s">
        <v>2632</v>
      </c>
      <c r="E1198" s="68" t="s">
        <v>304</v>
      </c>
      <c r="F1198" s="80" t="s">
        <v>3073</v>
      </c>
    </row>
    <row r="1199" customFormat="false" ht="15" hidden="false" customHeight="false" outlineLevel="0" collapsed="false">
      <c r="A1199" s="68" t="s">
        <v>3071</v>
      </c>
      <c r="B1199" s="68" t="n">
        <v>122</v>
      </c>
      <c r="C1199" s="68" t="s">
        <v>2383</v>
      </c>
      <c r="D1199" s="68" t="s">
        <v>2628</v>
      </c>
      <c r="E1199" s="68" t="s">
        <v>123</v>
      </c>
      <c r="F1199" s="80" t="s">
        <v>3053</v>
      </c>
    </row>
    <row r="1200" customFormat="false" ht="43.25" hidden="false" customHeight="false" outlineLevel="0" collapsed="false">
      <c r="A1200" s="68" t="s">
        <v>3074</v>
      </c>
      <c r="B1200" s="68" t="n">
        <v>123</v>
      </c>
      <c r="C1200" s="68" t="s">
        <v>2253</v>
      </c>
      <c r="D1200" s="68" t="s">
        <v>2628</v>
      </c>
      <c r="E1200" s="68" t="s">
        <v>48</v>
      </c>
      <c r="F1200" s="80" t="s">
        <v>2667</v>
      </c>
    </row>
    <row r="1201" customFormat="false" ht="22.35" hidden="false" customHeight="false" outlineLevel="0" collapsed="false">
      <c r="A1201" s="68" t="s">
        <v>3074</v>
      </c>
      <c r="B1201" s="68" t="n">
        <v>123</v>
      </c>
      <c r="C1201" s="68" t="s">
        <v>2260</v>
      </c>
      <c r="D1201" s="68" t="s">
        <v>2628</v>
      </c>
      <c r="E1201" s="68" t="s">
        <v>123</v>
      </c>
      <c r="F1201" s="80" t="s">
        <v>2630</v>
      </c>
    </row>
    <row r="1202" customFormat="false" ht="15" hidden="false" customHeight="false" outlineLevel="0" collapsed="false">
      <c r="A1202" s="68" t="s">
        <v>3074</v>
      </c>
      <c r="B1202" s="68" t="n">
        <v>123</v>
      </c>
      <c r="C1202" s="68" t="s">
        <v>2266</v>
      </c>
      <c r="D1202" s="68" t="s">
        <v>2628</v>
      </c>
      <c r="E1202" s="68" t="s">
        <v>123</v>
      </c>
      <c r="F1202" s="80" t="s">
        <v>2631</v>
      </c>
    </row>
    <row r="1203" customFormat="false" ht="15" hidden="false" customHeight="false" outlineLevel="0" collapsed="false">
      <c r="A1203" s="68" t="s">
        <v>3074</v>
      </c>
      <c r="B1203" s="68" t="n">
        <v>123</v>
      </c>
      <c r="C1203" s="68" t="s">
        <v>2276</v>
      </c>
      <c r="D1203" s="68" t="s">
        <v>2632</v>
      </c>
      <c r="E1203" s="68" t="n">
        <v>41</v>
      </c>
      <c r="F1203" s="80" t="s">
        <v>3075</v>
      </c>
    </row>
    <row r="1204" customFormat="false" ht="15" hidden="false" customHeight="false" outlineLevel="0" collapsed="false">
      <c r="A1204" s="68" t="s">
        <v>3074</v>
      </c>
      <c r="B1204" s="68" t="n">
        <v>123</v>
      </c>
      <c r="C1204" s="68" t="s">
        <v>2324</v>
      </c>
      <c r="D1204" s="68" t="s">
        <v>2632</v>
      </c>
      <c r="E1204" s="68" t="s">
        <v>304</v>
      </c>
      <c r="F1204" s="80" t="s">
        <v>3076</v>
      </c>
    </row>
    <row r="1205" customFormat="false" ht="15" hidden="false" customHeight="false" outlineLevel="0" collapsed="false">
      <c r="A1205" s="68" t="s">
        <v>3074</v>
      </c>
      <c r="B1205" s="68" t="n">
        <v>123</v>
      </c>
      <c r="C1205" s="68" t="s">
        <v>2383</v>
      </c>
      <c r="D1205" s="68" t="s">
        <v>2628</v>
      </c>
      <c r="E1205" s="68" t="s">
        <v>123</v>
      </c>
      <c r="F1205" s="80" t="s">
        <v>3053</v>
      </c>
    </row>
    <row r="1206" customFormat="false" ht="22.35" hidden="false" customHeight="false" outlineLevel="0" collapsed="false">
      <c r="A1206" s="68" t="s">
        <v>3077</v>
      </c>
      <c r="B1206" s="68" t="n">
        <v>124</v>
      </c>
      <c r="C1206" s="68" t="s">
        <v>2253</v>
      </c>
      <c r="D1206" s="68" t="s">
        <v>2628</v>
      </c>
      <c r="E1206" s="68" t="s">
        <v>54</v>
      </c>
      <c r="F1206" s="80" t="s">
        <v>2672</v>
      </c>
    </row>
    <row r="1207" customFormat="false" ht="22.35" hidden="false" customHeight="false" outlineLevel="0" collapsed="false">
      <c r="A1207" s="68" t="s">
        <v>3077</v>
      </c>
      <c r="B1207" s="68" t="n">
        <v>124</v>
      </c>
      <c r="C1207" s="68" t="s">
        <v>2260</v>
      </c>
      <c r="D1207" s="68" t="s">
        <v>2628</v>
      </c>
      <c r="E1207" s="68" t="s">
        <v>123</v>
      </c>
      <c r="F1207" s="80" t="s">
        <v>2630</v>
      </c>
    </row>
    <row r="1208" customFormat="false" ht="15" hidden="false" customHeight="false" outlineLevel="0" collapsed="false">
      <c r="A1208" s="68" t="s">
        <v>3077</v>
      </c>
      <c r="B1208" s="68" t="n">
        <v>124</v>
      </c>
      <c r="C1208" s="68" t="s">
        <v>2266</v>
      </c>
      <c r="D1208" s="68" t="s">
        <v>2628</v>
      </c>
      <c r="E1208" s="68" t="s">
        <v>123</v>
      </c>
      <c r="F1208" s="80" t="s">
        <v>2631</v>
      </c>
    </row>
    <row r="1209" customFormat="false" ht="15" hidden="false" customHeight="false" outlineLevel="0" collapsed="false">
      <c r="A1209" s="68" t="s">
        <v>3077</v>
      </c>
      <c r="B1209" s="68" t="n">
        <v>124</v>
      </c>
      <c r="C1209" s="68" t="s">
        <v>2276</v>
      </c>
      <c r="D1209" s="68" t="s">
        <v>2632</v>
      </c>
      <c r="E1209" s="68" t="n">
        <v>120</v>
      </c>
      <c r="F1209" s="80" t="s">
        <v>3078</v>
      </c>
    </row>
    <row r="1210" customFormat="false" ht="15" hidden="false" customHeight="false" outlineLevel="0" collapsed="false">
      <c r="A1210" s="68" t="s">
        <v>3077</v>
      </c>
      <c r="B1210" s="68" t="n">
        <v>124</v>
      </c>
      <c r="C1210" s="68" t="s">
        <v>2324</v>
      </c>
      <c r="D1210" s="68" t="s">
        <v>2632</v>
      </c>
      <c r="E1210" s="68" t="s">
        <v>304</v>
      </c>
      <c r="F1210" s="80" t="s">
        <v>3079</v>
      </c>
    </row>
    <row r="1211" customFormat="false" ht="15" hidden="false" customHeight="false" outlineLevel="0" collapsed="false">
      <c r="A1211" s="68" t="s">
        <v>3077</v>
      </c>
      <c r="B1211" s="68" t="n">
        <v>124</v>
      </c>
      <c r="C1211" s="68" t="s">
        <v>2337</v>
      </c>
      <c r="D1211" s="68" t="s">
        <v>2696</v>
      </c>
      <c r="E1211" s="68" t="s">
        <v>306</v>
      </c>
      <c r="F1211" s="80" t="s">
        <v>2698</v>
      </c>
    </row>
    <row r="1212" customFormat="false" ht="15" hidden="false" customHeight="false" outlineLevel="0" collapsed="false">
      <c r="A1212" s="68" t="s">
        <v>3077</v>
      </c>
      <c r="B1212" s="68" t="n">
        <v>124</v>
      </c>
      <c r="C1212" s="68" t="s">
        <v>2383</v>
      </c>
      <c r="D1212" s="68" t="s">
        <v>2628</v>
      </c>
      <c r="E1212" s="68" t="s">
        <v>123</v>
      </c>
      <c r="F1212" s="80" t="s">
        <v>3053</v>
      </c>
    </row>
    <row r="1213" customFormat="false" ht="22.35" hidden="false" customHeight="false" outlineLevel="0" collapsed="false">
      <c r="A1213" s="68" t="s">
        <v>3080</v>
      </c>
      <c r="B1213" s="68" t="n">
        <v>125</v>
      </c>
      <c r="C1213" s="68" t="s">
        <v>2253</v>
      </c>
      <c r="D1213" s="68" t="s">
        <v>2628</v>
      </c>
      <c r="E1213" s="68" t="s">
        <v>57</v>
      </c>
      <c r="F1213" s="80" t="s">
        <v>2677</v>
      </c>
    </row>
    <row r="1214" customFormat="false" ht="22.35" hidden="false" customHeight="false" outlineLevel="0" collapsed="false">
      <c r="A1214" s="68" t="s">
        <v>3080</v>
      </c>
      <c r="B1214" s="68" t="n">
        <v>125</v>
      </c>
      <c r="C1214" s="68" t="s">
        <v>2260</v>
      </c>
      <c r="D1214" s="68" t="s">
        <v>2628</v>
      </c>
      <c r="E1214" s="68" t="s">
        <v>192</v>
      </c>
      <c r="F1214" s="80" t="s">
        <v>2678</v>
      </c>
    </row>
    <row r="1215" customFormat="false" ht="15" hidden="false" customHeight="false" outlineLevel="0" collapsed="false">
      <c r="A1215" s="68" t="s">
        <v>3080</v>
      </c>
      <c r="B1215" s="68" t="n">
        <v>125</v>
      </c>
      <c r="C1215" s="68" t="s">
        <v>2266</v>
      </c>
      <c r="D1215" s="68" t="s">
        <v>2628</v>
      </c>
      <c r="E1215" s="68" t="s">
        <v>123</v>
      </c>
      <c r="F1215" s="80" t="s">
        <v>2631</v>
      </c>
    </row>
    <row r="1216" customFormat="false" ht="15" hidden="false" customHeight="false" outlineLevel="0" collapsed="false">
      <c r="A1216" s="68" t="s">
        <v>3080</v>
      </c>
      <c r="B1216" s="68" t="n">
        <v>125</v>
      </c>
      <c r="C1216" s="68" t="s">
        <v>2276</v>
      </c>
      <c r="D1216" s="68" t="s">
        <v>2632</v>
      </c>
      <c r="E1216" s="68" t="n">
        <v>27.2</v>
      </c>
      <c r="F1216" s="80" t="s">
        <v>3081</v>
      </c>
    </row>
    <row r="1217" customFormat="false" ht="15" hidden="false" customHeight="false" outlineLevel="0" collapsed="false">
      <c r="A1217" s="68" t="s">
        <v>3080</v>
      </c>
      <c r="B1217" s="68" t="n">
        <v>125</v>
      </c>
      <c r="C1217" s="68" t="s">
        <v>2383</v>
      </c>
      <c r="D1217" s="68" t="s">
        <v>2628</v>
      </c>
      <c r="E1217" s="68" t="s">
        <v>123</v>
      </c>
      <c r="F1217" s="80" t="s">
        <v>3053</v>
      </c>
    </row>
    <row r="1218" customFormat="false" ht="22.35" hidden="false" customHeight="false" outlineLevel="0" collapsed="false">
      <c r="A1218" s="68" t="s">
        <v>3082</v>
      </c>
      <c r="B1218" s="68" t="n">
        <v>126</v>
      </c>
      <c r="C1218" s="68" t="s">
        <v>2253</v>
      </c>
      <c r="D1218" s="68" t="s">
        <v>2628</v>
      </c>
      <c r="E1218" s="68" t="s">
        <v>57</v>
      </c>
      <c r="F1218" s="80" t="s">
        <v>2677</v>
      </c>
    </row>
    <row r="1219" customFormat="false" ht="22.35" hidden="false" customHeight="false" outlineLevel="0" collapsed="false">
      <c r="A1219" s="68" t="s">
        <v>3082</v>
      </c>
      <c r="B1219" s="68" t="n">
        <v>126</v>
      </c>
      <c r="C1219" s="68" t="s">
        <v>2260</v>
      </c>
      <c r="D1219" s="68" t="s">
        <v>2628</v>
      </c>
      <c r="E1219" s="68" t="s">
        <v>192</v>
      </c>
      <c r="F1219" s="80" t="s">
        <v>2678</v>
      </c>
    </row>
    <row r="1220" customFormat="false" ht="15" hidden="false" customHeight="false" outlineLevel="0" collapsed="false">
      <c r="A1220" s="68" t="s">
        <v>3082</v>
      </c>
      <c r="B1220" s="68" t="n">
        <v>126</v>
      </c>
      <c r="C1220" s="68" t="s">
        <v>2266</v>
      </c>
      <c r="D1220" s="68" t="s">
        <v>2628</v>
      </c>
      <c r="E1220" s="68" t="s">
        <v>123</v>
      </c>
      <c r="F1220" s="80" t="s">
        <v>2631</v>
      </c>
    </row>
    <row r="1221" customFormat="false" ht="15" hidden="false" customHeight="false" outlineLevel="0" collapsed="false">
      <c r="A1221" s="68" t="s">
        <v>3082</v>
      </c>
      <c r="B1221" s="68" t="n">
        <v>126</v>
      </c>
      <c r="C1221" s="68" t="s">
        <v>2276</v>
      </c>
      <c r="D1221" s="68" t="s">
        <v>2632</v>
      </c>
      <c r="E1221" s="68" t="n">
        <v>40.8</v>
      </c>
      <c r="F1221" s="80" t="s">
        <v>3083</v>
      </c>
    </row>
    <row r="1222" customFormat="false" ht="15" hidden="false" customHeight="false" outlineLevel="0" collapsed="false">
      <c r="A1222" s="68" t="s">
        <v>3082</v>
      </c>
      <c r="B1222" s="68" t="n">
        <v>126</v>
      </c>
      <c r="C1222" s="68" t="s">
        <v>2280</v>
      </c>
      <c r="D1222" s="68" t="s">
        <v>2632</v>
      </c>
      <c r="E1222" s="68" t="n">
        <v>0.83</v>
      </c>
      <c r="F1222" s="80" t="s">
        <v>3084</v>
      </c>
    </row>
    <row r="1223" customFormat="false" ht="15" hidden="false" customHeight="false" outlineLevel="0" collapsed="false">
      <c r="A1223" s="68" t="s">
        <v>3082</v>
      </c>
      <c r="B1223" s="68" t="n">
        <v>126</v>
      </c>
      <c r="C1223" s="68" t="s">
        <v>2324</v>
      </c>
      <c r="D1223" s="68" t="s">
        <v>2632</v>
      </c>
      <c r="E1223" s="68" t="s">
        <v>304</v>
      </c>
      <c r="F1223" s="80" t="s">
        <v>3085</v>
      </c>
    </row>
    <row r="1224" customFormat="false" ht="15" hidden="false" customHeight="false" outlineLevel="0" collapsed="false">
      <c r="A1224" s="68" t="s">
        <v>3082</v>
      </c>
      <c r="B1224" s="68" t="n">
        <v>126</v>
      </c>
      <c r="C1224" s="68" t="s">
        <v>2383</v>
      </c>
      <c r="D1224" s="68" t="s">
        <v>2628</v>
      </c>
      <c r="E1224" s="68" t="s">
        <v>123</v>
      </c>
      <c r="F1224" s="80" t="s">
        <v>3053</v>
      </c>
    </row>
    <row r="1225" customFormat="false" ht="22.35" hidden="false" customHeight="false" outlineLevel="0" collapsed="false">
      <c r="A1225" s="68" t="s">
        <v>3086</v>
      </c>
      <c r="B1225" s="68" t="n">
        <v>127</v>
      </c>
      <c r="C1225" s="68" t="s">
        <v>2253</v>
      </c>
      <c r="D1225" s="68" t="s">
        <v>2628</v>
      </c>
      <c r="E1225" s="68" t="s">
        <v>48</v>
      </c>
      <c r="F1225" s="80" t="s">
        <v>2653</v>
      </c>
    </row>
    <row r="1226" customFormat="false" ht="22.35" hidden="false" customHeight="false" outlineLevel="0" collapsed="false">
      <c r="A1226" s="68" t="s">
        <v>3086</v>
      </c>
      <c r="B1226" s="68" t="n">
        <v>127</v>
      </c>
      <c r="C1226" s="68" t="s">
        <v>2260</v>
      </c>
      <c r="D1226" s="68" t="s">
        <v>2628</v>
      </c>
      <c r="E1226" s="68" t="s">
        <v>123</v>
      </c>
      <c r="F1226" s="80" t="s">
        <v>2630</v>
      </c>
    </row>
    <row r="1227" customFormat="false" ht="15" hidden="false" customHeight="false" outlineLevel="0" collapsed="false">
      <c r="A1227" s="68" t="s">
        <v>3086</v>
      </c>
      <c r="B1227" s="68" t="n">
        <v>127</v>
      </c>
      <c r="C1227" s="68" t="s">
        <v>2266</v>
      </c>
      <c r="D1227" s="68" t="s">
        <v>2628</v>
      </c>
      <c r="E1227" s="68" t="s">
        <v>123</v>
      </c>
      <c r="F1227" s="80" t="s">
        <v>2631</v>
      </c>
    </row>
    <row r="1228" customFormat="false" ht="15" hidden="false" customHeight="false" outlineLevel="0" collapsed="false">
      <c r="A1228" s="68" t="s">
        <v>3086</v>
      </c>
      <c r="B1228" s="68" t="n">
        <v>127</v>
      </c>
      <c r="C1228" s="68" t="s">
        <v>2324</v>
      </c>
      <c r="D1228" s="68" t="s">
        <v>2632</v>
      </c>
      <c r="E1228" s="68" t="s">
        <v>304</v>
      </c>
      <c r="F1228" s="80" t="s">
        <v>3087</v>
      </c>
    </row>
    <row r="1229" customFormat="false" ht="15" hidden="false" customHeight="false" outlineLevel="0" collapsed="false">
      <c r="A1229" s="68" t="s">
        <v>3086</v>
      </c>
      <c r="B1229" s="68" t="n">
        <v>127</v>
      </c>
      <c r="C1229" s="68" t="s">
        <v>2383</v>
      </c>
      <c r="D1229" s="68" t="s">
        <v>2628</v>
      </c>
      <c r="E1229" s="68" t="s">
        <v>123</v>
      </c>
      <c r="F1229" s="80" t="s">
        <v>3053</v>
      </c>
    </row>
    <row r="1230" customFormat="false" ht="22.35" hidden="false" customHeight="false" outlineLevel="0" collapsed="false">
      <c r="A1230" s="68" t="s">
        <v>3088</v>
      </c>
      <c r="B1230" s="68" t="n">
        <v>128</v>
      </c>
      <c r="C1230" s="68" t="s">
        <v>2253</v>
      </c>
      <c r="D1230" s="68" t="s">
        <v>2628</v>
      </c>
      <c r="E1230" s="68" t="s">
        <v>54</v>
      </c>
      <c r="F1230" s="80" t="s">
        <v>2672</v>
      </c>
    </row>
    <row r="1231" customFormat="false" ht="22.35" hidden="false" customHeight="false" outlineLevel="0" collapsed="false">
      <c r="A1231" s="68" t="s">
        <v>3088</v>
      </c>
      <c r="B1231" s="68" t="n">
        <v>128</v>
      </c>
      <c r="C1231" s="68" t="s">
        <v>2260</v>
      </c>
      <c r="D1231" s="68" t="s">
        <v>2628</v>
      </c>
      <c r="E1231" s="68" t="s">
        <v>123</v>
      </c>
      <c r="F1231" s="80" t="s">
        <v>2630</v>
      </c>
    </row>
    <row r="1232" customFormat="false" ht="15" hidden="false" customHeight="false" outlineLevel="0" collapsed="false">
      <c r="A1232" s="68" t="s">
        <v>3088</v>
      </c>
      <c r="B1232" s="68" t="n">
        <v>128</v>
      </c>
      <c r="C1232" s="68" t="s">
        <v>2266</v>
      </c>
      <c r="D1232" s="68" t="s">
        <v>2628</v>
      </c>
      <c r="E1232" s="68" t="s">
        <v>123</v>
      </c>
      <c r="F1232" s="80" t="s">
        <v>2631</v>
      </c>
    </row>
    <row r="1233" customFormat="false" ht="15" hidden="false" customHeight="false" outlineLevel="0" collapsed="false">
      <c r="A1233" s="68" t="s">
        <v>3088</v>
      </c>
      <c r="B1233" s="68" t="n">
        <v>128</v>
      </c>
      <c r="C1233" s="68" t="s">
        <v>2324</v>
      </c>
      <c r="D1233" s="68" t="s">
        <v>2632</v>
      </c>
      <c r="E1233" s="68" t="s">
        <v>304</v>
      </c>
      <c r="F1233" s="80" t="s">
        <v>3089</v>
      </c>
    </row>
    <row r="1234" customFormat="false" ht="15" hidden="false" customHeight="false" outlineLevel="0" collapsed="false">
      <c r="A1234" s="68" t="s">
        <v>3088</v>
      </c>
      <c r="B1234" s="68" t="n">
        <v>128</v>
      </c>
      <c r="C1234" s="68" t="s">
        <v>2383</v>
      </c>
      <c r="D1234" s="68" t="s">
        <v>2628</v>
      </c>
      <c r="E1234" s="68" t="s">
        <v>123</v>
      </c>
      <c r="F1234" s="80" t="s">
        <v>3053</v>
      </c>
    </row>
    <row r="1235" customFormat="false" ht="22.35" hidden="false" customHeight="false" outlineLevel="0" collapsed="false">
      <c r="A1235" s="68" t="s">
        <v>3090</v>
      </c>
      <c r="B1235" s="68" t="n">
        <v>129</v>
      </c>
      <c r="C1235" s="68" t="s">
        <v>2253</v>
      </c>
      <c r="D1235" s="68" t="s">
        <v>2628</v>
      </c>
      <c r="E1235" s="68" t="s">
        <v>45</v>
      </c>
      <c r="F1235" s="80" t="s">
        <v>2629</v>
      </c>
    </row>
    <row r="1236" customFormat="false" ht="22.35" hidden="false" customHeight="false" outlineLevel="0" collapsed="false">
      <c r="A1236" s="68" t="s">
        <v>3090</v>
      </c>
      <c r="B1236" s="68" t="n">
        <v>129</v>
      </c>
      <c r="C1236" s="68" t="s">
        <v>2260</v>
      </c>
      <c r="D1236" s="68" t="s">
        <v>2628</v>
      </c>
      <c r="E1236" s="68" t="s">
        <v>177</v>
      </c>
      <c r="F1236" s="80" t="s">
        <v>2996</v>
      </c>
    </row>
    <row r="1237" customFormat="false" ht="32.8" hidden="false" customHeight="false" outlineLevel="0" collapsed="false">
      <c r="A1237" s="68" t="s">
        <v>3090</v>
      </c>
      <c r="B1237" s="68" t="n">
        <v>129</v>
      </c>
      <c r="C1237" s="68" t="s">
        <v>2266</v>
      </c>
      <c r="D1237" s="68" t="s">
        <v>2628</v>
      </c>
      <c r="E1237" s="68" t="s">
        <v>111</v>
      </c>
      <c r="F1237" s="80" t="s">
        <v>2809</v>
      </c>
    </row>
    <row r="1238" customFormat="false" ht="15" hidden="false" customHeight="false" outlineLevel="0" collapsed="false">
      <c r="A1238" s="68" t="s">
        <v>3090</v>
      </c>
      <c r="B1238" s="68" t="n">
        <v>129</v>
      </c>
      <c r="C1238" s="68" t="s">
        <v>2300</v>
      </c>
      <c r="D1238" s="68" t="s">
        <v>2632</v>
      </c>
      <c r="E1238" s="68" t="s">
        <v>479</v>
      </c>
      <c r="F1238" s="80" t="s">
        <v>2810</v>
      </c>
    </row>
    <row r="1239" customFormat="false" ht="15" hidden="false" customHeight="false" outlineLevel="0" collapsed="false">
      <c r="A1239" s="68" t="s">
        <v>3090</v>
      </c>
      <c r="B1239" s="68" t="n">
        <v>129</v>
      </c>
      <c r="C1239" s="68" t="s">
        <v>2304</v>
      </c>
      <c r="D1239" s="68" t="s">
        <v>2632</v>
      </c>
      <c r="E1239" s="68" t="s">
        <v>369</v>
      </c>
      <c r="F1239" s="80" t="s">
        <v>2997</v>
      </c>
    </row>
    <row r="1240" customFormat="false" ht="15" hidden="false" customHeight="false" outlineLevel="0" collapsed="false">
      <c r="A1240" s="68" t="s">
        <v>3090</v>
      </c>
      <c r="B1240" s="68" t="n">
        <v>129</v>
      </c>
      <c r="C1240" s="68" t="s">
        <v>2324</v>
      </c>
      <c r="D1240" s="68" t="s">
        <v>2696</v>
      </c>
      <c r="E1240" s="68" t="s">
        <v>304</v>
      </c>
      <c r="F1240" s="80" t="s">
        <v>2812</v>
      </c>
    </row>
    <row r="1241" customFormat="false" ht="15" hidden="false" customHeight="false" outlineLevel="0" collapsed="false">
      <c r="A1241" s="68" t="s">
        <v>3090</v>
      </c>
      <c r="B1241" s="68" t="n">
        <v>129</v>
      </c>
      <c r="C1241" s="68" t="s">
        <v>2351</v>
      </c>
      <c r="D1241" s="68" t="s">
        <v>2632</v>
      </c>
      <c r="E1241" s="68" t="n">
        <v>1393</v>
      </c>
      <c r="F1241" s="80" t="s">
        <v>3022</v>
      </c>
    </row>
    <row r="1242" customFormat="false" ht="15" hidden="false" customHeight="false" outlineLevel="0" collapsed="false">
      <c r="A1242" s="68" t="s">
        <v>3090</v>
      </c>
      <c r="B1242" s="68" t="n">
        <v>129</v>
      </c>
      <c r="C1242" s="68" t="s">
        <v>2357</v>
      </c>
      <c r="D1242" s="68" t="s">
        <v>2632</v>
      </c>
      <c r="E1242" s="68" t="s">
        <v>363</v>
      </c>
      <c r="F1242" s="80" t="s">
        <v>3091</v>
      </c>
    </row>
    <row r="1243" customFormat="false" ht="15" hidden="false" customHeight="false" outlineLevel="0" collapsed="false">
      <c r="A1243" s="68" t="s">
        <v>3090</v>
      </c>
      <c r="B1243" s="68" t="n">
        <v>129</v>
      </c>
      <c r="C1243" s="68" t="s">
        <v>2362</v>
      </c>
      <c r="D1243" s="68" t="s">
        <v>2632</v>
      </c>
      <c r="E1243" s="68" t="n">
        <v>75000</v>
      </c>
      <c r="F1243" s="80" t="s">
        <v>3092</v>
      </c>
    </row>
    <row r="1244" customFormat="false" ht="22.35" hidden="false" customHeight="false" outlineLevel="0" collapsed="false">
      <c r="A1244" s="68" t="s">
        <v>3090</v>
      </c>
      <c r="B1244" s="68" t="n">
        <v>129</v>
      </c>
      <c r="C1244" s="68" t="s">
        <v>2383</v>
      </c>
      <c r="D1244" s="68" t="s">
        <v>2628</v>
      </c>
      <c r="E1244" s="68" t="s">
        <v>208</v>
      </c>
      <c r="F1244" s="80" t="s">
        <v>3024</v>
      </c>
    </row>
    <row r="1245" customFormat="false" ht="22.35" hidden="false" customHeight="false" outlineLevel="0" collapsed="false">
      <c r="A1245" s="68" t="s">
        <v>3093</v>
      </c>
      <c r="B1245" s="68" t="n">
        <v>130</v>
      </c>
      <c r="C1245" s="68" t="s">
        <v>2253</v>
      </c>
      <c r="D1245" s="68" t="s">
        <v>2628</v>
      </c>
      <c r="E1245" s="68" t="s">
        <v>48</v>
      </c>
      <c r="F1245" s="80" t="s">
        <v>2653</v>
      </c>
    </row>
    <row r="1246" customFormat="false" ht="22.35" hidden="false" customHeight="false" outlineLevel="0" collapsed="false">
      <c r="A1246" s="68" t="s">
        <v>3093</v>
      </c>
      <c r="B1246" s="68" t="n">
        <v>130</v>
      </c>
      <c r="C1246" s="68" t="s">
        <v>2260</v>
      </c>
      <c r="D1246" s="68" t="s">
        <v>2628</v>
      </c>
      <c r="E1246" s="68" t="s">
        <v>192</v>
      </c>
      <c r="F1246" s="80" t="s">
        <v>2678</v>
      </c>
    </row>
    <row r="1247" customFormat="false" ht="32.8" hidden="false" customHeight="false" outlineLevel="0" collapsed="false">
      <c r="A1247" s="68" t="s">
        <v>3093</v>
      </c>
      <c r="B1247" s="68" t="n">
        <v>130</v>
      </c>
      <c r="C1247" s="68" t="s">
        <v>2266</v>
      </c>
      <c r="D1247" s="68" t="s">
        <v>2628</v>
      </c>
      <c r="E1247" s="68" t="s">
        <v>74</v>
      </c>
      <c r="F1247" s="80" t="s">
        <v>2943</v>
      </c>
    </row>
    <row r="1248" customFormat="false" ht="15" hidden="false" customHeight="false" outlineLevel="0" collapsed="false">
      <c r="A1248" s="68" t="s">
        <v>3093</v>
      </c>
      <c r="B1248" s="68" t="n">
        <v>130</v>
      </c>
      <c r="C1248" s="68" t="s">
        <v>2300</v>
      </c>
      <c r="D1248" s="68" t="s">
        <v>2632</v>
      </c>
      <c r="E1248" s="68" t="s">
        <v>624</v>
      </c>
      <c r="F1248" s="80" t="s">
        <v>2944</v>
      </c>
    </row>
    <row r="1249" customFormat="false" ht="22.35" hidden="false" customHeight="false" outlineLevel="0" collapsed="false">
      <c r="A1249" s="68" t="s">
        <v>3093</v>
      </c>
      <c r="B1249" s="68" t="n">
        <v>130</v>
      </c>
      <c r="C1249" s="68" t="s">
        <v>2304</v>
      </c>
      <c r="D1249" s="68" t="s">
        <v>2696</v>
      </c>
      <c r="E1249" s="68" t="s">
        <v>312</v>
      </c>
      <c r="F1249" s="80" t="s">
        <v>3001</v>
      </c>
    </row>
    <row r="1250" customFormat="false" ht="15" hidden="false" customHeight="false" outlineLevel="0" collapsed="false">
      <c r="A1250" s="68" t="s">
        <v>3093</v>
      </c>
      <c r="B1250" s="68" t="n">
        <v>130</v>
      </c>
      <c r="C1250" s="68" t="s">
        <v>2324</v>
      </c>
      <c r="D1250" s="68" t="s">
        <v>2696</v>
      </c>
      <c r="E1250" s="68" t="s">
        <v>304</v>
      </c>
      <c r="F1250" s="80" t="s">
        <v>2812</v>
      </c>
    </row>
    <row r="1251" customFormat="false" ht="15" hidden="false" customHeight="false" outlineLevel="0" collapsed="false">
      <c r="A1251" s="68" t="s">
        <v>3093</v>
      </c>
      <c r="B1251" s="68" t="n">
        <v>130</v>
      </c>
      <c r="C1251" s="68" t="s">
        <v>2351</v>
      </c>
      <c r="D1251" s="68" t="s">
        <v>2632</v>
      </c>
      <c r="E1251" s="68" t="n">
        <v>1393</v>
      </c>
      <c r="F1251" s="80" t="s">
        <v>3022</v>
      </c>
    </row>
    <row r="1252" customFormat="false" ht="15" hidden="false" customHeight="false" outlineLevel="0" collapsed="false">
      <c r="A1252" s="68" t="s">
        <v>3093</v>
      </c>
      <c r="B1252" s="68" t="n">
        <v>130</v>
      </c>
      <c r="C1252" s="68" t="s">
        <v>2357</v>
      </c>
      <c r="D1252" s="68" t="s">
        <v>2632</v>
      </c>
      <c r="E1252" s="68" t="s">
        <v>363</v>
      </c>
      <c r="F1252" s="80" t="s">
        <v>3094</v>
      </c>
    </row>
    <row r="1253" customFormat="false" ht="15" hidden="false" customHeight="false" outlineLevel="0" collapsed="false">
      <c r="A1253" s="68" t="s">
        <v>3093</v>
      </c>
      <c r="B1253" s="68" t="n">
        <v>130</v>
      </c>
      <c r="C1253" s="68" t="s">
        <v>2362</v>
      </c>
      <c r="D1253" s="68" t="s">
        <v>2632</v>
      </c>
      <c r="E1253" s="68" t="n">
        <v>10000</v>
      </c>
      <c r="F1253" s="80" t="s">
        <v>3095</v>
      </c>
    </row>
    <row r="1254" customFormat="false" ht="22.35" hidden="false" customHeight="false" outlineLevel="0" collapsed="false">
      <c r="A1254" s="68" t="s">
        <v>3093</v>
      </c>
      <c r="B1254" s="68" t="n">
        <v>130</v>
      </c>
      <c r="C1254" s="68" t="s">
        <v>2383</v>
      </c>
      <c r="D1254" s="68" t="s">
        <v>2628</v>
      </c>
      <c r="E1254" s="68" t="s">
        <v>208</v>
      </c>
      <c r="F1254" s="80" t="s">
        <v>3024</v>
      </c>
    </row>
    <row r="1255" customFormat="false" ht="22.35" hidden="false" customHeight="false" outlineLevel="0" collapsed="false">
      <c r="A1255" s="68" t="s">
        <v>3096</v>
      </c>
      <c r="B1255" s="68" t="n">
        <v>131</v>
      </c>
      <c r="C1255" s="68" t="s">
        <v>2253</v>
      </c>
      <c r="D1255" s="68" t="s">
        <v>2628</v>
      </c>
      <c r="E1255" s="68" t="s">
        <v>48</v>
      </c>
      <c r="F1255" s="80" t="s">
        <v>2653</v>
      </c>
    </row>
    <row r="1256" customFormat="false" ht="22.35" hidden="false" customHeight="false" outlineLevel="0" collapsed="false">
      <c r="A1256" s="68" t="s">
        <v>3096</v>
      </c>
      <c r="B1256" s="68" t="n">
        <v>131</v>
      </c>
      <c r="C1256" s="68" t="s">
        <v>2260</v>
      </c>
      <c r="D1256" s="68" t="s">
        <v>2628</v>
      </c>
      <c r="E1256" s="68" t="s">
        <v>132</v>
      </c>
      <c r="F1256" s="80" t="s">
        <v>2808</v>
      </c>
    </row>
    <row r="1257" customFormat="false" ht="32.8" hidden="false" customHeight="false" outlineLevel="0" collapsed="false">
      <c r="A1257" s="68" t="s">
        <v>3096</v>
      </c>
      <c r="B1257" s="68" t="n">
        <v>131</v>
      </c>
      <c r="C1257" s="68" t="s">
        <v>2266</v>
      </c>
      <c r="D1257" s="68" t="s">
        <v>2628</v>
      </c>
      <c r="E1257" s="68" t="s">
        <v>74</v>
      </c>
      <c r="F1257" s="80" t="s">
        <v>2943</v>
      </c>
    </row>
    <row r="1258" customFormat="false" ht="15" hidden="false" customHeight="false" outlineLevel="0" collapsed="false">
      <c r="A1258" s="68" t="s">
        <v>3096</v>
      </c>
      <c r="B1258" s="68" t="n">
        <v>131</v>
      </c>
      <c r="C1258" s="68" t="s">
        <v>2300</v>
      </c>
      <c r="D1258" s="68" t="s">
        <v>2632</v>
      </c>
      <c r="E1258" s="68" t="s">
        <v>479</v>
      </c>
      <c r="F1258" s="80" t="s">
        <v>2810</v>
      </c>
    </row>
    <row r="1259" customFormat="false" ht="22.35" hidden="false" customHeight="false" outlineLevel="0" collapsed="false">
      <c r="A1259" s="68" t="s">
        <v>3096</v>
      </c>
      <c r="B1259" s="68" t="n">
        <v>131</v>
      </c>
      <c r="C1259" s="68" t="s">
        <v>2304</v>
      </c>
      <c r="D1259" s="68" t="s">
        <v>2696</v>
      </c>
      <c r="E1259" s="68" t="s">
        <v>312</v>
      </c>
      <c r="F1259" s="80" t="s">
        <v>3003</v>
      </c>
    </row>
    <row r="1260" customFormat="false" ht="15" hidden="false" customHeight="false" outlineLevel="0" collapsed="false">
      <c r="A1260" s="68" t="s">
        <v>3096</v>
      </c>
      <c r="B1260" s="68" t="n">
        <v>131</v>
      </c>
      <c r="C1260" s="68" t="s">
        <v>2324</v>
      </c>
      <c r="D1260" s="68" t="s">
        <v>2696</v>
      </c>
      <c r="E1260" s="68" t="s">
        <v>304</v>
      </c>
      <c r="F1260" s="80" t="s">
        <v>2812</v>
      </c>
    </row>
    <row r="1261" customFormat="false" ht="15" hidden="false" customHeight="false" outlineLevel="0" collapsed="false">
      <c r="A1261" s="68" t="s">
        <v>3096</v>
      </c>
      <c r="B1261" s="68" t="n">
        <v>131</v>
      </c>
      <c r="C1261" s="68" t="s">
        <v>2351</v>
      </c>
      <c r="D1261" s="68" t="s">
        <v>2632</v>
      </c>
      <c r="E1261" s="68" t="n">
        <v>1393</v>
      </c>
      <c r="F1261" s="80" t="s">
        <v>3022</v>
      </c>
    </row>
    <row r="1262" customFormat="false" ht="15" hidden="false" customHeight="false" outlineLevel="0" collapsed="false">
      <c r="A1262" s="68" t="s">
        <v>3096</v>
      </c>
      <c r="B1262" s="68" t="n">
        <v>131</v>
      </c>
      <c r="C1262" s="68" t="s">
        <v>2357</v>
      </c>
      <c r="D1262" s="68" t="s">
        <v>2632</v>
      </c>
      <c r="E1262" s="68" t="s">
        <v>363</v>
      </c>
      <c r="F1262" s="80" t="s">
        <v>3097</v>
      </c>
    </row>
    <row r="1263" customFormat="false" ht="15" hidden="false" customHeight="false" outlineLevel="0" collapsed="false">
      <c r="A1263" s="68" t="s">
        <v>3096</v>
      </c>
      <c r="B1263" s="68" t="n">
        <v>131</v>
      </c>
      <c r="C1263" s="68" t="s">
        <v>2362</v>
      </c>
      <c r="D1263" s="68" t="s">
        <v>2632</v>
      </c>
      <c r="E1263" s="68" t="n">
        <v>15000</v>
      </c>
      <c r="F1263" s="80" t="s">
        <v>3098</v>
      </c>
    </row>
    <row r="1264" customFormat="false" ht="22.35" hidden="false" customHeight="false" outlineLevel="0" collapsed="false">
      <c r="A1264" s="68" t="s">
        <v>3096</v>
      </c>
      <c r="B1264" s="68" t="n">
        <v>131</v>
      </c>
      <c r="C1264" s="68" t="s">
        <v>2383</v>
      </c>
      <c r="D1264" s="68" t="s">
        <v>2628</v>
      </c>
      <c r="E1264" s="68" t="s">
        <v>208</v>
      </c>
      <c r="F1264" s="80" t="s">
        <v>3024</v>
      </c>
    </row>
    <row r="1265" customFormat="false" ht="22.35" hidden="false" customHeight="false" outlineLevel="0" collapsed="false">
      <c r="A1265" s="68" t="s">
        <v>3099</v>
      </c>
      <c r="B1265" s="68" t="n">
        <v>132</v>
      </c>
      <c r="C1265" s="68" t="s">
        <v>2253</v>
      </c>
      <c r="D1265" s="68" t="s">
        <v>2628</v>
      </c>
      <c r="E1265" s="68" t="s">
        <v>48</v>
      </c>
      <c r="F1265" s="80" t="s">
        <v>2653</v>
      </c>
    </row>
    <row r="1266" customFormat="false" ht="22.35" hidden="false" customHeight="false" outlineLevel="0" collapsed="false">
      <c r="A1266" s="68" t="s">
        <v>3099</v>
      </c>
      <c r="B1266" s="68" t="n">
        <v>132</v>
      </c>
      <c r="C1266" s="68" t="s">
        <v>2260</v>
      </c>
      <c r="D1266" s="68" t="s">
        <v>2628</v>
      </c>
      <c r="E1266" s="68" t="s">
        <v>132</v>
      </c>
      <c r="F1266" s="80" t="s">
        <v>2808</v>
      </c>
    </row>
    <row r="1267" customFormat="false" ht="32.8" hidden="false" customHeight="false" outlineLevel="0" collapsed="false">
      <c r="A1267" s="68" t="s">
        <v>3099</v>
      </c>
      <c r="B1267" s="68" t="n">
        <v>132</v>
      </c>
      <c r="C1267" s="68" t="s">
        <v>2266</v>
      </c>
      <c r="D1267" s="68" t="s">
        <v>2628</v>
      </c>
      <c r="E1267" s="68" t="s">
        <v>74</v>
      </c>
      <c r="F1267" s="80" t="s">
        <v>2943</v>
      </c>
    </row>
    <row r="1268" customFormat="false" ht="15" hidden="false" customHeight="false" outlineLevel="0" collapsed="false">
      <c r="A1268" s="68" t="s">
        <v>3099</v>
      </c>
      <c r="B1268" s="68" t="n">
        <v>132</v>
      </c>
      <c r="C1268" s="68" t="s">
        <v>2300</v>
      </c>
      <c r="D1268" s="68" t="s">
        <v>2632</v>
      </c>
      <c r="E1268" s="68" t="s">
        <v>479</v>
      </c>
      <c r="F1268" s="80" t="s">
        <v>2810</v>
      </c>
    </row>
    <row r="1269" customFormat="false" ht="22.35" hidden="false" customHeight="false" outlineLevel="0" collapsed="false">
      <c r="A1269" s="68" t="s">
        <v>3099</v>
      </c>
      <c r="B1269" s="68" t="n">
        <v>132</v>
      </c>
      <c r="C1269" s="68" t="s">
        <v>2304</v>
      </c>
      <c r="D1269" s="68" t="s">
        <v>2696</v>
      </c>
      <c r="E1269" s="68" t="s">
        <v>312</v>
      </c>
      <c r="F1269" s="80" t="s">
        <v>3005</v>
      </c>
    </row>
    <row r="1270" customFormat="false" ht="15" hidden="false" customHeight="false" outlineLevel="0" collapsed="false">
      <c r="A1270" s="68" t="s">
        <v>3099</v>
      </c>
      <c r="B1270" s="68" t="n">
        <v>132</v>
      </c>
      <c r="C1270" s="68" t="s">
        <v>2324</v>
      </c>
      <c r="D1270" s="68" t="s">
        <v>2696</v>
      </c>
      <c r="E1270" s="68" t="s">
        <v>304</v>
      </c>
      <c r="F1270" s="80" t="s">
        <v>2812</v>
      </c>
    </row>
    <row r="1271" customFormat="false" ht="15" hidden="false" customHeight="false" outlineLevel="0" collapsed="false">
      <c r="A1271" s="68" t="s">
        <v>3099</v>
      </c>
      <c r="B1271" s="68" t="n">
        <v>132</v>
      </c>
      <c r="C1271" s="68" t="s">
        <v>2351</v>
      </c>
      <c r="D1271" s="68" t="s">
        <v>2632</v>
      </c>
      <c r="E1271" s="68" t="n">
        <v>1393</v>
      </c>
      <c r="F1271" s="80" t="s">
        <v>3022</v>
      </c>
    </row>
    <row r="1272" customFormat="false" ht="15" hidden="false" customHeight="false" outlineLevel="0" collapsed="false">
      <c r="A1272" s="68" t="s">
        <v>3099</v>
      </c>
      <c r="B1272" s="68" t="n">
        <v>132</v>
      </c>
      <c r="C1272" s="68" t="s">
        <v>2357</v>
      </c>
      <c r="D1272" s="68" t="s">
        <v>2632</v>
      </c>
      <c r="E1272" s="68" t="s">
        <v>363</v>
      </c>
      <c r="F1272" s="80" t="s">
        <v>3100</v>
      </c>
    </row>
    <row r="1273" customFormat="false" ht="15" hidden="false" customHeight="false" outlineLevel="0" collapsed="false">
      <c r="A1273" s="68" t="s">
        <v>3099</v>
      </c>
      <c r="B1273" s="68" t="n">
        <v>132</v>
      </c>
      <c r="C1273" s="68" t="s">
        <v>2362</v>
      </c>
      <c r="D1273" s="68" t="s">
        <v>2632</v>
      </c>
      <c r="E1273" s="68" t="n">
        <v>12000</v>
      </c>
      <c r="F1273" s="80" t="s">
        <v>3101</v>
      </c>
    </row>
    <row r="1274" customFormat="false" ht="22.35" hidden="false" customHeight="false" outlineLevel="0" collapsed="false">
      <c r="A1274" s="68" t="s">
        <v>3099</v>
      </c>
      <c r="B1274" s="68" t="n">
        <v>132</v>
      </c>
      <c r="C1274" s="68" t="s">
        <v>2383</v>
      </c>
      <c r="D1274" s="68" t="s">
        <v>2628</v>
      </c>
      <c r="E1274" s="68" t="s">
        <v>208</v>
      </c>
      <c r="F1274" s="80" t="s">
        <v>3024</v>
      </c>
    </row>
    <row r="1275" customFormat="false" ht="22.35" hidden="false" customHeight="false" outlineLevel="0" collapsed="false">
      <c r="A1275" s="68" t="s">
        <v>3102</v>
      </c>
      <c r="B1275" s="68" t="n">
        <v>133</v>
      </c>
      <c r="C1275" s="68" t="s">
        <v>2253</v>
      </c>
      <c r="D1275" s="68" t="s">
        <v>2628</v>
      </c>
      <c r="E1275" s="68" t="s">
        <v>51</v>
      </c>
      <c r="F1275" s="80" t="s">
        <v>2662</v>
      </c>
    </row>
    <row r="1276" customFormat="false" ht="22.35" hidden="false" customHeight="false" outlineLevel="0" collapsed="false">
      <c r="A1276" s="68" t="s">
        <v>3102</v>
      </c>
      <c r="B1276" s="68" t="n">
        <v>133</v>
      </c>
      <c r="C1276" s="68" t="s">
        <v>2260</v>
      </c>
      <c r="D1276" s="68" t="s">
        <v>2628</v>
      </c>
      <c r="E1276" s="68" t="s">
        <v>153</v>
      </c>
      <c r="F1276" s="80" t="s">
        <v>2826</v>
      </c>
    </row>
    <row r="1277" customFormat="false" ht="32.8" hidden="false" customHeight="false" outlineLevel="0" collapsed="false">
      <c r="A1277" s="68" t="s">
        <v>3102</v>
      </c>
      <c r="B1277" s="68" t="n">
        <v>133</v>
      </c>
      <c r="C1277" s="68" t="s">
        <v>2266</v>
      </c>
      <c r="D1277" s="68" t="s">
        <v>2628</v>
      </c>
      <c r="E1277" s="68" t="s">
        <v>115</v>
      </c>
      <c r="F1277" s="80" t="s">
        <v>2823</v>
      </c>
    </row>
    <row r="1278" customFormat="false" ht="15" hidden="false" customHeight="false" outlineLevel="0" collapsed="false">
      <c r="A1278" s="68" t="s">
        <v>3102</v>
      </c>
      <c r="B1278" s="68" t="n">
        <v>133</v>
      </c>
      <c r="C1278" s="68" t="s">
        <v>2300</v>
      </c>
      <c r="D1278" s="68" t="s">
        <v>2632</v>
      </c>
      <c r="E1278" s="68" t="s">
        <v>479</v>
      </c>
      <c r="F1278" s="80" t="s">
        <v>2810</v>
      </c>
    </row>
    <row r="1279" customFormat="false" ht="15" hidden="false" customHeight="false" outlineLevel="0" collapsed="false">
      <c r="A1279" s="68" t="s">
        <v>3102</v>
      </c>
      <c r="B1279" s="68" t="n">
        <v>133</v>
      </c>
      <c r="C1279" s="68" t="s">
        <v>2304</v>
      </c>
      <c r="D1279" s="68" t="s">
        <v>2632</v>
      </c>
      <c r="E1279" s="68" t="s">
        <v>369</v>
      </c>
      <c r="F1279" s="80" t="s">
        <v>3007</v>
      </c>
    </row>
    <row r="1280" customFormat="false" ht="15" hidden="false" customHeight="false" outlineLevel="0" collapsed="false">
      <c r="A1280" s="68" t="s">
        <v>3102</v>
      </c>
      <c r="B1280" s="68" t="n">
        <v>133</v>
      </c>
      <c r="C1280" s="68" t="s">
        <v>2324</v>
      </c>
      <c r="D1280" s="68" t="s">
        <v>2696</v>
      </c>
      <c r="E1280" s="68" t="s">
        <v>304</v>
      </c>
      <c r="F1280" s="80" t="s">
        <v>2812</v>
      </c>
    </row>
    <row r="1281" customFormat="false" ht="15" hidden="false" customHeight="false" outlineLevel="0" collapsed="false">
      <c r="A1281" s="68" t="s">
        <v>3102</v>
      </c>
      <c r="B1281" s="68" t="n">
        <v>133</v>
      </c>
      <c r="C1281" s="68" t="s">
        <v>2351</v>
      </c>
      <c r="D1281" s="68" t="s">
        <v>2632</v>
      </c>
      <c r="E1281" s="68" t="n">
        <v>1393</v>
      </c>
      <c r="F1281" s="80" t="s">
        <v>3022</v>
      </c>
    </row>
    <row r="1282" customFormat="false" ht="15" hidden="false" customHeight="false" outlineLevel="0" collapsed="false">
      <c r="A1282" s="68" t="s">
        <v>3102</v>
      </c>
      <c r="B1282" s="68" t="n">
        <v>133</v>
      </c>
      <c r="C1282" s="68" t="s">
        <v>2357</v>
      </c>
      <c r="D1282" s="68" t="s">
        <v>2632</v>
      </c>
      <c r="E1282" s="68" t="s">
        <v>363</v>
      </c>
      <c r="F1282" s="80" t="s">
        <v>3103</v>
      </c>
    </row>
    <row r="1283" customFormat="false" ht="15" hidden="false" customHeight="false" outlineLevel="0" collapsed="false">
      <c r="A1283" s="68" t="s">
        <v>3102</v>
      </c>
      <c r="B1283" s="68" t="n">
        <v>133</v>
      </c>
      <c r="C1283" s="68" t="s">
        <v>2362</v>
      </c>
      <c r="D1283" s="68" t="s">
        <v>2632</v>
      </c>
      <c r="E1283" s="68" t="n">
        <v>260000</v>
      </c>
      <c r="F1283" s="80" t="s">
        <v>3104</v>
      </c>
    </row>
    <row r="1284" customFormat="false" ht="22.35" hidden="false" customHeight="false" outlineLevel="0" collapsed="false">
      <c r="A1284" s="68" t="s">
        <v>3102</v>
      </c>
      <c r="B1284" s="68" t="n">
        <v>133</v>
      </c>
      <c r="C1284" s="68" t="s">
        <v>2383</v>
      </c>
      <c r="D1284" s="68" t="s">
        <v>2628</v>
      </c>
      <c r="E1284" s="68" t="s">
        <v>208</v>
      </c>
      <c r="F1284" s="80" t="s">
        <v>3024</v>
      </c>
    </row>
    <row r="1285" customFormat="false" ht="43.25" hidden="false" customHeight="false" outlineLevel="0" collapsed="false">
      <c r="A1285" s="68" t="s">
        <v>3105</v>
      </c>
      <c r="B1285" s="68" t="n">
        <v>134</v>
      </c>
      <c r="C1285" s="68" t="s">
        <v>2253</v>
      </c>
      <c r="D1285" s="68" t="s">
        <v>2628</v>
      </c>
      <c r="E1285" s="68" t="s">
        <v>54</v>
      </c>
      <c r="F1285" s="80" t="s">
        <v>2777</v>
      </c>
    </row>
    <row r="1286" customFormat="false" ht="22.35" hidden="false" customHeight="false" outlineLevel="0" collapsed="false">
      <c r="A1286" s="68" t="s">
        <v>3105</v>
      </c>
      <c r="B1286" s="68" t="n">
        <v>134</v>
      </c>
      <c r="C1286" s="68" t="s">
        <v>2260</v>
      </c>
      <c r="D1286" s="68" t="s">
        <v>2628</v>
      </c>
      <c r="E1286" s="68" t="s">
        <v>192</v>
      </c>
      <c r="F1286" s="80" t="s">
        <v>2678</v>
      </c>
    </row>
    <row r="1287" customFormat="false" ht="32.8" hidden="false" customHeight="false" outlineLevel="0" collapsed="false">
      <c r="A1287" s="68" t="s">
        <v>3105</v>
      </c>
      <c r="B1287" s="68" t="n">
        <v>134</v>
      </c>
      <c r="C1287" s="68" t="s">
        <v>2266</v>
      </c>
      <c r="D1287" s="68" t="s">
        <v>2628</v>
      </c>
      <c r="E1287" s="68" t="s">
        <v>111</v>
      </c>
      <c r="F1287" s="80" t="s">
        <v>2809</v>
      </c>
    </row>
    <row r="1288" customFormat="false" ht="15" hidden="false" customHeight="false" outlineLevel="0" collapsed="false">
      <c r="A1288" s="68" t="s">
        <v>3105</v>
      </c>
      <c r="B1288" s="68" t="n">
        <v>134</v>
      </c>
      <c r="C1288" s="68" t="s">
        <v>2300</v>
      </c>
      <c r="D1288" s="68" t="s">
        <v>2632</v>
      </c>
      <c r="E1288" s="68" t="s">
        <v>492</v>
      </c>
      <c r="F1288" s="80" t="s">
        <v>2820</v>
      </c>
    </row>
    <row r="1289" customFormat="false" ht="15" hidden="false" customHeight="false" outlineLevel="0" collapsed="false">
      <c r="A1289" s="68" t="s">
        <v>3105</v>
      </c>
      <c r="B1289" s="68" t="n">
        <v>134</v>
      </c>
      <c r="C1289" s="68" t="s">
        <v>2304</v>
      </c>
      <c r="D1289" s="68" t="s">
        <v>2632</v>
      </c>
      <c r="E1289" s="68" t="s">
        <v>369</v>
      </c>
      <c r="F1289" s="80" t="s">
        <v>3009</v>
      </c>
    </row>
    <row r="1290" customFormat="false" ht="15" hidden="false" customHeight="false" outlineLevel="0" collapsed="false">
      <c r="A1290" s="68" t="s">
        <v>3105</v>
      </c>
      <c r="B1290" s="68" t="n">
        <v>134</v>
      </c>
      <c r="C1290" s="68" t="s">
        <v>2324</v>
      </c>
      <c r="D1290" s="68" t="s">
        <v>2696</v>
      </c>
      <c r="E1290" s="68" t="s">
        <v>304</v>
      </c>
      <c r="F1290" s="80" t="s">
        <v>2812</v>
      </c>
    </row>
    <row r="1291" customFormat="false" ht="15" hidden="false" customHeight="false" outlineLevel="0" collapsed="false">
      <c r="A1291" s="68" t="s">
        <v>3105</v>
      </c>
      <c r="B1291" s="68" t="n">
        <v>134</v>
      </c>
      <c r="C1291" s="68" t="s">
        <v>2351</v>
      </c>
      <c r="D1291" s="68" t="s">
        <v>2632</v>
      </c>
      <c r="E1291" s="68" t="n">
        <v>1393</v>
      </c>
      <c r="F1291" s="80" t="s">
        <v>3022</v>
      </c>
    </row>
    <row r="1292" customFormat="false" ht="15" hidden="false" customHeight="false" outlineLevel="0" collapsed="false">
      <c r="A1292" s="68" t="s">
        <v>3105</v>
      </c>
      <c r="B1292" s="68" t="n">
        <v>134</v>
      </c>
      <c r="C1292" s="68" t="s">
        <v>2357</v>
      </c>
      <c r="D1292" s="68" t="s">
        <v>2632</v>
      </c>
      <c r="E1292" s="68" t="s">
        <v>363</v>
      </c>
      <c r="F1292" s="80" t="s">
        <v>3106</v>
      </c>
    </row>
    <row r="1293" customFormat="false" ht="15" hidden="false" customHeight="false" outlineLevel="0" collapsed="false">
      <c r="A1293" s="68" t="s">
        <v>3105</v>
      </c>
      <c r="B1293" s="68" t="n">
        <v>134</v>
      </c>
      <c r="C1293" s="68" t="s">
        <v>2362</v>
      </c>
      <c r="D1293" s="68" t="s">
        <v>2632</v>
      </c>
      <c r="E1293" s="68" t="n">
        <v>10000</v>
      </c>
      <c r="F1293" s="80" t="s">
        <v>3107</v>
      </c>
    </row>
    <row r="1294" customFormat="false" ht="22.35" hidden="false" customHeight="false" outlineLevel="0" collapsed="false">
      <c r="A1294" s="68" t="s">
        <v>3105</v>
      </c>
      <c r="B1294" s="68" t="n">
        <v>134</v>
      </c>
      <c r="C1294" s="68" t="s">
        <v>2383</v>
      </c>
      <c r="D1294" s="68" t="s">
        <v>2628</v>
      </c>
      <c r="E1294" s="68" t="s">
        <v>208</v>
      </c>
      <c r="F1294" s="80" t="s">
        <v>3024</v>
      </c>
    </row>
    <row r="1295" customFormat="false" ht="22.35" hidden="false" customHeight="false" outlineLevel="0" collapsed="false">
      <c r="A1295" s="68" t="s">
        <v>3108</v>
      </c>
      <c r="B1295" s="68" t="n">
        <v>135</v>
      </c>
      <c r="C1295" s="68" t="s">
        <v>2253</v>
      </c>
      <c r="D1295" s="68" t="s">
        <v>2628</v>
      </c>
      <c r="E1295" s="68" t="s">
        <v>51</v>
      </c>
      <c r="F1295" s="80" t="s">
        <v>2662</v>
      </c>
    </row>
    <row r="1296" customFormat="false" ht="22.35" hidden="false" customHeight="false" outlineLevel="0" collapsed="false">
      <c r="A1296" s="68" t="s">
        <v>3108</v>
      </c>
      <c r="B1296" s="68" t="n">
        <v>135</v>
      </c>
      <c r="C1296" s="68" t="s">
        <v>2260</v>
      </c>
      <c r="D1296" s="68" t="s">
        <v>2628</v>
      </c>
      <c r="E1296" s="68" t="s">
        <v>132</v>
      </c>
      <c r="F1296" s="80" t="s">
        <v>2808</v>
      </c>
    </row>
    <row r="1297" customFormat="false" ht="32.8" hidden="false" customHeight="false" outlineLevel="0" collapsed="false">
      <c r="A1297" s="68" t="s">
        <v>3108</v>
      </c>
      <c r="B1297" s="68" t="n">
        <v>135</v>
      </c>
      <c r="C1297" s="68" t="s">
        <v>2266</v>
      </c>
      <c r="D1297" s="68" t="s">
        <v>2628</v>
      </c>
      <c r="E1297" s="68" t="s">
        <v>115</v>
      </c>
      <c r="F1297" s="80" t="s">
        <v>2823</v>
      </c>
    </row>
    <row r="1298" customFormat="false" ht="15" hidden="false" customHeight="false" outlineLevel="0" collapsed="false">
      <c r="A1298" s="68" t="s">
        <v>3108</v>
      </c>
      <c r="B1298" s="68" t="n">
        <v>135</v>
      </c>
      <c r="C1298" s="68" t="s">
        <v>2300</v>
      </c>
      <c r="D1298" s="68" t="s">
        <v>2632</v>
      </c>
      <c r="E1298" s="68" t="s">
        <v>479</v>
      </c>
      <c r="F1298" s="80" t="s">
        <v>2810</v>
      </c>
    </row>
    <row r="1299" customFormat="false" ht="22.35" hidden="false" customHeight="false" outlineLevel="0" collapsed="false">
      <c r="A1299" s="68" t="s">
        <v>3108</v>
      </c>
      <c r="B1299" s="68" t="n">
        <v>135</v>
      </c>
      <c r="C1299" s="68" t="s">
        <v>2304</v>
      </c>
      <c r="D1299" s="68" t="s">
        <v>2696</v>
      </c>
      <c r="E1299" s="68" t="s">
        <v>312</v>
      </c>
      <c r="F1299" s="80" t="s">
        <v>3011</v>
      </c>
    </row>
    <row r="1300" customFormat="false" ht="15" hidden="false" customHeight="false" outlineLevel="0" collapsed="false">
      <c r="A1300" s="68" t="s">
        <v>3108</v>
      </c>
      <c r="B1300" s="68" t="n">
        <v>135</v>
      </c>
      <c r="C1300" s="68" t="s">
        <v>2324</v>
      </c>
      <c r="D1300" s="68" t="s">
        <v>2696</v>
      </c>
      <c r="E1300" s="68" t="s">
        <v>304</v>
      </c>
      <c r="F1300" s="80" t="s">
        <v>2812</v>
      </c>
    </row>
    <row r="1301" customFormat="false" ht="15" hidden="false" customHeight="false" outlineLevel="0" collapsed="false">
      <c r="A1301" s="68" t="s">
        <v>3108</v>
      </c>
      <c r="B1301" s="68" t="n">
        <v>135</v>
      </c>
      <c r="C1301" s="68" t="s">
        <v>2351</v>
      </c>
      <c r="D1301" s="68" t="s">
        <v>2632</v>
      </c>
      <c r="E1301" s="68" t="n">
        <v>1393</v>
      </c>
      <c r="F1301" s="80" t="s">
        <v>3022</v>
      </c>
    </row>
    <row r="1302" customFormat="false" ht="15" hidden="false" customHeight="false" outlineLevel="0" collapsed="false">
      <c r="A1302" s="68" t="s">
        <v>3108</v>
      </c>
      <c r="B1302" s="68" t="n">
        <v>135</v>
      </c>
      <c r="C1302" s="68" t="s">
        <v>2357</v>
      </c>
      <c r="D1302" s="68" t="s">
        <v>2632</v>
      </c>
      <c r="E1302" s="68" t="s">
        <v>363</v>
      </c>
      <c r="F1302" s="80" t="s">
        <v>3109</v>
      </c>
    </row>
    <row r="1303" customFormat="false" ht="15" hidden="false" customHeight="false" outlineLevel="0" collapsed="false">
      <c r="A1303" s="68" t="s">
        <v>3108</v>
      </c>
      <c r="B1303" s="68" t="n">
        <v>135</v>
      </c>
      <c r="C1303" s="68" t="s">
        <v>2362</v>
      </c>
      <c r="D1303" s="68" t="s">
        <v>2632</v>
      </c>
      <c r="E1303" s="68" t="n">
        <v>35000</v>
      </c>
      <c r="F1303" s="80" t="s">
        <v>3110</v>
      </c>
    </row>
    <row r="1304" customFormat="false" ht="22.35" hidden="false" customHeight="false" outlineLevel="0" collapsed="false">
      <c r="A1304" s="68" t="s">
        <v>3108</v>
      </c>
      <c r="B1304" s="68" t="n">
        <v>135</v>
      </c>
      <c r="C1304" s="68" t="s">
        <v>2383</v>
      </c>
      <c r="D1304" s="68" t="s">
        <v>2628</v>
      </c>
      <c r="E1304" s="68" t="s">
        <v>208</v>
      </c>
      <c r="F1304" s="80" t="s">
        <v>3024</v>
      </c>
    </row>
    <row r="1305" customFormat="false" ht="22.35" hidden="false" customHeight="false" outlineLevel="0" collapsed="false">
      <c r="A1305" s="68" t="s">
        <v>3111</v>
      </c>
      <c r="B1305" s="68" t="n">
        <v>136</v>
      </c>
      <c r="C1305" s="68" t="s">
        <v>2253</v>
      </c>
      <c r="D1305" s="68" t="s">
        <v>2628</v>
      </c>
      <c r="E1305" s="68" t="s">
        <v>51</v>
      </c>
      <c r="F1305" s="80" t="s">
        <v>2662</v>
      </c>
    </row>
    <row r="1306" customFormat="false" ht="22.35" hidden="false" customHeight="false" outlineLevel="0" collapsed="false">
      <c r="A1306" s="68" t="s">
        <v>3111</v>
      </c>
      <c r="B1306" s="68" t="n">
        <v>136</v>
      </c>
      <c r="C1306" s="68" t="s">
        <v>2260</v>
      </c>
      <c r="D1306" s="68" t="s">
        <v>2628</v>
      </c>
      <c r="E1306" s="68" t="s">
        <v>153</v>
      </c>
      <c r="F1306" s="80" t="s">
        <v>2826</v>
      </c>
    </row>
    <row r="1307" customFormat="false" ht="32.8" hidden="false" customHeight="false" outlineLevel="0" collapsed="false">
      <c r="A1307" s="68" t="s">
        <v>3111</v>
      </c>
      <c r="B1307" s="68" t="n">
        <v>136</v>
      </c>
      <c r="C1307" s="68" t="s">
        <v>2266</v>
      </c>
      <c r="D1307" s="68" t="s">
        <v>2628</v>
      </c>
      <c r="E1307" s="68" t="s">
        <v>115</v>
      </c>
      <c r="F1307" s="80" t="s">
        <v>2823</v>
      </c>
    </row>
    <row r="1308" customFormat="false" ht="15" hidden="false" customHeight="false" outlineLevel="0" collapsed="false">
      <c r="A1308" s="68" t="s">
        <v>3111</v>
      </c>
      <c r="B1308" s="68" t="n">
        <v>136</v>
      </c>
      <c r="C1308" s="68" t="s">
        <v>2300</v>
      </c>
      <c r="D1308" s="68" t="s">
        <v>2632</v>
      </c>
      <c r="E1308" s="68" t="s">
        <v>479</v>
      </c>
      <c r="F1308" s="80" t="s">
        <v>2810</v>
      </c>
    </row>
    <row r="1309" customFormat="false" ht="15" hidden="false" customHeight="false" outlineLevel="0" collapsed="false">
      <c r="A1309" s="68" t="s">
        <v>3111</v>
      </c>
      <c r="B1309" s="68" t="n">
        <v>136</v>
      </c>
      <c r="C1309" s="68" t="s">
        <v>2304</v>
      </c>
      <c r="D1309" s="68" t="s">
        <v>2632</v>
      </c>
      <c r="E1309" s="68" t="s">
        <v>369</v>
      </c>
      <c r="F1309" s="80" t="s">
        <v>3013</v>
      </c>
    </row>
    <row r="1310" customFormat="false" ht="15" hidden="false" customHeight="false" outlineLevel="0" collapsed="false">
      <c r="A1310" s="68" t="s">
        <v>3111</v>
      </c>
      <c r="B1310" s="68" t="n">
        <v>136</v>
      </c>
      <c r="C1310" s="68" t="s">
        <v>2324</v>
      </c>
      <c r="D1310" s="68" t="s">
        <v>2696</v>
      </c>
      <c r="E1310" s="68" t="s">
        <v>304</v>
      </c>
      <c r="F1310" s="80" t="s">
        <v>2812</v>
      </c>
    </row>
    <row r="1311" customFormat="false" ht="15" hidden="false" customHeight="false" outlineLevel="0" collapsed="false">
      <c r="A1311" s="68" t="s">
        <v>3111</v>
      </c>
      <c r="B1311" s="68" t="n">
        <v>136</v>
      </c>
      <c r="C1311" s="68" t="s">
        <v>2351</v>
      </c>
      <c r="D1311" s="68" t="s">
        <v>2632</v>
      </c>
      <c r="E1311" s="68" t="n">
        <v>1393</v>
      </c>
      <c r="F1311" s="80" t="s">
        <v>3022</v>
      </c>
    </row>
    <row r="1312" customFormat="false" ht="15" hidden="false" customHeight="false" outlineLevel="0" collapsed="false">
      <c r="A1312" s="68" t="s">
        <v>3111</v>
      </c>
      <c r="B1312" s="68" t="n">
        <v>136</v>
      </c>
      <c r="C1312" s="68" t="s">
        <v>2357</v>
      </c>
      <c r="D1312" s="68" t="s">
        <v>2632</v>
      </c>
      <c r="E1312" s="68" t="s">
        <v>363</v>
      </c>
      <c r="F1312" s="80" t="s">
        <v>3112</v>
      </c>
    </row>
    <row r="1313" customFormat="false" ht="15" hidden="false" customHeight="false" outlineLevel="0" collapsed="false">
      <c r="A1313" s="68" t="s">
        <v>3111</v>
      </c>
      <c r="B1313" s="68" t="n">
        <v>136</v>
      </c>
      <c r="C1313" s="68" t="s">
        <v>2362</v>
      </c>
      <c r="D1313" s="68" t="s">
        <v>2632</v>
      </c>
      <c r="E1313" s="68" t="n">
        <v>180000</v>
      </c>
      <c r="F1313" s="80" t="s">
        <v>3113</v>
      </c>
    </row>
    <row r="1314" customFormat="false" ht="22.35" hidden="false" customHeight="false" outlineLevel="0" collapsed="false">
      <c r="A1314" s="68" t="s">
        <v>3111</v>
      </c>
      <c r="B1314" s="68" t="n">
        <v>136</v>
      </c>
      <c r="C1314" s="68" t="s">
        <v>2383</v>
      </c>
      <c r="D1314" s="68" t="s">
        <v>2628</v>
      </c>
      <c r="E1314" s="68" t="s">
        <v>208</v>
      </c>
      <c r="F1314" s="80" t="s">
        <v>3024</v>
      </c>
    </row>
    <row r="1315" customFormat="false" ht="22.35" hidden="false" customHeight="false" outlineLevel="0" collapsed="false">
      <c r="A1315" s="68" t="s">
        <v>3114</v>
      </c>
      <c r="B1315" s="68" t="n">
        <v>137</v>
      </c>
      <c r="C1315" s="68" t="s">
        <v>2253</v>
      </c>
      <c r="D1315" s="68" t="s">
        <v>2628</v>
      </c>
      <c r="E1315" s="68" t="s">
        <v>54</v>
      </c>
      <c r="F1315" s="80" t="s">
        <v>2672</v>
      </c>
    </row>
    <row r="1316" customFormat="false" ht="22.35" hidden="false" customHeight="false" outlineLevel="0" collapsed="false">
      <c r="A1316" s="68" t="s">
        <v>3114</v>
      </c>
      <c r="B1316" s="68" t="n">
        <v>137</v>
      </c>
      <c r="C1316" s="68" t="s">
        <v>2260</v>
      </c>
      <c r="D1316" s="68" t="s">
        <v>2628</v>
      </c>
      <c r="E1316" s="68" t="s">
        <v>132</v>
      </c>
      <c r="F1316" s="80" t="s">
        <v>2808</v>
      </c>
    </row>
    <row r="1317" customFormat="false" ht="32.8" hidden="false" customHeight="false" outlineLevel="0" collapsed="false">
      <c r="A1317" s="68" t="s">
        <v>3114</v>
      </c>
      <c r="B1317" s="68" t="n">
        <v>137</v>
      </c>
      <c r="C1317" s="68" t="s">
        <v>2266</v>
      </c>
      <c r="D1317" s="68" t="s">
        <v>2628</v>
      </c>
      <c r="E1317" s="68" t="s">
        <v>90</v>
      </c>
      <c r="F1317" s="80" t="s">
        <v>2836</v>
      </c>
    </row>
    <row r="1318" customFormat="false" ht="15" hidden="false" customHeight="false" outlineLevel="0" collapsed="false">
      <c r="A1318" s="68" t="s">
        <v>3114</v>
      </c>
      <c r="B1318" s="68" t="n">
        <v>137</v>
      </c>
      <c r="C1318" s="68" t="s">
        <v>2300</v>
      </c>
      <c r="D1318" s="68" t="s">
        <v>2632</v>
      </c>
      <c r="E1318" s="68" t="s">
        <v>479</v>
      </c>
      <c r="F1318" s="80" t="s">
        <v>2810</v>
      </c>
    </row>
    <row r="1319" customFormat="false" ht="22.35" hidden="false" customHeight="false" outlineLevel="0" collapsed="false">
      <c r="A1319" s="68" t="s">
        <v>3114</v>
      </c>
      <c r="B1319" s="68" t="n">
        <v>137</v>
      </c>
      <c r="C1319" s="68" t="s">
        <v>2304</v>
      </c>
      <c r="D1319" s="68" t="s">
        <v>2696</v>
      </c>
      <c r="E1319" s="68" t="s">
        <v>312</v>
      </c>
      <c r="F1319" s="80" t="s">
        <v>3015</v>
      </c>
    </row>
    <row r="1320" customFormat="false" ht="15" hidden="false" customHeight="false" outlineLevel="0" collapsed="false">
      <c r="A1320" s="68" t="s">
        <v>3114</v>
      </c>
      <c r="B1320" s="68" t="n">
        <v>137</v>
      </c>
      <c r="C1320" s="68" t="s">
        <v>2324</v>
      </c>
      <c r="D1320" s="68" t="s">
        <v>2696</v>
      </c>
      <c r="E1320" s="68" t="s">
        <v>304</v>
      </c>
      <c r="F1320" s="80" t="s">
        <v>2812</v>
      </c>
    </row>
    <row r="1321" customFormat="false" ht="15" hidden="false" customHeight="false" outlineLevel="0" collapsed="false">
      <c r="A1321" s="68" t="s">
        <v>3114</v>
      </c>
      <c r="B1321" s="68" t="n">
        <v>137</v>
      </c>
      <c r="C1321" s="68" t="s">
        <v>2351</v>
      </c>
      <c r="D1321" s="68" t="s">
        <v>2632</v>
      </c>
      <c r="E1321" s="68" t="n">
        <v>1393</v>
      </c>
      <c r="F1321" s="80" t="s">
        <v>3022</v>
      </c>
    </row>
    <row r="1322" customFormat="false" ht="15" hidden="false" customHeight="false" outlineLevel="0" collapsed="false">
      <c r="A1322" s="68" t="s">
        <v>3114</v>
      </c>
      <c r="B1322" s="68" t="n">
        <v>137</v>
      </c>
      <c r="C1322" s="68" t="s">
        <v>2357</v>
      </c>
      <c r="D1322" s="68" t="s">
        <v>2632</v>
      </c>
      <c r="E1322" s="68" t="s">
        <v>363</v>
      </c>
      <c r="F1322" s="80" t="s">
        <v>3115</v>
      </c>
    </row>
    <row r="1323" customFormat="false" ht="15" hidden="false" customHeight="false" outlineLevel="0" collapsed="false">
      <c r="A1323" s="68" t="s">
        <v>3114</v>
      </c>
      <c r="B1323" s="68" t="n">
        <v>137</v>
      </c>
      <c r="C1323" s="68" t="s">
        <v>2362</v>
      </c>
      <c r="D1323" s="68" t="s">
        <v>2632</v>
      </c>
      <c r="E1323" s="68" t="n">
        <v>15000</v>
      </c>
      <c r="F1323" s="80" t="s">
        <v>3116</v>
      </c>
    </row>
    <row r="1324" customFormat="false" ht="22.35" hidden="false" customHeight="false" outlineLevel="0" collapsed="false">
      <c r="A1324" s="68" t="s">
        <v>3114</v>
      </c>
      <c r="B1324" s="68" t="n">
        <v>137</v>
      </c>
      <c r="C1324" s="68" t="s">
        <v>2383</v>
      </c>
      <c r="D1324" s="68" t="s">
        <v>2628</v>
      </c>
      <c r="E1324" s="68" t="s">
        <v>208</v>
      </c>
      <c r="F1324" s="80" t="s">
        <v>3024</v>
      </c>
    </row>
    <row r="1325" customFormat="false" ht="22.35" hidden="false" customHeight="false" outlineLevel="0" collapsed="false">
      <c r="A1325" s="68" t="s">
        <v>3117</v>
      </c>
      <c r="B1325" s="68" t="n">
        <v>138</v>
      </c>
      <c r="C1325" s="68" t="s">
        <v>2253</v>
      </c>
      <c r="D1325" s="68" t="s">
        <v>2628</v>
      </c>
      <c r="E1325" s="68" t="s">
        <v>54</v>
      </c>
      <c r="F1325" s="80" t="s">
        <v>2672</v>
      </c>
    </row>
    <row r="1326" customFormat="false" ht="22.35" hidden="false" customHeight="false" outlineLevel="0" collapsed="false">
      <c r="A1326" s="68" t="s">
        <v>3117</v>
      </c>
      <c r="B1326" s="68" t="n">
        <v>138</v>
      </c>
      <c r="C1326" s="68" t="s">
        <v>2260</v>
      </c>
      <c r="D1326" s="68" t="s">
        <v>2628</v>
      </c>
      <c r="E1326" s="68" t="s">
        <v>132</v>
      </c>
      <c r="F1326" s="80" t="s">
        <v>2808</v>
      </c>
    </row>
    <row r="1327" customFormat="false" ht="32.8" hidden="false" customHeight="false" outlineLevel="0" collapsed="false">
      <c r="A1327" s="68" t="s">
        <v>3117</v>
      </c>
      <c r="B1327" s="68" t="n">
        <v>138</v>
      </c>
      <c r="C1327" s="68" t="s">
        <v>2266</v>
      </c>
      <c r="D1327" s="68" t="s">
        <v>2628</v>
      </c>
      <c r="E1327" s="68" t="s">
        <v>115</v>
      </c>
      <c r="F1327" s="80" t="s">
        <v>2823</v>
      </c>
    </row>
    <row r="1328" customFormat="false" ht="15" hidden="false" customHeight="false" outlineLevel="0" collapsed="false">
      <c r="A1328" s="68" t="s">
        <v>3117</v>
      </c>
      <c r="B1328" s="68" t="n">
        <v>138</v>
      </c>
      <c r="C1328" s="68" t="s">
        <v>2300</v>
      </c>
      <c r="D1328" s="68" t="s">
        <v>2632</v>
      </c>
      <c r="E1328" s="68" t="s">
        <v>479</v>
      </c>
      <c r="F1328" s="80" t="s">
        <v>2810</v>
      </c>
    </row>
    <row r="1329" customFormat="false" ht="15" hidden="false" customHeight="false" outlineLevel="0" collapsed="false">
      <c r="A1329" s="68" t="s">
        <v>3117</v>
      </c>
      <c r="B1329" s="68" t="n">
        <v>138</v>
      </c>
      <c r="C1329" s="68" t="s">
        <v>2304</v>
      </c>
      <c r="D1329" s="68" t="s">
        <v>2632</v>
      </c>
      <c r="E1329" s="68" t="s">
        <v>369</v>
      </c>
      <c r="F1329" s="80" t="s">
        <v>3017</v>
      </c>
    </row>
    <row r="1330" customFormat="false" ht="15" hidden="false" customHeight="false" outlineLevel="0" collapsed="false">
      <c r="A1330" s="68" t="s">
        <v>3117</v>
      </c>
      <c r="B1330" s="68" t="n">
        <v>138</v>
      </c>
      <c r="C1330" s="68" t="s">
        <v>2324</v>
      </c>
      <c r="D1330" s="68" t="s">
        <v>2696</v>
      </c>
      <c r="E1330" s="68" t="s">
        <v>304</v>
      </c>
      <c r="F1330" s="80" t="s">
        <v>2812</v>
      </c>
    </row>
    <row r="1331" customFormat="false" ht="15" hidden="false" customHeight="false" outlineLevel="0" collapsed="false">
      <c r="A1331" s="68" t="s">
        <v>3117</v>
      </c>
      <c r="B1331" s="68" t="n">
        <v>138</v>
      </c>
      <c r="C1331" s="68" t="s">
        <v>2351</v>
      </c>
      <c r="D1331" s="68" t="s">
        <v>2632</v>
      </c>
      <c r="E1331" s="68" t="n">
        <v>1393</v>
      </c>
      <c r="F1331" s="80" t="s">
        <v>3022</v>
      </c>
    </row>
    <row r="1332" customFormat="false" ht="15" hidden="false" customHeight="false" outlineLevel="0" collapsed="false">
      <c r="A1332" s="68" t="s">
        <v>3117</v>
      </c>
      <c r="B1332" s="68" t="n">
        <v>138</v>
      </c>
      <c r="C1332" s="68" t="s">
        <v>2357</v>
      </c>
      <c r="D1332" s="68" t="s">
        <v>2632</v>
      </c>
      <c r="E1332" s="68" t="s">
        <v>363</v>
      </c>
      <c r="F1332" s="80" t="s">
        <v>3118</v>
      </c>
    </row>
    <row r="1333" customFormat="false" ht="15" hidden="false" customHeight="false" outlineLevel="0" collapsed="false">
      <c r="A1333" s="68" t="s">
        <v>3117</v>
      </c>
      <c r="B1333" s="68" t="n">
        <v>138</v>
      </c>
      <c r="C1333" s="68" t="s">
        <v>2362</v>
      </c>
      <c r="D1333" s="68" t="s">
        <v>2632</v>
      </c>
      <c r="E1333" s="68" t="n">
        <v>32000</v>
      </c>
      <c r="F1333" s="80" t="s">
        <v>3119</v>
      </c>
    </row>
    <row r="1334" customFormat="false" ht="22.35" hidden="false" customHeight="false" outlineLevel="0" collapsed="false">
      <c r="A1334" s="68" t="s">
        <v>3117</v>
      </c>
      <c r="B1334" s="68" t="n">
        <v>138</v>
      </c>
      <c r="C1334" s="68" t="s">
        <v>2383</v>
      </c>
      <c r="D1334" s="68" t="s">
        <v>2628</v>
      </c>
      <c r="E1334" s="68" t="s">
        <v>208</v>
      </c>
      <c r="F1334" s="80" t="s">
        <v>3024</v>
      </c>
    </row>
    <row r="1335" customFormat="false" ht="22.35" hidden="false" customHeight="false" outlineLevel="0" collapsed="false">
      <c r="A1335" s="68" t="s">
        <v>3120</v>
      </c>
      <c r="B1335" s="68" t="n">
        <v>139</v>
      </c>
      <c r="C1335" s="68" t="s">
        <v>2253</v>
      </c>
      <c r="D1335" s="68" t="s">
        <v>2628</v>
      </c>
      <c r="E1335" s="68" t="s">
        <v>54</v>
      </c>
      <c r="F1335" s="80" t="s">
        <v>2672</v>
      </c>
    </row>
    <row r="1336" customFormat="false" ht="22.35" hidden="false" customHeight="false" outlineLevel="0" collapsed="false">
      <c r="A1336" s="68" t="s">
        <v>3120</v>
      </c>
      <c r="B1336" s="68" t="n">
        <v>139</v>
      </c>
      <c r="C1336" s="68" t="s">
        <v>2260</v>
      </c>
      <c r="D1336" s="68" t="s">
        <v>2628</v>
      </c>
      <c r="E1336" s="68" t="s">
        <v>171</v>
      </c>
      <c r="F1336" s="80" t="s">
        <v>2949</v>
      </c>
    </row>
    <row r="1337" customFormat="false" ht="32.8" hidden="false" customHeight="false" outlineLevel="0" collapsed="false">
      <c r="A1337" s="68" t="s">
        <v>3120</v>
      </c>
      <c r="B1337" s="68" t="n">
        <v>139</v>
      </c>
      <c r="C1337" s="68" t="s">
        <v>2266</v>
      </c>
      <c r="D1337" s="68" t="s">
        <v>2628</v>
      </c>
      <c r="E1337" s="68" t="s">
        <v>90</v>
      </c>
      <c r="F1337" s="80" t="s">
        <v>2836</v>
      </c>
    </row>
    <row r="1338" customFormat="false" ht="15" hidden="false" customHeight="false" outlineLevel="0" collapsed="false">
      <c r="A1338" s="68" t="s">
        <v>3120</v>
      </c>
      <c r="B1338" s="68" t="n">
        <v>139</v>
      </c>
      <c r="C1338" s="68" t="s">
        <v>2300</v>
      </c>
      <c r="D1338" s="68" t="s">
        <v>2632</v>
      </c>
      <c r="E1338" s="68" t="s">
        <v>479</v>
      </c>
      <c r="F1338" s="80" t="s">
        <v>2810</v>
      </c>
    </row>
    <row r="1339" customFormat="false" ht="22.35" hidden="false" customHeight="false" outlineLevel="0" collapsed="false">
      <c r="A1339" s="68" t="s">
        <v>3120</v>
      </c>
      <c r="B1339" s="68" t="n">
        <v>139</v>
      </c>
      <c r="C1339" s="68" t="s">
        <v>2304</v>
      </c>
      <c r="D1339" s="68" t="s">
        <v>2696</v>
      </c>
      <c r="E1339" s="68" t="s">
        <v>312</v>
      </c>
      <c r="F1339" s="80" t="s">
        <v>3019</v>
      </c>
    </row>
    <row r="1340" customFormat="false" ht="15" hidden="false" customHeight="false" outlineLevel="0" collapsed="false">
      <c r="A1340" s="68" t="s">
        <v>3120</v>
      </c>
      <c r="B1340" s="68" t="n">
        <v>139</v>
      </c>
      <c r="C1340" s="68" t="s">
        <v>2324</v>
      </c>
      <c r="D1340" s="68" t="s">
        <v>2696</v>
      </c>
      <c r="E1340" s="68" t="s">
        <v>304</v>
      </c>
      <c r="F1340" s="80" t="s">
        <v>2812</v>
      </c>
    </row>
    <row r="1341" customFormat="false" ht="15" hidden="false" customHeight="false" outlineLevel="0" collapsed="false">
      <c r="A1341" s="68" t="s">
        <v>3120</v>
      </c>
      <c r="B1341" s="68" t="n">
        <v>139</v>
      </c>
      <c r="C1341" s="68" t="s">
        <v>2351</v>
      </c>
      <c r="D1341" s="68" t="s">
        <v>2632</v>
      </c>
      <c r="E1341" s="68" t="n">
        <v>1393</v>
      </c>
      <c r="F1341" s="80" t="s">
        <v>3022</v>
      </c>
    </row>
    <row r="1342" customFormat="false" ht="15" hidden="false" customHeight="false" outlineLevel="0" collapsed="false">
      <c r="A1342" s="68" t="s">
        <v>3120</v>
      </c>
      <c r="B1342" s="68" t="n">
        <v>139</v>
      </c>
      <c r="C1342" s="68" t="s">
        <v>2357</v>
      </c>
      <c r="D1342" s="68" t="s">
        <v>2632</v>
      </c>
      <c r="E1342" s="68" t="s">
        <v>363</v>
      </c>
      <c r="F1342" s="80" t="s">
        <v>3121</v>
      </c>
    </row>
    <row r="1343" customFormat="false" ht="15" hidden="false" customHeight="false" outlineLevel="0" collapsed="false">
      <c r="A1343" s="68" t="s">
        <v>3120</v>
      </c>
      <c r="B1343" s="68" t="n">
        <v>139</v>
      </c>
      <c r="C1343" s="68" t="s">
        <v>2362</v>
      </c>
      <c r="D1343" s="68" t="s">
        <v>2632</v>
      </c>
      <c r="E1343" s="68" t="n">
        <v>15000</v>
      </c>
      <c r="F1343" s="80" t="s">
        <v>3122</v>
      </c>
    </row>
    <row r="1344" customFormat="false" ht="22.35" hidden="false" customHeight="false" outlineLevel="0" collapsed="false">
      <c r="A1344" s="68" t="s">
        <v>3120</v>
      </c>
      <c r="B1344" s="68" t="n">
        <v>139</v>
      </c>
      <c r="C1344" s="68" t="s">
        <v>2383</v>
      </c>
      <c r="D1344" s="68" t="s">
        <v>2628</v>
      </c>
      <c r="E1344" s="68" t="s">
        <v>208</v>
      </c>
      <c r="F1344" s="80" t="s">
        <v>3024</v>
      </c>
    </row>
    <row r="1345" customFormat="false" ht="22.35" hidden="false" customHeight="false" outlineLevel="0" collapsed="false">
      <c r="A1345" s="68" t="s">
        <v>3123</v>
      </c>
      <c r="B1345" s="68" t="n">
        <v>140</v>
      </c>
      <c r="C1345" s="68" t="s">
        <v>2253</v>
      </c>
      <c r="D1345" s="68" t="s">
        <v>2628</v>
      </c>
      <c r="E1345" s="68" t="s">
        <v>48</v>
      </c>
      <c r="F1345" s="80" t="s">
        <v>2653</v>
      </c>
    </row>
    <row r="1346" customFormat="false" ht="22.35" hidden="false" customHeight="false" outlineLevel="0" collapsed="false">
      <c r="A1346" s="68" t="s">
        <v>3123</v>
      </c>
      <c r="B1346" s="68" t="n">
        <v>140</v>
      </c>
      <c r="C1346" s="68" t="s">
        <v>2260</v>
      </c>
      <c r="D1346" s="68" t="s">
        <v>2628</v>
      </c>
      <c r="E1346" s="68" t="s">
        <v>132</v>
      </c>
      <c r="F1346" s="80" t="s">
        <v>2808</v>
      </c>
    </row>
    <row r="1347" customFormat="false" ht="32.8" hidden="false" customHeight="false" outlineLevel="0" collapsed="false">
      <c r="A1347" s="68" t="s">
        <v>3123</v>
      </c>
      <c r="B1347" s="68" t="n">
        <v>140</v>
      </c>
      <c r="C1347" s="68" t="s">
        <v>2266</v>
      </c>
      <c r="D1347" s="68" t="s">
        <v>2628</v>
      </c>
      <c r="E1347" s="68" t="s">
        <v>115</v>
      </c>
      <c r="F1347" s="80" t="s">
        <v>2823</v>
      </c>
    </row>
    <row r="1348" customFormat="false" ht="15" hidden="false" customHeight="false" outlineLevel="0" collapsed="false">
      <c r="A1348" s="68" t="s">
        <v>3123</v>
      </c>
      <c r="B1348" s="68" t="n">
        <v>140</v>
      </c>
      <c r="C1348" s="68" t="s">
        <v>2300</v>
      </c>
      <c r="D1348" s="68" t="s">
        <v>2632</v>
      </c>
      <c r="E1348" s="68" t="s">
        <v>479</v>
      </c>
      <c r="F1348" s="80" t="s">
        <v>2810</v>
      </c>
    </row>
    <row r="1349" customFormat="false" ht="15" hidden="false" customHeight="false" outlineLevel="0" collapsed="false">
      <c r="A1349" s="68" t="s">
        <v>3123</v>
      </c>
      <c r="B1349" s="68" t="n">
        <v>140</v>
      </c>
      <c r="C1349" s="68" t="s">
        <v>2304</v>
      </c>
      <c r="D1349" s="68" t="s">
        <v>2632</v>
      </c>
      <c r="E1349" s="68" t="s">
        <v>369</v>
      </c>
      <c r="F1349" s="80" t="s">
        <v>3026</v>
      </c>
    </row>
    <row r="1350" customFormat="false" ht="15" hidden="false" customHeight="false" outlineLevel="0" collapsed="false">
      <c r="A1350" s="68" t="s">
        <v>3123</v>
      </c>
      <c r="B1350" s="68" t="n">
        <v>140</v>
      </c>
      <c r="C1350" s="68" t="s">
        <v>2324</v>
      </c>
      <c r="D1350" s="68" t="s">
        <v>2696</v>
      </c>
      <c r="E1350" s="68" t="s">
        <v>304</v>
      </c>
      <c r="F1350" s="80" t="s">
        <v>2812</v>
      </c>
    </row>
    <row r="1351" customFormat="false" ht="15" hidden="false" customHeight="false" outlineLevel="0" collapsed="false">
      <c r="A1351" s="68" t="s">
        <v>3123</v>
      </c>
      <c r="B1351" s="68" t="n">
        <v>140</v>
      </c>
      <c r="C1351" s="68" t="s">
        <v>2351</v>
      </c>
      <c r="D1351" s="68" t="s">
        <v>2632</v>
      </c>
      <c r="E1351" s="68" t="n">
        <v>1393</v>
      </c>
      <c r="F1351" s="80" t="s">
        <v>3022</v>
      </c>
    </row>
    <row r="1352" customFormat="false" ht="15" hidden="false" customHeight="false" outlineLevel="0" collapsed="false">
      <c r="A1352" s="68" t="s">
        <v>3123</v>
      </c>
      <c r="B1352" s="68" t="n">
        <v>140</v>
      </c>
      <c r="C1352" s="68" t="s">
        <v>2357</v>
      </c>
      <c r="D1352" s="68" t="s">
        <v>2632</v>
      </c>
      <c r="E1352" s="68" t="s">
        <v>363</v>
      </c>
      <c r="F1352" s="80" t="s">
        <v>3124</v>
      </c>
    </row>
    <row r="1353" customFormat="false" ht="15" hidden="false" customHeight="false" outlineLevel="0" collapsed="false">
      <c r="A1353" s="68" t="s">
        <v>3123</v>
      </c>
      <c r="B1353" s="68" t="n">
        <v>140</v>
      </c>
      <c r="C1353" s="68" t="s">
        <v>2362</v>
      </c>
      <c r="D1353" s="68" t="s">
        <v>2632</v>
      </c>
      <c r="E1353" s="68" t="n">
        <v>15000</v>
      </c>
      <c r="F1353" s="80" t="s">
        <v>3125</v>
      </c>
    </row>
    <row r="1354" customFormat="false" ht="22.35" hidden="false" customHeight="false" outlineLevel="0" collapsed="false">
      <c r="A1354" s="68" t="s">
        <v>3123</v>
      </c>
      <c r="B1354" s="68" t="n">
        <v>140</v>
      </c>
      <c r="C1354" s="68" t="s">
        <v>2383</v>
      </c>
      <c r="D1354" s="68" t="s">
        <v>2628</v>
      </c>
      <c r="E1354" s="68" t="s">
        <v>208</v>
      </c>
      <c r="F1354" s="80" t="s">
        <v>3024</v>
      </c>
    </row>
    <row r="1355" customFormat="false" ht="22.35" hidden="false" customHeight="false" outlineLevel="0" collapsed="false">
      <c r="A1355" s="68" t="s">
        <v>3126</v>
      </c>
      <c r="B1355" s="68" t="n">
        <v>141</v>
      </c>
      <c r="C1355" s="68" t="s">
        <v>2253</v>
      </c>
      <c r="D1355" s="68" t="s">
        <v>2628</v>
      </c>
      <c r="E1355" s="68" t="s">
        <v>54</v>
      </c>
      <c r="F1355" s="80" t="s">
        <v>2672</v>
      </c>
    </row>
    <row r="1356" customFormat="false" ht="22.35" hidden="false" customHeight="false" outlineLevel="0" collapsed="false">
      <c r="A1356" s="68" t="s">
        <v>3126</v>
      </c>
      <c r="B1356" s="68" t="n">
        <v>141</v>
      </c>
      <c r="C1356" s="68" t="s">
        <v>2260</v>
      </c>
      <c r="D1356" s="68" t="s">
        <v>2628</v>
      </c>
      <c r="E1356" s="68" t="s">
        <v>132</v>
      </c>
      <c r="F1356" s="80" t="s">
        <v>2808</v>
      </c>
    </row>
    <row r="1357" customFormat="false" ht="32.8" hidden="false" customHeight="false" outlineLevel="0" collapsed="false">
      <c r="A1357" s="68" t="s">
        <v>3126</v>
      </c>
      <c r="B1357" s="68" t="n">
        <v>141</v>
      </c>
      <c r="C1357" s="68" t="s">
        <v>2266</v>
      </c>
      <c r="D1357" s="68" t="s">
        <v>2628</v>
      </c>
      <c r="E1357" s="68" t="s">
        <v>90</v>
      </c>
      <c r="F1357" s="80" t="s">
        <v>2836</v>
      </c>
    </row>
    <row r="1358" customFormat="false" ht="15" hidden="false" customHeight="false" outlineLevel="0" collapsed="false">
      <c r="A1358" s="68" t="s">
        <v>3126</v>
      </c>
      <c r="B1358" s="68" t="n">
        <v>141</v>
      </c>
      <c r="C1358" s="68" t="s">
        <v>2300</v>
      </c>
      <c r="D1358" s="68" t="s">
        <v>2632</v>
      </c>
      <c r="E1358" s="68" t="s">
        <v>479</v>
      </c>
      <c r="F1358" s="80" t="s">
        <v>2810</v>
      </c>
    </row>
    <row r="1359" customFormat="false" ht="22.35" hidden="false" customHeight="false" outlineLevel="0" collapsed="false">
      <c r="A1359" s="68" t="s">
        <v>3126</v>
      </c>
      <c r="B1359" s="68" t="n">
        <v>141</v>
      </c>
      <c r="C1359" s="68" t="s">
        <v>2304</v>
      </c>
      <c r="D1359" s="68" t="s">
        <v>2696</v>
      </c>
      <c r="E1359" s="68" t="s">
        <v>312</v>
      </c>
      <c r="F1359" s="80" t="s">
        <v>3028</v>
      </c>
    </row>
    <row r="1360" customFormat="false" ht="15" hidden="false" customHeight="false" outlineLevel="0" collapsed="false">
      <c r="A1360" s="68" t="s">
        <v>3126</v>
      </c>
      <c r="B1360" s="68" t="n">
        <v>141</v>
      </c>
      <c r="C1360" s="68" t="s">
        <v>2324</v>
      </c>
      <c r="D1360" s="68" t="s">
        <v>2696</v>
      </c>
      <c r="E1360" s="68" t="s">
        <v>304</v>
      </c>
      <c r="F1360" s="80" t="s">
        <v>2812</v>
      </c>
    </row>
    <row r="1361" customFormat="false" ht="15" hidden="false" customHeight="false" outlineLevel="0" collapsed="false">
      <c r="A1361" s="68" t="s">
        <v>3126</v>
      </c>
      <c r="B1361" s="68" t="n">
        <v>141</v>
      </c>
      <c r="C1361" s="68" t="s">
        <v>2351</v>
      </c>
      <c r="D1361" s="68" t="s">
        <v>2632</v>
      </c>
      <c r="E1361" s="68" t="n">
        <v>1393</v>
      </c>
      <c r="F1361" s="80" t="s">
        <v>3022</v>
      </c>
    </row>
    <row r="1362" customFormat="false" ht="15" hidden="false" customHeight="false" outlineLevel="0" collapsed="false">
      <c r="A1362" s="68" t="s">
        <v>3126</v>
      </c>
      <c r="B1362" s="68" t="n">
        <v>141</v>
      </c>
      <c r="C1362" s="68" t="s">
        <v>2357</v>
      </c>
      <c r="D1362" s="68" t="s">
        <v>2632</v>
      </c>
      <c r="E1362" s="68" t="s">
        <v>363</v>
      </c>
      <c r="F1362" s="80" t="s">
        <v>3127</v>
      </c>
    </row>
    <row r="1363" customFormat="false" ht="15" hidden="false" customHeight="false" outlineLevel="0" collapsed="false">
      <c r="A1363" s="68" t="s">
        <v>3126</v>
      </c>
      <c r="B1363" s="68" t="n">
        <v>141</v>
      </c>
      <c r="C1363" s="68" t="s">
        <v>2362</v>
      </c>
      <c r="D1363" s="68" t="s">
        <v>2632</v>
      </c>
      <c r="E1363" s="68" t="n">
        <v>15000</v>
      </c>
      <c r="F1363" s="80" t="s">
        <v>3128</v>
      </c>
    </row>
    <row r="1364" customFormat="false" ht="22.35" hidden="false" customHeight="false" outlineLevel="0" collapsed="false">
      <c r="A1364" s="68" t="s">
        <v>3126</v>
      </c>
      <c r="B1364" s="68" t="n">
        <v>141</v>
      </c>
      <c r="C1364" s="68" t="s">
        <v>2383</v>
      </c>
      <c r="D1364" s="68" t="s">
        <v>2628</v>
      </c>
      <c r="E1364" s="68" t="s">
        <v>208</v>
      </c>
      <c r="F1364" s="80" t="s">
        <v>3024</v>
      </c>
    </row>
    <row r="1365" customFormat="false" ht="22.35" hidden="false" customHeight="false" outlineLevel="0" collapsed="false">
      <c r="A1365" s="68" t="s">
        <v>3129</v>
      </c>
      <c r="B1365" s="68" t="n">
        <v>142</v>
      </c>
      <c r="C1365" s="68" t="s">
        <v>2253</v>
      </c>
      <c r="D1365" s="68" t="s">
        <v>2628</v>
      </c>
      <c r="E1365" s="68" t="s">
        <v>57</v>
      </c>
      <c r="F1365" s="80" t="s">
        <v>2677</v>
      </c>
    </row>
    <row r="1366" customFormat="false" ht="22.35" hidden="false" customHeight="false" outlineLevel="0" collapsed="false">
      <c r="A1366" s="68" t="s">
        <v>3129</v>
      </c>
      <c r="B1366" s="68" t="n">
        <v>142</v>
      </c>
      <c r="C1366" s="68" t="s">
        <v>2260</v>
      </c>
      <c r="D1366" s="68" t="s">
        <v>2628</v>
      </c>
      <c r="E1366" s="68" t="s">
        <v>192</v>
      </c>
      <c r="F1366" s="80" t="s">
        <v>2678</v>
      </c>
    </row>
    <row r="1367" customFormat="false" ht="32.8" hidden="false" customHeight="false" outlineLevel="0" collapsed="false">
      <c r="A1367" s="68" t="s">
        <v>3129</v>
      </c>
      <c r="B1367" s="68" t="n">
        <v>142</v>
      </c>
      <c r="C1367" s="68" t="s">
        <v>2266</v>
      </c>
      <c r="D1367" s="68" t="s">
        <v>2628</v>
      </c>
      <c r="E1367" s="68" t="s">
        <v>78</v>
      </c>
      <c r="F1367" s="80" t="s">
        <v>2952</v>
      </c>
    </row>
    <row r="1368" customFormat="false" ht="15" hidden="false" customHeight="false" outlineLevel="0" collapsed="false">
      <c r="A1368" s="68" t="s">
        <v>3129</v>
      </c>
      <c r="B1368" s="68" t="n">
        <v>142</v>
      </c>
      <c r="C1368" s="68" t="s">
        <v>2300</v>
      </c>
      <c r="D1368" s="68" t="s">
        <v>2632</v>
      </c>
      <c r="E1368" s="68" t="s">
        <v>624</v>
      </c>
      <c r="F1368" s="80" t="s">
        <v>2944</v>
      </c>
    </row>
    <row r="1369" customFormat="false" ht="22.35" hidden="false" customHeight="false" outlineLevel="0" collapsed="false">
      <c r="A1369" s="68" t="s">
        <v>3129</v>
      </c>
      <c r="B1369" s="68" t="n">
        <v>142</v>
      </c>
      <c r="C1369" s="68" t="s">
        <v>2304</v>
      </c>
      <c r="D1369" s="68" t="s">
        <v>2696</v>
      </c>
      <c r="E1369" s="68" t="s">
        <v>312</v>
      </c>
      <c r="F1369" s="80" t="s">
        <v>3030</v>
      </c>
    </row>
    <row r="1370" customFormat="false" ht="15" hidden="false" customHeight="false" outlineLevel="0" collapsed="false">
      <c r="A1370" s="68" t="s">
        <v>3129</v>
      </c>
      <c r="B1370" s="68" t="n">
        <v>142</v>
      </c>
      <c r="C1370" s="68" t="s">
        <v>2324</v>
      </c>
      <c r="D1370" s="68" t="s">
        <v>2696</v>
      </c>
      <c r="E1370" s="68" t="s">
        <v>304</v>
      </c>
      <c r="F1370" s="80" t="s">
        <v>2812</v>
      </c>
    </row>
    <row r="1371" customFormat="false" ht="15" hidden="false" customHeight="false" outlineLevel="0" collapsed="false">
      <c r="A1371" s="68" t="s">
        <v>3129</v>
      </c>
      <c r="B1371" s="68" t="n">
        <v>142</v>
      </c>
      <c r="C1371" s="68" t="s">
        <v>2351</v>
      </c>
      <c r="D1371" s="68" t="s">
        <v>2632</v>
      </c>
      <c r="E1371" s="68" t="n">
        <v>1393</v>
      </c>
      <c r="F1371" s="80" t="s">
        <v>3022</v>
      </c>
    </row>
    <row r="1372" customFormat="false" ht="15" hidden="false" customHeight="false" outlineLevel="0" collapsed="false">
      <c r="A1372" s="68" t="s">
        <v>3129</v>
      </c>
      <c r="B1372" s="68" t="n">
        <v>142</v>
      </c>
      <c r="C1372" s="68" t="s">
        <v>2357</v>
      </c>
      <c r="D1372" s="68" t="s">
        <v>2632</v>
      </c>
      <c r="E1372" s="68" t="s">
        <v>363</v>
      </c>
      <c r="F1372" s="80" t="s">
        <v>3130</v>
      </c>
    </row>
    <row r="1373" customFormat="false" ht="15" hidden="false" customHeight="false" outlineLevel="0" collapsed="false">
      <c r="A1373" s="68" t="s">
        <v>3129</v>
      </c>
      <c r="B1373" s="68" t="n">
        <v>142</v>
      </c>
      <c r="C1373" s="68" t="s">
        <v>2362</v>
      </c>
      <c r="D1373" s="68" t="s">
        <v>2632</v>
      </c>
      <c r="E1373" s="68" t="n">
        <v>10000</v>
      </c>
      <c r="F1373" s="80" t="s">
        <v>3131</v>
      </c>
    </row>
    <row r="1374" customFormat="false" ht="22.35" hidden="false" customHeight="false" outlineLevel="0" collapsed="false">
      <c r="A1374" s="68" t="s">
        <v>3129</v>
      </c>
      <c r="B1374" s="68" t="n">
        <v>142</v>
      </c>
      <c r="C1374" s="68" t="s">
        <v>2383</v>
      </c>
      <c r="D1374" s="68" t="s">
        <v>2628</v>
      </c>
      <c r="E1374" s="68" t="s">
        <v>208</v>
      </c>
      <c r="F1374" s="80" t="s">
        <v>3024</v>
      </c>
    </row>
    <row r="1375" customFormat="false" ht="22.35" hidden="false" customHeight="false" outlineLevel="0" collapsed="false">
      <c r="A1375" s="68" t="s">
        <v>3132</v>
      </c>
      <c r="B1375" s="68" t="n">
        <v>143</v>
      </c>
      <c r="C1375" s="68" t="s">
        <v>2253</v>
      </c>
      <c r="D1375" s="68" t="s">
        <v>2628</v>
      </c>
      <c r="E1375" s="68" t="s">
        <v>60</v>
      </c>
      <c r="F1375" s="80" t="s">
        <v>2791</v>
      </c>
    </row>
    <row r="1376" customFormat="false" ht="22.35" hidden="false" customHeight="false" outlineLevel="0" collapsed="false">
      <c r="A1376" s="68" t="s">
        <v>3132</v>
      </c>
      <c r="B1376" s="68" t="n">
        <v>143</v>
      </c>
      <c r="C1376" s="68" t="s">
        <v>2260</v>
      </c>
      <c r="D1376" s="68" t="s">
        <v>2628</v>
      </c>
      <c r="E1376" s="68" t="s">
        <v>192</v>
      </c>
      <c r="F1376" s="80" t="s">
        <v>2678</v>
      </c>
    </row>
    <row r="1377" customFormat="false" ht="32.8" hidden="false" customHeight="false" outlineLevel="0" collapsed="false">
      <c r="A1377" s="68" t="s">
        <v>3132</v>
      </c>
      <c r="B1377" s="68" t="n">
        <v>143</v>
      </c>
      <c r="C1377" s="68" t="s">
        <v>2266</v>
      </c>
      <c r="D1377" s="68" t="s">
        <v>2628</v>
      </c>
      <c r="E1377" s="68" t="s">
        <v>74</v>
      </c>
      <c r="F1377" s="80" t="s">
        <v>2943</v>
      </c>
    </row>
    <row r="1378" customFormat="false" ht="15" hidden="false" customHeight="false" outlineLevel="0" collapsed="false">
      <c r="A1378" s="68" t="s">
        <v>3132</v>
      </c>
      <c r="B1378" s="68" t="n">
        <v>143</v>
      </c>
      <c r="C1378" s="68" t="s">
        <v>2300</v>
      </c>
      <c r="D1378" s="68" t="s">
        <v>2632</v>
      </c>
      <c r="E1378" s="68" t="s">
        <v>624</v>
      </c>
      <c r="F1378" s="80" t="s">
        <v>2944</v>
      </c>
    </row>
    <row r="1379" customFormat="false" ht="22.35" hidden="false" customHeight="false" outlineLevel="0" collapsed="false">
      <c r="A1379" s="68" t="s">
        <v>3132</v>
      </c>
      <c r="B1379" s="68" t="n">
        <v>143</v>
      </c>
      <c r="C1379" s="68" t="s">
        <v>2304</v>
      </c>
      <c r="D1379" s="68" t="s">
        <v>2696</v>
      </c>
      <c r="E1379" s="68" t="s">
        <v>312</v>
      </c>
      <c r="F1379" s="80" t="s">
        <v>3032</v>
      </c>
    </row>
    <row r="1380" customFormat="false" ht="15" hidden="false" customHeight="false" outlineLevel="0" collapsed="false">
      <c r="A1380" s="68" t="s">
        <v>3132</v>
      </c>
      <c r="B1380" s="68" t="n">
        <v>143</v>
      </c>
      <c r="C1380" s="68" t="s">
        <v>2324</v>
      </c>
      <c r="D1380" s="68" t="s">
        <v>2696</v>
      </c>
      <c r="E1380" s="68" t="s">
        <v>304</v>
      </c>
      <c r="F1380" s="80" t="s">
        <v>2812</v>
      </c>
    </row>
    <row r="1381" customFormat="false" ht="15" hidden="false" customHeight="false" outlineLevel="0" collapsed="false">
      <c r="A1381" s="68" t="s">
        <v>3132</v>
      </c>
      <c r="B1381" s="68" t="n">
        <v>143</v>
      </c>
      <c r="C1381" s="68" t="s">
        <v>2351</v>
      </c>
      <c r="D1381" s="68" t="s">
        <v>2632</v>
      </c>
      <c r="E1381" s="68" t="n">
        <v>1393</v>
      </c>
      <c r="F1381" s="80" t="s">
        <v>3022</v>
      </c>
    </row>
    <row r="1382" customFormat="false" ht="15" hidden="false" customHeight="false" outlineLevel="0" collapsed="false">
      <c r="A1382" s="68" t="s">
        <v>3132</v>
      </c>
      <c r="B1382" s="68" t="n">
        <v>143</v>
      </c>
      <c r="C1382" s="68" t="s">
        <v>2357</v>
      </c>
      <c r="D1382" s="68" t="s">
        <v>2632</v>
      </c>
      <c r="E1382" s="68" t="s">
        <v>363</v>
      </c>
      <c r="F1382" s="80" t="s">
        <v>3133</v>
      </c>
    </row>
    <row r="1383" customFormat="false" ht="15" hidden="false" customHeight="false" outlineLevel="0" collapsed="false">
      <c r="A1383" s="68" t="s">
        <v>3132</v>
      </c>
      <c r="B1383" s="68" t="n">
        <v>143</v>
      </c>
      <c r="C1383" s="68" t="s">
        <v>2362</v>
      </c>
      <c r="D1383" s="68" t="s">
        <v>2632</v>
      </c>
      <c r="E1383" s="68" t="n">
        <v>6500</v>
      </c>
      <c r="F1383" s="80" t="s">
        <v>3134</v>
      </c>
    </row>
    <row r="1384" customFormat="false" ht="22.35" hidden="false" customHeight="false" outlineLevel="0" collapsed="false">
      <c r="A1384" s="68" t="s">
        <v>3132</v>
      </c>
      <c r="B1384" s="68" t="n">
        <v>143</v>
      </c>
      <c r="C1384" s="68" t="s">
        <v>2383</v>
      </c>
      <c r="D1384" s="68" t="s">
        <v>2628</v>
      </c>
      <c r="E1384" s="68" t="s">
        <v>208</v>
      </c>
      <c r="F1384" s="80" t="s">
        <v>3024</v>
      </c>
    </row>
    <row r="1385" customFormat="false" ht="22.35" hidden="false" customHeight="false" outlineLevel="0" collapsed="false">
      <c r="A1385" s="68" t="s">
        <v>3135</v>
      </c>
      <c r="B1385" s="68" t="n">
        <v>144</v>
      </c>
      <c r="C1385" s="68" t="s">
        <v>2253</v>
      </c>
      <c r="D1385" s="68" t="s">
        <v>2628</v>
      </c>
      <c r="E1385" s="68" t="s">
        <v>60</v>
      </c>
      <c r="F1385" s="80" t="s">
        <v>2791</v>
      </c>
    </row>
    <row r="1386" customFormat="false" ht="22.35" hidden="false" customHeight="false" outlineLevel="0" collapsed="false">
      <c r="A1386" s="68" t="s">
        <v>3135</v>
      </c>
      <c r="B1386" s="68" t="n">
        <v>144</v>
      </c>
      <c r="C1386" s="68" t="s">
        <v>2260</v>
      </c>
      <c r="D1386" s="68" t="s">
        <v>2628</v>
      </c>
      <c r="E1386" s="68" t="s">
        <v>186</v>
      </c>
      <c r="F1386" s="80" t="s">
        <v>3034</v>
      </c>
    </row>
    <row r="1387" customFormat="false" ht="32.8" hidden="false" customHeight="false" outlineLevel="0" collapsed="false">
      <c r="A1387" s="68" t="s">
        <v>3135</v>
      </c>
      <c r="B1387" s="68" t="n">
        <v>144</v>
      </c>
      <c r="C1387" s="68" t="s">
        <v>2266</v>
      </c>
      <c r="D1387" s="68" t="s">
        <v>2628</v>
      </c>
      <c r="E1387" s="68" t="s">
        <v>74</v>
      </c>
      <c r="F1387" s="80" t="s">
        <v>2943</v>
      </c>
    </row>
    <row r="1388" customFormat="false" ht="15" hidden="false" customHeight="false" outlineLevel="0" collapsed="false">
      <c r="A1388" s="68" t="s">
        <v>3135</v>
      </c>
      <c r="B1388" s="68" t="n">
        <v>144</v>
      </c>
      <c r="C1388" s="68" t="s">
        <v>2300</v>
      </c>
      <c r="D1388" s="68" t="s">
        <v>2632</v>
      </c>
      <c r="E1388" s="68" t="s">
        <v>646</v>
      </c>
      <c r="F1388" s="80" t="s">
        <v>2958</v>
      </c>
    </row>
    <row r="1389" customFormat="false" ht="22.35" hidden="false" customHeight="false" outlineLevel="0" collapsed="false">
      <c r="A1389" s="68" t="s">
        <v>3135</v>
      </c>
      <c r="B1389" s="68" t="n">
        <v>144</v>
      </c>
      <c r="C1389" s="68" t="s">
        <v>2304</v>
      </c>
      <c r="D1389" s="68" t="s">
        <v>2696</v>
      </c>
      <c r="E1389" s="68" t="s">
        <v>312</v>
      </c>
      <c r="F1389" s="80" t="s">
        <v>3035</v>
      </c>
    </row>
    <row r="1390" customFormat="false" ht="15" hidden="false" customHeight="false" outlineLevel="0" collapsed="false">
      <c r="A1390" s="68" t="s">
        <v>3135</v>
      </c>
      <c r="B1390" s="68" t="n">
        <v>144</v>
      </c>
      <c r="C1390" s="68" t="s">
        <v>2324</v>
      </c>
      <c r="D1390" s="68" t="s">
        <v>2632</v>
      </c>
      <c r="E1390" s="68" t="s">
        <v>304</v>
      </c>
      <c r="F1390" s="80" t="s">
        <v>2792</v>
      </c>
    </row>
    <row r="1391" customFormat="false" ht="15" hidden="false" customHeight="false" outlineLevel="0" collapsed="false">
      <c r="A1391" s="68" t="s">
        <v>3135</v>
      </c>
      <c r="B1391" s="68" t="n">
        <v>144</v>
      </c>
      <c r="C1391" s="68" t="s">
        <v>2351</v>
      </c>
      <c r="D1391" s="68" t="s">
        <v>2632</v>
      </c>
      <c r="E1391" s="68" t="n">
        <v>1393</v>
      </c>
      <c r="F1391" s="80" t="s">
        <v>3022</v>
      </c>
    </row>
    <row r="1392" customFormat="false" ht="15" hidden="false" customHeight="false" outlineLevel="0" collapsed="false">
      <c r="A1392" s="68" t="s">
        <v>3135</v>
      </c>
      <c r="B1392" s="68" t="n">
        <v>144</v>
      </c>
      <c r="C1392" s="68" t="s">
        <v>2357</v>
      </c>
      <c r="D1392" s="68" t="s">
        <v>2632</v>
      </c>
      <c r="E1392" s="68" t="s">
        <v>363</v>
      </c>
      <c r="F1392" s="80" t="s">
        <v>3136</v>
      </c>
    </row>
    <row r="1393" customFormat="false" ht="15" hidden="false" customHeight="false" outlineLevel="0" collapsed="false">
      <c r="A1393" s="68" t="s">
        <v>3135</v>
      </c>
      <c r="B1393" s="68" t="n">
        <v>144</v>
      </c>
      <c r="C1393" s="68" t="s">
        <v>2362</v>
      </c>
      <c r="D1393" s="68" t="s">
        <v>2632</v>
      </c>
      <c r="E1393" s="68" t="n">
        <v>80000</v>
      </c>
      <c r="F1393" s="80" t="s">
        <v>3137</v>
      </c>
    </row>
    <row r="1394" customFormat="false" ht="22.35" hidden="false" customHeight="false" outlineLevel="0" collapsed="false">
      <c r="A1394" s="68" t="s">
        <v>3135</v>
      </c>
      <c r="B1394" s="68" t="n">
        <v>144</v>
      </c>
      <c r="C1394" s="68" t="s">
        <v>2383</v>
      </c>
      <c r="D1394" s="68" t="s">
        <v>2628</v>
      </c>
      <c r="E1394" s="68" t="s">
        <v>208</v>
      </c>
      <c r="F1394" s="80" t="s">
        <v>3024</v>
      </c>
    </row>
    <row r="1395" customFormat="false" ht="22.35" hidden="false" customHeight="false" outlineLevel="0" collapsed="false">
      <c r="A1395" s="68" t="s">
        <v>3138</v>
      </c>
      <c r="B1395" s="68" t="n">
        <v>145</v>
      </c>
      <c r="C1395" s="68" t="s">
        <v>2253</v>
      </c>
      <c r="D1395" s="68" t="s">
        <v>2628</v>
      </c>
      <c r="E1395" s="68" t="s">
        <v>60</v>
      </c>
      <c r="F1395" s="80" t="s">
        <v>2791</v>
      </c>
    </row>
    <row r="1396" customFormat="false" ht="22.35" hidden="false" customHeight="false" outlineLevel="0" collapsed="false">
      <c r="A1396" s="68" t="s">
        <v>3138</v>
      </c>
      <c r="B1396" s="68" t="n">
        <v>145</v>
      </c>
      <c r="C1396" s="68" t="s">
        <v>2260</v>
      </c>
      <c r="D1396" s="68" t="s">
        <v>2628</v>
      </c>
      <c r="E1396" s="68" t="s">
        <v>186</v>
      </c>
      <c r="F1396" s="80" t="s">
        <v>3034</v>
      </c>
    </row>
    <row r="1397" customFormat="false" ht="32.8" hidden="false" customHeight="false" outlineLevel="0" collapsed="false">
      <c r="A1397" s="68" t="s">
        <v>3138</v>
      </c>
      <c r="B1397" s="68" t="n">
        <v>145</v>
      </c>
      <c r="C1397" s="68" t="s">
        <v>2266</v>
      </c>
      <c r="D1397" s="68" t="s">
        <v>2628</v>
      </c>
      <c r="E1397" s="68" t="s">
        <v>74</v>
      </c>
      <c r="F1397" s="80" t="s">
        <v>2943</v>
      </c>
    </row>
    <row r="1398" customFormat="false" ht="15" hidden="false" customHeight="false" outlineLevel="0" collapsed="false">
      <c r="A1398" s="68" t="s">
        <v>3138</v>
      </c>
      <c r="B1398" s="68" t="n">
        <v>145</v>
      </c>
      <c r="C1398" s="68" t="s">
        <v>2300</v>
      </c>
      <c r="D1398" s="68" t="s">
        <v>2632</v>
      </c>
      <c r="E1398" s="68" t="s">
        <v>646</v>
      </c>
      <c r="F1398" s="80" t="s">
        <v>2958</v>
      </c>
    </row>
    <row r="1399" customFormat="false" ht="22.35" hidden="false" customHeight="false" outlineLevel="0" collapsed="false">
      <c r="A1399" s="68" t="s">
        <v>3138</v>
      </c>
      <c r="B1399" s="68" t="n">
        <v>145</v>
      </c>
      <c r="C1399" s="68" t="s">
        <v>2304</v>
      </c>
      <c r="D1399" s="68" t="s">
        <v>2696</v>
      </c>
      <c r="E1399" s="68" t="s">
        <v>312</v>
      </c>
      <c r="F1399" s="80" t="s">
        <v>3037</v>
      </c>
    </row>
    <row r="1400" customFormat="false" ht="15" hidden="false" customHeight="false" outlineLevel="0" collapsed="false">
      <c r="A1400" s="68" t="s">
        <v>3138</v>
      </c>
      <c r="B1400" s="68" t="n">
        <v>145</v>
      </c>
      <c r="C1400" s="68" t="s">
        <v>2324</v>
      </c>
      <c r="D1400" s="68" t="s">
        <v>2632</v>
      </c>
      <c r="E1400" s="68" t="s">
        <v>460</v>
      </c>
      <c r="F1400" s="80" t="s">
        <v>2795</v>
      </c>
    </row>
    <row r="1401" customFormat="false" ht="15" hidden="false" customHeight="false" outlineLevel="0" collapsed="false">
      <c r="A1401" s="68" t="s">
        <v>3138</v>
      </c>
      <c r="B1401" s="68" t="n">
        <v>145</v>
      </c>
      <c r="C1401" s="68" t="s">
        <v>2351</v>
      </c>
      <c r="D1401" s="68" t="s">
        <v>2632</v>
      </c>
      <c r="E1401" s="68" t="n">
        <v>1393</v>
      </c>
      <c r="F1401" s="80" t="s">
        <v>3022</v>
      </c>
    </row>
    <row r="1402" customFormat="false" ht="15" hidden="false" customHeight="false" outlineLevel="0" collapsed="false">
      <c r="A1402" s="68" t="s">
        <v>3138</v>
      </c>
      <c r="B1402" s="68" t="n">
        <v>145</v>
      </c>
      <c r="C1402" s="68" t="s">
        <v>2357</v>
      </c>
      <c r="D1402" s="68" t="s">
        <v>2632</v>
      </c>
      <c r="E1402" s="68" t="s">
        <v>363</v>
      </c>
      <c r="F1402" s="80" t="s">
        <v>3139</v>
      </c>
    </row>
    <row r="1403" customFormat="false" ht="15" hidden="false" customHeight="false" outlineLevel="0" collapsed="false">
      <c r="A1403" s="68" t="s">
        <v>3138</v>
      </c>
      <c r="B1403" s="68" t="n">
        <v>145</v>
      </c>
      <c r="C1403" s="68" t="s">
        <v>2362</v>
      </c>
      <c r="D1403" s="68" t="s">
        <v>2632</v>
      </c>
      <c r="E1403" s="68" t="n">
        <v>100000</v>
      </c>
      <c r="F1403" s="80" t="s">
        <v>3140</v>
      </c>
    </row>
    <row r="1404" customFormat="false" ht="22.35" hidden="false" customHeight="false" outlineLevel="0" collapsed="false">
      <c r="A1404" s="68" t="s">
        <v>3138</v>
      </c>
      <c r="B1404" s="68" t="n">
        <v>145</v>
      </c>
      <c r="C1404" s="68" t="s">
        <v>2383</v>
      </c>
      <c r="D1404" s="68" t="s">
        <v>2628</v>
      </c>
      <c r="E1404" s="68" t="s">
        <v>208</v>
      </c>
      <c r="F1404" s="80" t="s">
        <v>3024</v>
      </c>
    </row>
    <row r="1405" customFormat="false" ht="22.35" hidden="false" customHeight="false" outlineLevel="0" collapsed="false">
      <c r="A1405" s="68" t="s">
        <v>3141</v>
      </c>
      <c r="B1405" s="68" t="n">
        <v>146</v>
      </c>
      <c r="C1405" s="68" t="s">
        <v>2253</v>
      </c>
      <c r="D1405" s="68" t="s">
        <v>2628</v>
      </c>
      <c r="E1405" s="68" t="s">
        <v>60</v>
      </c>
      <c r="F1405" s="80" t="s">
        <v>2791</v>
      </c>
    </row>
    <row r="1406" customFormat="false" ht="22.35" hidden="false" customHeight="false" outlineLevel="0" collapsed="false">
      <c r="A1406" s="68" t="s">
        <v>3141</v>
      </c>
      <c r="B1406" s="68" t="n">
        <v>146</v>
      </c>
      <c r="C1406" s="68" t="s">
        <v>2260</v>
      </c>
      <c r="D1406" s="68" t="s">
        <v>2628</v>
      </c>
      <c r="E1406" s="68" t="s">
        <v>183</v>
      </c>
      <c r="F1406" s="80" t="s">
        <v>3039</v>
      </c>
    </row>
    <row r="1407" customFormat="false" ht="32.8" hidden="false" customHeight="false" outlineLevel="0" collapsed="false">
      <c r="A1407" s="68" t="s">
        <v>3141</v>
      </c>
      <c r="B1407" s="68" t="n">
        <v>146</v>
      </c>
      <c r="C1407" s="68" t="s">
        <v>2266</v>
      </c>
      <c r="D1407" s="68" t="s">
        <v>2628</v>
      </c>
      <c r="E1407" s="68" t="s">
        <v>74</v>
      </c>
      <c r="F1407" s="80" t="s">
        <v>2943</v>
      </c>
    </row>
    <row r="1408" customFormat="false" ht="15" hidden="false" customHeight="false" outlineLevel="0" collapsed="false">
      <c r="A1408" s="68" t="s">
        <v>3141</v>
      </c>
      <c r="B1408" s="68" t="n">
        <v>146</v>
      </c>
      <c r="C1408" s="68" t="s">
        <v>2300</v>
      </c>
      <c r="D1408" s="68" t="s">
        <v>2632</v>
      </c>
      <c r="E1408" s="68" t="s">
        <v>646</v>
      </c>
      <c r="F1408" s="80" t="s">
        <v>2958</v>
      </c>
    </row>
    <row r="1409" customFormat="false" ht="22.35" hidden="false" customHeight="false" outlineLevel="0" collapsed="false">
      <c r="A1409" s="68" t="s">
        <v>3141</v>
      </c>
      <c r="B1409" s="68" t="n">
        <v>146</v>
      </c>
      <c r="C1409" s="68" t="s">
        <v>2304</v>
      </c>
      <c r="D1409" s="68" t="s">
        <v>2696</v>
      </c>
      <c r="E1409" s="68" t="s">
        <v>312</v>
      </c>
      <c r="F1409" s="80" t="s">
        <v>3040</v>
      </c>
    </row>
    <row r="1410" customFormat="false" ht="15" hidden="false" customHeight="false" outlineLevel="0" collapsed="false">
      <c r="A1410" s="68" t="s">
        <v>3141</v>
      </c>
      <c r="B1410" s="68" t="n">
        <v>146</v>
      </c>
      <c r="C1410" s="68" t="s">
        <v>2324</v>
      </c>
      <c r="D1410" s="68" t="s">
        <v>2696</v>
      </c>
      <c r="E1410" s="68" t="s">
        <v>304</v>
      </c>
      <c r="F1410" s="80" t="s">
        <v>2812</v>
      </c>
    </row>
    <row r="1411" customFormat="false" ht="15" hidden="false" customHeight="false" outlineLevel="0" collapsed="false">
      <c r="A1411" s="68" t="s">
        <v>3141</v>
      </c>
      <c r="B1411" s="68" t="n">
        <v>146</v>
      </c>
      <c r="C1411" s="68" t="s">
        <v>2351</v>
      </c>
      <c r="D1411" s="68" t="s">
        <v>2632</v>
      </c>
      <c r="E1411" s="68" t="n">
        <v>1393</v>
      </c>
      <c r="F1411" s="80" t="s">
        <v>3022</v>
      </c>
    </row>
    <row r="1412" customFormat="false" ht="15" hidden="false" customHeight="false" outlineLevel="0" collapsed="false">
      <c r="A1412" s="68" t="s">
        <v>3141</v>
      </c>
      <c r="B1412" s="68" t="n">
        <v>146</v>
      </c>
      <c r="C1412" s="68" t="s">
        <v>2357</v>
      </c>
      <c r="D1412" s="68" t="s">
        <v>2632</v>
      </c>
      <c r="E1412" s="68" t="s">
        <v>363</v>
      </c>
      <c r="F1412" s="80" t="s">
        <v>3142</v>
      </c>
    </row>
    <row r="1413" customFormat="false" ht="15" hidden="false" customHeight="false" outlineLevel="0" collapsed="false">
      <c r="A1413" s="68" t="s">
        <v>3141</v>
      </c>
      <c r="B1413" s="68" t="n">
        <v>146</v>
      </c>
      <c r="C1413" s="68" t="s">
        <v>2362</v>
      </c>
      <c r="D1413" s="68" t="s">
        <v>2632</v>
      </c>
      <c r="E1413" s="68" t="n">
        <v>15000</v>
      </c>
      <c r="F1413" s="80" t="s">
        <v>3143</v>
      </c>
    </row>
    <row r="1414" customFormat="false" ht="22.35" hidden="false" customHeight="false" outlineLevel="0" collapsed="false">
      <c r="A1414" s="68" t="s">
        <v>3141</v>
      </c>
      <c r="B1414" s="68" t="n">
        <v>146</v>
      </c>
      <c r="C1414" s="68" t="s">
        <v>2383</v>
      </c>
      <c r="D1414" s="68" t="s">
        <v>2628</v>
      </c>
      <c r="E1414" s="68" t="s">
        <v>208</v>
      </c>
      <c r="F1414" s="80" t="s">
        <v>3024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18"/>
    <col collapsed="false" customWidth="true" hidden="false" outlineLevel="0" max="4" min="4" style="0" width="2"/>
    <col collapsed="false" customWidth="true" hidden="false" outlineLevel="0" max="5" min="5" style="0" width="18"/>
    <col collapsed="false" customWidth="true" hidden="false" outlineLevel="0" max="6" min="6" style="0" width="8"/>
    <col collapsed="false" customWidth="true" hidden="false" outlineLevel="0" max="7" min="7" style="0" width="9"/>
    <col collapsed="false" customWidth="true" hidden="false" outlineLevel="0" max="8" min="8" style="0" width="34"/>
    <col collapsed="false" customWidth="true" hidden="false" outlineLevel="0" max="9" min="9" style="0" width="18"/>
    <col collapsed="false" customWidth="true" hidden="false" outlineLevel="0" max="10" min="10" style="0" width="9"/>
  </cols>
  <sheetData>
    <row r="1" customFormat="false" ht="17.15" hidden="false" customHeight="false" outlineLevel="0" collapsed="false">
      <c r="A1" s="7" t="s">
        <v>3144</v>
      </c>
    </row>
    <row r="2" customFormat="false" ht="15" hidden="false" customHeight="false" outlineLevel="0" collapsed="false">
      <c r="A2" s="8" t="s">
        <v>3145</v>
      </c>
    </row>
    <row r="4" customFormat="false" ht="15" hidden="false" customHeight="false" outlineLevel="0" collapsed="false">
      <c r="A4" s="53" t="s">
        <v>2181</v>
      </c>
      <c r="B4" s="53" t="s">
        <v>2223</v>
      </c>
      <c r="C4" s="53" t="s">
        <v>3146</v>
      </c>
      <c r="E4" s="60" t="s">
        <v>3147</v>
      </c>
      <c r="F4" s="60" t="s">
        <v>3148</v>
      </c>
      <c r="G4" s="60" t="s">
        <v>3149</v>
      </c>
      <c r="H4" s="60" t="s">
        <v>3150</v>
      </c>
      <c r="I4" s="60" t="s">
        <v>2161</v>
      </c>
      <c r="J4" s="60" t="s">
        <v>3151</v>
      </c>
    </row>
    <row r="5" customFormat="false" ht="15" hidden="false" customHeight="false" outlineLevel="0" collapsed="false">
      <c r="A5" s="68" t="s">
        <v>2627</v>
      </c>
      <c r="B5" s="68" t="s">
        <v>2284</v>
      </c>
      <c r="C5" s="68" t="n">
        <v>54.3</v>
      </c>
      <c r="E5" s="68" t="s">
        <v>3152</v>
      </c>
      <c r="F5" s="68" t="s">
        <v>3153</v>
      </c>
      <c r="G5" s="68" t="s">
        <v>3154</v>
      </c>
      <c r="H5" s="68" t="s">
        <v>37</v>
      </c>
      <c r="I5" s="68" t="s">
        <v>51</v>
      </c>
      <c r="J5" s="68"/>
    </row>
    <row r="6" customFormat="false" ht="15" hidden="false" customHeight="false" outlineLevel="0" collapsed="false">
      <c r="A6" s="68" t="s">
        <v>2627</v>
      </c>
      <c r="B6" s="68" t="s">
        <v>2290</v>
      </c>
      <c r="C6" s="68" t="s">
        <v>123</v>
      </c>
      <c r="E6" s="68" t="s">
        <v>3152</v>
      </c>
      <c r="F6" s="68" t="s">
        <v>3153</v>
      </c>
      <c r="G6" s="68" t="s">
        <v>3155</v>
      </c>
      <c r="H6" s="68" t="s">
        <v>836</v>
      </c>
      <c r="I6" s="68" t="s">
        <v>369</v>
      </c>
      <c r="J6" s="68"/>
    </row>
    <row r="7" customFormat="false" ht="15" hidden="false" customHeight="false" outlineLevel="0" collapsed="false">
      <c r="A7" s="68" t="s">
        <v>2627</v>
      </c>
      <c r="B7" s="68" t="s">
        <v>2365</v>
      </c>
      <c r="C7" s="68"/>
      <c r="E7" s="68" t="s">
        <v>3152</v>
      </c>
      <c r="F7" s="68" t="s">
        <v>3153</v>
      </c>
      <c r="G7" s="68" t="s">
        <v>3156</v>
      </c>
      <c r="H7" s="68" t="s">
        <v>252</v>
      </c>
      <c r="I7" s="68" t="s">
        <v>478</v>
      </c>
      <c r="J7" s="68"/>
    </row>
    <row r="8" customFormat="false" ht="15" hidden="false" customHeight="false" outlineLevel="0" collapsed="false">
      <c r="A8" s="68" t="s">
        <v>2627</v>
      </c>
      <c r="B8" s="68" t="s">
        <v>2370</v>
      </c>
      <c r="C8" s="68"/>
      <c r="E8" s="68" t="s">
        <v>3152</v>
      </c>
      <c r="F8" s="68" t="s">
        <v>3153</v>
      </c>
      <c r="G8" s="68" t="s">
        <v>3157</v>
      </c>
      <c r="H8" s="68" t="s">
        <v>261</v>
      </c>
      <c r="I8" s="68" t="s">
        <v>306</v>
      </c>
      <c r="J8" s="68"/>
    </row>
    <row r="9" customFormat="false" ht="15" hidden="false" customHeight="false" outlineLevel="0" collapsed="false">
      <c r="A9" s="68" t="s">
        <v>2627</v>
      </c>
      <c r="B9" s="68" t="s">
        <v>2375</v>
      </c>
      <c r="C9" s="68"/>
      <c r="E9" s="68" t="s">
        <v>3152</v>
      </c>
      <c r="F9" s="68" t="s">
        <v>3153</v>
      </c>
      <c r="G9" s="68" t="s">
        <v>3158</v>
      </c>
      <c r="H9" s="68" t="s">
        <v>246</v>
      </c>
      <c r="I9" s="68" t="s">
        <v>153</v>
      </c>
      <c r="J9" s="68"/>
    </row>
    <row r="10" customFormat="false" ht="15" hidden="false" customHeight="false" outlineLevel="0" collapsed="false">
      <c r="A10" s="68" t="s">
        <v>2627</v>
      </c>
      <c r="B10" s="68" t="s">
        <v>2388</v>
      </c>
      <c r="C10" s="68"/>
      <c r="E10" s="68" t="s">
        <v>3152</v>
      </c>
      <c r="F10" s="68" t="s">
        <v>3153</v>
      </c>
      <c r="G10" s="68" t="s">
        <v>3159</v>
      </c>
      <c r="H10" s="68" t="s">
        <v>247</v>
      </c>
      <c r="I10" s="68" t="s">
        <v>115</v>
      </c>
      <c r="J10" s="68" t="n">
        <v>1.9</v>
      </c>
    </row>
    <row r="11" customFormat="false" ht="15" hidden="false" customHeight="false" outlineLevel="0" collapsed="false">
      <c r="A11" s="68" t="s">
        <v>2627</v>
      </c>
      <c r="B11" s="68" t="s">
        <v>2393</v>
      </c>
      <c r="C11" s="68"/>
      <c r="E11" s="68" t="s">
        <v>3152</v>
      </c>
      <c r="F11" s="68" t="s">
        <v>3153</v>
      </c>
      <c r="G11" s="68" t="s">
        <v>3160</v>
      </c>
      <c r="H11" s="68" t="s">
        <v>255</v>
      </c>
      <c r="I11" s="68" t="s">
        <v>842</v>
      </c>
      <c r="J11" s="68" t="n">
        <v>1.12</v>
      </c>
    </row>
    <row r="12" customFormat="false" ht="15" hidden="false" customHeight="false" outlineLevel="0" collapsed="false">
      <c r="A12" s="68" t="s">
        <v>2627</v>
      </c>
      <c r="B12" s="68" t="s">
        <v>2398</v>
      </c>
      <c r="C12" s="68"/>
      <c r="E12" s="68" t="s">
        <v>3152</v>
      </c>
      <c r="F12" s="68" t="s">
        <v>3153</v>
      </c>
      <c r="G12" s="68" t="s">
        <v>3161</v>
      </c>
      <c r="H12" s="68" t="s">
        <v>256</v>
      </c>
      <c r="I12" s="68" t="s">
        <v>845</v>
      </c>
      <c r="J12" s="68" t="n">
        <v>1</v>
      </c>
    </row>
    <row r="13" customFormat="false" ht="15" hidden="false" customHeight="false" outlineLevel="0" collapsed="false">
      <c r="A13" s="68" t="s">
        <v>2627</v>
      </c>
      <c r="B13" s="68" t="s">
        <v>2432</v>
      </c>
      <c r="C13" s="68" t="s">
        <v>3162</v>
      </c>
      <c r="E13" s="68" t="s">
        <v>3152</v>
      </c>
      <c r="F13" s="68" t="s">
        <v>3153</v>
      </c>
      <c r="G13" s="68" t="s">
        <v>3163</v>
      </c>
      <c r="H13" s="68" t="s">
        <v>257</v>
      </c>
      <c r="I13" s="68" t="s">
        <v>848</v>
      </c>
      <c r="J13" s="68" t="n">
        <v>1.04</v>
      </c>
    </row>
    <row r="14" customFormat="false" ht="15" hidden="false" customHeight="false" outlineLevel="0" collapsed="false">
      <c r="A14" s="68" t="s">
        <v>2627</v>
      </c>
      <c r="B14" s="68" t="s">
        <v>2437</v>
      </c>
      <c r="C14" s="68" t="n">
        <v>1</v>
      </c>
      <c r="E14" s="68" t="s">
        <v>3152</v>
      </c>
      <c r="F14" s="68" t="s">
        <v>3153</v>
      </c>
      <c r="G14" s="68" t="s">
        <v>3164</v>
      </c>
      <c r="H14" s="68" t="s">
        <v>258</v>
      </c>
      <c r="I14" s="68" t="s">
        <v>304</v>
      </c>
      <c r="J14" s="68" t="n">
        <v>1</v>
      </c>
    </row>
    <row r="15" customFormat="false" ht="15" hidden="false" customHeight="false" outlineLevel="0" collapsed="false">
      <c r="A15" s="68" t="s">
        <v>2627</v>
      </c>
      <c r="B15" s="68" t="s">
        <v>2442</v>
      </c>
      <c r="C15" s="68" t="n">
        <v>1</v>
      </c>
      <c r="E15" s="68" t="s">
        <v>3152</v>
      </c>
      <c r="F15" s="68" t="s">
        <v>3153</v>
      </c>
      <c r="G15" s="68" t="s">
        <v>3165</v>
      </c>
      <c r="H15" s="68" t="s">
        <v>851</v>
      </c>
      <c r="I15" s="68" t="s">
        <v>369</v>
      </c>
      <c r="J15" s="68" t="n">
        <v>1.05</v>
      </c>
    </row>
    <row r="16" customFormat="false" ht="15" hidden="false" customHeight="false" outlineLevel="0" collapsed="false">
      <c r="A16" s="68" t="s">
        <v>2627</v>
      </c>
      <c r="B16" s="68" t="s">
        <v>2447</v>
      </c>
      <c r="C16" s="68" t="n">
        <v>1</v>
      </c>
      <c r="E16" s="68" t="s">
        <v>3152</v>
      </c>
      <c r="F16" s="68" t="s">
        <v>3153</v>
      </c>
      <c r="G16" s="68" t="s">
        <v>3166</v>
      </c>
      <c r="H16" s="68" t="s">
        <v>276</v>
      </c>
      <c r="I16" s="68" t="s">
        <v>369</v>
      </c>
      <c r="J16" s="68" t="n">
        <v>1</v>
      </c>
    </row>
    <row r="17" customFormat="false" ht="15" hidden="false" customHeight="false" outlineLevel="0" collapsed="false">
      <c r="A17" s="68" t="s">
        <v>2627</v>
      </c>
      <c r="B17" s="68" t="s">
        <v>2452</v>
      </c>
      <c r="C17" s="68" t="n">
        <v>1</v>
      </c>
      <c r="E17" s="68" t="s">
        <v>3152</v>
      </c>
      <c r="F17" s="68" t="s">
        <v>3153</v>
      </c>
      <c r="G17" s="68" t="s">
        <v>3167</v>
      </c>
      <c r="H17" s="68" t="s">
        <v>277</v>
      </c>
      <c r="I17" s="68" t="s">
        <v>369</v>
      </c>
      <c r="J17" s="68" t="n">
        <v>1</v>
      </c>
    </row>
    <row r="18" customFormat="false" ht="15" hidden="false" customHeight="false" outlineLevel="0" collapsed="false">
      <c r="A18" s="68" t="s">
        <v>2627</v>
      </c>
      <c r="B18" s="68" t="s">
        <v>2457</v>
      </c>
      <c r="C18" s="68" t="n">
        <v>1</v>
      </c>
      <c r="E18" s="68" t="s">
        <v>3152</v>
      </c>
      <c r="F18" s="68" t="s">
        <v>3153</v>
      </c>
      <c r="G18" s="68" t="s">
        <v>3168</v>
      </c>
      <c r="H18" s="68" t="s">
        <v>278</v>
      </c>
      <c r="I18" s="68" t="s">
        <v>369</v>
      </c>
      <c r="J18" s="68" t="n">
        <v>1</v>
      </c>
    </row>
    <row r="19" customFormat="false" ht="15" hidden="false" customHeight="false" outlineLevel="0" collapsed="false">
      <c r="A19" s="68" t="s">
        <v>2627</v>
      </c>
      <c r="B19" s="68" t="s">
        <v>2462</v>
      </c>
      <c r="C19" s="68"/>
      <c r="E19" s="68" t="s">
        <v>3152</v>
      </c>
      <c r="F19" s="68" t="s">
        <v>3153</v>
      </c>
      <c r="G19" s="68" t="s">
        <v>3169</v>
      </c>
      <c r="H19" s="68" t="s">
        <v>279</v>
      </c>
      <c r="I19" s="68" t="s">
        <v>369</v>
      </c>
      <c r="J19" s="68" t="n">
        <v>1</v>
      </c>
    </row>
    <row r="20" customFormat="false" ht="15" hidden="false" customHeight="false" outlineLevel="0" collapsed="false">
      <c r="A20" s="68" t="s">
        <v>2627</v>
      </c>
      <c r="B20" s="68" t="s">
        <v>2467</v>
      </c>
      <c r="C20" s="68"/>
      <c r="E20" s="68" t="s">
        <v>3152</v>
      </c>
      <c r="F20" s="68" t="s">
        <v>3153</v>
      </c>
      <c r="G20" s="68" t="s">
        <v>3170</v>
      </c>
      <c r="H20" s="68" t="s">
        <v>280</v>
      </c>
      <c r="I20" s="68" t="s">
        <v>312</v>
      </c>
      <c r="J20" s="68" t="n">
        <v>1</v>
      </c>
    </row>
    <row r="21" customFormat="false" ht="15" hidden="false" customHeight="false" outlineLevel="0" collapsed="false">
      <c r="A21" s="68" t="s">
        <v>2627</v>
      </c>
      <c r="B21" s="68" t="s">
        <v>2471</v>
      </c>
      <c r="C21" s="68" t="n">
        <v>123.416</v>
      </c>
      <c r="E21" s="68" t="s">
        <v>3152</v>
      </c>
      <c r="F21" s="68" t="s">
        <v>3153</v>
      </c>
      <c r="G21" s="68" t="s">
        <v>3171</v>
      </c>
      <c r="H21" s="68" t="s">
        <v>281</v>
      </c>
      <c r="I21" s="68" t="s">
        <v>369</v>
      </c>
      <c r="J21" s="68" t="n">
        <v>1.02</v>
      </c>
    </row>
    <row r="22" customFormat="false" ht="15" hidden="false" customHeight="false" outlineLevel="0" collapsed="false">
      <c r="A22" s="68" t="s">
        <v>2627</v>
      </c>
      <c r="B22" s="68" t="s">
        <v>2475</v>
      </c>
      <c r="C22" s="68" t="s">
        <v>312</v>
      </c>
      <c r="E22" s="68" t="s">
        <v>3152</v>
      </c>
      <c r="F22" s="68" t="s">
        <v>3153</v>
      </c>
      <c r="G22" s="68" t="s">
        <v>3172</v>
      </c>
      <c r="H22" s="68" t="s">
        <v>282</v>
      </c>
      <c r="I22" s="68" t="s">
        <v>312</v>
      </c>
      <c r="J22" s="68" t="n">
        <v>1</v>
      </c>
    </row>
    <row r="23" customFormat="false" ht="15" hidden="false" customHeight="false" outlineLevel="0" collapsed="false">
      <c r="A23" s="68" t="s">
        <v>2627</v>
      </c>
      <c r="B23" s="68" t="s">
        <v>2480</v>
      </c>
      <c r="C23" s="68"/>
      <c r="E23" s="68" t="s">
        <v>3152</v>
      </c>
      <c r="F23" s="68" t="s">
        <v>3153</v>
      </c>
      <c r="G23" s="68" t="s">
        <v>3173</v>
      </c>
      <c r="H23" s="68" t="s">
        <v>867</v>
      </c>
      <c r="I23" s="68"/>
      <c r="J23" s="68"/>
    </row>
    <row r="24" customFormat="false" ht="15" hidden="false" customHeight="false" outlineLevel="0" collapsed="false">
      <c r="A24" s="68" t="s">
        <v>2627</v>
      </c>
      <c r="B24" s="68" t="s">
        <v>2484</v>
      </c>
      <c r="C24" s="68"/>
      <c r="E24" s="68" t="s">
        <v>3152</v>
      </c>
      <c r="F24" s="68" t="s">
        <v>3153</v>
      </c>
      <c r="G24" s="68" t="s">
        <v>3174</v>
      </c>
      <c r="H24" s="68" t="s">
        <v>248</v>
      </c>
      <c r="I24" s="68" t="n">
        <v>80</v>
      </c>
      <c r="J24" s="68"/>
    </row>
    <row r="25" customFormat="false" ht="15" hidden="false" customHeight="false" outlineLevel="0" collapsed="false">
      <c r="A25" s="68" t="s">
        <v>2636</v>
      </c>
      <c r="B25" s="68" t="s">
        <v>2284</v>
      </c>
      <c r="C25" s="68" t="n">
        <v>33.1</v>
      </c>
      <c r="E25" s="68" t="s">
        <v>3152</v>
      </c>
      <c r="F25" s="68" t="s">
        <v>3153</v>
      </c>
      <c r="G25" s="68" t="s">
        <v>3175</v>
      </c>
      <c r="H25" s="68" t="s">
        <v>249</v>
      </c>
      <c r="I25" s="68" t="n">
        <v>600</v>
      </c>
      <c r="J25" s="68"/>
    </row>
    <row r="26" customFormat="false" ht="15" hidden="false" customHeight="false" outlineLevel="0" collapsed="false">
      <c r="A26" s="68" t="s">
        <v>2636</v>
      </c>
      <c r="B26" s="68" t="s">
        <v>2290</v>
      </c>
      <c r="C26" s="68" t="s">
        <v>123</v>
      </c>
      <c r="E26" s="68" t="s">
        <v>3152</v>
      </c>
      <c r="F26" s="68" t="s">
        <v>3153</v>
      </c>
      <c r="G26" s="68" t="s">
        <v>3176</v>
      </c>
      <c r="H26" s="68" t="s">
        <v>871</v>
      </c>
      <c r="I26" s="68" t="n">
        <v>2</v>
      </c>
      <c r="J26" s="68"/>
    </row>
    <row r="27" customFormat="false" ht="15" hidden="false" customHeight="false" outlineLevel="0" collapsed="false">
      <c r="A27" s="68" t="s">
        <v>2636</v>
      </c>
      <c r="B27" s="68" t="s">
        <v>2365</v>
      </c>
      <c r="C27" s="68"/>
      <c r="E27" s="68" t="s">
        <v>3152</v>
      </c>
      <c r="F27" s="68" t="s">
        <v>3177</v>
      </c>
      <c r="G27" s="68" t="s">
        <v>3178</v>
      </c>
      <c r="H27" s="68" t="s">
        <v>834</v>
      </c>
      <c r="I27" s="68" t="n">
        <v>217.983651226158</v>
      </c>
      <c r="J27" s="68"/>
    </row>
    <row r="28" customFormat="false" ht="15" hidden="false" customHeight="false" outlineLevel="0" collapsed="false">
      <c r="A28" s="68" t="s">
        <v>2636</v>
      </c>
      <c r="B28" s="68" t="s">
        <v>2370</v>
      </c>
      <c r="C28" s="68"/>
      <c r="E28" s="68" t="s">
        <v>3152</v>
      </c>
      <c r="F28" s="68" t="s">
        <v>3177</v>
      </c>
      <c r="G28" s="68" t="s">
        <v>3179</v>
      </c>
      <c r="H28" s="68" t="s">
        <v>284</v>
      </c>
      <c r="I28" s="68" t="n">
        <v>1.9</v>
      </c>
      <c r="J28" s="68"/>
    </row>
    <row r="29" customFormat="false" ht="15" hidden="false" customHeight="false" outlineLevel="0" collapsed="false">
      <c r="A29" s="68" t="s">
        <v>2636</v>
      </c>
      <c r="B29" s="68" t="s">
        <v>2375</v>
      </c>
      <c r="C29" s="68"/>
      <c r="E29" s="68" t="s">
        <v>3152</v>
      </c>
      <c r="F29" s="68" t="s">
        <v>3177</v>
      </c>
      <c r="G29" s="68" t="s">
        <v>3180</v>
      </c>
      <c r="H29" s="68" t="s">
        <v>285</v>
      </c>
      <c r="I29" s="68" t="n">
        <v>1.1648</v>
      </c>
      <c r="J29" s="68"/>
    </row>
    <row r="30" customFormat="false" ht="15" hidden="false" customHeight="false" outlineLevel="0" collapsed="false">
      <c r="A30" s="68" t="s">
        <v>2636</v>
      </c>
      <c r="B30" s="68" t="s">
        <v>2388</v>
      </c>
      <c r="C30" s="68"/>
      <c r="E30" s="68" t="s">
        <v>3152</v>
      </c>
      <c r="F30" s="68" t="s">
        <v>3177</v>
      </c>
      <c r="G30" s="68" t="s">
        <v>3181</v>
      </c>
      <c r="H30" s="68" t="s">
        <v>286</v>
      </c>
      <c r="I30" s="68" t="n">
        <v>1.05</v>
      </c>
      <c r="J30" s="68"/>
    </row>
    <row r="31" customFormat="false" ht="15" hidden="false" customHeight="false" outlineLevel="0" collapsed="false">
      <c r="A31" s="68" t="s">
        <v>2636</v>
      </c>
      <c r="B31" s="68" t="s">
        <v>2393</v>
      </c>
      <c r="C31" s="68"/>
      <c r="E31" s="68" t="s">
        <v>3152</v>
      </c>
      <c r="F31" s="68" t="s">
        <v>3177</v>
      </c>
      <c r="G31" s="68" t="s">
        <v>3182</v>
      </c>
      <c r="H31" s="68" t="s">
        <v>287</v>
      </c>
      <c r="I31" s="68" t="n">
        <v>1.02</v>
      </c>
      <c r="J31" s="68"/>
    </row>
    <row r="32" customFormat="false" ht="15" hidden="false" customHeight="false" outlineLevel="0" collapsed="false">
      <c r="A32" s="68" t="s">
        <v>2636</v>
      </c>
      <c r="B32" s="68" t="s">
        <v>2398</v>
      </c>
      <c r="C32" s="68"/>
      <c r="E32" s="68" t="s">
        <v>3152</v>
      </c>
      <c r="F32" s="68" t="s">
        <v>3177</v>
      </c>
      <c r="G32" s="68" t="s">
        <v>3183</v>
      </c>
      <c r="H32" s="68" t="s">
        <v>288</v>
      </c>
      <c r="I32" s="68" t="n">
        <v>2.37025152</v>
      </c>
      <c r="J32" s="68"/>
    </row>
    <row r="33" customFormat="false" ht="15" hidden="false" customHeight="false" outlineLevel="0" collapsed="false">
      <c r="A33" s="68" t="s">
        <v>2636</v>
      </c>
      <c r="B33" s="68" t="s">
        <v>2432</v>
      </c>
      <c r="C33" s="68" t="s">
        <v>3162</v>
      </c>
      <c r="E33" s="68" t="s">
        <v>3152</v>
      </c>
      <c r="F33" s="68" t="s">
        <v>3177</v>
      </c>
      <c r="G33" s="68" t="s">
        <v>3184</v>
      </c>
      <c r="H33" s="68" t="s">
        <v>843</v>
      </c>
      <c r="I33" s="68" t="n">
        <v>10</v>
      </c>
      <c r="J33" s="68"/>
    </row>
    <row r="34" customFormat="false" ht="15" hidden="false" customHeight="false" outlineLevel="0" collapsed="false">
      <c r="A34" s="68" t="s">
        <v>2636</v>
      </c>
      <c r="B34" s="68" t="s">
        <v>2437</v>
      </c>
      <c r="C34" s="68" t="n">
        <v>1</v>
      </c>
      <c r="E34" s="68" t="s">
        <v>3152</v>
      </c>
      <c r="F34" s="68" t="s">
        <v>3177</v>
      </c>
      <c r="G34" s="68" t="s">
        <v>3185</v>
      </c>
      <c r="H34" s="68" t="s">
        <v>846</v>
      </c>
      <c r="I34" s="68" t="n">
        <v>9515.93899770991</v>
      </c>
      <c r="J34" s="68"/>
    </row>
    <row r="35" customFormat="false" ht="15" hidden="false" customHeight="false" outlineLevel="0" collapsed="false">
      <c r="A35" s="68" t="s">
        <v>2636</v>
      </c>
      <c r="B35" s="68" t="s">
        <v>2442</v>
      </c>
      <c r="C35" s="68" t="n">
        <v>1</v>
      </c>
      <c r="E35" s="68" t="s">
        <v>3152</v>
      </c>
      <c r="F35" s="68" t="s">
        <v>3177</v>
      </c>
      <c r="G35" s="68" t="s">
        <v>3186</v>
      </c>
      <c r="H35" s="68" t="s">
        <v>849</v>
      </c>
      <c r="I35" s="68" t="n">
        <v>5550.32442452974</v>
      </c>
      <c r="J35" s="68"/>
    </row>
    <row r="36" customFormat="false" ht="15" hidden="false" customHeight="false" outlineLevel="0" collapsed="false">
      <c r="A36" s="68" t="s">
        <v>2636</v>
      </c>
      <c r="B36" s="68" t="s">
        <v>2447</v>
      </c>
      <c r="C36" s="68" t="n">
        <v>1</v>
      </c>
      <c r="E36" s="68" t="s">
        <v>3152</v>
      </c>
      <c r="F36" s="68" t="s">
        <v>3177</v>
      </c>
      <c r="G36" s="68" t="s">
        <v>3187</v>
      </c>
      <c r="H36" s="68" t="s">
        <v>850</v>
      </c>
      <c r="I36" s="68" t="n">
        <v>17266.6861810552</v>
      </c>
      <c r="J36" s="68"/>
    </row>
    <row r="37" customFormat="false" ht="15" hidden="false" customHeight="false" outlineLevel="0" collapsed="false">
      <c r="A37" s="68" t="s">
        <v>2636</v>
      </c>
      <c r="B37" s="68" t="s">
        <v>2452</v>
      </c>
      <c r="C37" s="68" t="n">
        <v>1</v>
      </c>
      <c r="E37" s="68" t="s">
        <v>3152</v>
      </c>
      <c r="F37" s="68" t="s">
        <v>3177</v>
      </c>
      <c r="G37" s="68" t="s">
        <v>3188</v>
      </c>
      <c r="H37" s="68" t="s">
        <v>852</v>
      </c>
      <c r="I37" s="68" t="s">
        <v>369</v>
      </c>
      <c r="J37" s="68"/>
    </row>
    <row r="38" customFormat="false" ht="15" hidden="false" customHeight="false" outlineLevel="0" collapsed="false">
      <c r="A38" s="68" t="s">
        <v>2636</v>
      </c>
      <c r="B38" s="68" t="s">
        <v>2457</v>
      </c>
      <c r="C38" s="68" t="n">
        <v>1</v>
      </c>
      <c r="E38" s="68" t="s">
        <v>3152</v>
      </c>
      <c r="F38" s="68" t="s">
        <v>3177</v>
      </c>
      <c r="G38" s="68" t="s">
        <v>3189</v>
      </c>
      <c r="H38" s="68" t="s">
        <v>854</v>
      </c>
      <c r="I38" s="68" t="n">
        <v>25000</v>
      </c>
      <c r="J38" s="68"/>
    </row>
    <row r="39" customFormat="false" ht="15" hidden="false" customHeight="false" outlineLevel="0" collapsed="false">
      <c r="A39" s="68" t="s">
        <v>2636</v>
      </c>
      <c r="B39" s="68" t="s">
        <v>2462</v>
      </c>
      <c r="C39" s="68"/>
      <c r="E39" s="68" t="s">
        <v>3152</v>
      </c>
      <c r="F39" s="68" t="s">
        <v>3177</v>
      </c>
      <c r="G39" s="68" t="s">
        <v>3190</v>
      </c>
      <c r="H39" s="68" t="s">
        <v>857</v>
      </c>
      <c r="I39" s="68" t="n">
        <v>570558.837603565</v>
      </c>
      <c r="J39" s="68"/>
    </row>
    <row r="40" customFormat="false" ht="15" hidden="false" customHeight="false" outlineLevel="0" collapsed="false">
      <c r="A40" s="68" t="s">
        <v>2636</v>
      </c>
      <c r="B40" s="68" t="s">
        <v>2467</v>
      </c>
      <c r="C40" s="68"/>
      <c r="E40" s="68" t="s">
        <v>3152</v>
      </c>
      <c r="F40" s="68" t="s">
        <v>3177</v>
      </c>
      <c r="G40" s="68" t="s">
        <v>3191</v>
      </c>
      <c r="H40" s="68" t="s">
        <v>859</v>
      </c>
      <c r="I40" s="68" t="n">
        <v>332787.615887878</v>
      </c>
      <c r="J40" s="68"/>
    </row>
    <row r="41" customFormat="false" ht="15" hidden="false" customHeight="false" outlineLevel="0" collapsed="false">
      <c r="A41" s="68" t="s">
        <v>2636</v>
      </c>
      <c r="B41" s="68" t="s">
        <v>2471</v>
      </c>
      <c r="C41" s="68" t="n">
        <v>123.416</v>
      </c>
      <c r="E41" s="68" t="s">
        <v>3152</v>
      </c>
      <c r="F41" s="68" t="s">
        <v>3177</v>
      </c>
      <c r="G41" s="68" t="s">
        <v>3192</v>
      </c>
      <c r="H41" s="68" t="s">
        <v>861</v>
      </c>
      <c r="I41" s="68" t="n">
        <v>1035279.90239316</v>
      </c>
      <c r="J41" s="68"/>
    </row>
    <row r="42" customFormat="false" ht="15" hidden="false" customHeight="false" outlineLevel="0" collapsed="false">
      <c r="A42" s="68" t="s">
        <v>2636</v>
      </c>
      <c r="B42" s="68" t="s">
        <v>2475</v>
      </c>
      <c r="C42" s="68" t="s">
        <v>312</v>
      </c>
      <c r="E42" s="68" t="s">
        <v>3152</v>
      </c>
      <c r="F42" s="68" t="s">
        <v>3177</v>
      </c>
      <c r="G42" s="68" t="s">
        <v>3193</v>
      </c>
      <c r="H42" s="68" t="s">
        <v>863</v>
      </c>
      <c r="I42" s="68" t="n">
        <v>602386.367733971</v>
      </c>
      <c r="J42" s="68"/>
    </row>
    <row r="43" customFormat="false" ht="15" hidden="false" customHeight="false" outlineLevel="0" collapsed="false">
      <c r="A43" s="68" t="s">
        <v>2636</v>
      </c>
      <c r="B43" s="68" t="s">
        <v>2480</v>
      </c>
      <c r="C43" s="68"/>
      <c r="E43" s="68" t="s">
        <v>3152</v>
      </c>
      <c r="F43" s="68" t="s">
        <v>3177</v>
      </c>
      <c r="G43" s="68" t="s">
        <v>3194</v>
      </c>
      <c r="H43" s="68" t="s">
        <v>865</v>
      </c>
      <c r="I43" s="68" t="n">
        <v>396691301902.955</v>
      </c>
      <c r="J43" s="68"/>
    </row>
    <row r="44" customFormat="false" ht="15" hidden="false" customHeight="false" outlineLevel="0" collapsed="false">
      <c r="A44" s="68" t="s">
        <v>2636</v>
      </c>
      <c r="B44" s="68" t="s">
        <v>2484</v>
      </c>
      <c r="C44" s="68"/>
      <c r="E44" s="68" t="s">
        <v>3152</v>
      </c>
      <c r="F44" s="68" t="s">
        <v>3177</v>
      </c>
      <c r="G44" s="68" t="s">
        <v>3195</v>
      </c>
      <c r="H44" s="68" t="s">
        <v>868</v>
      </c>
      <c r="I44" s="68" t="n">
        <v>793382603805.91</v>
      </c>
      <c r="J44" s="68"/>
    </row>
    <row r="45" customFormat="false" ht="15" hidden="false" customHeight="false" outlineLevel="0" collapsed="false">
      <c r="A45" s="68" t="s">
        <v>2640</v>
      </c>
      <c r="B45" s="68" t="s">
        <v>2284</v>
      </c>
      <c r="C45" s="68" t="n">
        <v>57.4</v>
      </c>
      <c r="E45" s="68" t="s">
        <v>3152</v>
      </c>
      <c r="F45" s="68" t="s">
        <v>3177</v>
      </c>
      <c r="G45" s="68" t="s">
        <v>3196</v>
      </c>
      <c r="H45" s="68" t="s">
        <v>869</v>
      </c>
      <c r="I45" s="68" t="s">
        <v>3197</v>
      </c>
      <c r="J45" s="68"/>
    </row>
    <row r="46" customFormat="false" ht="15" hidden="false" customHeight="false" outlineLevel="0" collapsed="false">
      <c r="A46" s="68" t="s">
        <v>2640</v>
      </c>
      <c r="B46" s="68" t="s">
        <v>2290</v>
      </c>
      <c r="C46" s="68" t="s">
        <v>123</v>
      </c>
      <c r="E46" s="68" t="s">
        <v>3198</v>
      </c>
      <c r="F46" s="68" t="s">
        <v>3153</v>
      </c>
      <c r="G46" s="68" t="s">
        <v>3154</v>
      </c>
      <c r="H46" s="68" t="s">
        <v>37</v>
      </c>
      <c r="I46" s="68" t="s">
        <v>51</v>
      </c>
      <c r="J46" s="68"/>
    </row>
    <row r="47" customFormat="false" ht="15" hidden="false" customHeight="false" outlineLevel="0" collapsed="false">
      <c r="A47" s="68" t="s">
        <v>2640</v>
      </c>
      <c r="B47" s="68" t="s">
        <v>2365</v>
      </c>
      <c r="C47" s="68"/>
      <c r="E47" s="68" t="s">
        <v>3198</v>
      </c>
      <c r="F47" s="68" t="s">
        <v>3153</v>
      </c>
      <c r="G47" s="68" t="s">
        <v>3155</v>
      </c>
      <c r="H47" s="68" t="s">
        <v>836</v>
      </c>
      <c r="I47" s="68" t="s">
        <v>369</v>
      </c>
      <c r="J47" s="68"/>
    </row>
    <row r="48" customFormat="false" ht="15" hidden="false" customHeight="false" outlineLevel="0" collapsed="false">
      <c r="A48" s="68" t="s">
        <v>2640</v>
      </c>
      <c r="B48" s="68" t="s">
        <v>2370</v>
      </c>
      <c r="C48" s="68"/>
      <c r="E48" s="68" t="s">
        <v>3198</v>
      </c>
      <c r="F48" s="68" t="s">
        <v>3153</v>
      </c>
      <c r="G48" s="68" t="s">
        <v>3156</v>
      </c>
      <c r="H48" s="68" t="s">
        <v>252</v>
      </c>
      <c r="I48" s="68" t="s">
        <v>478</v>
      </c>
      <c r="J48" s="68"/>
    </row>
    <row r="49" customFormat="false" ht="15" hidden="false" customHeight="false" outlineLevel="0" collapsed="false">
      <c r="A49" s="68" t="s">
        <v>2640</v>
      </c>
      <c r="B49" s="68" t="s">
        <v>2375</v>
      </c>
      <c r="C49" s="68"/>
      <c r="E49" s="68" t="s">
        <v>3198</v>
      </c>
      <c r="F49" s="68" t="s">
        <v>3153</v>
      </c>
      <c r="G49" s="68" t="s">
        <v>3157</v>
      </c>
      <c r="H49" s="68" t="s">
        <v>261</v>
      </c>
      <c r="I49" s="68" t="s">
        <v>306</v>
      </c>
      <c r="J49" s="68"/>
    </row>
    <row r="50" customFormat="false" ht="15" hidden="false" customHeight="false" outlineLevel="0" collapsed="false">
      <c r="A50" s="68" t="s">
        <v>2640</v>
      </c>
      <c r="B50" s="68" t="s">
        <v>2388</v>
      </c>
      <c r="C50" s="68"/>
      <c r="E50" s="68" t="s">
        <v>3198</v>
      </c>
      <c r="F50" s="68" t="s">
        <v>3153</v>
      </c>
      <c r="G50" s="68" t="s">
        <v>3158</v>
      </c>
      <c r="H50" s="68" t="s">
        <v>246</v>
      </c>
      <c r="I50" s="68" t="s">
        <v>153</v>
      </c>
      <c r="J50" s="68"/>
    </row>
    <row r="51" customFormat="false" ht="15" hidden="false" customHeight="false" outlineLevel="0" collapsed="false">
      <c r="A51" s="68" t="s">
        <v>2640</v>
      </c>
      <c r="B51" s="68" t="s">
        <v>2393</v>
      </c>
      <c r="C51" s="68"/>
      <c r="E51" s="68" t="s">
        <v>3198</v>
      </c>
      <c r="F51" s="68" t="s">
        <v>3153</v>
      </c>
      <c r="G51" s="68" t="s">
        <v>3159</v>
      </c>
      <c r="H51" s="68" t="s">
        <v>247</v>
      </c>
      <c r="I51" s="68" t="s">
        <v>90</v>
      </c>
      <c r="J51" s="68" t="n">
        <v>1.1</v>
      </c>
    </row>
    <row r="52" customFormat="false" ht="15" hidden="false" customHeight="false" outlineLevel="0" collapsed="false">
      <c r="A52" s="68" t="s">
        <v>2640</v>
      </c>
      <c r="B52" s="68" t="s">
        <v>2398</v>
      </c>
      <c r="C52" s="68"/>
      <c r="E52" s="68" t="s">
        <v>3198</v>
      </c>
      <c r="F52" s="68" t="s">
        <v>3153</v>
      </c>
      <c r="G52" s="68" t="s">
        <v>3160</v>
      </c>
      <c r="H52" s="68" t="s">
        <v>255</v>
      </c>
      <c r="I52" s="68" t="s">
        <v>842</v>
      </c>
      <c r="J52" s="68" t="n">
        <v>1.12</v>
      </c>
    </row>
    <row r="53" customFormat="false" ht="15" hidden="false" customHeight="false" outlineLevel="0" collapsed="false">
      <c r="A53" s="68" t="s">
        <v>2640</v>
      </c>
      <c r="B53" s="68" t="s">
        <v>2432</v>
      </c>
      <c r="C53" s="68" t="s">
        <v>3162</v>
      </c>
      <c r="E53" s="68" t="s">
        <v>3198</v>
      </c>
      <c r="F53" s="68" t="s">
        <v>3153</v>
      </c>
      <c r="G53" s="68" t="s">
        <v>3161</v>
      </c>
      <c r="H53" s="68" t="s">
        <v>256</v>
      </c>
      <c r="I53" s="68" t="s">
        <v>845</v>
      </c>
      <c r="J53" s="68" t="n">
        <v>1</v>
      </c>
    </row>
    <row r="54" customFormat="false" ht="15" hidden="false" customHeight="false" outlineLevel="0" collapsed="false">
      <c r="A54" s="68" t="s">
        <v>2640</v>
      </c>
      <c r="B54" s="68" t="s">
        <v>2437</v>
      </c>
      <c r="C54" s="68" t="n">
        <v>1</v>
      </c>
      <c r="E54" s="68" t="s">
        <v>3198</v>
      </c>
      <c r="F54" s="68" t="s">
        <v>3153</v>
      </c>
      <c r="G54" s="68" t="s">
        <v>3163</v>
      </c>
      <c r="H54" s="68" t="s">
        <v>257</v>
      </c>
      <c r="I54" s="68" t="s">
        <v>848</v>
      </c>
      <c r="J54" s="68" t="n">
        <v>1.04</v>
      </c>
    </row>
    <row r="55" customFormat="false" ht="15" hidden="false" customHeight="false" outlineLevel="0" collapsed="false">
      <c r="A55" s="68" t="s">
        <v>2640</v>
      </c>
      <c r="B55" s="68" t="s">
        <v>2442</v>
      </c>
      <c r="C55" s="68" t="n">
        <v>1</v>
      </c>
      <c r="E55" s="68" t="s">
        <v>3198</v>
      </c>
      <c r="F55" s="68" t="s">
        <v>3153</v>
      </c>
      <c r="G55" s="68" t="s">
        <v>3164</v>
      </c>
      <c r="H55" s="68" t="s">
        <v>258</v>
      </c>
      <c r="I55" s="68" t="s">
        <v>304</v>
      </c>
      <c r="J55" s="68" t="n">
        <v>1</v>
      </c>
    </row>
    <row r="56" customFormat="false" ht="15" hidden="false" customHeight="false" outlineLevel="0" collapsed="false">
      <c r="A56" s="68" t="s">
        <v>2640</v>
      </c>
      <c r="B56" s="68" t="s">
        <v>2447</v>
      </c>
      <c r="C56" s="68" t="n">
        <v>1</v>
      </c>
      <c r="E56" s="68" t="s">
        <v>3198</v>
      </c>
      <c r="F56" s="68" t="s">
        <v>3153</v>
      </c>
      <c r="G56" s="68" t="s">
        <v>3165</v>
      </c>
      <c r="H56" s="68" t="s">
        <v>851</v>
      </c>
      <c r="I56" s="68" t="s">
        <v>369</v>
      </c>
      <c r="J56" s="68" t="n">
        <v>1.05</v>
      </c>
    </row>
    <row r="57" customFormat="false" ht="15" hidden="false" customHeight="false" outlineLevel="0" collapsed="false">
      <c r="A57" s="68" t="s">
        <v>2640</v>
      </c>
      <c r="B57" s="68" t="s">
        <v>2452</v>
      </c>
      <c r="C57" s="68" t="n">
        <v>1</v>
      </c>
      <c r="E57" s="68" t="s">
        <v>3198</v>
      </c>
      <c r="F57" s="68" t="s">
        <v>3153</v>
      </c>
      <c r="G57" s="68" t="s">
        <v>3166</v>
      </c>
      <c r="H57" s="68" t="s">
        <v>276</v>
      </c>
      <c r="I57" s="68" t="s">
        <v>369</v>
      </c>
      <c r="J57" s="68" t="n">
        <v>1</v>
      </c>
    </row>
    <row r="58" customFormat="false" ht="15" hidden="false" customHeight="false" outlineLevel="0" collapsed="false">
      <c r="A58" s="68" t="s">
        <v>2640</v>
      </c>
      <c r="B58" s="68" t="s">
        <v>2457</v>
      </c>
      <c r="C58" s="68" t="n">
        <v>1</v>
      </c>
      <c r="E58" s="68" t="s">
        <v>3198</v>
      </c>
      <c r="F58" s="68" t="s">
        <v>3153</v>
      </c>
      <c r="G58" s="68" t="s">
        <v>3167</v>
      </c>
      <c r="H58" s="68" t="s">
        <v>277</v>
      </c>
      <c r="I58" s="68" t="s">
        <v>369</v>
      </c>
      <c r="J58" s="68" t="n">
        <v>1</v>
      </c>
    </row>
    <row r="59" customFormat="false" ht="15" hidden="false" customHeight="false" outlineLevel="0" collapsed="false">
      <c r="A59" s="68" t="s">
        <v>2640</v>
      </c>
      <c r="B59" s="68" t="s">
        <v>2462</v>
      </c>
      <c r="C59" s="68"/>
      <c r="E59" s="68" t="s">
        <v>3198</v>
      </c>
      <c r="F59" s="68" t="s">
        <v>3153</v>
      </c>
      <c r="G59" s="68" t="s">
        <v>3168</v>
      </c>
      <c r="H59" s="68" t="s">
        <v>278</v>
      </c>
      <c r="I59" s="68" t="s">
        <v>369</v>
      </c>
      <c r="J59" s="68" t="n">
        <v>1</v>
      </c>
    </row>
    <row r="60" customFormat="false" ht="15" hidden="false" customHeight="false" outlineLevel="0" collapsed="false">
      <c r="A60" s="68" t="s">
        <v>2640</v>
      </c>
      <c r="B60" s="68" t="s">
        <v>2467</v>
      </c>
      <c r="C60" s="68"/>
      <c r="E60" s="68" t="s">
        <v>3198</v>
      </c>
      <c r="F60" s="68" t="s">
        <v>3153</v>
      </c>
      <c r="G60" s="68" t="s">
        <v>3169</v>
      </c>
      <c r="H60" s="68" t="s">
        <v>279</v>
      </c>
      <c r="I60" s="68" t="s">
        <v>369</v>
      </c>
      <c r="J60" s="68" t="n">
        <v>1</v>
      </c>
    </row>
    <row r="61" customFormat="false" ht="15" hidden="false" customHeight="false" outlineLevel="0" collapsed="false">
      <c r="A61" s="68" t="s">
        <v>2640</v>
      </c>
      <c r="B61" s="68" t="s">
        <v>2471</v>
      </c>
      <c r="C61" s="68" t="n">
        <v>123.416</v>
      </c>
      <c r="E61" s="68" t="s">
        <v>3198</v>
      </c>
      <c r="F61" s="68" t="s">
        <v>3153</v>
      </c>
      <c r="G61" s="68" t="s">
        <v>3170</v>
      </c>
      <c r="H61" s="68" t="s">
        <v>280</v>
      </c>
      <c r="I61" s="68" t="s">
        <v>312</v>
      </c>
      <c r="J61" s="68" t="n">
        <v>1</v>
      </c>
    </row>
    <row r="62" customFormat="false" ht="15" hidden="false" customHeight="false" outlineLevel="0" collapsed="false">
      <c r="A62" s="68" t="s">
        <v>2640</v>
      </c>
      <c r="B62" s="68" t="s">
        <v>2475</v>
      </c>
      <c r="C62" s="68" t="s">
        <v>312</v>
      </c>
      <c r="E62" s="68" t="s">
        <v>3198</v>
      </c>
      <c r="F62" s="68" t="s">
        <v>3153</v>
      </c>
      <c r="G62" s="68" t="s">
        <v>3171</v>
      </c>
      <c r="H62" s="68" t="s">
        <v>281</v>
      </c>
      <c r="I62" s="68" t="s">
        <v>369</v>
      </c>
      <c r="J62" s="68" t="n">
        <v>1.02</v>
      </c>
    </row>
    <row r="63" customFormat="false" ht="15" hidden="false" customHeight="false" outlineLevel="0" collapsed="false">
      <c r="A63" s="68" t="s">
        <v>2640</v>
      </c>
      <c r="B63" s="68" t="s">
        <v>2480</v>
      </c>
      <c r="C63" s="68"/>
      <c r="E63" s="68" t="s">
        <v>3198</v>
      </c>
      <c r="F63" s="68" t="s">
        <v>3153</v>
      </c>
      <c r="G63" s="68" t="s">
        <v>3172</v>
      </c>
      <c r="H63" s="68" t="s">
        <v>282</v>
      </c>
      <c r="I63" s="68" t="s">
        <v>312</v>
      </c>
      <c r="J63" s="68" t="n">
        <v>1</v>
      </c>
    </row>
    <row r="64" customFormat="false" ht="15" hidden="false" customHeight="false" outlineLevel="0" collapsed="false">
      <c r="A64" s="68" t="s">
        <v>2640</v>
      </c>
      <c r="B64" s="68" t="s">
        <v>2484</v>
      </c>
      <c r="C64" s="68"/>
      <c r="E64" s="68" t="s">
        <v>3198</v>
      </c>
      <c r="F64" s="68" t="s">
        <v>3153</v>
      </c>
      <c r="G64" s="68" t="s">
        <v>3173</v>
      </c>
      <c r="H64" s="68" t="s">
        <v>867</v>
      </c>
      <c r="I64" s="68"/>
      <c r="J64" s="68"/>
    </row>
    <row r="65" customFormat="false" ht="15" hidden="false" customHeight="false" outlineLevel="0" collapsed="false">
      <c r="A65" s="68" t="s">
        <v>2644</v>
      </c>
      <c r="B65" s="68" t="s">
        <v>2284</v>
      </c>
      <c r="C65" s="68" t="n">
        <v>379</v>
      </c>
      <c r="E65" s="68" t="s">
        <v>3198</v>
      </c>
      <c r="F65" s="68" t="s">
        <v>3153</v>
      </c>
      <c r="G65" s="68" t="s">
        <v>3174</v>
      </c>
      <c r="H65" s="68" t="s">
        <v>248</v>
      </c>
      <c r="I65" s="68" t="n">
        <v>150</v>
      </c>
      <c r="J65" s="68"/>
    </row>
    <row r="66" customFormat="false" ht="15" hidden="false" customHeight="false" outlineLevel="0" collapsed="false">
      <c r="A66" s="68" t="s">
        <v>2644</v>
      </c>
      <c r="B66" s="68" t="s">
        <v>2290</v>
      </c>
      <c r="C66" s="68" t="s">
        <v>123</v>
      </c>
      <c r="E66" s="68" t="s">
        <v>3198</v>
      </c>
      <c r="F66" s="68" t="s">
        <v>3153</v>
      </c>
      <c r="G66" s="68" t="s">
        <v>3175</v>
      </c>
      <c r="H66" s="68" t="s">
        <v>249</v>
      </c>
      <c r="I66" s="68" t="n">
        <v>600</v>
      </c>
      <c r="J66" s="68"/>
    </row>
    <row r="67" customFormat="false" ht="15" hidden="false" customHeight="false" outlineLevel="0" collapsed="false">
      <c r="A67" s="68" t="s">
        <v>2644</v>
      </c>
      <c r="B67" s="68" t="s">
        <v>2365</v>
      </c>
      <c r="C67" s="68"/>
      <c r="E67" s="68" t="s">
        <v>3198</v>
      </c>
      <c r="F67" s="68" t="s">
        <v>3153</v>
      </c>
      <c r="G67" s="68" t="s">
        <v>3176</v>
      </c>
      <c r="H67" s="68" t="s">
        <v>871</v>
      </c>
      <c r="I67" s="68" t="n">
        <v>2</v>
      </c>
      <c r="J67" s="68"/>
    </row>
    <row r="68" customFormat="false" ht="15" hidden="false" customHeight="false" outlineLevel="0" collapsed="false">
      <c r="A68" s="68" t="s">
        <v>2644</v>
      </c>
      <c r="B68" s="68" t="s">
        <v>2370</v>
      </c>
      <c r="C68" s="68"/>
      <c r="E68" s="68" t="s">
        <v>3198</v>
      </c>
      <c r="F68" s="68" t="s">
        <v>3177</v>
      </c>
      <c r="G68" s="68" t="s">
        <v>3178</v>
      </c>
      <c r="H68" s="68" t="s">
        <v>834</v>
      </c>
      <c r="I68" s="68" t="n">
        <v>408.719346049046</v>
      </c>
      <c r="J68" s="68"/>
    </row>
    <row r="69" customFormat="false" ht="15" hidden="false" customHeight="false" outlineLevel="0" collapsed="false">
      <c r="A69" s="68" t="s">
        <v>2644</v>
      </c>
      <c r="B69" s="68" t="s">
        <v>2375</v>
      </c>
      <c r="C69" s="68"/>
      <c r="E69" s="68" t="s">
        <v>3198</v>
      </c>
      <c r="F69" s="68" t="s">
        <v>3177</v>
      </c>
      <c r="G69" s="68" t="s">
        <v>3179</v>
      </c>
      <c r="H69" s="68" t="s">
        <v>284</v>
      </c>
      <c r="I69" s="68" t="n">
        <v>1.1</v>
      </c>
      <c r="J69" s="68"/>
    </row>
    <row r="70" customFormat="false" ht="15" hidden="false" customHeight="false" outlineLevel="0" collapsed="false">
      <c r="A70" s="68" t="s">
        <v>2644</v>
      </c>
      <c r="B70" s="68" t="s">
        <v>2388</v>
      </c>
      <c r="C70" s="68"/>
      <c r="E70" s="68" t="s">
        <v>3198</v>
      </c>
      <c r="F70" s="68" t="s">
        <v>3177</v>
      </c>
      <c r="G70" s="68" t="s">
        <v>3180</v>
      </c>
      <c r="H70" s="68" t="s">
        <v>285</v>
      </c>
      <c r="I70" s="68" t="n">
        <v>1.1648</v>
      </c>
      <c r="J70" s="68"/>
    </row>
    <row r="71" customFormat="false" ht="15" hidden="false" customHeight="false" outlineLevel="0" collapsed="false">
      <c r="A71" s="68" t="s">
        <v>2644</v>
      </c>
      <c r="B71" s="68" t="s">
        <v>2393</v>
      </c>
      <c r="C71" s="68"/>
      <c r="E71" s="68" t="s">
        <v>3198</v>
      </c>
      <c r="F71" s="68" t="s">
        <v>3177</v>
      </c>
      <c r="G71" s="68" t="s">
        <v>3181</v>
      </c>
      <c r="H71" s="68" t="s">
        <v>286</v>
      </c>
      <c r="I71" s="68" t="n">
        <v>1.05</v>
      </c>
      <c r="J71" s="68"/>
    </row>
    <row r="72" customFormat="false" ht="15" hidden="false" customHeight="false" outlineLevel="0" collapsed="false">
      <c r="A72" s="68" t="s">
        <v>2644</v>
      </c>
      <c r="B72" s="68" t="s">
        <v>2398</v>
      </c>
      <c r="C72" s="68"/>
      <c r="E72" s="68" t="s">
        <v>3198</v>
      </c>
      <c r="F72" s="68" t="s">
        <v>3177</v>
      </c>
      <c r="G72" s="68" t="s">
        <v>3182</v>
      </c>
      <c r="H72" s="68" t="s">
        <v>287</v>
      </c>
      <c r="I72" s="68" t="n">
        <v>1.02</v>
      </c>
      <c r="J72" s="68"/>
    </row>
    <row r="73" customFormat="false" ht="15" hidden="false" customHeight="false" outlineLevel="0" collapsed="false">
      <c r="A73" s="68" t="s">
        <v>2644</v>
      </c>
      <c r="B73" s="68" t="s">
        <v>2432</v>
      </c>
      <c r="C73" s="68" t="s">
        <v>3162</v>
      </c>
      <c r="E73" s="68" t="s">
        <v>3198</v>
      </c>
      <c r="F73" s="68" t="s">
        <v>3177</v>
      </c>
      <c r="G73" s="68" t="s">
        <v>3183</v>
      </c>
      <c r="H73" s="68" t="s">
        <v>288</v>
      </c>
      <c r="I73" s="68" t="n">
        <v>1.37225088</v>
      </c>
      <c r="J73" s="68"/>
    </row>
    <row r="74" customFormat="false" ht="15" hidden="false" customHeight="false" outlineLevel="0" collapsed="false">
      <c r="A74" s="68" t="s">
        <v>2644</v>
      </c>
      <c r="B74" s="68" t="s">
        <v>2437</v>
      </c>
      <c r="C74" s="68" t="n">
        <v>1</v>
      </c>
      <c r="E74" s="68" t="s">
        <v>3198</v>
      </c>
      <c r="F74" s="68" t="s">
        <v>3177</v>
      </c>
      <c r="G74" s="68" t="s">
        <v>3184</v>
      </c>
      <c r="H74" s="68" t="s">
        <v>843</v>
      </c>
      <c r="I74" s="68" t="n">
        <v>10</v>
      </c>
      <c r="J74" s="68"/>
    </row>
    <row r="75" customFormat="false" ht="15" hidden="false" customHeight="false" outlineLevel="0" collapsed="false">
      <c r="A75" s="68" t="s">
        <v>2644</v>
      </c>
      <c r="B75" s="68" t="s">
        <v>2442</v>
      </c>
      <c r="C75" s="68" t="n">
        <v>1</v>
      </c>
      <c r="E75" s="68" t="s">
        <v>3198</v>
      </c>
      <c r="F75" s="68" t="s">
        <v>3177</v>
      </c>
      <c r="G75" s="68" t="s">
        <v>3185</v>
      </c>
      <c r="H75" s="68" t="s">
        <v>846</v>
      </c>
      <c r="I75" s="68" t="n">
        <v>9706.31020877935</v>
      </c>
      <c r="J75" s="68"/>
    </row>
    <row r="76" customFormat="false" ht="15" hidden="false" customHeight="false" outlineLevel="0" collapsed="false">
      <c r="A76" s="68" t="s">
        <v>2644</v>
      </c>
      <c r="B76" s="68" t="s">
        <v>2447</v>
      </c>
      <c r="C76" s="68" t="n">
        <v>1</v>
      </c>
      <c r="E76" s="68" t="s">
        <v>3198</v>
      </c>
      <c r="F76" s="68" t="s">
        <v>3177</v>
      </c>
      <c r="G76" s="68" t="s">
        <v>3186</v>
      </c>
      <c r="H76" s="68" t="s">
        <v>849</v>
      </c>
      <c r="I76" s="68" t="n">
        <v>5661.36149431133</v>
      </c>
      <c r="J76" s="68"/>
    </row>
    <row r="77" customFormat="false" ht="15" hidden="false" customHeight="false" outlineLevel="0" collapsed="false">
      <c r="A77" s="68" t="s">
        <v>2644</v>
      </c>
      <c r="B77" s="68" t="s">
        <v>2452</v>
      </c>
      <c r="C77" s="68" t="n">
        <v>1</v>
      </c>
      <c r="E77" s="68" t="s">
        <v>3198</v>
      </c>
      <c r="F77" s="68" t="s">
        <v>3177</v>
      </c>
      <c r="G77" s="68" t="s">
        <v>3187</v>
      </c>
      <c r="H77" s="68" t="s">
        <v>850</v>
      </c>
      <c r="I77" s="68" t="n">
        <v>17612.1150410168</v>
      </c>
      <c r="J77" s="68"/>
    </row>
    <row r="78" customFormat="false" ht="15" hidden="false" customHeight="false" outlineLevel="0" collapsed="false">
      <c r="A78" s="68" t="s">
        <v>2644</v>
      </c>
      <c r="B78" s="68" t="s">
        <v>2457</v>
      </c>
      <c r="C78" s="68" t="n">
        <v>1</v>
      </c>
      <c r="E78" s="68" t="s">
        <v>3198</v>
      </c>
      <c r="F78" s="68" t="s">
        <v>3177</v>
      </c>
      <c r="G78" s="68" t="s">
        <v>3188</v>
      </c>
      <c r="H78" s="68" t="s">
        <v>852</v>
      </c>
      <c r="I78" s="68" t="s">
        <v>369</v>
      </c>
      <c r="J78" s="68"/>
    </row>
    <row r="79" customFormat="false" ht="15" hidden="false" customHeight="false" outlineLevel="0" collapsed="false">
      <c r="A79" s="68" t="s">
        <v>2644</v>
      </c>
      <c r="B79" s="68" t="s">
        <v>2462</v>
      </c>
      <c r="C79" s="68"/>
      <c r="E79" s="68" t="s">
        <v>3198</v>
      </c>
      <c r="F79" s="68" t="s">
        <v>3177</v>
      </c>
      <c r="G79" s="68" t="s">
        <v>3189</v>
      </c>
      <c r="H79" s="68" t="s">
        <v>854</v>
      </c>
      <c r="I79" s="68" t="n">
        <v>25500.1377455111</v>
      </c>
      <c r="J79" s="68"/>
    </row>
    <row r="80" customFormat="false" ht="15" hidden="false" customHeight="false" outlineLevel="0" collapsed="false">
      <c r="A80" s="68" t="s">
        <v>2644</v>
      </c>
      <c r="B80" s="68" t="s">
        <v>2467</v>
      </c>
      <c r="C80" s="68"/>
      <c r="E80" s="68" t="s">
        <v>3198</v>
      </c>
      <c r="F80" s="68" t="s">
        <v>3177</v>
      </c>
      <c r="G80" s="68" t="s">
        <v>3190</v>
      </c>
      <c r="H80" s="68" t="s">
        <v>857</v>
      </c>
      <c r="I80" s="68" t="n">
        <v>491295.517674055</v>
      </c>
      <c r="J80" s="68"/>
    </row>
    <row r="81" customFormat="false" ht="15" hidden="false" customHeight="false" outlineLevel="0" collapsed="false">
      <c r="A81" s="68" t="s">
        <v>2644</v>
      </c>
      <c r="B81" s="68" t="s">
        <v>2471</v>
      </c>
      <c r="C81" s="68" t="n">
        <v>123.416</v>
      </c>
      <c r="E81" s="68" t="s">
        <v>3198</v>
      </c>
      <c r="F81" s="68" t="s">
        <v>3177</v>
      </c>
      <c r="G81" s="68" t="s">
        <v>3191</v>
      </c>
      <c r="H81" s="68" t="s">
        <v>859</v>
      </c>
      <c r="I81" s="68" t="n">
        <v>286556.010086291</v>
      </c>
      <c r="J81" s="68"/>
    </row>
    <row r="82" customFormat="false" ht="15" hidden="false" customHeight="false" outlineLevel="0" collapsed="false">
      <c r="A82" s="68" t="s">
        <v>2644</v>
      </c>
      <c r="B82" s="68" t="s">
        <v>2475</v>
      </c>
      <c r="C82" s="68" t="s">
        <v>312</v>
      </c>
      <c r="E82" s="68" t="s">
        <v>3198</v>
      </c>
      <c r="F82" s="68" t="s">
        <v>3177</v>
      </c>
      <c r="G82" s="68" t="s">
        <v>3192</v>
      </c>
      <c r="H82" s="68" t="s">
        <v>861</v>
      </c>
      <c r="I82" s="68" t="n">
        <v>891456.484523333</v>
      </c>
      <c r="J82" s="68"/>
    </row>
    <row r="83" customFormat="false" ht="15" hidden="false" customHeight="false" outlineLevel="0" collapsed="false">
      <c r="A83" s="68" t="s">
        <v>2644</v>
      </c>
      <c r="B83" s="68" t="s">
        <v>2480</v>
      </c>
      <c r="C83" s="68"/>
      <c r="E83" s="68" t="s">
        <v>3198</v>
      </c>
      <c r="F83" s="68" t="s">
        <v>3177</v>
      </c>
      <c r="G83" s="68" t="s">
        <v>3193</v>
      </c>
      <c r="H83" s="68" t="s">
        <v>863</v>
      </c>
      <c r="I83" s="68" t="n">
        <v>540425.069441461</v>
      </c>
      <c r="J83" s="68"/>
    </row>
    <row r="84" customFormat="false" ht="15" hidden="false" customHeight="false" outlineLevel="0" collapsed="false">
      <c r="A84" s="68" t="s">
        <v>2644</v>
      </c>
      <c r="B84" s="68" t="s">
        <v>2484</v>
      </c>
      <c r="C84" s="68"/>
      <c r="E84" s="68" t="s">
        <v>3198</v>
      </c>
      <c r="F84" s="68" t="s">
        <v>3177</v>
      </c>
      <c r="G84" s="68" t="s">
        <v>3194</v>
      </c>
      <c r="H84" s="68" t="s">
        <v>865</v>
      </c>
      <c r="I84" s="68" t="n">
        <v>982591035348.111</v>
      </c>
      <c r="J84" s="68"/>
    </row>
    <row r="85" customFormat="false" ht="15" hidden="false" customHeight="false" outlineLevel="0" collapsed="false">
      <c r="A85" s="68" t="s">
        <v>2648</v>
      </c>
      <c r="B85" s="68" t="s">
        <v>2284</v>
      </c>
      <c r="C85" s="68" t="n">
        <v>48</v>
      </c>
      <c r="E85" s="68" t="s">
        <v>3198</v>
      </c>
      <c r="F85" s="68" t="s">
        <v>3177</v>
      </c>
      <c r="G85" s="68" t="s">
        <v>3195</v>
      </c>
      <c r="H85" s="68" t="s">
        <v>868</v>
      </c>
      <c r="I85" s="68" t="n">
        <v>1965182070696.22</v>
      </c>
      <c r="J85" s="68"/>
    </row>
    <row r="86" customFormat="false" ht="15" hidden="false" customHeight="false" outlineLevel="0" collapsed="false">
      <c r="A86" s="68" t="s">
        <v>2648</v>
      </c>
      <c r="B86" s="68" t="s">
        <v>2290</v>
      </c>
      <c r="C86" s="68" t="s">
        <v>123</v>
      </c>
      <c r="E86" s="68" t="s">
        <v>3198</v>
      </c>
      <c r="F86" s="68" t="s">
        <v>3177</v>
      </c>
      <c r="G86" s="68" t="s">
        <v>3196</v>
      </c>
      <c r="H86" s="68" t="s">
        <v>869</v>
      </c>
      <c r="I86" s="68" t="s">
        <v>3199</v>
      </c>
      <c r="J86" s="68"/>
    </row>
    <row r="87" customFormat="false" ht="15" hidden="false" customHeight="false" outlineLevel="0" collapsed="false">
      <c r="A87" s="68" t="s">
        <v>2648</v>
      </c>
      <c r="B87" s="68" t="s">
        <v>2365</v>
      </c>
      <c r="C87" s="68"/>
    </row>
    <row r="88" customFormat="false" ht="15" hidden="false" customHeight="false" outlineLevel="0" collapsed="false">
      <c r="A88" s="68" t="s">
        <v>2648</v>
      </c>
      <c r="B88" s="68" t="s">
        <v>2370</v>
      </c>
      <c r="C88" s="68"/>
    </row>
    <row r="89" customFormat="false" ht="15" hidden="false" customHeight="false" outlineLevel="0" collapsed="false">
      <c r="A89" s="68" t="s">
        <v>2648</v>
      </c>
      <c r="B89" s="68" t="s">
        <v>2375</v>
      </c>
      <c r="C89" s="68"/>
    </row>
    <row r="90" customFormat="false" ht="15" hidden="false" customHeight="false" outlineLevel="0" collapsed="false">
      <c r="A90" s="68" t="s">
        <v>2648</v>
      </c>
      <c r="B90" s="68" t="s">
        <v>2388</v>
      </c>
      <c r="C90" s="68"/>
    </row>
    <row r="91" customFormat="false" ht="15" hidden="false" customHeight="false" outlineLevel="0" collapsed="false">
      <c r="A91" s="68" t="s">
        <v>2648</v>
      </c>
      <c r="B91" s="68" t="s">
        <v>2393</v>
      </c>
      <c r="C91" s="68"/>
    </row>
    <row r="92" customFormat="false" ht="15" hidden="false" customHeight="false" outlineLevel="0" collapsed="false">
      <c r="A92" s="68" t="s">
        <v>2648</v>
      </c>
      <c r="B92" s="68" t="s">
        <v>2398</v>
      </c>
      <c r="C92" s="68"/>
    </row>
    <row r="93" customFormat="false" ht="15" hidden="false" customHeight="false" outlineLevel="0" collapsed="false">
      <c r="A93" s="68" t="s">
        <v>2648</v>
      </c>
      <c r="B93" s="68" t="s">
        <v>2432</v>
      </c>
      <c r="C93" s="68" t="s">
        <v>3162</v>
      </c>
    </row>
    <row r="94" customFormat="false" ht="15" hidden="false" customHeight="false" outlineLevel="0" collapsed="false">
      <c r="A94" s="68" t="s">
        <v>2648</v>
      </c>
      <c r="B94" s="68" t="s">
        <v>2437</v>
      </c>
      <c r="C94" s="68" t="n">
        <v>1</v>
      </c>
    </row>
    <row r="95" customFormat="false" ht="15" hidden="false" customHeight="false" outlineLevel="0" collapsed="false">
      <c r="A95" s="68" t="s">
        <v>2648</v>
      </c>
      <c r="B95" s="68" t="s">
        <v>2442</v>
      </c>
      <c r="C95" s="68" t="n">
        <v>1</v>
      </c>
    </row>
    <row r="96" customFormat="false" ht="15" hidden="false" customHeight="false" outlineLevel="0" collapsed="false">
      <c r="A96" s="68" t="s">
        <v>2648</v>
      </c>
      <c r="B96" s="68" t="s">
        <v>2447</v>
      </c>
      <c r="C96" s="68" t="n">
        <v>1</v>
      </c>
    </row>
    <row r="97" customFormat="false" ht="15" hidden="false" customHeight="false" outlineLevel="0" collapsed="false">
      <c r="A97" s="68" t="s">
        <v>2648</v>
      </c>
      <c r="B97" s="68" t="s">
        <v>2452</v>
      </c>
      <c r="C97" s="68" t="n">
        <v>1</v>
      </c>
    </row>
    <row r="98" customFormat="false" ht="15" hidden="false" customHeight="false" outlineLevel="0" collapsed="false">
      <c r="A98" s="68" t="s">
        <v>2648</v>
      </c>
      <c r="B98" s="68" t="s">
        <v>2457</v>
      </c>
      <c r="C98" s="68" t="n">
        <v>1</v>
      </c>
    </row>
    <row r="99" customFormat="false" ht="15" hidden="false" customHeight="false" outlineLevel="0" collapsed="false">
      <c r="A99" s="68" t="s">
        <v>2648</v>
      </c>
      <c r="B99" s="68" t="s">
        <v>2462</v>
      </c>
      <c r="C99" s="68"/>
    </row>
    <row r="100" customFormat="false" ht="15" hidden="false" customHeight="false" outlineLevel="0" collapsed="false">
      <c r="A100" s="68" t="s">
        <v>2648</v>
      </c>
      <c r="B100" s="68" t="s">
        <v>2467</v>
      </c>
      <c r="C100" s="68"/>
    </row>
    <row r="101" customFormat="false" ht="15" hidden="false" customHeight="false" outlineLevel="0" collapsed="false">
      <c r="A101" s="68" t="s">
        <v>2648</v>
      </c>
      <c r="B101" s="68" t="s">
        <v>2471</v>
      </c>
      <c r="C101" s="68" t="n">
        <v>123.416</v>
      </c>
    </row>
    <row r="102" customFormat="false" ht="15" hidden="false" customHeight="false" outlineLevel="0" collapsed="false">
      <c r="A102" s="68" t="s">
        <v>2648</v>
      </c>
      <c r="B102" s="68" t="s">
        <v>2475</v>
      </c>
      <c r="C102" s="68" t="s">
        <v>312</v>
      </c>
    </row>
    <row r="103" customFormat="false" ht="15" hidden="false" customHeight="false" outlineLevel="0" collapsed="false">
      <c r="A103" s="68" t="s">
        <v>2648</v>
      </c>
      <c r="B103" s="68" t="s">
        <v>2480</v>
      </c>
      <c r="C103" s="68"/>
    </row>
    <row r="104" customFormat="false" ht="15" hidden="false" customHeight="false" outlineLevel="0" collapsed="false">
      <c r="A104" s="68" t="s">
        <v>2648</v>
      </c>
      <c r="B104" s="68" t="s">
        <v>2484</v>
      </c>
      <c r="C104" s="68"/>
    </row>
    <row r="105" customFormat="false" ht="15" hidden="false" customHeight="false" outlineLevel="0" collapsed="false">
      <c r="A105" s="68" t="s">
        <v>2652</v>
      </c>
      <c r="B105" s="68" t="s">
        <v>2284</v>
      </c>
      <c r="C105" s="68" t="n">
        <v>2.2</v>
      </c>
    </row>
    <row r="106" customFormat="false" ht="15" hidden="false" customHeight="false" outlineLevel="0" collapsed="false">
      <c r="A106" s="68" t="s">
        <v>2652</v>
      </c>
      <c r="B106" s="68" t="s">
        <v>2290</v>
      </c>
      <c r="C106" s="68" t="s">
        <v>123</v>
      </c>
    </row>
    <row r="107" customFormat="false" ht="15" hidden="false" customHeight="false" outlineLevel="0" collapsed="false">
      <c r="A107" s="68" t="s">
        <v>2652</v>
      </c>
      <c r="B107" s="68" t="s">
        <v>2365</v>
      </c>
      <c r="C107" s="68"/>
    </row>
    <row r="108" customFormat="false" ht="15" hidden="false" customHeight="false" outlineLevel="0" collapsed="false">
      <c r="A108" s="68" t="s">
        <v>2652</v>
      </c>
      <c r="B108" s="68" t="s">
        <v>2370</v>
      </c>
      <c r="C108" s="68"/>
    </row>
    <row r="109" customFormat="false" ht="15" hidden="false" customHeight="false" outlineLevel="0" collapsed="false">
      <c r="A109" s="68" t="s">
        <v>2652</v>
      </c>
      <c r="B109" s="68" t="s">
        <v>2375</v>
      </c>
      <c r="C109" s="68"/>
    </row>
    <row r="110" customFormat="false" ht="15" hidden="false" customHeight="false" outlineLevel="0" collapsed="false">
      <c r="A110" s="68" t="s">
        <v>2652</v>
      </c>
      <c r="B110" s="68" t="s">
        <v>2388</v>
      </c>
      <c r="C110" s="68"/>
    </row>
    <row r="111" customFormat="false" ht="15" hidden="false" customHeight="false" outlineLevel="0" collapsed="false">
      <c r="A111" s="68" t="s">
        <v>2652</v>
      </c>
      <c r="B111" s="68" t="s">
        <v>2393</v>
      </c>
      <c r="C111" s="68"/>
    </row>
    <row r="112" customFormat="false" ht="15" hidden="false" customHeight="false" outlineLevel="0" collapsed="false">
      <c r="A112" s="68" t="s">
        <v>2652</v>
      </c>
      <c r="B112" s="68" t="s">
        <v>2398</v>
      </c>
      <c r="C112" s="68"/>
    </row>
    <row r="113" customFormat="false" ht="15" hidden="false" customHeight="false" outlineLevel="0" collapsed="false">
      <c r="A113" s="68" t="s">
        <v>2652</v>
      </c>
      <c r="B113" s="68" t="s">
        <v>2432</v>
      </c>
      <c r="C113" s="68" t="s">
        <v>3162</v>
      </c>
    </row>
    <row r="114" customFormat="false" ht="15" hidden="false" customHeight="false" outlineLevel="0" collapsed="false">
      <c r="A114" s="68" t="s">
        <v>2652</v>
      </c>
      <c r="B114" s="68" t="s">
        <v>2437</v>
      </c>
      <c r="C114" s="68" t="n">
        <v>1</v>
      </c>
    </row>
    <row r="115" customFormat="false" ht="15" hidden="false" customHeight="false" outlineLevel="0" collapsed="false">
      <c r="A115" s="68" t="s">
        <v>2652</v>
      </c>
      <c r="B115" s="68" t="s">
        <v>2442</v>
      </c>
      <c r="C115" s="68" t="n">
        <v>1</v>
      </c>
    </row>
    <row r="116" customFormat="false" ht="15" hidden="false" customHeight="false" outlineLevel="0" collapsed="false">
      <c r="A116" s="68" t="s">
        <v>2652</v>
      </c>
      <c r="B116" s="68" t="s">
        <v>2447</v>
      </c>
      <c r="C116" s="68" t="n">
        <v>1</v>
      </c>
    </row>
    <row r="117" customFormat="false" ht="15" hidden="false" customHeight="false" outlineLevel="0" collapsed="false">
      <c r="A117" s="68" t="s">
        <v>2652</v>
      </c>
      <c r="B117" s="68" t="s">
        <v>2452</v>
      </c>
      <c r="C117" s="68" t="n">
        <v>1</v>
      </c>
    </row>
    <row r="118" customFormat="false" ht="15" hidden="false" customHeight="false" outlineLevel="0" collapsed="false">
      <c r="A118" s="68" t="s">
        <v>2652</v>
      </c>
      <c r="B118" s="68" t="s">
        <v>2457</v>
      </c>
      <c r="C118" s="68" t="n">
        <v>1</v>
      </c>
    </row>
    <row r="119" customFormat="false" ht="15" hidden="false" customHeight="false" outlineLevel="0" collapsed="false">
      <c r="A119" s="68" t="s">
        <v>2652</v>
      </c>
      <c r="B119" s="68" t="s">
        <v>2462</v>
      </c>
      <c r="C119" s="68"/>
    </row>
    <row r="120" customFormat="false" ht="15" hidden="false" customHeight="false" outlineLevel="0" collapsed="false">
      <c r="A120" s="68" t="s">
        <v>2652</v>
      </c>
      <c r="B120" s="68" t="s">
        <v>2467</v>
      </c>
      <c r="C120" s="68"/>
    </row>
    <row r="121" customFormat="false" ht="15" hidden="false" customHeight="false" outlineLevel="0" collapsed="false">
      <c r="A121" s="68" t="s">
        <v>2652</v>
      </c>
      <c r="B121" s="68" t="s">
        <v>2471</v>
      </c>
      <c r="C121" s="68" t="n">
        <v>123.416</v>
      </c>
    </row>
    <row r="122" customFormat="false" ht="15" hidden="false" customHeight="false" outlineLevel="0" collapsed="false">
      <c r="A122" s="68" t="s">
        <v>2652</v>
      </c>
      <c r="B122" s="68" t="s">
        <v>2475</v>
      </c>
      <c r="C122" s="68" t="s">
        <v>312</v>
      </c>
    </row>
    <row r="123" customFormat="false" ht="15" hidden="false" customHeight="false" outlineLevel="0" collapsed="false">
      <c r="A123" s="68" t="s">
        <v>2652</v>
      </c>
      <c r="B123" s="68" t="s">
        <v>2480</v>
      </c>
      <c r="C123" s="68"/>
    </row>
    <row r="124" customFormat="false" ht="15" hidden="false" customHeight="false" outlineLevel="0" collapsed="false">
      <c r="A124" s="68" t="s">
        <v>2652</v>
      </c>
      <c r="B124" s="68" t="s">
        <v>2484</v>
      </c>
      <c r="C124" s="68"/>
    </row>
    <row r="125" customFormat="false" ht="15" hidden="false" customHeight="false" outlineLevel="0" collapsed="false">
      <c r="A125" s="68" t="s">
        <v>2657</v>
      </c>
      <c r="B125" s="68" t="s">
        <v>2284</v>
      </c>
      <c r="C125" s="68" t="n">
        <v>13.1</v>
      </c>
    </row>
    <row r="126" customFormat="false" ht="15" hidden="false" customHeight="false" outlineLevel="0" collapsed="false">
      <c r="A126" s="68" t="s">
        <v>2657</v>
      </c>
      <c r="B126" s="68" t="s">
        <v>2290</v>
      </c>
      <c r="C126" s="68" t="s">
        <v>123</v>
      </c>
    </row>
    <row r="127" customFormat="false" ht="15" hidden="false" customHeight="false" outlineLevel="0" collapsed="false">
      <c r="A127" s="68" t="s">
        <v>2657</v>
      </c>
      <c r="B127" s="68" t="s">
        <v>2365</v>
      </c>
      <c r="C127" s="68"/>
    </row>
    <row r="128" customFormat="false" ht="15" hidden="false" customHeight="false" outlineLevel="0" collapsed="false">
      <c r="A128" s="68" t="s">
        <v>2657</v>
      </c>
      <c r="B128" s="68" t="s">
        <v>2370</v>
      </c>
      <c r="C128" s="68"/>
    </row>
    <row r="129" customFormat="false" ht="15" hidden="false" customHeight="false" outlineLevel="0" collapsed="false">
      <c r="A129" s="68" t="s">
        <v>2657</v>
      </c>
      <c r="B129" s="68" t="s">
        <v>2375</v>
      </c>
      <c r="C129" s="68"/>
    </row>
    <row r="130" customFormat="false" ht="15" hidden="false" customHeight="false" outlineLevel="0" collapsed="false">
      <c r="A130" s="68" t="s">
        <v>2657</v>
      </c>
      <c r="B130" s="68" t="s">
        <v>2388</v>
      </c>
      <c r="C130" s="68"/>
    </row>
    <row r="131" customFormat="false" ht="15" hidden="false" customHeight="false" outlineLevel="0" collapsed="false">
      <c r="A131" s="68" t="s">
        <v>2657</v>
      </c>
      <c r="B131" s="68" t="s">
        <v>2393</v>
      </c>
      <c r="C131" s="68"/>
    </row>
    <row r="132" customFormat="false" ht="15" hidden="false" customHeight="false" outlineLevel="0" collapsed="false">
      <c r="A132" s="68" t="s">
        <v>2657</v>
      </c>
      <c r="B132" s="68" t="s">
        <v>2398</v>
      </c>
      <c r="C132" s="68"/>
    </row>
    <row r="133" customFormat="false" ht="15" hidden="false" customHeight="false" outlineLevel="0" collapsed="false">
      <c r="A133" s="68" t="s">
        <v>2657</v>
      </c>
      <c r="B133" s="68" t="s">
        <v>2432</v>
      </c>
      <c r="C133" s="68" t="s">
        <v>3162</v>
      </c>
    </row>
    <row r="134" customFormat="false" ht="15" hidden="false" customHeight="false" outlineLevel="0" collapsed="false">
      <c r="A134" s="68" t="s">
        <v>2657</v>
      </c>
      <c r="B134" s="68" t="s">
        <v>2437</v>
      </c>
      <c r="C134" s="68" t="n">
        <v>1</v>
      </c>
    </row>
    <row r="135" customFormat="false" ht="15" hidden="false" customHeight="false" outlineLevel="0" collapsed="false">
      <c r="A135" s="68" t="s">
        <v>2657</v>
      </c>
      <c r="B135" s="68" t="s">
        <v>2442</v>
      </c>
      <c r="C135" s="68" t="n">
        <v>1</v>
      </c>
    </row>
    <row r="136" customFormat="false" ht="15" hidden="false" customHeight="false" outlineLevel="0" collapsed="false">
      <c r="A136" s="68" t="s">
        <v>2657</v>
      </c>
      <c r="B136" s="68" t="s">
        <v>2447</v>
      </c>
      <c r="C136" s="68" t="n">
        <v>1</v>
      </c>
    </row>
    <row r="137" customFormat="false" ht="15" hidden="false" customHeight="false" outlineLevel="0" collapsed="false">
      <c r="A137" s="68" t="s">
        <v>2657</v>
      </c>
      <c r="B137" s="68" t="s">
        <v>2452</v>
      </c>
      <c r="C137" s="68" t="n">
        <v>1</v>
      </c>
    </row>
    <row r="138" customFormat="false" ht="15" hidden="false" customHeight="false" outlineLevel="0" collapsed="false">
      <c r="A138" s="68" t="s">
        <v>2657</v>
      </c>
      <c r="B138" s="68" t="s">
        <v>2457</v>
      </c>
      <c r="C138" s="68" t="n">
        <v>1</v>
      </c>
    </row>
    <row r="139" customFormat="false" ht="15" hidden="false" customHeight="false" outlineLevel="0" collapsed="false">
      <c r="A139" s="68" t="s">
        <v>2657</v>
      </c>
      <c r="B139" s="68" t="s">
        <v>2462</v>
      </c>
      <c r="C139" s="68"/>
    </row>
    <row r="140" customFormat="false" ht="15" hidden="false" customHeight="false" outlineLevel="0" collapsed="false">
      <c r="A140" s="68" t="s">
        <v>2657</v>
      </c>
      <c r="B140" s="68" t="s">
        <v>2467</v>
      </c>
      <c r="C140" s="68"/>
    </row>
    <row r="141" customFormat="false" ht="15" hidden="false" customHeight="false" outlineLevel="0" collapsed="false">
      <c r="A141" s="68" t="s">
        <v>2657</v>
      </c>
      <c r="B141" s="68" t="s">
        <v>2471</v>
      </c>
      <c r="C141" s="68" t="n">
        <v>123.416</v>
      </c>
    </row>
    <row r="142" customFormat="false" ht="15" hidden="false" customHeight="false" outlineLevel="0" collapsed="false">
      <c r="A142" s="68" t="s">
        <v>2657</v>
      </c>
      <c r="B142" s="68" t="s">
        <v>2475</v>
      </c>
      <c r="C142" s="68" t="s">
        <v>312</v>
      </c>
    </row>
    <row r="143" customFormat="false" ht="15" hidden="false" customHeight="false" outlineLevel="0" collapsed="false">
      <c r="A143" s="68" t="s">
        <v>2657</v>
      </c>
      <c r="B143" s="68" t="s">
        <v>2480</v>
      </c>
      <c r="C143" s="68"/>
    </row>
    <row r="144" customFormat="false" ht="15" hidden="false" customHeight="false" outlineLevel="0" collapsed="false">
      <c r="A144" s="68" t="s">
        <v>2657</v>
      </c>
      <c r="B144" s="68" t="s">
        <v>2484</v>
      </c>
      <c r="C144" s="68"/>
    </row>
    <row r="145" customFormat="false" ht="15" hidden="false" customHeight="false" outlineLevel="0" collapsed="false">
      <c r="A145" s="68" t="s">
        <v>2661</v>
      </c>
      <c r="B145" s="68" t="s">
        <v>2284</v>
      </c>
      <c r="C145" s="68" t="n">
        <v>423</v>
      </c>
    </row>
    <row r="146" customFormat="false" ht="15" hidden="false" customHeight="false" outlineLevel="0" collapsed="false">
      <c r="A146" s="68" t="s">
        <v>2661</v>
      </c>
      <c r="B146" s="68" t="s">
        <v>2290</v>
      </c>
      <c r="C146" s="68" t="s">
        <v>123</v>
      </c>
    </row>
    <row r="147" customFormat="false" ht="15" hidden="false" customHeight="false" outlineLevel="0" collapsed="false">
      <c r="A147" s="68" t="s">
        <v>2661</v>
      </c>
      <c r="B147" s="68" t="s">
        <v>2365</v>
      </c>
      <c r="C147" s="68"/>
    </row>
    <row r="148" customFormat="false" ht="15" hidden="false" customHeight="false" outlineLevel="0" collapsed="false">
      <c r="A148" s="68" t="s">
        <v>2661</v>
      </c>
      <c r="B148" s="68" t="s">
        <v>2370</v>
      </c>
      <c r="C148" s="68"/>
    </row>
    <row r="149" customFormat="false" ht="15" hidden="false" customHeight="false" outlineLevel="0" collapsed="false">
      <c r="A149" s="68" t="s">
        <v>2661</v>
      </c>
      <c r="B149" s="68" t="s">
        <v>2375</v>
      </c>
      <c r="C149" s="68"/>
    </row>
    <row r="150" customFormat="false" ht="15" hidden="false" customHeight="false" outlineLevel="0" collapsed="false">
      <c r="A150" s="68" t="s">
        <v>2661</v>
      </c>
      <c r="B150" s="68" t="s">
        <v>2388</v>
      </c>
      <c r="C150" s="68"/>
    </row>
    <row r="151" customFormat="false" ht="15" hidden="false" customHeight="false" outlineLevel="0" collapsed="false">
      <c r="A151" s="68" t="s">
        <v>2661</v>
      </c>
      <c r="B151" s="68" t="s">
        <v>2393</v>
      </c>
      <c r="C151" s="68"/>
    </row>
    <row r="152" customFormat="false" ht="15" hidden="false" customHeight="false" outlineLevel="0" collapsed="false">
      <c r="A152" s="68" t="s">
        <v>2661</v>
      </c>
      <c r="B152" s="68" t="s">
        <v>2398</v>
      </c>
      <c r="C152" s="68"/>
    </row>
    <row r="153" customFormat="false" ht="15" hidden="false" customHeight="false" outlineLevel="0" collapsed="false">
      <c r="A153" s="68" t="s">
        <v>2661</v>
      </c>
      <c r="B153" s="68" t="s">
        <v>2432</v>
      </c>
      <c r="C153" s="68" t="s">
        <v>3162</v>
      </c>
    </row>
    <row r="154" customFormat="false" ht="15" hidden="false" customHeight="false" outlineLevel="0" collapsed="false">
      <c r="A154" s="68" t="s">
        <v>2661</v>
      </c>
      <c r="B154" s="68" t="s">
        <v>2437</v>
      </c>
      <c r="C154" s="68" t="n">
        <v>1</v>
      </c>
    </row>
    <row r="155" customFormat="false" ht="15" hidden="false" customHeight="false" outlineLevel="0" collapsed="false">
      <c r="A155" s="68" t="s">
        <v>2661</v>
      </c>
      <c r="B155" s="68" t="s">
        <v>2442</v>
      </c>
      <c r="C155" s="68" t="n">
        <v>1</v>
      </c>
    </row>
    <row r="156" customFormat="false" ht="15" hidden="false" customHeight="false" outlineLevel="0" collapsed="false">
      <c r="A156" s="68" t="s">
        <v>2661</v>
      </c>
      <c r="B156" s="68" t="s">
        <v>2447</v>
      </c>
      <c r="C156" s="68" t="n">
        <v>1</v>
      </c>
    </row>
    <row r="157" customFormat="false" ht="15" hidden="false" customHeight="false" outlineLevel="0" collapsed="false">
      <c r="A157" s="68" t="s">
        <v>2661</v>
      </c>
      <c r="B157" s="68" t="s">
        <v>2452</v>
      </c>
      <c r="C157" s="68" t="n">
        <v>1</v>
      </c>
    </row>
    <row r="158" customFormat="false" ht="15" hidden="false" customHeight="false" outlineLevel="0" collapsed="false">
      <c r="A158" s="68" t="s">
        <v>2661</v>
      </c>
      <c r="B158" s="68" t="s">
        <v>2457</v>
      </c>
      <c r="C158" s="68" t="n">
        <v>1</v>
      </c>
    </row>
    <row r="159" customFormat="false" ht="15" hidden="false" customHeight="false" outlineLevel="0" collapsed="false">
      <c r="A159" s="68" t="s">
        <v>2661</v>
      </c>
      <c r="B159" s="68" t="s">
        <v>2462</v>
      </c>
      <c r="C159" s="68"/>
    </row>
    <row r="160" customFormat="false" ht="15" hidden="false" customHeight="false" outlineLevel="0" collapsed="false">
      <c r="A160" s="68" t="s">
        <v>2661</v>
      </c>
      <c r="B160" s="68" t="s">
        <v>2467</v>
      </c>
      <c r="C160" s="68"/>
    </row>
    <row r="161" customFormat="false" ht="15" hidden="false" customHeight="false" outlineLevel="0" collapsed="false">
      <c r="A161" s="68" t="s">
        <v>2661</v>
      </c>
      <c r="B161" s="68" t="s">
        <v>2471</v>
      </c>
      <c r="C161" s="68" t="n">
        <v>123.416</v>
      </c>
    </row>
    <row r="162" customFormat="false" ht="15" hidden="false" customHeight="false" outlineLevel="0" collapsed="false">
      <c r="A162" s="68" t="s">
        <v>2661</v>
      </c>
      <c r="B162" s="68" t="s">
        <v>2475</v>
      </c>
      <c r="C162" s="68" t="s">
        <v>312</v>
      </c>
    </row>
    <row r="163" customFormat="false" ht="15" hidden="false" customHeight="false" outlineLevel="0" collapsed="false">
      <c r="A163" s="68" t="s">
        <v>2661</v>
      </c>
      <c r="B163" s="68" t="s">
        <v>2480</v>
      </c>
      <c r="C163" s="68"/>
    </row>
    <row r="164" customFormat="false" ht="15" hidden="false" customHeight="false" outlineLevel="0" collapsed="false">
      <c r="A164" s="68" t="s">
        <v>2661</v>
      </c>
      <c r="B164" s="68" t="s">
        <v>2484</v>
      </c>
      <c r="C164" s="68"/>
    </row>
    <row r="165" customFormat="false" ht="15" hidden="false" customHeight="false" outlineLevel="0" collapsed="false">
      <c r="A165" s="68" t="s">
        <v>2666</v>
      </c>
      <c r="B165" s="68" t="s">
        <v>2284</v>
      </c>
      <c r="C165" s="68" t="n">
        <v>3.9</v>
      </c>
    </row>
    <row r="166" customFormat="false" ht="15" hidden="false" customHeight="false" outlineLevel="0" collapsed="false">
      <c r="A166" s="68" t="s">
        <v>2666</v>
      </c>
      <c r="B166" s="68" t="s">
        <v>2290</v>
      </c>
      <c r="C166" s="68" t="s">
        <v>123</v>
      </c>
    </row>
    <row r="167" customFormat="false" ht="15" hidden="false" customHeight="false" outlineLevel="0" collapsed="false">
      <c r="A167" s="68" t="s">
        <v>2666</v>
      </c>
      <c r="B167" s="68" t="s">
        <v>2365</v>
      </c>
      <c r="C167" s="68"/>
    </row>
    <row r="168" customFormat="false" ht="15" hidden="false" customHeight="false" outlineLevel="0" collapsed="false">
      <c r="A168" s="68" t="s">
        <v>2666</v>
      </c>
      <c r="B168" s="68" t="s">
        <v>2370</v>
      </c>
      <c r="C168" s="68"/>
    </row>
    <row r="169" customFormat="false" ht="15" hidden="false" customHeight="false" outlineLevel="0" collapsed="false">
      <c r="A169" s="68" t="s">
        <v>2666</v>
      </c>
      <c r="B169" s="68" t="s">
        <v>2375</v>
      </c>
      <c r="C169" s="68"/>
    </row>
    <row r="170" customFormat="false" ht="15" hidden="false" customHeight="false" outlineLevel="0" collapsed="false">
      <c r="A170" s="68" t="s">
        <v>2666</v>
      </c>
      <c r="B170" s="68" t="s">
        <v>2388</v>
      </c>
      <c r="C170" s="68"/>
    </row>
    <row r="171" customFormat="false" ht="15" hidden="false" customHeight="false" outlineLevel="0" collapsed="false">
      <c r="A171" s="68" t="s">
        <v>2666</v>
      </c>
      <c r="B171" s="68" t="s">
        <v>2393</v>
      </c>
      <c r="C171" s="68"/>
    </row>
    <row r="172" customFormat="false" ht="15" hidden="false" customHeight="false" outlineLevel="0" collapsed="false">
      <c r="A172" s="68" t="s">
        <v>2666</v>
      </c>
      <c r="B172" s="68" t="s">
        <v>2398</v>
      </c>
      <c r="C172" s="68"/>
    </row>
    <row r="173" customFormat="false" ht="15" hidden="false" customHeight="false" outlineLevel="0" collapsed="false">
      <c r="A173" s="68" t="s">
        <v>2666</v>
      </c>
      <c r="B173" s="68" t="s">
        <v>2432</v>
      </c>
      <c r="C173" s="68" t="s">
        <v>3162</v>
      </c>
    </row>
    <row r="174" customFormat="false" ht="15" hidden="false" customHeight="false" outlineLevel="0" collapsed="false">
      <c r="A174" s="68" t="s">
        <v>2666</v>
      </c>
      <c r="B174" s="68" t="s">
        <v>2437</v>
      </c>
      <c r="C174" s="68" t="n">
        <v>1</v>
      </c>
    </row>
    <row r="175" customFormat="false" ht="15" hidden="false" customHeight="false" outlineLevel="0" collapsed="false">
      <c r="A175" s="68" t="s">
        <v>2666</v>
      </c>
      <c r="B175" s="68" t="s">
        <v>2442</v>
      </c>
      <c r="C175" s="68" t="n">
        <v>1</v>
      </c>
    </row>
    <row r="176" customFormat="false" ht="15" hidden="false" customHeight="false" outlineLevel="0" collapsed="false">
      <c r="A176" s="68" t="s">
        <v>2666</v>
      </c>
      <c r="B176" s="68" t="s">
        <v>2447</v>
      </c>
      <c r="C176" s="68" t="n">
        <v>1</v>
      </c>
    </row>
    <row r="177" customFormat="false" ht="15" hidden="false" customHeight="false" outlineLevel="0" collapsed="false">
      <c r="A177" s="68" t="s">
        <v>2666</v>
      </c>
      <c r="B177" s="68" t="s">
        <v>2452</v>
      </c>
      <c r="C177" s="68" t="n">
        <v>1</v>
      </c>
    </row>
    <row r="178" customFormat="false" ht="15" hidden="false" customHeight="false" outlineLevel="0" collapsed="false">
      <c r="A178" s="68" t="s">
        <v>2666</v>
      </c>
      <c r="B178" s="68" t="s">
        <v>2457</v>
      </c>
      <c r="C178" s="68" t="n">
        <v>1</v>
      </c>
    </row>
    <row r="179" customFormat="false" ht="15" hidden="false" customHeight="false" outlineLevel="0" collapsed="false">
      <c r="A179" s="68" t="s">
        <v>2666</v>
      </c>
      <c r="B179" s="68" t="s">
        <v>2462</v>
      </c>
      <c r="C179" s="68"/>
    </row>
    <row r="180" customFormat="false" ht="15" hidden="false" customHeight="false" outlineLevel="0" collapsed="false">
      <c r="A180" s="68" t="s">
        <v>2666</v>
      </c>
      <c r="B180" s="68" t="s">
        <v>2467</v>
      </c>
      <c r="C180" s="68"/>
    </row>
    <row r="181" customFormat="false" ht="15" hidden="false" customHeight="false" outlineLevel="0" collapsed="false">
      <c r="A181" s="68" t="s">
        <v>2666</v>
      </c>
      <c r="B181" s="68" t="s">
        <v>2471</v>
      </c>
      <c r="C181" s="68" t="n">
        <v>123.416</v>
      </c>
    </row>
    <row r="182" customFormat="false" ht="15" hidden="false" customHeight="false" outlineLevel="0" collapsed="false">
      <c r="A182" s="68" t="s">
        <v>2666</v>
      </c>
      <c r="B182" s="68" t="s">
        <v>2475</v>
      </c>
      <c r="C182" s="68" t="s">
        <v>312</v>
      </c>
    </row>
    <row r="183" customFormat="false" ht="15" hidden="false" customHeight="false" outlineLevel="0" collapsed="false">
      <c r="A183" s="68" t="s">
        <v>2666</v>
      </c>
      <c r="B183" s="68" t="s">
        <v>2480</v>
      </c>
      <c r="C183" s="68"/>
    </row>
    <row r="184" customFormat="false" ht="15" hidden="false" customHeight="false" outlineLevel="0" collapsed="false">
      <c r="A184" s="68" t="s">
        <v>2666</v>
      </c>
      <c r="B184" s="68" t="s">
        <v>2484</v>
      </c>
      <c r="C184" s="68"/>
    </row>
    <row r="185" customFormat="false" ht="15" hidden="false" customHeight="false" outlineLevel="0" collapsed="false">
      <c r="A185" s="68" t="s">
        <v>2671</v>
      </c>
      <c r="B185" s="68" t="s">
        <v>2284</v>
      </c>
      <c r="C185" s="68" t="n">
        <v>13.7</v>
      </c>
    </row>
    <row r="186" customFormat="false" ht="15" hidden="false" customHeight="false" outlineLevel="0" collapsed="false">
      <c r="A186" s="68" t="s">
        <v>2671</v>
      </c>
      <c r="B186" s="68" t="s">
        <v>2290</v>
      </c>
      <c r="C186" s="68" t="s">
        <v>123</v>
      </c>
    </row>
    <row r="187" customFormat="false" ht="15" hidden="false" customHeight="false" outlineLevel="0" collapsed="false">
      <c r="A187" s="68" t="s">
        <v>2671</v>
      </c>
      <c r="B187" s="68" t="s">
        <v>2365</v>
      </c>
      <c r="C187" s="68"/>
    </row>
    <row r="188" customFormat="false" ht="15" hidden="false" customHeight="false" outlineLevel="0" collapsed="false">
      <c r="A188" s="68" t="s">
        <v>2671</v>
      </c>
      <c r="B188" s="68" t="s">
        <v>2370</v>
      </c>
      <c r="C188" s="68"/>
    </row>
    <row r="189" customFormat="false" ht="15" hidden="false" customHeight="false" outlineLevel="0" collapsed="false">
      <c r="A189" s="68" t="s">
        <v>2671</v>
      </c>
      <c r="B189" s="68" t="s">
        <v>2375</v>
      </c>
      <c r="C189" s="68"/>
    </row>
    <row r="190" customFormat="false" ht="15" hidden="false" customHeight="false" outlineLevel="0" collapsed="false">
      <c r="A190" s="68" t="s">
        <v>2671</v>
      </c>
      <c r="B190" s="68" t="s">
        <v>2388</v>
      </c>
      <c r="C190" s="68"/>
    </row>
    <row r="191" customFormat="false" ht="15" hidden="false" customHeight="false" outlineLevel="0" collapsed="false">
      <c r="A191" s="68" t="s">
        <v>2671</v>
      </c>
      <c r="B191" s="68" t="s">
        <v>2393</v>
      </c>
      <c r="C191" s="68"/>
    </row>
    <row r="192" customFormat="false" ht="15" hidden="false" customHeight="false" outlineLevel="0" collapsed="false">
      <c r="A192" s="68" t="s">
        <v>2671</v>
      </c>
      <c r="B192" s="68" t="s">
        <v>2398</v>
      </c>
      <c r="C192" s="68"/>
    </row>
    <row r="193" customFormat="false" ht="15" hidden="false" customHeight="false" outlineLevel="0" collapsed="false">
      <c r="A193" s="68" t="s">
        <v>2671</v>
      </c>
      <c r="B193" s="68" t="s">
        <v>2432</v>
      </c>
      <c r="C193" s="68" t="s">
        <v>3162</v>
      </c>
    </row>
    <row r="194" customFormat="false" ht="15" hidden="false" customHeight="false" outlineLevel="0" collapsed="false">
      <c r="A194" s="68" t="s">
        <v>2671</v>
      </c>
      <c r="B194" s="68" t="s">
        <v>2437</v>
      </c>
      <c r="C194" s="68" t="n">
        <v>1</v>
      </c>
    </row>
    <row r="195" customFormat="false" ht="15" hidden="false" customHeight="false" outlineLevel="0" collapsed="false">
      <c r="A195" s="68" t="s">
        <v>2671</v>
      </c>
      <c r="B195" s="68" t="s">
        <v>2442</v>
      </c>
      <c r="C195" s="68" t="n">
        <v>1</v>
      </c>
    </row>
    <row r="196" customFormat="false" ht="15" hidden="false" customHeight="false" outlineLevel="0" collapsed="false">
      <c r="A196" s="68" t="s">
        <v>2671</v>
      </c>
      <c r="B196" s="68" t="s">
        <v>2447</v>
      </c>
      <c r="C196" s="68" t="n">
        <v>1</v>
      </c>
    </row>
    <row r="197" customFormat="false" ht="15" hidden="false" customHeight="false" outlineLevel="0" collapsed="false">
      <c r="A197" s="68" t="s">
        <v>2671</v>
      </c>
      <c r="B197" s="68" t="s">
        <v>2452</v>
      </c>
      <c r="C197" s="68" t="n">
        <v>1</v>
      </c>
    </row>
    <row r="198" customFormat="false" ht="15" hidden="false" customHeight="false" outlineLevel="0" collapsed="false">
      <c r="A198" s="68" t="s">
        <v>2671</v>
      </c>
      <c r="B198" s="68" t="s">
        <v>2457</v>
      </c>
      <c r="C198" s="68" t="n">
        <v>1</v>
      </c>
    </row>
    <row r="199" customFormat="false" ht="15" hidden="false" customHeight="false" outlineLevel="0" collapsed="false">
      <c r="A199" s="68" t="s">
        <v>2671</v>
      </c>
      <c r="B199" s="68" t="s">
        <v>2462</v>
      </c>
      <c r="C199" s="68"/>
    </row>
    <row r="200" customFormat="false" ht="15" hidden="false" customHeight="false" outlineLevel="0" collapsed="false">
      <c r="A200" s="68" t="s">
        <v>2671</v>
      </c>
      <c r="B200" s="68" t="s">
        <v>2467</v>
      </c>
      <c r="C200" s="68"/>
    </row>
    <row r="201" customFormat="false" ht="15" hidden="false" customHeight="false" outlineLevel="0" collapsed="false">
      <c r="A201" s="68" t="s">
        <v>2671</v>
      </c>
      <c r="B201" s="68" t="s">
        <v>2471</v>
      </c>
      <c r="C201" s="68" t="n">
        <v>123.416</v>
      </c>
    </row>
    <row r="202" customFormat="false" ht="15" hidden="false" customHeight="false" outlineLevel="0" collapsed="false">
      <c r="A202" s="68" t="s">
        <v>2671</v>
      </c>
      <c r="B202" s="68" t="s">
        <v>2475</v>
      </c>
      <c r="C202" s="68" t="s">
        <v>312</v>
      </c>
    </row>
    <row r="203" customFormat="false" ht="15" hidden="false" customHeight="false" outlineLevel="0" collapsed="false">
      <c r="A203" s="68" t="s">
        <v>2671</v>
      </c>
      <c r="B203" s="68" t="s">
        <v>2480</v>
      </c>
      <c r="C203" s="68"/>
    </row>
    <row r="204" customFormat="false" ht="15" hidden="false" customHeight="false" outlineLevel="0" collapsed="false">
      <c r="A204" s="68" t="s">
        <v>2671</v>
      </c>
      <c r="B204" s="68" t="s">
        <v>2484</v>
      </c>
      <c r="C204" s="68"/>
    </row>
    <row r="205" customFormat="false" ht="15" hidden="false" customHeight="false" outlineLevel="0" collapsed="false">
      <c r="A205" s="68" t="s">
        <v>2676</v>
      </c>
      <c r="B205" s="68" t="s">
        <v>2284</v>
      </c>
      <c r="C205" s="68" t="n">
        <v>4</v>
      </c>
    </row>
    <row r="206" customFormat="false" ht="15" hidden="false" customHeight="false" outlineLevel="0" collapsed="false">
      <c r="A206" s="68" t="s">
        <v>2676</v>
      </c>
      <c r="B206" s="68" t="s">
        <v>2290</v>
      </c>
      <c r="C206" s="68" t="s">
        <v>123</v>
      </c>
    </row>
    <row r="207" customFormat="false" ht="15" hidden="false" customHeight="false" outlineLevel="0" collapsed="false">
      <c r="A207" s="68" t="s">
        <v>2676</v>
      </c>
      <c r="B207" s="68" t="s">
        <v>2365</v>
      </c>
      <c r="C207" s="68"/>
    </row>
    <row r="208" customFormat="false" ht="15" hidden="false" customHeight="false" outlineLevel="0" collapsed="false">
      <c r="A208" s="68" t="s">
        <v>2676</v>
      </c>
      <c r="B208" s="68" t="s">
        <v>2370</v>
      </c>
      <c r="C208" s="68"/>
    </row>
    <row r="209" customFormat="false" ht="15" hidden="false" customHeight="false" outlineLevel="0" collapsed="false">
      <c r="A209" s="68" t="s">
        <v>2676</v>
      </c>
      <c r="B209" s="68" t="s">
        <v>2375</v>
      </c>
      <c r="C209" s="68"/>
    </row>
    <row r="210" customFormat="false" ht="15" hidden="false" customHeight="false" outlineLevel="0" collapsed="false">
      <c r="A210" s="68" t="s">
        <v>2676</v>
      </c>
      <c r="B210" s="68" t="s">
        <v>2388</v>
      </c>
      <c r="C210" s="68"/>
    </row>
    <row r="211" customFormat="false" ht="15" hidden="false" customHeight="false" outlineLevel="0" collapsed="false">
      <c r="A211" s="68" t="s">
        <v>2676</v>
      </c>
      <c r="B211" s="68" t="s">
        <v>2393</v>
      </c>
      <c r="C211" s="68"/>
    </row>
    <row r="212" customFormat="false" ht="15" hidden="false" customHeight="false" outlineLevel="0" collapsed="false">
      <c r="A212" s="68" t="s">
        <v>2676</v>
      </c>
      <c r="B212" s="68" t="s">
        <v>2398</v>
      </c>
      <c r="C212" s="68"/>
    </row>
    <row r="213" customFormat="false" ht="15" hidden="false" customHeight="false" outlineLevel="0" collapsed="false">
      <c r="A213" s="68" t="s">
        <v>2676</v>
      </c>
      <c r="B213" s="68" t="s">
        <v>2432</v>
      </c>
      <c r="C213" s="68" t="s">
        <v>3162</v>
      </c>
    </row>
    <row r="214" customFormat="false" ht="15" hidden="false" customHeight="false" outlineLevel="0" collapsed="false">
      <c r="A214" s="68" t="s">
        <v>2676</v>
      </c>
      <c r="B214" s="68" t="s">
        <v>2437</v>
      </c>
      <c r="C214" s="68" t="n">
        <v>1</v>
      </c>
    </row>
    <row r="215" customFormat="false" ht="15" hidden="false" customHeight="false" outlineLevel="0" collapsed="false">
      <c r="A215" s="68" t="s">
        <v>2676</v>
      </c>
      <c r="B215" s="68" t="s">
        <v>2442</v>
      </c>
      <c r="C215" s="68" t="n">
        <v>1</v>
      </c>
    </row>
    <row r="216" customFormat="false" ht="15" hidden="false" customHeight="false" outlineLevel="0" collapsed="false">
      <c r="A216" s="68" t="s">
        <v>2676</v>
      </c>
      <c r="B216" s="68" t="s">
        <v>2447</v>
      </c>
      <c r="C216" s="68" t="n">
        <v>1</v>
      </c>
    </row>
    <row r="217" customFormat="false" ht="15" hidden="false" customHeight="false" outlineLevel="0" collapsed="false">
      <c r="A217" s="68" t="s">
        <v>2676</v>
      </c>
      <c r="B217" s="68" t="s">
        <v>2452</v>
      </c>
      <c r="C217" s="68" t="n">
        <v>1</v>
      </c>
    </row>
    <row r="218" customFormat="false" ht="15" hidden="false" customHeight="false" outlineLevel="0" collapsed="false">
      <c r="A218" s="68" t="s">
        <v>2676</v>
      </c>
      <c r="B218" s="68" t="s">
        <v>2457</v>
      </c>
      <c r="C218" s="68" t="n">
        <v>1</v>
      </c>
    </row>
    <row r="219" customFormat="false" ht="15" hidden="false" customHeight="false" outlineLevel="0" collapsed="false">
      <c r="A219" s="68" t="s">
        <v>2676</v>
      </c>
      <c r="B219" s="68" t="s">
        <v>2462</v>
      </c>
      <c r="C219" s="68"/>
    </row>
    <row r="220" customFormat="false" ht="15" hidden="false" customHeight="false" outlineLevel="0" collapsed="false">
      <c r="A220" s="68" t="s">
        <v>2676</v>
      </c>
      <c r="B220" s="68" t="s">
        <v>2467</v>
      </c>
      <c r="C220" s="68"/>
    </row>
    <row r="221" customFormat="false" ht="15" hidden="false" customHeight="false" outlineLevel="0" collapsed="false">
      <c r="A221" s="68" t="s">
        <v>2676</v>
      </c>
      <c r="B221" s="68" t="s">
        <v>2471</v>
      </c>
      <c r="C221" s="68" t="n">
        <v>123.416</v>
      </c>
    </row>
    <row r="222" customFormat="false" ht="15" hidden="false" customHeight="false" outlineLevel="0" collapsed="false">
      <c r="A222" s="68" t="s">
        <v>2676</v>
      </c>
      <c r="B222" s="68" t="s">
        <v>2475</v>
      </c>
      <c r="C222" s="68" t="s">
        <v>312</v>
      </c>
    </row>
    <row r="223" customFormat="false" ht="15" hidden="false" customHeight="false" outlineLevel="0" collapsed="false">
      <c r="A223" s="68" t="s">
        <v>2676</v>
      </c>
      <c r="B223" s="68" t="s">
        <v>2480</v>
      </c>
      <c r="C223" s="68"/>
    </row>
    <row r="224" customFormat="false" ht="15" hidden="false" customHeight="false" outlineLevel="0" collapsed="false">
      <c r="A224" s="68" t="s">
        <v>2676</v>
      </c>
      <c r="B224" s="68" t="s">
        <v>2484</v>
      </c>
      <c r="C224" s="68"/>
    </row>
    <row r="225" customFormat="false" ht="15" hidden="false" customHeight="false" outlineLevel="0" collapsed="false">
      <c r="A225" s="68" t="s">
        <v>2682</v>
      </c>
      <c r="B225" s="68" t="s">
        <v>2284</v>
      </c>
      <c r="C225" s="68" t="n">
        <v>0.8</v>
      </c>
    </row>
    <row r="226" customFormat="false" ht="15" hidden="false" customHeight="false" outlineLevel="0" collapsed="false">
      <c r="A226" s="68" t="s">
        <v>2682</v>
      </c>
      <c r="B226" s="68" t="s">
        <v>2290</v>
      </c>
      <c r="C226" s="68" t="s">
        <v>123</v>
      </c>
    </row>
    <row r="227" customFormat="false" ht="15" hidden="false" customHeight="false" outlineLevel="0" collapsed="false">
      <c r="A227" s="68" t="s">
        <v>2682</v>
      </c>
      <c r="B227" s="68" t="s">
        <v>2365</v>
      </c>
      <c r="C227" s="68"/>
    </row>
    <row r="228" customFormat="false" ht="15" hidden="false" customHeight="false" outlineLevel="0" collapsed="false">
      <c r="A228" s="68" t="s">
        <v>2682</v>
      </c>
      <c r="B228" s="68" t="s">
        <v>2370</v>
      </c>
      <c r="C228" s="68"/>
    </row>
    <row r="229" customFormat="false" ht="15" hidden="false" customHeight="false" outlineLevel="0" collapsed="false">
      <c r="A229" s="68" t="s">
        <v>2682</v>
      </c>
      <c r="B229" s="68" t="s">
        <v>2375</v>
      </c>
      <c r="C229" s="68"/>
    </row>
    <row r="230" customFormat="false" ht="15" hidden="false" customHeight="false" outlineLevel="0" collapsed="false">
      <c r="A230" s="68" t="s">
        <v>2682</v>
      </c>
      <c r="B230" s="68" t="s">
        <v>2388</v>
      </c>
      <c r="C230" s="68"/>
    </row>
    <row r="231" customFormat="false" ht="15" hidden="false" customHeight="false" outlineLevel="0" collapsed="false">
      <c r="A231" s="68" t="s">
        <v>2682</v>
      </c>
      <c r="B231" s="68" t="s">
        <v>2393</v>
      </c>
      <c r="C231" s="68"/>
    </row>
    <row r="232" customFormat="false" ht="15" hidden="false" customHeight="false" outlineLevel="0" collapsed="false">
      <c r="A232" s="68" t="s">
        <v>2682</v>
      </c>
      <c r="B232" s="68" t="s">
        <v>2398</v>
      </c>
      <c r="C232" s="68"/>
    </row>
    <row r="233" customFormat="false" ht="15" hidden="false" customHeight="false" outlineLevel="0" collapsed="false">
      <c r="A233" s="68" t="s">
        <v>2682</v>
      </c>
      <c r="B233" s="68" t="s">
        <v>2432</v>
      </c>
      <c r="C233" s="68" t="s">
        <v>3162</v>
      </c>
    </row>
    <row r="234" customFormat="false" ht="15" hidden="false" customHeight="false" outlineLevel="0" collapsed="false">
      <c r="A234" s="68" t="s">
        <v>2682</v>
      </c>
      <c r="B234" s="68" t="s">
        <v>2437</v>
      </c>
      <c r="C234" s="68" t="n">
        <v>1</v>
      </c>
    </row>
    <row r="235" customFormat="false" ht="15" hidden="false" customHeight="false" outlineLevel="0" collapsed="false">
      <c r="A235" s="68" t="s">
        <v>2682</v>
      </c>
      <c r="B235" s="68" t="s">
        <v>2442</v>
      </c>
      <c r="C235" s="68" t="n">
        <v>1</v>
      </c>
    </row>
    <row r="236" customFormat="false" ht="15" hidden="false" customHeight="false" outlineLevel="0" collapsed="false">
      <c r="A236" s="68" t="s">
        <v>2682</v>
      </c>
      <c r="B236" s="68" t="s">
        <v>2447</v>
      </c>
      <c r="C236" s="68" t="n">
        <v>1</v>
      </c>
    </row>
    <row r="237" customFormat="false" ht="15" hidden="false" customHeight="false" outlineLevel="0" collapsed="false">
      <c r="A237" s="68" t="s">
        <v>2682</v>
      </c>
      <c r="B237" s="68" t="s">
        <v>2452</v>
      </c>
      <c r="C237" s="68" t="n">
        <v>1</v>
      </c>
    </row>
    <row r="238" customFormat="false" ht="15" hidden="false" customHeight="false" outlineLevel="0" collapsed="false">
      <c r="A238" s="68" t="s">
        <v>2682</v>
      </c>
      <c r="B238" s="68" t="s">
        <v>2457</v>
      </c>
      <c r="C238" s="68" t="n">
        <v>1</v>
      </c>
    </row>
    <row r="239" customFormat="false" ht="15" hidden="false" customHeight="false" outlineLevel="0" collapsed="false">
      <c r="A239" s="68" t="s">
        <v>2682</v>
      </c>
      <c r="B239" s="68" t="s">
        <v>2462</v>
      </c>
      <c r="C239" s="68"/>
    </row>
    <row r="240" customFormat="false" ht="15" hidden="false" customHeight="false" outlineLevel="0" collapsed="false">
      <c r="A240" s="68" t="s">
        <v>2682</v>
      </c>
      <c r="B240" s="68" t="s">
        <v>2467</v>
      </c>
      <c r="C240" s="68"/>
    </row>
    <row r="241" customFormat="false" ht="15" hidden="false" customHeight="false" outlineLevel="0" collapsed="false">
      <c r="A241" s="68" t="s">
        <v>2682</v>
      </c>
      <c r="B241" s="68" t="s">
        <v>2471</v>
      </c>
      <c r="C241" s="68" t="n">
        <v>123.416</v>
      </c>
    </row>
    <row r="242" customFormat="false" ht="15" hidden="false" customHeight="false" outlineLevel="0" collapsed="false">
      <c r="A242" s="68" t="s">
        <v>2682</v>
      </c>
      <c r="B242" s="68" t="s">
        <v>2475</v>
      </c>
      <c r="C242" s="68" t="s">
        <v>312</v>
      </c>
    </row>
    <row r="243" customFormat="false" ht="15" hidden="false" customHeight="false" outlineLevel="0" collapsed="false">
      <c r="A243" s="68" t="s">
        <v>2682</v>
      </c>
      <c r="B243" s="68" t="s">
        <v>2480</v>
      </c>
      <c r="C243" s="68"/>
    </row>
    <row r="244" customFormat="false" ht="15" hidden="false" customHeight="false" outlineLevel="0" collapsed="false">
      <c r="A244" s="68" t="s">
        <v>2682</v>
      </c>
      <c r="B244" s="68" t="s">
        <v>2484</v>
      </c>
      <c r="C244" s="68"/>
    </row>
    <row r="245" customFormat="false" ht="15" hidden="false" customHeight="false" outlineLevel="0" collapsed="false">
      <c r="A245" s="68" t="s">
        <v>2686</v>
      </c>
      <c r="B245" s="68" t="s">
        <v>2284</v>
      </c>
      <c r="C245" s="68" t="n">
        <v>5</v>
      </c>
    </row>
    <row r="246" customFormat="false" ht="15" hidden="false" customHeight="false" outlineLevel="0" collapsed="false">
      <c r="A246" s="68" t="s">
        <v>2686</v>
      </c>
      <c r="B246" s="68" t="s">
        <v>2290</v>
      </c>
      <c r="C246" s="68" t="s">
        <v>123</v>
      </c>
    </row>
    <row r="247" customFormat="false" ht="15" hidden="false" customHeight="false" outlineLevel="0" collapsed="false">
      <c r="A247" s="68" t="s">
        <v>2686</v>
      </c>
      <c r="B247" s="68" t="s">
        <v>2365</v>
      </c>
      <c r="C247" s="68"/>
    </row>
    <row r="248" customFormat="false" ht="15" hidden="false" customHeight="false" outlineLevel="0" collapsed="false">
      <c r="A248" s="68" t="s">
        <v>2686</v>
      </c>
      <c r="B248" s="68" t="s">
        <v>2370</v>
      </c>
      <c r="C248" s="68"/>
    </row>
    <row r="249" customFormat="false" ht="15" hidden="false" customHeight="false" outlineLevel="0" collapsed="false">
      <c r="A249" s="68" t="s">
        <v>2686</v>
      </c>
      <c r="B249" s="68" t="s">
        <v>2375</v>
      </c>
      <c r="C249" s="68"/>
    </row>
    <row r="250" customFormat="false" ht="15" hidden="false" customHeight="false" outlineLevel="0" collapsed="false">
      <c r="A250" s="68" t="s">
        <v>2686</v>
      </c>
      <c r="B250" s="68" t="s">
        <v>2388</v>
      </c>
      <c r="C250" s="68"/>
    </row>
    <row r="251" customFormat="false" ht="15" hidden="false" customHeight="false" outlineLevel="0" collapsed="false">
      <c r="A251" s="68" t="s">
        <v>2686</v>
      </c>
      <c r="B251" s="68" t="s">
        <v>2393</v>
      </c>
      <c r="C251" s="68"/>
    </row>
    <row r="252" customFormat="false" ht="15" hidden="false" customHeight="false" outlineLevel="0" collapsed="false">
      <c r="A252" s="68" t="s">
        <v>2686</v>
      </c>
      <c r="B252" s="68" t="s">
        <v>2398</v>
      </c>
      <c r="C252" s="68"/>
    </row>
    <row r="253" customFormat="false" ht="15" hidden="false" customHeight="false" outlineLevel="0" collapsed="false">
      <c r="A253" s="68" t="s">
        <v>2686</v>
      </c>
      <c r="B253" s="68" t="s">
        <v>2432</v>
      </c>
      <c r="C253" s="68" t="s">
        <v>3162</v>
      </c>
    </row>
    <row r="254" customFormat="false" ht="15" hidden="false" customHeight="false" outlineLevel="0" collapsed="false">
      <c r="A254" s="68" t="s">
        <v>2686</v>
      </c>
      <c r="B254" s="68" t="s">
        <v>2437</v>
      </c>
      <c r="C254" s="68" t="n">
        <v>1</v>
      </c>
    </row>
    <row r="255" customFormat="false" ht="15" hidden="false" customHeight="false" outlineLevel="0" collapsed="false">
      <c r="A255" s="68" t="s">
        <v>2686</v>
      </c>
      <c r="B255" s="68" t="s">
        <v>2442</v>
      </c>
      <c r="C255" s="68" t="n">
        <v>1</v>
      </c>
    </row>
    <row r="256" customFormat="false" ht="15" hidden="false" customHeight="false" outlineLevel="0" collapsed="false">
      <c r="A256" s="68" t="s">
        <v>2686</v>
      </c>
      <c r="B256" s="68" t="s">
        <v>2447</v>
      </c>
      <c r="C256" s="68" t="n">
        <v>1</v>
      </c>
    </row>
    <row r="257" customFormat="false" ht="15" hidden="false" customHeight="false" outlineLevel="0" collapsed="false">
      <c r="A257" s="68" t="s">
        <v>2686</v>
      </c>
      <c r="B257" s="68" t="s">
        <v>2452</v>
      </c>
      <c r="C257" s="68" t="n">
        <v>1</v>
      </c>
    </row>
    <row r="258" customFormat="false" ht="15" hidden="false" customHeight="false" outlineLevel="0" collapsed="false">
      <c r="A258" s="68" t="s">
        <v>2686</v>
      </c>
      <c r="B258" s="68" t="s">
        <v>2457</v>
      </c>
      <c r="C258" s="68" t="n">
        <v>1</v>
      </c>
    </row>
    <row r="259" customFormat="false" ht="15" hidden="false" customHeight="false" outlineLevel="0" collapsed="false">
      <c r="A259" s="68" t="s">
        <v>2686</v>
      </c>
      <c r="B259" s="68" t="s">
        <v>2462</v>
      </c>
      <c r="C259" s="68"/>
    </row>
    <row r="260" customFormat="false" ht="15" hidden="false" customHeight="false" outlineLevel="0" collapsed="false">
      <c r="A260" s="68" t="s">
        <v>2686</v>
      </c>
      <c r="B260" s="68" t="s">
        <v>2467</v>
      </c>
      <c r="C260" s="68"/>
    </row>
    <row r="261" customFormat="false" ht="15" hidden="false" customHeight="false" outlineLevel="0" collapsed="false">
      <c r="A261" s="68" t="s">
        <v>2686</v>
      </c>
      <c r="B261" s="68" t="s">
        <v>2471</v>
      </c>
      <c r="C261" s="68" t="n">
        <v>123.416</v>
      </c>
    </row>
    <row r="262" customFormat="false" ht="15" hidden="false" customHeight="false" outlineLevel="0" collapsed="false">
      <c r="A262" s="68" t="s">
        <v>2686</v>
      </c>
      <c r="B262" s="68" t="s">
        <v>2475</v>
      </c>
      <c r="C262" s="68" t="s">
        <v>312</v>
      </c>
    </row>
    <row r="263" customFormat="false" ht="15" hidden="false" customHeight="false" outlineLevel="0" collapsed="false">
      <c r="A263" s="68" t="s">
        <v>2686</v>
      </c>
      <c r="B263" s="68" t="s">
        <v>2480</v>
      </c>
      <c r="C263" s="68"/>
    </row>
    <row r="264" customFormat="false" ht="15" hidden="false" customHeight="false" outlineLevel="0" collapsed="false">
      <c r="A264" s="68" t="s">
        <v>2686</v>
      </c>
      <c r="B264" s="68" t="s">
        <v>2484</v>
      </c>
      <c r="C264" s="68"/>
    </row>
    <row r="265" customFormat="false" ht="15" hidden="false" customHeight="false" outlineLevel="0" collapsed="false">
      <c r="A265" s="68" t="s">
        <v>2690</v>
      </c>
      <c r="B265" s="68" t="s">
        <v>2284</v>
      </c>
      <c r="C265" s="68" t="n">
        <v>2</v>
      </c>
    </row>
    <row r="266" customFormat="false" ht="15" hidden="false" customHeight="false" outlineLevel="0" collapsed="false">
      <c r="A266" s="68" t="s">
        <v>2690</v>
      </c>
      <c r="B266" s="68" t="s">
        <v>2290</v>
      </c>
      <c r="C266" s="68" t="s">
        <v>123</v>
      </c>
    </row>
    <row r="267" customFormat="false" ht="15" hidden="false" customHeight="false" outlineLevel="0" collapsed="false">
      <c r="A267" s="68" t="s">
        <v>2690</v>
      </c>
      <c r="B267" s="68" t="s">
        <v>2365</v>
      </c>
      <c r="C267" s="68"/>
    </row>
    <row r="268" customFormat="false" ht="15" hidden="false" customHeight="false" outlineLevel="0" collapsed="false">
      <c r="A268" s="68" t="s">
        <v>2690</v>
      </c>
      <c r="B268" s="68" t="s">
        <v>2370</v>
      </c>
      <c r="C268" s="68"/>
    </row>
    <row r="269" customFormat="false" ht="15" hidden="false" customHeight="false" outlineLevel="0" collapsed="false">
      <c r="A269" s="68" t="s">
        <v>2690</v>
      </c>
      <c r="B269" s="68" t="s">
        <v>2375</v>
      </c>
      <c r="C269" s="68"/>
    </row>
    <row r="270" customFormat="false" ht="15" hidden="false" customHeight="false" outlineLevel="0" collapsed="false">
      <c r="A270" s="68" t="s">
        <v>2690</v>
      </c>
      <c r="B270" s="68" t="s">
        <v>2388</v>
      </c>
      <c r="C270" s="68"/>
    </row>
    <row r="271" customFormat="false" ht="15" hidden="false" customHeight="false" outlineLevel="0" collapsed="false">
      <c r="A271" s="68" t="s">
        <v>2690</v>
      </c>
      <c r="B271" s="68" t="s">
        <v>2393</v>
      </c>
      <c r="C271" s="68"/>
    </row>
    <row r="272" customFormat="false" ht="15" hidden="false" customHeight="false" outlineLevel="0" collapsed="false">
      <c r="A272" s="68" t="s">
        <v>2690</v>
      </c>
      <c r="B272" s="68" t="s">
        <v>2398</v>
      </c>
      <c r="C272" s="68"/>
    </row>
    <row r="273" customFormat="false" ht="15" hidden="false" customHeight="false" outlineLevel="0" collapsed="false">
      <c r="A273" s="68" t="s">
        <v>2690</v>
      </c>
      <c r="B273" s="68" t="s">
        <v>2432</v>
      </c>
      <c r="C273" s="68" t="s">
        <v>3162</v>
      </c>
    </row>
    <row r="274" customFormat="false" ht="15" hidden="false" customHeight="false" outlineLevel="0" collapsed="false">
      <c r="A274" s="68" t="s">
        <v>2690</v>
      </c>
      <c r="B274" s="68" t="s">
        <v>2437</v>
      </c>
      <c r="C274" s="68" t="n">
        <v>1</v>
      </c>
    </row>
    <row r="275" customFormat="false" ht="15" hidden="false" customHeight="false" outlineLevel="0" collapsed="false">
      <c r="A275" s="68" t="s">
        <v>2690</v>
      </c>
      <c r="B275" s="68" t="s">
        <v>2442</v>
      </c>
      <c r="C275" s="68" t="n">
        <v>1</v>
      </c>
    </row>
    <row r="276" customFormat="false" ht="15" hidden="false" customHeight="false" outlineLevel="0" collapsed="false">
      <c r="A276" s="68" t="s">
        <v>2690</v>
      </c>
      <c r="B276" s="68" t="s">
        <v>2447</v>
      </c>
      <c r="C276" s="68" t="n">
        <v>1</v>
      </c>
    </row>
    <row r="277" customFormat="false" ht="15" hidden="false" customHeight="false" outlineLevel="0" collapsed="false">
      <c r="A277" s="68" t="s">
        <v>2690</v>
      </c>
      <c r="B277" s="68" t="s">
        <v>2452</v>
      </c>
      <c r="C277" s="68" t="n">
        <v>1</v>
      </c>
    </row>
    <row r="278" customFormat="false" ht="15" hidden="false" customHeight="false" outlineLevel="0" collapsed="false">
      <c r="A278" s="68" t="s">
        <v>2690</v>
      </c>
      <c r="B278" s="68" t="s">
        <v>2457</v>
      </c>
      <c r="C278" s="68" t="n">
        <v>1</v>
      </c>
    </row>
    <row r="279" customFormat="false" ht="15" hidden="false" customHeight="false" outlineLevel="0" collapsed="false">
      <c r="A279" s="68" t="s">
        <v>2690</v>
      </c>
      <c r="B279" s="68" t="s">
        <v>2462</v>
      </c>
      <c r="C279" s="68"/>
    </row>
    <row r="280" customFormat="false" ht="15" hidden="false" customHeight="false" outlineLevel="0" collapsed="false">
      <c r="A280" s="68" t="s">
        <v>2690</v>
      </c>
      <c r="B280" s="68" t="s">
        <v>2467</v>
      </c>
      <c r="C280" s="68"/>
    </row>
    <row r="281" customFormat="false" ht="15" hidden="false" customHeight="false" outlineLevel="0" collapsed="false">
      <c r="A281" s="68" t="s">
        <v>2690</v>
      </c>
      <c r="B281" s="68" t="s">
        <v>2471</v>
      </c>
      <c r="C281" s="68" t="n">
        <v>123.416</v>
      </c>
    </row>
    <row r="282" customFormat="false" ht="15" hidden="false" customHeight="false" outlineLevel="0" collapsed="false">
      <c r="A282" s="68" t="s">
        <v>2690</v>
      </c>
      <c r="B282" s="68" t="s">
        <v>2475</v>
      </c>
      <c r="C282" s="68" t="s">
        <v>312</v>
      </c>
    </row>
    <row r="283" customFormat="false" ht="15" hidden="false" customHeight="false" outlineLevel="0" collapsed="false">
      <c r="A283" s="68" t="s">
        <v>2690</v>
      </c>
      <c r="B283" s="68" t="s">
        <v>2480</v>
      </c>
      <c r="C283" s="68"/>
    </row>
    <row r="284" customFormat="false" ht="15" hidden="false" customHeight="false" outlineLevel="0" collapsed="false">
      <c r="A284" s="68" t="s">
        <v>2690</v>
      </c>
      <c r="B284" s="68" t="s">
        <v>2484</v>
      </c>
      <c r="C284" s="68"/>
    </row>
    <row r="285" customFormat="false" ht="15" hidden="false" customHeight="false" outlineLevel="0" collapsed="false">
      <c r="A285" s="68" t="s">
        <v>2694</v>
      </c>
      <c r="B285" s="68" t="s">
        <v>2284</v>
      </c>
      <c r="C285" s="68" t="n">
        <v>216.3</v>
      </c>
    </row>
    <row r="286" customFormat="false" ht="15" hidden="false" customHeight="false" outlineLevel="0" collapsed="false">
      <c r="A286" s="68" t="s">
        <v>2694</v>
      </c>
      <c r="B286" s="68" t="s">
        <v>2290</v>
      </c>
      <c r="C286" s="68" t="s">
        <v>123</v>
      </c>
    </row>
    <row r="287" customFormat="false" ht="15" hidden="false" customHeight="false" outlineLevel="0" collapsed="false">
      <c r="A287" s="68" t="s">
        <v>2694</v>
      </c>
      <c r="B287" s="68" t="s">
        <v>2365</v>
      </c>
      <c r="C287" s="68" t="n">
        <v>385000</v>
      </c>
    </row>
    <row r="288" customFormat="false" ht="15" hidden="false" customHeight="false" outlineLevel="0" collapsed="false">
      <c r="A288" s="68" t="s">
        <v>2694</v>
      </c>
      <c r="B288" s="68" t="s">
        <v>2370</v>
      </c>
      <c r="C288" s="68" t="n">
        <v>485375</v>
      </c>
    </row>
    <row r="289" customFormat="false" ht="15" hidden="false" customHeight="false" outlineLevel="0" collapsed="false">
      <c r="A289" s="68" t="s">
        <v>2694</v>
      </c>
      <c r="B289" s="68" t="s">
        <v>2375</v>
      </c>
      <c r="C289" s="68" t="n">
        <v>203857500000</v>
      </c>
    </row>
    <row r="290" customFormat="false" ht="15" hidden="false" customHeight="false" outlineLevel="0" collapsed="false">
      <c r="A290" s="68" t="s">
        <v>2694</v>
      </c>
      <c r="B290" s="68" t="s">
        <v>2388</v>
      </c>
      <c r="C290" s="68" t="n">
        <v>398446.637764044</v>
      </c>
    </row>
    <row r="291" customFormat="false" ht="15" hidden="false" customHeight="false" outlineLevel="0" collapsed="false">
      <c r="A291" s="68" t="s">
        <v>2694</v>
      </c>
      <c r="B291" s="68" t="s">
        <v>2393</v>
      </c>
      <c r="C291" s="68" t="n">
        <v>420673.219026125</v>
      </c>
    </row>
    <row r="292" customFormat="false" ht="15" hidden="false" customHeight="false" outlineLevel="0" collapsed="false">
      <c r="A292" s="68" t="s">
        <v>2694</v>
      </c>
      <c r="B292" s="68" t="s">
        <v>2398</v>
      </c>
      <c r="C292" s="68" t="n">
        <v>277027196944.931</v>
      </c>
    </row>
    <row r="293" customFormat="false" ht="15" hidden="false" customHeight="false" outlineLevel="0" collapsed="false">
      <c r="A293" s="68" t="s">
        <v>2694</v>
      </c>
      <c r="B293" s="68" t="s">
        <v>2432</v>
      </c>
      <c r="C293" s="68" t="s">
        <v>3200</v>
      </c>
    </row>
    <row r="294" customFormat="false" ht="15" hidden="false" customHeight="false" outlineLevel="0" collapsed="false">
      <c r="A294" s="68" t="s">
        <v>2694</v>
      </c>
      <c r="B294" s="68" t="s">
        <v>2437</v>
      </c>
      <c r="C294" s="68" t="n">
        <v>1</v>
      </c>
    </row>
    <row r="295" customFormat="false" ht="15" hidden="false" customHeight="false" outlineLevel="0" collapsed="false">
      <c r="A295" s="68" t="s">
        <v>2694</v>
      </c>
      <c r="B295" s="68" t="s">
        <v>2442</v>
      </c>
      <c r="C295" s="68" t="n">
        <v>1</v>
      </c>
    </row>
    <row r="296" customFormat="false" ht="15" hidden="false" customHeight="false" outlineLevel="0" collapsed="false">
      <c r="A296" s="68" t="s">
        <v>2694</v>
      </c>
      <c r="B296" s="68" t="s">
        <v>2447</v>
      </c>
      <c r="C296" s="68" t="n">
        <v>1</v>
      </c>
    </row>
    <row r="297" customFormat="false" ht="15" hidden="false" customHeight="false" outlineLevel="0" collapsed="false">
      <c r="A297" s="68" t="s">
        <v>2694</v>
      </c>
      <c r="B297" s="68" t="s">
        <v>2452</v>
      </c>
      <c r="C297" s="68" t="n">
        <v>0.98</v>
      </c>
    </row>
    <row r="298" customFormat="false" ht="15" hidden="false" customHeight="false" outlineLevel="0" collapsed="false">
      <c r="A298" s="68" t="s">
        <v>2694</v>
      </c>
      <c r="B298" s="68" t="s">
        <v>2457</v>
      </c>
      <c r="C298" s="68" t="n">
        <v>0.98</v>
      </c>
    </row>
    <row r="299" customFormat="false" ht="15" hidden="false" customHeight="false" outlineLevel="0" collapsed="false">
      <c r="A299" s="68" t="s">
        <v>2694</v>
      </c>
      <c r="B299" s="68" t="s">
        <v>2462</v>
      </c>
      <c r="C299" s="68" t="n">
        <v>392857.142857143</v>
      </c>
    </row>
    <row r="300" customFormat="false" ht="15" hidden="false" customHeight="false" outlineLevel="0" collapsed="false">
      <c r="A300" s="68" t="s">
        <v>2694</v>
      </c>
      <c r="B300" s="68" t="s">
        <v>2467</v>
      </c>
      <c r="C300" s="68" t="n">
        <v>119.251</v>
      </c>
    </row>
    <row r="301" customFormat="false" ht="15" hidden="false" customHeight="false" outlineLevel="0" collapsed="false">
      <c r="A301" s="68" t="s">
        <v>2694</v>
      </c>
      <c r="B301" s="68" t="s">
        <v>2471</v>
      </c>
      <c r="C301" s="68" t="n">
        <v>123.416</v>
      </c>
    </row>
    <row r="302" customFormat="false" ht="15" hidden="false" customHeight="false" outlineLevel="0" collapsed="false">
      <c r="A302" s="68" t="s">
        <v>2694</v>
      </c>
      <c r="B302" s="68" t="s">
        <v>2475</v>
      </c>
      <c r="C302" s="68" t="s">
        <v>312</v>
      </c>
    </row>
    <row r="303" customFormat="false" ht="15" hidden="false" customHeight="false" outlineLevel="0" collapsed="false">
      <c r="A303" s="68" t="s">
        <v>2694</v>
      </c>
      <c r="B303" s="68" t="s">
        <v>2480</v>
      </c>
      <c r="C303" s="68" t="n">
        <v>406578.201800045</v>
      </c>
    </row>
    <row r="304" customFormat="false" ht="15" hidden="false" customHeight="false" outlineLevel="0" collapsed="false">
      <c r="A304" s="68" t="s">
        <v>2694</v>
      </c>
      <c r="B304" s="68" t="s">
        <v>2484</v>
      </c>
      <c r="C304" s="68" t="n">
        <v>16147.6816626174</v>
      </c>
    </row>
    <row r="305" customFormat="false" ht="15" hidden="false" customHeight="false" outlineLevel="0" collapsed="false">
      <c r="A305" s="68" t="s">
        <v>2707</v>
      </c>
      <c r="B305" s="68" t="s">
        <v>2284</v>
      </c>
      <c r="C305" s="68" t="n">
        <v>108.1</v>
      </c>
    </row>
    <row r="306" customFormat="false" ht="15" hidden="false" customHeight="false" outlineLevel="0" collapsed="false">
      <c r="A306" s="68" t="s">
        <v>2707</v>
      </c>
      <c r="B306" s="68" t="s">
        <v>2290</v>
      </c>
      <c r="C306" s="68" t="s">
        <v>123</v>
      </c>
    </row>
    <row r="307" customFormat="false" ht="15" hidden="false" customHeight="false" outlineLevel="0" collapsed="false">
      <c r="A307" s="68" t="s">
        <v>2707</v>
      </c>
      <c r="B307" s="68" t="s">
        <v>2365</v>
      </c>
      <c r="C307" s="68" t="n">
        <v>135000</v>
      </c>
    </row>
    <row r="308" customFormat="false" ht="15" hidden="false" customHeight="false" outlineLevel="0" collapsed="false">
      <c r="A308" s="68" t="s">
        <v>2707</v>
      </c>
      <c r="B308" s="68" t="s">
        <v>2370</v>
      </c>
      <c r="C308" s="68" t="n">
        <v>170196.428571429</v>
      </c>
    </row>
    <row r="309" customFormat="false" ht="15" hidden="false" customHeight="false" outlineLevel="0" collapsed="false">
      <c r="A309" s="68" t="s">
        <v>2707</v>
      </c>
      <c r="B309" s="68" t="s">
        <v>2375</v>
      </c>
      <c r="C309" s="68" t="n">
        <v>71482500000</v>
      </c>
    </row>
    <row r="310" customFormat="false" ht="15" hidden="false" customHeight="false" outlineLevel="0" collapsed="false">
      <c r="A310" s="68" t="s">
        <v>2707</v>
      </c>
      <c r="B310" s="68" t="s">
        <v>2388</v>
      </c>
      <c r="C310" s="68" t="n">
        <v>139715.054800379</v>
      </c>
    </row>
    <row r="311" customFormat="false" ht="15" hidden="false" customHeight="false" outlineLevel="0" collapsed="false">
      <c r="A311" s="68" t="s">
        <v>2707</v>
      </c>
      <c r="B311" s="68" t="s">
        <v>2393</v>
      </c>
      <c r="C311" s="68" t="n">
        <v>147508.791087083</v>
      </c>
    </row>
    <row r="312" customFormat="false" ht="15" hidden="false" customHeight="false" outlineLevel="0" collapsed="false">
      <c r="A312" s="68" t="s">
        <v>2707</v>
      </c>
      <c r="B312" s="68" t="s">
        <v>2398</v>
      </c>
      <c r="C312" s="68" t="n">
        <v>97139406720.9499</v>
      </c>
    </row>
    <row r="313" customFormat="false" ht="15" hidden="false" customHeight="false" outlineLevel="0" collapsed="false">
      <c r="A313" s="68" t="s">
        <v>2707</v>
      </c>
      <c r="B313" s="68" t="s">
        <v>2432</v>
      </c>
      <c r="C313" s="68" t="s">
        <v>3200</v>
      </c>
    </row>
    <row r="314" customFormat="false" ht="15" hidden="false" customHeight="false" outlineLevel="0" collapsed="false">
      <c r="A314" s="68" t="s">
        <v>2707</v>
      </c>
      <c r="B314" s="68" t="s">
        <v>2437</v>
      </c>
      <c r="C314" s="68" t="n">
        <v>1</v>
      </c>
    </row>
    <row r="315" customFormat="false" ht="15" hidden="false" customHeight="false" outlineLevel="0" collapsed="false">
      <c r="A315" s="68" t="s">
        <v>2707</v>
      </c>
      <c r="B315" s="68" t="s">
        <v>2442</v>
      </c>
      <c r="C315" s="68" t="n">
        <v>1</v>
      </c>
    </row>
    <row r="316" customFormat="false" ht="15" hidden="false" customHeight="false" outlineLevel="0" collapsed="false">
      <c r="A316" s="68" t="s">
        <v>2707</v>
      </c>
      <c r="B316" s="68" t="s">
        <v>2447</v>
      </c>
      <c r="C316" s="68" t="n">
        <v>1</v>
      </c>
    </row>
    <row r="317" customFormat="false" ht="15" hidden="false" customHeight="false" outlineLevel="0" collapsed="false">
      <c r="A317" s="68" t="s">
        <v>2707</v>
      </c>
      <c r="B317" s="68" t="s">
        <v>2452</v>
      </c>
      <c r="C317" s="68" t="n">
        <v>0.98</v>
      </c>
    </row>
    <row r="318" customFormat="false" ht="15" hidden="false" customHeight="false" outlineLevel="0" collapsed="false">
      <c r="A318" s="68" t="s">
        <v>2707</v>
      </c>
      <c r="B318" s="68" t="s">
        <v>2457</v>
      </c>
      <c r="C318" s="68" t="n">
        <v>0.98</v>
      </c>
    </row>
    <row r="319" customFormat="false" ht="15" hidden="false" customHeight="false" outlineLevel="0" collapsed="false">
      <c r="A319" s="68" t="s">
        <v>2707</v>
      </c>
      <c r="B319" s="68" t="s">
        <v>2462</v>
      </c>
      <c r="C319" s="68" t="n">
        <v>137755.102040816</v>
      </c>
    </row>
    <row r="320" customFormat="false" ht="15" hidden="false" customHeight="false" outlineLevel="0" collapsed="false">
      <c r="A320" s="68" t="s">
        <v>2707</v>
      </c>
      <c r="B320" s="68" t="s">
        <v>2467</v>
      </c>
      <c r="C320" s="68" t="n">
        <v>119.251</v>
      </c>
    </row>
    <row r="321" customFormat="false" ht="15" hidden="false" customHeight="false" outlineLevel="0" collapsed="false">
      <c r="A321" s="68" t="s">
        <v>2707</v>
      </c>
      <c r="B321" s="68" t="s">
        <v>2471</v>
      </c>
      <c r="C321" s="68" t="n">
        <v>123.416</v>
      </c>
    </row>
    <row r="322" customFormat="false" ht="15" hidden="false" customHeight="false" outlineLevel="0" collapsed="false">
      <c r="A322" s="68" t="s">
        <v>2707</v>
      </c>
      <c r="B322" s="68" t="s">
        <v>2475</v>
      </c>
      <c r="C322" s="68" t="s">
        <v>312</v>
      </c>
    </row>
    <row r="323" customFormat="false" ht="15" hidden="false" customHeight="false" outlineLevel="0" collapsed="false">
      <c r="A323" s="68" t="s">
        <v>2707</v>
      </c>
      <c r="B323" s="68" t="s">
        <v>2480</v>
      </c>
      <c r="C323" s="68" t="n">
        <v>142566.382449366</v>
      </c>
    </row>
    <row r="324" customFormat="false" ht="15" hidden="false" customHeight="false" outlineLevel="0" collapsed="false">
      <c r="A324" s="68" t="s">
        <v>2707</v>
      </c>
      <c r="B324" s="68" t="s">
        <v>2484</v>
      </c>
      <c r="C324" s="68" t="n">
        <v>8584.632602927</v>
      </c>
    </row>
    <row r="325" customFormat="false" ht="15" hidden="false" customHeight="false" outlineLevel="0" collapsed="false">
      <c r="A325" s="68" t="s">
        <v>2711</v>
      </c>
      <c r="B325" s="68" t="s">
        <v>2284</v>
      </c>
      <c r="C325" s="68" t="n">
        <v>44.2</v>
      </c>
    </row>
    <row r="326" customFormat="false" ht="15" hidden="false" customHeight="false" outlineLevel="0" collapsed="false">
      <c r="A326" s="68" t="s">
        <v>2711</v>
      </c>
      <c r="B326" s="68" t="s">
        <v>2290</v>
      </c>
      <c r="C326" s="68" t="s">
        <v>123</v>
      </c>
    </row>
    <row r="327" customFormat="false" ht="15" hidden="false" customHeight="false" outlineLevel="0" collapsed="false">
      <c r="A327" s="68" t="s">
        <v>2711</v>
      </c>
      <c r="B327" s="68" t="s">
        <v>2365</v>
      </c>
      <c r="C327" s="68" t="n">
        <v>140000</v>
      </c>
    </row>
    <row r="328" customFormat="false" ht="15" hidden="false" customHeight="false" outlineLevel="0" collapsed="false">
      <c r="A328" s="68" t="s">
        <v>2711</v>
      </c>
      <c r="B328" s="68" t="s">
        <v>2370</v>
      </c>
      <c r="C328" s="68" t="n">
        <v>176500</v>
      </c>
    </row>
    <row r="329" customFormat="false" ht="15" hidden="false" customHeight="false" outlineLevel="0" collapsed="false">
      <c r="A329" s="68" t="s">
        <v>2711</v>
      </c>
      <c r="B329" s="68" t="s">
        <v>2375</v>
      </c>
      <c r="C329" s="68" t="n">
        <v>74130000000</v>
      </c>
    </row>
    <row r="330" customFormat="false" ht="15" hidden="false" customHeight="false" outlineLevel="0" collapsed="false">
      <c r="A330" s="68" t="s">
        <v>2711</v>
      </c>
      <c r="B330" s="68" t="s">
        <v>2388</v>
      </c>
      <c r="C330" s="68" t="n">
        <v>144889.686459652</v>
      </c>
    </row>
    <row r="331" customFormat="false" ht="15" hidden="false" customHeight="false" outlineLevel="0" collapsed="false">
      <c r="A331" s="68" t="s">
        <v>2711</v>
      </c>
      <c r="B331" s="68" t="s">
        <v>2393</v>
      </c>
      <c r="C331" s="68" t="n">
        <v>152972.079645864</v>
      </c>
    </row>
    <row r="332" customFormat="false" ht="15" hidden="false" customHeight="false" outlineLevel="0" collapsed="false">
      <c r="A332" s="68" t="s">
        <v>2711</v>
      </c>
      <c r="B332" s="68" t="s">
        <v>2398</v>
      </c>
      <c r="C332" s="68" t="n">
        <v>100737162525.43</v>
      </c>
    </row>
    <row r="333" customFormat="false" ht="15" hidden="false" customHeight="false" outlineLevel="0" collapsed="false">
      <c r="A333" s="68" t="s">
        <v>2711</v>
      </c>
      <c r="B333" s="68" t="s">
        <v>2432</v>
      </c>
      <c r="C333" s="68" t="s">
        <v>3200</v>
      </c>
    </row>
    <row r="334" customFormat="false" ht="15" hidden="false" customHeight="false" outlineLevel="0" collapsed="false">
      <c r="A334" s="68" t="s">
        <v>2711</v>
      </c>
      <c r="B334" s="68" t="s">
        <v>2437</v>
      </c>
      <c r="C334" s="68" t="n">
        <v>1</v>
      </c>
    </row>
    <row r="335" customFormat="false" ht="15" hidden="false" customHeight="false" outlineLevel="0" collapsed="false">
      <c r="A335" s="68" t="s">
        <v>2711</v>
      </c>
      <c r="B335" s="68" t="s">
        <v>2442</v>
      </c>
      <c r="C335" s="68" t="n">
        <v>1</v>
      </c>
    </row>
    <row r="336" customFormat="false" ht="15" hidden="false" customHeight="false" outlineLevel="0" collapsed="false">
      <c r="A336" s="68" t="s">
        <v>2711</v>
      </c>
      <c r="B336" s="68" t="s">
        <v>2447</v>
      </c>
      <c r="C336" s="68" t="n">
        <v>1</v>
      </c>
    </row>
    <row r="337" customFormat="false" ht="15" hidden="false" customHeight="false" outlineLevel="0" collapsed="false">
      <c r="A337" s="68" t="s">
        <v>2711</v>
      </c>
      <c r="B337" s="68" t="s">
        <v>2452</v>
      </c>
      <c r="C337" s="68" t="n">
        <v>0.98</v>
      </c>
    </row>
    <row r="338" customFormat="false" ht="15" hidden="false" customHeight="false" outlineLevel="0" collapsed="false">
      <c r="A338" s="68" t="s">
        <v>2711</v>
      </c>
      <c r="B338" s="68" t="s">
        <v>2457</v>
      </c>
      <c r="C338" s="68" t="n">
        <v>0.98</v>
      </c>
    </row>
    <row r="339" customFormat="false" ht="15" hidden="false" customHeight="false" outlineLevel="0" collapsed="false">
      <c r="A339" s="68" t="s">
        <v>2711</v>
      </c>
      <c r="B339" s="68" t="s">
        <v>2462</v>
      </c>
      <c r="C339" s="68" t="n">
        <v>142857.142857143</v>
      </c>
    </row>
    <row r="340" customFormat="false" ht="15" hidden="false" customHeight="false" outlineLevel="0" collapsed="false">
      <c r="A340" s="68" t="s">
        <v>2711</v>
      </c>
      <c r="B340" s="68" t="s">
        <v>2467</v>
      </c>
      <c r="C340" s="68" t="n">
        <v>119.251</v>
      </c>
    </row>
    <row r="341" customFormat="false" ht="15" hidden="false" customHeight="false" outlineLevel="0" collapsed="false">
      <c r="A341" s="68" t="s">
        <v>2711</v>
      </c>
      <c r="B341" s="68" t="s">
        <v>2471</v>
      </c>
      <c r="C341" s="68" t="n">
        <v>123.416</v>
      </c>
    </row>
    <row r="342" customFormat="false" ht="15" hidden="false" customHeight="false" outlineLevel="0" collapsed="false">
      <c r="A342" s="68" t="s">
        <v>2711</v>
      </c>
      <c r="B342" s="68" t="s">
        <v>2475</v>
      </c>
      <c r="C342" s="68" t="s">
        <v>312</v>
      </c>
    </row>
    <row r="343" customFormat="false" ht="15" hidden="false" customHeight="false" outlineLevel="0" collapsed="false">
      <c r="A343" s="68" t="s">
        <v>2711</v>
      </c>
      <c r="B343" s="68" t="s">
        <v>2480</v>
      </c>
      <c r="C343" s="68" t="n">
        <v>147846.61883638</v>
      </c>
    </row>
    <row r="344" customFormat="false" ht="15" hidden="false" customHeight="false" outlineLevel="0" collapsed="false">
      <c r="A344" s="68" t="s">
        <v>2711</v>
      </c>
      <c r="B344" s="68" t="s">
        <v>2484</v>
      </c>
      <c r="C344" s="68" t="n">
        <v>15225.0257319889</v>
      </c>
    </row>
    <row r="345" customFormat="false" ht="15" hidden="false" customHeight="false" outlineLevel="0" collapsed="false">
      <c r="A345" s="68" t="s">
        <v>2715</v>
      </c>
      <c r="B345" s="68" t="s">
        <v>2284</v>
      </c>
      <c r="C345" s="68" t="n">
        <v>2.7</v>
      </c>
    </row>
    <row r="346" customFormat="false" ht="15" hidden="false" customHeight="false" outlineLevel="0" collapsed="false">
      <c r="A346" s="68" t="s">
        <v>2715</v>
      </c>
      <c r="B346" s="68" t="s">
        <v>2290</v>
      </c>
      <c r="C346" s="68" t="s">
        <v>123</v>
      </c>
    </row>
    <row r="347" customFormat="false" ht="15" hidden="false" customHeight="false" outlineLevel="0" collapsed="false">
      <c r="A347" s="68" t="s">
        <v>2715</v>
      </c>
      <c r="B347" s="68" t="s">
        <v>2365</v>
      </c>
      <c r="C347" s="68" t="n">
        <v>34000</v>
      </c>
    </row>
    <row r="348" customFormat="false" ht="15" hidden="false" customHeight="false" outlineLevel="0" collapsed="false">
      <c r="A348" s="68" t="s">
        <v>2715</v>
      </c>
      <c r="B348" s="68" t="s">
        <v>2370</v>
      </c>
      <c r="C348" s="68" t="n">
        <v>42864.2857142857</v>
      </c>
    </row>
    <row r="349" customFormat="false" ht="15" hidden="false" customHeight="false" outlineLevel="0" collapsed="false">
      <c r="A349" s="68" t="s">
        <v>2715</v>
      </c>
      <c r="B349" s="68" t="s">
        <v>2375</v>
      </c>
      <c r="C349" s="68" t="n">
        <v>18003000000</v>
      </c>
    </row>
    <row r="350" customFormat="false" ht="15" hidden="false" customHeight="false" outlineLevel="0" collapsed="false">
      <c r="A350" s="68" t="s">
        <v>2715</v>
      </c>
      <c r="B350" s="68" t="s">
        <v>2388</v>
      </c>
      <c r="C350" s="68" t="n">
        <v>35187.4952830584</v>
      </c>
    </row>
    <row r="351" customFormat="false" ht="15" hidden="false" customHeight="false" outlineLevel="0" collapsed="false">
      <c r="A351" s="68" t="s">
        <v>2715</v>
      </c>
      <c r="B351" s="68" t="s">
        <v>2393</v>
      </c>
      <c r="C351" s="68" t="n">
        <v>37150.3621997098</v>
      </c>
    </row>
    <row r="352" customFormat="false" ht="15" hidden="false" customHeight="false" outlineLevel="0" collapsed="false">
      <c r="A352" s="68" t="s">
        <v>2715</v>
      </c>
      <c r="B352" s="68" t="s">
        <v>2398</v>
      </c>
      <c r="C352" s="68" t="n">
        <v>24464739470.4615</v>
      </c>
    </row>
    <row r="353" customFormat="false" ht="15" hidden="false" customHeight="false" outlineLevel="0" collapsed="false">
      <c r="A353" s="68" t="s">
        <v>2715</v>
      </c>
      <c r="B353" s="68" t="s">
        <v>2432</v>
      </c>
      <c r="C353" s="68" t="s">
        <v>3200</v>
      </c>
    </row>
    <row r="354" customFormat="false" ht="15" hidden="false" customHeight="false" outlineLevel="0" collapsed="false">
      <c r="A354" s="68" t="s">
        <v>2715</v>
      </c>
      <c r="B354" s="68" t="s">
        <v>2437</v>
      </c>
      <c r="C354" s="68" t="n">
        <v>1</v>
      </c>
    </row>
    <row r="355" customFormat="false" ht="15" hidden="false" customHeight="false" outlineLevel="0" collapsed="false">
      <c r="A355" s="68" t="s">
        <v>2715</v>
      </c>
      <c r="B355" s="68" t="s">
        <v>2442</v>
      </c>
      <c r="C355" s="68" t="n">
        <v>1</v>
      </c>
    </row>
    <row r="356" customFormat="false" ht="15" hidden="false" customHeight="false" outlineLevel="0" collapsed="false">
      <c r="A356" s="68" t="s">
        <v>2715</v>
      </c>
      <c r="B356" s="68" t="s">
        <v>2447</v>
      </c>
      <c r="C356" s="68" t="n">
        <v>1</v>
      </c>
    </row>
    <row r="357" customFormat="false" ht="15" hidden="false" customHeight="false" outlineLevel="0" collapsed="false">
      <c r="A357" s="68" t="s">
        <v>2715</v>
      </c>
      <c r="B357" s="68" t="s">
        <v>2452</v>
      </c>
      <c r="C357" s="68" t="n">
        <v>0.98</v>
      </c>
    </row>
    <row r="358" customFormat="false" ht="15" hidden="false" customHeight="false" outlineLevel="0" collapsed="false">
      <c r="A358" s="68" t="s">
        <v>2715</v>
      </c>
      <c r="B358" s="68" t="s">
        <v>2457</v>
      </c>
      <c r="C358" s="68" t="n">
        <v>0.98</v>
      </c>
    </row>
    <row r="359" customFormat="false" ht="15" hidden="false" customHeight="false" outlineLevel="0" collapsed="false">
      <c r="A359" s="68" t="s">
        <v>2715</v>
      </c>
      <c r="B359" s="68" t="s">
        <v>2462</v>
      </c>
      <c r="C359" s="68" t="n">
        <v>34693.8775510204</v>
      </c>
    </row>
    <row r="360" customFormat="false" ht="15" hidden="false" customHeight="false" outlineLevel="0" collapsed="false">
      <c r="A360" s="68" t="s">
        <v>2715</v>
      </c>
      <c r="B360" s="68" t="s">
        <v>2467</v>
      </c>
      <c r="C360" s="68" t="n">
        <v>119.251</v>
      </c>
    </row>
    <row r="361" customFormat="false" ht="15" hidden="false" customHeight="false" outlineLevel="0" collapsed="false">
      <c r="A361" s="68" t="s">
        <v>2715</v>
      </c>
      <c r="B361" s="68" t="s">
        <v>2471</v>
      </c>
      <c r="C361" s="68" t="n">
        <v>123.416</v>
      </c>
    </row>
    <row r="362" customFormat="false" ht="15" hidden="false" customHeight="false" outlineLevel="0" collapsed="false">
      <c r="A362" s="68" t="s">
        <v>2715</v>
      </c>
      <c r="B362" s="68" t="s">
        <v>2475</v>
      </c>
      <c r="C362" s="68" t="s">
        <v>312</v>
      </c>
    </row>
    <row r="363" customFormat="false" ht="15" hidden="false" customHeight="false" outlineLevel="0" collapsed="false">
      <c r="A363" s="68" t="s">
        <v>2715</v>
      </c>
      <c r="B363" s="68" t="s">
        <v>2480</v>
      </c>
      <c r="C363" s="68" t="n">
        <v>35905.6074316923</v>
      </c>
    </row>
    <row r="364" customFormat="false" ht="15" hidden="false" customHeight="false" outlineLevel="0" collapsed="false">
      <c r="A364" s="68" t="s">
        <v>2715</v>
      </c>
      <c r="B364" s="68" t="s">
        <v>2484</v>
      </c>
      <c r="C364" s="68" t="n">
        <v>19785.3628705601</v>
      </c>
    </row>
    <row r="365" customFormat="false" ht="15" hidden="false" customHeight="false" outlineLevel="0" collapsed="false">
      <c r="A365" s="68" t="s">
        <v>2719</v>
      </c>
      <c r="B365" s="68" t="s">
        <v>2284</v>
      </c>
      <c r="C365" s="68" t="n">
        <v>12</v>
      </c>
    </row>
    <row r="366" customFormat="false" ht="15" hidden="false" customHeight="false" outlineLevel="0" collapsed="false">
      <c r="A366" s="68" t="s">
        <v>2719</v>
      </c>
      <c r="B366" s="68" t="s">
        <v>2290</v>
      </c>
      <c r="C366" s="68" t="s">
        <v>123</v>
      </c>
    </row>
    <row r="367" customFormat="false" ht="15" hidden="false" customHeight="false" outlineLevel="0" collapsed="false">
      <c r="A367" s="68" t="s">
        <v>2719</v>
      </c>
      <c r="B367" s="68" t="s">
        <v>2365</v>
      </c>
      <c r="C367" s="68" t="n">
        <v>29000</v>
      </c>
    </row>
    <row r="368" customFormat="false" ht="15" hidden="false" customHeight="false" outlineLevel="0" collapsed="false">
      <c r="A368" s="68" t="s">
        <v>2719</v>
      </c>
      <c r="B368" s="68" t="s">
        <v>2370</v>
      </c>
      <c r="C368" s="68" t="n">
        <v>36560.7142857143</v>
      </c>
    </row>
    <row r="369" customFormat="false" ht="15" hidden="false" customHeight="false" outlineLevel="0" collapsed="false">
      <c r="A369" s="68" t="s">
        <v>2719</v>
      </c>
      <c r="B369" s="68" t="s">
        <v>2375</v>
      </c>
      <c r="C369" s="68" t="n">
        <v>15355500000</v>
      </c>
    </row>
    <row r="370" customFormat="false" ht="15" hidden="false" customHeight="false" outlineLevel="0" collapsed="false">
      <c r="A370" s="68" t="s">
        <v>2719</v>
      </c>
      <c r="B370" s="68" t="s">
        <v>2388</v>
      </c>
      <c r="C370" s="68" t="n">
        <v>30012.8636237851</v>
      </c>
    </row>
    <row r="371" customFormat="false" ht="15" hidden="false" customHeight="false" outlineLevel="0" collapsed="false">
      <c r="A371" s="68" t="s">
        <v>2719</v>
      </c>
      <c r="B371" s="68" t="s">
        <v>2393</v>
      </c>
      <c r="C371" s="68" t="n">
        <v>31687.0736409289</v>
      </c>
    </row>
    <row r="372" customFormat="false" ht="15" hidden="false" customHeight="false" outlineLevel="0" collapsed="false">
      <c r="A372" s="68" t="s">
        <v>2719</v>
      </c>
      <c r="B372" s="68" t="s">
        <v>2398</v>
      </c>
      <c r="C372" s="68" t="n">
        <v>20866983665.9818</v>
      </c>
    </row>
    <row r="373" customFormat="false" ht="15" hidden="false" customHeight="false" outlineLevel="0" collapsed="false">
      <c r="A373" s="68" t="s">
        <v>2719</v>
      </c>
      <c r="B373" s="68" t="s">
        <v>2432</v>
      </c>
      <c r="C373" s="68" t="s">
        <v>3200</v>
      </c>
    </row>
    <row r="374" customFormat="false" ht="15" hidden="false" customHeight="false" outlineLevel="0" collapsed="false">
      <c r="A374" s="68" t="s">
        <v>2719</v>
      </c>
      <c r="B374" s="68" t="s">
        <v>2437</v>
      </c>
      <c r="C374" s="68" t="n">
        <v>1</v>
      </c>
    </row>
    <row r="375" customFormat="false" ht="15" hidden="false" customHeight="false" outlineLevel="0" collapsed="false">
      <c r="A375" s="68" t="s">
        <v>2719</v>
      </c>
      <c r="B375" s="68" t="s">
        <v>2442</v>
      </c>
      <c r="C375" s="68" t="n">
        <v>1</v>
      </c>
    </row>
    <row r="376" customFormat="false" ht="15" hidden="false" customHeight="false" outlineLevel="0" collapsed="false">
      <c r="A376" s="68" t="s">
        <v>2719</v>
      </c>
      <c r="B376" s="68" t="s">
        <v>2447</v>
      </c>
      <c r="C376" s="68" t="n">
        <v>1</v>
      </c>
    </row>
    <row r="377" customFormat="false" ht="15" hidden="false" customHeight="false" outlineLevel="0" collapsed="false">
      <c r="A377" s="68" t="s">
        <v>2719</v>
      </c>
      <c r="B377" s="68" t="s">
        <v>2452</v>
      </c>
      <c r="C377" s="68" t="n">
        <v>0.98</v>
      </c>
    </row>
    <row r="378" customFormat="false" ht="15" hidden="false" customHeight="false" outlineLevel="0" collapsed="false">
      <c r="A378" s="68" t="s">
        <v>2719</v>
      </c>
      <c r="B378" s="68" t="s">
        <v>2457</v>
      </c>
      <c r="C378" s="68" t="n">
        <v>0.98</v>
      </c>
    </row>
    <row r="379" customFormat="false" ht="15" hidden="false" customHeight="false" outlineLevel="0" collapsed="false">
      <c r="A379" s="68" t="s">
        <v>2719</v>
      </c>
      <c r="B379" s="68" t="s">
        <v>2462</v>
      </c>
      <c r="C379" s="68" t="n">
        <v>29591.8367346939</v>
      </c>
    </row>
    <row r="380" customFormat="false" ht="15" hidden="false" customHeight="false" outlineLevel="0" collapsed="false">
      <c r="A380" s="68" t="s">
        <v>2719</v>
      </c>
      <c r="B380" s="68" t="s">
        <v>2467</v>
      </c>
      <c r="C380" s="68" t="n">
        <v>119.251</v>
      </c>
    </row>
    <row r="381" customFormat="false" ht="15" hidden="false" customHeight="false" outlineLevel="0" collapsed="false">
      <c r="A381" s="68" t="s">
        <v>2719</v>
      </c>
      <c r="B381" s="68" t="s">
        <v>2471</v>
      </c>
      <c r="C381" s="68" t="n">
        <v>123.416</v>
      </c>
    </row>
    <row r="382" customFormat="false" ht="15" hidden="false" customHeight="false" outlineLevel="0" collapsed="false">
      <c r="A382" s="68" t="s">
        <v>2719</v>
      </c>
      <c r="B382" s="68" t="s">
        <v>2475</v>
      </c>
      <c r="C382" s="68" t="s">
        <v>312</v>
      </c>
    </row>
    <row r="383" customFormat="false" ht="15" hidden="false" customHeight="false" outlineLevel="0" collapsed="false">
      <c r="A383" s="68" t="s">
        <v>2719</v>
      </c>
      <c r="B383" s="68" t="s">
        <v>2480</v>
      </c>
      <c r="C383" s="68" t="n">
        <v>30625.3710446787</v>
      </c>
    </row>
    <row r="384" customFormat="false" ht="15" hidden="false" customHeight="false" outlineLevel="0" collapsed="false">
      <c r="A384" s="68" t="s">
        <v>2719</v>
      </c>
      <c r="B384" s="68" t="s">
        <v>2484</v>
      </c>
      <c r="C384" s="68" t="n">
        <v>6895.60874103787</v>
      </c>
    </row>
    <row r="385" customFormat="false" ht="15" hidden="false" customHeight="false" outlineLevel="0" collapsed="false">
      <c r="A385" s="68" t="s">
        <v>2723</v>
      </c>
      <c r="B385" s="68" t="s">
        <v>2284</v>
      </c>
      <c r="C385" s="68" t="n">
        <v>6</v>
      </c>
    </row>
    <row r="386" customFormat="false" ht="15" hidden="false" customHeight="false" outlineLevel="0" collapsed="false">
      <c r="A386" s="68" t="s">
        <v>2723</v>
      </c>
      <c r="B386" s="68" t="s">
        <v>2290</v>
      </c>
      <c r="C386" s="68" t="s">
        <v>123</v>
      </c>
    </row>
    <row r="387" customFormat="false" ht="15" hidden="false" customHeight="false" outlineLevel="0" collapsed="false">
      <c r="A387" s="68" t="s">
        <v>2723</v>
      </c>
      <c r="B387" s="68" t="s">
        <v>2365</v>
      </c>
      <c r="C387" s="68" t="n">
        <v>27500</v>
      </c>
    </row>
    <row r="388" customFormat="false" ht="15" hidden="false" customHeight="false" outlineLevel="0" collapsed="false">
      <c r="A388" s="68" t="s">
        <v>2723</v>
      </c>
      <c r="B388" s="68" t="s">
        <v>2370</v>
      </c>
      <c r="C388" s="68" t="n">
        <v>34669.6428571429</v>
      </c>
    </row>
    <row r="389" customFormat="false" ht="15" hidden="false" customHeight="false" outlineLevel="0" collapsed="false">
      <c r="A389" s="68" t="s">
        <v>2723</v>
      </c>
      <c r="B389" s="68" t="s">
        <v>2375</v>
      </c>
      <c r="C389" s="68" t="n">
        <v>14561250000</v>
      </c>
    </row>
    <row r="390" customFormat="false" ht="15" hidden="false" customHeight="false" outlineLevel="0" collapsed="false">
      <c r="A390" s="68" t="s">
        <v>2723</v>
      </c>
      <c r="B390" s="68" t="s">
        <v>2388</v>
      </c>
      <c r="C390" s="68" t="n">
        <v>28460.4741260031</v>
      </c>
    </row>
    <row r="391" customFormat="false" ht="15" hidden="false" customHeight="false" outlineLevel="0" collapsed="false">
      <c r="A391" s="68" t="s">
        <v>2723</v>
      </c>
      <c r="B391" s="68" t="s">
        <v>2393</v>
      </c>
      <c r="C391" s="68" t="n">
        <v>30048.0870732947</v>
      </c>
    </row>
    <row r="392" customFormat="false" ht="15" hidden="false" customHeight="false" outlineLevel="0" collapsed="false">
      <c r="A392" s="68" t="s">
        <v>2723</v>
      </c>
      <c r="B392" s="68" t="s">
        <v>2398</v>
      </c>
      <c r="C392" s="68" t="n">
        <v>19787656924.638</v>
      </c>
    </row>
    <row r="393" customFormat="false" ht="15" hidden="false" customHeight="false" outlineLevel="0" collapsed="false">
      <c r="A393" s="68" t="s">
        <v>2723</v>
      </c>
      <c r="B393" s="68" t="s">
        <v>2432</v>
      </c>
      <c r="C393" s="68" t="s">
        <v>3200</v>
      </c>
    </row>
    <row r="394" customFormat="false" ht="15" hidden="false" customHeight="false" outlineLevel="0" collapsed="false">
      <c r="A394" s="68" t="s">
        <v>2723</v>
      </c>
      <c r="B394" s="68" t="s">
        <v>2437</v>
      </c>
      <c r="C394" s="68" t="n">
        <v>1</v>
      </c>
    </row>
    <row r="395" customFormat="false" ht="15" hidden="false" customHeight="false" outlineLevel="0" collapsed="false">
      <c r="A395" s="68" t="s">
        <v>2723</v>
      </c>
      <c r="B395" s="68" t="s">
        <v>2442</v>
      </c>
      <c r="C395" s="68" t="n">
        <v>1</v>
      </c>
    </row>
    <row r="396" customFormat="false" ht="15" hidden="false" customHeight="false" outlineLevel="0" collapsed="false">
      <c r="A396" s="68" t="s">
        <v>2723</v>
      </c>
      <c r="B396" s="68" t="s">
        <v>2447</v>
      </c>
      <c r="C396" s="68" t="n">
        <v>1</v>
      </c>
    </row>
    <row r="397" customFormat="false" ht="15" hidden="false" customHeight="false" outlineLevel="0" collapsed="false">
      <c r="A397" s="68" t="s">
        <v>2723</v>
      </c>
      <c r="B397" s="68" t="s">
        <v>2452</v>
      </c>
      <c r="C397" s="68" t="n">
        <v>0.98</v>
      </c>
    </row>
    <row r="398" customFormat="false" ht="15" hidden="false" customHeight="false" outlineLevel="0" collapsed="false">
      <c r="A398" s="68" t="s">
        <v>2723</v>
      </c>
      <c r="B398" s="68" t="s">
        <v>2457</v>
      </c>
      <c r="C398" s="68" t="n">
        <v>0.98</v>
      </c>
    </row>
    <row r="399" customFormat="false" ht="15" hidden="false" customHeight="false" outlineLevel="0" collapsed="false">
      <c r="A399" s="68" t="s">
        <v>2723</v>
      </c>
      <c r="B399" s="68" t="s">
        <v>2462</v>
      </c>
      <c r="C399" s="68" t="n">
        <v>28061.2244897959</v>
      </c>
    </row>
    <row r="400" customFormat="false" ht="15" hidden="false" customHeight="false" outlineLevel="0" collapsed="false">
      <c r="A400" s="68" t="s">
        <v>2723</v>
      </c>
      <c r="B400" s="68" t="s">
        <v>2467</v>
      </c>
      <c r="C400" s="68" t="n">
        <v>119.251</v>
      </c>
    </row>
    <row r="401" customFormat="false" ht="15" hidden="false" customHeight="false" outlineLevel="0" collapsed="false">
      <c r="A401" s="68" t="s">
        <v>2723</v>
      </c>
      <c r="B401" s="68" t="s">
        <v>2471</v>
      </c>
      <c r="C401" s="68" t="n">
        <v>123.416</v>
      </c>
    </row>
    <row r="402" customFormat="false" ht="15" hidden="false" customHeight="false" outlineLevel="0" collapsed="false">
      <c r="A402" s="68" t="s">
        <v>2723</v>
      </c>
      <c r="B402" s="68" t="s">
        <v>2475</v>
      </c>
      <c r="C402" s="68" t="s">
        <v>312</v>
      </c>
    </row>
    <row r="403" customFormat="false" ht="15" hidden="false" customHeight="false" outlineLevel="0" collapsed="false">
      <c r="A403" s="68" t="s">
        <v>2723</v>
      </c>
      <c r="B403" s="68" t="s">
        <v>2480</v>
      </c>
      <c r="C403" s="68" t="n">
        <v>29041.3001285746</v>
      </c>
    </row>
    <row r="404" customFormat="false" ht="15" hidden="false" customHeight="false" outlineLevel="0" collapsed="false">
      <c r="A404" s="68" t="s">
        <v>2723</v>
      </c>
      <c r="B404" s="68" t="s">
        <v>2484</v>
      </c>
      <c r="C404" s="68" t="n">
        <v>9911.17865988061</v>
      </c>
    </row>
    <row r="405" customFormat="false" ht="15" hidden="false" customHeight="false" outlineLevel="0" collapsed="false">
      <c r="A405" s="68" t="s">
        <v>2727</v>
      </c>
      <c r="B405" s="68" t="s">
        <v>2284</v>
      </c>
      <c r="C405" s="68" t="n">
        <v>1.35</v>
      </c>
    </row>
    <row r="406" customFormat="false" ht="15" hidden="false" customHeight="false" outlineLevel="0" collapsed="false">
      <c r="A406" s="68" t="s">
        <v>2727</v>
      </c>
      <c r="B406" s="68" t="s">
        <v>2290</v>
      </c>
      <c r="C406" s="68" t="s">
        <v>123</v>
      </c>
    </row>
    <row r="407" customFormat="false" ht="15" hidden="false" customHeight="false" outlineLevel="0" collapsed="false">
      <c r="A407" s="68" t="s">
        <v>2727</v>
      </c>
      <c r="B407" s="68" t="s">
        <v>2365</v>
      </c>
      <c r="C407" s="68" t="n">
        <v>15000</v>
      </c>
    </row>
    <row r="408" customFormat="false" ht="15" hidden="false" customHeight="false" outlineLevel="0" collapsed="false">
      <c r="A408" s="68" t="s">
        <v>2727</v>
      </c>
      <c r="B408" s="68" t="s">
        <v>2370</v>
      </c>
      <c r="C408" s="68" t="n">
        <v>18910.7142857143</v>
      </c>
    </row>
    <row r="409" customFormat="false" ht="15" hidden="false" customHeight="false" outlineLevel="0" collapsed="false">
      <c r="A409" s="68" t="s">
        <v>2727</v>
      </c>
      <c r="B409" s="68" t="s">
        <v>2375</v>
      </c>
      <c r="C409" s="68" t="n">
        <v>7942500000</v>
      </c>
    </row>
    <row r="410" customFormat="false" ht="15" hidden="false" customHeight="false" outlineLevel="0" collapsed="false">
      <c r="A410" s="68" t="s">
        <v>2727</v>
      </c>
      <c r="B410" s="68" t="s">
        <v>2388</v>
      </c>
      <c r="C410" s="68" t="n">
        <v>15523.8949778199</v>
      </c>
    </row>
    <row r="411" customFormat="false" ht="15" hidden="false" customHeight="false" outlineLevel="0" collapsed="false">
      <c r="A411" s="68" t="s">
        <v>2727</v>
      </c>
      <c r="B411" s="68" t="s">
        <v>2393</v>
      </c>
      <c r="C411" s="68" t="n">
        <v>16389.8656763425</v>
      </c>
    </row>
    <row r="412" customFormat="false" ht="15" hidden="false" customHeight="false" outlineLevel="0" collapsed="false">
      <c r="A412" s="68" t="s">
        <v>2727</v>
      </c>
      <c r="B412" s="68" t="s">
        <v>2398</v>
      </c>
      <c r="C412" s="68" t="n">
        <v>10793267413.4389</v>
      </c>
    </row>
    <row r="413" customFormat="false" ht="15" hidden="false" customHeight="false" outlineLevel="0" collapsed="false">
      <c r="A413" s="68" t="s">
        <v>2727</v>
      </c>
      <c r="B413" s="68" t="s">
        <v>2432</v>
      </c>
      <c r="C413" s="68" t="s">
        <v>3200</v>
      </c>
    </row>
    <row r="414" customFormat="false" ht="15" hidden="false" customHeight="false" outlineLevel="0" collapsed="false">
      <c r="A414" s="68" t="s">
        <v>2727</v>
      </c>
      <c r="B414" s="68" t="s">
        <v>2437</v>
      </c>
      <c r="C414" s="68" t="n">
        <v>1</v>
      </c>
    </row>
    <row r="415" customFormat="false" ht="15" hidden="false" customHeight="false" outlineLevel="0" collapsed="false">
      <c r="A415" s="68" t="s">
        <v>2727</v>
      </c>
      <c r="B415" s="68" t="s">
        <v>2442</v>
      </c>
      <c r="C415" s="68" t="n">
        <v>1</v>
      </c>
    </row>
    <row r="416" customFormat="false" ht="15" hidden="false" customHeight="false" outlineLevel="0" collapsed="false">
      <c r="A416" s="68" t="s">
        <v>2727</v>
      </c>
      <c r="B416" s="68" t="s">
        <v>2447</v>
      </c>
      <c r="C416" s="68" t="n">
        <v>1</v>
      </c>
    </row>
    <row r="417" customFormat="false" ht="15" hidden="false" customHeight="false" outlineLevel="0" collapsed="false">
      <c r="A417" s="68" t="s">
        <v>2727</v>
      </c>
      <c r="B417" s="68" t="s">
        <v>2452</v>
      </c>
      <c r="C417" s="68" t="n">
        <v>0.98</v>
      </c>
    </row>
    <row r="418" customFormat="false" ht="15" hidden="false" customHeight="false" outlineLevel="0" collapsed="false">
      <c r="A418" s="68" t="s">
        <v>2727</v>
      </c>
      <c r="B418" s="68" t="s">
        <v>2457</v>
      </c>
      <c r="C418" s="68" t="n">
        <v>0.98</v>
      </c>
    </row>
    <row r="419" customFormat="false" ht="15" hidden="false" customHeight="false" outlineLevel="0" collapsed="false">
      <c r="A419" s="68" t="s">
        <v>2727</v>
      </c>
      <c r="B419" s="68" t="s">
        <v>2462</v>
      </c>
      <c r="C419" s="68" t="n">
        <v>15306.1224489796</v>
      </c>
    </row>
    <row r="420" customFormat="false" ht="15" hidden="false" customHeight="false" outlineLevel="0" collapsed="false">
      <c r="A420" s="68" t="s">
        <v>2727</v>
      </c>
      <c r="B420" s="68" t="s">
        <v>2467</v>
      </c>
      <c r="C420" s="68" t="n">
        <v>119.251</v>
      </c>
    </row>
    <row r="421" customFormat="false" ht="15" hidden="false" customHeight="false" outlineLevel="0" collapsed="false">
      <c r="A421" s="68" t="s">
        <v>2727</v>
      </c>
      <c r="B421" s="68" t="s">
        <v>2471</v>
      </c>
      <c r="C421" s="68" t="n">
        <v>123.416</v>
      </c>
    </row>
    <row r="422" customFormat="false" ht="15" hidden="false" customHeight="false" outlineLevel="0" collapsed="false">
      <c r="A422" s="68" t="s">
        <v>2727</v>
      </c>
      <c r="B422" s="68" t="s">
        <v>2475</v>
      </c>
      <c r="C422" s="68" t="s">
        <v>312</v>
      </c>
    </row>
    <row r="423" customFormat="false" ht="15" hidden="false" customHeight="false" outlineLevel="0" collapsed="false">
      <c r="A423" s="68" t="s">
        <v>2727</v>
      </c>
      <c r="B423" s="68" t="s">
        <v>2480</v>
      </c>
      <c r="C423" s="68" t="n">
        <v>15840.7091610407</v>
      </c>
    </row>
    <row r="424" customFormat="false" ht="15" hidden="false" customHeight="false" outlineLevel="0" collapsed="false">
      <c r="A424" s="68" t="s">
        <v>2727</v>
      </c>
      <c r="B424" s="68" t="s">
        <v>2484</v>
      </c>
      <c r="C424" s="68" t="n">
        <v>13230.4421811739</v>
      </c>
    </row>
    <row r="425" customFormat="false" ht="15" hidden="false" customHeight="false" outlineLevel="0" collapsed="false">
      <c r="A425" s="68" t="s">
        <v>2731</v>
      </c>
      <c r="B425" s="68" t="s">
        <v>2284</v>
      </c>
      <c r="C425" s="68" t="n">
        <v>2.7</v>
      </c>
    </row>
    <row r="426" customFormat="false" ht="15" hidden="false" customHeight="false" outlineLevel="0" collapsed="false">
      <c r="A426" s="68" t="s">
        <v>2731</v>
      </c>
      <c r="B426" s="68" t="s">
        <v>2290</v>
      </c>
      <c r="C426" s="68" t="s">
        <v>123</v>
      </c>
    </row>
    <row r="427" customFormat="false" ht="15" hidden="false" customHeight="false" outlineLevel="0" collapsed="false">
      <c r="A427" s="68" t="s">
        <v>2731</v>
      </c>
      <c r="B427" s="68" t="s">
        <v>2365</v>
      </c>
      <c r="C427" s="68" t="n">
        <v>17000</v>
      </c>
    </row>
    <row r="428" customFormat="false" ht="15" hidden="false" customHeight="false" outlineLevel="0" collapsed="false">
      <c r="A428" s="68" t="s">
        <v>2731</v>
      </c>
      <c r="B428" s="68" t="s">
        <v>2370</v>
      </c>
      <c r="C428" s="68" t="n">
        <v>21432.1428571429</v>
      </c>
    </row>
    <row r="429" customFormat="false" ht="15" hidden="false" customHeight="false" outlineLevel="0" collapsed="false">
      <c r="A429" s="68" t="s">
        <v>2731</v>
      </c>
      <c r="B429" s="68" t="s">
        <v>2375</v>
      </c>
      <c r="C429" s="68" t="n">
        <v>9001500000</v>
      </c>
    </row>
    <row r="430" customFormat="false" ht="15" hidden="false" customHeight="false" outlineLevel="0" collapsed="false">
      <c r="A430" s="68" t="s">
        <v>2731</v>
      </c>
      <c r="B430" s="68" t="s">
        <v>2388</v>
      </c>
      <c r="C430" s="68" t="n">
        <v>17593.7476415292</v>
      </c>
    </row>
    <row r="431" customFormat="false" ht="15" hidden="false" customHeight="false" outlineLevel="0" collapsed="false">
      <c r="A431" s="68" t="s">
        <v>2731</v>
      </c>
      <c r="B431" s="68" t="s">
        <v>2393</v>
      </c>
      <c r="C431" s="68" t="n">
        <v>18575.1810998549</v>
      </c>
    </row>
    <row r="432" customFormat="false" ht="15" hidden="false" customHeight="false" outlineLevel="0" collapsed="false">
      <c r="A432" s="68" t="s">
        <v>2731</v>
      </c>
      <c r="B432" s="68" t="s">
        <v>2398</v>
      </c>
      <c r="C432" s="68" t="n">
        <v>12232369735.2307</v>
      </c>
    </row>
    <row r="433" customFormat="false" ht="15" hidden="false" customHeight="false" outlineLevel="0" collapsed="false">
      <c r="A433" s="68" t="s">
        <v>2731</v>
      </c>
      <c r="B433" s="68" t="s">
        <v>2432</v>
      </c>
      <c r="C433" s="68" t="s">
        <v>3200</v>
      </c>
    </row>
    <row r="434" customFormat="false" ht="15" hidden="false" customHeight="false" outlineLevel="0" collapsed="false">
      <c r="A434" s="68" t="s">
        <v>2731</v>
      </c>
      <c r="B434" s="68" t="s">
        <v>2437</v>
      </c>
      <c r="C434" s="68" t="n">
        <v>1</v>
      </c>
    </row>
    <row r="435" customFormat="false" ht="15" hidden="false" customHeight="false" outlineLevel="0" collapsed="false">
      <c r="A435" s="68" t="s">
        <v>2731</v>
      </c>
      <c r="B435" s="68" t="s">
        <v>2442</v>
      </c>
      <c r="C435" s="68" t="n">
        <v>1</v>
      </c>
    </row>
    <row r="436" customFormat="false" ht="15" hidden="false" customHeight="false" outlineLevel="0" collapsed="false">
      <c r="A436" s="68" t="s">
        <v>2731</v>
      </c>
      <c r="B436" s="68" t="s">
        <v>2447</v>
      </c>
      <c r="C436" s="68" t="n">
        <v>1</v>
      </c>
    </row>
    <row r="437" customFormat="false" ht="15" hidden="false" customHeight="false" outlineLevel="0" collapsed="false">
      <c r="A437" s="68" t="s">
        <v>2731</v>
      </c>
      <c r="B437" s="68" t="s">
        <v>2452</v>
      </c>
      <c r="C437" s="68" t="n">
        <v>0.98</v>
      </c>
    </row>
    <row r="438" customFormat="false" ht="15" hidden="false" customHeight="false" outlineLevel="0" collapsed="false">
      <c r="A438" s="68" t="s">
        <v>2731</v>
      </c>
      <c r="B438" s="68" t="s">
        <v>2457</v>
      </c>
      <c r="C438" s="68" t="n">
        <v>0.98</v>
      </c>
    </row>
    <row r="439" customFormat="false" ht="15" hidden="false" customHeight="false" outlineLevel="0" collapsed="false">
      <c r="A439" s="68" t="s">
        <v>2731</v>
      </c>
      <c r="B439" s="68" t="s">
        <v>2462</v>
      </c>
      <c r="C439" s="68" t="n">
        <v>17346.9387755102</v>
      </c>
    </row>
    <row r="440" customFormat="false" ht="15" hidden="false" customHeight="false" outlineLevel="0" collapsed="false">
      <c r="A440" s="68" t="s">
        <v>2731</v>
      </c>
      <c r="B440" s="68" t="s">
        <v>2467</v>
      </c>
      <c r="C440" s="68" t="n">
        <v>119.251</v>
      </c>
    </row>
    <row r="441" customFormat="false" ht="15" hidden="false" customHeight="false" outlineLevel="0" collapsed="false">
      <c r="A441" s="68" t="s">
        <v>2731</v>
      </c>
      <c r="B441" s="68" t="s">
        <v>2471</v>
      </c>
      <c r="C441" s="68" t="n">
        <v>123.416</v>
      </c>
    </row>
    <row r="442" customFormat="false" ht="15" hidden="false" customHeight="false" outlineLevel="0" collapsed="false">
      <c r="A442" s="68" t="s">
        <v>2731</v>
      </c>
      <c r="B442" s="68" t="s">
        <v>2475</v>
      </c>
      <c r="C442" s="68" t="s">
        <v>312</v>
      </c>
    </row>
    <row r="443" customFormat="false" ht="15" hidden="false" customHeight="false" outlineLevel="0" collapsed="false">
      <c r="A443" s="68" t="s">
        <v>2731</v>
      </c>
      <c r="B443" s="68" t="s">
        <v>2480</v>
      </c>
      <c r="C443" s="68" t="n">
        <v>17952.8037158461</v>
      </c>
    </row>
    <row r="444" customFormat="false" ht="15" hidden="false" customHeight="false" outlineLevel="0" collapsed="false">
      <c r="A444" s="68" t="s">
        <v>2731</v>
      </c>
      <c r="B444" s="68" t="s">
        <v>2484</v>
      </c>
      <c r="C444" s="68" t="n">
        <v>9892.68143528003</v>
      </c>
    </row>
    <row r="445" customFormat="false" ht="15" hidden="false" customHeight="false" outlineLevel="0" collapsed="false">
      <c r="A445" s="68" t="s">
        <v>2735</v>
      </c>
      <c r="B445" s="68" t="s">
        <v>2284</v>
      </c>
      <c r="C445" s="68" t="n">
        <v>1.4</v>
      </c>
    </row>
    <row r="446" customFormat="false" ht="15" hidden="false" customHeight="false" outlineLevel="0" collapsed="false">
      <c r="A446" s="68" t="s">
        <v>2735</v>
      </c>
      <c r="B446" s="68" t="s">
        <v>2290</v>
      </c>
      <c r="C446" s="68" t="s">
        <v>123</v>
      </c>
    </row>
    <row r="447" customFormat="false" ht="15" hidden="false" customHeight="false" outlineLevel="0" collapsed="false">
      <c r="A447" s="68" t="s">
        <v>2735</v>
      </c>
      <c r="B447" s="68" t="s">
        <v>2365</v>
      </c>
      <c r="C447" s="68" t="n">
        <v>11000</v>
      </c>
    </row>
    <row r="448" customFormat="false" ht="15" hidden="false" customHeight="false" outlineLevel="0" collapsed="false">
      <c r="A448" s="68" t="s">
        <v>2735</v>
      </c>
      <c r="B448" s="68" t="s">
        <v>2370</v>
      </c>
      <c r="C448" s="68" t="n">
        <v>13867.8571428571</v>
      </c>
    </row>
    <row r="449" customFormat="false" ht="15" hidden="false" customHeight="false" outlineLevel="0" collapsed="false">
      <c r="A449" s="68" t="s">
        <v>2735</v>
      </c>
      <c r="B449" s="68" t="s">
        <v>2375</v>
      </c>
      <c r="C449" s="68" t="n">
        <v>5824500000</v>
      </c>
    </row>
    <row r="450" customFormat="false" ht="15" hidden="false" customHeight="false" outlineLevel="0" collapsed="false">
      <c r="A450" s="68" t="s">
        <v>2735</v>
      </c>
      <c r="B450" s="68" t="s">
        <v>2388</v>
      </c>
      <c r="C450" s="68" t="n">
        <v>11384.1896504013</v>
      </c>
    </row>
    <row r="451" customFormat="false" ht="15" hidden="false" customHeight="false" outlineLevel="0" collapsed="false">
      <c r="A451" s="68" t="s">
        <v>2735</v>
      </c>
      <c r="B451" s="68" t="s">
        <v>2393</v>
      </c>
      <c r="C451" s="68" t="n">
        <v>12019.2348293179</v>
      </c>
    </row>
    <row r="452" customFormat="false" ht="15" hidden="false" customHeight="false" outlineLevel="0" collapsed="false">
      <c r="A452" s="68" t="s">
        <v>2735</v>
      </c>
      <c r="B452" s="68" t="s">
        <v>2398</v>
      </c>
      <c r="C452" s="68" t="n">
        <v>7915062769.85518</v>
      </c>
    </row>
    <row r="453" customFormat="false" ht="15" hidden="false" customHeight="false" outlineLevel="0" collapsed="false">
      <c r="A453" s="68" t="s">
        <v>2735</v>
      </c>
      <c r="B453" s="68" t="s">
        <v>2432</v>
      </c>
      <c r="C453" s="68" t="s">
        <v>3200</v>
      </c>
    </row>
    <row r="454" customFormat="false" ht="15" hidden="false" customHeight="false" outlineLevel="0" collapsed="false">
      <c r="A454" s="68" t="s">
        <v>2735</v>
      </c>
      <c r="B454" s="68" t="s">
        <v>2437</v>
      </c>
      <c r="C454" s="68" t="n">
        <v>1</v>
      </c>
    </row>
    <row r="455" customFormat="false" ht="15" hidden="false" customHeight="false" outlineLevel="0" collapsed="false">
      <c r="A455" s="68" t="s">
        <v>2735</v>
      </c>
      <c r="B455" s="68" t="s">
        <v>2442</v>
      </c>
      <c r="C455" s="68" t="n">
        <v>1</v>
      </c>
    </row>
    <row r="456" customFormat="false" ht="15" hidden="false" customHeight="false" outlineLevel="0" collapsed="false">
      <c r="A456" s="68" t="s">
        <v>2735</v>
      </c>
      <c r="B456" s="68" t="s">
        <v>2447</v>
      </c>
      <c r="C456" s="68" t="n">
        <v>1</v>
      </c>
    </row>
    <row r="457" customFormat="false" ht="15" hidden="false" customHeight="false" outlineLevel="0" collapsed="false">
      <c r="A457" s="68" t="s">
        <v>2735</v>
      </c>
      <c r="B457" s="68" t="s">
        <v>2452</v>
      </c>
      <c r="C457" s="68" t="n">
        <v>0.98</v>
      </c>
    </row>
    <row r="458" customFormat="false" ht="15" hidden="false" customHeight="false" outlineLevel="0" collapsed="false">
      <c r="A458" s="68" t="s">
        <v>2735</v>
      </c>
      <c r="B458" s="68" t="s">
        <v>2457</v>
      </c>
      <c r="C458" s="68" t="n">
        <v>0.98</v>
      </c>
    </row>
    <row r="459" customFormat="false" ht="15" hidden="false" customHeight="false" outlineLevel="0" collapsed="false">
      <c r="A459" s="68" t="s">
        <v>2735</v>
      </c>
      <c r="B459" s="68" t="s">
        <v>2462</v>
      </c>
      <c r="C459" s="68" t="n">
        <v>11224.4897959184</v>
      </c>
    </row>
    <row r="460" customFormat="false" ht="15" hidden="false" customHeight="false" outlineLevel="0" collapsed="false">
      <c r="A460" s="68" t="s">
        <v>2735</v>
      </c>
      <c r="B460" s="68" t="s">
        <v>2467</v>
      </c>
      <c r="C460" s="68" t="n">
        <v>119.251</v>
      </c>
    </row>
    <row r="461" customFormat="false" ht="15" hidden="false" customHeight="false" outlineLevel="0" collapsed="false">
      <c r="A461" s="68" t="s">
        <v>2735</v>
      </c>
      <c r="B461" s="68" t="s">
        <v>2471</v>
      </c>
      <c r="C461" s="68" t="n">
        <v>123.416</v>
      </c>
    </row>
    <row r="462" customFormat="false" ht="15" hidden="false" customHeight="false" outlineLevel="0" collapsed="false">
      <c r="A462" s="68" t="s">
        <v>2735</v>
      </c>
      <c r="B462" s="68" t="s">
        <v>2475</v>
      </c>
      <c r="C462" s="68" t="s">
        <v>312</v>
      </c>
    </row>
    <row r="463" customFormat="false" ht="15" hidden="false" customHeight="false" outlineLevel="0" collapsed="false">
      <c r="A463" s="68" t="s">
        <v>2735</v>
      </c>
      <c r="B463" s="68" t="s">
        <v>2480</v>
      </c>
      <c r="C463" s="68" t="n">
        <v>11616.5200514299</v>
      </c>
    </row>
    <row r="464" customFormat="false" ht="15" hidden="false" customHeight="false" outlineLevel="0" collapsed="false">
      <c r="A464" s="68" t="s">
        <v>2735</v>
      </c>
      <c r="B464" s="68" t="s">
        <v>2484</v>
      </c>
      <c r="C464" s="68" t="n">
        <v>9492.90697357081</v>
      </c>
    </row>
    <row r="465" customFormat="false" ht="15" hidden="false" customHeight="false" outlineLevel="0" collapsed="false">
      <c r="A465" s="68" t="s">
        <v>2739</v>
      </c>
      <c r="B465" s="68" t="s">
        <v>2284</v>
      </c>
      <c r="C465" s="68" t="n">
        <v>73.6</v>
      </c>
    </row>
    <row r="466" customFormat="false" ht="15" hidden="false" customHeight="false" outlineLevel="0" collapsed="false">
      <c r="A466" s="68" t="s">
        <v>2739</v>
      </c>
      <c r="B466" s="68" t="s">
        <v>2290</v>
      </c>
      <c r="C466" s="68" t="s">
        <v>123</v>
      </c>
    </row>
    <row r="467" customFormat="false" ht="15" hidden="false" customHeight="false" outlineLevel="0" collapsed="false">
      <c r="A467" s="68" t="s">
        <v>2739</v>
      </c>
      <c r="B467" s="68" t="s">
        <v>2365</v>
      </c>
      <c r="C467" s="68" t="n">
        <v>430000</v>
      </c>
    </row>
    <row r="468" customFormat="false" ht="15" hidden="false" customHeight="false" outlineLevel="0" collapsed="false">
      <c r="A468" s="68" t="s">
        <v>2739</v>
      </c>
      <c r="B468" s="68" t="s">
        <v>2370</v>
      </c>
      <c r="C468" s="68" t="n">
        <v>542107.142857143</v>
      </c>
    </row>
    <row r="469" customFormat="false" ht="15" hidden="false" customHeight="false" outlineLevel="0" collapsed="false">
      <c r="A469" s="68" t="s">
        <v>2739</v>
      </c>
      <c r="B469" s="68" t="s">
        <v>2375</v>
      </c>
      <c r="C469" s="68" t="n">
        <v>227685000000</v>
      </c>
    </row>
    <row r="470" customFormat="false" ht="15" hidden="false" customHeight="false" outlineLevel="0" collapsed="false">
      <c r="A470" s="68" t="s">
        <v>2739</v>
      </c>
      <c r="B470" s="68" t="s">
        <v>2388</v>
      </c>
      <c r="C470" s="68" t="n">
        <v>445018.322697504</v>
      </c>
    </row>
    <row r="471" customFormat="false" ht="15" hidden="false" customHeight="false" outlineLevel="0" collapsed="false">
      <c r="A471" s="68" t="s">
        <v>2739</v>
      </c>
      <c r="B471" s="68" t="s">
        <v>2393</v>
      </c>
      <c r="C471" s="68" t="n">
        <v>469842.816055153</v>
      </c>
    </row>
    <row r="472" customFormat="false" ht="15" hidden="false" customHeight="false" outlineLevel="0" collapsed="false">
      <c r="A472" s="68" t="s">
        <v>2739</v>
      </c>
      <c r="B472" s="68" t="s">
        <v>2398</v>
      </c>
      <c r="C472" s="68" t="n">
        <v>309406999185.248</v>
      </c>
    </row>
    <row r="473" customFormat="false" ht="15" hidden="false" customHeight="false" outlineLevel="0" collapsed="false">
      <c r="A473" s="68" t="s">
        <v>2739</v>
      </c>
      <c r="B473" s="68" t="s">
        <v>2432</v>
      </c>
      <c r="C473" s="68" t="s">
        <v>3200</v>
      </c>
    </row>
    <row r="474" customFormat="false" ht="15" hidden="false" customHeight="false" outlineLevel="0" collapsed="false">
      <c r="A474" s="68" t="s">
        <v>2739</v>
      </c>
      <c r="B474" s="68" t="s">
        <v>2437</v>
      </c>
      <c r="C474" s="68" t="n">
        <v>1</v>
      </c>
    </row>
    <row r="475" customFormat="false" ht="15" hidden="false" customHeight="false" outlineLevel="0" collapsed="false">
      <c r="A475" s="68" t="s">
        <v>2739</v>
      </c>
      <c r="B475" s="68" t="s">
        <v>2442</v>
      </c>
      <c r="C475" s="68" t="n">
        <v>1</v>
      </c>
    </row>
    <row r="476" customFormat="false" ht="15" hidden="false" customHeight="false" outlineLevel="0" collapsed="false">
      <c r="A476" s="68" t="s">
        <v>2739</v>
      </c>
      <c r="B476" s="68" t="s">
        <v>2447</v>
      </c>
      <c r="C476" s="68" t="n">
        <v>1</v>
      </c>
    </row>
    <row r="477" customFormat="false" ht="15" hidden="false" customHeight="false" outlineLevel="0" collapsed="false">
      <c r="A477" s="68" t="s">
        <v>2739</v>
      </c>
      <c r="B477" s="68" t="s">
        <v>2452</v>
      </c>
      <c r="C477" s="68" t="n">
        <v>0.98</v>
      </c>
    </row>
    <row r="478" customFormat="false" ht="15" hidden="false" customHeight="false" outlineLevel="0" collapsed="false">
      <c r="A478" s="68" t="s">
        <v>2739</v>
      </c>
      <c r="B478" s="68" t="s">
        <v>2457</v>
      </c>
      <c r="C478" s="68" t="n">
        <v>0.98</v>
      </c>
    </row>
    <row r="479" customFormat="false" ht="15" hidden="false" customHeight="false" outlineLevel="0" collapsed="false">
      <c r="A479" s="68" t="s">
        <v>2739</v>
      </c>
      <c r="B479" s="68" t="s">
        <v>2462</v>
      </c>
      <c r="C479" s="68" t="n">
        <v>438775.510204082</v>
      </c>
    </row>
    <row r="480" customFormat="false" ht="15" hidden="false" customHeight="false" outlineLevel="0" collapsed="false">
      <c r="A480" s="68" t="s">
        <v>2739</v>
      </c>
      <c r="B480" s="68" t="s">
        <v>2467</v>
      </c>
      <c r="C480" s="68" t="n">
        <v>119.251</v>
      </c>
    </row>
    <row r="481" customFormat="false" ht="15" hidden="false" customHeight="false" outlineLevel="0" collapsed="false">
      <c r="A481" s="68" t="s">
        <v>2739</v>
      </c>
      <c r="B481" s="68" t="s">
        <v>2471</v>
      </c>
      <c r="C481" s="68" t="n">
        <v>123.416</v>
      </c>
    </row>
    <row r="482" customFormat="false" ht="15" hidden="false" customHeight="false" outlineLevel="0" collapsed="false">
      <c r="A482" s="68" t="s">
        <v>2739</v>
      </c>
      <c r="B482" s="68" t="s">
        <v>2475</v>
      </c>
      <c r="C482" s="68" t="s">
        <v>312</v>
      </c>
    </row>
    <row r="483" customFormat="false" ht="15" hidden="false" customHeight="false" outlineLevel="0" collapsed="false">
      <c r="A483" s="68" t="s">
        <v>2739</v>
      </c>
      <c r="B483" s="68" t="s">
        <v>2480</v>
      </c>
      <c r="C483" s="68" t="n">
        <v>454100.329283167</v>
      </c>
    </row>
    <row r="484" customFormat="false" ht="15" hidden="false" customHeight="false" outlineLevel="0" collapsed="false">
      <c r="A484" s="68" t="s">
        <v>2739</v>
      </c>
      <c r="B484" s="68" t="s">
        <v>2484</v>
      </c>
      <c r="C484" s="68" t="n">
        <v>34436.9855380083</v>
      </c>
    </row>
    <row r="485" customFormat="false" ht="15" hidden="false" customHeight="false" outlineLevel="0" collapsed="false">
      <c r="A485" s="68" t="s">
        <v>2743</v>
      </c>
      <c r="B485" s="68" t="s">
        <v>2284</v>
      </c>
      <c r="C485" s="68" t="n">
        <v>36.5</v>
      </c>
    </row>
    <row r="486" customFormat="false" ht="15" hidden="false" customHeight="false" outlineLevel="0" collapsed="false">
      <c r="A486" s="68" t="s">
        <v>2743</v>
      </c>
      <c r="B486" s="68" t="s">
        <v>2290</v>
      </c>
      <c r="C486" s="68" t="s">
        <v>123</v>
      </c>
    </row>
    <row r="487" customFormat="false" ht="15" hidden="false" customHeight="false" outlineLevel="0" collapsed="false">
      <c r="A487" s="68" t="s">
        <v>2743</v>
      </c>
      <c r="B487" s="68" t="s">
        <v>2365</v>
      </c>
      <c r="C487" s="68" t="n">
        <v>285000</v>
      </c>
    </row>
    <row r="488" customFormat="false" ht="15" hidden="false" customHeight="false" outlineLevel="0" collapsed="false">
      <c r="A488" s="68" t="s">
        <v>2743</v>
      </c>
      <c r="B488" s="68" t="s">
        <v>2370</v>
      </c>
      <c r="C488" s="68" t="n">
        <v>359303.571428571</v>
      </c>
    </row>
    <row r="489" customFormat="false" ht="15" hidden="false" customHeight="false" outlineLevel="0" collapsed="false">
      <c r="A489" s="68" t="s">
        <v>2743</v>
      </c>
      <c r="B489" s="68" t="s">
        <v>2375</v>
      </c>
      <c r="C489" s="68" t="n">
        <v>150907500000</v>
      </c>
    </row>
    <row r="490" customFormat="false" ht="15" hidden="false" customHeight="false" outlineLevel="0" collapsed="false">
      <c r="A490" s="68" t="s">
        <v>2743</v>
      </c>
      <c r="B490" s="68" t="s">
        <v>2388</v>
      </c>
      <c r="C490" s="68" t="n">
        <v>294954.004578578</v>
      </c>
    </row>
    <row r="491" customFormat="false" ht="15" hidden="false" customHeight="false" outlineLevel="0" collapsed="false">
      <c r="A491" s="68" t="s">
        <v>2743</v>
      </c>
      <c r="B491" s="68" t="s">
        <v>2393</v>
      </c>
      <c r="C491" s="68" t="n">
        <v>311407.447850508</v>
      </c>
    </row>
    <row r="492" customFormat="false" ht="15" hidden="false" customHeight="false" outlineLevel="0" collapsed="false">
      <c r="A492" s="68" t="s">
        <v>2743</v>
      </c>
      <c r="B492" s="68" t="s">
        <v>2398</v>
      </c>
      <c r="C492" s="68" t="n">
        <v>205072080855.339</v>
      </c>
    </row>
    <row r="493" customFormat="false" ht="15" hidden="false" customHeight="false" outlineLevel="0" collapsed="false">
      <c r="A493" s="68" t="s">
        <v>2743</v>
      </c>
      <c r="B493" s="68" t="s">
        <v>2432</v>
      </c>
      <c r="C493" s="68" t="s">
        <v>3200</v>
      </c>
    </row>
    <row r="494" customFormat="false" ht="15" hidden="false" customHeight="false" outlineLevel="0" collapsed="false">
      <c r="A494" s="68" t="s">
        <v>2743</v>
      </c>
      <c r="B494" s="68" t="s">
        <v>2437</v>
      </c>
      <c r="C494" s="68" t="n">
        <v>1</v>
      </c>
    </row>
    <row r="495" customFormat="false" ht="15" hidden="false" customHeight="false" outlineLevel="0" collapsed="false">
      <c r="A495" s="68" t="s">
        <v>2743</v>
      </c>
      <c r="B495" s="68" t="s">
        <v>2442</v>
      </c>
      <c r="C495" s="68" t="n">
        <v>1</v>
      </c>
    </row>
    <row r="496" customFormat="false" ht="15" hidden="false" customHeight="false" outlineLevel="0" collapsed="false">
      <c r="A496" s="68" t="s">
        <v>2743</v>
      </c>
      <c r="B496" s="68" t="s">
        <v>2447</v>
      </c>
      <c r="C496" s="68" t="n">
        <v>1</v>
      </c>
    </row>
    <row r="497" customFormat="false" ht="15" hidden="false" customHeight="false" outlineLevel="0" collapsed="false">
      <c r="A497" s="68" t="s">
        <v>2743</v>
      </c>
      <c r="B497" s="68" t="s">
        <v>2452</v>
      </c>
      <c r="C497" s="68" t="n">
        <v>0.98</v>
      </c>
    </row>
    <row r="498" customFormat="false" ht="15" hidden="false" customHeight="false" outlineLevel="0" collapsed="false">
      <c r="A498" s="68" t="s">
        <v>2743</v>
      </c>
      <c r="B498" s="68" t="s">
        <v>2457</v>
      </c>
      <c r="C498" s="68" t="n">
        <v>0.98</v>
      </c>
    </row>
    <row r="499" customFormat="false" ht="15" hidden="false" customHeight="false" outlineLevel="0" collapsed="false">
      <c r="A499" s="68" t="s">
        <v>2743</v>
      </c>
      <c r="B499" s="68" t="s">
        <v>2462</v>
      </c>
      <c r="C499" s="68" t="n">
        <v>290816.326530612</v>
      </c>
    </row>
    <row r="500" customFormat="false" ht="15" hidden="false" customHeight="false" outlineLevel="0" collapsed="false">
      <c r="A500" s="68" t="s">
        <v>2743</v>
      </c>
      <c r="B500" s="68" t="s">
        <v>2467</v>
      </c>
      <c r="C500" s="68" t="n">
        <v>119.251</v>
      </c>
    </row>
    <row r="501" customFormat="false" ht="15" hidden="false" customHeight="false" outlineLevel="0" collapsed="false">
      <c r="A501" s="68" t="s">
        <v>2743</v>
      </c>
      <c r="B501" s="68" t="s">
        <v>2471</v>
      </c>
      <c r="C501" s="68" t="n">
        <v>123.416</v>
      </c>
    </row>
    <row r="502" customFormat="false" ht="15" hidden="false" customHeight="false" outlineLevel="0" collapsed="false">
      <c r="A502" s="68" t="s">
        <v>2743</v>
      </c>
      <c r="B502" s="68" t="s">
        <v>2475</v>
      </c>
      <c r="C502" s="68" t="s">
        <v>312</v>
      </c>
    </row>
    <row r="503" customFormat="false" ht="15" hidden="false" customHeight="false" outlineLevel="0" collapsed="false">
      <c r="A503" s="68" t="s">
        <v>2743</v>
      </c>
      <c r="B503" s="68" t="s">
        <v>2480</v>
      </c>
      <c r="C503" s="68" t="n">
        <v>300973.474059773</v>
      </c>
    </row>
    <row r="504" customFormat="false" ht="15" hidden="false" customHeight="false" outlineLevel="0" collapsed="false">
      <c r="A504" s="68" t="s">
        <v>2743</v>
      </c>
      <c r="B504" s="68" t="s">
        <v>2484</v>
      </c>
      <c r="C504" s="68" t="n">
        <v>34765.8220251617</v>
      </c>
    </row>
    <row r="505" customFormat="false" ht="15" hidden="false" customHeight="false" outlineLevel="0" collapsed="false">
      <c r="A505" s="68" t="s">
        <v>2747</v>
      </c>
      <c r="B505" s="68" t="s">
        <v>2284</v>
      </c>
      <c r="C505" s="68" t="n">
        <v>0.45</v>
      </c>
    </row>
    <row r="506" customFormat="false" ht="15" hidden="false" customHeight="false" outlineLevel="0" collapsed="false">
      <c r="A506" s="68" t="s">
        <v>2747</v>
      </c>
      <c r="B506" s="68" t="s">
        <v>2290</v>
      </c>
      <c r="C506" s="68" t="s">
        <v>123</v>
      </c>
    </row>
    <row r="507" customFormat="false" ht="15" hidden="false" customHeight="false" outlineLevel="0" collapsed="false">
      <c r="A507" s="68" t="s">
        <v>2747</v>
      </c>
      <c r="B507" s="68" t="s">
        <v>2365</v>
      </c>
      <c r="C507" s="68" t="n">
        <v>9000</v>
      </c>
    </row>
    <row r="508" customFormat="false" ht="15" hidden="false" customHeight="false" outlineLevel="0" collapsed="false">
      <c r="A508" s="68" t="s">
        <v>2747</v>
      </c>
      <c r="B508" s="68" t="s">
        <v>2370</v>
      </c>
      <c r="C508" s="68" t="n">
        <v>11346.4285714286</v>
      </c>
    </row>
    <row r="509" customFormat="false" ht="15" hidden="false" customHeight="false" outlineLevel="0" collapsed="false">
      <c r="A509" s="68" t="s">
        <v>2747</v>
      </c>
      <c r="B509" s="68" t="s">
        <v>2375</v>
      </c>
      <c r="C509" s="68" t="n">
        <v>4765500000</v>
      </c>
    </row>
    <row r="510" customFormat="false" ht="15" hidden="false" customHeight="false" outlineLevel="0" collapsed="false">
      <c r="A510" s="68" t="s">
        <v>2747</v>
      </c>
      <c r="B510" s="68" t="s">
        <v>2388</v>
      </c>
      <c r="C510" s="68" t="n">
        <v>9314.33698669194</v>
      </c>
    </row>
    <row r="511" customFormat="false" ht="15" hidden="false" customHeight="false" outlineLevel="0" collapsed="false">
      <c r="A511" s="68" t="s">
        <v>2747</v>
      </c>
      <c r="B511" s="68" t="s">
        <v>2393</v>
      </c>
      <c r="C511" s="68" t="n">
        <v>9833.91940580552</v>
      </c>
    </row>
    <row r="512" customFormat="false" ht="15" hidden="false" customHeight="false" outlineLevel="0" collapsed="false">
      <c r="A512" s="68" t="s">
        <v>2747</v>
      </c>
      <c r="B512" s="68" t="s">
        <v>2398</v>
      </c>
      <c r="C512" s="68" t="n">
        <v>6475960448.06333</v>
      </c>
    </row>
    <row r="513" customFormat="false" ht="15" hidden="false" customHeight="false" outlineLevel="0" collapsed="false">
      <c r="A513" s="68" t="s">
        <v>2747</v>
      </c>
      <c r="B513" s="68" t="s">
        <v>2432</v>
      </c>
      <c r="C513" s="68" t="s">
        <v>3200</v>
      </c>
    </row>
    <row r="514" customFormat="false" ht="15" hidden="false" customHeight="false" outlineLevel="0" collapsed="false">
      <c r="A514" s="68" t="s">
        <v>2747</v>
      </c>
      <c r="B514" s="68" t="s">
        <v>2437</v>
      </c>
      <c r="C514" s="68" t="n">
        <v>1</v>
      </c>
    </row>
    <row r="515" customFormat="false" ht="15" hidden="false" customHeight="false" outlineLevel="0" collapsed="false">
      <c r="A515" s="68" t="s">
        <v>2747</v>
      </c>
      <c r="B515" s="68" t="s">
        <v>2442</v>
      </c>
      <c r="C515" s="68" t="n">
        <v>1</v>
      </c>
    </row>
    <row r="516" customFormat="false" ht="15" hidden="false" customHeight="false" outlineLevel="0" collapsed="false">
      <c r="A516" s="68" t="s">
        <v>2747</v>
      </c>
      <c r="B516" s="68" t="s">
        <v>2447</v>
      </c>
      <c r="C516" s="68" t="n">
        <v>1</v>
      </c>
    </row>
    <row r="517" customFormat="false" ht="15" hidden="false" customHeight="false" outlineLevel="0" collapsed="false">
      <c r="A517" s="68" t="s">
        <v>2747</v>
      </c>
      <c r="B517" s="68" t="s">
        <v>2452</v>
      </c>
      <c r="C517" s="68" t="n">
        <v>0.98</v>
      </c>
    </row>
    <row r="518" customFormat="false" ht="15" hidden="false" customHeight="false" outlineLevel="0" collapsed="false">
      <c r="A518" s="68" t="s">
        <v>2747</v>
      </c>
      <c r="B518" s="68" t="s">
        <v>2457</v>
      </c>
      <c r="C518" s="68" t="n">
        <v>0.98</v>
      </c>
    </row>
    <row r="519" customFormat="false" ht="15" hidden="false" customHeight="false" outlineLevel="0" collapsed="false">
      <c r="A519" s="68" t="s">
        <v>2747</v>
      </c>
      <c r="B519" s="68" t="s">
        <v>2462</v>
      </c>
      <c r="C519" s="68" t="n">
        <v>9183.67346938776</v>
      </c>
    </row>
    <row r="520" customFormat="false" ht="15" hidden="false" customHeight="false" outlineLevel="0" collapsed="false">
      <c r="A520" s="68" t="s">
        <v>2747</v>
      </c>
      <c r="B520" s="68" t="s">
        <v>2467</v>
      </c>
      <c r="C520" s="68" t="n">
        <v>119.251</v>
      </c>
    </row>
    <row r="521" customFormat="false" ht="15" hidden="false" customHeight="false" outlineLevel="0" collapsed="false">
      <c r="A521" s="68" t="s">
        <v>2747</v>
      </c>
      <c r="B521" s="68" t="s">
        <v>2471</v>
      </c>
      <c r="C521" s="68" t="n">
        <v>123.416</v>
      </c>
    </row>
    <row r="522" customFormat="false" ht="15" hidden="false" customHeight="false" outlineLevel="0" collapsed="false">
      <c r="A522" s="68" t="s">
        <v>2747</v>
      </c>
      <c r="B522" s="68" t="s">
        <v>2475</v>
      </c>
      <c r="C522" s="68" t="s">
        <v>312</v>
      </c>
    </row>
    <row r="523" customFormat="false" ht="15" hidden="false" customHeight="false" outlineLevel="0" collapsed="false">
      <c r="A523" s="68" t="s">
        <v>2747</v>
      </c>
      <c r="B523" s="68" t="s">
        <v>2480</v>
      </c>
      <c r="C523" s="68" t="n">
        <v>9504.42549662442</v>
      </c>
    </row>
    <row r="524" customFormat="false" ht="15" hidden="false" customHeight="false" outlineLevel="0" collapsed="false">
      <c r="A524" s="68" t="s">
        <v>2747</v>
      </c>
      <c r="B524" s="68" t="s">
        <v>2484</v>
      </c>
      <c r="C524" s="68" t="n">
        <v>15346.111962692</v>
      </c>
    </row>
    <row r="525" customFormat="false" ht="15" hidden="false" customHeight="false" outlineLevel="0" collapsed="false">
      <c r="A525" s="68" t="s">
        <v>2752</v>
      </c>
      <c r="B525" s="68" t="s">
        <v>2284</v>
      </c>
      <c r="C525" s="68" t="n">
        <v>0.33</v>
      </c>
    </row>
    <row r="526" customFormat="false" ht="15" hidden="false" customHeight="false" outlineLevel="0" collapsed="false">
      <c r="A526" s="68" t="s">
        <v>2752</v>
      </c>
      <c r="B526" s="68" t="s">
        <v>2290</v>
      </c>
      <c r="C526" s="68" t="s">
        <v>123</v>
      </c>
    </row>
    <row r="527" customFormat="false" ht="15" hidden="false" customHeight="false" outlineLevel="0" collapsed="false">
      <c r="A527" s="68" t="s">
        <v>2752</v>
      </c>
      <c r="B527" s="68" t="s">
        <v>2365</v>
      </c>
      <c r="C527" s="68" t="n">
        <v>28000</v>
      </c>
    </row>
    <row r="528" customFormat="false" ht="15" hidden="false" customHeight="false" outlineLevel="0" collapsed="false">
      <c r="A528" s="68" t="s">
        <v>2752</v>
      </c>
      <c r="B528" s="68" t="s">
        <v>2370</v>
      </c>
      <c r="C528" s="68" t="n">
        <v>35300</v>
      </c>
    </row>
    <row r="529" customFormat="false" ht="15" hidden="false" customHeight="false" outlineLevel="0" collapsed="false">
      <c r="A529" s="68" t="s">
        <v>2752</v>
      </c>
      <c r="B529" s="68" t="s">
        <v>2375</v>
      </c>
      <c r="C529" s="68" t="n">
        <v>14826000000</v>
      </c>
    </row>
    <row r="530" customFormat="false" ht="15" hidden="false" customHeight="false" outlineLevel="0" collapsed="false">
      <c r="A530" s="68" t="s">
        <v>2752</v>
      </c>
      <c r="B530" s="68" t="s">
        <v>2388</v>
      </c>
      <c r="C530" s="68" t="n">
        <v>28977.9372919305</v>
      </c>
    </row>
    <row r="531" customFormat="false" ht="15" hidden="false" customHeight="false" outlineLevel="0" collapsed="false">
      <c r="A531" s="68" t="s">
        <v>2752</v>
      </c>
      <c r="B531" s="68" t="s">
        <v>2393</v>
      </c>
      <c r="C531" s="68" t="n">
        <v>30594.4159291727</v>
      </c>
    </row>
    <row r="532" customFormat="false" ht="15" hidden="false" customHeight="false" outlineLevel="0" collapsed="false">
      <c r="A532" s="68" t="s">
        <v>2752</v>
      </c>
      <c r="B532" s="68" t="s">
        <v>2398</v>
      </c>
      <c r="C532" s="68" t="n">
        <v>20147432505.0859</v>
      </c>
    </row>
    <row r="533" customFormat="false" ht="15" hidden="false" customHeight="false" outlineLevel="0" collapsed="false">
      <c r="A533" s="68" t="s">
        <v>2752</v>
      </c>
      <c r="B533" s="68" t="s">
        <v>2432</v>
      </c>
      <c r="C533" s="68" t="s">
        <v>3200</v>
      </c>
    </row>
    <row r="534" customFormat="false" ht="15" hidden="false" customHeight="false" outlineLevel="0" collapsed="false">
      <c r="A534" s="68" t="s">
        <v>2752</v>
      </c>
      <c r="B534" s="68" t="s">
        <v>2437</v>
      </c>
      <c r="C534" s="68" t="n">
        <v>1</v>
      </c>
    </row>
    <row r="535" customFormat="false" ht="15" hidden="false" customHeight="false" outlineLevel="0" collapsed="false">
      <c r="A535" s="68" t="s">
        <v>2752</v>
      </c>
      <c r="B535" s="68" t="s">
        <v>2442</v>
      </c>
      <c r="C535" s="68" t="n">
        <v>1</v>
      </c>
    </row>
    <row r="536" customFormat="false" ht="15" hidden="false" customHeight="false" outlineLevel="0" collapsed="false">
      <c r="A536" s="68" t="s">
        <v>2752</v>
      </c>
      <c r="B536" s="68" t="s">
        <v>2447</v>
      </c>
      <c r="C536" s="68" t="n">
        <v>1</v>
      </c>
    </row>
    <row r="537" customFormat="false" ht="15" hidden="false" customHeight="false" outlineLevel="0" collapsed="false">
      <c r="A537" s="68" t="s">
        <v>2752</v>
      </c>
      <c r="B537" s="68" t="s">
        <v>2452</v>
      </c>
      <c r="C537" s="68" t="n">
        <v>0.98</v>
      </c>
    </row>
    <row r="538" customFormat="false" ht="15" hidden="false" customHeight="false" outlineLevel="0" collapsed="false">
      <c r="A538" s="68" t="s">
        <v>2752</v>
      </c>
      <c r="B538" s="68" t="s">
        <v>2457</v>
      </c>
      <c r="C538" s="68" t="n">
        <v>0.98</v>
      </c>
    </row>
    <row r="539" customFormat="false" ht="15" hidden="false" customHeight="false" outlineLevel="0" collapsed="false">
      <c r="A539" s="68" t="s">
        <v>2752</v>
      </c>
      <c r="B539" s="68" t="s">
        <v>2462</v>
      </c>
      <c r="C539" s="68" t="n">
        <v>28571.4285714286</v>
      </c>
    </row>
    <row r="540" customFormat="false" ht="15" hidden="false" customHeight="false" outlineLevel="0" collapsed="false">
      <c r="A540" s="68" t="s">
        <v>2752</v>
      </c>
      <c r="B540" s="68" t="s">
        <v>2467</v>
      </c>
      <c r="C540" s="68" t="n">
        <v>119.251</v>
      </c>
    </row>
    <row r="541" customFormat="false" ht="15" hidden="false" customHeight="false" outlineLevel="0" collapsed="false">
      <c r="A541" s="68" t="s">
        <v>2752</v>
      </c>
      <c r="B541" s="68" t="s">
        <v>2471</v>
      </c>
      <c r="C541" s="68" t="n">
        <v>123.416</v>
      </c>
    </row>
    <row r="542" customFormat="false" ht="15" hidden="false" customHeight="false" outlineLevel="0" collapsed="false">
      <c r="A542" s="68" t="s">
        <v>2752</v>
      </c>
      <c r="B542" s="68" t="s">
        <v>2475</v>
      </c>
      <c r="C542" s="68" t="s">
        <v>312</v>
      </c>
    </row>
    <row r="543" customFormat="false" ht="15" hidden="false" customHeight="false" outlineLevel="0" collapsed="false">
      <c r="A543" s="68" t="s">
        <v>2752</v>
      </c>
      <c r="B543" s="68" t="s">
        <v>2480</v>
      </c>
      <c r="C543" s="68" t="n">
        <v>29569.323767276</v>
      </c>
    </row>
    <row r="544" customFormat="false" ht="15" hidden="false" customHeight="false" outlineLevel="0" collapsed="false">
      <c r="A544" s="68" t="s">
        <v>2752</v>
      </c>
      <c r="B544" s="68" t="s">
        <v>2484</v>
      </c>
      <c r="C544" s="68" t="n">
        <v>57508.6309166817</v>
      </c>
    </row>
    <row r="545" customFormat="false" ht="15" hidden="false" customHeight="false" outlineLevel="0" collapsed="false">
      <c r="A545" s="68" t="s">
        <v>2756</v>
      </c>
      <c r="B545" s="68" t="s">
        <v>2284</v>
      </c>
      <c r="C545" s="68" t="n">
        <v>3.3</v>
      </c>
    </row>
    <row r="546" customFormat="false" ht="15" hidden="false" customHeight="false" outlineLevel="0" collapsed="false">
      <c r="A546" s="68" t="s">
        <v>2756</v>
      </c>
      <c r="B546" s="68" t="s">
        <v>2290</v>
      </c>
      <c r="C546" s="68" t="s">
        <v>123</v>
      </c>
    </row>
    <row r="547" customFormat="false" ht="15" hidden="false" customHeight="false" outlineLevel="0" collapsed="false">
      <c r="A547" s="68" t="s">
        <v>2756</v>
      </c>
      <c r="B547" s="68" t="s">
        <v>2365</v>
      </c>
      <c r="C547" s="68" t="n">
        <v>53000</v>
      </c>
    </row>
    <row r="548" customFormat="false" ht="15" hidden="false" customHeight="false" outlineLevel="0" collapsed="false">
      <c r="A548" s="68" t="s">
        <v>2756</v>
      </c>
      <c r="B548" s="68" t="s">
        <v>2370</v>
      </c>
      <c r="C548" s="68" t="n">
        <v>66817.8571428571</v>
      </c>
    </row>
    <row r="549" customFormat="false" ht="15" hidden="false" customHeight="false" outlineLevel="0" collapsed="false">
      <c r="A549" s="68" t="s">
        <v>2756</v>
      </c>
      <c r="B549" s="68" t="s">
        <v>2375</v>
      </c>
      <c r="C549" s="68" t="n">
        <v>28063500000</v>
      </c>
    </row>
    <row r="550" customFormat="false" ht="15" hidden="false" customHeight="false" outlineLevel="0" collapsed="false">
      <c r="A550" s="68" t="s">
        <v>2756</v>
      </c>
      <c r="B550" s="68" t="s">
        <v>2388</v>
      </c>
      <c r="C550" s="68" t="n">
        <v>54851.095588297</v>
      </c>
    </row>
    <row r="551" customFormat="false" ht="15" hidden="false" customHeight="false" outlineLevel="0" collapsed="false">
      <c r="A551" s="68" t="s">
        <v>2756</v>
      </c>
      <c r="B551" s="68" t="s">
        <v>2393</v>
      </c>
      <c r="C551" s="68" t="n">
        <v>57910.858723077</v>
      </c>
    </row>
    <row r="552" customFormat="false" ht="15" hidden="false" customHeight="false" outlineLevel="0" collapsed="false">
      <c r="A552" s="68" t="s">
        <v>2756</v>
      </c>
      <c r="B552" s="68" t="s">
        <v>2398</v>
      </c>
      <c r="C552" s="68" t="n">
        <v>38136211527.4841</v>
      </c>
    </row>
    <row r="553" customFormat="false" ht="15" hidden="false" customHeight="false" outlineLevel="0" collapsed="false">
      <c r="A553" s="68" t="s">
        <v>2756</v>
      </c>
      <c r="B553" s="68" t="s">
        <v>2432</v>
      </c>
      <c r="C553" s="68" t="s">
        <v>3200</v>
      </c>
    </row>
    <row r="554" customFormat="false" ht="15" hidden="false" customHeight="false" outlineLevel="0" collapsed="false">
      <c r="A554" s="68" t="s">
        <v>2756</v>
      </c>
      <c r="B554" s="68" t="s">
        <v>2437</v>
      </c>
      <c r="C554" s="68" t="n">
        <v>1</v>
      </c>
    </row>
    <row r="555" customFormat="false" ht="15" hidden="false" customHeight="false" outlineLevel="0" collapsed="false">
      <c r="A555" s="68" t="s">
        <v>2756</v>
      </c>
      <c r="B555" s="68" t="s">
        <v>2442</v>
      </c>
      <c r="C555" s="68" t="n">
        <v>1</v>
      </c>
    </row>
    <row r="556" customFormat="false" ht="15" hidden="false" customHeight="false" outlineLevel="0" collapsed="false">
      <c r="A556" s="68" t="s">
        <v>2756</v>
      </c>
      <c r="B556" s="68" t="s">
        <v>2447</v>
      </c>
      <c r="C556" s="68" t="n">
        <v>1</v>
      </c>
    </row>
    <row r="557" customFormat="false" ht="15" hidden="false" customHeight="false" outlineLevel="0" collapsed="false">
      <c r="A557" s="68" t="s">
        <v>2756</v>
      </c>
      <c r="B557" s="68" t="s">
        <v>2452</v>
      </c>
      <c r="C557" s="68" t="n">
        <v>0.98</v>
      </c>
    </row>
    <row r="558" customFormat="false" ht="15" hidden="false" customHeight="false" outlineLevel="0" collapsed="false">
      <c r="A558" s="68" t="s">
        <v>2756</v>
      </c>
      <c r="B558" s="68" t="s">
        <v>2457</v>
      </c>
      <c r="C558" s="68" t="n">
        <v>0.98</v>
      </c>
    </row>
    <row r="559" customFormat="false" ht="15" hidden="false" customHeight="false" outlineLevel="0" collapsed="false">
      <c r="A559" s="68" t="s">
        <v>2756</v>
      </c>
      <c r="B559" s="68" t="s">
        <v>2462</v>
      </c>
      <c r="C559" s="68" t="n">
        <v>54081.6326530612</v>
      </c>
    </row>
    <row r="560" customFormat="false" ht="15" hidden="false" customHeight="false" outlineLevel="0" collapsed="false">
      <c r="A560" s="68" t="s">
        <v>2756</v>
      </c>
      <c r="B560" s="68" t="s">
        <v>2467</v>
      </c>
      <c r="C560" s="68" t="n">
        <v>119.251</v>
      </c>
    </row>
    <row r="561" customFormat="false" ht="15" hidden="false" customHeight="false" outlineLevel="0" collapsed="false">
      <c r="A561" s="68" t="s">
        <v>2756</v>
      </c>
      <c r="B561" s="68" t="s">
        <v>2471</v>
      </c>
      <c r="C561" s="68" t="n">
        <v>123.416</v>
      </c>
    </row>
    <row r="562" customFormat="false" ht="15" hidden="false" customHeight="false" outlineLevel="0" collapsed="false">
      <c r="A562" s="68" t="s">
        <v>2756</v>
      </c>
      <c r="B562" s="68" t="s">
        <v>2475</v>
      </c>
      <c r="C562" s="68" t="s">
        <v>312</v>
      </c>
    </row>
    <row r="563" customFormat="false" ht="15" hidden="false" customHeight="false" outlineLevel="0" collapsed="false">
      <c r="A563" s="68" t="s">
        <v>2756</v>
      </c>
      <c r="B563" s="68" t="s">
        <v>2480</v>
      </c>
      <c r="C563" s="68" t="n">
        <v>55970.5057023438</v>
      </c>
    </row>
    <row r="564" customFormat="false" ht="15" hidden="false" customHeight="false" outlineLevel="0" collapsed="false">
      <c r="A564" s="68" t="s">
        <v>2756</v>
      </c>
      <c r="B564" s="68" t="s">
        <v>2484</v>
      </c>
      <c r="C564" s="68" t="n">
        <v>27343.2961921363</v>
      </c>
    </row>
    <row r="565" customFormat="false" ht="15" hidden="false" customHeight="false" outlineLevel="0" collapsed="false">
      <c r="A565" s="68" t="s">
        <v>2760</v>
      </c>
      <c r="B565" s="68" t="s">
        <v>2284</v>
      </c>
      <c r="C565" s="68" t="n">
        <v>0.11</v>
      </c>
    </row>
    <row r="566" customFormat="false" ht="15" hidden="false" customHeight="false" outlineLevel="0" collapsed="false">
      <c r="A566" s="68" t="s">
        <v>2760</v>
      </c>
      <c r="B566" s="68" t="s">
        <v>2290</v>
      </c>
      <c r="C566" s="68" t="s">
        <v>123</v>
      </c>
    </row>
    <row r="567" customFormat="false" ht="15" hidden="false" customHeight="false" outlineLevel="0" collapsed="false">
      <c r="A567" s="68" t="s">
        <v>2760</v>
      </c>
      <c r="B567" s="68" t="s">
        <v>2365</v>
      </c>
      <c r="C567" s="68" t="n">
        <v>53000</v>
      </c>
    </row>
    <row r="568" customFormat="false" ht="15" hidden="false" customHeight="false" outlineLevel="0" collapsed="false">
      <c r="A568" s="68" t="s">
        <v>2760</v>
      </c>
      <c r="B568" s="68" t="s">
        <v>2370</v>
      </c>
      <c r="C568" s="68" t="n">
        <v>66817.8571428571</v>
      </c>
    </row>
    <row r="569" customFormat="false" ht="15" hidden="false" customHeight="false" outlineLevel="0" collapsed="false">
      <c r="A569" s="68" t="s">
        <v>2760</v>
      </c>
      <c r="B569" s="68" t="s">
        <v>2375</v>
      </c>
      <c r="C569" s="68" t="n">
        <v>28063500000</v>
      </c>
    </row>
    <row r="570" customFormat="false" ht="15" hidden="false" customHeight="false" outlineLevel="0" collapsed="false">
      <c r="A570" s="68" t="s">
        <v>2760</v>
      </c>
      <c r="B570" s="68" t="s">
        <v>2388</v>
      </c>
      <c r="C570" s="68" t="n">
        <v>54851.095588297</v>
      </c>
    </row>
    <row r="571" customFormat="false" ht="15" hidden="false" customHeight="false" outlineLevel="0" collapsed="false">
      <c r="A571" s="68" t="s">
        <v>2760</v>
      </c>
      <c r="B571" s="68" t="s">
        <v>2393</v>
      </c>
      <c r="C571" s="68" t="n">
        <v>57910.858723077</v>
      </c>
    </row>
    <row r="572" customFormat="false" ht="15" hidden="false" customHeight="false" outlineLevel="0" collapsed="false">
      <c r="A572" s="68" t="s">
        <v>2760</v>
      </c>
      <c r="B572" s="68" t="s">
        <v>2398</v>
      </c>
      <c r="C572" s="68" t="n">
        <v>38136211527.4841</v>
      </c>
    </row>
    <row r="573" customFormat="false" ht="15" hidden="false" customHeight="false" outlineLevel="0" collapsed="false">
      <c r="A573" s="68" t="s">
        <v>2760</v>
      </c>
      <c r="B573" s="68" t="s">
        <v>2432</v>
      </c>
      <c r="C573" s="68" t="s">
        <v>3200</v>
      </c>
    </row>
    <row r="574" customFormat="false" ht="15" hidden="false" customHeight="false" outlineLevel="0" collapsed="false">
      <c r="A574" s="68" t="s">
        <v>2760</v>
      </c>
      <c r="B574" s="68" t="s">
        <v>2437</v>
      </c>
      <c r="C574" s="68" t="n">
        <v>1</v>
      </c>
    </row>
    <row r="575" customFormat="false" ht="15" hidden="false" customHeight="false" outlineLevel="0" collapsed="false">
      <c r="A575" s="68" t="s">
        <v>2760</v>
      </c>
      <c r="B575" s="68" t="s">
        <v>2442</v>
      </c>
      <c r="C575" s="68" t="n">
        <v>1</v>
      </c>
    </row>
    <row r="576" customFormat="false" ht="15" hidden="false" customHeight="false" outlineLevel="0" collapsed="false">
      <c r="A576" s="68" t="s">
        <v>2760</v>
      </c>
      <c r="B576" s="68" t="s">
        <v>2447</v>
      </c>
      <c r="C576" s="68" t="n">
        <v>1</v>
      </c>
    </row>
    <row r="577" customFormat="false" ht="15" hidden="false" customHeight="false" outlineLevel="0" collapsed="false">
      <c r="A577" s="68" t="s">
        <v>2760</v>
      </c>
      <c r="B577" s="68" t="s">
        <v>2452</v>
      </c>
      <c r="C577" s="68" t="n">
        <v>0.98</v>
      </c>
    </row>
    <row r="578" customFormat="false" ht="15" hidden="false" customHeight="false" outlineLevel="0" collapsed="false">
      <c r="A578" s="68" t="s">
        <v>2760</v>
      </c>
      <c r="B578" s="68" t="s">
        <v>2457</v>
      </c>
      <c r="C578" s="68" t="n">
        <v>0.98</v>
      </c>
    </row>
    <row r="579" customFormat="false" ht="15" hidden="false" customHeight="false" outlineLevel="0" collapsed="false">
      <c r="A579" s="68" t="s">
        <v>2760</v>
      </c>
      <c r="B579" s="68" t="s">
        <v>2462</v>
      </c>
      <c r="C579" s="68" t="n">
        <v>54081.6326530612</v>
      </c>
    </row>
    <row r="580" customFormat="false" ht="15" hidden="false" customHeight="false" outlineLevel="0" collapsed="false">
      <c r="A580" s="68" t="s">
        <v>2760</v>
      </c>
      <c r="B580" s="68" t="s">
        <v>2467</v>
      </c>
      <c r="C580" s="68" t="n">
        <v>119.251</v>
      </c>
    </row>
    <row r="581" customFormat="false" ht="15" hidden="false" customHeight="false" outlineLevel="0" collapsed="false">
      <c r="A581" s="68" t="s">
        <v>2760</v>
      </c>
      <c r="B581" s="68" t="s">
        <v>2471</v>
      </c>
      <c r="C581" s="68" t="n">
        <v>123.416</v>
      </c>
    </row>
    <row r="582" customFormat="false" ht="15" hidden="false" customHeight="false" outlineLevel="0" collapsed="false">
      <c r="A582" s="68" t="s">
        <v>2760</v>
      </c>
      <c r="B582" s="68" t="s">
        <v>2475</v>
      </c>
      <c r="C582" s="68" t="s">
        <v>312</v>
      </c>
    </row>
    <row r="583" customFormat="false" ht="15" hidden="false" customHeight="false" outlineLevel="0" collapsed="false">
      <c r="A583" s="68" t="s">
        <v>2760</v>
      </c>
      <c r="B583" s="68" t="s">
        <v>2480</v>
      </c>
      <c r="C583" s="68" t="n">
        <v>55970.5057023438</v>
      </c>
    </row>
    <row r="584" customFormat="false" ht="15" hidden="false" customHeight="false" outlineLevel="0" collapsed="false">
      <c r="A584" s="68" t="s">
        <v>2760</v>
      </c>
      <c r="B584" s="68" t="s">
        <v>2484</v>
      </c>
      <c r="C584" s="68" t="n">
        <v>210437.735499537</v>
      </c>
    </row>
    <row r="585" customFormat="false" ht="15" hidden="false" customHeight="false" outlineLevel="0" collapsed="false">
      <c r="A585" s="68" t="s">
        <v>2764</v>
      </c>
      <c r="B585" s="68" t="s">
        <v>2284</v>
      </c>
      <c r="C585" s="68" t="n">
        <v>0.54</v>
      </c>
    </row>
    <row r="586" customFormat="false" ht="15" hidden="false" customHeight="false" outlineLevel="0" collapsed="false">
      <c r="A586" s="68" t="s">
        <v>2764</v>
      </c>
      <c r="B586" s="68" t="s">
        <v>2290</v>
      </c>
      <c r="C586" s="68" t="s">
        <v>123</v>
      </c>
    </row>
    <row r="587" customFormat="false" ht="15" hidden="false" customHeight="false" outlineLevel="0" collapsed="false">
      <c r="A587" s="68" t="s">
        <v>2764</v>
      </c>
      <c r="B587" s="68" t="s">
        <v>2365</v>
      </c>
      <c r="C587" s="68" t="n">
        <v>29000</v>
      </c>
    </row>
    <row r="588" customFormat="false" ht="15" hidden="false" customHeight="false" outlineLevel="0" collapsed="false">
      <c r="A588" s="68" t="s">
        <v>2764</v>
      </c>
      <c r="B588" s="68" t="s">
        <v>2370</v>
      </c>
      <c r="C588" s="68" t="n">
        <v>36560.7142857143</v>
      </c>
    </row>
    <row r="589" customFormat="false" ht="15" hidden="false" customHeight="false" outlineLevel="0" collapsed="false">
      <c r="A589" s="68" t="s">
        <v>2764</v>
      </c>
      <c r="B589" s="68" t="s">
        <v>2375</v>
      </c>
      <c r="C589" s="68" t="n">
        <v>15355500000</v>
      </c>
    </row>
    <row r="590" customFormat="false" ht="15" hidden="false" customHeight="false" outlineLevel="0" collapsed="false">
      <c r="A590" s="68" t="s">
        <v>2764</v>
      </c>
      <c r="B590" s="68" t="s">
        <v>2388</v>
      </c>
      <c r="C590" s="68" t="n">
        <v>30012.8636237851</v>
      </c>
    </row>
    <row r="591" customFormat="false" ht="15" hidden="false" customHeight="false" outlineLevel="0" collapsed="false">
      <c r="A591" s="68" t="s">
        <v>2764</v>
      </c>
      <c r="B591" s="68" t="s">
        <v>2393</v>
      </c>
      <c r="C591" s="68" t="n">
        <v>31687.0736409289</v>
      </c>
    </row>
    <row r="592" customFormat="false" ht="15" hidden="false" customHeight="false" outlineLevel="0" collapsed="false">
      <c r="A592" s="68" t="s">
        <v>2764</v>
      </c>
      <c r="B592" s="68" t="s">
        <v>2398</v>
      </c>
      <c r="C592" s="68" t="n">
        <v>20866983665.9818</v>
      </c>
    </row>
    <row r="593" customFormat="false" ht="15" hidden="false" customHeight="false" outlineLevel="0" collapsed="false">
      <c r="A593" s="68" t="s">
        <v>2764</v>
      </c>
      <c r="B593" s="68" t="s">
        <v>2432</v>
      </c>
      <c r="C593" s="68" t="s">
        <v>3200</v>
      </c>
    </row>
    <row r="594" customFormat="false" ht="15" hidden="false" customHeight="false" outlineLevel="0" collapsed="false">
      <c r="A594" s="68" t="s">
        <v>2764</v>
      </c>
      <c r="B594" s="68" t="s">
        <v>2437</v>
      </c>
      <c r="C594" s="68" t="n">
        <v>1</v>
      </c>
    </row>
    <row r="595" customFormat="false" ht="15" hidden="false" customHeight="false" outlineLevel="0" collapsed="false">
      <c r="A595" s="68" t="s">
        <v>2764</v>
      </c>
      <c r="B595" s="68" t="s">
        <v>2442</v>
      </c>
      <c r="C595" s="68" t="n">
        <v>1</v>
      </c>
    </row>
    <row r="596" customFormat="false" ht="15" hidden="false" customHeight="false" outlineLevel="0" collapsed="false">
      <c r="A596" s="68" t="s">
        <v>2764</v>
      </c>
      <c r="B596" s="68" t="s">
        <v>2447</v>
      </c>
      <c r="C596" s="68" t="n">
        <v>1</v>
      </c>
    </row>
    <row r="597" customFormat="false" ht="15" hidden="false" customHeight="false" outlineLevel="0" collapsed="false">
      <c r="A597" s="68" t="s">
        <v>2764</v>
      </c>
      <c r="B597" s="68" t="s">
        <v>2452</v>
      </c>
      <c r="C597" s="68" t="n">
        <v>0.98</v>
      </c>
    </row>
    <row r="598" customFormat="false" ht="15" hidden="false" customHeight="false" outlineLevel="0" collapsed="false">
      <c r="A598" s="68" t="s">
        <v>2764</v>
      </c>
      <c r="B598" s="68" t="s">
        <v>2457</v>
      </c>
      <c r="C598" s="68" t="n">
        <v>0.98</v>
      </c>
    </row>
    <row r="599" customFormat="false" ht="15" hidden="false" customHeight="false" outlineLevel="0" collapsed="false">
      <c r="A599" s="68" t="s">
        <v>2764</v>
      </c>
      <c r="B599" s="68" t="s">
        <v>2462</v>
      </c>
      <c r="C599" s="68" t="n">
        <v>29591.8367346939</v>
      </c>
    </row>
    <row r="600" customFormat="false" ht="15" hidden="false" customHeight="false" outlineLevel="0" collapsed="false">
      <c r="A600" s="68" t="s">
        <v>2764</v>
      </c>
      <c r="B600" s="68" t="s">
        <v>2467</v>
      </c>
      <c r="C600" s="68" t="n">
        <v>119.251</v>
      </c>
    </row>
    <row r="601" customFormat="false" ht="15" hidden="false" customHeight="false" outlineLevel="0" collapsed="false">
      <c r="A601" s="68" t="s">
        <v>2764</v>
      </c>
      <c r="B601" s="68" t="s">
        <v>2471</v>
      </c>
      <c r="C601" s="68" t="n">
        <v>123.416</v>
      </c>
    </row>
    <row r="602" customFormat="false" ht="15" hidden="false" customHeight="false" outlineLevel="0" collapsed="false">
      <c r="A602" s="68" t="s">
        <v>2764</v>
      </c>
      <c r="B602" s="68" t="s">
        <v>2475</v>
      </c>
      <c r="C602" s="68" t="s">
        <v>312</v>
      </c>
    </row>
    <row r="603" customFormat="false" ht="15" hidden="false" customHeight="false" outlineLevel="0" collapsed="false">
      <c r="A603" s="68" t="s">
        <v>2764</v>
      </c>
      <c r="B603" s="68" t="s">
        <v>2480</v>
      </c>
      <c r="C603" s="68" t="n">
        <v>30625.3710446787</v>
      </c>
    </row>
    <row r="604" customFormat="false" ht="15" hidden="false" customHeight="false" outlineLevel="0" collapsed="false">
      <c r="A604" s="68" t="s">
        <v>2764</v>
      </c>
      <c r="B604" s="68" t="s">
        <v>2484</v>
      </c>
      <c r="C604" s="68" t="n">
        <v>44324.628390958</v>
      </c>
    </row>
    <row r="605" customFormat="false" ht="15" hidden="false" customHeight="false" outlineLevel="0" collapsed="false">
      <c r="A605" s="68" t="s">
        <v>2768</v>
      </c>
      <c r="B605" s="68" t="s">
        <v>2284</v>
      </c>
      <c r="C605" s="68" t="n">
        <v>0.8</v>
      </c>
    </row>
    <row r="606" customFormat="false" ht="15" hidden="false" customHeight="false" outlineLevel="0" collapsed="false">
      <c r="A606" s="68" t="s">
        <v>2768</v>
      </c>
      <c r="B606" s="68" t="s">
        <v>2290</v>
      </c>
      <c r="C606" s="68" t="s">
        <v>123</v>
      </c>
    </row>
    <row r="607" customFormat="false" ht="15" hidden="false" customHeight="false" outlineLevel="0" collapsed="false">
      <c r="A607" s="68" t="s">
        <v>2768</v>
      </c>
      <c r="B607" s="68" t="s">
        <v>2365</v>
      </c>
      <c r="C607" s="68" t="n">
        <v>35000</v>
      </c>
    </row>
    <row r="608" customFormat="false" ht="15" hidden="false" customHeight="false" outlineLevel="0" collapsed="false">
      <c r="A608" s="68" t="s">
        <v>2768</v>
      </c>
      <c r="B608" s="68" t="s">
        <v>2370</v>
      </c>
      <c r="C608" s="68" t="n">
        <v>44125</v>
      </c>
    </row>
    <row r="609" customFormat="false" ht="15" hidden="false" customHeight="false" outlineLevel="0" collapsed="false">
      <c r="A609" s="68" t="s">
        <v>2768</v>
      </c>
      <c r="B609" s="68" t="s">
        <v>2375</v>
      </c>
      <c r="C609" s="68" t="n">
        <v>18532500000</v>
      </c>
    </row>
    <row r="610" customFormat="false" ht="15" hidden="false" customHeight="false" outlineLevel="0" collapsed="false">
      <c r="A610" s="68" t="s">
        <v>2768</v>
      </c>
      <c r="B610" s="68" t="s">
        <v>2388</v>
      </c>
      <c r="C610" s="68" t="n">
        <v>36222.4216149131</v>
      </c>
    </row>
    <row r="611" customFormat="false" ht="15" hidden="false" customHeight="false" outlineLevel="0" collapsed="false">
      <c r="A611" s="68" t="s">
        <v>2768</v>
      </c>
      <c r="B611" s="68" t="s">
        <v>2393</v>
      </c>
      <c r="C611" s="68" t="n">
        <v>38243.0199114659</v>
      </c>
    </row>
    <row r="612" customFormat="false" ht="15" hidden="false" customHeight="false" outlineLevel="0" collapsed="false">
      <c r="A612" s="68" t="s">
        <v>2768</v>
      </c>
      <c r="B612" s="68" t="s">
        <v>2398</v>
      </c>
      <c r="C612" s="68" t="n">
        <v>25184290631.3574</v>
      </c>
    </row>
    <row r="613" customFormat="false" ht="15" hidden="false" customHeight="false" outlineLevel="0" collapsed="false">
      <c r="A613" s="68" t="s">
        <v>2768</v>
      </c>
      <c r="B613" s="68" t="s">
        <v>2432</v>
      </c>
      <c r="C613" s="68" t="s">
        <v>3200</v>
      </c>
    </row>
    <row r="614" customFormat="false" ht="15" hidden="false" customHeight="false" outlineLevel="0" collapsed="false">
      <c r="A614" s="68" t="s">
        <v>2768</v>
      </c>
      <c r="B614" s="68" t="s">
        <v>2437</v>
      </c>
      <c r="C614" s="68" t="n">
        <v>1</v>
      </c>
    </row>
    <row r="615" customFormat="false" ht="15" hidden="false" customHeight="false" outlineLevel="0" collapsed="false">
      <c r="A615" s="68" t="s">
        <v>2768</v>
      </c>
      <c r="B615" s="68" t="s">
        <v>2442</v>
      </c>
      <c r="C615" s="68" t="n">
        <v>1</v>
      </c>
    </row>
    <row r="616" customFormat="false" ht="15" hidden="false" customHeight="false" outlineLevel="0" collapsed="false">
      <c r="A616" s="68" t="s">
        <v>2768</v>
      </c>
      <c r="B616" s="68" t="s">
        <v>2447</v>
      </c>
      <c r="C616" s="68" t="n">
        <v>1</v>
      </c>
    </row>
    <row r="617" customFormat="false" ht="15" hidden="false" customHeight="false" outlineLevel="0" collapsed="false">
      <c r="A617" s="68" t="s">
        <v>2768</v>
      </c>
      <c r="B617" s="68" t="s">
        <v>2452</v>
      </c>
      <c r="C617" s="68" t="n">
        <v>0.98</v>
      </c>
    </row>
    <row r="618" customFormat="false" ht="15" hidden="false" customHeight="false" outlineLevel="0" collapsed="false">
      <c r="A618" s="68" t="s">
        <v>2768</v>
      </c>
      <c r="B618" s="68" t="s">
        <v>2457</v>
      </c>
      <c r="C618" s="68" t="n">
        <v>0.98</v>
      </c>
    </row>
    <row r="619" customFormat="false" ht="15" hidden="false" customHeight="false" outlineLevel="0" collapsed="false">
      <c r="A619" s="68" t="s">
        <v>2768</v>
      </c>
      <c r="B619" s="68" t="s">
        <v>2462</v>
      </c>
      <c r="C619" s="68" t="n">
        <v>35714.2857142857</v>
      </c>
    </row>
    <row r="620" customFormat="false" ht="15" hidden="false" customHeight="false" outlineLevel="0" collapsed="false">
      <c r="A620" s="68" t="s">
        <v>2768</v>
      </c>
      <c r="B620" s="68" t="s">
        <v>2467</v>
      </c>
      <c r="C620" s="68" t="n">
        <v>119.251</v>
      </c>
    </row>
    <row r="621" customFormat="false" ht="15" hidden="false" customHeight="false" outlineLevel="0" collapsed="false">
      <c r="A621" s="68" t="s">
        <v>2768</v>
      </c>
      <c r="B621" s="68" t="s">
        <v>2471</v>
      </c>
      <c r="C621" s="68" t="n">
        <v>123.416</v>
      </c>
    </row>
    <row r="622" customFormat="false" ht="15" hidden="false" customHeight="false" outlineLevel="0" collapsed="false">
      <c r="A622" s="68" t="s">
        <v>2768</v>
      </c>
      <c r="B622" s="68" t="s">
        <v>2475</v>
      </c>
      <c r="C622" s="68" t="s">
        <v>312</v>
      </c>
    </row>
    <row r="623" customFormat="false" ht="15" hidden="false" customHeight="false" outlineLevel="0" collapsed="false">
      <c r="A623" s="68" t="s">
        <v>2768</v>
      </c>
      <c r="B623" s="68" t="s">
        <v>2480</v>
      </c>
      <c r="C623" s="68" t="n">
        <v>36961.654709095</v>
      </c>
    </row>
    <row r="624" customFormat="false" ht="15" hidden="false" customHeight="false" outlineLevel="0" collapsed="false">
      <c r="A624" s="68" t="s">
        <v>2768</v>
      </c>
      <c r="B624" s="68" t="s">
        <v>2484</v>
      </c>
      <c r="C624" s="68" t="n">
        <v>42256.8785651565</v>
      </c>
    </row>
    <row r="625" customFormat="false" ht="15" hidden="false" customHeight="false" outlineLevel="0" collapsed="false">
      <c r="A625" s="68" t="s">
        <v>2772</v>
      </c>
      <c r="B625" s="68" t="s">
        <v>2284</v>
      </c>
      <c r="C625" s="68" t="n">
        <v>0.02</v>
      </c>
    </row>
    <row r="626" customFormat="false" ht="15" hidden="false" customHeight="false" outlineLevel="0" collapsed="false">
      <c r="A626" s="68" t="s">
        <v>2772</v>
      </c>
      <c r="B626" s="68" t="s">
        <v>2290</v>
      </c>
      <c r="C626" s="68" t="s">
        <v>123</v>
      </c>
    </row>
    <row r="627" customFormat="false" ht="15" hidden="false" customHeight="false" outlineLevel="0" collapsed="false">
      <c r="A627" s="68" t="s">
        <v>2772</v>
      </c>
      <c r="B627" s="68" t="s">
        <v>2365</v>
      </c>
      <c r="C627" s="68" t="n">
        <v>13350</v>
      </c>
    </row>
    <row r="628" customFormat="false" ht="15" hidden="false" customHeight="false" outlineLevel="0" collapsed="false">
      <c r="A628" s="68" t="s">
        <v>2772</v>
      </c>
      <c r="B628" s="68" t="s">
        <v>2370</v>
      </c>
      <c r="C628" s="68" t="n">
        <v>16830.5357142857</v>
      </c>
    </row>
    <row r="629" customFormat="false" ht="15" hidden="false" customHeight="false" outlineLevel="0" collapsed="false">
      <c r="A629" s="68" t="s">
        <v>2772</v>
      </c>
      <c r="B629" s="68" t="s">
        <v>2375</v>
      </c>
      <c r="C629" s="68" t="n">
        <v>7068825000</v>
      </c>
    </row>
    <row r="630" customFormat="false" ht="15" hidden="false" customHeight="false" outlineLevel="0" collapsed="false">
      <c r="A630" s="68" t="s">
        <v>2772</v>
      </c>
      <c r="B630" s="68" t="s">
        <v>2388</v>
      </c>
      <c r="C630" s="68" t="n">
        <v>13816.2665302597</v>
      </c>
    </row>
    <row r="631" customFormat="false" ht="15" hidden="false" customHeight="false" outlineLevel="0" collapsed="false">
      <c r="A631" s="68" t="s">
        <v>2772</v>
      </c>
      <c r="B631" s="68" t="s">
        <v>2393</v>
      </c>
      <c r="C631" s="68" t="n">
        <v>14586.9804519449</v>
      </c>
    </row>
    <row r="632" customFormat="false" ht="15" hidden="false" customHeight="false" outlineLevel="0" collapsed="false">
      <c r="A632" s="68" t="s">
        <v>2772</v>
      </c>
      <c r="B632" s="68" t="s">
        <v>2398</v>
      </c>
      <c r="C632" s="68" t="n">
        <v>9606007997.9606</v>
      </c>
    </row>
    <row r="633" customFormat="false" ht="15" hidden="false" customHeight="false" outlineLevel="0" collapsed="false">
      <c r="A633" s="68" t="s">
        <v>2772</v>
      </c>
      <c r="B633" s="68" t="s">
        <v>2432</v>
      </c>
      <c r="C633" s="68" t="s">
        <v>3200</v>
      </c>
    </row>
    <row r="634" customFormat="false" ht="15" hidden="false" customHeight="false" outlineLevel="0" collapsed="false">
      <c r="A634" s="68" t="s">
        <v>2772</v>
      </c>
      <c r="B634" s="68" t="s">
        <v>2437</v>
      </c>
      <c r="C634" s="68" t="n">
        <v>1</v>
      </c>
    </row>
    <row r="635" customFormat="false" ht="15" hidden="false" customHeight="false" outlineLevel="0" collapsed="false">
      <c r="A635" s="68" t="s">
        <v>2772</v>
      </c>
      <c r="B635" s="68" t="s">
        <v>2442</v>
      </c>
      <c r="C635" s="68" t="n">
        <v>1</v>
      </c>
    </row>
    <row r="636" customFormat="false" ht="15" hidden="false" customHeight="false" outlineLevel="0" collapsed="false">
      <c r="A636" s="68" t="s">
        <v>2772</v>
      </c>
      <c r="B636" s="68" t="s">
        <v>2447</v>
      </c>
      <c r="C636" s="68" t="n">
        <v>1</v>
      </c>
    </row>
    <row r="637" customFormat="false" ht="15" hidden="false" customHeight="false" outlineLevel="0" collapsed="false">
      <c r="A637" s="68" t="s">
        <v>2772</v>
      </c>
      <c r="B637" s="68" t="s">
        <v>2452</v>
      </c>
      <c r="C637" s="68" t="n">
        <v>0.98</v>
      </c>
    </row>
    <row r="638" customFormat="false" ht="15" hidden="false" customHeight="false" outlineLevel="0" collapsed="false">
      <c r="A638" s="68" t="s">
        <v>2772</v>
      </c>
      <c r="B638" s="68" t="s">
        <v>2457</v>
      </c>
      <c r="C638" s="68" t="n">
        <v>0.98</v>
      </c>
    </row>
    <row r="639" customFormat="false" ht="15" hidden="false" customHeight="false" outlineLevel="0" collapsed="false">
      <c r="A639" s="68" t="s">
        <v>2772</v>
      </c>
      <c r="B639" s="68" t="s">
        <v>2462</v>
      </c>
      <c r="C639" s="68" t="n">
        <v>13622.4489795918</v>
      </c>
    </row>
    <row r="640" customFormat="false" ht="15" hidden="false" customHeight="false" outlineLevel="0" collapsed="false">
      <c r="A640" s="68" t="s">
        <v>2772</v>
      </c>
      <c r="B640" s="68" t="s">
        <v>2467</v>
      </c>
      <c r="C640" s="68" t="n">
        <v>119.251</v>
      </c>
    </row>
    <row r="641" customFormat="false" ht="15" hidden="false" customHeight="false" outlineLevel="0" collapsed="false">
      <c r="A641" s="68" t="s">
        <v>2772</v>
      </c>
      <c r="B641" s="68" t="s">
        <v>2471</v>
      </c>
      <c r="C641" s="68" t="n">
        <v>123.416</v>
      </c>
    </row>
    <row r="642" customFormat="false" ht="15" hidden="false" customHeight="false" outlineLevel="0" collapsed="false">
      <c r="A642" s="68" t="s">
        <v>2772</v>
      </c>
      <c r="B642" s="68" t="s">
        <v>2475</v>
      </c>
      <c r="C642" s="68" t="s">
        <v>312</v>
      </c>
    </row>
    <row r="643" customFormat="false" ht="15" hidden="false" customHeight="false" outlineLevel="0" collapsed="false">
      <c r="A643" s="68" t="s">
        <v>2772</v>
      </c>
      <c r="B643" s="68" t="s">
        <v>2480</v>
      </c>
      <c r="C643" s="68" t="n">
        <v>14098.2311533262</v>
      </c>
    </row>
    <row r="644" customFormat="false" ht="15" hidden="false" customHeight="false" outlineLevel="0" collapsed="false">
      <c r="A644" s="68" t="s">
        <v>2772</v>
      </c>
      <c r="B644" s="68" t="s">
        <v>2484</v>
      </c>
      <c r="C644" s="68" t="n">
        <v>147416.681154924</v>
      </c>
    </row>
    <row r="645" customFormat="false" ht="15" hidden="false" customHeight="false" outlineLevel="0" collapsed="false">
      <c r="A645" s="68" t="s">
        <v>2776</v>
      </c>
      <c r="B645" s="68" t="s">
        <v>2284</v>
      </c>
      <c r="C645" s="68" t="n">
        <v>0.3</v>
      </c>
    </row>
    <row r="646" customFormat="false" ht="15" hidden="false" customHeight="false" outlineLevel="0" collapsed="false">
      <c r="A646" s="68" t="s">
        <v>2776</v>
      </c>
      <c r="B646" s="68" t="s">
        <v>2290</v>
      </c>
      <c r="C646" s="68" t="s">
        <v>123</v>
      </c>
    </row>
    <row r="647" customFormat="false" ht="15" hidden="false" customHeight="false" outlineLevel="0" collapsed="false">
      <c r="A647" s="68" t="s">
        <v>2776</v>
      </c>
      <c r="B647" s="68" t="s">
        <v>2365</v>
      </c>
      <c r="C647" s="68" t="n">
        <v>31000</v>
      </c>
    </row>
    <row r="648" customFormat="false" ht="15" hidden="false" customHeight="false" outlineLevel="0" collapsed="false">
      <c r="A648" s="68" t="s">
        <v>2776</v>
      </c>
      <c r="B648" s="68" t="s">
        <v>2370</v>
      </c>
      <c r="C648" s="68" t="n">
        <v>39082.1428571429</v>
      </c>
    </row>
    <row r="649" customFormat="false" ht="15" hidden="false" customHeight="false" outlineLevel="0" collapsed="false">
      <c r="A649" s="68" t="s">
        <v>2776</v>
      </c>
      <c r="B649" s="68" t="s">
        <v>2375</v>
      </c>
      <c r="C649" s="68" t="n">
        <v>16414500000</v>
      </c>
    </row>
    <row r="650" customFormat="false" ht="15" hidden="false" customHeight="false" outlineLevel="0" collapsed="false">
      <c r="A650" s="68" t="s">
        <v>2776</v>
      </c>
      <c r="B650" s="68" t="s">
        <v>2388</v>
      </c>
      <c r="C650" s="68" t="n">
        <v>32082.7162874944</v>
      </c>
    </row>
    <row r="651" customFormat="false" ht="15" hidden="false" customHeight="false" outlineLevel="0" collapsed="false">
      <c r="A651" s="68" t="s">
        <v>2776</v>
      </c>
      <c r="B651" s="68" t="s">
        <v>2393</v>
      </c>
      <c r="C651" s="68" t="n">
        <v>33872.3890644413</v>
      </c>
    </row>
    <row r="652" customFormat="false" ht="15" hidden="false" customHeight="false" outlineLevel="0" collapsed="false">
      <c r="A652" s="68" t="s">
        <v>2776</v>
      </c>
      <c r="B652" s="68" t="s">
        <v>2398</v>
      </c>
      <c r="C652" s="68" t="n">
        <v>22306085987.7737</v>
      </c>
    </row>
    <row r="653" customFormat="false" ht="15" hidden="false" customHeight="false" outlineLevel="0" collapsed="false">
      <c r="A653" s="68" t="s">
        <v>2776</v>
      </c>
      <c r="B653" s="68" t="s">
        <v>2432</v>
      </c>
      <c r="C653" s="68" t="s">
        <v>3200</v>
      </c>
    </row>
    <row r="654" customFormat="false" ht="15" hidden="false" customHeight="false" outlineLevel="0" collapsed="false">
      <c r="A654" s="68" t="s">
        <v>2776</v>
      </c>
      <c r="B654" s="68" t="s">
        <v>2437</v>
      </c>
      <c r="C654" s="68" t="n">
        <v>1</v>
      </c>
    </row>
    <row r="655" customFormat="false" ht="15" hidden="false" customHeight="false" outlineLevel="0" collapsed="false">
      <c r="A655" s="68" t="s">
        <v>2776</v>
      </c>
      <c r="B655" s="68" t="s">
        <v>2442</v>
      </c>
      <c r="C655" s="68" t="n">
        <v>1</v>
      </c>
    </row>
    <row r="656" customFormat="false" ht="15" hidden="false" customHeight="false" outlineLevel="0" collapsed="false">
      <c r="A656" s="68" t="s">
        <v>2776</v>
      </c>
      <c r="B656" s="68" t="s">
        <v>2447</v>
      </c>
      <c r="C656" s="68" t="n">
        <v>1</v>
      </c>
    </row>
    <row r="657" customFormat="false" ht="15" hidden="false" customHeight="false" outlineLevel="0" collapsed="false">
      <c r="A657" s="68" t="s">
        <v>2776</v>
      </c>
      <c r="B657" s="68" t="s">
        <v>2452</v>
      </c>
      <c r="C657" s="68" t="n">
        <v>0.98</v>
      </c>
    </row>
    <row r="658" customFormat="false" ht="15" hidden="false" customHeight="false" outlineLevel="0" collapsed="false">
      <c r="A658" s="68" t="s">
        <v>2776</v>
      </c>
      <c r="B658" s="68" t="s">
        <v>2457</v>
      </c>
      <c r="C658" s="68" t="n">
        <v>0.98</v>
      </c>
    </row>
    <row r="659" customFormat="false" ht="15" hidden="false" customHeight="false" outlineLevel="0" collapsed="false">
      <c r="A659" s="68" t="s">
        <v>2776</v>
      </c>
      <c r="B659" s="68" t="s">
        <v>2462</v>
      </c>
      <c r="C659" s="68" t="n">
        <v>31632.6530612245</v>
      </c>
    </row>
    <row r="660" customFormat="false" ht="15" hidden="false" customHeight="false" outlineLevel="0" collapsed="false">
      <c r="A660" s="68" t="s">
        <v>2776</v>
      </c>
      <c r="B660" s="68" t="s">
        <v>2467</v>
      </c>
      <c r="C660" s="68" t="n">
        <v>119.251</v>
      </c>
    </row>
    <row r="661" customFormat="false" ht="15" hidden="false" customHeight="false" outlineLevel="0" collapsed="false">
      <c r="A661" s="68" t="s">
        <v>2776</v>
      </c>
      <c r="B661" s="68" t="s">
        <v>2471</v>
      </c>
      <c r="C661" s="68" t="n">
        <v>123.416</v>
      </c>
    </row>
    <row r="662" customFormat="false" ht="15" hidden="false" customHeight="false" outlineLevel="0" collapsed="false">
      <c r="A662" s="68" t="s">
        <v>2776</v>
      </c>
      <c r="B662" s="68" t="s">
        <v>2475</v>
      </c>
      <c r="C662" s="68" t="s">
        <v>312</v>
      </c>
    </row>
    <row r="663" customFormat="false" ht="15" hidden="false" customHeight="false" outlineLevel="0" collapsed="false">
      <c r="A663" s="68" t="s">
        <v>2776</v>
      </c>
      <c r="B663" s="68" t="s">
        <v>2480</v>
      </c>
      <c r="C663" s="68" t="n">
        <v>32737.4655994841</v>
      </c>
    </row>
    <row r="664" customFormat="false" ht="15" hidden="false" customHeight="false" outlineLevel="0" collapsed="false">
      <c r="A664" s="68" t="s">
        <v>2776</v>
      </c>
      <c r="B664" s="68" t="s">
        <v>2484</v>
      </c>
      <c r="C664" s="68" t="n">
        <v>67417.4469759423</v>
      </c>
    </row>
    <row r="665" customFormat="false" ht="15" hidden="false" customHeight="false" outlineLevel="0" collapsed="false">
      <c r="A665" s="68" t="s">
        <v>2781</v>
      </c>
      <c r="B665" s="68" t="s">
        <v>2284</v>
      </c>
      <c r="C665" s="68" t="n">
        <v>1.35</v>
      </c>
    </row>
    <row r="666" customFormat="false" ht="15" hidden="false" customHeight="false" outlineLevel="0" collapsed="false">
      <c r="A666" s="68" t="s">
        <v>2781</v>
      </c>
      <c r="B666" s="68" t="s">
        <v>2290</v>
      </c>
      <c r="C666" s="68" t="s">
        <v>123</v>
      </c>
    </row>
    <row r="667" customFormat="false" ht="15" hidden="false" customHeight="false" outlineLevel="0" collapsed="false">
      <c r="A667" s="68" t="s">
        <v>2781</v>
      </c>
      <c r="B667" s="68" t="s">
        <v>2365</v>
      </c>
      <c r="C667" s="68" t="n">
        <v>28000</v>
      </c>
    </row>
    <row r="668" customFormat="false" ht="15" hidden="false" customHeight="false" outlineLevel="0" collapsed="false">
      <c r="A668" s="68" t="s">
        <v>2781</v>
      </c>
      <c r="B668" s="68" t="s">
        <v>2370</v>
      </c>
      <c r="C668" s="68" t="n">
        <v>35300</v>
      </c>
    </row>
    <row r="669" customFormat="false" ht="15" hidden="false" customHeight="false" outlineLevel="0" collapsed="false">
      <c r="A669" s="68" t="s">
        <v>2781</v>
      </c>
      <c r="B669" s="68" t="s">
        <v>2375</v>
      </c>
      <c r="C669" s="68" t="n">
        <v>14826000000</v>
      </c>
    </row>
    <row r="670" customFormat="false" ht="15" hidden="false" customHeight="false" outlineLevel="0" collapsed="false">
      <c r="A670" s="68" t="s">
        <v>2781</v>
      </c>
      <c r="B670" s="68" t="s">
        <v>2388</v>
      </c>
      <c r="C670" s="68" t="n">
        <v>28977.9372919305</v>
      </c>
    </row>
    <row r="671" customFormat="false" ht="15" hidden="false" customHeight="false" outlineLevel="0" collapsed="false">
      <c r="A671" s="68" t="s">
        <v>2781</v>
      </c>
      <c r="B671" s="68" t="s">
        <v>2393</v>
      </c>
      <c r="C671" s="68" t="n">
        <v>30594.4159291727</v>
      </c>
    </row>
    <row r="672" customFormat="false" ht="15" hidden="false" customHeight="false" outlineLevel="0" collapsed="false">
      <c r="A672" s="68" t="s">
        <v>2781</v>
      </c>
      <c r="B672" s="68" t="s">
        <v>2398</v>
      </c>
      <c r="C672" s="68" t="n">
        <v>20147432505.0859</v>
      </c>
    </row>
    <row r="673" customFormat="false" ht="15" hidden="false" customHeight="false" outlineLevel="0" collapsed="false">
      <c r="A673" s="68" t="s">
        <v>2781</v>
      </c>
      <c r="B673" s="68" t="s">
        <v>2432</v>
      </c>
      <c r="C673" s="68" t="s">
        <v>3200</v>
      </c>
    </row>
    <row r="674" customFormat="false" ht="15" hidden="false" customHeight="false" outlineLevel="0" collapsed="false">
      <c r="A674" s="68" t="s">
        <v>2781</v>
      </c>
      <c r="B674" s="68" t="s">
        <v>2437</v>
      </c>
      <c r="C674" s="68" t="n">
        <v>1</v>
      </c>
    </row>
    <row r="675" customFormat="false" ht="15" hidden="false" customHeight="false" outlineLevel="0" collapsed="false">
      <c r="A675" s="68" t="s">
        <v>2781</v>
      </c>
      <c r="B675" s="68" t="s">
        <v>2442</v>
      </c>
      <c r="C675" s="68" t="n">
        <v>1</v>
      </c>
    </row>
    <row r="676" customFormat="false" ht="15" hidden="false" customHeight="false" outlineLevel="0" collapsed="false">
      <c r="A676" s="68" t="s">
        <v>2781</v>
      </c>
      <c r="B676" s="68" t="s">
        <v>2447</v>
      </c>
      <c r="C676" s="68" t="n">
        <v>1</v>
      </c>
    </row>
    <row r="677" customFormat="false" ht="15" hidden="false" customHeight="false" outlineLevel="0" collapsed="false">
      <c r="A677" s="68" t="s">
        <v>2781</v>
      </c>
      <c r="B677" s="68" t="s">
        <v>2452</v>
      </c>
      <c r="C677" s="68" t="n">
        <v>0.98</v>
      </c>
    </row>
    <row r="678" customFormat="false" ht="15" hidden="false" customHeight="false" outlineLevel="0" collapsed="false">
      <c r="A678" s="68" t="s">
        <v>2781</v>
      </c>
      <c r="B678" s="68" t="s">
        <v>2457</v>
      </c>
      <c r="C678" s="68" t="n">
        <v>0.98</v>
      </c>
    </row>
    <row r="679" customFormat="false" ht="15" hidden="false" customHeight="false" outlineLevel="0" collapsed="false">
      <c r="A679" s="68" t="s">
        <v>2781</v>
      </c>
      <c r="B679" s="68" t="s">
        <v>2462</v>
      </c>
      <c r="C679" s="68" t="n">
        <v>28571.4285714286</v>
      </c>
    </row>
    <row r="680" customFormat="false" ht="15" hidden="false" customHeight="false" outlineLevel="0" collapsed="false">
      <c r="A680" s="68" t="s">
        <v>2781</v>
      </c>
      <c r="B680" s="68" t="s">
        <v>2467</v>
      </c>
      <c r="C680" s="68" t="n">
        <v>119.251</v>
      </c>
    </row>
    <row r="681" customFormat="false" ht="15" hidden="false" customHeight="false" outlineLevel="0" collapsed="false">
      <c r="A681" s="68" t="s">
        <v>2781</v>
      </c>
      <c r="B681" s="68" t="s">
        <v>2471</v>
      </c>
      <c r="C681" s="68" t="n">
        <v>123.416</v>
      </c>
    </row>
    <row r="682" customFormat="false" ht="15" hidden="false" customHeight="false" outlineLevel="0" collapsed="false">
      <c r="A682" s="68" t="s">
        <v>2781</v>
      </c>
      <c r="B682" s="68" t="s">
        <v>2475</v>
      </c>
      <c r="C682" s="68" t="s">
        <v>312</v>
      </c>
    </row>
    <row r="683" customFormat="false" ht="15" hidden="false" customHeight="false" outlineLevel="0" collapsed="false">
      <c r="A683" s="68" t="s">
        <v>2781</v>
      </c>
      <c r="B683" s="68" t="s">
        <v>2480</v>
      </c>
      <c r="C683" s="68" t="n">
        <v>29569.323767276</v>
      </c>
    </row>
    <row r="684" customFormat="false" ht="15" hidden="false" customHeight="false" outlineLevel="0" collapsed="false">
      <c r="A684" s="68" t="s">
        <v>2781</v>
      </c>
      <c r="B684" s="68" t="s">
        <v>2484</v>
      </c>
      <c r="C684" s="68" t="n">
        <v>24696.825404858</v>
      </c>
    </row>
    <row r="685" customFormat="false" ht="15" hidden="false" customHeight="false" outlineLevel="0" collapsed="false">
      <c r="A685" s="68" t="s">
        <v>2785</v>
      </c>
      <c r="B685" s="68" t="s">
        <v>2284</v>
      </c>
      <c r="C685" s="68" t="n">
        <v>0.16</v>
      </c>
    </row>
    <row r="686" customFormat="false" ht="15" hidden="false" customHeight="false" outlineLevel="0" collapsed="false">
      <c r="A686" s="68" t="s">
        <v>2785</v>
      </c>
      <c r="B686" s="68" t="s">
        <v>2290</v>
      </c>
      <c r="C686" s="68" t="s">
        <v>123</v>
      </c>
    </row>
    <row r="687" customFormat="false" ht="15" hidden="false" customHeight="false" outlineLevel="0" collapsed="false">
      <c r="A687" s="68" t="s">
        <v>2785</v>
      </c>
      <c r="B687" s="68" t="s">
        <v>2365</v>
      </c>
      <c r="C687" s="68" t="n">
        <v>13500</v>
      </c>
    </row>
    <row r="688" customFormat="false" ht="15" hidden="false" customHeight="false" outlineLevel="0" collapsed="false">
      <c r="A688" s="68" t="s">
        <v>2785</v>
      </c>
      <c r="B688" s="68" t="s">
        <v>2370</v>
      </c>
      <c r="C688" s="68" t="n">
        <v>17019.6428571429</v>
      </c>
    </row>
    <row r="689" customFormat="false" ht="15" hidden="false" customHeight="false" outlineLevel="0" collapsed="false">
      <c r="A689" s="68" t="s">
        <v>2785</v>
      </c>
      <c r="B689" s="68" t="s">
        <v>2375</v>
      </c>
      <c r="C689" s="68" t="n">
        <v>7148250000</v>
      </c>
    </row>
    <row r="690" customFormat="false" ht="15" hidden="false" customHeight="false" outlineLevel="0" collapsed="false">
      <c r="A690" s="68" t="s">
        <v>2785</v>
      </c>
      <c r="B690" s="68" t="s">
        <v>2388</v>
      </c>
      <c r="C690" s="68" t="n">
        <v>13971.5054800379</v>
      </c>
    </row>
    <row r="691" customFormat="false" ht="15" hidden="false" customHeight="false" outlineLevel="0" collapsed="false">
      <c r="A691" s="68" t="s">
        <v>2785</v>
      </c>
      <c r="B691" s="68" t="s">
        <v>2393</v>
      </c>
      <c r="C691" s="68" t="n">
        <v>14750.8791087083</v>
      </c>
    </row>
    <row r="692" customFormat="false" ht="15" hidden="false" customHeight="false" outlineLevel="0" collapsed="false">
      <c r="A692" s="68" t="s">
        <v>2785</v>
      </c>
      <c r="B692" s="68" t="s">
        <v>2398</v>
      </c>
      <c r="C692" s="68" t="n">
        <v>9713940672.09499</v>
      </c>
    </row>
    <row r="693" customFormat="false" ht="15" hidden="false" customHeight="false" outlineLevel="0" collapsed="false">
      <c r="A693" s="68" t="s">
        <v>2785</v>
      </c>
      <c r="B693" s="68" t="s">
        <v>2432</v>
      </c>
      <c r="C693" s="68" t="s">
        <v>3200</v>
      </c>
    </row>
    <row r="694" customFormat="false" ht="15" hidden="false" customHeight="false" outlineLevel="0" collapsed="false">
      <c r="A694" s="68" t="s">
        <v>2785</v>
      </c>
      <c r="B694" s="68" t="s">
        <v>2437</v>
      </c>
      <c r="C694" s="68" t="n">
        <v>1</v>
      </c>
    </row>
    <row r="695" customFormat="false" ht="15" hidden="false" customHeight="false" outlineLevel="0" collapsed="false">
      <c r="A695" s="68" t="s">
        <v>2785</v>
      </c>
      <c r="B695" s="68" t="s">
        <v>2442</v>
      </c>
      <c r="C695" s="68" t="n">
        <v>1</v>
      </c>
    </row>
    <row r="696" customFormat="false" ht="15" hidden="false" customHeight="false" outlineLevel="0" collapsed="false">
      <c r="A696" s="68" t="s">
        <v>2785</v>
      </c>
      <c r="B696" s="68" t="s">
        <v>2447</v>
      </c>
      <c r="C696" s="68" t="n">
        <v>1</v>
      </c>
    </row>
    <row r="697" customFormat="false" ht="15" hidden="false" customHeight="false" outlineLevel="0" collapsed="false">
      <c r="A697" s="68" t="s">
        <v>2785</v>
      </c>
      <c r="B697" s="68" t="s">
        <v>2452</v>
      </c>
      <c r="C697" s="68" t="n">
        <v>0.98</v>
      </c>
    </row>
    <row r="698" customFormat="false" ht="15" hidden="false" customHeight="false" outlineLevel="0" collapsed="false">
      <c r="A698" s="68" t="s">
        <v>2785</v>
      </c>
      <c r="B698" s="68" t="s">
        <v>2457</v>
      </c>
      <c r="C698" s="68" t="n">
        <v>0.98</v>
      </c>
    </row>
    <row r="699" customFormat="false" ht="15" hidden="false" customHeight="false" outlineLevel="0" collapsed="false">
      <c r="A699" s="68" t="s">
        <v>2785</v>
      </c>
      <c r="B699" s="68" t="s">
        <v>2462</v>
      </c>
      <c r="C699" s="68" t="n">
        <v>13775.5102040816</v>
      </c>
    </row>
    <row r="700" customFormat="false" ht="15" hidden="false" customHeight="false" outlineLevel="0" collapsed="false">
      <c r="A700" s="68" t="s">
        <v>2785</v>
      </c>
      <c r="B700" s="68" t="s">
        <v>2467</v>
      </c>
      <c r="C700" s="68" t="n">
        <v>119.251</v>
      </c>
    </row>
    <row r="701" customFormat="false" ht="15" hidden="false" customHeight="false" outlineLevel="0" collapsed="false">
      <c r="A701" s="68" t="s">
        <v>2785</v>
      </c>
      <c r="B701" s="68" t="s">
        <v>2471</v>
      </c>
      <c r="C701" s="68" t="n">
        <v>123.416</v>
      </c>
    </row>
    <row r="702" customFormat="false" ht="15" hidden="false" customHeight="false" outlineLevel="0" collapsed="false">
      <c r="A702" s="68" t="s">
        <v>2785</v>
      </c>
      <c r="B702" s="68" t="s">
        <v>2475</v>
      </c>
      <c r="C702" s="68" t="s">
        <v>312</v>
      </c>
    </row>
    <row r="703" customFormat="false" ht="15" hidden="false" customHeight="false" outlineLevel="0" collapsed="false">
      <c r="A703" s="68" t="s">
        <v>2785</v>
      </c>
      <c r="B703" s="68" t="s">
        <v>2480</v>
      </c>
      <c r="C703" s="68" t="n">
        <v>14256.6382449366</v>
      </c>
    </row>
    <row r="704" customFormat="false" ht="15" hidden="false" customHeight="false" outlineLevel="0" collapsed="false">
      <c r="A704" s="68" t="s">
        <v>2785</v>
      </c>
      <c r="B704" s="68" t="s">
        <v>2484</v>
      </c>
      <c r="C704" s="68" t="n">
        <v>42809.9913560689</v>
      </c>
    </row>
    <row r="705" customFormat="false" ht="15" hidden="false" customHeight="false" outlineLevel="0" collapsed="false">
      <c r="A705" s="68" t="s">
        <v>2790</v>
      </c>
      <c r="B705" s="68" t="s">
        <v>2284</v>
      </c>
      <c r="C705" s="68" t="n">
        <v>133</v>
      </c>
    </row>
    <row r="706" customFormat="false" ht="15" hidden="false" customHeight="false" outlineLevel="0" collapsed="false">
      <c r="A706" s="68" t="s">
        <v>2790</v>
      </c>
      <c r="B706" s="68" t="s">
        <v>2290</v>
      </c>
      <c r="C706" s="68" t="s">
        <v>123</v>
      </c>
    </row>
    <row r="707" customFormat="false" ht="15" hidden="false" customHeight="false" outlineLevel="0" collapsed="false">
      <c r="A707" s="68" t="s">
        <v>2790</v>
      </c>
      <c r="B707" s="68" t="s">
        <v>2365</v>
      </c>
      <c r="C707" s="68" t="n">
        <v>70821.5297450425</v>
      </c>
    </row>
    <row r="708" customFormat="false" ht="15" hidden="false" customHeight="false" outlineLevel="0" collapsed="false">
      <c r="A708" s="68" t="s">
        <v>2790</v>
      </c>
      <c r="B708" s="68" t="s">
        <v>2370</v>
      </c>
      <c r="C708" s="68" t="n">
        <v>89285.7142857143</v>
      </c>
    </row>
    <row r="709" customFormat="false" ht="15" hidden="false" customHeight="false" outlineLevel="0" collapsed="false">
      <c r="A709" s="68" t="s">
        <v>2790</v>
      </c>
      <c r="B709" s="68" t="s">
        <v>2375</v>
      </c>
      <c r="C709" s="68" t="n">
        <v>37500000000</v>
      </c>
    </row>
    <row r="710" customFormat="false" ht="15" hidden="false" customHeight="false" outlineLevel="0" collapsed="false">
      <c r="A710" s="68" t="s">
        <v>2790</v>
      </c>
      <c r="B710" s="68" t="s">
        <v>2388</v>
      </c>
      <c r="C710" s="68" t="n">
        <v>73295.0659953725</v>
      </c>
    </row>
    <row r="711" customFormat="false" ht="15" hidden="false" customHeight="false" outlineLevel="0" collapsed="false">
      <c r="A711" s="68" t="s">
        <v>2790</v>
      </c>
      <c r="B711" s="68" t="s">
        <v>2393</v>
      </c>
      <c r="C711" s="68" t="n">
        <v>77383.6906342896</v>
      </c>
    </row>
    <row r="712" customFormat="false" ht="15" hidden="false" customHeight="false" outlineLevel="0" collapsed="false">
      <c r="A712" s="68" t="s">
        <v>2790</v>
      </c>
      <c r="B712" s="68" t="s">
        <v>2398</v>
      </c>
      <c r="C712" s="68" t="n">
        <v>50959713944.4706</v>
      </c>
    </row>
    <row r="713" customFormat="false" ht="15" hidden="false" customHeight="false" outlineLevel="0" collapsed="false">
      <c r="A713" s="68" t="s">
        <v>2790</v>
      </c>
      <c r="B713" s="68" t="s">
        <v>2432</v>
      </c>
      <c r="C713" s="68" t="s">
        <v>3200</v>
      </c>
    </row>
    <row r="714" customFormat="false" ht="15" hidden="false" customHeight="false" outlineLevel="0" collapsed="false">
      <c r="A714" s="68" t="s">
        <v>2790</v>
      </c>
      <c r="B714" s="68" t="s">
        <v>2437</v>
      </c>
      <c r="C714" s="68" t="n">
        <v>1</v>
      </c>
    </row>
    <row r="715" customFormat="false" ht="15" hidden="false" customHeight="false" outlineLevel="0" collapsed="false">
      <c r="A715" s="68" t="s">
        <v>2790</v>
      </c>
      <c r="B715" s="68" t="s">
        <v>2442</v>
      </c>
      <c r="C715" s="68" t="n">
        <v>1</v>
      </c>
    </row>
    <row r="716" customFormat="false" ht="15" hidden="false" customHeight="false" outlineLevel="0" collapsed="false">
      <c r="A716" s="68" t="s">
        <v>2790</v>
      </c>
      <c r="B716" s="68" t="s">
        <v>2447</v>
      </c>
      <c r="C716" s="68" t="n">
        <v>1</v>
      </c>
    </row>
    <row r="717" customFormat="false" ht="15" hidden="false" customHeight="false" outlineLevel="0" collapsed="false">
      <c r="A717" s="68" t="s">
        <v>2790</v>
      </c>
      <c r="B717" s="68" t="s">
        <v>2452</v>
      </c>
      <c r="C717" s="68" t="n">
        <v>0.98</v>
      </c>
    </row>
    <row r="718" customFormat="false" ht="15" hidden="false" customHeight="false" outlineLevel="0" collapsed="false">
      <c r="A718" s="68" t="s">
        <v>2790</v>
      </c>
      <c r="B718" s="68" t="s">
        <v>2457</v>
      </c>
      <c r="C718" s="68" t="n">
        <v>0.98</v>
      </c>
    </row>
    <row r="719" customFormat="false" ht="15" hidden="false" customHeight="false" outlineLevel="0" collapsed="false">
      <c r="A719" s="68" t="s">
        <v>2790</v>
      </c>
      <c r="B719" s="68" t="s">
        <v>2462</v>
      </c>
      <c r="C719" s="68" t="n">
        <v>72266.8670867781</v>
      </c>
    </row>
    <row r="720" customFormat="false" ht="15" hidden="false" customHeight="false" outlineLevel="0" collapsed="false">
      <c r="A720" s="68" t="s">
        <v>2790</v>
      </c>
      <c r="B720" s="68" t="s">
        <v>2467</v>
      </c>
      <c r="C720" s="68" t="n">
        <v>119.251</v>
      </c>
    </row>
    <row r="721" customFormat="false" ht="15" hidden="false" customHeight="false" outlineLevel="0" collapsed="false">
      <c r="A721" s="68" t="s">
        <v>2790</v>
      </c>
      <c r="B721" s="68" t="s">
        <v>2471</v>
      </c>
      <c r="C721" s="68" t="n">
        <v>123.416</v>
      </c>
    </row>
    <row r="722" customFormat="false" ht="15" hidden="false" customHeight="false" outlineLevel="0" collapsed="false">
      <c r="A722" s="68" t="s">
        <v>2790</v>
      </c>
      <c r="B722" s="68" t="s">
        <v>2475</v>
      </c>
      <c r="C722" s="68" t="s">
        <v>312</v>
      </c>
    </row>
    <row r="723" customFormat="false" ht="15" hidden="false" customHeight="false" outlineLevel="0" collapsed="false">
      <c r="A723" s="68" t="s">
        <v>2790</v>
      </c>
      <c r="B723" s="68" t="s">
        <v>2480</v>
      </c>
      <c r="C723" s="68" t="n">
        <v>74790.8836687474</v>
      </c>
    </row>
    <row r="724" customFormat="false" ht="15" hidden="false" customHeight="false" outlineLevel="0" collapsed="false">
      <c r="A724" s="68" t="s">
        <v>2790</v>
      </c>
      <c r="B724" s="68" t="s">
        <v>2484</v>
      </c>
      <c r="C724" s="68" t="n">
        <v>3976.83598517333</v>
      </c>
    </row>
    <row r="725" customFormat="false" ht="15" hidden="false" customHeight="false" outlineLevel="0" collapsed="false">
      <c r="A725" s="68" t="s">
        <v>2794</v>
      </c>
      <c r="B725" s="68" t="s">
        <v>2284</v>
      </c>
      <c r="C725" s="68" t="n">
        <v>133</v>
      </c>
    </row>
    <row r="726" customFormat="false" ht="15" hidden="false" customHeight="false" outlineLevel="0" collapsed="false">
      <c r="A726" s="68" t="s">
        <v>2794</v>
      </c>
      <c r="B726" s="68" t="s">
        <v>2290</v>
      </c>
      <c r="C726" s="68" t="s">
        <v>123</v>
      </c>
    </row>
    <row r="727" customFormat="false" ht="15" hidden="false" customHeight="false" outlineLevel="0" collapsed="false">
      <c r="A727" s="68" t="s">
        <v>2794</v>
      </c>
      <c r="B727" s="68" t="s">
        <v>2365</v>
      </c>
      <c r="C727" s="68" t="n">
        <v>84985.835694051</v>
      </c>
    </row>
    <row r="728" customFormat="false" ht="15" hidden="false" customHeight="false" outlineLevel="0" collapsed="false">
      <c r="A728" s="68" t="s">
        <v>2794</v>
      </c>
      <c r="B728" s="68" t="s">
        <v>2370</v>
      </c>
      <c r="C728" s="68" t="n">
        <v>107142.857142857</v>
      </c>
    </row>
    <row r="729" customFormat="false" ht="15" hidden="false" customHeight="false" outlineLevel="0" collapsed="false">
      <c r="A729" s="68" t="s">
        <v>2794</v>
      </c>
      <c r="B729" s="68" t="s">
        <v>2375</v>
      </c>
      <c r="C729" s="68" t="n">
        <v>45000000000</v>
      </c>
    </row>
    <row r="730" customFormat="false" ht="15" hidden="false" customHeight="false" outlineLevel="0" collapsed="false">
      <c r="A730" s="68" t="s">
        <v>2794</v>
      </c>
      <c r="B730" s="68" t="s">
        <v>2388</v>
      </c>
      <c r="C730" s="68" t="n">
        <v>87954.079194447</v>
      </c>
    </row>
    <row r="731" customFormat="false" ht="15" hidden="false" customHeight="false" outlineLevel="0" collapsed="false">
      <c r="A731" s="68" t="s">
        <v>2794</v>
      </c>
      <c r="B731" s="68" t="s">
        <v>2393</v>
      </c>
      <c r="C731" s="68" t="n">
        <v>92860.4287611475</v>
      </c>
    </row>
    <row r="732" customFormat="false" ht="15" hidden="false" customHeight="false" outlineLevel="0" collapsed="false">
      <c r="A732" s="68" t="s">
        <v>2794</v>
      </c>
      <c r="B732" s="68" t="s">
        <v>2398</v>
      </c>
      <c r="C732" s="68" t="n">
        <v>61151656733.3648</v>
      </c>
    </row>
    <row r="733" customFormat="false" ht="15" hidden="false" customHeight="false" outlineLevel="0" collapsed="false">
      <c r="A733" s="68" t="s">
        <v>2794</v>
      </c>
      <c r="B733" s="68" t="s">
        <v>2432</v>
      </c>
      <c r="C733" s="68" t="s">
        <v>3200</v>
      </c>
    </row>
    <row r="734" customFormat="false" ht="15" hidden="false" customHeight="false" outlineLevel="0" collapsed="false">
      <c r="A734" s="68" t="s">
        <v>2794</v>
      </c>
      <c r="B734" s="68" t="s">
        <v>2437</v>
      </c>
      <c r="C734" s="68" t="n">
        <v>1</v>
      </c>
    </row>
    <row r="735" customFormat="false" ht="15" hidden="false" customHeight="false" outlineLevel="0" collapsed="false">
      <c r="A735" s="68" t="s">
        <v>2794</v>
      </c>
      <c r="B735" s="68" t="s">
        <v>2442</v>
      </c>
      <c r="C735" s="68" t="n">
        <v>1</v>
      </c>
    </row>
    <row r="736" customFormat="false" ht="15" hidden="false" customHeight="false" outlineLevel="0" collapsed="false">
      <c r="A736" s="68" t="s">
        <v>2794</v>
      </c>
      <c r="B736" s="68" t="s">
        <v>2447</v>
      </c>
      <c r="C736" s="68" t="n">
        <v>1.35</v>
      </c>
    </row>
    <row r="737" customFormat="false" ht="15" hidden="false" customHeight="false" outlineLevel="0" collapsed="false">
      <c r="A737" s="68" t="s">
        <v>2794</v>
      </c>
      <c r="B737" s="68" t="s">
        <v>2452</v>
      </c>
      <c r="C737" s="68" t="n">
        <v>0.98</v>
      </c>
    </row>
    <row r="738" customFormat="false" ht="15" hidden="false" customHeight="false" outlineLevel="0" collapsed="false">
      <c r="A738" s="68" t="s">
        <v>2794</v>
      </c>
      <c r="B738" s="68" t="s">
        <v>2457</v>
      </c>
      <c r="C738" s="68" t="n">
        <v>1.323</v>
      </c>
    </row>
    <row r="739" customFormat="false" ht="15" hidden="false" customHeight="false" outlineLevel="0" collapsed="false">
      <c r="A739" s="68" t="s">
        <v>2794</v>
      </c>
      <c r="B739" s="68" t="s">
        <v>2462</v>
      </c>
      <c r="C739" s="68" t="n">
        <v>64237.2151882472</v>
      </c>
    </row>
    <row r="740" customFormat="false" ht="15" hidden="false" customHeight="false" outlineLevel="0" collapsed="false">
      <c r="A740" s="68" t="s">
        <v>2794</v>
      </c>
      <c r="B740" s="68" t="s">
        <v>2467</v>
      </c>
      <c r="C740" s="68" t="n">
        <v>119.251</v>
      </c>
    </row>
    <row r="741" customFormat="false" ht="15" hidden="false" customHeight="false" outlineLevel="0" collapsed="false">
      <c r="A741" s="68" t="s">
        <v>2794</v>
      </c>
      <c r="B741" s="68" t="s">
        <v>2471</v>
      </c>
      <c r="C741" s="68" t="n">
        <v>123.416</v>
      </c>
    </row>
    <row r="742" customFormat="false" ht="15" hidden="false" customHeight="false" outlineLevel="0" collapsed="false">
      <c r="A742" s="68" t="s">
        <v>2794</v>
      </c>
      <c r="B742" s="68" t="s">
        <v>2475</v>
      </c>
      <c r="C742" s="68" t="s">
        <v>312</v>
      </c>
    </row>
    <row r="743" customFormat="false" ht="15" hidden="false" customHeight="false" outlineLevel="0" collapsed="false">
      <c r="A743" s="68" t="s">
        <v>2794</v>
      </c>
      <c r="B743" s="68" t="s">
        <v>2480</v>
      </c>
      <c r="C743" s="68" t="n">
        <v>66480.7854833311</v>
      </c>
    </row>
    <row r="744" customFormat="false" ht="15" hidden="false" customHeight="false" outlineLevel="0" collapsed="false">
      <c r="A744" s="68" t="s">
        <v>2794</v>
      </c>
      <c r="B744" s="68" t="s">
        <v>2484</v>
      </c>
      <c r="C744" s="68" t="n">
        <v>3534.96532015408</v>
      </c>
    </row>
    <row r="745" customFormat="false" ht="15" hidden="false" customHeight="false" outlineLevel="0" collapsed="false">
      <c r="A745" s="68" t="s">
        <v>2797</v>
      </c>
      <c r="B745" s="68" t="s">
        <v>2284</v>
      </c>
      <c r="C745" s="68" t="n">
        <v>2.5</v>
      </c>
    </row>
    <row r="746" customFormat="false" ht="15" hidden="false" customHeight="false" outlineLevel="0" collapsed="false">
      <c r="A746" s="68" t="s">
        <v>2797</v>
      </c>
      <c r="B746" s="68" t="s">
        <v>2290</v>
      </c>
      <c r="C746" s="68" t="s">
        <v>123</v>
      </c>
    </row>
    <row r="747" customFormat="false" ht="15" hidden="false" customHeight="false" outlineLevel="0" collapsed="false">
      <c r="A747" s="68" t="s">
        <v>2797</v>
      </c>
      <c r="B747" s="68" t="s">
        <v>2365</v>
      </c>
      <c r="C747" s="68" t="n">
        <v>3777.14825306893</v>
      </c>
    </row>
    <row r="748" customFormat="false" ht="15" hidden="false" customHeight="false" outlineLevel="0" collapsed="false">
      <c r="A748" s="68" t="s">
        <v>2797</v>
      </c>
      <c r="B748" s="68" t="s">
        <v>2370</v>
      </c>
      <c r="C748" s="68" t="n">
        <v>4761.90476190476</v>
      </c>
    </row>
    <row r="749" customFormat="false" ht="15" hidden="false" customHeight="false" outlineLevel="0" collapsed="false">
      <c r="A749" s="68" t="s">
        <v>2797</v>
      </c>
      <c r="B749" s="68" t="s">
        <v>2375</v>
      </c>
      <c r="C749" s="68" t="n">
        <v>2000000000</v>
      </c>
    </row>
    <row r="750" customFormat="false" ht="15" hidden="false" customHeight="false" outlineLevel="0" collapsed="false">
      <c r="A750" s="68" t="s">
        <v>2797</v>
      </c>
      <c r="B750" s="68" t="s">
        <v>2388</v>
      </c>
      <c r="C750" s="68" t="n">
        <v>3909.07018641987</v>
      </c>
    </row>
    <row r="751" customFormat="false" ht="15" hidden="false" customHeight="false" outlineLevel="0" collapsed="false">
      <c r="A751" s="68" t="s">
        <v>2797</v>
      </c>
      <c r="B751" s="68" t="s">
        <v>2393</v>
      </c>
      <c r="C751" s="68" t="n">
        <v>4127.13016716211</v>
      </c>
    </row>
    <row r="752" customFormat="false" ht="15" hidden="false" customHeight="false" outlineLevel="0" collapsed="false">
      <c r="A752" s="68" t="s">
        <v>2797</v>
      </c>
      <c r="B752" s="68" t="s">
        <v>2398</v>
      </c>
      <c r="C752" s="68" t="n">
        <v>2717851410.37177</v>
      </c>
    </row>
    <row r="753" customFormat="false" ht="15" hidden="false" customHeight="false" outlineLevel="0" collapsed="false">
      <c r="A753" s="68" t="s">
        <v>2797</v>
      </c>
      <c r="B753" s="68" t="s">
        <v>2432</v>
      </c>
      <c r="C753" s="68" t="s">
        <v>3200</v>
      </c>
    </row>
    <row r="754" customFormat="false" ht="15" hidden="false" customHeight="false" outlineLevel="0" collapsed="false">
      <c r="A754" s="68" t="s">
        <v>2797</v>
      </c>
      <c r="B754" s="68" t="s">
        <v>2437</v>
      </c>
      <c r="C754" s="68" t="n">
        <v>1</v>
      </c>
    </row>
    <row r="755" customFormat="false" ht="15" hidden="false" customHeight="false" outlineLevel="0" collapsed="false">
      <c r="A755" s="68" t="s">
        <v>2797</v>
      </c>
      <c r="B755" s="68" t="s">
        <v>2442</v>
      </c>
      <c r="C755" s="68" t="n">
        <v>1</v>
      </c>
    </row>
    <row r="756" customFormat="false" ht="15" hidden="false" customHeight="false" outlineLevel="0" collapsed="false">
      <c r="A756" s="68" t="s">
        <v>2797</v>
      </c>
      <c r="B756" s="68" t="s">
        <v>2447</v>
      </c>
      <c r="C756" s="68" t="n">
        <v>1</v>
      </c>
    </row>
    <row r="757" customFormat="false" ht="15" hidden="false" customHeight="false" outlineLevel="0" collapsed="false">
      <c r="A757" s="68" t="s">
        <v>2797</v>
      </c>
      <c r="B757" s="68" t="s">
        <v>2452</v>
      </c>
      <c r="C757" s="68" t="n">
        <v>0.98</v>
      </c>
    </row>
    <row r="758" customFormat="false" ht="15" hidden="false" customHeight="false" outlineLevel="0" collapsed="false">
      <c r="A758" s="68" t="s">
        <v>2797</v>
      </c>
      <c r="B758" s="68" t="s">
        <v>2457</v>
      </c>
      <c r="C758" s="68" t="n">
        <v>0.98</v>
      </c>
    </row>
    <row r="759" customFormat="false" ht="15" hidden="false" customHeight="false" outlineLevel="0" collapsed="false">
      <c r="A759" s="68" t="s">
        <v>2797</v>
      </c>
      <c r="B759" s="68" t="s">
        <v>2462</v>
      </c>
      <c r="C759" s="68" t="n">
        <v>3854.23291129483</v>
      </c>
    </row>
    <row r="760" customFormat="false" ht="15" hidden="false" customHeight="false" outlineLevel="0" collapsed="false">
      <c r="A760" s="68" t="s">
        <v>2797</v>
      </c>
      <c r="B760" s="68" t="s">
        <v>2467</v>
      </c>
      <c r="C760" s="68" t="n">
        <v>119.251</v>
      </c>
    </row>
    <row r="761" customFormat="false" ht="15" hidden="false" customHeight="false" outlineLevel="0" collapsed="false">
      <c r="A761" s="68" t="s">
        <v>2797</v>
      </c>
      <c r="B761" s="68" t="s">
        <v>2471</v>
      </c>
      <c r="C761" s="68" t="n">
        <v>123.416</v>
      </c>
    </row>
    <row r="762" customFormat="false" ht="15" hidden="false" customHeight="false" outlineLevel="0" collapsed="false">
      <c r="A762" s="68" t="s">
        <v>2797</v>
      </c>
      <c r="B762" s="68" t="s">
        <v>2475</v>
      </c>
      <c r="C762" s="68" t="s">
        <v>312</v>
      </c>
    </row>
    <row r="763" customFormat="false" ht="15" hidden="false" customHeight="false" outlineLevel="0" collapsed="false">
      <c r="A763" s="68" t="s">
        <v>2797</v>
      </c>
      <c r="B763" s="68" t="s">
        <v>2480</v>
      </c>
      <c r="C763" s="68" t="n">
        <v>3988.84712899986</v>
      </c>
    </row>
    <row r="764" customFormat="false" ht="15" hidden="false" customHeight="false" outlineLevel="0" collapsed="false">
      <c r="A764" s="68" t="s">
        <v>2797</v>
      </c>
      <c r="B764" s="68" t="s">
        <v>2484</v>
      </c>
      <c r="C764" s="68" t="n">
        <v>2301.88375107455</v>
      </c>
    </row>
    <row r="765" customFormat="false" ht="15" hidden="false" customHeight="false" outlineLevel="0" collapsed="false">
      <c r="A765" s="68" t="s">
        <v>2799</v>
      </c>
      <c r="B765" s="68" t="s">
        <v>2284</v>
      </c>
      <c r="C765" s="68" t="n">
        <v>2.5</v>
      </c>
    </row>
    <row r="766" customFormat="false" ht="15" hidden="false" customHeight="false" outlineLevel="0" collapsed="false">
      <c r="A766" s="68" t="s">
        <v>2799</v>
      </c>
      <c r="B766" s="68" t="s">
        <v>2290</v>
      </c>
      <c r="C766" s="68" t="s">
        <v>123</v>
      </c>
    </row>
    <row r="767" customFormat="false" ht="15" hidden="false" customHeight="false" outlineLevel="0" collapsed="false">
      <c r="A767" s="68" t="s">
        <v>2799</v>
      </c>
      <c r="B767" s="68" t="s">
        <v>2365</v>
      </c>
      <c r="C767" s="68" t="n">
        <v>17500</v>
      </c>
    </row>
    <row r="768" customFormat="false" ht="15" hidden="false" customHeight="false" outlineLevel="0" collapsed="false">
      <c r="A768" s="68" t="s">
        <v>2799</v>
      </c>
      <c r="B768" s="68" t="s">
        <v>2370</v>
      </c>
      <c r="C768" s="68" t="n">
        <v>22062.5</v>
      </c>
    </row>
    <row r="769" customFormat="false" ht="15" hidden="false" customHeight="false" outlineLevel="0" collapsed="false">
      <c r="A769" s="68" t="s">
        <v>2799</v>
      </c>
      <c r="B769" s="68" t="s">
        <v>2375</v>
      </c>
      <c r="C769" s="68" t="n">
        <v>9266250000</v>
      </c>
    </row>
    <row r="770" customFormat="false" ht="15" hidden="false" customHeight="false" outlineLevel="0" collapsed="false">
      <c r="A770" s="68" t="s">
        <v>2799</v>
      </c>
      <c r="B770" s="68" t="s">
        <v>2388</v>
      </c>
      <c r="C770" s="68" t="n">
        <v>18111.2108074565</v>
      </c>
    </row>
    <row r="771" customFormat="false" ht="15" hidden="false" customHeight="false" outlineLevel="0" collapsed="false">
      <c r="A771" s="68" t="s">
        <v>2799</v>
      </c>
      <c r="B771" s="68" t="s">
        <v>2393</v>
      </c>
      <c r="C771" s="68" t="n">
        <v>19121.509955733</v>
      </c>
    </row>
    <row r="772" customFormat="false" ht="15" hidden="false" customHeight="false" outlineLevel="0" collapsed="false">
      <c r="A772" s="68" t="s">
        <v>2799</v>
      </c>
      <c r="B772" s="68" t="s">
        <v>2398</v>
      </c>
      <c r="C772" s="68" t="n">
        <v>12592145315.6787</v>
      </c>
    </row>
    <row r="773" customFormat="false" ht="15" hidden="false" customHeight="false" outlineLevel="0" collapsed="false">
      <c r="A773" s="68" t="s">
        <v>2799</v>
      </c>
      <c r="B773" s="68" t="s">
        <v>2432</v>
      </c>
      <c r="C773" s="68" t="s">
        <v>3200</v>
      </c>
    </row>
    <row r="774" customFormat="false" ht="15" hidden="false" customHeight="false" outlineLevel="0" collapsed="false">
      <c r="A774" s="68" t="s">
        <v>2799</v>
      </c>
      <c r="B774" s="68" t="s">
        <v>2437</v>
      </c>
      <c r="C774" s="68" t="n">
        <v>1</v>
      </c>
    </row>
    <row r="775" customFormat="false" ht="15" hidden="false" customHeight="false" outlineLevel="0" collapsed="false">
      <c r="A775" s="68" t="s">
        <v>2799</v>
      </c>
      <c r="B775" s="68" t="s">
        <v>2442</v>
      </c>
      <c r="C775" s="68" t="n">
        <v>1</v>
      </c>
    </row>
    <row r="776" customFormat="false" ht="15" hidden="false" customHeight="false" outlineLevel="0" collapsed="false">
      <c r="A776" s="68" t="s">
        <v>2799</v>
      </c>
      <c r="B776" s="68" t="s">
        <v>2447</v>
      </c>
      <c r="C776" s="68" t="n">
        <v>1</v>
      </c>
    </row>
    <row r="777" customFormat="false" ht="15" hidden="false" customHeight="false" outlineLevel="0" collapsed="false">
      <c r="A777" s="68" t="s">
        <v>2799</v>
      </c>
      <c r="B777" s="68" t="s">
        <v>2452</v>
      </c>
      <c r="C777" s="68" t="n">
        <v>0.98</v>
      </c>
    </row>
    <row r="778" customFormat="false" ht="15" hidden="false" customHeight="false" outlineLevel="0" collapsed="false">
      <c r="A778" s="68" t="s">
        <v>2799</v>
      </c>
      <c r="B778" s="68" t="s">
        <v>2457</v>
      </c>
      <c r="C778" s="68" t="n">
        <v>0.98</v>
      </c>
    </row>
    <row r="779" customFormat="false" ht="15" hidden="false" customHeight="false" outlineLevel="0" collapsed="false">
      <c r="A779" s="68" t="s">
        <v>2799</v>
      </c>
      <c r="B779" s="68" t="s">
        <v>2462</v>
      </c>
      <c r="C779" s="68" t="n">
        <v>17857.1428571429</v>
      </c>
    </row>
    <row r="780" customFormat="false" ht="15" hidden="false" customHeight="false" outlineLevel="0" collapsed="false">
      <c r="A780" s="68" t="s">
        <v>2799</v>
      </c>
      <c r="B780" s="68" t="s">
        <v>2467</v>
      </c>
      <c r="C780" s="68" t="n">
        <v>119.251</v>
      </c>
    </row>
    <row r="781" customFormat="false" ht="15" hidden="false" customHeight="false" outlineLevel="0" collapsed="false">
      <c r="A781" s="68" t="s">
        <v>2799</v>
      </c>
      <c r="B781" s="68" t="s">
        <v>2471</v>
      </c>
      <c r="C781" s="68" t="n">
        <v>123.416</v>
      </c>
    </row>
    <row r="782" customFormat="false" ht="15" hidden="false" customHeight="false" outlineLevel="0" collapsed="false">
      <c r="A782" s="68" t="s">
        <v>2799</v>
      </c>
      <c r="B782" s="68" t="s">
        <v>2475</v>
      </c>
      <c r="C782" s="68" t="s">
        <v>312</v>
      </c>
    </row>
    <row r="783" customFormat="false" ht="15" hidden="false" customHeight="false" outlineLevel="0" collapsed="false">
      <c r="A783" s="68" t="s">
        <v>2799</v>
      </c>
      <c r="B783" s="68" t="s">
        <v>2480</v>
      </c>
      <c r="C783" s="68" t="n">
        <v>18480.8273545475</v>
      </c>
    </row>
    <row r="784" customFormat="false" ht="15" hidden="false" customHeight="false" outlineLevel="0" collapsed="false">
      <c r="A784" s="68" t="s">
        <v>2799</v>
      </c>
      <c r="B784" s="68" t="s">
        <v>2484</v>
      </c>
      <c r="C784" s="68" t="n">
        <v>10664.9151541973</v>
      </c>
    </row>
    <row r="785" customFormat="false" ht="15" hidden="false" customHeight="false" outlineLevel="0" collapsed="false">
      <c r="A785" s="68" t="s">
        <v>2803</v>
      </c>
      <c r="B785" s="68" t="s">
        <v>2284</v>
      </c>
      <c r="C785" s="68" t="n">
        <v>2.5</v>
      </c>
    </row>
    <row r="786" customFormat="false" ht="15" hidden="false" customHeight="false" outlineLevel="0" collapsed="false">
      <c r="A786" s="68" t="s">
        <v>2803</v>
      </c>
      <c r="B786" s="68" t="s">
        <v>2290</v>
      </c>
      <c r="C786" s="68" t="s">
        <v>123</v>
      </c>
    </row>
    <row r="787" customFormat="false" ht="15" hidden="false" customHeight="false" outlineLevel="0" collapsed="false">
      <c r="A787" s="68" t="s">
        <v>2803</v>
      </c>
      <c r="B787" s="68" t="s">
        <v>2365</v>
      </c>
      <c r="C787" s="68" t="n">
        <v>19500</v>
      </c>
    </row>
    <row r="788" customFormat="false" ht="15" hidden="false" customHeight="false" outlineLevel="0" collapsed="false">
      <c r="A788" s="68" t="s">
        <v>2803</v>
      </c>
      <c r="B788" s="68" t="s">
        <v>2370</v>
      </c>
      <c r="C788" s="68" t="n">
        <v>24583.9285714286</v>
      </c>
    </row>
    <row r="789" customFormat="false" ht="15" hidden="false" customHeight="false" outlineLevel="0" collapsed="false">
      <c r="A789" s="68" t="s">
        <v>2803</v>
      </c>
      <c r="B789" s="68" t="s">
        <v>2375</v>
      </c>
      <c r="C789" s="68" t="n">
        <v>10325250000</v>
      </c>
    </row>
    <row r="790" customFormat="false" ht="15" hidden="false" customHeight="false" outlineLevel="0" collapsed="false">
      <c r="A790" s="68" t="s">
        <v>2803</v>
      </c>
      <c r="B790" s="68" t="s">
        <v>2388</v>
      </c>
      <c r="C790" s="68" t="n">
        <v>20181.0634711659</v>
      </c>
    </row>
    <row r="791" customFormat="false" ht="15" hidden="false" customHeight="false" outlineLevel="0" collapsed="false">
      <c r="A791" s="68" t="s">
        <v>2803</v>
      </c>
      <c r="B791" s="68" t="s">
        <v>2393</v>
      </c>
      <c r="C791" s="68" t="n">
        <v>21306.8253792453</v>
      </c>
    </row>
    <row r="792" customFormat="false" ht="15" hidden="false" customHeight="false" outlineLevel="0" collapsed="false">
      <c r="A792" s="68" t="s">
        <v>2803</v>
      </c>
      <c r="B792" s="68" t="s">
        <v>2398</v>
      </c>
      <c r="C792" s="68" t="n">
        <v>14031247637.4705</v>
      </c>
    </row>
    <row r="793" customFormat="false" ht="15" hidden="false" customHeight="false" outlineLevel="0" collapsed="false">
      <c r="A793" s="68" t="s">
        <v>2803</v>
      </c>
      <c r="B793" s="68" t="s">
        <v>2432</v>
      </c>
      <c r="C793" s="68" t="s">
        <v>3200</v>
      </c>
    </row>
    <row r="794" customFormat="false" ht="15" hidden="false" customHeight="false" outlineLevel="0" collapsed="false">
      <c r="A794" s="68" t="s">
        <v>2803</v>
      </c>
      <c r="B794" s="68" t="s">
        <v>2437</v>
      </c>
      <c r="C794" s="68" t="n">
        <v>1</v>
      </c>
    </row>
    <row r="795" customFormat="false" ht="15" hidden="false" customHeight="false" outlineLevel="0" collapsed="false">
      <c r="A795" s="68" t="s">
        <v>2803</v>
      </c>
      <c r="B795" s="68" t="s">
        <v>2442</v>
      </c>
      <c r="C795" s="68" t="n">
        <v>1</v>
      </c>
    </row>
    <row r="796" customFormat="false" ht="15" hidden="false" customHeight="false" outlineLevel="0" collapsed="false">
      <c r="A796" s="68" t="s">
        <v>2803</v>
      </c>
      <c r="B796" s="68" t="s">
        <v>2447</v>
      </c>
      <c r="C796" s="68" t="n">
        <v>1</v>
      </c>
    </row>
    <row r="797" customFormat="false" ht="15" hidden="false" customHeight="false" outlineLevel="0" collapsed="false">
      <c r="A797" s="68" t="s">
        <v>2803</v>
      </c>
      <c r="B797" s="68" t="s">
        <v>2452</v>
      </c>
      <c r="C797" s="68" t="n">
        <v>0.98</v>
      </c>
    </row>
    <row r="798" customFormat="false" ht="15" hidden="false" customHeight="false" outlineLevel="0" collapsed="false">
      <c r="A798" s="68" t="s">
        <v>2803</v>
      </c>
      <c r="B798" s="68" t="s">
        <v>2457</v>
      </c>
      <c r="C798" s="68" t="n">
        <v>0.98</v>
      </c>
    </row>
    <row r="799" customFormat="false" ht="15" hidden="false" customHeight="false" outlineLevel="0" collapsed="false">
      <c r="A799" s="68" t="s">
        <v>2803</v>
      </c>
      <c r="B799" s="68" t="s">
        <v>2462</v>
      </c>
      <c r="C799" s="68" t="n">
        <v>19897.9591836735</v>
      </c>
    </row>
    <row r="800" customFormat="false" ht="15" hidden="false" customHeight="false" outlineLevel="0" collapsed="false">
      <c r="A800" s="68" t="s">
        <v>2803</v>
      </c>
      <c r="B800" s="68" t="s">
        <v>2467</v>
      </c>
      <c r="C800" s="68" t="n">
        <v>119.251</v>
      </c>
    </row>
    <row r="801" customFormat="false" ht="15" hidden="false" customHeight="false" outlineLevel="0" collapsed="false">
      <c r="A801" s="68" t="s">
        <v>2803</v>
      </c>
      <c r="B801" s="68" t="s">
        <v>2471</v>
      </c>
      <c r="C801" s="68" t="n">
        <v>123.416</v>
      </c>
    </row>
    <row r="802" customFormat="false" ht="15" hidden="false" customHeight="false" outlineLevel="0" collapsed="false">
      <c r="A802" s="68" t="s">
        <v>2803</v>
      </c>
      <c r="B802" s="68" t="s">
        <v>2475</v>
      </c>
      <c r="C802" s="68" t="s">
        <v>312</v>
      </c>
    </row>
    <row r="803" customFormat="false" ht="15" hidden="false" customHeight="false" outlineLevel="0" collapsed="false">
      <c r="A803" s="68" t="s">
        <v>2803</v>
      </c>
      <c r="B803" s="68" t="s">
        <v>2480</v>
      </c>
      <c r="C803" s="68" t="n">
        <v>20592.9219093529</v>
      </c>
    </row>
    <row r="804" customFormat="false" ht="15" hidden="false" customHeight="false" outlineLevel="0" collapsed="false">
      <c r="A804" s="68" t="s">
        <v>2803</v>
      </c>
      <c r="B804" s="68" t="s">
        <v>2484</v>
      </c>
      <c r="C804" s="68" t="n">
        <v>11883.7626003912</v>
      </c>
    </row>
    <row r="805" customFormat="false" ht="15" hidden="false" customHeight="false" outlineLevel="0" collapsed="false">
      <c r="A805" s="68" t="s">
        <v>2807</v>
      </c>
      <c r="B805" s="68" t="s">
        <v>2284</v>
      </c>
      <c r="C805" s="68" t="n">
        <v>50.158038147139</v>
      </c>
    </row>
    <row r="806" customFormat="false" ht="15" hidden="false" customHeight="false" outlineLevel="0" collapsed="false">
      <c r="A806" s="68" t="s">
        <v>2807</v>
      </c>
      <c r="B806" s="68" t="s">
        <v>2290</v>
      </c>
      <c r="C806" s="68" t="s">
        <v>1585</v>
      </c>
    </row>
    <row r="807" customFormat="false" ht="15" hidden="false" customHeight="false" outlineLevel="0" collapsed="false">
      <c r="A807" s="68" t="s">
        <v>2807</v>
      </c>
      <c r="B807" s="68" t="s">
        <v>2365</v>
      </c>
      <c r="C807" s="68" t="n">
        <v>55000</v>
      </c>
    </row>
    <row r="808" customFormat="false" ht="15" hidden="false" customHeight="false" outlineLevel="0" collapsed="false">
      <c r="A808" s="68" t="s">
        <v>2807</v>
      </c>
      <c r="B808" s="68" t="s">
        <v>2370</v>
      </c>
      <c r="C808" s="68" t="n">
        <v>71909.4838709677</v>
      </c>
    </row>
    <row r="809" customFormat="false" ht="15" hidden="false" customHeight="false" outlineLevel="0" collapsed="false">
      <c r="A809" s="68" t="s">
        <v>2807</v>
      </c>
      <c r="B809" s="68" t="s">
        <v>2375</v>
      </c>
      <c r="C809" s="68" t="n">
        <v>2229194000</v>
      </c>
    </row>
    <row r="810" customFormat="false" ht="15" hidden="false" customHeight="false" outlineLevel="0" collapsed="false">
      <c r="A810" s="68" t="s">
        <v>2807</v>
      </c>
      <c r="B810" s="68" t="s">
        <v>2388</v>
      </c>
      <c r="C810" s="68" t="n">
        <v>74308.7348243511</v>
      </c>
    </row>
    <row r="811" customFormat="false" ht="15" hidden="false" customHeight="false" outlineLevel="0" collapsed="false">
      <c r="A811" s="68" t="s">
        <v>2807</v>
      </c>
      <c r="B811" s="68" t="s">
        <v>2393</v>
      </c>
      <c r="C811" s="68" t="n">
        <v>78453.9050341546</v>
      </c>
    </row>
    <row r="812" customFormat="false" ht="15" hidden="false" customHeight="false" outlineLevel="0" collapsed="false">
      <c r="A812" s="68" t="s">
        <v>2807</v>
      </c>
      <c r="B812" s="68" t="s">
        <v>2398</v>
      </c>
      <c r="C812" s="68" t="n">
        <v>51664485443.857</v>
      </c>
    </row>
    <row r="813" customFormat="false" ht="15" hidden="false" customHeight="false" outlineLevel="0" collapsed="false">
      <c r="A813" s="68" t="s">
        <v>2807</v>
      </c>
      <c r="B813" s="68" t="s">
        <v>2432</v>
      </c>
      <c r="C813" s="68" t="s">
        <v>3201</v>
      </c>
    </row>
    <row r="814" customFormat="false" ht="15" hidden="false" customHeight="false" outlineLevel="0" collapsed="false">
      <c r="A814" s="68" t="s">
        <v>2807</v>
      </c>
      <c r="B814" s="68" t="s">
        <v>2437</v>
      </c>
      <c r="C814" s="68" t="n">
        <v>1.7</v>
      </c>
    </row>
    <row r="815" customFormat="false" ht="15" hidden="false" customHeight="false" outlineLevel="0" collapsed="false">
      <c r="A815" s="68" t="s">
        <v>2807</v>
      </c>
      <c r="B815" s="68" t="s">
        <v>2442</v>
      </c>
      <c r="C815" s="68" t="n">
        <v>1</v>
      </c>
    </row>
    <row r="816" customFormat="false" ht="15" hidden="false" customHeight="false" outlineLevel="0" collapsed="false">
      <c r="A816" s="68" t="s">
        <v>2807</v>
      </c>
      <c r="B816" s="68" t="s">
        <v>2447</v>
      </c>
      <c r="C816" s="68" t="n">
        <v>1</v>
      </c>
    </row>
    <row r="817" customFormat="false" ht="15" hidden="false" customHeight="false" outlineLevel="0" collapsed="false">
      <c r="A817" s="68" t="s">
        <v>2807</v>
      </c>
      <c r="B817" s="68" t="s">
        <v>2452</v>
      </c>
      <c r="C817" s="68" t="n">
        <v>1</v>
      </c>
    </row>
    <row r="818" customFormat="false" ht="15" hidden="false" customHeight="false" outlineLevel="0" collapsed="false">
      <c r="A818" s="68" t="s">
        <v>2807</v>
      </c>
      <c r="B818" s="68" t="s">
        <v>2457</v>
      </c>
      <c r="C818" s="68" t="n">
        <v>1.7</v>
      </c>
    </row>
    <row r="819" customFormat="false" ht="15" hidden="false" customHeight="false" outlineLevel="0" collapsed="false">
      <c r="A819" s="68" t="s">
        <v>2807</v>
      </c>
      <c r="B819" s="68" t="s">
        <v>2462</v>
      </c>
      <c r="C819" s="68" t="n">
        <v>32352.9411764706</v>
      </c>
    </row>
    <row r="820" customFormat="false" ht="15" hidden="false" customHeight="false" outlineLevel="0" collapsed="false">
      <c r="A820" s="68" t="s">
        <v>2807</v>
      </c>
      <c r="B820" s="68" t="s">
        <v>2467</v>
      </c>
      <c r="C820" s="68" t="n">
        <v>91.347</v>
      </c>
    </row>
    <row r="821" customFormat="false" ht="15" hidden="false" customHeight="false" outlineLevel="0" collapsed="false">
      <c r="A821" s="68" t="s">
        <v>2807</v>
      </c>
      <c r="B821" s="68" t="s">
        <v>2471</v>
      </c>
      <c r="C821" s="68" t="n">
        <v>123.416</v>
      </c>
    </row>
    <row r="822" customFormat="false" ht="15" hidden="false" customHeight="false" outlineLevel="0" collapsed="false">
      <c r="A822" s="68" t="s">
        <v>2807</v>
      </c>
      <c r="B822" s="68" t="s">
        <v>2475</v>
      </c>
      <c r="C822" s="68" t="s">
        <v>369</v>
      </c>
    </row>
    <row r="823" customFormat="false" ht="15" hidden="false" customHeight="false" outlineLevel="0" collapsed="false">
      <c r="A823" s="68" t="s">
        <v>2807</v>
      </c>
      <c r="B823" s="68" t="s">
        <v>2480</v>
      </c>
      <c r="C823" s="68" t="n">
        <v>43711.0204849124</v>
      </c>
    </row>
    <row r="824" customFormat="false" ht="15" hidden="false" customHeight="false" outlineLevel="0" collapsed="false">
      <c r="A824" s="68" t="s">
        <v>2807</v>
      </c>
      <c r="B824" s="68" t="s">
        <v>2484</v>
      </c>
      <c r="C824" s="68" t="n">
        <v>4172.4065727937</v>
      </c>
    </row>
    <row r="825" customFormat="false" ht="15" hidden="false" customHeight="false" outlineLevel="0" collapsed="false">
      <c r="A825" s="68" t="s">
        <v>2816</v>
      </c>
      <c r="B825" s="68" t="s">
        <v>2284</v>
      </c>
      <c r="C825" s="68" t="n">
        <v>196.866485013624</v>
      </c>
    </row>
    <row r="826" customFormat="false" ht="15" hidden="false" customHeight="false" outlineLevel="0" collapsed="false">
      <c r="A826" s="68" t="s">
        <v>2816</v>
      </c>
      <c r="B826" s="68" t="s">
        <v>2290</v>
      </c>
      <c r="C826" s="68" t="s">
        <v>1585</v>
      </c>
    </row>
    <row r="827" customFormat="false" ht="15" hidden="false" customHeight="false" outlineLevel="0" collapsed="false">
      <c r="A827" s="68" t="s">
        <v>2816</v>
      </c>
      <c r="B827" s="68" t="s">
        <v>2365</v>
      </c>
      <c r="C827" s="68" t="n">
        <v>60000</v>
      </c>
    </row>
    <row r="828" customFormat="false" ht="15" hidden="false" customHeight="false" outlineLevel="0" collapsed="false">
      <c r="A828" s="68" t="s">
        <v>2816</v>
      </c>
      <c r="B828" s="68" t="s">
        <v>2370</v>
      </c>
      <c r="C828" s="68" t="n">
        <v>78446.7096774194</v>
      </c>
    </row>
    <row r="829" customFormat="false" ht="15" hidden="false" customHeight="false" outlineLevel="0" collapsed="false">
      <c r="A829" s="68" t="s">
        <v>2816</v>
      </c>
      <c r="B829" s="68" t="s">
        <v>2375</v>
      </c>
      <c r="C829" s="68" t="n">
        <v>2431848000</v>
      </c>
    </row>
    <row r="830" customFormat="false" ht="15" hidden="false" customHeight="false" outlineLevel="0" collapsed="false">
      <c r="A830" s="68" t="s">
        <v>2816</v>
      </c>
      <c r="B830" s="68" t="s">
        <v>2388</v>
      </c>
      <c r="C830" s="68" t="n">
        <v>81064.0743538376</v>
      </c>
    </row>
    <row r="831" customFormat="false" ht="15" hidden="false" customHeight="false" outlineLevel="0" collapsed="false">
      <c r="A831" s="68" t="s">
        <v>2816</v>
      </c>
      <c r="B831" s="68" t="s">
        <v>2393</v>
      </c>
      <c r="C831" s="68" t="n">
        <v>85586.0782190778</v>
      </c>
    </row>
    <row r="832" customFormat="false" ht="15" hidden="false" customHeight="false" outlineLevel="0" collapsed="false">
      <c r="A832" s="68" t="s">
        <v>2816</v>
      </c>
      <c r="B832" s="68" t="s">
        <v>2398</v>
      </c>
      <c r="C832" s="68" t="n">
        <v>56361256847.8439</v>
      </c>
    </row>
    <row r="833" customFormat="false" ht="15" hidden="false" customHeight="false" outlineLevel="0" collapsed="false">
      <c r="A833" s="68" t="s">
        <v>2816</v>
      </c>
      <c r="B833" s="68" t="s">
        <v>2432</v>
      </c>
      <c r="C833" s="68" t="s">
        <v>3201</v>
      </c>
    </row>
    <row r="834" customFormat="false" ht="15" hidden="false" customHeight="false" outlineLevel="0" collapsed="false">
      <c r="A834" s="68" t="s">
        <v>2816</v>
      </c>
      <c r="B834" s="68" t="s">
        <v>2437</v>
      </c>
      <c r="C834" s="68" t="n">
        <v>1.7</v>
      </c>
    </row>
    <row r="835" customFormat="false" ht="15" hidden="false" customHeight="false" outlineLevel="0" collapsed="false">
      <c r="A835" s="68" t="s">
        <v>2816</v>
      </c>
      <c r="B835" s="68" t="s">
        <v>2442</v>
      </c>
      <c r="C835" s="68" t="n">
        <v>1</v>
      </c>
    </row>
    <row r="836" customFormat="false" ht="15" hidden="false" customHeight="false" outlineLevel="0" collapsed="false">
      <c r="A836" s="68" t="s">
        <v>2816</v>
      </c>
      <c r="B836" s="68" t="s">
        <v>2447</v>
      </c>
      <c r="C836" s="68" t="n">
        <v>1</v>
      </c>
    </row>
    <row r="837" customFormat="false" ht="15" hidden="false" customHeight="false" outlineLevel="0" collapsed="false">
      <c r="A837" s="68" t="s">
        <v>2816</v>
      </c>
      <c r="B837" s="68" t="s">
        <v>2452</v>
      </c>
      <c r="C837" s="68" t="n">
        <v>1</v>
      </c>
    </row>
    <row r="838" customFormat="false" ht="15" hidden="false" customHeight="false" outlineLevel="0" collapsed="false">
      <c r="A838" s="68" t="s">
        <v>2816</v>
      </c>
      <c r="B838" s="68" t="s">
        <v>2457</v>
      </c>
      <c r="C838" s="68" t="n">
        <v>1.7</v>
      </c>
    </row>
    <row r="839" customFormat="false" ht="15" hidden="false" customHeight="false" outlineLevel="0" collapsed="false">
      <c r="A839" s="68" t="s">
        <v>2816</v>
      </c>
      <c r="B839" s="68" t="s">
        <v>2462</v>
      </c>
      <c r="C839" s="68" t="n">
        <v>35294.1176470588</v>
      </c>
    </row>
    <row r="840" customFormat="false" ht="15" hidden="false" customHeight="false" outlineLevel="0" collapsed="false">
      <c r="A840" s="68" t="s">
        <v>2816</v>
      </c>
      <c r="B840" s="68" t="s">
        <v>2467</v>
      </c>
      <c r="C840" s="68" t="n">
        <v>91.347</v>
      </c>
    </row>
    <row r="841" customFormat="false" ht="15" hidden="false" customHeight="false" outlineLevel="0" collapsed="false">
      <c r="A841" s="68" t="s">
        <v>2816</v>
      </c>
      <c r="B841" s="68" t="s">
        <v>2471</v>
      </c>
      <c r="C841" s="68" t="n">
        <v>123.416</v>
      </c>
    </row>
    <row r="842" customFormat="false" ht="15" hidden="false" customHeight="false" outlineLevel="0" collapsed="false">
      <c r="A842" s="68" t="s">
        <v>2816</v>
      </c>
      <c r="B842" s="68" t="s">
        <v>2475</v>
      </c>
      <c r="C842" s="68" t="s">
        <v>369</v>
      </c>
    </row>
    <row r="843" customFormat="false" ht="15" hidden="false" customHeight="false" outlineLevel="0" collapsed="false">
      <c r="A843" s="68" t="s">
        <v>2816</v>
      </c>
      <c r="B843" s="68" t="s">
        <v>2480</v>
      </c>
      <c r="C843" s="68" t="n">
        <v>47684.7496199045</v>
      </c>
    </row>
    <row r="844" customFormat="false" ht="15" hidden="false" customHeight="false" outlineLevel="0" collapsed="false">
      <c r="A844" s="68" t="s">
        <v>2816</v>
      </c>
      <c r="B844" s="68" t="s">
        <v>2484</v>
      </c>
      <c r="C844" s="68" t="n">
        <v>2003.90179504892</v>
      </c>
    </row>
    <row r="845" customFormat="false" ht="15" hidden="false" customHeight="false" outlineLevel="0" collapsed="false">
      <c r="A845" s="68" t="s">
        <v>2819</v>
      </c>
      <c r="B845" s="68" t="s">
        <v>2284</v>
      </c>
      <c r="C845" s="68"/>
    </row>
    <row r="846" customFormat="false" ht="15" hidden="false" customHeight="false" outlineLevel="0" collapsed="false">
      <c r="A846" s="68" t="s">
        <v>2819</v>
      </c>
      <c r="B846" s="68" t="s">
        <v>2290</v>
      </c>
      <c r="C846" s="68" t="s">
        <v>1605</v>
      </c>
    </row>
    <row r="847" customFormat="false" ht="15" hidden="false" customHeight="false" outlineLevel="0" collapsed="false">
      <c r="A847" s="68" t="s">
        <v>2819</v>
      </c>
      <c r="B847" s="68" t="s">
        <v>2365</v>
      </c>
      <c r="C847" s="68" t="n">
        <v>10000</v>
      </c>
    </row>
    <row r="848" customFormat="false" ht="15" hidden="false" customHeight="false" outlineLevel="0" collapsed="false">
      <c r="A848" s="68" t="s">
        <v>2819</v>
      </c>
      <c r="B848" s="68" t="s">
        <v>2370</v>
      </c>
      <c r="C848" s="68" t="n">
        <v>13074.4516129032</v>
      </c>
    </row>
    <row r="849" customFormat="false" ht="15" hidden="false" customHeight="false" outlineLevel="0" collapsed="false">
      <c r="A849" s="68" t="s">
        <v>2819</v>
      </c>
      <c r="B849" s="68" t="s">
        <v>2375</v>
      </c>
      <c r="C849" s="68" t="n">
        <v>405308000</v>
      </c>
    </row>
    <row r="850" customFormat="false" ht="15" hidden="false" customHeight="false" outlineLevel="0" collapsed="false">
      <c r="A850" s="68" t="s">
        <v>2819</v>
      </c>
      <c r="B850" s="68" t="s">
        <v>2388</v>
      </c>
      <c r="C850" s="68" t="n">
        <v>13510.6790589729</v>
      </c>
    </row>
    <row r="851" customFormat="false" ht="15" hidden="false" customHeight="false" outlineLevel="0" collapsed="false">
      <c r="A851" s="68" t="s">
        <v>2819</v>
      </c>
      <c r="B851" s="68" t="s">
        <v>2393</v>
      </c>
      <c r="C851" s="68" t="n">
        <v>14264.3463698463</v>
      </c>
    </row>
    <row r="852" customFormat="false" ht="15" hidden="false" customHeight="false" outlineLevel="0" collapsed="false">
      <c r="A852" s="68" t="s">
        <v>2819</v>
      </c>
      <c r="B852" s="68" t="s">
        <v>2398</v>
      </c>
      <c r="C852" s="68" t="n">
        <v>9393542807.97399</v>
      </c>
    </row>
    <row r="853" customFormat="false" ht="15" hidden="false" customHeight="false" outlineLevel="0" collapsed="false">
      <c r="A853" s="68" t="s">
        <v>2819</v>
      </c>
      <c r="B853" s="68" t="s">
        <v>2432</v>
      </c>
      <c r="C853" s="68" t="s">
        <v>3202</v>
      </c>
    </row>
    <row r="854" customFormat="false" ht="15" hidden="false" customHeight="false" outlineLevel="0" collapsed="false">
      <c r="A854" s="68" t="s">
        <v>2819</v>
      </c>
      <c r="B854" s="68" t="s">
        <v>2437</v>
      </c>
      <c r="C854" s="68" t="n">
        <v>1.7</v>
      </c>
    </row>
    <row r="855" customFormat="false" ht="15" hidden="false" customHeight="false" outlineLevel="0" collapsed="false">
      <c r="A855" s="68" t="s">
        <v>2819</v>
      </c>
      <c r="B855" s="68" t="s">
        <v>2442</v>
      </c>
      <c r="C855" s="68" t="n">
        <v>1</v>
      </c>
    </row>
    <row r="856" customFormat="false" ht="15" hidden="false" customHeight="false" outlineLevel="0" collapsed="false">
      <c r="A856" s="68" t="s">
        <v>2819</v>
      </c>
      <c r="B856" s="68" t="s">
        <v>2447</v>
      </c>
      <c r="C856" s="68" t="n">
        <v>1</v>
      </c>
    </row>
    <row r="857" customFormat="false" ht="15" hidden="false" customHeight="false" outlineLevel="0" collapsed="false">
      <c r="A857" s="68" t="s">
        <v>2819</v>
      </c>
      <c r="B857" s="68" t="s">
        <v>2452</v>
      </c>
      <c r="C857" s="68" t="n">
        <v>1</v>
      </c>
    </row>
    <row r="858" customFormat="false" ht="15" hidden="false" customHeight="false" outlineLevel="0" collapsed="false">
      <c r="A858" s="68" t="s">
        <v>2819</v>
      </c>
      <c r="B858" s="68" t="s">
        <v>2457</v>
      </c>
      <c r="C858" s="68" t="n">
        <v>1.7</v>
      </c>
    </row>
    <row r="859" customFormat="false" ht="15" hidden="false" customHeight="false" outlineLevel="0" collapsed="false">
      <c r="A859" s="68" t="s">
        <v>2819</v>
      </c>
      <c r="B859" s="68" t="s">
        <v>2462</v>
      </c>
      <c r="C859" s="68" t="n">
        <v>5882.35294117647</v>
      </c>
    </row>
    <row r="860" customFormat="false" ht="15" hidden="false" customHeight="false" outlineLevel="0" collapsed="false">
      <c r="A860" s="68" t="s">
        <v>2819</v>
      </c>
      <c r="B860" s="68" t="s">
        <v>2467</v>
      </c>
      <c r="C860" s="68" t="n">
        <v>91.347</v>
      </c>
    </row>
    <row r="861" customFormat="false" ht="15" hidden="false" customHeight="false" outlineLevel="0" collapsed="false">
      <c r="A861" s="68" t="s">
        <v>2819</v>
      </c>
      <c r="B861" s="68" t="s">
        <v>2471</v>
      </c>
      <c r="C861" s="68" t="n">
        <v>123.416</v>
      </c>
    </row>
    <row r="862" customFormat="false" ht="15" hidden="false" customHeight="false" outlineLevel="0" collapsed="false">
      <c r="A862" s="68" t="s">
        <v>2819</v>
      </c>
      <c r="B862" s="68" t="s">
        <v>2475</v>
      </c>
      <c r="C862" s="68" t="s">
        <v>312</v>
      </c>
    </row>
    <row r="863" customFormat="false" ht="15" hidden="false" customHeight="false" outlineLevel="0" collapsed="false">
      <c r="A863" s="68" t="s">
        <v>2819</v>
      </c>
      <c r="B863" s="68" t="s">
        <v>2480</v>
      </c>
      <c r="C863" s="68" t="n">
        <v>7947.45826998408</v>
      </c>
    </row>
    <row r="864" customFormat="false" ht="15" hidden="false" customHeight="false" outlineLevel="0" collapsed="false">
      <c r="A864" s="68" t="s">
        <v>2819</v>
      </c>
      <c r="B864" s="68" t="s">
        <v>2484</v>
      </c>
      <c r="C864" s="68"/>
    </row>
    <row r="865" customFormat="false" ht="15" hidden="false" customHeight="false" outlineLevel="0" collapsed="false">
      <c r="A865" s="68" t="s">
        <v>2822</v>
      </c>
      <c r="B865" s="68" t="s">
        <v>2284</v>
      </c>
      <c r="C865" s="68" t="n">
        <v>2.63215258855586</v>
      </c>
    </row>
    <row r="866" customFormat="false" ht="15" hidden="false" customHeight="false" outlineLevel="0" collapsed="false">
      <c r="A866" s="68" t="s">
        <v>2822</v>
      </c>
      <c r="B866" s="68" t="s">
        <v>2290</v>
      </c>
      <c r="C866" s="68" t="s">
        <v>1585</v>
      </c>
    </row>
    <row r="867" customFormat="false" ht="15" hidden="false" customHeight="false" outlineLevel="0" collapsed="false">
      <c r="A867" s="68" t="s">
        <v>2822</v>
      </c>
      <c r="B867" s="68" t="s">
        <v>2365</v>
      </c>
      <c r="C867" s="68" t="n">
        <v>30000</v>
      </c>
    </row>
    <row r="868" customFormat="false" ht="15" hidden="false" customHeight="false" outlineLevel="0" collapsed="false">
      <c r="A868" s="68" t="s">
        <v>2822</v>
      </c>
      <c r="B868" s="68" t="s">
        <v>2370</v>
      </c>
      <c r="C868" s="68" t="n">
        <v>39223.3548387097</v>
      </c>
    </row>
    <row r="869" customFormat="false" ht="15" hidden="false" customHeight="false" outlineLevel="0" collapsed="false">
      <c r="A869" s="68" t="s">
        <v>2822</v>
      </c>
      <c r="B869" s="68" t="s">
        <v>2375</v>
      </c>
      <c r="C869" s="68" t="n">
        <v>1215924000</v>
      </c>
    </row>
    <row r="870" customFormat="false" ht="15" hidden="false" customHeight="false" outlineLevel="0" collapsed="false">
      <c r="A870" s="68" t="s">
        <v>2822</v>
      </c>
      <c r="B870" s="68" t="s">
        <v>2388</v>
      </c>
      <c r="C870" s="68" t="n">
        <v>40532.0371769188</v>
      </c>
    </row>
    <row r="871" customFormat="false" ht="15" hidden="false" customHeight="false" outlineLevel="0" collapsed="false">
      <c r="A871" s="68" t="s">
        <v>2822</v>
      </c>
      <c r="B871" s="68" t="s">
        <v>2393</v>
      </c>
      <c r="C871" s="68" t="n">
        <v>42793.0391095389</v>
      </c>
    </row>
    <row r="872" customFormat="false" ht="15" hidden="false" customHeight="false" outlineLevel="0" collapsed="false">
      <c r="A872" s="68" t="s">
        <v>2822</v>
      </c>
      <c r="B872" s="68" t="s">
        <v>2398</v>
      </c>
      <c r="C872" s="68" t="n">
        <v>28180628423.922</v>
      </c>
    </row>
    <row r="873" customFormat="false" ht="15" hidden="false" customHeight="false" outlineLevel="0" collapsed="false">
      <c r="A873" s="68" t="s">
        <v>2822</v>
      </c>
      <c r="B873" s="68" t="s">
        <v>2432</v>
      </c>
      <c r="C873" s="68" t="s">
        <v>3201</v>
      </c>
    </row>
    <row r="874" customFormat="false" ht="15" hidden="false" customHeight="false" outlineLevel="0" collapsed="false">
      <c r="A874" s="68" t="s">
        <v>2822</v>
      </c>
      <c r="B874" s="68" t="s">
        <v>2437</v>
      </c>
      <c r="C874" s="68" t="n">
        <v>1.9</v>
      </c>
    </row>
    <row r="875" customFormat="false" ht="15" hidden="false" customHeight="false" outlineLevel="0" collapsed="false">
      <c r="A875" s="68" t="s">
        <v>2822</v>
      </c>
      <c r="B875" s="68" t="s">
        <v>2442</v>
      </c>
      <c r="C875" s="68" t="n">
        <v>1</v>
      </c>
    </row>
    <row r="876" customFormat="false" ht="15" hidden="false" customHeight="false" outlineLevel="0" collapsed="false">
      <c r="A876" s="68" t="s">
        <v>2822</v>
      </c>
      <c r="B876" s="68" t="s">
        <v>2447</v>
      </c>
      <c r="C876" s="68" t="n">
        <v>1</v>
      </c>
    </row>
    <row r="877" customFormat="false" ht="15" hidden="false" customHeight="false" outlineLevel="0" collapsed="false">
      <c r="A877" s="68" t="s">
        <v>2822</v>
      </c>
      <c r="B877" s="68" t="s">
        <v>2452</v>
      </c>
      <c r="C877" s="68" t="n">
        <v>1</v>
      </c>
    </row>
    <row r="878" customFormat="false" ht="15" hidden="false" customHeight="false" outlineLevel="0" collapsed="false">
      <c r="A878" s="68" t="s">
        <v>2822</v>
      </c>
      <c r="B878" s="68" t="s">
        <v>2457</v>
      </c>
      <c r="C878" s="68" t="n">
        <v>1.9</v>
      </c>
    </row>
    <row r="879" customFormat="false" ht="15" hidden="false" customHeight="false" outlineLevel="0" collapsed="false">
      <c r="A879" s="68" t="s">
        <v>2822</v>
      </c>
      <c r="B879" s="68" t="s">
        <v>2462</v>
      </c>
      <c r="C879" s="68" t="n">
        <v>15789.4736842105</v>
      </c>
    </row>
    <row r="880" customFormat="false" ht="15" hidden="false" customHeight="false" outlineLevel="0" collapsed="false">
      <c r="A880" s="68" t="s">
        <v>2822</v>
      </c>
      <c r="B880" s="68" t="s">
        <v>2467</v>
      </c>
      <c r="C880" s="68" t="n">
        <v>91.347</v>
      </c>
    </row>
    <row r="881" customFormat="false" ht="15" hidden="false" customHeight="false" outlineLevel="0" collapsed="false">
      <c r="A881" s="68" t="s">
        <v>2822</v>
      </c>
      <c r="B881" s="68" t="s">
        <v>2471</v>
      </c>
      <c r="C881" s="68" t="n">
        <v>123.416</v>
      </c>
    </row>
    <row r="882" customFormat="false" ht="15" hidden="false" customHeight="false" outlineLevel="0" collapsed="false">
      <c r="A882" s="68" t="s">
        <v>2822</v>
      </c>
      <c r="B882" s="68" t="s">
        <v>2475</v>
      </c>
      <c r="C882" s="68" t="s">
        <v>369</v>
      </c>
    </row>
    <row r="883" customFormat="false" ht="15" hidden="false" customHeight="false" outlineLevel="0" collapsed="false">
      <c r="A883" s="68" t="s">
        <v>2822</v>
      </c>
      <c r="B883" s="68" t="s">
        <v>2480</v>
      </c>
      <c r="C883" s="68" t="n">
        <v>21332.6511457467</v>
      </c>
    </row>
    <row r="884" customFormat="false" ht="15" hidden="false" customHeight="false" outlineLevel="0" collapsed="false">
      <c r="A884" s="68" t="s">
        <v>2822</v>
      </c>
      <c r="B884" s="68" t="s">
        <v>2484</v>
      </c>
      <c r="C884" s="68" t="n">
        <v>11935.9830685689</v>
      </c>
    </row>
    <row r="885" customFormat="false" ht="15" hidden="false" customHeight="false" outlineLevel="0" collapsed="false">
      <c r="A885" s="68" t="s">
        <v>2825</v>
      </c>
      <c r="B885" s="68" t="s">
        <v>2284</v>
      </c>
      <c r="C885" s="68" t="n">
        <v>201.363306085377</v>
      </c>
    </row>
    <row r="886" customFormat="false" ht="15" hidden="false" customHeight="false" outlineLevel="0" collapsed="false">
      <c r="A886" s="68" t="s">
        <v>2825</v>
      </c>
      <c r="B886" s="68" t="s">
        <v>2290</v>
      </c>
      <c r="C886" s="68" t="s">
        <v>1585</v>
      </c>
    </row>
    <row r="887" customFormat="false" ht="15" hidden="false" customHeight="false" outlineLevel="0" collapsed="false">
      <c r="A887" s="68" t="s">
        <v>2825</v>
      </c>
      <c r="B887" s="68" t="s">
        <v>2365</v>
      </c>
      <c r="C887" s="68" t="n">
        <v>210000</v>
      </c>
    </row>
    <row r="888" customFormat="false" ht="15" hidden="false" customHeight="false" outlineLevel="0" collapsed="false">
      <c r="A888" s="68" t="s">
        <v>2825</v>
      </c>
      <c r="B888" s="68" t="s">
        <v>2370</v>
      </c>
      <c r="C888" s="68" t="n">
        <v>274563.483870968</v>
      </c>
    </row>
    <row r="889" customFormat="false" ht="15" hidden="false" customHeight="false" outlineLevel="0" collapsed="false">
      <c r="A889" s="68" t="s">
        <v>2825</v>
      </c>
      <c r="B889" s="68" t="s">
        <v>2375</v>
      </c>
      <c r="C889" s="68" t="n">
        <v>8511468000</v>
      </c>
    </row>
    <row r="890" customFormat="false" ht="15" hidden="false" customHeight="false" outlineLevel="0" collapsed="false">
      <c r="A890" s="68" t="s">
        <v>2825</v>
      </c>
      <c r="B890" s="68" t="s">
        <v>2388</v>
      </c>
      <c r="C890" s="68" t="n">
        <v>283724.260238432</v>
      </c>
    </row>
    <row r="891" customFormat="false" ht="15" hidden="false" customHeight="false" outlineLevel="0" collapsed="false">
      <c r="A891" s="68" t="s">
        <v>2825</v>
      </c>
      <c r="B891" s="68" t="s">
        <v>2393</v>
      </c>
      <c r="C891" s="68" t="n">
        <v>299551.273766772</v>
      </c>
    </row>
    <row r="892" customFormat="false" ht="15" hidden="false" customHeight="false" outlineLevel="0" collapsed="false">
      <c r="A892" s="68" t="s">
        <v>2825</v>
      </c>
      <c r="B892" s="68" t="s">
        <v>2398</v>
      </c>
      <c r="C892" s="68" t="n">
        <v>197264398967.454</v>
      </c>
    </row>
    <row r="893" customFormat="false" ht="15" hidden="false" customHeight="false" outlineLevel="0" collapsed="false">
      <c r="A893" s="68" t="s">
        <v>2825</v>
      </c>
      <c r="B893" s="68" t="s">
        <v>2432</v>
      </c>
      <c r="C893" s="68" t="s">
        <v>3201</v>
      </c>
    </row>
    <row r="894" customFormat="false" ht="15" hidden="false" customHeight="false" outlineLevel="0" collapsed="false">
      <c r="A894" s="68" t="s">
        <v>2825</v>
      </c>
      <c r="B894" s="68" t="s">
        <v>2437</v>
      </c>
      <c r="C894" s="68" t="n">
        <v>1.9</v>
      </c>
    </row>
    <row r="895" customFormat="false" ht="15" hidden="false" customHeight="false" outlineLevel="0" collapsed="false">
      <c r="A895" s="68" t="s">
        <v>2825</v>
      </c>
      <c r="B895" s="68" t="s">
        <v>2442</v>
      </c>
      <c r="C895" s="68" t="n">
        <v>1</v>
      </c>
    </row>
    <row r="896" customFormat="false" ht="15" hidden="false" customHeight="false" outlineLevel="0" collapsed="false">
      <c r="A896" s="68" t="s">
        <v>2825</v>
      </c>
      <c r="B896" s="68" t="s">
        <v>2447</v>
      </c>
      <c r="C896" s="68" t="n">
        <v>1</v>
      </c>
    </row>
    <row r="897" customFormat="false" ht="15" hidden="false" customHeight="false" outlineLevel="0" collapsed="false">
      <c r="A897" s="68" t="s">
        <v>2825</v>
      </c>
      <c r="B897" s="68" t="s">
        <v>2452</v>
      </c>
      <c r="C897" s="68" t="n">
        <v>1</v>
      </c>
    </row>
    <row r="898" customFormat="false" ht="15" hidden="false" customHeight="false" outlineLevel="0" collapsed="false">
      <c r="A898" s="68" t="s">
        <v>2825</v>
      </c>
      <c r="B898" s="68" t="s">
        <v>2457</v>
      </c>
      <c r="C898" s="68" t="n">
        <v>1.9</v>
      </c>
    </row>
    <row r="899" customFormat="false" ht="15" hidden="false" customHeight="false" outlineLevel="0" collapsed="false">
      <c r="A899" s="68" t="s">
        <v>2825</v>
      </c>
      <c r="B899" s="68" t="s">
        <v>2462</v>
      </c>
      <c r="C899" s="68" t="n">
        <v>110526.315789474</v>
      </c>
    </row>
    <row r="900" customFormat="false" ht="15" hidden="false" customHeight="false" outlineLevel="0" collapsed="false">
      <c r="A900" s="68" t="s">
        <v>2825</v>
      </c>
      <c r="B900" s="68" t="s">
        <v>2467</v>
      </c>
      <c r="C900" s="68" t="n">
        <v>91.347</v>
      </c>
    </row>
    <row r="901" customFormat="false" ht="15" hidden="false" customHeight="false" outlineLevel="0" collapsed="false">
      <c r="A901" s="68" t="s">
        <v>2825</v>
      </c>
      <c r="B901" s="68" t="s">
        <v>2471</v>
      </c>
      <c r="C901" s="68" t="n">
        <v>123.416</v>
      </c>
    </row>
    <row r="902" customFormat="false" ht="15" hidden="false" customHeight="false" outlineLevel="0" collapsed="false">
      <c r="A902" s="68" t="s">
        <v>2825</v>
      </c>
      <c r="B902" s="68" t="s">
        <v>2475</v>
      </c>
      <c r="C902" s="68" t="s">
        <v>369</v>
      </c>
    </row>
    <row r="903" customFormat="false" ht="15" hidden="false" customHeight="false" outlineLevel="0" collapsed="false">
      <c r="A903" s="68" t="s">
        <v>2825</v>
      </c>
      <c r="B903" s="68" t="s">
        <v>2480</v>
      </c>
      <c r="C903" s="68" t="n">
        <v>149328.558020227</v>
      </c>
    </row>
    <row r="904" customFormat="false" ht="15" hidden="false" customHeight="false" outlineLevel="0" collapsed="false">
      <c r="A904" s="68" t="s">
        <v>2825</v>
      </c>
      <c r="B904" s="68" t="s">
        <v>2484</v>
      </c>
      <c r="C904" s="68" t="n">
        <v>6190.91258043139</v>
      </c>
    </row>
    <row r="905" customFormat="false" ht="15" hidden="false" customHeight="false" outlineLevel="0" collapsed="false">
      <c r="A905" s="68" t="s">
        <v>2828</v>
      </c>
      <c r="B905" s="68" t="s">
        <v>2284</v>
      </c>
      <c r="C905" s="68" t="n">
        <v>54.1144414168937</v>
      </c>
    </row>
    <row r="906" customFormat="false" ht="15" hidden="false" customHeight="false" outlineLevel="0" collapsed="false">
      <c r="A906" s="68" t="s">
        <v>2828</v>
      </c>
      <c r="B906" s="68" t="s">
        <v>2290</v>
      </c>
      <c r="C906" s="68" t="s">
        <v>1585</v>
      </c>
    </row>
    <row r="907" customFormat="false" ht="15" hidden="false" customHeight="false" outlineLevel="0" collapsed="false">
      <c r="A907" s="68" t="s">
        <v>2828</v>
      </c>
      <c r="B907" s="68" t="s">
        <v>2365</v>
      </c>
      <c r="C907" s="68" t="n">
        <v>150000</v>
      </c>
    </row>
    <row r="908" customFormat="false" ht="15" hidden="false" customHeight="false" outlineLevel="0" collapsed="false">
      <c r="A908" s="68" t="s">
        <v>2828</v>
      </c>
      <c r="B908" s="68" t="s">
        <v>2370</v>
      </c>
      <c r="C908" s="68" t="n">
        <v>196116.774193548</v>
      </c>
    </row>
    <row r="909" customFormat="false" ht="15" hidden="false" customHeight="false" outlineLevel="0" collapsed="false">
      <c r="A909" s="68" t="s">
        <v>2828</v>
      </c>
      <c r="B909" s="68" t="s">
        <v>2375</v>
      </c>
      <c r="C909" s="68" t="n">
        <v>6079620000</v>
      </c>
    </row>
    <row r="910" customFormat="false" ht="15" hidden="false" customHeight="false" outlineLevel="0" collapsed="false">
      <c r="A910" s="68" t="s">
        <v>2828</v>
      </c>
      <c r="B910" s="68" t="s">
        <v>2388</v>
      </c>
      <c r="C910" s="68" t="n">
        <v>202660.185884594</v>
      </c>
    </row>
    <row r="911" customFormat="false" ht="15" hidden="false" customHeight="false" outlineLevel="0" collapsed="false">
      <c r="A911" s="68" t="s">
        <v>2828</v>
      </c>
      <c r="B911" s="68" t="s">
        <v>2393</v>
      </c>
      <c r="C911" s="68" t="n">
        <v>213965.195547694</v>
      </c>
    </row>
    <row r="912" customFormat="false" ht="15" hidden="false" customHeight="false" outlineLevel="0" collapsed="false">
      <c r="A912" s="68" t="s">
        <v>2828</v>
      </c>
      <c r="B912" s="68" t="s">
        <v>2398</v>
      </c>
      <c r="C912" s="68" t="n">
        <v>140903142119.61</v>
      </c>
    </row>
    <row r="913" customFormat="false" ht="15" hidden="false" customHeight="false" outlineLevel="0" collapsed="false">
      <c r="A913" s="68" t="s">
        <v>2828</v>
      </c>
      <c r="B913" s="68" t="s">
        <v>2432</v>
      </c>
      <c r="C913" s="68" t="s">
        <v>3201</v>
      </c>
    </row>
    <row r="914" customFormat="false" ht="15" hidden="false" customHeight="false" outlineLevel="0" collapsed="false">
      <c r="A914" s="68" t="s">
        <v>2828</v>
      </c>
      <c r="B914" s="68" t="s">
        <v>2437</v>
      </c>
      <c r="C914" s="68" t="n">
        <v>1.9</v>
      </c>
    </row>
    <row r="915" customFormat="false" ht="15" hidden="false" customHeight="false" outlineLevel="0" collapsed="false">
      <c r="A915" s="68" t="s">
        <v>2828</v>
      </c>
      <c r="B915" s="68" t="s">
        <v>2442</v>
      </c>
      <c r="C915" s="68" t="n">
        <v>1</v>
      </c>
    </row>
    <row r="916" customFormat="false" ht="15" hidden="false" customHeight="false" outlineLevel="0" collapsed="false">
      <c r="A916" s="68" t="s">
        <v>2828</v>
      </c>
      <c r="B916" s="68" t="s">
        <v>2447</v>
      </c>
      <c r="C916" s="68" t="n">
        <v>1</v>
      </c>
    </row>
    <row r="917" customFormat="false" ht="15" hidden="false" customHeight="false" outlineLevel="0" collapsed="false">
      <c r="A917" s="68" t="s">
        <v>2828</v>
      </c>
      <c r="B917" s="68" t="s">
        <v>2452</v>
      </c>
      <c r="C917" s="68" t="n">
        <v>1</v>
      </c>
    </row>
    <row r="918" customFormat="false" ht="15" hidden="false" customHeight="false" outlineLevel="0" collapsed="false">
      <c r="A918" s="68" t="s">
        <v>2828</v>
      </c>
      <c r="B918" s="68" t="s">
        <v>2457</v>
      </c>
      <c r="C918" s="68" t="n">
        <v>1.9</v>
      </c>
    </row>
    <row r="919" customFormat="false" ht="15" hidden="false" customHeight="false" outlineLevel="0" collapsed="false">
      <c r="A919" s="68" t="s">
        <v>2828</v>
      </c>
      <c r="B919" s="68" t="s">
        <v>2462</v>
      </c>
      <c r="C919" s="68" t="n">
        <v>78947.3684210526</v>
      </c>
    </row>
    <row r="920" customFormat="false" ht="15" hidden="false" customHeight="false" outlineLevel="0" collapsed="false">
      <c r="A920" s="68" t="s">
        <v>2828</v>
      </c>
      <c r="B920" s="68" t="s">
        <v>2467</v>
      </c>
      <c r="C920" s="68" t="n">
        <v>91.347</v>
      </c>
    </row>
    <row r="921" customFormat="false" ht="15" hidden="false" customHeight="false" outlineLevel="0" collapsed="false">
      <c r="A921" s="68" t="s">
        <v>2828</v>
      </c>
      <c r="B921" s="68" t="s">
        <v>2471</v>
      </c>
      <c r="C921" s="68" t="n">
        <v>123.416</v>
      </c>
    </row>
    <row r="922" customFormat="false" ht="15" hidden="false" customHeight="false" outlineLevel="0" collapsed="false">
      <c r="A922" s="68" t="s">
        <v>2828</v>
      </c>
      <c r="B922" s="68" t="s">
        <v>2475</v>
      </c>
      <c r="C922" s="68" t="s">
        <v>369</v>
      </c>
    </row>
    <row r="923" customFormat="false" ht="15" hidden="false" customHeight="false" outlineLevel="0" collapsed="false">
      <c r="A923" s="68" t="s">
        <v>2828</v>
      </c>
      <c r="B923" s="68" t="s">
        <v>2480</v>
      </c>
      <c r="C923" s="68" t="n">
        <v>106663.255728734</v>
      </c>
    </row>
    <row r="924" customFormat="false" ht="15" hidden="false" customHeight="false" outlineLevel="0" collapsed="false">
      <c r="A924" s="68" t="s">
        <v>2828</v>
      </c>
      <c r="B924" s="68" t="s">
        <v>2484</v>
      </c>
      <c r="C924" s="68" t="n">
        <v>9728.07539346614</v>
      </c>
    </row>
    <row r="925" customFormat="false" ht="15" hidden="false" customHeight="false" outlineLevel="0" collapsed="false">
      <c r="A925" s="68" t="s">
        <v>2830</v>
      </c>
      <c r="B925" s="68" t="s">
        <v>2284</v>
      </c>
      <c r="C925" s="68" t="n">
        <v>16.5031789282471</v>
      </c>
    </row>
    <row r="926" customFormat="false" ht="15" hidden="false" customHeight="false" outlineLevel="0" collapsed="false">
      <c r="A926" s="68" t="s">
        <v>2830</v>
      </c>
      <c r="B926" s="68" t="s">
        <v>2290</v>
      </c>
      <c r="C926" s="68" t="s">
        <v>1585</v>
      </c>
    </row>
    <row r="927" customFormat="false" ht="15" hidden="false" customHeight="false" outlineLevel="0" collapsed="false">
      <c r="A927" s="68" t="s">
        <v>2830</v>
      </c>
      <c r="B927" s="68" t="s">
        <v>2365</v>
      </c>
      <c r="C927" s="68" t="n">
        <v>16500</v>
      </c>
    </row>
    <row r="928" customFormat="false" ht="15" hidden="false" customHeight="false" outlineLevel="0" collapsed="false">
      <c r="A928" s="68" t="s">
        <v>2830</v>
      </c>
      <c r="B928" s="68" t="s">
        <v>2370</v>
      </c>
      <c r="C928" s="68" t="n">
        <v>21572.8451612903</v>
      </c>
    </row>
    <row r="929" customFormat="false" ht="15" hidden="false" customHeight="false" outlineLevel="0" collapsed="false">
      <c r="A929" s="68" t="s">
        <v>2830</v>
      </c>
      <c r="B929" s="68" t="s">
        <v>2375</v>
      </c>
      <c r="C929" s="68" t="n">
        <v>668758200</v>
      </c>
    </row>
    <row r="930" customFormat="false" ht="15" hidden="false" customHeight="false" outlineLevel="0" collapsed="false">
      <c r="A930" s="68" t="s">
        <v>2830</v>
      </c>
      <c r="B930" s="68" t="s">
        <v>2388</v>
      </c>
      <c r="C930" s="68" t="n">
        <v>25000</v>
      </c>
    </row>
    <row r="931" customFormat="false" ht="15" hidden="false" customHeight="false" outlineLevel="0" collapsed="false">
      <c r="A931" s="68" t="s">
        <v>2830</v>
      </c>
      <c r="B931" s="68" t="s">
        <v>2393</v>
      </c>
      <c r="C931" s="68" t="n">
        <v>26394.5770371417</v>
      </c>
    </row>
    <row r="932" customFormat="false" ht="15" hidden="false" customHeight="false" outlineLevel="0" collapsed="false">
      <c r="A932" s="68" t="s">
        <v>2830</v>
      </c>
      <c r="B932" s="68" t="s">
        <v>2398</v>
      </c>
      <c r="C932" s="68" t="n">
        <v>17381700000</v>
      </c>
    </row>
    <row r="933" customFormat="false" ht="15" hidden="false" customHeight="false" outlineLevel="0" collapsed="false">
      <c r="A933" s="68" t="s">
        <v>2830</v>
      </c>
      <c r="B933" s="68" t="s">
        <v>2432</v>
      </c>
      <c r="C933" s="68" t="s">
        <v>3201</v>
      </c>
    </row>
    <row r="934" customFormat="false" ht="15" hidden="false" customHeight="false" outlineLevel="0" collapsed="false">
      <c r="A934" s="68" t="s">
        <v>2830</v>
      </c>
      <c r="B934" s="68" t="s">
        <v>2437</v>
      </c>
      <c r="C934" s="68" t="n">
        <v>1</v>
      </c>
    </row>
    <row r="935" customFormat="false" ht="15" hidden="false" customHeight="false" outlineLevel="0" collapsed="false">
      <c r="A935" s="68" t="s">
        <v>2830</v>
      </c>
      <c r="B935" s="68" t="s">
        <v>2442</v>
      </c>
      <c r="C935" s="68" t="n">
        <v>1</v>
      </c>
    </row>
    <row r="936" customFormat="false" ht="15" hidden="false" customHeight="false" outlineLevel="0" collapsed="false">
      <c r="A936" s="68" t="s">
        <v>2830</v>
      </c>
      <c r="B936" s="68" t="s">
        <v>2447</v>
      </c>
      <c r="C936" s="68" t="n">
        <v>1</v>
      </c>
    </row>
    <row r="937" customFormat="false" ht="15" hidden="false" customHeight="false" outlineLevel="0" collapsed="false">
      <c r="A937" s="68" t="s">
        <v>2830</v>
      </c>
      <c r="B937" s="68" t="s">
        <v>2452</v>
      </c>
      <c r="C937" s="68" t="n">
        <v>1</v>
      </c>
    </row>
    <row r="938" customFormat="false" ht="15" hidden="false" customHeight="false" outlineLevel="0" collapsed="false">
      <c r="A938" s="68" t="s">
        <v>2830</v>
      </c>
      <c r="B938" s="68" t="s">
        <v>2457</v>
      </c>
      <c r="C938" s="68" t="n">
        <v>1</v>
      </c>
    </row>
    <row r="939" customFormat="false" ht="15" hidden="false" customHeight="false" outlineLevel="0" collapsed="false">
      <c r="A939" s="68" t="s">
        <v>2830</v>
      </c>
      <c r="B939" s="68" t="s">
        <v>2462</v>
      </c>
      <c r="C939" s="68" t="n">
        <v>16500</v>
      </c>
    </row>
    <row r="940" customFormat="false" ht="15" hidden="false" customHeight="false" outlineLevel="0" collapsed="false">
      <c r="A940" s="68" t="s">
        <v>2830</v>
      </c>
      <c r="B940" s="68" t="s">
        <v>2467</v>
      </c>
      <c r="C940" s="68" t="n">
        <v>91.347</v>
      </c>
    </row>
    <row r="941" customFormat="false" ht="15" hidden="false" customHeight="false" outlineLevel="0" collapsed="false">
      <c r="A941" s="68" t="s">
        <v>2830</v>
      </c>
      <c r="B941" s="68" t="s">
        <v>2471</v>
      </c>
      <c r="C941" s="68" t="n">
        <v>123.416</v>
      </c>
    </row>
    <row r="942" customFormat="false" ht="15" hidden="false" customHeight="false" outlineLevel="0" collapsed="false">
      <c r="A942" s="68" t="s">
        <v>2830</v>
      </c>
      <c r="B942" s="68" t="s">
        <v>2475</v>
      </c>
      <c r="C942" s="68" t="s">
        <v>369</v>
      </c>
    </row>
    <row r="943" customFormat="false" ht="15" hidden="false" customHeight="false" outlineLevel="0" collapsed="false">
      <c r="A943" s="68" t="s">
        <v>2830</v>
      </c>
      <c r="B943" s="68" t="s">
        <v>2480</v>
      </c>
      <c r="C943" s="68" t="n">
        <v>25000</v>
      </c>
    </row>
    <row r="944" customFormat="false" ht="15" hidden="false" customHeight="false" outlineLevel="0" collapsed="false">
      <c r="A944" s="68" t="s">
        <v>2830</v>
      </c>
      <c r="B944" s="68" t="s">
        <v>2484</v>
      </c>
      <c r="C944" s="68" t="n">
        <v>4649.42711097154</v>
      </c>
    </row>
    <row r="945" customFormat="false" ht="15" hidden="false" customHeight="false" outlineLevel="0" collapsed="false">
      <c r="A945" s="68" t="s">
        <v>2833</v>
      </c>
      <c r="B945" s="68" t="s">
        <v>2284</v>
      </c>
      <c r="C945" s="68" t="n">
        <v>30.8537693006358</v>
      </c>
    </row>
    <row r="946" customFormat="false" ht="15" hidden="false" customHeight="false" outlineLevel="0" collapsed="false">
      <c r="A946" s="68" t="s">
        <v>2833</v>
      </c>
      <c r="B946" s="68" t="s">
        <v>2290</v>
      </c>
      <c r="C946" s="68" t="s">
        <v>1585</v>
      </c>
    </row>
    <row r="947" customFormat="false" ht="15" hidden="false" customHeight="false" outlineLevel="0" collapsed="false">
      <c r="A947" s="68" t="s">
        <v>2833</v>
      </c>
      <c r="B947" s="68" t="s">
        <v>2365</v>
      </c>
      <c r="C947" s="68" t="n">
        <v>17500</v>
      </c>
    </row>
    <row r="948" customFormat="false" ht="15" hidden="false" customHeight="false" outlineLevel="0" collapsed="false">
      <c r="A948" s="68" t="s">
        <v>2833</v>
      </c>
      <c r="B948" s="68" t="s">
        <v>2370</v>
      </c>
      <c r="C948" s="68" t="n">
        <v>22880.2903225806</v>
      </c>
    </row>
    <row r="949" customFormat="false" ht="15" hidden="false" customHeight="false" outlineLevel="0" collapsed="false">
      <c r="A949" s="68" t="s">
        <v>2833</v>
      </c>
      <c r="B949" s="68" t="s">
        <v>2375</v>
      </c>
      <c r="C949" s="68" t="n">
        <v>709289000</v>
      </c>
    </row>
    <row r="950" customFormat="false" ht="15" hidden="false" customHeight="false" outlineLevel="0" collapsed="false">
      <c r="A950" s="68" t="s">
        <v>2833</v>
      </c>
      <c r="B950" s="68" t="s">
        <v>2388</v>
      </c>
      <c r="C950" s="68" t="n">
        <v>25000</v>
      </c>
    </row>
    <row r="951" customFormat="false" ht="15" hidden="false" customHeight="false" outlineLevel="0" collapsed="false">
      <c r="A951" s="68" t="s">
        <v>2833</v>
      </c>
      <c r="B951" s="68" t="s">
        <v>2393</v>
      </c>
      <c r="C951" s="68" t="n">
        <v>26394.5770371417</v>
      </c>
    </row>
    <row r="952" customFormat="false" ht="15" hidden="false" customHeight="false" outlineLevel="0" collapsed="false">
      <c r="A952" s="68" t="s">
        <v>2833</v>
      </c>
      <c r="B952" s="68" t="s">
        <v>2398</v>
      </c>
      <c r="C952" s="68" t="n">
        <v>17381700000</v>
      </c>
    </row>
    <row r="953" customFormat="false" ht="15" hidden="false" customHeight="false" outlineLevel="0" collapsed="false">
      <c r="A953" s="68" t="s">
        <v>2833</v>
      </c>
      <c r="B953" s="68" t="s">
        <v>2432</v>
      </c>
      <c r="C953" s="68" t="s">
        <v>3201</v>
      </c>
    </row>
    <row r="954" customFormat="false" ht="15" hidden="false" customHeight="false" outlineLevel="0" collapsed="false">
      <c r="A954" s="68" t="s">
        <v>2833</v>
      </c>
      <c r="B954" s="68" t="s">
        <v>2437</v>
      </c>
      <c r="C954" s="68" t="n">
        <v>1</v>
      </c>
    </row>
    <row r="955" customFormat="false" ht="15" hidden="false" customHeight="false" outlineLevel="0" collapsed="false">
      <c r="A955" s="68" t="s">
        <v>2833</v>
      </c>
      <c r="B955" s="68" t="s">
        <v>2442</v>
      </c>
      <c r="C955" s="68" t="n">
        <v>1</v>
      </c>
    </row>
    <row r="956" customFormat="false" ht="15" hidden="false" customHeight="false" outlineLevel="0" collapsed="false">
      <c r="A956" s="68" t="s">
        <v>2833</v>
      </c>
      <c r="B956" s="68" t="s">
        <v>2447</v>
      </c>
      <c r="C956" s="68" t="n">
        <v>1</v>
      </c>
    </row>
    <row r="957" customFormat="false" ht="15" hidden="false" customHeight="false" outlineLevel="0" collapsed="false">
      <c r="A957" s="68" t="s">
        <v>2833</v>
      </c>
      <c r="B957" s="68" t="s">
        <v>2452</v>
      </c>
      <c r="C957" s="68" t="n">
        <v>1</v>
      </c>
    </row>
    <row r="958" customFormat="false" ht="15" hidden="false" customHeight="false" outlineLevel="0" collapsed="false">
      <c r="A958" s="68" t="s">
        <v>2833</v>
      </c>
      <c r="B958" s="68" t="s">
        <v>2457</v>
      </c>
      <c r="C958" s="68" t="n">
        <v>1</v>
      </c>
    </row>
    <row r="959" customFormat="false" ht="15" hidden="false" customHeight="false" outlineLevel="0" collapsed="false">
      <c r="A959" s="68" t="s">
        <v>2833</v>
      </c>
      <c r="B959" s="68" t="s">
        <v>2462</v>
      </c>
      <c r="C959" s="68" t="n">
        <v>17500</v>
      </c>
    </row>
    <row r="960" customFormat="false" ht="15" hidden="false" customHeight="false" outlineLevel="0" collapsed="false">
      <c r="A960" s="68" t="s">
        <v>2833</v>
      </c>
      <c r="B960" s="68" t="s">
        <v>2467</v>
      </c>
      <c r="C960" s="68" t="n">
        <v>91.347</v>
      </c>
    </row>
    <row r="961" customFormat="false" ht="15" hidden="false" customHeight="false" outlineLevel="0" collapsed="false">
      <c r="A961" s="68" t="s">
        <v>2833</v>
      </c>
      <c r="B961" s="68" t="s">
        <v>2471</v>
      </c>
      <c r="C961" s="68" t="n">
        <v>123.416</v>
      </c>
    </row>
    <row r="962" customFormat="false" ht="15" hidden="false" customHeight="false" outlineLevel="0" collapsed="false">
      <c r="A962" s="68" t="s">
        <v>2833</v>
      </c>
      <c r="B962" s="68" t="s">
        <v>2475</v>
      </c>
      <c r="C962" s="68" t="s">
        <v>369</v>
      </c>
    </row>
    <row r="963" customFormat="false" ht="15" hidden="false" customHeight="false" outlineLevel="0" collapsed="false">
      <c r="A963" s="68" t="s">
        <v>2833</v>
      </c>
      <c r="B963" s="68" t="s">
        <v>2480</v>
      </c>
      <c r="C963" s="68" t="n">
        <v>25000</v>
      </c>
    </row>
    <row r="964" customFormat="false" ht="15" hidden="false" customHeight="false" outlineLevel="0" collapsed="false">
      <c r="A964" s="68" t="s">
        <v>2833</v>
      </c>
      <c r="B964" s="68" t="s">
        <v>2484</v>
      </c>
      <c r="C964" s="68" t="n">
        <v>3194.14827025073</v>
      </c>
    </row>
    <row r="965" customFormat="false" ht="15" hidden="false" customHeight="false" outlineLevel="0" collapsed="false">
      <c r="A965" s="68" t="s">
        <v>2835</v>
      </c>
      <c r="B965" s="68" t="s">
        <v>2284</v>
      </c>
      <c r="C965" s="68" t="n">
        <v>3.40599455040872</v>
      </c>
    </row>
    <row r="966" customFormat="false" ht="15" hidden="false" customHeight="false" outlineLevel="0" collapsed="false">
      <c r="A966" s="68" t="s">
        <v>2835</v>
      </c>
      <c r="B966" s="68" t="s">
        <v>2290</v>
      </c>
      <c r="C966" s="68" t="s">
        <v>1585</v>
      </c>
    </row>
    <row r="967" customFormat="false" ht="15" hidden="false" customHeight="false" outlineLevel="0" collapsed="false">
      <c r="A967" s="68" t="s">
        <v>2835</v>
      </c>
      <c r="B967" s="68" t="s">
        <v>2365</v>
      </c>
      <c r="C967" s="68" t="n">
        <v>10000</v>
      </c>
    </row>
    <row r="968" customFormat="false" ht="15" hidden="false" customHeight="false" outlineLevel="0" collapsed="false">
      <c r="A968" s="68" t="s">
        <v>2835</v>
      </c>
      <c r="B968" s="68" t="s">
        <v>2370</v>
      </c>
      <c r="C968" s="68" t="n">
        <v>13074.4516129032</v>
      </c>
    </row>
    <row r="969" customFormat="false" ht="15" hidden="false" customHeight="false" outlineLevel="0" collapsed="false">
      <c r="A969" s="68" t="s">
        <v>2835</v>
      </c>
      <c r="B969" s="68" t="s">
        <v>2375</v>
      </c>
      <c r="C969" s="68" t="n">
        <v>405308000</v>
      </c>
    </row>
    <row r="970" customFormat="false" ht="15" hidden="false" customHeight="false" outlineLevel="0" collapsed="false">
      <c r="A970" s="68" t="s">
        <v>2835</v>
      </c>
      <c r="B970" s="68" t="s">
        <v>2388</v>
      </c>
      <c r="C970" s="68" t="n">
        <v>25000</v>
      </c>
    </row>
    <row r="971" customFormat="false" ht="15" hidden="false" customHeight="false" outlineLevel="0" collapsed="false">
      <c r="A971" s="68" t="s">
        <v>2835</v>
      </c>
      <c r="B971" s="68" t="s">
        <v>2393</v>
      </c>
      <c r="C971" s="68" t="n">
        <v>26394.5770371417</v>
      </c>
    </row>
    <row r="972" customFormat="false" ht="15" hidden="false" customHeight="false" outlineLevel="0" collapsed="false">
      <c r="A972" s="68" t="s">
        <v>2835</v>
      </c>
      <c r="B972" s="68" t="s">
        <v>2398</v>
      </c>
      <c r="C972" s="68" t="n">
        <v>17381700000</v>
      </c>
    </row>
    <row r="973" customFormat="false" ht="15" hidden="false" customHeight="false" outlineLevel="0" collapsed="false">
      <c r="A973" s="68" t="s">
        <v>2835</v>
      </c>
      <c r="B973" s="68" t="s">
        <v>2432</v>
      </c>
      <c r="C973" s="68" t="s">
        <v>3201</v>
      </c>
    </row>
    <row r="974" customFormat="false" ht="15" hidden="false" customHeight="false" outlineLevel="0" collapsed="false">
      <c r="A974" s="68" t="s">
        <v>2835</v>
      </c>
      <c r="B974" s="68" t="s">
        <v>2437</v>
      </c>
      <c r="C974" s="68" t="n">
        <v>1.1</v>
      </c>
    </row>
    <row r="975" customFormat="false" ht="15" hidden="false" customHeight="false" outlineLevel="0" collapsed="false">
      <c r="A975" s="68" t="s">
        <v>2835</v>
      </c>
      <c r="B975" s="68" t="s">
        <v>2442</v>
      </c>
      <c r="C975" s="68" t="n">
        <v>1</v>
      </c>
    </row>
    <row r="976" customFormat="false" ht="15" hidden="false" customHeight="false" outlineLevel="0" collapsed="false">
      <c r="A976" s="68" t="s">
        <v>2835</v>
      </c>
      <c r="B976" s="68" t="s">
        <v>2447</v>
      </c>
      <c r="C976" s="68" t="n">
        <v>1</v>
      </c>
    </row>
    <row r="977" customFormat="false" ht="15" hidden="false" customHeight="false" outlineLevel="0" collapsed="false">
      <c r="A977" s="68" t="s">
        <v>2835</v>
      </c>
      <c r="B977" s="68" t="s">
        <v>2452</v>
      </c>
      <c r="C977" s="68" t="n">
        <v>1</v>
      </c>
    </row>
    <row r="978" customFormat="false" ht="15" hidden="false" customHeight="false" outlineLevel="0" collapsed="false">
      <c r="A978" s="68" t="s">
        <v>2835</v>
      </c>
      <c r="B978" s="68" t="s">
        <v>2457</v>
      </c>
      <c r="C978" s="68" t="n">
        <v>1.1</v>
      </c>
    </row>
    <row r="979" customFormat="false" ht="15" hidden="false" customHeight="false" outlineLevel="0" collapsed="false">
      <c r="A979" s="68" t="s">
        <v>2835</v>
      </c>
      <c r="B979" s="68" t="s">
        <v>2462</v>
      </c>
      <c r="C979" s="68" t="n">
        <v>9090.90909090909</v>
      </c>
    </row>
    <row r="980" customFormat="false" ht="15" hidden="false" customHeight="false" outlineLevel="0" collapsed="false">
      <c r="A980" s="68" t="s">
        <v>2835</v>
      </c>
      <c r="B980" s="68" t="s">
        <v>2467</v>
      </c>
      <c r="C980" s="68" t="n">
        <v>91.347</v>
      </c>
    </row>
    <row r="981" customFormat="false" ht="15" hidden="false" customHeight="false" outlineLevel="0" collapsed="false">
      <c r="A981" s="68" t="s">
        <v>2835</v>
      </c>
      <c r="B981" s="68" t="s">
        <v>2471</v>
      </c>
      <c r="C981" s="68" t="n">
        <v>123.416</v>
      </c>
    </row>
    <row r="982" customFormat="false" ht="15" hidden="false" customHeight="false" outlineLevel="0" collapsed="false">
      <c r="A982" s="68" t="s">
        <v>2835</v>
      </c>
      <c r="B982" s="68" t="s">
        <v>2475</v>
      </c>
      <c r="C982" s="68" t="s">
        <v>369</v>
      </c>
    </row>
    <row r="983" customFormat="false" ht="15" hidden="false" customHeight="false" outlineLevel="0" collapsed="false">
      <c r="A983" s="68" t="s">
        <v>2835</v>
      </c>
      <c r="B983" s="68" t="s">
        <v>2480</v>
      </c>
      <c r="C983" s="68" t="n">
        <v>22727.2727272727</v>
      </c>
    </row>
    <row r="984" customFormat="false" ht="15" hidden="false" customHeight="false" outlineLevel="0" collapsed="false">
      <c r="A984" s="68" t="s">
        <v>2835</v>
      </c>
      <c r="B984" s="68" t="s">
        <v>2484</v>
      </c>
      <c r="C984" s="68" t="n">
        <v>10894.3407343228</v>
      </c>
    </row>
    <row r="985" customFormat="false" ht="15" hidden="false" customHeight="false" outlineLevel="0" collapsed="false">
      <c r="A985" s="68" t="s">
        <v>2838</v>
      </c>
      <c r="B985" s="68" t="s">
        <v>2284</v>
      </c>
      <c r="C985" s="68"/>
    </row>
    <row r="986" customFormat="false" ht="15" hidden="false" customHeight="false" outlineLevel="0" collapsed="false">
      <c r="A986" s="68" t="s">
        <v>2838</v>
      </c>
      <c r="B986" s="68" t="s">
        <v>2290</v>
      </c>
      <c r="C986" s="68" t="s">
        <v>1605</v>
      </c>
    </row>
    <row r="987" customFormat="false" ht="15" hidden="false" customHeight="false" outlineLevel="0" collapsed="false">
      <c r="A987" s="68" t="s">
        <v>2838</v>
      </c>
      <c r="B987" s="68" t="s">
        <v>2365</v>
      </c>
      <c r="C987" s="68" t="n">
        <v>25000</v>
      </c>
    </row>
    <row r="988" customFormat="false" ht="15" hidden="false" customHeight="false" outlineLevel="0" collapsed="false">
      <c r="A988" s="68" t="s">
        <v>2838</v>
      </c>
      <c r="B988" s="68" t="s">
        <v>2370</v>
      </c>
      <c r="C988" s="68" t="n">
        <v>32686.1290322581</v>
      </c>
    </row>
    <row r="989" customFormat="false" ht="15" hidden="false" customHeight="false" outlineLevel="0" collapsed="false">
      <c r="A989" s="68" t="s">
        <v>2838</v>
      </c>
      <c r="B989" s="68" t="s">
        <v>2375</v>
      </c>
      <c r="C989" s="68" t="n">
        <v>1013270000</v>
      </c>
    </row>
    <row r="990" customFormat="false" ht="15" hidden="false" customHeight="false" outlineLevel="0" collapsed="false">
      <c r="A990" s="68" t="s">
        <v>2838</v>
      </c>
      <c r="B990" s="68" t="s">
        <v>2388</v>
      </c>
      <c r="C990" s="68" t="n">
        <v>33776.6976474323</v>
      </c>
    </row>
    <row r="991" customFormat="false" ht="15" hidden="false" customHeight="false" outlineLevel="0" collapsed="false">
      <c r="A991" s="68" t="s">
        <v>2838</v>
      </c>
      <c r="B991" s="68" t="s">
        <v>2393</v>
      </c>
      <c r="C991" s="68" t="n">
        <v>35660.8659246157</v>
      </c>
    </row>
    <row r="992" customFormat="false" ht="15" hidden="false" customHeight="false" outlineLevel="0" collapsed="false">
      <c r="A992" s="68" t="s">
        <v>2838</v>
      </c>
      <c r="B992" s="68" t="s">
        <v>2398</v>
      </c>
      <c r="C992" s="68" t="n">
        <v>23483857019.935</v>
      </c>
    </row>
    <row r="993" customFormat="false" ht="15" hidden="false" customHeight="false" outlineLevel="0" collapsed="false">
      <c r="A993" s="68" t="s">
        <v>2838</v>
      </c>
      <c r="B993" s="68" t="s">
        <v>2432</v>
      </c>
      <c r="C993" s="68" t="s">
        <v>3202</v>
      </c>
    </row>
    <row r="994" customFormat="false" ht="15" hidden="false" customHeight="false" outlineLevel="0" collapsed="false">
      <c r="A994" s="68" t="s">
        <v>2838</v>
      </c>
      <c r="B994" s="68" t="s">
        <v>2437</v>
      </c>
      <c r="C994" s="68" t="n">
        <v>1.7</v>
      </c>
    </row>
    <row r="995" customFormat="false" ht="15" hidden="false" customHeight="false" outlineLevel="0" collapsed="false">
      <c r="A995" s="68" t="s">
        <v>2838</v>
      </c>
      <c r="B995" s="68" t="s">
        <v>2442</v>
      </c>
      <c r="C995" s="68" t="n">
        <v>1</v>
      </c>
    </row>
    <row r="996" customFormat="false" ht="15" hidden="false" customHeight="false" outlineLevel="0" collapsed="false">
      <c r="A996" s="68" t="s">
        <v>2838</v>
      </c>
      <c r="B996" s="68" t="s">
        <v>2447</v>
      </c>
      <c r="C996" s="68" t="n">
        <v>1</v>
      </c>
    </row>
    <row r="997" customFormat="false" ht="15" hidden="false" customHeight="false" outlineLevel="0" collapsed="false">
      <c r="A997" s="68" t="s">
        <v>2838</v>
      </c>
      <c r="B997" s="68" t="s">
        <v>2452</v>
      </c>
      <c r="C997" s="68" t="n">
        <v>1</v>
      </c>
    </row>
    <row r="998" customFormat="false" ht="15" hidden="false" customHeight="false" outlineLevel="0" collapsed="false">
      <c r="A998" s="68" t="s">
        <v>2838</v>
      </c>
      <c r="B998" s="68" t="s">
        <v>2457</v>
      </c>
      <c r="C998" s="68" t="n">
        <v>1.7</v>
      </c>
    </row>
    <row r="999" customFormat="false" ht="15" hidden="false" customHeight="false" outlineLevel="0" collapsed="false">
      <c r="A999" s="68" t="s">
        <v>2838</v>
      </c>
      <c r="B999" s="68" t="s">
        <v>2462</v>
      </c>
      <c r="C999" s="68" t="n">
        <v>14705.8823529412</v>
      </c>
    </row>
    <row r="1000" customFormat="false" ht="15" hidden="false" customHeight="false" outlineLevel="0" collapsed="false">
      <c r="A1000" s="68" t="s">
        <v>2838</v>
      </c>
      <c r="B1000" s="68" t="s">
        <v>2467</v>
      </c>
      <c r="C1000" s="68" t="n">
        <v>91.347</v>
      </c>
    </row>
    <row r="1001" customFormat="false" ht="15" hidden="false" customHeight="false" outlineLevel="0" collapsed="false">
      <c r="A1001" s="68" t="s">
        <v>2838</v>
      </c>
      <c r="B1001" s="68" t="s">
        <v>2471</v>
      </c>
      <c r="C1001" s="68" t="n">
        <v>123.416</v>
      </c>
    </row>
    <row r="1002" customFormat="false" ht="15" hidden="false" customHeight="false" outlineLevel="0" collapsed="false">
      <c r="A1002" s="68" t="s">
        <v>2838</v>
      </c>
      <c r="B1002" s="68" t="s">
        <v>2475</v>
      </c>
      <c r="C1002" s="68" t="s">
        <v>312</v>
      </c>
    </row>
    <row r="1003" customFormat="false" ht="15" hidden="false" customHeight="false" outlineLevel="0" collapsed="false">
      <c r="A1003" s="68" t="s">
        <v>2838</v>
      </c>
      <c r="B1003" s="68" t="s">
        <v>2480</v>
      </c>
      <c r="C1003" s="68" t="n">
        <v>19868.6456749602</v>
      </c>
    </row>
    <row r="1004" customFormat="false" ht="15" hidden="false" customHeight="false" outlineLevel="0" collapsed="false">
      <c r="A1004" s="68" t="s">
        <v>2838</v>
      </c>
      <c r="B1004" s="68" t="s">
        <v>2484</v>
      </c>
      <c r="C1004" s="68"/>
    </row>
    <row r="1005" customFormat="false" ht="15" hidden="false" customHeight="false" outlineLevel="0" collapsed="false">
      <c r="A1005" s="68" t="s">
        <v>2840</v>
      </c>
      <c r="B1005" s="68" t="s">
        <v>2284</v>
      </c>
      <c r="C1005" s="68" t="n">
        <v>1.37874659400545</v>
      </c>
    </row>
    <row r="1006" customFormat="false" ht="15" hidden="false" customHeight="false" outlineLevel="0" collapsed="false">
      <c r="A1006" s="68" t="s">
        <v>2840</v>
      </c>
      <c r="B1006" s="68" t="s">
        <v>2290</v>
      </c>
      <c r="C1006" s="68" t="s">
        <v>1585</v>
      </c>
    </row>
    <row r="1007" customFormat="false" ht="15" hidden="false" customHeight="false" outlineLevel="0" collapsed="false">
      <c r="A1007" s="68" t="s">
        <v>2840</v>
      </c>
      <c r="B1007" s="68" t="s">
        <v>2365</v>
      </c>
      <c r="C1007" s="68" t="n">
        <v>20000</v>
      </c>
    </row>
    <row r="1008" customFormat="false" ht="15" hidden="false" customHeight="false" outlineLevel="0" collapsed="false">
      <c r="A1008" s="68" t="s">
        <v>2840</v>
      </c>
      <c r="B1008" s="68" t="s">
        <v>2370</v>
      </c>
      <c r="C1008" s="68" t="n">
        <v>26148.9032258065</v>
      </c>
    </row>
    <row r="1009" customFormat="false" ht="15" hidden="false" customHeight="false" outlineLevel="0" collapsed="false">
      <c r="A1009" s="68" t="s">
        <v>2840</v>
      </c>
      <c r="B1009" s="68" t="s">
        <v>2375</v>
      </c>
      <c r="C1009" s="68" t="n">
        <v>810616000</v>
      </c>
    </row>
    <row r="1010" customFormat="false" ht="15" hidden="false" customHeight="false" outlineLevel="0" collapsed="false">
      <c r="A1010" s="68" t="s">
        <v>2840</v>
      </c>
      <c r="B1010" s="68" t="s">
        <v>2388</v>
      </c>
      <c r="C1010" s="68" t="n">
        <v>27021.3581179459</v>
      </c>
    </row>
    <row r="1011" customFormat="false" ht="15" hidden="false" customHeight="false" outlineLevel="0" collapsed="false">
      <c r="A1011" s="68" t="s">
        <v>2840</v>
      </c>
      <c r="B1011" s="68" t="s">
        <v>2393</v>
      </c>
      <c r="C1011" s="68" t="n">
        <v>28528.6927396926</v>
      </c>
    </row>
    <row r="1012" customFormat="false" ht="15" hidden="false" customHeight="false" outlineLevel="0" collapsed="false">
      <c r="A1012" s="68" t="s">
        <v>2840</v>
      </c>
      <c r="B1012" s="68" t="s">
        <v>2398</v>
      </c>
      <c r="C1012" s="68" t="n">
        <v>18787085615.948</v>
      </c>
    </row>
    <row r="1013" customFormat="false" ht="15" hidden="false" customHeight="false" outlineLevel="0" collapsed="false">
      <c r="A1013" s="68" t="s">
        <v>2840</v>
      </c>
      <c r="B1013" s="68" t="s">
        <v>2432</v>
      </c>
      <c r="C1013" s="68" t="s">
        <v>3201</v>
      </c>
    </row>
    <row r="1014" customFormat="false" ht="15" hidden="false" customHeight="false" outlineLevel="0" collapsed="false">
      <c r="A1014" s="68" t="s">
        <v>2840</v>
      </c>
      <c r="B1014" s="68" t="s">
        <v>2437</v>
      </c>
      <c r="C1014" s="68" t="n">
        <v>1.9</v>
      </c>
    </row>
    <row r="1015" customFormat="false" ht="15" hidden="false" customHeight="false" outlineLevel="0" collapsed="false">
      <c r="A1015" s="68" t="s">
        <v>2840</v>
      </c>
      <c r="B1015" s="68" t="s">
        <v>2442</v>
      </c>
      <c r="C1015" s="68" t="n">
        <v>1</v>
      </c>
    </row>
    <row r="1016" customFormat="false" ht="15" hidden="false" customHeight="false" outlineLevel="0" collapsed="false">
      <c r="A1016" s="68" t="s">
        <v>2840</v>
      </c>
      <c r="B1016" s="68" t="s">
        <v>2447</v>
      </c>
      <c r="C1016" s="68" t="n">
        <v>1</v>
      </c>
    </row>
    <row r="1017" customFormat="false" ht="15" hidden="false" customHeight="false" outlineLevel="0" collapsed="false">
      <c r="A1017" s="68" t="s">
        <v>2840</v>
      </c>
      <c r="B1017" s="68" t="s">
        <v>2452</v>
      </c>
      <c r="C1017" s="68" t="n">
        <v>1</v>
      </c>
    </row>
    <row r="1018" customFormat="false" ht="15" hidden="false" customHeight="false" outlineLevel="0" collapsed="false">
      <c r="A1018" s="68" t="s">
        <v>2840</v>
      </c>
      <c r="B1018" s="68" t="s">
        <v>2457</v>
      </c>
      <c r="C1018" s="68" t="n">
        <v>1.9</v>
      </c>
    </row>
    <row r="1019" customFormat="false" ht="15" hidden="false" customHeight="false" outlineLevel="0" collapsed="false">
      <c r="A1019" s="68" t="s">
        <v>2840</v>
      </c>
      <c r="B1019" s="68" t="s">
        <v>2462</v>
      </c>
      <c r="C1019" s="68" t="n">
        <v>10526.3157894737</v>
      </c>
    </row>
    <row r="1020" customFormat="false" ht="15" hidden="false" customHeight="false" outlineLevel="0" collapsed="false">
      <c r="A1020" s="68" t="s">
        <v>2840</v>
      </c>
      <c r="B1020" s="68" t="s">
        <v>2467</v>
      </c>
      <c r="C1020" s="68" t="n">
        <v>91.347</v>
      </c>
    </row>
    <row r="1021" customFormat="false" ht="15" hidden="false" customHeight="false" outlineLevel="0" collapsed="false">
      <c r="A1021" s="68" t="s">
        <v>2840</v>
      </c>
      <c r="B1021" s="68" t="s">
        <v>2471</v>
      </c>
      <c r="C1021" s="68" t="n">
        <v>123.416</v>
      </c>
    </row>
    <row r="1022" customFormat="false" ht="15" hidden="false" customHeight="false" outlineLevel="0" collapsed="false">
      <c r="A1022" s="68" t="s">
        <v>2840</v>
      </c>
      <c r="B1022" s="68" t="s">
        <v>2475</v>
      </c>
      <c r="C1022" s="68" t="s">
        <v>369</v>
      </c>
    </row>
    <row r="1023" customFormat="false" ht="15" hidden="false" customHeight="false" outlineLevel="0" collapsed="false">
      <c r="A1023" s="68" t="s">
        <v>2840</v>
      </c>
      <c r="B1023" s="68" t="s">
        <v>2480</v>
      </c>
      <c r="C1023" s="68" t="n">
        <v>14221.7674304978</v>
      </c>
    </row>
    <row r="1024" customFormat="false" ht="15" hidden="false" customHeight="false" outlineLevel="0" collapsed="false">
      <c r="A1024" s="68" t="s">
        <v>2840</v>
      </c>
      <c r="B1024" s="68" t="s">
        <v>2484</v>
      </c>
      <c r="C1024" s="68" t="n">
        <v>11729.0517044768</v>
      </c>
    </row>
    <row r="1025" customFormat="false" ht="15" hidden="false" customHeight="false" outlineLevel="0" collapsed="false">
      <c r="A1025" s="68" t="s">
        <v>2842</v>
      </c>
      <c r="B1025" s="68" t="s">
        <v>2284</v>
      </c>
      <c r="C1025" s="68" t="n">
        <v>3.18869209809264</v>
      </c>
    </row>
    <row r="1026" customFormat="false" ht="15" hidden="false" customHeight="false" outlineLevel="0" collapsed="false">
      <c r="A1026" s="68" t="s">
        <v>2842</v>
      </c>
      <c r="B1026" s="68" t="s">
        <v>2290</v>
      </c>
      <c r="C1026" s="68" t="s">
        <v>1585</v>
      </c>
    </row>
    <row r="1027" customFormat="false" ht="15" hidden="false" customHeight="false" outlineLevel="0" collapsed="false">
      <c r="A1027" s="68" t="s">
        <v>2842</v>
      </c>
      <c r="B1027" s="68" t="s">
        <v>2365</v>
      </c>
      <c r="C1027" s="68" t="n">
        <v>15000</v>
      </c>
    </row>
    <row r="1028" customFormat="false" ht="15" hidden="false" customHeight="false" outlineLevel="0" collapsed="false">
      <c r="A1028" s="68" t="s">
        <v>2842</v>
      </c>
      <c r="B1028" s="68" t="s">
        <v>2370</v>
      </c>
      <c r="C1028" s="68" t="n">
        <v>19611.6774193548</v>
      </c>
    </row>
    <row r="1029" customFormat="false" ht="15" hidden="false" customHeight="false" outlineLevel="0" collapsed="false">
      <c r="A1029" s="68" t="s">
        <v>2842</v>
      </c>
      <c r="B1029" s="68" t="s">
        <v>2375</v>
      </c>
      <c r="C1029" s="68" t="n">
        <v>607962000</v>
      </c>
    </row>
    <row r="1030" customFormat="false" ht="15" hidden="false" customHeight="false" outlineLevel="0" collapsed="false">
      <c r="A1030" s="68" t="s">
        <v>2842</v>
      </c>
      <c r="B1030" s="68" t="s">
        <v>2388</v>
      </c>
      <c r="C1030" s="68" t="n">
        <v>25000</v>
      </c>
    </row>
    <row r="1031" customFormat="false" ht="15" hidden="false" customHeight="false" outlineLevel="0" collapsed="false">
      <c r="A1031" s="68" t="s">
        <v>2842</v>
      </c>
      <c r="B1031" s="68" t="s">
        <v>2393</v>
      </c>
      <c r="C1031" s="68" t="n">
        <v>26394.5770371417</v>
      </c>
    </row>
    <row r="1032" customFormat="false" ht="15" hidden="false" customHeight="false" outlineLevel="0" collapsed="false">
      <c r="A1032" s="68" t="s">
        <v>2842</v>
      </c>
      <c r="B1032" s="68" t="s">
        <v>2398</v>
      </c>
      <c r="C1032" s="68" t="n">
        <v>17381700000</v>
      </c>
    </row>
    <row r="1033" customFormat="false" ht="15" hidden="false" customHeight="false" outlineLevel="0" collapsed="false">
      <c r="A1033" s="68" t="s">
        <v>2842</v>
      </c>
      <c r="B1033" s="68" t="s">
        <v>2432</v>
      </c>
      <c r="C1033" s="68" t="s">
        <v>3201</v>
      </c>
    </row>
    <row r="1034" customFormat="false" ht="15" hidden="false" customHeight="false" outlineLevel="0" collapsed="false">
      <c r="A1034" s="68" t="s">
        <v>2842</v>
      </c>
      <c r="B1034" s="68" t="s">
        <v>2437</v>
      </c>
      <c r="C1034" s="68" t="n">
        <v>1.9</v>
      </c>
    </row>
    <row r="1035" customFormat="false" ht="15" hidden="false" customHeight="false" outlineLevel="0" collapsed="false">
      <c r="A1035" s="68" t="s">
        <v>2842</v>
      </c>
      <c r="B1035" s="68" t="s">
        <v>2442</v>
      </c>
      <c r="C1035" s="68" t="n">
        <v>1</v>
      </c>
    </row>
    <row r="1036" customFormat="false" ht="15" hidden="false" customHeight="false" outlineLevel="0" collapsed="false">
      <c r="A1036" s="68" t="s">
        <v>2842</v>
      </c>
      <c r="B1036" s="68" t="s">
        <v>2447</v>
      </c>
      <c r="C1036" s="68" t="n">
        <v>1</v>
      </c>
    </row>
    <row r="1037" customFormat="false" ht="15" hidden="false" customHeight="false" outlineLevel="0" collapsed="false">
      <c r="A1037" s="68" t="s">
        <v>2842</v>
      </c>
      <c r="B1037" s="68" t="s">
        <v>2452</v>
      </c>
      <c r="C1037" s="68" t="n">
        <v>1</v>
      </c>
    </row>
    <row r="1038" customFormat="false" ht="15" hidden="false" customHeight="false" outlineLevel="0" collapsed="false">
      <c r="A1038" s="68" t="s">
        <v>2842</v>
      </c>
      <c r="B1038" s="68" t="s">
        <v>2457</v>
      </c>
      <c r="C1038" s="68" t="n">
        <v>1.9</v>
      </c>
    </row>
    <row r="1039" customFormat="false" ht="15" hidden="false" customHeight="false" outlineLevel="0" collapsed="false">
      <c r="A1039" s="68" t="s">
        <v>2842</v>
      </c>
      <c r="B1039" s="68" t="s">
        <v>2462</v>
      </c>
      <c r="C1039" s="68" t="n">
        <v>7894.73684210526</v>
      </c>
    </row>
    <row r="1040" customFormat="false" ht="15" hidden="false" customHeight="false" outlineLevel="0" collapsed="false">
      <c r="A1040" s="68" t="s">
        <v>2842</v>
      </c>
      <c r="B1040" s="68" t="s">
        <v>2467</v>
      </c>
      <c r="C1040" s="68" t="n">
        <v>91.347</v>
      </c>
    </row>
    <row r="1041" customFormat="false" ht="15" hidden="false" customHeight="false" outlineLevel="0" collapsed="false">
      <c r="A1041" s="68" t="s">
        <v>2842</v>
      </c>
      <c r="B1041" s="68" t="s">
        <v>2471</v>
      </c>
      <c r="C1041" s="68" t="n">
        <v>123.416</v>
      </c>
    </row>
    <row r="1042" customFormat="false" ht="15" hidden="false" customHeight="false" outlineLevel="0" collapsed="false">
      <c r="A1042" s="68" t="s">
        <v>2842</v>
      </c>
      <c r="B1042" s="68" t="s">
        <v>2475</v>
      </c>
      <c r="C1042" s="68" t="s">
        <v>369</v>
      </c>
    </row>
    <row r="1043" customFormat="false" ht="15" hidden="false" customHeight="false" outlineLevel="0" collapsed="false">
      <c r="A1043" s="68" t="s">
        <v>2842</v>
      </c>
      <c r="B1043" s="68" t="s">
        <v>2480</v>
      </c>
      <c r="C1043" s="68" t="n">
        <v>13157.8947368421</v>
      </c>
    </row>
    <row r="1044" customFormat="false" ht="15" hidden="false" customHeight="false" outlineLevel="0" collapsed="false">
      <c r="A1044" s="68" t="s">
        <v>2842</v>
      </c>
      <c r="B1044" s="68" t="s">
        <v>2484</v>
      </c>
      <c r="C1044" s="68" t="n">
        <v>6561.73755728085</v>
      </c>
    </row>
    <row r="1045" customFormat="false" ht="15" hidden="false" customHeight="false" outlineLevel="0" collapsed="false">
      <c r="A1045" s="68" t="s">
        <v>2844</v>
      </c>
      <c r="B1045" s="68" t="s">
        <v>2284</v>
      </c>
      <c r="C1045" s="68" t="n">
        <v>4.28201634877384</v>
      </c>
    </row>
    <row r="1046" customFormat="false" ht="15" hidden="false" customHeight="false" outlineLevel="0" collapsed="false">
      <c r="A1046" s="68" t="s">
        <v>2844</v>
      </c>
      <c r="B1046" s="68" t="s">
        <v>2290</v>
      </c>
      <c r="C1046" s="68" t="s">
        <v>1585</v>
      </c>
    </row>
    <row r="1047" customFormat="false" ht="15" hidden="false" customHeight="false" outlineLevel="0" collapsed="false">
      <c r="A1047" s="68" t="s">
        <v>2844</v>
      </c>
      <c r="B1047" s="68" t="s">
        <v>2365</v>
      </c>
      <c r="C1047" s="68"/>
    </row>
    <row r="1048" customFormat="false" ht="15" hidden="false" customHeight="false" outlineLevel="0" collapsed="false">
      <c r="A1048" s="68" t="s">
        <v>2844</v>
      </c>
      <c r="B1048" s="68" t="s">
        <v>2370</v>
      </c>
      <c r="C1048" s="68"/>
    </row>
    <row r="1049" customFormat="false" ht="15" hidden="false" customHeight="false" outlineLevel="0" collapsed="false">
      <c r="A1049" s="68" t="s">
        <v>2844</v>
      </c>
      <c r="B1049" s="68" t="s">
        <v>2375</v>
      </c>
      <c r="C1049" s="68"/>
    </row>
    <row r="1050" customFormat="false" ht="15" hidden="false" customHeight="false" outlineLevel="0" collapsed="false">
      <c r="A1050" s="68" t="s">
        <v>2844</v>
      </c>
      <c r="B1050" s="68" t="s">
        <v>2388</v>
      </c>
      <c r="C1050" s="68"/>
    </row>
    <row r="1051" customFormat="false" ht="15" hidden="false" customHeight="false" outlineLevel="0" collapsed="false">
      <c r="A1051" s="68" t="s">
        <v>2844</v>
      </c>
      <c r="B1051" s="68" t="s">
        <v>2393</v>
      </c>
      <c r="C1051" s="68"/>
    </row>
    <row r="1052" customFormat="false" ht="15" hidden="false" customHeight="false" outlineLevel="0" collapsed="false">
      <c r="A1052" s="68" t="s">
        <v>2844</v>
      </c>
      <c r="B1052" s="68" t="s">
        <v>2398</v>
      </c>
      <c r="C1052" s="68"/>
    </row>
    <row r="1053" customFormat="false" ht="15" hidden="false" customHeight="false" outlineLevel="0" collapsed="false">
      <c r="A1053" s="68" t="s">
        <v>2844</v>
      </c>
      <c r="B1053" s="68" t="s">
        <v>2432</v>
      </c>
      <c r="C1053" s="68" t="s">
        <v>3203</v>
      </c>
    </row>
    <row r="1054" customFormat="false" ht="15" hidden="false" customHeight="false" outlineLevel="0" collapsed="false">
      <c r="A1054" s="68" t="s">
        <v>2844</v>
      </c>
      <c r="B1054" s="68" t="s">
        <v>2437</v>
      </c>
      <c r="C1054" s="68" t="n">
        <v>1.9</v>
      </c>
    </row>
    <row r="1055" customFormat="false" ht="15" hidden="false" customHeight="false" outlineLevel="0" collapsed="false">
      <c r="A1055" s="68" t="s">
        <v>2844</v>
      </c>
      <c r="B1055" s="68" t="s">
        <v>2442</v>
      </c>
      <c r="C1055" s="68" t="n">
        <v>1</v>
      </c>
    </row>
    <row r="1056" customFormat="false" ht="15" hidden="false" customHeight="false" outlineLevel="0" collapsed="false">
      <c r="A1056" s="68" t="s">
        <v>2844</v>
      </c>
      <c r="B1056" s="68" t="s">
        <v>2447</v>
      </c>
      <c r="C1056" s="68" t="n">
        <v>1</v>
      </c>
    </row>
    <row r="1057" customFormat="false" ht="15" hidden="false" customHeight="false" outlineLevel="0" collapsed="false">
      <c r="A1057" s="68" t="s">
        <v>2844</v>
      </c>
      <c r="B1057" s="68" t="s">
        <v>2452</v>
      </c>
      <c r="C1057" s="68" t="n">
        <v>1</v>
      </c>
    </row>
    <row r="1058" customFormat="false" ht="15" hidden="false" customHeight="false" outlineLevel="0" collapsed="false">
      <c r="A1058" s="68" t="s">
        <v>2844</v>
      </c>
      <c r="B1058" s="68" t="s">
        <v>2457</v>
      </c>
      <c r="C1058" s="68" t="n">
        <v>1.9</v>
      </c>
    </row>
    <row r="1059" customFormat="false" ht="15" hidden="false" customHeight="false" outlineLevel="0" collapsed="false">
      <c r="A1059" s="68" t="s">
        <v>2844</v>
      </c>
      <c r="B1059" s="68" t="s">
        <v>2462</v>
      </c>
      <c r="C1059" s="68"/>
    </row>
    <row r="1060" customFormat="false" ht="15" hidden="false" customHeight="false" outlineLevel="0" collapsed="false">
      <c r="A1060" s="68" t="s">
        <v>2844</v>
      </c>
      <c r="B1060" s="68" t="s">
        <v>2467</v>
      </c>
      <c r="C1060" s="68" t="n">
        <v>91.347</v>
      </c>
    </row>
    <row r="1061" customFormat="false" ht="15" hidden="false" customHeight="false" outlineLevel="0" collapsed="false">
      <c r="A1061" s="68" t="s">
        <v>2844</v>
      </c>
      <c r="B1061" s="68" t="s">
        <v>2471</v>
      </c>
      <c r="C1061" s="68" t="n">
        <v>123.416</v>
      </c>
    </row>
    <row r="1062" customFormat="false" ht="15" hidden="false" customHeight="false" outlineLevel="0" collapsed="false">
      <c r="A1062" s="68" t="s">
        <v>2844</v>
      </c>
      <c r="B1062" s="68" t="s">
        <v>2475</v>
      </c>
      <c r="C1062" s="68" t="s">
        <v>369</v>
      </c>
    </row>
    <row r="1063" customFormat="false" ht="15" hidden="false" customHeight="false" outlineLevel="0" collapsed="false">
      <c r="A1063" s="68" t="s">
        <v>2844</v>
      </c>
      <c r="B1063" s="68" t="s">
        <v>2480</v>
      </c>
      <c r="C1063" s="68"/>
    </row>
    <row r="1064" customFormat="false" ht="15" hidden="false" customHeight="false" outlineLevel="0" collapsed="false">
      <c r="A1064" s="68" t="s">
        <v>2844</v>
      </c>
      <c r="B1064" s="68" t="s">
        <v>2484</v>
      </c>
      <c r="C1064" s="68"/>
    </row>
    <row r="1065" customFormat="false" ht="15" hidden="false" customHeight="false" outlineLevel="0" collapsed="false">
      <c r="A1065" s="68" t="s">
        <v>2852</v>
      </c>
      <c r="B1065" s="68" t="s">
        <v>2284</v>
      </c>
      <c r="C1065" s="68"/>
    </row>
    <row r="1066" customFormat="false" ht="15" hidden="false" customHeight="false" outlineLevel="0" collapsed="false">
      <c r="A1066" s="68" t="s">
        <v>2852</v>
      </c>
      <c r="B1066" s="68" t="s">
        <v>2290</v>
      </c>
      <c r="C1066" s="68" t="s">
        <v>1585</v>
      </c>
    </row>
    <row r="1067" customFormat="false" ht="15" hidden="false" customHeight="false" outlineLevel="0" collapsed="false">
      <c r="A1067" s="68" t="s">
        <v>2852</v>
      </c>
      <c r="B1067" s="68" t="s">
        <v>2365</v>
      </c>
      <c r="C1067" s="68"/>
    </row>
    <row r="1068" customFormat="false" ht="15" hidden="false" customHeight="false" outlineLevel="0" collapsed="false">
      <c r="A1068" s="68" t="s">
        <v>2852</v>
      </c>
      <c r="B1068" s="68" t="s">
        <v>2370</v>
      </c>
      <c r="C1068" s="68"/>
    </row>
    <row r="1069" customFormat="false" ht="15" hidden="false" customHeight="false" outlineLevel="0" collapsed="false">
      <c r="A1069" s="68" t="s">
        <v>2852</v>
      </c>
      <c r="B1069" s="68" t="s">
        <v>2375</v>
      </c>
      <c r="C1069" s="68"/>
    </row>
    <row r="1070" customFormat="false" ht="15" hidden="false" customHeight="false" outlineLevel="0" collapsed="false">
      <c r="A1070" s="68" t="s">
        <v>2852</v>
      </c>
      <c r="B1070" s="68" t="s">
        <v>2388</v>
      </c>
      <c r="C1070" s="68"/>
    </row>
    <row r="1071" customFormat="false" ht="15" hidden="false" customHeight="false" outlineLevel="0" collapsed="false">
      <c r="A1071" s="68" t="s">
        <v>2852</v>
      </c>
      <c r="B1071" s="68" t="s">
        <v>2393</v>
      </c>
      <c r="C1071" s="68"/>
    </row>
    <row r="1072" customFormat="false" ht="15" hidden="false" customHeight="false" outlineLevel="0" collapsed="false">
      <c r="A1072" s="68" t="s">
        <v>2852</v>
      </c>
      <c r="B1072" s="68" t="s">
        <v>2398</v>
      </c>
      <c r="C1072" s="68"/>
    </row>
    <row r="1073" customFormat="false" ht="15" hidden="false" customHeight="false" outlineLevel="0" collapsed="false">
      <c r="A1073" s="68" t="s">
        <v>2852</v>
      </c>
      <c r="B1073" s="68" t="s">
        <v>2432</v>
      </c>
      <c r="C1073" s="68" t="s">
        <v>3204</v>
      </c>
    </row>
    <row r="1074" customFormat="false" ht="15" hidden="false" customHeight="false" outlineLevel="0" collapsed="false">
      <c r="A1074" s="68" t="s">
        <v>2852</v>
      </c>
      <c r="B1074" s="68" t="s">
        <v>2437</v>
      </c>
      <c r="C1074" s="68" t="n">
        <v>1.9</v>
      </c>
    </row>
    <row r="1075" customFormat="false" ht="15" hidden="false" customHeight="false" outlineLevel="0" collapsed="false">
      <c r="A1075" s="68" t="s">
        <v>2852</v>
      </c>
      <c r="B1075" s="68" t="s">
        <v>2442</v>
      </c>
      <c r="C1075" s="68" t="n">
        <v>1</v>
      </c>
    </row>
    <row r="1076" customFormat="false" ht="15" hidden="false" customHeight="false" outlineLevel="0" collapsed="false">
      <c r="A1076" s="68" t="s">
        <v>2852</v>
      </c>
      <c r="B1076" s="68" t="s">
        <v>2447</v>
      </c>
      <c r="C1076" s="68" t="n">
        <v>1</v>
      </c>
    </row>
    <row r="1077" customFormat="false" ht="15" hidden="false" customHeight="false" outlineLevel="0" collapsed="false">
      <c r="A1077" s="68" t="s">
        <v>2852</v>
      </c>
      <c r="B1077" s="68" t="s">
        <v>2452</v>
      </c>
      <c r="C1077" s="68" t="n">
        <v>1</v>
      </c>
    </row>
    <row r="1078" customFormat="false" ht="15" hidden="false" customHeight="false" outlineLevel="0" collapsed="false">
      <c r="A1078" s="68" t="s">
        <v>2852</v>
      </c>
      <c r="B1078" s="68" t="s">
        <v>2457</v>
      </c>
      <c r="C1078" s="68" t="n">
        <v>1.9</v>
      </c>
    </row>
    <row r="1079" customFormat="false" ht="15" hidden="false" customHeight="false" outlineLevel="0" collapsed="false">
      <c r="A1079" s="68" t="s">
        <v>2852</v>
      </c>
      <c r="B1079" s="68" t="s">
        <v>2462</v>
      </c>
      <c r="C1079" s="68"/>
    </row>
    <row r="1080" customFormat="false" ht="15" hidden="false" customHeight="false" outlineLevel="0" collapsed="false">
      <c r="A1080" s="68" t="s">
        <v>2852</v>
      </c>
      <c r="B1080" s="68" t="s">
        <v>2467</v>
      </c>
      <c r="C1080" s="68" t="n">
        <v>91.347</v>
      </c>
    </row>
    <row r="1081" customFormat="false" ht="15" hidden="false" customHeight="false" outlineLevel="0" collapsed="false">
      <c r="A1081" s="68" t="s">
        <v>2852</v>
      </c>
      <c r="B1081" s="68" t="s">
        <v>2471</v>
      </c>
      <c r="C1081" s="68" t="n">
        <v>123.416</v>
      </c>
    </row>
    <row r="1082" customFormat="false" ht="15" hidden="false" customHeight="false" outlineLevel="0" collapsed="false">
      <c r="A1082" s="68" t="s">
        <v>2852</v>
      </c>
      <c r="B1082" s="68" t="s">
        <v>2475</v>
      </c>
      <c r="C1082" s="68" t="s">
        <v>369</v>
      </c>
    </row>
    <row r="1083" customFormat="false" ht="15" hidden="false" customHeight="false" outlineLevel="0" collapsed="false">
      <c r="A1083" s="68" t="s">
        <v>2852</v>
      </c>
      <c r="B1083" s="68" t="s">
        <v>2480</v>
      </c>
      <c r="C1083" s="68"/>
    </row>
    <row r="1084" customFormat="false" ht="15" hidden="false" customHeight="false" outlineLevel="0" collapsed="false">
      <c r="A1084" s="68" t="s">
        <v>2852</v>
      </c>
      <c r="B1084" s="68" t="s">
        <v>2484</v>
      </c>
      <c r="C1084" s="68"/>
    </row>
    <row r="1085" customFormat="false" ht="15" hidden="false" customHeight="false" outlineLevel="0" collapsed="false">
      <c r="A1085" s="68" t="s">
        <v>2858</v>
      </c>
      <c r="B1085" s="68" t="s">
        <v>2284</v>
      </c>
      <c r="C1085" s="68"/>
    </row>
    <row r="1086" customFormat="false" ht="15" hidden="false" customHeight="false" outlineLevel="0" collapsed="false">
      <c r="A1086" s="68" t="s">
        <v>2858</v>
      </c>
      <c r="B1086" s="68" t="s">
        <v>2290</v>
      </c>
      <c r="C1086" s="68" t="s">
        <v>1585</v>
      </c>
    </row>
    <row r="1087" customFormat="false" ht="15" hidden="false" customHeight="false" outlineLevel="0" collapsed="false">
      <c r="A1087" s="68" t="s">
        <v>2858</v>
      </c>
      <c r="B1087" s="68" t="s">
        <v>2365</v>
      </c>
      <c r="C1087" s="68"/>
    </row>
    <row r="1088" customFormat="false" ht="15" hidden="false" customHeight="false" outlineLevel="0" collapsed="false">
      <c r="A1088" s="68" t="s">
        <v>2858</v>
      </c>
      <c r="B1088" s="68" t="s">
        <v>2370</v>
      </c>
      <c r="C1088" s="68"/>
    </row>
    <row r="1089" customFormat="false" ht="15" hidden="false" customHeight="false" outlineLevel="0" collapsed="false">
      <c r="A1089" s="68" t="s">
        <v>2858</v>
      </c>
      <c r="B1089" s="68" t="s">
        <v>2375</v>
      </c>
      <c r="C1089" s="68"/>
    </row>
    <row r="1090" customFormat="false" ht="15" hidden="false" customHeight="false" outlineLevel="0" collapsed="false">
      <c r="A1090" s="68" t="s">
        <v>2858</v>
      </c>
      <c r="B1090" s="68" t="s">
        <v>2388</v>
      </c>
      <c r="C1090" s="68"/>
    </row>
    <row r="1091" customFormat="false" ht="15" hidden="false" customHeight="false" outlineLevel="0" collapsed="false">
      <c r="A1091" s="68" t="s">
        <v>2858</v>
      </c>
      <c r="B1091" s="68" t="s">
        <v>2393</v>
      </c>
      <c r="C1091" s="68"/>
    </row>
    <row r="1092" customFormat="false" ht="15" hidden="false" customHeight="false" outlineLevel="0" collapsed="false">
      <c r="A1092" s="68" t="s">
        <v>2858</v>
      </c>
      <c r="B1092" s="68" t="s">
        <v>2398</v>
      </c>
      <c r="C1092" s="68"/>
    </row>
    <row r="1093" customFormat="false" ht="15" hidden="false" customHeight="false" outlineLevel="0" collapsed="false">
      <c r="A1093" s="68" t="s">
        <v>2858</v>
      </c>
      <c r="B1093" s="68" t="s">
        <v>2432</v>
      </c>
      <c r="C1093" s="68" t="s">
        <v>3204</v>
      </c>
    </row>
    <row r="1094" customFormat="false" ht="15" hidden="false" customHeight="false" outlineLevel="0" collapsed="false">
      <c r="A1094" s="68" t="s">
        <v>2858</v>
      </c>
      <c r="B1094" s="68" t="s">
        <v>2437</v>
      </c>
      <c r="C1094" s="68" t="n">
        <v>1.9</v>
      </c>
    </row>
    <row r="1095" customFormat="false" ht="15" hidden="false" customHeight="false" outlineLevel="0" collapsed="false">
      <c r="A1095" s="68" t="s">
        <v>2858</v>
      </c>
      <c r="B1095" s="68" t="s">
        <v>2442</v>
      </c>
      <c r="C1095" s="68" t="n">
        <v>1</v>
      </c>
    </row>
    <row r="1096" customFormat="false" ht="15" hidden="false" customHeight="false" outlineLevel="0" collapsed="false">
      <c r="A1096" s="68" t="s">
        <v>2858</v>
      </c>
      <c r="B1096" s="68" t="s">
        <v>2447</v>
      </c>
      <c r="C1096" s="68" t="n">
        <v>1</v>
      </c>
    </row>
    <row r="1097" customFormat="false" ht="15" hidden="false" customHeight="false" outlineLevel="0" collapsed="false">
      <c r="A1097" s="68" t="s">
        <v>2858</v>
      </c>
      <c r="B1097" s="68" t="s">
        <v>2452</v>
      </c>
      <c r="C1097" s="68" t="n">
        <v>1</v>
      </c>
    </row>
    <row r="1098" customFormat="false" ht="15" hidden="false" customHeight="false" outlineLevel="0" collapsed="false">
      <c r="A1098" s="68" t="s">
        <v>2858</v>
      </c>
      <c r="B1098" s="68" t="s">
        <v>2457</v>
      </c>
      <c r="C1098" s="68" t="n">
        <v>1.9</v>
      </c>
    </row>
    <row r="1099" customFormat="false" ht="15" hidden="false" customHeight="false" outlineLevel="0" collapsed="false">
      <c r="A1099" s="68" t="s">
        <v>2858</v>
      </c>
      <c r="B1099" s="68" t="s">
        <v>2462</v>
      </c>
      <c r="C1099" s="68"/>
    </row>
    <row r="1100" customFormat="false" ht="15" hidden="false" customHeight="false" outlineLevel="0" collapsed="false">
      <c r="A1100" s="68" t="s">
        <v>2858</v>
      </c>
      <c r="B1100" s="68" t="s">
        <v>2467</v>
      </c>
      <c r="C1100" s="68" t="n">
        <v>91.347</v>
      </c>
    </row>
    <row r="1101" customFormat="false" ht="15" hidden="false" customHeight="false" outlineLevel="0" collapsed="false">
      <c r="A1101" s="68" t="s">
        <v>2858</v>
      </c>
      <c r="B1101" s="68" t="s">
        <v>2471</v>
      </c>
      <c r="C1101" s="68" t="n">
        <v>123.416</v>
      </c>
    </row>
    <row r="1102" customFormat="false" ht="15" hidden="false" customHeight="false" outlineLevel="0" collapsed="false">
      <c r="A1102" s="68" t="s">
        <v>2858</v>
      </c>
      <c r="B1102" s="68" t="s">
        <v>2475</v>
      </c>
      <c r="C1102" s="68" t="s">
        <v>369</v>
      </c>
    </row>
    <row r="1103" customFormat="false" ht="15" hidden="false" customHeight="false" outlineLevel="0" collapsed="false">
      <c r="A1103" s="68" t="s">
        <v>2858</v>
      </c>
      <c r="B1103" s="68" t="s">
        <v>2480</v>
      </c>
      <c r="C1103" s="68"/>
    </row>
    <row r="1104" customFormat="false" ht="15" hidden="false" customHeight="false" outlineLevel="0" collapsed="false">
      <c r="A1104" s="68" t="s">
        <v>2858</v>
      </c>
      <c r="B1104" s="68" t="s">
        <v>2484</v>
      </c>
      <c r="C1104" s="68"/>
    </row>
    <row r="1105" customFormat="false" ht="15" hidden="false" customHeight="false" outlineLevel="0" collapsed="false">
      <c r="A1105" s="68" t="s">
        <v>2864</v>
      </c>
      <c r="B1105" s="68" t="s">
        <v>2284</v>
      </c>
      <c r="C1105" s="68"/>
    </row>
    <row r="1106" customFormat="false" ht="15" hidden="false" customHeight="false" outlineLevel="0" collapsed="false">
      <c r="A1106" s="68" t="s">
        <v>2864</v>
      </c>
      <c r="B1106" s="68" t="s">
        <v>2290</v>
      </c>
      <c r="C1106" s="68" t="s">
        <v>1585</v>
      </c>
    </row>
    <row r="1107" customFormat="false" ht="15" hidden="false" customHeight="false" outlineLevel="0" collapsed="false">
      <c r="A1107" s="68" t="s">
        <v>2864</v>
      </c>
      <c r="B1107" s="68" t="s">
        <v>2365</v>
      </c>
      <c r="C1107" s="68"/>
    </row>
    <row r="1108" customFormat="false" ht="15" hidden="false" customHeight="false" outlineLevel="0" collapsed="false">
      <c r="A1108" s="68" t="s">
        <v>2864</v>
      </c>
      <c r="B1108" s="68" t="s">
        <v>2370</v>
      </c>
      <c r="C1108" s="68"/>
    </row>
    <row r="1109" customFormat="false" ht="15" hidden="false" customHeight="false" outlineLevel="0" collapsed="false">
      <c r="A1109" s="68" t="s">
        <v>2864</v>
      </c>
      <c r="B1109" s="68" t="s">
        <v>2375</v>
      </c>
      <c r="C1109" s="68"/>
    </row>
    <row r="1110" customFormat="false" ht="15" hidden="false" customHeight="false" outlineLevel="0" collapsed="false">
      <c r="A1110" s="68" t="s">
        <v>2864</v>
      </c>
      <c r="B1110" s="68" t="s">
        <v>2388</v>
      </c>
      <c r="C1110" s="68"/>
    </row>
    <row r="1111" customFormat="false" ht="15" hidden="false" customHeight="false" outlineLevel="0" collapsed="false">
      <c r="A1111" s="68" t="s">
        <v>2864</v>
      </c>
      <c r="B1111" s="68" t="s">
        <v>2393</v>
      </c>
      <c r="C1111" s="68"/>
    </row>
    <row r="1112" customFormat="false" ht="15" hidden="false" customHeight="false" outlineLevel="0" collapsed="false">
      <c r="A1112" s="68" t="s">
        <v>2864</v>
      </c>
      <c r="B1112" s="68" t="s">
        <v>2398</v>
      </c>
      <c r="C1112" s="68"/>
    </row>
    <row r="1113" customFormat="false" ht="15" hidden="false" customHeight="false" outlineLevel="0" collapsed="false">
      <c r="A1113" s="68" t="s">
        <v>2864</v>
      </c>
      <c r="B1113" s="68" t="s">
        <v>2432</v>
      </c>
      <c r="C1113" s="68" t="s">
        <v>3204</v>
      </c>
    </row>
    <row r="1114" customFormat="false" ht="15" hidden="false" customHeight="false" outlineLevel="0" collapsed="false">
      <c r="A1114" s="68" t="s">
        <v>2864</v>
      </c>
      <c r="B1114" s="68" t="s">
        <v>2437</v>
      </c>
      <c r="C1114" s="68" t="n">
        <v>1.9</v>
      </c>
    </row>
    <row r="1115" customFormat="false" ht="15" hidden="false" customHeight="false" outlineLevel="0" collapsed="false">
      <c r="A1115" s="68" t="s">
        <v>2864</v>
      </c>
      <c r="B1115" s="68" t="s">
        <v>2442</v>
      </c>
      <c r="C1115" s="68" t="n">
        <v>1</v>
      </c>
    </row>
    <row r="1116" customFormat="false" ht="15" hidden="false" customHeight="false" outlineLevel="0" collapsed="false">
      <c r="A1116" s="68" t="s">
        <v>2864</v>
      </c>
      <c r="B1116" s="68" t="s">
        <v>2447</v>
      </c>
      <c r="C1116" s="68" t="n">
        <v>1</v>
      </c>
    </row>
    <row r="1117" customFormat="false" ht="15" hidden="false" customHeight="false" outlineLevel="0" collapsed="false">
      <c r="A1117" s="68" t="s">
        <v>2864</v>
      </c>
      <c r="B1117" s="68" t="s">
        <v>2452</v>
      </c>
      <c r="C1117" s="68" t="n">
        <v>1</v>
      </c>
    </row>
    <row r="1118" customFormat="false" ht="15" hidden="false" customHeight="false" outlineLevel="0" collapsed="false">
      <c r="A1118" s="68" t="s">
        <v>2864</v>
      </c>
      <c r="B1118" s="68" t="s">
        <v>2457</v>
      </c>
      <c r="C1118" s="68" t="n">
        <v>1.9</v>
      </c>
    </row>
    <row r="1119" customFormat="false" ht="15" hidden="false" customHeight="false" outlineLevel="0" collapsed="false">
      <c r="A1119" s="68" t="s">
        <v>2864</v>
      </c>
      <c r="B1119" s="68" t="s">
        <v>2462</v>
      </c>
      <c r="C1119" s="68"/>
    </row>
    <row r="1120" customFormat="false" ht="15" hidden="false" customHeight="false" outlineLevel="0" collapsed="false">
      <c r="A1120" s="68" t="s">
        <v>2864</v>
      </c>
      <c r="B1120" s="68" t="s">
        <v>2467</v>
      </c>
      <c r="C1120" s="68" t="n">
        <v>91.347</v>
      </c>
    </row>
    <row r="1121" customFormat="false" ht="15" hidden="false" customHeight="false" outlineLevel="0" collapsed="false">
      <c r="A1121" s="68" t="s">
        <v>2864</v>
      </c>
      <c r="B1121" s="68" t="s">
        <v>2471</v>
      </c>
      <c r="C1121" s="68" t="n">
        <v>123.416</v>
      </c>
    </row>
    <row r="1122" customFormat="false" ht="15" hidden="false" customHeight="false" outlineLevel="0" collapsed="false">
      <c r="A1122" s="68" t="s">
        <v>2864</v>
      </c>
      <c r="B1122" s="68" t="s">
        <v>2475</v>
      </c>
      <c r="C1122" s="68" t="s">
        <v>369</v>
      </c>
    </row>
    <row r="1123" customFormat="false" ht="15" hidden="false" customHeight="false" outlineLevel="0" collapsed="false">
      <c r="A1123" s="68" t="s">
        <v>2864</v>
      </c>
      <c r="B1123" s="68" t="s">
        <v>2480</v>
      </c>
      <c r="C1123" s="68"/>
    </row>
    <row r="1124" customFormat="false" ht="15" hidden="false" customHeight="false" outlineLevel="0" collapsed="false">
      <c r="A1124" s="68" t="s">
        <v>2864</v>
      </c>
      <c r="B1124" s="68" t="s">
        <v>2484</v>
      </c>
      <c r="C1124" s="68"/>
    </row>
    <row r="1125" customFormat="false" ht="15" hidden="false" customHeight="false" outlineLevel="0" collapsed="false">
      <c r="A1125" s="68" t="s">
        <v>2865</v>
      </c>
      <c r="B1125" s="68" t="s">
        <v>2284</v>
      </c>
      <c r="C1125" s="68"/>
    </row>
    <row r="1126" customFormat="false" ht="15" hidden="false" customHeight="false" outlineLevel="0" collapsed="false">
      <c r="A1126" s="68" t="s">
        <v>2865</v>
      </c>
      <c r="B1126" s="68" t="s">
        <v>2290</v>
      </c>
      <c r="C1126" s="68" t="s">
        <v>1605</v>
      </c>
    </row>
    <row r="1127" customFormat="false" ht="15" hidden="false" customHeight="false" outlineLevel="0" collapsed="false">
      <c r="A1127" s="68" t="s">
        <v>2865</v>
      </c>
      <c r="B1127" s="68" t="s">
        <v>2365</v>
      </c>
      <c r="C1127" s="68"/>
    </row>
    <row r="1128" customFormat="false" ht="15" hidden="false" customHeight="false" outlineLevel="0" collapsed="false">
      <c r="A1128" s="68" t="s">
        <v>2865</v>
      </c>
      <c r="B1128" s="68" t="s">
        <v>2370</v>
      </c>
      <c r="C1128" s="68"/>
    </row>
    <row r="1129" customFormat="false" ht="15" hidden="false" customHeight="false" outlineLevel="0" collapsed="false">
      <c r="A1129" s="68" t="s">
        <v>2865</v>
      </c>
      <c r="B1129" s="68" t="s">
        <v>2375</v>
      </c>
      <c r="C1129" s="68"/>
    </row>
    <row r="1130" customFormat="false" ht="15" hidden="false" customHeight="false" outlineLevel="0" collapsed="false">
      <c r="A1130" s="68" t="s">
        <v>2865</v>
      </c>
      <c r="B1130" s="68" t="s">
        <v>2388</v>
      </c>
      <c r="C1130" s="68"/>
    </row>
    <row r="1131" customFormat="false" ht="15" hidden="false" customHeight="false" outlineLevel="0" collapsed="false">
      <c r="A1131" s="68" t="s">
        <v>2865</v>
      </c>
      <c r="B1131" s="68" t="s">
        <v>2393</v>
      </c>
      <c r="C1131" s="68"/>
    </row>
    <row r="1132" customFormat="false" ht="15" hidden="false" customHeight="false" outlineLevel="0" collapsed="false">
      <c r="A1132" s="68" t="s">
        <v>2865</v>
      </c>
      <c r="B1132" s="68" t="s">
        <v>2398</v>
      </c>
      <c r="C1132" s="68"/>
    </row>
    <row r="1133" customFormat="false" ht="15" hidden="false" customHeight="false" outlineLevel="0" collapsed="false">
      <c r="A1133" s="68" t="s">
        <v>2865</v>
      </c>
      <c r="B1133" s="68" t="s">
        <v>2432</v>
      </c>
      <c r="C1133" s="68" t="s">
        <v>3204</v>
      </c>
    </row>
    <row r="1134" customFormat="false" ht="15" hidden="false" customHeight="false" outlineLevel="0" collapsed="false">
      <c r="A1134" s="68" t="s">
        <v>2865</v>
      </c>
      <c r="B1134" s="68" t="s">
        <v>2437</v>
      </c>
      <c r="C1134" s="68" t="n">
        <v>1.7</v>
      </c>
    </row>
    <row r="1135" customFormat="false" ht="15" hidden="false" customHeight="false" outlineLevel="0" collapsed="false">
      <c r="A1135" s="68" t="s">
        <v>2865</v>
      </c>
      <c r="B1135" s="68" t="s">
        <v>2442</v>
      </c>
      <c r="C1135" s="68" t="n">
        <v>1</v>
      </c>
    </row>
    <row r="1136" customFormat="false" ht="15" hidden="false" customHeight="false" outlineLevel="0" collapsed="false">
      <c r="A1136" s="68" t="s">
        <v>2865</v>
      </c>
      <c r="B1136" s="68" t="s">
        <v>2447</v>
      </c>
      <c r="C1136" s="68" t="n">
        <v>1</v>
      </c>
    </row>
    <row r="1137" customFormat="false" ht="15" hidden="false" customHeight="false" outlineLevel="0" collapsed="false">
      <c r="A1137" s="68" t="s">
        <v>2865</v>
      </c>
      <c r="B1137" s="68" t="s">
        <v>2452</v>
      </c>
      <c r="C1137" s="68" t="n">
        <v>1</v>
      </c>
    </row>
    <row r="1138" customFormat="false" ht="15" hidden="false" customHeight="false" outlineLevel="0" collapsed="false">
      <c r="A1138" s="68" t="s">
        <v>2865</v>
      </c>
      <c r="B1138" s="68" t="s">
        <v>2457</v>
      </c>
      <c r="C1138" s="68" t="n">
        <v>1.7</v>
      </c>
    </row>
    <row r="1139" customFormat="false" ht="15" hidden="false" customHeight="false" outlineLevel="0" collapsed="false">
      <c r="A1139" s="68" t="s">
        <v>2865</v>
      </c>
      <c r="B1139" s="68" t="s">
        <v>2462</v>
      </c>
      <c r="C1139" s="68"/>
    </row>
    <row r="1140" customFormat="false" ht="15" hidden="false" customHeight="false" outlineLevel="0" collapsed="false">
      <c r="A1140" s="68" t="s">
        <v>2865</v>
      </c>
      <c r="B1140" s="68" t="s">
        <v>2467</v>
      </c>
      <c r="C1140" s="68" t="n">
        <v>91.347</v>
      </c>
    </row>
    <row r="1141" customFormat="false" ht="15" hidden="false" customHeight="false" outlineLevel="0" collapsed="false">
      <c r="A1141" s="68" t="s">
        <v>2865</v>
      </c>
      <c r="B1141" s="68" t="s">
        <v>2471</v>
      </c>
      <c r="C1141" s="68" t="n">
        <v>123.416</v>
      </c>
    </row>
    <row r="1142" customFormat="false" ht="15" hidden="false" customHeight="false" outlineLevel="0" collapsed="false">
      <c r="A1142" s="68" t="s">
        <v>2865</v>
      </c>
      <c r="B1142" s="68" t="s">
        <v>2475</v>
      </c>
      <c r="C1142" s="68" t="s">
        <v>312</v>
      </c>
    </row>
    <row r="1143" customFormat="false" ht="15" hidden="false" customHeight="false" outlineLevel="0" collapsed="false">
      <c r="A1143" s="68" t="s">
        <v>2865</v>
      </c>
      <c r="B1143" s="68" t="s">
        <v>2480</v>
      </c>
      <c r="C1143" s="68"/>
    </row>
    <row r="1144" customFormat="false" ht="15" hidden="false" customHeight="false" outlineLevel="0" collapsed="false">
      <c r="A1144" s="68" t="s">
        <v>2865</v>
      </c>
      <c r="B1144" s="68" t="s">
        <v>2484</v>
      </c>
      <c r="C1144" s="68"/>
    </row>
    <row r="1145" customFormat="false" ht="15" hidden="false" customHeight="false" outlineLevel="0" collapsed="false">
      <c r="A1145" s="68" t="s">
        <v>2871</v>
      </c>
      <c r="B1145" s="68" t="s">
        <v>2284</v>
      </c>
      <c r="C1145" s="68"/>
    </row>
    <row r="1146" customFormat="false" ht="15" hidden="false" customHeight="false" outlineLevel="0" collapsed="false">
      <c r="A1146" s="68" t="s">
        <v>2871</v>
      </c>
      <c r="B1146" s="68" t="s">
        <v>2290</v>
      </c>
      <c r="C1146" s="68" t="s">
        <v>1585</v>
      </c>
    </row>
    <row r="1147" customFormat="false" ht="15" hidden="false" customHeight="false" outlineLevel="0" collapsed="false">
      <c r="A1147" s="68" t="s">
        <v>2871</v>
      </c>
      <c r="B1147" s="68" t="s">
        <v>2365</v>
      </c>
      <c r="C1147" s="68"/>
    </row>
    <row r="1148" customFormat="false" ht="15" hidden="false" customHeight="false" outlineLevel="0" collapsed="false">
      <c r="A1148" s="68" t="s">
        <v>2871</v>
      </c>
      <c r="B1148" s="68" t="s">
        <v>2370</v>
      </c>
      <c r="C1148" s="68"/>
    </row>
    <row r="1149" customFormat="false" ht="15" hidden="false" customHeight="false" outlineLevel="0" collapsed="false">
      <c r="A1149" s="68" t="s">
        <v>2871</v>
      </c>
      <c r="B1149" s="68" t="s">
        <v>2375</v>
      </c>
      <c r="C1149" s="68"/>
    </row>
    <row r="1150" customFormat="false" ht="15" hidden="false" customHeight="false" outlineLevel="0" collapsed="false">
      <c r="A1150" s="68" t="s">
        <v>2871</v>
      </c>
      <c r="B1150" s="68" t="s">
        <v>2388</v>
      </c>
      <c r="C1150" s="68"/>
    </row>
    <row r="1151" customFormat="false" ht="15" hidden="false" customHeight="false" outlineLevel="0" collapsed="false">
      <c r="A1151" s="68" t="s">
        <v>2871</v>
      </c>
      <c r="B1151" s="68" t="s">
        <v>2393</v>
      </c>
      <c r="C1151" s="68"/>
    </row>
    <row r="1152" customFormat="false" ht="15" hidden="false" customHeight="false" outlineLevel="0" collapsed="false">
      <c r="A1152" s="68" t="s">
        <v>2871</v>
      </c>
      <c r="B1152" s="68" t="s">
        <v>2398</v>
      </c>
      <c r="C1152" s="68"/>
    </row>
    <row r="1153" customFormat="false" ht="15" hidden="false" customHeight="false" outlineLevel="0" collapsed="false">
      <c r="A1153" s="68" t="s">
        <v>2871</v>
      </c>
      <c r="B1153" s="68" t="s">
        <v>2432</v>
      </c>
      <c r="C1153" s="68" t="s">
        <v>3204</v>
      </c>
    </row>
    <row r="1154" customFormat="false" ht="15" hidden="false" customHeight="false" outlineLevel="0" collapsed="false">
      <c r="A1154" s="68" t="s">
        <v>2871</v>
      </c>
      <c r="B1154" s="68" t="s">
        <v>2437</v>
      </c>
      <c r="C1154" s="68" t="n">
        <v>1.9</v>
      </c>
    </row>
    <row r="1155" customFormat="false" ht="15" hidden="false" customHeight="false" outlineLevel="0" collapsed="false">
      <c r="A1155" s="68" t="s">
        <v>2871</v>
      </c>
      <c r="B1155" s="68" t="s">
        <v>2442</v>
      </c>
      <c r="C1155" s="68" t="n">
        <v>1</v>
      </c>
    </row>
    <row r="1156" customFormat="false" ht="15" hidden="false" customHeight="false" outlineLevel="0" collapsed="false">
      <c r="A1156" s="68" t="s">
        <v>2871</v>
      </c>
      <c r="B1156" s="68" t="s">
        <v>2447</v>
      </c>
      <c r="C1156" s="68" t="n">
        <v>1</v>
      </c>
    </row>
    <row r="1157" customFormat="false" ht="15" hidden="false" customHeight="false" outlineLevel="0" collapsed="false">
      <c r="A1157" s="68" t="s">
        <v>2871</v>
      </c>
      <c r="B1157" s="68" t="s">
        <v>2452</v>
      </c>
      <c r="C1157" s="68" t="n">
        <v>1</v>
      </c>
    </row>
    <row r="1158" customFormat="false" ht="15" hidden="false" customHeight="false" outlineLevel="0" collapsed="false">
      <c r="A1158" s="68" t="s">
        <v>2871</v>
      </c>
      <c r="B1158" s="68" t="s">
        <v>2457</v>
      </c>
      <c r="C1158" s="68" t="n">
        <v>1.9</v>
      </c>
    </row>
    <row r="1159" customFormat="false" ht="15" hidden="false" customHeight="false" outlineLevel="0" collapsed="false">
      <c r="A1159" s="68" t="s">
        <v>2871</v>
      </c>
      <c r="B1159" s="68" t="s">
        <v>2462</v>
      </c>
      <c r="C1159" s="68"/>
    </row>
    <row r="1160" customFormat="false" ht="15" hidden="false" customHeight="false" outlineLevel="0" collapsed="false">
      <c r="A1160" s="68" t="s">
        <v>2871</v>
      </c>
      <c r="B1160" s="68" t="s">
        <v>2467</v>
      </c>
      <c r="C1160" s="68" t="n">
        <v>91.347</v>
      </c>
    </row>
    <row r="1161" customFormat="false" ht="15" hidden="false" customHeight="false" outlineLevel="0" collapsed="false">
      <c r="A1161" s="68" t="s">
        <v>2871</v>
      </c>
      <c r="B1161" s="68" t="s">
        <v>2471</v>
      </c>
      <c r="C1161" s="68" t="n">
        <v>123.416</v>
      </c>
    </row>
    <row r="1162" customFormat="false" ht="15" hidden="false" customHeight="false" outlineLevel="0" collapsed="false">
      <c r="A1162" s="68" t="s">
        <v>2871</v>
      </c>
      <c r="B1162" s="68" t="s">
        <v>2475</v>
      </c>
      <c r="C1162" s="68" t="s">
        <v>312</v>
      </c>
    </row>
    <row r="1163" customFormat="false" ht="15" hidden="false" customHeight="false" outlineLevel="0" collapsed="false">
      <c r="A1163" s="68" t="s">
        <v>2871</v>
      </c>
      <c r="B1163" s="68" t="s">
        <v>2480</v>
      </c>
      <c r="C1163" s="68"/>
    </row>
    <row r="1164" customFormat="false" ht="15" hidden="false" customHeight="false" outlineLevel="0" collapsed="false">
      <c r="A1164" s="68" t="s">
        <v>2871</v>
      </c>
      <c r="B1164" s="68" t="s">
        <v>2484</v>
      </c>
      <c r="C1164" s="68"/>
    </row>
    <row r="1165" customFormat="false" ht="15" hidden="false" customHeight="false" outlineLevel="0" collapsed="false">
      <c r="A1165" s="68" t="s">
        <v>2878</v>
      </c>
      <c r="B1165" s="68" t="s">
        <v>2284</v>
      </c>
      <c r="C1165" s="68" t="n">
        <v>28.2125340599455</v>
      </c>
    </row>
    <row r="1166" customFormat="false" ht="15" hidden="false" customHeight="false" outlineLevel="0" collapsed="false">
      <c r="A1166" s="68" t="s">
        <v>2878</v>
      </c>
      <c r="B1166" s="68" t="s">
        <v>2290</v>
      </c>
      <c r="C1166" s="68" t="s">
        <v>3205</v>
      </c>
    </row>
    <row r="1167" customFormat="false" ht="15" hidden="false" customHeight="false" outlineLevel="0" collapsed="false">
      <c r="A1167" s="68" t="s">
        <v>2878</v>
      </c>
      <c r="B1167" s="68" t="s">
        <v>2365</v>
      </c>
      <c r="C1167" s="68" t="n">
        <v>55000</v>
      </c>
    </row>
    <row r="1168" customFormat="false" ht="15" hidden="false" customHeight="false" outlineLevel="0" collapsed="false">
      <c r="A1168" s="68" t="s">
        <v>2878</v>
      </c>
      <c r="B1168" s="68" t="s">
        <v>2370</v>
      </c>
      <c r="C1168" s="68" t="n">
        <v>71909.4838709677</v>
      </c>
    </row>
    <row r="1169" customFormat="false" ht="15" hidden="false" customHeight="false" outlineLevel="0" collapsed="false">
      <c r="A1169" s="68" t="s">
        <v>2878</v>
      </c>
      <c r="B1169" s="68" t="s">
        <v>2375</v>
      </c>
      <c r="C1169" s="68" t="n">
        <v>2229194000</v>
      </c>
    </row>
    <row r="1170" customFormat="false" ht="15" hidden="false" customHeight="false" outlineLevel="0" collapsed="false">
      <c r="A1170" s="68" t="s">
        <v>2878</v>
      </c>
      <c r="B1170" s="68" t="s">
        <v>2388</v>
      </c>
      <c r="C1170" s="68" t="n">
        <v>74308.7348243511</v>
      </c>
    </row>
    <row r="1171" customFormat="false" ht="15" hidden="false" customHeight="false" outlineLevel="0" collapsed="false">
      <c r="A1171" s="68" t="s">
        <v>2878</v>
      </c>
      <c r="B1171" s="68" t="s">
        <v>2393</v>
      </c>
      <c r="C1171" s="68" t="n">
        <v>78453.9050341546</v>
      </c>
    </row>
    <row r="1172" customFormat="false" ht="15" hidden="false" customHeight="false" outlineLevel="0" collapsed="false">
      <c r="A1172" s="68" t="s">
        <v>2878</v>
      </c>
      <c r="B1172" s="68" t="s">
        <v>2398</v>
      </c>
      <c r="C1172" s="68" t="n">
        <v>51664485443.857</v>
      </c>
    </row>
    <row r="1173" customFormat="false" ht="15" hidden="false" customHeight="false" outlineLevel="0" collapsed="false">
      <c r="A1173" s="68" t="s">
        <v>2878</v>
      </c>
      <c r="B1173" s="68" t="s">
        <v>2432</v>
      </c>
      <c r="C1173" s="68" t="s">
        <v>3201</v>
      </c>
    </row>
    <row r="1174" customFormat="false" ht="15" hidden="false" customHeight="false" outlineLevel="0" collapsed="false">
      <c r="A1174" s="68" t="s">
        <v>2878</v>
      </c>
      <c r="B1174" s="68" t="s">
        <v>2437</v>
      </c>
      <c r="C1174" s="68" t="n">
        <v>1.7</v>
      </c>
    </row>
    <row r="1175" customFormat="false" ht="15" hidden="false" customHeight="false" outlineLevel="0" collapsed="false">
      <c r="A1175" s="68" t="s">
        <v>2878</v>
      </c>
      <c r="B1175" s="68" t="s">
        <v>2442</v>
      </c>
      <c r="C1175" s="68" t="n">
        <v>1</v>
      </c>
    </row>
    <row r="1176" customFormat="false" ht="15" hidden="false" customHeight="false" outlineLevel="0" collapsed="false">
      <c r="A1176" s="68" t="s">
        <v>2878</v>
      </c>
      <c r="B1176" s="68" t="s">
        <v>2447</v>
      </c>
      <c r="C1176" s="68" t="n">
        <v>1.05</v>
      </c>
    </row>
    <row r="1177" customFormat="false" ht="15" hidden="false" customHeight="false" outlineLevel="0" collapsed="false">
      <c r="A1177" s="68" t="s">
        <v>2878</v>
      </c>
      <c r="B1177" s="68" t="s">
        <v>2452</v>
      </c>
      <c r="C1177" s="68" t="n">
        <v>1</v>
      </c>
    </row>
    <row r="1178" customFormat="false" ht="15" hidden="false" customHeight="false" outlineLevel="0" collapsed="false">
      <c r="A1178" s="68" t="s">
        <v>2878</v>
      </c>
      <c r="B1178" s="68" t="s">
        <v>2457</v>
      </c>
      <c r="C1178" s="68" t="n">
        <v>1.785</v>
      </c>
    </row>
    <row r="1179" customFormat="false" ht="15" hidden="false" customHeight="false" outlineLevel="0" collapsed="false">
      <c r="A1179" s="68" t="s">
        <v>2878</v>
      </c>
      <c r="B1179" s="68" t="s">
        <v>2462</v>
      </c>
      <c r="C1179" s="68" t="n">
        <v>30812.324929972</v>
      </c>
    </row>
    <row r="1180" customFormat="false" ht="15" hidden="false" customHeight="false" outlineLevel="0" collapsed="false">
      <c r="A1180" s="68" t="s">
        <v>2878</v>
      </c>
      <c r="B1180" s="68" t="s">
        <v>2467</v>
      </c>
      <c r="C1180" s="68" t="n">
        <v>91.347</v>
      </c>
    </row>
    <row r="1181" customFormat="false" ht="15" hidden="false" customHeight="false" outlineLevel="0" collapsed="false">
      <c r="A1181" s="68" t="s">
        <v>2878</v>
      </c>
      <c r="B1181" s="68" t="s">
        <v>2471</v>
      </c>
      <c r="C1181" s="68" t="n">
        <v>123.416</v>
      </c>
    </row>
    <row r="1182" customFormat="false" ht="15" hidden="false" customHeight="false" outlineLevel="0" collapsed="false">
      <c r="A1182" s="68" t="s">
        <v>2878</v>
      </c>
      <c r="B1182" s="68" t="s">
        <v>2475</v>
      </c>
      <c r="C1182" s="68" t="s">
        <v>369</v>
      </c>
    </row>
    <row r="1183" customFormat="false" ht="15" hidden="false" customHeight="false" outlineLevel="0" collapsed="false">
      <c r="A1183" s="68" t="s">
        <v>2878</v>
      </c>
      <c r="B1183" s="68" t="s">
        <v>2480</v>
      </c>
      <c r="C1183" s="68" t="n">
        <v>41629.5433189642</v>
      </c>
    </row>
    <row r="1184" customFormat="false" ht="15" hidden="false" customHeight="false" outlineLevel="0" collapsed="false">
      <c r="A1184" s="68" t="s">
        <v>2878</v>
      </c>
      <c r="B1184" s="68" t="s">
        <v>2484</v>
      </c>
      <c r="C1184" s="68" t="n">
        <v>5612.24199052494</v>
      </c>
    </row>
    <row r="1185" customFormat="false" ht="15" hidden="false" customHeight="false" outlineLevel="0" collapsed="false">
      <c r="A1185" s="68" t="s">
        <v>2880</v>
      </c>
      <c r="B1185" s="68" t="s">
        <v>2284</v>
      </c>
      <c r="C1185" s="68" t="n">
        <v>6.55313351498638</v>
      </c>
    </row>
    <row r="1186" customFormat="false" ht="15" hidden="false" customHeight="false" outlineLevel="0" collapsed="false">
      <c r="A1186" s="68" t="s">
        <v>2880</v>
      </c>
      <c r="B1186" s="68" t="s">
        <v>2290</v>
      </c>
      <c r="C1186" s="68" t="s">
        <v>3205</v>
      </c>
    </row>
    <row r="1187" customFormat="false" ht="15" hidden="false" customHeight="false" outlineLevel="0" collapsed="false">
      <c r="A1187" s="68" t="s">
        <v>2880</v>
      </c>
      <c r="B1187" s="68" t="s">
        <v>2365</v>
      </c>
      <c r="C1187" s="68" t="n">
        <v>15000</v>
      </c>
    </row>
    <row r="1188" customFormat="false" ht="15" hidden="false" customHeight="false" outlineLevel="0" collapsed="false">
      <c r="A1188" s="68" t="s">
        <v>2880</v>
      </c>
      <c r="B1188" s="68" t="s">
        <v>2370</v>
      </c>
      <c r="C1188" s="68" t="n">
        <v>19611.6774193548</v>
      </c>
    </row>
    <row r="1189" customFormat="false" ht="15" hidden="false" customHeight="false" outlineLevel="0" collapsed="false">
      <c r="A1189" s="68" t="s">
        <v>2880</v>
      </c>
      <c r="B1189" s="68" t="s">
        <v>2375</v>
      </c>
      <c r="C1189" s="68" t="n">
        <v>607962000</v>
      </c>
    </row>
    <row r="1190" customFormat="false" ht="15" hidden="false" customHeight="false" outlineLevel="0" collapsed="false">
      <c r="A1190" s="68" t="s">
        <v>2880</v>
      </c>
      <c r="B1190" s="68" t="s">
        <v>2388</v>
      </c>
      <c r="C1190" s="68" t="n">
        <v>25000</v>
      </c>
    </row>
    <row r="1191" customFormat="false" ht="15" hidden="false" customHeight="false" outlineLevel="0" collapsed="false">
      <c r="A1191" s="68" t="s">
        <v>2880</v>
      </c>
      <c r="B1191" s="68" t="s">
        <v>2393</v>
      </c>
      <c r="C1191" s="68" t="n">
        <v>26394.5770371417</v>
      </c>
    </row>
    <row r="1192" customFormat="false" ht="15" hidden="false" customHeight="false" outlineLevel="0" collapsed="false">
      <c r="A1192" s="68" t="s">
        <v>2880</v>
      </c>
      <c r="B1192" s="68" t="s">
        <v>2398</v>
      </c>
      <c r="C1192" s="68" t="n">
        <v>17381700000</v>
      </c>
    </row>
    <row r="1193" customFormat="false" ht="15" hidden="false" customHeight="false" outlineLevel="0" collapsed="false">
      <c r="A1193" s="68" t="s">
        <v>2880</v>
      </c>
      <c r="B1193" s="68" t="s">
        <v>2432</v>
      </c>
      <c r="C1193" s="68" t="s">
        <v>3201</v>
      </c>
    </row>
    <row r="1194" customFormat="false" ht="15" hidden="false" customHeight="false" outlineLevel="0" collapsed="false">
      <c r="A1194" s="68" t="s">
        <v>2880</v>
      </c>
      <c r="B1194" s="68" t="s">
        <v>2437</v>
      </c>
      <c r="C1194" s="68" t="n">
        <v>1.7</v>
      </c>
    </row>
    <row r="1195" customFormat="false" ht="15" hidden="false" customHeight="false" outlineLevel="0" collapsed="false">
      <c r="A1195" s="68" t="s">
        <v>2880</v>
      </c>
      <c r="B1195" s="68" t="s">
        <v>2442</v>
      </c>
      <c r="C1195" s="68" t="n">
        <v>1</v>
      </c>
    </row>
    <row r="1196" customFormat="false" ht="15" hidden="false" customHeight="false" outlineLevel="0" collapsed="false">
      <c r="A1196" s="68" t="s">
        <v>2880</v>
      </c>
      <c r="B1196" s="68" t="s">
        <v>2447</v>
      </c>
      <c r="C1196" s="68" t="n">
        <v>1.05</v>
      </c>
    </row>
    <row r="1197" customFormat="false" ht="15" hidden="false" customHeight="false" outlineLevel="0" collapsed="false">
      <c r="A1197" s="68" t="s">
        <v>2880</v>
      </c>
      <c r="B1197" s="68" t="s">
        <v>2452</v>
      </c>
      <c r="C1197" s="68" t="n">
        <v>1</v>
      </c>
    </row>
    <row r="1198" customFormat="false" ht="15" hidden="false" customHeight="false" outlineLevel="0" collapsed="false">
      <c r="A1198" s="68" t="s">
        <v>2880</v>
      </c>
      <c r="B1198" s="68" t="s">
        <v>2457</v>
      </c>
      <c r="C1198" s="68" t="n">
        <v>1.785</v>
      </c>
    </row>
    <row r="1199" customFormat="false" ht="15" hidden="false" customHeight="false" outlineLevel="0" collapsed="false">
      <c r="A1199" s="68" t="s">
        <v>2880</v>
      </c>
      <c r="B1199" s="68" t="s">
        <v>2462</v>
      </c>
      <c r="C1199" s="68" t="n">
        <v>8403.36134453782</v>
      </c>
    </row>
    <row r="1200" customFormat="false" ht="15" hidden="false" customHeight="false" outlineLevel="0" collapsed="false">
      <c r="A1200" s="68" t="s">
        <v>2880</v>
      </c>
      <c r="B1200" s="68" t="s">
        <v>2467</v>
      </c>
      <c r="C1200" s="68" t="n">
        <v>91.347</v>
      </c>
    </row>
    <row r="1201" customFormat="false" ht="15" hidden="false" customHeight="false" outlineLevel="0" collapsed="false">
      <c r="A1201" s="68" t="s">
        <v>2880</v>
      </c>
      <c r="B1201" s="68" t="s">
        <v>2471</v>
      </c>
      <c r="C1201" s="68" t="n">
        <v>123.416</v>
      </c>
    </row>
    <row r="1202" customFormat="false" ht="15" hidden="false" customHeight="false" outlineLevel="0" collapsed="false">
      <c r="A1202" s="68" t="s">
        <v>2880</v>
      </c>
      <c r="B1202" s="68" t="s">
        <v>2475</v>
      </c>
      <c r="C1202" s="68" t="s">
        <v>369</v>
      </c>
    </row>
    <row r="1203" customFormat="false" ht="15" hidden="false" customHeight="false" outlineLevel="0" collapsed="false">
      <c r="A1203" s="68" t="s">
        <v>2880</v>
      </c>
      <c r="B1203" s="68" t="s">
        <v>2480</v>
      </c>
      <c r="C1203" s="68" t="n">
        <v>14005.6022408964</v>
      </c>
    </row>
    <row r="1204" customFormat="false" ht="15" hidden="false" customHeight="false" outlineLevel="0" collapsed="false">
      <c r="A1204" s="68" t="s">
        <v>2880</v>
      </c>
      <c r="B1204" s="68" t="s">
        <v>2484</v>
      </c>
      <c r="C1204" s="68" t="n">
        <v>4533.48703802324</v>
      </c>
    </row>
    <row r="1205" customFormat="false" ht="15" hidden="false" customHeight="false" outlineLevel="0" collapsed="false">
      <c r="A1205" s="68" t="s">
        <v>2882</v>
      </c>
      <c r="B1205" s="68" t="s">
        <v>2284</v>
      </c>
      <c r="C1205" s="68" t="n">
        <v>146.366485013624</v>
      </c>
    </row>
    <row r="1206" customFormat="false" ht="15" hidden="false" customHeight="false" outlineLevel="0" collapsed="false">
      <c r="A1206" s="68" t="s">
        <v>2882</v>
      </c>
      <c r="B1206" s="68" t="s">
        <v>2290</v>
      </c>
      <c r="C1206" s="68" t="s">
        <v>3205</v>
      </c>
    </row>
    <row r="1207" customFormat="false" ht="15" hidden="false" customHeight="false" outlineLevel="0" collapsed="false">
      <c r="A1207" s="68" t="s">
        <v>2882</v>
      </c>
      <c r="B1207" s="68" t="s">
        <v>2365</v>
      </c>
      <c r="C1207" s="68" t="n">
        <v>60000</v>
      </c>
    </row>
    <row r="1208" customFormat="false" ht="15" hidden="false" customHeight="false" outlineLevel="0" collapsed="false">
      <c r="A1208" s="68" t="s">
        <v>2882</v>
      </c>
      <c r="B1208" s="68" t="s">
        <v>2370</v>
      </c>
      <c r="C1208" s="68" t="n">
        <v>78446.7096774194</v>
      </c>
    </row>
    <row r="1209" customFormat="false" ht="15" hidden="false" customHeight="false" outlineLevel="0" collapsed="false">
      <c r="A1209" s="68" t="s">
        <v>2882</v>
      </c>
      <c r="B1209" s="68" t="s">
        <v>2375</v>
      </c>
      <c r="C1209" s="68" t="n">
        <v>2431848000</v>
      </c>
    </row>
    <row r="1210" customFormat="false" ht="15" hidden="false" customHeight="false" outlineLevel="0" collapsed="false">
      <c r="A1210" s="68" t="s">
        <v>2882</v>
      </c>
      <c r="B1210" s="68" t="s">
        <v>2388</v>
      </c>
      <c r="C1210" s="68" t="n">
        <v>81064.0743538376</v>
      </c>
    </row>
    <row r="1211" customFormat="false" ht="15" hidden="false" customHeight="false" outlineLevel="0" collapsed="false">
      <c r="A1211" s="68" t="s">
        <v>2882</v>
      </c>
      <c r="B1211" s="68" t="s">
        <v>2393</v>
      </c>
      <c r="C1211" s="68" t="n">
        <v>85586.0782190778</v>
      </c>
    </row>
    <row r="1212" customFormat="false" ht="15" hidden="false" customHeight="false" outlineLevel="0" collapsed="false">
      <c r="A1212" s="68" t="s">
        <v>2882</v>
      </c>
      <c r="B1212" s="68" t="s">
        <v>2398</v>
      </c>
      <c r="C1212" s="68" t="n">
        <v>56361256847.8439</v>
      </c>
    </row>
    <row r="1213" customFormat="false" ht="15" hidden="false" customHeight="false" outlineLevel="0" collapsed="false">
      <c r="A1213" s="68" t="s">
        <v>2882</v>
      </c>
      <c r="B1213" s="68" t="s">
        <v>2432</v>
      </c>
      <c r="C1213" s="68" t="s">
        <v>3201</v>
      </c>
    </row>
    <row r="1214" customFormat="false" ht="15" hidden="false" customHeight="false" outlineLevel="0" collapsed="false">
      <c r="A1214" s="68" t="s">
        <v>2882</v>
      </c>
      <c r="B1214" s="68" t="s">
        <v>2437</v>
      </c>
      <c r="C1214" s="68" t="n">
        <v>1.7</v>
      </c>
    </row>
    <row r="1215" customFormat="false" ht="15" hidden="false" customHeight="false" outlineLevel="0" collapsed="false">
      <c r="A1215" s="68" t="s">
        <v>2882</v>
      </c>
      <c r="B1215" s="68" t="s">
        <v>2442</v>
      </c>
      <c r="C1215" s="68" t="n">
        <v>1</v>
      </c>
    </row>
    <row r="1216" customFormat="false" ht="15" hidden="false" customHeight="false" outlineLevel="0" collapsed="false">
      <c r="A1216" s="68" t="s">
        <v>2882</v>
      </c>
      <c r="B1216" s="68" t="s">
        <v>2447</v>
      </c>
      <c r="C1216" s="68" t="n">
        <v>1.05</v>
      </c>
    </row>
    <row r="1217" customFormat="false" ht="15" hidden="false" customHeight="false" outlineLevel="0" collapsed="false">
      <c r="A1217" s="68" t="s">
        <v>2882</v>
      </c>
      <c r="B1217" s="68" t="s">
        <v>2452</v>
      </c>
      <c r="C1217" s="68" t="n">
        <v>1</v>
      </c>
    </row>
    <row r="1218" customFormat="false" ht="15" hidden="false" customHeight="false" outlineLevel="0" collapsed="false">
      <c r="A1218" s="68" t="s">
        <v>2882</v>
      </c>
      <c r="B1218" s="68" t="s">
        <v>2457</v>
      </c>
      <c r="C1218" s="68" t="n">
        <v>1.785</v>
      </c>
    </row>
    <row r="1219" customFormat="false" ht="15" hidden="false" customHeight="false" outlineLevel="0" collapsed="false">
      <c r="A1219" s="68" t="s">
        <v>2882</v>
      </c>
      <c r="B1219" s="68" t="s">
        <v>2462</v>
      </c>
      <c r="C1219" s="68" t="n">
        <v>33613.4453781513</v>
      </c>
    </row>
    <row r="1220" customFormat="false" ht="15" hidden="false" customHeight="false" outlineLevel="0" collapsed="false">
      <c r="A1220" s="68" t="s">
        <v>2882</v>
      </c>
      <c r="B1220" s="68" t="s">
        <v>2467</v>
      </c>
      <c r="C1220" s="68" t="n">
        <v>91.347</v>
      </c>
    </row>
    <row r="1221" customFormat="false" ht="15" hidden="false" customHeight="false" outlineLevel="0" collapsed="false">
      <c r="A1221" s="68" t="s">
        <v>2882</v>
      </c>
      <c r="B1221" s="68" t="s">
        <v>2471</v>
      </c>
      <c r="C1221" s="68" t="n">
        <v>123.416</v>
      </c>
    </row>
    <row r="1222" customFormat="false" ht="15" hidden="false" customHeight="false" outlineLevel="0" collapsed="false">
      <c r="A1222" s="68" t="s">
        <v>2882</v>
      </c>
      <c r="B1222" s="68" t="s">
        <v>2475</v>
      </c>
      <c r="C1222" s="68" t="s">
        <v>369</v>
      </c>
    </row>
    <row r="1223" customFormat="false" ht="15" hidden="false" customHeight="false" outlineLevel="0" collapsed="false">
      <c r="A1223" s="68" t="s">
        <v>2882</v>
      </c>
      <c r="B1223" s="68" t="s">
        <v>2480</v>
      </c>
      <c r="C1223" s="68" t="n">
        <v>45414.0472570519</v>
      </c>
    </row>
    <row r="1224" customFormat="false" ht="15" hidden="false" customHeight="false" outlineLevel="0" collapsed="false">
      <c r="A1224" s="68" t="s">
        <v>2882</v>
      </c>
      <c r="B1224" s="68" t="s">
        <v>2484</v>
      </c>
      <c r="C1224" s="68" t="n">
        <v>2279.94946773779</v>
      </c>
    </row>
    <row r="1225" customFormat="false" ht="15" hidden="false" customHeight="false" outlineLevel="0" collapsed="false">
      <c r="A1225" s="68" t="s">
        <v>2884</v>
      </c>
      <c r="B1225" s="68" t="s">
        <v>2284</v>
      </c>
      <c r="C1225" s="68"/>
    </row>
    <row r="1226" customFormat="false" ht="15" hidden="false" customHeight="false" outlineLevel="0" collapsed="false">
      <c r="A1226" s="68" t="s">
        <v>2884</v>
      </c>
      <c r="B1226" s="68" t="s">
        <v>2290</v>
      </c>
      <c r="C1226" s="68" t="s">
        <v>3206</v>
      </c>
    </row>
    <row r="1227" customFormat="false" ht="15" hidden="false" customHeight="false" outlineLevel="0" collapsed="false">
      <c r="A1227" s="68" t="s">
        <v>2884</v>
      </c>
      <c r="B1227" s="68" t="s">
        <v>2365</v>
      </c>
      <c r="C1227" s="68" t="n">
        <v>10000</v>
      </c>
    </row>
    <row r="1228" customFormat="false" ht="15" hidden="false" customHeight="false" outlineLevel="0" collapsed="false">
      <c r="A1228" s="68" t="s">
        <v>2884</v>
      </c>
      <c r="B1228" s="68" t="s">
        <v>2370</v>
      </c>
      <c r="C1228" s="68" t="n">
        <v>13074.4516129032</v>
      </c>
    </row>
    <row r="1229" customFormat="false" ht="15" hidden="false" customHeight="false" outlineLevel="0" collapsed="false">
      <c r="A1229" s="68" t="s">
        <v>2884</v>
      </c>
      <c r="B1229" s="68" t="s">
        <v>2375</v>
      </c>
      <c r="C1229" s="68" t="n">
        <v>405308000</v>
      </c>
    </row>
    <row r="1230" customFormat="false" ht="15" hidden="false" customHeight="false" outlineLevel="0" collapsed="false">
      <c r="A1230" s="68" t="s">
        <v>2884</v>
      </c>
      <c r="B1230" s="68" t="s">
        <v>2388</v>
      </c>
      <c r="C1230" s="68" t="n">
        <v>13510.6790589729</v>
      </c>
    </row>
    <row r="1231" customFormat="false" ht="15" hidden="false" customHeight="false" outlineLevel="0" collapsed="false">
      <c r="A1231" s="68" t="s">
        <v>2884</v>
      </c>
      <c r="B1231" s="68" t="s">
        <v>2393</v>
      </c>
      <c r="C1231" s="68" t="n">
        <v>14264.3463698463</v>
      </c>
    </row>
    <row r="1232" customFormat="false" ht="15" hidden="false" customHeight="false" outlineLevel="0" collapsed="false">
      <c r="A1232" s="68" t="s">
        <v>2884</v>
      </c>
      <c r="B1232" s="68" t="s">
        <v>2398</v>
      </c>
      <c r="C1232" s="68" t="n">
        <v>9393542807.97399</v>
      </c>
    </row>
    <row r="1233" customFormat="false" ht="15" hidden="false" customHeight="false" outlineLevel="0" collapsed="false">
      <c r="A1233" s="68" t="s">
        <v>2884</v>
      </c>
      <c r="B1233" s="68" t="s">
        <v>2432</v>
      </c>
      <c r="C1233" s="68" t="s">
        <v>3202</v>
      </c>
    </row>
    <row r="1234" customFormat="false" ht="15" hidden="false" customHeight="false" outlineLevel="0" collapsed="false">
      <c r="A1234" s="68" t="s">
        <v>2884</v>
      </c>
      <c r="B1234" s="68" t="s">
        <v>2437</v>
      </c>
      <c r="C1234" s="68" t="n">
        <v>1.7</v>
      </c>
    </row>
    <row r="1235" customFormat="false" ht="15" hidden="false" customHeight="false" outlineLevel="0" collapsed="false">
      <c r="A1235" s="68" t="s">
        <v>2884</v>
      </c>
      <c r="B1235" s="68" t="s">
        <v>2442</v>
      </c>
      <c r="C1235" s="68" t="n">
        <v>1</v>
      </c>
    </row>
    <row r="1236" customFormat="false" ht="15" hidden="false" customHeight="false" outlineLevel="0" collapsed="false">
      <c r="A1236" s="68" t="s">
        <v>2884</v>
      </c>
      <c r="B1236" s="68" t="s">
        <v>2447</v>
      </c>
      <c r="C1236" s="68" t="n">
        <v>1.05</v>
      </c>
    </row>
    <row r="1237" customFormat="false" ht="15" hidden="false" customHeight="false" outlineLevel="0" collapsed="false">
      <c r="A1237" s="68" t="s">
        <v>2884</v>
      </c>
      <c r="B1237" s="68" t="s">
        <v>2452</v>
      </c>
      <c r="C1237" s="68" t="n">
        <v>1</v>
      </c>
    </row>
    <row r="1238" customFormat="false" ht="15" hidden="false" customHeight="false" outlineLevel="0" collapsed="false">
      <c r="A1238" s="68" t="s">
        <v>2884</v>
      </c>
      <c r="B1238" s="68" t="s">
        <v>2457</v>
      </c>
      <c r="C1238" s="68" t="n">
        <v>1.785</v>
      </c>
    </row>
    <row r="1239" customFormat="false" ht="15" hidden="false" customHeight="false" outlineLevel="0" collapsed="false">
      <c r="A1239" s="68" t="s">
        <v>2884</v>
      </c>
      <c r="B1239" s="68" t="s">
        <v>2462</v>
      </c>
      <c r="C1239" s="68" t="n">
        <v>5602.24089635854</v>
      </c>
    </row>
    <row r="1240" customFormat="false" ht="15" hidden="false" customHeight="false" outlineLevel="0" collapsed="false">
      <c r="A1240" s="68" t="s">
        <v>2884</v>
      </c>
      <c r="B1240" s="68" t="s">
        <v>2467</v>
      </c>
      <c r="C1240" s="68" t="n">
        <v>91.347</v>
      </c>
    </row>
    <row r="1241" customFormat="false" ht="15" hidden="false" customHeight="false" outlineLevel="0" collapsed="false">
      <c r="A1241" s="68" t="s">
        <v>2884</v>
      </c>
      <c r="B1241" s="68" t="s">
        <v>2471</v>
      </c>
      <c r="C1241" s="68" t="n">
        <v>123.416</v>
      </c>
    </row>
    <row r="1242" customFormat="false" ht="15" hidden="false" customHeight="false" outlineLevel="0" collapsed="false">
      <c r="A1242" s="68" t="s">
        <v>2884</v>
      </c>
      <c r="B1242" s="68" t="s">
        <v>2475</v>
      </c>
      <c r="C1242" s="68" t="s">
        <v>312</v>
      </c>
    </row>
    <row r="1243" customFormat="false" ht="15" hidden="false" customHeight="false" outlineLevel="0" collapsed="false">
      <c r="A1243" s="68" t="s">
        <v>2884</v>
      </c>
      <c r="B1243" s="68" t="s">
        <v>2480</v>
      </c>
      <c r="C1243" s="68" t="n">
        <v>7569.00787617531</v>
      </c>
    </row>
    <row r="1244" customFormat="false" ht="15" hidden="false" customHeight="false" outlineLevel="0" collapsed="false">
      <c r="A1244" s="68" t="s">
        <v>2884</v>
      </c>
      <c r="B1244" s="68" t="s">
        <v>2484</v>
      </c>
      <c r="C1244" s="68"/>
    </row>
    <row r="1245" customFormat="false" ht="15" hidden="false" customHeight="false" outlineLevel="0" collapsed="false">
      <c r="A1245" s="68" t="s">
        <v>2886</v>
      </c>
      <c r="B1245" s="68" t="s">
        <v>2284</v>
      </c>
      <c r="C1245" s="68" t="n">
        <v>1.81743869209809</v>
      </c>
    </row>
    <row r="1246" customFormat="false" ht="15" hidden="false" customHeight="false" outlineLevel="0" collapsed="false">
      <c r="A1246" s="68" t="s">
        <v>2886</v>
      </c>
      <c r="B1246" s="68" t="s">
        <v>2290</v>
      </c>
      <c r="C1246" s="68" t="s">
        <v>3205</v>
      </c>
    </row>
    <row r="1247" customFormat="false" ht="15" hidden="false" customHeight="false" outlineLevel="0" collapsed="false">
      <c r="A1247" s="68" t="s">
        <v>2886</v>
      </c>
      <c r="B1247" s="68" t="s">
        <v>2365</v>
      </c>
      <c r="C1247" s="68" t="n">
        <v>35000</v>
      </c>
    </row>
    <row r="1248" customFormat="false" ht="15" hidden="false" customHeight="false" outlineLevel="0" collapsed="false">
      <c r="A1248" s="68" t="s">
        <v>2886</v>
      </c>
      <c r="B1248" s="68" t="s">
        <v>2370</v>
      </c>
      <c r="C1248" s="68" t="n">
        <v>45760.5806451613</v>
      </c>
    </row>
    <row r="1249" customFormat="false" ht="15" hidden="false" customHeight="false" outlineLevel="0" collapsed="false">
      <c r="A1249" s="68" t="s">
        <v>2886</v>
      </c>
      <c r="B1249" s="68" t="s">
        <v>2375</v>
      </c>
      <c r="C1249" s="68" t="n">
        <v>1418578000</v>
      </c>
    </row>
    <row r="1250" customFormat="false" ht="15" hidden="false" customHeight="false" outlineLevel="0" collapsed="false">
      <c r="A1250" s="68" t="s">
        <v>2886</v>
      </c>
      <c r="B1250" s="68" t="s">
        <v>2388</v>
      </c>
      <c r="C1250" s="68" t="n">
        <v>47287.3767064053</v>
      </c>
    </row>
    <row r="1251" customFormat="false" ht="15" hidden="false" customHeight="false" outlineLevel="0" collapsed="false">
      <c r="A1251" s="68" t="s">
        <v>2886</v>
      </c>
      <c r="B1251" s="68" t="s">
        <v>2393</v>
      </c>
      <c r="C1251" s="68" t="n">
        <v>49925.212294462</v>
      </c>
    </row>
    <row r="1252" customFormat="false" ht="15" hidden="false" customHeight="false" outlineLevel="0" collapsed="false">
      <c r="A1252" s="68" t="s">
        <v>2886</v>
      </c>
      <c r="B1252" s="68" t="s">
        <v>2398</v>
      </c>
      <c r="C1252" s="68" t="n">
        <v>32877399827.909</v>
      </c>
    </row>
    <row r="1253" customFormat="false" ht="15" hidden="false" customHeight="false" outlineLevel="0" collapsed="false">
      <c r="A1253" s="68" t="s">
        <v>2886</v>
      </c>
      <c r="B1253" s="68" t="s">
        <v>2432</v>
      </c>
      <c r="C1253" s="68" t="s">
        <v>3201</v>
      </c>
    </row>
    <row r="1254" customFormat="false" ht="15" hidden="false" customHeight="false" outlineLevel="0" collapsed="false">
      <c r="A1254" s="68" t="s">
        <v>2886</v>
      </c>
      <c r="B1254" s="68" t="s">
        <v>2437</v>
      </c>
      <c r="C1254" s="68" t="n">
        <v>1.9</v>
      </c>
    </row>
    <row r="1255" customFormat="false" ht="15" hidden="false" customHeight="false" outlineLevel="0" collapsed="false">
      <c r="A1255" s="68" t="s">
        <v>2886</v>
      </c>
      <c r="B1255" s="68" t="s">
        <v>2442</v>
      </c>
      <c r="C1255" s="68" t="n">
        <v>1</v>
      </c>
    </row>
    <row r="1256" customFormat="false" ht="15" hidden="false" customHeight="false" outlineLevel="0" collapsed="false">
      <c r="A1256" s="68" t="s">
        <v>2886</v>
      </c>
      <c r="B1256" s="68" t="s">
        <v>2447</v>
      </c>
      <c r="C1256" s="68" t="n">
        <v>1.05</v>
      </c>
    </row>
    <row r="1257" customFormat="false" ht="15" hidden="false" customHeight="false" outlineLevel="0" collapsed="false">
      <c r="A1257" s="68" t="s">
        <v>2886</v>
      </c>
      <c r="B1257" s="68" t="s">
        <v>2452</v>
      </c>
      <c r="C1257" s="68" t="n">
        <v>1</v>
      </c>
    </row>
    <row r="1258" customFormat="false" ht="15" hidden="false" customHeight="false" outlineLevel="0" collapsed="false">
      <c r="A1258" s="68" t="s">
        <v>2886</v>
      </c>
      <c r="B1258" s="68" t="s">
        <v>2457</v>
      </c>
      <c r="C1258" s="68" t="n">
        <v>1.995</v>
      </c>
    </row>
    <row r="1259" customFormat="false" ht="15" hidden="false" customHeight="false" outlineLevel="0" collapsed="false">
      <c r="A1259" s="68" t="s">
        <v>2886</v>
      </c>
      <c r="B1259" s="68" t="s">
        <v>2462</v>
      </c>
      <c r="C1259" s="68" t="n">
        <v>17543.8596491228</v>
      </c>
    </row>
    <row r="1260" customFormat="false" ht="15" hidden="false" customHeight="false" outlineLevel="0" collapsed="false">
      <c r="A1260" s="68" t="s">
        <v>2886</v>
      </c>
      <c r="B1260" s="68" t="s">
        <v>2467</v>
      </c>
      <c r="C1260" s="68" t="n">
        <v>91.347</v>
      </c>
    </row>
    <row r="1261" customFormat="false" ht="15" hidden="false" customHeight="false" outlineLevel="0" collapsed="false">
      <c r="A1261" s="68" t="s">
        <v>2886</v>
      </c>
      <c r="B1261" s="68" t="s">
        <v>2471</v>
      </c>
      <c r="C1261" s="68" t="n">
        <v>123.416</v>
      </c>
    </row>
    <row r="1262" customFormat="false" ht="15" hidden="false" customHeight="false" outlineLevel="0" collapsed="false">
      <c r="A1262" s="68" t="s">
        <v>2886</v>
      </c>
      <c r="B1262" s="68" t="s">
        <v>2475</v>
      </c>
      <c r="C1262" s="68" t="s">
        <v>369</v>
      </c>
    </row>
    <row r="1263" customFormat="false" ht="15" hidden="false" customHeight="false" outlineLevel="0" collapsed="false">
      <c r="A1263" s="68" t="s">
        <v>2886</v>
      </c>
      <c r="B1263" s="68" t="s">
        <v>2480</v>
      </c>
      <c r="C1263" s="68" t="n">
        <v>23702.9457174964</v>
      </c>
    </row>
    <row r="1264" customFormat="false" ht="15" hidden="false" customHeight="false" outlineLevel="0" collapsed="false">
      <c r="A1264" s="68" t="s">
        <v>2886</v>
      </c>
      <c r="B1264" s="68" t="s">
        <v>2484</v>
      </c>
      <c r="C1264" s="68" t="n">
        <v>16562.5216941051</v>
      </c>
    </row>
    <row r="1265" customFormat="false" ht="15" hidden="false" customHeight="false" outlineLevel="0" collapsed="false">
      <c r="A1265" s="68" t="s">
        <v>2888</v>
      </c>
      <c r="B1265" s="68" t="s">
        <v>2284</v>
      </c>
      <c r="C1265" s="68" t="n">
        <v>133.878292461399</v>
      </c>
    </row>
    <row r="1266" customFormat="false" ht="15" hidden="false" customHeight="false" outlineLevel="0" collapsed="false">
      <c r="A1266" s="68" t="s">
        <v>2888</v>
      </c>
      <c r="B1266" s="68" t="s">
        <v>2290</v>
      </c>
      <c r="C1266" s="68" t="s">
        <v>3205</v>
      </c>
    </row>
    <row r="1267" customFormat="false" ht="15" hidden="false" customHeight="false" outlineLevel="0" collapsed="false">
      <c r="A1267" s="68" t="s">
        <v>2888</v>
      </c>
      <c r="B1267" s="68" t="s">
        <v>2365</v>
      </c>
      <c r="C1267" s="68" t="n">
        <v>230000</v>
      </c>
    </row>
    <row r="1268" customFormat="false" ht="15" hidden="false" customHeight="false" outlineLevel="0" collapsed="false">
      <c r="A1268" s="68" t="s">
        <v>2888</v>
      </c>
      <c r="B1268" s="68" t="s">
        <v>2370</v>
      </c>
      <c r="C1268" s="68" t="n">
        <v>300712.387096774</v>
      </c>
    </row>
    <row r="1269" customFormat="false" ht="15" hidden="false" customHeight="false" outlineLevel="0" collapsed="false">
      <c r="A1269" s="68" t="s">
        <v>2888</v>
      </c>
      <c r="B1269" s="68" t="s">
        <v>2375</v>
      </c>
      <c r="C1269" s="68" t="n">
        <v>9322084000</v>
      </c>
    </row>
    <row r="1270" customFormat="false" ht="15" hidden="false" customHeight="false" outlineLevel="0" collapsed="false">
      <c r="A1270" s="68" t="s">
        <v>2888</v>
      </c>
      <c r="B1270" s="68" t="s">
        <v>2388</v>
      </c>
      <c r="C1270" s="68" t="n">
        <v>310745.618356377</v>
      </c>
    </row>
    <row r="1271" customFormat="false" ht="15" hidden="false" customHeight="false" outlineLevel="0" collapsed="false">
      <c r="A1271" s="68" t="s">
        <v>2888</v>
      </c>
      <c r="B1271" s="68" t="s">
        <v>2393</v>
      </c>
      <c r="C1271" s="68" t="n">
        <v>328079.966506465</v>
      </c>
    </row>
    <row r="1272" customFormat="false" ht="15" hidden="false" customHeight="false" outlineLevel="0" collapsed="false">
      <c r="A1272" s="68" t="s">
        <v>2888</v>
      </c>
      <c r="B1272" s="68" t="s">
        <v>2398</v>
      </c>
      <c r="C1272" s="68" t="n">
        <v>216051484583.402</v>
      </c>
    </row>
    <row r="1273" customFormat="false" ht="15" hidden="false" customHeight="false" outlineLevel="0" collapsed="false">
      <c r="A1273" s="68" t="s">
        <v>2888</v>
      </c>
      <c r="B1273" s="68" t="s">
        <v>2432</v>
      </c>
      <c r="C1273" s="68" t="s">
        <v>3201</v>
      </c>
    </row>
    <row r="1274" customFormat="false" ht="15" hidden="false" customHeight="false" outlineLevel="0" collapsed="false">
      <c r="A1274" s="68" t="s">
        <v>2888</v>
      </c>
      <c r="B1274" s="68" t="s">
        <v>2437</v>
      </c>
      <c r="C1274" s="68" t="n">
        <v>1.9</v>
      </c>
    </row>
    <row r="1275" customFormat="false" ht="15" hidden="false" customHeight="false" outlineLevel="0" collapsed="false">
      <c r="A1275" s="68" t="s">
        <v>2888</v>
      </c>
      <c r="B1275" s="68" t="s">
        <v>2442</v>
      </c>
      <c r="C1275" s="68" t="n">
        <v>1</v>
      </c>
    </row>
    <row r="1276" customFormat="false" ht="15" hidden="false" customHeight="false" outlineLevel="0" collapsed="false">
      <c r="A1276" s="68" t="s">
        <v>2888</v>
      </c>
      <c r="B1276" s="68" t="s">
        <v>2447</v>
      </c>
      <c r="C1276" s="68" t="n">
        <v>1.05</v>
      </c>
    </row>
    <row r="1277" customFormat="false" ht="15" hidden="false" customHeight="false" outlineLevel="0" collapsed="false">
      <c r="A1277" s="68" t="s">
        <v>2888</v>
      </c>
      <c r="B1277" s="68" t="s">
        <v>2452</v>
      </c>
      <c r="C1277" s="68" t="n">
        <v>1</v>
      </c>
    </row>
    <row r="1278" customFormat="false" ht="15" hidden="false" customHeight="false" outlineLevel="0" collapsed="false">
      <c r="A1278" s="68" t="s">
        <v>2888</v>
      </c>
      <c r="B1278" s="68" t="s">
        <v>2457</v>
      </c>
      <c r="C1278" s="68" t="n">
        <v>1.995</v>
      </c>
    </row>
    <row r="1279" customFormat="false" ht="15" hidden="false" customHeight="false" outlineLevel="0" collapsed="false">
      <c r="A1279" s="68" t="s">
        <v>2888</v>
      </c>
      <c r="B1279" s="68" t="s">
        <v>2462</v>
      </c>
      <c r="C1279" s="68" t="n">
        <v>115288.220551379</v>
      </c>
    </row>
    <row r="1280" customFormat="false" ht="15" hidden="false" customHeight="false" outlineLevel="0" collapsed="false">
      <c r="A1280" s="68" t="s">
        <v>2888</v>
      </c>
      <c r="B1280" s="68" t="s">
        <v>2467</v>
      </c>
      <c r="C1280" s="68" t="n">
        <v>91.347</v>
      </c>
    </row>
    <row r="1281" customFormat="false" ht="15" hidden="false" customHeight="false" outlineLevel="0" collapsed="false">
      <c r="A1281" s="68" t="s">
        <v>2888</v>
      </c>
      <c r="B1281" s="68" t="s">
        <v>2471</v>
      </c>
      <c r="C1281" s="68" t="n">
        <v>123.416</v>
      </c>
    </row>
    <row r="1282" customFormat="false" ht="15" hidden="false" customHeight="false" outlineLevel="0" collapsed="false">
      <c r="A1282" s="68" t="s">
        <v>2888</v>
      </c>
      <c r="B1282" s="68" t="s">
        <v>2475</v>
      </c>
      <c r="C1282" s="68" t="s">
        <v>369</v>
      </c>
    </row>
    <row r="1283" customFormat="false" ht="15" hidden="false" customHeight="false" outlineLevel="0" collapsed="false">
      <c r="A1283" s="68" t="s">
        <v>2888</v>
      </c>
      <c r="B1283" s="68" t="s">
        <v>2480</v>
      </c>
      <c r="C1283" s="68" t="n">
        <v>155762.214714976</v>
      </c>
    </row>
    <row r="1284" customFormat="false" ht="15" hidden="false" customHeight="false" outlineLevel="0" collapsed="false">
      <c r="A1284" s="68" t="s">
        <v>2888</v>
      </c>
      <c r="B1284" s="68" t="s">
        <v>2484</v>
      </c>
      <c r="C1284" s="68" t="n">
        <v>8249.65933296391</v>
      </c>
    </row>
    <row r="1285" customFormat="false" ht="15" hidden="false" customHeight="false" outlineLevel="0" collapsed="false">
      <c r="A1285" s="68" t="s">
        <v>2890</v>
      </c>
      <c r="B1285" s="68" t="s">
        <v>2284</v>
      </c>
      <c r="C1285" s="68" t="n">
        <v>33.0699364214351</v>
      </c>
    </row>
    <row r="1286" customFormat="false" ht="15" hidden="false" customHeight="false" outlineLevel="0" collapsed="false">
      <c r="A1286" s="68" t="s">
        <v>2890</v>
      </c>
      <c r="B1286" s="68" t="s">
        <v>2290</v>
      </c>
      <c r="C1286" s="68" t="s">
        <v>3205</v>
      </c>
    </row>
    <row r="1287" customFormat="false" ht="15" hidden="false" customHeight="false" outlineLevel="0" collapsed="false">
      <c r="A1287" s="68" t="s">
        <v>2890</v>
      </c>
      <c r="B1287" s="68" t="s">
        <v>2365</v>
      </c>
      <c r="C1287" s="68" t="n">
        <v>160000</v>
      </c>
    </row>
    <row r="1288" customFormat="false" ht="15" hidden="false" customHeight="false" outlineLevel="0" collapsed="false">
      <c r="A1288" s="68" t="s">
        <v>2890</v>
      </c>
      <c r="B1288" s="68" t="s">
        <v>2370</v>
      </c>
      <c r="C1288" s="68" t="n">
        <v>209191.225806452</v>
      </c>
    </row>
    <row r="1289" customFormat="false" ht="15" hidden="false" customHeight="false" outlineLevel="0" collapsed="false">
      <c r="A1289" s="68" t="s">
        <v>2890</v>
      </c>
      <c r="B1289" s="68" t="s">
        <v>2375</v>
      </c>
      <c r="C1289" s="68" t="n">
        <v>6484928000</v>
      </c>
    </row>
    <row r="1290" customFormat="false" ht="15" hidden="false" customHeight="false" outlineLevel="0" collapsed="false">
      <c r="A1290" s="68" t="s">
        <v>2890</v>
      </c>
      <c r="B1290" s="68" t="s">
        <v>2388</v>
      </c>
      <c r="C1290" s="68" t="n">
        <v>216170.864943567</v>
      </c>
    </row>
    <row r="1291" customFormat="false" ht="15" hidden="false" customHeight="false" outlineLevel="0" collapsed="false">
      <c r="A1291" s="68" t="s">
        <v>2890</v>
      </c>
      <c r="B1291" s="68" t="s">
        <v>2393</v>
      </c>
      <c r="C1291" s="68" t="n">
        <v>228229.541917541</v>
      </c>
    </row>
    <row r="1292" customFormat="false" ht="15" hidden="false" customHeight="false" outlineLevel="0" collapsed="false">
      <c r="A1292" s="68" t="s">
        <v>2890</v>
      </c>
      <c r="B1292" s="68" t="s">
        <v>2398</v>
      </c>
      <c r="C1292" s="68" t="n">
        <v>150296684927.584</v>
      </c>
    </row>
    <row r="1293" customFormat="false" ht="15" hidden="false" customHeight="false" outlineLevel="0" collapsed="false">
      <c r="A1293" s="68" t="s">
        <v>2890</v>
      </c>
      <c r="B1293" s="68" t="s">
        <v>2432</v>
      </c>
      <c r="C1293" s="68" t="s">
        <v>3201</v>
      </c>
    </row>
    <row r="1294" customFormat="false" ht="15" hidden="false" customHeight="false" outlineLevel="0" collapsed="false">
      <c r="A1294" s="68" t="s">
        <v>2890</v>
      </c>
      <c r="B1294" s="68" t="s">
        <v>2437</v>
      </c>
      <c r="C1294" s="68" t="n">
        <v>1.9</v>
      </c>
    </row>
    <row r="1295" customFormat="false" ht="15" hidden="false" customHeight="false" outlineLevel="0" collapsed="false">
      <c r="A1295" s="68" t="s">
        <v>2890</v>
      </c>
      <c r="B1295" s="68" t="s">
        <v>2442</v>
      </c>
      <c r="C1295" s="68" t="n">
        <v>1</v>
      </c>
    </row>
    <row r="1296" customFormat="false" ht="15" hidden="false" customHeight="false" outlineLevel="0" collapsed="false">
      <c r="A1296" s="68" t="s">
        <v>2890</v>
      </c>
      <c r="B1296" s="68" t="s">
        <v>2447</v>
      </c>
      <c r="C1296" s="68" t="n">
        <v>1.05</v>
      </c>
    </row>
    <row r="1297" customFormat="false" ht="15" hidden="false" customHeight="false" outlineLevel="0" collapsed="false">
      <c r="A1297" s="68" t="s">
        <v>2890</v>
      </c>
      <c r="B1297" s="68" t="s">
        <v>2452</v>
      </c>
      <c r="C1297" s="68" t="n">
        <v>1</v>
      </c>
    </row>
    <row r="1298" customFormat="false" ht="15" hidden="false" customHeight="false" outlineLevel="0" collapsed="false">
      <c r="A1298" s="68" t="s">
        <v>2890</v>
      </c>
      <c r="B1298" s="68" t="s">
        <v>2457</v>
      </c>
      <c r="C1298" s="68" t="n">
        <v>1.995</v>
      </c>
    </row>
    <row r="1299" customFormat="false" ht="15" hidden="false" customHeight="false" outlineLevel="0" collapsed="false">
      <c r="A1299" s="68" t="s">
        <v>2890</v>
      </c>
      <c r="B1299" s="68" t="s">
        <v>2462</v>
      </c>
      <c r="C1299" s="68" t="n">
        <v>80200.5012531328</v>
      </c>
    </row>
    <row r="1300" customFormat="false" ht="15" hidden="false" customHeight="false" outlineLevel="0" collapsed="false">
      <c r="A1300" s="68" t="s">
        <v>2890</v>
      </c>
      <c r="B1300" s="68" t="s">
        <v>2467</v>
      </c>
      <c r="C1300" s="68" t="n">
        <v>91.347</v>
      </c>
    </row>
    <row r="1301" customFormat="false" ht="15" hidden="false" customHeight="false" outlineLevel="0" collapsed="false">
      <c r="A1301" s="68" t="s">
        <v>2890</v>
      </c>
      <c r="B1301" s="68" t="s">
        <v>2471</v>
      </c>
      <c r="C1301" s="68" t="n">
        <v>123.416</v>
      </c>
    </row>
    <row r="1302" customFormat="false" ht="15" hidden="false" customHeight="false" outlineLevel="0" collapsed="false">
      <c r="A1302" s="68" t="s">
        <v>2890</v>
      </c>
      <c r="B1302" s="68" t="s">
        <v>2475</v>
      </c>
      <c r="C1302" s="68" t="s">
        <v>369</v>
      </c>
    </row>
    <row r="1303" customFormat="false" ht="15" hidden="false" customHeight="false" outlineLevel="0" collapsed="false">
      <c r="A1303" s="68" t="s">
        <v>2890</v>
      </c>
      <c r="B1303" s="68" t="s">
        <v>2480</v>
      </c>
      <c r="C1303" s="68" t="n">
        <v>108356.323279983</v>
      </c>
    </row>
    <row r="1304" customFormat="false" ht="15" hidden="false" customHeight="false" outlineLevel="0" collapsed="false">
      <c r="A1304" s="68" t="s">
        <v>2890</v>
      </c>
      <c r="B1304" s="68" t="s">
        <v>2484</v>
      </c>
      <c r="C1304" s="68" t="n">
        <v>13279.8828619263</v>
      </c>
    </row>
    <row r="1305" customFormat="false" ht="15" hidden="false" customHeight="false" outlineLevel="0" collapsed="false">
      <c r="A1305" s="68" t="s">
        <v>2892</v>
      </c>
      <c r="B1305" s="68" t="s">
        <v>2284</v>
      </c>
      <c r="C1305" s="68" t="n">
        <v>14.4959128065395</v>
      </c>
    </row>
    <row r="1306" customFormat="false" ht="15" hidden="false" customHeight="false" outlineLevel="0" collapsed="false">
      <c r="A1306" s="68" t="s">
        <v>2892</v>
      </c>
      <c r="B1306" s="68" t="s">
        <v>2290</v>
      </c>
      <c r="C1306" s="68" t="s">
        <v>1585</v>
      </c>
    </row>
    <row r="1307" customFormat="false" ht="15" hidden="false" customHeight="false" outlineLevel="0" collapsed="false">
      <c r="A1307" s="68" t="s">
        <v>2892</v>
      </c>
      <c r="B1307" s="68" t="s">
        <v>2365</v>
      </c>
      <c r="C1307" s="68" t="n">
        <v>16500</v>
      </c>
    </row>
    <row r="1308" customFormat="false" ht="15" hidden="false" customHeight="false" outlineLevel="0" collapsed="false">
      <c r="A1308" s="68" t="s">
        <v>2892</v>
      </c>
      <c r="B1308" s="68" t="s">
        <v>2370</v>
      </c>
      <c r="C1308" s="68" t="n">
        <v>21572.8451612903</v>
      </c>
    </row>
    <row r="1309" customFormat="false" ht="15" hidden="false" customHeight="false" outlineLevel="0" collapsed="false">
      <c r="A1309" s="68" t="s">
        <v>2892</v>
      </c>
      <c r="B1309" s="68" t="s">
        <v>2375</v>
      </c>
      <c r="C1309" s="68" t="n">
        <v>668758200</v>
      </c>
    </row>
    <row r="1310" customFormat="false" ht="15" hidden="false" customHeight="false" outlineLevel="0" collapsed="false">
      <c r="A1310" s="68" t="s">
        <v>2892</v>
      </c>
      <c r="B1310" s="68" t="s">
        <v>2388</v>
      </c>
      <c r="C1310" s="68" t="n">
        <v>25000</v>
      </c>
    </row>
    <row r="1311" customFormat="false" ht="15" hidden="false" customHeight="false" outlineLevel="0" collapsed="false">
      <c r="A1311" s="68" t="s">
        <v>2892</v>
      </c>
      <c r="B1311" s="68" t="s">
        <v>2393</v>
      </c>
      <c r="C1311" s="68" t="n">
        <v>26394.5770371417</v>
      </c>
    </row>
    <row r="1312" customFormat="false" ht="15" hidden="false" customHeight="false" outlineLevel="0" collapsed="false">
      <c r="A1312" s="68" t="s">
        <v>2892</v>
      </c>
      <c r="B1312" s="68" t="s">
        <v>2398</v>
      </c>
      <c r="C1312" s="68" t="n">
        <v>17381700000</v>
      </c>
    </row>
    <row r="1313" customFormat="false" ht="15" hidden="false" customHeight="false" outlineLevel="0" collapsed="false">
      <c r="A1313" s="68" t="s">
        <v>2892</v>
      </c>
      <c r="B1313" s="68" t="s">
        <v>2432</v>
      </c>
      <c r="C1313" s="68" t="s">
        <v>3201</v>
      </c>
    </row>
    <row r="1314" customFormat="false" ht="15" hidden="false" customHeight="false" outlineLevel="0" collapsed="false">
      <c r="A1314" s="68" t="s">
        <v>2892</v>
      </c>
      <c r="B1314" s="68" t="s">
        <v>2437</v>
      </c>
      <c r="C1314" s="68" t="n">
        <v>1</v>
      </c>
    </row>
    <row r="1315" customFormat="false" ht="15" hidden="false" customHeight="false" outlineLevel="0" collapsed="false">
      <c r="A1315" s="68" t="s">
        <v>2892</v>
      </c>
      <c r="B1315" s="68" t="s">
        <v>2442</v>
      </c>
      <c r="C1315" s="68" t="n">
        <v>1</v>
      </c>
    </row>
    <row r="1316" customFormat="false" ht="15" hidden="false" customHeight="false" outlineLevel="0" collapsed="false">
      <c r="A1316" s="68" t="s">
        <v>2892</v>
      </c>
      <c r="B1316" s="68" t="s">
        <v>2447</v>
      </c>
      <c r="C1316" s="68" t="n">
        <v>1</v>
      </c>
    </row>
    <row r="1317" customFormat="false" ht="15" hidden="false" customHeight="false" outlineLevel="0" collapsed="false">
      <c r="A1317" s="68" t="s">
        <v>2892</v>
      </c>
      <c r="B1317" s="68" t="s">
        <v>2452</v>
      </c>
      <c r="C1317" s="68" t="n">
        <v>1</v>
      </c>
    </row>
    <row r="1318" customFormat="false" ht="15" hidden="false" customHeight="false" outlineLevel="0" collapsed="false">
      <c r="A1318" s="68" t="s">
        <v>2892</v>
      </c>
      <c r="B1318" s="68" t="s">
        <v>2457</v>
      </c>
      <c r="C1318" s="68" t="n">
        <v>1</v>
      </c>
    </row>
    <row r="1319" customFormat="false" ht="15" hidden="false" customHeight="false" outlineLevel="0" collapsed="false">
      <c r="A1319" s="68" t="s">
        <v>2892</v>
      </c>
      <c r="B1319" s="68" t="s">
        <v>2462</v>
      </c>
      <c r="C1319" s="68" t="n">
        <v>16500</v>
      </c>
    </row>
    <row r="1320" customFormat="false" ht="15" hidden="false" customHeight="false" outlineLevel="0" collapsed="false">
      <c r="A1320" s="68" t="s">
        <v>2892</v>
      </c>
      <c r="B1320" s="68" t="s">
        <v>2467</v>
      </c>
      <c r="C1320" s="68" t="n">
        <v>91.347</v>
      </c>
    </row>
    <row r="1321" customFormat="false" ht="15" hidden="false" customHeight="false" outlineLevel="0" collapsed="false">
      <c r="A1321" s="68" t="s">
        <v>2892</v>
      </c>
      <c r="B1321" s="68" t="s">
        <v>2471</v>
      </c>
      <c r="C1321" s="68" t="n">
        <v>123.416</v>
      </c>
    </row>
    <row r="1322" customFormat="false" ht="15" hidden="false" customHeight="false" outlineLevel="0" collapsed="false">
      <c r="A1322" s="68" t="s">
        <v>2892</v>
      </c>
      <c r="B1322" s="68" t="s">
        <v>2475</v>
      </c>
      <c r="C1322" s="68" t="s">
        <v>369</v>
      </c>
    </row>
    <row r="1323" customFormat="false" ht="15" hidden="false" customHeight="false" outlineLevel="0" collapsed="false">
      <c r="A1323" s="68" t="s">
        <v>2892</v>
      </c>
      <c r="B1323" s="68" t="s">
        <v>2480</v>
      </c>
      <c r="C1323" s="68" t="n">
        <v>25000</v>
      </c>
    </row>
    <row r="1324" customFormat="false" ht="15" hidden="false" customHeight="false" outlineLevel="0" collapsed="false">
      <c r="A1324" s="68" t="s">
        <v>2892</v>
      </c>
      <c r="B1324" s="68" t="s">
        <v>2484</v>
      </c>
      <c r="C1324" s="68" t="n">
        <v>5025.65495270999</v>
      </c>
    </row>
    <row r="1325" customFormat="false" ht="15" hidden="false" customHeight="false" outlineLevel="0" collapsed="false">
      <c r="A1325" s="68" t="s">
        <v>2894</v>
      </c>
      <c r="B1325" s="68" t="s">
        <v>2284</v>
      </c>
      <c r="C1325" s="68" t="n">
        <v>25.1771117166213</v>
      </c>
    </row>
    <row r="1326" customFormat="false" ht="15" hidden="false" customHeight="false" outlineLevel="0" collapsed="false">
      <c r="A1326" s="68" t="s">
        <v>2894</v>
      </c>
      <c r="B1326" s="68" t="s">
        <v>2290</v>
      </c>
      <c r="C1326" s="68" t="s">
        <v>1585</v>
      </c>
    </row>
    <row r="1327" customFormat="false" ht="15" hidden="false" customHeight="false" outlineLevel="0" collapsed="false">
      <c r="A1327" s="68" t="s">
        <v>2894</v>
      </c>
      <c r="B1327" s="68" t="s">
        <v>2365</v>
      </c>
      <c r="C1327" s="68" t="n">
        <v>17500</v>
      </c>
    </row>
    <row r="1328" customFormat="false" ht="15" hidden="false" customHeight="false" outlineLevel="0" collapsed="false">
      <c r="A1328" s="68" t="s">
        <v>2894</v>
      </c>
      <c r="B1328" s="68" t="s">
        <v>2370</v>
      </c>
      <c r="C1328" s="68" t="n">
        <v>22880.2903225806</v>
      </c>
    </row>
    <row r="1329" customFormat="false" ht="15" hidden="false" customHeight="false" outlineLevel="0" collapsed="false">
      <c r="A1329" s="68" t="s">
        <v>2894</v>
      </c>
      <c r="B1329" s="68" t="s">
        <v>2375</v>
      </c>
      <c r="C1329" s="68" t="n">
        <v>709289000</v>
      </c>
    </row>
    <row r="1330" customFormat="false" ht="15" hidden="false" customHeight="false" outlineLevel="0" collapsed="false">
      <c r="A1330" s="68" t="s">
        <v>2894</v>
      </c>
      <c r="B1330" s="68" t="s">
        <v>2388</v>
      </c>
      <c r="C1330" s="68" t="n">
        <v>25000</v>
      </c>
    </row>
    <row r="1331" customFormat="false" ht="15" hidden="false" customHeight="false" outlineLevel="0" collapsed="false">
      <c r="A1331" s="68" t="s">
        <v>2894</v>
      </c>
      <c r="B1331" s="68" t="s">
        <v>2393</v>
      </c>
      <c r="C1331" s="68" t="n">
        <v>26394.5770371417</v>
      </c>
    </row>
    <row r="1332" customFormat="false" ht="15" hidden="false" customHeight="false" outlineLevel="0" collapsed="false">
      <c r="A1332" s="68" t="s">
        <v>2894</v>
      </c>
      <c r="B1332" s="68" t="s">
        <v>2398</v>
      </c>
      <c r="C1332" s="68" t="n">
        <v>17381700000</v>
      </c>
    </row>
    <row r="1333" customFormat="false" ht="15" hidden="false" customHeight="false" outlineLevel="0" collapsed="false">
      <c r="A1333" s="68" t="s">
        <v>2894</v>
      </c>
      <c r="B1333" s="68" t="s">
        <v>2432</v>
      </c>
      <c r="C1333" s="68" t="s">
        <v>3201</v>
      </c>
    </row>
    <row r="1334" customFormat="false" ht="15" hidden="false" customHeight="false" outlineLevel="0" collapsed="false">
      <c r="A1334" s="68" t="s">
        <v>2894</v>
      </c>
      <c r="B1334" s="68" t="s">
        <v>2437</v>
      </c>
      <c r="C1334" s="68" t="n">
        <v>1</v>
      </c>
    </row>
    <row r="1335" customFormat="false" ht="15" hidden="false" customHeight="false" outlineLevel="0" collapsed="false">
      <c r="A1335" s="68" t="s">
        <v>2894</v>
      </c>
      <c r="B1335" s="68" t="s">
        <v>2442</v>
      </c>
      <c r="C1335" s="68" t="n">
        <v>1</v>
      </c>
    </row>
    <row r="1336" customFormat="false" ht="15" hidden="false" customHeight="false" outlineLevel="0" collapsed="false">
      <c r="A1336" s="68" t="s">
        <v>2894</v>
      </c>
      <c r="B1336" s="68" t="s">
        <v>2447</v>
      </c>
      <c r="C1336" s="68" t="n">
        <v>1</v>
      </c>
    </row>
    <row r="1337" customFormat="false" ht="15" hidden="false" customHeight="false" outlineLevel="0" collapsed="false">
      <c r="A1337" s="68" t="s">
        <v>2894</v>
      </c>
      <c r="B1337" s="68" t="s">
        <v>2452</v>
      </c>
      <c r="C1337" s="68" t="n">
        <v>1</v>
      </c>
    </row>
    <row r="1338" customFormat="false" ht="15" hidden="false" customHeight="false" outlineLevel="0" collapsed="false">
      <c r="A1338" s="68" t="s">
        <v>2894</v>
      </c>
      <c r="B1338" s="68" t="s">
        <v>2457</v>
      </c>
      <c r="C1338" s="68" t="n">
        <v>1</v>
      </c>
    </row>
    <row r="1339" customFormat="false" ht="15" hidden="false" customHeight="false" outlineLevel="0" collapsed="false">
      <c r="A1339" s="68" t="s">
        <v>2894</v>
      </c>
      <c r="B1339" s="68" t="s">
        <v>2462</v>
      </c>
      <c r="C1339" s="68" t="n">
        <v>17500</v>
      </c>
    </row>
    <row r="1340" customFormat="false" ht="15" hidden="false" customHeight="false" outlineLevel="0" collapsed="false">
      <c r="A1340" s="68" t="s">
        <v>2894</v>
      </c>
      <c r="B1340" s="68" t="s">
        <v>2467</v>
      </c>
      <c r="C1340" s="68" t="n">
        <v>91.347</v>
      </c>
    </row>
    <row r="1341" customFormat="false" ht="15" hidden="false" customHeight="false" outlineLevel="0" collapsed="false">
      <c r="A1341" s="68" t="s">
        <v>2894</v>
      </c>
      <c r="B1341" s="68" t="s">
        <v>2471</v>
      </c>
      <c r="C1341" s="68" t="n">
        <v>123.416</v>
      </c>
    </row>
    <row r="1342" customFormat="false" ht="15" hidden="false" customHeight="false" outlineLevel="0" collapsed="false">
      <c r="A1342" s="68" t="s">
        <v>2894</v>
      </c>
      <c r="B1342" s="68" t="s">
        <v>2475</v>
      </c>
      <c r="C1342" s="68" t="s">
        <v>369</v>
      </c>
    </row>
    <row r="1343" customFormat="false" ht="15" hidden="false" customHeight="false" outlineLevel="0" collapsed="false">
      <c r="A1343" s="68" t="s">
        <v>2894</v>
      </c>
      <c r="B1343" s="68" t="s">
        <v>2480</v>
      </c>
      <c r="C1343" s="68" t="n">
        <v>25000</v>
      </c>
    </row>
    <row r="1344" customFormat="false" ht="15" hidden="false" customHeight="false" outlineLevel="0" collapsed="false">
      <c r="A1344" s="68" t="s">
        <v>2894</v>
      </c>
      <c r="B1344" s="68" t="s">
        <v>2484</v>
      </c>
      <c r="C1344" s="68" t="n">
        <v>3608.58105283362</v>
      </c>
    </row>
    <row r="1345" customFormat="false" ht="15" hidden="false" customHeight="false" outlineLevel="0" collapsed="false">
      <c r="A1345" s="68" t="s">
        <v>2896</v>
      </c>
      <c r="B1345" s="68" t="s">
        <v>2284</v>
      </c>
      <c r="C1345" s="68" t="n">
        <v>3.54223433242507</v>
      </c>
    </row>
    <row r="1346" customFormat="false" ht="15" hidden="false" customHeight="false" outlineLevel="0" collapsed="false">
      <c r="A1346" s="68" t="s">
        <v>2896</v>
      </c>
      <c r="B1346" s="68" t="s">
        <v>2290</v>
      </c>
      <c r="C1346" s="68" t="s">
        <v>1585</v>
      </c>
    </row>
    <row r="1347" customFormat="false" ht="15" hidden="false" customHeight="false" outlineLevel="0" collapsed="false">
      <c r="A1347" s="68" t="s">
        <v>2896</v>
      </c>
      <c r="B1347" s="68" t="s">
        <v>2365</v>
      </c>
      <c r="C1347" s="68" t="n">
        <v>10000</v>
      </c>
    </row>
    <row r="1348" customFormat="false" ht="15" hidden="false" customHeight="false" outlineLevel="0" collapsed="false">
      <c r="A1348" s="68" t="s">
        <v>2896</v>
      </c>
      <c r="B1348" s="68" t="s">
        <v>2370</v>
      </c>
      <c r="C1348" s="68" t="n">
        <v>13074.4516129032</v>
      </c>
    </row>
    <row r="1349" customFormat="false" ht="15" hidden="false" customHeight="false" outlineLevel="0" collapsed="false">
      <c r="A1349" s="68" t="s">
        <v>2896</v>
      </c>
      <c r="B1349" s="68" t="s">
        <v>2375</v>
      </c>
      <c r="C1349" s="68" t="n">
        <v>405308000</v>
      </c>
    </row>
    <row r="1350" customFormat="false" ht="15" hidden="false" customHeight="false" outlineLevel="0" collapsed="false">
      <c r="A1350" s="68" t="s">
        <v>2896</v>
      </c>
      <c r="B1350" s="68" t="s">
        <v>2388</v>
      </c>
      <c r="C1350" s="68" t="n">
        <v>25000</v>
      </c>
    </row>
    <row r="1351" customFormat="false" ht="15" hidden="false" customHeight="false" outlineLevel="0" collapsed="false">
      <c r="A1351" s="68" t="s">
        <v>2896</v>
      </c>
      <c r="B1351" s="68" t="s">
        <v>2393</v>
      </c>
      <c r="C1351" s="68" t="n">
        <v>26394.5770371417</v>
      </c>
    </row>
    <row r="1352" customFormat="false" ht="15" hidden="false" customHeight="false" outlineLevel="0" collapsed="false">
      <c r="A1352" s="68" t="s">
        <v>2896</v>
      </c>
      <c r="B1352" s="68" t="s">
        <v>2398</v>
      </c>
      <c r="C1352" s="68" t="n">
        <v>17381700000</v>
      </c>
    </row>
    <row r="1353" customFormat="false" ht="15" hidden="false" customHeight="false" outlineLevel="0" collapsed="false">
      <c r="A1353" s="68" t="s">
        <v>2896</v>
      </c>
      <c r="B1353" s="68" t="s">
        <v>2432</v>
      </c>
      <c r="C1353" s="68" t="s">
        <v>3201</v>
      </c>
    </row>
    <row r="1354" customFormat="false" ht="15" hidden="false" customHeight="false" outlineLevel="0" collapsed="false">
      <c r="A1354" s="68" t="s">
        <v>2896</v>
      </c>
      <c r="B1354" s="68" t="s">
        <v>2437</v>
      </c>
      <c r="C1354" s="68" t="n">
        <v>1.1</v>
      </c>
    </row>
    <row r="1355" customFormat="false" ht="15" hidden="false" customHeight="false" outlineLevel="0" collapsed="false">
      <c r="A1355" s="68" t="s">
        <v>2896</v>
      </c>
      <c r="B1355" s="68" t="s">
        <v>2442</v>
      </c>
      <c r="C1355" s="68" t="n">
        <v>1</v>
      </c>
    </row>
    <row r="1356" customFormat="false" ht="15" hidden="false" customHeight="false" outlineLevel="0" collapsed="false">
      <c r="A1356" s="68" t="s">
        <v>2896</v>
      </c>
      <c r="B1356" s="68" t="s">
        <v>2447</v>
      </c>
      <c r="C1356" s="68" t="n">
        <v>1</v>
      </c>
    </row>
    <row r="1357" customFormat="false" ht="15" hidden="false" customHeight="false" outlineLevel="0" collapsed="false">
      <c r="A1357" s="68" t="s">
        <v>2896</v>
      </c>
      <c r="B1357" s="68" t="s">
        <v>2452</v>
      </c>
      <c r="C1357" s="68" t="n">
        <v>1</v>
      </c>
    </row>
    <row r="1358" customFormat="false" ht="15" hidden="false" customHeight="false" outlineLevel="0" collapsed="false">
      <c r="A1358" s="68" t="s">
        <v>2896</v>
      </c>
      <c r="B1358" s="68" t="s">
        <v>2457</v>
      </c>
      <c r="C1358" s="68" t="n">
        <v>1.1</v>
      </c>
    </row>
    <row r="1359" customFormat="false" ht="15" hidden="false" customHeight="false" outlineLevel="0" collapsed="false">
      <c r="A1359" s="68" t="s">
        <v>2896</v>
      </c>
      <c r="B1359" s="68" t="s">
        <v>2462</v>
      </c>
      <c r="C1359" s="68" t="n">
        <v>9090.90909090909</v>
      </c>
    </row>
    <row r="1360" customFormat="false" ht="15" hidden="false" customHeight="false" outlineLevel="0" collapsed="false">
      <c r="A1360" s="68" t="s">
        <v>2896</v>
      </c>
      <c r="B1360" s="68" t="s">
        <v>2467</v>
      </c>
      <c r="C1360" s="68" t="n">
        <v>91.347</v>
      </c>
    </row>
    <row r="1361" customFormat="false" ht="15" hidden="false" customHeight="false" outlineLevel="0" collapsed="false">
      <c r="A1361" s="68" t="s">
        <v>2896</v>
      </c>
      <c r="B1361" s="68" t="s">
        <v>2471</v>
      </c>
      <c r="C1361" s="68" t="n">
        <v>123.416</v>
      </c>
    </row>
    <row r="1362" customFormat="false" ht="15" hidden="false" customHeight="false" outlineLevel="0" collapsed="false">
      <c r="A1362" s="68" t="s">
        <v>2896</v>
      </c>
      <c r="B1362" s="68" t="s">
        <v>2475</v>
      </c>
      <c r="C1362" s="68" t="s">
        <v>369</v>
      </c>
    </row>
    <row r="1363" customFormat="false" ht="15" hidden="false" customHeight="false" outlineLevel="0" collapsed="false">
      <c r="A1363" s="68" t="s">
        <v>2896</v>
      </c>
      <c r="B1363" s="68" t="s">
        <v>2480</v>
      </c>
      <c r="C1363" s="68" t="n">
        <v>22727.2727272727</v>
      </c>
    </row>
    <row r="1364" customFormat="false" ht="15" hidden="false" customHeight="false" outlineLevel="0" collapsed="false">
      <c r="A1364" s="68" t="s">
        <v>2896</v>
      </c>
      <c r="B1364" s="68" t="s">
        <v>2484</v>
      </c>
      <c r="C1364" s="68" t="n">
        <v>10640.9634308537</v>
      </c>
    </row>
    <row r="1365" customFormat="false" ht="15" hidden="false" customHeight="false" outlineLevel="0" collapsed="false">
      <c r="A1365" s="68" t="s">
        <v>2898</v>
      </c>
      <c r="B1365" s="68" t="s">
        <v>2284</v>
      </c>
      <c r="C1365" s="68"/>
    </row>
    <row r="1366" customFormat="false" ht="15" hidden="false" customHeight="false" outlineLevel="0" collapsed="false">
      <c r="A1366" s="68" t="s">
        <v>2898</v>
      </c>
      <c r="B1366" s="68" t="s">
        <v>2290</v>
      </c>
      <c r="C1366" s="68" t="s">
        <v>3206</v>
      </c>
    </row>
    <row r="1367" customFormat="false" ht="15" hidden="false" customHeight="false" outlineLevel="0" collapsed="false">
      <c r="A1367" s="68" t="s">
        <v>2898</v>
      </c>
      <c r="B1367" s="68" t="s">
        <v>2365</v>
      </c>
      <c r="C1367" s="68" t="n">
        <v>25000</v>
      </c>
    </row>
    <row r="1368" customFormat="false" ht="15" hidden="false" customHeight="false" outlineLevel="0" collapsed="false">
      <c r="A1368" s="68" t="s">
        <v>2898</v>
      </c>
      <c r="B1368" s="68" t="s">
        <v>2370</v>
      </c>
      <c r="C1368" s="68" t="n">
        <v>32686.1290322581</v>
      </c>
    </row>
    <row r="1369" customFormat="false" ht="15" hidden="false" customHeight="false" outlineLevel="0" collapsed="false">
      <c r="A1369" s="68" t="s">
        <v>2898</v>
      </c>
      <c r="B1369" s="68" t="s">
        <v>2375</v>
      </c>
      <c r="C1369" s="68" t="n">
        <v>1013270000</v>
      </c>
    </row>
    <row r="1370" customFormat="false" ht="15" hidden="false" customHeight="false" outlineLevel="0" collapsed="false">
      <c r="A1370" s="68" t="s">
        <v>2898</v>
      </c>
      <c r="B1370" s="68" t="s">
        <v>2388</v>
      </c>
      <c r="C1370" s="68" t="n">
        <v>33776.6976474323</v>
      </c>
    </row>
    <row r="1371" customFormat="false" ht="15" hidden="false" customHeight="false" outlineLevel="0" collapsed="false">
      <c r="A1371" s="68" t="s">
        <v>2898</v>
      </c>
      <c r="B1371" s="68" t="s">
        <v>2393</v>
      </c>
      <c r="C1371" s="68" t="n">
        <v>35660.8659246157</v>
      </c>
    </row>
    <row r="1372" customFormat="false" ht="15" hidden="false" customHeight="false" outlineLevel="0" collapsed="false">
      <c r="A1372" s="68" t="s">
        <v>2898</v>
      </c>
      <c r="B1372" s="68" t="s">
        <v>2398</v>
      </c>
      <c r="C1372" s="68" t="n">
        <v>23483857019.935</v>
      </c>
    </row>
    <row r="1373" customFormat="false" ht="15" hidden="false" customHeight="false" outlineLevel="0" collapsed="false">
      <c r="A1373" s="68" t="s">
        <v>2898</v>
      </c>
      <c r="B1373" s="68" t="s">
        <v>2432</v>
      </c>
      <c r="C1373" s="68" t="s">
        <v>3202</v>
      </c>
    </row>
    <row r="1374" customFormat="false" ht="15" hidden="false" customHeight="false" outlineLevel="0" collapsed="false">
      <c r="A1374" s="68" t="s">
        <v>2898</v>
      </c>
      <c r="B1374" s="68" t="s">
        <v>2437</v>
      </c>
      <c r="C1374" s="68" t="n">
        <v>1.7</v>
      </c>
    </row>
    <row r="1375" customFormat="false" ht="15" hidden="false" customHeight="false" outlineLevel="0" collapsed="false">
      <c r="A1375" s="68" t="s">
        <v>2898</v>
      </c>
      <c r="B1375" s="68" t="s">
        <v>2442</v>
      </c>
      <c r="C1375" s="68" t="n">
        <v>1</v>
      </c>
    </row>
    <row r="1376" customFormat="false" ht="15" hidden="false" customHeight="false" outlineLevel="0" collapsed="false">
      <c r="A1376" s="68" t="s">
        <v>2898</v>
      </c>
      <c r="B1376" s="68" t="s">
        <v>2447</v>
      </c>
      <c r="C1376" s="68" t="n">
        <v>1.05</v>
      </c>
    </row>
    <row r="1377" customFormat="false" ht="15" hidden="false" customHeight="false" outlineLevel="0" collapsed="false">
      <c r="A1377" s="68" t="s">
        <v>2898</v>
      </c>
      <c r="B1377" s="68" t="s">
        <v>2452</v>
      </c>
      <c r="C1377" s="68" t="n">
        <v>1</v>
      </c>
    </row>
    <row r="1378" customFormat="false" ht="15" hidden="false" customHeight="false" outlineLevel="0" collapsed="false">
      <c r="A1378" s="68" t="s">
        <v>2898</v>
      </c>
      <c r="B1378" s="68" t="s">
        <v>2457</v>
      </c>
      <c r="C1378" s="68" t="n">
        <v>1.785</v>
      </c>
    </row>
    <row r="1379" customFormat="false" ht="15" hidden="false" customHeight="false" outlineLevel="0" collapsed="false">
      <c r="A1379" s="68" t="s">
        <v>2898</v>
      </c>
      <c r="B1379" s="68" t="s">
        <v>2462</v>
      </c>
      <c r="C1379" s="68" t="n">
        <v>14005.6022408964</v>
      </c>
    </row>
    <row r="1380" customFormat="false" ht="15" hidden="false" customHeight="false" outlineLevel="0" collapsed="false">
      <c r="A1380" s="68" t="s">
        <v>2898</v>
      </c>
      <c r="B1380" s="68" t="s">
        <v>2467</v>
      </c>
      <c r="C1380" s="68" t="n">
        <v>91.347</v>
      </c>
    </row>
    <row r="1381" customFormat="false" ht="15" hidden="false" customHeight="false" outlineLevel="0" collapsed="false">
      <c r="A1381" s="68" t="s">
        <v>2898</v>
      </c>
      <c r="B1381" s="68" t="s">
        <v>2471</v>
      </c>
      <c r="C1381" s="68" t="n">
        <v>123.416</v>
      </c>
    </row>
    <row r="1382" customFormat="false" ht="15" hidden="false" customHeight="false" outlineLevel="0" collapsed="false">
      <c r="A1382" s="68" t="s">
        <v>2898</v>
      </c>
      <c r="B1382" s="68" t="s">
        <v>2475</v>
      </c>
      <c r="C1382" s="68" t="s">
        <v>312</v>
      </c>
    </row>
    <row r="1383" customFormat="false" ht="15" hidden="false" customHeight="false" outlineLevel="0" collapsed="false">
      <c r="A1383" s="68" t="s">
        <v>2898</v>
      </c>
      <c r="B1383" s="68" t="s">
        <v>2480</v>
      </c>
      <c r="C1383" s="68" t="n">
        <v>18922.5196904383</v>
      </c>
    </row>
    <row r="1384" customFormat="false" ht="15" hidden="false" customHeight="false" outlineLevel="0" collapsed="false">
      <c r="A1384" s="68" t="s">
        <v>2898</v>
      </c>
      <c r="B1384" s="68" t="s">
        <v>2484</v>
      </c>
      <c r="C1384" s="68"/>
    </row>
    <row r="1385" customFormat="false" ht="15" hidden="false" customHeight="false" outlineLevel="0" collapsed="false">
      <c r="A1385" s="68" t="s">
        <v>2900</v>
      </c>
      <c r="B1385" s="68" t="s">
        <v>2284</v>
      </c>
      <c r="C1385" s="68" t="n">
        <v>1.39872842870118</v>
      </c>
    </row>
    <row r="1386" customFormat="false" ht="15" hidden="false" customHeight="false" outlineLevel="0" collapsed="false">
      <c r="A1386" s="68" t="s">
        <v>2900</v>
      </c>
      <c r="B1386" s="68" t="s">
        <v>2290</v>
      </c>
      <c r="C1386" s="68" t="s">
        <v>3205</v>
      </c>
    </row>
    <row r="1387" customFormat="false" ht="15" hidden="false" customHeight="false" outlineLevel="0" collapsed="false">
      <c r="A1387" s="68" t="s">
        <v>2900</v>
      </c>
      <c r="B1387" s="68" t="s">
        <v>2365</v>
      </c>
      <c r="C1387" s="68" t="n">
        <v>20000</v>
      </c>
    </row>
    <row r="1388" customFormat="false" ht="15" hidden="false" customHeight="false" outlineLevel="0" collapsed="false">
      <c r="A1388" s="68" t="s">
        <v>2900</v>
      </c>
      <c r="B1388" s="68" t="s">
        <v>2370</v>
      </c>
      <c r="C1388" s="68" t="n">
        <v>26148.9032258065</v>
      </c>
    </row>
    <row r="1389" customFormat="false" ht="15" hidden="false" customHeight="false" outlineLevel="0" collapsed="false">
      <c r="A1389" s="68" t="s">
        <v>2900</v>
      </c>
      <c r="B1389" s="68" t="s">
        <v>2375</v>
      </c>
      <c r="C1389" s="68" t="n">
        <v>810616000</v>
      </c>
    </row>
    <row r="1390" customFormat="false" ht="15" hidden="false" customHeight="false" outlineLevel="0" collapsed="false">
      <c r="A1390" s="68" t="s">
        <v>2900</v>
      </c>
      <c r="B1390" s="68" t="s">
        <v>2388</v>
      </c>
      <c r="C1390" s="68" t="n">
        <v>27021.3581179459</v>
      </c>
    </row>
    <row r="1391" customFormat="false" ht="15" hidden="false" customHeight="false" outlineLevel="0" collapsed="false">
      <c r="A1391" s="68" t="s">
        <v>2900</v>
      </c>
      <c r="B1391" s="68" t="s">
        <v>2393</v>
      </c>
      <c r="C1391" s="68" t="n">
        <v>28528.6927396926</v>
      </c>
    </row>
    <row r="1392" customFormat="false" ht="15" hidden="false" customHeight="false" outlineLevel="0" collapsed="false">
      <c r="A1392" s="68" t="s">
        <v>2900</v>
      </c>
      <c r="B1392" s="68" t="s">
        <v>2398</v>
      </c>
      <c r="C1392" s="68" t="n">
        <v>18787085615.948</v>
      </c>
    </row>
    <row r="1393" customFormat="false" ht="15" hidden="false" customHeight="false" outlineLevel="0" collapsed="false">
      <c r="A1393" s="68" t="s">
        <v>2900</v>
      </c>
      <c r="B1393" s="68" t="s">
        <v>2432</v>
      </c>
      <c r="C1393" s="68" t="s">
        <v>3201</v>
      </c>
    </row>
    <row r="1394" customFormat="false" ht="15" hidden="false" customHeight="false" outlineLevel="0" collapsed="false">
      <c r="A1394" s="68" t="s">
        <v>2900</v>
      </c>
      <c r="B1394" s="68" t="s">
        <v>2437</v>
      </c>
      <c r="C1394" s="68" t="n">
        <v>1.9</v>
      </c>
    </row>
    <row r="1395" customFormat="false" ht="15" hidden="false" customHeight="false" outlineLevel="0" collapsed="false">
      <c r="A1395" s="68" t="s">
        <v>2900</v>
      </c>
      <c r="B1395" s="68" t="s">
        <v>2442</v>
      </c>
      <c r="C1395" s="68" t="n">
        <v>1</v>
      </c>
    </row>
    <row r="1396" customFormat="false" ht="15" hidden="false" customHeight="false" outlineLevel="0" collapsed="false">
      <c r="A1396" s="68" t="s">
        <v>2900</v>
      </c>
      <c r="B1396" s="68" t="s">
        <v>2447</v>
      </c>
      <c r="C1396" s="68" t="n">
        <v>1.05</v>
      </c>
    </row>
    <row r="1397" customFormat="false" ht="15" hidden="false" customHeight="false" outlineLevel="0" collapsed="false">
      <c r="A1397" s="68" t="s">
        <v>2900</v>
      </c>
      <c r="B1397" s="68" t="s">
        <v>2452</v>
      </c>
      <c r="C1397" s="68" t="n">
        <v>1</v>
      </c>
    </row>
    <row r="1398" customFormat="false" ht="15" hidden="false" customHeight="false" outlineLevel="0" collapsed="false">
      <c r="A1398" s="68" t="s">
        <v>2900</v>
      </c>
      <c r="B1398" s="68" t="s">
        <v>2457</v>
      </c>
      <c r="C1398" s="68" t="n">
        <v>1.995</v>
      </c>
    </row>
    <row r="1399" customFormat="false" ht="15" hidden="false" customHeight="false" outlineLevel="0" collapsed="false">
      <c r="A1399" s="68" t="s">
        <v>2900</v>
      </c>
      <c r="B1399" s="68" t="s">
        <v>2462</v>
      </c>
      <c r="C1399" s="68" t="n">
        <v>10025.0626566416</v>
      </c>
    </row>
    <row r="1400" customFormat="false" ht="15" hidden="false" customHeight="false" outlineLevel="0" collapsed="false">
      <c r="A1400" s="68" t="s">
        <v>2900</v>
      </c>
      <c r="B1400" s="68" t="s">
        <v>2467</v>
      </c>
      <c r="C1400" s="68" t="n">
        <v>91.347</v>
      </c>
    </row>
    <row r="1401" customFormat="false" ht="15" hidden="false" customHeight="false" outlineLevel="0" collapsed="false">
      <c r="A1401" s="68" t="s">
        <v>2900</v>
      </c>
      <c r="B1401" s="68" t="s">
        <v>2471</v>
      </c>
      <c r="C1401" s="68" t="n">
        <v>123.416</v>
      </c>
    </row>
    <row r="1402" customFormat="false" ht="15" hidden="false" customHeight="false" outlineLevel="0" collapsed="false">
      <c r="A1402" s="68" t="s">
        <v>2900</v>
      </c>
      <c r="B1402" s="68" t="s">
        <v>2475</v>
      </c>
      <c r="C1402" s="68" t="s">
        <v>369</v>
      </c>
    </row>
    <row r="1403" customFormat="false" ht="15" hidden="false" customHeight="false" outlineLevel="0" collapsed="false">
      <c r="A1403" s="68" t="s">
        <v>2900</v>
      </c>
      <c r="B1403" s="68" t="s">
        <v>2480</v>
      </c>
      <c r="C1403" s="68" t="n">
        <v>13544.5404099979</v>
      </c>
    </row>
    <row r="1404" customFormat="false" ht="15" hidden="false" customHeight="false" outlineLevel="0" collapsed="false">
      <c r="A1404" s="68" t="s">
        <v>2900</v>
      </c>
      <c r="B1404" s="68" t="s">
        <v>2484</v>
      </c>
      <c r="C1404" s="68" t="n">
        <v>11074.5026685491</v>
      </c>
    </row>
    <row r="1405" customFormat="false" ht="15" hidden="false" customHeight="false" outlineLevel="0" collapsed="false">
      <c r="A1405" s="68" t="s">
        <v>2902</v>
      </c>
      <c r="B1405" s="68" t="s">
        <v>2284</v>
      </c>
      <c r="C1405" s="68" t="n">
        <v>4.15531335149864</v>
      </c>
    </row>
    <row r="1406" customFormat="false" ht="15" hidden="false" customHeight="false" outlineLevel="0" collapsed="false">
      <c r="A1406" s="68" t="s">
        <v>2902</v>
      </c>
      <c r="B1406" s="68" t="s">
        <v>2290</v>
      </c>
      <c r="C1406" s="68" t="s">
        <v>3205</v>
      </c>
    </row>
    <row r="1407" customFormat="false" ht="15" hidden="false" customHeight="false" outlineLevel="0" collapsed="false">
      <c r="A1407" s="68" t="s">
        <v>2902</v>
      </c>
      <c r="B1407" s="68" t="s">
        <v>2365</v>
      </c>
      <c r="C1407" s="68" t="n">
        <v>17500</v>
      </c>
    </row>
    <row r="1408" customFormat="false" ht="15" hidden="false" customHeight="false" outlineLevel="0" collapsed="false">
      <c r="A1408" s="68" t="s">
        <v>2902</v>
      </c>
      <c r="B1408" s="68" t="s">
        <v>2370</v>
      </c>
      <c r="C1408" s="68" t="n">
        <v>22880.2903225806</v>
      </c>
    </row>
    <row r="1409" customFormat="false" ht="15" hidden="false" customHeight="false" outlineLevel="0" collapsed="false">
      <c r="A1409" s="68" t="s">
        <v>2902</v>
      </c>
      <c r="B1409" s="68" t="s">
        <v>2375</v>
      </c>
      <c r="C1409" s="68" t="n">
        <v>709289000</v>
      </c>
    </row>
    <row r="1410" customFormat="false" ht="15" hidden="false" customHeight="false" outlineLevel="0" collapsed="false">
      <c r="A1410" s="68" t="s">
        <v>2902</v>
      </c>
      <c r="B1410" s="68" t="s">
        <v>2388</v>
      </c>
      <c r="C1410" s="68" t="n">
        <v>25000</v>
      </c>
    </row>
    <row r="1411" customFormat="false" ht="15" hidden="false" customHeight="false" outlineLevel="0" collapsed="false">
      <c r="A1411" s="68" t="s">
        <v>2902</v>
      </c>
      <c r="B1411" s="68" t="s">
        <v>2393</v>
      </c>
      <c r="C1411" s="68" t="n">
        <v>26394.5770371417</v>
      </c>
    </row>
    <row r="1412" customFormat="false" ht="15" hidden="false" customHeight="false" outlineLevel="0" collapsed="false">
      <c r="A1412" s="68" t="s">
        <v>2902</v>
      </c>
      <c r="B1412" s="68" t="s">
        <v>2398</v>
      </c>
      <c r="C1412" s="68" t="n">
        <v>17381700000</v>
      </c>
    </row>
    <row r="1413" customFormat="false" ht="15" hidden="false" customHeight="false" outlineLevel="0" collapsed="false">
      <c r="A1413" s="68" t="s">
        <v>2902</v>
      </c>
      <c r="B1413" s="68" t="s">
        <v>2432</v>
      </c>
      <c r="C1413" s="68" t="s">
        <v>3201</v>
      </c>
    </row>
    <row r="1414" customFormat="false" ht="15" hidden="false" customHeight="false" outlineLevel="0" collapsed="false">
      <c r="A1414" s="68" t="s">
        <v>2902</v>
      </c>
      <c r="B1414" s="68" t="s">
        <v>2437</v>
      </c>
      <c r="C1414" s="68" t="n">
        <v>1.9</v>
      </c>
    </row>
    <row r="1415" customFormat="false" ht="15" hidden="false" customHeight="false" outlineLevel="0" collapsed="false">
      <c r="A1415" s="68" t="s">
        <v>2902</v>
      </c>
      <c r="B1415" s="68" t="s">
        <v>2442</v>
      </c>
      <c r="C1415" s="68" t="n">
        <v>1</v>
      </c>
    </row>
    <row r="1416" customFormat="false" ht="15" hidden="false" customHeight="false" outlineLevel="0" collapsed="false">
      <c r="A1416" s="68" t="s">
        <v>2902</v>
      </c>
      <c r="B1416" s="68" t="s">
        <v>2447</v>
      </c>
      <c r="C1416" s="68" t="n">
        <v>1.05</v>
      </c>
    </row>
    <row r="1417" customFormat="false" ht="15" hidden="false" customHeight="false" outlineLevel="0" collapsed="false">
      <c r="A1417" s="68" t="s">
        <v>2902</v>
      </c>
      <c r="B1417" s="68" t="s">
        <v>2452</v>
      </c>
      <c r="C1417" s="68" t="n">
        <v>1</v>
      </c>
    </row>
    <row r="1418" customFormat="false" ht="15" hidden="false" customHeight="false" outlineLevel="0" collapsed="false">
      <c r="A1418" s="68" t="s">
        <v>2902</v>
      </c>
      <c r="B1418" s="68" t="s">
        <v>2457</v>
      </c>
      <c r="C1418" s="68" t="n">
        <v>1.995</v>
      </c>
    </row>
    <row r="1419" customFormat="false" ht="15" hidden="false" customHeight="false" outlineLevel="0" collapsed="false">
      <c r="A1419" s="68" t="s">
        <v>2902</v>
      </c>
      <c r="B1419" s="68" t="s">
        <v>2462</v>
      </c>
      <c r="C1419" s="68" t="n">
        <v>8771.92982456141</v>
      </c>
    </row>
    <row r="1420" customFormat="false" ht="15" hidden="false" customHeight="false" outlineLevel="0" collapsed="false">
      <c r="A1420" s="68" t="s">
        <v>2902</v>
      </c>
      <c r="B1420" s="68" t="s">
        <v>2467</v>
      </c>
      <c r="C1420" s="68" t="n">
        <v>91.347</v>
      </c>
    </row>
    <row r="1421" customFormat="false" ht="15" hidden="false" customHeight="false" outlineLevel="0" collapsed="false">
      <c r="A1421" s="68" t="s">
        <v>2902</v>
      </c>
      <c r="B1421" s="68" t="s">
        <v>2471</v>
      </c>
      <c r="C1421" s="68" t="n">
        <v>123.416</v>
      </c>
    </row>
    <row r="1422" customFormat="false" ht="15" hidden="false" customHeight="false" outlineLevel="0" collapsed="false">
      <c r="A1422" s="68" t="s">
        <v>2902</v>
      </c>
      <c r="B1422" s="68" t="s">
        <v>2475</v>
      </c>
      <c r="C1422" s="68" t="s">
        <v>369</v>
      </c>
    </row>
    <row r="1423" customFormat="false" ht="15" hidden="false" customHeight="false" outlineLevel="0" collapsed="false">
      <c r="A1423" s="68" t="s">
        <v>2902</v>
      </c>
      <c r="B1423" s="68" t="s">
        <v>2480</v>
      </c>
      <c r="C1423" s="68" t="n">
        <v>12531.328320802</v>
      </c>
    </row>
    <row r="1424" customFormat="false" ht="15" hidden="false" customHeight="false" outlineLevel="0" collapsed="false">
      <c r="A1424" s="68" t="s">
        <v>2902</v>
      </c>
      <c r="B1424" s="68" t="s">
        <v>2484</v>
      </c>
      <c r="C1424" s="68" t="n">
        <v>5331.32110696128</v>
      </c>
    </row>
    <row r="1425" customFormat="false" ht="15" hidden="false" customHeight="false" outlineLevel="0" collapsed="false">
      <c r="A1425" s="68" t="s">
        <v>2904</v>
      </c>
      <c r="B1425" s="68" t="s">
        <v>2284</v>
      </c>
      <c r="C1425" s="68" t="n">
        <v>3.05858310626703</v>
      </c>
    </row>
    <row r="1426" customFormat="false" ht="15" hidden="false" customHeight="false" outlineLevel="0" collapsed="false">
      <c r="A1426" s="68" t="s">
        <v>2904</v>
      </c>
      <c r="B1426" s="68" t="s">
        <v>2290</v>
      </c>
      <c r="C1426" s="68" t="s">
        <v>3205</v>
      </c>
    </row>
    <row r="1427" customFormat="false" ht="15" hidden="false" customHeight="false" outlineLevel="0" collapsed="false">
      <c r="A1427" s="68" t="s">
        <v>2904</v>
      </c>
      <c r="B1427" s="68" t="s">
        <v>2365</v>
      </c>
      <c r="C1427" s="68"/>
    </row>
    <row r="1428" customFormat="false" ht="15" hidden="false" customHeight="false" outlineLevel="0" collapsed="false">
      <c r="A1428" s="68" t="s">
        <v>2904</v>
      </c>
      <c r="B1428" s="68" t="s">
        <v>2370</v>
      </c>
      <c r="C1428" s="68"/>
    </row>
    <row r="1429" customFormat="false" ht="15" hidden="false" customHeight="false" outlineLevel="0" collapsed="false">
      <c r="A1429" s="68" t="s">
        <v>2904</v>
      </c>
      <c r="B1429" s="68" t="s">
        <v>2375</v>
      </c>
      <c r="C1429" s="68"/>
    </row>
    <row r="1430" customFormat="false" ht="15" hidden="false" customHeight="false" outlineLevel="0" collapsed="false">
      <c r="A1430" s="68" t="s">
        <v>2904</v>
      </c>
      <c r="B1430" s="68" t="s">
        <v>2388</v>
      </c>
      <c r="C1430" s="68"/>
    </row>
    <row r="1431" customFormat="false" ht="15" hidden="false" customHeight="false" outlineLevel="0" collapsed="false">
      <c r="A1431" s="68" t="s">
        <v>2904</v>
      </c>
      <c r="B1431" s="68" t="s">
        <v>2393</v>
      </c>
      <c r="C1431" s="68"/>
    </row>
    <row r="1432" customFormat="false" ht="15" hidden="false" customHeight="false" outlineLevel="0" collapsed="false">
      <c r="A1432" s="68" t="s">
        <v>2904</v>
      </c>
      <c r="B1432" s="68" t="s">
        <v>2398</v>
      </c>
      <c r="C1432" s="68"/>
    </row>
    <row r="1433" customFormat="false" ht="15" hidden="false" customHeight="false" outlineLevel="0" collapsed="false">
      <c r="A1433" s="68" t="s">
        <v>2904</v>
      </c>
      <c r="B1433" s="68" t="s">
        <v>2432</v>
      </c>
      <c r="C1433" s="68" t="s">
        <v>3203</v>
      </c>
    </row>
    <row r="1434" customFormat="false" ht="15" hidden="false" customHeight="false" outlineLevel="0" collapsed="false">
      <c r="A1434" s="68" t="s">
        <v>2904</v>
      </c>
      <c r="B1434" s="68" t="s">
        <v>2437</v>
      </c>
      <c r="C1434" s="68" t="n">
        <v>1.9</v>
      </c>
    </row>
    <row r="1435" customFormat="false" ht="15" hidden="false" customHeight="false" outlineLevel="0" collapsed="false">
      <c r="A1435" s="68" t="s">
        <v>2904</v>
      </c>
      <c r="B1435" s="68" t="s">
        <v>2442</v>
      </c>
      <c r="C1435" s="68" t="n">
        <v>1</v>
      </c>
    </row>
    <row r="1436" customFormat="false" ht="15" hidden="false" customHeight="false" outlineLevel="0" collapsed="false">
      <c r="A1436" s="68" t="s">
        <v>2904</v>
      </c>
      <c r="B1436" s="68" t="s">
        <v>2447</v>
      </c>
      <c r="C1436" s="68" t="n">
        <v>1.05</v>
      </c>
    </row>
    <row r="1437" customFormat="false" ht="15" hidden="false" customHeight="false" outlineLevel="0" collapsed="false">
      <c r="A1437" s="68" t="s">
        <v>2904</v>
      </c>
      <c r="B1437" s="68" t="s">
        <v>2452</v>
      </c>
      <c r="C1437" s="68" t="n">
        <v>1</v>
      </c>
    </row>
    <row r="1438" customFormat="false" ht="15" hidden="false" customHeight="false" outlineLevel="0" collapsed="false">
      <c r="A1438" s="68" t="s">
        <v>2904</v>
      </c>
      <c r="B1438" s="68" t="s">
        <v>2457</v>
      </c>
      <c r="C1438" s="68" t="n">
        <v>1.995</v>
      </c>
    </row>
    <row r="1439" customFormat="false" ht="15" hidden="false" customHeight="false" outlineLevel="0" collapsed="false">
      <c r="A1439" s="68" t="s">
        <v>2904</v>
      </c>
      <c r="B1439" s="68" t="s">
        <v>2462</v>
      </c>
      <c r="C1439" s="68"/>
    </row>
    <row r="1440" customFormat="false" ht="15" hidden="false" customHeight="false" outlineLevel="0" collapsed="false">
      <c r="A1440" s="68" t="s">
        <v>2904</v>
      </c>
      <c r="B1440" s="68" t="s">
        <v>2467</v>
      </c>
      <c r="C1440" s="68" t="n">
        <v>91.347</v>
      </c>
    </row>
    <row r="1441" customFormat="false" ht="15" hidden="false" customHeight="false" outlineLevel="0" collapsed="false">
      <c r="A1441" s="68" t="s">
        <v>2904</v>
      </c>
      <c r="B1441" s="68" t="s">
        <v>2471</v>
      </c>
      <c r="C1441" s="68" t="n">
        <v>123.416</v>
      </c>
    </row>
    <row r="1442" customFormat="false" ht="15" hidden="false" customHeight="false" outlineLevel="0" collapsed="false">
      <c r="A1442" s="68" t="s">
        <v>2904</v>
      </c>
      <c r="B1442" s="68" t="s">
        <v>2475</v>
      </c>
      <c r="C1442" s="68" t="s">
        <v>369</v>
      </c>
    </row>
    <row r="1443" customFormat="false" ht="15" hidden="false" customHeight="false" outlineLevel="0" collapsed="false">
      <c r="A1443" s="68" t="s">
        <v>2904</v>
      </c>
      <c r="B1443" s="68" t="s">
        <v>2480</v>
      </c>
      <c r="C1443" s="68"/>
    </row>
    <row r="1444" customFormat="false" ht="15" hidden="false" customHeight="false" outlineLevel="0" collapsed="false">
      <c r="A1444" s="68" t="s">
        <v>2904</v>
      </c>
      <c r="B1444" s="68" t="s">
        <v>2484</v>
      </c>
      <c r="C1444" s="68"/>
    </row>
    <row r="1445" customFormat="false" ht="15" hidden="false" customHeight="false" outlineLevel="0" collapsed="false">
      <c r="A1445" s="68" t="s">
        <v>2910</v>
      </c>
      <c r="B1445" s="68" t="s">
        <v>2284</v>
      </c>
      <c r="C1445" s="68"/>
    </row>
    <row r="1446" customFormat="false" ht="15" hidden="false" customHeight="false" outlineLevel="0" collapsed="false">
      <c r="A1446" s="68" t="s">
        <v>2910</v>
      </c>
      <c r="B1446" s="68" t="s">
        <v>2290</v>
      </c>
      <c r="C1446" s="68" t="s">
        <v>1585</v>
      </c>
    </row>
    <row r="1447" customFormat="false" ht="15" hidden="false" customHeight="false" outlineLevel="0" collapsed="false">
      <c r="A1447" s="68" t="s">
        <v>2910</v>
      </c>
      <c r="B1447" s="68" t="s">
        <v>2365</v>
      </c>
      <c r="C1447" s="68"/>
    </row>
    <row r="1448" customFormat="false" ht="15" hidden="false" customHeight="false" outlineLevel="0" collapsed="false">
      <c r="A1448" s="68" t="s">
        <v>2910</v>
      </c>
      <c r="B1448" s="68" t="s">
        <v>2370</v>
      </c>
      <c r="C1448" s="68"/>
    </row>
    <row r="1449" customFormat="false" ht="15" hidden="false" customHeight="false" outlineLevel="0" collapsed="false">
      <c r="A1449" s="68" t="s">
        <v>2910</v>
      </c>
      <c r="B1449" s="68" t="s">
        <v>2375</v>
      </c>
      <c r="C1449" s="68"/>
    </row>
    <row r="1450" customFormat="false" ht="15" hidden="false" customHeight="false" outlineLevel="0" collapsed="false">
      <c r="A1450" s="68" t="s">
        <v>2910</v>
      </c>
      <c r="B1450" s="68" t="s">
        <v>2388</v>
      </c>
      <c r="C1450" s="68"/>
    </row>
    <row r="1451" customFormat="false" ht="15" hidden="false" customHeight="false" outlineLevel="0" collapsed="false">
      <c r="A1451" s="68" t="s">
        <v>2910</v>
      </c>
      <c r="B1451" s="68" t="s">
        <v>2393</v>
      </c>
      <c r="C1451" s="68"/>
    </row>
    <row r="1452" customFormat="false" ht="15" hidden="false" customHeight="false" outlineLevel="0" collapsed="false">
      <c r="A1452" s="68" t="s">
        <v>2910</v>
      </c>
      <c r="B1452" s="68" t="s">
        <v>2398</v>
      </c>
      <c r="C1452" s="68"/>
    </row>
    <row r="1453" customFormat="false" ht="15" hidden="false" customHeight="false" outlineLevel="0" collapsed="false">
      <c r="A1453" s="68" t="s">
        <v>2910</v>
      </c>
      <c r="B1453" s="68" t="s">
        <v>2432</v>
      </c>
      <c r="C1453" s="68" t="s">
        <v>3204</v>
      </c>
    </row>
    <row r="1454" customFormat="false" ht="15" hidden="false" customHeight="false" outlineLevel="0" collapsed="false">
      <c r="A1454" s="68" t="s">
        <v>2910</v>
      </c>
      <c r="B1454" s="68" t="s">
        <v>2437</v>
      </c>
      <c r="C1454" s="68" t="n">
        <v>1.9</v>
      </c>
    </row>
    <row r="1455" customFormat="false" ht="15" hidden="false" customHeight="false" outlineLevel="0" collapsed="false">
      <c r="A1455" s="68" t="s">
        <v>2910</v>
      </c>
      <c r="B1455" s="68" t="s">
        <v>2442</v>
      </c>
      <c r="C1455" s="68" t="n">
        <v>1</v>
      </c>
    </row>
    <row r="1456" customFormat="false" ht="15" hidden="false" customHeight="false" outlineLevel="0" collapsed="false">
      <c r="A1456" s="68" t="s">
        <v>2910</v>
      </c>
      <c r="B1456" s="68" t="s">
        <v>2447</v>
      </c>
      <c r="C1456" s="68" t="n">
        <v>1</v>
      </c>
    </row>
    <row r="1457" customFormat="false" ht="15" hidden="false" customHeight="false" outlineLevel="0" collapsed="false">
      <c r="A1457" s="68" t="s">
        <v>2910</v>
      </c>
      <c r="B1457" s="68" t="s">
        <v>2452</v>
      </c>
      <c r="C1457" s="68" t="n">
        <v>1</v>
      </c>
    </row>
    <row r="1458" customFormat="false" ht="15" hidden="false" customHeight="false" outlineLevel="0" collapsed="false">
      <c r="A1458" s="68" t="s">
        <v>2910</v>
      </c>
      <c r="B1458" s="68" t="s">
        <v>2457</v>
      </c>
      <c r="C1458" s="68" t="n">
        <v>1.9</v>
      </c>
    </row>
    <row r="1459" customFormat="false" ht="15" hidden="false" customHeight="false" outlineLevel="0" collapsed="false">
      <c r="A1459" s="68" t="s">
        <v>2910</v>
      </c>
      <c r="B1459" s="68" t="s">
        <v>2462</v>
      </c>
      <c r="C1459" s="68"/>
    </row>
    <row r="1460" customFormat="false" ht="15" hidden="false" customHeight="false" outlineLevel="0" collapsed="false">
      <c r="A1460" s="68" t="s">
        <v>2910</v>
      </c>
      <c r="B1460" s="68" t="s">
        <v>2467</v>
      </c>
      <c r="C1460" s="68" t="n">
        <v>91.347</v>
      </c>
    </row>
    <row r="1461" customFormat="false" ht="15" hidden="false" customHeight="false" outlineLevel="0" collapsed="false">
      <c r="A1461" s="68" t="s">
        <v>2910</v>
      </c>
      <c r="B1461" s="68" t="s">
        <v>2471</v>
      </c>
      <c r="C1461" s="68" t="n">
        <v>123.416</v>
      </c>
    </row>
    <row r="1462" customFormat="false" ht="15" hidden="false" customHeight="false" outlineLevel="0" collapsed="false">
      <c r="A1462" s="68" t="s">
        <v>2910</v>
      </c>
      <c r="B1462" s="68" t="s">
        <v>2475</v>
      </c>
      <c r="C1462" s="68" t="s">
        <v>369</v>
      </c>
    </row>
    <row r="1463" customFormat="false" ht="15" hidden="false" customHeight="false" outlineLevel="0" collapsed="false">
      <c r="A1463" s="68" t="s">
        <v>2910</v>
      </c>
      <c r="B1463" s="68" t="s">
        <v>2480</v>
      </c>
      <c r="C1463" s="68"/>
    </row>
    <row r="1464" customFormat="false" ht="15" hidden="false" customHeight="false" outlineLevel="0" collapsed="false">
      <c r="A1464" s="68" t="s">
        <v>2910</v>
      </c>
      <c r="B1464" s="68" t="s">
        <v>2484</v>
      </c>
      <c r="C1464" s="68"/>
    </row>
    <row r="1465" customFormat="false" ht="15" hidden="false" customHeight="false" outlineLevel="0" collapsed="false">
      <c r="A1465" s="68" t="s">
        <v>2916</v>
      </c>
      <c r="B1465" s="68" t="s">
        <v>2284</v>
      </c>
      <c r="C1465" s="68"/>
    </row>
    <row r="1466" customFormat="false" ht="15" hidden="false" customHeight="false" outlineLevel="0" collapsed="false">
      <c r="A1466" s="68" t="s">
        <v>2916</v>
      </c>
      <c r="B1466" s="68" t="s">
        <v>2290</v>
      </c>
      <c r="C1466" s="68" t="s">
        <v>3205</v>
      </c>
    </row>
    <row r="1467" customFormat="false" ht="15" hidden="false" customHeight="false" outlineLevel="0" collapsed="false">
      <c r="A1467" s="68" t="s">
        <v>2916</v>
      </c>
      <c r="B1467" s="68" t="s">
        <v>2365</v>
      </c>
      <c r="C1467" s="68"/>
    </row>
    <row r="1468" customFormat="false" ht="15" hidden="false" customHeight="false" outlineLevel="0" collapsed="false">
      <c r="A1468" s="68" t="s">
        <v>2916</v>
      </c>
      <c r="B1468" s="68" t="s">
        <v>2370</v>
      </c>
      <c r="C1468" s="68"/>
    </row>
    <row r="1469" customFormat="false" ht="15" hidden="false" customHeight="false" outlineLevel="0" collapsed="false">
      <c r="A1469" s="68" t="s">
        <v>2916</v>
      </c>
      <c r="B1469" s="68" t="s">
        <v>2375</v>
      </c>
      <c r="C1469" s="68"/>
    </row>
    <row r="1470" customFormat="false" ht="15" hidden="false" customHeight="false" outlineLevel="0" collapsed="false">
      <c r="A1470" s="68" t="s">
        <v>2916</v>
      </c>
      <c r="B1470" s="68" t="s">
        <v>2388</v>
      </c>
      <c r="C1470" s="68"/>
    </row>
    <row r="1471" customFormat="false" ht="15" hidden="false" customHeight="false" outlineLevel="0" collapsed="false">
      <c r="A1471" s="68" t="s">
        <v>2916</v>
      </c>
      <c r="B1471" s="68" t="s">
        <v>2393</v>
      </c>
      <c r="C1471" s="68"/>
    </row>
    <row r="1472" customFormat="false" ht="15" hidden="false" customHeight="false" outlineLevel="0" collapsed="false">
      <c r="A1472" s="68" t="s">
        <v>2916</v>
      </c>
      <c r="B1472" s="68" t="s">
        <v>2398</v>
      </c>
      <c r="C1472" s="68"/>
    </row>
    <row r="1473" customFormat="false" ht="15" hidden="false" customHeight="false" outlineLevel="0" collapsed="false">
      <c r="A1473" s="68" t="s">
        <v>2916</v>
      </c>
      <c r="B1473" s="68" t="s">
        <v>2432</v>
      </c>
      <c r="C1473" s="68" t="s">
        <v>3204</v>
      </c>
    </row>
    <row r="1474" customFormat="false" ht="15" hidden="false" customHeight="false" outlineLevel="0" collapsed="false">
      <c r="A1474" s="68" t="s">
        <v>2916</v>
      </c>
      <c r="B1474" s="68" t="s">
        <v>2437</v>
      </c>
      <c r="C1474" s="68" t="n">
        <v>1.9</v>
      </c>
    </row>
    <row r="1475" customFormat="false" ht="15" hidden="false" customHeight="false" outlineLevel="0" collapsed="false">
      <c r="A1475" s="68" t="s">
        <v>2916</v>
      </c>
      <c r="B1475" s="68" t="s">
        <v>2442</v>
      </c>
      <c r="C1475" s="68" t="n">
        <v>1</v>
      </c>
    </row>
    <row r="1476" customFormat="false" ht="15" hidden="false" customHeight="false" outlineLevel="0" collapsed="false">
      <c r="A1476" s="68" t="s">
        <v>2916</v>
      </c>
      <c r="B1476" s="68" t="s">
        <v>2447</v>
      </c>
      <c r="C1476" s="68" t="n">
        <v>1.05</v>
      </c>
    </row>
    <row r="1477" customFormat="false" ht="15" hidden="false" customHeight="false" outlineLevel="0" collapsed="false">
      <c r="A1477" s="68" t="s">
        <v>2916</v>
      </c>
      <c r="B1477" s="68" t="s">
        <v>2452</v>
      </c>
      <c r="C1477" s="68" t="n">
        <v>1</v>
      </c>
    </row>
    <row r="1478" customFormat="false" ht="15" hidden="false" customHeight="false" outlineLevel="0" collapsed="false">
      <c r="A1478" s="68" t="s">
        <v>2916</v>
      </c>
      <c r="B1478" s="68" t="s">
        <v>2457</v>
      </c>
      <c r="C1478" s="68" t="n">
        <v>1.995</v>
      </c>
    </row>
    <row r="1479" customFormat="false" ht="15" hidden="false" customHeight="false" outlineLevel="0" collapsed="false">
      <c r="A1479" s="68" t="s">
        <v>2916</v>
      </c>
      <c r="B1479" s="68" t="s">
        <v>2462</v>
      </c>
      <c r="C1479" s="68"/>
    </row>
    <row r="1480" customFormat="false" ht="15" hidden="false" customHeight="false" outlineLevel="0" collapsed="false">
      <c r="A1480" s="68" t="s">
        <v>2916</v>
      </c>
      <c r="B1480" s="68" t="s">
        <v>2467</v>
      </c>
      <c r="C1480" s="68" t="n">
        <v>91.347</v>
      </c>
    </row>
    <row r="1481" customFormat="false" ht="15" hidden="false" customHeight="false" outlineLevel="0" collapsed="false">
      <c r="A1481" s="68" t="s">
        <v>2916</v>
      </c>
      <c r="B1481" s="68" t="s">
        <v>2471</v>
      </c>
      <c r="C1481" s="68" t="n">
        <v>123.416</v>
      </c>
    </row>
    <row r="1482" customFormat="false" ht="15" hidden="false" customHeight="false" outlineLevel="0" collapsed="false">
      <c r="A1482" s="68" t="s">
        <v>2916</v>
      </c>
      <c r="B1482" s="68" t="s">
        <v>2475</v>
      </c>
      <c r="C1482" s="68" t="s">
        <v>369</v>
      </c>
    </row>
    <row r="1483" customFormat="false" ht="15" hidden="false" customHeight="false" outlineLevel="0" collapsed="false">
      <c r="A1483" s="68" t="s">
        <v>2916</v>
      </c>
      <c r="B1483" s="68" t="s">
        <v>2480</v>
      </c>
      <c r="C1483" s="68"/>
    </row>
    <row r="1484" customFormat="false" ht="15" hidden="false" customHeight="false" outlineLevel="0" collapsed="false">
      <c r="A1484" s="68" t="s">
        <v>2916</v>
      </c>
      <c r="B1484" s="68" t="s">
        <v>2484</v>
      </c>
      <c r="C1484" s="68"/>
    </row>
    <row r="1485" customFormat="false" ht="15" hidden="false" customHeight="false" outlineLevel="0" collapsed="false">
      <c r="A1485" s="68" t="s">
        <v>2922</v>
      </c>
      <c r="B1485" s="68" t="s">
        <v>2284</v>
      </c>
      <c r="C1485" s="68"/>
    </row>
    <row r="1486" customFormat="false" ht="15" hidden="false" customHeight="false" outlineLevel="0" collapsed="false">
      <c r="A1486" s="68" t="s">
        <v>2922</v>
      </c>
      <c r="B1486" s="68" t="s">
        <v>2290</v>
      </c>
      <c r="C1486" s="68" t="s">
        <v>3205</v>
      </c>
    </row>
    <row r="1487" customFormat="false" ht="15" hidden="false" customHeight="false" outlineLevel="0" collapsed="false">
      <c r="A1487" s="68" t="s">
        <v>2922</v>
      </c>
      <c r="B1487" s="68" t="s">
        <v>2365</v>
      </c>
      <c r="C1487" s="68"/>
    </row>
    <row r="1488" customFormat="false" ht="15" hidden="false" customHeight="false" outlineLevel="0" collapsed="false">
      <c r="A1488" s="68" t="s">
        <v>2922</v>
      </c>
      <c r="B1488" s="68" t="s">
        <v>2370</v>
      </c>
      <c r="C1488" s="68"/>
    </row>
    <row r="1489" customFormat="false" ht="15" hidden="false" customHeight="false" outlineLevel="0" collapsed="false">
      <c r="A1489" s="68" t="s">
        <v>2922</v>
      </c>
      <c r="B1489" s="68" t="s">
        <v>2375</v>
      </c>
      <c r="C1489" s="68"/>
    </row>
    <row r="1490" customFormat="false" ht="15" hidden="false" customHeight="false" outlineLevel="0" collapsed="false">
      <c r="A1490" s="68" t="s">
        <v>2922</v>
      </c>
      <c r="B1490" s="68" t="s">
        <v>2388</v>
      </c>
      <c r="C1490" s="68"/>
    </row>
    <row r="1491" customFormat="false" ht="15" hidden="false" customHeight="false" outlineLevel="0" collapsed="false">
      <c r="A1491" s="68" t="s">
        <v>2922</v>
      </c>
      <c r="B1491" s="68" t="s">
        <v>2393</v>
      </c>
      <c r="C1491" s="68"/>
    </row>
    <row r="1492" customFormat="false" ht="15" hidden="false" customHeight="false" outlineLevel="0" collapsed="false">
      <c r="A1492" s="68" t="s">
        <v>2922</v>
      </c>
      <c r="B1492" s="68" t="s">
        <v>2398</v>
      </c>
      <c r="C1492" s="68"/>
    </row>
    <row r="1493" customFormat="false" ht="15" hidden="false" customHeight="false" outlineLevel="0" collapsed="false">
      <c r="A1493" s="68" t="s">
        <v>2922</v>
      </c>
      <c r="B1493" s="68" t="s">
        <v>2432</v>
      </c>
      <c r="C1493" s="68" t="s">
        <v>3204</v>
      </c>
    </row>
    <row r="1494" customFormat="false" ht="15" hidden="false" customHeight="false" outlineLevel="0" collapsed="false">
      <c r="A1494" s="68" t="s">
        <v>2922</v>
      </c>
      <c r="B1494" s="68" t="s">
        <v>2437</v>
      </c>
      <c r="C1494" s="68" t="n">
        <v>1.9</v>
      </c>
    </row>
    <row r="1495" customFormat="false" ht="15" hidden="false" customHeight="false" outlineLevel="0" collapsed="false">
      <c r="A1495" s="68" t="s">
        <v>2922</v>
      </c>
      <c r="B1495" s="68" t="s">
        <v>2442</v>
      </c>
      <c r="C1495" s="68" t="n">
        <v>1</v>
      </c>
    </row>
    <row r="1496" customFormat="false" ht="15" hidden="false" customHeight="false" outlineLevel="0" collapsed="false">
      <c r="A1496" s="68" t="s">
        <v>2922</v>
      </c>
      <c r="B1496" s="68" t="s">
        <v>2447</v>
      </c>
      <c r="C1496" s="68" t="n">
        <v>1.05</v>
      </c>
    </row>
    <row r="1497" customFormat="false" ht="15" hidden="false" customHeight="false" outlineLevel="0" collapsed="false">
      <c r="A1497" s="68" t="s">
        <v>2922</v>
      </c>
      <c r="B1497" s="68" t="s">
        <v>2452</v>
      </c>
      <c r="C1497" s="68" t="n">
        <v>1</v>
      </c>
    </row>
    <row r="1498" customFormat="false" ht="15" hidden="false" customHeight="false" outlineLevel="0" collapsed="false">
      <c r="A1498" s="68" t="s">
        <v>2922</v>
      </c>
      <c r="B1498" s="68" t="s">
        <v>2457</v>
      </c>
      <c r="C1498" s="68" t="n">
        <v>1.995</v>
      </c>
    </row>
    <row r="1499" customFormat="false" ht="15" hidden="false" customHeight="false" outlineLevel="0" collapsed="false">
      <c r="A1499" s="68" t="s">
        <v>2922</v>
      </c>
      <c r="B1499" s="68" t="s">
        <v>2462</v>
      </c>
      <c r="C1499" s="68"/>
    </row>
    <row r="1500" customFormat="false" ht="15" hidden="false" customHeight="false" outlineLevel="0" collapsed="false">
      <c r="A1500" s="68" t="s">
        <v>2922</v>
      </c>
      <c r="B1500" s="68" t="s">
        <v>2467</v>
      </c>
      <c r="C1500" s="68" t="n">
        <v>91.347</v>
      </c>
    </row>
    <row r="1501" customFormat="false" ht="15" hidden="false" customHeight="false" outlineLevel="0" collapsed="false">
      <c r="A1501" s="68" t="s">
        <v>2922</v>
      </c>
      <c r="B1501" s="68" t="s">
        <v>2471</v>
      </c>
      <c r="C1501" s="68" t="n">
        <v>123.416</v>
      </c>
    </row>
    <row r="1502" customFormat="false" ht="15" hidden="false" customHeight="false" outlineLevel="0" collapsed="false">
      <c r="A1502" s="68" t="s">
        <v>2922</v>
      </c>
      <c r="B1502" s="68" t="s">
        <v>2475</v>
      </c>
      <c r="C1502" s="68" t="s">
        <v>369</v>
      </c>
    </row>
    <row r="1503" customFormat="false" ht="15" hidden="false" customHeight="false" outlineLevel="0" collapsed="false">
      <c r="A1503" s="68" t="s">
        <v>2922</v>
      </c>
      <c r="B1503" s="68" t="s">
        <v>2480</v>
      </c>
      <c r="C1503" s="68"/>
    </row>
    <row r="1504" customFormat="false" ht="15" hidden="false" customHeight="false" outlineLevel="0" collapsed="false">
      <c r="A1504" s="68" t="s">
        <v>2922</v>
      </c>
      <c r="B1504" s="68" t="s">
        <v>2484</v>
      </c>
      <c r="C1504" s="68"/>
    </row>
    <row r="1505" customFormat="false" ht="15" hidden="false" customHeight="false" outlineLevel="0" collapsed="false">
      <c r="A1505" s="68" t="s">
        <v>2923</v>
      </c>
      <c r="B1505" s="68" t="s">
        <v>2284</v>
      </c>
      <c r="C1505" s="68"/>
    </row>
    <row r="1506" customFormat="false" ht="15" hidden="false" customHeight="false" outlineLevel="0" collapsed="false">
      <c r="A1506" s="68" t="s">
        <v>2923</v>
      </c>
      <c r="B1506" s="68" t="s">
        <v>2290</v>
      </c>
      <c r="C1506" s="68" t="s">
        <v>1605</v>
      </c>
    </row>
    <row r="1507" customFormat="false" ht="15" hidden="false" customHeight="false" outlineLevel="0" collapsed="false">
      <c r="A1507" s="68" t="s">
        <v>2923</v>
      </c>
      <c r="B1507" s="68" t="s">
        <v>2365</v>
      </c>
      <c r="C1507" s="68"/>
    </row>
    <row r="1508" customFormat="false" ht="15" hidden="false" customHeight="false" outlineLevel="0" collapsed="false">
      <c r="A1508" s="68" t="s">
        <v>2923</v>
      </c>
      <c r="B1508" s="68" t="s">
        <v>2370</v>
      </c>
      <c r="C1508" s="68"/>
    </row>
    <row r="1509" customFormat="false" ht="15" hidden="false" customHeight="false" outlineLevel="0" collapsed="false">
      <c r="A1509" s="68" t="s">
        <v>2923</v>
      </c>
      <c r="B1509" s="68" t="s">
        <v>2375</v>
      </c>
      <c r="C1509" s="68"/>
    </row>
    <row r="1510" customFormat="false" ht="15" hidden="false" customHeight="false" outlineLevel="0" collapsed="false">
      <c r="A1510" s="68" t="s">
        <v>2923</v>
      </c>
      <c r="B1510" s="68" t="s">
        <v>2388</v>
      </c>
      <c r="C1510" s="68"/>
    </row>
    <row r="1511" customFormat="false" ht="15" hidden="false" customHeight="false" outlineLevel="0" collapsed="false">
      <c r="A1511" s="68" t="s">
        <v>2923</v>
      </c>
      <c r="B1511" s="68" t="s">
        <v>2393</v>
      </c>
      <c r="C1511" s="68"/>
    </row>
    <row r="1512" customFormat="false" ht="15" hidden="false" customHeight="false" outlineLevel="0" collapsed="false">
      <c r="A1512" s="68" t="s">
        <v>2923</v>
      </c>
      <c r="B1512" s="68" t="s">
        <v>2398</v>
      </c>
      <c r="C1512" s="68"/>
    </row>
    <row r="1513" customFormat="false" ht="15" hidden="false" customHeight="false" outlineLevel="0" collapsed="false">
      <c r="A1513" s="68" t="s">
        <v>2923</v>
      </c>
      <c r="B1513" s="68" t="s">
        <v>2432</v>
      </c>
      <c r="C1513" s="68" t="s">
        <v>3204</v>
      </c>
    </row>
    <row r="1514" customFormat="false" ht="15" hidden="false" customHeight="false" outlineLevel="0" collapsed="false">
      <c r="A1514" s="68" t="s">
        <v>2923</v>
      </c>
      <c r="B1514" s="68" t="s">
        <v>2437</v>
      </c>
      <c r="C1514" s="68" t="n">
        <v>1.7</v>
      </c>
    </row>
    <row r="1515" customFormat="false" ht="15" hidden="false" customHeight="false" outlineLevel="0" collapsed="false">
      <c r="A1515" s="68" t="s">
        <v>2923</v>
      </c>
      <c r="B1515" s="68" t="s">
        <v>2442</v>
      </c>
      <c r="C1515" s="68" t="n">
        <v>1</v>
      </c>
    </row>
    <row r="1516" customFormat="false" ht="15" hidden="false" customHeight="false" outlineLevel="0" collapsed="false">
      <c r="A1516" s="68" t="s">
        <v>2923</v>
      </c>
      <c r="B1516" s="68" t="s">
        <v>2447</v>
      </c>
      <c r="C1516" s="68" t="n">
        <v>1</v>
      </c>
    </row>
    <row r="1517" customFormat="false" ht="15" hidden="false" customHeight="false" outlineLevel="0" collapsed="false">
      <c r="A1517" s="68" t="s">
        <v>2923</v>
      </c>
      <c r="B1517" s="68" t="s">
        <v>2452</v>
      </c>
      <c r="C1517" s="68" t="n">
        <v>1</v>
      </c>
    </row>
    <row r="1518" customFormat="false" ht="15" hidden="false" customHeight="false" outlineLevel="0" collapsed="false">
      <c r="A1518" s="68" t="s">
        <v>2923</v>
      </c>
      <c r="B1518" s="68" t="s">
        <v>2457</v>
      </c>
      <c r="C1518" s="68" t="n">
        <v>1.7</v>
      </c>
    </row>
    <row r="1519" customFormat="false" ht="15" hidden="false" customHeight="false" outlineLevel="0" collapsed="false">
      <c r="A1519" s="68" t="s">
        <v>2923</v>
      </c>
      <c r="B1519" s="68" t="s">
        <v>2462</v>
      </c>
      <c r="C1519" s="68"/>
    </row>
    <row r="1520" customFormat="false" ht="15" hidden="false" customHeight="false" outlineLevel="0" collapsed="false">
      <c r="A1520" s="68" t="s">
        <v>2923</v>
      </c>
      <c r="B1520" s="68" t="s">
        <v>2467</v>
      </c>
      <c r="C1520" s="68" t="n">
        <v>91.347</v>
      </c>
    </row>
    <row r="1521" customFormat="false" ht="15" hidden="false" customHeight="false" outlineLevel="0" collapsed="false">
      <c r="A1521" s="68" t="s">
        <v>2923</v>
      </c>
      <c r="B1521" s="68" t="s">
        <v>2471</v>
      </c>
      <c r="C1521" s="68" t="n">
        <v>123.416</v>
      </c>
    </row>
    <row r="1522" customFormat="false" ht="15" hidden="false" customHeight="false" outlineLevel="0" collapsed="false">
      <c r="A1522" s="68" t="s">
        <v>2923</v>
      </c>
      <c r="B1522" s="68" t="s">
        <v>2475</v>
      </c>
      <c r="C1522" s="68" t="s">
        <v>312</v>
      </c>
    </row>
    <row r="1523" customFormat="false" ht="15" hidden="false" customHeight="false" outlineLevel="0" collapsed="false">
      <c r="A1523" s="68" t="s">
        <v>2923</v>
      </c>
      <c r="B1523" s="68" t="s">
        <v>2480</v>
      </c>
      <c r="C1523" s="68"/>
    </row>
    <row r="1524" customFormat="false" ht="15" hidden="false" customHeight="false" outlineLevel="0" collapsed="false">
      <c r="A1524" s="68" t="s">
        <v>2923</v>
      </c>
      <c r="B1524" s="68" t="s">
        <v>2484</v>
      </c>
      <c r="C1524" s="68"/>
    </row>
    <row r="1525" customFormat="false" ht="15" hidden="false" customHeight="false" outlineLevel="0" collapsed="false">
      <c r="A1525" s="68" t="s">
        <v>2929</v>
      </c>
      <c r="B1525" s="68" t="s">
        <v>2284</v>
      </c>
      <c r="C1525" s="68"/>
    </row>
    <row r="1526" customFormat="false" ht="15" hidden="false" customHeight="false" outlineLevel="0" collapsed="false">
      <c r="A1526" s="68" t="s">
        <v>2929</v>
      </c>
      <c r="B1526" s="68" t="s">
        <v>2290</v>
      </c>
      <c r="C1526" s="68" t="s">
        <v>3205</v>
      </c>
    </row>
    <row r="1527" customFormat="false" ht="15" hidden="false" customHeight="false" outlineLevel="0" collapsed="false">
      <c r="A1527" s="68" t="s">
        <v>2929</v>
      </c>
      <c r="B1527" s="68" t="s">
        <v>2365</v>
      </c>
      <c r="C1527" s="68"/>
    </row>
    <row r="1528" customFormat="false" ht="15" hidden="false" customHeight="false" outlineLevel="0" collapsed="false">
      <c r="A1528" s="68" t="s">
        <v>2929</v>
      </c>
      <c r="B1528" s="68" t="s">
        <v>2370</v>
      </c>
      <c r="C1528" s="68"/>
    </row>
    <row r="1529" customFormat="false" ht="15" hidden="false" customHeight="false" outlineLevel="0" collapsed="false">
      <c r="A1529" s="68" t="s">
        <v>2929</v>
      </c>
      <c r="B1529" s="68" t="s">
        <v>2375</v>
      </c>
      <c r="C1529" s="68"/>
    </row>
    <row r="1530" customFormat="false" ht="15" hidden="false" customHeight="false" outlineLevel="0" collapsed="false">
      <c r="A1530" s="68" t="s">
        <v>2929</v>
      </c>
      <c r="B1530" s="68" t="s">
        <v>2388</v>
      </c>
      <c r="C1530" s="68"/>
    </row>
    <row r="1531" customFormat="false" ht="15" hidden="false" customHeight="false" outlineLevel="0" collapsed="false">
      <c r="A1531" s="68" t="s">
        <v>2929</v>
      </c>
      <c r="B1531" s="68" t="s">
        <v>2393</v>
      </c>
      <c r="C1531" s="68"/>
    </row>
    <row r="1532" customFormat="false" ht="15" hidden="false" customHeight="false" outlineLevel="0" collapsed="false">
      <c r="A1532" s="68" t="s">
        <v>2929</v>
      </c>
      <c r="B1532" s="68" t="s">
        <v>2398</v>
      </c>
      <c r="C1532" s="68"/>
    </row>
    <row r="1533" customFormat="false" ht="15" hidden="false" customHeight="false" outlineLevel="0" collapsed="false">
      <c r="A1533" s="68" t="s">
        <v>2929</v>
      </c>
      <c r="B1533" s="68" t="s">
        <v>2432</v>
      </c>
      <c r="C1533" s="68" t="s">
        <v>3204</v>
      </c>
    </row>
    <row r="1534" customFormat="false" ht="15" hidden="false" customHeight="false" outlineLevel="0" collapsed="false">
      <c r="A1534" s="68" t="s">
        <v>2929</v>
      </c>
      <c r="B1534" s="68" t="s">
        <v>2437</v>
      </c>
      <c r="C1534" s="68" t="n">
        <v>1.9</v>
      </c>
    </row>
    <row r="1535" customFormat="false" ht="15" hidden="false" customHeight="false" outlineLevel="0" collapsed="false">
      <c r="A1535" s="68" t="s">
        <v>2929</v>
      </c>
      <c r="B1535" s="68" t="s">
        <v>2442</v>
      </c>
      <c r="C1535" s="68" t="n">
        <v>1</v>
      </c>
    </row>
    <row r="1536" customFormat="false" ht="15" hidden="false" customHeight="false" outlineLevel="0" collapsed="false">
      <c r="A1536" s="68" t="s">
        <v>2929</v>
      </c>
      <c r="B1536" s="68" t="s">
        <v>2447</v>
      </c>
      <c r="C1536" s="68" t="n">
        <v>1.05</v>
      </c>
    </row>
    <row r="1537" customFormat="false" ht="15" hidden="false" customHeight="false" outlineLevel="0" collapsed="false">
      <c r="A1537" s="68" t="s">
        <v>2929</v>
      </c>
      <c r="B1537" s="68" t="s">
        <v>2452</v>
      </c>
      <c r="C1537" s="68" t="n">
        <v>1</v>
      </c>
    </row>
    <row r="1538" customFormat="false" ht="15" hidden="false" customHeight="false" outlineLevel="0" collapsed="false">
      <c r="A1538" s="68" t="s">
        <v>2929</v>
      </c>
      <c r="B1538" s="68" t="s">
        <v>2457</v>
      </c>
      <c r="C1538" s="68" t="n">
        <v>1.995</v>
      </c>
    </row>
    <row r="1539" customFormat="false" ht="15" hidden="false" customHeight="false" outlineLevel="0" collapsed="false">
      <c r="A1539" s="68" t="s">
        <v>2929</v>
      </c>
      <c r="B1539" s="68" t="s">
        <v>2462</v>
      </c>
      <c r="C1539" s="68"/>
    </row>
    <row r="1540" customFormat="false" ht="15" hidden="false" customHeight="false" outlineLevel="0" collapsed="false">
      <c r="A1540" s="68" t="s">
        <v>2929</v>
      </c>
      <c r="B1540" s="68" t="s">
        <v>2467</v>
      </c>
      <c r="C1540" s="68" t="n">
        <v>91.347</v>
      </c>
    </row>
    <row r="1541" customFormat="false" ht="15" hidden="false" customHeight="false" outlineLevel="0" collapsed="false">
      <c r="A1541" s="68" t="s">
        <v>2929</v>
      </c>
      <c r="B1541" s="68" t="s">
        <v>2471</v>
      </c>
      <c r="C1541" s="68" t="n">
        <v>123.416</v>
      </c>
    </row>
    <row r="1542" customFormat="false" ht="15" hidden="false" customHeight="false" outlineLevel="0" collapsed="false">
      <c r="A1542" s="68" t="s">
        <v>2929</v>
      </c>
      <c r="B1542" s="68" t="s">
        <v>2475</v>
      </c>
      <c r="C1542" s="68" t="s">
        <v>312</v>
      </c>
    </row>
    <row r="1543" customFormat="false" ht="15" hidden="false" customHeight="false" outlineLevel="0" collapsed="false">
      <c r="A1543" s="68" t="s">
        <v>2929</v>
      </c>
      <c r="B1543" s="68" t="s">
        <v>2480</v>
      </c>
      <c r="C1543" s="68"/>
    </row>
    <row r="1544" customFormat="false" ht="15" hidden="false" customHeight="false" outlineLevel="0" collapsed="false">
      <c r="A1544" s="68" t="s">
        <v>2929</v>
      </c>
      <c r="B1544" s="68" t="s">
        <v>2484</v>
      </c>
      <c r="C1544" s="68"/>
    </row>
    <row r="1545" customFormat="false" ht="15" hidden="false" customHeight="false" outlineLevel="0" collapsed="false">
      <c r="A1545" s="68" t="s">
        <v>2936</v>
      </c>
      <c r="B1545" s="68" t="s">
        <v>2284</v>
      </c>
      <c r="C1545" s="68" t="n">
        <v>6.94822888283379</v>
      </c>
    </row>
    <row r="1546" customFormat="false" ht="15" hidden="false" customHeight="false" outlineLevel="0" collapsed="false">
      <c r="A1546" s="68" t="s">
        <v>2936</v>
      </c>
      <c r="B1546" s="68" t="s">
        <v>2290</v>
      </c>
      <c r="C1546" s="68" t="s">
        <v>1585</v>
      </c>
    </row>
    <row r="1547" customFormat="false" ht="15" hidden="false" customHeight="false" outlineLevel="0" collapsed="false">
      <c r="A1547" s="68" t="s">
        <v>2936</v>
      </c>
      <c r="B1547" s="68" t="s">
        <v>2365</v>
      </c>
      <c r="C1547" s="68"/>
    </row>
    <row r="1548" customFormat="false" ht="15" hidden="false" customHeight="false" outlineLevel="0" collapsed="false">
      <c r="A1548" s="68" t="s">
        <v>2936</v>
      </c>
      <c r="B1548" s="68" t="s">
        <v>2370</v>
      </c>
      <c r="C1548" s="68"/>
    </row>
    <row r="1549" customFormat="false" ht="15" hidden="false" customHeight="false" outlineLevel="0" collapsed="false">
      <c r="A1549" s="68" t="s">
        <v>2936</v>
      </c>
      <c r="B1549" s="68" t="s">
        <v>2375</v>
      </c>
      <c r="C1549" s="68"/>
    </row>
    <row r="1550" customFormat="false" ht="15" hidden="false" customHeight="false" outlineLevel="0" collapsed="false">
      <c r="A1550" s="68" t="s">
        <v>2936</v>
      </c>
      <c r="B1550" s="68" t="s">
        <v>2388</v>
      </c>
      <c r="C1550" s="68"/>
    </row>
    <row r="1551" customFormat="false" ht="15" hidden="false" customHeight="false" outlineLevel="0" collapsed="false">
      <c r="A1551" s="68" t="s">
        <v>2936</v>
      </c>
      <c r="B1551" s="68" t="s">
        <v>2393</v>
      </c>
      <c r="C1551" s="68"/>
    </row>
    <row r="1552" customFormat="false" ht="15" hidden="false" customHeight="false" outlineLevel="0" collapsed="false">
      <c r="A1552" s="68" t="s">
        <v>2936</v>
      </c>
      <c r="B1552" s="68" t="s">
        <v>2398</v>
      </c>
      <c r="C1552" s="68"/>
    </row>
    <row r="1553" customFormat="false" ht="15" hidden="false" customHeight="false" outlineLevel="0" collapsed="false">
      <c r="A1553" s="68" t="s">
        <v>2936</v>
      </c>
      <c r="B1553" s="68" t="s">
        <v>2432</v>
      </c>
      <c r="C1553" s="68" t="s">
        <v>3203</v>
      </c>
    </row>
    <row r="1554" customFormat="false" ht="15" hidden="false" customHeight="false" outlineLevel="0" collapsed="false">
      <c r="A1554" s="68" t="s">
        <v>2936</v>
      </c>
      <c r="B1554" s="68" t="s">
        <v>2437</v>
      </c>
      <c r="C1554" s="68" t="n">
        <v>1.9</v>
      </c>
    </row>
    <row r="1555" customFormat="false" ht="15" hidden="false" customHeight="false" outlineLevel="0" collapsed="false">
      <c r="A1555" s="68" t="s">
        <v>2936</v>
      </c>
      <c r="B1555" s="68" t="s">
        <v>2442</v>
      </c>
      <c r="C1555" s="68" t="n">
        <v>1</v>
      </c>
    </row>
    <row r="1556" customFormat="false" ht="15" hidden="false" customHeight="false" outlineLevel="0" collapsed="false">
      <c r="A1556" s="68" t="s">
        <v>2936</v>
      </c>
      <c r="B1556" s="68" t="s">
        <v>2447</v>
      </c>
      <c r="C1556" s="68" t="n">
        <v>1</v>
      </c>
    </row>
    <row r="1557" customFormat="false" ht="15" hidden="false" customHeight="false" outlineLevel="0" collapsed="false">
      <c r="A1557" s="68" t="s">
        <v>2936</v>
      </c>
      <c r="B1557" s="68" t="s">
        <v>2452</v>
      </c>
      <c r="C1557" s="68" t="n">
        <v>1</v>
      </c>
    </row>
    <row r="1558" customFormat="false" ht="15" hidden="false" customHeight="false" outlineLevel="0" collapsed="false">
      <c r="A1558" s="68" t="s">
        <v>2936</v>
      </c>
      <c r="B1558" s="68" t="s">
        <v>2457</v>
      </c>
      <c r="C1558" s="68" t="n">
        <v>1.9</v>
      </c>
    </row>
    <row r="1559" customFormat="false" ht="15" hidden="false" customHeight="false" outlineLevel="0" collapsed="false">
      <c r="A1559" s="68" t="s">
        <v>2936</v>
      </c>
      <c r="B1559" s="68" t="s">
        <v>2462</v>
      </c>
      <c r="C1559" s="68"/>
    </row>
    <row r="1560" customFormat="false" ht="15" hidden="false" customHeight="false" outlineLevel="0" collapsed="false">
      <c r="A1560" s="68" t="s">
        <v>2936</v>
      </c>
      <c r="B1560" s="68" t="s">
        <v>2467</v>
      </c>
      <c r="C1560" s="68" t="n">
        <v>91.347</v>
      </c>
    </row>
    <row r="1561" customFormat="false" ht="15" hidden="false" customHeight="false" outlineLevel="0" collapsed="false">
      <c r="A1561" s="68" t="s">
        <v>2936</v>
      </c>
      <c r="B1561" s="68" t="s">
        <v>2471</v>
      </c>
      <c r="C1561" s="68" t="n">
        <v>123.416</v>
      </c>
    </row>
    <row r="1562" customFormat="false" ht="15" hidden="false" customHeight="false" outlineLevel="0" collapsed="false">
      <c r="A1562" s="68" t="s">
        <v>2936</v>
      </c>
      <c r="B1562" s="68" t="s">
        <v>2475</v>
      </c>
      <c r="C1562" s="68" t="s">
        <v>369</v>
      </c>
    </row>
    <row r="1563" customFormat="false" ht="15" hidden="false" customHeight="false" outlineLevel="0" collapsed="false">
      <c r="A1563" s="68" t="s">
        <v>2936</v>
      </c>
      <c r="B1563" s="68" t="s">
        <v>2480</v>
      </c>
      <c r="C1563" s="68"/>
    </row>
    <row r="1564" customFormat="false" ht="15" hidden="false" customHeight="false" outlineLevel="0" collapsed="false">
      <c r="A1564" s="68" t="s">
        <v>2936</v>
      </c>
      <c r="B1564" s="68" t="s">
        <v>2484</v>
      </c>
      <c r="C1564" s="68"/>
    </row>
    <row r="1565" customFormat="false" ht="15" hidden="false" customHeight="false" outlineLevel="0" collapsed="false">
      <c r="A1565" s="68" t="s">
        <v>2942</v>
      </c>
      <c r="B1565" s="68" t="s">
        <v>2284</v>
      </c>
      <c r="C1565" s="68" t="n">
        <v>7.84741144414169</v>
      </c>
    </row>
    <row r="1566" customFormat="false" ht="15" hidden="false" customHeight="false" outlineLevel="0" collapsed="false">
      <c r="A1566" s="68" t="s">
        <v>2942</v>
      </c>
      <c r="B1566" s="68" t="s">
        <v>2290</v>
      </c>
      <c r="C1566" s="68" t="s">
        <v>1881</v>
      </c>
    </row>
    <row r="1567" customFormat="false" ht="15" hidden="false" customHeight="false" outlineLevel="0" collapsed="false">
      <c r="A1567" s="68" t="s">
        <v>2942</v>
      </c>
      <c r="B1567" s="68" t="s">
        <v>2365</v>
      </c>
      <c r="C1567" s="68" t="n">
        <v>6500</v>
      </c>
    </row>
    <row r="1568" customFormat="false" ht="15" hidden="false" customHeight="false" outlineLevel="0" collapsed="false">
      <c r="A1568" s="68" t="s">
        <v>2942</v>
      </c>
      <c r="B1568" s="68" t="s">
        <v>2370</v>
      </c>
      <c r="C1568" s="68" t="n">
        <v>8498.3935483871</v>
      </c>
    </row>
    <row r="1569" customFormat="false" ht="15" hidden="false" customHeight="false" outlineLevel="0" collapsed="false">
      <c r="A1569" s="68" t="s">
        <v>2942</v>
      </c>
      <c r="B1569" s="68" t="s">
        <v>2375</v>
      </c>
      <c r="C1569" s="68" t="n">
        <v>263450200</v>
      </c>
    </row>
    <row r="1570" customFormat="false" ht="15" hidden="false" customHeight="false" outlineLevel="0" collapsed="false">
      <c r="A1570" s="68" t="s">
        <v>2942</v>
      </c>
      <c r="B1570" s="68" t="s">
        <v>2388</v>
      </c>
      <c r="C1570" s="68" t="n">
        <v>8781.9413883324</v>
      </c>
    </row>
    <row r="1571" customFormat="false" ht="15" hidden="false" customHeight="false" outlineLevel="0" collapsed="false">
      <c r="A1571" s="68" t="s">
        <v>2942</v>
      </c>
      <c r="B1571" s="68" t="s">
        <v>2393</v>
      </c>
      <c r="C1571" s="68" t="n">
        <v>9271.82514040009</v>
      </c>
    </row>
    <row r="1572" customFormat="false" ht="15" hidden="false" customHeight="false" outlineLevel="0" collapsed="false">
      <c r="A1572" s="68" t="s">
        <v>2942</v>
      </c>
      <c r="B1572" s="68" t="s">
        <v>2398</v>
      </c>
      <c r="C1572" s="68" t="n">
        <v>6105802825.18309</v>
      </c>
    </row>
    <row r="1573" customFormat="false" ht="15" hidden="false" customHeight="false" outlineLevel="0" collapsed="false">
      <c r="A1573" s="68" t="s">
        <v>2942</v>
      </c>
      <c r="B1573" s="68" t="s">
        <v>2432</v>
      </c>
      <c r="C1573" s="68" t="s">
        <v>3201</v>
      </c>
    </row>
    <row r="1574" customFormat="false" ht="15" hidden="false" customHeight="false" outlineLevel="0" collapsed="false">
      <c r="A1574" s="68" t="s">
        <v>2942</v>
      </c>
      <c r="B1574" s="68" t="s">
        <v>2437</v>
      </c>
      <c r="C1574" s="68" t="n">
        <v>0.8</v>
      </c>
    </row>
    <row r="1575" customFormat="false" ht="15" hidden="false" customHeight="false" outlineLevel="0" collapsed="false">
      <c r="A1575" s="68" t="s">
        <v>2942</v>
      </c>
      <c r="B1575" s="68" t="s">
        <v>2442</v>
      </c>
      <c r="C1575" s="68" t="n">
        <v>1</v>
      </c>
    </row>
    <row r="1576" customFormat="false" ht="15" hidden="false" customHeight="false" outlineLevel="0" collapsed="false">
      <c r="A1576" s="68" t="s">
        <v>2942</v>
      </c>
      <c r="B1576" s="68" t="s">
        <v>2447</v>
      </c>
      <c r="C1576" s="68" t="n">
        <v>1</v>
      </c>
    </row>
    <row r="1577" customFormat="false" ht="15" hidden="false" customHeight="false" outlineLevel="0" collapsed="false">
      <c r="A1577" s="68" t="s">
        <v>2942</v>
      </c>
      <c r="B1577" s="68" t="s">
        <v>2452</v>
      </c>
      <c r="C1577" s="68" t="n">
        <v>1</v>
      </c>
    </row>
    <row r="1578" customFormat="false" ht="15" hidden="false" customHeight="false" outlineLevel="0" collapsed="false">
      <c r="A1578" s="68" t="s">
        <v>2942</v>
      </c>
      <c r="B1578" s="68" t="s">
        <v>2457</v>
      </c>
      <c r="C1578" s="68" t="n">
        <v>0.8</v>
      </c>
    </row>
    <row r="1579" customFormat="false" ht="15" hidden="false" customHeight="false" outlineLevel="0" collapsed="false">
      <c r="A1579" s="68" t="s">
        <v>2942</v>
      </c>
      <c r="B1579" s="68" t="s">
        <v>2462</v>
      </c>
      <c r="C1579" s="68" t="n">
        <v>8125</v>
      </c>
    </row>
    <row r="1580" customFormat="false" ht="15" hidden="false" customHeight="false" outlineLevel="0" collapsed="false">
      <c r="A1580" s="68" t="s">
        <v>2942</v>
      </c>
      <c r="B1580" s="68" t="s">
        <v>2467</v>
      </c>
      <c r="C1580" s="68" t="n">
        <v>91.347</v>
      </c>
    </row>
    <row r="1581" customFormat="false" ht="15" hidden="false" customHeight="false" outlineLevel="0" collapsed="false">
      <c r="A1581" s="68" t="s">
        <v>2942</v>
      </c>
      <c r="B1581" s="68" t="s">
        <v>2471</v>
      </c>
      <c r="C1581" s="68" t="n">
        <v>123.416</v>
      </c>
    </row>
    <row r="1582" customFormat="false" ht="15" hidden="false" customHeight="false" outlineLevel="0" collapsed="false">
      <c r="A1582" s="68" t="s">
        <v>2942</v>
      </c>
      <c r="B1582" s="68" t="s">
        <v>2475</v>
      </c>
      <c r="C1582" s="68" t="s">
        <v>312</v>
      </c>
    </row>
    <row r="1583" customFormat="false" ht="15" hidden="false" customHeight="false" outlineLevel="0" collapsed="false">
      <c r="A1583" s="68" t="s">
        <v>2942</v>
      </c>
      <c r="B1583" s="68" t="s">
        <v>2480</v>
      </c>
      <c r="C1583" s="68" t="n">
        <v>10977.4267354155</v>
      </c>
    </row>
    <row r="1584" customFormat="false" ht="15" hidden="false" customHeight="false" outlineLevel="0" collapsed="false">
      <c r="A1584" s="68" t="s">
        <v>2942</v>
      </c>
      <c r="B1584" s="68" t="s">
        <v>2484</v>
      </c>
      <c r="C1584" s="68" t="n">
        <v>3189.07470731391</v>
      </c>
    </row>
    <row r="1585" customFormat="false" ht="15" hidden="false" customHeight="false" outlineLevel="0" collapsed="false">
      <c r="A1585" s="68" t="s">
        <v>2946</v>
      </c>
      <c r="B1585" s="68" t="s">
        <v>2284</v>
      </c>
      <c r="C1585" s="68" t="n">
        <v>4.64577656675749</v>
      </c>
    </row>
    <row r="1586" customFormat="false" ht="15" hidden="false" customHeight="false" outlineLevel="0" collapsed="false">
      <c r="A1586" s="68" t="s">
        <v>2946</v>
      </c>
      <c r="B1586" s="68" t="s">
        <v>2290</v>
      </c>
      <c r="C1586" s="68" t="s">
        <v>1881</v>
      </c>
    </row>
    <row r="1587" customFormat="false" ht="15" hidden="false" customHeight="false" outlineLevel="0" collapsed="false">
      <c r="A1587" s="68" t="s">
        <v>2946</v>
      </c>
      <c r="B1587" s="68" t="s">
        <v>2365</v>
      </c>
      <c r="C1587" s="68" t="n">
        <v>6500</v>
      </c>
    </row>
    <row r="1588" customFormat="false" ht="15" hidden="false" customHeight="false" outlineLevel="0" collapsed="false">
      <c r="A1588" s="68" t="s">
        <v>2946</v>
      </c>
      <c r="B1588" s="68" t="s">
        <v>2370</v>
      </c>
      <c r="C1588" s="68" t="n">
        <v>8498.3935483871</v>
      </c>
    </row>
    <row r="1589" customFormat="false" ht="15" hidden="false" customHeight="false" outlineLevel="0" collapsed="false">
      <c r="A1589" s="68" t="s">
        <v>2946</v>
      </c>
      <c r="B1589" s="68" t="s">
        <v>2375</v>
      </c>
      <c r="C1589" s="68" t="n">
        <v>263450200</v>
      </c>
    </row>
    <row r="1590" customFormat="false" ht="15" hidden="false" customHeight="false" outlineLevel="0" collapsed="false">
      <c r="A1590" s="68" t="s">
        <v>2946</v>
      </c>
      <c r="B1590" s="68" t="s">
        <v>2388</v>
      </c>
      <c r="C1590" s="68" t="n">
        <v>8781.9413883324</v>
      </c>
    </row>
    <row r="1591" customFormat="false" ht="15" hidden="false" customHeight="false" outlineLevel="0" collapsed="false">
      <c r="A1591" s="68" t="s">
        <v>2946</v>
      </c>
      <c r="B1591" s="68" t="s">
        <v>2393</v>
      </c>
      <c r="C1591" s="68" t="n">
        <v>9271.82514040009</v>
      </c>
    </row>
    <row r="1592" customFormat="false" ht="15" hidden="false" customHeight="false" outlineLevel="0" collapsed="false">
      <c r="A1592" s="68" t="s">
        <v>2946</v>
      </c>
      <c r="B1592" s="68" t="s">
        <v>2398</v>
      </c>
      <c r="C1592" s="68" t="n">
        <v>6105802825.18309</v>
      </c>
    </row>
    <row r="1593" customFormat="false" ht="15" hidden="false" customHeight="false" outlineLevel="0" collapsed="false">
      <c r="A1593" s="68" t="s">
        <v>2946</v>
      </c>
      <c r="B1593" s="68" t="s">
        <v>2432</v>
      </c>
      <c r="C1593" s="68" t="s">
        <v>3201</v>
      </c>
    </row>
    <row r="1594" customFormat="false" ht="15" hidden="false" customHeight="false" outlineLevel="0" collapsed="false">
      <c r="A1594" s="68" t="s">
        <v>2946</v>
      </c>
      <c r="B1594" s="68" t="s">
        <v>2437</v>
      </c>
      <c r="C1594" s="68" t="n">
        <v>0.8</v>
      </c>
    </row>
    <row r="1595" customFormat="false" ht="15" hidden="false" customHeight="false" outlineLevel="0" collapsed="false">
      <c r="A1595" s="68" t="s">
        <v>2946</v>
      </c>
      <c r="B1595" s="68" t="s">
        <v>2442</v>
      </c>
      <c r="C1595" s="68" t="n">
        <v>1</v>
      </c>
    </row>
    <row r="1596" customFormat="false" ht="15" hidden="false" customHeight="false" outlineLevel="0" collapsed="false">
      <c r="A1596" s="68" t="s">
        <v>2946</v>
      </c>
      <c r="B1596" s="68" t="s">
        <v>2447</v>
      </c>
      <c r="C1596" s="68" t="n">
        <v>1</v>
      </c>
    </row>
    <row r="1597" customFormat="false" ht="15" hidden="false" customHeight="false" outlineLevel="0" collapsed="false">
      <c r="A1597" s="68" t="s">
        <v>2946</v>
      </c>
      <c r="B1597" s="68" t="s">
        <v>2452</v>
      </c>
      <c r="C1597" s="68" t="n">
        <v>1</v>
      </c>
    </row>
    <row r="1598" customFormat="false" ht="15" hidden="false" customHeight="false" outlineLevel="0" collapsed="false">
      <c r="A1598" s="68" t="s">
        <v>2946</v>
      </c>
      <c r="B1598" s="68" t="s">
        <v>2457</v>
      </c>
      <c r="C1598" s="68" t="n">
        <v>0.8</v>
      </c>
    </row>
    <row r="1599" customFormat="false" ht="15" hidden="false" customHeight="false" outlineLevel="0" collapsed="false">
      <c r="A1599" s="68" t="s">
        <v>2946</v>
      </c>
      <c r="B1599" s="68" t="s">
        <v>2462</v>
      </c>
      <c r="C1599" s="68" t="n">
        <v>8125</v>
      </c>
    </row>
    <row r="1600" customFormat="false" ht="15" hidden="false" customHeight="false" outlineLevel="0" collapsed="false">
      <c r="A1600" s="68" t="s">
        <v>2946</v>
      </c>
      <c r="B1600" s="68" t="s">
        <v>2467</v>
      </c>
      <c r="C1600" s="68" t="n">
        <v>91.347</v>
      </c>
    </row>
    <row r="1601" customFormat="false" ht="15" hidden="false" customHeight="false" outlineLevel="0" collapsed="false">
      <c r="A1601" s="68" t="s">
        <v>2946</v>
      </c>
      <c r="B1601" s="68" t="s">
        <v>2471</v>
      </c>
      <c r="C1601" s="68" t="n">
        <v>123.416</v>
      </c>
    </row>
    <row r="1602" customFormat="false" ht="15" hidden="false" customHeight="false" outlineLevel="0" collapsed="false">
      <c r="A1602" s="68" t="s">
        <v>2946</v>
      </c>
      <c r="B1602" s="68" t="s">
        <v>2475</v>
      </c>
      <c r="C1602" s="68" t="s">
        <v>312</v>
      </c>
    </row>
    <row r="1603" customFormat="false" ht="15" hidden="false" customHeight="false" outlineLevel="0" collapsed="false">
      <c r="A1603" s="68" t="s">
        <v>2946</v>
      </c>
      <c r="B1603" s="68" t="s">
        <v>2480</v>
      </c>
      <c r="C1603" s="68" t="n">
        <v>10977.4267354155</v>
      </c>
    </row>
    <row r="1604" customFormat="false" ht="15" hidden="false" customHeight="false" outlineLevel="0" collapsed="false">
      <c r="A1604" s="68" t="s">
        <v>2946</v>
      </c>
      <c r="B1604" s="68" t="s">
        <v>2484</v>
      </c>
      <c r="C1604" s="68" t="n">
        <v>4367.82827948614</v>
      </c>
    </row>
    <row r="1605" customFormat="false" ht="15" hidden="false" customHeight="false" outlineLevel="0" collapsed="false">
      <c r="A1605" s="68" t="s">
        <v>2948</v>
      </c>
      <c r="B1605" s="68" t="s">
        <v>2284</v>
      </c>
      <c r="C1605" s="68" t="n">
        <v>1.07402361489555</v>
      </c>
    </row>
    <row r="1606" customFormat="false" ht="15" hidden="false" customHeight="false" outlineLevel="0" collapsed="false">
      <c r="A1606" s="68" t="s">
        <v>2948</v>
      </c>
      <c r="B1606" s="68" t="s">
        <v>2290</v>
      </c>
      <c r="C1606" s="68" t="s">
        <v>1585</v>
      </c>
    </row>
    <row r="1607" customFormat="false" ht="15" hidden="false" customHeight="false" outlineLevel="0" collapsed="false">
      <c r="A1607" s="68" t="s">
        <v>2948</v>
      </c>
      <c r="B1607" s="68" t="s">
        <v>2365</v>
      </c>
      <c r="C1607" s="68" t="n">
        <v>10000</v>
      </c>
    </row>
    <row r="1608" customFormat="false" ht="15" hidden="false" customHeight="false" outlineLevel="0" collapsed="false">
      <c r="A1608" s="68" t="s">
        <v>2948</v>
      </c>
      <c r="B1608" s="68" t="s">
        <v>2370</v>
      </c>
      <c r="C1608" s="68" t="n">
        <v>13074.4516129032</v>
      </c>
    </row>
    <row r="1609" customFormat="false" ht="15" hidden="false" customHeight="false" outlineLevel="0" collapsed="false">
      <c r="A1609" s="68" t="s">
        <v>2948</v>
      </c>
      <c r="B1609" s="68" t="s">
        <v>2375</v>
      </c>
      <c r="C1609" s="68" t="n">
        <v>405308000</v>
      </c>
    </row>
    <row r="1610" customFormat="false" ht="15" hidden="false" customHeight="false" outlineLevel="0" collapsed="false">
      <c r="A1610" s="68" t="s">
        <v>2948</v>
      </c>
      <c r="B1610" s="68" t="s">
        <v>2388</v>
      </c>
      <c r="C1610" s="68" t="n">
        <v>25000</v>
      </c>
    </row>
    <row r="1611" customFormat="false" ht="15" hidden="false" customHeight="false" outlineLevel="0" collapsed="false">
      <c r="A1611" s="68" t="s">
        <v>2948</v>
      </c>
      <c r="B1611" s="68" t="s">
        <v>2393</v>
      </c>
      <c r="C1611" s="68" t="n">
        <v>26394.5770371417</v>
      </c>
    </row>
    <row r="1612" customFormat="false" ht="15" hidden="false" customHeight="false" outlineLevel="0" collapsed="false">
      <c r="A1612" s="68" t="s">
        <v>2948</v>
      </c>
      <c r="B1612" s="68" t="s">
        <v>2398</v>
      </c>
      <c r="C1612" s="68" t="n">
        <v>17381700000</v>
      </c>
    </row>
    <row r="1613" customFormat="false" ht="15" hidden="false" customHeight="false" outlineLevel="0" collapsed="false">
      <c r="A1613" s="68" t="s">
        <v>2948</v>
      </c>
      <c r="B1613" s="68" t="s">
        <v>2432</v>
      </c>
      <c r="C1613" s="68" t="s">
        <v>3201</v>
      </c>
    </row>
    <row r="1614" customFormat="false" ht="15" hidden="false" customHeight="false" outlineLevel="0" collapsed="false">
      <c r="A1614" s="68" t="s">
        <v>2948</v>
      </c>
      <c r="B1614" s="68" t="s">
        <v>2437</v>
      </c>
      <c r="C1614" s="68" t="n">
        <v>1.1</v>
      </c>
    </row>
    <row r="1615" customFormat="false" ht="15" hidden="false" customHeight="false" outlineLevel="0" collapsed="false">
      <c r="A1615" s="68" t="s">
        <v>2948</v>
      </c>
      <c r="B1615" s="68" t="s">
        <v>2442</v>
      </c>
      <c r="C1615" s="68" t="n">
        <v>1</v>
      </c>
    </row>
    <row r="1616" customFormat="false" ht="15" hidden="false" customHeight="false" outlineLevel="0" collapsed="false">
      <c r="A1616" s="68" t="s">
        <v>2948</v>
      </c>
      <c r="B1616" s="68" t="s">
        <v>2447</v>
      </c>
      <c r="C1616" s="68" t="n">
        <v>1</v>
      </c>
    </row>
    <row r="1617" customFormat="false" ht="15" hidden="false" customHeight="false" outlineLevel="0" collapsed="false">
      <c r="A1617" s="68" t="s">
        <v>2948</v>
      </c>
      <c r="B1617" s="68" t="s">
        <v>2452</v>
      </c>
      <c r="C1617" s="68" t="n">
        <v>1</v>
      </c>
    </row>
    <row r="1618" customFormat="false" ht="15" hidden="false" customHeight="false" outlineLevel="0" collapsed="false">
      <c r="A1618" s="68" t="s">
        <v>2948</v>
      </c>
      <c r="B1618" s="68" t="s">
        <v>2457</v>
      </c>
      <c r="C1618" s="68" t="n">
        <v>1.1</v>
      </c>
    </row>
    <row r="1619" customFormat="false" ht="15" hidden="false" customHeight="false" outlineLevel="0" collapsed="false">
      <c r="A1619" s="68" t="s">
        <v>2948</v>
      </c>
      <c r="B1619" s="68" t="s">
        <v>2462</v>
      </c>
      <c r="C1619" s="68" t="n">
        <v>9090.90909090909</v>
      </c>
    </row>
    <row r="1620" customFormat="false" ht="15" hidden="false" customHeight="false" outlineLevel="0" collapsed="false">
      <c r="A1620" s="68" t="s">
        <v>2948</v>
      </c>
      <c r="B1620" s="68" t="s">
        <v>2467</v>
      </c>
      <c r="C1620" s="68" t="n">
        <v>91.347</v>
      </c>
    </row>
    <row r="1621" customFormat="false" ht="15" hidden="false" customHeight="false" outlineLevel="0" collapsed="false">
      <c r="A1621" s="68" t="s">
        <v>2948</v>
      </c>
      <c r="B1621" s="68" t="s">
        <v>2471</v>
      </c>
      <c r="C1621" s="68" t="n">
        <v>123.416</v>
      </c>
    </row>
    <row r="1622" customFormat="false" ht="15" hidden="false" customHeight="false" outlineLevel="0" collapsed="false">
      <c r="A1622" s="68" t="s">
        <v>2948</v>
      </c>
      <c r="B1622" s="68" t="s">
        <v>2475</v>
      </c>
      <c r="C1622" s="68" t="s">
        <v>369</v>
      </c>
    </row>
    <row r="1623" customFormat="false" ht="15" hidden="false" customHeight="false" outlineLevel="0" collapsed="false">
      <c r="A1623" s="68" t="s">
        <v>2948</v>
      </c>
      <c r="B1623" s="68" t="s">
        <v>2480</v>
      </c>
      <c r="C1623" s="68" t="n">
        <v>22727.2727272727</v>
      </c>
    </row>
    <row r="1624" customFormat="false" ht="15" hidden="false" customHeight="false" outlineLevel="0" collapsed="false">
      <c r="A1624" s="68" t="s">
        <v>2948</v>
      </c>
      <c r="B1624" s="68" t="s">
        <v>2484</v>
      </c>
      <c r="C1624" s="68" t="n">
        <v>21774.0404434754</v>
      </c>
    </row>
    <row r="1625" customFormat="false" ht="15" hidden="false" customHeight="false" outlineLevel="0" collapsed="false">
      <c r="A1625" s="68" t="s">
        <v>2951</v>
      </c>
      <c r="B1625" s="68" t="s">
        <v>2284</v>
      </c>
      <c r="C1625" s="68" t="n">
        <v>1.86194368755677</v>
      </c>
    </row>
    <row r="1626" customFormat="false" ht="15" hidden="false" customHeight="false" outlineLevel="0" collapsed="false">
      <c r="A1626" s="68" t="s">
        <v>2951</v>
      </c>
      <c r="B1626" s="68" t="s">
        <v>2290</v>
      </c>
      <c r="C1626" s="68" t="s">
        <v>1881</v>
      </c>
    </row>
    <row r="1627" customFormat="false" ht="15" hidden="false" customHeight="false" outlineLevel="0" collapsed="false">
      <c r="A1627" s="68" t="s">
        <v>2951</v>
      </c>
      <c r="B1627" s="68" t="s">
        <v>2365</v>
      </c>
      <c r="C1627" s="68" t="n">
        <v>7000</v>
      </c>
    </row>
    <row r="1628" customFormat="false" ht="15" hidden="false" customHeight="false" outlineLevel="0" collapsed="false">
      <c r="A1628" s="68" t="s">
        <v>2951</v>
      </c>
      <c r="B1628" s="68" t="s">
        <v>2370</v>
      </c>
      <c r="C1628" s="68" t="n">
        <v>9152.11612903226</v>
      </c>
    </row>
    <row r="1629" customFormat="false" ht="15" hidden="false" customHeight="false" outlineLevel="0" collapsed="false">
      <c r="A1629" s="68" t="s">
        <v>2951</v>
      </c>
      <c r="B1629" s="68" t="s">
        <v>2375</v>
      </c>
      <c r="C1629" s="68" t="n">
        <v>283715600</v>
      </c>
    </row>
    <row r="1630" customFormat="false" ht="15" hidden="false" customHeight="false" outlineLevel="0" collapsed="false">
      <c r="A1630" s="68" t="s">
        <v>2951</v>
      </c>
      <c r="B1630" s="68" t="s">
        <v>2388</v>
      </c>
      <c r="C1630" s="68" t="n">
        <v>9457.47534128105</v>
      </c>
    </row>
    <row r="1631" customFormat="false" ht="15" hidden="false" customHeight="false" outlineLevel="0" collapsed="false">
      <c r="A1631" s="68" t="s">
        <v>2951</v>
      </c>
      <c r="B1631" s="68" t="s">
        <v>2393</v>
      </c>
      <c r="C1631" s="68" t="n">
        <v>9985.04245889241</v>
      </c>
    </row>
    <row r="1632" customFormat="false" ht="15" hidden="false" customHeight="false" outlineLevel="0" collapsed="false">
      <c r="A1632" s="68" t="s">
        <v>2951</v>
      </c>
      <c r="B1632" s="68" t="s">
        <v>2398</v>
      </c>
      <c r="C1632" s="68" t="n">
        <v>6575479965.58179</v>
      </c>
    </row>
    <row r="1633" customFormat="false" ht="15" hidden="false" customHeight="false" outlineLevel="0" collapsed="false">
      <c r="A1633" s="68" t="s">
        <v>2951</v>
      </c>
      <c r="B1633" s="68" t="s">
        <v>2432</v>
      </c>
      <c r="C1633" s="68" t="s">
        <v>3201</v>
      </c>
    </row>
    <row r="1634" customFormat="false" ht="15" hidden="false" customHeight="false" outlineLevel="0" collapsed="false">
      <c r="A1634" s="68" t="s">
        <v>2951</v>
      </c>
      <c r="B1634" s="68" t="s">
        <v>2437</v>
      </c>
      <c r="C1634" s="68" t="n">
        <v>0.9</v>
      </c>
    </row>
    <row r="1635" customFormat="false" ht="15" hidden="false" customHeight="false" outlineLevel="0" collapsed="false">
      <c r="A1635" s="68" t="s">
        <v>2951</v>
      </c>
      <c r="B1635" s="68" t="s">
        <v>2442</v>
      </c>
      <c r="C1635" s="68" t="n">
        <v>1</v>
      </c>
    </row>
    <row r="1636" customFormat="false" ht="15" hidden="false" customHeight="false" outlineLevel="0" collapsed="false">
      <c r="A1636" s="68" t="s">
        <v>2951</v>
      </c>
      <c r="B1636" s="68" t="s">
        <v>2447</v>
      </c>
      <c r="C1636" s="68" t="n">
        <v>1</v>
      </c>
    </row>
    <row r="1637" customFormat="false" ht="15" hidden="false" customHeight="false" outlineLevel="0" collapsed="false">
      <c r="A1637" s="68" t="s">
        <v>2951</v>
      </c>
      <c r="B1637" s="68" t="s">
        <v>2452</v>
      </c>
      <c r="C1637" s="68" t="n">
        <v>1</v>
      </c>
    </row>
    <row r="1638" customFormat="false" ht="15" hidden="false" customHeight="false" outlineLevel="0" collapsed="false">
      <c r="A1638" s="68" t="s">
        <v>2951</v>
      </c>
      <c r="B1638" s="68" t="s">
        <v>2457</v>
      </c>
      <c r="C1638" s="68" t="n">
        <v>0.9</v>
      </c>
    </row>
    <row r="1639" customFormat="false" ht="15" hidden="false" customHeight="false" outlineLevel="0" collapsed="false">
      <c r="A1639" s="68" t="s">
        <v>2951</v>
      </c>
      <c r="B1639" s="68" t="s">
        <v>2462</v>
      </c>
      <c r="C1639" s="68" t="n">
        <v>7777.77777777778</v>
      </c>
    </row>
    <row r="1640" customFormat="false" ht="15" hidden="false" customHeight="false" outlineLevel="0" collapsed="false">
      <c r="A1640" s="68" t="s">
        <v>2951</v>
      </c>
      <c r="B1640" s="68" t="s">
        <v>2467</v>
      </c>
      <c r="C1640" s="68" t="n">
        <v>91.347</v>
      </c>
    </row>
    <row r="1641" customFormat="false" ht="15" hidden="false" customHeight="false" outlineLevel="0" collapsed="false">
      <c r="A1641" s="68" t="s">
        <v>2951</v>
      </c>
      <c r="B1641" s="68" t="s">
        <v>2471</v>
      </c>
      <c r="C1641" s="68" t="n">
        <v>123.416</v>
      </c>
    </row>
    <row r="1642" customFormat="false" ht="15" hidden="false" customHeight="false" outlineLevel="0" collapsed="false">
      <c r="A1642" s="68" t="s">
        <v>2951</v>
      </c>
      <c r="B1642" s="68" t="s">
        <v>2475</v>
      </c>
      <c r="C1642" s="68" t="s">
        <v>312</v>
      </c>
    </row>
    <row r="1643" customFormat="false" ht="15" hidden="false" customHeight="false" outlineLevel="0" collapsed="false">
      <c r="A1643" s="68" t="s">
        <v>2951</v>
      </c>
      <c r="B1643" s="68" t="s">
        <v>2480</v>
      </c>
      <c r="C1643" s="68" t="n">
        <v>10508.3059347567</v>
      </c>
    </row>
    <row r="1644" customFormat="false" ht="15" hidden="false" customHeight="false" outlineLevel="0" collapsed="false">
      <c r="A1644" s="68" t="s">
        <v>2951</v>
      </c>
      <c r="B1644" s="68" t="s">
        <v>2484</v>
      </c>
      <c r="C1644" s="68" t="n">
        <v>7236.90352224696</v>
      </c>
    </row>
    <row r="1645" customFormat="false" ht="15" hidden="false" customHeight="false" outlineLevel="0" collapsed="false">
      <c r="A1645" s="68" t="s">
        <v>2954</v>
      </c>
      <c r="B1645" s="68" t="s">
        <v>2284</v>
      </c>
      <c r="C1645" s="68" t="n">
        <v>0.774296094459582</v>
      </c>
    </row>
    <row r="1646" customFormat="false" ht="15" hidden="false" customHeight="false" outlineLevel="0" collapsed="false">
      <c r="A1646" s="68" t="s">
        <v>2954</v>
      </c>
      <c r="B1646" s="68" t="s">
        <v>2290</v>
      </c>
      <c r="C1646" s="68" t="s">
        <v>1585</v>
      </c>
    </row>
    <row r="1647" customFormat="false" ht="15" hidden="false" customHeight="false" outlineLevel="0" collapsed="false">
      <c r="A1647" s="68" t="s">
        <v>2954</v>
      </c>
      <c r="B1647" s="68" t="s">
        <v>2365</v>
      </c>
      <c r="C1647" s="68" t="n">
        <v>10000</v>
      </c>
    </row>
    <row r="1648" customFormat="false" ht="15" hidden="false" customHeight="false" outlineLevel="0" collapsed="false">
      <c r="A1648" s="68" t="s">
        <v>2954</v>
      </c>
      <c r="B1648" s="68" t="s">
        <v>2370</v>
      </c>
      <c r="C1648" s="68" t="n">
        <v>13074.4516129032</v>
      </c>
    </row>
    <row r="1649" customFormat="false" ht="15" hidden="false" customHeight="false" outlineLevel="0" collapsed="false">
      <c r="A1649" s="68" t="s">
        <v>2954</v>
      </c>
      <c r="B1649" s="68" t="s">
        <v>2375</v>
      </c>
      <c r="C1649" s="68" t="n">
        <v>405308000</v>
      </c>
    </row>
    <row r="1650" customFormat="false" ht="15" hidden="false" customHeight="false" outlineLevel="0" collapsed="false">
      <c r="A1650" s="68" t="s">
        <v>2954</v>
      </c>
      <c r="B1650" s="68" t="s">
        <v>2388</v>
      </c>
      <c r="C1650" s="68" t="n">
        <v>25000</v>
      </c>
    </row>
    <row r="1651" customFormat="false" ht="15" hidden="false" customHeight="false" outlineLevel="0" collapsed="false">
      <c r="A1651" s="68" t="s">
        <v>2954</v>
      </c>
      <c r="B1651" s="68" t="s">
        <v>2393</v>
      </c>
      <c r="C1651" s="68" t="n">
        <v>26394.5770371417</v>
      </c>
    </row>
    <row r="1652" customFormat="false" ht="15" hidden="false" customHeight="false" outlineLevel="0" collapsed="false">
      <c r="A1652" s="68" t="s">
        <v>2954</v>
      </c>
      <c r="B1652" s="68" t="s">
        <v>2398</v>
      </c>
      <c r="C1652" s="68" t="n">
        <v>17381700000</v>
      </c>
    </row>
    <row r="1653" customFormat="false" ht="15" hidden="false" customHeight="false" outlineLevel="0" collapsed="false">
      <c r="A1653" s="68" t="s">
        <v>2954</v>
      </c>
      <c r="B1653" s="68" t="s">
        <v>2432</v>
      </c>
      <c r="C1653" s="68" t="s">
        <v>3201</v>
      </c>
    </row>
    <row r="1654" customFormat="false" ht="15" hidden="false" customHeight="false" outlineLevel="0" collapsed="false">
      <c r="A1654" s="68" t="s">
        <v>2954</v>
      </c>
      <c r="B1654" s="68" t="s">
        <v>2437</v>
      </c>
      <c r="C1654" s="68" t="n">
        <v>1.1</v>
      </c>
    </row>
    <row r="1655" customFormat="false" ht="15" hidden="false" customHeight="false" outlineLevel="0" collapsed="false">
      <c r="A1655" s="68" t="s">
        <v>2954</v>
      </c>
      <c r="B1655" s="68" t="s">
        <v>2442</v>
      </c>
      <c r="C1655" s="68" t="n">
        <v>1</v>
      </c>
    </row>
    <row r="1656" customFormat="false" ht="15" hidden="false" customHeight="false" outlineLevel="0" collapsed="false">
      <c r="A1656" s="68" t="s">
        <v>2954</v>
      </c>
      <c r="B1656" s="68" t="s">
        <v>2447</v>
      </c>
      <c r="C1656" s="68" t="n">
        <v>1</v>
      </c>
    </row>
    <row r="1657" customFormat="false" ht="15" hidden="false" customHeight="false" outlineLevel="0" collapsed="false">
      <c r="A1657" s="68" t="s">
        <v>2954</v>
      </c>
      <c r="B1657" s="68" t="s">
        <v>2452</v>
      </c>
      <c r="C1657" s="68" t="n">
        <v>1</v>
      </c>
    </row>
    <row r="1658" customFormat="false" ht="15" hidden="false" customHeight="false" outlineLevel="0" collapsed="false">
      <c r="A1658" s="68" t="s">
        <v>2954</v>
      </c>
      <c r="B1658" s="68" t="s">
        <v>2457</v>
      </c>
      <c r="C1658" s="68" t="n">
        <v>1.1</v>
      </c>
    </row>
    <row r="1659" customFormat="false" ht="15" hidden="false" customHeight="false" outlineLevel="0" collapsed="false">
      <c r="A1659" s="68" t="s">
        <v>2954</v>
      </c>
      <c r="B1659" s="68" t="s">
        <v>2462</v>
      </c>
      <c r="C1659" s="68" t="n">
        <v>9090.90909090909</v>
      </c>
    </row>
    <row r="1660" customFormat="false" ht="15" hidden="false" customHeight="false" outlineLevel="0" collapsed="false">
      <c r="A1660" s="68" t="s">
        <v>2954</v>
      </c>
      <c r="B1660" s="68" t="s">
        <v>2467</v>
      </c>
      <c r="C1660" s="68" t="n">
        <v>91.347</v>
      </c>
    </row>
    <row r="1661" customFormat="false" ht="15" hidden="false" customHeight="false" outlineLevel="0" collapsed="false">
      <c r="A1661" s="68" t="s">
        <v>2954</v>
      </c>
      <c r="B1661" s="68" t="s">
        <v>2471</v>
      </c>
      <c r="C1661" s="68" t="n">
        <v>123.416</v>
      </c>
    </row>
    <row r="1662" customFormat="false" ht="15" hidden="false" customHeight="false" outlineLevel="0" collapsed="false">
      <c r="A1662" s="68" t="s">
        <v>2954</v>
      </c>
      <c r="B1662" s="68" t="s">
        <v>2475</v>
      </c>
      <c r="C1662" s="68" t="s">
        <v>369</v>
      </c>
    </row>
    <row r="1663" customFormat="false" ht="15" hidden="false" customHeight="false" outlineLevel="0" collapsed="false">
      <c r="A1663" s="68" t="s">
        <v>2954</v>
      </c>
      <c r="B1663" s="68" t="s">
        <v>2480</v>
      </c>
      <c r="C1663" s="68" t="n">
        <v>22727.2727272727</v>
      </c>
    </row>
    <row r="1664" customFormat="false" ht="15" hidden="false" customHeight="false" outlineLevel="0" collapsed="false">
      <c r="A1664" s="68" t="s">
        <v>2954</v>
      </c>
      <c r="B1664" s="68" t="s">
        <v>2484</v>
      </c>
      <c r="C1664" s="68" t="n">
        <v>26497.3890468162</v>
      </c>
    </row>
    <row r="1665" customFormat="false" ht="15" hidden="false" customHeight="false" outlineLevel="0" collapsed="false">
      <c r="A1665" s="68" t="s">
        <v>2956</v>
      </c>
      <c r="B1665" s="68" t="s">
        <v>2284</v>
      </c>
      <c r="C1665" s="68" t="n">
        <v>374.159854677566</v>
      </c>
    </row>
    <row r="1666" customFormat="false" ht="15" hidden="false" customHeight="false" outlineLevel="0" collapsed="false">
      <c r="A1666" s="68" t="s">
        <v>2956</v>
      </c>
      <c r="B1666" s="68" t="s">
        <v>2290</v>
      </c>
      <c r="C1666" s="68" t="s">
        <v>1932</v>
      </c>
    </row>
    <row r="1667" customFormat="false" ht="15" hidden="false" customHeight="false" outlineLevel="0" collapsed="false">
      <c r="A1667" s="68" t="s">
        <v>2956</v>
      </c>
      <c r="B1667" s="68" t="s">
        <v>2365</v>
      </c>
      <c r="C1667" s="68" t="n">
        <v>70000</v>
      </c>
    </row>
    <row r="1668" customFormat="false" ht="15" hidden="false" customHeight="false" outlineLevel="0" collapsed="false">
      <c r="A1668" s="68" t="s">
        <v>2956</v>
      </c>
      <c r="B1668" s="68" t="s">
        <v>2370</v>
      </c>
      <c r="C1668" s="68" t="n">
        <v>91521.1612903226</v>
      </c>
    </row>
    <row r="1669" customFormat="false" ht="15" hidden="false" customHeight="false" outlineLevel="0" collapsed="false">
      <c r="A1669" s="68" t="s">
        <v>2956</v>
      </c>
      <c r="B1669" s="68" t="s">
        <v>2375</v>
      </c>
      <c r="C1669" s="68" t="n">
        <v>2837156000</v>
      </c>
    </row>
    <row r="1670" customFormat="false" ht="15" hidden="false" customHeight="false" outlineLevel="0" collapsed="false">
      <c r="A1670" s="68" t="s">
        <v>2956</v>
      </c>
      <c r="B1670" s="68" t="s">
        <v>2388</v>
      </c>
      <c r="C1670" s="68" t="n">
        <v>94574.7534128105</v>
      </c>
    </row>
    <row r="1671" customFormat="false" ht="15" hidden="false" customHeight="false" outlineLevel="0" collapsed="false">
      <c r="A1671" s="68" t="s">
        <v>2956</v>
      </c>
      <c r="B1671" s="68" t="s">
        <v>2393</v>
      </c>
      <c r="C1671" s="68" t="n">
        <v>99850.4245889241</v>
      </c>
    </row>
    <row r="1672" customFormat="false" ht="15" hidden="false" customHeight="false" outlineLevel="0" collapsed="false">
      <c r="A1672" s="68" t="s">
        <v>2956</v>
      </c>
      <c r="B1672" s="68" t="s">
        <v>2398</v>
      </c>
      <c r="C1672" s="68" t="n">
        <v>65754799655.8179</v>
      </c>
    </row>
    <row r="1673" customFormat="false" ht="15" hidden="false" customHeight="false" outlineLevel="0" collapsed="false">
      <c r="A1673" s="68" t="s">
        <v>2956</v>
      </c>
      <c r="B1673" s="68" t="s">
        <v>2432</v>
      </c>
      <c r="C1673" s="68" t="s">
        <v>3201</v>
      </c>
    </row>
    <row r="1674" customFormat="false" ht="15" hidden="false" customHeight="false" outlineLevel="0" collapsed="false">
      <c r="A1674" s="68" t="s">
        <v>2956</v>
      </c>
      <c r="B1674" s="68" t="s">
        <v>2437</v>
      </c>
      <c r="C1674" s="68" t="n">
        <v>0.8</v>
      </c>
    </row>
    <row r="1675" customFormat="false" ht="15" hidden="false" customHeight="false" outlineLevel="0" collapsed="false">
      <c r="A1675" s="68" t="s">
        <v>2956</v>
      </c>
      <c r="B1675" s="68" t="s">
        <v>2442</v>
      </c>
      <c r="C1675" s="68" t="n">
        <v>1</v>
      </c>
    </row>
    <row r="1676" customFormat="false" ht="15" hidden="false" customHeight="false" outlineLevel="0" collapsed="false">
      <c r="A1676" s="68" t="s">
        <v>2956</v>
      </c>
      <c r="B1676" s="68" t="s">
        <v>2447</v>
      </c>
      <c r="C1676" s="68" t="n">
        <v>1</v>
      </c>
    </row>
    <row r="1677" customFormat="false" ht="15" hidden="false" customHeight="false" outlineLevel="0" collapsed="false">
      <c r="A1677" s="68" t="s">
        <v>2956</v>
      </c>
      <c r="B1677" s="68" t="s">
        <v>2452</v>
      </c>
      <c r="C1677" s="68" t="n">
        <v>1</v>
      </c>
    </row>
    <row r="1678" customFormat="false" ht="15" hidden="false" customHeight="false" outlineLevel="0" collapsed="false">
      <c r="A1678" s="68" t="s">
        <v>2956</v>
      </c>
      <c r="B1678" s="68" t="s">
        <v>2457</v>
      </c>
      <c r="C1678" s="68" t="n">
        <v>0.8</v>
      </c>
    </row>
    <row r="1679" customFormat="false" ht="15" hidden="false" customHeight="false" outlineLevel="0" collapsed="false">
      <c r="A1679" s="68" t="s">
        <v>2956</v>
      </c>
      <c r="B1679" s="68" t="s">
        <v>2462</v>
      </c>
      <c r="C1679" s="68" t="n">
        <v>87500</v>
      </c>
    </row>
    <row r="1680" customFormat="false" ht="15" hidden="false" customHeight="false" outlineLevel="0" collapsed="false">
      <c r="A1680" s="68" t="s">
        <v>2956</v>
      </c>
      <c r="B1680" s="68" t="s">
        <v>2467</v>
      </c>
      <c r="C1680" s="68" t="n">
        <v>91.347</v>
      </c>
    </row>
    <row r="1681" customFormat="false" ht="15" hidden="false" customHeight="false" outlineLevel="0" collapsed="false">
      <c r="A1681" s="68" t="s">
        <v>2956</v>
      </c>
      <c r="B1681" s="68" t="s">
        <v>2471</v>
      </c>
      <c r="C1681" s="68" t="n">
        <v>123.416</v>
      </c>
    </row>
    <row r="1682" customFormat="false" ht="15" hidden="false" customHeight="false" outlineLevel="0" collapsed="false">
      <c r="A1682" s="68" t="s">
        <v>2956</v>
      </c>
      <c r="B1682" s="68" t="s">
        <v>2475</v>
      </c>
      <c r="C1682" s="68" t="s">
        <v>312</v>
      </c>
    </row>
    <row r="1683" customFormat="false" ht="15" hidden="false" customHeight="false" outlineLevel="0" collapsed="false">
      <c r="A1683" s="68" t="s">
        <v>2956</v>
      </c>
      <c r="B1683" s="68" t="s">
        <v>2480</v>
      </c>
      <c r="C1683" s="68" t="n">
        <v>118218.441766013</v>
      </c>
    </row>
    <row r="1684" customFormat="false" ht="15" hidden="false" customHeight="false" outlineLevel="0" collapsed="false">
      <c r="A1684" s="68" t="s">
        <v>2956</v>
      </c>
      <c r="B1684" s="68" t="s">
        <v>2484</v>
      </c>
      <c r="C1684" s="68" t="n">
        <v>3379.48807018346</v>
      </c>
    </row>
    <row r="1685" customFormat="false" ht="15" hidden="false" customHeight="false" outlineLevel="0" collapsed="false">
      <c r="A1685" s="68" t="s">
        <v>2960</v>
      </c>
      <c r="B1685" s="68" t="s">
        <v>2284</v>
      </c>
      <c r="C1685" s="68" t="n">
        <v>310.168029064487</v>
      </c>
    </row>
    <row r="1686" customFormat="false" ht="15" hidden="false" customHeight="false" outlineLevel="0" collapsed="false">
      <c r="A1686" s="68" t="s">
        <v>2960</v>
      </c>
      <c r="B1686" s="68" t="s">
        <v>2290</v>
      </c>
      <c r="C1686" s="68" t="s">
        <v>1932</v>
      </c>
    </row>
    <row r="1687" customFormat="false" ht="15" hidden="false" customHeight="false" outlineLevel="0" collapsed="false">
      <c r="A1687" s="68" t="s">
        <v>2960</v>
      </c>
      <c r="B1687" s="68" t="s">
        <v>2365</v>
      </c>
      <c r="C1687" s="68" t="n">
        <v>90000</v>
      </c>
    </row>
    <row r="1688" customFormat="false" ht="15" hidden="false" customHeight="false" outlineLevel="0" collapsed="false">
      <c r="A1688" s="68" t="s">
        <v>2960</v>
      </c>
      <c r="B1688" s="68" t="s">
        <v>2370</v>
      </c>
      <c r="C1688" s="68" t="n">
        <v>117670.064516129</v>
      </c>
    </row>
    <row r="1689" customFormat="false" ht="15" hidden="false" customHeight="false" outlineLevel="0" collapsed="false">
      <c r="A1689" s="68" t="s">
        <v>2960</v>
      </c>
      <c r="B1689" s="68" t="s">
        <v>2375</v>
      </c>
      <c r="C1689" s="68" t="n">
        <v>3647772000</v>
      </c>
    </row>
    <row r="1690" customFormat="false" ht="15" hidden="false" customHeight="false" outlineLevel="0" collapsed="false">
      <c r="A1690" s="68" t="s">
        <v>2960</v>
      </c>
      <c r="B1690" s="68" t="s">
        <v>2388</v>
      </c>
      <c r="C1690" s="68" t="n">
        <v>121596.111530756</v>
      </c>
    </row>
    <row r="1691" customFormat="false" ht="15" hidden="false" customHeight="false" outlineLevel="0" collapsed="false">
      <c r="A1691" s="68" t="s">
        <v>2960</v>
      </c>
      <c r="B1691" s="68" t="s">
        <v>2393</v>
      </c>
      <c r="C1691" s="68" t="n">
        <v>128379.117328617</v>
      </c>
    </row>
    <row r="1692" customFormat="false" ht="15" hidden="false" customHeight="false" outlineLevel="0" collapsed="false">
      <c r="A1692" s="68" t="s">
        <v>2960</v>
      </c>
      <c r="B1692" s="68" t="s">
        <v>2398</v>
      </c>
      <c r="C1692" s="68" t="n">
        <v>84541885271.7659</v>
      </c>
    </row>
    <row r="1693" customFormat="false" ht="15" hidden="false" customHeight="false" outlineLevel="0" collapsed="false">
      <c r="A1693" s="68" t="s">
        <v>2960</v>
      </c>
      <c r="B1693" s="68" t="s">
        <v>2432</v>
      </c>
      <c r="C1693" s="68" t="s">
        <v>3201</v>
      </c>
    </row>
    <row r="1694" customFormat="false" ht="15" hidden="false" customHeight="false" outlineLevel="0" collapsed="false">
      <c r="A1694" s="68" t="s">
        <v>2960</v>
      </c>
      <c r="B1694" s="68" t="s">
        <v>2437</v>
      </c>
      <c r="C1694" s="68" t="n">
        <v>0.8</v>
      </c>
    </row>
    <row r="1695" customFormat="false" ht="15" hidden="false" customHeight="false" outlineLevel="0" collapsed="false">
      <c r="A1695" s="68" t="s">
        <v>2960</v>
      </c>
      <c r="B1695" s="68" t="s">
        <v>2442</v>
      </c>
      <c r="C1695" s="68" t="n">
        <v>1</v>
      </c>
    </row>
    <row r="1696" customFormat="false" ht="15" hidden="false" customHeight="false" outlineLevel="0" collapsed="false">
      <c r="A1696" s="68" t="s">
        <v>2960</v>
      </c>
      <c r="B1696" s="68" t="s">
        <v>2447</v>
      </c>
      <c r="C1696" s="68" t="n">
        <v>1.35</v>
      </c>
    </row>
    <row r="1697" customFormat="false" ht="15" hidden="false" customHeight="false" outlineLevel="0" collapsed="false">
      <c r="A1697" s="68" t="s">
        <v>2960</v>
      </c>
      <c r="B1697" s="68" t="s">
        <v>2452</v>
      </c>
      <c r="C1697" s="68" t="n">
        <v>1</v>
      </c>
    </row>
    <row r="1698" customFormat="false" ht="15" hidden="false" customHeight="false" outlineLevel="0" collapsed="false">
      <c r="A1698" s="68" t="s">
        <v>2960</v>
      </c>
      <c r="B1698" s="68" t="s">
        <v>2457</v>
      </c>
      <c r="C1698" s="68" t="n">
        <v>1.08</v>
      </c>
    </row>
    <row r="1699" customFormat="false" ht="15" hidden="false" customHeight="false" outlineLevel="0" collapsed="false">
      <c r="A1699" s="68" t="s">
        <v>2960</v>
      </c>
      <c r="B1699" s="68" t="s">
        <v>2462</v>
      </c>
      <c r="C1699" s="68" t="n">
        <v>83333.3333333333</v>
      </c>
    </row>
    <row r="1700" customFormat="false" ht="15" hidden="false" customHeight="false" outlineLevel="0" collapsed="false">
      <c r="A1700" s="68" t="s">
        <v>2960</v>
      </c>
      <c r="B1700" s="68" t="s">
        <v>2467</v>
      </c>
      <c r="C1700" s="68" t="n">
        <v>91.347</v>
      </c>
    </row>
    <row r="1701" customFormat="false" ht="15" hidden="false" customHeight="false" outlineLevel="0" collapsed="false">
      <c r="A1701" s="68" t="s">
        <v>2960</v>
      </c>
      <c r="B1701" s="68" t="s">
        <v>2471</v>
      </c>
      <c r="C1701" s="68" t="n">
        <v>123.416</v>
      </c>
    </row>
    <row r="1702" customFormat="false" ht="15" hidden="false" customHeight="false" outlineLevel="0" collapsed="false">
      <c r="A1702" s="68" t="s">
        <v>2960</v>
      </c>
      <c r="B1702" s="68" t="s">
        <v>2475</v>
      </c>
      <c r="C1702" s="68" t="s">
        <v>312</v>
      </c>
    </row>
    <row r="1703" customFormat="false" ht="15" hidden="false" customHeight="false" outlineLevel="0" collapsed="false">
      <c r="A1703" s="68" t="s">
        <v>2960</v>
      </c>
      <c r="B1703" s="68" t="s">
        <v>2480</v>
      </c>
      <c r="C1703" s="68" t="n">
        <v>112588.992158108</v>
      </c>
    </row>
    <row r="1704" customFormat="false" ht="15" hidden="false" customHeight="false" outlineLevel="0" collapsed="false">
      <c r="A1704" s="68" t="s">
        <v>2960</v>
      </c>
      <c r="B1704" s="68" t="s">
        <v>2484</v>
      </c>
      <c r="C1704" s="68" t="n">
        <v>3601.95027712114</v>
      </c>
    </row>
    <row r="1705" customFormat="false" ht="15" hidden="false" customHeight="false" outlineLevel="0" collapsed="false">
      <c r="A1705" s="68" t="s">
        <v>2962</v>
      </c>
      <c r="B1705" s="68" t="s">
        <v>2284</v>
      </c>
      <c r="C1705" s="68" t="n">
        <v>8.01771117166213</v>
      </c>
    </row>
    <row r="1706" customFormat="false" ht="15" hidden="false" customHeight="false" outlineLevel="0" collapsed="false">
      <c r="A1706" s="68" t="s">
        <v>2962</v>
      </c>
      <c r="B1706" s="68" t="s">
        <v>2290</v>
      </c>
      <c r="C1706" s="68" t="s">
        <v>1932</v>
      </c>
    </row>
    <row r="1707" customFormat="false" ht="15" hidden="false" customHeight="false" outlineLevel="0" collapsed="false">
      <c r="A1707" s="68" t="s">
        <v>2962</v>
      </c>
      <c r="B1707" s="68" t="s">
        <v>2365</v>
      </c>
      <c r="C1707" s="68" t="n">
        <v>15000</v>
      </c>
    </row>
    <row r="1708" customFormat="false" ht="15" hidden="false" customHeight="false" outlineLevel="0" collapsed="false">
      <c r="A1708" s="68" t="s">
        <v>2962</v>
      </c>
      <c r="B1708" s="68" t="s">
        <v>2370</v>
      </c>
      <c r="C1708" s="68" t="n">
        <v>19611.6774193548</v>
      </c>
    </row>
    <row r="1709" customFormat="false" ht="15" hidden="false" customHeight="false" outlineLevel="0" collapsed="false">
      <c r="A1709" s="68" t="s">
        <v>2962</v>
      </c>
      <c r="B1709" s="68" t="s">
        <v>2375</v>
      </c>
      <c r="C1709" s="68" t="n">
        <v>607962000</v>
      </c>
    </row>
    <row r="1710" customFormat="false" ht="15" hidden="false" customHeight="false" outlineLevel="0" collapsed="false">
      <c r="A1710" s="68" t="s">
        <v>2962</v>
      </c>
      <c r="B1710" s="68" t="s">
        <v>2388</v>
      </c>
      <c r="C1710" s="68" t="n">
        <v>20266.0185884594</v>
      </c>
    </row>
    <row r="1711" customFormat="false" ht="15" hidden="false" customHeight="false" outlineLevel="0" collapsed="false">
      <c r="A1711" s="68" t="s">
        <v>2962</v>
      </c>
      <c r="B1711" s="68" t="s">
        <v>2393</v>
      </c>
      <c r="C1711" s="68" t="n">
        <v>21396.5195547694</v>
      </c>
    </row>
    <row r="1712" customFormat="false" ht="15" hidden="false" customHeight="false" outlineLevel="0" collapsed="false">
      <c r="A1712" s="68" t="s">
        <v>2962</v>
      </c>
      <c r="B1712" s="68" t="s">
        <v>2398</v>
      </c>
      <c r="C1712" s="68" t="n">
        <v>14090314211.961</v>
      </c>
    </row>
    <row r="1713" customFormat="false" ht="15" hidden="false" customHeight="false" outlineLevel="0" collapsed="false">
      <c r="A1713" s="68" t="s">
        <v>2962</v>
      </c>
      <c r="B1713" s="68" t="s">
        <v>2432</v>
      </c>
      <c r="C1713" s="68" t="s">
        <v>3201</v>
      </c>
    </row>
    <row r="1714" customFormat="false" ht="15" hidden="false" customHeight="false" outlineLevel="0" collapsed="false">
      <c r="A1714" s="68" t="s">
        <v>2962</v>
      </c>
      <c r="B1714" s="68" t="s">
        <v>2437</v>
      </c>
      <c r="C1714" s="68" t="n">
        <v>0.8</v>
      </c>
    </row>
    <row r="1715" customFormat="false" ht="15" hidden="false" customHeight="false" outlineLevel="0" collapsed="false">
      <c r="A1715" s="68" t="s">
        <v>2962</v>
      </c>
      <c r="B1715" s="68" t="s">
        <v>2442</v>
      </c>
      <c r="C1715" s="68" t="n">
        <v>1</v>
      </c>
    </row>
    <row r="1716" customFormat="false" ht="15" hidden="false" customHeight="false" outlineLevel="0" collapsed="false">
      <c r="A1716" s="68" t="s">
        <v>2962</v>
      </c>
      <c r="B1716" s="68" t="s">
        <v>2447</v>
      </c>
      <c r="C1716" s="68" t="n">
        <v>1</v>
      </c>
    </row>
    <row r="1717" customFormat="false" ht="15" hidden="false" customHeight="false" outlineLevel="0" collapsed="false">
      <c r="A1717" s="68" t="s">
        <v>2962</v>
      </c>
      <c r="B1717" s="68" t="s">
        <v>2452</v>
      </c>
      <c r="C1717" s="68" t="n">
        <v>1</v>
      </c>
    </row>
    <row r="1718" customFormat="false" ht="15" hidden="false" customHeight="false" outlineLevel="0" collapsed="false">
      <c r="A1718" s="68" t="s">
        <v>2962</v>
      </c>
      <c r="B1718" s="68" t="s">
        <v>2457</v>
      </c>
      <c r="C1718" s="68" t="n">
        <v>0.8</v>
      </c>
    </row>
    <row r="1719" customFormat="false" ht="15" hidden="false" customHeight="false" outlineLevel="0" collapsed="false">
      <c r="A1719" s="68" t="s">
        <v>2962</v>
      </c>
      <c r="B1719" s="68" t="s">
        <v>2462</v>
      </c>
      <c r="C1719" s="68" t="n">
        <v>18750</v>
      </c>
    </row>
    <row r="1720" customFormat="false" ht="15" hidden="false" customHeight="false" outlineLevel="0" collapsed="false">
      <c r="A1720" s="68" t="s">
        <v>2962</v>
      </c>
      <c r="B1720" s="68" t="s">
        <v>2467</v>
      </c>
      <c r="C1720" s="68" t="n">
        <v>91.347</v>
      </c>
    </row>
    <row r="1721" customFormat="false" ht="15" hidden="false" customHeight="false" outlineLevel="0" collapsed="false">
      <c r="A1721" s="68" t="s">
        <v>2962</v>
      </c>
      <c r="B1721" s="68" t="s">
        <v>2471</v>
      </c>
      <c r="C1721" s="68" t="n">
        <v>123.416</v>
      </c>
    </row>
    <row r="1722" customFormat="false" ht="15" hidden="false" customHeight="false" outlineLevel="0" collapsed="false">
      <c r="A1722" s="68" t="s">
        <v>2962</v>
      </c>
      <c r="B1722" s="68" t="s">
        <v>2475</v>
      </c>
      <c r="C1722" s="68" t="s">
        <v>312</v>
      </c>
    </row>
    <row r="1723" customFormat="false" ht="15" hidden="false" customHeight="false" outlineLevel="0" collapsed="false">
      <c r="A1723" s="68" t="s">
        <v>2962</v>
      </c>
      <c r="B1723" s="68" t="s">
        <v>2480</v>
      </c>
      <c r="C1723" s="68" t="n">
        <v>25332.5232355742</v>
      </c>
    </row>
    <row r="1724" customFormat="false" ht="15" hidden="false" customHeight="false" outlineLevel="0" collapsed="false">
      <c r="A1724" s="68" t="s">
        <v>2962</v>
      </c>
      <c r="B1724" s="68" t="s">
        <v>2484</v>
      </c>
      <c r="C1724" s="68" t="n">
        <v>7265.21055650847</v>
      </c>
    </row>
    <row r="1725" customFormat="false" ht="15" hidden="false" customHeight="false" outlineLevel="0" collapsed="false">
      <c r="A1725" s="68" t="s">
        <v>2965</v>
      </c>
      <c r="B1725" s="68" t="s">
        <v>2284</v>
      </c>
      <c r="C1725" s="68" t="n">
        <v>4.5858310626703</v>
      </c>
    </row>
    <row r="1726" customFormat="false" ht="15" hidden="false" customHeight="false" outlineLevel="0" collapsed="false">
      <c r="A1726" s="68" t="s">
        <v>2965</v>
      </c>
      <c r="B1726" s="68" t="s">
        <v>2290</v>
      </c>
      <c r="C1726" s="68" t="s">
        <v>1881</v>
      </c>
    </row>
    <row r="1727" customFormat="false" ht="15" hidden="false" customHeight="false" outlineLevel="0" collapsed="false">
      <c r="A1727" s="68" t="s">
        <v>2965</v>
      </c>
      <c r="B1727" s="68" t="s">
        <v>2365</v>
      </c>
      <c r="C1727" s="68" t="n">
        <v>6500</v>
      </c>
    </row>
    <row r="1728" customFormat="false" ht="15" hidden="false" customHeight="false" outlineLevel="0" collapsed="false">
      <c r="A1728" s="68" t="s">
        <v>2965</v>
      </c>
      <c r="B1728" s="68" t="s">
        <v>2370</v>
      </c>
      <c r="C1728" s="68" t="n">
        <v>8498.3935483871</v>
      </c>
    </row>
    <row r="1729" customFormat="false" ht="15" hidden="false" customHeight="false" outlineLevel="0" collapsed="false">
      <c r="A1729" s="68" t="s">
        <v>2965</v>
      </c>
      <c r="B1729" s="68" t="s">
        <v>2375</v>
      </c>
      <c r="C1729" s="68" t="n">
        <v>263450200</v>
      </c>
    </row>
    <row r="1730" customFormat="false" ht="15" hidden="false" customHeight="false" outlineLevel="0" collapsed="false">
      <c r="A1730" s="68" t="s">
        <v>2965</v>
      </c>
      <c r="B1730" s="68" t="s">
        <v>2388</v>
      </c>
      <c r="C1730" s="68" t="n">
        <v>8781.9413883324</v>
      </c>
    </row>
    <row r="1731" customFormat="false" ht="15" hidden="false" customHeight="false" outlineLevel="0" collapsed="false">
      <c r="A1731" s="68" t="s">
        <v>2965</v>
      </c>
      <c r="B1731" s="68" t="s">
        <v>2393</v>
      </c>
      <c r="C1731" s="68" t="n">
        <v>9271.82514040009</v>
      </c>
    </row>
    <row r="1732" customFormat="false" ht="15" hidden="false" customHeight="false" outlineLevel="0" collapsed="false">
      <c r="A1732" s="68" t="s">
        <v>2965</v>
      </c>
      <c r="B1732" s="68" t="s">
        <v>2398</v>
      </c>
      <c r="C1732" s="68" t="n">
        <v>6105802825.18309</v>
      </c>
    </row>
    <row r="1733" customFormat="false" ht="15" hidden="false" customHeight="false" outlineLevel="0" collapsed="false">
      <c r="A1733" s="68" t="s">
        <v>2965</v>
      </c>
      <c r="B1733" s="68" t="s">
        <v>2432</v>
      </c>
      <c r="C1733" s="68" t="s">
        <v>3201</v>
      </c>
    </row>
    <row r="1734" customFormat="false" ht="15" hidden="false" customHeight="false" outlineLevel="0" collapsed="false">
      <c r="A1734" s="68" t="s">
        <v>2965</v>
      </c>
      <c r="B1734" s="68" t="s">
        <v>2437</v>
      </c>
      <c r="C1734" s="68" t="n">
        <v>0.8</v>
      </c>
    </row>
    <row r="1735" customFormat="false" ht="15" hidden="false" customHeight="false" outlineLevel="0" collapsed="false">
      <c r="A1735" s="68" t="s">
        <v>2965</v>
      </c>
      <c r="B1735" s="68" t="s">
        <v>2442</v>
      </c>
      <c r="C1735" s="68" t="n">
        <v>1</v>
      </c>
    </row>
    <row r="1736" customFormat="false" ht="15" hidden="false" customHeight="false" outlineLevel="0" collapsed="false">
      <c r="A1736" s="68" t="s">
        <v>2965</v>
      </c>
      <c r="B1736" s="68" t="s">
        <v>2447</v>
      </c>
      <c r="C1736" s="68" t="n">
        <v>1</v>
      </c>
    </row>
    <row r="1737" customFormat="false" ht="15" hidden="false" customHeight="false" outlineLevel="0" collapsed="false">
      <c r="A1737" s="68" t="s">
        <v>2965</v>
      </c>
      <c r="B1737" s="68" t="s">
        <v>2452</v>
      </c>
      <c r="C1737" s="68" t="n">
        <v>1</v>
      </c>
    </row>
    <row r="1738" customFormat="false" ht="15" hidden="false" customHeight="false" outlineLevel="0" collapsed="false">
      <c r="A1738" s="68" t="s">
        <v>2965</v>
      </c>
      <c r="B1738" s="68" t="s">
        <v>2457</v>
      </c>
      <c r="C1738" s="68" t="n">
        <v>0.8</v>
      </c>
    </row>
    <row r="1739" customFormat="false" ht="15" hidden="false" customHeight="false" outlineLevel="0" collapsed="false">
      <c r="A1739" s="68" t="s">
        <v>2965</v>
      </c>
      <c r="B1739" s="68" t="s">
        <v>2462</v>
      </c>
      <c r="C1739" s="68" t="n">
        <v>8125</v>
      </c>
    </row>
    <row r="1740" customFormat="false" ht="15" hidden="false" customHeight="false" outlineLevel="0" collapsed="false">
      <c r="A1740" s="68" t="s">
        <v>2965</v>
      </c>
      <c r="B1740" s="68" t="s">
        <v>2467</v>
      </c>
      <c r="C1740" s="68" t="n">
        <v>91.347</v>
      </c>
    </row>
    <row r="1741" customFormat="false" ht="15" hidden="false" customHeight="false" outlineLevel="0" collapsed="false">
      <c r="A1741" s="68" t="s">
        <v>2965</v>
      </c>
      <c r="B1741" s="68" t="s">
        <v>2471</v>
      </c>
      <c r="C1741" s="68" t="n">
        <v>123.416</v>
      </c>
    </row>
    <row r="1742" customFormat="false" ht="15" hidden="false" customHeight="false" outlineLevel="0" collapsed="false">
      <c r="A1742" s="68" t="s">
        <v>2965</v>
      </c>
      <c r="B1742" s="68" t="s">
        <v>2475</v>
      </c>
      <c r="C1742" s="68" t="s">
        <v>312</v>
      </c>
    </row>
    <row r="1743" customFormat="false" ht="15" hidden="false" customHeight="false" outlineLevel="0" collapsed="false">
      <c r="A1743" s="68" t="s">
        <v>2965</v>
      </c>
      <c r="B1743" s="68" t="s">
        <v>2480</v>
      </c>
      <c r="C1743" s="68" t="n">
        <v>10977.4267354155</v>
      </c>
    </row>
    <row r="1744" customFormat="false" ht="15" hidden="false" customHeight="false" outlineLevel="0" collapsed="false">
      <c r="A1744" s="68" t="s">
        <v>2965</v>
      </c>
      <c r="B1744" s="68" t="s">
        <v>2484</v>
      </c>
      <c r="C1744" s="68" t="n">
        <v>4401.99673625794</v>
      </c>
    </row>
    <row r="1745" customFormat="false" ht="15" hidden="false" customHeight="false" outlineLevel="0" collapsed="false">
      <c r="A1745" s="68" t="s">
        <v>2967</v>
      </c>
      <c r="B1745" s="68" t="s">
        <v>2284</v>
      </c>
      <c r="C1745" s="68" t="n">
        <v>0.416893732970027</v>
      </c>
    </row>
    <row r="1746" customFormat="false" ht="15" hidden="false" customHeight="false" outlineLevel="0" collapsed="false">
      <c r="A1746" s="68" t="s">
        <v>2967</v>
      </c>
      <c r="B1746" s="68" t="s">
        <v>2290</v>
      </c>
      <c r="C1746" s="68" t="s">
        <v>1881</v>
      </c>
    </row>
    <row r="1747" customFormat="false" ht="15" hidden="false" customHeight="false" outlineLevel="0" collapsed="false">
      <c r="A1747" s="68" t="s">
        <v>2967</v>
      </c>
      <c r="B1747" s="68" t="s">
        <v>2365</v>
      </c>
      <c r="C1747" s="68" t="n">
        <v>7401.77840062372</v>
      </c>
    </row>
    <row r="1748" customFormat="false" ht="15" hidden="false" customHeight="false" outlineLevel="0" collapsed="false">
      <c r="A1748" s="68" t="s">
        <v>2967</v>
      </c>
      <c r="B1748" s="68" t="s">
        <v>2370</v>
      </c>
      <c r="C1748" s="68" t="n">
        <v>9677.41935483871</v>
      </c>
    </row>
    <row r="1749" customFormat="false" ht="15" hidden="false" customHeight="false" outlineLevel="0" collapsed="false">
      <c r="A1749" s="68" t="s">
        <v>2967</v>
      </c>
      <c r="B1749" s="68" t="s">
        <v>2375</v>
      </c>
      <c r="C1749" s="68" t="n">
        <v>300000000</v>
      </c>
    </row>
    <row r="1750" customFormat="false" ht="15" hidden="false" customHeight="false" outlineLevel="0" collapsed="false">
      <c r="A1750" s="68" t="s">
        <v>2967</v>
      </c>
      <c r="B1750" s="68" t="s">
        <v>2388</v>
      </c>
      <c r="C1750" s="68" t="n">
        <v>10000.3052436465</v>
      </c>
    </row>
    <row r="1751" customFormat="false" ht="15" hidden="false" customHeight="false" outlineLevel="0" collapsed="false">
      <c r="A1751" s="68" t="s">
        <v>2967</v>
      </c>
      <c r="B1751" s="68" t="s">
        <v>2393</v>
      </c>
      <c r="C1751" s="68" t="n">
        <v>10558.1530859344</v>
      </c>
    </row>
    <row r="1752" customFormat="false" ht="15" hidden="false" customHeight="false" outlineLevel="0" collapsed="false">
      <c r="A1752" s="68" t="s">
        <v>2967</v>
      </c>
      <c r="B1752" s="68" t="s">
        <v>2398</v>
      </c>
      <c r="C1752" s="68" t="n">
        <v>6952892226.13962</v>
      </c>
    </row>
    <row r="1753" customFormat="false" ht="15" hidden="false" customHeight="false" outlineLevel="0" collapsed="false">
      <c r="A1753" s="68" t="s">
        <v>2967</v>
      </c>
      <c r="B1753" s="68" t="s">
        <v>2432</v>
      </c>
      <c r="C1753" s="68" t="s">
        <v>3201</v>
      </c>
    </row>
    <row r="1754" customFormat="false" ht="15" hidden="false" customHeight="false" outlineLevel="0" collapsed="false">
      <c r="A1754" s="68" t="s">
        <v>2967</v>
      </c>
      <c r="B1754" s="68" t="s">
        <v>2437</v>
      </c>
      <c r="C1754" s="68" t="n">
        <v>0.8</v>
      </c>
    </row>
    <row r="1755" customFormat="false" ht="15" hidden="false" customHeight="false" outlineLevel="0" collapsed="false">
      <c r="A1755" s="68" t="s">
        <v>2967</v>
      </c>
      <c r="B1755" s="68" t="s">
        <v>2442</v>
      </c>
      <c r="C1755" s="68" t="n">
        <v>1</v>
      </c>
    </row>
    <row r="1756" customFormat="false" ht="15" hidden="false" customHeight="false" outlineLevel="0" collapsed="false">
      <c r="A1756" s="68" t="s">
        <v>2967</v>
      </c>
      <c r="B1756" s="68" t="s">
        <v>2447</v>
      </c>
      <c r="C1756" s="68" t="n">
        <v>1</v>
      </c>
    </row>
    <row r="1757" customFormat="false" ht="15" hidden="false" customHeight="false" outlineLevel="0" collapsed="false">
      <c r="A1757" s="68" t="s">
        <v>2967</v>
      </c>
      <c r="B1757" s="68" t="s">
        <v>2452</v>
      </c>
      <c r="C1757" s="68" t="n">
        <v>1</v>
      </c>
    </row>
    <row r="1758" customFormat="false" ht="15" hidden="false" customHeight="false" outlineLevel="0" collapsed="false">
      <c r="A1758" s="68" t="s">
        <v>2967</v>
      </c>
      <c r="B1758" s="68" t="s">
        <v>2457</v>
      </c>
      <c r="C1758" s="68" t="n">
        <v>0.8</v>
      </c>
    </row>
    <row r="1759" customFormat="false" ht="15" hidden="false" customHeight="false" outlineLevel="0" collapsed="false">
      <c r="A1759" s="68" t="s">
        <v>2967</v>
      </c>
      <c r="B1759" s="68" t="s">
        <v>2462</v>
      </c>
      <c r="C1759" s="68" t="n">
        <v>9252.22300077965</v>
      </c>
    </row>
    <row r="1760" customFormat="false" ht="15" hidden="false" customHeight="false" outlineLevel="0" collapsed="false">
      <c r="A1760" s="68" t="s">
        <v>2967</v>
      </c>
      <c r="B1760" s="68" t="s">
        <v>2467</v>
      </c>
      <c r="C1760" s="68" t="n">
        <v>91.347</v>
      </c>
    </row>
    <row r="1761" customFormat="false" ht="15" hidden="false" customHeight="false" outlineLevel="0" collapsed="false">
      <c r="A1761" s="68" t="s">
        <v>2967</v>
      </c>
      <c r="B1761" s="68" t="s">
        <v>2471</v>
      </c>
      <c r="C1761" s="68" t="n">
        <v>123.416</v>
      </c>
    </row>
    <row r="1762" customFormat="false" ht="15" hidden="false" customHeight="false" outlineLevel="0" collapsed="false">
      <c r="A1762" s="68" t="s">
        <v>2967</v>
      </c>
      <c r="B1762" s="68" t="s">
        <v>2475</v>
      </c>
      <c r="C1762" s="68" t="s">
        <v>312</v>
      </c>
    </row>
    <row r="1763" customFormat="false" ht="15" hidden="false" customHeight="false" outlineLevel="0" collapsed="false">
      <c r="A1763" s="68" t="s">
        <v>2967</v>
      </c>
      <c r="B1763" s="68" t="s">
        <v>2480</v>
      </c>
      <c r="C1763" s="68" t="n">
        <v>12500.3815545581</v>
      </c>
    </row>
    <row r="1764" customFormat="false" ht="15" hidden="false" customHeight="false" outlineLevel="0" collapsed="false">
      <c r="A1764" s="68" t="s">
        <v>2967</v>
      </c>
      <c r="B1764" s="68" t="s">
        <v>2484</v>
      </c>
      <c r="C1764" s="68" t="n">
        <v>21130.4161082357</v>
      </c>
    </row>
    <row r="1765" customFormat="false" ht="15" hidden="false" customHeight="false" outlineLevel="0" collapsed="false">
      <c r="A1765" s="68" t="s">
        <v>2973</v>
      </c>
      <c r="B1765" s="68" t="s">
        <v>2284</v>
      </c>
      <c r="C1765" s="68" t="n">
        <v>0.277929155313352</v>
      </c>
    </row>
    <row r="1766" customFormat="false" ht="15" hidden="false" customHeight="false" outlineLevel="0" collapsed="false">
      <c r="A1766" s="68" t="s">
        <v>2973</v>
      </c>
      <c r="B1766" s="68" t="s">
        <v>2290</v>
      </c>
      <c r="C1766" s="68" t="s">
        <v>1881</v>
      </c>
    </row>
    <row r="1767" customFormat="false" ht="15" hidden="false" customHeight="false" outlineLevel="0" collapsed="false">
      <c r="A1767" s="68" t="s">
        <v>2973</v>
      </c>
      <c r="B1767" s="68" t="s">
        <v>2365</v>
      </c>
      <c r="C1767" s="68" t="n">
        <v>6168.14866718644</v>
      </c>
    </row>
    <row r="1768" customFormat="false" ht="15" hidden="false" customHeight="false" outlineLevel="0" collapsed="false">
      <c r="A1768" s="68" t="s">
        <v>2973</v>
      </c>
      <c r="B1768" s="68" t="s">
        <v>2370</v>
      </c>
      <c r="C1768" s="68" t="n">
        <v>8064.51612903226</v>
      </c>
    </row>
    <row r="1769" customFormat="false" ht="15" hidden="false" customHeight="false" outlineLevel="0" collapsed="false">
      <c r="A1769" s="68" t="s">
        <v>2973</v>
      </c>
      <c r="B1769" s="68" t="s">
        <v>2375</v>
      </c>
      <c r="C1769" s="68" t="n">
        <v>250000000</v>
      </c>
    </row>
    <row r="1770" customFormat="false" ht="15" hidden="false" customHeight="false" outlineLevel="0" collapsed="false">
      <c r="A1770" s="68" t="s">
        <v>2973</v>
      </c>
      <c r="B1770" s="68" t="s">
        <v>2388</v>
      </c>
      <c r="C1770" s="68" t="n">
        <v>8333.58770303876</v>
      </c>
    </row>
    <row r="1771" customFormat="false" ht="15" hidden="false" customHeight="false" outlineLevel="0" collapsed="false">
      <c r="A1771" s="68" t="s">
        <v>2973</v>
      </c>
      <c r="B1771" s="68" t="s">
        <v>2393</v>
      </c>
      <c r="C1771" s="68" t="n">
        <v>8798.46090494531</v>
      </c>
    </row>
    <row r="1772" customFormat="false" ht="15" hidden="false" customHeight="false" outlineLevel="0" collapsed="false">
      <c r="A1772" s="68" t="s">
        <v>2973</v>
      </c>
      <c r="B1772" s="68" t="s">
        <v>2398</v>
      </c>
      <c r="C1772" s="68" t="n">
        <v>5794076855.11635</v>
      </c>
    </row>
    <row r="1773" customFormat="false" ht="15" hidden="false" customHeight="false" outlineLevel="0" collapsed="false">
      <c r="A1773" s="68" t="s">
        <v>2973</v>
      </c>
      <c r="B1773" s="68" t="s">
        <v>2432</v>
      </c>
      <c r="C1773" s="68" t="s">
        <v>3201</v>
      </c>
    </row>
    <row r="1774" customFormat="false" ht="15" hidden="false" customHeight="false" outlineLevel="0" collapsed="false">
      <c r="A1774" s="68" t="s">
        <v>2973</v>
      </c>
      <c r="B1774" s="68" t="s">
        <v>2437</v>
      </c>
      <c r="C1774" s="68" t="n">
        <v>0.8</v>
      </c>
    </row>
    <row r="1775" customFormat="false" ht="15" hidden="false" customHeight="false" outlineLevel="0" collapsed="false">
      <c r="A1775" s="68" t="s">
        <v>2973</v>
      </c>
      <c r="B1775" s="68" t="s">
        <v>2442</v>
      </c>
      <c r="C1775" s="68" t="n">
        <v>1</v>
      </c>
    </row>
    <row r="1776" customFormat="false" ht="15" hidden="false" customHeight="false" outlineLevel="0" collapsed="false">
      <c r="A1776" s="68" t="s">
        <v>2973</v>
      </c>
      <c r="B1776" s="68" t="s">
        <v>2447</v>
      </c>
      <c r="C1776" s="68" t="n">
        <v>1</v>
      </c>
    </row>
    <row r="1777" customFormat="false" ht="15" hidden="false" customHeight="false" outlineLevel="0" collapsed="false">
      <c r="A1777" s="68" t="s">
        <v>2973</v>
      </c>
      <c r="B1777" s="68" t="s">
        <v>2452</v>
      </c>
      <c r="C1777" s="68" t="n">
        <v>1</v>
      </c>
    </row>
    <row r="1778" customFormat="false" ht="15" hidden="false" customHeight="false" outlineLevel="0" collapsed="false">
      <c r="A1778" s="68" t="s">
        <v>2973</v>
      </c>
      <c r="B1778" s="68" t="s">
        <v>2457</v>
      </c>
      <c r="C1778" s="68" t="n">
        <v>0.8</v>
      </c>
    </row>
    <row r="1779" customFormat="false" ht="15" hidden="false" customHeight="false" outlineLevel="0" collapsed="false">
      <c r="A1779" s="68" t="s">
        <v>2973</v>
      </c>
      <c r="B1779" s="68" t="s">
        <v>2462</v>
      </c>
      <c r="C1779" s="68" t="n">
        <v>7710.18583398304</v>
      </c>
    </row>
    <row r="1780" customFormat="false" ht="15" hidden="false" customHeight="false" outlineLevel="0" collapsed="false">
      <c r="A1780" s="68" t="s">
        <v>2973</v>
      </c>
      <c r="B1780" s="68" t="s">
        <v>2467</v>
      </c>
      <c r="C1780" s="68" t="n">
        <v>91.347</v>
      </c>
    </row>
    <row r="1781" customFormat="false" ht="15" hidden="false" customHeight="false" outlineLevel="0" collapsed="false">
      <c r="A1781" s="68" t="s">
        <v>2973</v>
      </c>
      <c r="B1781" s="68" t="s">
        <v>2471</v>
      </c>
      <c r="C1781" s="68" t="n">
        <v>123.416</v>
      </c>
    </row>
    <row r="1782" customFormat="false" ht="15" hidden="false" customHeight="false" outlineLevel="0" collapsed="false">
      <c r="A1782" s="68" t="s">
        <v>2973</v>
      </c>
      <c r="B1782" s="68" t="s">
        <v>2475</v>
      </c>
      <c r="C1782" s="68" t="s">
        <v>312</v>
      </c>
    </row>
    <row r="1783" customFormat="false" ht="15" hidden="false" customHeight="false" outlineLevel="0" collapsed="false">
      <c r="A1783" s="68" t="s">
        <v>2973</v>
      </c>
      <c r="B1783" s="68" t="s">
        <v>2480</v>
      </c>
      <c r="C1783" s="68" t="n">
        <v>10416.9846287985</v>
      </c>
    </row>
    <row r="1784" customFormat="false" ht="15" hidden="false" customHeight="false" outlineLevel="0" collapsed="false">
      <c r="A1784" s="68" t="s">
        <v>2973</v>
      </c>
      <c r="B1784" s="68" t="s">
        <v>2484</v>
      </c>
      <c r="C1784" s="68" t="n">
        <v>22458.542010718</v>
      </c>
    </row>
    <row r="1785" customFormat="false" ht="15" hidden="false" customHeight="false" outlineLevel="0" collapsed="false">
      <c r="A1785" s="68" t="s">
        <v>2977</v>
      </c>
      <c r="B1785" s="68" t="s">
        <v>2284</v>
      </c>
      <c r="C1785" s="68" t="n">
        <v>0.555858310626703</v>
      </c>
    </row>
    <row r="1786" customFormat="false" ht="15" hidden="false" customHeight="false" outlineLevel="0" collapsed="false">
      <c r="A1786" s="68" t="s">
        <v>2977</v>
      </c>
      <c r="B1786" s="68" t="s">
        <v>2290</v>
      </c>
      <c r="C1786" s="68" t="s">
        <v>673</v>
      </c>
    </row>
    <row r="1787" customFormat="false" ht="15" hidden="false" customHeight="false" outlineLevel="0" collapsed="false">
      <c r="A1787" s="68" t="s">
        <v>2977</v>
      </c>
      <c r="B1787" s="68" t="s">
        <v>2365</v>
      </c>
      <c r="C1787" s="68" t="n">
        <v>20000</v>
      </c>
    </row>
    <row r="1788" customFormat="false" ht="15" hidden="false" customHeight="false" outlineLevel="0" collapsed="false">
      <c r="A1788" s="68" t="s">
        <v>2977</v>
      </c>
      <c r="B1788" s="68" t="s">
        <v>2370</v>
      </c>
      <c r="C1788" s="68" t="n">
        <v>26148.9032258065</v>
      </c>
    </row>
    <row r="1789" customFormat="false" ht="15" hidden="false" customHeight="false" outlineLevel="0" collapsed="false">
      <c r="A1789" s="68" t="s">
        <v>2977</v>
      </c>
      <c r="B1789" s="68" t="s">
        <v>2375</v>
      </c>
      <c r="C1789" s="68" t="n">
        <v>810616000</v>
      </c>
    </row>
    <row r="1790" customFormat="false" ht="15" hidden="false" customHeight="false" outlineLevel="0" collapsed="false">
      <c r="A1790" s="68" t="s">
        <v>2977</v>
      </c>
      <c r="B1790" s="68" t="s">
        <v>2388</v>
      </c>
      <c r="C1790" s="68" t="n">
        <v>27021.3581179459</v>
      </c>
    </row>
    <row r="1791" customFormat="false" ht="15" hidden="false" customHeight="false" outlineLevel="0" collapsed="false">
      <c r="A1791" s="68" t="s">
        <v>2977</v>
      </c>
      <c r="B1791" s="68" t="s">
        <v>2393</v>
      </c>
      <c r="C1791" s="68" t="n">
        <v>28528.6927396926</v>
      </c>
    </row>
    <row r="1792" customFormat="false" ht="15" hidden="false" customHeight="false" outlineLevel="0" collapsed="false">
      <c r="A1792" s="68" t="s">
        <v>2977</v>
      </c>
      <c r="B1792" s="68" t="s">
        <v>2398</v>
      </c>
      <c r="C1792" s="68" t="n">
        <v>18787085615.948</v>
      </c>
    </row>
    <row r="1793" customFormat="false" ht="15" hidden="false" customHeight="false" outlineLevel="0" collapsed="false">
      <c r="A1793" s="68" t="s">
        <v>2977</v>
      </c>
      <c r="B1793" s="68" t="s">
        <v>2432</v>
      </c>
      <c r="C1793" s="68" t="s">
        <v>3201</v>
      </c>
    </row>
    <row r="1794" customFormat="false" ht="15" hidden="false" customHeight="false" outlineLevel="0" collapsed="false">
      <c r="A1794" s="68" t="s">
        <v>2977</v>
      </c>
      <c r="B1794" s="68" t="s">
        <v>2437</v>
      </c>
      <c r="C1794" s="68" t="n">
        <v>1.9</v>
      </c>
    </row>
    <row r="1795" customFormat="false" ht="15" hidden="false" customHeight="false" outlineLevel="0" collapsed="false">
      <c r="A1795" s="68" t="s">
        <v>2977</v>
      </c>
      <c r="B1795" s="68" t="s">
        <v>2442</v>
      </c>
      <c r="C1795" s="68" t="n">
        <v>1</v>
      </c>
    </row>
    <row r="1796" customFormat="false" ht="15" hidden="false" customHeight="false" outlineLevel="0" collapsed="false">
      <c r="A1796" s="68" t="s">
        <v>2977</v>
      </c>
      <c r="B1796" s="68" t="s">
        <v>2447</v>
      </c>
      <c r="C1796" s="68" t="n">
        <v>1</v>
      </c>
    </row>
    <row r="1797" customFormat="false" ht="15" hidden="false" customHeight="false" outlineLevel="0" collapsed="false">
      <c r="A1797" s="68" t="s">
        <v>2977</v>
      </c>
      <c r="B1797" s="68" t="s">
        <v>2452</v>
      </c>
      <c r="C1797" s="68" t="n">
        <v>1</v>
      </c>
    </row>
    <row r="1798" customFormat="false" ht="15" hidden="false" customHeight="false" outlineLevel="0" collapsed="false">
      <c r="A1798" s="68" t="s">
        <v>2977</v>
      </c>
      <c r="B1798" s="68" t="s">
        <v>2457</v>
      </c>
      <c r="C1798" s="68" t="n">
        <v>1.9</v>
      </c>
    </row>
    <row r="1799" customFormat="false" ht="15" hidden="false" customHeight="false" outlineLevel="0" collapsed="false">
      <c r="A1799" s="68" t="s">
        <v>2977</v>
      </c>
      <c r="B1799" s="68" t="s">
        <v>2462</v>
      </c>
      <c r="C1799" s="68" t="n">
        <v>10526.3157894737</v>
      </c>
    </row>
    <row r="1800" customFormat="false" ht="15" hidden="false" customHeight="false" outlineLevel="0" collapsed="false">
      <c r="A1800" s="68" t="s">
        <v>2977</v>
      </c>
      <c r="B1800" s="68" t="s">
        <v>2467</v>
      </c>
      <c r="C1800" s="68" t="n">
        <v>91.347</v>
      </c>
    </row>
    <row r="1801" customFormat="false" ht="15" hidden="false" customHeight="false" outlineLevel="0" collapsed="false">
      <c r="A1801" s="68" t="s">
        <v>2977</v>
      </c>
      <c r="B1801" s="68" t="s">
        <v>2471</v>
      </c>
      <c r="C1801" s="68" t="n">
        <v>123.416</v>
      </c>
    </row>
    <row r="1802" customFormat="false" ht="15" hidden="false" customHeight="false" outlineLevel="0" collapsed="false">
      <c r="A1802" s="68" t="s">
        <v>2977</v>
      </c>
      <c r="B1802" s="68" t="s">
        <v>2475</v>
      </c>
      <c r="C1802" s="68" t="s">
        <v>312</v>
      </c>
    </row>
    <row r="1803" customFormat="false" ht="15" hidden="false" customHeight="false" outlineLevel="0" collapsed="false">
      <c r="A1803" s="68" t="s">
        <v>2977</v>
      </c>
      <c r="B1803" s="68" t="s">
        <v>2480</v>
      </c>
      <c r="C1803" s="68" t="n">
        <v>14221.7674304978</v>
      </c>
    </row>
    <row r="1804" customFormat="false" ht="15" hidden="false" customHeight="false" outlineLevel="0" collapsed="false">
      <c r="A1804" s="68" t="s">
        <v>2977</v>
      </c>
      <c r="B1804" s="68" t="s">
        <v>2484</v>
      </c>
      <c r="C1804" s="68" t="n">
        <v>20229.0324197221</v>
      </c>
    </row>
    <row r="1805" customFormat="false" ht="15" hidden="false" customHeight="false" outlineLevel="0" collapsed="false">
      <c r="A1805" s="68" t="s">
        <v>2981</v>
      </c>
      <c r="B1805" s="68" t="s">
        <v>2284</v>
      </c>
      <c r="C1805" s="68" t="n">
        <v>0.555858310626703</v>
      </c>
    </row>
    <row r="1806" customFormat="false" ht="15" hidden="false" customHeight="false" outlineLevel="0" collapsed="false">
      <c r="A1806" s="68" t="s">
        <v>2981</v>
      </c>
      <c r="B1806" s="68" t="s">
        <v>2290</v>
      </c>
      <c r="C1806" s="68" t="s">
        <v>673</v>
      </c>
    </row>
    <row r="1807" customFormat="false" ht="15" hidden="false" customHeight="false" outlineLevel="0" collapsed="false">
      <c r="A1807" s="68" t="s">
        <v>2981</v>
      </c>
      <c r="B1807" s="68" t="s">
        <v>2365</v>
      </c>
      <c r="C1807" s="68" t="n">
        <v>20000</v>
      </c>
    </row>
    <row r="1808" customFormat="false" ht="15" hidden="false" customHeight="false" outlineLevel="0" collapsed="false">
      <c r="A1808" s="68" t="s">
        <v>2981</v>
      </c>
      <c r="B1808" s="68" t="s">
        <v>2370</v>
      </c>
      <c r="C1808" s="68" t="n">
        <v>26148.9032258065</v>
      </c>
    </row>
    <row r="1809" customFormat="false" ht="15" hidden="false" customHeight="false" outlineLevel="0" collapsed="false">
      <c r="A1809" s="68" t="s">
        <v>2981</v>
      </c>
      <c r="B1809" s="68" t="s">
        <v>2375</v>
      </c>
      <c r="C1809" s="68" t="n">
        <v>810616000</v>
      </c>
    </row>
    <row r="1810" customFormat="false" ht="15" hidden="false" customHeight="false" outlineLevel="0" collapsed="false">
      <c r="A1810" s="68" t="s">
        <v>2981</v>
      </c>
      <c r="B1810" s="68" t="s">
        <v>2388</v>
      </c>
      <c r="C1810" s="68" t="n">
        <v>27021.3581179459</v>
      </c>
    </row>
    <row r="1811" customFormat="false" ht="15" hidden="false" customHeight="false" outlineLevel="0" collapsed="false">
      <c r="A1811" s="68" t="s">
        <v>2981</v>
      </c>
      <c r="B1811" s="68" t="s">
        <v>2393</v>
      </c>
      <c r="C1811" s="68" t="n">
        <v>28528.6927396926</v>
      </c>
    </row>
    <row r="1812" customFormat="false" ht="15" hidden="false" customHeight="false" outlineLevel="0" collapsed="false">
      <c r="A1812" s="68" t="s">
        <v>2981</v>
      </c>
      <c r="B1812" s="68" t="s">
        <v>2398</v>
      </c>
      <c r="C1812" s="68" t="n">
        <v>18787085615.948</v>
      </c>
    </row>
    <row r="1813" customFormat="false" ht="15" hidden="false" customHeight="false" outlineLevel="0" collapsed="false">
      <c r="A1813" s="68" t="s">
        <v>2981</v>
      </c>
      <c r="B1813" s="68" t="s">
        <v>2432</v>
      </c>
      <c r="C1813" s="68" t="s">
        <v>3201</v>
      </c>
    </row>
    <row r="1814" customFormat="false" ht="15" hidden="false" customHeight="false" outlineLevel="0" collapsed="false">
      <c r="A1814" s="68" t="s">
        <v>2981</v>
      </c>
      <c r="B1814" s="68" t="s">
        <v>2437</v>
      </c>
      <c r="C1814" s="68" t="n">
        <v>1.9</v>
      </c>
    </row>
    <row r="1815" customFormat="false" ht="15" hidden="false" customHeight="false" outlineLevel="0" collapsed="false">
      <c r="A1815" s="68" t="s">
        <v>2981</v>
      </c>
      <c r="B1815" s="68" t="s">
        <v>2442</v>
      </c>
      <c r="C1815" s="68" t="n">
        <v>1</v>
      </c>
    </row>
    <row r="1816" customFormat="false" ht="15" hidden="false" customHeight="false" outlineLevel="0" collapsed="false">
      <c r="A1816" s="68" t="s">
        <v>2981</v>
      </c>
      <c r="B1816" s="68" t="s">
        <v>2447</v>
      </c>
      <c r="C1816" s="68" t="n">
        <v>1</v>
      </c>
    </row>
    <row r="1817" customFormat="false" ht="15" hidden="false" customHeight="false" outlineLevel="0" collapsed="false">
      <c r="A1817" s="68" t="s">
        <v>2981</v>
      </c>
      <c r="B1817" s="68" t="s">
        <v>2452</v>
      </c>
      <c r="C1817" s="68" t="n">
        <v>1</v>
      </c>
    </row>
    <row r="1818" customFormat="false" ht="15" hidden="false" customHeight="false" outlineLevel="0" collapsed="false">
      <c r="A1818" s="68" t="s">
        <v>2981</v>
      </c>
      <c r="B1818" s="68" t="s">
        <v>2457</v>
      </c>
      <c r="C1818" s="68" t="n">
        <v>1.9</v>
      </c>
    </row>
    <row r="1819" customFormat="false" ht="15" hidden="false" customHeight="false" outlineLevel="0" collapsed="false">
      <c r="A1819" s="68" t="s">
        <v>2981</v>
      </c>
      <c r="B1819" s="68" t="s">
        <v>2462</v>
      </c>
      <c r="C1819" s="68" t="n">
        <v>10526.3157894737</v>
      </c>
    </row>
    <row r="1820" customFormat="false" ht="15" hidden="false" customHeight="false" outlineLevel="0" collapsed="false">
      <c r="A1820" s="68" t="s">
        <v>2981</v>
      </c>
      <c r="B1820" s="68" t="s">
        <v>2467</v>
      </c>
      <c r="C1820" s="68" t="n">
        <v>91.347</v>
      </c>
    </row>
    <row r="1821" customFormat="false" ht="15" hidden="false" customHeight="false" outlineLevel="0" collapsed="false">
      <c r="A1821" s="68" t="s">
        <v>2981</v>
      </c>
      <c r="B1821" s="68" t="s">
        <v>2471</v>
      </c>
      <c r="C1821" s="68" t="n">
        <v>123.416</v>
      </c>
    </row>
    <row r="1822" customFormat="false" ht="15" hidden="false" customHeight="false" outlineLevel="0" collapsed="false">
      <c r="A1822" s="68" t="s">
        <v>2981</v>
      </c>
      <c r="B1822" s="68" t="s">
        <v>2475</v>
      </c>
      <c r="C1822" s="68" t="s">
        <v>312</v>
      </c>
    </row>
    <row r="1823" customFormat="false" ht="15" hidden="false" customHeight="false" outlineLevel="0" collapsed="false">
      <c r="A1823" s="68" t="s">
        <v>2981</v>
      </c>
      <c r="B1823" s="68" t="s">
        <v>2480</v>
      </c>
      <c r="C1823" s="68" t="n">
        <v>14221.7674304978</v>
      </c>
    </row>
    <row r="1824" customFormat="false" ht="15" hidden="false" customHeight="false" outlineLevel="0" collapsed="false">
      <c r="A1824" s="68" t="s">
        <v>2981</v>
      </c>
      <c r="B1824" s="68" t="s">
        <v>2484</v>
      </c>
      <c r="C1824" s="68" t="n">
        <v>20229.0324197221</v>
      </c>
    </row>
    <row r="1825" customFormat="false" ht="15" hidden="false" customHeight="false" outlineLevel="0" collapsed="false">
      <c r="A1825" s="68" t="s">
        <v>2985</v>
      </c>
      <c r="B1825" s="68" t="s">
        <v>2284</v>
      </c>
      <c r="C1825" s="68"/>
    </row>
    <row r="1826" customFormat="false" ht="15" hidden="false" customHeight="false" outlineLevel="0" collapsed="false">
      <c r="A1826" s="68" t="s">
        <v>2985</v>
      </c>
      <c r="B1826" s="68" t="s">
        <v>2290</v>
      </c>
      <c r="C1826" s="68" t="s">
        <v>123</v>
      </c>
    </row>
    <row r="1827" customFormat="false" ht="15" hidden="false" customHeight="false" outlineLevel="0" collapsed="false">
      <c r="A1827" s="68" t="s">
        <v>2985</v>
      </c>
      <c r="B1827" s="68" t="s">
        <v>2365</v>
      </c>
      <c r="C1827" s="68" t="n">
        <v>2467.25946687457</v>
      </c>
    </row>
    <row r="1828" customFormat="false" ht="15" hidden="false" customHeight="false" outlineLevel="0" collapsed="false">
      <c r="A1828" s="68" t="s">
        <v>2985</v>
      </c>
      <c r="B1828" s="68" t="s">
        <v>2370</v>
      </c>
      <c r="C1828" s="68" t="n">
        <v>3225.8064516129</v>
      </c>
    </row>
    <row r="1829" customFormat="false" ht="15" hidden="false" customHeight="false" outlineLevel="0" collapsed="false">
      <c r="A1829" s="68" t="s">
        <v>2985</v>
      </c>
      <c r="B1829" s="68" t="s">
        <v>2375</v>
      </c>
      <c r="C1829" s="68" t="n">
        <v>100000000</v>
      </c>
    </row>
    <row r="1830" customFormat="false" ht="15" hidden="false" customHeight="false" outlineLevel="0" collapsed="false">
      <c r="A1830" s="68" t="s">
        <v>2985</v>
      </c>
      <c r="B1830" s="68" t="s">
        <v>2388</v>
      </c>
      <c r="C1830" s="68" t="n">
        <v>3333.4350812155</v>
      </c>
    </row>
    <row r="1831" customFormat="false" ht="15" hidden="false" customHeight="false" outlineLevel="0" collapsed="false">
      <c r="A1831" s="68" t="s">
        <v>2985</v>
      </c>
      <c r="B1831" s="68" t="s">
        <v>2393</v>
      </c>
      <c r="C1831" s="68" t="n">
        <v>3519.38436197812</v>
      </c>
    </row>
    <row r="1832" customFormat="false" ht="15" hidden="false" customHeight="false" outlineLevel="0" collapsed="false">
      <c r="A1832" s="68" t="s">
        <v>2985</v>
      </c>
      <c r="B1832" s="68" t="s">
        <v>2398</v>
      </c>
      <c r="C1832" s="68" t="n">
        <v>2317630742.04654</v>
      </c>
    </row>
    <row r="1833" customFormat="false" ht="15" hidden="false" customHeight="false" outlineLevel="0" collapsed="false">
      <c r="A1833" s="68" t="s">
        <v>2985</v>
      </c>
      <c r="B1833" s="68" t="s">
        <v>2432</v>
      </c>
      <c r="C1833" s="68" t="s">
        <v>3202</v>
      </c>
    </row>
    <row r="1834" customFormat="false" ht="15" hidden="false" customHeight="false" outlineLevel="0" collapsed="false">
      <c r="A1834" s="68" t="s">
        <v>2985</v>
      </c>
      <c r="B1834" s="68" t="s">
        <v>2437</v>
      </c>
      <c r="C1834" s="68" t="n">
        <v>1.35</v>
      </c>
    </row>
    <row r="1835" customFormat="false" ht="15" hidden="false" customHeight="false" outlineLevel="0" collapsed="false">
      <c r="A1835" s="68" t="s">
        <v>2985</v>
      </c>
      <c r="B1835" s="68" t="s">
        <v>2442</v>
      </c>
      <c r="C1835" s="68" t="n">
        <v>1</v>
      </c>
    </row>
    <row r="1836" customFormat="false" ht="15" hidden="false" customHeight="false" outlineLevel="0" collapsed="false">
      <c r="A1836" s="68" t="s">
        <v>2985</v>
      </c>
      <c r="B1836" s="68" t="s">
        <v>2447</v>
      </c>
      <c r="C1836" s="68" t="n">
        <v>1</v>
      </c>
    </row>
    <row r="1837" customFormat="false" ht="15" hidden="false" customHeight="false" outlineLevel="0" collapsed="false">
      <c r="A1837" s="68" t="s">
        <v>2985</v>
      </c>
      <c r="B1837" s="68" t="s">
        <v>2452</v>
      </c>
      <c r="C1837" s="68" t="n">
        <v>1</v>
      </c>
    </row>
    <row r="1838" customFormat="false" ht="15" hidden="false" customHeight="false" outlineLevel="0" collapsed="false">
      <c r="A1838" s="68" t="s">
        <v>2985</v>
      </c>
      <c r="B1838" s="68" t="s">
        <v>2457</v>
      </c>
      <c r="C1838" s="68" t="n">
        <v>1.35</v>
      </c>
    </row>
    <row r="1839" customFormat="false" ht="15" hidden="false" customHeight="false" outlineLevel="0" collapsed="false">
      <c r="A1839" s="68" t="s">
        <v>2985</v>
      </c>
      <c r="B1839" s="68" t="s">
        <v>2462</v>
      </c>
      <c r="C1839" s="68" t="n">
        <v>1827.59960509228</v>
      </c>
    </row>
    <row r="1840" customFormat="false" ht="15" hidden="false" customHeight="false" outlineLevel="0" collapsed="false">
      <c r="A1840" s="68" t="s">
        <v>2985</v>
      </c>
      <c r="B1840" s="68" t="s">
        <v>2467</v>
      </c>
      <c r="C1840" s="68" t="n">
        <v>91.347</v>
      </c>
    </row>
    <row r="1841" customFormat="false" ht="15" hidden="false" customHeight="false" outlineLevel="0" collapsed="false">
      <c r="A1841" s="68" t="s">
        <v>2985</v>
      </c>
      <c r="B1841" s="68" t="s">
        <v>2471</v>
      </c>
      <c r="C1841" s="68" t="n">
        <v>123.416</v>
      </c>
    </row>
    <row r="1842" customFormat="false" ht="15" hidden="false" customHeight="false" outlineLevel="0" collapsed="false">
      <c r="A1842" s="68" t="s">
        <v>2985</v>
      </c>
      <c r="B1842" s="68" t="s">
        <v>2475</v>
      </c>
      <c r="C1842" s="68" t="s">
        <v>312</v>
      </c>
    </row>
    <row r="1843" customFormat="false" ht="15" hidden="false" customHeight="false" outlineLevel="0" collapsed="false">
      <c r="A1843" s="68" t="s">
        <v>2985</v>
      </c>
      <c r="B1843" s="68" t="s">
        <v>2480</v>
      </c>
      <c r="C1843" s="68" t="n">
        <v>2469.21117127074</v>
      </c>
    </row>
    <row r="1844" customFormat="false" ht="15" hidden="false" customHeight="false" outlineLevel="0" collapsed="false">
      <c r="A1844" s="68" t="s">
        <v>2985</v>
      </c>
      <c r="B1844" s="68" t="s">
        <v>2484</v>
      </c>
      <c r="C1844" s="68"/>
    </row>
    <row r="1845" customFormat="false" ht="15" hidden="false" customHeight="false" outlineLevel="0" collapsed="false">
      <c r="A1845" s="68" t="s">
        <v>2991</v>
      </c>
      <c r="B1845" s="68" t="s">
        <v>2284</v>
      </c>
      <c r="C1845" s="68"/>
    </row>
    <row r="1846" customFormat="false" ht="15" hidden="false" customHeight="false" outlineLevel="0" collapsed="false">
      <c r="A1846" s="68" t="s">
        <v>2991</v>
      </c>
      <c r="B1846" s="68" t="s">
        <v>2290</v>
      </c>
      <c r="C1846" s="68" t="s">
        <v>123</v>
      </c>
    </row>
    <row r="1847" customFormat="false" ht="15" hidden="false" customHeight="false" outlineLevel="0" collapsed="false">
      <c r="A1847" s="68" t="s">
        <v>2991</v>
      </c>
      <c r="B1847" s="68" t="s">
        <v>2365</v>
      </c>
      <c r="C1847" s="68" t="n">
        <v>2467.25946687457</v>
      </c>
    </row>
    <row r="1848" customFormat="false" ht="15" hidden="false" customHeight="false" outlineLevel="0" collapsed="false">
      <c r="A1848" s="68" t="s">
        <v>2991</v>
      </c>
      <c r="B1848" s="68" t="s">
        <v>2370</v>
      </c>
      <c r="C1848" s="68" t="n">
        <v>3225.8064516129</v>
      </c>
    </row>
    <row r="1849" customFormat="false" ht="15" hidden="false" customHeight="false" outlineLevel="0" collapsed="false">
      <c r="A1849" s="68" t="s">
        <v>2991</v>
      </c>
      <c r="B1849" s="68" t="s">
        <v>2375</v>
      </c>
      <c r="C1849" s="68" t="n">
        <v>100000000</v>
      </c>
    </row>
    <row r="1850" customFormat="false" ht="15" hidden="false" customHeight="false" outlineLevel="0" collapsed="false">
      <c r="A1850" s="68" t="s">
        <v>2991</v>
      </c>
      <c r="B1850" s="68" t="s">
        <v>2388</v>
      </c>
      <c r="C1850" s="68" t="n">
        <v>3333.4350812155</v>
      </c>
    </row>
    <row r="1851" customFormat="false" ht="15" hidden="false" customHeight="false" outlineLevel="0" collapsed="false">
      <c r="A1851" s="68" t="s">
        <v>2991</v>
      </c>
      <c r="B1851" s="68" t="s">
        <v>2393</v>
      </c>
      <c r="C1851" s="68" t="n">
        <v>3519.38436197812</v>
      </c>
    </row>
    <row r="1852" customFormat="false" ht="15" hidden="false" customHeight="false" outlineLevel="0" collapsed="false">
      <c r="A1852" s="68" t="s">
        <v>2991</v>
      </c>
      <c r="B1852" s="68" t="s">
        <v>2398</v>
      </c>
      <c r="C1852" s="68" t="n">
        <v>2317630742.04654</v>
      </c>
    </row>
    <row r="1853" customFormat="false" ht="15" hidden="false" customHeight="false" outlineLevel="0" collapsed="false">
      <c r="A1853" s="68" t="s">
        <v>2991</v>
      </c>
      <c r="B1853" s="68" t="s">
        <v>2432</v>
      </c>
      <c r="C1853" s="68" t="s">
        <v>3202</v>
      </c>
    </row>
    <row r="1854" customFormat="false" ht="15" hidden="false" customHeight="false" outlineLevel="0" collapsed="false">
      <c r="A1854" s="68" t="s">
        <v>2991</v>
      </c>
      <c r="B1854" s="68" t="s">
        <v>2437</v>
      </c>
      <c r="C1854" s="68" t="n">
        <v>1.35</v>
      </c>
    </row>
    <row r="1855" customFormat="false" ht="15" hidden="false" customHeight="false" outlineLevel="0" collapsed="false">
      <c r="A1855" s="68" t="s">
        <v>2991</v>
      </c>
      <c r="B1855" s="68" t="s">
        <v>2442</v>
      </c>
      <c r="C1855" s="68" t="n">
        <v>1</v>
      </c>
    </row>
    <row r="1856" customFormat="false" ht="15" hidden="false" customHeight="false" outlineLevel="0" collapsed="false">
      <c r="A1856" s="68" t="s">
        <v>2991</v>
      </c>
      <c r="B1856" s="68" t="s">
        <v>2447</v>
      </c>
      <c r="C1856" s="68" t="n">
        <v>1</v>
      </c>
    </row>
    <row r="1857" customFormat="false" ht="15" hidden="false" customHeight="false" outlineLevel="0" collapsed="false">
      <c r="A1857" s="68" t="s">
        <v>2991</v>
      </c>
      <c r="B1857" s="68" t="s">
        <v>2452</v>
      </c>
      <c r="C1857" s="68" t="n">
        <v>1</v>
      </c>
    </row>
    <row r="1858" customFormat="false" ht="15" hidden="false" customHeight="false" outlineLevel="0" collapsed="false">
      <c r="A1858" s="68" t="s">
        <v>2991</v>
      </c>
      <c r="B1858" s="68" t="s">
        <v>2457</v>
      </c>
      <c r="C1858" s="68" t="n">
        <v>1.35</v>
      </c>
    </row>
    <row r="1859" customFormat="false" ht="15" hidden="false" customHeight="false" outlineLevel="0" collapsed="false">
      <c r="A1859" s="68" t="s">
        <v>2991</v>
      </c>
      <c r="B1859" s="68" t="s">
        <v>2462</v>
      </c>
      <c r="C1859" s="68" t="n">
        <v>1827.59960509228</v>
      </c>
    </row>
    <row r="1860" customFormat="false" ht="15" hidden="false" customHeight="false" outlineLevel="0" collapsed="false">
      <c r="A1860" s="68" t="s">
        <v>2991</v>
      </c>
      <c r="B1860" s="68" t="s">
        <v>2467</v>
      </c>
      <c r="C1860" s="68" t="n">
        <v>91.347</v>
      </c>
    </row>
    <row r="1861" customFormat="false" ht="15" hidden="false" customHeight="false" outlineLevel="0" collapsed="false">
      <c r="A1861" s="68" t="s">
        <v>2991</v>
      </c>
      <c r="B1861" s="68" t="s">
        <v>2471</v>
      </c>
      <c r="C1861" s="68" t="n">
        <v>123.416</v>
      </c>
    </row>
    <row r="1862" customFormat="false" ht="15" hidden="false" customHeight="false" outlineLevel="0" collapsed="false">
      <c r="A1862" s="68" t="s">
        <v>2991</v>
      </c>
      <c r="B1862" s="68" t="s">
        <v>2475</v>
      </c>
      <c r="C1862" s="68" t="s">
        <v>312</v>
      </c>
    </row>
    <row r="1863" customFormat="false" ht="15" hidden="false" customHeight="false" outlineLevel="0" collapsed="false">
      <c r="A1863" s="68" t="s">
        <v>2991</v>
      </c>
      <c r="B1863" s="68" t="s">
        <v>2480</v>
      </c>
      <c r="C1863" s="68" t="n">
        <v>2469.21117127074</v>
      </c>
    </row>
    <row r="1864" customFormat="false" ht="15" hidden="false" customHeight="false" outlineLevel="0" collapsed="false">
      <c r="A1864" s="68" t="s">
        <v>2991</v>
      </c>
      <c r="B1864" s="68" t="s">
        <v>2484</v>
      </c>
      <c r="C1864" s="68"/>
    </row>
    <row r="1865" customFormat="false" ht="15" hidden="false" customHeight="false" outlineLevel="0" collapsed="false">
      <c r="A1865" s="68" t="s">
        <v>2995</v>
      </c>
      <c r="B1865" s="68" t="s">
        <v>2284</v>
      </c>
      <c r="C1865" s="68" t="n">
        <v>28.4264305177112</v>
      </c>
    </row>
    <row r="1866" customFormat="false" ht="15" hidden="false" customHeight="false" outlineLevel="0" collapsed="false">
      <c r="A1866" s="68" t="s">
        <v>2995</v>
      </c>
      <c r="B1866" s="68" t="s">
        <v>2290</v>
      </c>
      <c r="C1866" s="68" t="s">
        <v>3205</v>
      </c>
    </row>
    <row r="1867" customFormat="false" ht="15" hidden="false" customHeight="false" outlineLevel="0" collapsed="false">
      <c r="A1867" s="68" t="s">
        <v>2995</v>
      </c>
      <c r="B1867" s="68" t="s">
        <v>2365</v>
      </c>
      <c r="C1867" s="68" t="n">
        <v>111500</v>
      </c>
    </row>
    <row r="1868" customFormat="false" ht="15" hidden="false" customHeight="false" outlineLevel="0" collapsed="false">
      <c r="A1868" s="68" t="s">
        <v>2995</v>
      </c>
      <c r="B1868" s="68" t="s">
        <v>2370</v>
      </c>
      <c r="C1868" s="68" t="n">
        <v>117719.813585652</v>
      </c>
    </row>
    <row r="1869" customFormat="false" ht="15" hidden="false" customHeight="false" outlineLevel="0" collapsed="false">
      <c r="A1869" s="68" t="s">
        <v>2995</v>
      </c>
      <c r="B1869" s="68" t="s">
        <v>2375</v>
      </c>
      <c r="C1869" s="68" t="n">
        <v>77522382000</v>
      </c>
    </row>
    <row r="1870" customFormat="false" ht="15" hidden="false" customHeight="false" outlineLevel="0" collapsed="false">
      <c r="A1870" s="68" t="s">
        <v>2995</v>
      </c>
      <c r="B1870" s="68" t="s">
        <v>2388</v>
      </c>
      <c r="C1870" s="68" t="n">
        <v>111500</v>
      </c>
    </row>
    <row r="1871" customFormat="false" ht="15" hidden="false" customHeight="false" outlineLevel="0" collapsed="false">
      <c r="A1871" s="68" t="s">
        <v>2995</v>
      </c>
      <c r="B1871" s="68" t="s">
        <v>2393</v>
      </c>
      <c r="C1871" s="68" t="n">
        <v>117719.813585652</v>
      </c>
    </row>
    <row r="1872" customFormat="false" ht="15" hidden="false" customHeight="false" outlineLevel="0" collapsed="false">
      <c r="A1872" s="68" t="s">
        <v>2995</v>
      </c>
      <c r="B1872" s="68" t="s">
        <v>2398</v>
      </c>
      <c r="C1872" s="68" t="n">
        <v>77522382000</v>
      </c>
    </row>
    <row r="1873" customFormat="false" ht="15" hidden="false" customHeight="false" outlineLevel="0" collapsed="false">
      <c r="A1873" s="68" t="s">
        <v>2995</v>
      </c>
      <c r="B1873" s="68" t="s">
        <v>2432</v>
      </c>
      <c r="C1873" s="68" t="s">
        <v>3201</v>
      </c>
    </row>
    <row r="1874" customFormat="false" ht="15" hidden="false" customHeight="false" outlineLevel="0" collapsed="false">
      <c r="A1874" s="68" t="s">
        <v>2995</v>
      </c>
      <c r="B1874" s="68" t="s">
        <v>2437</v>
      </c>
      <c r="C1874" s="68" t="n">
        <v>1.7</v>
      </c>
    </row>
    <row r="1875" customFormat="false" ht="15" hidden="false" customHeight="false" outlineLevel="0" collapsed="false">
      <c r="A1875" s="68" t="s">
        <v>2995</v>
      </c>
      <c r="B1875" s="68" t="s">
        <v>2442</v>
      </c>
      <c r="C1875" s="68" t="n">
        <v>1</v>
      </c>
    </row>
    <row r="1876" customFormat="false" ht="15" hidden="false" customHeight="false" outlineLevel="0" collapsed="false">
      <c r="A1876" s="68" t="s">
        <v>2995</v>
      </c>
      <c r="B1876" s="68" t="s">
        <v>2447</v>
      </c>
      <c r="C1876" s="68" t="n">
        <v>1.05</v>
      </c>
    </row>
    <row r="1877" customFormat="false" ht="15" hidden="false" customHeight="false" outlineLevel="0" collapsed="false">
      <c r="A1877" s="68" t="s">
        <v>2995</v>
      </c>
      <c r="B1877" s="68" t="s">
        <v>2452</v>
      </c>
      <c r="C1877" s="68" t="n">
        <v>1</v>
      </c>
    </row>
    <row r="1878" customFormat="false" ht="15" hidden="false" customHeight="false" outlineLevel="0" collapsed="false">
      <c r="A1878" s="68" t="s">
        <v>2995</v>
      </c>
      <c r="B1878" s="68" t="s">
        <v>2457</v>
      </c>
      <c r="C1878" s="68" t="n">
        <v>1.785</v>
      </c>
    </row>
    <row r="1879" customFormat="false" ht="15" hidden="false" customHeight="false" outlineLevel="0" collapsed="false">
      <c r="A1879" s="68" t="s">
        <v>2995</v>
      </c>
      <c r="B1879" s="68" t="s">
        <v>2462</v>
      </c>
      <c r="C1879" s="68" t="n">
        <v>62464.9859943978</v>
      </c>
    </row>
    <row r="1880" customFormat="false" ht="15" hidden="false" customHeight="false" outlineLevel="0" collapsed="false">
      <c r="A1880" s="68" t="s">
        <v>2995</v>
      </c>
      <c r="B1880" s="68" t="s">
        <v>2467</v>
      </c>
      <c r="C1880" s="68" t="n">
        <v>123.416</v>
      </c>
    </row>
    <row r="1881" customFormat="false" ht="15" hidden="false" customHeight="false" outlineLevel="0" collapsed="false">
      <c r="A1881" s="68" t="s">
        <v>2995</v>
      </c>
      <c r="B1881" s="68" t="s">
        <v>2471</v>
      </c>
      <c r="C1881" s="68" t="n">
        <v>123.416</v>
      </c>
    </row>
    <row r="1882" customFormat="false" ht="15" hidden="false" customHeight="false" outlineLevel="0" collapsed="false">
      <c r="A1882" s="68" t="s">
        <v>2995</v>
      </c>
      <c r="B1882" s="68" t="s">
        <v>2475</v>
      </c>
      <c r="C1882" s="68" t="s">
        <v>369</v>
      </c>
    </row>
    <row r="1883" customFormat="false" ht="15" hidden="false" customHeight="false" outlineLevel="0" collapsed="false">
      <c r="A1883" s="68" t="s">
        <v>2995</v>
      </c>
      <c r="B1883" s="68" t="s">
        <v>2480</v>
      </c>
      <c r="C1883" s="68" t="n">
        <v>62464.9859943978</v>
      </c>
    </row>
    <row r="1884" customFormat="false" ht="15" hidden="false" customHeight="false" outlineLevel="0" collapsed="false">
      <c r="A1884" s="68" t="s">
        <v>2995</v>
      </c>
      <c r="B1884" s="68" t="s">
        <v>2484</v>
      </c>
      <c r="C1884" s="68" t="n">
        <v>8383.07302770068</v>
      </c>
    </row>
    <row r="1885" customFormat="false" ht="15" hidden="false" customHeight="false" outlineLevel="0" collapsed="false">
      <c r="A1885" s="68" t="s">
        <v>3000</v>
      </c>
      <c r="B1885" s="68" t="s">
        <v>2284</v>
      </c>
      <c r="C1885" s="68" t="n">
        <v>8.59264305177112</v>
      </c>
    </row>
    <row r="1886" customFormat="false" ht="15" hidden="false" customHeight="false" outlineLevel="0" collapsed="false">
      <c r="A1886" s="68" t="s">
        <v>3000</v>
      </c>
      <c r="B1886" s="68" t="s">
        <v>2290</v>
      </c>
      <c r="C1886" s="68" t="s">
        <v>1881</v>
      </c>
    </row>
    <row r="1887" customFormat="false" ht="15" hidden="false" customHeight="false" outlineLevel="0" collapsed="false">
      <c r="A1887" s="68" t="s">
        <v>3000</v>
      </c>
      <c r="B1887" s="68" t="s">
        <v>2365</v>
      </c>
      <c r="C1887" s="68" t="n">
        <v>15050</v>
      </c>
    </row>
    <row r="1888" customFormat="false" ht="15" hidden="false" customHeight="false" outlineLevel="0" collapsed="false">
      <c r="A1888" s="68" t="s">
        <v>3000</v>
      </c>
      <c r="B1888" s="68" t="s">
        <v>2370</v>
      </c>
      <c r="C1888" s="68" t="n">
        <v>15889.5353763593</v>
      </c>
    </row>
    <row r="1889" customFormat="false" ht="15" hidden="false" customHeight="false" outlineLevel="0" collapsed="false">
      <c r="A1889" s="68" t="s">
        <v>3000</v>
      </c>
      <c r="B1889" s="68" t="s">
        <v>2375</v>
      </c>
      <c r="C1889" s="68" t="n">
        <v>10463783400</v>
      </c>
    </row>
    <row r="1890" customFormat="false" ht="15" hidden="false" customHeight="false" outlineLevel="0" collapsed="false">
      <c r="A1890" s="68" t="s">
        <v>3000</v>
      </c>
      <c r="B1890" s="68" t="s">
        <v>2388</v>
      </c>
      <c r="C1890" s="68" t="n">
        <v>15050</v>
      </c>
    </row>
    <row r="1891" customFormat="false" ht="15" hidden="false" customHeight="false" outlineLevel="0" collapsed="false">
      <c r="A1891" s="68" t="s">
        <v>3000</v>
      </c>
      <c r="B1891" s="68" t="s">
        <v>2393</v>
      </c>
      <c r="C1891" s="68" t="n">
        <v>15889.5353763593</v>
      </c>
    </row>
    <row r="1892" customFormat="false" ht="15" hidden="false" customHeight="false" outlineLevel="0" collapsed="false">
      <c r="A1892" s="68" t="s">
        <v>3000</v>
      </c>
      <c r="B1892" s="68" t="s">
        <v>2398</v>
      </c>
      <c r="C1892" s="68" t="n">
        <v>10463783400</v>
      </c>
    </row>
    <row r="1893" customFormat="false" ht="15" hidden="false" customHeight="false" outlineLevel="0" collapsed="false">
      <c r="A1893" s="68" t="s">
        <v>3000</v>
      </c>
      <c r="B1893" s="68" t="s">
        <v>2432</v>
      </c>
      <c r="C1893" s="68" t="s">
        <v>3201</v>
      </c>
    </row>
    <row r="1894" customFormat="false" ht="15" hidden="false" customHeight="false" outlineLevel="0" collapsed="false">
      <c r="A1894" s="68" t="s">
        <v>3000</v>
      </c>
      <c r="B1894" s="68" t="s">
        <v>2437</v>
      </c>
      <c r="C1894" s="68" t="n">
        <v>0.8</v>
      </c>
    </row>
    <row r="1895" customFormat="false" ht="15" hidden="false" customHeight="false" outlineLevel="0" collapsed="false">
      <c r="A1895" s="68" t="s">
        <v>3000</v>
      </c>
      <c r="B1895" s="68" t="s">
        <v>2442</v>
      </c>
      <c r="C1895" s="68" t="n">
        <v>1</v>
      </c>
    </row>
    <row r="1896" customFormat="false" ht="15" hidden="false" customHeight="false" outlineLevel="0" collapsed="false">
      <c r="A1896" s="68" t="s">
        <v>3000</v>
      </c>
      <c r="B1896" s="68" t="s">
        <v>2447</v>
      </c>
      <c r="C1896" s="68" t="n">
        <v>1</v>
      </c>
    </row>
    <row r="1897" customFormat="false" ht="15" hidden="false" customHeight="false" outlineLevel="0" collapsed="false">
      <c r="A1897" s="68" t="s">
        <v>3000</v>
      </c>
      <c r="B1897" s="68" t="s">
        <v>2452</v>
      </c>
      <c r="C1897" s="68" t="n">
        <v>1</v>
      </c>
    </row>
    <row r="1898" customFormat="false" ht="15" hidden="false" customHeight="false" outlineLevel="0" collapsed="false">
      <c r="A1898" s="68" t="s">
        <v>3000</v>
      </c>
      <c r="B1898" s="68" t="s">
        <v>2457</v>
      </c>
      <c r="C1898" s="68" t="n">
        <v>0.8</v>
      </c>
    </row>
    <row r="1899" customFormat="false" ht="15" hidden="false" customHeight="false" outlineLevel="0" collapsed="false">
      <c r="A1899" s="68" t="s">
        <v>3000</v>
      </c>
      <c r="B1899" s="68" t="s">
        <v>2462</v>
      </c>
      <c r="C1899" s="68" t="n">
        <v>18812.5</v>
      </c>
    </row>
    <row r="1900" customFormat="false" ht="15" hidden="false" customHeight="false" outlineLevel="0" collapsed="false">
      <c r="A1900" s="68" t="s">
        <v>3000</v>
      </c>
      <c r="B1900" s="68" t="s">
        <v>2467</v>
      </c>
      <c r="C1900" s="68" t="n">
        <v>123.416</v>
      </c>
    </row>
    <row r="1901" customFormat="false" ht="15" hidden="false" customHeight="false" outlineLevel="0" collapsed="false">
      <c r="A1901" s="68" t="s">
        <v>3000</v>
      </c>
      <c r="B1901" s="68" t="s">
        <v>2471</v>
      </c>
      <c r="C1901" s="68" t="n">
        <v>123.416</v>
      </c>
    </row>
    <row r="1902" customFormat="false" ht="15" hidden="false" customHeight="false" outlineLevel="0" collapsed="false">
      <c r="A1902" s="68" t="s">
        <v>3000</v>
      </c>
      <c r="B1902" s="68" t="s">
        <v>2475</v>
      </c>
      <c r="C1902" s="68" t="s">
        <v>312</v>
      </c>
    </row>
    <row r="1903" customFormat="false" ht="15" hidden="false" customHeight="false" outlineLevel="0" collapsed="false">
      <c r="A1903" s="68" t="s">
        <v>3000</v>
      </c>
      <c r="B1903" s="68" t="s">
        <v>2480</v>
      </c>
      <c r="C1903" s="68" t="n">
        <v>18812.5</v>
      </c>
    </row>
    <row r="1904" customFormat="false" ht="15" hidden="false" customHeight="false" outlineLevel="0" collapsed="false">
      <c r="A1904" s="68" t="s">
        <v>3000</v>
      </c>
      <c r="B1904" s="68" t="s">
        <v>2484</v>
      </c>
      <c r="C1904" s="68" t="n">
        <v>5175.71614808123</v>
      </c>
    </row>
    <row r="1905" customFormat="false" ht="15" hidden="false" customHeight="false" outlineLevel="0" collapsed="false">
      <c r="A1905" s="68" t="s">
        <v>3002</v>
      </c>
      <c r="B1905" s="68" t="s">
        <v>2284</v>
      </c>
      <c r="C1905" s="68" t="n">
        <v>29.436421435059</v>
      </c>
    </row>
    <row r="1906" customFormat="false" ht="15" hidden="false" customHeight="false" outlineLevel="0" collapsed="false">
      <c r="A1906" s="68" t="s">
        <v>3002</v>
      </c>
      <c r="B1906" s="68" t="s">
        <v>2290</v>
      </c>
      <c r="C1906" s="68" t="s">
        <v>1585</v>
      </c>
    </row>
    <row r="1907" customFormat="false" ht="15" hidden="false" customHeight="false" outlineLevel="0" collapsed="false">
      <c r="A1907" s="68" t="s">
        <v>3002</v>
      </c>
      <c r="B1907" s="68" t="s">
        <v>2365</v>
      </c>
      <c r="C1907" s="68" t="n">
        <v>22250</v>
      </c>
    </row>
    <row r="1908" customFormat="false" ht="15" hidden="false" customHeight="false" outlineLevel="0" collapsed="false">
      <c r="A1908" s="68" t="s">
        <v>3002</v>
      </c>
      <c r="B1908" s="68" t="s">
        <v>2370</v>
      </c>
      <c r="C1908" s="68" t="n">
        <v>23491.1735630561</v>
      </c>
    </row>
    <row r="1909" customFormat="false" ht="15" hidden="false" customHeight="false" outlineLevel="0" collapsed="false">
      <c r="A1909" s="68" t="s">
        <v>3002</v>
      </c>
      <c r="B1909" s="68" t="s">
        <v>2375</v>
      </c>
      <c r="C1909" s="68" t="n">
        <v>15469713000</v>
      </c>
    </row>
    <row r="1910" customFormat="false" ht="15" hidden="false" customHeight="false" outlineLevel="0" collapsed="false">
      <c r="A1910" s="68" t="s">
        <v>3002</v>
      </c>
      <c r="B1910" s="68" t="s">
        <v>2388</v>
      </c>
      <c r="C1910" s="68" t="n">
        <v>22250</v>
      </c>
    </row>
    <row r="1911" customFormat="false" ht="15" hidden="false" customHeight="false" outlineLevel="0" collapsed="false">
      <c r="A1911" s="68" t="s">
        <v>3002</v>
      </c>
      <c r="B1911" s="68" t="s">
        <v>2393</v>
      </c>
      <c r="C1911" s="68" t="n">
        <v>23491.1735630561</v>
      </c>
    </row>
    <row r="1912" customFormat="false" ht="15" hidden="false" customHeight="false" outlineLevel="0" collapsed="false">
      <c r="A1912" s="68" t="s">
        <v>3002</v>
      </c>
      <c r="B1912" s="68" t="s">
        <v>2398</v>
      </c>
      <c r="C1912" s="68" t="n">
        <v>15469713000</v>
      </c>
    </row>
    <row r="1913" customFormat="false" ht="15" hidden="false" customHeight="false" outlineLevel="0" collapsed="false">
      <c r="A1913" s="68" t="s">
        <v>3002</v>
      </c>
      <c r="B1913" s="68" t="s">
        <v>2432</v>
      </c>
      <c r="C1913" s="68" t="s">
        <v>3201</v>
      </c>
    </row>
    <row r="1914" customFormat="false" ht="15" hidden="false" customHeight="false" outlineLevel="0" collapsed="false">
      <c r="A1914" s="68" t="s">
        <v>3002</v>
      </c>
      <c r="B1914" s="68" t="s">
        <v>2437</v>
      </c>
      <c r="C1914" s="68" t="n">
        <v>0.8</v>
      </c>
    </row>
    <row r="1915" customFormat="false" ht="15" hidden="false" customHeight="false" outlineLevel="0" collapsed="false">
      <c r="A1915" s="68" t="s">
        <v>3002</v>
      </c>
      <c r="B1915" s="68" t="s">
        <v>2442</v>
      </c>
      <c r="C1915" s="68" t="n">
        <v>1</v>
      </c>
    </row>
    <row r="1916" customFormat="false" ht="15" hidden="false" customHeight="false" outlineLevel="0" collapsed="false">
      <c r="A1916" s="68" t="s">
        <v>3002</v>
      </c>
      <c r="B1916" s="68" t="s">
        <v>2447</v>
      </c>
      <c r="C1916" s="68" t="n">
        <v>1</v>
      </c>
    </row>
    <row r="1917" customFormat="false" ht="15" hidden="false" customHeight="false" outlineLevel="0" collapsed="false">
      <c r="A1917" s="68" t="s">
        <v>3002</v>
      </c>
      <c r="B1917" s="68" t="s">
        <v>2452</v>
      </c>
      <c r="C1917" s="68" t="n">
        <v>1</v>
      </c>
    </row>
    <row r="1918" customFormat="false" ht="15" hidden="false" customHeight="false" outlineLevel="0" collapsed="false">
      <c r="A1918" s="68" t="s">
        <v>3002</v>
      </c>
      <c r="B1918" s="68" t="s">
        <v>2457</v>
      </c>
      <c r="C1918" s="68" t="n">
        <v>0.8</v>
      </c>
    </row>
    <row r="1919" customFormat="false" ht="15" hidden="false" customHeight="false" outlineLevel="0" collapsed="false">
      <c r="A1919" s="68" t="s">
        <v>3002</v>
      </c>
      <c r="B1919" s="68" t="s">
        <v>2462</v>
      </c>
      <c r="C1919" s="68" t="n">
        <v>27812.5</v>
      </c>
    </row>
    <row r="1920" customFormat="false" ht="15" hidden="false" customHeight="false" outlineLevel="0" collapsed="false">
      <c r="A1920" s="68" t="s">
        <v>3002</v>
      </c>
      <c r="B1920" s="68" t="s">
        <v>2467</v>
      </c>
      <c r="C1920" s="68" t="n">
        <v>123.416</v>
      </c>
    </row>
    <row r="1921" customFormat="false" ht="15" hidden="false" customHeight="false" outlineLevel="0" collapsed="false">
      <c r="A1921" s="68" t="s">
        <v>3002</v>
      </c>
      <c r="B1921" s="68" t="s">
        <v>2471</v>
      </c>
      <c r="C1921" s="68" t="n">
        <v>123.416</v>
      </c>
    </row>
    <row r="1922" customFormat="false" ht="15" hidden="false" customHeight="false" outlineLevel="0" collapsed="false">
      <c r="A1922" s="68" t="s">
        <v>3002</v>
      </c>
      <c r="B1922" s="68" t="s">
        <v>2475</v>
      </c>
      <c r="C1922" s="68" t="s">
        <v>312</v>
      </c>
    </row>
    <row r="1923" customFormat="false" ht="15" hidden="false" customHeight="false" outlineLevel="0" collapsed="false">
      <c r="A1923" s="68" t="s">
        <v>3002</v>
      </c>
      <c r="B1923" s="68" t="s">
        <v>2480</v>
      </c>
      <c r="C1923" s="68" t="n">
        <v>27812.5</v>
      </c>
    </row>
    <row r="1924" customFormat="false" ht="15" hidden="false" customHeight="false" outlineLevel="0" collapsed="false">
      <c r="A1924" s="68" t="s">
        <v>3002</v>
      </c>
      <c r="B1924" s="68" t="s">
        <v>2484</v>
      </c>
      <c r="C1924" s="68" t="n">
        <v>3655.18212423523</v>
      </c>
    </row>
    <row r="1925" customFormat="false" ht="15" hidden="false" customHeight="false" outlineLevel="0" collapsed="false">
      <c r="A1925" s="68" t="s">
        <v>3004</v>
      </c>
      <c r="B1925" s="68" t="s">
        <v>2284</v>
      </c>
      <c r="C1925" s="68" t="n">
        <v>17.1752951861944</v>
      </c>
    </row>
    <row r="1926" customFormat="false" ht="15" hidden="false" customHeight="false" outlineLevel="0" collapsed="false">
      <c r="A1926" s="68" t="s">
        <v>3004</v>
      </c>
      <c r="B1926" s="68" t="s">
        <v>2290</v>
      </c>
      <c r="C1926" s="68" t="s">
        <v>1585</v>
      </c>
    </row>
    <row r="1927" customFormat="false" ht="15" hidden="false" customHeight="false" outlineLevel="0" collapsed="false">
      <c r="A1927" s="68" t="s">
        <v>3004</v>
      </c>
      <c r="B1927" s="68" t="s">
        <v>2365</v>
      </c>
      <c r="C1927" s="68" t="n">
        <v>21500</v>
      </c>
    </row>
    <row r="1928" customFormat="false" ht="15" hidden="false" customHeight="false" outlineLevel="0" collapsed="false">
      <c r="A1928" s="68" t="s">
        <v>3004</v>
      </c>
      <c r="B1928" s="68" t="s">
        <v>2370</v>
      </c>
      <c r="C1928" s="68" t="n">
        <v>22699.3362519418</v>
      </c>
    </row>
    <row r="1929" customFormat="false" ht="15" hidden="false" customHeight="false" outlineLevel="0" collapsed="false">
      <c r="A1929" s="68" t="s">
        <v>3004</v>
      </c>
      <c r="B1929" s="68" t="s">
        <v>2375</v>
      </c>
      <c r="C1929" s="68" t="n">
        <v>14948262000</v>
      </c>
    </row>
    <row r="1930" customFormat="false" ht="15" hidden="false" customHeight="false" outlineLevel="0" collapsed="false">
      <c r="A1930" s="68" t="s">
        <v>3004</v>
      </c>
      <c r="B1930" s="68" t="s">
        <v>2388</v>
      </c>
      <c r="C1930" s="68" t="n">
        <v>21500</v>
      </c>
    </row>
    <row r="1931" customFormat="false" ht="15" hidden="false" customHeight="false" outlineLevel="0" collapsed="false">
      <c r="A1931" s="68" t="s">
        <v>3004</v>
      </c>
      <c r="B1931" s="68" t="s">
        <v>2393</v>
      </c>
      <c r="C1931" s="68" t="n">
        <v>22699.3362519418</v>
      </c>
    </row>
    <row r="1932" customFormat="false" ht="15" hidden="false" customHeight="false" outlineLevel="0" collapsed="false">
      <c r="A1932" s="68" t="s">
        <v>3004</v>
      </c>
      <c r="B1932" s="68" t="s">
        <v>2398</v>
      </c>
      <c r="C1932" s="68" t="n">
        <v>14948262000</v>
      </c>
    </row>
    <row r="1933" customFormat="false" ht="15" hidden="false" customHeight="false" outlineLevel="0" collapsed="false">
      <c r="A1933" s="68" t="s">
        <v>3004</v>
      </c>
      <c r="B1933" s="68" t="s">
        <v>2432</v>
      </c>
      <c r="C1933" s="68" t="s">
        <v>3201</v>
      </c>
    </row>
    <row r="1934" customFormat="false" ht="15" hidden="false" customHeight="false" outlineLevel="0" collapsed="false">
      <c r="A1934" s="68" t="s">
        <v>3004</v>
      </c>
      <c r="B1934" s="68" t="s">
        <v>2437</v>
      </c>
      <c r="C1934" s="68" t="n">
        <v>0.8</v>
      </c>
    </row>
    <row r="1935" customFormat="false" ht="15" hidden="false" customHeight="false" outlineLevel="0" collapsed="false">
      <c r="A1935" s="68" t="s">
        <v>3004</v>
      </c>
      <c r="B1935" s="68" t="s">
        <v>2442</v>
      </c>
      <c r="C1935" s="68" t="n">
        <v>1</v>
      </c>
    </row>
    <row r="1936" customFormat="false" ht="15" hidden="false" customHeight="false" outlineLevel="0" collapsed="false">
      <c r="A1936" s="68" t="s">
        <v>3004</v>
      </c>
      <c r="B1936" s="68" t="s">
        <v>2447</v>
      </c>
      <c r="C1936" s="68" t="n">
        <v>1</v>
      </c>
    </row>
    <row r="1937" customFormat="false" ht="15" hidden="false" customHeight="false" outlineLevel="0" collapsed="false">
      <c r="A1937" s="68" t="s">
        <v>3004</v>
      </c>
      <c r="B1937" s="68" t="s">
        <v>2452</v>
      </c>
      <c r="C1937" s="68" t="n">
        <v>1</v>
      </c>
    </row>
    <row r="1938" customFormat="false" ht="15" hidden="false" customHeight="false" outlineLevel="0" collapsed="false">
      <c r="A1938" s="68" t="s">
        <v>3004</v>
      </c>
      <c r="B1938" s="68" t="s">
        <v>2457</v>
      </c>
      <c r="C1938" s="68" t="n">
        <v>0.8</v>
      </c>
    </row>
    <row r="1939" customFormat="false" ht="15" hidden="false" customHeight="false" outlineLevel="0" collapsed="false">
      <c r="A1939" s="68" t="s">
        <v>3004</v>
      </c>
      <c r="B1939" s="68" t="s">
        <v>2462</v>
      </c>
      <c r="C1939" s="68" t="n">
        <v>26875</v>
      </c>
    </row>
    <row r="1940" customFormat="false" ht="15" hidden="false" customHeight="false" outlineLevel="0" collapsed="false">
      <c r="A1940" s="68" t="s">
        <v>3004</v>
      </c>
      <c r="B1940" s="68" t="s">
        <v>2467</v>
      </c>
      <c r="C1940" s="68" t="n">
        <v>123.416</v>
      </c>
    </row>
    <row r="1941" customFormat="false" ht="15" hidden="false" customHeight="false" outlineLevel="0" collapsed="false">
      <c r="A1941" s="68" t="s">
        <v>3004</v>
      </c>
      <c r="B1941" s="68" t="s">
        <v>2471</v>
      </c>
      <c r="C1941" s="68" t="n">
        <v>123.416</v>
      </c>
    </row>
    <row r="1942" customFormat="false" ht="15" hidden="false" customHeight="false" outlineLevel="0" collapsed="false">
      <c r="A1942" s="68" t="s">
        <v>3004</v>
      </c>
      <c r="B1942" s="68" t="s">
        <v>2475</v>
      </c>
      <c r="C1942" s="68" t="s">
        <v>312</v>
      </c>
    </row>
    <row r="1943" customFormat="false" ht="15" hidden="false" customHeight="false" outlineLevel="0" collapsed="false">
      <c r="A1943" s="68" t="s">
        <v>3004</v>
      </c>
      <c r="B1943" s="68" t="s">
        <v>2480</v>
      </c>
      <c r="C1943" s="68" t="n">
        <v>26875</v>
      </c>
    </row>
    <row r="1944" customFormat="false" ht="15" hidden="false" customHeight="false" outlineLevel="0" collapsed="false">
      <c r="A1944" s="68" t="s">
        <v>3004</v>
      </c>
      <c r="B1944" s="68" t="s">
        <v>2484</v>
      </c>
      <c r="C1944" s="68" t="n">
        <v>4879.84409441988</v>
      </c>
    </row>
    <row r="1945" customFormat="false" ht="15" hidden="false" customHeight="false" outlineLevel="0" collapsed="false">
      <c r="A1945" s="68" t="s">
        <v>3006</v>
      </c>
      <c r="B1945" s="68" t="s">
        <v>2284</v>
      </c>
      <c r="C1945" s="68" t="n">
        <v>268.619436875568</v>
      </c>
    </row>
    <row r="1946" customFormat="false" ht="15" hidden="false" customHeight="false" outlineLevel="0" collapsed="false">
      <c r="A1946" s="68" t="s">
        <v>3006</v>
      </c>
      <c r="B1946" s="68" t="s">
        <v>2290</v>
      </c>
      <c r="C1946" s="68" t="s">
        <v>3205</v>
      </c>
    </row>
    <row r="1947" customFormat="false" ht="15" hidden="false" customHeight="false" outlineLevel="0" collapsed="false">
      <c r="A1947" s="68" t="s">
        <v>3006</v>
      </c>
      <c r="B1947" s="68" t="s">
        <v>2365</v>
      </c>
      <c r="C1947" s="68" t="n">
        <v>317500</v>
      </c>
    </row>
    <row r="1948" customFormat="false" ht="15" hidden="false" customHeight="false" outlineLevel="0" collapsed="false">
      <c r="A1948" s="68" t="s">
        <v>3006</v>
      </c>
      <c r="B1948" s="68" t="s">
        <v>2370</v>
      </c>
      <c r="C1948" s="68" t="n">
        <v>335211.128371699</v>
      </c>
    </row>
    <row r="1949" customFormat="false" ht="15" hidden="false" customHeight="false" outlineLevel="0" collapsed="false">
      <c r="A1949" s="68" t="s">
        <v>3006</v>
      </c>
      <c r="B1949" s="68" t="s">
        <v>2375</v>
      </c>
      <c r="C1949" s="68" t="n">
        <v>220747590000</v>
      </c>
    </row>
    <row r="1950" customFormat="false" ht="15" hidden="false" customHeight="false" outlineLevel="0" collapsed="false">
      <c r="A1950" s="68" t="s">
        <v>3006</v>
      </c>
      <c r="B1950" s="68" t="s">
        <v>2388</v>
      </c>
      <c r="C1950" s="68" t="n">
        <v>317500</v>
      </c>
    </row>
    <row r="1951" customFormat="false" ht="15" hidden="false" customHeight="false" outlineLevel="0" collapsed="false">
      <c r="A1951" s="68" t="s">
        <v>3006</v>
      </c>
      <c r="B1951" s="68" t="s">
        <v>2393</v>
      </c>
      <c r="C1951" s="68" t="n">
        <v>335211.128371699</v>
      </c>
    </row>
    <row r="1952" customFormat="false" ht="15" hidden="false" customHeight="false" outlineLevel="0" collapsed="false">
      <c r="A1952" s="68" t="s">
        <v>3006</v>
      </c>
      <c r="B1952" s="68" t="s">
        <v>2398</v>
      </c>
      <c r="C1952" s="68" t="n">
        <v>220747590000</v>
      </c>
    </row>
    <row r="1953" customFormat="false" ht="15" hidden="false" customHeight="false" outlineLevel="0" collapsed="false">
      <c r="A1953" s="68" t="s">
        <v>3006</v>
      </c>
      <c r="B1953" s="68" t="s">
        <v>2432</v>
      </c>
      <c r="C1953" s="68" t="s">
        <v>3201</v>
      </c>
    </row>
    <row r="1954" customFormat="false" ht="15" hidden="false" customHeight="false" outlineLevel="0" collapsed="false">
      <c r="A1954" s="68" t="s">
        <v>3006</v>
      </c>
      <c r="B1954" s="68" t="s">
        <v>2437</v>
      </c>
      <c r="C1954" s="68" t="n">
        <v>1.9</v>
      </c>
    </row>
    <row r="1955" customFormat="false" ht="15" hidden="false" customHeight="false" outlineLevel="0" collapsed="false">
      <c r="A1955" s="68" t="s">
        <v>3006</v>
      </c>
      <c r="B1955" s="68" t="s">
        <v>2442</v>
      </c>
      <c r="C1955" s="68" t="n">
        <v>1</v>
      </c>
    </row>
    <row r="1956" customFormat="false" ht="15" hidden="false" customHeight="false" outlineLevel="0" collapsed="false">
      <c r="A1956" s="68" t="s">
        <v>3006</v>
      </c>
      <c r="B1956" s="68" t="s">
        <v>2447</v>
      </c>
      <c r="C1956" s="68" t="n">
        <v>1.05</v>
      </c>
    </row>
    <row r="1957" customFormat="false" ht="15" hidden="false" customHeight="false" outlineLevel="0" collapsed="false">
      <c r="A1957" s="68" t="s">
        <v>3006</v>
      </c>
      <c r="B1957" s="68" t="s">
        <v>2452</v>
      </c>
      <c r="C1957" s="68" t="n">
        <v>1</v>
      </c>
    </row>
    <row r="1958" customFormat="false" ht="15" hidden="false" customHeight="false" outlineLevel="0" collapsed="false">
      <c r="A1958" s="68" t="s">
        <v>3006</v>
      </c>
      <c r="B1958" s="68" t="s">
        <v>2457</v>
      </c>
      <c r="C1958" s="68" t="n">
        <v>1.995</v>
      </c>
    </row>
    <row r="1959" customFormat="false" ht="15" hidden="false" customHeight="false" outlineLevel="0" collapsed="false">
      <c r="A1959" s="68" t="s">
        <v>3006</v>
      </c>
      <c r="B1959" s="68" t="s">
        <v>2462</v>
      </c>
      <c r="C1959" s="68" t="n">
        <v>159147.869674186</v>
      </c>
    </row>
    <row r="1960" customFormat="false" ht="15" hidden="false" customHeight="false" outlineLevel="0" collapsed="false">
      <c r="A1960" s="68" t="s">
        <v>3006</v>
      </c>
      <c r="B1960" s="68" t="s">
        <v>2467</v>
      </c>
      <c r="C1960" s="68" t="n">
        <v>123.416</v>
      </c>
    </row>
    <row r="1961" customFormat="false" ht="15" hidden="false" customHeight="false" outlineLevel="0" collapsed="false">
      <c r="A1961" s="68" t="s">
        <v>3006</v>
      </c>
      <c r="B1961" s="68" t="s">
        <v>2471</v>
      </c>
      <c r="C1961" s="68" t="n">
        <v>123.416</v>
      </c>
    </row>
    <row r="1962" customFormat="false" ht="15" hidden="false" customHeight="false" outlineLevel="0" collapsed="false">
      <c r="A1962" s="68" t="s">
        <v>3006</v>
      </c>
      <c r="B1962" s="68" t="s">
        <v>2475</v>
      </c>
      <c r="C1962" s="68" t="s">
        <v>369</v>
      </c>
    </row>
    <row r="1963" customFormat="false" ht="15" hidden="false" customHeight="false" outlineLevel="0" collapsed="false">
      <c r="A1963" s="68" t="s">
        <v>3006</v>
      </c>
      <c r="B1963" s="68" t="s">
        <v>2480</v>
      </c>
      <c r="C1963" s="68" t="n">
        <v>159147.869674186</v>
      </c>
    </row>
    <row r="1964" customFormat="false" ht="15" hidden="false" customHeight="false" outlineLevel="0" collapsed="false">
      <c r="A1964" s="68" t="s">
        <v>3006</v>
      </c>
      <c r="B1964" s="68" t="s">
        <v>2484</v>
      </c>
      <c r="C1964" s="68" t="n">
        <v>5550.32442452974</v>
      </c>
    </row>
    <row r="1965" customFormat="false" ht="15" hidden="false" customHeight="false" outlineLevel="0" collapsed="false">
      <c r="A1965" s="68" t="s">
        <v>3008</v>
      </c>
      <c r="B1965" s="68" t="s">
        <v>2284</v>
      </c>
      <c r="C1965" s="68"/>
    </row>
    <row r="1966" customFormat="false" ht="15" hidden="false" customHeight="false" outlineLevel="0" collapsed="false">
      <c r="A1966" s="68" t="s">
        <v>3008</v>
      </c>
      <c r="B1966" s="68" t="s">
        <v>2290</v>
      </c>
      <c r="C1966" s="68" t="s">
        <v>3206</v>
      </c>
    </row>
    <row r="1967" customFormat="false" ht="15" hidden="false" customHeight="false" outlineLevel="0" collapsed="false">
      <c r="A1967" s="68" t="s">
        <v>3008</v>
      </c>
      <c r="B1967" s="68" t="s">
        <v>2365</v>
      </c>
      <c r="C1967" s="68" t="n">
        <v>30000</v>
      </c>
    </row>
    <row r="1968" customFormat="false" ht="15" hidden="false" customHeight="false" outlineLevel="0" collapsed="false">
      <c r="A1968" s="68" t="s">
        <v>3008</v>
      </c>
      <c r="B1968" s="68" t="s">
        <v>2370</v>
      </c>
      <c r="C1968" s="68" t="n">
        <v>31673.49244457</v>
      </c>
    </row>
    <row r="1969" customFormat="false" ht="15" hidden="false" customHeight="false" outlineLevel="0" collapsed="false">
      <c r="A1969" s="68" t="s">
        <v>3008</v>
      </c>
      <c r="B1969" s="68" t="s">
        <v>2375</v>
      </c>
      <c r="C1969" s="68" t="n">
        <v>20858040000</v>
      </c>
    </row>
    <row r="1970" customFormat="false" ht="15" hidden="false" customHeight="false" outlineLevel="0" collapsed="false">
      <c r="A1970" s="68" t="s">
        <v>3008</v>
      </c>
      <c r="B1970" s="68" t="s">
        <v>2388</v>
      </c>
      <c r="C1970" s="68" t="n">
        <v>30000</v>
      </c>
    </row>
    <row r="1971" customFormat="false" ht="15" hidden="false" customHeight="false" outlineLevel="0" collapsed="false">
      <c r="A1971" s="68" t="s">
        <v>3008</v>
      </c>
      <c r="B1971" s="68" t="s">
        <v>2393</v>
      </c>
      <c r="C1971" s="68" t="n">
        <v>31673.49244457</v>
      </c>
    </row>
    <row r="1972" customFormat="false" ht="15" hidden="false" customHeight="false" outlineLevel="0" collapsed="false">
      <c r="A1972" s="68" t="s">
        <v>3008</v>
      </c>
      <c r="B1972" s="68" t="s">
        <v>2398</v>
      </c>
      <c r="C1972" s="68" t="n">
        <v>20858040000</v>
      </c>
    </row>
    <row r="1973" customFormat="false" ht="15" hidden="false" customHeight="false" outlineLevel="0" collapsed="false">
      <c r="A1973" s="68" t="s">
        <v>3008</v>
      </c>
      <c r="B1973" s="68" t="s">
        <v>2432</v>
      </c>
      <c r="C1973" s="68" t="s">
        <v>3202</v>
      </c>
    </row>
    <row r="1974" customFormat="false" ht="15" hidden="false" customHeight="false" outlineLevel="0" collapsed="false">
      <c r="A1974" s="68" t="s">
        <v>3008</v>
      </c>
      <c r="B1974" s="68" t="s">
        <v>2437</v>
      </c>
      <c r="C1974" s="68" t="n">
        <v>1.7</v>
      </c>
    </row>
    <row r="1975" customFormat="false" ht="15" hidden="false" customHeight="false" outlineLevel="0" collapsed="false">
      <c r="A1975" s="68" t="s">
        <v>3008</v>
      </c>
      <c r="B1975" s="68" t="s">
        <v>2442</v>
      </c>
      <c r="C1975" s="68" t="n">
        <v>1</v>
      </c>
    </row>
    <row r="1976" customFormat="false" ht="15" hidden="false" customHeight="false" outlineLevel="0" collapsed="false">
      <c r="A1976" s="68" t="s">
        <v>3008</v>
      </c>
      <c r="B1976" s="68" t="s">
        <v>2447</v>
      </c>
      <c r="C1976" s="68" t="n">
        <v>1.05</v>
      </c>
    </row>
    <row r="1977" customFormat="false" ht="15" hidden="false" customHeight="false" outlineLevel="0" collapsed="false">
      <c r="A1977" s="68" t="s">
        <v>3008</v>
      </c>
      <c r="B1977" s="68" t="s">
        <v>2452</v>
      </c>
      <c r="C1977" s="68" t="n">
        <v>1</v>
      </c>
    </row>
    <row r="1978" customFormat="false" ht="15" hidden="false" customHeight="false" outlineLevel="0" collapsed="false">
      <c r="A1978" s="68" t="s">
        <v>3008</v>
      </c>
      <c r="B1978" s="68" t="s">
        <v>2457</v>
      </c>
      <c r="C1978" s="68" t="n">
        <v>1.785</v>
      </c>
    </row>
    <row r="1979" customFormat="false" ht="15" hidden="false" customHeight="false" outlineLevel="0" collapsed="false">
      <c r="A1979" s="68" t="s">
        <v>3008</v>
      </c>
      <c r="B1979" s="68" t="s">
        <v>2462</v>
      </c>
      <c r="C1979" s="68" t="n">
        <v>16806.7226890756</v>
      </c>
    </row>
    <row r="1980" customFormat="false" ht="15" hidden="false" customHeight="false" outlineLevel="0" collapsed="false">
      <c r="A1980" s="68" t="s">
        <v>3008</v>
      </c>
      <c r="B1980" s="68" t="s">
        <v>2467</v>
      </c>
      <c r="C1980" s="68" t="n">
        <v>123.416</v>
      </c>
    </row>
    <row r="1981" customFormat="false" ht="15" hidden="false" customHeight="false" outlineLevel="0" collapsed="false">
      <c r="A1981" s="68" t="s">
        <v>3008</v>
      </c>
      <c r="B1981" s="68" t="s">
        <v>2471</v>
      </c>
      <c r="C1981" s="68" t="n">
        <v>123.416</v>
      </c>
    </row>
    <row r="1982" customFormat="false" ht="15" hidden="false" customHeight="false" outlineLevel="0" collapsed="false">
      <c r="A1982" s="68" t="s">
        <v>3008</v>
      </c>
      <c r="B1982" s="68" t="s">
        <v>2475</v>
      </c>
      <c r="C1982" s="68" t="s">
        <v>312</v>
      </c>
    </row>
    <row r="1983" customFormat="false" ht="15" hidden="false" customHeight="false" outlineLevel="0" collapsed="false">
      <c r="A1983" s="68" t="s">
        <v>3008</v>
      </c>
      <c r="B1983" s="68" t="s">
        <v>2480</v>
      </c>
      <c r="C1983" s="68" t="n">
        <v>16806.7226890756</v>
      </c>
    </row>
    <row r="1984" customFormat="false" ht="15" hidden="false" customHeight="false" outlineLevel="0" collapsed="false">
      <c r="A1984" s="68" t="s">
        <v>3008</v>
      </c>
      <c r="B1984" s="68" t="s">
        <v>2484</v>
      </c>
      <c r="C1984" s="68"/>
    </row>
    <row r="1985" customFormat="false" ht="15" hidden="false" customHeight="false" outlineLevel="0" collapsed="false">
      <c r="A1985" s="68" t="s">
        <v>3010</v>
      </c>
      <c r="B1985" s="68" t="s">
        <v>2284</v>
      </c>
      <c r="C1985" s="68" t="n">
        <v>1.83923705722071</v>
      </c>
    </row>
    <row r="1986" customFormat="false" ht="15" hidden="false" customHeight="false" outlineLevel="0" collapsed="false">
      <c r="A1986" s="68" t="s">
        <v>3010</v>
      </c>
      <c r="B1986" s="68" t="s">
        <v>2290</v>
      </c>
      <c r="C1986" s="68" t="s">
        <v>1585</v>
      </c>
    </row>
    <row r="1987" customFormat="false" ht="15" hidden="false" customHeight="false" outlineLevel="0" collapsed="false">
      <c r="A1987" s="68" t="s">
        <v>3010</v>
      </c>
      <c r="B1987" s="68" t="s">
        <v>2365</v>
      </c>
      <c r="C1987" s="68" t="n">
        <v>29000</v>
      </c>
    </row>
    <row r="1988" customFormat="false" ht="15" hidden="false" customHeight="false" outlineLevel="0" collapsed="false">
      <c r="A1988" s="68" t="s">
        <v>3010</v>
      </c>
      <c r="B1988" s="68" t="s">
        <v>2370</v>
      </c>
      <c r="C1988" s="68" t="n">
        <v>30617.7093630843</v>
      </c>
    </row>
    <row r="1989" customFormat="false" ht="15" hidden="false" customHeight="false" outlineLevel="0" collapsed="false">
      <c r="A1989" s="68" t="s">
        <v>3010</v>
      </c>
      <c r="B1989" s="68" t="s">
        <v>2375</v>
      </c>
      <c r="C1989" s="68" t="n">
        <v>20162772000</v>
      </c>
    </row>
    <row r="1990" customFormat="false" ht="15" hidden="false" customHeight="false" outlineLevel="0" collapsed="false">
      <c r="A1990" s="68" t="s">
        <v>3010</v>
      </c>
      <c r="B1990" s="68" t="s">
        <v>2388</v>
      </c>
      <c r="C1990" s="68" t="n">
        <v>29000</v>
      </c>
    </row>
    <row r="1991" customFormat="false" ht="15" hidden="false" customHeight="false" outlineLevel="0" collapsed="false">
      <c r="A1991" s="68" t="s">
        <v>3010</v>
      </c>
      <c r="B1991" s="68" t="s">
        <v>2393</v>
      </c>
      <c r="C1991" s="68" t="n">
        <v>30617.7093630843</v>
      </c>
    </row>
    <row r="1992" customFormat="false" ht="15" hidden="false" customHeight="false" outlineLevel="0" collapsed="false">
      <c r="A1992" s="68" t="s">
        <v>3010</v>
      </c>
      <c r="B1992" s="68" t="s">
        <v>2398</v>
      </c>
      <c r="C1992" s="68" t="n">
        <v>20162772000</v>
      </c>
    </row>
    <row r="1993" customFormat="false" ht="15" hidden="false" customHeight="false" outlineLevel="0" collapsed="false">
      <c r="A1993" s="68" t="s">
        <v>3010</v>
      </c>
      <c r="B1993" s="68" t="s">
        <v>2432</v>
      </c>
      <c r="C1993" s="68" t="s">
        <v>3201</v>
      </c>
    </row>
    <row r="1994" customFormat="false" ht="15" hidden="false" customHeight="false" outlineLevel="0" collapsed="false">
      <c r="A1994" s="68" t="s">
        <v>3010</v>
      </c>
      <c r="B1994" s="68" t="s">
        <v>2437</v>
      </c>
      <c r="C1994" s="68" t="n">
        <v>1.9</v>
      </c>
    </row>
    <row r="1995" customFormat="false" ht="15" hidden="false" customHeight="false" outlineLevel="0" collapsed="false">
      <c r="A1995" s="68" t="s">
        <v>3010</v>
      </c>
      <c r="B1995" s="68" t="s">
        <v>2442</v>
      </c>
      <c r="C1995" s="68" t="n">
        <v>1</v>
      </c>
    </row>
    <row r="1996" customFormat="false" ht="15" hidden="false" customHeight="false" outlineLevel="0" collapsed="false">
      <c r="A1996" s="68" t="s">
        <v>3010</v>
      </c>
      <c r="B1996" s="68" t="s">
        <v>2447</v>
      </c>
      <c r="C1996" s="68" t="n">
        <v>1</v>
      </c>
    </row>
    <row r="1997" customFormat="false" ht="15" hidden="false" customHeight="false" outlineLevel="0" collapsed="false">
      <c r="A1997" s="68" t="s">
        <v>3010</v>
      </c>
      <c r="B1997" s="68" t="s">
        <v>2452</v>
      </c>
      <c r="C1997" s="68" t="n">
        <v>1</v>
      </c>
    </row>
    <row r="1998" customFormat="false" ht="15" hidden="false" customHeight="false" outlineLevel="0" collapsed="false">
      <c r="A1998" s="68" t="s">
        <v>3010</v>
      </c>
      <c r="B1998" s="68" t="s">
        <v>2457</v>
      </c>
      <c r="C1998" s="68" t="n">
        <v>1.9</v>
      </c>
    </row>
    <row r="1999" customFormat="false" ht="15" hidden="false" customHeight="false" outlineLevel="0" collapsed="false">
      <c r="A1999" s="68" t="s">
        <v>3010</v>
      </c>
      <c r="B1999" s="68" t="s">
        <v>2462</v>
      </c>
      <c r="C1999" s="68" t="n">
        <v>15263.1578947368</v>
      </c>
    </row>
    <row r="2000" customFormat="false" ht="15" hidden="false" customHeight="false" outlineLevel="0" collapsed="false">
      <c r="A2000" s="68" t="s">
        <v>3010</v>
      </c>
      <c r="B2000" s="68" t="s">
        <v>2467</v>
      </c>
      <c r="C2000" s="68" t="n">
        <v>123.416</v>
      </c>
    </row>
    <row r="2001" customFormat="false" ht="15" hidden="false" customHeight="false" outlineLevel="0" collapsed="false">
      <c r="A2001" s="68" t="s">
        <v>3010</v>
      </c>
      <c r="B2001" s="68" t="s">
        <v>2471</v>
      </c>
      <c r="C2001" s="68" t="n">
        <v>123.416</v>
      </c>
    </row>
    <row r="2002" customFormat="false" ht="15" hidden="false" customHeight="false" outlineLevel="0" collapsed="false">
      <c r="A2002" s="68" t="s">
        <v>3010</v>
      </c>
      <c r="B2002" s="68" t="s">
        <v>2475</v>
      </c>
      <c r="C2002" s="68" t="s">
        <v>369</v>
      </c>
    </row>
    <row r="2003" customFormat="false" ht="15" hidden="false" customHeight="false" outlineLevel="0" collapsed="false">
      <c r="A2003" s="68" t="s">
        <v>3010</v>
      </c>
      <c r="B2003" s="68" t="s">
        <v>2480</v>
      </c>
      <c r="C2003" s="68" t="n">
        <v>15263.1578947368</v>
      </c>
    </row>
    <row r="2004" customFormat="false" ht="15" hidden="false" customHeight="false" outlineLevel="0" collapsed="false">
      <c r="A2004" s="68" t="s">
        <v>3010</v>
      </c>
      <c r="B2004" s="68" t="s">
        <v>2484</v>
      </c>
      <c r="C2004" s="68" t="n">
        <v>10589.1663722334</v>
      </c>
    </row>
    <row r="2005" customFormat="false" ht="15" hidden="false" customHeight="false" outlineLevel="0" collapsed="false">
      <c r="A2005" s="68" t="s">
        <v>3012</v>
      </c>
      <c r="B2005" s="68" t="s">
        <v>2284</v>
      </c>
      <c r="C2005" s="68" t="n">
        <v>76.9300635785649</v>
      </c>
    </row>
    <row r="2006" customFormat="false" ht="15" hidden="false" customHeight="false" outlineLevel="0" collapsed="false">
      <c r="A2006" s="68" t="s">
        <v>3012</v>
      </c>
      <c r="B2006" s="68" t="s">
        <v>2290</v>
      </c>
      <c r="C2006" s="68" t="s">
        <v>3205</v>
      </c>
    </row>
    <row r="2007" customFormat="false" ht="15" hidden="false" customHeight="false" outlineLevel="0" collapsed="false">
      <c r="A2007" s="68" t="s">
        <v>3012</v>
      </c>
      <c r="B2007" s="68" t="s">
        <v>2365</v>
      </c>
      <c r="C2007" s="68" t="n">
        <v>247500</v>
      </c>
    </row>
    <row r="2008" customFormat="false" ht="15" hidden="false" customHeight="false" outlineLevel="0" collapsed="false">
      <c r="A2008" s="68" t="s">
        <v>3012</v>
      </c>
      <c r="B2008" s="68" t="s">
        <v>2370</v>
      </c>
      <c r="C2008" s="68" t="n">
        <v>261306.312667702</v>
      </c>
    </row>
    <row r="2009" customFormat="false" ht="15" hidden="false" customHeight="false" outlineLevel="0" collapsed="false">
      <c r="A2009" s="68" t="s">
        <v>3012</v>
      </c>
      <c r="B2009" s="68" t="s">
        <v>2375</v>
      </c>
      <c r="C2009" s="68" t="n">
        <v>172078830000</v>
      </c>
    </row>
    <row r="2010" customFormat="false" ht="15" hidden="false" customHeight="false" outlineLevel="0" collapsed="false">
      <c r="A2010" s="68" t="s">
        <v>3012</v>
      </c>
      <c r="B2010" s="68" t="s">
        <v>2388</v>
      </c>
      <c r="C2010" s="68" t="n">
        <v>247500</v>
      </c>
    </row>
    <row r="2011" customFormat="false" ht="15" hidden="false" customHeight="false" outlineLevel="0" collapsed="false">
      <c r="A2011" s="68" t="s">
        <v>3012</v>
      </c>
      <c r="B2011" s="68" t="s">
        <v>2393</v>
      </c>
      <c r="C2011" s="68" t="n">
        <v>261306.312667702</v>
      </c>
    </row>
    <row r="2012" customFormat="false" ht="15" hidden="false" customHeight="false" outlineLevel="0" collapsed="false">
      <c r="A2012" s="68" t="s">
        <v>3012</v>
      </c>
      <c r="B2012" s="68" t="s">
        <v>2398</v>
      </c>
      <c r="C2012" s="68" t="n">
        <v>172078830000</v>
      </c>
    </row>
    <row r="2013" customFormat="false" ht="15" hidden="false" customHeight="false" outlineLevel="0" collapsed="false">
      <c r="A2013" s="68" t="s">
        <v>3012</v>
      </c>
      <c r="B2013" s="68" t="s">
        <v>2432</v>
      </c>
      <c r="C2013" s="68" t="s">
        <v>3201</v>
      </c>
    </row>
    <row r="2014" customFormat="false" ht="15" hidden="false" customHeight="false" outlineLevel="0" collapsed="false">
      <c r="A2014" s="68" t="s">
        <v>3012</v>
      </c>
      <c r="B2014" s="68" t="s">
        <v>2437</v>
      </c>
      <c r="C2014" s="68" t="n">
        <v>1.9</v>
      </c>
    </row>
    <row r="2015" customFormat="false" ht="15" hidden="false" customHeight="false" outlineLevel="0" collapsed="false">
      <c r="A2015" s="68" t="s">
        <v>3012</v>
      </c>
      <c r="B2015" s="68" t="s">
        <v>2442</v>
      </c>
      <c r="C2015" s="68" t="n">
        <v>1</v>
      </c>
    </row>
    <row r="2016" customFormat="false" ht="15" hidden="false" customHeight="false" outlineLevel="0" collapsed="false">
      <c r="A2016" s="68" t="s">
        <v>3012</v>
      </c>
      <c r="B2016" s="68" t="s">
        <v>2447</v>
      </c>
      <c r="C2016" s="68" t="n">
        <v>1.05</v>
      </c>
    </row>
    <row r="2017" customFormat="false" ht="15" hidden="false" customHeight="false" outlineLevel="0" collapsed="false">
      <c r="A2017" s="68" t="s">
        <v>3012</v>
      </c>
      <c r="B2017" s="68" t="s">
        <v>2452</v>
      </c>
      <c r="C2017" s="68" t="n">
        <v>1</v>
      </c>
    </row>
    <row r="2018" customFormat="false" ht="15" hidden="false" customHeight="false" outlineLevel="0" collapsed="false">
      <c r="A2018" s="68" t="s">
        <v>3012</v>
      </c>
      <c r="B2018" s="68" t="s">
        <v>2457</v>
      </c>
      <c r="C2018" s="68" t="n">
        <v>1.995</v>
      </c>
    </row>
    <row r="2019" customFormat="false" ht="15" hidden="false" customHeight="false" outlineLevel="0" collapsed="false">
      <c r="A2019" s="68" t="s">
        <v>3012</v>
      </c>
      <c r="B2019" s="68" t="s">
        <v>2462</v>
      </c>
      <c r="C2019" s="68" t="n">
        <v>124060.15037594</v>
      </c>
    </row>
    <row r="2020" customFormat="false" ht="15" hidden="false" customHeight="false" outlineLevel="0" collapsed="false">
      <c r="A2020" s="68" t="s">
        <v>3012</v>
      </c>
      <c r="B2020" s="68" t="s">
        <v>2467</v>
      </c>
      <c r="C2020" s="68" t="n">
        <v>123.416</v>
      </c>
    </row>
    <row r="2021" customFormat="false" ht="15" hidden="false" customHeight="false" outlineLevel="0" collapsed="false">
      <c r="A2021" s="68" t="s">
        <v>3012</v>
      </c>
      <c r="B2021" s="68" t="s">
        <v>2471</v>
      </c>
      <c r="C2021" s="68" t="n">
        <v>123.416</v>
      </c>
    </row>
    <row r="2022" customFormat="false" ht="15" hidden="false" customHeight="false" outlineLevel="0" collapsed="false">
      <c r="A2022" s="68" t="s">
        <v>3012</v>
      </c>
      <c r="B2022" s="68" t="s">
        <v>2475</v>
      </c>
      <c r="C2022" s="68" t="s">
        <v>369</v>
      </c>
    </row>
    <row r="2023" customFormat="false" ht="15" hidden="false" customHeight="false" outlineLevel="0" collapsed="false">
      <c r="A2023" s="68" t="s">
        <v>3012</v>
      </c>
      <c r="B2023" s="68" t="s">
        <v>2480</v>
      </c>
      <c r="C2023" s="68" t="n">
        <v>124060.15037594</v>
      </c>
    </row>
    <row r="2024" customFormat="false" ht="15" hidden="false" customHeight="false" outlineLevel="0" collapsed="false">
      <c r="A2024" s="68" t="s">
        <v>3012</v>
      </c>
      <c r="B2024" s="68" t="s">
        <v>2484</v>
      </c>
      <c r="C2024" s="68" t="n">
        <v>9161.67008096325</v>
      </c>
    </row>
    <row r="2025" customFormat="false" ht="15" hidden="false" customHeight="false" outlineLevel="0" collapsed="false">
      <c r="A2025" s="68" t="s">
        <v>3014</v>
      </c>
      <c r="B2025" s="68" t="s">
        <v>2284</v>
      </c>
      <c r="C2025" s="68" t="n">
        <v>1.81653042688465</v>
      </c>
    </row>
    <row r="2026" customFormat="false" ht="15" hidden="false" customHeight="false" outlineLevel="0" collapsed="false">
      <c r="A2026" s="68" t="s">
        <v>3014</v>
      </c>
      <c r="B2026" s="68" t="s">
        <v>2290</v>
      </c>
      <c r="C2026" s="68" t="s">
        <v>1585</v>
      </c>
    </row>
    <row r="2027" customFormat="false" ht="15" hidden="false" customHeight="false" outlineLevel="0" collapsed="false">
      <c r="A2027" s="68" t="s">
        <v>3014</v>
      </c>
      <c r="B2027" s="68" t="s">
        <v>2365</v>
      </c>
      <c r="C2027" s="68" t="n">
        <v>25500</v>
      </c>
    </row>
    <row r="2028" customFormat="false" ht="15" hidden="false" customHeight="false" outlineLevel="0" collapsed="false">
      <c r="A2028" s="68" t="s">
        <v>3014</v>
      </c>
      <c r="B2028" s="68" t="s">
        <v>2370</v>
      </c>
      <c r="C2028" s="68" t="n">
        <v>26922.4685778845</v>
      </c>
    </row>
    <row r="2029" customFormat="false" ht="15" hidden="false" customHeight="false" outlineLevel="0" collapsed="false">
      <c r="A2029" s="68" t="s">
        <v>3014</v>
      </c>
      <c r="B2029" s="68" t="s">
        <v>2375</v>
      </c>
      <c r="C2029" s="68" t="n">
        <v>17729334000</v>
      </c>
    </row>
    <row r="2030" customFormat="false" ht="15" hidden="false" customHeight="false" outlineLevel="0" collapsed="false">
      <c r="A2030" s="68" t="s">
        <v>3014</v>
      </c>
      <c r="B2030" s="68" t="s">
        <v>2388</v>
      </c>
      <c r="C2030" s="68" t="n">
        <v>25500</v>
      </c>
    </row>
    <row r="2031" customFormat="false" ht="15" hidden="false" customHeight="false" outlineLevel="0" collapsed="false">
      <c r="A2031" s="68" t="s">
        <v>3014</v>
      </c>
      <c r="B2031" s="68" t="s">
        <v>2393</v>
      </c>
      <c r="C2031" s="68" t="n">
        <v>26922.4685778845</v>
      </c>
    </row>
    <row r="2032" customFormat="false" ht="15" hidden="false" customHeight="false" outlineLevel="0" collapsed="false">
      <c r="A2032" s="68" t="s">
        <v>3014</v>
      </c>
      <c r="B2032" s="68" t="s">
        <v>2398</v>
      </c>
      <c r="C2032" s="68" t="n">
        <v>17729334000</v>
      </c>
    </row>
    <row r="2033" customFormat="false" ht="15" hidden="false" customHeight="false" outlineLevel="0" collapsed="false">
      <c r="A2033" s="68" t="s">
        <v>3014</v>
      </c>
      <c r="B2033" s="68" t="s">
        <v>2432</v>
      </c>
      <c r="C2033" s="68" t="s">
        <v>3201</v>
      </c>
    </row>
    <row r="2034" customFormat="false" ht="15" hidden="false" customHeight="false" outlineLevel="0" collapsed="false">
      <c r="A2034" s="68" t="s">
        <v>3014</v>
      </c>
      <c r="B2034" s="68" t="s">
        <v>2437</v>
      </c>
      <c r="C2034" s="68" t="n">
        <v>1.1</v>
      </c>
    </row>
    <row r="2035" customFormat="false" ht="15" hidden="false" customHeight="false" outlineLevel="0" collapsed="false">
      <c r="A2035" s="68" t="s">
        <v>3014</v>
      </c>
      <c r="B2035" s="68" t="s">
        <v>2442</v>
      </c>
      <c r="C2035" s="68" t="n">
        <v>1</v>
      </c>
    </row>
    <row r="2036" customFormat="false" ht="15" hidden="false" customHeight="false" outlineLevel="0" collapsed="false">
      <c r="A2036" s="68" t="s">
        <v>3014</v>
      </c>
      <c r="B2036" s="68" t="s">
        <v>2447</v>
      </c>
      <c r="C2036" s="68" t="n">
        <v>1</v>
      </c>
    </row>
    <row r="2037" customFormat="false" ht="15" hidden="false" customHeight="false" outlineLevel="0" collapsed="false">
      <c r="A2037" s="68" t="s">
        <v>3014</v>
      </c>
      <c r="B2037" s="68" t="s">
        <v>2452</v>
      </c>
      <c r="C2037" s="68" t="n">
        <v>1</v>
      </c>
    </row>
    <row r="2038" customFormat="false" ht="15" hidden="false" customHeight="false" outlineLevel="0" collapsed="false">
      <c r="A2038" s="68" t="s">
        <v>3014</v>
      </c>
      <c r="B2038" s="68" t="s">
        <v>2457</v>
      </c>
      <c r="C2038" s="68" t="n">
        <v>1.1</v>
      </c>
    </row>
    <row r="2039" customFormat="false" ht="15" hidden="false" customHeight="false" outlineLevel="0" collapsed="false">
      <c r="A2039" s="68" t="s">
        <v>3014</v>
      </c>
      <c r="B2039" s="68" t="s">
        <v>2462</v>
      </c>
      <c r="C2039" s="68" t="n">
        <v>23181.8181818182</v>
      </c>
    </row>
    <row r="2040" customFormat="false" ht="15" hidden="false" customHeight="false" outlineLevel="0" collapsed="false">
      <c r="A2040" s="68" t="s">
        <v>3014</v>
      </c>
      <c r="B2040" s="68" t="s">
        <v>2467</v>
      </c>
      <c r="C2040" s="68" t="n">
        <v>123.416</v>
      </c>
    </row>
    <row r="2041" customFormat="false" ht="15" hidden="false" customHeight="false" outlineLevel="0" collapsed="false">
      <c r="A2041" s="68" t="s">
        <v>3014</v>
      </c>
      <c r="B2041" s="68" t="s">
        <v>2471</v>
      </c>
      <c r="C2041" s="68" t="n">
        <v>123.416</v>
      </c>
    </row>
    <row r="2042" customFormat="false" ht="15" hidden="false" customHeight="false" outlineLevel="0" collapsed="false">
      <c r="A2042" s="68" t="s">
        <v>3014</v>
      </c>
      <c r="B2042" s="68" t="s">
        <v>2475</v>
      </c>
      <c r="C2042" s="68" t="s">
        <v>369</v>
      </c>
    </row>
    <row r="2043" customFormat="false" ht="15" hidden="false" customHeight="false" outlineLevel="0" collapsed="false">
      <c r="A2043" s="68" t="s">
        <v>3014</v>
      </c>
      <c r="B2043" s="68" t="s">
        <v>2480</v>
      </c>
      <c r="C2043" s="68" t="n">
        <v>23181.8181818182</v>
      </c>
    </row>
    <row r="2044" customFormat="false" ht="15" hidden="false" customHeight="false" outlineLevel="0" collapsed="false">
      <c r="A2044" s="68" t="s">
        <v>3014</v>
      </c>
      <c r="B2044" s="68" t="s">
        <v>2484</v>
      </c>
      <c r="C2044" s="68" t="n">
        <v>16203.2409143069</v>
      </c>
    </row>
    <row r="2045" customFormat="false" ht="15" hidden="false" customHeight="false" outlineLevel="0" collapsed="false">
      <c r="A2045" s="68" t="s">
        <v>3016</v>
      </c>
      <c r="B2045" s="68" t="s">
        <v>2284</v>
      </c>
      <c r="C2045" s="68" t="n">
        <v>6.24432334241599</v>
      </c>
    </row>
    <row r="2046" customFormat="false" ht="15" hidden="false" customHeight="false" outlineLevel="0" collapsed="false">
      <c r="A2046" s="68" t="s">
        <v>3016</v>
      </c>
      <c r="B2046" s="68" t="s">
        <v>2290</v>
      </c>
      <c r="C2046" s="68" t="s">
        <v>3205</v>
      </c>
    </row>
    <row r="2047" customFormat="false" ht="15" hidden="false" customHeight="false" outlineLevel="0" collapsed="false">
      <c r="A2047" s="68" t="s">
        <v>3016</v>
      </c>
      <c r="B2047" s="68" t="s">
        <v>2365</v>
      </c>
      <c r="C2047" s="68" t="n">
        <v>31000</v>
      </c>
    </row>
    <row r="2048" customFormat="false" ht="15" hidden="false" customHeight="false" outlineLevel="0" collapsed="false">
      <c r="A2048" s="68" t="s">
        <v>3016</v>
      </c>
      <c r="B2048" s="68" t="s">
        <v>2370</v>
      </c>
      <c r="C2048" s="68" t="n">
        <v>32729.2755260556</v>
      </c>
    </row>
    <row r="2049" customFormat="false" ht="15" hidden="false" customHeight="false" outlineLevel="0" collapsed="false">
      <c r="A2049" s="68" t="s">
        <v>3016</v>
      </c>
      <c r="B2049" s="68" t="s">
        <v>2375</v>
      </c>
      <c r="C2049" s="68" t="n">
        <v>21553308000</v>
      </c>
    </row>
    <row r="2050" customFormat="false" ht="15" hidden="false" customHeight="false" outlineLevel="0" collapsed="false">
      <c r="A2050" s="68" t="s">
        <v>3016</v>
      </c>
      <c r="B2050" s="68" t="s">
        <v>2388</v>
      </c>
      <c r="C2050" s="68" t="n">
        <v>31000</v>
      </c>
    </row>
    <row r="2051" customFormat="false" ht="15" hidden="false" customHeight="false" outlineLevel="0" collapsed="false">
      <c r="A2051" s="68" t="s">
        <v>3016</v>
      </c>
      <c r="B2051" s="68" t="s">
        <v>2393</v>
      </c>
      <c r="C2051" s="68" t="n">
        <v>32729.2755260556</v>
      </c>
    </row>
    <row r="2052" customFormat="false" ht="15" hidden="false" customHeight="false" outlineLevel="0" collapsed="false">
      <c r="A2052" s="68" t="s">
        <v>3016</v>
      </c>
      <c r="B2052" s="68" t="s">
        <v>2398</v>
      </c>
      <c r="C2052" s="68" t="n">
        <v>21553308000</v>
      </c>
    </row>
    <row r="2053" customFormat="false" ht="15" hidden="false" customHeight="false" outlineLevel="0" collapsed="false">
      <c r="A2053" s="68" t="s">
        <v>3016</v>
      </c>
      <c r="B2053" s="68" t="s">
        <v>2432</v>
      </c>
      <c r="C2053" s="68" t="s">
        <v>3201</v>
      </c>
    </row>
    <row r="2054" customFormat="false" ht="15" hidden="false" customHeight="false" outlineLevel="0" collapsed="false">
      <c r="A2054" s="68" t="s">
        <v>3016</v>
      </c>
      <c r="B2054" s="68" t="s">
        <v>2437</v>
      </c>
      <c r="C2054" s="68" t="n">
        <v>1.9</v>
      </c>
    </row>
    <row r="2055" customFormat="false" ht="15" hidden="false" customHeight="false" outlineLevel="0" collapsed="false">
      <c r="A2055" s="68" t="s">
        <v>3016</v>
      </c>
      <c r="B2055" s="68" t="s">
        <v>2442</v>
      </c>
      <c r="C2055" s="68" t="n">
        <v>1</v>
      </c>
    </row>
    <row r="2056" customFormat="false" ht="15" hidden="false" customHeight="false" outlineLevel="0" collapsed="false">
      <c r="A2056" s="68" t="s">
        <v>3016</v>
      </c>
      <c r="B2056" s="68" t="s">
        <v>2447</v>
      </c>
      <c r="C2056" s="68" t="n">
        <v>1.05</v>
      </c>
    </row>
    <row r="2057" customFormat="false" ht="15" hidden="false" customHeight="false" outlineLevel="0" collapsed="false">
      <c r="A2057" s="68" t="s">
        <v>3016</v>
      </c>
      <c r="B2057" s="68" t="s">
        <v>2452</v>
      </c>
      <c r="C2057" s="68" t="n">
        <v>1</v>
      </c>
    </row>
    <row r="2058" customFormat="false" ht="15" hidden="false" customHeight="false" outlineLevel="0" collapsed="false">
      <c r="A2058" s="68" t="s">
        <v>3016</v>
      </c>
      <c r="B2058" s="68" t="s">
        <v>2457</v>
      </c>
      <c r="C2058" s="68" t="n">
        <v>1.995</v>
      </c>
    </row>
    <row r="2059" customFormat="false" ht="15" hidden="false" customHeight="false" outlineLevel="0" collapsed="false">
      <c r="A2059" s="68" t="s">
        <v>3016</v>
      </c>
      <c r="B2059" s="68" t="s">
        <v>2462</v>
      </c>
      <c r="C2059" s="68" t="n">
        <v>15538.8471177945</v>
      </c>
    </row>
    <row r="2060" customFormat="false" ht="15" hidden="false" customHeight="false" outlineLevel="0" collapsed="false">
      <c r="A2060" s="68" t="s">
        <v>3016</v>
      </c>
      <c r="B2060" s="68" t="s">
        <v>2467</v>
      </c>
      <c r="C2060" s="68" t="n">
        <v>123.416</v>
      </c>
    </row>
    <row r="2061" customFormat="false" ht="15" hidden="false" customHeight="false" outlineLevel="0" collapsed="false">
      <c r="A2061" s="68" t="s">
        <v>3016</v>
      </c>
      <c r="B2061" s="68" t="s">
        <v>2471</v>
      </c>
      <c r="C2061" s="68" t="n">
        <v>123.416</v>
      </c>
    </row>
    <row r="2062" customFormat="false" ht="15" hidden="false" customHeight="false" outlineLevel="0" collapsed="false">
      <c r="A2062" s="68" t="s">
        <v>3016</v>
      </c>
      <c r="B2062" s="68" t="s">
        <v>2475</v>
      </c>
      <c r="C2062" s="68" t="s">
        <v>369</v>
      </c>
    </row>
    <row r="2063" customFormat="false" ht="15" hidden="false" customHeight="false" outlineLevel="0" collapsed="false">
      <c r="A2063" s="68" t="s">
        <v>3016</v>
      </c>
      <c r="B2063" s="68" t="s">
        <v>2480</v>
      </c>
      <c r="C2063" s="68" t="n">
        <v>15538.8471177945</v>
      </c>
    </row>
    <row r="2064" customFormat="false" ht="15" hidden="false" customHeight="false" outlineLevel="0" collapsed="false">
      <c r="A2064" s="68" t="s">
        <v>3016</v>
      </c>
      <c r="B2064" s="68" t="s">
        <v>2484</v>
      </c>
      <c r="C2064" s="68" t="n">
        <v>5177.58888999076</v>
      </c>
    </row>
    <row r="2065" customFormat="false" ht="15" hidden="false" customHeight="false" outlineLevel="0" collapsed="false">
      <c r="A2065" s="68" t="s">
        <v>3018</v>
      </c>
      <c r="B2065" s="68" t="s">
        <v>2284</v>
      </c>
      <c r="C2065" s="68" t="n">
        <v>0.485921889191644</v>
      </c>
    </row>
    <row r="2066" customFormat="false" ht="15" hidden="false" customHeight="false" outlineLevel="0" collapsed="false">
      <c r="A2066" s="68" t="s">
        <v>3018</v>
      </c>
      <c r="B2066" s="68" t="s">
        <v>2290</v>
      </c>
      <c r="C2066" s="68" t="s">
        <v>1585</v>
      </c>
    </row>
    <row r="2067" customFormat="false" ht="15" hidden="false" customHeight="false" outlineLevel="0" collapsed="false">
      <c r="A2067" s="68" t="s">
        <v>3018</v>
      </c>
      <c r="B2067" s="68" t="s">
        <v>2365</v>
      </c>
      <c r="C2067" s="68" t="n">
        <v>34500</v>
      </c>
    </row>
    <row r="2068" customFormat="false" ht="15" hidden="false" customHeight="false" outlineLevel="0" collapsed="false">
      <c r="A2068" s="68" t="s">
        <v>3018</v>
      </c>
      <c r="B2068" s="68" t="s">
        <v>2370</v>
      </c>
      <c r="C2068" s="68" t="n">
        <v>36424.5163112555</v>
      </c>
    </row>
    <row r="2069" customFormat="false" ht="15" hidden="false" customHeight="false" outlineLevel="0" collapsed="false">
      <c r="A2069" s="68" t="s">
        <v>3018</v>
      </c>
      <c r="B2069" s="68" t="s">
        <v>2375</v>
      </c>
      <c r="C2069" s="68" t="n">
        <v>23986746000</v>
      </c>
    </row>
    <row r="2070" customFormat="false" ht="15" hidden="false" customHeight="false" outlineLevel="0" collapsed="false">
      <c r="A2070" s="68" t="s">
        <v>3018</v>
      </c>
      <c r="B2070" s="68" t="s">
        <v>2388</v>
      </c>
      <c r="C2070" s="68" t="n">
        <v>34500</v>
      </c>
    </row>
    <row r="2071" customFormat="false" ht="15" hidden="false" customHeight="false" outlineLevel="0" collapsed="false">
      <c r="A2071" s="68" t="s">
        <v>3018</v>
      </c>
      <c r="B2071" s="68" t="s">
        <v>2393</v>
      </c>
      <c r="C2071" s="68" t="n">
        <v>36424.5163112555</v>
      </c>
    </row>
    <row r="2072" customFormat="false" ht="15" hidden="false" customHeight="false" outlineLevel="0" collapsed="false">
      <c r="A2072" s="68" t="s">
        <v>3018</v>
      </c>
      <c r="B2072" s="68" t="s">
        <v>2398</v>
      </c>
      <c r="C2072" s="68" t="n">
        <v>23986746000</v>
      </c>
    </row>
    <row r="2073" customFormat="false" ht="15" hidden="false" customHeight="false" outlineLevel="0" collapsed="false">
      <c r="A2073" s="68" t="s">
        <v>3018</v>
      </c>
      <c r="B2073" s="68" t="s">
        <v>2432</v>
      </c>
      <c r="C2073" s="68" t="s">
        <v>3201</v>
      </c>
    </row>
    <row r="2074" customFormat="false" ht="15" hidden="false" customHeight="false" outlineLevel="0" collapsed="false">
      <c r="A2074" s="68" t="s">
        <v>3018</v>
      </c>
      <c r="B2074" s="68" t="s">
        <v>2437</v>
      </c>
      <c r="C2074" s="68" t="n">
        <v>1.1</v>
      </c>
    </row>
    <row r="2075" customFormat="false" ht="15" hidden="false" customHeight="false" outlineLevel="0" collapsed="false">
      <c r="A2075" s="68" t="s">
        <v>3018</v>
      </c>
      <c r="B2075" s="68" t="s">
        <v>2442</v>
      </c>
      <c r="C2075" s="68" t="n">
        <v>1</v>
      </c>
    </row>
    <row r="2076" customFormat="false" ht="15" hidden="false" customHeight="false" outlineLevel="0" collapsed="false">
      <c r="A2076" s="68" t="s">
        <v>3018</v>
      </c>
      <c r="B2076" s="68" t="s">
        <v>2447</v>
      </c>
      <c r="C2076" s="68" t="n">
        <v>1</v>
      </c>
    </row>
    <row r="2077" customFormat="false" ht="15" hidden="false" customHeight="false" outlineLevel="0" collapsed="false">
      <c r="A2077" s="68" t="s">
        <v>3018</v>
      </c>
      <c r="B2077" s="68" t="s">
        <v>2452</v>
      </c>
      <c r="C2077" s="68" t="n">
        <v>1</v>
      </c>
    </row>
    <row r="2078" customFormat="false" ht="15" hidden="false" customHeight="false" outlineLevel="0" collapsed="false">
      <c r="A2078" s="68" t="s">
        <v>3018</v>
      </c>
      <c r="B2078" s="68" t="s">
        <v>2457</v>
      </c>
      <c r="C2078" s="68" t="n">
        <v>1.1</v>
      </c>
    </row>
    <row r="2079" customFormat="false" ht="15" hidden="false" customHeight="false" outlineLevel="0" collapsed="false">
      <c r="A2079" s="68" t="s">
        <v>3018</v>
      </c>
      <c r="B2079" s="68" t="s">
        <v>2462</v>
      </c>
      <c r="C2079" s="68" t="n">
        <v>31363.6363636364</v>
      </c>
    </row>
    <row r="2080" customFormat="false" ht="15" hidden="false" customHeight="false" outlineLevel="0" collapsed="false">
      <c r="A2080" s="68" t="s">
        <v>3018</v>
      </c>
      <c r="B2080" s="68" t="s">
        <v>2467</v>
      </c>
      <c r="C2080" s="68" t="n">
        <v>123.416</v>
      </c>
    </row>
    <row r="2081" customFormat="false" ht="15" hidden="false" customHeight="false" outlineLevel="0" collapsed="false">
      <c r="A2081" s="68" t="s">
        <v>3018</v>
      </c>
      <c r="B2081" s="68" t="s">
        <v>2471</v>
      </c>
      <c r="C2081" s="68" t="n">
        <v>123.416</v>
      </c>
    </row>
    <row r="2082" customFormat="false" ht="15" hidden="false" customHeight="false" outlineLevel="0" collapsed="false">
      <c r="A2082" s="68" t="s">
        <v>3018</v>
      </c>
      <c r="B2082" s="68" t="s">
        <v>2475</v>
      </c>
      <c r="C2082" s="68" t="s">
        <v>369</v>
      </c>
    </row>
    <row r="2083" customFormat="false" ht="15" hidden="false" customHeight="false" outlineLevel="0" collapsed="false">
      <c r="A2083" s="68" t="s">
        <v>3018</v>
      </c>
      <c r="B2083" s="68" t="s">
        <v>2480</v>
      </c>
      <c r="C2083" s="68" t="n">
        <v>31363.6363636364</v>
      </c>
    </row>
    <row r="2084" customFormat="false" ht="15" hidden="false" customHeight="false" outlineLevel="0" collapsed="false">
      <c r="A2084" s="68" t="s">
        <v>3018</v>
      </c>
      <c r="B2084" s="68" t="s">
        <v>2484</v>
      </c>
      <c r="C2084" s="68" t="n">
        <v>48360.0267132203</v>
      </c>
    </row>
    <row r="2085" customFormat="false" ht="15" hidden="false" customHeight="false" outlineLevel="0" collapsed="false">
      <c r="A2085" s="68" t="s">
        <v>3020</v>
      </c>
      <c r="B2085" s="68" t="s">
        <v>2284</v>
      </c>
      <c r="C2085" s="68"/>
    </row>
    <row r="2086" customFormat="false" ht="15" hidden="false" customHeight="false" outlineLevel="0" collapsed="false">
      <c r="A2086" s="68" t="s">
        <v>3020</v>
      </c>
      <c r="B2086" s="68" t="s">
        <v>2290</v>
      </c>
      <c r="C2086" s="68" t="s">
        <v>3206</v>
      </c>
    </row>
    <row r="2087" customFormat="false" ht="15" hidden="false" customHeight="false" outlineLevel="0" collapsed="false">
      <c r="A2087" s="68" t="s">
        <v>3020</v>
      </c>
      <c r="B2087" s="68" t="s">
        <v>2365</v>
      </c>
      <c r="C2087" s="68" t="n">
        <v>25000</v>
      </c>
    </row>
    <row r="2088" customFormat="false" ht="15" hidden="false" customHeight="false" outlineLevel="0" collapsed="false">
      <c r="A2088" s="68" t="s">
        <v>3020</v>
      </c>
      <c r="B2088" s="68" t="s">
        <v>2370</v>
      </c>
      <c r="C2088" s="68" t="n">
        <v>32686.1290322581</v>
      </c>
    </row>
    <row r="2089" customFormat="false" ht="15" hidden="false" customHeight="false" outlineLevel="0" collapsed="false">
      <c r="A2089" s="68" t="s">
        <v>3020</v>
      </c>
      <c r="B2089" s="68" t="s">
        <v>2375</v>
      </c>
      <c r="C2089" s="68" t="n">
        <v>1013270000</v>
      </c>
    </row>
    <row r="2090" customFormat="false" ht="15" hidden="false" customHeight="false" outlineLevel="0" collapsed="false">
      <c r="A2090" s="68" t="s">
        <v>3020</v>
      </c>
      <c r="B2090" s="68" t="s">
        <v>2388</v>
      </c>
      <c r="C2090" s="68" t="n">
        <v>33776.6976474323</v>
      </c>
    </row>
    <row r="2091" customFormat="false" ht="15" hidden="false" customHeight="false" outlineLevel="0" collapsed="false">
      <c r="A2091" s="68" t="s">
        <v>3020</v>
      </c>
      <c r="B2091" s="68" t="s">
        <v>2393</v>
      </c>
      <c r="C2091" s="68" t="n">
        <v>35660.8659246157</v>
      </c>
    </row>
    <row r="2092" customFormat="false" ht="15" hidden="false" customHeight="false" outlineLevel="0" collapsed="false">
      <c r="A2092" s="68" t="s">
        <v>3020</v>
      </c>
      <c r="B2092" s="68" t="s">
        <v>2398</v>
      </c>
      <c r="C2092" s="68" t="n">
        <v>23483857019.935</v>
      </c>
    </row>
    <row r="2093" customFormat="false" ht="15" hidden="false" customHeight="false" outlineLevel="0" collapsed="false">
      <c r="A2093" s="68" t="s">
        <v>3020</v>
      </c>
      <c r="B2093" s="68" t="s">
        <v>2432</v>
      </c>
      <c r="C2093" s="68" t="s">
        <v>3202</v>
      </c>
    </row>
    <row r="2094" customFormat="false" ht="15" hidden="false" customHeight="false" outlineLevel="0" collapsed="false">
      <c r="A2094" s="68" t="s">
        <v>3020</v>
      </c>
      <c r="B2094" s="68" t="s">
        <v>2437</v>
      </c>
      <c r="C2094" s="68" t="n">
        <v>1.7</v>
      </c>
    </row>
    <row r="2095" customFormat="false" ht="15" hidden="false" customHeight="false" outlineLevel="0" collapsed="false">
      <c r="A2095" s="68" t="s">
        <v>3020</v>
      </c>
      <c r="B2095" s="68" t="s">
        <v>2442</v>
      </c>
      <c r="C2095" s="68" t="n">
        <v>1</v>
      </c>
    </row>
    <row r="2096" customFormat="false" ht="15" hidden="false" customHeight="false" outlineLevel="0" collapsed="false">
      <c r="A2096" s="68" t="s">
        <v>3020</v>
      </c>
      <c r="B2096" s="68" t="s">
        <v>2447</v>
      </c>
      <c r="C2096" s="68" t="n">
        <v>1.05</v>
      </c>
    </row>
    <row r="2097" customFormat="false" ht="15" hidden="false" customHeight="false" outlineLevel="0" collapsed="false">
      <c r="A2097" s="68" t="s">
        <v>3020</v>
      </c>
      <c r="B2097" s="68" t="s">
        <v>2452</v>
      </c>
      <c r="C2097" s="68" t="n">
        <v>1</v>
      </c>
    </row>
    <row r="2098" customFormat="false" ht="15" hidden="false" customHeight="false" outlineLevel="0" collapsed="false">
      <c r="A2098" s="68" t="s">
        <v>3020</v>
      </c>
      <c r="B2098" s="68" t="s">
        <v>2457</v>
      </c>
      <c r="C2098" s="68" t="n">
        <v>1.785</v>
      </c>
    </row>
    <row r="2099" customFormat="false" ht="15" hidden="false" customHeight="false" outlineLevel="0" collapsed="false">
      <c r="A2099" s="68" t="s">
        <v>3020</v>
      </c>
      <c r="B2099" s="68" t="s">
        <v>2462</v>
      </c>
      <c r="C2099" s="68" t="n">
        <v>14005.6022408964</v>
      </c>
    </row>
    <row r="2100" customFormat="false" ht="15" hidden="false" customHeight="false" outlineLevel="0" collapsed="false">
      <c r="A2100" s="68" t="s">
        <v>3020</v>
      </c>
      <c r="B2100" s="68" t="s">
        <v>2467</v>
      </c>
      <c r="C2100" s="68" t="n">
        <v>91.347</v>
      </c>
    </row>
    <row r="2101" customFormat="false" ht="15" hidden="false" customHeight="false" outlineLevel="0" collapsed="false">
      <c r="A2101" s="68" t="s">
        <v>3020</v>
      </c>
      <c r="B2101" s="68" t="s">
        <v>2471</v>
      </c>
      <c r="C2101" s="68" t="n">
        <v>123.416</v>
      </c>
    </row>
    <row r="2102" customFormat="false" ht="15" hidden="false" customHeight="false" outlineLevel="0" collapsed="false">
      <c r="A2102" s="68" t="s">
        <v>3020</v>
      </c>
      <c r="B2102" s="68" t="s">
        <v>2475</v>
      </c>
      <c r="C2102" s="68" t="s">
        <v>312</v>
      </c>
    </row>
    <row r="2103" customFormat="false" ht="15" hidden="false" customHeight="false" outlineLevel="0" collapsed="false">
      <c r="A2103" s="68" t="s">
        <v>3020</v>
      </c>
      <c r="B2103" s="68" t="s">
        <v>2480</v>
      </c>
      <c r="C2103" s="68" t="n">
        <v>18922.5196904383</v>
      </c>
    </row>
    <row r="2104" customFormat="false" ht="15" hidden="false" customHeight="false" outlineLevel="0" collapsed="false">
      <c r="A2104" s="68" t="s">
        <v>3020</v>
      </c>
      <c r="B2104" s="68" t="s">
        <v>2484</v>
      </c>
      <c r="C2104" s="68"/>
    </row>
    <row r="2105" customFormat="false" ht="15" hidden="false" customHeight="false" outlineLevel="0" collapsed="false">
      <c r="A2105" s="68" t="s">
        <v>3025</v>
      </c>
      <c r="B2105" s="68" t="s">
        <v>2284</v>
      </c>
      <c r="C2105" s="68" t="n">
        <v>3.40599455040872</v>
      </c>
    </row>
    <row r="2106" customFormat="false" ht="15" hidden="false" customHeight="false" outlineLevel="0" collapsed="false">
      <c r="A2106" s="68" t="s">
        <v>3025</v>
      </c>
      <c r="B2106" s="68" t="s">
        <v>2290</v>
      </c>
      <c r="C2106" s="68" t="s">
        <v>3205</v>
      </c>
    </row>
    <row r="2107" customFormat="false" ht="15" hidden="false" customHeight="false" outlineLevel="0" collapsed="false">
      <c r="A2107" s="68" t="s">
        <v>3025</v>
      </c>
      <c r="B2107" s="68" t="s">
        <v>2365</v>
      </c>
      <c r="C2107" s="68" t="n">
        <v>29600</v>
      </c>
    </row>
    <row r="2108" customFormat="false" ht="15" hidden="false" customHeight="false" outlineLevel="0" collapsed="false">
      <c r="A2108" s="68" t="s">
        <v>3025</v>
      </c>
      <c r="B2108" s="68" t="s">
        <v>2370</v>
      </c>
      <c r="C2108" s="68" t="n">
        <v>31251.1792119757</v>
      </c>
    </row>
    <row r="2109" customFormat="false" ht="15" hidden="false" customHeight="false" outlineLevel="0" collapsed="false">
      <c r="A2109" s="68" t="s">
        <v>3025</v>
      </c>
      <c r="B2109" s="68" t="s">
        <v>2375</v>
      </c>
      <c r="C2109" s="68" t="n">
        <v>20579932800</v>
      </c>
    </row>
    <row r="2110" customFormat="false" ht="15" hidden="false" customHeight="false" outlineLevel="0" collapsed="false">
      <c r="A2110" s="68" t="s">
        <v>3025</v>
      </c>
      <c r="B2110" s="68" t="s">
        <v>2388</v>
      </c>
      <c r="C2110" s="68" t="n">
        <v>29600</v>
      </c>
    </row>
    <row r="2111" customFormat="false" ht="15" hidden="false" customHeight="false" outlineLevel="0" collapsed="false">
      <c r="A2111" s="68" t="s">
        <v>3025</v>
      </c>
      <c r="B2111" s="68" t="s">
        <v>2393</v>
      </c>
      <c r="C2111" s="68" t="n">
        <v>31251.1792119757</v>
      </c>
    </row>
    <row r="2112" customFormat="false" ht="15" hidden="false" customHeight="false" outlineLevel="0" collapsed="false">
      <c r="A2112" s="68" t="s">
        <v>3025</v>
      </c>
      <c r="B2112" s="68" t="s">
        <v>2398</v>
      </c>
      <c r="C2112" s="68" t="n">
        <v>20579932800</v>
      </c>
    </row>
    <row r="2113" customFormat="false" ht="15" hidden="false" customHeight="false" outlineLevel="0" collapsed="false">
      <c r="A2113" s="68" t="s">
        <v>3025</v>
      </c>
      <c r="B2113" s="68" t="s">
        <v>2432</v>
      </c>
      <c r="C2113" s="68" t="s">
        <v>3201</v>
      </c>
    </row>
    <row r="2114" customFormat="false" ht="15" hidden="false" customHeight="false" outlineLevel="0" collapsed="false">
      <c r="A2114" s="68" t="s">
        <v>3025</v>
      </c>
      <c r="B2114" s="68" t="s">
        <v>2437</v>
      </c>
      <c r="C2114" s="68" t="n">
        <v>1.9</v>
      </c>
    </row>
    <row r="2115" customFormat="false" ht="15" hidden="false" customHeight="false" outlineLevel="0" collapsed="false">
      <c r="A2115" s="68" t="s">
        <v>3025</v>
      </c>
      <c r="B2115" s="68" t="s">
        <v>2442</v>
      </c>
      <c r="C2115" s="68" t="n">
        <v>1</v>
      </c>
    </row>
    <row r="2116" customFormat="false" ht="15" hidden="false" customHeight="false" outlineLevel="0" collapsed="false">
      <c r="A2116" s="68" t="s">
        <v>3025</v>
      </c>
      <c r="B2116" s="68" t="s">
        <v>2447</v>
      </c>
      <c r="C2116" s="68" t="n">
        <v>1.05</v>
      </c>
    </row>
    <row r="2117" customFormat="false" ht="15" hidden="false" customHeight="false" outlineLevel="0" collapsed="false">
      <c r="A2117" s="68" t="s">
        <v>3025</v>
      </c>
      <c r="B2117" s="68" t="s">
        <v>2452</v>
      </c>
      <c r="C2117" s="68" t="n">
        <v>1</v>
      </c>
    </row>
    <row r="2118" customFormat="false" ht="15" hidden="false" customHeight="false" outlineLevel="0" collapsed="false">
      <c r="A2118" s="68" t="s">
        <v>3025</v>
      </c>
      <c r="B2118" s="68" t="s">
        <v>2457</v>
      </c>
      <c r="C2118" s="68" t="n">
        <v>1.995</v>
      </c>
    </row>
    <row r="2119" customFormat="false" ht="15" hidden="false" customHeight="false" outlineLevel="0" collapsed="false">
      <c r="A2119" s="68" t="s">
        <v>3025</v>
      </c>
      <c r="B2119" s="68" t="s">
        <v>2462</v>
      </c>
      <c r="C2119" s="68" t="n">
        <v>14837.0927318296</v>
      </c>
    </row>
    <row r="2120" customFormat="false" ht="15" hidden="false" customHeight="false" outlineLevel="0" collapsed="false">
      <c r="A2120" s="68" t="s">
        <v>3025</v>
      </c>
      <c r="B2120" s="68" t="s">
        <v>2467</v>
      </c>
      <c r="C2120" s="68" t="n">
        <v>123.416</v>
      </c>
    </row>
    <row r="2121" customFormat="false" ht="15" hidden="false" customHeight="false" outlineLevel="0" collapsed="false">
      <c r="A2121" s="68" t="s">
        <v>3025</v>
      </c>
      <c r="B2121" s="68" t="s">
        <v>2471</v>
      </c>
      <c r="C2121" s="68" t="n">
        <v>123.416</v>
      </c>
    </row>
    <row r="2122" customFormat="false" ht="15" hidden="false" customHeight="false" outlineLevel="0" collapsed="false">
      <c r="A2122" s="68" t="s">
        <v>3025</v>
      </c>
      <c r="B2122" s="68" t="s">
        <v>2475</v>
      </c>
      <c r="C2122" s="68" t="s">
        <v>369</v>
      </c>
    </row>
    <row r="2123" customFormat="false" ht="15" hidden="false" customHeight="false" outlineLevel="0" collapsed="false">
      <c r="A2123" s="68" t="s">
        <v>3025</v>
      </c>
      <c r="B2123" s="68" t="s">
        <v>2480</v>
      </c>
      <c r="C2123" s="68" t="n">
        <v>14837.0927318296</v>
      </c>
    </row>
    <row r="2124" customFormat="false" ht="15" hidden="false" customHeight="false" outlineLevel="0" collapsed="false">
      <c r="A2124" s="68" t="s">
        <v>3025</v>
      </c>
      <c r="B2124" s="68" t="s">
        <v>2484</v>
      </c>
      <c r="C2124" s="68" t="n">
        <v>7112.17512400103</v>
      </c>
    </row>
    <row r="2125" customFormat="false" ht="15" hidden="false" customHeight="false" outlineLevel="0" collapsed="false">
      <c r="A2125" s="68" t="s">
        <v>3027</v>
      </c>
      <c r="B2125" s="68" t="s">
        <v>2284</v>
      </c>
      <c r="C2125" s="68" t="n">
        <v>1.36239782016349</v>
      </c>
    </row>
    <row r="2126" customFormat="false" ht="15" hidden="false" customHeight="false" outlineLevel="0" collapsed="false">
      <c r="A2126" s="68" t="s">
        <v>3027</v>
      </c>
      <c r="B2126" s="68" t="s">
        <v>2290</v>
      </c>
      <c r="C2126" s="68" t="s">
        <v>1585</v>
      </c>
    </row>
    <row r="2127" customFormat="false" ht="15" hidden="false" customHeight="false" outlineLevel="0" collapsed="false">
      <c r="A2127" s="68" t="s">
        <v>3027</v>
      </c>
      <c r="B2127" s="68" t="s">
        <v>2365</v>
      </c>
      <c r="C2127" s="68" t="n">
        <v>26250</v>
      </c>
    </row>
    <row r="2128" customFormat="false" ht="15" hidden="false" customHeight="false" outlineLevel="0" collapsed="false">
      <c r="A2128" s="68" t="s">
        <v>3027</v>
      </c>
      <c r="B2128" s="68" t="s">
        <v>2370</v>
      </c>
      <c r="C2128" s="68" t="n">
        <v>27714.3058889987</v>
      </c>
    </row>
    <row r="2129" customFormat="false" ht="15" hidden="false" customHeight="false" outlineLevel="0" collapsed="false">
      <c r="A2129" s="68" t="s">
        <v>3027</v>
      </c>
      <c r="B2129" s="68" t="s">
        <v>2375</v>
      </c>
      <c r="C2129" s="68" t="n">
        <v>18250785000</v>
      </c>
    </row>
    <row r="2130" customFormat="false" ht="15" hidden="false" customHeight="false" outlineLevel="0" collapsed="false">
      <c r="A2130" s="68" t="s">
        <v>3027</v>
      </c>
      <c r="B2130" s="68" t="s">
        <v>2388</v>
      </c>
      <c r="C2130" s="68" t="n">
        <v>26250</v>
      </c>
    </row>
    <row r="2131" customFormat="false" ht="15" hidden="false" customHeight="false" outlineLevel="0" collapsed="false">
      <c r="A2131" s="68" t="s">
        <v>3027</v>
      </c>
      <c r="B2131" s="68" t="s">
        <v>2393</v>
      </c>
      <c r="C2131" s="68" t="n">
        <v>27714.3058889987</v>
      </c>
    </row>
    <row r="2132" customFormat="false" ht="15" hidden="false" customHeight="false" outlineLevel="0" collapsed="false">
      <c r="A2132" s="68" t="s">
        <v>3027</v>
      </c>
      <c r="B2132" s="68" t="s">
        <v>2398</v>
      </c>
      <c r="C2132" s="68" t="n">
        <v>18250785000</v>
      </c>
    </row>
    <row r="2133" customFormat="false" ht="15" hidden="false" customHeight="false" outlineLevel="0" collapsed="false">
      <c r="A2133" s="68" t="s">
        <v>3027</v>
      </c>
      <c r="B2133" s="68" t="s">
        <v>2432</v>
      </c>
      <c r="C2133" s="68" t="s">
        <v>3201</v>
      </c>
    </row>
    <row r="2134" customFormat="false" ht="15" hidden="false" customHeight="false" outlineLevel="0" collapsed="false">
      <c r="A2134" s="68" t="s">
        <v>3027</v>
      </c>
      <c r="B2134" s="68" t="s">
        <v>2437</v>
      </c>
      <c r="C2134" s="68" t="n">
        <v>1.1</v>
      </c>
    </row>
    <row r="2135" customFormat="false" ht="15" hidden="false" customHeight="false" outlineLevel="0" collapsed="false">
      <c r="A2135" s="68" t="s">
        <v>3027</v>
      </c>
      <c r="B2135" s="68" t="s">
        <v>2442</v>
      </c>
      <c r="C2135" s="68" t="n">
        <v>1</v>
      </c>
    </row>
    <row r="2136" customFormat="false" ht="15" hidden="false" customHeight="false" outlineLevel="0" collapsed="false">
      <c r="A2136" s="68" t="s">
        <v>3027</v>
      </c>
      <c r="B2136" s="68" t="s">
        <v>2447</v>
      </c>
      <c r="C2136" s="68" t="n">
        <v>1</v>
      </c>
    </row>
    <row r="2137" customFormat="false" ht="15" hidden="false" customHeight="false" outlineLevel="0" collapsed="false">
      <c r="A2137" s="68" t="s">
        <v>3027</v>
      </c>
      <c r="B2137" s="68" t="s">
        <v>2452</v>
      </c>
      <c r="C2137" s="68" t="n">
        <v>1</v>
      </c>
    </row>
    <row r="2138" customFormat="false" ht="15" hidden="false" customHeight="false" outlineLevel="0" collapsed="false">
      <c r="A2138" s="68" t="s">
        <v>3027</v>
      </c>
      <c r="B2138" s="68" t="s">
        <v>2457</v>
      </c>
      <c r="C2138" s="68" t="n">
        <v>1.1</v>
      </c>
    </row>
    <row r="2139" customFormat="false" ht="15" hidden="false" customHeight="false" outlineLevel="0" collapsed="false">
      <c r="A2139" s="68" t="s">
        <v>3027</v>
      </c>
      <c r="B2139" s="68" t="s">
        <v>2462</v>
      </c>
      <c r="C2139" s="68" t="n">
        <v>23863.6363636364</v>
      </c>
    </row>
    <row r="2140" customFormat="false" ht="15" hidden="false" customHeight="false" outlineLevel="0" collapsed="false">
      <c r="A2140" s="68" t="s">
        <v>3027</v>
      </c>
      <c r="B2140" s="68" t="s">
        <v>2467</v>
      </c>
      <c r="C2140" s="68" t="n">
        <v>123.416</v>
      </c>
    </row>
    <row r="2141" customFormat="false" ht="15" hidden="false" customHeight="false" outlineLevel="0" collapsed="false">
      <c r="A2141" s="68" t="s">
        <v>3027</v>
      </c>
      <c r="B2141" s="68" t="s">
        <v>2471</v>
      </c>
      <c r="C2141" s="68" t="n">
        <v>123.416</v>
      </c>
    </row>
    <row r="2142" customFormat="false" ht="15" hidden="false" customHeight="false" outlineLevel="0" collapsed="false">
      <c r="A2142" s="68" t="s">
        <v>3027</v>
      </c>
      <c r="B2142" s="68" t="s">
        <v>2475</v>
      </c>
      <c r="C2142" s="68" t="s">
        <v>369</v>
      </c>
    </row>
    <row r="2143" customFormat="false" ht="15" hidden="false" customHeight="false" outlineLevel="0" collapsed="false">
      <c r="A2143" s="68" t="s">
        <v>3027</v>
      </c>
      <c r="B2143" s="68" t="s">
        <v>2480</v>
      </c>
      <c r="C2143" s="68" t="n">
        <v>23863.6363636364</v>
      </c>
    </row>
    <row r="2144" customFormat="false" ht="15" hidden="false" customHeight="false" outlineLevel="0" collapsed="false">
      <c r="A2144" s="68" t="s">
        <v>3027</v>
      </c>
      <c r="B2144" s="68" t="s">
        <v>2484</v>
      </c>
      <c r="C2144" s="68" t="n">
        <v>19822.3097613737</v>
      </c>
    </row>
    <row r="2145" customFormat="false" ht="15" hidden="false" customHeight="false" outlineLevel="0" collapsed="false">
      <c r="A2145" s="68" t="s">
        <v>3029</v>
      </c>
      <c r="B2145" s="68" t="s">
        <v>2284</v>
      </c>
      <c r="C2145" s="68" t="n">
        <v>0.953678474114442</v>
      </c>
    </row>
    <row r="2146" customFormat="false" ht="15" hidden="false" customHeight="false" outlineLevel="0" collapsed="false">
      <c r="A2146" s="68" t="s">
        <v>3029</v>
      </c>
      <c r="B2146" s="68" t="s">
        <v>2290</v>
      </c>
      <c r="C2146" s="68" t="s">
        <v>1881</v>
      </c>
    </row>
    <row r="2147" customFormat="false" ht="15" hidden="false" customHeight="false" outlineLevel="0" collapsed="false">
      <c r="A2147" s="68" t="s">
        <v>3029</v>
      </c>
      <c r="B2147" s="68" t="s">
        <v>2365</v>
      </c>
      <c r="C2147" s="68" t="n">
        <v>21000</v>
      </c>
    </row>
    <row r="2148" customFormat="false" ht="15" hidden="false" customHeight="false" outlineLevel="0" collapsed="false">
      <c r="A2148" s="68" t="s">
        <v>3029</v>
      </c>
      <c r="B2148" s="68" t="s">
        <v>2370</v>
      </c>
      <c r="C2148" s="68" t="n">
        <v>22171.444711199</v>
      </c>
    </row>
    <row r="2149" customFormat="false" ht="15" hidden="false" customHeight="false" outlineLevel="0" collapsed="false">
      <c r="A2149" s="68" t="s">
        <v>3029</v>
      </c>
      <c r="B2149" s="68" t="s">
        <v>2375</v>
      </c>
      <c r="C2149" s="68" t="n">
        <v>14600628000</v>
      </c>
    </row>
    <row r="2150" customFormat="false" ht="15" hidden="false" customHeight="false" outlineLevel="0" collapsed="false">
      <c r="A2150" s="68" t="s">
        <v>3029</v>
      </c>
      <c r="B2150" s="68" t="s">
        <v>2388</v>
      </c>
      <c r="C2150" s="68" t="n">
        <v>21000</v>
      </c>
    </row>
    <row r="2151" customFormat="false" ht="15" hidden="false" customHeight="false" outlineLevel="0" collapsed="false">
      <c r="A2151" s="68" t="s">
        <v>3029</v>
      </c>
      <c r="B2151" s="68" t="s">
        <v>2393</v>
      </c>
      <c r="C2151" s="68" t="n">
        <v>22171.444711199</v>
      </c>
    </row>
    <row r="2152" customFormat="false" ht="15" hidden="false" customHeight="false" outlineLevel="0" collapsed="false">
      <c r="A2152" s="68" t="s">
        <v>3029</v>
      </c>
      <c r="B2152" s="68" t="s">
        <v>2398</v>
      </c>
      <c r="C2152" s="68" t="n">
        <v>14600628000</v>
      </c>
    </row>
    <row r="2153" customFormat="false" ht="15" hidden="false" customHeight="false" outlineLevel="0" collapsed="false">
      <c r="A2153" s="68" t="s">
        <v>3029</v>
      </c>
      <c r="B2153" s="68" t="s">
        <v>2432</v>
      </c>
      <c r="C2153" s="68" t="s">
        <v>3201</v>
      </c>
    </row>
    <row r="2154" customFormat="false" ht="15" hidden="false" customHeight="false" outlineLevel="0" collapsed="false">
      <c r="A2154" s="68" t="s">
        <v>3029</v>
      </c>
      <c r="B2154" s="68" t="s">
        <v>2437</v>
      </c>
      <c r="C2154" s="68" t="n">
        <v>0.9</v>
      </c>
    </row>
    <row r="2155" customFormat="false" ht="15" hidden="false" customHeight="false" outlineLevel="0" collapsed="false">
      <c r="A2155" s="68" t="s">
        <v>3029</v>
      </c>
      <c r="B2155" s="68" t="s">
        <v>2442</v>
      </c>
      <c r="C2155" s="68" t="n">
        <v>1</v>
      </c>
    </row>
    <row r="2156" customFormat="false" ht="15" hidden="false" customHeight="false" outlineLevel="0" collapsed="false">
      <c r="A2156" s="68" t="s">
        <v>3029</v>
      </c>
      <c r="B2156" s="68" t="s">
        <v>2447</v>
      </c>
      <c r="C2156" s="68" t="n">
        <v>1</v>
      </c>
    </row>
    <row r="2157" customFormat="false" ht="15" hidden="false" customHeight="false" outlineLevel="0" collapsed="false">
      <c r="A2157" s="68" t="s">
        <v>3029</v>
      </c>
      <c r="B2157" s="68" t="s">
        <v>2452</v>
      </c>
      <c r="C2157" s="68" t="n">
        <v>1</v>
      </c>
    </row>
    <row r="2158" customFormat="false" ht="15" hidden="false" customHeight="false" outlineLevel="0" collapsed="false">
      <c r="A2158" s="68" t="s">
        <v>3029</v>
      </c>
      <c r="B2158" s="68" t="s">
        <v>2457</v>
      </c>
      <c r="C2158" s="68" t="n">
        <v>0.9</v>
      </c>
    </row>
    <row r="2159" customFormat="false" ht="15" hidden="false" customHeight="false" outlineLevel="0" collapsed="false">
      <c r="A2159" s="68" t="s">
        <v>3029</v>
      </c>
      <c r="B2159" s="68" t="s">
        <v>2462</v>
      </c>
      <c r="C2159" s="68" t="n">
        <v>23333.3333333333</v>
      </c>
    </row>
    <row r="2160" customFormat="false" ht="15" hidden="false" customHeight="false" outlineLevel="0" collapsed="false">
      <c r="A2160" s="68" t="s">
        <v>3029</v>
      </c>
      <c r="B2160" s="68" t="s">
        <v>2467</v>
      </c>
      <c r="C2160" s="68" t="n">
        <v>123.416</v>
      </c>
    </row>
    <row r="2161" customFormat="false" ht="15" hidden="false" customHeight="false" outlineLevel="0" collapsed="false">
      <c r="A2161" s="68" t="s">
        <v>3029</v>
      </c>
      <c r="B2161" s="68" t="s">
        <v>2471</v>
      </c>
      <c r="C2161" s="68" t="n">
        <v>123.416</v>
      </c>
    </row>
    <row r="2162" customFormat="false" ht="15" hidden="false" customHeight="false" outlineLevel="0" collapsed="false">
      <c r="A2162" s="68" t="s">
        <v>3029</v>
      </c>
      <c r="B2162" s="68" t="s">
        <v>2475</v>
      </c>
      <c r="C2162" s="68" t="s">
        <v>312</v>
      </c>
    </row>
    <row r="2163" customFormat="false" ht="15" hidden="false" customHeight="false" outlineLevel="0" collapsed="false">
      <c r="A2163" s="68" t="s">
        <v>3029</v>
      </c>
      <c r="B2163" s="68" t="s">
        <v>2480</v>
      </c>
      <c r="C2163" s="68" t="n">
        <v>23333.3333333333</v>
      </c>
    </row>
    <row r="2164" customFormat="false" ht="15" hidden="false" customHeight="false" outlineLevel="0" collapsed="false">
      <c r="A2164" s="68" t="s">
        <v>3029</v>
      </c>
      <c r="B2164" s="68" t="s">
        <v>2484</v>
      </c>
      <c r="C2164" s="68" t="n">
        <v>24006.8731241987</v>
      </c>
    </row>
    <row r="2165" customFormat="false" ht="15" hidden="false" customHeight="false" outlineLevel="0" collapsed="false">
      <c r="A2165" s="68" t="s">
        <v>3031</v>
      </c>
      <c r="B2165" s="68" t="s">
        <v>2284</v>
      </c>
      <c r="C2165" s="68" t="n">
        <v>4.64577656675749</v>
      </c>
    </row>
    <row r="2166" customFormat="false" ht="15" hidden="false" customHeight="false" outlineLevel="0" collapsed="false">
      <c r="A2166" s="68" t="s">
        <v>3031</v>
      </c>
      <c r="B2166" s="68" t="s">
        <v>2290</v>
      </c>
      <c r="C2166" s="68" t="s">
        <v>1881</v>
      </c>
    </row>
    <row r="2167" customFormat="false" ht="15" hidden="false" customHeight="false" outlineLevel="0" collapsed="false">
      <c r="A2167" s="68" t="s">
        <v>3031</v>
      </c>
      <c r="B2167" s="68" t="s">
        <v>2365</v>
      </c>
      <c r="C2167" s="68" t="n">
        <v>16000</v>
      </c>
    </row>
    <row r="2168" customFormat="false" ht="15" hidden="false" customHeight="false" outlineLevel="0" collapsed="false">
      <c r="A2168" s="68" t="s">
        <v>3031</v>
      </c>
      <c r="B2168" s="68" t="s">
        <v>2370</v>
      </c>
      <c r="C2168" s="68" t="n">
        <v>16892.5293037707</v>
      </c>
    </row>
    <row r="2169" customFormat="false" ht="15" hidden="false" customHeight="false" outlineLevel="0" collapsed="false">
      <c r="A2169" s="68" t="s">
        <v>3031</v>
      </c>
      <c r="B2169" s="68" t="s">
        <v>2375</v>
      </c>
      <c r="C2169" s="68" t="n">
        <v>11124288000</v>
      </c>
    </row>
    <row r="2170" customFormat="false" ht="15" hidden="false" customHeight="false" outlineLevel="0" collapsed="false">
      <c r="A2170" s="68" t="s">
        <v>3031</v>
      </c>
      <c r="B2170" s="68" t="s">
        <v>2388</v>
      </c>
      <c r="C2170" s="68" t="n">
        <v>16000</v>
      </c>
    </row>
    <row r="2171" customFormat="false" ht="15" hidden="false" customHeight="false" outlineLevel="0" collapsed="false">
      <c r="A2171" s="68" t="s">
        <v>3031</v>
      </c>
      <c r="B2171" s="68" t="s">
        <v>2393</v>
      </c>
      <c r="C2171" s="68" t="n">
        <v>16892.5293037707</v>
      </c>
    </row>
    <row r="2172" customFormat="false" ht="15" hidden="false" customHeight="false" outlineLevel="0" collapsed="false">
      <c r="A2172" s="68" t="s">
        <v>3031</v>
      </c>
      <c r="B2172" s="68" t="s">
        <v>2398</v>
      </c>
      <c r="C2172" s="68" t="n">
        <v>11124288000</v>
      </c>
    </row>
    <row r="2173" customFormat="false" ht="15" hidden="false" customHeight="false" outlineLevel="0" collapsed="false">
      <c r="A2173" s="68" t="s">
        <v>3031</v>
      </c>
      <c r="B2173" s="68" t="s">
        <v>2432</v>
      </c>
      <c r="C2173" s="68" t="s">
        <v>3201</v>
      </c>
    </row>
    <row r="2174" customFormat="false" ht="15" hidden="false" customHeight="false" outlineLevel="0" collapsed="false">
      <c r="A2174" s="68" t="s">
        <v>3031</v>
      </c>
      <c r="B2174" s="68" t="s">
        <v>2437</v>
      </c>
      <c r="C2174" s="68" t="n">
        <v>0.8</v>
      </c>
    </row>
    <row r="2175" customFormat="false" ht="15" hidden="false" customHeight="false" outlineLevel="0" collapsed="false">
      <c r="A2175" s="68" t="s">
        <v>3031</v>
      </c>
      <c r="B2175" s="68" t="s">
        <v>2442</v>
      </c>
      <c r="C2175" s="68" t="n">
        <v>1</v>
      </c>
    </row>
    <row r="2176" customFormat="false" ht="15" hidden="false" customHeight="false" outlineLevel="0" collapsed="false">
      <c r="A2176" s="68" t="s">
        <v>3031</v>
      </c>
      <c r="B2176" s="68" t="s">
        <v>2447</v>
      </c>
      <c r="C2176" s="68" t="n">
        <v>1</v>
      </c>
    </row>
    <row r="2177" customFormat="false" ht="15" hidden="false" customHeight="false" outlineLevel="0" collapsed="false">
      <c r="A2177" s="68" t="s">
        <v>3031</v>
      </c>
      <c r="B2177" s="68" t="s">
        <v>2452</v>
      </c>
      <c r="C2177" s="68" t="n">
        <v>1</v>
      </c>
    </row>
    <row r="2178" customFormat="false" ht="15" hidden="false" customHeight="false" outlineLevel="0" collapsed="false">
      <c r="A2178" s="68" t="s">
        <v>3031</v>
      </c>
      <c r="B2178" s="68" t="s">
        <v>2457</v>
      </c>
      <c r="C2178" s="68" t="n">
        <v>0.8</v>
      </c>
    </row>
    <row r="2179" customFormat="false" ht="15" hidden="false" customHeight="false" outlineLevel="0" collapsed="false">
      <c r="A2179" s="68" t="s">
        <v>3031</v>
      </c>
      <c r="B2179" s="68" t="s">
        <v>2462</v>
      </c>
      <c r="C2179" s="68" t="n">
        <v>20000</v>
      </c>
    </row>
    <row r="2180" customFormat="false" ht="15" hidden="false" customHeight="false" outlineLevel="0" collapsed="false">
      <c r="A2180" s="68" t="s">
        <v>3031</v>
      </c>
      <c r="B2180" s="68" t="s">
        <v>2467</v>
      </c>
      <c r="C2180" s="68" t="n">
        <v>123.416</v>
      </c>
    </row>
    <row r="2181" customFormat="false" ht="15" hidden="false" customHeight="false" outlineLevel="0" collapsed="false">
      <c r="A2181" s="68" t="s">
        <v>3031</v>
      </c>
      <c r="B2181" s="68" t="s">
        <v>2471</v>
      </c>
      <c r="C2181" s="68" t="n">
        <v>123.416</v>
      </c>
    </row>
    <row r="2182" customFormat="false" ht="15" hidden="false" customHeight="false" outlineLevel="0" collapsed="false">
      <c r="A2182" s="68" t="s">
        <v>3031</v>
      </c>
      <c r="B2182" s="68" t="s">
        <v>2475</v>
      </c>
      <c r="C2182" s="68" t="s">
        <v>312</v>
      </c>
    </row>
    <row r="2183" customFormat="false" ht="15" hidden="false" customHeight="false" outlineLevel="0" collapsed="false">
      <c r="A2183" s="68" t="s">
        <v>3031</v>
      </c>
      <c r="B2183" s="68" t="s">
        <v>2480</v>
      </c>
      <c r="C2183" s="68" t="n">
        <v>20000</v>
      </c>
    </row>
    <row r="2184" customFormat="false" ht="15" hidden="false" customHeight="false" outlineLevel="0" collapsed="false">
      <c r="A2184" s="68" t="s">
        <v>3031</v>
      </c>
      <c r="B2184" s="68" t="s">
        <v>2484</v>
      </c>
      <c r="C2184" s="68" t="n">
        <v>7957.83635775878</v>
      </c>
    </row>
    <row r="2185" customFormat="false" ht="15" hidden="false" customHeight="false" outlineLevel="0" collapsed="false">
      <c r="A2185" s="68" t="s">
        <v>3033</v>
      </c>
      <c r="B2185" s="68" t="s">
        <v>2284</v>
      </c>
      <c r="C2185" s="68" t="n">
        <v>400.885558583106</v>
      </c>
    </row>
    <row r="2186" customFormat="false" ht="15" hidden="false" customHeight="false" outlineLevel="0" collapsed="false">
      <c r="A2186" s="68" t="s">
        <v>3033</v>
      </c>
      <c r="B2186" s="68" t="s">
        <v>2290</v>
      </c>
      <c r="C2186" s="68" t="s">
        <v>1932</v>
      </c>
    </row>
    <row r="2187" customFormat="false" ht="15" hidden="false" customHeight="false" outlineLevel="0" collapsed="false">
      <c r="A2187" s="68" t="s">
        <v>3033</v>
      </c>
      <c r="B2187" s="68" t="s">
        <v>2365</v>
      </c>
      <c r="C2187" s="68" t="n">
        <v>309660.11</v>
      </c>
    </row>
    <row r="2188" customFormat="false" ht="15" hidden="false" customHeight="false" outlineLevel="0" collapsed="false">
      <c r="A2188" s="68" t="s">
        <v>3033</v>
      </c>
      <c r="B2188" s="68" t="s">
        <v>2370</v>
      </c>
      <c r="C2188" s="68" t="n">
        <v>326933.90514899</v>
      </c>
    </row>
    <row r="2189" customFormat="false" ht="15" hidden="false" customHeight="false" outlineLevel="0" collapsed="false">
      <c r="A2189" s="68" t="s">
        <v>3033</v>
      </c>
      <c r="B2189" s="68" t="s">
        <v>2375</v>
      </c>
      <c r="C2189" s="68" t="n">
        <v>215296765359.48</v>
      </c>
    </row>
    <row r="2190" customFormat="false" ht="15" hidden="false" customHeight="false" outlineLevel="0" collapsed="false">
      <c r="A2190" s="68" t="s">
        <v>3033</v>
      </c>
      <c r="B2190" s="68" t="s">
        <v>2388</v>
      </c>
      <c r="C2190" s="68" t="n">
        <v>309660.11</v>
      </c>
    </row>
    <row r="2191" customFormat="false" ht="15" hidden="false" customHeight="false" outlineLevel="0" collapsed="false">
      <c r="A2191" s="68" t="s">
        <v>3033</v>
      </c>
      <c r="B2191" s="68" t="s">
        <v>2393</v>
      </c>
      <c r="C2191" s="68" t="n">
        <v>326933.90514899</v>
      </c>
    </row>
    <row r="2192" customFormat="false" ht="15" hidden="false" customHeight="false" outlineLevel="0" collapsed="false">
      <c r="A2192" s="68" t="s">
        <v>3033</v>
      </c>
      <c r="B2192" s="68" t="s">
        <v>2398</v>
      </c>
      <c r="C2192" s="68" t="n">
        <v>215296765359.48</v>
      </c>
    </row>
    <row r="2193" customFormat="false" ht="15" hidden="false" customHeight="false" outlineLevel="0" collapsed="false">
      <c r="A2193" s="68" t="s">
        <v>3033</v>
      </c>
      <c r="B2193" s="68" t="s">
        <v>2432</v>
      </c>
      <c r="C2193" s="68" t="s">
        <v>3201</v>
      </c>
    </row>
    <row r="2194" customFormat="false" ht="15" hidden="false" customHeight="false" outlineLevel="0" collapsed="false">
      <c r="A2194" s="68" t="s">
        <v>3033</v>
      </c>
      <c r="B2194" s="68" t="s">
        <v>2437</v>
      </c>
      <c r="C2194" s="68" t="n">
        <v>0.8</v>
      </c>
    </row>
    <row r="2195" customFormat="false" ht="15" hidden="false" customHeight="false" outlineLevel="0" collapsed="false">
      <c r="A2195" s="68" t="s">
        <v>3033</v>
      </c>
      <c r="B2195" s="68" t="s">
        <v>2442</v>
      </c>
      <c r="C2195" s="68" t="n">
        <v>1</v>
      </c>
    </row>
    <row r="2196" customFormat="false" ht="15" hidden="false" customHeight="false" outlineLevel="0" collapsed="false">
      <c r="A2196" s="68" t="s">
        <v>3033</v>
      </c>
      <c r="B2196" s="68" t="s">
        <v>2447</v>
      </c>
      <c r="C2196" s="68" t="n">
        <v>1</v>
      </c>
    </row>
    <row r="2197" customFormat="false" ht="15" hidden="false" customHeight="false" outlineLevel="0" collapsed="false">
      <c r="A2197" s="68" t="s">
        <v>3033</v>
      </c>
      <c r="B2197" s="68" t="s">
        <v>2452</v>
      </c>
      <c r="C2197" s="68" t="n">
        <v>1</v>
      </c>
    </row>
    <row r="2198" customFormat="false" ht="15" hidden="false" customHeight="false" outlineLevel="0" collapsed="false">
      <c r="A2198" s="68" t="s">
        <v>3033</v>
      </c>
      <c r="B2198" s="68" t="s">
        <v>2457</v>
      </c>
      <c r="C2198" s="68" t="n">
        <v>0.8</v>
      </c>
    </row>
    <row r="2199" customFormat="false" ht="15" hidden="false" customHeight="false" outlineLevel="0" collapsed="false">
      <c r="A2199" s="68" t="s">
        <v>3033</v>
      </c>
      <c r="B2199" s="68" t="s">
        <v>2462</v>
      </c>
      <c r="C2199" s="68" t="n">
        <v>387075.1375</v>
      </c>
    </row>
    <row r="2200" customFormat="false" ht="15" hidden="false" customHeight="false" outlineLevel="0" collapsed="false">
      <c r="A2200" s="68" t="s">
        <v>3033</v>
      </c>
      <c r="B2200" s="68" t="s">
        <v>2467</v>
      </c>
      <c r="C2200" s="68" t="n">
        <v>123.416</v>
      </c>
    </row>
    <row r="2201" customFormat="false" ht="15" hidden="false" customHeight="false" outlineLevel="0" collapsed="false">
      <c r="A2201" s="68" t="s">
        <v>3033</v>
      </c>
      <c r="B2201" s="68" t="s">
        <v>2471</v>
      </c>
      <c r="C2201" s="68" t="n">
        <v>123.416</v>
      </c>
    </row>
    <row r="2202" customFormat="false" ht="15" hidden="false" customHeight="false" outlineLevel="0" collapsed="false">
      <c r="A2202" s="68" t="s">
        <v>3033</v>
      </c>
      <c r="B2202" s="68" t="s">
        <v>2475</v>
      </c>
      <c r="C2202" s="68" t="s">
        <v>312</v>
      </c>
    </row>
    <row r="2203" customFormat="false" ht="15" hidden="false" customHeight="false" outlineLevel="0" collapsed="false">
      <c r="A2203" s="68" t="s">
        <v>3033</v>
      </c>
      <c r="B2203" s="68" t="s">
        <v>2480</v>
      </c>
      <c r="C2203" s="68" t="n">
        <v>387075.1375</v>
      </c>
    </row>
    <row r="2204" customFormat="false" ht="15" hidden="false" customHeight="false" outlineLevel="0" collapsed="false">
      <c r="A2204" s="68" t="s">
        <v>3033</v>
      </c>
      <c r="B2204" s="68" t="s">
        <v>2484</v>
      </c>
      <c r="C2204" s="68" t="n">
        <v>10616.5407184603</v>
      </c>
    </row>
    <row r="2205" customFormat="false" ht="15" hidden="false" customHeight="false" outlineLevel="0" collapsed="false">
      <c r="A2205" s="68" t="s">
        <v>3036</v>
      </c>
      <c r="B2205" s="68" t="s">
        <v>2284</v>
      </c>
      <c r="C2205" s="68" t="n">
        <v>400.885558583106</v>
      </c>
    </row>
    <row r="2206" customFormat="false" ht="15" hidden="false" customHeight="false" outlineLevel="0" collapsed="false">
      <c r="A2206" s="68" t="s">
        <v>3036</v>
      </c>
      <c r="B2206" s="68" t="s">
        <v>2290</v>
      </c>
      <c r="C2206" s="68" t="s">
        <v>1932</v>
      </c>
    </row>
    <row r="2207" customFormat="false" ht="15" hidden="false" customHeight="false" outlineLevel="0" collapsed="false">
      <c r="A2207" s="68" t="s">
        <v>3036</v>
      </c>
      <c r="B2207" s="68" t="s">
        <v>2365</v>
      </c>
      <c r="C2207" s="68" t="n">
        <v>202973.76</v>
      </c>
    </row>
    <row r="2208" customFormat="false" ht="15" hidden="false" customHeight="false" outlineLevel="0" collapsed="false">
      <c r="A2208" s="68" t="s">
        <v>3036</v>
      </c>
      <c r="B2208" s="68" t="s">
        <v>2370</v>
      </c>
      <c r="C2208" s="68" t="n">
        <v>214296.261793532</v>
      </c>
    </row>
    <row r="2209" customFormat="false" ht="15" hidden="false" customHeight="false" outlineLevel="0" collapsed="false">
      <c r="A2209" s="68" t="s">
        <v>3036</v>
      </c>
      <c r="B2209" s="68" t="s">
        <v>2375</v>
      </c>
      <c r="C2209" s="68" t="n">
        <v>141121160167.68</v>
      </c>
    </row>
    <row r="2210" customFormat="false" ht="15" hidden="false" customHeight="false" outlineLevel="0" collapsed="false">
      <c r="A2210" s="68" t="s">
        <v>3036</v>
      </c>
      <c r="B2210" s="68" t="s">
        <v>2388</v>
      </c>
      <c r="C2210" s="68" t="n">
        <v>202973.76</v>
      </c>
    </row>
    <row r="2211" customFormat="false" ht="15" hidden="false" customHeight="false" outlineLevel="0" collapsed="false">
      <c r="A2211" s="68" t="s">
        <v>3036</v>
      </c>
      <c r="B2211" s="68" t="s">
        <v>2393</v>
      </c>
      <c r="C2211" s="68" t="n">
        <v>214296.261793532</v>
      </c>
    </row>
    <row r="2212" customFormat="false" ht="15" hidden="false" customHeight="false" outlineLevel="0" collapsed="false">
      <c r="A2212" s="68" t="s">
        <v>3036</v>
      </c>
      <c r="B2212" s="68" t="s">
        <v>2398</v>
      </c>
      <c r="C2212" s="68" t="n">
        <v>141121160167.68</v>
      </c>
    </row>
    <row r="2213" customFormat="false" ht="15" hidden="false" customHeight="false" outlineLevel="0" collapsed="false">
      <c r="A2213" s="68" t="s">
        <v>3036</v>
      </c>
      <c r="B2213" s="68" t="s">
        <v>2432</v>
      </c>
      <c r="C2213" s="68" t="s">
        <v>3201</v>
      </c>
    </row>
    <row r="2214" customFormat="false" ht="15" hidden="false" customHeight="false" outlineLevel="0" collapsed="false">
      <c r="A2214" s="68" t="s">
        <v>3036</v>
      </c>
      <c r="B2214" s="68" t="s">
        <v>2437</v>
      </c>
      <c r="C2214" s="68" t="n">
        <v>0.8</v>
      </c>
    </row>
    <row r="2215" customFormat="false" ht="15" hidden="false" customHeight="false" outlineLevel="0" collapsed="false">
      <c r="A2215" s="68" t="s">
        <v>3036</v>
      </c>
      <c r="B2215" s="68" t="s">
        <v>2442</v>
      </c>
      <c r="C2215" s="68" t="n">
        <v>1</v>
      </c>
    </row>
    <row r="2216" customFormat="false" ht="15" hidden="false" customHeight="false" outlineLevel="0" collapsed="false">
      <c r="A2216" s="68" t="s">
        <v>3036</v>
      </c>
      <c r="B2216" s="68" t="s">
        <v>2447</v>
      </c>
      <c r="C2216" s="68" t="n">
        <v>1.35</v>
      </c>
    </row>
    <row r="2217" customFormat="false" ht="15" hidden="false" customHeight="false" outlineLevel="0" collapsed="false">
      <c r="A2217" s="68" t="s">
        <v>3036</v>
      </c>
      <c r="B2217" s="68" t="s">
        <v>2452</v>
      </c>
      <c r="C2217" s="68" t="n">
        <v>1</v>
      </c>
    </row>
    <row r="2218" customFormat="false" ht="15" hidden="false" customHeight="false" outlineLevel="0" collapsed="false">
      <c r="A2218" s="68" t="s">
        <v>3036</v>
      </c>
      <c r="B2218" s="68" t="s">
        <v>2457</v>
      </c>
      <c r="C2218" s="68" t="n">
        <v>1.08</v>
      </c>
    </row>
    <row r="2219" customFormat="false" ht="15" hidden="false" customHeight="false" outlineLevel="0" collapsed="false">
      <c r="A2219" s="68" t="s">
        <v>3036</v>
      </c>
      <c r="B2219" s="68" t="s">
        <v>2462</v>
      </c>
      <c r="C2219" s="68" t="n">
        <v>187938.666666667</v>
      </c>
    </row>
    <row r="2220" customFormat="false" ht="15" hidden="false" customHeight="false" outlineLevel="0" collapsed="false">
      <c r="A2220" s="68" t="s">
        <v>3036</v>
      </c>
      <c r="B2220" s="68" t="s">
        <v>2467</v>
      </c>
      <c r="C2220" s="68" t="n">
        <v>123.416</v>
      </c>
    </row>
    <row r="2221" customFormat="false" ht="15" hidden="false" customHeight="false" outlineLevel="0" collapsed="false">
      <c r="A2221" s="68" t="s">
        <v>3036</v>
      </c>
      <c r="B2221" s="68" t="s">
        <v>2471</v>
      </c>
      <c r="C2221" s="68" t="n">
        <v>123.416</v>
      </c>
    </row>
    <row r="2222" customFormat="false" ht="15" hidden="false" customHeight="false" outlineLevel="0" collapsed="false">
      <c r="A2222" s="68" t="s">
        <v>3036</v>
      </c>
      <c r="B2222" s="68" t="s">
        <v>2475</v>
      </c>
      <c r="C2222" s="68" t="s">
        <v>312</v>
      </c>
    </row>
    <row r="2223" customFormat="false" ht="15" hidden="false" customHeight="false" outlineLevel="0" collapsed="false">
      <c r="A2223" s="68" t="s">
        <v>3036</v>
      </c>
      <c r="B2223" s="68" t="s">
        <v>2480</v>
      </c>
      <c r="C2223" s="68" t="n">
        <v>187938.666666667</v>
      </c>
    </row>
    <row r="2224" customFormat="false" ht="15" hidden="false" customHeight="false" outlineLevel="0" collapsed="false">
      <c r="A2224" s="68" t="s">
        <v>3036</v>
      </c>
      <c r="B2224" s="68" t="s">
        <v>2484</v>
      </c>
      <c r="C2224" s="68" t="n">
        <v>5154.70593158365</v>
      </c>
    </row>
    <row r="2225" customFormat="false" ht="15" hidden="false" customHeight="false" outlineLevel="0" collapsed="false">
      <c r="A2225" s="68" t="s">
        <v>3038</v>
      </c>
      <c r="B2225" s="68" t="s">
        <v>2284</v>
      </c>
      <c r="C2225" s="68" t="n">
        <v>8.01771117166213</v>
      </c>
    </row>
    <row r="2226" customFormat="false" ht="15" hidden="false" customHeight="false" outlineLevel="0" collapsed="false">
      <c r="A2226" s="68" t="s">
        <v>3038</v>
      </c>
      <c r="B2226" s="68" t="s">
        <v>2290</v>
      </c>
      <c r="C2226" s="68" t="s">
        <v>1932</v>
      </c>
    </row>
    <row r="2227" customFormat="false" ht="15" hidden="false" customHeight="false" outlineLevel="0" collapsed="false">
      <c r="A2227" s="68" t="s">
        <v>3038</v>
      </c>
      <c r="B2227" s="68" t="s">
        <v>2365</v>
      </c>
      <c r="C2227" s="68" t="n">
        <v>26808.07</v>
      </c>
    </row>
    <row r="2228" customFormat="false" ht="15" hidden="false" customHeight="false" outlineLevel="0" collapsed="false">
      <c r="A2228" s="68" t="s">
        <v>3038</v>
      </c>
      <c r="B2228" s="68" t="s">
        <v>2370</v>
      </c>
      <c r="C2228" s="68" t="n">
        <v>28303.5067532834</v>
      </c>
    </row>
    <row r="2229" customFormat="false" ht="15" hidden="false" customHeight="false" outlineLevel="0" collapsed="false">
      <c r="A2229" s="68" t="s">
        <v>3038</v>
      </c>
      <c r="B2229" s="68" t="s">
        <v>2375</v>
      </c>
      <c r="C2229" s="68" t="n">
        <v>18638793212.76</v>
      </c>
    </row>
    <row r="2230" customFormat="false" ht="15" hidden="false" customHeight="false" outlineLevel="0" collapsed="false">
      <c r="A2230" s="68" t="s">
        <v>3038</v>
      </c>
      <c r="B2230" s="68" t="s">
        <v>2388</v>
      </c>
      <c r="C2230" s="68" t="n">
        <v>26808.07</v>
      </c>
    </row>
    <row r="2231" customFormat="false" ht="15" hidden="false" customHeight="false" outlineLevel="0" collapsed="false">
      <c r="A2231" s="68" t="s">
        <v>3038</v>
      </c>
      <c r="B2231" s="68" t="s">
        <v>2393</v>
      </c>
      <c r="C2231" s="68" t="n">
        <v>28303.5067532834</v>
      </c>
    </row>
    <row r="2232" customFormat="false" ht="15" hidden="false" customHeight="false" outlineLevel="0" collapsed="false">
      <c r="A2232" s="68" t="s">
        <v>3038</v>
      </c>
      <c r="B2232" s="68" t="s">
        <v>2398</v>
      </c>
      <c r="C2232" s="68" t="n">
        <v>18638793212.76</v>
      </c>
    </row>
    <row r="2233" customFormat="false" ht="15" hidden="false" customHeight="false" outlineLevel="0" collapsed="false">
      <c r="A2233" s="68" t="s">
        <v>3038</v>
      </c>
      <c r="B2233" s="68" t="s">
        <v>2432</v>
      </c>
      <c r="C2233" s="68" t="s">
        <v>3201</v>
      </c>
    </row>
    <row r="2234" customFormat="false" ht="15" hidden="false" customHeight="false" outlineLevel="0" collapsed="false">
      <c r="A2234" s="68" t="s">
        <v>3038</v>
      </c>
      <c r="B2234" s="68" t="s">
        <v>2437</v>
      </c>
      <c r="C2234" s="68" t="n">
        <v>0.8</v>
      </c>
    </row>
    <row r="2235" customFormat="false" ht="15" hidden="false" customHeight="false" outlineLevel="0" collapsed="false">
      <c r="A2235" s="68" t="s">
        <v>3038</v>
      </c>
      <c r="B2235" s="68" t="s">
        <v>2442</v>
      </c>
      <c r="C2235" s="68" t="n">
        <v>1</v>
      </c>
    </row>
    <row r="2236" customFormat="false" ht="15" hidden="false" customHeight="false" outlineLevel="0" collapsed="false">
      <c r="A2236" s="68" t="s">
        <v>3038</v>
      </c>
      <c r="B2236" s="68" t="s">
        <v>2447</v>
      </c>
      <c r="C2236" s="68" t="n">
        <v>1</v>
      </c>
    </row>
    <row r="2237" customFormat="false" ht="15" hidden="false" customHeight="false" outlineLevel="0" collapsed="false">
      <c r="A2237" s="68" t="s">
        <v>3038</v>
      </c>
      <c r="B2237" s="68" t="s">
        <v>2452</v>
      </c>
      <c r="C2237" s="68" t="n">
        <v>1</v>
      </c>
    </row>
    <row r="2238" customFormat="false" ht="15" hidden="false" customHeight="false" outlineLevel="0" collapsed="false">
      <c r="A2238" s="68" t="s">
        <v>3038</v>
      </c>
      <c r="B2238" s="68" t="s">
        <v>2457</v>
      </c>
      <c r="C2238" s="68" t="n">
        <v>0.8</v>
      </c>
    </row>
    <row r="2239" customFormat="false" ht="15" hidden="false" customHeight="false" outlineLevel="0" collapsed="false">
      <c r="A2239" s="68" t="s">
        <v>3038</v>
      </c>
      <c r="B2239" s="68" t="s">
        <v>2462</v>
      </c>
      <c r="C2239" s="68" t="n">
        <v>33510.0875</v>
      </c>
    </row>
    <row r="2240" customFormat="false" ht="15" hidden="false" customHeight="false" outlineLevel="0" collapsed="false">
      <c r="A2240" s="68" t="s">
        <v>3038</v>
      </c>
      <c r="B2240" s="68" t="s">
        <v>2467</v>
      </c>
      <c r="C2240" s="68" t="n">
        <v>123.416</v>
      </c>
    </row>
    <row r="2241" customFormat="false" ht="15" hidden="false" customHeight="false" outlineLevel="0" collapsed="false">
      <c r="A2241" s="68" t="s">
        <v>3038</v>
      </c>
      <c r="B2241" s="68" t="s">
        <v>2471</v>
      </c>
      <c r="C2241" s="68" t="n">
        <v>123.416</v>
      </c>
    </row>
    <row r="2242" customFormat="false" ht="15" hidden="false" customHeight="false" outlineLevel="0" collapsed="false">
      <c r="A2242" s="68" t="s">
        <v>3038</v>
      </c>
      <c r="B2242" s="68" t="s">
        <v>2475</v>
      </c>
      <c r="C2242" s="68" t="s">
        <v>312</v>
      </c>
    </row>
    <row r="2243" customFormat="false" ht="15" hidden="false" customHeight="false" outlineLevel="0" collapsed="false">
      <c r="A2243" s="68" t="s">
        <v>3038</v>
      </c>
      <c r="B2243" s="68" t="s">
        <v>2480</v>
      </c>
      <c r="C2243" s="68" t="n">
        <v>33510.0875</v>
      </c>
    </row>
    <row r="2244" customFormat="false" ht="15" hidden="false" customHeight="false" outlineLevel="0" collapsed="false">
      <c r="A2244" s="68" t="s">
        <v>3038</v>
      </c>
      <c r="B2244" s="68" t="s">
        <v>2484</v>
      </c>
      <c r="C2244" s="68" t="n">
        <v>9610.48527185941</v>
      </c>
    </row>
    <row r="2245" customFormat="false" ht="15" hidden="false" customHeight="false" outlineLevel="0" collapsed="false">
      <c r="A2245" s="68" t="s">
        <v>3041</v>
      </c>
      <c r="B2245" s="68" t="s">
        <v>2284</v>
      </c>
      <c r="C2245" s="68"/>
    </row>
    <row r="2246" customFormat="false" ht="15" hidden="false" customHeight="false" outlineLevel="0" collapsed="false">
      <c r="A2246" s="68" t="s">
        <v>3041</v>
      </c>
      <c r="B2246" s="68" t="s">
        <v>2290</v>
      </c>
      <c r="C2246" s="68" t="s">
        <v>123</v>
      </c>
    </row>
    <row r="2247" customFormat="false" ht="15" hidden="false" customHeight="false" outlineLevel="0" collapsed="false">
      <c r="A2247" s="68" t="s">
        <v>3041</v>
      </c>
      <c r="B2247" s="68" t="s">
        <v>2365</v>
      </c>
      <c r="C2247" s="68" t="n">
        <v>2467.25946687457</v>
      </c>
    </row>
    <row r="2248" customFormat="false" ht="15" hidden="false" customHeight="false" outlineLevel="0" collapsed="false">
      <c r="A2248" s="68" t="s">
        <v>3041</v>
      </c>
      <c r="B2248" s="68" t="s">
        <v>2370</v>
      </c>
      <c r="C2248" s="68" t="n">
        <v>3225.8064516129</v>
      </c>
    </row>
    <row r="2249" customFormat="false" ht="15" hidden="false" customHeight="false" outlineLevel="0" collapsed="false">
      <c r="A2249" s="68" t="s">
        <v>3041</v>
      </c>
      <c r="B2249" s="68" t="s">
        <v>2375</v>
      </c>
      <c r="C2249" s="68" t="n">
        <v>100000000</v>
      </c>
    </row>
    <row r="2250" customFormat="false" ht="15" hidden="false" customHeight="false" outlineLevel="0" collapsed="false">
      <c r="A2250" s="68" t="s">
        <v>3041</v>
      </c>
      <c r="B2250" s="68" t="s">
        <v>2388</v>
      </c>
      <c r="C2250" s="68" t="n">
        <v>3333.4350812155</v>
      </c>
    </row>
    <row r="2251" customFormat="false" ht="15" hidden="false" customHeight="false" outlineLevel="0" collapsed="false">
      <c r="A2251" s="68" t="s">
        <v>3041</v>
      </c>
      <c r="B2251" s="68" t="s">
        <v>2393</v>
      </c>
      <c r="C2251" s="68" t="n">
        <v>3519.38436197812</v>
      </c>
    </row>
    <row r="2252" customFormat="false" ht="15" hidden="false" customHeight="false" outlineLevel="0" collapsed="false">
      <c r="A2252" s="68" t="s">
        <v>3041</v>
      </c>
      <c r="B2252" s="68" t="s">
        <v>2398</v>
      </c>
      <c r="C2252" s="68" t="n">
        <v>2317630742.04654</v>
      </c>
    </row>
    <row r="2253" customFormat="false" ht="15" hidden="false" customHeight="false" outlineLevel="0" collapsed="false">
      <c r="A2253" s="68" t="s">
        <v>3041</v>
      </c>
      <c r="B2253" s="68" t="s">
        <v>2432</v>
      </c>
      <c r="C2253" s="68" t="s">
        <v>3202</v>
      </c>
    </row>
    <row r="2254" customFormat="false" ht="15" hidden="false" customHeight="false" outlineLevel="0" collapsed="false">
      <c r="A2254" s="68" t="s">
        <v>3041</v>
      </c>
      <c r="B2254" s="68" t="s">
        <v>2437</v>
      </c>
      <c r="C2254" s="68" t="n">
        <v>1.35</v>
      </c>
    </row>
    <row r="2255" customFormat="false" ht="15" hidden="false" customHeight="false" outlineLevel="0" collapsed="false">
      <c r="A2255" s="68" t="s">
        <v>3041</v>
      </c>
      <c r="B2255" s="68" t="s">
        <v>2442</v>
      </c>
      <c r="C2255" s="68" t="n">
        <v>1</v>
      </c>
    </row>
    <row r="2256" customFormat="false" ht="15" hidden="false" customHeight="false" outlineLevel="0" collapsed="false">
      <c r="A2256" s="68" t="s">
        <v>3041</v>
      </c>
      <c r="B2256" s="68" t="s">
        <v>2447</v>
      </c>
      <c r="C2256" s="68" t="n">
        <v>1</v>
      </c>
    </row>
    <row r="2257" customFormat="false" ht="15" hidden="false" customHeight="false" outlineLevel="0" collapsed="false">
      <c r="A2257" s="68" t="s">
        <v>3041</v>
      </c>
      <c r="B2257" s="68" t="s">
        <v>2452</v>
      </c>
      <c r="C2257" s="68" t="n">
        <v>1</v>
      </c>
    </row>
    <row r="2258" customFormat="false" ht="15" hidden="false" customHeight="false" outlineLevel="0" collapsed="false">
      <c r="A2258" s="68" t="s">
        <v>3041</v>
      </c>
      <c r="B2258" s="68" t="s">
        <v>2457</v>
      </c>
      <c r="C2258" s="68" t="n">
        <v>1.35</v>
      </c>
    </row>
    <row r="2259" customFormat="false" ht="15" hidden="false" customHeight="false" outlineLevel="0" collapsed="false">
      <c r="A2259" s="68" t="s">
        <v>3041</v>
      </c>
      <c r="B2259" s="68" t="s">
        <v>2462</v>
      </c>
      <c r="C2259" s="68" t="n">
        <v>1827.59960509228</v>
      </c>
    </row>
    <row r="2260" customFormat="false" ht="15" hidden="false" customHeight="false" outlineLevel="0" collapsed="false">
      <c r="A2260" s="68" t="s">
        <v>3041</v>
      </c>
      <c r="B2260" s="68" t="s">
        <v>2467</v>
      </c>
      <c r="C2260" s="68" t="n">
        <v>91.347</v>
      </c>
    </row>
    <row r="2261" customFormat="false" ht="15" hidden="false" customHeight="false" outlineLevel="0" collapsed="false">
      <c r="A2261" s="68" t="s">
        <v>3041</v>
      </c>
      <c r="B2261" s="68" t="s">
        <v>2471</v>
      </c>
      <c r="C2261" s="68" t="n">
        <v>123.416</v>
      </c>
    </row>
    <row r="2262" customFormat="false" ht="15" hidden="false" customHeight="false" outlineLevel="0" collapsed="false">
      <c r="A2262" s="68" t="s">
        <v>3041</v>
      </c>
      <c r="B2262" s="68" t="s">
        <v>2475</v>
      </c>
      <c r="C2262" s="68" t="s">
        <v>312</v>
      </c>
    </row>
    <row r="2263" customFormat="false" ht="15" hidden="false" customHeight="false" outlineLevel="0" collapsed="false">
      <c r="A2263" s="68" t="s">
        <v>3041</v>
      </c>
      <c r="B2263" s="68" t="s">
        <v>2480</v>
      </c>
      <c r="C2263" s="68" t="n">
        <v>2469.21117127074</v>
      </c>
    </row>
    <row r="2264" customFormat="false" ht="15" hidden="false" customHeight="false" outlineLevel="0" collapsed="false">
      <c r="A2264" s="68" t="s">
        <v>3041</v>
      </c>
      <c r="B2264" s="68" t="s">
        <v>2484</v>
      </c>
      <c r="C2264" s="68"/>
    </row>
    <row r="2265" customFormat="false" ht="15" hidden="false" customHeight="false" outlineLevel="0" collapsed="false">
      <c r="A2265" s="68" t="s">
        <v>3046</v>
      </c>
      <c r="B2265" s="68" t="s">
        <v>2284</v>
      </c>
      <c r="C2265" s="68"/>
    </row>
    <row r="2266" customFormat="false" ht="15" hidden="false" customHeight="false" outlineLevel="0" collapsed="false">
      <c r="A2266" s="68" t="s">
        <v>3046</v>
      </c>
      <c r="B2266" s="68" t="s">
        <v>2290</v>
      </c>
      <c r="C2266" s="68" t="s">
        <v>123</v>
      </c>
    </row>
    <row r="2267" customFormat="false" ht="15" hidden="false" customHeight="false" outlineLevel="0" collapsed="false">
      <c r="A2267" s="68" t="s">
        <v>3046</v>
      </c>
      <c r="B2267" s="68" t="s">
        <v>2365</v>
      </c>
      <c r="C2267" s="68" t="n">
        <v>2467.25946687457</v>
      </c>
    </row>
    <row r="2268" customFormat="false" ht="15" hidden="false" customHeight="false" outlineLevel="0" collapsed="false">
      <c r="A2268" s="68" t="s">
        <v>3046</v>
      </c>
      <c r="B2268" s="68" t="s">
        <v>2370</v>
      </c>
      <c r="C2268" s="68" t="n">
        <v>3225.8064516129</v>
      </c>
    </row>
    <row r="2269" customFormat="false" ht="15" hidden="false" customHeight="false" outlineLevel="0" collapsed="false">
      <c r="A2269" s="68" t="s">
        <v>3046</v>
      </c>
      <c r="B2269" s="68" t="s">
        <v>2375</v>
      </c>
      <c r="C2269" s="68" t="n">
        <v>100000000</v>
      </c>
    </row>
    <row r="2270" customFormat="false" ht="15" hidden="false" customHeight="false" outlineLevel="0" collapsed="false">
      <c r="A2270" s="68" t="s">
        <v>3046</v>
      </c>
      <c r="B2270" s="68" t="s">
        <v>2388</v>
      </c>
      <c r="C2270" s="68" t="n">
        <v>3333.4350812155</v>
      </c>
    </row>
    <row r="2271" customFormat="false" ht="15" hidden="false" customHeight="false" outlineLevel="0" collapsed="false">
      <c r="A2271" s="68" t="s">
        <v>3046</v>
      </c>
      <c r="B2271" s="68" t="s">
        <v>2393</v>
      </c>
      <c r="C2271" s="68" t="n">
        <v>3519.38436197812</v>
      </c>
    </row>
    <row r="2272" customFormat="false" ht="15" hidden="false" customHeight="false" outlineLevel="0" collapsed="false">
      <c r="A2272" s="68" t="s">
        <v>3046</v>
      </c>
      <c r="B2272" s="68" t="s">
        <v>2398</v>
      </c>
      <c r="C2272" s="68" t="n">
        <v>2317630742.04654</v>
      </c>
    </row>
    <row r="2273" customFormat="false" ht="15" hidden="false" customHeight="false" outlineLevel="0" collapsed="false">
      <c r="A2273" s="68" t="s">
        <v>3046</v>
      </c>
      <c r="B2273" s="68" t="s">
        <v>2432</v>
      </c>
      <c r="C2273" s="68" t="s">
        <v>3202</v>
      </c>
    </row>
    <row r="2274" customFormat="false" ht="15" hidden="false" customHeight="false" outlineLevel="0" collapsed="false">
      <c r="A2274" s="68" t="s">
        <v>3046</v>
      </c>
      <c r="B2274" s="68" t="s">
        <v>2437</v>
      </c>
      <c r="C2274" s="68" t="n">
        <v>1.35</v>
      </c>
    </row>
    <row r="2275" customFormat="false" ht="15" hidden="false" customHeight="false" outlineLevel="0" collapsed="false">
      <c r="A2275" s="68" t="s">
        <v>3046</v>
      </c>
      <c r="B2275" s="68" t="s">
        <v>2442</v>
      </c>
      <c r="C2275" s="68" t="n">
        <v>1</v>
      </c>
    </row>
    <row r="2276" customFormat="false" ht="15" hidden="false" customHeight="false" outlineLevel="0" collapsed="false">
      <c r="A2276" s="68" t="s">
        <v>3046</v>
      </c>
      <c r="B2276" s="68" t="s">
        <v>2447</v>
      </c>
      <c r="C2276" s="68" t="n">
        <v>1</v>
      </c>
    </row>
    <row r="2277" customFormat="false" ht="15" hidden="false" customHeight="false" outlineLevel="0" collapsed="false">
      <c r="A2277" s="68" t="s">
        <v>3046</v>
      </c>
      <c r="B2277" s="68" t="s">
        <v>2452</v>
      </c>
      <c r="C2277" s="68" t="n">
        <v>1</v>
      </c>
    </row>
    <row r="2278" customFormat="false" ht="15" hidden="false" customHeight="false" outlineLevel="0" collapsed="false">
      <c r="A2278" s="68" t="s">
        <v>3046</v>
      </c>
      <c r="B2278" s="68" t="s">
        <v>2457</v>
      </c>
      <c r="C2278" s="68" t="n">
        <v>1.35</v>
      </c>
    </row>
    <row r="2279" customFormat="false" ht="15" hidden="false" customHeight="false" outlineLevel="0" collapsed="false">
      <c r="A2279" s="68" t="s">
        <v>3046</v>
      </c>
      <c r="B2279" s="68" t="s">
        <v>2462</v>
      </c>
      <c r="C2279" s="68" t="n">
        <v>1827.59960509228</v>
      </c>
    </row>
    <row r="2280" customFormat="false" ht="15" hidden="false" customHeight="false" outlineLevel="0" collapsed="false">
      <c r="A2280" s="68" t="s">
        <v>3046</v>
      </c>
      <c r="B2280" s="68" t="s">
        <v>2467</v>
      </c>
      <c r="C2280" s="68" t="n">
        <v>91.347</v>
      </c>
    </row>
    <row r="2281" customFormat="false" ht="15" hidden="false" customHeight="false" outlineLevel="0" collapsed="false">
      <c r="A2281" s="68" t="s">
        <v>3046</v>
      </c>
      <c r="B2281" s="68" t="s">
        <v>2471</v>
      </c>
      <c r="C2281" s="68" t="n">
        <v>123.416</v>
      </c>
    </row>
    <row r="2282" customFormat="false" ht="15" hidden="false" customHeight="false" outlineLevel="0" collapsed="false">
      <c r="A2282" s="68" t="s">
        <v>3046</v>
      </c>
      <c r="B2282" s="68" t="s">
        <v>2475</v>
      </c>
      <c r="C2282" s="68" t="s">
        <v>312</v>
      </c>
    </row>
    <row r="2283" customFormat="false" ht="15" hidden="false" customHeight="false" outlineLevel="0" collapsed="false">
      <c r="A2283" s="68" t="s">
        <v>3046</v>
      </c>
      <c r="B2283" s="68" t="s">
        <v>2480</v>
      </c>
      <c r="C2283" s="68" t="n">
        <v>2469.21117127074</v>
      </c>
    </row>
    <row r="2284" customFormat="false" ht="15" hidden="false" customHeight="false" outlineLevel="0" collapsed="false">
      <c r="A2284" s="68" t="s">
        <v>3046</v>
      </c>
      <c r="B2284" s="68" t="s">
        <v>2484</v>
      </c>
      <c r="C2284" s="68"/>
    </row>
    <row r="2285" customFormat="false" ht="15" hidden="false" customHeight="false" outlineLevel="0" collapsed="false">
      <c r="A2285" s="68" t="s">
        <v>3050</v>
      </c>
      <c r="B2285" s="68" t="s">
        <v>2284</v>
      </c>
      <c r="C2285" s="68" t="n">
        <v>54.3</v>
      </c>
    </row>
    <row r="2286" customFormat="false" ht="15" hidden="false" customHeight="false" outlineLevel="0" collapsed="false">
      <c r="A2286" s="68" t="s">
        <v>3050</v>
      </c>
      <c r="B2286" s="68" t="s">
        <v>2290</v>
      </c>
      <c r="C2286" s="68" t="s">
        <v>123</v>
      </c>
    </row>
    <row r="2287" customFormat="false" ht="15" hidden="false" customHeight="false" outlineLevel="0" collapsed="false">
      <c r="A2287" s="68" t="s">
        <v>3050</v>
      </c>
      <c r="B2287" s="68" t="s">
        <v>2365</v>
      </c>
      <c r="C2287" s="68"/>
    </row>
    <row r="2288" customFormat="false" ht="15" hidden="false" customHeight="false" outlineLevel="0" collapsed="false">
      <c r="A2288" s="68" t="s">
        <v>3050</v>
      </c>
      <c r="B2288" s="68" t="s">
        <v>2370</v>
      </c>
      <c r="C2288" s="68"/>
    </row>
    <row r="2289" customFormat="false" ht="15" hidden="false" customHeight="false" outlineLevel="0" collapsed="false">
      <c r="A2289" s="68" t="s">
        <v>3050</v>
      </c>
      <c r="B2289" s="68" t="s">
        <v>2375</v>
      </c>
      <c r="C2289" s="68"/>
    </row>
    <row r="2290" customFormat="false" ht="15" hidden="false" customHeight="false" outlineLevel="0" collapsed="false">
      <c r="A2290" s="68" t="s">
        <v>3050</v>
      </c>
      <c r="B2290" s="68" t="s">
        <v>2388</v>
      </c>
      <c r="C2290" s="68"/>
    </row>
    <row r="2291" customFormat="false" ht="15" hidden="false" customHeight="false" outlineLevel="0" collapsed="false">
      <c r="A2291" s="68" t="s">
        <v>3050</v>
      </c>
      <c r="B2291" s="68" t="s">
        <v>2393</v>
      </c>
      <c r="C2291" s="68"/>
    </row>
    <row r="2292" customFormat="false" ht="15" hidden="false" customHeight="false" outlineLevel="0" collapsed="false">
      <c r="A2292" s="68" t="s">
        <v>3050</v>
      </c>
      <c r="B2292" s="68" t="s">
        <v>2398</v>
      </c>
      <c r="C2292" s="68"/>
    </row>
    <row r="2293" customFormat="false" ht="15" hidden="false" customHeight="false" outlineLevel="0" collapsed="false">
      <c r="A2293" s="68" t="s">
        <v>3050</v>
      </c>
      <c r="B2293" s="68" t="s">
        <v>2432</v>
      </c>
      <c r="C2293" s="68" t="s">
        <v>3162</v>
      </c>
    </row>
    <row r="2294" customFormat="false" ht="15" hidden="false" customHeight="false" outlineLevel="0" collapsed="false">
      <c r="A2294" s="68" t="s">
        <v>3050</v>
      </c>
      <c r="B2294" s="68" t="s">
        <v>2437</v>
      </c>
      <c r="C2294" s="68" t="n">
        <v>1</v>
      </c>
    </row>
    <row r="2295" customFormat="false" ht="15" hidden="false" customHeight="false" outlineLevel="0" collapsed="false">
      <c r="A2295" s="68" t="s">
        <v>3050</v>
      </c>
      <c r="B2295" s="68" t="s">
        <v>2442</v>
      </c>
      <c r="C2295" s="68" t="n">
        <v>1</v>
      </c>
    </row>
    <row r="2296" customFormat="false" ht="15" hidden="false" customHeight="false" outlineLevel="0" collapsed="false">
      <c r="A2296" s="68" t="s">
        <v>3050</v>
      </c>
      <c r="B2296" s="68" t="s">
        <v>2447</v>
      </c>
      <c r="C2296" s="68" t="n">
        <v>1</v>
      </c>
    </row>
    <row r="2297" customFormat="false" ht="15" hidden="false" customHeight="false" outlineLevel="0" collapsed="false">
      <c r="A2297" s="68" t="s">
        <v>3050</v>
      </c>
      <c r="B2297" s="68" t="s">
        <v>2452</v>
      </c>
      <c r="C2297" s="68" t="n">
        <v>1</v>
      </c>
    </row>
    <row r="2298" customFormat="false" ht="15" hidden="false" customHeight="false" outlineLevel="0" collapsed="false">
      <c r="A2298" s="68" t="s">
        <v>3050</v>
      </c>
      <c r="B2298" s="68" t="s">
        <v>2457</v>
      </c>
      <c r="C2298" s="68" t="n">
        <v>1</v>
      </c>
    </row>
    <row r="2299" customFormat="false" ht="15" hidden="false" customHeight="false" outlineLevel="0" collapsed="false">
      <c r="A2299" s="68" t="s">
        <v>3050</v>
      </c>
      <c r="B2299" s="68" t="s">
        <v>2462</v>
      </c>
      <c r="C2299" s="68"/>
    </row>
    <row r="2300" customFormat="false" ht="15" hidden="false" customHeight="false" outlineLevel="0" collapsed="false">
      <c r="A2300" s="68" t="s">
        <v>3050</v>
      </c>
      <c r="B2300" s="68" t="s">
        <v>2467</v>
      </c>
      <c r="C2300" s="68"/>
    </row>
    <row r="2301" customFormat="false" ht="15" hidden="false" customHeight="false" outlineLevel="0" collapsed="false">
      <c r="A2301" s="68" t="s">
        <v>3050</v>
      </c>
      <c r="B2301" s="68" t="s">
        <v>2471</v>
      </c>
      <c r="C2301" s="68" t="n">
        <v>123.416</v>
      </c>
    </row>
    <row r="2302" customFormat="false" ht="15" hidden="false" customHeight="false" outlineLevel="0" collapsed="false">
      <c r="A2302" s="68" t="s">
        <v>3050</v>
      </c>
      <c r="B2302" s="68" t="s">
        <v>2475</v>
      </c>
      <c r="C2302" s="68" t="s">
        <v>312</v>
      </c>
    </row>
    <row r="2303" customFormat="false" ht="15" hidden="false" customHeight="false" outlineLevel="0" collapsed="false">
      <c r="A2303" s="68" t="s">
        <v>3050</v>
      </c>
      <c r="B2303" s="68" t="s">
        <v>2480</v>
      </c>
      <c r="C2303" s="68"/>
    </row>
    <row r="2304" customFormat="false" ht="15" hidden="false" customHeight="false" outlineLevel="0" collapsed="false">
      <c r="A2304" s="68" t="s">
        <v>3050</v>
      </c>
      <c r="B2304" s="68" t="s">
        <v>2484</v>
      </c>
      <c r="C2304" s="68"/>
    </row>
    <row r="2305" customFormat="false" ht="15" hidden="false" customHeight="false" outlineLevel="0" collapsed="false">
      <c r="A2305" s="68" t="s">
        <v>3054</v>
      </c>
      <c r="B2305" s="68" t="s">
        <v>2284</v>
      </c>
      <c r="C2305" s="68" t="n">
        <v>33.12</v>
      </c>
    </row>
    <row r="2306" customFormat="false" ht="15" hidden="false" customHeight="false" outlineLevel="0" collapsed="false">
      <c r="A2306" s="68" t="s">
        <v>3054</v>
      </c>
      <c r="B2306" s="68" t="s">
        <v>2290</v>
      </c>
      <c r="C2306" s="68" t="s">
        <v>123</v>
      </c>
    </row>
    <row r="2307" customFormat="false" ht="15" hidden="false" customHeight="false" outlineLevel="0" collapsed="false">
      <c r="A2307" s="68" t="s">
        <v>3054</v>
      </c>
      <c r="B2307" s="68" t="s">
        <v>2365</v>
      </c>
      <c r="C2307" s="68"/>
    </row>
    <row r="2308" customFormat="false" ht="15" hidden="false" customHeight="false" outlineLevel="0" collapsed="false">
      <c r="A2308" s="68" t="s">
        <v>3054</v>
      </c>
      <c r="B2308" s="68" t="s">
        <v>2370</v>
      </c>
      <c r="C2308" s="68"/>
    </row>
    <row r="2309" customFormat="false" ht="15" hidden="false" customHeight="false" outlineLevel="0" collapsed="false">
      <c r="A2309" s="68" t="s">
        <v>3054</v>
      </c>
      <c r="B2309" s="68" t="s">
        <v>2375</v>
      </c>
      <c r="C2309" s="68"/>
    </row>
    <row r="2310" customFormat="false" ht="15" hidden="false" customHeight="false" outlineLevel="0" collapsed="false">
      <c r="A2310" s="68" t="s">
        <v>3054</v>
      </c>
      <c r="B2310" s="68" t="s">
        <v>2388</v>
      </c>
      <c r="C2310" s="68"/>
    </row>
    <row r="2311" customFormat="false" ht="15" hidden="false" customHeight="false" outlineLevel="0" collapsed="false">
      <c r="A2311" s="68" t="s">
        <v>3054</v>
      </c>
      <c r="B2311" s="68" t="s">
        <v>2393</v>
      </c>
      <c r="C2311" s="68"/>
    </row>
    <row r="2312" customFormat="false" ht="15" hidden="false" customHeight="false" outlineLevel="0" collapsed="false">
      <c r="A2312" s="68" t="s">
        <v>3054</v>
      </c>
      <c r="B2312" s="68" t="s">
        <v>2398</v>
      </c>
      <c r="C2312" s="68"/>
    </row>
    <row r="2313" customFormat="false" ht="15" hidden="false" customHeight="false" outlineLevel="0" collapsed="false">
      <c r="A2313" s="68" t="s">
        <v>3054</v>
      </c>
      <c r="B2313" s="68" t="s">
        <v>2432</v>
      </c>
      <c r="C2313" s="68" t="s">
        <v>3162</v>
      </c>
    </row>
    <row r="2314" customFormat="false" ht="15" hidden="false" customHeight="false" outlineLevel="0" collapsed="false">
      <c r="A2314" s="68" t="s">
        <v>3054</v>
      </c>
      <c r="B2314" s="68" t="s">
        <v>2437</v>
      </c>
      <c r="C2314" s="68" t="n">
        <v>1</v>
      </c>
    </row>
    <row r="2315" customFormat="false" ht="15" hidden="false" customHeight="false" outlineLevel="0" collapsed="false">
      <c r="A2315" s="68" t="s">
        <v>3054</v>
      </c>
      <c r="B2315" s="68" t="s">
        <v>2442</v>
      </c>
      <c r="C2315" s="68" t="n">
        <v>1</v>
      </c>
    </row>
    <row r="2316" customFormat="false" ht="15" hidden="false" customHeight="false" outlineLevel="0" collapsed="false">
      <c r="A2316" s="68" t="s">
        <v>3054</v>
      </c>
      <c r="B2316" s="68" t="s">
        <v>2447</v>
      </c>
      <c r="C2316" s="68" t="n">
        <v>1</v>
      </c>
    </row>
    <row r="2317" customFormat="false" ht="15" hidden="false" customHeight="false" outlineLevel="0" collapsed="false">
      <c r="A2317" s="68" t="s">
        <v>3054</v>
      </c>
      <c r="B2317" s="68" t="s">
        <v>2452</v>
      </c>
      <c r="C2317" s="68" t="n">
        <v>1</v>
      </c>
    </row>
    <row r="2318" customFormat="false" ht="15" hidden="false" customHeight="false" outlineLevel="0" collapsed="false">
      <c r="A2318" s="68" t="s">
        <v>3054</v>
      </c>
      <c r="B2318" s="68" t="s">
        <v>2457</v>
      </c>
      <c r="C2318" s="68" t="n">
        <v>1</v>
      </c>
    </row>
    <row r="2319" customFormat="false" ht="15" hidden="false" customHeight="false" outlineLevel="0" collapsed="false">
      <c r="A2319" s="68" t="s">
        <v>3054</v>
      </c>
      <c r="B2319" s="68" t="s">
        <v>2462</v>
      </c>
      <c r="C2319" s="68"/>
    </row>
    <row r="2320" customFormat="false" ht="15" hidden="false" customHeight="false" outlineLevel="0" collapsed="false">
      <c r="A2320" s="68" t="s">
        <v>3054</v>
      </c>
      <c r="B2320" s="68" t="s">
        <v>2467</v>
      </c>
      <c r="C2320" s="68"/>
    </row>
    <row r="2321" customFormat="false" ht="15" hidden="false" customHeight="false" outlineLevel="0" collapsed="false">
      <c r="A2321" s="68" t="s">
        <v>3054</v>
      </c>
      <c r="B2321" s="68" t="s">
        <v>2471</v>
      </c>
      <c r="C2321" s="68" t="n">
        <v>123.416</v>
      </c>
    </row>
    <row r="2322" customFormat="false" ht="15" hidden="false" customHeight="false" outlineLevel="0" collapsed="false">
      <c r="A2322" s="68" t="s">
        <v>3054</v>
      </c>
      <c r="B2322" s="68" t="s">
        <v>2475</v>
      </c>
      <c r="C2322" s="68" t="s">
        <v>312</v>
      </c>
    </row>
    <row r="2323" customFormat="false" ht="15" hidden="false" customHeight="false" outlineLevel="0" collapsed="false">
      <c r="A2323" s="68" t="s">
        <v>3054</v>
      </c>
      <c r="B2323" s="68" t="s">
        <v>2480</v>
      </c>
      <c r="C2323" s="68"/>
    </row>
    <row r="2324" customFormat="false" ht="15" hidden="false" customHeight="false" outlineLevel="0" collapsed="false">
      <c r="A2324" s="68" t="s">
        <v>3054</v>
      </c>
      <c r="B2324" s="68" t="s">
        <v>2484</v>
      </c>
      <c r="C2324" s="68"/>
    </row>
    <row r="2325" customFormat="false" ht="15" hidden="false" customHeight="false" outlineLevel="0" collapsed="false">
      <c r="A2325" s="68" t="s">
        <v>3057</v>
      </c>
      <c r="B2325" s="68" t="s">
        <v>2284</v>
      </c>
      <c r="C2325" s="68" t="n">
        <v>57.35</v>
      </c>
    </row>
    <row r="2326" customFormat="false" ht="15" hidden="false" customHeight="false" outlineLevel="0" collapsed="false">
      <c r="A2326" s="68" t="s">
        <v>3057</v>
      </c>
      <c r="B2326" s="68" t="s">
        <v>2290</v>
      </c>
      <c r="C2326" s="68" t="s">
        <v>123</v>
      </c>
    </row>
    <row r="2327" customFormat="false" ht="15" hidden="false" customHeight="false" outlineLevel="0" collapsed="false">
      <c r="A2327" s="68" t="s">
        <v>3057</v>
      </c>
      <c r="B2327" s="68" t="s">
        <v>2365</v>
      </c>
      <c r="C2327" s="68"/>
    </row>
    <row r="2328" customFormat="false" ht="15" hidden="false" customHeight="false" outlineLevel="0" collapsed="false">
      <c r="A2328" s="68" t="s">
        <v>3057</v>
      </c>
      <c r="B2328" s="68" t="s">
        <v>2370</v>
      </c>
      <c r="C2328" s="68"/>
    </row>
    <row r="2329" customFormat="false" ht="15" hidden="false" customHeight="false" outlineLevel="0" collapsed="false">
      <c r="A2329" s="68" t="s">
        <v>3057</v>
      </c>
      <c r="B2329" s="68" t="s">
        <v>2375</v>
      </c>
      <c r="C2329" s="68"/>
    </row>
    <row r="2330" customFormat="false" ht="15" hidden="false" customHeight="false" outlineLevel="0" collapsed="false">
      <c r="A2330" s="68" t="s">
        <v>3057</v>
      </c>
      <c r="B2330" s="68" t="s">
        <v>2388</v>
      </c>
      <c r="C2330" s="68"/>
    </row>
    <row r="2331" customFormat="false" ht="15" hidden="false" customHeight="false" outlineLevel="0" collapsed="false">
      <c r="A2331" s="68" t="s">
        <v>3057</v>
      </c>
      <c r="B2331" s="68" t="s">
        <v>2393</v>
      </c>
      <c r="C2331" s="68"/>
    </row>
    <row r="2332" customFormat="false" ht="15" hidden="false" customHeight="false" outlineLevel="0" collapsed="false">
      <c r="A2332" s="68" t="s">
        <v>3057</v>
      </c>
      <c r="B2332" s="68" t="s">
        <v>2398</v>
      </c>
      <c r="C2332" s="68"/>
    </row>
    <row r="2333" customFormat="false" ht="15" hidden="false" customHeight="false" outlineLevel="0" collapsed="false">
      <c r="A2333" s="68" t="s">
        <v>3057</v>
      </c>
      <c r="B2333" s="68" t="s">
        <v>2432</v>
      </c>
      <c r="C2333" s="68" t="s">
        <v>3162</v>
      </c>
    </row>
    <row r="2334" customFormat="false" ht="15" hidden="false" customHeight="false" outlineLevel="0" collapsed="false">
      <c r="A2334" s="68" t="s">
        <v>3057</v>
      </c>
      <c r="B2334" s="68" t="s">
        <v>2437</v>
      </c>
      <c r="C2334" s="68" t="n">
        <v>1</v>
      </c>
    </row>
    <row r="2335" customFormat="false" ht="15" hidden="false" customHeight="false" outlineLevel="0" collapsed="false">
      <c r="A2335" s="68" t="s">
        <v>3057</v>
      </c>
      <c r="B2335" s="68" t="s">
        <v>2442</v>
      </c>
      <c r="C2335" s="68" t="n">
        <v>1</v>
      </c>
    </row>
    <row r="2336" customFormat="false" ht="15" hidden="false" customHeight="false" outlineLevel="0" collapsed="false">
      <c r="A2336" s="68" t="s">
        <v>3057</v>
      </c>
      <c r="B2336" s="68" t="s">
        <v>2447</v>
      </c>
      <c r="C2336" s="68" t="n">
        <v>1</v>
      </c>
    </row>
    <row r="2337" customFormat="false" ht="15" hidden="false" customHeight="false" outlineLevel="0" collapsed="false">
      <c r="A2337" s="68" t="s">
        <v>3057</v>
      </c>
      <c r="B2337" s="68" t="s">
        <v>2452</v>
      </c>
      <c r="C2337" s="68" t="n">
        <v>1</v>
      </c>
    </row>
    <row r="2338" customFormat="false" ht="15" hidden="false" customHeight="false" outlineLevel="0" collapsed="false">
      <c r="A2338" s="68" t="s">
        <v>3057</v>
      </c>
      <c r="B2338" s="68" t="s">
        <v>2457</v>
      </c>
      <c r="C2338" s="68" t="n">
        <v>1</v>
      </c>
    </row>
    <row r="2339" customFormat="false" ht="15" hidden="false" customHeight="false" outlineLevel="0" collapsed="false">
      <c r="A2339" s="68" t="s">
        <v>3057</v>
      </c>
      <c r="B2339" s="68" t="s">
        <v>2462</v>
      </c>
      <c r="C2339" s="68"/>
    </row>
    <row r="2340" customFormat="false" ht="15" hidden="false" customHeight="false" outlineLevel="0" collapsed="false">
      <c r="A2340" s="68" t="s">
        <v>3057</v>
      </c>
      <c r="B2340" s="68" t="s">
        <v>2467</v>
      </c>
      <c r="C2340" s="68"/>
    </row>
    <row r="2341" customFormat="false" ht="15" hidden="false" customHeight="false" outlineLevel="0" collapsed="false">
      <c r="A2341" s="68" t="s">
        <v>3057</v>
      </c>
      <c r="B2341" s="68" t="s">
        <v>2471</v>
      </c>
      <c r="C2341" s="68" t="n">
        <v>123.416</v>
      </c>
    </row>
    <row r="2342" customFormat="false" ht="15" hidden="false" customHeight="false" outlineLevel="0" collapsed="false">
      <c r="A2342" s="68" t="s">
        <v>3057</v>
      </c>
      <c r="B2342" s="68" t="s">
        <v>2475</v>
      </c>
      <c r="C2342" s="68" t="s">
        <v>312</v>
      </c>
    </row>
    <row r="2343" customFormat="false" ht="15" hidden="false" customHeight="false" outlineLevel="0" collapsed="false">
      <c r="A2343" s="68" t="s">
        <v>3057</v>
      </c>
      <c r="B2343" s="68" t="s">
        <v>2480</v>
      </c>
      <c r="C2343" s="68"/>
    </row>
    <row r="2344" customFormat="false" ht="15" hidden="false" customHeight="false" outlineLevel="0" collapsed="false">
      <c r="A2344" s="68" t="s">
        <v>3057</v>
      </c>
      <c r="B2344" s="68" t="s">
        <v>2484</v>
      </c>
      <c r="C2344" s="68"/>
    </row>
    <row r="2345" customFormat="false" ht="15" hidden="false" customHeight="false" outlineLevel="0" collapsed="false">
      <c r="A2345" s="68" t="s">
        <v>3060</v>
      </c>
      <c r="B2345" s="68" t="s">
        <v>2284</v>
      </c>
      <c r="C2345" s="68"/>
    </row>
    <row r="2346" customFormat="false" ht="15" hidden="false" customHeight="false" outlineLevel="0" collapsed="false">
      <c r="A2346" s="68" t="s">
        <v>3060</v>
      </c>
      <c r="B2346" s="68" t="s">
        <v>2290</v>
      </c>
      <c r="C2346" s="68" t="s">
        <v>123</v>
      </c>
    </row>
    <row r="2347" customFormat="false" ht="15" hidden="false" customHeight="false" outlineLevel="0" collapsed="false">
      <c r="A2347" s="68" t="s">
        <v>3060</v>
      </c>
      <c r="B2347" s="68" t="s">
        <v>2365</v>
      </c>
      <c r="C2347" s="68"/>
    </row>
    <row r="2348" customFormat="false" ht="15" hidden="false" customHeight="false" outlineLevel="0" collapsed="false">
      <c r="A2348" s="68" t="s">
        <v>3060</v>
      </c>
      <c r="B2348" s="68" t="s">
        <v>2370</v>
      </c>
      <c r="C2348" s="68"/>
    </row>
    <row r="2349" customFormat="false" ht="15" hidden="false" customHeight="false" outlineLevel="0" collapsed="false">
      <c r="A2349" s="68" t="s">
        <v>3060</v>
      </c>
      <c r="B2349" s="68" t="s">
        <v>2375</v>
      </c>
      <c r="C2349" s="68"/>
    </row>
    <row r="2350" customFormat="false" ht="15" hidden="false" customHeight="false" outlineLevel="0" collapsed="false">
      <c r="A2350" s="68" t="s">
        <v>3060</v>
      </c>
      <c r="B2350" s="68" t="s">
        <v>2388</v>
      </c>
      <c r="C2350" s="68"/>
    </row>
    <row r="2351" customFormat="false" ht="15" hidden="false" customHeight="false" outlineLevel="0" collapsed="false">
      <c r="A2351" s="68" t="s">
        <v>3060</v>
      </c>
      <c r="B2351" s="68" t="s">
        <v>2393</v>
      </c>
      <c r="C2351" s="68"/>
    </row>
    <row r="2352" customFormat="false" ht="15" hidden="false" customHeight="false" outlineLevel="0" collapsed="false">
      <c r="A2352" s="68" t="s">
        <v>3060</v>
      </c>
      <c r="B2352" s="68" t="s">
        <v>2398</v>
      </c>
      <c r="C2352" s="68"/>
    </row>
    <row r="2353" customFormat="false" ht="15" hidden="false" customHeight="false" outlineLevel="0" collapsed="false">
      <c r="A2353" s="68" t="s">
        <v>3060</v>
      </c>
      <c r="B2353" s="68" t="s">
        <v>2432</v>
      </c>
      <c r="C2353" s="68" t="s">
        <v>3207</v>
      </c>
    </row>
    <row r="2354" customFormat="false" ht="15" hidden="false" customHeight="false" outlineLevel="0" collapsed="false">
      <c r="A2354" s="68" t="s">
        <v>3060</v>
      </c>
      <c r="B2354" s="68" t="s">
        <v>2437</v>
      </c>
      <c r="C2354" s="68" t="n">
        <v>1</v>
      </c>
    </row>
    <row r="2355" customFormat="false" ht="15" hidden="false" customHeight="false" outlineLevel="0" collapsed="false">
      <c r="A2355" s="68" t="s">
        <v>3060</v>
      </c>
      <c r="B2355" s="68" t="s">
        <v>2442</v>
      </c>
      <c r="C2355" s="68" t="n">
        <v>1</v>
      </c>
    </row>
    <row r="2356" customFormat="false" ht="15" hidden="false" customHeight="false" outlineLevel="0" collapsed="false">
      <c r="A2356" s="68" t="s">
        <v>3060</v>
      </c>
      <c r="B2356" s="68" t="s">
        <v>2447</v>
      </c>
      <c r="C2356" s="68" t="n">
        <v>1</v>
      </c>
    </row>
    <row r="2357" customFormat="false" ht="15" hidden="false" customHeight="false" outlineLevel="0" collapsed="false">
      <c r="A2357" s="68" t="s">
        <v>3060</v>
      </c>
      <c r="B2357" s="68" t="s">
        <v>2452</v>
      </c>
      <c r="C2357" s="68" t="n">
        <v>1</v>
      </c>
    </row>
    <row r="2358" customFormat="false" ht="15" hidden="false" customHeight="false" outlineLevel="0" collapsed="false">
      <c r="A2358" s="68" t="s">
        <v>3060</v>
      </c>
      <c r="B2358" s="68" t="s">
        <v>2457</v>
      </c>
      <c r="C2358" s="68" t="n">
        <v>1</v>
      </c>
    </row>
    <row r="2359" customFormat="false" ht="15" hidden="false" customHeight="false" outlineLevel="0" collapsed="false">
      <c r="A2359" s="68" t="s">
        <v>3060</v>
      </c>
      <c r="B2359" s="68" t="s">
        <v>2462</v>
      </c>
      <c r="C2359" s="68"/>
    </row>
    <row r="2360" customFormat="false" ht="15" hidden="false" customHeight="false" outlineLevel="0" collapsed="false">
      <c r="A2360" s="68" t="s">
        <v>3060</v>
      </c>
      <c r="B2360" s="68" t="s">
        <v>2467</v>
      </c>
      <c r="C2360" s="68"/>
    </row>
    <row r="2361" customFormat="false" ht="15" hidden="false" customHeight="false" outlineLevel="0" collapsed="false">
      <c r="A2361" s="68" t="s">
        <v>3060</v>
      </c>
      <c r="B2361" s="68" t="s">
        <v>2471</v>
      </c>
      <c r="C2361" s="68" t="n">
        <v>123.416</v>
      </c>
    </row>
    <row r="2362" customFormat="false" ht="15" hidden="false" customHeight="false" outlineLevel="0" collapsed="false">
      <c r="A2362" s="68" t="s">
        <v>3060</v>
      </c>
      <c r="B2362" s="68" t="s">
        <v>2475</v>
      </c>
      <c r="C2362" s="68" t="s">
        <v>312</v>
      </c>
    </row>
    <row r="2363" customFormat="false" ht="15" hidden="false" customHeight="false" outlineLevel="0" collapsed="false">
      <c r="A2363" s="68" t="s">
        <v>3060</v>
      </c>
      <c r="B2363" s="68" t="s">
        <v>2480</v>
      </c>
      <c r="C2363" s="68"/>
    </row>
    <row r="2364" customFormat="false" ht="15" hidden="false" customHeight="false" outlineLevel="0" collapsed="false">
      <c r="A2364" s="68" t="s">
        <v>3060</v>
      </c>
      <c r="B2364" s="68" t="s">
        <v>2484</v>
      </c>
      <c r="C2364" s="68"/>
    </row>
    <row r="2365" customFormat="false" ht="15" hidden="false" customHeight="false" outlineLevel="0" collapsed="false">
      <c r="A2365" s="68" t="s">
        <v>3062</v>
      </c>
      <c r="B2365" s="68" t="s">
        <v>2284</v>
      </c>
      <c r="C2365" s="68" t="n">
        <v>48</v>
      </c>
    </row>
    <row r="2366" customFormat="false" ht="15" hidden="false" customHeight="false" outlineLevel="0" collapsed="false">
      <c r="A2366" s="68" t="s">
        <v>3062</v>
      </c>
      <c r="B2366" s="68" t="s">
        <v>2290</v>
      </c>
      <c r="C2366" s="68" t="s">
        <v>123</v>
      </c>
    </row>
    <row r="2367" customFormat="false" ht="15" hidden="false" customHeight="false" outlineLevel="0" collapsed="false">
      <c r="A2367" s="68" t="s">
        <v>3062</v>
      </c>
      <c r="B2367" s="68" t="s">
        <v>2365</v>
      </c>
      <c r="C2367" s="68"/>
    </row>
    <row r="2368" customFormat="false" ht="15" hidden="false" customHeight="false" outlineLevel="0" collapsed="false">
      <c r="A2368" s="68" t="s">
        <v>3062</v>
      </c>
      <c r="B2368" s="68" t="s">
        <v>2370</v>
      </c>
      <c r="C2368" s="68"/>
    </row>
    <row r="2369" customFormat="false" ht="15" hidden="false" customHeight="false" outlineLevel="0" collapsed="false">
      <c r="A2369" s="68" t="s">
        <v>3062</v>
      </c>
      <c r="B2369" s="68" t="s">
        <v>2375</v>
      </c>
      <c r="C2369" s="68"/>
    </row>
    <row r="2370" customFormat="false" ht="15" hidden="false" customHeight="false" outlineLevel="0" collapsed="false">
      <c r="A2370" s="68" t="s">
        <v>3062</v>
      </c>
      <c r="B2370" s="68" t="s">
        <v>2388</v>
      </c>
      <c r="C2370" s="68"/>
    </row>
    <row r="2371" customFormat="false" ht="15" hidden="false" customHeight="false" outlineLevel="0" collapsed="false">
      <c r="A2371" s="68" t="s">
        <v>3062</v>
      </c>
      <c r="B2371" s="68" t="s">
        <v>2393</v>
      </c>
      <c r="C2371" s="68"/>
    </row>
    <row r="2372" customFormat="false" ht="15" hidden="false" customHeight="false" outlineLevel="0" collapsed="false">
      <c r="A2372" s="68" t="s">
        <v>3062</v>
      </c>
      <c r="B2372" s="68" t="s">
        <v>2398</v>
      </c>
      <c r="C2372" s="68"/>
    </row>
    <row r="2373" customFormat="false" ht="15" hidden="false" customHeight="false" outlineLevel="0" collapsed="false">
      <c r="A2373" s="68" t="s">
        <v>3062</v>
      </c>
      <c r="B2373" s="68" t="s">
        <v>2432</v>
      </c>
      <c r="C2373" s="68" t="s">
        <v>3162</v>
      </c>
    </row>
    <row r="2374" customFormat="false" ht="15" hidden="false" customHeight="false" outlineLevel="0" collapsed="false">
      <c r="A2374" s="68" t="s">
        <v>3062</v>
      </c>
      <c r="B2374" s="68" t="s">
        <v>2437</v>
      </c>
      <c r="C2374" s="68" t="n">
        <v>1</v>
      </c>
    </row>
    <row r="2375" customFormat="false" ht="15" hidden="false" customHeight="false" outlineLevel="0" collapsed="false">
      <c r="A2375" s="68" t="s">
        <v>3062</v>
      </c>
      <c r="B2375" s="68" t="s">
        <v>2442</v>
      </c>
      <c r="C2375" s="68" t="n">
        <v>1</v>
      </c>
    </row>
    <row r="2376" customFormat="false" ht="15" hidden="false" customHeight="false" outlineLevel="0" collapsed="false">
      <c r="A2376" s="68" t="s">
        <v>3062</v>
      </c>
      <c r="B2376" s="68" t="s">
        <v>2447</v>
      </c>
      <c r="C2376" s="68" t="n">
        <v>1</v>
      </c>
    </row>
    <row r="2377" customFormat="false" ht="15" hidden="false" customHeight="false" outlineLevel="0" collapsed="false">
      <c r="A2377" s="68" t="s">
        <v>3062</v>
      </c>
      <c r="B2377" s="68" t="s">
        <v>2452</v>
      </c>
      <c r="C2377" s="68" t="n">
        <v>1</v>
      </c>
    </row>
    <row r="2378" customFormat="false" ht="15" hidden="false" customHeight="false" outlineLevel="0" collapsed="false">
      <c r="A2378" s="68" t="s">
        <v>3062</v>
      </c>
      <c r="B2378" s="68" t="s">
        <v>2457</v>
      </c>
      <c r="C2378" s="68" t="n">
        <v>1</v>
      </c>
    </row>
    <row r="2379" customFormat="false" ht="15" hidden="false" customHeight="false" outlineLevel="0" collapsed="false">
      <c r="A2379" s="68" t="s">
        <v>3062</v>
      </c>
      <c r="B2379" s="68" t="s">
        <v>2462</v>
      </c>
      <c r="C2379" s="68"/>
    </row>
    <row r="2380" customFormat="false" ht="15" hidden="false" customHeight="false" outlineLevel="0" collapsed="false">
      <c r="A2380" s="68" t="s">
        <v>3062</v>
      </c>
      <c r="B2380" s="68" t="s">
        <v>2467</v>
      </c>
      <c r="C2380" s="68"/>
    </row>
    <row r="2381" customFormat="false" ht="15" hidden="false" customHeight="false" outlineLevel="0" collapsed="false">
      <c r="A2381" s="68" t="s">
        <v>3062</v>
      </c>
      <c r="B2381" s="68" t="s">
        <v>2471</v>
      </c>
      <c r="C2381" s="68" t="n">
        <v>123.416</v>
      </c>
    </row>
    <row r="2382" customFormat="false" ht="15" hidden="false" customHeight="false" outlineLevel="0" collapsed="false">
      <c r="A2382" s="68" t="s">
        <v>3062</v>
      </c>
      <c r="B2382" s="68" t="s">
        <v>2475</v>
      </c>
      <c r="C2382" s="68" t="s">
        <v>312</v>
      </c>
    </row>
    <row r="2383" customFormat="false" ht="15" hidden="false" customHeight="false" outlineLevel="0" collapsed="false">
      <c r="A2383" s="68" t="s">
        <v>3062</v>
      </c>
      <c r="B2383" s="68" t="s">
        <v>2480</v>
      </c>
      <c r="C2383" s="68"/>
    </row>
    <row r="2384" customFormat="false" ht="15" hidden="false" customHeight="false" outlineLevel="0" collapsed="false">
      <c r="A2384" s="68" t="s">
        <v>3062</v>
      </c>
      <c r="B2384" s="68" t="s">
        <v>2484</v>
      </c>
      <c r="C2384" s="68"/>
    </row>
    <row r="2385" customFormat="false" ht="15" hidden="false" customHeight="false" outlineLevel="0" collapsed="false">
      <c r="A2385" s="68" t="s">
        <v>3065</v>
      </c>
      <c r="B2385" s="68" t="s">
        <v>2284</v>
      </c>
      <c r="C2385" s="68" t="n">
        <v>1</v>
      </c>
    </row>
    <row r="2386" customFormat="false" ht="15" hidden="false" customHeight="false" outlineLevel="0" collapsed="false">
      <c r="A2386" s="68" t="s">
        <v>3065</v>
      </c>
      <c r="B2386" s="68" t="s">
        <v>2290</v>
      </c>
      <c r="C2386" s="68" t="s">
        <v>123</v>
      </c>
    </row>
    <row r="2387" customFormat="false" ht="15" hidden="false" customHeight="false" outlineLevel="0" collapsed="false">
      <c r="A2387" s="68" t="s">
        <v>3065</v>
      </c>
      <c r="B2387" s="68" t="s">
        <v>2365</v>
      </c>
      <c r="C2387" s="68"/>
    </row>
    <row r="2388" customFormat="false" ht="15" hidden="false" customHeight="false" outlineLevel="0" collapsed="false">
      <c r="A2388" s="68" t="s">
        <v>3065</v>
      </c>
      <c r="B2388" s="68" t="s">
        <v>2370</v>
      </c>
      <c r="C2388" s="68"/>
    </row>
    <row r="2389" customFormat="false" ht="15" hidden="false" customHeight="false" outlineLevel="0" collapsed="false">
      <c r="A2389" s="68" t="s">
        <v>3065</v>
      </c>
      <c r="B2389" s="68" t="s">
        <v>2375</v>
      </c>
      <c r="C2389" s="68"/>
    </row>
    <row r="2390" customFormat="false" ht="15" hidden="false" customHeight="false" outlineLevel="0" collapsed="false">
      <c r="A2390" s="68" t="s">
        <v>3065</v>
      </c>
      <c r="B2390" s="68" t="s">
        <v>2388</v>
      </c>
      <c r="C2390" s="68"/>
    </row>
    <row r="2391" customFormat="false" ht="15" hidden="false" customHeight="false" outlineLevel="0" collapsed="false">
      <c r="A2391" s="68" t="s">
        <v>3065</v>
      </c>
      <c r="B2391" s="68" t="s">
        <v>2393</v>
      </c>
      <c r="C2391" s="68"/>
    </row>
    <row r="2392" customFormat="false" ht="15" hidden="false" customHeight="false" outlineLevel="0" collapsed="false">
      <c r="A2392" s="68" t="s">
        <v>3065</v>
      </c>
      <c r="B2392" s="68" t="s">
        <v>2398</v>
      </c>
      <c r="C2392" s="68"/>
    </row>
    <row r="2393" customFormat="false" ht="15" hidden="false" customHeight="false" outlineLevel="0" collapsed="false">
      <c r="A2393" s="68" t="s">
        <v>3065</v>
      </c>
      <c r="B2393" s="68" t="s">
        <v>2432</v>
      </c>
      <c r="C2393" s="68" t="s">
        <v>3162</v>
      </c>
    </row>
    <row r="2394" customFormat="false" ht="15" hidden="false" customHeight="false" outlineLevel="0" collapsed="false">
      <c r="A2394" s="68" t="s">
        <v>3065</v>
      </c>
      <c r="B2394" s="68" t="s">
        <v>2437</v>
      </c>
      <c r="C2394" s="68" t="n">
        <v>1</v>
      </c>
    </row>
    <row r="2395" customFormat="false" ht="15" hidden="false" customHeight="false" outlineLevel="0" collapsed="false">
      <c r="A2395" s="68" t="s">
        <v>3065</v>
      </c>
      <c r="B2395" s="68" t="s">
        <v>2442</v>
      </c>
      <c r="C2395" s="68" t="n">
        <v>1</v>
      </c>
    </row>
    <row r="2396" customFormat="false" ht="15" hidden="false" customHeight="false" outlineLevel="0" collapsed="false">
      <c r="A2396" s="68" t="s">
        <v>3065</v>
      </c>
      <c r="B2396" s="68" t="s">
        <v>2447</v>
      </c>
      <c r="C2396" s="68" t="n">
        <v>1</v>
      </c>
    </row>
    <row r="2397" customFormat="false" ht="15" hidden="false" customHeight="false" outlineLevel="0" collapsed="false">
      <c r="A2397" s="68" t="s">
        <v>3065</v>
      </c>
      <c r="B2397" s="68" t="s">
        <v>2452</v>
      </c>
      <c r="C2397" s="68" t="n">
        <v>1</v>
      </c>
    </row>
    <row r="2398" customFormat="false" ht="15" hidden="false" customHeight="false" outlineLevel="0" collapsed="false">
      <c r="A2398" s="68" t="s">
        <v>3065</v>
      </c>
      <c r="B2398" s="68" t="s">
        <v>2457</v>
      </c>
      <c r="C2398" s="68" t="n">
        <v>1</v>
      </c>
    </row>
    <row r="2399" customFormat="false" ht="15" hidden="false" customHeight="false" outlineLevel="0" collapsed="false">
      <c r="A2399" s="68" t="s">
        <v>3065</v>
      </c>
      <c r="B2399" s="68" t="s">
        <v>2462</v>
      </c>
      <c r="C2399" s="68"/>
    </row>
    <row r="2400" customFormat="false" ht="15" hidden="false" customHeight="false" outlineLevel="0" collapsed="false">
      <c r="A2400" s="68" t="s">
        <v>3065</v>
      </c>
      <c r="B2400" s="68" t="s">
        <v>2467</v>
      </c>
      <c r="C2400" s="68"/>
    </row>
    <row r="2401" customFormat="false" ht="15" hidden="false" customHeight="false" outlineLevel="0" collapsed="false">
      <c r="A2401" s="68" t="s">
        <v>3065</v>
      </c>
      <c r="B2401" s="68" t="s">
        <v>2471</v>
      </c>
      <c r="C2401" s="68" t="n">
        <v>123.416</v>
      </c>
    </row>
    <row r="2402" customFormat="false" ht="15" hidden="false" customHeight="false" outlineLevel="0" collapsed="false">
      <c r="A2402" s="68" t="s">
        <v>3065</v>
      </c>
      <c r="B2402" s="68" t="s">
        <v>2475</v>
      </c>
      <c r="C2402" s="68" t="s">
        <v>312</v>
      </c>
    </row>
    <row r="2403" customFormat="false" ht="15" hidden="false" customHeight="false" outlineLevel="0" collapsed="false">
      <c r="A2403" s="68" t="s">
        <v>3065</v>
      </c>
      <c r="B2403" s="68" t="s">
        <v>2480</v>
      </c>
      <c r="C2403" s="68"/>
    </row>
    <row r="2404" customFormat="false" ht="15" hidden="false" customHeight="false" outlineLevel="0" collapsed="false">
      <c r="A2404" s="68" t="s">
        <v>3065</v>
      </c>
      <c r="B2404" s="68" t="s">
        <v>2484</v>
      </c>
      <c r="C2404" s="68"/>
    </row>
    <row r="2405" customFormat="false" ht="15" hidden="false" customHeight="false" outlineLevel="0" collapsed="false">
      <c r="A2405" s="68" t="s">
        <v>3068</v>
      </c>
      <c r="B2405" s="68" t="s">
        <v>2284</v>
      </c>
      <c r="C2405" s="68" t="n">
        <v>13.1</v>
      </c>
    </row>
    <row r="2406" customFormat="false" ht="15" hidden="false" customHeight="false" outlineLevel="0" collapsed="false">
      <c r="A2406" s="68" t="s">
        <v>3068</v>
      </c>
      <c r="B2406" s="68" t="s">
        <v>2290</v>
      </c>
      <c r="C2406" s="68" t="s">
        <v>123</v>
      </c>
    </row>
    <row r="2407" customFormat="false" ht="15" hidden="false" customHeight="false" outlineLevel="0" collapsed="false">
      <c r="A2407" s="68" t="s">
        <v>3068</v>
      </c>
      <c r="B2407" s="68" t="s">
        <v>2365</v>
      </c>
      <c r="C2407" s="68"/>
    </row>
    <row r="2408" customFormat="false" ht="15" hidden="false" customHeight="false" outlineLevel="0" collapsed="false">
      <c r="A2408" s="68" t="s">
        <v>3068</v>
      </c>
      <c r="B2408" s="68" t="s">
        <v>2370</v>
      </c>
      <c r="C2408" s="68"/>
    </row>
    <row r="2409" customFormat="false" ht="15" hidden="false" customHeight="false" outlineLevel="0" collapsed="false">
      <c r="A2409" s="68" t="s">
        <v>3068</v>
      </c>
      <c r="B2409" s="68" t="s">
        <v>2375</v>
      </c>
      <c r="C2409" s="68"/>
    </row>
    <row r="2410" customFormat="false" ht="15" hidden="false" customHeight="false" outlineLevel="0" collapsed="false">
      <c r="A2410" s="68" t="s">
        <v>3068</v>
      </c>
      <c r="B2410" s="68" t="s">
        <v>2388</v>
      </c>
      <c r="C2410" s="68"/>
    </row>
    <row r="2411" customFormat="false" ht="15" hidden="false" customHeight="false" outlineLevel="0" collapsed="false">
      <c r="A2411" s="68" t="s">
        <v>3068</v>
      </c>
      <c r="B2411" s="68" t="s">
        <v>2393</v>
      </c>
      <c r="C2411" s="68"/>
    </row>
    <row r="2412" customFormat="false" ht="15" hidden="false" customHeight="false" outlineLevel="0" collapsed="false">
      <c r="A2412" s="68" t="s">
        <v>3068</v>
      </c>
      <c r="B2412" s="68" t="s">
        <v>2398</v>
      </c>
      <c r="C2412" s="68"/>
    </row>
    <row r="2413" customFormat="false" ht="15" hidden="false" customHeight="false" outlineLevel="0" collapsed="false">
      <c r="A2413" s="68" t="s">
        <v>3068</v>
      </c>
      <c r="B2413" s="68" t="s">
        <v>2432</v>
      </c>
      <c r="C2413" s="68" t="s">
        <v>3162</v>
      </c>
    </row>
    <row r="2414" customFormat="false" ht="15" hidden="false" customHeight="false" outlineLevel="0" collapsed="false">
      <c r="A2414" s="68" t="s">
        <v>3068</v>
      </c>
      <c r="B2414" s="68" t="s">
        <v>2437</v>
      </c>
      <c r="C2414" s="68" t="n">
        <v>1</v>
      </c>
    </row>
    <row r="2415" customFormat="false" ht="15" hidden="false" customHeight="false" outlineLevel="0" collapsed="false">
      <c r="A2415" s="68" t="s">
        <v>3068</v>
      </c>
      <c r="B2415" s="68" t="s">
        <v>2442</v>
      </c>
      <c r="C2415" s="68" t="n">
        <v>1</v>
      </c>
    </row>
    <row r="2416" customFormat="false" ht="15" hidden="false" customHeight="false" outlineLevel="0" collapsed="false">
      <c r="A2416" s="68" t="s">
        <v>3068</v>
      </c>
      <c r="B2416" s="68" t="s">
        <v>2447</v>
      </c>
      <c r="C2416" s="68" t="n">
        <v>1</v>
      </c>
    </row>
    <row r="2417" customFormat="false" ht="15" hidden="false" customHeight="false" outlineLevel="0" collapsed="false">
      <c r="A2417" s="68" t="s">
        <v>3068</v>
      </c>
      <c r="B2417" s="68" t="s">
        <v>2452</v>
      </c>
      <c r="C2417" s="68" t="n">
        <v>1</v>
      </c>
    </row>
    <row r="2418" customFormat="false" ht="15" hidden="false" customHeight="false" outlineLevel="0" collapsed="false">
      <c r="A2418" s="68" t="s">
        <v>3068</v>
      </c>
      <c r="B2418" s="68" t="s">
        <v>2457</v>
      </c>
      <c r="C2418" s="68" t="n">
        <v>1</v>
      </c>
    </row>
    <row r="2419" customFormat="false" ht="15" hidden="false" customHeight="false" outlineLevel="0" collapsed="false">
      <c r="A2419" s="68" t="s">
        <v>3068</v>
      </c>
      <c r="B2419" s="68" t="s">
        <v>2462</v>
      </c>
      <c r="C2419" s="68"/>
    </row>
    <row r="2420" customFormat="false" ht="15" hidden="false" customHeight="false" outlineLevel="0" collapsed="false">
      <c r="A2420" s="68" t="s">
        <v>3068</v>
      </c>
      <c r="B2420" s="68" t="s">
        <v>2467</v>
      </c>
      <c r="C2420" s="68"/>
    </row>
    <row r="2421" customFormat="false" ht="15" hidden="false" customHeight="false" outlineLevel="0" collapsed="false">
      <c r="A2421" s="68" t="s">
        <v>3068</v>
      </c>
      <c r="B2421" s="68" t="s">
        <v>2471</v>
      </c>
      <c r="C2421" s="68" t="n">
        <v>123.416</v>
      </c>
    </row>
    <row r="2422" customFormat="false" ht="15" hidden="false" customHeight="false" outlineLevel="0" collapsed="false">
      <c r="A2422" s="68" t="s">
        <v>3068</v>
      </c>
      <c r="B2422" s="68" t="s">
        <v>2475</v>
      </c>
      <c r="C2422" s="68" t="s">
        <v>312</v>
      </c>
    </row>
    <row r="2423" customFormat="false" ht="15" hidden="false" customHeight="false" outlineLevel="0" collapsed="false">
      <c r="A2423" s="68" t="s">
        <v>3068</v>
      </c>
      <c r="B2423" s="68" t="s">
        <v>2480</v>
      </c>
      <c r="C2423" s="68"/>
    </row>
    <row r="2424" customFormat="false" ht="15" hidden="false" customHeight="false" outlineLevel="0" collapsed="false">
      <c r="A2424" s="68" t="s">
        <v>3068</v>
      </c>
      <c r="B2424" s="68" t="s">
        <v>2484</v>
      </c>
      <c r="C2424" s="68"/>
    </row>
    <row r="2425" customFormat="false" ht="15" hidden="false" customHeight="false" outlineLevel="0" collapsed="false">
      <c r="A2425" s="68" t="s">
        <v>3071</v>
      </c>
      <c r="B2425" s="68" t="s">
        <v>2284</v>
      </c>
      <c r="C2425" s="68"/>
    </row>
    <row r="2426" customFormat="false" ht="15" hidden="false" customHeight="false" outlineLevel="0" collapsed="false">
      <c r="A2426" s="68" t="s">
        <v>3071</v>
      </c>
      <c r="B2426" s="68" t="s">
        <v>2290</v>
      </c>
      <c r="C2426" s="68" t="s">
        <v>123</v>
      </c>
    </row>
    <row r="2427" customFormat="false" ht="15" hidden="false" customHeight="false" outlineLevel="0" collapsed="false">
      <c r="A2427" s="68" t="s">
        <v>3071</v>
      </c>
      <c r="B2427" s="68" t="s">
        <v>2365</v>
      </c>
      <c r="C2427" s="68"/>
    </row>
    <row r="2428" customFormat="false" ht="15" hidden="false" customHeight="false" outlineLevel="0" collapsed="false">
      <c r="A2428" s="68" t="s">
        <v>3071</v>
      </c>
      <c r="B2428" s="68" t="s">
        <v>2370</v>
      </c>
      <c r="C2428" s="68"/>
    </row>
    <row r="2429" customFormat="false" ht="15" hidden="false" customHeight="false" outlineLevel="0" collapsed="false">
      <c r="A2429" s="68" t="s">
        <v>3071</v>
      </c>
      <c r="B2429" s="68" t="s">
        <v>2375</v>
      </c>
      <c r="C2429" s="68"/>
    </row>
    <row r="2430" customFormat="false" ht="15" hidden="false" customHeight="false" outlineLevel="0" collapsed="false">
      <c r="A2430" s="68" t="s">
        <v>3071</v>
      </c>
      <c r="B2430" s="68" t="s">
        <v>2388</v>
      </c>
      <c r="C2430" s="68"/>
    </row>
    <row r="2431" customFormat="false" ht="15" hidden="false" customHeight="false" outlineLevel="0" collapsed="false">
      <c r="A2431" s="68" t="s">
        <v>3071</v>
      </c>
      <c r="B2431" s="68" t="s">
        <v>2393</v>
      </c>
      <c r="C2431" s="68"/>
    </row>
    <row r="2432" customFormat="false" ht="15" hidden="false" customHeight="false" outlineLevel="0" collapsed="false">
      <c r="A2432" s="68" t="s">
        <v>3071</v>
      </c>
      <c r="B2432" s="68" t="s">
        <v>2398</v>
      </c>
      <c r="C2432" s="68"/>
    </row>
    <row r="2433" customFormat="false" ht="15" hidden="false" customHeight="false" outlineLevel="0" collapsed="false">
      <c r="A2433" s="68" t="s">
        <v>3071</v>
      </c>
      <c r="B2433" s="68" t="s">
        <v>2432</v>
      </c>
      <c r="C2433" s="68" t="s">
        <v>3207</v>
      </c>
    </row>
    <row r="2434" customFormat="false" ht="15" hidden="false" customHeight="false" outlineLevel="0" collapsed="false">
      <c r="A2434" s="68" t="s">
        <v>3071</v>
      </c>
      <c r="B2434" s="68" t="s">
        <v>2437</v>
      </c>
      <c r="C2434" s="68" t="n">
        <v>1</v>
      </c>
    </row>
    <row r="2435" customFormat="false" ht="15" hidden="false" customHeight="false" outlineLevel="0" collapsed="false">
      <c r="A2435" s="68" t="s">
        <v>3071</v>
      </c>
      <c r="B2435" s="68" t="s">
        <v>2442</v>
      </c>
      <c r="C2435" s="68" t="n">
        <v>1</v>
      </c>
    </row>
    <row r="2436" customFormat="false" ht="15" hidden="false" customHeight="false" outlineLevel="0" collapsed="false">
      <c r="A2436" s="68" t="s">
        <v>3071</v>
      </c>
      <c r="B2436" s="68" t="s">
        <v>2447</v>
      </c>
      <c r="C2436" s="68" t="n">
        <v>1</v>
      </c>
    </row>
    <row r="2437" customFormat="false" ht="15" hidden="false" customHeight="false" outlineLevel="0" collapsed="false">
      <c r="A2437" s="68" t="s">
        <v>3071</v>
      </c>
      <c r="B2437" s="68" t="s">
        <v>2452</v>
      </c>
      <c r="C2437" s="68" t="n">
        <v>1</v>
      </c>
    </row>
    <row r="2438" customFormat="false" ht="15" hidden="false" customHeight="false" outlineLevel="0" collapsed="false">
      <c r="A2438" s="68" t="s">
        <v>3071</v>
      </c>
      <c r="B2438" s="68" t="s">
        <v>2457</v>
      </c>
      <c r="C2438" s="68" t="n">
        <v>1</v>
      </c>
    </row>
    <row r="2439" customFormat="false" ht="15" hidden="false" customHeight="false" outlineLevel="0" collapsed="false">
      <c r="A2439" s="68" t="s">
        <v>3071</v>
      </c>
      <c r="B2439" s="68" t="s">
        <v>2462</v>
      </c>
      <c r="C2439" s="68"/>
    </row>
    <row r="2440" customFormat="false" ht="15" hidden="false" customHeight="false" outlineLevel="0" collapsed="false">
      <c r="A2440" s="68" t="s">
        <v>3071</v>
      </c>
      <c r="B2440" s="68" t="s">
        <v>2467</v>
      </c>
      <c r="C2440" s="68"/>
    </row>
    <row r="2441" customFormat="false" ht="15" hidden="false" customHeight="false" outlineLevel="0" collapsed="false">
      <c r="A2441" s="68" t="s">
        <v>3071</v>
      </c>
      <c r="B2441" s="68" t="s">
        <v>2471</v>
      </c>
      <c r="C2441" s="68" t="n">
        <v>123.416</v>
      </c>
    </row>
    <row r="2442" customFormat="false" ht="15" hidden="false" customHeight="false" outlineLevel="0" collapsed="false">
      <c r="A2442" s="68" t="s">
        <v>3071</v>
      </c>
      <c r="B2442" s="68" t="s">
        <v>2475</v>
      </c>
      <c r="C2442" s="68" t="s">
        <v>312</v>
      </c>
    </row>
    <row r="2443" customFormat="false" ht="15" hidden="false" customHeight="false" outlineLevel="0" collapsed="false">
      <c r="A2443" s="68" t="s">
        <v>3071</v>
      </c>
      <c r="B2443" s="68" t="s">
        <v>2480</v>
      </c>
      <c r="C2443" s="68"/>
    </row>
    <row r="2444" customFormat="false" ht="15" hidden="false" customHeight="false" outlineLevel="0" collapsed="false">
      <c r="A2444" s="68" t="s">
        <v>3071</v>
      </c>
      <c r="B2444" s="68" t="s">
        <v>2484</v>
      </c>
      <c r="C2444" s="68"/>
    </row>
    <row r="2445" customFormat="false" ht="15" hidden="false" customHeight="false" outlineLevel="0" collapsed="false">
      <c r="A2445" s="68" t="s">
        <v>3074</v>
      </c>
      <c r="B2445" s="68" t="s">
        <v>2284</v>
      </c>
      <c r="C2445" s="68" t="n">
        <v>3.9</v>
      </c>
    </row>
    <row r="2446" customFormat="false" ht="15" hidden="false" customHeight="false" outlineLevel="0" collapsed="false">
      <c r="A2446" s="68" t="s">
        <v>3074</v>
      </c>
      <c r="B2446" s="68" t="s">
        <v>2290</v>
      </c>
      <c r="C2446" s="68" t="s">
        <v>123</v>
      </c>
    </row>
    <row r="2447" customFormat="false" ht="15" hidden="false" customHeight="false" outlineLevel="0" collapsed="false">
      <c r="A2447" s="68" t="s">
        <v>3074</v>
      </c>
      <c r="B2447" s="68" t="s">
        <v>2365</v>
      </c>
      <c r="C2447" s="68"/>
    </row>
    <row r="2448" customFormat="false" ht="15" hidden="false" customHeight="false" outlineLevel="0" collapsed="false">
      <c r="A2448" s="68" t="s">
        <v>3074</v>
      </c>
      <c r="B2448" s="68" t="s">
        <v>2370</v>
      </c>
      <c r="C2448" s="68"/>
    </row>
    <row r="2449" customFormat="false" ht="15" hidden="false" customHeight="false" outlineLevel="0" collapsed="false">
      <c r="A2449" s="68" t="s">
        <v>3074</v>
      </c>
      <c r="B2449" s="68" t="s">
        <v>2375</v>
      </c>
      <c r="C2449" s="68"/>
    </row>
    <row r="2450" customFormat="false" ht="15" hidden="false" customHeight="false" outlineLevel="0" collapsed="false">
      <c r="A2450" s="68" t="s">
        <v>3074</v>
      </c>
      <c r="B2450" s="68" t="s">
        <v>2388</v>
      </c>
      <c r="C2450" s="68"/>
    </row>
    <row r="2451" customFormat="false" ht="15" hidden="false" customHeight="false" outlineLevel="0" collapsed="false">
      <c r="A2451" s="68" t="s">
        <v>3074</v>
      </c>
      <c r="B2451" s="68" t="s">
        <v>2393</v>
      </c>
      <c r="C2451" s="68"/>
    </row>
    <row r="2452" customFormat="false" ht="15" hidden="false" customHeight="false" outlineLevel="0" collapsed="false">
      <c r="A2452" s="68" t="s">
        <v>3074</v>
      </c>
      <c r="B2452" s="68" t="s">
        <v>2398</v>
      </c>
      <c r="C2452" s="68"/>
    </row>
    <row r="2453" customFormat="false" ht="15" hidden="false" customHeight="false" outlineLevel="0" collapsed="false">
      <c r="A2453" s="68" t="s">
        <v>3074</v>
      </c>
      <c r="B2453" s="68" t="s">
        <v>2432</v>
      </c>
      <c r="C2453" s="68" t="s">
        <v>3162</v>
      </c>
    </row>
    <row r="2454" customFormat="false" ht="15" hidden="false" customHeight="false" outlineLevel="0" collapsed="false">
      <c r="A2454" s="68" t="s">
        <v>3074</v>
      </c>
      <c r="B2454" s="68" t="s">
        <v>2437</v>
      </c>
      <c r="C2454" s="68" t="n">
        <v>1</v>
      </c>
    </row>
    <row r="2455" customFormat="false" ht="15" hidden="false" customHeight="false" outlineLevel="0" collapsed="false">
      <c r="A2455" s="68" t="s">
        <v>3074</v>
      </c>
      <c r="B2455" s="68" t="s">
        <v>2442</v>
      </c>
      <c r="C2455" s="68" t="n">
        <v>1</v>
      </c>
    </row>
    <row r="2456" customFormat="false" ht="15" hidden="false" customHeight="false" outlineLevel="0" collapsed="false">
      <c r="A2456" s="68" t="s">
        <v>3074</v>
      </c>
      <c r="B2456" s="68" t="s">
        <v>2447</v>
      </c>
      <c r="C2456" s="68" t="n">
        <v>1</v>
      </c>
    </row>
    <row r="2457" customFormat="false" ht="15" hidden="false" customHeight="false" outlineLevel="0" collapsed="false">
      <c r="A2457" s="68" t="s">
        <v>3074</v>
      </c>
      <c r="B2457" s="68" t="s">
        <v>2452</v>
      </c>
      <c r="C2457" s="68" t="n">
        <v>1</v>
      </c>
    </row>
    <row r="2458" customFormat="false" ht="15" hidden="false" customHeight="false" outlineLevel="0" collapsed="false">
      <c r="A2458" s="68" t="s">
        <v>3074</v>
      </c>
      <c r="B2458" s="68" t="s">
        <v>2457</v>
      </c>
      <c r="C2458" s="68" t="n">
        <v>1</v>
      </c>
    </row>
    <row r="2459" customFormat="false" ht="15" hidden="false" customHeight="false" outlineLevel="0" collapsed="false">
      <c r="A2459" s="68" t="s">
        <v>3074</v>
      </c>
      <c r="B2459" s="68" t="s">
        <v>2462</v>
      </c>
      <c r="C2459" s="68"/>
    </row>
    <row r="2460" customFormat="false" ht="15" hidden="false" customHeight="false" outlineLevel="0" collapsed="false">
      <c r="A2460" s="68" t="s">
        <v>3074</v>
      </c>
      <c r="B2460" s="68" t="s">
        <v>2467</v>
      </c>
      <c r="C2460" s="68"/>
    </row>
    <row r="2461" customFormat="false" ht="15" hidden="false" customHeight="false" outlineLevel="0" collapsed="false">
      <c r="A2461" s="68" t="s">
        <v>3074</v>
      </c>
      <c r="B2461" s="68" t="s">
        <v>2471</v>
      </c>
      <c r="C2461" s="68" t="n">
        <v>123.416</v>
      </c>
    </row>
    <row r="2462" customFormat="false" ht="15" hidden="false" customHeight="false" outlineLevel="0" collapsed="false">
      <c r="A2462" s="68" t="s">
        <v>3074</v>
      </c>
      <c r="B2462" s="68" t="s">
        <v>2475</v>
      </c>
      <c r="C2462" s="68" t="s">
        <v>312</v>
      </c>
    </row>
    <row r="2463" customFormat="false" ht="15" hidden="false" customHeight="false" outlineLevel="0" collapsed="false">
      <c r="A2463" s="68" t="s">
        <v>3074</v>
      </c>
      <c r="B2463" s="68" t="s">
        <v>2480</v>
      </c>
      <c r="C2463" s="68"/>
    </row>
    <row r="2464" customFormat="false" ht="15" hidden="false" customHeight="false" outlineLevel="0" collapsed="false">
      <c r="A2464" s="68" t="s">
        <v>3074</v>
      </c>
      <c r="B2464" s="68" t="s">
        <v>2484</v>
      </c>
      <c r="C2464" s="68"/>
    </row>
    <row r="2465" customFormat="false" ht="15" hidden="false" customHeight="false" outlineLevel="0" collapsed="false">
      <c r="A2465" s="68" t="s">
        <v>3077</v>
      </c>
      <c r="B2465" s="68" t="s">
        <v>2284</v>
      </c>
      <c r="C2465" s="68" t="n">
        <v>13.7</v>
      </c>
    </row>
    <row r="2466" customFormat="false" ht="15" hidden="false" customHeight="false" outlineLevel="0" collapsed="false">
      <c r="A2466" s="68" t="s">
        <v>3077</v>
      </c>
      <c r="B2466" s="68" t="s">
        <v>2290</v>
      </c>
      <c r="C2466" s="68" t="s">
        <v>123</v>
      </c>
    </row>
    <row r="2467" customFormat="false" ht="15" hidden="false" customHeight="false" outlineLevel="0" collapsed="false">
      <c r="A2467" s="68" t="s">
        <v>3077</v>
      </c>
      <c r="B2467" s="68" t="s">
        <v>2365</v>
      </c>
      <c r="C2467" s="68"/>
    </row>
    <row r="2468" customFormat="false" ht="15" hidden="false" customHeight="false" outlineLevel="0" collapsed="false">
      <c r="A2468" s="68" t="s">
        <v>3077</v>
      </c>
      <c r="B2468" s="68" t="s">
        <v>2370</v>
      </c>
      <c r="C2468" s="68"/>
    </row>
    <row r="2469" customFormat="false" ht="15" hidden="false" customHeight="false" outlineLevel="0" collapsed="false">
      <c r="A2469" s="68" t="s">
        <v>3077</v>
      </c>
      <c r="B2469" s="68" t="s">
        <v>2375</v>
      </c>
      <c r="C2469" s="68"/>
    </row>
    <row r="2470" customFormat="false" ht="15" hidden="false" customHeight="false" outlineLevel="0" collapsed="false">
      <c r="A2470" s="68" t="s">
        <v>3077</v>
      </c>
      <c r="B2470" s="68" t="s">
        <v>2388</v>
      </c>
      <c r="C2470" s="68"/>
    </row>
    <row r="2471" customFormat="false" ht="15" hidden="false" customHeight="false" outlineLevel="0" collapsed="false">
      <c r="A2471" s="68" t="s">
        <v>3077</v>
      </c>
      <c r="B2471" s="68" t="s">
        <v>2393</v>
      </c>
      <c r="C2471" s="68"/>
    </row>
    <row r="2472" customFormat="false" ht="15" hidden="false" customHeight="false" outlineLevel="0" collapsed="false">
      <c r="A2472" s="68" t="s">
        <v>3077</v>
      </c>
      <c r="B2472" s="68" t="s">
        <v>2398</v>
      </c>
      <c r="C2472" s="68"/>
    </row>
    <row r="2473" customFormat="false" ht="15" hidden="false" customHeight="false" outlineLevel="0" collapsed="false">
      <c r="A2473" s="68" t="s">
        <v>3077</v>
      </c>
      <c r="B2473" s="68" t="s">
        <v>2432</v>
      </c>
      <c r="C2473" s="68" t="s">
        <v>3162</v>
      </c>
    </row>
    <row r="2474" customFormat="false" ht="15" hidden="false" customHeight="false" outlineLevel="0" collapsed="false">
      <c r="A2474" s="68" t="s">
        <v>3077</v>
      </c>
      <c r="B2474" s="68" t="s">
        <v>2437</v>
      </c>
      <c r="C2474" s="68" t="n">
        <v>1</v>
      </c>
    </row>
    <row r="2475" customFormat="false" ht="15" hidden="false" customHeight="false" outlineLevel="0" collapsed="false">
      <c r="A2475" s="68" t="s">
        <v>3077</v>
      </c>
      <c r="B2475" s="68" t="s">
        <v>2442</v>
      </c>
      <c r="C2475" s="68" t="n">
        <v>1</v>
      </c>
    </row>
    <row r="2476" customFormat="false" ht="15" hidden="false" customHeight="false" outlineLevel="0" collapsed="false">
      <c r="A2476" s="68" t="s">
        <v>3077</v>
      </c>
      <c r="B2476" s="68" t="s">
        <v>2447</v>
      </c>
      <c r="C2476" s="68" t="n">
        <v>1</v>
      </c>
    </row>
    <row r="2477" customFormat="false" ht="15" hidden="false" customHeight="false" outlineLevel="0" collapsed="false">
      <c r="A2477" s="68" t="s">
        <v>3077</v>
      </c>
      <c r="B2477" s="68" t="s">
        <v>2452</v>
      </c>
      <c r="C2477" s="68" t="n">
        <v>1</v>
      </c>
    </row>
    <row r="2478" customFormat="false" ht="15" hidden="false" customHeight="false" outlineLevel="0" collapsed="false">
      <c r="A2478" s="68" t="s">
        <v>3077</v>
      </c>
      <c r="B2478" s="68" t="s">
        <v>2457</v>
      </c>
      <c r="C2478" s="68" t="n">
        <v>1</v>
      </c>
    </row>
    <row r="2479" customFormat="false" ht="15" hidden="false" customHeight="false" outlineLevel="0" collapsed="false">
      <c r="A2479" s="68" t="s">
        <v>3077</v>
      </c>
      <c r="B2479" s="68" t="s">
        <v>2462</v>
      </c>
      <c r="C2479" s="68"/>
    </row>
    <row r="2480" customFormat="false" ht="15" hidden="false" customHeight="false" outlineLevel="0" collapsed="false">
      <c r="A2480" s="68" t="s">
        <v>3077</v>
      </c>
      <c r="B2480" s="68" t="s">
        <v>2467</v>
      </c>
      <c r="C2480" s="68"/>
    </row>
    <row r="2481" customFormat="false" ht="15" hidden="false" customHeight="false" outlineLevel="0" collapsed="false">
      <c r="A2481" s="68" t="s">
        <v>3077</v>
      </c>
      <c r="B2481" s="68" t="s">
        <v>2471</v>
      </c>
      <c r="C2481" s="68" t="n">
        <v>123.416</v>
      </c>
    </row>
    <row r="2482" customFormat="false" ht="15" hidden="false" customHeight="false" outlineLevel="0" collapsed="false">
      <c r="A2482" s="68" t="s">
        <v>3077</v>
      </c>
      <c r="B2482" s="68" t="s">
        <v>2475</v>
      </c>
      <c r="C2482" s="68" t="s">
        <v>312</v>
      </c>
    </row>
    <row r="2483" customFormat="false" ht="15" hidden="false" customHeight="false" outlineLevel="0" collapsed="false">
      <c r="A2483" s="68" t="s">
        <v>3077</v>
      </c>
      <c r="B2483" s="68" t="s">
        <v>2480</v>
      </c>
      <c r="C2483" s="68"/>
    </row>
    <row r="2484" customFormat="false" ht="15" hidden="false" customHeight="false" outlineLevel="0" collapsed="false">
      <c r="A2484" s="68" t="s">
        <v>3077</v>
      </c>
      <c r="B2484" s="68" t="s">
        <v>2484</v>
      </c>
      <c r="C2484" s="68"/>
    </row>
    <row r="2485" customFormat="false" ht="15" hidden="false" customHeight="false" outlineLevel="0" collapsed="false">
      <c r="A2485" s="68" t="s">
        <v>3080</v>
      </c>
      <c r="B2485" s="68" t="s">
        <v>2284</v>
      </c>
      <c r="C2485" s="68"/>
    </row>
    <row r="2486" customFormat="false" ht="15" hidden="false" customHeight="false" outlineLevel="0" collapsed="false">
      <c r="A2486" s="68" t="s">
        <v>3080</v>
      </c>
      <c r="B2486" s="68" t="s">
        <v>2290</v>
      </c>
      <c r="C2486" s="68" t="s">
        <v>123</v>
      </c>
    </row>
    <row r="2487" customFormat="false" ht="15" hidden="false" customHeight="false" outlineLevel="0" collapsed="false">
      <c r="A2487" s="68" t="s">
        <v>3080</v>
      </c>
      <c r="B2487" s="68" t="s">
        <v>2365</v>
      </c>
      <c r="C2487" s="68"/>
    </row>
    <row r="2488" customFormat="false" ht="15" hidden="false" customHeight="false" outlineLevel="0" collapsed="false">
      <c r="A2488" s="68" t="s">
        <v>3080</v>
      </c>
      <c r="B2488" s="68" t="s">
        <v>2370</v>
      </c>
      <c r="C2488" s="68"/>
    </row>
    <row r="2489" customFormat="false" ht="15" hidden="false" customHeight="false" outlineLevel="0" collapsed="false">
      <c r="A2489" s="68" t="s">
        <v>3080</v>
      </c>
      <c r="B2489" s="68" t="s">
        <v>2375</v>
      </c>
      <c r="C2489" s="68"/>
    </row>
    <row r="2490" customFormat="false" ht="15" hidden="false" customHeight="false" outlineLevel="0" collapsed="false">
      <c r="A2490" s="68" t="s">
        <v>3080</v>
      </c>
      <c r="B2490" s="68" t="s">
        <v>2388</v>
      </c>
      <c r="C2490" s="68"/>
    </row>
    <row r="2491" customFormat="false" ht="15" hidden="false" customHeight="false" outlineLevel="0" collapsed="false">
      <c r="A2491" s="68" t="s">
        <v>3080</v>
      </c>
      <c r="B2491" s="68" t="s">
        <v>2393</v>
      </c>
      <c r="C2491" s="68"/>
    </row>
    <row r="2492" customFormat="false" ht="15" hidden="false" customHeight="false" outlineLevel="0" collapsed="false">
      <c r="A2492" s="68" t="s">
        <v>3080</v>
      </c>
      <c r="B2492" s="68" t="s">
        <v>2398</v>
      </c>
      <c r="C2492" s="68"/>
    </row>
    <row r="2493" customFormat="false" ht="15" hidden="false" customHeight="false" outlineLevel="0" collapsed="false">
      <c r="A2493" s="68" t="s">
        <v>3080</v>
      </c>
      <c r="B2493" s="68" t="s">
        <v>2432</v>
      </c>
      <c r="C2493" s="68" t="s">
        <v>3207</v>
      </c>
    </row>
    <row r="2494" customFormat="false" ht="15" hidden="false" customHeight="false" outlineLevel="0" collapsed="false">
      <c r="A2494" s="68" t="s">
        <v>3080</v>
      </c>
      <c r="B2494" s="68" t="s">
        <v>2437</v>
      </c>
      <c r="C2494" s="68" t="n">
        <v>1</v>
      </c>
    </row>
    <row r="2495" customFormat="false" ht="15" hidden="false" customHeight="false" outlineLevel="0" collapsed="false">
      <c r="A2495" s="68" t="s">
        <v>3080</v>
      </c>
      <c r="B2495" s="68" t="s">
        <v>2442</v>
      </c>
      <c r="C2495" s="68" t="n">
        <v>1</v>
      </c>
    </row>
    <row r="2496" customFormat="false" ht="15" hidden="false" customHeight="false" outlineLevel="0" collapsed="false">
      <c r="A2496" s="68" t="s">
        <v>3080</v>
      </c>
      <c r="B2496" s="68" t="s">
        <v>2447</v>
      </c>
      <c r="C2496" s="68" t="n">
        <v>1</v>
      </c>
    </row>
    <row r="2497" customFormat="false" ht="15" hidden="false" customHeight="false" outlineLevel="0" collapsed="false">
      <c r="A2497" s="68" t="s">
        <v>3080</v>
      </c>
      <c r="B2497" s="68" t="s">
        <v>2452</v>
      </c>
      <c r="C2497" s="68" t="n">
        <v>1</v>
      </c>
    </row>
    <row r="2498" customFormat="false" ht="15" hidden="false" customHeight="false" outlineLevel="0" collapsed="false">
      <c r="A2498" s="68" t="s">
        <v>3080</v>
      </c>
      <c r="B2498" s="68" t="s">
        <v>2457</v>
      </c>
      <c r="C2498" s="68" t="n">
        <v>1</v>
      </c>
    </row>
    <row r="2499" customFormat="false" ht="15" hidden="false" customHeight="false" outlineLevel="0" collapsed="false">
      <c r="A2499" s="68" t="s">
        <v>3080</v>
      </c>
      <c r="B2499" s="68" t="s">
        <v>2462</v>
      </c>
      <c r="C2499" s="68"/>
    </row>
    <row r="2500" customFormat="false" ht="15" hidden="false" customHeight="false" outlineLevel="0" collapsed="false">
      <c r="A2500" s="68" t="s">
        <v>3080</v>
      </c>
      <c r="B2500" s="68" t="s">
        <v>2467</v>
      </c>
      <c r="C2500" s="68"/>
    </row>
    <row r="2501" customFormat="false" ht="15" hidden="false" customHeight="false" outlineLevel="0" collapsed="false">
      <c r="A2501" s="68" t="s">
        <v>3080</v>
      </c>
      <c r="B2501" s="68" t="s">
        <v>2471</v>
      </c>
      <c r="C2501" s="68" t="n">
        <v>123.416</v>
      </c>
    </row>
    <row r="2502" customFormat="false" ht="15" hidden="false" customHeight="false" outlineLevel="0" collapsed="false">
      <c r="A2502" s="68" t="s">
        <v>3080</v>
      </c>
      <c r="B2502" s="68" t="s">
        <v>2475</v>
      </c>
      <c r="C2502" s="68" t="s">
        <v>312</v>
      </c>
    </row>
    <row r="2503" customFormat="false" ht="15" hidden="false" customHeight="false" outlineLevel="0" collapsed="false">
      <c r="A2503" s="68" t="s">
        <v>3080</v>
      </c>
      <c r="B2503" s="68" t="s">
        <v>2480</v>
      </c>
      <c r="C2503" s="68"/>
    </row>
    <row r="2504" customFormat="false" ht="15" hidden="false" customHeight="false" outlineLevel="0" collapsed="false">
      <c r="A2504" s="68" t="s">
        <v>3080</v>
      </c>
      <c r="B2504" s="68" t="s">
        <v>2484</v>
      </c>
      <c r="C2504" s="68"/>
    </row>
    <row r="2505" customFormat="false" ht="15" hidden="false" customHeight="false" outlineLevel="0" collapsed="false">
      <c r="A2505" s="68" t="s">
        <v>3082</v>
      </c>
      <c r="B2505" s="68" t="s">
        <v>2284</v>
      </c>
      <c r="C2505" s="68" t="n">
        <v>0.83</v>
      </c>
    </row>
    <row r="2506" customFormat="false" ht="15" hidden="false" customHeight="false" outlineLevel="0" collapsed="false">
      <c r="A2506" s="68" t="s">
        <v>3082</v>
      </c>
      <c r="B2506" s="68" t="s">
        <v>2290</v>
      </c>
      <c r="C2506" s="68" t="s">
        <v>123</v>
      </c>
    </row>
    <row r="2507" customFormat="false" ht="15" hidden="false" customHeight="false" outlineLevel="0" collapsed="false">
      <c r="A2507" s="68" t="s">
        <v>3082</v>
      </c>
      <c r="B2507" s="68" t="s">
        <v>2365</v>
      </c>
      <c r="C2507" s="68"/>
    </row>
    <row r="2508" customFormat="false" ht="15" hidden="false" customHeight="false" outlineLevel="0" collapsed="false">
      <c r="A2508" s="68" t="s">
        <v>3082</v>
      </c>
      <c r="B2508" s="68" t="s">
        <v>2370</v>
      </c>
      <c r="C2508" s="68"/>
    </row>
    <row r="2509" customFormat="false" ht="15" hidden="false" customHeight="false" outlineLevel="0" collapsed="false">
      <c r="A2509" s="68" t="s">
        <v>3082</v>
      </c>
      <c r="B2509" s="68" t="s">
        <v>2375</v>
      </c>
      <c r="C2509" s="68"/>
    </row>
    <row r="2510" customFormat="false" ht="15" hidden="false" customHeight="false" outlineLevel="0" collapsed="false">
      <c r="A2510" s="68" t="s">
        <v>3082</v>
      </c>
      <c r="B2510" s="68" t="s">
        <v>2388</v>
      </c>
      <c r="C2510" s="68"/>
    </row>
    <row r="2511" customFormat="false" ht="15" hidden="false" customHeight="false" outlineLevel="0" collapsed="false">
      <c r="A2511" s="68" t="s">
        <v>3082</v>
      </c>
      <c r="B2511" s="68" t="s">
        <v>2393</v>
      </c>
      <c r="C2511" s="68"/>
    </row>
    <row r="2512" customFormat="false" ht="15" hidden="false" customHeight="false" outlineLevel="0" collapsed="false">
      <c r="A2512" s="68" t="s">
        <v>3082</v>
      </c>
      <c r="B2512" s="68" t="s">
        <v>2398</v>
      </c>
      <c r="C2512" s="68"/>
    </row>
    <row r="2513" customFormat="false" ht="15" hidden="false" customHeight="false" outlineLevel="0" collapsed="false">
      <c r="A2513" s="68" t="s">
        <v>3082</v>
      </c>
      <c r="B2513" s="68" t="s">
        <v>2432</v>
      </c>
      <c r="C2513" s="68" t="s">
        <v>3162</v>
      </c>
    </row>
    <row r="2514" customFormat="false" ht="15" hidden="false" customHeight="false" outlineLevel="0" collapsed="false">
      <c r="A2514" s="68" t="s">
        <v>3082</v>
      </c>
      <c r="B2514" s="68" t="s">
        <v>2437</v>
      </c>
      <c r="C2514" s="68" t="n">
        <v>1</v>
      </c>
    </row>
    <row r="2515" customFormat="false" ht="15" hidden="false" customHeight="false" outlineLevel="0" collapsed="false">
      <c r="A2515" s="68" t="s">
        <v>3082</v>
      </c>
      <c r="B2515" s="68" t="s">
        <v>2442</v>
      </c>
      <c r="C2515" s="68" t="n">
        <v>1</v>
      </c>
    </row>
    <row r="2516" customFormat="false" ht="15" hidden="false" customHeight="false" outlineLevel="0" collapsed="false">
      <c r="A2516" s="68" t="s">
        <v>3082</v>
      </c>
      <c r="B2516" s="68" t="s">
        <v>2447</v>
      </c>
      <c r="C2516" s="68" t="n">
        <v>1</v>
      </c>
    </row>
    <row r="2517" customFormat="false" ht="15" hidden="false" customHeight="false" outlineLevel="0" collapsed="false">
      <c r="A2517" s="68" t="s">
        <v>3082</v>
      </c>
      <c r="B2517" s="68" t="s">
        <v>2452</v>
      </c>
      <c r="C2517" s="68" t="n">
        <v>1</v>
      </c>
    </row>
    <row r="2518" customFormat="false" ht="15" hidden="false" customHeight="false" outlineLevel="0" collapsed="false">
      <c r="A2518" s="68" t="s">
        <v>3082</v>
      </c>
      <c r="B2518" s="68" t="s">
        <v>2457</v>
      </c>
      <c r="C2518" s="68" t="n">
        <v>1</v>
      </c>
    </row>
    <row r="2519" customFormat="false" ht="15" hidden="false" customHeight="false" outlineLevel="0" collapsed="false">
      <c r="A2519" s="68" t="s">
        <v>3082</v>
      </c>
      <c r="B2519" s="68" t="s">
        <v>2462</v>
      </c>
      <c r="C2519" s="68"/>
    </row>
    <row r="2520" customFormat="false" ht="15" hidden="false" customHeight="false" outlineLevel="0" collapsed="false">
      <c r="A2520" s="68" t="s">
        <v>3082</v>
      </c>
      <c r="B2520" s="68" t="s">
        <v>2467</v>
      </c>
      <c r="C2520" s="68"/>
    </row>
    <row r="2521" customFormat="false" ht="15" hidden="false" customHeight="false" outlineLevel="0" collapsed="false">
      <c r="A2521" s="68" t="s">
        <v>3082</v>
      </c>
      <c r="B2521" s="68" t="s">
        <v>2471</v>
      </c>
      <c r="C2521" s="68" t="n">
        <v>123.416</v>
      </c>
    </row>
    <row r="2522" customFormat="false" ht="15" hidden="false" customHeight="false" outlineLevel="0" collapsed="false">
      <c r="A2522" s="68" t="s">
        <v>3082</v>
      </c>
      <c r="B2522" s="68" t="s">
        <v>2475</v>
      </c>
      <c r="C2522" s="68" t="s">
        <v>312</v>
      </c>
    </row>
    <row r="2523" customFormat="false" ht="15" hidden="false" customHeight="false" outlineLevel="0" collapsed="false">
      <c r="A2523" s="68" t="s">
        <v>3082</v>
      </c>
      <c r="B2523" s="68" t="s">
        <v>2480</v>
      </c>
      <c r="C2523" s="68"/>
    </row>
    <row r="2524" customFormat="false" ht="15" hidden="false" customHeight="false" outlineLevel="0" collapsed="false">
      <c r="A2524" s="68" t="s">
        <v>3082</v>
      </c>
      <c r="B2524" s="68" t="s">
        <v>2484</v>
      </c>
      <c r="C2524" s="68"/>
    </row>
    <row r="2525" customFormat="false" ht="15" hidden="false" customHeight="false" outlineLevel="0" collapsed="false">
      <c r="A2525" s="68" t="s">
        <v>3086</v>
      </c>
      <c r="B2525" s="68" t="s">
        <v>2284</v>
      </c>
      <c r="C2525" s="68"/>
    </row>
    <row r="2526" customFormat="false" ht="15" hidden="false" customHeight="false" outlineLevel="0" collapsed="false">
      <c r="A2526" s="68" t="s">
        <v>3086</v>
      </c>
      <c r="B2526" s="68" t="s">
        <v>2290</v>
      </c>
      <c r="C2526" s="68" t="s">
        <v>123</v>
      </c>
    </row>
    <row r="2527" customFormat="false" ht="15" hidden="false" customHeight="false" outlineLevel="0" collapsed="false">
      <c r="A2527" s="68" t="s">
        <v>3086</v>
      </c>
      <c r="B2527" s="68" t="s">
        <v>2365</v>
      </c>
      <c r="C2527" s="68"/>
    </row>
    <row r="2528" customFormat="false" ht="15" hidden="false" customHeight="false" outlineLevel="0" collapsed="false">
      <c r="A2528" s="68" t="s">
        <v>3086</v>
      </c>
      <c r="B2528" s="68" t="s">
        <v>2370</v>
      </c>
      <c r="C2528" s="68"/>
    </row>
    <row r="2529" customFormat="false" ht="15" hidden="false" customHeight="false" outlineLevel="0" collapsed="false">
      <c r="A2529" s="68" t="s">
        <v>3086</v>
      </c>
      <c r="B2529" s="68" t="s">
        <v>2375</v>
      </c>
      <c r="C2529" s="68"/>
    </row>
    <row r="2530" customFormat="false" ht="15" hidden="false" customHeight="false" outlineLevel="0" collapsed="false">
      <c r="A2530" s="68" t="s">
        <v>3086</v>
      </c>
      <c r="B2530" s="68" t="s">
        <v>2388</v>
      </c>
      <c r="C2530" s="68"/>
    </row>
    <row r="2531" customFormat="false" ht="15" hidden="false" customHeight="false" outlineLevel="0" collapsed="false">
      <c r="A2531" s="68" t="s">
        <v>3086</v>
      </c>
      <c r="B2531" s="68" t="s">
        <v>2393</v>
      </c>
      <c r="C2531" s="68"/>
    </row>
    <row r="2532" customFormat="false" ht="15" hidden="false" customHeight="false" outlineLevel="0" collapsed="false">
      <c r="A2532" s="68" t="s">
        <v>3086</v>
      </c>
      <c r="B2532" s="68" t="s">
        <v>2398</v>
      </c>
      <c r="C2532" s="68"/>
    </row>
    <row r="2533" customFormat="false" ht="15" hidden="false" customHeight="false" outlineLevel="0" collapsed="false">
      <c r="A2533" s="68" t="s">
        <v>3086</v>
      </c>
      <c r="B2533" s="68" t="s">
        <v>2432</v>
      </c>
      <c r="C2533" s="68" t="s">
        <v>3207</v>
      </c>
    </row>
    <row r="2534" customFormat="false" ht="15" hidden="false" customHeight="false" outlineLevel="0" collapsed="false">
      <c r="A2534" s="68" t="s">
        <v>3086</v>
      </c>
      <c r="B2534" s="68" t="s">
        <v>2437</v>
      </c>
      <c r="C2534" s="68" t="n">
        <v>1</v>
      </c>
    </row>
    <row r="2535" customFormat="false" ht="15" hidden="false" customHeight="false" outlineLevel="0" collapsed="false">
      <c r="A2535" s="68" t="s">
        <v>3086</v>
      </c>
      <c r="B2535" s="68" t="s">
        <v>2442</v>
      </c>
      <c r="C2535" s="68" t="n">
        <v>1</v>
      </c>
    </row>
    <row r="2536" customFormat="false" ht="15" hidden="false" customHeight="false" outlineLevel="0" collapsed="false">
      <c r="A2536" s="68" t="s">
        <v>3086</v>
      </c>
      <c r="B2536" s="68" t="s">
        <v>2447</v>
      </c>
      <c r="C2536" s="68" t="n">
        <v>1</v>
      </c>
    </row>
    <row r="2537" customFormat="false" ht="15" hidden="false" customHeight="false" outlineLevel="0" collapsed="false">
      <c r="A2537" s="68" t="s">
        <v>3086</v>
      </c>
      <c r="B2537" s="68" t="s">
        <v>2452</v>
      </c>
      <c r="C2537" s="68" t="n">
        <v>1</v>
      </c>
    </row>
    <row r="2538" customFormat="false" ht="15" hidden="false" customHeight="false" outlineLevel="0" collapsed="false">
      <c r="A2538" s="68" t="s">
        <v>3086</v>
      </c>
      <c r="B2538" s="68" t="s">
        <v>2457</v>
      </c>
      <c r="C2538" s="68" t="n">
        <v>1</v>
      </c>
    </row>
    <row r="2539" customFormat="false" ht="15" hidden="false" customHeight="false" outlineLevel="0" collapsed="false">
      <c r="A2539" s="68" t="s">
        <v>3086</v>
      </c>
      <c r="B2539" s="68" t="s">
        <v>2462</v>
      </c>
      <c r="C2539" s="68"/>
    </row>
    <row r="2540" customFormat="false" ht="15" hidden="false" customHeight="false" outlineLevel="0" collapsed="false">
      <c r="A2540" s="68" t="s">
        <v>3086</v>
      </c>
      <c r="B2540" s="68" t="s">
        <v>2467</v>
      </c>
      <c r="C2540" s="68"/>
    </row>
    <row r="2541" customFormat="false" ht="15" hidden="false" customHeight="false" outlineLevel="0" collapsed="false">
      <c r="A2541" s="68" t="s">
        <v>3086</v>
      </c>
      <c r="B2541" s="68" t="s">
        <v>2471</v>
      </c>
      <c r="C2541" s="68" t="n">
        <v>123.416</v>
      </c>
    </row>
    <row r="2542" customFormat="false" ht="15" hidden="false" customHeight="false" outlineLevel="0" collapsed="false">
      <c r="A2542" s="68" t="s">
        <v>3086</v>
      </c>
      <c r="B2542" s="68" t="s">
        <v>2475</v>
      </c>
      <c r="C2542" s="68" t="s">
        <v>312</v>
      </c>
    </row>
    <row r="2543" customFormat="false" ht="15" hidden="false" customHeight="false" outlineLevel="0" collapsed="false">
      <c r="A2543" s="68" t="s">
        <v>3086</v>
      </c>
      <c r="B2543" s="68" t="s">
        <v>2480</v>
      </c>
      <c r="C2543" s="68"/>
    </row>
    <row r="2544" customFormat="false" ht="15" hidden="false" customHeight="false" outlineLevel="0" collapsed="false">
      <c r="A2544" s="68" t="s">
        <v>3086</v>
      </c>
      <c r="B2544" s="68" t="s">
        <v>2484</v>
      </c>
      <c r="C2544" s="68"/>
    </row>
    <row r="2545" customFormat="false" ht="15" hidden="false" customHeight="false" outlineLevel="0" collapsed="false">
      <c r="A2545" s="68" t="s">
        <v>3088</v>
      </c>
      <c r="B2545" s="68" t="s">
        <v>2284</v>
      </c>
      <c r="C2545" s="68"/>
    </row>
    <row r="2546" customFormat="false" ht="15" hidden="false" customHeight="false" outlineLevel="0" collapsed="false">
      <c r="A2546" s="68" t="s">
        <v>3088</v>
      </c>
      <c r="B2546" s="68" t="s">
        <v>2290</v>
      </c>
      <c r="C2546" s="68" t="s">
        <v>123</v>
      </c>
    </row>
    <row r="2547" customFormat="false" ht="15" hidden="false" customHeight="false" outlineLevel="0" collapsed="false">
      <c r="A2547" s="68" t="s">
        <v>3088</v>
      </c>
      <c r="B2547" s="68" t="s">
        <v>2365</v>
      </c>
      <c r="C2547" s="68"/>
    </row>
    <row r="2548" customFormat="false" ht="15" hidden="false" customHeight="false" outlineLevel="0" collapsed="false">
      <c r="A2548" s="68" t="s">
        <v>3088</v>
      </c>
      <c r="B2548" s="68" t="s">
        <v>2370</v>
      </c>
      <c r="C2548" s="68"/>
    </row>
    <row r="2549" customFormat="false" ht="15" hidden="false" customHeight="false" outlineLevel="0" collapsed="false">
      <c r="A2549" s="68" t="s">
        <v>3088</v>
      </c>
      <c r="B2549" s="68" t="s">
        <v>2375</v>
      </c>
      <c r="C2549" s="68"/>
    </row>
    <row r="2550" customFormat="false" ht="15" hidden="false" customHeight="false" outlineLevel="0" collapsed="false">
      <c r="A2550" s="68" t="s">
        <v>3088</v>
      </c>
      <c r="B2550" s="68" t="s">
        <v>2388</v>
      </c>
      <c r="C2550" s="68"/>
    </row>
    <row r="2551" customFormat="false" ht="15" hidden="false" customHeight="false" outlineLevel="0" collapsed="false">
      <c r="A2551" s="68" t="s">
        <v>3088</v>
      </c>
      <c r="B2551" s="68" t="s">
        <v>2393</v>
      </c>
      <c r="C2551" s="68"/>
    </row>
    <row r="2552" customFormat="false" ht="15" hidden="false" customHeight="false" outlineLevel="0" collapsed="false">
      <c r="A2552" s="68" t="s">
        <v>3088</v>
      </c>
      <c r="B2552" s="68" t="s">
        <v>2398</v>
      </c>
      <c r="C2552" s="68"/>
    </row>
    <row r="2553" customFormat="false" ht="15" hidden="false" customHeight="false" outlineLevel="0" collapsed="false">
      <c r="A2553" s="68" t="s">
        <v>3088</v>
      </c>
      <c r="B2553" s="68" t="s">
        <v>2432</v>
      </c>
      <c r="C2553" s="68" t="s">
        <v>3207</v>
      </c>
    </row>
    <row r="2554" customFormat="false" ht="15" hidden="false" customHeight="false" outlineLevel="0" collapsed="false">
      <c r="A2554" s="68" t="s">
        <v>3088</v>
      </c>
      <c r="B2554" s="68" t="s">
        <v>2437</v>
      </c>
      <c r="C2554" s="68" t="n">
        <v>1</v>
      </c>
    </row>
    <row r="2555" customFormat="false" ht="15" hidden="false" customHeight="false" outlineLevel="0" collapsed="false">
      <c r="A2555" s="68" t="s">
        <v>3088</v>
      </c>
      <c r="B2555" s="68" t="s">
        <v>2442</v>
      </c>
      <c r="C2555" s="68" t="n">
        <v>1</v>
      </c>
    </row>
    <row r="2556" customFormat="false" ht="15" hidden="false" customHeight="false" outlineLevel="0" collapsed="false">
      <c r="A2556" s="68" t="s">
        <v>3088</v>
      </c>
      <c r="B2556" s="68" t="s">
        <v>2447</v>
      </c>
      <c r="C2556" s="68" t="n">
        <v>1</v>
      </c>
    </row>
    <row r="2557" customFormat="false" ht="15" hidden="false" customHeight="false" outlineLevel="0" collapsed="false">
      <c r="A2557" s="68" t="s">
        <v>3088</v>
      </c>
      <c r="B2557" s="68" t="s">
        <v>2452</v>
      </c>
      <c r="C2557" s="68" t="n">
        <v>1</v>
      </c>
    </row>
    <row r="2558" customFormat="false" ht="15" hidden="false" customHeight="false" outlineLevel="0" collapsed="false">
      <c r="A2558" s="68" t="s">
        <v>3088</v>
      </c>
      <c r="B2558" s="68" t="s">
        <v>2457</v>
      </c>
      <c r="C2558" s="68" t="n">
        <v>1</v>
      </c>
    </row>
    <row r="2559" customFormat="false" ht="15" hidden="false" customHeight="false" outlineLevel="0" collapsed="false">
      <c r="A2559" s="68" t="s">
        <v>3088</v>
      </c>
      <c r="B2559" s="68" t="s">
        <v>2462</v>
      </c>
      <c r="C2559" s="68"/>
    </row>
    <row r="2560" customFormat="false" ht="15" hidden="false" customHeight="false" outlineLevel="0" collapsed="false">
      <c r="A2560" s="68" t="s">
        <v>3088</v>
      </c>
      <c r="B2560" s="68" t="s">
        <v>2467</v>
      </c>
      <c r="C2560" s="68"/>
    </row>
    <row r="2561" customFormat="false" ht="15" hidden="false" customHeight="false" outlineLevel="0" collapsed="false">
      <c r="A2561" s="68" t="s">
        <v>3088</v>
      </c>
      <c r="B2561" s="68" t="s">
        <v>2471</v>
      </c>
      <c r="C2561" s="68" t="n">
        <v>123.416</v>
      </c>
    </row>
    <row r="2562" customFormat="false" ht="15" hidden="false" customHeight="false" outlineLevel="0" collapsed="false">
      <c r="A2562" s="68" t="s">
        <v>3088</v>
      </c>
      <c r="B2562" s="68" t="s">
        <v>2475</v>
      </c>
      <c r="C2562" s="68" t="s">
        <v>312</v>
      </c>
    </row>
    <row r="2563" customFormat="false" ht="15" hidden="false" customHeight="false" outlineLevel="0" collapsed="false">
      <c r="A2563" s="68" t="s">
        <v>3088</v>
      </c>
      <c r="B2563" s="68" t="s">
        <v>2480</v>
      </c>
      <c r="C2563" s="68"/>
    </row>
    <row r="2564" customFormat="false" ht="15" hidden="false" customHeight="false" outlineLevel="0" collapsed="false">
      <c r="A2564" s="68" t="s">
        <v>3088</v>
      </c>
      <c r="B2564" s="68" t="s">
        <v>2484</v>
      </c>
      <c r="C2564" s="68"/>
    </row>
    <row r="2565" customFormat="false" ht="15" hidden="false" customHeight="false" outlineLevel="0" collapsed="false">
      <c r="A2565" s="68" t="s">
        <v>3090</v>
      </c>
      <c r="B2565" s="68" t="s">
        <v>2284</v>
      </c>
      <c r="C2565" s="68" t="n">
        <v>28.4264305177112</v>
      </c>
    </row>
    <row r="2566" customFormat="false" ht="15" hidden="false" customHeight="false" outlineLevel="0" collapsed="false">
      <c r="A2566" s="68" t="s">
        <v>3090</v>
      </c>
      <c r="B2566" s="68" t="s">
        <v>2290</v>
      </c>
      <c r="C2566" s="68" t="s">
        <v>3205</v>
      </c>
    </row>
    <row r="2567" customFormat="false" ht="15" hidden="false" customHeight="false" outlineLevel="0" collapsed="false">
      <c r="A2567" s="68" t="s">
        <v>3090</v>
      </c>
      <c r="B2567" s="68" t="s">
        <v>2365</v>
      </c>
      <c r="C2567" s="68" t="n">
        <v>75000</v>
      </c>
    </row>
    <row r="2568" customFormat="false" ht="15" hidden="false" customHeight="false" outlineLevel="0" collapsed="false">
      <c r="A2568" s="68" t="s">
        <v>3090</v>
      </c>
      <c r="B2568" s="68" t="s">
        <v>2370</v>
      </c>
      <c r="C2568" s="68" t="n">
        <v>98058.3870967742</v>
      </c>
    </row>
    <row r="2569" customFormat="false" ht="15" hidden="false" customHeight="false" outlineLevel="0" collapsed="false">
      <c r="A2569" s="68" t="s">
        <v>3090</v>
      </c>
      <c r="B2569" s="68" t="s">
        <v>2375</v>
      </c>
      <c r="C2569" s="68" t="n">
        <v>3039810000</v>
      </c>
    </row>
    <row r="2570" customFormat="false" ht="15" hidden="false" customHeight="false" outlineLevel="0" collapsed="false">
      <c r="A2570" s="68" t="s">
        <v>3090</v>
      </c>
      <c r="B2570" s="68" t="s">
        <v>2388</v>
      </c>
      <c r="C2570" s="68" t="n">
        <v>101330.092942297</v>
      </c>
    </row>
    <row r="2571" customFormat="false" ht="15" hidden="false" customHeight="false" outlineLevel="0" collapsed="false">
      <c r="A2571" s="68" t="s">
        <v>3090</v>
      </c>
      <c r="B2571" s="68" t="s">
        <v>2393</v>
      </c>
      <c r="C2571" s="68" t="n">
        <v>106982.597773847</v>
      </c>
    </row>
    <row r="2572" customFormat="false" ht="15" hidden="false" customHeight="false" outlineLevel="0" collapsed="false">
      <c r="A2572" s="68" t="s">
        <v>3090</v>
      </c>
      <c r="B2572" s="68" t="s">
        <v>2398</v>
      </c>
      <c r="C2572" s="68" t="n">
        <v>70451571059.8049</v>
      </c>
    </row>
    <row r="2573" customFormat="false" ht="15" hidden="false" customHeight="false" outlineLevel="0" collapsed="false">
      <c r="A2573" s="68" t="s">
        <v>3090</v>
      </c>
      <c r="B2573" s="68" t="s">
        <v>2432</v>
      </c>
      <c r="C2573" s="68" t="s">
        <v>3201</v>
      </c>
    </row>
    <row r="2574" customFormat="false" ht="15" hidden="false" customHeight="false" outlineLevel="0" collapsed="false">
      <c r="A2574" s="68" t="s">
        <v>3090</v>
      </c>
      <c r="B2574" s="68" t="s">
        <v>2437</v>
      </c>
      <c r="C2574" s="68" t="n">
        <v>1.7</v>
      </c>
    </row>
    <row r="2575" customFormat="false" ht="15" hidden="false" customHeight="false" outlineLevel="0" collapsed="false">
      <c r="A2575" s="68" t="s">
        <v>3090</v>
      </c>
      <c r="B2575" s="68" t="s">
        <v>2442</v>
      </c>
      <c r="C2575" s="68" t="n">
        <v>1</v>
      </c>
    </row>
    <row r="2576" customFormat="false" ht="15" hidden="false" customHeight="false" outlineLevel="0" collapsed="false">
      <c r="A2576" s="68" t="s">
        <v>3090</v>
      </c>
      <c r="B2576" s="68" t="s">
        <v>2447</v>
      </c>
      <c r="C2576" s="68" t="n">
        <v>1.05</v>
      </c>
    </row>
    <row r="2577" customFormat="false" ht="15" hidden="false" customHeight="false" outlineLevel="0" collapsed="false">
      <c r="A2577" s="68" t="s">
        <v>3090</v>
      </c>
      <c r="B2577" s="68" t="s">
        <v>2452</v>
      </c>
      <c r="C2577" s="68" t="n">
        <v>1</v>
      </c>
    </row>
    <row r="2578" customFormat="false" ht="15" hidden="false" customHeight="false" outlineLevel="0" collapsed="false">
      <c r="A2578" s="68" t="s">
        <v>3090</v>
      </c>
      <c r="B2578" s="68" t="s">
        <v>2457</v>
      </c>
      <c r="C2578" s="68" t="n">
        <v>1.785</v>
      </c>
    </row>
    <row r="2579" customFormat="false" ht="15" hidden="false" customHeight="false" outlineLevel="0" collapsed="false">
      <c r="A2579" s="68" t="s">
        <v>3090</v>
      </c>
      <c r="B2579" s="68" t="s">
        <v>2462</v>
      </c>
      <c r="C2579" s="68" t="n">
        <v>42016.8067226891</v>
      </c>
    </row>
    <row r="2580" customFormat="false" ht="15" hidden="false" customHeight="false" outlineLevel="0" collapsed="false">
      <c r="A2580" s="68" t="s">
        <v>3090</v>
      </c>
      <c r="B2580" s="68" t="s">
        <v>2467</v>
      </c>
      <c r="C2580" s="68" t="n">
        <v>91.347</v>
      </c>
    </row>
    <row r="2581" customFormat="false" ht="15" hidden="false" customHeight="false" outlineLevel="0" collapsed="false">
      <c r="A2581" s="68" t="s">
        <v>3090</v>
      </c>
      <c r="B2581" s="68" t="s">
        <v>2471</v>
      </c>
      <c r="C2581" s="68" t="n">
        <v>123.416</v>
      </c>
    </row>
    <row r="2582" customFormat="false" ht="15" hidden="false" customHeight="false" outlineLevel="0" collapsed="false">
      <c r="A2582" s="68" t="s">
        <v>3090</v>
      </c>
      <c r="B2582" s="68" t="s">
        <v>2475</v>
      </c>
      <c r="C2582" s="68" t="s">
        <v>369</v>
      </c>
    </row>
    <row r="2583" customFormat="false" ht="15" hidden="false" customHeight="false" outlineLevel="0" collapsed="false">
      <c r="A2583" s="68" t="s">
        <v>3090</v>
      </c>
      <c r="B2583" s="68" t="s">
        <v>2480</v>
      </c>
      <c r="C2583" s="68" t="n">
        <v>56767.5590713148</v>
      </c>
    </row>
    <row r="2584" customFormat="false" ht="15" hidden="false" customHeight="false" outlineLevel="0" collapsed="false">
      <c r="A2584" s="68" t="s">
        <v>3090</v>
      </c>
      <c r="B2584" s="68" t="s">
        <v>2484</v>
      </c>
      <c r="C2584" s="68" t="n">
        <v>7618.45353398181</v>
      </c>
    </row>
    <row r="2585" customFormat="false" ht="15" hidden="false" customHeight="false" outlineLevel="0" collapsed="false">
      <c r="A2585" s="68" t="s">
        <v>3093</v>
      </c>
      <c r="B2585" s="68" t="s">
        <v>2284</v>
      </c>
      <c r="C2585" s="68" t="n">
        <v>8.59264305177112</v>
      </c>
    </row>
    <row r="2586" customFormat="false" ht="15" hidden="false" customHeight="false" outlineLevel="0" collapsed="false">
      <c r="A2586" s="68" t="s">
        <v>3093</v>
      </c>
      <c r="B2586" s="68" t="s">
        <v>2290</v>
      </c>
      <c r="C2586" s="68" t="s">
        <v>1881</v>
      </c>
    </row>
    <row r="2587" customFormat="false" ht="15" hidden="false" customHeight="false" outlineLevel="0" collapsed="false">
      <c r="A2587" s="68" t="s">
        <v>3093</v>
      </c>
      <c r="B2587" s="68" t="s">
        <v>2365</v>
      </c>
      <c r="C2587" s="68" t="n">
        <v>10000</v>
      </c>
    </row>
    <row r="2588" customFormat="false" ht="15" hidden="false" customHeight="false" outlineLevel="0" collapsed="false">
      <c r="A2588" s="68" t="s">
        <v>3093</v>
      </c>
      <c r="B2588" s="68" t="s">
        <v>2370</v>
      </c>
      <c r="C2588" s="68" t="n">
        <v>13074.4516129032</v>
      </c>
    </row>
    <row r="2589" customFormat="false" ht="15" hidden="false" customHeight="false" outlineLevel="0" collapsed="false">
      <c r="A2589" s="68" t="s">
        <v>3093</v>
      </c>
      <c r="B2589" s="68" t="s">
        <v>2375</v>
      </c>
      <c r="C2589" s="68" t="n">
        <v>405308000</v>
      </c>
    </row>
    <row r="2590" customFormat="false" ht="15" hidden="false" customHeight="false" outlineLevel="0" collapsed="false">
      <c r="A2590" s="68" t="s">
        <v>3093</v>
      </c>
      <c r="B2590" s="68" t="s">
        <v>2388</v>
      </c>
      <c r="C2590" s="68" t="n">
        <v>13510.6790589729</v>
      </c>
    </row>
    <row r="2591" customFormat="false" ht="15" hidden="false" customHeight="false" outlineLevel="0" collapsed="false">
      <c r="A2591" s="68" t="s">
        <v>3093</v>
      </c>
      <c r="B2591" s="68" t="s">
        <v>2393</v>
      </c>
      <c r="C2591" s="68" t="n">
        <v>14264.3463698463</v>
      </c>
    </row>
    <row r="2592" customFormat="false" ht="15" hidden="false" customHeight="false" outlineLevel="0" collapsed="false">
      <c r="A2592" s="68" t="s">
        <v>3093</v>
      </c>
      <c r="B2592" s="68" t="s">
        <v>2398</v>
      </c>
      <c r="C2592" s="68" t="n">
        <v>9393542807.97399</v>
      </c>
    </row>
    <row r="2593" customFormat="false" ht="15" hidden="false" customHeight="false" outlineLevel="0" collapsed="false">
      <c r="A2593" s="68" t="s">
        <v>3093</v>
      </c>
      <c r="B2593" s="68" t="s">
        <v>2432</v>
      </c>
      <c r="C2593" s="68" t="s">
        <v>3201</v>
      </c>
    </row>
    <row r="2594" customFormat="false" ht="15" hidden="false" customHeight="false" outlineLevel="0" collapsed="false">
      <c r="A2594" s="68" t="s">
        <v>3093</v>
      </c>
      <c r="B2594" s="68" t="s">
        <v>2437</v>
      </c>
      <c r="C2594" s="68" t="n">
        <v>0.8</v>
      </c>
    </row>
    <row r="2595" customFormat="false" ht="15" hidden="false" customHeight="false" outlineLevel="0" collapsed="false">
      <c r="A2595" s="68" t="s">
        <v>3093</v>
      </c>
      <c r="B2595" s="68" t="s">
        <v>2442</v>
      </c>
      <c r="C2595" s="68" t="n">
        <v>1</v>
      </c>
    </row>
    <row r="2596" customFormat="false" ht="15" hidden="false" customHeight="false" outlineLevel="0" collapsed="false">
      <c r="A2596" s="68" t="s">
        <v>3093</v>
      </c>
      <c r="B2596" s="68" t="s">
        <v>2447</v>
      </c>
      <c r="C2596" s="68" t="n">
        <v>1</v>
      </c>
    </row>
    <row r="2597" customFormat="false" ht="15" hidden="false" customHeight="false" outlineLevel="0" collapsed="false">
      <c r="A2597" s="68" t="s">
        <v>3093</v>
      </c>
      <c r="B2597" s="68" t="s">
        <v>2452</v>
      </c>
      <c r="C2597" s="68" t="n">
        <v>1</v>
      </c>
    </row>
    <row r="2598" customFormat="false" ht="15" hidden="false" customHeight="false" outlineLevel="0" collapsed="false">
      <c r="A2598" s="68" t="s">
        <v>3093</v>
      </c>
      <c r="B2598" s="68" t="s">
        <v>2457</v>
      </c>
      <c r="C2598" s="68" t="n">
        <v>0.8</v>
      </c>
    </row>
    <row r="2599" customFormat="false" ht="15" hidden="false" customHeight="false" outlineLevel="0" collapsed="false">
      <c r="A2599" s="68" t="s">
        <v>3093</v>
      </c>
      <c r="B2599" s="68" t="s">
        <v>2462</v>
      </c>
      <c r="C2599" s="68" t="n">
        <v>12500</v>
      </c>
    </row>
    <row r="2600" customFormat="false" ht="15" hidden="false" customHeight="false" outlineLevel="0" collapsed="false">
      <c r="A2600" s="68" t="s">
        <v>3093</v>
      </c>
      <c r="B2600" s="68" t="s">
        <v>2467</v>
      </c>
      <c r="C2600" s="68" t="n">
        <v>91.347</v>
      </c>
    </row>
    <row r="2601" customFormat="false" ht="15" hidden="false" customHeight="false" outlineLevel="0" collapsed="false">
      <c r="A2601" s="68" t="s">
        <v>3093</v>
      </c>
      <c r="B2601" s="68" t="s">
        <v>2471</v>
      </c>
      <c r="C2601" s="68" t="n">
        <v>123.416</v>
      </c>
    </row>
    <row r="2602" customFormat="false" ht="15" hidden="false" customHeight="false" outlineLevel="0" collapsed="false">
      <c r="A2602" s="68" t="s">
        <v>3093</v>
      </c>
      <c r="B2602" s="68" t="s">
        <v>2475</v>
      </c>
      <c r="C2602" s="68" t="s">
        <v>312</v>
      </c>
    </row>
    <row r="2603" customFormat="false" ht="15" hidden="false" customHeight="false" outlineLevel="0" collapsed="false">
      <c r="A2603" s="68" t="s">
        <v>3093</v>
      </c>
      <c r="B2603" s="68" t="s">
        <v>2480</v>
      </c>
      <c r="C2603" s="68" t="n">
        <v>16888.3488237162</v>
      </c>
    </row>
    <row r="2604" customFormat="false" ht="15" hidden="false" customHeight="false" outlineLevel="0" collapsed="false">
      <c r="A2604" s="68" t="s">
        <v>3093</v>
      </c>
      <c r="B2604" s="68" t="s">
        <v>2484</v>
      </c>
      <c r="C2604" s="68" t="n">
        <v>4646.34151342652</v>
      </c>
    </row>
    <row r="2605" customFormat="false" ht="15" hidden="false" customHeight="false" outlineLevel="0" collapsed="false">
      <c r="A2605" s="68" t="s">
        <v>3096</v>
      </c>
      <c r="B2605" s="68" t="s">
        <v>2284</v>
      </c>
      <c r="C2605" s="68" t="n">
        <v>29.436421435059</v>
      </c>
    </row>
    <row r="2606" customFormat="false" ht="15" hidden="false" customHeight="false" outlineLevel="0" collapsed="false">
      <c r="A2606" s="68" t="s">
        <v>3096</v>
      </c>
      <c r="B2606" s="68" t="s">
        <v>2290</v>
      </c>
      <c r="C2606" s="68" t="s">
        <v>1585</v>
      </c>
    </row>
    <row r="2607" customFormat="false" ht="15" hidden="false" customHeight="false" outlineLevel="0" collapsed="false">
      <c r="A2607" s="68" t="s">
        <v>3096</v>
      </c>
      <c r="B2607" s="68" t="s">
        <v>2365</v>
      </c>
      <c r="C2607" s="68" t="n">
        <v>15000</v>
      </c>
    </row>
    <row r="2608" customFormat="false" ht="15" hidden="false" customHeight="false" outlineLevel="0" collapsed="false">
      <c r="A2608" s="68" t="s">
        <v>3096</v>
      </c>
      <c r="B2608" s="68" t="s">
        <v>2370</v>
      </c>
      <c r="C2608" s="68" t="n">
        <v>19611.6774193548</v>
      </c>
    </row>
    <row r="2609" customFormat="false" ht="15" hidden="false" customHeight="false" outlineLevel="0" collapsed="false">
      <c r="A2609" s="68" t="s">
        <v>3096</v>
      </c>
      <c r="B2609" s="68" t="s">
        <v>2375</v>
      </c>
      <c r="C2609" s="68" t="n">
        <v>607962000</v>
      </c>
    </row>
    <row r="2610" customFormat="false" ht="15" hidden="false" customHeight="false" outlineLevel="0" collapsed="false">
      <c r="A2610" s="68" t="s">
        <v>3096</v>
      </c>
      <c r="B2610" s="68" t="s">
        <v>2388</v>
      </c>
      <c r="C2610" s="68" t="n">
        <v>20266.0185884594</v>
      </c>
    </row>
    <row r="2611" customFormat="false" ht="15" hidden="false" customHeight="false" outlineLevel="0" collapsed="false">
      <c r="A2611" s="68" t="s">
        <v>3096</v>
      </c>
      <c r="B2611" s="68" t="s">
        <v>2393</v>
      </c>
      <c r="C2611" s="68" t="n">
        <v>21396.5195547694</v>
      </c>
    </row>
    <row r="2612" customFormat="false" ht="15" hidden="false" customHeight="false" outlineLevel="0" collapsed="false">
      <c r="A2612" s="68" t="s">
        <v>3096</v>
      </c>
      <c r="B2612" s="68" t="s">
        <v>2398</v>
      </c>
      <c r="C2612" s="68" t="n">
        <v>14090314211.961</v>
      </c>
    </row>
    <row r="2613" customFormat="false" ht="15" hidden="false" customHeight="false" outlineLevel="0" collapsed="false">
      <c r="A2613" s="68" t="s">
        <v>3096</v>
      </c>
      <c r="B2613" s="68" t="s">
        <v>2432</v>
      </c>
      <c r="C2613" s="68" t="s">
        <v>3201</v>
      </c>
    </row>
    <row r="2614" customFormat="false" ht="15" hidden="false" customHeight="false" outlineLevel="0" collapsed="false">
      <c r="A2614" s="68" t="s">
        <v>3096</v>
      </c>
      <c r="B2614" s="68" t="s">
        <v>2437</v>
      </c>
      <c r="C2614" s="68" t="n">
        <v>0.8</v>
      </c>
    </row>
    <row r="2615" customFormat="false" ht="15" hidden="false" customHeight="false" outlineLevel="0" collapsed="false">
      <c r="A2615" s="68" t="s">
        <v>3096</v>
      </c>
      <c r="B2615" s="68" t="s">
        <v>2442</v>
      </c>
      <c r="C2615" s="68" t="n">
        <v>1</v>
      </c>
    </row>
    <row r="2616" customFormat="false" ht="15" hidden="false" customHeight="false" outlineLevel="0" collapsed="false">
      <c r="A2616" s="68" t="s">
        <v>3096</v>
      </c>
      <c r="B2616" s="68" t="s">
        <v>2447</v>
      </c>
      <c r="C2616" s="68" t="n">
        <v>1</v>
      </c>
    </row>
    <row r="2617" customFormat="false" ht="15" hidden="false" customHeight="false" outlineLevel="0" collapsed="false">
      <c r="A2617" s="68" t="s">
        <v>3096</v>
      </c>
      <c r="B2617" s="68" t="s">
        <v>2452</v>
      </c>
      <c r="C2617" s="68" t="n">
        <v>1</v>
      </c>
    </row>
    <row r="2618" customFormat="false" ht="15" hidden="false" customHeight="false" outlineLevel="0" collapsed="false">
      <c r="A2618" s="68" t="s">
        <v>3096</v>
      </c>
      <c r="B2618" s="68" t="s">
        <v>2457</v>
      </c>
      <c r="C2618" s="68" t="n">
        <v>0.8</v>
      </c>
    </row>
    <row r="2619" customFormat="false" ht="15" hidden="false" customHeight="false" outlineLevel="0" collapsed="false">
      <c r="A2619" s="68" t="s">
        <v>3096</v>
      </c>
      <c r="B2619" s="68" t="s">
        <v>2462</v>
      </c>
      <c r="C2619" s="68" t="n">
        <v>18750</v>
      </c>
    </row>
    <row r="2620" customFormat="false" ht="15" hidden="false" customHeight="false" outlineLevel="0" collapsed="false">
      <c r="A2620" s="68" t="s">
        <v>3096</v>
      </c>
      <c r="B2620" s="68" t="s">
        <v>2467</v>
      </c>
      <c r="C2620" s="68" t="n">
        <v>91.347</v>
      </c>
    </row>
    <row r="2621" customFormat="false" ht="15" hidden="false" customHeight="false" outlineLevel="0" collapsed="false">
      <c r="A2621" s="68" t="s">
        <v>3096</v>
      </c>
      <c r="B2621" s="68" t="s">
        <v>2471</v>
      </c>
      <c r="C2621" s="68" t="n">
        <v>123.416</v>
      </c>
    </row>
    <row r="2622" customFormat="false" ht="15" hidden="false" customHeight="false" outlineLevel="0" collapsed="false">
      <c r="A2622" s="68" t="s">
        <v>3096</v>
      </c>
      <c r="B2622" s="68" t="s">
        <v>2475</v>
      </c>
      <c r="C2622" s="68" t="s">
        <v>312</v>
      </c>
    </row>
    <row r="2623" customFormat="false" ht="15" hidden="false" customHeight="false" outlineLevel="0" collapsed="false">
      <c r="A2623" s="68" t="s">
        <v>3096</v>
      </c>
      <c r="B2623" s="68" t="s">
        <v>2480</v>
      </c>
      <c r="C2623" s="68" t="n">
        <v>25332.5232355742</v>
      </c>
    </row>
    <row r="2624" customFormat="false" ht="15" hidden="false" customHeight="false" outlineLevel="0" collapsed="false">
      <c r="A2624" s="68" t="s">
        <v>3096</v>
      </c>
      <c r="B2624" s="68" t="s">
        <v>2484</v>
      </c>
      <c r="C2624" s="68" t="n">
        <v>3329.25792691936</v>
      </c>
    </row>
    <row r="2625" customFormat="false" ht="15" hidden="false" customHeight="false" outlineLevel="0" collapsed="false">
      <c r="A2625" s="68" t="s">
        <v>3099</v>
      </c>
      <c r="B2625" s="68" t="s">
        <v>2284</v>
      </c>
      <c r="C2625" s="68" t="n">
        <v>17.1752951861944</v>
      </c>
    </row>
    <row r="2626" customFormat="false" ht="15" hidden="false" customHeight="false" outlineLevel="0" collapsed="false">
      <c r="A2626" s="68" t="s">
        <v>3099</v>
      </c>
      <c r="B2626" s="68" t="s">
        <v>2290</v>
      </c>
      <c r="C2626" s="68" t="s">
        <v>1585</v>
      </c>
    </row>
    <row r="2627" customFormat="false" ht="15" hidden="false" customHeight="false" outlineLevel="0" collapsed="false">
      <c r="A2627" s="68" t="s">
        <v>3099</v>
      </c>
      <c r="B2627" s="68" t="s">
        <v>2365</v>
      </c>
      <c r="C2627" s="68" t="n">
        <v>12000</v>
      </c>
    </row>
    <row r="2628" customFormat="false" ht="15" hidden="false" customHeight="false" outlineLevel="0" collapsed="false">
      <c r="A2628" s="68" t="s">
        <v>3099</v>
      </c>
      <c r="B2628" s="68" t="s">
        <v>2370</v>
      </c>
      <c r="C2628" s="68" t="n">
        <v>15689.3419354839</v>
      </c>
    </row>
    <row r="2629" customFormat="false" ht="15" hidden="false" customHeight="false" outlineLevel="0" collapsed="false">
      <c r="A2629" s="68" t="s">
        <v>3099</v>
      </c>
      <c r="B2629" s="68" t="s">
        <v>2375</v>
      </c>
      <c r="C2629" s="68" t="n">
        <v>486369600</v>
      </c>
    </row>
    <row r="2630" customFormat="false" ht="15" hidden="false" customHeight="false" outlineLevel="0" collapsed="false">
      <c r="A2630" s="68" t="s">
        <v>3099</v>
      </c>
      <c r="B2630" s="68" t="s">
        <v>2388</v>
      </c>
      <c r="C2630" s="68" t="n">
        <v>16212.8148707675</v>
      </c>
    </row>
    <row r="2631" customFormat="false" ht="15" hidden="false" customHeight="false" outlineLevel="0" collapsed="false">
      <c r="A2631" s="68" t="s">
        <v>3099</v>
      </c>
      <c r="B2631" s="68" t="s">
        <v>2393</v>
      </c>
      <c r="C2631" s="68" t="n">
        <v>17117.2156438156</v>
      </c>
    </row>
    <row r="2632" customFormat="false" ht="15" hidden="false" customHeight="false" outlineLevel="0" collapsed="false">
      <c r="A2632" s="68" t="s">
        <v>3099</v>
      </c>
      <c r="B2632" s="68" t="s">
        <v>2398</v>
      </c>
      <c r="C2632" s="68" t="n">
        <v>11272251369.5688</v>
      </c>
    </row>
    <row r="2633" customFormat="false" ht="15" hidden="false" customHeight="false" outlineLevel="0" collapsed="false">
      <c r="A2633" s="68" t="s">
        <v>3099</v>
      </c>
      <c r="B2633" s="68" t="s">
        <v>2432</v>
      </c>
      <c r="C2633" s="68" t="s">
        <v>3201</v>
      </c>
    </row>
    <row r="2634" customFormat="false" ht="15" hidden="false" customHeight="false" outlineLevel="0" collapsed="false">
      <c r="A2634" s="68" t="s">
        <v>3099</v>
      </c>
      <c r="B2634" s="68" t="s">
        <v>2437</v>
      </c>
      <c r="C2634" s="68" t="n">
        <v>0.8</v>
      </c>
    </row>
    <row r="2635" customFormat="false" ht="15" hidden="false" customHeight="false" outlineLevel="0" collapsed="false">
      <c r="A2635" s="68" t="s">
        <v>3099</v>
      </c>
      <c r="B2635" s="68" t="s">
        <v>2442</v>
      </c>
      <c r="C2635" s="68" t="n">
        <v>1</v>
      </c>
    </row>
    <row r="2636" customFormat="false" ht="15" hidden="false" customHeight="false" outlineLevel="0" collapsed="false">
      <c r="A2636" s="68" t="s">
        <v>3099</v>
      </c>
      <c r="B2636" s="68" t="s">
        <v>2447</v>
      </c>
      <c r="C2636" s="68" t="n">
        <v>1</v>
      </c>
    </row>
    <row r="2637" customFormat="false" ht="15" hidden="false" customHeight="false" outlineLevel="0" collapsed="false">
      <c r="A2637" s="68" t="s">
        <v>3099</v>
      </c>
      <c r="B2637" s="68" t="s">
        <v>2452</v>
      </c>
      <c r="C2637" s="68" t="n">
        <v>1</v>
      </c>
    </row>
    <row r="2638" customFormat="false" ht="15" hidden="false" customHeight="false" outlineLevel="0" collapsed="false">
      <c r="A2638" s="68" t="s">
        <v>3099</v>
      </c>
      <c r="B2638" s="68" t="s">
        <v>2457</v>
      </c>
      <c r="C2638" s="68" t="n">
        <v>0.8</v>
      </c>
    </row>
    <row r="2639" customFormat="false" ht="15" hidden="false" customHeight="false" outlineLevel="0" collapsed="false">
      <c r="A2639" s="68" t="s">
        <v>3099</v>
      </c>
      <c r="B2639" s="68" t="s">
        <v>2462</v>
      </c>
      <c r="C2639" s="68" t="n">
        <v>15000</v>
      </c>
    </row>
    <row r="2640" customFormat="false" ht="15" hidden="false" customHeight="false" outlineLevel="0" collapsed="false">
      <c r="A2640" s="68" t="s">
        <v>3099</v>
      </c>
      <c r="B2640" s="68" t="s">
        <v>2467</v>
      </c>
      <c r="C2640" s="68" t="n">
        <v>91.347</v>
      </c>
    </row>
    <row r="2641" customFormat="false" ht="15" hidden="false" customHeight="false" outlineLevel="0" collapsed="false">
      <c r="A2641" s="68" t="s">
        <v>3099</v>
      </c>
      <c r="B2641" s="68" t="s">
        <v>2471</v>
      </c>
      <c r="C2641" s="68" t="n">
        <v>123.416</v>
      </c>
    </row>
    <row r="2642" customFormat="false" ht="15" hidden="false" customHeight="false" outlineLevel="0" collapsed="false">
      <c r="A2642" s="68" t="s">
        <v>3099</v>
      </c>
      <c r="B2642" s="68" t="s">
        <v>2475</v>
      </c>
      <c r="C2642" s="68" t="s">
        <v>312</v>
      </c>
    </row>
    <row r="2643" customFormat="false" ht="15" hidden="false" customHeight="false" outlineLevel="0" collapsed="false">
      <c r="A2643" s="68" t="s">
        <v>3099</v>
      </c>
      <c r="B2643" s="68" t="s">
        <v>2480</v>
      </c>
      <c r="C2643" s="68" t="n">
        <v>20266.0185884594</v>
      </c>
    </row>
    <row r="2644" customFormat="false" ht="15" hidden="false" customHeight="false" outlineLevel="0" collapsed="false">
      <c r="A2644" s="68" t="s">
        <v>3099</v>
      </c>
      <c r="B2644" s="68" t="s">
        <v>2484</v>
      </c>
      <c r="C2644" s="68" t="n">
        <v>3679.81436749012</v>
      </c>
    </row>
    <row r="2645" customFormat="false" ht="15" hidden="false" customHeight="false" outlineLevel="0" collapsed="false">
      <c r="A2645" s="68" t="s">
        <v>3102</v>
      </c>
      <c r="B2645" s="68" t="s">
        <v>2284</v>
      </c>
      <c r="C2645" s="68" t="n">
        <v>268.619436875568</v>
      </c>
    </row>
    <row r="2646" customFormat="false" ht="15" hidden="false" customHeight="false" outlineLevel="0" collapsed="false">
      <c r="A2646" s="68" t="s">
        <v>3102</v>
      </c>
      <c r="B2646" s="68" t="s">
        <v>2290</v>
      </c>
      <c r="C2646" s="68" t="s">
        <v>3205</v>
      </c>
    </row>
    <row r="2647" customFormat="false" ht="15" hidden="false" customHeight="false" outlineLevel="0" collapsed="false">
      <c r="A2647" s="68" t="s">
        <v>3102</v>
      </c>
      <c r="B2647" s="68" t="s">
        <v>2365</v>
      </c>
      <c r="C2647" s="68" t="n">
        <v>260000</v>
      </c>
    </row>
    <row r="2648" customFormat="false" ht="15" hidden="false" customHeight="false" outlineLevel="0" collapsed="false">
      <c r="A2648" s="68" t="s">
        <v>3102</v>
      </c>
      <c r="B2648" s="68" t="s">
        <v>2370</v>
      </c>
      <c r="C2648" s="68" t="n">
        <v>339935.741935484</v>
      </c>
    </row>
    <row r="2649" customFormat="false" ht="15" hidden="false" customHeight="false" outlineLevel="0" collapsed="false">
      <c r="A2649" s="68" t="s">
        <v>3102</v>
      </c>
      <c r="B2649" s="68" t="s">
        <v>2375</v>
      </c>
      <c r="C2649" s="68" t="n">
        <v>10538008000</v>
      </c>
    </row>
    <row r="2650" customFormat="false" ht="15" hidden="false" customHeight="false" outlineLevel="0" collapsed="false">
      <c r="A2650" s="68" t="s">
        <v>3102</v>
      </c>
      <c r="B2650" s="68" t="s">
        <v>2388</v>
      </c>
      <c r="C2650" s="68" t="n">
        <v>351277.655533296</v>
      </c>
    </row>
    <row r="2651" customFormat="false" ht="15" hidden="false" customHeight="false" outlineLevel="0" collapsed="false">
      <c r="A2651" s="68" t="s">
        <v>3102</v>
      </c>
      <c r="B2651" s="68" t="s">
        <v>2393</v>
      </c>
      <c r="C2651" s="68" t="n">
        <v>370873.005616004</v>
      </c>
    </row>
    <row r="2652" customFormat="false" ht="15" hidden="false" customHeight="false" outlineLevel="0" collapsed="false">
      <c r="A2652" s="68" t="s">
        <v>3102</v>
      </c>
      <c r="B2652" s="68" t="s">
        <v>2398</v>
      </c>
      <c r="C2652" s="68" t="n">
        <v>244232113007.324</v>
      </c>
    </row>
    <row r="2653" customFormat="false" ht="15" hidden="false" customHeight="false" outlineLevel="0" collapsed="false">
      <c r="A2653" s="68" t="s">
        <v>3102</v>
      </c>
      <c r="B2653" s="68" t="s">
        <v>2432</v>
      </c>
      <c r="C2653" s="68" t="s">
        <v>3201</v>
      </c>
    </row>
    <row r="2654" customFormat="false" ht="15" hidden="false" customHeight="false" outlineLevel="0" collapsed="false">
      <c r="A2654" s="68" t="s">
        <v>3102</v>
      </c>
      <c r="B2654" s="68" t="s">
        <v>2437</v>
      </c>
      <c r="C2654" s="68" t="n">
        <v>1.9</v>
      </c>
    </row>
    <row r="2655" customFormat="false" ht="15" hidden="false" customHeight="false" outlineLevel="0" collapsed="false">
      <c r="A2655" s="68" t="s">
        <v>3102</v>
      </c>
      <c r="B2655" s="68" t="s">
        <v>2442</v>
      </c>
      <c r="C2655" s="68" t="n">
        <v>1</v>
      </c>
    </row>
    <row r="2656" customFormat="false" ht="15" hidden="false" customHeight="false" outlineLevel="0" collapsed="false">
      <c r="A2656" s="68" t="s">
        <v>3102</v>
      </c>
      <c r="B2656" s="68" t="s">
        <v>2447</v>
      </c>
      <c r="C2656" s="68" t="n">
        <v>1.05</v>
      </c>
    </row>
    <row r="2657" customFormat="false" ht="15" hidden="false" customHeight="false" outlineLevel="0" collapsed="false">
      <c r="A2657" s="68" t="s">
        <v>3102</v>
      </c>
      <c r="B2657" s="68" t="s">
        <v>2452</v>
      </c>
      <c r="C2657" s="68" t="n">
        <v>1</v>
      </c>
    </row>
    <row r="2658" customFormat="false" ht="15" hidden="false" customHeight="false" outlineLevel="0" collapsed="false">
      <c r="A2658" s="68" t="s">
        <v>3102</v>
      </c>
      <c r="B2658" s="68" t="s">
        <v>2457</v>
      </c>
      <c r="C2658" s="68" t="n">
        <v>1.995</v>
      </c>
    </row>
    <row r="2659" customFormat="false" ht="15" hidden="false" customHeight="false" outlineLevel="0" collapsed="false">
      <c r="A2659" s="68" t="s">
        <v>3102</v>
      </c>
      <c r="B2659" s="68" t="s">
        <v>2462</v>
      </c>
      <c r="C2659" s="68" t="n">
        <v>130325.814536341</v>
      </c>
    </row>
    <row r="2660" customFormat="false" ht="15" hidden="false" customHeight="false" outlineLevel="0" collapsed="false">
      <c r="A2660" s="68" t="s">
        <v>3102</v>
      </c>
      <c r="B2660" s="68" t="s">
        <v>2467</v>
      </c>
      <c r="C2660" s="68" t="n">
        <v>91.347</v>
      </c>
    </row>
    <row r="2661" customFormat="false" ht="15" hidden="false" customHeight="false" outlineLevel="0" collapsed="false">
      <c r="A2661" s="68" t="s">
        <v>3102</v>
      </c>
      <c r="B2661" s="68" t="s">
        <v>2471</v>
      </c>
      <c r="C2661" s="68" t="n">
        <v>123.416</v>
      </c>
    </row>
    <row r="2662" customFormat="false" ht="15" hidden="false" customHeight="false" outlineLevel="0" collapsed="false">
      <c r="A2662" s="68" t="s">
        <v>3102</v>
      </c>
      <c r="B2662" s="68" t="s">
        <v>2475</v>
      </c>
      <c r="C2662" s="68" t="s">
        <v>369</v>
      </c>
    </row>
    <row r="2663" customFormat="false" ht="15" hidden="false" customHeight="false" outlineLevel="0" collapsed="false">
      <c r="A2663" s="68" t="s">
        <v>3102</v>
      </c>
      <c r="B2663" s="68" t="s">
        <v>2480</v>
      </c>
      <c r="C2663" s="68" t="n">
        <v>176079.025329973</v>
      </c>
    </row>
    <row r="2664" customFormat="false" ht="15" hidden="false" customHeight="false" outlineLevel="0" collapsed="false">
      <c r="A2664" s="68" t="s">
        <v>3102</v>
      </c>
      <c r="B2664" s="68" t="s">
        <v>2484</v>
      </c>
      <c r="C2664" s="68" t="n">
        <v>6140.80299621417</v>
      </c>
    </row>
    <row r="2665" customFormat="false" ht="15" hidden="false" customHeight="false" outlineLevel="0" collapsed="false">
      <c r="A2665" s="68" t="s">
        <v>3105</v>
      </c>
      <c r="B2665" s="68" t="s">
        <v>2284</v>
      </c>
      <c r="C2665" s="68"/>
    </row>
    <row r="2666" customFormat="false" ht="15" hidden="false" customHeight="false" outlineLevel="0" collapsed="false">
      <c r="A2666" s="68" t="s">
        <v>3105</v>
      </c>
      <c r="B2666" s="68" t="s">
        <v>2290</v>
      </c>
      <c r="C2666" s="68" t="s">
        <v>3206</v>
      </c>
    </row>
    <row r="2667" customFormat="false" ht="15" hidden="false" customHeight="false" outlineLevel="0" collapsed="false">
      <c r="A2667" s="68" t="s">
        <v>3105</v>
      </c>
      <c r="B2667" s="68" t="s">
        <v>2365</v>
      </c>
      <c r="C2667" s="68" t="n">
        <v>10000</v>
      </c>
    </row>
    <row r="2668" customFormat="false" ht="15" hidden="false" customHeight="false" outlineLevel="0" collapsed="false">
      <c r="A2668" s="68" t="s">
        <v>3105</v>
      </c>
      <c r="B2668" s="68" t="s">
        <v>2370</v>
      </c>
      <c r="C2668" s="68" t="n">
        <v>13074.4516129032</v>
      </c>
    </row>
    <row r="2669" customFormat="false" ht="15" hidden="false" customHeight="false" outlineLevel="0" collapsed="false">
      <c r="A2669" s="68" t="s">
        <v>3105</v>
      </c>
      <c r="B2669" s="68" t="s">
        <v>2375</v>
      </c>
      <c r="C2669" s="68" t="n">
        <v>405308000</v>
      </c>
    </row>
    <row r="2670" customFormat="false" ht="15" hidden="false" customHeight="false" outlineLevel="0" collapsed="false">
      <c r="A2670" s="68" t="s">
        <v>3105</v>
      </c>
      <c r="B2670" s="68" t="s">
        <v>2388</v>
      </c>
      <c r="C2670" s="68" t="n">
        <v>13510.6790589729</v>
      </c>
    </row>
    <row r="2671" customFormat="false" ht="15" hidden="false" customHeight="false" outlineLevel="0" collapsed="false">
      <c r="A2671" s="68" t="s">
        <v>3105</v>
      </c>
      <c r="B2671" s="68" t="s">
        <v>2393</v>
      </c>
      <c r="C2671" s="68" t="n">
        <v>14264.3463698463</v>
      </c>
    </row>
    <row r="2672" customFormat="false" ht="15" hidden="false" customHeight="false" outlineLevel="0" collapsed="false">
      <c r="A2672" s="68" t="s">
        <v>3105</v>
      </c>
      <c r="B2672" s="68" t="s">
        <v>2398</v>
      </c>
      <c r="C2672" s="68" t="n">
        <v>9393542807.97399</v>
      </c>
    </row>
    <row r="2673" customFormat="false" ht="15" hidden="false" customHeight="false" outlineLevel="0" collapsed="false">
      <c r="A2673" s="68" t="s">
        <v>3105</v>
      </c>
      <c r="B2673" s="68" t="s">
        <v>2432</v>
      </c>
      <c r="C2673" s="68" t="s">
        <v>3202</v>
      </c>
    </row>
    <row r="2674" customFormat="false" ht="15" hidden="false" customHeight="false" outlineLevel="0" collapsed="false">
      <c r="A2674" s="68" t="s">
        <v>3105</v>
      </c>
      <c r="B2674" s="68" t="s">
        <v>2437</v>
      </c>
      <c r="C2674" s="68" t="n">
        <v>1.7</v>
      </c>
    </row>
    <row r="2675" customFormat="false" ht="15" hidden="false" customHeight="false" outlineLevel="0" collapsed="false">
      <c r="A2675" s="68" t="s">
        <v>3105</v>
      </c>
      <c r="B2675" s="68" t="s">
        <v>2442</v>
      </c>
      <c r="C2675" s="68" t="n">
        <v>1</v>
      </c>
    </row>
    <row r="2676" customFormat="false" ht="15" hidden="false" customHeight="false" outlineLevel="0" collapsed="false">
      <c r="A2676" s="68" t="s">
        <v>3105</v>
      </c>
      <c r="B2676" s="68" t="s">
        <v>2447</v>
      </c>
      <c r="C2676" s="68" t="n">
        <v>1.05</v>
      </c>
    </row>
    <row r="2677" customFormat="false" ht="15" hidden="false" customHeight="false" outlineLevel="0" collapsed="false">
      <c r="A2677" s="68" t="s">
        <v>3105</v>
      </c>
      <c r="B2677" s="68" t="s">
        <v>2452</v>
      </c>
      <c r="C2677" s="68" t="n">
        <v>1</v>
      </c>
    </row>
    <row r="2678" customFormat="false" ht="15" hidden="false" customHeight="false" outlineLevel="0" collapsed="false">
      <c r="A2678" s="68" t="s">
        <v>3105</v>
      </c>
      <c r="B2678" s="68" t="s">
        <v>2457</v>
      </c>
      <c r="C2678" s="68" t="n">
        <v>1.785</v>
      </c>
    </row>
    <row r="2679" customFormat="false" ht="15" hidden="false" customHeight="false" outlineLevel="0" collapsed="false">
      <c r="A2679" s="68" t="s">
        <v>3105</v>
      </c>
      <c r="B2679" s="68" t="s">
        <v>2462</v>
      </c>
      <c r="C2679" s="68" t="n">
        <v>5602.24089635854</v>
      </c>
    </row>
    <row r="2680" customFormat="false" ht="15" hidden="false" customHeight="false" outlineLevel="0" collapsed="false">
      <c r="A2680" s="68" t="s">
        <v>3105</v>
      </c>
      <c r="B2680" s="68" t="s">
        <v>2467</v>
      </c>
      <c r="C2680" s="68" t="n">
        <v>91.347</v>
      </c>
    </row>
    <row r="2681" customFormat="false" ht="15" hidden="false" customHeight="false" outlineLevel="0" collapsed="false">
      <c r="A2681" s="68" t="s">
        <v>3105</v>
      </c>
      <c r="B2681" s="68" t="s">
        <v>2471</v>
      </c>
      <c r="C2681" s="68" t="n">
        <v>123.416</v>
      </c>
    </row>
    <row r="2682" customFormat="false" ht="15" hidden="false" customHeight="false" outlineLevel="0" collapsed="false">
      <c r="A2682" s="68" t="s">
        <v>3105</v>
      </c>
      <c r="B2682" s="68" t="s">
        <v>2475</v>
      </c>
      <c r="C2682" s="68" t="s">
        <v>312</v>
      </c>
    </row>
    <row r="2683" customFormat="false" ht="15" hidden="false" customHeight="false" outlineLevel="0" collapsed="false">
      <c r="A2683" s="68" t="s">
        <v>3105</v>
      </c>
      <c r="B2683" s="68" t="s">
        <v>2480</v>
      </c>
      <c r="C2683" s="68" t="n">
        <v>7569.00787617531</v>
      </c>
    </row>
    <row r="2684" customFormat="false" ht="15" hidden="false" customHeight="false" outlineLevel="0" collapsed="false">
      <c r="A2684" s="68" t="s">
        <v>3105</v>
      </c>
      <c r="B2684" s="68" t="s">
        <v>2484</v>
      </c>
      <c r="C2684" s="68"/>
    </row>
    <row r="2685" customFormat="false" ht="15" hidden="false" customHeight="false" outlineLevel="0" collapsed="false">
      <c r="A2685" s="68" t="s">
        <v>3108</v>
      </c>
      <c r="B2685" s="68" t="s">
        <v>2284</v>
      </c>
      <c r="C2685" s="68" t="n">
        <v>1.83923705722071</v>
      </c>
    </row>
    <row r="2686" customFormat="false" ht="15" hidden="false" customHeight="false" outlineLevel="0" collapsed="false">
      <c r="A2686" s="68" t="s">
        <v>3108</v>
      </c>
      <c r="B2686" s="68" t="s">
        <v>2290</v>
      </c>
      <c r="C2686" s="68" t="s">
        <v>1585</v>
      </c>
    </row>
    <row r="2687" customFormat="false" ht="15" hidden="false" customHeight="false" outlineLevel="0" collapsed="false">
      <c r="A2687" s="68" t="s">
        <v>3108</v>
      </c>
      <c r="B2687" s="68" t="s">
        <v>2365</v>
      </c>
      <c r="C2687" s="68" t="n">
        <v>35000</v>
      </c>
    </row>
    <row r="2688" customFormat="false" ht="15" hidden="false" customHeight="false" outlineLevel="0" collapsed="false">
      <c r="A2688" s="68" t="s">
        <v>3108</v>
      </c>
      <c r="B2688" s="68" t="s">
        <v>2370</v>
      </c>
      <c r="C2688" s="68" t="n">
        <v>45760.5806451613</v>
      </c>
    </row>
    <row r="2689" customFormat="false" ht="15" hidden="false" customHeight="false" outlineLevel="0" collapsed="false">
      <c r="A2689" s="68" t="s">
        <v>3108</v>
      </c>
      <c r="B2689" s="68" t="s">
        <v>2375</v>
      </c>
      <c r="C2689" s="68" t="n">
        <v>1418578000</v>
      </c>
    </row>
    <row r="2690" customFormat="false" ht="15" hidden="false" customHeight="false" outlineLevel="0" collapsed="false">
      <c r="A2690" s="68" t="s">
        <v>3108</v>
      </c>
      <c r="B2690" s="68" t="s">
        <v>2388</v>
      </c>
      <c r="C2690" s="68" t="n">
        <v>47287.3767064053</v>
      </c>
    </row>
    <row r="2691" customFormat="false" ht="15" hidden="false" customHeight="false" outlineLevel="0" collapsed="false">
      <c r="A2691" s="68" t="s">
        <v>3108</v>
      </c>
      <c r="B2691" s="68" t="s">
        <v>2393</v>
      </c>
      <c r="C2691" s="68" t="n">
        <v>49925.212294462</v>
      </c>
    </row>
    <row r="2692" customFormat="false" ht="15" hidden="false" customHeight="false" outlineLevel="0" collapsed="false">
      <c r="A2692" s="68" t="s">
        <v>3108</v>
      </c>
      <c r="B2692" s="68" t="s">
        <v>2398</v>
      </c>
      <c r="C2692" s="68" t="n">
        <v>32877399827.909</v>
      </c>
    </row>
    <row r="2693" customFormat="false" ht="15" hidden="false" customHeight="false" outlineLevel="0" collapsed="false">
      <c r="A2693" s="68" t="s">
        <v>3108</v>
      </c>
      <c r="B2693" s="68" t="s">
        <v>2432</v>
      </c>
      <c r="C2693" s="68" t="s">
        <v>3201</v>
      </c>
    </row>
    <row r="2694" customFormat="false" ht="15" hidden="false" customHeight="false" outlineLevel="0" collapsed="false">
      <c r="A2694" s="68" t="s">
        <v>3108</v>
      </c>
      <c r="B2694" s="68" t="s">
        <v>2437</v>
      </c>
      <c r="C2694" s="68" t="n">
        <v>1.9</v>
      </c>
    </row>
    <row r="2695" customFormat="false" ht="15" hidden="false" customHeight="false" outlineLevel="0" collapsed="false">
      <c r="A2695" s="68" t="s">
        <v>3108</v>
      </c>
      <c r="B2695" s="68" t="s">
        <v>2442</v>
      </c>
      <c r="C2695" s="68" t="n">
        <v>1</v>
      </c>
    </row>
    <row r="2696" customFormat="false" ht="15" hidden="false" customHeight="false" outlineLevel="0" collapsed="false">
      <c r="A2696" s="68" t="s">
        <v>3108</v>
      </c>
      <c r="B2696" s="68" t="s">
        <v>2447</v>
      </c>
      <c r="C2696" s="68" t="n">
        <v>1</v>
      </c>
    </row>
    <row r="2697" customFormat="false" ht="15" hidden="false" customHeight="false" outlineLevel="0" collapsed="false">
      <c r="A2697" s="68" t="s">
        <v>3108</v>
      </c>
      <c r="B2697" s="68" t="s">
        <v>2452</v>
      </c>
      <c r="C2697" s="68" t="n">
        <v>1</v>
      </c>
    </row>
    <row r="2698" customFormat="false" ht="15" hidden="false" customHeight="false" outlineLevel="0" collapsed="false">
      <c r="A2698" s="68" t="s">
        <v>3108</v>
      </c>
      <c r="B2698" s="68" t="s">
        <v>2457</v>
      </c>
      <c r="C2698" s="68" t="n">
        <v>1.9</v>
      </c>
    </row>
    <row r="2699" customFormat="false" ht="15" hidden="false" customHeight="false" outlineLevel="0" collapsed="false">
      <c r="A2699" s="68" t="s">
        <v>3108</v>
      </c>
      <c r="B2699" s="68" t="s">
        <v>2462</v>
      </c>
      <c r="C2699" s="68" t="n">
        <v>18421.052631579</v>
      </c>
    </row>
    <row r="2700" customFormat="false" ht="15" hidden="false" customHeight="false" outlineLevel="0" collapsed="false">
      <c r="A2700" s="68" t="s">
        <v>3108</v>
      </c>
      <c r="B2700" s="68" t="s">
        <v>2467</v>
      </c>
      <c r="C2700" s="68" t="n">
        <v>91.347</v>
      </c>
    </row>
    <row r="2701" customFormat="false" ht="15" hidden="false" customHeight="false" outlineLevel="0" collapsed="false">
      <c r="A2701" s="68" t="s">
        <v>3108</v>
      </c>
      <c r="B2701" s="68" t="s">
        <v>2471</v>
      </c>
      <c r="C2701" s="68" t="n">
        <v>123.416</v>
      </c>
    </row>
    <row r="2702" customFormat="false" ht="15" hidden="false" customHeight="false" outlineLevel="0" collapsed="false">
      <c r="A2702" s="68" t="s">
        <v>3108</v>
      </c>
      <c r="B2702" s="68" t="s">
        <v>2475</v>
      </c>
      <c r="C2702" s="68" t="s">
        <v>369</v>
      </c>
    </row>
    <row r="2703" customFormat="false" ht="15" hidden="false" customHeight="false" outlineLevel="0" collapsed="false">
      <c r="A2703" s="68" t="s">
        <v>3108</v>
      </c>
      <c r="B2703" s="68" t="s">
        <v>2480</v>
      </c>
      <c r="C2703" s="68" t="n">
        <v>24888.0930033712</v>
      </c>
    </row>
    <row r="2704" customFormat="false" ht="15" hidden="false" customHeight="false" outlineLevel="0" collapsed="false">
      <c r="A2704" s="68" t="s">
        <v>3108</v>
      </c>
      <c r="B2704" s="68" t="s">
        <v>2484</v>
      </c>
      <c r="C2704" s="68" t="n">
        <v>17266.6861810552</v>
      </c>
    </row>
    <row r="2705" customFormat="false" ht="15" hidden="false" customHeight="false" outlineLevel="0" collapsed="false">
      <c r="A2705" s="68" t="s">
        <v>3111</v>
      </c>
      <c r="B2705" s="68" t="s">
        <v>2284</v>
      </c>
      <c r="C2705" s="68" t="n">
        <v>76.9300635785649</v>
      </c>
    </row>
    <row r="2706" customFormat="false" ht="15" hidden="false" customHeight="false" outlineLevel="0" collapsed="false">
      <c r="A2706" s="68" t="s">
        <v>3111</v>
      </c>
      <c r="B2706" s="68" t="s">
        <v>2290</v>
      </c>
      <c r="C2706" s="68" t="s">
        <v>3205</v>
      </c>
    </row>
    <row r="2707" customFormat="false" ht="15" hidden="false" customHeight="false" outlineLevel="0" collapsed="false">
      <c r="A2707" s="68" t="s">
        <v>3111</v>
      </c>
      <c r="B2707" s="68" t="s">
        <v>2365</v>
      </c>
      <c r="C2707" s="68" t="n">
        <v>180000</v>
      </c>
    </row>
    <row r="2708" customFormat="false" ht="15" hidden="false" customHeight="false" outlineLevel="0" collapsed="false">
      <c r="A2708" s="68" t="s">
        <v>3111</v>
      </c>
      <c r="B2708" s="68" t="s">
        <v>2370</v>
      </c>
      <c r="C2708" s="68" t="n">
        <v>235340.129032258</v>
      </c>
    </row>
    <row r="2709" customFormat="false" ht="15" hidden="false" customHeight="false" outlineLevel="0" collapsed="false">
      <c r="A2709" s="68" t="s">
        <v>3111</v>
      </c>
      <c r="B2709" s="68" t="s">
        <v>2375</v>
      </c>
      <c r="C2709" s="68" t="n">
        <v>7295544000</v>
      </c>
    </row>
    <row r="2710" customFormat="false" ht="15" hidden="false" customHeight="false" outlineLevel="0" collapsed="false">
      <c r="A2710" s="68" t="s">
        <v>3111</v>
      </c>
      <c r="B2710" s="68" t="s">
        <v>2388</v>
      </c>
      <c r="C2710" s="68" t="n">
        <v>243192.223061513</v>
      </c>
    </row>
    <row r="2711" customFormat="false" ht="15" hidden="false" customHeight="false" outlineLevel="0" collapsed="false">
      <c r="A2711" s="68" t="s">
        <v>3111</v>
      </c>
      <c r="B2711" s="68" t="s">
        <v>2393</v>
      </c>
      <c r="C2711" s="68" t="n">
        <v>256758.234657233</v>
      </c>
    </row>
    <row r="2712" customFormat="false" ht="15" hidden="false" customHeight="false" outlineLevel="0" collapsed="false">
      <c r="A2712" s="68" t="s">
        <v>3111</v>
      </c>
      <c r="B2712" s="68" t="s">
        <v>2398</v>
      </c>
      <c r="C2712" s="68" t="n">
        <v>169083770543.532</v>
      </c>
    </row>
    <row r="2713" customFormat="false" ht="15" hidden="false" customHeight="false" outlineLevel="0" collapsed="false">
      <c r="A2713" s="68" t="s">
        <v>3111</v>
      </c>
      <c r="B2713" s="68" t="s">
        <v>2432</v>
      </c>
      <c r="C2713" s="68" t="s">
        <v>3201</v>
      </c>
    </row>
    <row r="2714" customFormat="false" ht="15" hidden="false" customHeight="false" outlineLevel="0" collapsed="false">
      <c r="A2714" s="68" t="s">
        <v>3111</v>
      </c>
      <c r="B2714" s="68" t="s">
        <v>2437</v>
      </c>
      <c r="C2714" s="68" t="n">
        <v>1.9</v>
      </c>
    </row>
    <row r="2715" customFormat="false" ht="15" hidden="false" customHeight="false" outlineLevel="0" collapsed="false">
      <c r="A2715" s="68" t="s">
        <v>3111</v>
      </c>
      <c r="B2715" s="68" t="s">
        <v>2442</v>
      </c>
      <c r="C2715" s="68" t="n">
        <v>1</v>
      </c>
    </row>
    <row r="2716" customFormat="false" ht="15" hidden="false" customHeight="false" outlineLevel="0" collapsed="false">
      <c r="A2716" s="68" t="s">
        <v>3111</v>
      </c>
      <c r="B2716" s="68" t="s">
        <v>2447</v>
      </c>
      <c r="C2716" s="68" t="n">
        <v>1.05</v>
      </c>
    </row>
    <row r="2717" customFormat="false" ht="15" hidden="false" customHeight="false" outlineLevel="0" collapsed="false">
      <c r="A2717" s="68" t="s">
        <v>3111</v>
      </c>
      <c r="B2717" s="68" t="s">
        <v>2452</v>
      </c>
      <c r="C2717" s="68" t="n">
        <v>1</v>
      </c>
    </row>
    <row r="2718" customFormat="false" ht="15" hidden="false" customHeight="false" outlineLevel="0" collapsed="false">
      <c r="A2718" s="68" t="s">
        <v>3111</v>
      </c>
      <c r="B2718" s="68" t="s">
        <v>2457</v>
      </c>
      <c r="C2718" s="68" t="n">
        <v>1.995</v>
      </c>
    </row>
    <row r="2719" customFormat="false" ht="15" hidden="false" customHeight="false" outlineLevel="0" collapsed="false">
      <c r="A2719" s="68" t="s">
        <v>3111</v>
      </c>
      <c r="B2719" s="68" t="s">
        <v>2462</v>
      </c>
      <c r="C2719" s="68" t="n">
        <v>90225.5639097744</v>
      </c>
    </row>
    <row r="2720" customFormat="false" ht="15" hidden="false" customHeight="false" outlineLevel="0" collapsed="false">
      <c r="A2720" s="68" t="s">
        <v>3111</v>
      </c>
      <c r="B2720" s="68" t="s">
        <v>2467</v>
      </c>
      <c r="C2720" s="68" t="n">
        <v>91.347</v>
      </c>
    </row>
    <row r="2721" customFormat="false" ht="15" hidden="false" customHeight="false" outlineLevel="0" collapsed="false">
      <c r="A2721" s="68" t="s">
        <v>3111</v>
      </c>
      <c r="B2721" s="68" t="s">
        <v>2471</v>
      </c>
      <c r="C2721" s="68" t="n">
        <v>123.416</v>
      </c>
    </row>
    <row r="2722" customFormat="false" ht="15" hidden="false" customHeight="false" outlineLevel="0" collapsed="false">
      <c r="A2722" s="68" t="s">
        <v>3111</v>
      </c>
      <c r="B2722" s="68" t="s">
        <v>2475</v>
      </c>
      <c r="C2722" s="68" t="s">
        <v>369</v>
      </c>
    </row>
    <row r="2723" customFormat="false" ht="15" hidden="false" customHeight="false" outlineLevel="0" collapsed="false">
      <c r="A2723" s="68" t="s">
        <v>3111</v>
      </c>
      <c r="B2723" s="68" t="s">
        <v>2480</v>
      </c>
      <c r="C2723" s="68" t="n">
        <v>121900.863689981</v>
      </c>
    </row>
    <row r="2724" customFormat="false" ht="15" hidden="false" customHeight="false" outlineLevel="0" collapsed="false">
      <c r="A2724" s="68" t="s">
        <v>3111</v>
      </c>
      <c r="B2724" s="68" t="s">
        <v>2484</v>
      </c>
      <c r="C2724" s="68" t="n">
        <v>9002.20975331557</v>
      </c>
    </row>
    <row r="2725" customFormat="false" ht="15" hidden="false" customHeight="false" outlineLevel="0" collapsed="false">
      <c r="A2725" s="68" t="s">
        <v>3114</v>
      </c>
      <c r="B2725" s="68" t="s">
        <v>2284</v>
      </c>
      <c r="C2725" s="68" t="n">
        <v>1.81653042688465</v>
      </c>
    </row>
    <row r="2726" customFormat="false" ht="15" hidden="false" customHeight="false" outlineLevel="0" collapsed="false">
      <c r="A2726" s="68" t="s">
        <v>3114</v>
      </c>
      <c r="B2726" s="68" t="s">
        <v>2290</v>
      </c>
      <c r="C2726" s="68" t="s">
        <v>1585</v>
      </c>
    </row>
    <row r="2727" customFormat="false" ht="15" hidden="false" customHeight="false" outlineLevel="0" collapsed="false">
      <c r="A2727" s="68" t="s">
        <v>3114</v>
      </c>
      <c r="B2727" s="68" t="s">
        <v>2365</v>
      </c>
      <c r="C2727" s="68" t="n">
        <v>15000</v>
      </c>
    </row>
    <row r="2728" customFormat="false" ht="15" hidden="false" customHeight="false" outlineLevel="0" collapsed="false">
      <c r="A2728" s="68" t="s">
        <v>3114</v>
      </c>
      <c r="B2728" s="68" t="s">
        <v>2370</v>
      </c>
      <c r="C2728" s="68" t="n">
        <v>19611.6774193548</v>
      </c>
    </row>
    <row r="2729" customFormat="false" ht="15" hidden="false" customHeight="false" outlineLevel="0" collapsed="false">
      <c r="A2729" s="68" t="s">
        <v>3114</v>
      </c>
      <c r="B2729" s="68" t="s">
        <v>2375</v>
      </c>
      <c r="C2729" s="68" t="n">
        <v>607962000</v>
      </c>
    </row>
    <row r="2730" customFormat="false" ht="15" hidden="false" customHeight="false" outlineLevel="0" collapsed="false">
      <c r="A2730" s="68" t="s">
        <v>3114</v>
      </c>
      <c r="B2730" s="68" t="s">
        <v>2388</v>
      </c>
      <c r="C2730" s="68" t="n">
        <v>25000</v>
      </c>
    </row>
    <row r="2731" customFormat="false" ht="15" hidden="false" customHeight="false" outlineLevel="0" collapsed="false">
      <c r="A2731" s="68" t="s">
        <v>3114</v>
      </c>
      <c r="B2731" s="68" t="s">
        <v>2393</v>
      </c>
      <c r="C2731" s="68" t="n">
        <v>26394.5770371417</v>
      </c>
    </row>
    <row r="2732" customFormat="false" ht="15" hidden="false" customHeight="false" outlineLevel="0" collapsed="false">
      <c r="A2732" s="68" t="s">
        <v>3114</v>
      </c>
      <c r="B2732" s="68" t="s">
        <v>2398</v>
      </c>
      <c r="C2732" s="68" t="n">
        <v>17381700000</v>
      </c>
    </row>
    <row r="2733" customFormat="false" ht="15" hidden="false" customHeight="false" outlineLevel="0" collapsed="false">
      <c r="A2733" s="68" t="s">
        <v>3114</v>
      </c>
      <c r="B2733" s="68" t="s">
        <v>2432</v>
      </c>
      <c r="C2733" s="68" t="s">
        <v>3201</v>
      </c>
    </row>
    <row r="2734" customFormat="false" ht="15" hidden="false" customHeight="false" outlineLevel="0" collapsed="false">
      <c r="A2734" s="68" t="s">
        <v>3114</v>
      </c>
      <c r="B2734" s="68" t="s">
        <v>2437</v>
      </c>
      <c r="C2734" s="68" t="n">
        <v>1.1</v>
      </c>
    </row>
    <row r="2735" customFormat="false" ht="15" hidden="false" customHeight="false" outlineLevel="0" collapsed="false">
      <c r="A2735" s="68" t="s">
        <v>3114</v>
      </c>
      <c r="B2735" s="68" t="s">
        <v>2442</v>
      </c>
      <c r="C2735" s="68" t="n">
        <v>1</v>
      </c>
    </row>
    <row r="2736" customFormat="false" ht="15" hidden="false" customHeight="false" outlineLevel="0" collapsed="false">
      <c r="A2736" s="68" t="s">
        <v>3114</v>
      </c>
      <c r="B2736" s="68" t="s">
        <v>2447</v>
      </c>
      <c r="C2736" s="68" t="n">
        <v>1</v>
      </c>
    </row>
    <row r="2737" customFormat="false" ht="15" hidden="false" customHeight="false" outlineLevel="0" collapsed="false">
      <c r="A2737" s="68" t="s">
        <v>3114</v>
      </c>
      <c r="B2737" s="68" t="s">
        <v>2452</v>
      </c>
      <c r="C2737" s="68" t="n">
        <v>1</v>
      </c>
    </row>
    <row r="2738" customFormat="false" ht="15" hidden="false" customHeight="false" outlineLevel="0" collapsed="false">
      <c r="A2738" s="68" t="s">
        <v>3114</v>
      </c>
      <c r="B2738" s="68" t="s">
        <v>2457</v>
      </c>
      <c r="C2738" s="68" t="n">
        <v>1.1</v>
      </c>
    </row>
    <row r="2739" customFormat="false" ht="15" hidden="false" customHeight="false" outlineLevel="0" collapsed="false">
      <c r="A2739" s="68" t="s">
        <v>3114</v>
      </c>
      <c r="B2739" s="68" t="s">
        <v>2462</v>
      </c>
      <c r="C2739" s="68" t="n">
        <v>13636.3636363636</v>
      </c>
    </row>
    <row r="2740" customFormat="false" ht="15" hidden="false" customHeight="false" outlineLevel="0" collapsed="false">
      <c r="A2740" s="68" t="s">
        <v>3114</v>
      </c>
      <c r="B2740" s="68" t="s">
        <v>2467</v>
      </c>
      <c r="C2740" s="68" t="n">
        <v>91.347</v>
      </c>
    </row>
    <row r="2741" customFormat="false" ht="15" hidden="false" customHeight="false" outlineLevel="0" collapsed="false">
      <c r="A2741" s="68" t="s">
        <v>3114</v>
      </c>
      <c r="B2741" s="68" t="s">
        <v>2471</v>
      </c>
      <c r="C2741" s="68" t="n">
        <v>123.416</v>
      </c>
    </row>
    <row r="2742" customFormat="false" ht="15" hidden="false" customHeight="false" outlineLevel="0" collapsed="false">
      <c r="A2742" s="68" t="s">
        <v>3114</v>
      </c>
      <c r="B2742" s="68" t="s">
        <v>2475</v>
      </c>
      <c r="C2742" s="68" t="s">
        <v>369</v>
      </c>
    </row>
    <row r="2743" customFormat="false" ht="15" hidden="false" customHeight="false" outlineLevel="0" collapsed="false">
      <c r="A2743" s="68" t="s">
        <v>3114</v>
      </c>
      <c r="B2743" s="68" t="s">
        <v>2480</v>
      </c>
      <c r="C2743" s="68" t="n">
        <v>22727.2727272727</v>
      </c>
    </row>
    <row r="2744" customFormat="false" ht="15" hidden="false" customHeight="false" outlineLevel="0" collapsed="false">
      <c r="A2744" s="68" t="s">
        <v>3114</v>
      </c>
      <c r="B2744" s="68" t="s">
        <v>2484</v>
      </c>
      <c r="C2744" s="68" t="n">
        <v>15885.530308144</v>
      </c>
    </row>
    <row r="2745" customFormat="false" ht="15" hidden="false" customHeight="false" outlineLevel="0" collapsed="false">
      <c r="A2745" s="68" t="s">
        <v>3117</v>
      </c>
      <c r="B2745" s="68" t="s">
        <v>2284</v>
      </c>
      <c r="C2745" s="68" t="n">
        <v>6.24432334241599</v>
      </c>
    </row>
    <row r="2746" customFormat="false" ht="15" hidden="false" customHeight="false" outlineLevel="0" collapsed="false">
      <c r="A2746" s="68" t="s">
        <v>3117</v>
      </c>
      <c r="B2746" s="68" t="s">
        <v>2290</v>
      </c>
      <c r="C2746" s="68" t="s">
        <v>3205</v>
      </c>
    </row>
    <row r="2747" customFormat="false" ht="15" hidden="false" customHeight="false" outlineLevel="0" collapsed="false">
      <c r="A2747" s="68" t="s">
        <v>3117</v>
      </c>
      <c r="B2747" s="68" t="s">
        <v>2365</v>
      </c>
      <c r="C2747" s="68" t="n">
        <v>32000</v>
      </c>
    </row>
    <row r="2748" customFormat="false" ht="15" hidden="false" customHeight="false" outlineLevel="0" collapsed="false">
      <c r="A2748" s="68" t="s">
        <v>3117</v>
      </c>
      <c r="B2748" s="68" t="s">
        <v>2370</v>
      </c>
      <c r="C2748" s="68" t="n">
        <v>41838.2451612903</v>
      </c>
    </row>
    <row r="2749" customFormat="false" ht="15" hidden="false" customHeight="false" outlineLevel="0" collapsed="false">
      <c r="A2749" s="68" t="s">
        <v>3117</v>
      </c>
      <c r="B2749" s="68" t="s">
        <v>2375</v>
      </c>
      <c r="C2749" s="68" t="n">
        <v>1296985600</v>
      </c>
    </row>
    <row r="2750" customFormat="false" ht="15" hidden="false" customHeight="false" outlineLevel="0" collapsed="false">
      <c r="A2750" s="68" t="s">
        <v>3117</v>
      </c>
      <c r="B2750" s="68" t="s">
        <v>2388</v>
      </c>
      <c r="C2750" s="68" t="n">
        <v>43234.1729887134</v>
      </c>
    </row>
    <row r="2751" customFormat="false" ht="15" hidden="false" customHeight="false" outlineLevel="0" collapsed="false">
      <c r="A2751" s="68" t="s">
        <v>3117</v>
      </c>
      <c r="B2751" s="68" t="s">
        <v>2393</v>
      </c>
      <c r="C2751" s="68" t="n">
        <v>45645.9083835081</v>
      </c>
    </row>
    <row r="2752" customFormat="false" ht="15" hidden="false" customHeight="false" outlineLevel="0" collapsed="false">
      <c r="A2752" s="68" t="s">
        <v>3117</v>
      </c>
      <c r="B2752" s="68" t="s">
        <v>2398</v>
      </c>
      <c r="C2752" s="68" t="n">
        <v>30059336985.5168</v>
      </c>
    </row>
    <row r="2753" customFormat="false" ht="15" hidden="false" customHeight="false" outlineLevel="0" collapsed="false">
      <c r="A2753" s="68" t="s">
        <v>3117</v>
      </c>
      <c r="B2753" s="68" t="s">
        <v>2432</v>
      </c>
      <c r="C2753" s="68" t="s">
        <v>3201</v>
      </c>
    </row>
    <row r="2754" customFormat="false" ht="15" hidden="false" customHeight="false" outlineLevel="0" collapsed="false">
      <c r="A2754" s="68" t="s">
        <v>3117</v>
      </c>
      <c r="B2754" s="68" t="s">
        <v>2437</v>
      </c>
      <c r="C2754" s="68" t="n">
        <v>1.9</v>
      </c>
    </row>
    <row r="2755" customFormat="false" ht="15" hidden="false" customHeight="false" outlineLevel="0" collapsed="false">
      <c r="A2755" s="68" t="s">
        <v>3117</v>
      </c>
      <c r="B2755" s="68" t="s">
        <v>2442</v>
      </c>
      <c r="C2755" s="68" t="n">
        <v>1</v>
      </c>
    </row>
    <row r="2756" customFormat="false" ht="15" hidden="false" customHeight="false" outlineLevel="0" collapsed="false">
      <c r="A2756" s="68" t="s">
        <v>3117</v>
      </c>
      <c r="B2756" s="68" t="s">
        <v>2447</v>
      </c>
      <c r="C2756" s="68" t="n">
        <v>1.05</v>
      </c>
    </row>
    <row r="2757" customFormat="false" ht="15" hidden="false" customHeight="false" outlineLevel="0" collapsed="false">
      <c r="A2757" s="68" t="s">
        <v>3117</v>
      </c>
      <c r="B2757" s="68" t="s">
        <v>2452</v>
      </c>
      <c r="C2757" s="68" t="n">
        <v>1</v>
      </c>
    </row>
    <row r="2758" customFormat="false" ht="15" hidden="false" customHeight="false" outlineLevel="0" collapsed="false">
      <c r="A2758" s="68" t="s">
        <v>3117</v>
      </c>
      <c r="B2758" s="68" t="s">
        <v>2457</v>
      </c>
      <c r="C2758" s="68" t="n">
        <v>1.995</v>
      </c>
    </row>
    <row r="2759" customFormat="false" ht="15" hidden="false" customHeight="false" outlineLevel="0" collapsed="false">
      <c r="A2759" s="68" t="s">
        <v>3117</v>
      </c>
      <c r="B2759" s="68" t="s">
        <v>2462</v>
      </c>
      <c r="C2759" s="68" t="n">
        <v>16040.1002506266</v>
      </c>
    </row>
    <row r="2760" customFormat="false" ht="15" hidden="false" customHeight="false" outlineLevel="0" collapsed="false">
      <c r="A2760" s="68" t="s">
        <v>3117</v>
      </c>
      <c r="B2760" s="68" t="s">
        <v>2467</v>
      </c>
      <c r="C2760" s="68" t="n">
        <v>91.347</v>
      </c>
    </row>
    <row r="2761" customFormat="false" ht="15" hidden="false" customHeight="false" outlineLevel="0" collapsed="false">
      <c r="A2761" s="68" t="s">
        <v>3117</v>
      </c>
      <c r="B2761" s="68" t="s">
        <v>2471</v>
      </c>
      <c r="C2761" s="68" t="n">
        <v>123.416</v>
      </c>
    </row>
    <row r="2762" customFormat="false" ht="15" hidden="false" customHeight="false" outlineLevel="0" collapsed="false">
      <c r="A2762" s="68" t="s">
        <v>3117</v>
      </c>
      <c r="B2762" s="68" t="s">
        <v>2475</v>
      </c>
      <c r="C2762" s="68" t="s">
        <v>369</v>
      </c>
    </row>
    <row r="2763" customFormat="false" ht="15" hidden="false" customHeight="false" outlineLevel="0" collapsed="false">
      <c r="A2763" s="68" t="s">
        <v>3117</v>
      </c>
      <c r="B2763" s="68" t="s">
        <v>2480</v>
      </c>
      <c r="C2763" s="68" t="n">
        <v>21671.2646559967</v>
      </c>
    </row>
    <row r="2764" customFormat="false" ht="15" hidden="false" customHeight="false" outlineLevel="0" collapsed="false">
      <c r="A2764" s="68" t="s">
        <v>3117</v>
      </c>
      <c r="B2764" s="68" t="s">
        <v>2484</v>
      </c>
      <c r="C2764" s="68" t="n">
        <v>7220.92818497745</v>
      </c>
    </row>
    <row r="2765" customFormat="false" ht="15" hidden="false" customHeight="false" outlineLevel="0" collapsed="false">
      <c r="A2765" s="68" t="s">
        <v>3120</v>
      </c>
      <c r="B2765" s="68" t="s">
        <v>2284</v>
      </c>
      <c r="C2765" s="68" t="n">
        <v>0.485921889191644</v>
      </c>
    </row>
    <row r="2766" customFormat="false" ht="15" hidden="false" customHeight="false" outlineLevel="0" collapsed="false">
      <c r="A2766" s="68" t="s">
        <v>3120</v>
      </c>
      <c r="B2766" s="68" t="s">
        <v>2290</v>
      </c>
      <c r="C2766" s="68" t="s">
        <v>1585</v>
      </c>
    </row>
    <row r="2767" customFormat="false" ht="15" hidden="false" customHeight="false" outlineLevel="0" collapsed="false">
      <c r="A2767" s="68" t="s">
        <v>3120</v>
      </c>
      <c r="B2767" s="68" t="s">
        <v>2365</v>
      </c>
      <c r="C2767" s="68" t="n">
        <v>15000</v>
      </c>
    </row>
    <row r="2768" customFormat="false" ht="15" hidden="false" customHeight="false" outlineLevel="0" collapsed="false">
      <c r="A2768" s="68" t="s">
        <v>3120</v>
      </c>
      <c r="B2768" s="68" t="s">
        <v>2370</v>
      </c>
      <c r="C2768" s="68" t="n">
        <v>19611.6774193548</v>
      </c>
    </row>
    <row r="2769" customFormat="false" ht="15" hidden="false" customHeight="false" outlineLevel="0" collapsed="false">
      <c r="A2769" s="68" t="s">
        <v>3120</v>
      </c>
      <c r="B2769" s="68" t="s">
        <v>2375</v>
      </c>
      <c r="C2769" s="68" t="n">
        <v>607962000</v>
      </c>
    </row>
    <row r="2770" customFormat="false" ht="15" hidden="false" customHeight="false" outlineLevel="0" collapsed="false">
      <c r="A2770" s="68" t="s">
        <v>3120</v>
      </c>
      <c r="B2770" s="68" t="s">
        <v>2388</v>
      </c>
      <c r="C2770" s="68" t="n">
        <v>25000</v>
      </c>
    </row>
    <row r="2771" customFormat="false" ht="15" hidden="false" customHeight="false" outlineLevel="0" collapsed="false">
      <c r="A2771" s="68" t="s">
        <v>3120</v>
      </c>
      <c r="B2771" s="68" t="s">
        <v>2393</v>
      </c>
      <c r="C2771" s="68" t="n">
        <v>26394.5770371417</v>
      </c>
    </row>
    <row r="2772" customFormat="false" ht="15" hidden="false" customHeight="false" outlineLevel="0" collapsed="false">
      <c r="A2772" s="68" t="s">
        <v>3120</v>
      </c>
      <c r="B2772" s="68" t="s">
        <v>2398</v>
      </c>
      <c r="C2772" s="68" t="n">
        <v>17381700000</v>
      </c>
    </row>
    <row r="2773" customFormat="false" ht="15" hidden="false" customHeight="false" outlineLevel="0" collapsed="false">
      <c r="A2773" s="68" t="s">
        <v>3120</v>
      </c>
      <c r="B2773" s="68" t="s">
        <v>2432</v>
      </c>
      <c r="C2773" s="68" t="s">
        <v>3201</v>
      </c>
    </row>
    <row r="2774" customFormat="false" ht="15" hidden="false" customHeight="false" outlineLevel="0" collapsed="false">
      <c r="A2774" s="68" t="s">
        <v>3120</v>
      </c>
      <c r="B2774" s="68" t="s">
        <v>2437</v>
      </c>
      <c r="C2774" s="68" t="n">
        <v>1.1</v>
      </c>
    </row>
    <row r="2775" customFormat="false" ht="15" hidden="false" customHeight="false" outlineLevel="0" collapsed="false">
      <c r="A2775" s="68" t="s">
        <v>3120</v>
      </c>
      <c r="B2775" s="68" t="s">
        <v>2442</v>
      </c>
      <c r="C2775" s="68" t="n">
        <v>1</v>
      </c>
    </row>
    <row r="2776" customFormat="false" ht="15" hidden="false" customHeight="false" outlineLevel="0" collapsed="false">
      <c r="A2776" s="68" t="s">
        <v>3120</v>
      </c>
      <c r="B2776" s="68" t="s">
        <v>2447</v>
      </c>
      <c r="C2776" s="68" t="n">
        <v>1</v>
      </c>
    </row>
    <row r="2777" customFormat="false" ht="15" hidden="false" customHeight="false" outlineLevel="0" collapsed="false">
      <c r="A2777" s="68" t="s">
        <v>3120</v>
      </c>
      <c r="B2777" s="68" t="s">
        <v>2452</v>
      </c>
      <c r="C2777" s="68" t="n">
        <v>1</v>
      </c>
    </row>
    <row r="2778" customFormat="false" ht="15" hidden="false" customHeight="false" outlineLevel="0" collapsed="false">
      <c r="A2778" s="68" t="s">
        <v>3120</v>
      </c>
      <c r="B2778" s="68" t="s">
        <v>2457</v>
      </c>
      <c r="C2778" s="68" t="n">
        <v>1.1</v>
      </c>
    </row>
    <row r="2779" customFormat="false" ht="15" hidden="false" customHeight="false" outlineLevel="0" collapsed="false">
      <c r="A2779" s="68" t="s">
        <v>3120</v>
      </c>
      <c r="B2779" s="68" t="s">
        <v>2462</v>
      </c>
      <c r="C2779" s="68" t="n">
        <v>13636.3636363636</v>
      </c>
    </row>
    <row r="2780" customFormat="false" ht="15" hidden="false" customHeight="false" outlineLevel="0" collapsed="false">
      <c r="A2780" s="68" t="s">
        <v>3120</v>
      </c>
      <c r="B2780" s="68" t="s">
        <v>2467</v>
      </c>
      <c r="C2780" s="68" t="n">
        <v>91.347</v>
      </c>
    </row>
    <row r="2781" customFormat="false" ht="15" hidden="false" customHeight="false" outlineLevel="0" collapsed="false">
      <c r="A2781" s="68" t="s">
        <v>3120</v>
      </c>
      <c r="B2781" s="68" t="s">
        <v>2471</v>
      </c>
      <c r="C2781" s="68" t="n">
        <v>123.416</v>
      </c>
    </row>
    <row r="2782" customFormat="false" ht="15" hidden="false" customHeight="false" outlineLevel="0" collapsed="false">
      <c r="A2782" s="68" t="s">
        <v>3120</v>
      </c>
      <c r="B2782" s="68" t="s">
        <v>2475</v>
      </c>
      <c r="C2782" s="68" t="s">
        <v>369</v>
      </c>
    </row>
    <row r="2783" customFormat="false" ht="15" hidden="false" customHeight="false" outlineLevel="0" collapsed="false">
      <c r="A2783" s="68" t="s">
        <v>3120</v>
      </c>
      <c r="B2783" s="68" t="s">
        <v>2480</v>
      </c>
      <c r="C2783" s="68" t="n">
        <v>22727.2727272727</v>
      </c>
    </row>
    <row r="2784" customFormat="false" ht="15" hidden="false" customHeight="false" outlineLevel="0" collapsed="false">
      <c r="A2784" s="68" t="s">
        <v>3120</v>
      </c>
      <c r="B2784" s="68" t="s">
        <v>2484</v>
      </c>
      <c r="C2784" s="68" t="n">
        <v>35043.4976182756</v>
      </c>
    </row>
    <row r="2785" customFormat="false" ht="15" hidden="false" customHeight="false" outlineLevel="0" collapsed="false">
      <c r="A2785" s="68" t="s">
        <v>3123</v>
      </c>
      <c r="B2785" s="68" t="s">
        <v>2284</v>
      </c>
      <c r="C2785" s="68" t="n">
        <v>3.40599455040872</v>
      </c>
    </row>
    <row r="2786" customFormat="false" ht="15" hidden="false" customHeight="false" outlineLevel="0" collapsed="false">
      <c r="A2786" s="68" t="s">
        <v>3123</v>
      </c>
      <c r="B2786" s="68" t="s">
        <v>2290</v>
      </c>
      <c r="C2786" s="68" t="s">
        <v>3205</v>
      </c>
    </row>
    <row r="2787" customFormat="false" ht="15" hidden="false" customHeight="false" outlineLevel="0" collapsed="false">
      <c r="A2787" s="68" t="s">
        <v>3123</v>
      </c>
      <c r="B2787" s="68" t="s">
        <v>2365</v>
      </c>
      <c r="C2787" s="68" t="n">
        <v>15000</v>
      </c>
    </row>
    <row r="2788" customFormat="false" ht="15" hidden="false" customHeight="false" outlineLevel="0" collapsed="false">
      <c r="A2788" s="68" t="s">
        <v>3123</v>
      </c>
      <c r="B2788" s="68" t="s">
        <v>2370</v>
      </c>
      <c r="C2788" s="68" t="n">
        <v>19611.6774193548</v>
      </c>
    </row>
    <row r="2789" customFormat="false" ht="15" hidden="false" customHeight="false" outlineLevel="0" collapsed="false">
      <c r="A2789" s="68" t="s">
        <v>3123</v>
      </c>
      <c r="B2789" s="68" t="s">
        <v>2375</v>
      </c>
      <c r="C2789" s="68" t="n">
        <v>607962000</v>
      </c>
    </row>
    <row r="2790" customFormat="false" ht="15" hidden="false" customHeight="false" outlineLevel="0" collapsed="false">
      <c r="A2790" s="68" t="s">
        <v>3123</v>
      </c>
      <c r="B2790" s="68" t="s">
        <v>2388</v>
      </c>
      <c r="C2790" s="68" t="n">
        <v>25000</v>
      </c>
    </row>
    <row r="2791" customFormat="false" ht="15" hidden="false" customHeight="false" outlineLevel="0" collapsed="false">
      <c r="A2791" s="68" t="s">
        <v>3123</v>
      </c>
      <c r="B2791" s="68" t="s">
        <v>2393</v>
      </c>
      <c r="C2791" s="68" t="n">
        <v>26394.5770371417</v>
      </c>
    </row>
    <row r="2792" customFormat="false" ht="15" hidden="false" customHeight="false" outlineLevel="0" collapsed="false">
      <c r="A2792" s="68" t="s">
        <v>3123</v>
      </c>
      <c r="B2792" s="68" t="s">
        <v>2398</v>
      </c>
      <c r="C2792" s="68" t="n">
        <v>17381700000</v>
      </c>
    </row>
    <row r="2793" customFormat="false" ht="15" hidden="false" customHeight="false" outlineLevel="0" collapsed="false">
      <c r="A2793" s="68" t="s">
        <v>3123</v>
      </c>
      <c r="B2793" s="68" t="s">
        <v>2432</v>
      </c>
      <c r="C2793" s="68" t="s">
        <v>3201</v>
      </c>
    </row>
    <row r="2794" customFormat="false" ht="15" hidden="false" customHeight="false" outlineLevel="0" collapsed="false">
      <c r="A2794" s="68" t="s">
        <v>3123</v>
      </c>
      <c r="B2794" s="68" t="s">
        <v>2437</v>
      </c>
      <c r="C2794" s="68" t="n">
        <v>1.9</v>
      </c>
    </row>
    <row r="2795" customFormat="false" ht="15" hidden="false" customHeight="false" outlineLevel="0" collapsed="false">
      <c r="A2795" s="68" t="s">
        <v>3123</v>
      </c>
      <c r="B2795" s="68" t="s">
        <v>2442</v>
      </c>
      <c r="C2795" s="68" t="n">
        <v>1</v>
      </c>
    </row>
    <row r="2796" customFormat="false" ht="15" hidden="false" customHeight="false" outlineLevel="0" collapsed="false">
      <c r="A2796" s="68" t="s">
        <v>3123</v>
      </c>
      <c r="B2796" s="68" t="s">
        <v>2447</v>
      </c>
      <c r="C2796" s="68" t="n">
        <v>1.05</v>
      </c>
    </row>
    <row r="2797" customFormat="false" ht="15" hidden="false" customHeight="false" outlineLevel="0" collapsed="false">
      <c r="A2797" s="68" t="s">
        <v>3123</v>
      </c>
      <c r="B2797" s="68" t="s">
        <v>2452</v>
      </c>
      <c r="C2797" s="68" t="n">
        <v>1</v>
      </c>
    </row>
    <row r="2798" customFormat="false" ht="15" hidden="false" customHeight="false" outlineLevel="0" collapsed="false">
      <c r="A2798" s="68" t="s">
        <v>3123</v>
      </c>
      <c r="B2798" s="68" t="s">
        <v>2457</v>
      </c>
      <c r="C2798" s="68" t="n">
        <v>1.995</v>
      </c>
    </row>
    <row r="2799" customFormat="false" ht="15" hidden="false" customHeight="false" outlineLevel="0" collapsed="false">
      <c r="A2799" s="68" t="s">
        <v>3123</v>
      </c>
      <c r="B2799" s="68" t="s">
        <v>2462</v>
      </c>
      <c r="C2799" s="68" t="n">
        <v>7518.7969924812</v>
      </c>
    </row>
    <row r="2800" customFormat="false" ht="15" hidden="false" customHeight="false" outlineLevel="0" collapsed="false">
      <c r="A2800" s="68" t="s">
        <v>3123</v>
      </c>
      <c r="B2800" s="68" t="s">
        <v>2467</v>
      </c>
      <c r="C2800" s="68" t="n">
        <v>91.347</v>
      </c>
    </row>
    <row r="2801" customFormat="false" ht="15" hidden="false" customHeight="false" outlineLevel="0" collapsed="false">
      <c r="A2801" s="68" t="s">
        <v>3123</v>
      </c>
      <c r="B2801" s="68" t="s">
        <v>2471</v>
      </c>
      <c r="C2801" s="68" t="n">
        <v>123.416</v>
      </c>
    </row>
    <row r="2802" customFormat="false" ht="15" hidden="false" customHeight="false" outlineLevel="0" collapsed="false">
      <c r="A2802" s="68" t="s">
        <v>3123</v>
      </c>
      <c r="B2802" s="68" t="s">
        <v>2475</v>
      </c>
      <c r="C2802" s="68" t="s">
        <v>369</v>
      </c>
    </row>
    <row r="2803" customFormat="false" ht="15" hidden="false" customHeight="false" outlineLevel="0" collapsed="false">
      <c r="A2803" s="68" t="s">
        <v>3123</v>
      </c>
      <c r="B2803" s="68" t="s">
        <v>2480</v>
      </c>
      <c r="C2803" s="68" t="n">
        <v>12531.328320802</v>
      </c>
    </row>
    <row r="2804" customFormat="false" ht="15" hidden="false" customHeight="false" outlineLevel="0" collapsed="false">
      <c r="A2804" s="68" t="s">
        <v>3123</v>
      </c>
      <c r="B2804" s="68" t="s">
        <v>2484</v>
      </c>
      <c r="C2804" s="68" t="n">
        <v>6006.90466554141</v>
      </c>
    </row>
    <row r="2805" customFormat="false" ht="15" hidden="false" customHeight="false" outlineLevel="0" collapsed="false">
      <c r="A2805" s="68" t="s">
        <v>3126</v>
      </c>
      <c r="B2805" s="68" t="s">
        <v>2284</v>
      </c>
      <c r="C2805" s="68" t="n">
        <v>1.36239782016349</v>
      </c>
    </row>
    <row r="2806" customFormat="false" ht="15" hidden="false" customHeight="false" outlineLevel="0" collapsed="false">
      <c r="A2806" s="68" t="s">
        <v>3126</v>
      </c>
      <c r="B2806" s="68" t="s">
        <v>2290</v>
      </c>
      <c r="C2806" s="68" t="s">
        <v>1585</v>
      </c>
    </row>
    <row r="2807" customFormat="false" ht="15" hidden="false" customHeight="false" outlineLevel="0" collapsed="false">
      <c r="A2807" s="68" t="s">
        <v>3126</v>
      </c>
      <c r="B2807" s="68" t="s">
        <v>2365</v>
      </c>
      <c r="C2807" s="68" t="n">
        <v>15000</v>
      </c>
    </row>
    <row r="2808" customFormat="false" ht="15" hidden="false" customHeight="false" outlineLevel="0" collapsed="false">
      <c r="A2808" s="68" t="s">
        <v>3126</v>
      </c>
      <c r="B2808" s="68" t="s">
        <v>2370</v>
      </c>
      <c r="C2808" s="68" t="n">
        <v>19611.6774193548</v>
      </c>
    </row>
    <row r="2809" customFormat="false" ht="15" hidden="false" customHeight="false" outlineLevel="0" collapsed="false">
      <c r="A2809" s="68" t="s">
        <v>3126</v>
      </c>
      <c r="B2809" s="68" t="s">
        <v>2375</v>
      </c>
      <c r="C2809" s="68" t="n">
        <v>607962000</v>
      </c>
    </row>
    <row r="2810" customFormat="false" ht="15" hidden="false" customHeight="false" outlineLevel="0" collapsed="false">
      <c r="A2810" s="68" t="s">
        <v>3126</v>
      </c>
      <c r="B2810" s="68" t="s">
        <v>2388</v>
      </c>
      <c r="C2810" s="68" t="n">
        <v>25000</v>
      </c>
    </row>
    <row r="2811" customFormat="false" ht="15" hidden="false" customHeight="false" outlineLevel="0" collapsed="false">
      <c r="A2811" s="68" t="s">
        <v>3126</v>
      </c>
      <c r="B2811" s="68" t="s">
        <v>2393</v>
      </c>
      <c r="C2811" s="68" t="n">
        <v>26394.5770371417</v>
      </c>
    </row>
    <row r="2812" customFormat="false" ht="15" hidden="false" customHeight="false" outlineLevel="0" collapsed="false">
      <c r="A2812" s="68" t="s">
        <v>3126</v>
      </c>
      <c r="B2812" s="68" t="s">
        <v>2398</v>
      </c>
      <c r="C2812" s="68" t="n">
        <v>17381700000</v>
      </c>
    </row>
    <row r="2813" customFormat="false" ht="15" hidden="false" customHeight="false" outlineLevel="0" collapsed="false">
      <c r="A2813" s="68" t="s">
        <v>3126</v>
      </c>
      <c r="B2813" s="68" t="s">
        <v>2432</v>
      </c>
      <c r="C2813" s="68" t="s">
        <v>3201</v>
      </c>
    </row>
    <row r="2814" customFormat="false" ht="15" hidden="false" customHeight="false" outlineLevel="0" collapsed="false">
      <c r="A2814" s="68" t="s">
        <v>3126</v>
      </c>
      <c r="B2814" s="68" t="s">
        <v>2437</v>
      </c>
      <c r="C2814" s="68" t="n">
        <v>1.1</v>
      </c>
    </row>
    <row r="2815" customFormat="false" ht="15" hidden="false" customHeight="false" outlineLevel="0" collapsed="false">
      <c r="A2815" s="68" t="s">
        <v>3126</v>
      </c>
      <c r="B2815" s="68" t="s">
        <v>2442</v>
      </c>
      <c r="C2815" s="68" t="n">
        <v>1</v>
      </c>
    </row>
    <row r="2816" customFormat="false" ht="15" hidden="false" customHeight="false" outlineLevel="0" collapsed="false">
      <c r="A2816" s="68" t="s">
        <v>3126</v>
      </c>
      <c r="B2816" s="68" t="s">
        <v>2447</v>
      </c>
      <c r="C2816" s="68" t="n">
        <v>1</v>
      </c>
    </row>
    <row r="2817" customFormat="false" ht="15" hidden="false" customHeight="false" outlineLevel="0" collapsed="false">
      <c r="A2817" s="68" t="s">
        <v>3126</v>
      </c>
      <c r="B2817" s="68" t="s">
        <v>2452</v>
      </c>
      <c r="C2817" s="68" t="n">
        <v>1</v>
      </c>
    </row>
    <row r="2818" customFormat="false" ht="15" hidden="false" customHeight="false" outlineLevel="0" collapsed="false">
      <c r="A2818" s="68" t="s">
        <v>3126</v>
      </c>
      <c r="B2818" s="68" t="s">
        <v>2457</v>
      </c>
      <c r="C2818" s="68" t="n">
        <v>1.1</v>
      </c>
    </row>
    <row r="2819" customFormat="false" ht="15" hidden="false" customHeight="false" outlineLevel="0" collapsed="false">
      <c r="A2819" s="68" t="s">
        <v>3126</v>
      </c>
      <c r="B2819" s="68" t="s">
        <v>2462</v>
      </c>
      <c r="C2819" s="68" t="n">
        <v>13636.3636363636</v>
      </c>
    </row>
    <row r="2820" customFormat="false" ht="15" hidden="false" customHeight="false" outlineLevel="0" collapsed="false">
      <c r="A2820" s="68" t="s">
        <v>3126</v>
      </c>
      <c r="B2820" s="68" t="s">
        <v>2467</v>
      </c>
      <c r="C2820" s="68" t="n">
        <v>91.347</v>
      </c>
    </row>
    <row r="2821" customFormat="false" ht="15" hidden="false" customHeight="false" outlineLevel="0" collapsed="false">
      <c r="A2821" s="68" t="s">
        <v>3126</v>
      </c>
      <c r="B2821" s="68" t="s">
        <v>2471</v>
      </c>
      <c r="C2821" s="68" t="n">
        <v>123.416</v>
      </c>
    </row>
    <row r="2822" customFormat="false" ht="15" hidden="false" customHeight="false" outlineLevel="0" collapsed="false">
      <c r="A2822" s="68" t="s">
        <v>3126</v>
      </c>
      <c r="B2822" s="68" t="s">
        <v>2475</v>
      </c>
      <c r="C2822" s="68" t="s">
        <v>369</v>
      </c>
    </row>
    <row r="2823" customFormat="false" ht="15" hidden="false" customHeight="false" outlineLevel="0" collapsed="false">
      <c r="A2823" s="68" t="s">
        <v>3126</v>
      </c>
      <c r="B2823" s="68" t="s">
        <v>2480</v>
      </c>
      <c r="C2823" s="68" t="n">
        <v>22727.2727272727</v>
      </c>
    </row>
    <row r="2824" customFormat="false" ht="15" hidden="false" customHeight="false" outlineLevel="0" collapsed="false">
      <c r="A2824" s="68" t="s">
        <v>3126</v>
      </c>
      <c r="B2824" s="68" t="s">
        <v>2484</v>
      </c>
      <c r="C2824" s="68" t="n">
        <v>18878.3902489273</v>
      </c>
    </row>
    <row r="2825" customFormat="false" ht="15" hidden="false" customHeight="false" outlineLevel="0" collapsed="false">
      <c r="A2825" s="68" t="s">
        <v>3129</v>
      </c>
      <c r="B2825" s="68" t="s">
        <v>2284</v>
      </c>
      <c r="C2825" s="68" t="n">
        <v>0.953678474114442</v>
      </c>
    </row>
    <row r="2826" customFormat="false" ht="15" hidden="false" customHeight="false" outlineLevel="0" collapsed="false">
      <c r="A2826" s="68" t="s">
        <v>3129</v>
      </c>
      <c r="B2826" s="68" t="s">
        <v>2290</v>
      </c>
      <c r="C2826" s="68" t="s">
        <v>1881</v>
      </c>
    </row>
    <row r="2827" customFormat="false" ht="15" hidden="false" customHeight="false" outlineLevel="0" collapsed="false">
      <c r="A2827" s="68" t="s">
        <v>3129</v>
      </c>
      <c r="B2827" s="68" t="s">
        <v>2365</v>
      </c>
      <c r="C2827" s="68" t="n">
        <v>10000</v>
      </c>
    </row>
    <row r="2828" customFormat="false" ht="15" hidden="false" customHeight="false" outlineLevel="0" collapsed="false">
      <c r="A2828" s="68" t="s">
        <v>3129</v>
      </c>
      <c r="B2828" s="68" t="s">
        <v>2370</v>
      </c>
      <c r="C2828" s="68" t="n">
        <v>13074.4516129032</v>
      </c>
    </row>
    <row r="2829" customFormat="false" ht="15" hidden="false" customHeight="false" outlineLevel="0" collapsed="false">
      <c r="A2829" s="68" t="s">
        <v>3129</v>
      </c>
      <c r="B2829" s="68" t="s">
        <v>2375</v>
      </c>
      <c r="C2829" s="68" t="n">
        <v>405308000</v>
      </c>
    </row>
    <row r="2830" customFormat="false" ht="15" hidden="false" customHeight="false" outlineLevel="0" collapsed="false">
      <c r="A2830" s="68" t="s">
        <v>3129</v>
      </c>
      <c r="B2830" s="68" t="s">
        <v>2388</v>
      </c>
      <c r="C2830" s="68" t="n">
        <v>13510.6790589729</v>
      </c>
    </row>
    <row r="2831" customFormat="false" ht="15" hidden="false" customHeight="false" outlineLevel="0" collapsed="false">
      <c r="A2831" s="68" t="s">
        <v>3129</v>
      </c>
      <c r="B2831" s="68" t="s">
        <v>2393</v>
      </c>
      <c r="C2831" s="68" t="n">
        <v>14264.3463698463</v>
      </c>
    </row>
    <row r="2832" customFormat="false" ht="15" hidden="false" customHeight="false" outlineLevel="0" collapsed="false">
      <c r="A2832" s="68" t="s">
        <v>3129</v>
      </c>
      <c r="B2832" s="68" t="s">
        <v>2398</v>
      </c>
      <c r="C2832" s="68" t="n">
        <v>9393542807.97399</v>
      </c>
    </row>
    <row r="2833" customFormat="false" ht="15" hidden="false" customHeight="false" outlineLevel="0" collapsed="false">
      <c r="A2833" s="68" t="s">
        <v>3129</v>
      </c>
      <c r="B2833" s="68" t="s">
        <v>2432</v>
      </c>
      <c r="C2833" s="68" t="s">
        <v>3201</v>
      </c>
    </row>
    <row r="2834" customFormat="false" ht="15" hidden="false" customHeight="false" outlineLevel="0" collapsed="false">
      <c r="A2834" s="68" t="s">
        <v>3129</v>
      </c>
      <c r="B2834" s="68" t="s">
        <v>2437</v>
      </c>
      <c r="C2834" s="68" t="n">
        <v>0.9</v>
      </c>
    </row>
    <row r="2835" customFormat="false" ht="15" hidden="false" customHeight="false" outlineLevel="0" collapsed="false">
      <c r="A2835" s="68" t="s">
        <v>3129</v>
      </c>
      <c r="B2835" s="68" t="s">
        <v>2442</v>
      </c>
      <c r="C2835" s="68" t="n">
        <v>1</v>
      </c>
    </row>
    <row r="2836" customFormat="false" ht="15" hidden="false" customHeight="false" outlineLevel="0" collapsed="false">
      <c r="A2836" s="68" t="s">
        <v>3129</v>
      </c>
      <c r="B2836" s="68" t="s">
        <v>2447</v>
      </c>
      <c r="C2836" s="68" t="n">
        <v>1</v>
      </c>
    </row>
    <row r="2837" customFormat="false" ht="15" hidden="false" customHeight="false" outlineLevel="0" collapsed="false">
      <c r="A2837" s="68" t="s">
        <v>3129</v>
      </c>
      <c r="B2837" s="68" t="s">
        <v>2452</v>
      </c>
      <c r="C2837" s="68" t="n">
        <v>1</v>
      </c>
    </row>
    <row r="2838" customFormat="false" ht="15" hidden="false" customHeight="false" outlineLevel="0" collapsed="false">
      <c r="A2838" s="68" t="s">
        <v>3129</v>
      </c>
      <c r="B2838" s="68" t="s">
        <v>2457</v>
      </c>
      <c r="C2838" s="68" t="n">
        <v>0.9</v>
      </c>
    </row>
    <row r="2839" customFormat="false" ht="15" hidden="false" customHeight="false" outlineLevel="0" collapsed="false">
      <c r="A2839" s="68" t="s">
        <v>3129</v>
      </c>
      <c r="B2839" s="68" t="s">
        <v>2462</v>
      </c>
      <c r="C2839" s="68" t="n">
        <v>11111.1111111111</v>
      </c>
    </row>
    <row r="2840" customFormat="false" ht="15" hidden="false" customHeight="false" outlineLevel="0" collapsed="false">
      <c r="A2840" s="68" t="s">
        <v>3129</v>
      </c>
      <c r="B2840" s="68" t="s">
        <v>2467</v>
      </c>
      <c r="C2840" s="68" t="n">
        <v>91.347</v>
      </c>
    </row>
    <row r="2841" customFormat="false" ht="15" hidden="false" customHeight="false" outlineLevel="0" collapsed="false">
      <c r="A2841" s="68" t="s">
        <v>3129</v>
      </c>
      <c r="B2841" s="68" t="s">
        <v>2471</v>
      </c>
      <c r="C2841" s="68" t="n">
        <v>123.416</v>
      </c>
    </row>
    <row r="2842" customFormat="false" ht="15" hidden="false" customHeight="false" outlineLevel="0" collapsed="false">
      <c r="A2842" s="68" t="s">
        <v>3129</v>
      </c>
      <c r="B2842" s="68" t="s">
        <v>2475</v>
      </c>
      <c r="C2842" s="68" t="s">
        <v>312</v>
      </c>
    </row>
    <row r="2843" customFormat="false" ht="15" hidden="false" customHeight="false" outlineLevel="0" collapsed="false">
      <c r="A2843" s="68" t="s">
        <v>3129</v>
      </c>
      <c r="B2843" s="68" t="s">
        <v>2480</v>
      </c>
      <c r="C2843" s="68" t="n">
        <v>15011.865621081</v>
      </c>
    </row>
    <row r="2844" customFormat="false" ht="15" hidden="false" customHeight="false" outlineLevel="0" collapsed="false">
      <c r="A2844" s="68" t="s">
        <v>3129</v>
      </c>
      <c r="B2844" s="68" t="s">
        <v>2484</v>
      </c>
      <c r="C2844" s="68" t="n">
        <v>15445.1979995491</v>
      </c>
    </row>
    <row r="2845" customFormat="false" ht="15" hidden="false" customHeight="false" outlineLevel="0" collapsed="false">
      <c r="A2845" s="68" t="s">
        <v>3132</v>
      </c>
      <c r="B2845" s="68" t="s">
        <v>2284</v>
      </c>
      <c r="C2845" s="68" t="n">
        <v>4.64577656675749</v>
      </c>
    </row>
    <row r="2846" customFormat="false" ht="15" hidden="false" customHeight="false" outlineLevel="0" collapsed="false">
      <c r="A2846" s="68" t="s">
        <v>3132</v>
      </c>
      <c r="B2846" s="68" t="s">
        <v>2290</v>
      </c>
      <c r="C2846" s="68" t="s">
        <v>1881</v>
      </c>
    </row>
    <row r="2847" customFormat="false" ht="15" hidden="false" customHeight="false" outlineLevel="0" collapsed="false">
      <c r="A2847" s="68" t="s">
        <v>3132</v>
      </c>
      <c r="B2847" s="68" t="s">
        <v>2365</v>
      </c>
      <c r="C2847" s="68" t="n">
        <v>6500</v>
      </c>
    </row>
    <row r="2848" customFormat="false" ht="15" hidden="false" customHeight="false" outlineLevel="0" collapsed="false">
      <c r="A2848" s="68" t="s">
        <v>3132</v>
      </c>
      <c r="B2848" s="68" t="s">
        <v>2370</v>
      </c>
      <c r="C2848" s="68" t="n">
        <v>8498.3935483871</v>
      </c>
    </row>
    <row r="2849" customFormat="false" ht="15" hidden="false" customHeight="false" outlineLevel="0" collapsed="false">
      <c r="A2849" s="68" t="s">
        <v>3132</v>
      </c>
      <c r="B2849" s="68" t="s">
        <v>2375</v>
      </c>
      <c r="C2849" s="68" t="n">
        <v>263450200</v>
      </c>
    </row>
    <row r="2850" customFormat="false" ht="15" hidden="false" customHeight="false" outlineLevel="0" collapsed="false">
      <c r="A2850" s="68" t="s">
        <v>3132</v>
      </c>
      <c r="B2850" s="68" t="s">
        <v>2388</v>
      </c>
      <c r="C2850" s="68" t="n">
        <v>8781.9413883324</v>
      </c>
    </row>
    <row r="2851" customFormat="false" ht="15" hidden="false" customHeight="false" outlineLevel="0" collapsed="false">
      <c r="A2851" s="68" t="s">
        <v>3132</v>
      </c>
      <c r="B2851" s="68" t="s">
        <v>2393</v>
      </c>
      <c r="C2851" s="68" t="n">
        <v>9271.82514040009</v>
      </c>
    </row>
    <row r="2852" customFormat="false" ht="15" hidden="false" customHeight="false" outlineLevel="0" collapsed="false">
      <c r="A2852" s="68" t="s">
        <v>3132</v>
      </c>
      <c r="B2852" s="68" t="s">
        <v>2398</v>
      </c>
      <c r="C2852" s="68" t="n">
        <v>6105802825.18309</v>
      </c>
    </row>
    <row r="2853" customFormat="false" ht="15" hidden="false" customHeight="false" outlineLevel="0" collapsed="false">
      <c r="A2853" s="68" t="s">
        <v>3132</v>
      </c>
      <c r="B2853" s="68" t="s">
        <v>2432</v>
      </c>
      <c r="C2853" s="68" t="s">
        <v>3201</v>
      </c>
    </row>
    <row r="2854" customFormat="false" ht="15" hidden="false" customHeight="false" outlineLevel="0" collapsed="false">
      <c r="A2854" s="68" t="s">
        <v>3132</v>
      </c>
      <c r="B2854" s="68" t="s">
        <v>2437</v>
      </c>
      <c r="C2854" s="68" t="n">
        <v>0.8</v>
      </c>
    </row>
    <row r="2855" customFormat="false" ht="15" hidden="false" customHeight="false" outlineLevel="0" collapsed="false">
      <c r="A2855" s="68" t="s">
        <v>3132</v>
      </c>
      <c r="B2855" s="68" t="s">
        <v>2442</v>
      </c>
      <c r="C2855" s="68" t="n">
        <v>1</v>
      </c>
    </row>
    <row r="2856" customFormat="false" ht="15" hidden="false" customHeight="false" outlineLevel="0" collapsed="false">
      <c r="A2856" s="68" t="s">
        <v>3132</v>
      </c>
      <c r="B2856" s="68" t="s">
        <v>2447</v>
      </c>
      <c r="C2856" s="68" t="n">
        <v>1</v>
      </c>
    </row>
    <row r="2857" customFormat="false" ht="15" hidden="false" customHeight="false" outlineLevel="0" collapsed="false">
      <c r="A2857" s="68" t="s">
        <v>3132</v>
      </c>
      <c r="B2857" s="68" t="s">
        <v>2452</v>
      </c>
      <c r="C2857" s="68" t="n">
        <v>1</v>
      </c>
    </row>
    <row r="2858" customFormat="false" ht="15" hidden="false" customHeight="false" outlineLevel="0" collapsed="false">
      <c r="A2858" s="68" t="s">
        <v>3132</v>
      </c>
      <c r="B2858" s="68" t="s">
        <v>2457</v>
      </c>
      <c r="C2858" s="68" t="n">
        <v>0.8</v>
      </c>
    </row>
    <row r="2859" customFormat="false" ht="15" hidden="false" customHeight="false" outlineLevel="0" collapsed="false">
      <c r="A2859" s="68" t="s">
        <v>3132</v>
      </c>
      <c r="B2859" s="68" t="s">
        <v>2462</v>
      </c>
      <c r="C2859" s="68" t="n">
        <v>8125</v>
      </c>
    </row>
    <row r="2860" customFormat="false" ht="15" hidden="false" customHeight="false" outlineLevel="0" collapsed="false">
      <c r="A2860" s="68" t="s">
        <v>3132</v>
      </c>
      <c r="B2860" s="68" t="s">
        <v>2467</v>
      </c>
      <c r="C2860" s="68" t="n">
        <v>91.347</v>
      </c>
    </row>
    <row r="2861" customFormat="false" ht="15" hidden="false" customHeight="false" outlineLevel="0" collapsed="false">
      <c r="A2861" s="68" t="s">
        <v>3132</v>
      </c>
      <c r="B2861" s="68" t="s">
        <v>2471</v>
      </c>
      <c r="C2861" s="68" t="n">
        <v>123.416</v>
      </c>
    </row>
    <row r="2862" customFormat="false" ht="15" hidden="false" customHeight="false" outlineLevel="0" collapsed="false">
      <c r="A2862" s="68" t="s">
        <v>3132</v>
      </c>
      <c r="B2862" s="68" t="s">
        <v>2475</v>
      </c>
      <c r="C2862" s="68" t="s">
        <v>312</v>
      </c>
    </row>
    <row r="2863" customFormat="false" ht="15" hidden="false" customHeight="false" outlineLevel="0" collapsed="false">
      <c r="A2863" s="68" t="s">
        <v>3132</v>
      </c>
      <c r="B2863" s="68" t="s">
        <v>2480</v>
      </c>
      <c r="C2863" s="68" t="n">
        <v>10977.4267354155</v>
      </c>
    </row>
    <row r="2864" customFormat="false" ht="15" hidden="false" customHeight="false" outlineLevel="0" collapsed="false">
      <c r="A2864" s="68" t="s">
        <v>3132</v>
      </c>
      <c r="B2864" s="68" t="s">
        <v>2484</v>
      </c>
      <c r="C2864" s="68" t="n">
        <v>4367.82827948614</v>
      </c>
    </row>
    <row r="2865" customFormat="false" ht="15" hidden="false" customHeight="false" outlineLevel="0" collapsed="false">
      <c r="A2865" s="68" t="s">
        <v>3135</v>
      </c>
      <c r="B2865" s="68" t="s">
        <v>2284</v>
      </c>
      <c r="C2865" s="68" t="n">
        <v>400.885558583106</v>
      </c>
    </row>
    <row r="2866" customFormat="false" ht="15" hidden="false" customHeight="false" outlineLevel="0" collapsed="false">
      <c r="A2866" s="68" t="s">
        <v>3135</v>
      </c>
      <c r="B2866" s="68" t="s">
        <v>2290</v>
      </c>
      <c r="C2866" s="68" t="s">
        <v>1932</v>
      </c>
    </row>
    <row r="2867" customFormat="false" ht="15" hidden="false" customHeight="false" outlineLevel="0" collapsed="false">
      <c r="A2867" s="68" t="s">
        <v>3135</v>
      </c>
      <c r="B2867" s="68" t="s">
        <v>2365</v>
      </c>
      <c r="C2867" s="68" t="n">
        <v>80000</v>
      </c>
    </row>
    <row r="2868" customFormat="false" ht="15" hidden="false" customHeight="false" outlineLevel="0" collapsed="false">
      <c r="A2868" s="68" t="s">
        <v>3135</v>
      </c>
      <c r="B2868" s="68" t="s">
        <v>2370</v>
      </c>
      <c r="C2868" s="68" t="n">
        <v>104595.612903226</v>
      </c>
    </row>
    <row r="2869" customFormat="false" ht="15" hidden="false" customHeight="false" outlineLevel="0" collapsed="false">
      <c r="A2869" s="68" t="s">
        <v>3135</v>
      </c>
      <c r="B2869" s="68" t="s">
        <v>2375</v>
      </c>
      <c r="C2869" s="68" t="n">
        <v>3242464000</v>
      </c>
    </row>
    <row r="2870" customFormat="false" ht="15" hidden="false" customHeight="false" outlineLevel="0" collapsed="false">
      <c r="A2870" s="68" t="s">
        <v>3135</v>
      </c>
      <c r="B2870" s="68" t="s">
        <v>2388</v>
      </c>
      <c r="C2870" s="68" t="n">
        <v>108085.432471783</v>
      </c>
    </row>
    <row r="2871" customFormat="false" ht="15" hidden="false" customHeight="false" outlineLevel="0" collapsed="false">
      <c r="A2871" s="68" t="s">
        <v>3135</v>
      </c>
      <c r="B2871" s="68" t="s">
        <v>2393</v>
      </c>
      <c r="C2871" s="68" t="n">
        <v>114114.77095877</v>
      </c>
    </row>
    <row r="2872" customFormat="false" ht="15" hidden="false" customHeight="false" outlineLevel="0" collapsed="false">
      <c r="A2872" s="68" t="s">
        <v>3135</v>
      </c>
      <c r="B2872" s="68" t="s">
        <v>2398</v>
      </c>
      <c r="C2872" s="68" t="n">
        <v>75148342463.7919</v>
      </c>
    </row>
    <row r="2873" customFormat="false" ht="15" hidden="false" customHeight="false" outlineLevel="0" collapsed="false">
      <c r="A2873" s="68" t="s">
        <v>3135</v>
      </c>
      <c r="B2873" s="68" t="s">
        <v>2432</v>
      </c>
      <c r="C2873" s="68" t="s">
        <v>3201</v>
      </c>
    </row>
    <row r="2874" customFormat="false" ht="15" hidden="false" customHeight="false" outlineLevel="0" collapsed="false">
      <c r="A2874" s="68" t="s">
        <v>3135</v>
      </c>
      <c r="B2874" s="68" t="s">
        <v>2437</v>
      </c>
      <c r="C2874" s="68" t="n">
        <v>0.8</v>
      </c>
    </row>
    <row r="2875" customFormat="false" ht="15" hidden="false" customHeight="false" outlineLevel="0" collapsed="false">
      <c r="A2875" s="68" t="s">
        <v>3135</v>
      </c>
      <c r="B2875" s="68" t="s">
        <v>2442</v>
      </c>
      <c r="C2875" s="68" t="n">
        <v>1</v>
      </c>
    </row>
    <row r="2876" customFormat="false" ht="15" hidden="false" customHeight="false" outlineLevel="0" collapsed="false">
      <c r="A2876" s="68" t="s">
        <v>3135</v>
      </c>
      <c r="B2876" s="68" t="s">
        <v>2447</v>
      </c>
      <c r="C2876" s="68" t="n">
        <v>1</v>
      </c>
    </row>
    <row r="2877" customFormat="false" ht="15" hidden="false" customHeight="false" outlineLevel="0" collapsed="false">
      <c r="A2877" s="68" t="s">
        <v>3135</v>
      </c>
      <c r="B2877" s="68" t="s">
        <v>2452</v>
      </c>
      <c r="C2877" s="68" t="n">
        <v>1</v>
      </c>
    </row>
    <row r="2878" customFormat="false" ht="15" hidden="false" customHeight="false" outlineLevel="0" collapsed="false">
      <c r="A2878" s="68" t="s">
        <v>3135</v>
      </c>
      <c r="B2878" s="68" t="s">
        <v>2457</v>
      </c>
      <c r="C2878" s="68" t="n">
        <v>0.8</v>
      </c>
    </row>
    <row r="2879" customFormat="false" ht="15" hidden="false" customHeight="false" outlineLevel="0" collapsed="false">
      <c r="A2879" s="68" t="s">
        <v>3135</v>
      </c>
      <c r="B2879" s="68" t="s">
        <v>2462</v>
      </c>
      <c r="C2879" s="68" t="n">
        <v>100000</v>
      </c>
    </row>
    <row r="2880" customFormat="false" ht="15" hidden="false" customHeight="false" outlineLevel="0" collapsed="false">
      <c r="A2880" s="68" t="s">
        <v>3135</v>
      </c>
      <c r="B2880" s="68" t="s">
        <v>2467</v>
      </c>
      <c r="C2880" s="68" t="n">
        <v>91.347</v>
      </c>
    </row>
    <row r="2881" customFormat="false" ht="15" hidden="false" customHeight="false" outlineLevel="0" collapsed="false">
      <c r="A2881" s="68" t="s">
        <v>3135</v>
      </c>
      <c r="B2881" s="68" t="s">
        <v>2471</v>
      </c>
      <c r="C2881" s="68" t="n">
        <v>123.416</v>
      </c>
    </row>
    <row r="2882" customFormat="false" ht="15" hidden="false" customHeight="false" outlineLevel="0" collapsed="false">
      <c r="A2882" s="68" t="s">
        <v>3135</v>
      </c>
      <c r="B2882" s="68" t="s">
        <v>2475</v>
      </c>
      <c r="C2882" s="68" t="s">
        <v>312</v>
      </c>
    </row>
    <row r="2883" customFormat="false" ht="15" hidden="false" customHeight="false" outlineLevel="0" collapsed="false">
      <c r="A2883" s="68" t="s">
        <v>3135</v>
      </c>
      <c r="B2883" s="68" t="s">
        <v>2480</v>
      </c>
      <c r="C2883" s="68" t="n">
        <v>135106.790589729</v>
      </c>
    </row>
    <row r="2884" customFormat="false" ht="15" hidden="false" customHeight="false" outlineLevel="0" collapsed="false">
      <c r="A2884" s="68" t="s">
        <v>3135</v>
      </c>
      <c r="B2884" s="68" t="s">
        <v>2484</v>
      </c>
      <c r="C2884" s="68" t="n">
        <v>3705.65454784952</v>
      </c>
    </row>
    <row r="2885" customFormat="false" ht="15" hidden="false" customHeight="false" outlineLevel="0" collapsed="false">
      <c r="A2885" s="68" t="s">
        <v>3138</v>
      </c>
      <c r="B2885" s="68" t="s">
        <v>2284</v>
      </c>
      <c r="C2885" s="68" t="n">
        <v>400.885558583106</v>
      </c>
    </row>
    <row r="2886" customFormat="false" ht="15" hidden="false" customHeight="false" outlineLevel="0" collapsed="false">
      <c r="A2886" s="68" t="s">
        <v>3138</v>
      </c>
      <c r="B2886" s="68" t="s">
        <v>2290</v>
      </c>
      <c r="C2886" s="68" t="s">
        <v>1932</v>
      </c>
    </row>
    <row r="2887" customFormat="false" ht="15" hidden="false" customHeight="false" outlineLevel="0" collapsed="false">
      <c r="A2887" s="68" t="s">
        <v>3138</v>
      </c>
      <c r="B2887" s="68" t="s">
        <v>2365</v>
      </c>
      <c r="C2887" s="68" t="n">
        <v>100000</v>
      </c>
    </row>
    <row r="2888" customFormat="false" ht="15" hidden="false" customHeight="false" outlineLevel="0" collapsed="false">
      <c r="A2888" s="68" t="s">
        <v>3138</v>
      </c>
      <c r="B2888" s="68" t="s">
        <v>2370</v>
      </c>
      <c r="C2888" s="68" t="n">
        <v>130744.516129032</v>
      </c>
    </row>
    <row r="2889" customFormat="false" ht="15" hidden="false" customHeight="false" outlineLevel="0" collapsed="false">
      <c r="A2889" s="68" t="s">
        <v>3138</v>
      </c>
      <c r="B2889" s="68" t="s">
        <v>2375</v>
      </c>
      <c r="C2889" s="68" t="n">
        <v>4053080000</v>
      </c>
    </row>
    <row r="2890" customFormat="false" ht="15" hidden="false" customHeight="false" outlineLevel="0" collapsed="false">
      <c r="A2890" s="68" t="s">
        <v>3138</v>
      </c>
      <c r="B2890" s="68" t="s">
        <v>2388</v>
      </c>
      <c r="C2890" s="68" t="n">
        <v>135106.790589729</v>
      </c>
    </row>
    <row r="2891" customFormat="false" ht="15" hidden="false" customHeight="false" outlineLevel="0" collapsed="false">
      <c r="A2891" s="68" t="s">
        <v>3138</v>
      </c>
      <c r="B2891" s="68" t="s">
        <v>2393</v>
      </c>
      <c r="C2891" s="68" t="n">
        <v>142643.463698463</v>
      </c>
    </row>
    <row r="2892" customFormat="false" ht="15" hidden="false" customHeight="false" outlineLevel="0" collapsed="false">
      <c r="A2892" s="68" t="s">
        <v>3138</v>
      </c>
      <c r="B2892" s="68" t="s">
        <v>2398</v>
      </c>
      <c r="C2892" s="68" t="n">
        <v>93935428079.7399</v>
      </c>
    </row>
    <row r="2893" customFormat="false" ht="15" hidden="false" customHeight="false" outlineLevel="0" collapsed="false">
      <c r="A2893" s="68" t="s">
        <v>3138</v>
      </c>
      <c r="B2893" s="68" t="s">
        <v>2432</v>
      </c>
      <c r="C2893" s="68" t="s">
        <v>3201</v>
      </c>
    </row>
    <row r="2894" customFormat="false" ht="15" hidden="false" customHeight="false" outlineLevel="0" collapsed="false">
      <c r="A2894" s="68" t="s">
        <v>3138</v>
      </c>
      <c r="B2894" s="68" t="s">
        <v>2437</v>
      </c>
      <c r="C2894" s="68" t="n">
        <v>0.8</v>
      </c>
    </row>
    <row r="2895" customFormat="false" ht="15" hidden="false" customHeight="false" outlineLevel="0" collapsed="false">
      <c r="A2895" s="68" t="s">
        <v>3138</v>
      </c>
      <c r="B2895" s="68" t="s">
        <v>2442</v>
      </c>
      <c r="C2895" s="68" t="n">
        <v>1</v>
      </c>
    </row>
    <row r="2896" customFormat="false" ht="15" hidden="false" customHeight="false" outlineLevel="0" collapsed="false">
      <c r="A2896" s="68" t="s">
        <v>3138</v>
      </c>
      <c r="B2896" s="68" t="s">
        <v>2447</v>
      </c>
      <c r="C2896" s="68" t="n">
        <v>1.35</v>
      </c>
    </row>
    <row r="2897" customFormat="false" ht="15" hidden="false" customHeight="false" outlineLevel="0" collapsed="false">
      <c r="A2897" s="68" t="s">
        <v>3138</v>
      </c>
      <c r="B2897" s="68" t="s">
        <v>2452</v>
      </c>
      <c r="C2897" s="68" t="n">
        <v>1</v>
      </c>
    </row>
    <row r="2898" customFormat="false" ht="15" hidden="false" customHeight="false" outlineLevel="0" collapsed="false">
      <c r="A2898" s="68" t="s">
        <v>3138</v>
      </c>
      <c r="B2898" s="68" t="s">
        <v>2457</v>
      </c>
      <c r="C2898" s="68" t="n">
        <v>1.08</v>
      </c>
    </row>
    <row r="2899" customFormat="false" ht="15" hidden="false" customHeight="false" outlineLevel="0" collapsed="false">
      <c r="A2899" s="68" t="s">
        <v>3138</v>
      </c>
      <c r="B2899" s="68" t="s">
        <v>2462</v>
      </c>
      <c r="C2899" s="68" t="n">
        <v>92592.5925925926</v>
      </c>
    </row>
    <row r="2900" customFormat="false" ht="15" hidden="false" customHeight="false" outlineLevel="0" collapsed="false">
      <c r="A2900" s="68" t="s">
        <v>3138</v>
      </c>
      <c r="B2900" s="68" t="s">
        <v>2467</v>
      </c>
      <c r="C2900" s="68" t="n">
        <v>91.347</v>
      </c>
    </row>
    <row r="2901" customFormat="false" ht="15" hidden="false" customHeight="false" outlineLevel="0" collapsed="false">
      <c r="A2901" s="68" t="s">
        <v>3138</v>
      </c>
      <c r="B2901" s="68" t="s">
        <v>2471</v>
      </c>
      <c r="C2901" s="68" t="n">
        <v>123.416</v>
      </c>
    </row>
    <row r="2902" customFormat="false" ht="15" hidden="false" customHeight="false" outlineLevel="0" collapsed="false">
      <c r="A2902" s="68" t="s">
        <v>3138</v>
      </c>
      <c r="B2902" s="68" t="s">
        <v>2475</v>
      </c>
      <c r="C2902" s="68" t="s">
        <v>312</v>
      </c>
    </row>
    <row r="2903" customFormat="false" ht="15" hidden="false" customHeight="false" outlineLevel="0" collapsed="false">
      <c r="A2903" s="68" t="s">
        <v>3138</v>
      </c>
      <c r="B2903" s="68" t="s">
        <v>2480</v>
      </c>
      <c r="C2903" s="68" t="n">
        <v>125098.880175675</v>
      </c>
    </row>
    <row r="2904" customFormat="false" ht="15" hidden="false" customHeight="false" outlineLevel="0" collapsed="false">
      <c r="A2904" s="68" t="s">
        <v>3138</v>
      </c>
      <c r="B2904" s="68" t="s">
        <v>2484</v>
      </c>
      <c r="C2904" s="68" t="n">
        <v>3431.16161837918</v>
      </c>
    </row>
    <row r="2905" customFormat="false" ht="15" hidden="false" customHeight="false" outlineLevel="0" collapsed="false">
      <c r="A2905" s="68" t="s">
        <v>3141</v>
      </c>
      <c r="B2905" s="68" t="s">
        <v>2284</v>
      </c>
      <c r="C2905" s="68" t="n">
        <v>8.01771117166213</v>
      </c>
    </row>
    <row r="2906" customFormat="false" ht="15" hidden="false" customHeight="false" outlineLevel="0" collapsed="false">
      <c r="A2906" s="68" t="s">
        <v>3141</v>
      </c>
      <c r="B2906" s="68" t="s">
        <v>2290</v>
      </c>
      <c r="C2906" s="68" t="s">
        <v>1932</v>
      </c>
    </row>
    <row r="2907" customFormat="false" ht="15" hidden="false" customHeight="false" outlineLevel="0" collapsed="false">
      <c r="A2907" s="68" t="s">
        <v>3141</v>
      </c>
      <c r="B2907" s="68" t="s">
        <v>2365</v>
      </c>
      <c r="C2907" s="68" t="n">
        <v>15000</v>
      </c>
    </row>
    <row r="2908" customFormat="false" ht="15" hidden="false" customHeight="false" outlineLevel="0" collapsed="false">
      <c r="A2908" s="68" t="s">
        <v>3141</v>
      </c>
      <c r="B2908" s="68" t="s">
        <v>2370</v>
      </c>
      <c r="C2908" s="68" t="n">
        <v>19611.6774193548</v>
      </c>
    </row>
    <row r="2909" customFormat="false" ht="15" hidden="false" customHeight="false" outlineLevel="0" collapsed="false">
      <c r="A2909" s="68" t="s">
        <v>3141</v>
      </c>
      <c r="B2909" s="68" t="s">
        <v>2375</v>
      </c>
      <c r="C2909" s="68" t="n">
        <v>607962000</v>
      </c>
    </row>
    <row r="2910" customFormat="false" ht="15" hidden="false" customHeight="false" outlineLevel="0" collapsed="false">
      <c r="A2910" s="68" t="s">
        <v>3141</v>
      </c>
      <c r="B2910" s="68" t="s">
        <v>2388</v>
      </c>
      <c r="C2910" s="68" t="n">
        <v>20266.0185884594</v>
      </c>
    </row>
    <row r="2911" customFormat="false" ht="15" hidden="false" customHeight="false" outlineLevel="0" collapsed="false">
      <c r="A2911" s="68" t="s">
        <v>3141</v>
      </c>
      <c r="B2911" s="68" t="s">
        <v>2393</v>
      </c>
      <c r="C2911" s="68" t="n">
        <v>21396.5195547694</v>
      </c>
    </row>
    <row r="2912" customFormat="false" ht="15" hidden="false" customHeight="false" outlineLevel="0" collapsed="false">
      <c r="A2912" s="68" t="s">
        <v>3141</v>
      </c>
      <c r="B2912" s="68" t="s">
        <v>2398</v>
      </c>
      <c r="C2912" s="68" t="n">
        <v>14090314211.961</v>
      </c>
    </row>
    <row r="2913" customFormat="false" ht="15" hidden="false" customHeight="false" outlineLevel="0" collapsed="false">
      <c r="A2913" s="68" t="s">
        <v>3141</v>
      </c>
      <c r="B2913" s="68" t="s">
        <v>2432</v>
      </c>
      <c r="C2913" s="68" t="s">
        <v>3201</v>
      </c>
    </row>
    <row r="2914" customFormat="false" ht="15" hidden="false" customHeight="false" outlineLevel="0" collapsed="false">
      <c r="A2914" s="68" t="s">
        <v>3141</v>
      </c>
      <c r="B2914" s="68" t="s">
        <v>2437</v>
      </c>
      <c r="C2914" s="68" t="n">
        <v>0.8</v>
      </c>
    </row>
    <row r="2915" customFormat="false" ht="15" hidden="false" customHeight="false" outlineLevel="0" collapsed="false">
      <c r="A2915" s="68" t="s">
        <v>3141</v>
      </c>
      <c r="B2915" s="68" t="s">
        <v>2442</v>
      </c>
      <c r="C2915" s="68" t="n">
        <v>1</v>
      </c>
    </row>
    <row r="2916" customFormat="false" ht="15" hidden="false" customHeight="false" outlineLevel="0" collapsed="false">
      <c r="A2916" s="68" t="s">
        <v>3141</v>
      </c>
      <c r="B2916" s="68" t="s">
        <v>2447</v>
      </c>
      <c r="C2916" s="68" t="n">
        <v>1</v>
      </c>
    </row>
    <row r="2917" customFormat="false" ht="15" hidden="false" customHeight="false" outlineLevel="0" collapsed="false">
      <c r="A2917" s="68" t="s">
        <v>3141</v>
      </c>
      <c r="B2917" s="68" t="s">
        <v>2452</v>
      </c>
      <c r="C2917" s="68" t="n">
        <v>1</v>
      </c>
    </row>
    <row r="2918" customFormat="false" ht="15" hidden="false" customHeight="false" outlineLevel="0" collapsed="false">
      <c r="A2918" s="68" t="s">
        <v>3141</v>
      </c>
      <c r="B2918" s="68" t="s">
        <v>2457</v>
      </c>
      <c r="C2918" s="68" t="n">
        <v>0.8</v>
      </c>
    </row>
    <row r="2919" customFormat="false" ht="15" hidden="false" customHeight="false" outlineLevel="0" collapsed="false">
      <c r="A2919" s="68" t="s">
        <v>3141</v>
      </c>
      <c r="B2919" s="68" t="s">
        <v>2462</v>
      </c>
      <c r="C2919" s="68" t="n">
        <v>18750</v>
      </c>
    </row>
    <row r="2920" customFormat="false" ht="15" hidden="false" customHeight="false" outlineLevel="0" collapsed="false">
      <c r="A2920" s="68" t="s">
        <v>3141</v>
      </c>
      <c r="B2920" s="68" t="s">
        <v>2467</v>
      </c>
      <c r="C2920" s="68" t="n">
        <v>91.347</v>
      </c>
    </row>
    <row r="2921" customFormat="false" ht="15" hidden="false" customHeight="false" outlineLevel="0" collapsed="false">
      <c r="A2921" s="68" t="s">
        <v>3141</v>
      </c>
      <c r="B2921" s="68" t="s">
        <v>2471</v>
      </c>
      <c r="C2921" s="68" t="n">
        <v>123.416</v>
      </c>
    </row>
    <row r="2922" customFormat="false" ht="15" hidden="false" customHeight="false" outlineLevel="0" collapsed="false">
      <c r="A2922" s="68" t="s">
        <v>3141</v>
      </c>
      <c r="B2922" s="68" t="s">
        <v>2475</v>
      </c>
      <c r="C2922" s="68" t="s">
        <v>312</v>
      </c>
    </row>
    <row r="2923" customFormat="false" ht="15" hidden="false" customHeight="false" outlineLevel="0" collapsed="false">
      <c r="A2923" s="68" t="s">
        <v>3141</v>
      </c>
      <c r="B2923" s="68" t="s">
        <v>2480</v>
      </c>
      <c r="C2923" s="68" t="n">
        <v>25332.5232355742</v>
      </c>
    </row>
    <row r="2924" customFormat="false" ht="15" hidden="false" customHeight="false" outlineLevel="0" collapsed="false">
      <c r="A2924" s="68" t="s">
        <v>3141</v>
      </c>
      <c r="B2924" s="68" t="s">
        <v>2484</v>
      </c>
      <c r="C2924" s="68" t="n">
        <v>7265.21055650847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110"/>
  </cols>
  <sheetData>
    <row r="1" customFormat="false" ht="18" hidden="false" customHeight="true" outlineLevel="0" collapsed="false">
      <c r="A1" s="7" t="s">
        <v>3208</v>
      </c>
    </row>
    <row r="2" customFormat="false" ht="15" hidden="false" customHeight="false" outlineLevel="0" collapsed="false">
      <c r="A2" s="8"/>
    </row>
    <row r="4" customFormat="false" ht="15" hidden="false" customHeight="false" outlineLevel="0" collapsed="false">
      <c r="A4" s="86" t="s">
        <v>126</v>
      </c>
      <c r="B4" s="86" t="s">
        <v>3209</v>
      </c>
      <c r="C4" s="86" t="s">
        <v>3210</v>
      </c>
    </row>
    <row r="5" customFormat="false" ht="15" hidden="false" customHeight="false" outlineLevel="0" collapsed="false">
      <c r="A5" s="80" t="s">
        <v>3211</v>
      </c>
      <c r="B5" s="80" t="s">
        <v>3212</v>
      </c>
      <c r="C5" s="80" t="s">
        <v>3213</v>
      </c>
    </row>
    <row r="6" customFormat="false" ht="15" hidden="false" customHeight="false" outlineLevel="0" collapsed="false">
      <c r="A6" s="80" t="s">
        <v>3214</v>
      </c>
      <c r="B6" s="80" t="s">
        <v>3215</v>
      </c>
      <c r="C6" s="80" t="s">
        <v>3216</v>
      </c>
    </row>
    <row r="7" customFormat="false" ht="15" hidden="false" customHeight="false" outlineLevel="0" collapsed="false">
      <c r="A7" s="80" t="s">
        <v>3214</v>
      </c>
      <c r="B7" s="80" t="s">
        <v>3217</v>
      </c>
      <c r="C7" s="80" t="s">
        <v>3218</v>
      </c>
    </row>
    <row r="8" customFormat="false" ht="15" hidden="false" customHeight="false" outlineLevel="0" collapsed="false">
      <c r="A8" s="80" t="s">
        <v>3219</v>
      </c>
      <c r="B8" s="80" t="s">
        <v>3220</v>
      </c>
      <c r="C8" s="80" t="s">
        <v>3221</v>
      </c>
    </row>
    <row r="9" customFormat="false" ht="15" hidden="false" customHeight="false" outlineLevel="0" collapsed="false">
      <c r="A9" s="80" t="s">
        <v>3219</v>
      </c>
      <c r="B9" s="80" t="s">
        <v>880</v>
      </c>
      <c r="C9" s="80" t="s">
        <v>3222</v>
      </c>
    </row>
    <row r="10" customFormat="false" ht="15" hidden="false" customHeight="false" outlineLevel="0" collapsed="false">
      <c r="A10" s="80" t="s">
        <v>3219</v>
      </c>
      <c r="B10" s="80" t="s">
        <v>3223</v>
      </c>
      <c r="C10" s="80" t="s">
        <v>3224</v>
      </c>
    </row>
    <row r="11" customFormat="false" ht="15" hidden="false" customHeight="false" outlineLevel="0" collapsed="false">
      <c r="A11" s="80" t="s">
        <v>3219</v>
      </c>
      <c r="B11" s="80" t="s">
        <v>3225</v>
      </c>
      <c r="C11" s="80" t="s">
        <v>3226</v>
      </c>
    </row>
    <row r="12" customFormat="false" ht="15" hidden="false" customHeight="false" outlineLevel="0" collapsed="false">
      <c r="A12" s="80" t="s">
        <v>3219</v>
      </c>
      <c r="B12" s="80" t="s">
        <v>3227</v>
      </c>
      <c r="C12" s="80" t="s">
        <v>3228</v>
      </c>
    </row>
    <row r="13" customFormat="false" ht="24" hidden="false" customHeight="true" outlineLevel="0" collapsed="false">
      <c r="A13" s="80" t="s">
        <v>3219</v>
      </c>
      <c r="B13" s="80" t="s">
        <v>3229</v>
      </c>
      <c r="C13" s="80" t="s">
        <v>3230</v>
      </c>
    </row>
    <row r="14" customFormat="false" ht="15" hidden="false" customHeight="false" outlineLevel="0" collapsed="false">
      <c r="A14" s="80" t="s">
        <v>3219</v>
      </c>
      <c r="B14" s="80" t="s">
        <v>197</v>
      </c>
      <c r="C14" s="80" t="s">
        <v>3231</v>
      </c>
    </row>
    <row r="15" customFormat="false" ht="15" hidden="false" customHeight="false" outlineLevel="0" collapsed="false">
      <c r="A15" s="80" t="s">
        <v>3232</v>
      </c>
      <c r="B15" s="80" t="s">
        <v>3233</v>
      </c>
      <c r="C15" s="80" t="s">
        <v>3234</v>
      </c>
    </row>
    <row r="16" customFormat="false" ht="15" hidden="false" customHeight="false" outlineLevel="0" collapsed="false">
      <c r="A16" s="80" t="s">
        <v>3235</v>
      </c>
      <c r="B16" s="80" t="s">
        <v>3236</v>
      </c>
      <c r="C16" s="80" t="s">
        <v>3237</v>
      </c>
    </row>
    <row r="17" customFormat="false" ht="15" hidden="false" customHeight="false" outlineLevel="0" collapsed="false">
      <c r="A17" s="80" t="s">
        <v>3232</v>
      </c>
      <c r="B17" s="80" t="s">
        <v>3238</v>
      </c>
      <c r="C17" s="80" t="s">
        <v>3239</v>
      </c>
    </row>
    <row r="18" customFormat="false" ht="15" hidden="false" customHeight="false" outlineLevel="0" collapsed="false">
      <c r="A18" s="80" t="s">
        <v>3240</v>
      </c>
      <c r="B18" s="80" t="s">
        <v>3241</v>
      </c>
      <c r="C18" s="80" t="s">
        <v>3242</v>
      </c>
    </row>
    <row r="19" customFormat="false" ht="24" hidden="false" customHeight="true" outlineLevel="0" collapsed="false">
      <c r="A19" s="80" t="s">
        <v>3243</v>
      </c>
      <c r="B19" s="80" t="s">
        <v>3244</v>
      </c>
      <c r="C19" s="80" t="s">
        <v>3245</v>
      </c>
    </row>
    <row r="20" customFormat="false" ht="15" hidden="false" customHeight="false" outlineLevel="0" collapsed="false">
      <c r="A20" s="80" t="s">
        <v>3235</v>
      </c>
      <c r="B20" s="80" t="s">
        <v>3246</v>
      </c>
      <c r="C20" s="80" t="s">
        <v>3247</v>
      </c>
    </row>
    <row r="21" customFormat="false" ht="15" hidden="false" customHeight="false" outlineLevel="0" collapsed="false">
      <c r="A21" s="80" t="s">
        <v>1336</v>
      </c>
      <c r="B21" s="80" t="s">
        <v>3248</v>
      </c>
      <c r="C21" s="80" t="s">
        <v>3249</v>
      </c>
    </row>
    <row r="22" customFormat="false" ht="24" hidden="false" customHeight="true" outlineLevel="0" collapsed="false">
      <c r="A22" s="80" t="s">
        <v>3243</v>
      </c>
      <c r="B22" s="80" t="s">
        <v>3250</v>
      </c>
      <c r="C22" s="80" t="s">
        <v>3251</v>
      </c>
    </row>
    <row r="23" customFormat="false" ht="24" hidden="false" customHeight="true" outlineLevel="0" collapsed="false">
      <c r="A23" s="80" t="s">
        <v>3235</v>
      </c>
      <c r="B23" s="80" t="s">
        <v>3252</v>
      </c>
      <c r="C23" s="80" t="s">
        <v>3253</v>
      </c>
    </row>
    <row r="24" customFormat="false" ht="15" hidden="false" customHeight="false" outlineLevel="0" collapsed="false">
      <c r="A24" s="80" t="s">
        <v>3235</v>
      </c>
      <c r="B24" s="80" t="s">
        <v>3254</v>
      </c>
      <c r="C24" s="80" t="s">
        <v>3255</v>
      </c>
    </row>
    <row r="25" customFormat="false" ht="15" hidden="false" customHeight="false" outlineLevel="0" collapsed="false">
      <c r="A25" s="80" t="s">
        <v>3235</v>
      </c>
      <c r="B25" s="80" t="s">
        <v>3256</v>
      </c>
      <c r="C25" s="80" t="s">
        <v>3257</v>
      </c>
    </row>
    <row r="26" customFormat="false" ht="24" hidden="false" customHeight="true" outlineLevel="0" collapsed="false">
      <c r="A26" s="80" t="s">
        <v>3235</v>
      </c>
      <c r="B26" s="80" t="s">
        <v>3258</v>
      </c>
      <c r="C26" s="80" t="s">
        <v>3259</v>
      </c>
    </row>
    <row r="27" customFormat="false" ht="15" hidden="false" customHeight="false" outlineLevel="0" collapsed="false">
      <c r="A27" s="80" t="s">
        <v>3243</v>
      </c>
      <c r="B27" s="80" t="s">
        <v>3260</v>
      </c>
      <c r="C27" s="80" t="s">
        <v>3261</v>
      </c>
    </row>
    <row r="28" customFormat="false" ht="15" hidden="false" customHeight="false" outlineLevel="0" collapsed="false">
      <c r="A28" s="80" t="s">
        <v>3243</v>
      </c>
      <c r="B28" s="80" t="s">
        <v>3262</v>
      </c>
      <c r="C28" s="80" t="s">
        <v>3263</v>
      </c>
    </row>
    <row r="29" customFormat="false" ht="15" hidden="false" customHeight="false" outlineLevel="0" collapsed="false">
      <c r="A29" s="80" t="s">
        <v>1336</v>
      </c>
      <c r="B29" s="80" t="s">
        <v>3264</v>
      </c>
      <c r="C29" s="80" t="s">
        <v>3265</v>
      </c>
    </row>
    <row r="30" customFormat="false" ht="15" hidden="false" customHeight="false" outlineLevel="0" collapsed="false">
      <c r="A30" s="80" t="s">
        <v>1336</v>
      </c>
      <c r="B30" s="80" t="s">
        <v>3266</v>
      </c>
      <c r="C30" s="80" t="s">
        <v>3267</v>
      </c>
    </row>
    <row r="31" customFormat="false" ht="15" hidden="false" customHeight="false" outlineLevel="0" collapsed="false">
      <c r="A31" s="80" t="s">
        <v>3243</v>
      </c>
      <c r="B31" s="80" t="s">
        <v>3268</v>
      </c>
      <c r="C31" s="80" t="s">
        <v>3269</v>
      </c>
    </row>
    <row r="32" customFormat="false" ht="24" hidden="false" customHeight="true" outlineLevel="0" collapsed="false">
      <c r="A32" s="80" t="s">
        <v>3235</v>
      </c>
      <c r="B32" s="80" t="s">
        <v>3270</v>
      </c>
      <c r="C32" s="80" t="s">
        <v>3271</v>
      </c>
    </row>
    <row r="33" customFormat="false" ht="15" hidden="false" customHeight="false" outlineLevel="0" collapsed="false">
      <c r="A33" s="80" t="s">
        <v>3235</v>
      </c>
      <c r="B33" s="80" t="s">
        <v>3272</v>
      </c>
      <c r="C33" s="80" t="s">
        <v>3255</v>
      </c>
    </row>
    <row r="34" customFormat="false" ht="15" hidden="false" customHeight="false" outlineLevel="0" collapsed="false">
      <c r="A34" s="80" t="s">
        <v>3232</v>
      </c>
      <c r="B34" s="80" t="s">
        <v>3273</v>
      </c>
      <c r="C34" s="80" t="s">
        <v>3274</v>
      </c>
    </row>
    <row r="35" customFormat="false" ht="24" hidden="false" customHeight="true" outlineLevel="0" collapsed="false">
      <c r="A35" s="80" t="s">
        <v>3243</v>
      </c>
      <c r="B35" s="80" t="s">
        <v>3275</v>
      </c>
      <c r="C35" s="80" t="s">
        <v>3276</v>
      </c>
    </row>
    <row r="36" customFormat="false" ht="15" hidden="false" customHeight="false" outlineLevel="0" collapsed="false">
      <c r="A36" s="80" t="s">
        <v>3232</v>
      </c>
      <c r="B36" s="80" t="s">
        <v>3277</v>
      </c>
      <c r="C36" s="80" t="s">
        <v>3278</v>
      </c>
    </row>
    <row r="37" customFormat="false" ht="15" hidden="false" customHeight="false" outlineLevel="0" collapsed="false">
      <c r="A37" s="80" t="s">
        <v>1336</v>
      </c>
      <c r="B37" s="80" t="s">
        <v>3279</v>
      </c>
      <c r="C37" s="80" t="s">
        <v>3280</v>
      </c>
    </row>
    <row r="38" customFormat="false" ht="24" hidden="false" customHeight="true" outlineLevel="0" collapsed="false">
      <c r="A38" s="80" t="s">
        <v>3281</v>
      </c>
      <c r="B38" s="80" t="s">
        <v>3212</v>
      </c>
      <c r="C38" s="80" t="s">
        <v>3282</v>
      </c>
    </row>
    <row r="39" customFormat="false" ht="48" hidden="false" customHeight="true" outlineLevel="0" collapsed="false">
      <c r="A39" s="80" t="s">
        <v>3283</v>
      </c>
      <c r="B39" s="80" t="s">
        <v>3284</v>
      </c>
      <c r="C39" s="80" t="s">
        <v>3285</v>
      </c>
    </row>
    <row r="40" customFormat="false" ht="24" hidden="false" customHeight="true" outlineLevel="0" collapsed="false">
      <c r="A40" s="80" t="s">
        <v>3286</v>
      </c>
      <c r="B40" s="80" t="s">
        <v>3287</v>
      </c>
      <c r="C40" s="80" t="s">
        <v>3288</v>
      </c>
    </row>
    <row r="41" customFormat="false" ht="15" hidden="false" customHeight="false" outlineLevel="0" collapsed="false">
      <c r="A41" s="80" t="s">
        <v>3289</v>
      </c>
      <c r="B41" s="80" t="s">
        <v>243</v>
      </c>
      <c r="C41" s="80" t="s">
        <v>3290</v>
      </c>
    </row>
    <row r="42" customFormat="false" ht="15" hidden="false" customHeight="false" outlineLevel="0" collapsed="false">
      <c r="A42" s="80" t="s">
        <v>3289</v>
      </c>
      <c r="B42" s="80" t="s">
        <v>3291</v>
      </c>
      <c r="C42" s="80" t="s">
        <v>3292</v>
      </c>
    </row>
    <row r="43" customFormat="false" ht="15" hidden="false" customHeight="false" outlineLevel="0" collapsed="false">
      <c r="A43" s="80" t="s">
        <v>3289</v>
      </c>
      <c r="B43" s="80" t="s">
        <v>246</v>
      </c>
      <c r="C43" s="80" t="s">
        <v>3293</v>
      </c>
    </row>
    <row r="44" customFormat="false" ht="15" hidden="false" customHeight="false" outlineLevel="0" collapsed="false">
      <c r="A44" s="80" t="s">
        <v>3289</v>
      </c>
      <c r="B44" s="80" t="s">
        <v>3294</v>
      </c>
      <c r="C44" s="80" t="s">
        <v>3295</v>
      </c>
    </row>
    <row r="45" customFormat="false" ht="24" hidden="false" customHeight="true" outlineLevel="0" collapsed="false">
      <c r="A45" s="80" t="s">
        <v>3296</v>
      </c>
      <c r="B45" s="80" t="s">
        <v>3297</v>
      </c>
      <c r="C45" s="80" t="s">
        <v>3298</v>
      </c>
    </row>
    <row r="46" customFormat="false" ht="15" hidden="false" customHeight="false" outlineLevel="0" collapsed="false">
      <c r="A46" s="80" t="s">
        <v>3299</v>
      </c>
      <c r="B46" s="80" t="s">
        <v>3300</v>
      </c>
      <c r="C46" s="80" t="s">
        <v>3301</v>
      </c>
    </row>
    <row r="47" customFormat="false" ht="15" hidden="false" customHeight="false" outlineLevel="0" collapsed="false">
      <c r="A47" s="80" t="s">
        <v>3302</v>
      </c>
      <c r="B47" s="80" t="s">
        <v>3303</v>
      </c>
      <c r="C47" s="80" t="s">
        <v>3304</v>
      </c>
    </row>
    <row r="48" customFormat="false" ht="15" hidden="false" customHeight="false" outlineLevel="0" collapsed="false">
      <c r="A48" s="80" t="s">
        <v>3305</v>
      </c>
      <c r="B48" s="80" t="s">
        <v>3306</v>
      </c>
      <c r="C48" s="80" t="s">
        <v>3307</v>
      </c>
    </row>
    <row r="49" customFormat="false" ht="15" hidden="false" customHeight="false" outlineLevel="0" collapsed="false">
      <c r="A49" s="80" t="s">
        <v>3308</v>
      </c>
      <c r="B49" s="80" t="s">
        <v>3309</v>
      </c>
      <c r="C49" s="80" t="s">
        <v>3310</v>
      </c>
    </row>
    <row r="50" customFormat="false" ht="15" hidden="false" customHeight="false" outlineLevel="0" collapsed="false">
      <c r="A50" s="80" t="s">
        <v>3311</v>
      </c>
      <c r="B50" s="80" t="s">
        <v>3312</v>
      </c>
      <c r="C50" s="80" t="s">
        <v>3313</v>
      </c>
    </row>
    <row r="51" customFormat="false" ht="15" hidden="false" customHeight="false" outlineLevel="0" collapsed="false">
      <c r="A51" s="80" t="s">
        <v>3311</v>
      </c>
      <c r="B51" s="80" t="s">
        <v>3314</v>
      </c>
      <c r="C51" s="80" t="s">
        <v>3315</v>
      </c>
    </row>
    <row r="52" customFormat="false" ht="15" hidden="false" customHeight="false" outlineLevel="0" collapsed="false">
      <c r="A52" s="80" t="s">
        <v>3311</v>
      </c>
      <c r="B52" s="80" t="s">
        <v>3316</v>
      </c>
      <c r="C52" s="80" t="s">
        <v>3317</v>
      </c>
    </row>
    <row r="53" customFormat="false" ht="15" hidden="false" customHeight="false" outlineLevel="0" collapsed="false">
      <c r="A53" s="80" t="s">
        <v>3311</v>
      </c>
      <c r="B53" s="80" t="s">
        <v>3318</v>
      </c>
      <c r="C53" s="80" t="s">
        <v>3315</v>
      </c>
    </row>
    <row r="54" customFormat="false" ht="15" hidden="false" customHeight="false" outlineLevel="0" collapsed="false">
      <c r="A54" s="80" t="s">
        <v>3311</v>
      </c>
      <c r="B54" s="80" t="s">
        <v>3319</v>
      </c>
      <c r="C54" s="80" t="s">
        <v>3317</v>
      </c>
    </row>
    <row r="55" customFormat="false" ht="15" hidden="false" customHeight="false" outlineLevel="0" collapsed="false">
      <c r="A55" s="80" t="s">
        <v>3311</v>
      </c>
      <c r="B55" s="80" t="s">
        <v>3320</v>
      </c>
      <c r="C55" s="80" t="s">
        <v>3321</v>
      </c>
    </row>
    <row r="56" customFormat="false" ht="15" hidden="false" customHeight="false" outlineLevel="0" collapsed="false">
      <c r="A56" s="80" t="s">
        <v>3311</v>
      </c>
      <c r="B56" s="80" t="s">
        <v>3322</v>
      </c>
      <c r="C56" s="80" t="s">
        <v>3323</v>
      </c>
    </row>
    <row r="57" customFormat="false" ht="15" hidden="false" customHeight="false" outlineLevel="0" collapsed="false">
      <c r="A57" s="80" t="s">
        <v>3311</v>
      </c>
      <c r="B57" s="80" t="s">
        <v>3324</v>
      </c>
      <c r="C57" s="80" t="s">
        <v>3325</v>
      </c>
    </row>
    <row r="58" customFormat="false" ht="15" hidden="false" customHeight="false" outlineLevel="0" collapsed="false">
      <c r="A58" s="80" t="s">
        <v>3311</v>
      </c>
      <c r="B58" s="80" t="s">
        <v>3326</v>
      </c>
      <c r="C58" s="80" t="s">
        <v>3325</v>
      </c>
    </row>
    <row r="59" customFormat="false" ht="15" hidden="false" customHeight="false" outlineLevel="0" collapsed="false">
      <c r="A59" s="80" t="s">
        <v>3311</v>
      </c>
      <c r="B59" s="80" t="s">
        <v>3327</v>
      </c>
      <c r="C59" s="80" t="s">
        <v>3325</v>
      </c>
    </row>
    <row r="60" customFormat="false" ht="15" hidden="false" customHeight="false" outlineLevel="0" collapsed="false">
      <c r="A60" s="80" t="s">
        <v>3311</v>
      </c>
      <c r="B60" s="80" t="s">
        <v>3328</v>
      </c>
      <c r="C60" s="80" t="s">
        <v>3325</v>
      </c>
    </row>
    <row r="61" customFormat="false" ht="15" hidden="false" customHeight="false" outlineLevel="0" collapsed="false">
      <c r="A61" s="80" t="s">
        <v>3311</v>
      </c>
      <c r="B61" s="80" t="s">
        <v>3329</v>
      </c>
      <c r="C61" s="80" t="s">
        <v>3325</v>
      </c>
    </row>
    <row r="62" customFormat="false" ht="15" hidden="false" customHeight="false" outlineLevel="0" collapsed="false">
      <c r="A62" s="80" t="s">
        <v>3311</v>
      </c>
      <c r="B62" s="80" t="s">
        <v>3330</v>
      </c>
      <c r="C62" s="80" t="s">
        <v>3325</v>
      </c>
    </row>
    <row r="63" customFormat="false" ht="15" hidden="false" customHeight="false" outlineLevel="0" collapsed="false">
      <c r="A63" s="80" t="s">
        <v>3311</v>
      </c>
      <c r="B63" s="80" t="s">
        <v>3331</v>
      </c>
      <c r="C63" s="80" t="s">
        <v>3325</v>
      </c>
    </row>
    <row r="64" customFormat="false" ht="15" hidden="false" customHeight="false" outlineLevel="0" collapsed="false">
      <c r="A64" s="80" t="s">
        <v>3311</v>
      </c>
      <c r="B64" s="80" t="s">
        <v>3332</v>
      </c>
      <c r="C64" s="80" t="s">
        <v>3325</v>
      </c>
    </row>
    <row r="65" customFormat="false" ht="15" hidden="false" customHeight="false" outlineLevel="0" collapsed="false">
      <c r="A65" s="80" t="s">
        <v>3311</v>
      </c>
      <c r="B65" s="80" t="s">
        <v>3333</v>
      </c>
      <c r="C65" s="80" t="s">
        <v>3325</v>
      </c>
    </row>
    <row r="66" customFormat="false" ht="15" hidden="false" customHeight="false" outlineLevel="0" collapsed="false">
      <c r="A66" s="80" t="s">
        <v>3311</v>
      </c>
      <c r="B66" s="80" t="s">
        <v>3334</v>
      </c>
      <c r="C66" s="80" t="s">
        <v>3325</v>
      </c>
    </row>
    <row r="67" customFormat="false" ht="15" hidden="false" customHeight="false" outlineLevel="0" collapsed="false">
      <c r="A67" s="80" t="s">
        <v>3311</v>
      </c>
      <c r="B67" s="80" t="s">
        <v>3335</v>
      </c>
      <c r="C67" s="80" t="s">
        <v>3325</v>
      </c>
    </row>
    <row r="68" customFormat="false" ht="15" hidden="false" customHeight="false" outlineLevel="0" collapsed="false">
      <c r="A68" s="80" t="s">
        <v>3311</v>
      </c>
      <c r="B68" s="80" t="s">
        <v>3336</v>
      </c>
      <c r="C68" s="80" t="s">
        <v>3337</v>
      </c>
    </row>
    <row r="69" customFormat="false" ht="15" hidden="false" customHeight="false" outlineLevel="0" collapsed="false">
      <c r="A69" s="80" t="s">
        <v>3311</v>
      </c>
      <c r="B69" s="80" t="s">
        <v>3338</v>
      </c>
      <c r="C69" s="80" t="s">
        <v>3325</v>
      </c>
    </row>
    <row r="70" customFormat="false" ht="15" hidden="false" customHeight="false" outlineLevel="0" collapsed="false">
      <c r="A70" s="80" t="s">
        <v>3311</v>
      </c>
      <c r="B70" s="80" t="s">
        <v>3339</v>
      </c>
      <c r="C70" s="80" t="s">
        <v>3325</v>
      </c>
    </row>
    <row r="71" customFormat="false" ht="15" hidden="false" customHeight="false" outlineLevel="0" collapsed="false">
      <c r="A71" s="80" t="s">
        <v>3311</v>
      </c>
      <c r="B71" s="80" t="s">
        <v>3340</v>
      </c>
      <c r="C71" s="80" t="s">
        <v>3325</v>
      </c>
    </row>
    <row r="72" customFormat="false" ht="15" hidden="false" customHeight="false" outlineLevel="0" collapsed="false">
      <c r="A72" s="80" t="s">
        <v>3311</v>
      </c>
      <c r="B72" s="80" t="s">
        <v>3341</v>
      </c>
      <c r="C72" s="80" t="s">
        <v>3325</v>
      </c>
    </row>
    <row r="73" customFormat="false" ht="15" hidden="false" customHeight="false" outlineLevel="0" collapsed="false">
      <c r="A73" s="80" t="s">
        <v>3311</v>
      </c>
      <c r="B73" s="80" t="s">
        <v>3342</v>
      </c>
      <c r="C73" s="80" t="s">
        <v>3325</v>
      </c>
    </row>
    <row r="74" customFormat="false" ht="15" hidden="false" customHeight="false" outlineLevel="0" collapsed="false">
      <c r="A74" s="80" t="s">
        <v>3311</v>
      </c>
      <c r="B74" s="80" t="s">
        <v>3343</v>
      </c>
      <c r="C74" s="80" t="s">
        <v>3325</v>
      </c>
    </row>
    <row r="75" customFormat="false" ht="15" hidden="false" customHeight="false" outlineLevel="0" collapsed="false">
      <c r="A75" s="80" t="s">
        <v>3311</v>
      </c>
      <c r="B75" s="80" t="s">
        <v>3344</v>
      </c>
      <c r="C75" s="80" t="s">
        <v>3325</v>
      </c>
    </row>
    <row r="76" customFormat="false" ht="15" hidden="false" customHeight="false" outlineLevel="0" collapsed="false">
      <c r="A76" s="80" t="s">
        <v>3311</v>
      </c>
      <c r="B76" s="80" t="s">
        <v>3345</v>
      </c>
      <c r="C76" s="80" t="s">
        <v>3346</v>
      </c>
    </row>
    <row r="77" customFormat="false" ht="15" hidden="false" customHeight="false" outlineLevel="0" collapsed="false">
      <c r="A77" s="80" t="s">
        <v>3311</v>
      </c>
      <c r="B77" s="80" t="s">
        <v>3347</v>
      </c>
      <c r="C77" s="80" t="s">
        <v>3325</v>
      </c>
    </row>
    <row r="78" customFormat="false" ht="15" hidden="false" customHeight="false" outlineLevel="0" collapsed="false">
      <c r="A78" s="80" t="s">
        <v>3311</v>
      </c>
      <c r="B78" s="80" t="s">
        <v>3348</v>
      </c>
      <c r="C78" s="80" t="s">
        <v>3325</v>
      </c>
    </row>
    <row r="79" customFormat="false" ht="15" hidden="false" customHeight="false" outlineLevel="0" collapsed="false">
      <c r="A79" s="80" t="s">
        <v>3311</v>
      </c>
      <c r="B79" s="80" t="s">
        <v>3349</v>
      </c>
      <c r="C79" s="80" t="s">
        <v>3315</v>
      </c>
    </row>
    <row r="80" customFormat="false" ht="15" hidden="false" customHeight="false" outlineLevel="0" collapsed="false">
      <c r="A80" s="80" t="s">
        <v>3311</v>
      </c>
      <c r="B80" s="80" t="s">
        <v>3350</v>
      </c>
      <c r="C80" s="80" t="s">
        <v>3325</v>
      </c>
    </row>
    <row r="81" customFormat="false" ht="15" hidden="false" customHeight="false" outlineLevel="0" collapsed="false">
      <c r="A81" s="80" t="s">
        <v>3311</v>
      </c>
      <c r="B81" s="80" t="s">
        <v>3351</v>
      </c>
      <c r="C81" s="80" t="s">
        <v>3325</v>
      </c>
    </row>
    <row r="82" customFormat="false" ht="15" hidden="false" customHeight="false" outlineLevel="0" collapsed="false">
      <c r="A82" s="80" t="s">
        <v>3311</v>
      </c>
      <c r="B82" s="80" t="s">
        <v>3352</v>
      </c>
      <c r="C82" s="80" t="s">
        <v>3325</v>
      </c>
    </row>
    <row r="83" customFormat="false" ht="15" hidden="false" customHeight="false" outlineLevel="0" collapsed="false">
      <c r="A83" s="80" t="s">
        <v>3311</v>
      </c>
      <c r="B83" s="80" t="s">
        <v>3353</v>
      </c>
      <c r="C83" s="80" t="s">
        <v>3325</v>
      </c>
    </row>
    <row r="84" customFormat="false" ht="15" hidden="false" customHeight="false" outlineLevel="0" collapsed="false">
      <c r="A84" s="80" t="s">
        <v>3311</v>
      </c>
      <c r="B84" s="80" t="s">
        <v>3354</v>
      </c>
      <c r="C84" s="80" t="s">
        <v>3325</v>
      </c>
    </row>
    <row r="85" customFormat="false" ht="15" hidden="false" customHeight="false" outlineLevel="0" collapsed="false">
      <c r="A85" s="80" t="s">
        <v>3311</v>
      </c>
      <c r="B85" s="80" t="s">
        <v>3355</v>
      </c>
      <c r="C85" s="80" t="s">
        <v>3325</v>
      </c>
    </row>
    <row r="86" customFormat="false" ht="15" hidden="false" customHeight="false" outlineLevel="0" collapsed="false">
      <c r="A86" s="80" t="s">
        <v>3311</v>
      </c>
      <c r="B86" s="80" t="s">
        <v>3356</v>
      </c>
      <c r="C86" s="80" t="s">
        <v>3357</v>
      </c>
    </row>
    <row r="87" customFormat="false" ht="15" hidden="false" customHeight="false" outlineLevel="0" collapsed="false">
      <c r="A87" s="80" t="s">
        <v>3311</v>
      </c>
      <c r="B87" s="80" t="s">
        <v>3358</v>
      </c>
      <c r="C87" s="80" t="s">
        <v>3359</v>
      </c>
    </row>
    <row r="88" customFormat="false" ht="15" hidden="false" customHeight="false" outlineLevel="0" collapsed="false">
      <c r="A88" s="80" t="s">
        <v>3311</v>
      </c>
      <c r="B88" s="80" t="s">
        <v>3360</v>
      </c>
      <c r="C88" s="80" t="s">
        <v>3346</v>
      </c>
    </row>
    <row r="89" customFormat="false" ht="15" hidden="false" customHeight="false" outlineLevel="0" collapsed="false">
      <c r="A89" s="80" t="s">
        <v>3311</v>
      </c>
      <c r="B89" s="80" t="s">
        <v>3361</v>
      </c>
      <c r="C89" s="80" t="s">
        <v>3317</v>
      </c>
    </row>
    <row r="90" customFormat="false" ht="15" hidden="false" customHeight="false" outlineLevel="0" collapsed="false">
      <c r="A90" s="80" t="s">
        <v>3311</v>
      </c>
      <c r="B90" s="80" t="s">
        <v>3362</v>
      </c>
      <c r="C90" s="80" t="s">
        <v>3346</v>
      </c>
    </row>
    <row r="91" customFormat="false" ht="15" hidden="false" customHeight="false" outlineLevel="0" collapsed="false">
      <c r="A91" s="80" t="s">
        <v>3311</v>
      </c>
      <c r="B91" s="80" t="s">
        <v>3363</v>
      </c>
      <c r="C91" s="80" t="s">
        <v>3317</v>
      </c>
    </row>
    <row r="92" customFormat="false" ht="15" hidden="false" customHeight="false" outlineLevel="0" collapsed="false">
      <c r="A92" s="80" t="s">
        <v>3311</v>
      </c>
      <c r="B92" s="80" t="s">
        <v>3364</v>
      </c>
      <c r="C92" s="80" t="s">
        <v>3365</v>
      </c>
    </row>
    <row r="93" customFormat="false" ht="15" hidden="false" customHeight="false" outlineLevel="0" collapsed="false">
      <c r="A93" s="80" t="s">
        <v>3311</v>
      </c>
      <c r="B93" s="80" t="s">
        <v>3366</v>
      </c>
      <c r="C93" s="80" t="s">
        <v>3317</v>
      </c>
    </row>
    <row r="94" customFormat="false" ht="15" hidden="false" customHeight="false" outlineLevel="0" collapsed="false">
      <c r="A94" s="80" t="s">
        <v>3311</v>
      </c>
      <c r="B94" s="80" t="s">
        <v>3367</v>
      </c>
      <c r="C94" s="80" t="s">
        <v>3346</v>
      </c>
    </row>
    <row r="95" customFormat="false" ht="15" hidden="false" customHeight="false" outlineLevel="0" collapsed="false">
      <c r="A95" s="80" t="s">
        <v>3311</v>
      </c>
      <c r="B95" s="80" t="s">
        <v>3368</v>
      </c>
      <c r="C95" s="80" t="s">
        <v>3317</v>
      </c>
    </row>
    <row r="96" customFormat="false" ht="15" hidden="false" customHeight="false" outlineLevel="0" collapsed="false">
      <c r="A96" s="80" t="s">
        <v>3311</v>
      </c>
      <c r="B96" s="80" t="s">
        <v>3369</v>
      </c>
      <c r="C96" s="80" t="s">
        <v>3357</v>
      </c>
    </row>
    <row r="97" customFormat="false" ht="15" hidden="false" customHeight="false" outlineLevel="0" collapsed="false">
      <c r="A97" s="80" t="s">
        <v>3311</v>
      </c>
      <c r="B97" s="80" t="s">
        <v>3370</v>
      </c>
      <c r="C97" s="80" t="s">
        <v>3359</v>
      </c>
    </row>
    <row r="98" customFormat="false" ht="15" hidden="false" customHeight="false" outlineLevel="0" collapsed="false">
      <c r="A98" s="80" t="s">
        <v>3311</v>
      </c>
      <c r="B98" s="80" t="s">
        <v>3371</v>
      </c>
      <c r="C98" s="80" t="s">
        <v>3346</v>
      </c>
    </row>
    <row r="99" customFormat="false" ht="15" hidden="false" customHeight="false" outlineLevel="0" collapsed="false">
      <c r="A99" s="80" t="s">
        <v>3311</v>
      </c>
      <c r="B99" s="80" t="s">
        <v>3372</v>
      </c>
      <c r="C99" s="80" t="s">
        <v>3317</v>
      </c>
    </row>
    <row r="100" customFormat="false" ht="15" hidden="false" customHeight="false" outlineLevel="0" collapsed="false">
      <c r="A100" s="80" t="s">
        <v>3311</v>
      </c>
      <c r="B100" s="80" t="s">
        <v>3373</v>
      </c>
      <c r="C100" s="80" t="s">
        <v>3346</v>
      </c>
    </row>
    <row r="101" customFormat="false" ht="15" hidden="false" customHeight="false" outlineLevel="0" collapsed="false">
      <c r="A101" s="80" t="s">
        <v>3311</v>
      </c>
      <c r="B101" s="80" t="s">
        <v>3374</v>
      </c>
      <c r="C101" s="80" t="s">
        <v>3317</v>
      </c>
    </row>
    <row r="102" customFormat="false" ht="15" hidden="false" customHeight="false" outlineLevel="0" collapsed="false">
      <c r="A102" s="80" t="s">
        <v>3311</v>
      </c>
      <c r="B102" s="80" t="s">
        <v>3375</v>
      </c>
      <c r="C102" s="80" t="s">
        <v>3365</v>
      </c>
    </row>
    <row r="103" customFormat="false" ht="15" hidden="false" customHeight="false" outlineLevel="0" collapsed="false">
      <c r="A103" s="80" t="s">
        <v>3311</v>
      </c>
      <c r="B103" s="80" t="s">
        <v>3376</v>
      </c>
      <c r="C103" s="80" t="s">
        <v>3317</v>
      </c>
    </row>
    <row r="104" customFormat="false" ht="15" hidden="false" customHeight="false" outlineLevel="0" collapsed="false">
      <c r="A104" s="80" t="s">
        <v>3311</v>
      </c>
      <c r="B104" s="80" t="s">
        <v>3377</v>
      </c>
      <c r="C104" s="80" t="s">
        <v>3346</v>
      </c>
    </row>
    <row r="105" customFormat="false" ht="15" hidden="false" customHeight="false" outlineLevel="0" collapsed="false">
      <c r="A105" s="80" t="s">
        <v>3311</v>
      </c>
      <c r="B105" s="80" t="s">
        <v>3378</v>
      </c>
      <c r="C105" s="80" t="s">
        <v>3317</v>
      </c>
    </row>
    <row r="106" customFormat="false" ht="15" hidden="false" customHeight="false" outlineLevel="0" collapsed="false">
      <c r="A106" s="80" t="s">
        <v>3311</v>
      </c>
      <c r="B106" s="80" t="s">
        <v>3379</v>
      </c>
      <c r="C106" s="80" t="s">
        <v>3380</v>
      </c>
    </row>
    <row r="107" customFormat="false" ht="15" hidden="false" customHeight="false" outlineLevel="0" collapsed="false">
      <c r="A107" s="80" t="s">
        <v>3311</v>
      </c>
      <c r="B107" s="80" t="s">
        <v>3381</v>
      </c>
      <c r="C107" s="80" t="s">
        <v>3380</v>
      </c>
    </row>
    <row r="108" customFormat="false" ht="15" hidden="false" customHeight="false" outlineLevel="0" collapsed="false">
      <c r="A108" s="80" t="s">
        <v>3311</v>
      </c>
      <c r="B108" s="80" t="s">
        <v>3382</v>
      </c>
      <c r="C108" s="80" t="s">
        <v>3383</v>
      </c>
    </row>
    <row r="109" customFormat="false" ht="15" hidden="false" customHeight="false" outlineLevel="0" collapsed="false">
      <c r="A109" s="80" t="s">
        <v>3311</v>
      </c>
      <c r="B109" s="80" t="s">
        <v>3384</v>
      </c>
      <c r="C109" s="80" t="s">
        <v>3315</v>
      </c>
    </row>
    <row r="110" customFormat="false" ht="15" hidden="false" customHeight="false" outlineLevel="0" collapsed="false">
      <c r="A110" s="80" t="s">
        <v>3311</v>
      </c>
      <c r="B110" s="80" t="s">
        <v>3385</v>
      </c>
      <c r="C110" s="80" t="s">
        <v>3380</v>
      </c>
    </row>
    <row r="111" customFormat="false" ht="15" hidden="false" customHeight="false" outlineLevel="0" collapsed="false">
      <c r="A111" s="80" t="s">
        <v>3311</v>
      </c>
      <c r="B111" s="80" t="s">
        <v>3386</v>
      </c>
      <c r="C111" s="80" t="s">
        <v>3383</v>
      </c>
    </row>
    <row r="112" customFormat="false" ht="15" hidden="false" customHeight="false" outlineLevel="0" collapsed="false">
      <c r="A112" s="80" t="s">
        <v>3311</v>
      </c>
      <c r="B112" s="80" t="s">
        <v>3387</v>
      </c>
      <c r="C112" s="80" t="s">
        <v>3388</v>
      </c>
    </row>
    <row r="113" customFormat="false" ht="15" hidden="false" customHeight="false" outlineLevel="0" collapsed="false">
      <c r="A113" s="80" t="s">
        <v>3311</v>
      </c>
      <c r="B113" s="80" t="s">
        <v>3389</v>
      </c>
      <c r="C113" s="80" t="s">
        <v>3388</v>
      </c>
    </row>
    <row r="114" customFormat="false" ht="15" hidden="false" customHeight="false" outlineLevel="0" collapsed="false">
      <c r="A114" s="80" t="s">
        <v>3311</v>
      </c>
      <c r="B114" s="80" t="s">
        <v>3390</v>
      </c>
      <c r="C114" s="80" t="s">
        <v>3391</v>
      </c>
    </row>
    <row r="115" customFormat="false" ht="15" hidden="false" customHeight="false" outlineLevel="0" collapsed="false">
      <c r="A115" s="80" t="s">
        <v>3311</v>
      </c>
      <c r="B115" s="80" t="s">
        <v>3392</v>
      </c>
      <c r="C115" s="80" t="s">
        <v>3380</v>
      </c>
    </row>
    <row r="116" customFormat="false" ht="15" hidden="false" customHeight="false" outlineLevel="0" collapsed="false">
      <c r="A116" s="80" t="s">
        <v>3311</v>
      </c>
      <c r="B116" s="80" t="s">
        <v>3393</v>
      </c>
      <c r="C116" s="80" t="s">
        <v>3380</v>
      </c>
    </row>
    <row r="117" customFormat="false" ht="15" hidden="false" customHeight="false" outlineLevel="0" collapsed="false">
      <c r="A117" s="80" t="s">
        <v>3311</v>
      </c>
      <c r="B117" s="80" t="s">
        <v>3394</v>
      </c>
      <c r="C117" s="80" t="s">
        <v>3380</v>
      </c>
    </row>
    <row r="118" customFormat="false" ht="15" hidden="false" customHeight="false" outlineLevel="0" collapsed="false">
      <c r="A118" s="80" t="s">
        <v>3311</v>
      </c>
      <c r="B118" s="80" t="s">
        <v>3395</v>
      </c>
      <c r="C118" s="80" t="s">
        <v>3380</v>
      </c>
    </row>
    <row r="119" customFormat="false" ht="15" hidden="false" customHeight="false" outlineLevel="0" collapsed="false">
      <c r="A119" s="80" t="s">
        <v>3311</v>
      </c>
      <c r="B119" s="80" t="s">
        <v>3396</v>
      </c>
      <c r="C119" s="80" t="s">
        <v>3380</v>
      </c>
    </row>
    <row r="120" customFormat="false" ht="15" hidden="false" customHeight="false" outlineLevel="0" collapsed="false">
      <c r="A120" s="80" t="s">
        <v>3311</v>
      </c>
      <c r="B120" s="80" t="s">
        <v>3397</v>
      </c>
      <c r="C120" s="80" t="s">
        <v>3337</v>
      </c>
    </row>
    <row r="121" customFormat="false" ht="15" hidden="false" customHeight="false" outlineLevel="0" collapsed="false">
      <c r="A121" s="80" t="s">
        <v>3311</v>
      </c>
      <c r="B121" s="80" t="s">
        <v>3398</v>
      </c>
      <c r="C121" s="80" t="s">
        <v>3325</v>
      </c>
    </row>
    <row r="122" customFormat="false" ht="15" hidden="false" customHeight="false" outlineLevel="0" collapsed="false">
      <c r="A122" s="80" t="s">
        <v>3311</v>
      </c>
      <c r="B122" s="80" t="s">
        <v>3399</v>
      </c>
      <c r="C122" s="80" t="s">
        <v>3317</v>
      </c>
    </row>
    <row r="123" customFormat="false" ht="15" hidden="false" customHeight="false" outlineLevel="0" collapsed="false">
      <c r="A123" s="80" t="s">
        <v>3311</v>
      </c>
      <c r="B123" s="80" t="s">
        <v>3400</v>
      </c>
      <c r="C123" s="80" t="s">
        <v>3401</v>
      </c>
    </row>
    <row r="124" customFormat="false" ht="15" hidden="false" customHeight="false" outlineLevel="0" collapsed="false">
      <c r="A124" s="80" t="s">
        <v>3311</v>
      </c>
      <c r="B124" s="80" t="s">
        <v>3402</v>
      </c>
      <c r="C124" s="80" t="s">
        <v>3325</v>
      </c>
    </row>
    <row r="125" customFormat="false" ht="15" hidden="false" customHeight="false" outlineLevel="0" collapsed="false">
      <c r="A125" s="80" t="s">
        <v>3311</v>
      </c>
      <c r="B125" s="80" t="s">
        <v>3403</v>
      </c>
      <c r="C125" s="80" t="s">
        <v>3317</v>
      </c>
    </row>
    <row r="126" customFormat="false" ht="15" hidden="false" customHeight="false" outlineLevel="0" collapsed="false">
      <c r="A126" s="80" t="s">
        <v>3311</v>
      </c>
      <c r="B126" s="80" t="s">
        <v>3404</v>
      </c>
      <c r="C126" s="80" t="s">
        <v>3380</v>
      </c>
    </row>
    <row r="127" customFormat="false" ht="15" hidden="false" customHeight="false" outlineLevel="0" collapsed="false">
      <c r="A127" s="80" t="s">
        <v>3311</v>
      </c>
      <c r="B127" s="80" t="s">
        <v>3405</v>
      </c>
      <c r="C127" s="80" t="s">
        <v>3346</v>
      </c>
    </row>
    <row r="128" customFormat="false" ht="15" hidden="false" customHeight="false" outlineLevel="0" collapsed="false">
      <c r="A128" s="80" t="s">
        <v>3311</v>
      </c>
      <c r="B128" s="80" t="s">
        <v>3406</v>
      </c>
      <c r="C128" s="80" t="s">
        <v>3317</v>
      </c>
    </row>
    <row r="129" customFormat="false" ht="15" hidden="false" customHeight="false" outlineLevel="0" collapsed="false">
      <c r="A129" s="80" t="s">
        <v>3311</v>
      </c>
      <c r="B129" s="80" t="s">
        <v>3407</v>
      </c>
      <c r="C129" s="80" t="s">
        <v>3383</v>
      </c>
    </row>
    <row r="130" customFormat="false" ht="15" hidden="false" customHeight="false" outlineLevel="0" collapsed="false">
      <c r="A130" s="80" t="s">
        <v>3311</v>
      </c>
      <c r="B130" s="80" t="s">
        <v>3408</v>
      </c>
      <c r="C130" s="80" t="s">
        <v>3346</v>
      </c>
    </row>
    <row r="131" customFormat="false" ht="15" hidden="false" customHeight="false" outlineLevel="0" collapsed="false">
      <c r="A131" s="80" t="s">
        <v>3311</v>
      </c>
      <c r="B131" s="80" t="s">
        <v>3409</v>
      </c>
      <c r="C131" s="80" t="s">
        <v>3317</v>
      </c>
    </row>
    <row r="132" customFormat="false" ht="15" hidden="false" customHeight="false" outlineLevel="0" collapsed="false">
      <c r="A132" s="80" t="s">
        <v>3311</v>
      </c>
      <c r="B132" s="80" t="s">
        <v>3410</v>
      </c>
      <c r="C132" s="80" t="s">
        <v>3365</v>
      </c>
    </row>
    <row r="133" customFormat="false" ht="15" hidden="false" customHeight="false" outlineLevel="0" collapsed="false">
      <c r="A133" s="80" t="s">
        <v>3311</v>
      </c>
      <c r="B133" s="80" t="s">
        <v>3411</v>
      </c>
      <c r="C133" s="80" t="s">
        <v>3315</v>
      </c>
    </row>
    <row r="134" customFormat="false" ht="15" hidden="false" customHeight="false" outlineLevel="0" collapsed="false">
      <c r="A134" s="80" t="s">
        <v>3311</v>
      </c>
      <c r="B134" s="80" t="s">
        <v>3412</v>
      </c>
      <c r="C134" s="80" t="s">
        <v>3380</v>
      </c>
    </row>
    <row r="135" customFormat="false" ht="15" hidden="false" customHeight="false" outlineLevel="0" collapsed="false">
      <c r="A135" s="80" t="s">
        <v>3311</v>
      </c>
      <c r="B135" s="80" t="s">
        <v>3413</v>
      </c>
      <c r="C135" s="80" t="s">
        <v>3380</v>
      </c>
    </row>
    <row r="136" customFormat="false" ht="15" hidden="false" customHeight="false" outlineLevel="0" collapsed="false">
      <c r="A136" s="80" t="s">
        <v>3311</v>
      </c>
      <c r="B136" s="80" t="s">
        <v>3414</v>
      </c>
      <c r="C136" s="80" t="s">
        <v>3337</v>
      </c>
    </row>
    <row r="137" customFormat="false" ht="15" hidden="false" customHeight="false" outlineLevel="0" collapsed="false">
      <c r="A137" s="80" t="s">
        <v>3311</v>
      </c>
      <c r="B137" s="80" t="s">
        <v>3415</v>
      </c>
      <c r="C137" s="80" t="s">
        <v>3325</v>
      </c>
    </row>
    <row r="138" customFormat="false" ht="15" hidden="false" customHeight="false" outlineLevel="0" collapsed="false">
      <c r="A138" s="80" t="s">
        <v>3311</v>
      </c>
      <c r="B138" s="80" t="s">
        <v>3416</v>
      </c>
      <c r="C138" s="80" t="s">
        <v>3317</v>
      </c>
    </row>
    <row r="139" customFormat="false" ht="15" hidden="false" customHeight="false" outlineLevel="0" collapsed="false">
      <c r="A139" s="80" t="s">
        <v>3311</v>
      </c>
      <c r="B139" s="80" t="s">
        <v>3417</v>
      </c>
      <c r="C139" s="80" t="s">
        <v>3337</v>
      </c>
    </row>
    <row r="140" customFormat="false" ht="15" hidden="false" customHeight="false" outlineLevel="0" collapsed="false">
      <c r="A140" s="80" t="s">
        <v>3311</v>
      </c>
      <c r="B140" s="80" t="s">
        <v>3418</v>
      </c>
      <c r="C140" s="80" t="s">
        <v>3325</v>
      </c>
    </row>
    <row r="141" customFormat="false" ht="15" hidden="false" customHeight="false" outlineLevel="0" collapsed="false">
      <c r="A141" s="80" t="s">
        <v>3311</v>
      </c>
      <c r="B141" s="80" t="s">
        <v>3419</v>
      </c>
      <c r="C141" s="80" t="s">
        <v>3317</v>
      </c>
    </row>
    <row r="142" customFormat="false" ht="15" hidden="false" customHeight="false" outlineLevel="0" collapsed="false">
      <c r="A142" s="80" t="s">
        <v>3311</v>
      </c>
      <c r="B142" s="80" t="s">
        <v>3420</v>
      </c>
      <c r="C142" s="80" t="s">
        <v>3313</v>
      </c>
    </row>
    <row r="143" customFormat="false" ht="15" hidden="false" customHeight="false" outlineLevel="0" collapsed="false">
      <c r="A143" s="80" t="s">
        <v>3311</v>
      </c>
      <c r="B143" s="80" t="s">
        <v>3421</v>
      </c>
      <c r="C143" s="80" t="s">
        <v>3315</v>
      </c>
    </row>
    <row r="144" customFormat="false" ht="15" hidden="false" customHeight="false" outlineLevel="0" collapsed="false">
      <c r="A144" s="80" t="s">
        <v>3311</v>
      </c>
      <c r="B144" s="80" t="s">
        <v>3422</v>
      </c>
      <c r="C144" s="80" t="s">
        <v>3317</v>
      </c>
    </row>
    <row r="145" customFormat="false" ht="15" hidden="false" customHeight="false" outlineLevel="0" collapsed="false">
      <c r="A145" s="80" t="s">
        <v>3311</v>
      </c>
      <c r="B145" s="80" t="s">
        <v>3423</v>
      </c>
      <c r="C145" s="80" t="s">
        <v>3315</v>
      </c>
    </row>
    <row r="146" customFormat="false" ht="15" hidden="false" customHeight="false" outlineLevel="0" collapsed="false">
      <c r="A146" s="80" t="s">
        <v>3311</v>
      </c>
      <c r="B146" s="80" t="s">
        <v>3424</v>
      </c>
      <c r="C146" s="80" t="s">
        <v>3317</v>
      </c>
    </row>
    <row r="147" customFormat="false" ht="15" hidden="false" customHeight="false" outlineLevel="0" collapsed="false">
      <c r="A147" s="80" t="s">
        <v>3311</v>
      </c>
      <c r="B147" s="80" t="s">
        <v>3425</v>
      </c>
      <c r="C147" s="80" t="s">
        <v>3321</v>
      </c>
    </row>
    <row r="148" customFormat="false" ht="15" hidden="false" customHeight="false" outlineLevel="0" collapsed="false">
      <c r="A148" s="80" t="s">
        <v>3311</v>
      </c>
      <c r="B148" s="80" t="s">
        <v>3426</v>
      </c>
      <c r="C148" s="80" t="s">
        <v>3323</v>
      </c>
    </row>
    <row r="149" customFormat="false" ht="15" hidden="false" customHeight="false" outlineLevel="0" collapsed="false">
      <c r="A149" s="80" t="s">
        <v>3311</v>
      </c>
      <c r="B149" s="80" t="s">
        <v>3427</v>
      </c>
      <c r="C149" s="80" t="s">
        <v>3380</v>
      </c>
    </row>
    <row r="150" customFormat="false" ht="15" hidden="false" customHeight="false" outlineLevel="0" collapsed="false">
      <c r="A150" s="80" t="s">
        <v>3311</v>
      </c>
      <c r="B150" s="80" t="s">
        <v>3428</v>
      </c>
      <c r="C150" s="80" t="s">
        <v>3346</v>
      </c>
    </row>
    <row r="151" customFormat="false" ht="15" hidden="false" customHeight="false" outlineLevel="0" collapsed="false">
      <c r="A151" s="80" t="s">
        <v>3311</v>
      </c>
      <c r="B151" s="80" t="s">
        <v>3429</v>
      </c>
      <c r="C151" s="80" t="s">
        <v>3317</v>
      </c>
    </row>
    <row r="152" customFormat="false" ht="15" hidden="false" customHeight="false" outlineLevel="0" collapsed="false">
      <c r="A152" s="80" t="s">
        <v>3311</v>
      </c>
      <c r="B152" s="80" t="s">
        <v>3430</v>
      </c>
      <c r="C152" s="80" t="s">
        <v>3383</v>
      </c>
    </row>
    <row r="153" customFormat="false" ht="15" hidden="false" customHeight="false" outlineLevel="0" collapsed="false">
      <c r="A153" s="80" t="s">
        <v>3311</v>
      </c>
      <c r="B153" s="80" t="s">
        <v>3431</v>
      </c>
      <c r="C153" s="80" t="s">
        <v>3365</v>
      </c>
    </row>
    <row r="154" customFormat="false" ht="15" hidden="false" customHeight="false" outlineLevel="0" collapsed="false">
      <c r="A154" s="80" t="s">
        <v>3311</v>
      </c>
      <c r="B154" s="80" t="s">
        <v>3432</v>
      </c>
      <c r="C154" s="80" t="s">
        <v>3315</v>
      </c>
    </row>
    <row r="155" customFormat="false" ht="15" hidden="false" customHeight="false" outlineLevel="0" collapsed="false">
      <c r="A155" s="80" t="s">
        <v>3311</v>
      </c>
      <c r="B155" s="80" t="s">
        <v>3433</v>
      </c>
      <c r="C155" s="80" t="s">
        <v>3380</v>
      </c>
    </row>
    <row r="156" customFormat="false" ht="15" hidden="false" customHeight="false" outlineLevel="0" collapsed="false">
      <c r="A156" s="80" t="s">
        <v>3311</v>
      </c>
      <c r="B156" s="80" t="s">
        <v>3434</v>
      </c>
      <c r="C156" s="80" t="s">
        <v>3380</v>
      </c>
    </row>
    <row r="157" customFormat="false" ht="15" hidden="false" customHeight="false" outlineLevel="0" collapsed="false">
      <c r="A157" s="80" t="s">
        <v>3311</v>
      </c>
      <c r="B157" s="80" t="s">
        <v>3435</v>
      </c>
      <c r="C157" s="80" t="s">
        <v>3436</v>
      </c>
    </row>
    <row r="158" customFormat="false" ht="15" hidden="false" customHeight="false" outlineLevel="0" collapsed="false">
      <c r="A158" s="80" t="s">
        <v>3311</v>
      </c>
      <c r="B158" s="80" t="s">
        <v>3437</v>
      </c>
      <c r="C158" s="80" t="s">
        <v>3438</v>
      </c>
    </row>
    <row r="159" customFormat="false" ht="15" hidden="false" customHeight="false" outlineLevel="0" collapsed="false">
      <c r="A159" s="80" t="s">
        <v>3311</v>
      </c>
      <c r="B159" s="80" t="s">
        <v>3439</v>
      </c>
      <c r="C159" s="80" t="s">
        <v>3440</v>
      </c>
    </row>
    <row r="160" customFormat="false" ht="15" hidden="false" customHeight="false" outlineLevel="0" collapsed="false">
      <c r="A160" s="80" t="s">
        <v>3311</v>
      </c>
      <c r="B160" s="80" t="s">
        <v>3441</v>
      </c>
      <c r="C160" s="80" t="s">
        <v>3442</v>
      </c>
    </row>
    <row r="161" customFormat="false" ht="15" hidden="false" customHeight="false" outlineLevel="0" collapsed="false">
      <c r="A161" s="80" t="s">
        <v>3311</v>
      </c>
      <c r="B161" s="80" t="s">
        <v>3443</v>
      </c>
      <c r="C161" s="80" t="s">
        <v>3444</v>
      </c>
    </row>
    <row r="162" customFormat="false" ht="15" hidden="false" customHeight="false" outlineLevel="0" collapsed="false">
      <c r="A162" s="80" t="s">
        <v>3311</v>
      </c>
      <c r="B162" s="80" t="s">
        <v>3445</v>
      </c>
      <c r="C162" s="80" t="s">
        <v>3446</v>
      </c>
    </row>
    <row r="163" customFormat="false" ht="15" hidden="false" customHeight="false" outlineLevel="0" collapsed="false">
      <c r="A163" s="80" t="s">
        <v>3311</v>
      </c>
      <c r="B163" s="80" t="s">
        <v>3447</v>
      </c>
      <c r="C163" s="80" t="s">
        <v>3448</v>
      </c>
    </row>
    <row r="164" customFormat="false" ht="15" hidden="false" customHeight="false" outlineLevel="0" collapsed="false">
      <c r="A164" s="80" t="s">
        <v>3311</v>
      </c>
      <c r="B164" s="80" t="s">
        <v>3449</v>
      </c>
      <c r="C164" s="80" t="s">
        <v>3450</v>
      </c>
    </row>
    <row r="165" customFormat="false" ht="15" hidden="false" customHeight="false" outlineLevel="0" collapsed="false">
      <c r="A165" s="80" t="s">
        <v>3311</v>
      </c>
      <c r="B165" s="80" t="s">
        <v>3451</v>
      </c>
      <c r="C165" s="80" t="s">
        <v>3452</v>
      </c>
    </row>
    <row r="166" customFormat="false" ht="15" hidden="false" customHeight="false" outlineLevel="0" collapsed="false">
      <c r="A166" s="80" t="s">
        <v>3311</v>
      </c>
      <c r="B166" s="80" t="s">
        <v>3453</v>
      </c>
      <c r="C166" s="80" t="s">
        <v>3454</v>
      </c>
    </row>
    <row r="167" customFormat="false" ht="15" hidden="false" customHeight="false" outlineLevel="0" collapsed="false">
      <c r="A167" s="80" t="s">
        <v>3311</v>
      </c>
      <c r="B167" s="80" t="s">
        <v>3455</v>
      </c>
      <c r="C167" s="80" t="s">
        <v>3456</v>
      </c>
    </row>
    <row r="168" customFormat="false" ht="15" hidden="false" customHeight="false" outlineLevel="0" collapsed="false">
      <c r="A168" s="80" t="s">
        <v>3311</v>
      </c>
      <c r="B168" s="80" t="s">
        <v>3457</v>
      </c>
      <c r="C168" s="80" t="s">
        <v>3458</v>
      </c>
    </row>
    <row r="169" customFormat="false" ht="15" hidden="false" customHeight="false" outlineLevel="0" collapsed="false">
      <c r="A169" s="80" t="s">
        <v>3311</v>
      </c>
      <c r="B169" s="80" t="s">
        <v>3459</v>
      </c>
      <c r="C169" s="80" t="s">
        <v>3460</v>
      </c>
    </row>
    <row r="170" customFormat="false" ht="15" hidden="false" customHeight="false" outlineLevel="0" collapsed="false">
      <c r="A170" s="80" t="s">
        <v>3311</v>
      </c>
      <c r="B170" s="80" t="s">
        <v>3461</v>
      </c>
      <c r="C170" s="80" t="s">
        <v>3462</v>
      </c>
    </row>
    <row r="171" customFormat="false" ht="15" hidden="false" customHeight="false" outlineLevel="0" collapsed="false">
      <c r="A171" s="80" t="s">
        <v>3311</v>
      </c>
      <c r="B171" s="80" t="s">
        <v>3463</v>
      </c>
      <c r="C171" s="80" t="s">
        <v>3464</v>
      </c>
    </row>
    <row r="172" customFormat="false" ht="15" hidden="false" customHeight="false" outlineLevel="0" collapsed="false">
      <c r="A172" s="80" t="s">
        <v>3311</v>
      </c>
      <c r="B172" s="80" t="s">
        <v>3465</v>
      </c>
      <c r="C172" s="80" t="s">
        <v>3466</v>
      </c>
    </row>
    <row r="173" customFormat="false" ht="15" hidden="false" customHeight="false" outlineLevel="0" collapsed="false">
      <c r="A173" s="80" t="s">
        <v>3311</v>
      </c>
      <c r="B173" s="80" t="s">
        <v>3467</v>
      </c>
      <c r="C173" s="80" t="s">
        <v>3466</v>
      </c>
    </row>
    <row r="174" customFormat="false" ht="15" hidden="false" customHeight="false" outlineLevel="0" collapsed="false">
      <c r="A174" s="80" t="s">
        <v>3311</v>
      </c>
      <c r="B174" s="80" t="s">
        <v>3468</v>
      </c>
      <c r="C174" s="80" t="s">
        <v>3466</v>
      </c>
    </row>
    <row r="175" customFormat="false" ht="15" hidden="false" customHeight="false" outlineLevel="0" collapsed="false">
      <c r="A175" s="80" t="s">
        <v>3311</v>
      </c>
      <c r="B175" s="80" t="s">
        <v>3469</v>
      </c>
      <c r="C175" s="80" t="s">
        <v>3470</v>
      </c>
    </row>
    <row r="176" customFormat="false" ht="15" hidden="false" customHeight="false" outlineLevel="0" collapsed="false">
      <c r="A176" s="80" t="s">
        <v>3311</v>
      </c>
      <c r="B176" s="80" t="s">
        <v>3471</v>
      </c>
      <c r="C176" s="80" t="s">
        <v>3466</v>
      </c>
    </row>
    <row r="177" customFormat="false" ht="15" hidden="false" customHeight="false" outlineLevel="0" collapsed="false">
      <c r="A177" s="80" t="s">
        <v>3311</v>
      </c>
      <c r="B177" s="80" t="s">
        <v>3472</v>
      </c>
      <c r="C177" s="80" t="s">
        <v>3466</v>
      </c>
    </row>
    <row r="178" customFormat="false" ht="15" hidden="false" customHeight="false" outlineLevel="0" collapsed="false">
      <c r="A178" s="80" t="s">
        <v>3311</v>
      </c>
      <c r="B178" s="80" t="s">
        <v>3473</v>
      </c>
      <c r="C178" s="80" t="s">
        <v>3466</v>
      </c>
    </row>
    <row r="179" customFormat="false" ht="15" hidden="false" customHeight="false" outlineLevel="0" collapsed="false">
      <c r="A179" s="80" t="s">
        <v>3311</v>
      </c>
      <c r="B179" s="80" t="s">
        <v>3474</v>
      </c>
      <c r="C179" s="80" t="s">
        <v>3466</v>
      </c>
    </row>
    <row r="180" customFormat="false" ht="15" hidden="false" customHeight="false" outlineLevel="0" collapsed="false">
      <c r="A180" s="80" t="s">
        <v>3311</v>
      </c>
      <c r="B180" s="80" t="s">
        <v>3475</v>
      </c>
      <c r="C180" s="80" t="s">
        <v>3470</v>
      </c>
    </row>
    <row r="181" customFormat="false" ht="15" hidden="false" customHeight="false" outlineLevel="0" collapsed="false">
      <c r="A181" s="80" t="s">
        <v>3311</v>
      </c>
      <c r="B181" s="80" t="s">
        <v>3476</v>
      </c>
      <c r="C181" s="80" t="s">
        <v>3466</v>
      </c>
    </row>
    <row r="182" customFormat="false" ht="15" hidden="false" customHeight="false" outlineLevel="0" collapsed="false">
      <c r="A182" s="80" t="s">
        <v>3311</v>
      </c>
      <c r="B182" s="80" t="s">
        <v>3477</v>
      </c>
      <c r="C182" s="80" t="s">
        <v>3478</v>
      </c>
    </row>
    <row r="183" customFormat="false" ht="15" hidden="false" customHeight="false" outlineLevel="0" collapsed="false">
      <c r="A183" s="80" t="s">
        <v>3311</v>
      </c>
      <c r="B183" s="80" t="s">
        <v>3479</v>
      </c>
      <c r="C183" s="80" t="s">
        <v>3480</v>
      </c>
    </row>
    <row r="184" customFormat="false" ht="15" hidden="false" customHeight="false" outlineLevel="0" collapsed="false">
      <c r="A184" s="80" t="s">
        <v>3311</v>
      </c>
      <c r="B184" s="80" t="s">
        <v>3481</v>
      </c>
      <c r="C184" s="80" t="s">
        <v>3436</v>
      </c>
    </row>
    <row r="185" customFormat="false" ht="15" hidden="false" customHeight="false" outlineLevel="0" collapsed="false">
      <c r="A185" s="80" t="s">
        <v>3311</v>
      </c>
      <c r="B185" s="80" t="s">
        <v>3482</v>
      </c>
      <c r="C185" s="80" t="s">
        <v>3483</v>
      </c>
    </row>
    <row r="186" customFormat="false" ht="15" hidden="false" customHeight="false" outlineLevel="0" collapsed="false">
      <c r="A186" s="80" t="s">
        <v>3311</v>
      </c>
      <c r="B186" s="80" t="s">
        <v>3484</v>
      </c>
      <c r="C186" s="80" t="s">
        <v>3485</v>
      </c>
    </row>
    <row r="187" customFormat="false" ht="15" hidden="false" customHeight="false" outlineLevel="0" collapsed="false">
      <c r="A187" s="80" t="s">
        <v>3311</v>
      </c>
      <c r="B187" s="80" t="s">
        <v>3486</v>
      </c>
      <c r="C187" s="80" t="s">
        <v>3444</v>
      </c>
    </row>
    <row r="188" customFormat="false" ht="15" hidden="false" customHeight="false" outlineLevel="0" collapsed="false">
      <c r="A188" s="80" t="s">
        <v>3311</v>
      </c>
      <c r="B188" s="80" t="s">
        <v>3487</v>
      </c>
      <c r="C188" s="80" t="s">
        <v>3446</v>
      </c>
    </row>
    <row r="189" customFormat="false" ht="15" hidden="false" customHeight="false" outlineLevel="0" collapsed="false">
      <c r="A189" s="80" t="s">
        <v>3311</v>
      </c>
      <c r="B189" s="80" t="s">
        <v>3488</v>
      </c>
      <c r="C189" s="80" t="s">
        <v>3489</v>
      </c>
    </row>
    <row r="190" customFormat="false" ht="15" hidden="false" customHeight="false" outlineLevel="0" collapsed="false">
      <c r="A190" s="80" t="s">
        <v>3311</v>
      </c>
      <c r="B190" s="80" t="s">
        <v>3490</v>
      </c>
      <c r="C190" s="80" t="s">
        <v>3491</v>
      </c>
    </row>
    <row r="191" customFormat="false" ht="15" hidden="false" customHeight="false" outlineLevel="0" collapsed="false">
      <c r="A191" s="80" t="s">
        <v>3311</v>
      </c>
      <c r="B191" s="80" t="s">
        <v>3492</v>
      </c>
      <c r="C191" s="80" t="s">
        <v>3452</v>
      </c>
    </row>
    <row r="192" customFormat="false" ht="15" hidden="false" customHeight="false" outlineLevel="0" collapsed="false">
      <c r="A192" s="80" t="s">
        <v>3311</v>
      </c>
      <c r="B192" s="80" t="s">
        <v>3493</v>
      </c>
      <c r="C192" s="80" t="s">
        <v>3454</v>
      </c>
    </row>
    <row r="193" customFormat="false" ht="15" hidden="false" customHeight="false" outlineLevel="0" collapsed="false">
      <c r="A193" s="80" t="s">
        <v>3311</v>
      </c>
      <c r="B193" s="80" t="s">
        <v>3494</v>
      </c>
      <c r="C193" s="80" t="s">
        <v>3456</v>
      </c>
    </row>
    <row r="194" customFormat="false" ht="15" hidden="false" customHeight="false" outlineLevel="0" collapsed="false">
      <c r="A194" s="80" t="s">
        <v>3311</v>
      </c>
      <c r="B194" s="80" t="s">
        <v>3495</v>
      </c>
      <c r="C194" s="80" t="s">
        <v>3458</v>
      </c>
    </row>
    <row r="195" customFormat="false" ht="15" hidden="false" customHeight="false" outlineLevel="0" collapsed="false">
      <c r="A195" s="80" t="s">
        <v>3311</v>
      </c>
      <c r="B195" s="80" t="s">
        <v>3496</v>
      </c>
      <c r="C195" s="80" t="s">
        <v>3497</v>
      </c>
    </row>
    <row r="196" customFormat="false" ht="22.35" hidden="false" customHeight="false" outlineLevel="0" collapsed="false">
      <c r="A196" s="6" t="s">
        <v>2164</v>
      </c>
      <c r="B196" s="6" t="s">
        <v>3498</v>
      </c>
      <c r="C196" s="6" t="s">
        <v>3499</v>
      </c>
    </row>
    <row r="197" customFormat="false" ht="15" hidden="false" customHeight="false" outlineLevel="0" collapsed="false">
      <c r="A197" s="6" t="s">
        <v>2164</v>
      </c>
      <c r="B197" s="6" t="s">
        <v>3500</v>
      </c>
      <c r="C197" s="6" t="s">
        <v>3501</v>
      </c>
    </row>
    <row r="198" customFormat="false" ht="15" hidden="false" customHeight="false" outlineLevel="0" collapsed="false">
      <c r="A198" s="6" t="s">
        <v>2164</v>
      </c>
      <c r="B198" s="6" t="s">
        <v>3502</v>
      </c>
      <c r="C198" s="6" t="s">
        <v>3503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2026-10-12T19:20:25Z</dcterms:created>
  <dc:creator>openpyxl</dc:creator>
  <dc:description/>
  <dc:language>en-US</dc:language>
  <cp:lastModifiedBy>Mehdi</cp:lastModifiedBy>
  <dcterms:modified xsi:type="dcterms:W3CDTF">2026-10-15T10:56:27Z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
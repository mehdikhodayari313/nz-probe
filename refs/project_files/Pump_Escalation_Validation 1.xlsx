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hdi\Downloads\"/>
    </mc:Choice>
  </mc:AlternateContent>
  <xr:revisionPtr revIDLastSave="0" documentId="13_ncr:1_{F6C74B3B-DC97-4CF7-AC51-E666E00CFCC5}" xr6:coauthVersionLast="47" xr6:coauthVersionMax="47" xr10:uidLastSave="{00000000-0000-0000-0000-000000000000}"/>
  <bookViews>
    <workbookView xWindow="20370" yWindow="-120" windowWidth="24240" windowHeight="13140" tabRatio="500" firstSheet="3" activeTab="3" xr2:uid="{00000000-000D-0000-FFFF-FFFF00000000}"/>
  </bookViews>
  <sheets>
    <sheet name="ماشین_حساب" sheetId="1" r:id="rId1"/>
    <sheet name="راهنما" sheetId="2" r:id="rId2"/>
    <sheet name="Summary" sheetId="3" r:id="rId3"/>
    <sheet name="Indices" sheetId="4" r:id="rId4"/>
    <sheet name="Val_EUR_Pumps" sheetId="5" r:id="rId5"/>
    <sheet name="Val_IRR_Packages" sheetId="6" r:id="rId6"/>
    <sheet name="Drivers" sheetId="7" r:id="rId7"/>
    <sheet name="Pump_Bank_Escalated" sheetId="8" r:id="rId8"/>
    <sheet name="Model_Issues" sheetId="9" r:id="rId9"/>
    <sheet name="Sources" sheetId="10" r:id="rId10"/>
    <sheet name="Lists" sheetId="11" state="hidden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23" i="8" l="1"/>
  <c r="I121" i="8"/>
  <c r="J121" i="8" s="1"/>
  <c r="I120" i="8"/>
  <c r="J120" i="8" s="1"/>
  <c r="I119" i="8"/>
  <c r="J119" i="8" s="1"/>
  <c r="I118" i="8"/>
  <c r="J118" i="8" s="1"/>
  <c r="I117" i="8"/>
  <c r="J117" i="8" s="1"/>
  <c r="I116" i="8"/>
  <c r="J116" i="8" s="1"/>
  <c r="I115" i="8"/>
  <c r="J115" i="8" s="1"/>
  <c r="I114" i="8"/>
  <c r="J114" i="8" s="1"/>
  <c r="I113" i="8"/>
  <c r="J113" i="8" s="1"/>
  <c r="I112" i="8"/>
  <c r="J112" i="8" s="1"/>
  <c r="I111" i="8"/>
  <c r="J111" i="8" s="1"/>
  <c r="I110" i="8"/>
  <c r="J110" i="8" s="1"/>
  <c r="I109" i="8"/>
  <c r="J109" i="8" s="1"/>
  <c r="I108" i="8"/>
  <c r="J108" i="8" s="1"/>
  <c r="I107" i="8"/>
  <c r="J107" i="8" s="1"/>
  <c r="I106" i="8"/>
  <c r="J106" i="8" s="1"/>
  <c r="I105" i="8"/>
  <c r="J105" i="8" s="1"/>
  <c r="I104" i="8"/>
  <c r="J104" i="8" s="1"/>
  <c r="I103" i="8"/>
  <c r="J103" i="8" s="1"/>
  <c r="I102" i="8"/>
  <c r="J102" i="8" s="1"/>
  <c r="I101" i="8"/>
  <c r="J101" i="8" s="1"/>
  <c r="I100" i="8"/>
  <c r="J100" i="8" s="1"/>
  <c r="I99" i="8"/>
  <c r="J99" i="8" s="1"/>
  <c r="I98" i="8"/>
  <c r="J98" i="8" s="1"/>
  <c r="I97" i="8"/>
  <c r="J97" i="8" s="1"/>
  <c r="I96" i="8"/>
  <c r="J96" i="8" s="1"/>
  <c r="I95" i="8"/>
  <c r="J95" i="8" s="1"/>
  <c r="I94" i="8"/>
  <c r="J94" i="8" s="1"/>
  <c r="I93" i="8"/>
  <c r="J93" i="8" s="1"/>
  <c r="I92" i="8"/>
  <c r="J92" i="8" s="1"/>
  <c r="I91" i="8"/>
  <c r="J91" i="8" s="1"/>
  <c r="I90" i="8"/>
  <c r="J90" i="8" s="1"/>
  <c r="I89" i="8"/>
  <c r="J89" i="8" s="1"/>
  <c r="I88" i="8"/>
  <c r="J88" i="8" s="1"/>
  <c r="I87" i="8"/>
  <c r="J87" i="8" s="1"/>
  <c r="I86" i="8"/>
  <c r="J86" i="8" s="1"/>
  <c r="I85" i="8"/>
  <c r="J85" i="8" s="1"/>
  <c r="I84" i="8"/>
  <c r="J84" i="8" s="1"/>
  <c r="I83" i="8"/>
  <c r="J83" i="8" s="1"/>
  <c r="I82" i="8"/>
  <c r="J82" i="8" s="1"/>
  <c r="I81" i="8"/>
  <c r="J81" i="8" s="1"/>
  <c r="I80" i="8"/>
  <c r="J80" i="8" s="1"/>
  <c r="I79" i="8"/>
  <c r="J79" i="8" s="1"/>
  <c r="I78" i="8"/>
  <c r="J78" i="8" s="1"/>
  <c r="I77" i="8"/>
  <c r="J77" i="8" s="1"/>
  <c r="I76" i="8"/>
  <c r="J76" i="8" s="1"/>
  <c r="I75" i="8"/>
  <c r="J75" i="8" s="1"/>
  <c r="I74" i="8"/>
  <c r="J74" i="8" s="1"/>
  <c r="I73" i="8"/>
  <c r="J73" i="8" s="1"/>
  <c r="I72" i="8"/>
  <c r="J72" i="8" s="1"/>
  <c r="I71" i="8"/>
  <c r="J71" i="8" s="1"/>
  <c r="I70" i="8"/>
  <c r="J70" i="8" s="1"/>
  <c r="I69" i="8"/>
  <c r="J69" i="8" s="1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I49" i="8"/>
  <c r="J49" i="8" s="1"/>
  <c r="I48" i="8"/>
  <c r="J48" i="8" s="1"/>
  <c r="I47" i="8"/>
  <c r="J47" i="8" s="1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D7" i="8"/>
  <c r="C34" i="7"/>
  <c r="C33" i="7"/>
  <c r="C32" i="7"/>
  <c r="C31" i="7"/>
  <c r="C30" i="7"/>
  <c r="C29" i="7"/>
  <c r="C28" i="7"/>
  <c r="C27" i="7"/>
  <c r="C26" i="7"/>
  <c r="C25" i="7"/>
  <c r="C24" i="7"/>
  <c r="L26" i="6"/>
  <c r="K26" i="6"/>
  <c r="I26" i="6"/>
  <c r="H26" i="6"/>
  <c r="L25" i="6"/>
  <c r="K25" i="6"/>
  <c r="I25" i="6"/>
  <c r="H25" i="6"/>
  <c r="H28" i="6" s="1"/>
  <c r="B8" i="7" s="1"/>
  <c r="L24" i="6"/>
  <c r="K24" i="6"/>
  <c r="I24" i="6"/>
  <c r="I28" i="6" s="1"/>
  <c r="H24" i="6"/>
  <c r="L23" i="6"/>
  <c r="K23" i="6"/>
  <c r="I23" i="6"/>
  <c r="H23" i="6"/>
  <c r="L22" i="6"/>
  <c r="K22" i="6"/>
  <c r="I22" i="6"/>
  <c r="H22" i="6"/>
  <c r="L21" i="6"/>
  <c r="K21" i="6"/>
  <c r="I21" i="6"/>
  <c r="H21" i="6"/>
  <c r="L20" i="6"/>
  <c r="K20" i="6"/>
  <c r="I20" i="6"/>
  <c r="H20" i="6"/>
  <c r="L19" i="6"/>
  <c r="K19" i="6"/>
  <c r="I19" i="6"/>
  <c r="H19" i="6"/>
  <c r="L18" i="6"/>
  <c r="K18" i="6"/>
  <c r="I18" i="6"/>
  <c r="H18" i="6"/>
  <c r="L17" i="6"/>
  <c r="K17" i="6"/>
  <c r="I17" i="6"/>
  <c r="H17" i="6"/>
  <c r="L16" i="6"/>
  <c r="K16" i="6"/>
  <c r="I16" i="6"/>
  <c r="H16" i="6"/>
  <c r="E12" i="6"/>
  <c r="E8" i="6"/>
  <c r="B45" i="5"/>
  <c r="B44" i="5"/>
  <c r="B43" i="5"/>
  <c r="B42" i="5"/>
  <c r="B41" i="5"/>
  <c r="B40" i="5"/>
  <c r="B39" i="5"/>
  <c r="AJ35" i="5"/>
  <c r="AI35" i="5"/>
  <c r="AH35" i="5"/>
  <c r="AF35" i="5"/>
  <c r="AE35" i="5"/>
  <c r="AD35" i="5"/>
  <c r="AC35" i="5"/>
  <c r="AB35" i="5"/>
  <c r="Z35" i="5"/>
  <c r="Y35" i="5"/>
  <c r="X35" i="5"/>
  <c r="W35" i="5"/>
  <c r="V35" i="5"/>
  <c r="U35" i="5"/>
  <c r="T35" i="5"/>
  <c r="S35" i="5"/>
  <c r="Q35" i="5"/>
  <c r="P35" i="5"/>
  <c r="O35" i="5"/>
  <c r="K35" i="5"/>
  <c r="J35" i="5"/>
  <c r="N35" i="5" s="1"/>
  <c r="AJ34" i="5"/>
  <c r="AI34" i="5"/>
  <c r="AH34" i="5"/>
  <c r="AF34" i="5"/>
  <c r="AE34" i="5"/>
  <c r="AD34" i="5"/>
  <c r="AC34" i="5"/>
  <c r="AB34" i="5"/>
  <c r="Z34" i="5"/>
  <c r="Y34" i="5"/>
  <c r="X34" i="5"/>
  <c r="W34" i="5"/>
  <c r="V34" i="5"/>
  <c r="U34" i="5"/>
  <c r="T34" i="5"/>
  <c r="S34" i="5"/>
  <c r="Q34" i="5"/>
  <c r="P34" i="5"/>
  <c r="O34" i="5"/>
  <c r="K34" i="5"/>
  <c r="J34" i="5"/>
  <c r="N34" i="5" s="1"/>
  <c r="AJ33" i="5"/>
  <c r="AI33" i="5"/>
  <c r="AH33" i="5"/>
  <c r="AF33" i="5"/>
  <c r="AE33" i="5"/>
  <c r="AD33" i="5"/>
  <c r="AC33" i="5"/>
  <c r="AB33" i="5"/>
  <c r="Z33" i="5"/>
  <c r="Y33" i="5"/>
  <c r="X33" i="5"/>
  <c r="W33" i="5"/>
  <c r="V33" i="5"/>
  <c r="U33" i="5"/>
  <c r="T33" i="5"/>
  <c r="S33" i="5"/>
  <c r="Q33" i="5"/>
  <c r="P33" i="5"/>
  <c r="O33" i="5"/>
  <c r="K33" i="5"/>
  <c r="J33" i="5"/>
  <c r="N33" i="5" s="1"/>
  <c r="AJ32" i="5"/>
  <c r="AI32" i="5"/>
  <c r="AH32" i="5"/>
  <c r="AF32" i="5"/>
  <c r="AE32" i="5"/>
  <c r="AD32" i="5"/>
  <c r="AC32" i="5"/>
  <c r="AB32" i="5"/>
  <c r="Z32" i="5"/>
  <c r="Y32" i="5"/>
  <c r="X32" i="5"/>
  <c r="W32" i="5"/>
  <c r="V32" i="5"/>
  <c r="U32" i="5"/>
  <c r="T32" i="5"/>
  <c r="S32" i="5"/>
  <c r="Q32" i="5"/>
  <c r="P32" i="5"/>
  <c r="O32" i="5"/>
  <c r="K32" i="5"/>
  <c r="J32" i="5"/>
  <c r="N32" i="5" s="1"/>
  <c r="AD31" i="5"/>
  <c r="AE31" i="5" s="1"/>
  <c r="AF31" i="5" s="1"/>
  <c r="X31" i="5"/>
  <c r="Y31" i="5" s="1"/>
  <c r="Z31" i="5" s="1"/>
  <c r="U31" i="5"/>
  <c r="V31" i="5" s="1"/>
  <c r="W31" i="5" s="1"/>
  <c r="O31" i="5"/>
  <c r="P31" i="5" s="1"/>
  <c r="Q31" i="5" s="1"/>
  <c r="K31" i="5"/>
  <c r="AJ31" i="5" s="1"/>
  <c r="J31" i="5"/>
  <c r="N31" i="5" s="1"/>
  <c r="AD30" i="5"/>
  <c r="AE30" i="5" s="1"/>
  <c r="AF30" i="5" s="1"/>
  <c r="X30" i="5"/>
  <c r="U30" i="5"/>
  <c r="V30" i="5" s="1"/>
  <c r="W30" i="5" s="1"/>
  <c r="O30" i="5"/>
  <c r="K30" i="5"/>
  <c r="AJ30" i="5" s="1"/>
  <c r="J30" i="5"/>
  <c r="X29" i="5"/>
  <c r="Y29" i="5" s="1"/>
  <c r="Z29" i="5" s="1"/>
  <c r="U29" i="5"/>
  <c r="V29" i="5" s="1"/>
  <c r="W29" i="5" s="1"/>
  <c r="K29" i="5"/>
  <c r="AJ29" i="5" s="1"/>
  <c r="J29" i="5"/>
  <c r="N29" i="5" s="1"/>
  <c r="X28" i="5"/>
  <c r="Y28" i="5" s="1"/>
  <c r="Z28" i="5" s="1"/>
  <c r="U28" i="5"/>
  <c r="V28" i="5" s="1"/>
  <c r="W28" i="5" s="1"/>
  <c r="K28" i="5"/>
  <c r="AJ28" i="5" s="1"/>
  <c r="J28" i="5"/>
  <c r="N28" i="5" s="1"/>
  <c r="X27" i="5"/>
  <c r="Y27" i="5" s="1"/>
  <c r="Z27" i="5" s="1"/>
  <c r="U27" i="5"/>
  <c r="V27" i="5" s="1"/>
  <c r="W27" i="5" s="1"/>
  <c r="K27" i="5"/>
  <c r="AJ27" i="5" s="1"/>
  <c r="J27" i="5"/>
  <c r="N27" i="5" s="1"/>
  <c r="X26" i="5"/>
  <c r="Y26" i="5" s="1"/>
  <c r="Z26" i="5" s="1"/>
  <c r="U26" i="5"/>
  <c r="V26" i="5" s="1"/>
  <c r="W26" i="5" s="1"/>
  <c r="K26" i="5"/>
  <c r="AJ26" i="5" s="1"/>
  <c r="J26" i="5"/>
  <c r="N26" i="5" s="1"/>
  <c r="X25" i="5"/>
  <c r="Y25" i="5" s="1"/>
  <c r="Z25" i="5" s="1"/>
  <c r="U25" i="5"/>
  <c r="V25" i="5" s="1"/>
  <c r="W25" i="5" s="1"/>
  <c r="K25" i="5"/>
  <c r="AJ25" i="5" s="1"/>
  <c r="J25" i="5"/>
  <c r="N25" i="5" s="1"/>
  <c r="X24" i="5"/>
  <c r="Y24" i="5" s="1"/>
  <c r="Z24" i="5" s="1"/>
  <c r="U24" i="5"/>
  <c r="V24" i="5" s="1"/>
  <c r="W24" i="5" s="1"/>
  <c r="K24" i="5"/>
  <c r="AJ24" i="5" s="1"/>
  <c r="J24" i="5"/>
  <c r="N24" i="5" s="1"/>
  <c r="AJ23" i="5"/>
  <c r="X23" i="5"/>
  <c r="Y23" i="5" s="1"/>
  <c r="Z23" i="5" s="1"/>
  <c r="U23" i="5"/>
  <c r="V23" i="5" s="1"/>
  <c r="W23" i="5" s="1"/>
  <c r="K23" i="5"/>
  <c r="J23" i="5"/>
  <c r="N23" i="5" s="1"/>
  <c r="X22" i="5"/>
  <c r="Y22" i="5" s="1"/>
  <c r="Z22" i="5" s="1"/>
  <c r="U22" i="5"/>
  <c r="V22" i="5" s="1"/>
  <c r="W22" i="5" s="1"/>
  <c r="K22" i="5"/>
  <c r="AJ22" i="5" s="1"/>
  <c r="J22" i="5"/>
  <c r="N22" i="5" s="1"/>
  <c r="X21" i="5"/>
  <c r="Y21" i="5" s="1"/>
  <c r="Z21" i="5" s="1"/>
  <c r="U21" i="5"/>
  <c r="V21" i="5" s="1"/>
  <c r="W21" i="5" s="1"/>
  <c r="K21" i="5"/>
  <c r="AJ21" i="5" s="1"/>
  <c r="J21" i="5"/>
  <c r="N21" i="5" s="1"/>
  <c r="X20" i="5"/>
  <c r="Y20" i="5" s="1"/>
  <c r="Z20" i="5" s="1"/>
  <c r="U20" i="5"/>
  <c r="V20" i="5" s="1"/>
  <c r="W20" i="5" s="1"/>
  <c r="K20" i="5"/>
  <c r="AJ20" i="5" s="1"/>
  <c r="J20" i="5"/>
  <c r="N20" i="5" s="1"/>
  <c r="X19" i="5"/>
  <c r="Y19" i="5" s="1"/>
  <c r="Z19" i="5" s="1"/>
  <c r="U19" i="5"/>
  <c r="V19" i="5" s="1"/>
  <c r="W19" i="5" s="1"/>
  <c r="K19" i="5"/>
  <c r="AJ19" i="5" s="1"/>
  <c r="J19" i="5"/>
  <c r="N19" i="5" s="1"/>
  <c r="X18" i="5"/>
  <c r="U18" i="5"/>
  <c r="K18" i="5"/>
  <c r="AJ18" i="5" s="1"/>
  <c r="H48" i="5" s="1"/>
  <c r="J18" i="5"/>
  <c r="N18" i="5" s="1"/>
  <c r="E11" i="5"/>
  <c r="E6" i="5"/>
  <c r="G71" i="4"/>
  <c r="B71" i="4"/>
  <c r="G70" i="4"/>
  <c r="B70" i="4"/>
  <c r="C70" i="4" s="1"/>
  <c r="G69" i="4"/>
  <c r="B69" i="4"/>
  <c r="C69" i="4" s="1"/>
  <c r="G68" i="4"/>
  <c r="B68" i="4"/>
  <c r="C68" i="4" s="1"/>
  <c r="G67" i="4"/>
  <c r="B67" i="4"/>
  <c r="C67" i="4" s="1"/>
  <c r="G66" i="4"/>
  <c r="B66" i="4"/>
  <c r="C66" i="4" s="1"/>
  <c r="G65" i="4"/>
  <c r="B65" i="4"/>
  <c r="C65" i="4" s="1"/>
  <c r="G64" i="4"/>
  <c r="B64" i="4"/>
  <c r="C64" i="4" s="1"/>
  <c r="G63" i="4"/>
  <c r="B63" i="4"/>
  <c r="C63" i="4" s="1"/>
  <c r="B28" i="7" s="1"/>
  <c r="D28" i="7" s="1"/>
  <c r="G62" i="4"/>
  <c r="B62" i="4"/>
  <c r="C62" i="4" s="1"/>
  <c r="B27" i="7" s="1"/>
  <c r="D27" i="7" s="1"/>
  <c r="G61" i="4"/>
  <c r="B61" i="4"/>
  <c r="C61" i="4" s="1"/>
  <c r="B26" i="7" s="1"/>
  <c r="D26" i="7" s="1"/>
  <c r="G60" i="4"/>
  <c r="B60" i="4"/>
  <c r="C60" i="4" s="1"/>
  <c r="B25" i="7" s="1"/>
  <c r="D25" i="7" s="1"/>
  <c r="G59" i="4"/>
  <c r="B59" i="4"/>
  <c r="C59" i="4" s="1"/>
  <c r="G58" i="4"/>
  <c r="B58" i="4"/>
  <c r="C58" i="4" s="1"/>
  <c r="G57" i="4"/>
  <c r="B57" i="4"/>
  <c r="C57" i="4" s="1"/>
  <c r="G56" i="4"/>
  <c r="B56" i="4"/>
  <c r="C56" i="4" s="1"/>
  <c r="G55" i="4"/>
  <c r="B55" i="4"/>
  <c r="C55" i="4" s="1"/>
  <c r="G54" i="4"/>
  <c r="B54" i="4"/>
  <c r="C54" i="4" s="1"/>
  <c r="G53" i="4"/>
  <c r="B53" i="4"/>
  <c r="C53" i="4" s="1"/>
  <c r="K52" i="4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I52" i="4"/>
  <c r="I53" i="4" s="1"/>
  <c r="I54" i="4" s="1"/>
  <c r="I55" i="4" s="1"/>
  <c r="I56" i="4" s="1"/>
  <c r="I57" i="4" s="1"/>
  <c r="I58" i="4" s="1"/>
  <c r="I59" i="4" s="1"/>
  <c r="G52" i="4"/>
  <c r="B52" i="4"/>
  <c r="C52" i="4" s="1"/>
  <c r="G51" i="4"/>
  <c r="B51" i="4"/>
  <c r="C51" i="4" s="1"/>
  <c r="B42" i="4"/>
  <c r="H41" i="4"/>
  <c r="G41" i="4"/>
  <c r="H40" i="4"/>
  <c r="G40" i="4"/>
  <c r="H39" i="4"/>
  <c r="G39" i="4"/>
  <c r="H38" i="4"/>
  <c r="H45" i="4" s="1"/>
  <c r="G38" i="4"/>
  <c r="G44" i="4" s="1"/>
  <c r="B11" i="7" s="1"/>
  <c r="B12" i="7" s="1"/>
  <c r="B13" i="7" s="1"/>
  <c r="B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D37" i="3"/>
  <c r="B12" i="3"/>
  <c r="B11" i="3"/>
  <c r="B10" i="3"/>
  <c r="C9" i="3"/>
  <c r="B9" i="3"/>
  <c r="C8" i="3"/>
  <c r="B8" i="3"/>
  <c r="B7" i="3"/>
  <c r="B6" i="3"/>
  <c r="O64" i="1"/>
  <c r="N64" i="1"/>
  <c r="M64" i="1"/>
  <c r="L64" i="1"/>
  <c r="K64" i="1"/>
  <c r="O63" i="1"/>
  <c r="N63" i="1"/>
  <c r="M63" i="1"/>
  <c r="L63" i="1"/>
  <c r="K63" i="1"/>
  <c r="O62" i="1"/>
  <c r="N62" i="1"/>
  <c r="M62" i="1"/>
  <c r="L62" i="1"/>
  <c r="K62" i="1"/>
  <c r="O61" i="1"/>
  <c r="N61" i="1"/>
  <c r="M61" i="1"/>
  <c r="L61" i="1"/>
  <c r="K61" i="1"/>
  <c r="O60" i="1"/>
  <c r="N60" i="1"/>
  <c r="M60" i="1"/>
  <c r="L60" i="1"/>
  <c r="K60" i="1"/>
  <c r="O59" i="1"/>
  <c r="N59" i="1"/>
  <c r="M59" i="1"/>
  <c r="L59" i="1"/>
  <c r="K59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5" i="1"/>
  <c r="N55" i="1"/>
  <c r="M55" i="1"/>
  <c r="L55" i="1"/>
  <c r="K55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O51" i="1"/>
  <c r="N51" i="1"/>
  <c r="M51" i="1"/>
  <c r="L51" i="1"/>
  <c r="K51" i="1"/>
  <c r="O50" i="1"/>
  <c r="N50" i="1"/>
  <c r="M50" i="1"/>
  <c r="L50" i="1"/>
  <c r="K50" i="1"/>
  <c r="O49" i="1"/>
  <c r="N49" i="1"/>
  <c r="M49" i="1"/>
  <c r="L49" i="1"/>
  <c r="K49" i="1"/>
  <c r="O48" i="1"/>
  <c r="N48" i="1"/>
  <c r="M48" i="1"/>
  <c r="L48" i="1"/>
  <c r="K48" i="1"/>
  <c r="K47" i="1"/>
  <c r="K46" i="1"/>
  <c r="K45" i="1"/>
  <c r="D40" i="1"/>
  <c r="D29" i="1"/>
  <c r="D26" i="1"/>
  <c r="D20" i="1"/>
  <c r="D21" i="1" s="1"/>
  <c r="P26" i="6" l="1"/>
  <c r="T26" i="6"/>
  <c r="O26" i="6"/>
  <c r="S26" i="6"/>
  <c r="T25" i="6"/>
  <c r="P25" i="6"/>
  <c r="O25" i="6"/>
  <c r="S25" i="6"/>
  <c r="P24" i="6"/>
  <c r="T24" i="6"/>
  <c r="P29" i="6"/>
  <c r="D18" i="3" s="1"/>
  <c r="T29" i="6"/>
  <c r="F18" i="3" s="1"/>
  <c r="S24" i="6"/>
  <c r="S29" i="6"/>
  <c r="F17" i="3" s="1"/>
  <c r="O24" i="6"/>
  <c r="O29" i="6"/>
  <c r="D17" i="3" s="1"/>
  <c r="P23" i="6"/>
  <c r="T23" i="6"/>
  <c r="O23" i="6"/>
  <c r="S23" i="6"/>
  <c r="P22" i="6"/>
  <c r="T22" i="6"/>
  <c r="S22" i="6"/>
  <c r="O22" i="6"/>
  <c r="T21" i="6"/>
  <c r="P21" i="6"/>
  <c r="S21" i="6"/>
  <c r="O21" i="6"/>
  <c r="P20" i="6"/>
  <c r="T20" i="6"/>
  <c r="S20" i="6"/>
  <c r="O20" i="6"/>
  <c r="T19" i="6"/>
  <c r="P19" i="6"/>
  <c r="S19" i="6"/>
  <c r="O19" i="6"/>
  <c r="P18" i="6"/>
  <c r="T18" i="6"/>
  <c r="O18" i="6"/>
  <c r="S18" i="6"/>
  <c r="T17" i="6"/>
  <c r="P17" i="6"/>
  <c r="O17" i="6"/>
  <c r="S17" i="6"/>
  <c r="P16" i="6"/>
  <c r="P28" i="6" s="1"/>
  <c r="C18" i="3" s="1"/>
  <c r="T16" i="6"/>
  <c r="T28" i="6" s="1"/>
  <c r="E18" i="3" s="1"/>
  <c r="S16" i="6"/>
  <c r="S28" i="6" s="1"/>
  <c r="E17" i="3" s="1"/>
  <c r="O16" i="6"/>
  <c r="B10" i="7"/>
  <c r="P30" i="5"/>
  <c r="Q30" i="5" s="1"/>
  <c r="Y30" i="5"/>
  <c r="Z30" i="5" s="1"/>
  <c r="N30" i="5"/>
  <c r="B9" i="7" s="1"/>
  <c r="H42" i="5"/>
  <c r="H9" i="3" s="1"/>
  <c r="Y18" i="5"/>
  <c r="V18" i="5"/>
  <c r="H41" i="5"/>
  <c r="H8" i="3" s="1"/>
  <c r="AD22" i="5"/>
  <c r="AE22" i="5" s="1"/>
  <c r="AF22" i="5" s="1"/>
  <c r="AD21" i="5"/>
  <c r="AE21" i="5" s="1"/>
  <c r="AF21" i="5" s="1"/>
  <c r="AD18" i="5"/>
  <c r="AD20" i="5"/>
  <c r="AE20" i="5" s="1"/>
  <c r="AF20" i="5" s="1"/>
  <c r="AD28" i="5"/>
  <c r="AE28" i="5" s="1"/>
  <c r="AF28" i="5" s="1"/>
  <c r="AD26" i="5"/>
  <c r="AE26" i="5" s="1"/>
  <c r="AF26" i="5" s="1"/>
  <c r="AD29" i="5"/>
  <c r="AE29" i="5" s="1"/>
  <c r="AF29" i="5" s="1"/>
  <c r="C11" i="3"/>
  <c r="AD19" i="5"/>
  <c r="AE19" i="5" s="1"/>
  <c r="AF19" i="5" s="1"/>
  <c r="AD27" i="5"/>
  <c r="AE27" i="5" s="1"/>
  <c r="AF27" i="5" s="1"/>
  <c r="AD23" i="5"/>
  <c r="AE23" i="5" s="1"/>
  <c r="AF23" i="5" s="1"/>
  <c r="AD25" i="5"/>
  <c r="AE25" i="5" s="1"/>
  <c r="AF25" i="5" s="1"/>
  <c r="AD24" i="5"/>
  <c r="AE24" i="5" s="1"/>
  <c r="AF24" i="5" s="1"/>
  <c r="O22" i="5"/>
  <c r="P22" i="5" s="1"/>
  <c r="Q22" i="5" s="1"/>
  <c r="O21" i="5"/>
  <c r="P21" i="5" s="1"/>
  <c r="Q21" i="5" s="1"/>
  <c r="O20" i="5"/>
  <c r="P20" i="5" s="1"/>
  <c r="Q20" i="5" s="1"/>
  <c r="O19" i="5"/>
  <c r="P19" i="5" s="1"/>
  <c r="Q19" i="5" s="1"/>
  <c r="O18" i="5"/>
  <c r="O29" i="5"/>
  <c r="P29" i="5" s="1"/>
  <c r="Q29" i="5" s="1"/>
  <c r="O27" i="5"/>
  <c r="P27" i="5" s="1"/>
  <c r="Q27" i="5" s="1"/>
  <c r="O26" i="5"/>
  <c r="P26" i="5" s="1"/>
  <c r="Q26" i="5" s="1"/>
  <c r="O28" i="5"/>
  <c r="P28" i="5" s="1"/>
  <c r="Q28" i="5" s="1"/>
  <c r="O24" i="5"/>
  <c r="P24" i="5" s="1"/>
  <c r="Q24" i="5" s="1"/>
  <c r="O23" i="5"/>
  <c r="P23" i="5" s="1"/>
  <c r="Q23" i="5" s="1"/>
  <c r="O25" i="5"/>
  <c r="P25" i="5" s="1"/>
  <c r="Q25" i="5" s="1"/>
  <c r="C6" i="3"/>
  <c r="D6" i="8"/>
  <c r="C36" i="7"/>
  <c r="L70" i="4"/>
  <c r="C35" i="7"/>
  <c r="L68" i="4"/>
  <c r="B33" i="7"/>
  <c r="D33" i="7" s="1"/>
  <c r="E5" i="6"/>
  <c r="L59" i="4"/>
  <c r="E10" i="5"/>
  <c r="D22" i="1"/>
  <c r="B24" i="7"/>
  <c r="D24" i="7" s="1"/>
  <c r="F24" i="7" s="1"/>
  <c r="K70" i="4"/>
  <c r="K71" i="4" s="1"/>
  <c r="E7" i="5"/>
  <c r="I60" i="4"/>
  <c r="E24" i="7"/>
  <c r="C31" i="4"/>
  <c r="B32" i="4"/>
  <c r="L65" i="4"/>
  <c r="B30" i="7"/>
  <c r="D30" i="7" s="1"/>
  <c r="L57" i="4"/>
  <c r="L67" i="4"/>
  <c r="B32" i="7"/>
  <c r="D32" i="7" s="1"/>
  <c r="L62" i="4"/>
  <c r="L61" i="4"/>
  <c r="L60" i="4"/>
  <c r="L52" i="4"/>
  <c r="L51" i="4"/>
  <c r="L69" i="4"/>
  <c r="B34" i="7"/>
  <c r="D34" i="7" s="1"/>
  <c r="L63" i="4"/>
  <c r="L54" i="4"/>
  <c r="B35" i="7"/>
  <c r="D35" i="7" s="1"/>
  <c r="L64" i="4"/>
  <c r="B29" i="7"/>
  <c r="D29" i="7" s="1"/>
  <c r="L58" i="4"/>
  <c r="L56" i="4"/>
  <c r="L66" i="4"/>
  <c r="B31" i="7"/>
  <c r="D31" i="7" s="1"/>
  <c r="L55" i="4"/>
  <c r="L53" i="4"/>
  <c r="Z18" i="5" l="1"/>
  <c r="C42" i="5"/>
  <c r="D42" i="5"/>
  <c r="D9" i="3" s="1"/>
  <c r="W18" i="5"/>
  <c r="C41" i="5"/>
  <c r="D41" i="5"/>
  <c r="D8" i="3" s="1"/>
  <c r="AE18" i="5"/>
  <c r="H44" i="5"/>
  <c r="H11" i="3" s="1"/>
  <c r="P18" i="5"/>
  <c r="H39" i="5"/>
  <c r="H6" i="3" s="1"/>
  <c r="E16" i="6"/>
  <c r="E17" i="6"/>
  <c r="E18" i="6"/>
  <c r="E19" i="6"/>
  <c r="E20" i="6"/>
  <c r="E21" i="6"/>
  <c r="E22" i="6"/>
  <c r="E23" i="6"/>
  <c r="E24" i="6"/>
  <c r="B4" i="7"/>
  <c r="E25" i="6"/>
  <c r="E26" i="6"/>
  <c r="E12" i="5"/>
  <c r="AA18" i="5"/>
  <c r="AA19" i="5"/>
  <c r="AB19" i="5" s="1"/>
  <c r="AC19" i="5" s="1"/>
  <c r="AA20" i="5"/>
  <c r="AB20" i="5" s="1"/>
  <c r="AC20" i="5" s="1"/>
  <c r="AA21" i="5"/>
  <c r="AB21" i="5" s="1"/>
  <c r="AC21" i="5" s="1"/>
  <c r="AA22" i="5"/>
  <c r="AB22" i="5" s="1"/>
  <c r="AC22" i="5" s="1"/>
  <c r="AA23" i="5"/>
  <c r="AB23" i="5" s="1"/>
  <c r="AC23" i="5" s="1"/>
  <c r="AA24" i="5"/>
  <c r="AB24" i="5" s="1"/>
  <c r="AC24" i="5" s="1"/>
  <c r="AA25" i="5"/>
  <c r="AB25" i="5" s="1"/>
  <c r="AC25" i="5" s="1"/>
  <c r="AA26" i="5"/>
  <c r="AB26" i="5" s="1"/>
  <c r="AC26" i="5" s="1"/>
  <c r="AA27" i="5"/>
  <c r="AB27" i="5" s="1"/>
  <c r="AC27" i="5" s="1"/>
  <c r="AA28" i="5"/>
  <c r="AB28" i="5" s="1"/>
  <c r="AC28" i="5" s="1"/>
  <c r="AA29" i="5"/>
  <c r="AB29" i="5" s="1"/>
  <c r="AC29" i="5" s="1"/>
  <c r="AA31" i="5"/>
  <c r="AB31" i="5" s="1"/>
  <c r="AC31" i="5" s="1"/>
  <c r="AA32" i="5"/>
  <c r="AA33" i="5"/>
  <c r="AA34" i="5"/>
  <c r="AA35" i="5"/>
  <c r="E9" i="6"/>
  <c r="M31" i="6" s="1"/>
  <c r="AA30" i="5"/>
  <c r="AB30" i="5" s="1"/>
  <c r="AC30" i="5" s="1"/>
  <c r="B5" i="7"/>
  <c r="C10" i="3"/>
  <c r="R18" i="5"/>
  <c r="R19" i="5"/>
  <c r="S19" i="5" s="1"/>
  <c r="T19" i="5" s="1"/>
  <c r="R20" i="5"/>
  <c r="S20" i="5" s="1"/>
  <c r="T20" i="5" s="1"/>
  <c r="R21" i="5"/>
  <c r="S21" i="5" s="1"/>
  <c r="T21" i="5" s="1"/>
  <c r="R22" i="5"/>
  <c r="S22" i="5" s="1"/>
  <c r="T22" i="5" s="1"/>
  <c r="R23" i="5"/>
  <c r="S23" i="5" s="1"/>
  <c r="T23" i="5" s="1"/>
  <c r="R24" i="5"/>
  <c r="S24" i="5" s="1"/>
  <c r="T24" i="5" s="1"/>
  <c r="R25" i="5"/>
  <c r="S25" i="5" s="1"/>
  <c r="T25" i="5" s="1"/>
  <c r="R26" i="5"/>
  <c r="S26" i="5" s="1"/>
  <c r="T26" i="5" s="1"/>
  <c r="R27" i="5"/>
  <c r="S27" i="5" s="1"/>
  <c r="T27" i="5" s="1"/>
  <c r="R28" i="5"/>
  <c r="S28" i="5" s="1"/>
  <c r="T28" i="5" s="1"/>
  <c r="R29" i="5"/>
  <c r="S29" i="5" s="1"/>
  <c r="T29" i="5" s="1"/>
  <c r="R31" i="5"/>
  <c r="S31" i="5" s="1"/>
  <c r="T31" i="5" s="1"/>
  <c r="R32" i="5"/>
  <c r="R33" i="5"/>
  <c r="R34" i="5"/>
  <c r="R35" i="5"/>
  <c r="R30" i="5"/>
  <c r="S30" i="5" s="1"/>
  <c r="T30" i="5" s="1"/>
  <c r="C7" i="3"/>
  <c r="I61" i="4"/>
  <c r="E25" i="7"/>
  <c r="F25" i="7" s="1"/>
  <c r="C71" i="4"/>
  <c r="C32" i="4"/>
  <c r="O28" i="6"/>
  <c r="C17" i="3" s="1"/>
  <c r="E42" i="5" l="1"/>
  <c r="E9" i="3" s="1"/>
  <c r="F42" i="5"/>
  <c r="F9" i="3" s="1"/>
  <c r="G42" i="5"/>
  <c r="G9" i="3" s="1"/>
  <c r="E41" i="5"/>
  <c r="E8" i="3" s="1"/>
  <c r="F41" i="5"/>
  <c r="F8" i="3" s="1"/>
  <c r="G41" i="5"/>
  <c r="G8" i="3" s="1"/>
  <c r="AF18" i="5"/>
  <c r="C44" i="5"/>
  <c r="D44" i="5"/>
  <c r="D11" i="3" s="1"/>
  <c r="Q18" i="5"/>
  <c r="C39" i="5"/>
  <c r="D39" i="5"/>
  <c r="D6" i="3" s="1"/>
  <c r="AG18" i="5"/>
  <c r="AG19" i="5"/>
  <c r="AH19" i="5" s="1"/>
  <c r="AI19" i="5" s="1"/>
  <c r="AG20" i="5"/>
  <c r="AH20" i="5" s="1"/>
  <c r="AI20" i="5" s="1"/>
  <c r="AG21" i="5"/>
  <c r="AH21" i="5" s="1"/>
  <c r="AI21" i="5" s="1"/>
  <c r="AG22" i="5"/>
  <c r="AH22" i="5" s="1"/>
  <c r="AI22" i="5" s="1"/>
  <c r="AG23" i="5"/>
  <c r="AH23" i="5" s="1"/>
  <c r="AI23" i="5" s="1"/>
  <c r="AG24" i="5"/>
  <c r="AH24" i="5" s="1"/>
  <c r="AI24" i="5" s="1"/>
  <c r="AG25" i="5"/>
  <c r="AH25" i="5" s="1"/>
  <c r="AI25" i="5" s="1"/>
  <c r="AG26" i="5"/>
  <c r="AH26" i="5" s="1"/>
  <c r="AI26" i="5" s="1"/>
  <c r="AG27" i="5"/>
  <c r="AH27" i="5" s="1"/>
  <c r="AI27" i="5" s="1"/>
  <c r="AG28" i="5"/>
  <c r="AH28" i="5" s="1"/>
  <c r="AI28" i="5" s="1"/>
  <c r="AG29" i="5"/>
  <c r="AH29" i="5" s="1"/>
  <c r="AI29" i="5" s="1"/>
  <c r="AG31" i="5"/>
  <c r="AH31" i="5" s="1"/>
  <c r="AI31" i="5" s="1"/>
  <c r="AG32" i="5"/>
  <c r="AG33" i="5"/>
  <c r="AG34" i="5"/>
  <c r="AG35" i="5"/>
  <c r="AG30" i="5"/>
  <c r="AH30" i="5" s="1"/>
  <c r="AI30" i="5" s="1"/>
  <c r="C12" i="3"/>
  <c r="AB18" i="5"/>
  <c r="H43" i="5"/>
  <c r="H10" i="3" s="1"/>
  <c r="S18" i="5"/>
  <c r="H40" i="5"/>
  <c r="H7" i="3" s="1"/>
  <c r="I62" i="4"/>
  <c r="E26" i="7"/>
  <c r="F26" i="7" s="1"/>
  <c r="L71" i="4"/>
  <c r="L47" i="1"/>
  <c r="M47" i="1" s="1"/>
  <c r="N47" i="1" s="1"/>
  <c r="O47" i="1" s="1"/>
  <c r="L46" i="1"/>
  <c r="L45" i="1"/>
  <c r="K118" i="8"/>
  <c r="L118" i="8" s="1"/>
  <c r="N118" i="8" s="1"/>
  <c r="O118" i="8" s="1"/>
  <c r="K117" i="8"/>
  <c r="L117" i="8" s="1"/>
  <c r="N117" i="8" s="1"/>
  <c r="O117" i="8" s="1"/>
  <c r="K115" i="8"/>
  <c r="L115" i="8" s="1"/>
  <c r="N115" i="8" s="1"/>
  <c r="O115" i="8" s="1"/>
  <c r="K113" i="8"/>
  <c r="L113" i="8" s="1"/>
  <c r="N113" i="8" s="1"/>
  <c r="O113" i="8" s="1"/>
  <c r="K112" i="8"/>
  <c r="L112" i="8" s="1"/>
  <c r="N112" i="8" s="1"/>
  <c r="O112" i="8" s="1"/>
  <c r="K111" i="8"/>
  <c r="L111" i="8" s="1"/>
  <c r="N111" i="8" s="1"/>
  <c r="O111" i="8" s="1"/>
  <c r="K110" i="8"/>
  <c r="L110" i="8" s="1"/>
  <c r="N110" i="8" s="1"/>
  <c r="O110" i="8" s="1"/>
  <c r="K107" i="8"/>
  <c r="L107" i="8" s="1"/>
  <c r="N107" i="8" s="1"/>
  <c r="O107" i="8" s="1"/>
  <c r="K106" i="8"/>
  <c r="L106" i="8" s="1"/>
  <c r="N106" i="8" s="1"/>
  <c r="O106" i="8" s="1"/>
  <c r="K105" i="8"/>
  <c r="L105" i="8" s="1"/>
  <c r="N105" i="8" s="1"/>
  <c r="O105" i="8" s="1"/>
  <c r="K103" i="8"/>
  <c r="L103" i="8" s="1"/>
  <c r="N103" i="8" s="1"/>
  <c r="O103" i="8" s="1"/>
  <c r="K102" i="8"/>
  <c r="L102" i="8" s="1"/>
  <c r="N102" i="8" s="1"/>
  <c r="O102" i="8" s="1"/>
  <c r="K101" i="8"/>
  <c r="L101" i="8" s="1"/>
  <c r="K99" i="8"/>
  <c r="L99" i="8" s="1"/>
  <c r="K98" i="8"/>
  <c r="L98" i="8" s="1"/>
  <c r="N98" i="8" s="1"/>
  <c r="O98" i="8" s="1"/>
  <c r="K96" i="8"/>
  <c r="L96" i="8" s="1"/>
  <c r="K95" i="8"/>
  <c r="L95" i="8" s="1"/>
  <c r="K92" i="8"/>
  <c r="L92" i="8" s="1"/>
  <c r="K91" i="8"/>
  <c r="L91" i="8" s="1"/>
  <c r="K90" i="8"/>
  <c r="L90" i="8" s="1"/>
  <c r="N90" i="8" s="1"/>
  <c r="O90" i="8" s="1"/>
  <c r="K89" i="8"/>
  <c r="L89" i="8" s="1"/>
  <c r="N89" i="8" s="1"/>
  <c r="O89" i="8" s="1"/>
  <c r="K87" i="8"/>
  <c r="L87" i="8" s="1"/>
  <c r="K86" i="8"/>
  <c r="L86" i="8" s="1"/>
  <c r="K84" i="8"/>
  <c r="L84" i="8" s="1"/>
  <c r="K83" i="8"/>
  <c r="L83" i="8" s="1"/>
  <c r="K47" i="8"/>
  <c r="L47" i="8" s="1"/>
  <c r="N47" i="8" s="1"/>
  <c r="O47" i="8" s="1"/>
  <c r="K46" i="8"/>
  <c r="L46" i="8" s="1"/>
  <c r="N46" i="8" s="1"/>
  <c r="O46" i="8" s="1"/>
  <c r="K44" i="8"/>
  <c r="L44" i="8" s="1"/>
  <c r="N44" i="8" s="1"/>
  <c r="O44" i="8" s="1"/>
  <c r="K40" i="8"/>
  <c r="L40" i="8" s="1"/>
  <c r="K38" i="8"/>
  <c r="L38" i="8" s="1"/>
  <c r="N38" i="8" s="1"/>
  <c r="O38" i="8" s="1"/>
  <c r="K41" i="8"/>
  <c r="L41" i="8" s="1"/>
  <c r="D23" i="1"/>
  <c r="K121" i="8"/>
  <c r="L121" i="8" s="1"/>
  <c r="N121" i="8" s="1"/>
  <c r="O121" i="8" s="1"/>
  <c r="K120" i="8"/>
  <c r="L120" i="8" s="1"/>
  <c r="N120" i="8" s="1"/>
  <c r="O120" i="8" s="1"/>
  <c r="K119" i="8"/>
  <c r="L119" i="8" s="1"/>
  <c r="N119" i="8" s="1"/>
  <c r="O119" i="8" s="1"/>
  <c r="K116" i="8"/>
  <c r="L116" i="8" s="1"/>
  <c r="N116" i="8" s="1"/>
  <c r="O116" i="8" s="1"/>
  <c r="K114" i="8"/>
  <c r="L114" i="8" s="1"/>
  <c r="N114" i="8" s="1"/>
  <c r="O114" i="8" s="1"/>
  <c r="K109" i="8"/>
  <c r="L109" i="8" s="1"/>
  <c r="N109" i="8" s="1"/>
  <c r="O109" i="8" s="1"/>
  <c r="K108" i="8"/>
  <c r="L108" i="8" s="1"/>
  <c r="N108" i="8" s="1"/>
  <c r="O108" i="8" s="1"/>
  <c r="K104" i="8"/>
  <c r="L104" i="8" s="1"/>
  <c r="N104" i="8" s="1"/>
  <c r="O104" i="8" s="1"/>
  <c r="K100" i="8"/>
  <c r="L100" i="8" s="1"/>
  <c r="N100" i="8" s="1"/>
  <c r="O100" i="8" s="1"/>
  <c r="K97" i="8"/>
  <c r="L97" i="8" s="1"/>
  <c r="N97" i="8" s="1"/>
  <c r="O97" i="8" s="1"/>
  <c r="K94" i="8"/>
  <c r="L94" i="8" s="1"/>
  <c r="K93" i="8"/>
  <c r="L93" i="8" s="1"/>
  <c r="N93" i="8" s="1"/>
  <c r="O93" i="8" s="1"/>
  <c r="K88" i="8"/>
  <c r="L88" i="8" s="1"/>
  <c r="N88" i="8" s="1"/>
  <c r="O88" i="8" s="1"/>
  <c r="K85" i="8"/>
  <c r="L85" i="8" s="1"/>
  <c r="K82" i="8"/>
  <c r="L82" i="8" s="1"/>
  <c r="K48" i="8"/>
  <c r="L48" i="8" s="1"/>
  <c r="N48" i="8" s="1"/>
  <c r="O48" i="8" s="1"/>
  <c r="K42" i="8"/>
  <c r="L42" i="8" s="1"/>
  <c r="K39" i="8"/>
  <c r="L39" i="8" s="1"/>
  <c r="N39" i="8" s="1"/>
  <c r="O39" i="8" s="1"/>
  <c r="K81" i="8"/>
  <c r="L81" i="8" s="1"/>
  <c r="N81" i="8" s="1"/>
  <c r="O81" i="8" s="1"/>
  <c r="K80" i="8"/>
  <c r="L80" i="8" s="1"/>
  <c r="N80" i="8" s="1"/>
  <c r="O80" i="8" s="1"/>
  <c r="K79" i="8"/>
  <c r="L79" i="8" s="1"/>
  <c r="N79" i="8" s="1"/>
  <c r="O79" i="8" s="1"/>
  <c r="K78" i="8"/>
  <c r="L78" i="8" s="1"/>
  <c r="N78" i="8" s="1"/>
  <c r="O78" i="8" s="1"/>
  <c r="K77" i="8"/>
  <c r="L77" i="8" s="1"/>
  <c r="N77" i="8" s="1"/>
  <c r="O77" i="8" s="1"/>
  <c r="K76" i="8"/>
  <c r="L76" i="8" s="1"/>
  <c r="N76" i="8" s="1"/>
  <c r="O76" i="8" s="1"/>
  <c r="K75" i="8"/>
  <c r="L75" i="8" s="1"/>
  <c r="N75" i="8" s="1"/>
  <c r="O75" i="8" s="1"/>
  <c r="K74" i="8"/>
  <c r="L74" i="8" s="1"/>
  <c r="N74" i="8" s="1"/>
  <c r="O74" i="8" s="1"/>
  <c r="K73" i="8"/>
  <c r="L73" i="8" s="1"/>
  <c r="N73" i="8" s="1"/>
  <c r="O73" i="8" s="1"/>
  <c r="K72" i="8"/>
  <c r="L72" i="8" s="1"/>
  <c r="N72" i="8" s="1"/>
  <c r="O72" i="8" s="1"/>
  <c r="K71" i="8"/>
  <c r="L71" i="8" s="1"/>
  <c r="N71" i="8" s="1"/>
  <c r="O71" i="8" s="1"/>
  <c r="K70" i="8"/>
  <c r="L70" i="8" s="1"/>
  <c r="N70" i="8" s="1"/>
  <c r="O70" i="8" s="1"/>
  <c r="K69" i="8"/>
  <c r="L69" i="8" s="1"/>
  <c r="N69" i="8" s="1"/>
  <c r="O69" i="8" s="1"/>
  <c r="K68" i="8"/>
  <c r="L68" i="8" s="1"/>
  <c r="N68" i="8" s="1"/>
  <c r="O68" i="8" s="1"/>
  <c r="K67" i="8"/>
  <c r="L67" i="8" s="1"/>
  <c r="N67" i="8" s="1"/>
  <c r="O67" i="8" s="1"/>
  <c r="K66" i="8"/>
  <c r="L66" i="8" s="1"/>
  <c r="N66" i="8" s="1"/>
  <c r="O66" i="8" s="1"/>
  <c r="K65" i="8"/>
  <c r="L65" i="8" s="1"/>
  <c r="N65" i="8" s="1"/>
  <c r="O65" i="8" s="1"/>
  <c r="K64" i="8"/>
  <c r="L64" i="8" s="1"/>
  <c r="K63" i="8"/>
  <c r="L63" i="8" s="1"/>
  <c r="K62" i="8"/>
  <c r="L62" i="8" s="1"/>
  <c r="K61" i="8"/>
  <c r="L61" i="8" s="1"/>
  <c r="N61" i="8" s="1"/>
  <c r="O61" i="8" s="1"/>
  <c r="K60" i="8"/>
  <c r="L60" i="8" s="1"/>
  <c r="K59" i="8"/>
  <c r="L59" i="8" s="1"/>
  <c r="K58" i="8"/>
  <c r="L58" i="8" s="1"/>
  <c r="K57" i="8"/>
  <c r="L57" i="8" s="1"/>
  <c r="K56" i="8"/>
  <c r="L56" i="8" s="1"/>
  <c r="K55" i="8"/>
  <c r="L55" i="8" s="1"/>
  <c r="N55" i="8" s="1"/>
  <c r="O55" i="8" s="1"/>
  <c r="K54" i="8"/>
  <c r="L54" i="8" s="1"/>
  <c r="K53" i="8"/>
  <c r="L53" i="8" s="1"/>
  <c r="N53" i="8" s="1"/>
  <c r="O53" i="8" s="1"/>
  <c r="K52" i="8"/>
  <c r="L52" i="8" s="1"/>
  <c r="N52" i="8" s="1"/>
  <c r="O52" i="8" s="1"/>
  <c r="K51" i="8"/>
  <c r="L51" i="8" s="1"/>
  <c r="N51" i="8" s="1"/>
  <c r="O51" i="8" s="1"/>
  <c r="K50" i="8"/>
  <c r="L50" i="8" s="1"/>
  <c r="K49" i="8"/>
  <c r="L49" i="8" s="1"/>
  <c r="N49" i="8" s="1"/>
  <c r="O49" i="8" s="1"/>
  <c r="K45" i="8"/>
  <c r="L45" i="8" s="1"/>
  <c r="N45" i="8" s="1"/>
  <c r="O45" i="8" s="1"/>
  <c r="K43" i="8"/>
  <c r="L43" i="8" s="1"/>
  <c r="N43" i="8" s="1"/>
  <c r="O43" i="8" s="1"/>
  <c r="K37" i="8"/>
  <c r="L37" i="8" s="1"/>
  <c r="N37" i="8" s="1"/>
  <c r="O37" i="8" s="1"/>
  <c r="K36" i="8"/>
  <c r="L36" i="8" s="1"/>
  <c r="K35" i="8"/>
  <c r="L35" i="8" s="1"/>
  <c r="K34" i="8"/>
  <c r="L34" i="8" s="1"/>
  <c r="N34" i="8" s="1"/>
  <c r="O34" i="8" s="1"/>
  <c r="K33" i="8"/>
  <c r="L33" i="8" s="1"/>
  <c r="K32" i="8"/>
  <c r="L32" i="8" s="1"/>
  <c r="K31" i="8"/>
  <c r="L31" i="8" s="1"/>
  <c r="K30" i="8"/>
  <c r="L30" i="8" s="1"/>
  <c r="K29" i="8"/>
  <c r="L29" i="8" s="1"/>
  <c r="K28" i="8"/>
  <c r="L28" i="8" s="1"/>
  <c r="K27" i="8"/>
  <c r="L27" i="8" s="1"/>
  <c r="N27" i="8" s="1"/>
  <c r="O27" i="8" s="1"/>
  <c r="K26" i="8"/>
  <c r="L26" i="8" s="1"/>
  <c r="K25" i="8"/>
  <c r="L25" i="8" s="1"/>
  <c r="K24" i="8"/>
  <c r="L24" i="8" s="1"/>
  <c r="K23" i="8"/>
  <c r="L23" i="8" s="1"/>
  <c r="N23" i="8" s="1"/>
  <c r="O23" i="8" s="1"/>
  <c r="K22" i="8"/>
  <c r="L22" i="8" s="1"/>
  <c r="K21" i="8"/>
  <c r="L21" i="8" s="1"/>
  <c r="K20" i="8"/>
  <c r="L20" i="8" s="1"/>
  <c r="N20" i="8" s="1"/>
  <c r="O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K13" i="8"/>
  <c r="L13" i="8" s="1"/>
  <c r="N13" i="8" s="1"/>
  <c r="O13" i="8" s="1"/>
  <c r="K12" i="8"/>
  <c r="L12" i="8" s="1"/>
  <c r="K11" i="8"/>
  <c r="L11" i="8" s="1"/>
  <c r="D8" i="8"/>
  <c r="B36" i="7"/>
  <c r="D36" i="7" s="1"/>
  <c r="B6" i="7"/>
  <c r="M25" i="6"/>
  <c r="M26" i="6"/>
  <c r="M16" i="6"/>
  <c r="M17" i="6"/>
  <c r="M18" i="6"/>
  <c r="M19" i="6"/>
  <c r="M20" i="6"/>
  <c r="M21" i="6"/>
  <c r="M22" i="6"/>
  <c r="M23" i="6"/>
  <c r="M24" i="6"/>
  <c r="E44" i="5" l="1"/>
  <c r="E11" i="3" s="1"/>
  <c r="F44" i="5"/>
  <c r="F11" i="3" s="1"/>
  <c r="G44" i="5"/>
  <c r="G11" i="3" s="1"/>
  <c r="E39" i="5"/>
  <c r="E6" i="3" s="1"/>
  <c r="F39" i="5"/>
  <c r="F6" i="3" s="1"/>
  <c r="G39" i="5"/>
  <c r="G6" i="3" s="1"/>
  <c r="AH18" i="5"/>
  <c r="H45" i="5"/>
  <c r="H12" i="3" s="1"/>
  <c r="AC18" i="5"/>
  <c r="C43" i="5"/>
  <c r="D43" i="5"/>
  <c r="D10" i="3" s="1"/>
  <c r="T18" i="5"/>
  <c r="C40" i="5"/>
  <c r="D40" i="5"/>
  <c r="D7" i="3" s="1"/>
  <c r="I63" i="4"/>
  <c r="E27" i="7"/>
  <c r="F27" i="7" s="1"/>
  <c r="P118" i="8"/>
  <c r="R118" i="8"/>
  <c r="R117" i="8"/>
  <c r="P117" i="8"/>
  <c r="R115" i="8"/>
  <c r="P115" i="8"/>
  <c r="P113" i="8"/>
  <c r="R113" i="8"/>
  <c r="R112" i="8"/>
  <c r="P112" i="8"/>
  <c r="R111" i="8"/>
  <c r="P111" i="8"/>
  <c r="R110" i="8"/>
  <c r="P110" i="8"/>
  <c r="R107" i="8"/>
  <c r="P107" i="8"/>
  <c r="R106" i="8"/>
  <c r="P106" i="8"/>
  <c r="R105" i="8"/>
  <c r="P105" i="8"/>
  <c r="R103" i="8"/>
  <c r="P103" i="8"/>
  <c r="R102" i="8"/>
  <c r="P102" i="8"/>
  <c r="R98" i="8"/>
  <c r="P98" i="8"/>
  <c r="R90" i="8"/>
  <c r="P90" i="8"/>
  <c r="R89" i="8"/>
  <c r="P89" i="8"/>
  <c r="R47" i="8"/>
  <c r="P47" i="8"/>
  <c r="R46" i="8"/>
  <c r="P46" i="8"/>
  <c r="R44" i="8"/>
  <c r="P44" i="8"/>
  <c r="R38" i="8"/>
  <c r="P38" i="8"/>
  <c r="D24" i="1"/>
  <c r="D25" i="1" s="1"/>
  <c r="D27" i="1"/>
  <c r="R121" i="8"/>
  <c r="P121" i="8"/>
  <c r="R120" i="8"/>
  <c r="P120" i="8"/>
  <c r="R119" i="8"/>
  <c r="P119" i="8"/>
  <c r="R116" i="8"/>
  <c r="P116" i="8"/>
  <c r="R114" i="8"/>
  <c r="P114" i="8"/>
  <c r="P109" i="8"/>
  <c r="R109" i="8"/>
  <c r="R108" i="8"/>
  <c r="P108" i="8"/>
  <c r="R104" i="8"/>
  <c r="P104" i="8"/>
  <c r="R100" i="8"/>
  <c r="P100" i="8"/>
  <c r="R97" i="8"/>
  <c r="P97" i="8"/>
  <c r="R93" i="8"/>
  <c r="P93" i="8"/>
  <c r="R88" i="8"/>
  <c r="P88" i="8"/>
  <c r="R48" i="8"/>
  <c r="P48" i="8"/>
  <c r="P39" i="8"/>
  <c r="R39" i="8"/>
  <c r="R81" i="8"/>
  <c r="P81" i="8"/>
  <c r="R80" i="8"/>
  <c r="P80" i="8"/>
  <c r="R79" i="8"/>
  <c r="P79" i="8"/>
  <c r="R78" i="8"/>
  <c r="P78" i="8"/>
  <c r="R77" i="8"/>
  <c r="P77" i="8"/>
  <c r="R76" i="8"/>
  <c r="P76" i="8"/>
  <c r="R75" i="8"/>
  <c r="P75" i="8"/>
  <c r="R74" i="8"/>
  <c r="P74" i="8"/>
  <c r="R73" i="8"/>
  <c r="P73" i="8"/>
  <c r="R72" i="8"/>
  <c r="P72" i="8"/>
  <c r="R71" i="8"/>
  <c r="P71" i="8"/>
  <c r="R70" i="8"/>
  <c r="P70" i="8"/>
  <c r="R69" i="8"/>
  <c r="P69" i="8"/>
  <c r="R68" i="8"/>
  <c r="P68" i="8"/>
  <c r="R67" i="8"/>
  <c r="P67" i="8"/>
  <c r="R66" i="8"/>
  <c r="P66" i="8"/>
  <c r="R65" i="8"/>
  <c r="P65" i="8"/>
  <c r="R61" i="8"/>
  <c r="P61" i="8"/>
  <c r="R55" i="8"/>
  <c r="P55" i="8"/>
  <c r="R53" i="8"/>
  <c r="P53" i="8"/>
  <c r="R52" i="8"/>
  <c r="P52" i="8"/>
  <c r="R51" i="8"/>
  <c r="P51" i="8"/>
  <c r="R49" i="8"/>
  <c r="P49" i="8"/>
  <c r="R45" i="8"/>
  <c r="P45" i="8"/>
  <c r="R43" i="8"/>
  <c r="P43" i="8"/>
  <c r="P37" i="8"/>
  <c r="R37" i="8"/>
  <c r="R34" i="8"/>
  <c r="P34" i="8"/>
  <c r="R27" i="8"/>
  <c r="P27" i="8"/>
  <c r="R23" i="8"/>
  <c r="P23" i="8"/>
  <c r="R20" i="8"/>
  <c r="P20" i="8"/>
  <c r="R13" i="8"/>
  <c r="P13" i="8"/>
  <c r="N17" i="8"/>
  <c r="O17" i="8" s="1"/>
  <c r="N19" i="8"/>
  <c r="O19" i="8" s="1"/>
  <c r="N22" i="8"/>
  <c r="O22" i="8" s="1"/>
  <c r="N25" i="8"/>
  <c r="O25" i="8" s="1"/>
  <c r="N28" i="8"/>
  <c r="O28" i="8" s="1"/>
  <c r="N30" i="8"/>
  <c r="O30" i="8" s="1"/>
  <c r="N32" i="8"/>
  <c r="O32" i="8" s="1"/>
  <c r="N33" i="8"/>
  <c r="O33" i="8" s="1"/>
  <c r="N36" i="8"/>
  <c r="O36" i="8" s="1"/>
  <c r="N62" i="8"/>
  <c r="O62" i="8" s="1"/>
  <c r="N63" i="8"/>
  <c r="O63" i="8" s="1"/>
  <c r="N64" i="8"/>
  <c r="O64" i="8" s="1"/>
  <c r="N11" i="8"/>
  <c r="N12" i="8"/>
  <c r="O12" i="8" s="1"/>
  <c r="N14" i="8"/>
  <c r="O14" i="8" s="1"/>
  <c r="N16" i="8"/>
  <c r="O16" i="8" s="1"/>
  <c r="N18" i="8"/>
  <c r="O18" i="8" s="1"/>
  <c r="N21" i="8"/>
  <c r="O21" i="8" s="1"/>
  <c r="N24" i="8"/>
  <c r="O24" i="8" s="1"/>
  <c r="N26" i="8"/>
  <c r="O26" i="8" s="1"/>
  <c r="N31" i="8"/>
  <c r="O31" i="8" s="1"/>
  <c r="N35" i="8"/>
  <c r="O35" i="8" s="1"/>
  <c r="N15" i="8"/>
  <c r="O15" i="8" s="1"/>
  <c r="N29" i="8"/>
  <c r="O29" i="8" s="1"/>
  <c r="N40" i="8"/>
  <c r="O40" i="8" s="1"/>
  <c r="N50" i="8"/>
  <c r="O50" i="8" s="1"/>
  <c r="N54" i="8"/>
  <c r="O54" i="8" s="1"/>
  <c r="N56" i="8"/>
  <c r="O56" i="8" s="1"/>
  <c r="N57" i="8"/>
  <c r="O57" i="8" s="1"/>
  <c r="N58" i="8"/>
  <c r="O58" i="8" s="1"/>
  <c r="N59" i="8"/>
  <c r="O59" i="8" s="1"/>
  <c r="N60" i="8"/>
  <c r="O60" i="8" s="1"/>
  <c r="N82" i="8"/>
  <c r="O82" i="8" s="1"/>
  <c r="N83" i="8"/>
  <c r="O83" i="8" s="1"/>
  <c r="N85" i="8"/>
  <c r="O85" i="8" s="1"/>
  <c r="N86" i="8"/>
  <c r="O86" i="8" s="1"/>
  <c r="N91" i="8"/>
  <c r="O91" i="8" s="1"/>
  <c r="N94" i="8"/>
  <c r="O94" i="8" s="1"/>
  <c r="N95" i="8"/>
  <c r="O95" i="8" s="1"/>
  <c r="N101" i="8"/>
  <c r="O101" i="8" s="1"/>
  <c r="N41" i="8"/>
  <c r="O41" i="8" s="1"/>
  <c r="N42" i="8"/>
  <c r="O42" i="8" s="1"/>
  <c r="N84" i="8"/>
  <c r="O84" i="8" s="1"/>
  <c r="N87" i="8"/>
  <c r="O87" i="8" s="1"/>
  <c r="N92" i="8"/>
  <c r="O92" i="8" s="1"/>
  <c r="N96" i="8"/>
  <c r="O96" i="8" s="1"/>
  <c r="N99" i="8"/>
  <c r="O99" i="8" s="1"/>
  <c r="Q25" i="6"/>
  <c r="U25" i="6"/>
  <c r="U26" i="6"/>
  <c r="Q26" i="6"/>
  <c r="U29" i="6"/>
  <c r="F19" i="3" s="1"/>
  <c r="Q29" i="6"/>
  <c r="D19" i="3" s="1"/>
  <c r="U16" i="6"/>
  <c r="Q16" i="6"/>
  <c r="U17" i="6"/>
  <c r="Q17" i="6"/>
  <c r="U18" i="6"/>
  <c r="Q18" i="6"/>
  <c r="U19" i="6"/>
  <c r="Q19" i="6"/>
  <c r="U20" i="6"/>
  <c r="Q20" i="6"/>
  <c r="U21" i="6"/>
  <c r="Q21" i="6"/>
  <c r="U22" i="6"/>
  <c r="Q22" i="6"/>
  <c r="U23" i="6"/>
  <c r="Q23" i="6"/>
  <c r="Q24" i="6"/>
  <c r="U24" i="6"/>
  <c r="AI18" i="5" l="1"/>
  <c r="C45" i="5"/>
  <c r="D45" i="5"/>
  <c r="D12" i="3" s="1"/>
  <c r="E43" i="5"/>
  <c r="E10" i="3" s="1"/>
  <c r="F43" i="5"/>
  <c r="F10" i="3" s="1"/>
  <c r="G43" i="5"/>
  <c r="G10" i="3" s="1"/>
  <c r="E40" i="5"/>
  <c r="E7" i="3" s="1"/>
  <c r="F40" i="5"/>
  <c r="F7" i="3" s="1"/>
  <c r="G40" i="5"/>
  <c r="G7" i="3" s="1"/>
  <c r="I64" i="4"/>
  <c r="E28" i="7"/>
  <c r="F28" i="7" s="1"/>
  <c r="M45" i="1"/>
  <c r="N45" i="1" s="1"/>
  <c r="O45" i="1" s="1"/>
  <c r="M46" i="1"/>
  <c r="N46" i="1" s="1"/>
  <c r="O46" i="1" s="1"/>
  <c r="R17" i="8"/>
  <c r="P17" i="8"/>
  <c r="R19" i="8"/>
  <c r="P19" i="8"/>
  <c r="R22" i="8"/>
  <c r="P22" i="8"/>
  <c r="R25" i="8"/>
  <c r="P25" i="8"/>
  <c r="R28" i="8"/>
  <c r="P28" i="8"/>
  <c r="R30" i="8"/>
  <c r="P30" i="8"/>
  <c r="R32" i="8"/>
  <c r="P32" i="8"/>
  <c r="R33" i="8"/>
  <c r="P33" i="8"/>
  <c r="R36" i="8"/>
  <c r="P36" i="8"/>
  <c r="R62" i="8"/>
  <c r="P62" i="8"/>
  <c r="R63" i="8"/>
  <c r="P63" i="8"/>
  <c r="R64" i="8"/>
  <c r="P64" i="8"/>
  <c r="P124" i="8"/>
  <c r="O11" i="8"/>
  <c r="R12" i="8"/>
  <c r="P12" i="8"/>
  <c r="R14" i="8"/>
  <c r="P14" i="8"/>
  <c r="R16" i="8"/>
  <c r="P16" i="8"/>
  <c r="R18" i="8"/>
  <c r="P18" i="8"/>
  <c r="R21" i="8"/>
  <c r="P21" i="8"/>
  <c r="R24" i="8"/>
  <c r="P24" i="8"/>
  <c r="R26" i="8"/>
  <c r="P26" i="8"/>
  <c r="R31" i="8"/>
  <c r="P31" i="8"/>
  <c r="R35" i="8"/>
  <c r="P35" i="8"/>
  <c r="R15" i="8"/>
  <c r="P15" i="8"/>
  <c r="R29" i="8"/>
  <c r="P29" i="8"/>
  <c r="P40" i="8"/>
  <c r="R40" i="8"/>
  <c r="P50" i="8"/>
  <c r="R50" i="8"/>
  <c r="P54" i="8"/>
  <c r="R54" i="8"/>
  <c r="P56" i="8"/>
  <c r="R56" i="8"/>
  <c r="P57" i="8"/>
  <c r="R57" i="8"/>
  <c r="P58" i="8"/>
  <c r="R58" i="8"/>
  <c r="P59" i="8"/>
  <c r="R59" i="8"/>
  <c r="P60" i="8"/>
  <c r="R60" i="8"/>
  <c r="P82" i="8"/>
  <c r="R82" i="8"/>
  <c r="P83" i="8"/>
  <c r="R83" i="8"/>
  <c r="P85" i="8"/>
  <c r="R85" i="8"/>
  <c r="P86" i="8"/>
  <c r="R86" i="8"/>
  <c r="P91" i="8"/>
  <c r="R91" i="8"/>
  <c r="P94" i="8"/>
  <c r="R94" i="8"/>
  <c r="P95" i="8"/>
  <c r="R95" i="8"/>
  <c r="P101" i="8"/>
  <c r="R101" i="8"/>
  <c r="P41" i="8"/>
  <c r="R41" i="8"/>
  <c r="P42" i="8"/>
  <c r="R42" i="8"/>
  <c r="P84" i="8"/>
  <c r="R84" i="8"/>
  <c r="P87" i="8"/>
  <c r="R87" i="8"/>
  <c r="P92" i="8"/>
  <c r="R92" i="8"/>
  <c r="P96" i="8"/>
  <c r="R96" i="8"/>
  <c r="P99" i="8"/>
  <c r="R99" i="8"/>
  <c r="U28" i="6"/>
  <c r="E19" i="3" s="1"/>
  <c r="Q28" i="6"/>
  <c r="C19" i="3" s="1"/>
  <c r="D28" i="1"/>
  <c r="E45" i="5" l="1"/>
  <c r="E12" i="3" s="1"/>
  <c r="F45" i="5"/>
  <c r="F12" i="3" s="1"/>
  <c r="G45" i="5"/>
  <c r="G12" i="3" s="1"/>
  <c r="I65" i="4"/>
  <c r="E29" i="7"/>
  <c r="F29" i="7" s="1"/>
  <c r="P11" i="8"/>
  <c r="P123" i="8" s="1"/>
  <c r="R11" i="8"/>
  <c r="D37" i="1"/>
  <c r="D38" i="1" s="1"/>
  <c r="D30" i="1"/>
  <c r="O65" i="1"/>
  <c r="I66" i="4" l="1"/>
  <c r="E30" i="7"/>
  <c r="F30" i="7" s="1"/>
  <c r="R123" i="8"/>
  <c r="D38" i="3" s="1"/>
  <c r="D36" i="3"/>
  <c r="D31" i="1"/>
  <c r="D34" i="1"/>
  <c r="D35" i="1" s="1"/>
  <c r="D36" i="1" s="1"/>
  <c r="I67" i="4" l="1"/>
  <c r="E31" i="7"/>
  <c r="F31" i="7" s="1"/>
  <c r="I68" i="4" l="1"/>
  <c r="E32" i="7"/>
  <c r="F32" i="7" s="1"/>
  <c r="I69" i="4" l="1"/>
  <c r="E33" i="7"/>
  <c r="F33" i="7" s="1"/>
  <c r="I70" i="4" l="1"/>
  <c r="E10" i="6"/>
  <c r="E34" i="7"/>
  <c r="F34" i="7" s="1"/>
  <c r="I71" i="4" l="1"/>
  <c r="E36" i="7" s="1"/>
  <c r="F36" i="7" s="1"/>
  <c r="E35" i="7"/>
  <c r="F35" i="7" s="1"/>
  <c r="J16" i="6"/>
  <c r="J17" i="6"/>
  <c r="J18" i="6"/>
  <c r="J19" i="6"/>
  <c r="J20" i="6"/>
  <c r="J21" i="6"/>
  <c r="J22" i="6"/>
  <c r="J23" i="6"/>
  <c r="J24" i="6"/>
  <c r="J25" i="6"/>
  <c r="J26" i="6"/>
  <c r="B7" i="7"/>
  <c r="N16" i="6" l="1"/>
  <c r="R16" i="6"/>
  <c r="N29" i="6"/>
  <c r="D16" i="3" s="1"/>
  <c r="R29" i="6"/>
  <c r="F16" i="3" s="1"/>
  <c r="N17" i="6"/>
  <c r="R17" i="6"/>
  <c r="N18" i="6"/>
  <c r="R18" i="6"/>
  <c r="N19" i="6"/>
  <c r="R19" i="6"/>
  <c r="N20" i="6"/>
  <c r="R20" i="6"/>
  <c r="N21" i="6"/>
  <c r="R21" i="6"/>
  <c r="N22" i="6"/>
  <c r="R22" i="6"/>
  <c r="N23" i="6"/>
  <c r="R23" i="6"/>
  <c r="N24" i="6"/>
  <c r="R24" i="6"/>
  <c r="N25" i="6"/>
  <c r="R25" i="6"/>
  <c r="N26" i="6"/>
  <c r="R26" i="6"/>
  <c r="R28" i="6" l="1"/>
  <c r="E16" i="3" s="1"/>
  <c r="N28" i="6"/>
  <c r="C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9" authorId="0" shapeId="0" xr:uid="{00000000-0006-0000-0300-000001000000}">
      <text>
        <r>
          <rPr>
            <sz val="10"/>
            <rFont val="FreeSans"/>
            <family val="2"/>
          </rPr>
          <t xml:space="preserve">نرخ تسعیر ارز سال ۹۳ از شیت </t>
        </r>
        <r>
          <rPr>
            <sz val="10"/>
            <rFont val="Arial"/>
            <family val="2"/>
          </rPr>
          <t xml:space="preserve">Inflation </t>
        </r>
        <r>
          <rPr>
            <sz val="10"/>
            <rFont val="FreeSans"/>
            <family val="2"/>
          </rPr>
          <t xml:space="preserve">فایل مارون ۳ </t>
        </r>
        <r>
          <rPr>
            <sz val="10"/>
            <rFont val="Arial"/>
            <family val="2"/>
          </rPr>
          <t xml:space="preserve">(G7). </t>
        </r>
        <r>
          <rPr>
            <sz val="10"/>
            <rFont val="FreeSans"/>
            <family val="2"/>
          </rPr>
          <t>همین نرخ برای برگرداندن قیمت‌های ریالی ۱۳۹۳ پازنان به یورو استفاده می‌شود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17" authorId="0" shapeId="0" xr:uid="{00000000-0006-0000-0400-000005000000}">
      <text>
        <r>
          <rPr>
            <sz val="10"/>
            <rFont val="FreeSans"/>
            <family val="2"/>
          </rPr>
          <t xml:space="preserve">ضریب هر سطر </t>
        </r>
        <r>
          <rPr>
            <sz val="10"/>
            <rFont val="Arial"/>
            <family val="2"/>
          </rPr>
          <t xml:space="preserve">= AH </t>
        </r>
        <r>
          <rPr>
            <sz val="10"/>
            <rFont val="FreeSans"/>
            <family val="2"/>
          </rPr>
          <t xml:space="preserve">همان </t>
        </r>
        <r>
          <rPr>
            <sz val="10"/>
            <rFont val="Arial"/>
            <family val="2"/>
          </rPr>
          <t xml:space="preserve">Tag </t>
        </r>
        <r>
          <rPr>
            <sz val="10"/>
            <rFont val="FreeSans"/>
            <family val="2"/>
          </rPr>
          <t xml:space="preserve">در سطرهای اعتبارسنجی ۳۳۱ تا ۳۴۹ شیت </t>
        </r>
        <r>
          <rPr>
            <sz val="10"/>
            <rFont val="Arial"/>
            <family val="2"/>
          </rPr>
          <t xml:space="preserve">Equipment </t>
        </r>
        <r>
          <rPr>
            <sz val="10"/>
            <rFont val="FreeSans"/>
            <family val="2"/>
          </rPr>
          <t>مدل شما (هدف ۱۴۰۴</t>
        </r>
        <r>
          <rPr>
            <sz val="10"/>
            <rFont val="Arial"/>
            <family val="2"/>
          </rPr>
          <t>).</t>
        </r>
      </text>
    </comment>
    <comment ref="L32" authorId="0" shapeId="0" xr:uid="{00000000-0006-0000-0400-000001000000}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>به دلیل نامشخص بودن دامنه کار از آمار حذف شد</t>
        </r>
        <r>
          <rPr>
            <sz val="10"/>
            <rFont val="Arial"/>
            <family val="2"/>
          </rPr>
          <t>.</t>
        </r>
      </text>
    </comment>
    <comment ref="L33" authorId="0" shapeId="0" xr:uid="{00000000-0006-0000-0400-000002000000}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>به دلیل نامشخص بودن دامنه کار از آمار حذف شد</t>
        </r>
        <r>
          <rPr>
            <sz val="10"/>
            <rFont val="Arial"/>
            <family val="2"/>
          </rPr>
          <t>.</t>
        </r>
      </text>
    </comment>
    <comment ref="L34" authorId="0" shapeId="0" xr:uid="{00000000-0006-0000-0400-000003000000}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>به دلیل نامشخص بودن دامنه کار از آمار حذف شد</t>
        </r>
        <r>
          <rPr>
            <sz val="10"/>
            <rFont val="Arial"/>
            <family val="2"/>
          </rPr>
          <t>.</t>
        </r>
      </text>
    </comment>
    <comment ref="L35" authorId="0" shapeId="0" xr:uid="{00000000-0006-0000-0400-000004000000}">
      <text>
        <r>
          <rPr>
            <sz val="10"/>
            <rFont val="FreeSans"/>
            <family val="2"/>
          </rPr>
          <t xml:space="preserve">پمپ آتش‌نشانی: دامنه استعلام‌ها تا ۲۳ برابر </t>
        </r>
        <r>
          <rPr>
            <sz val="10"/>
            <rFont val="Arial"/>
            <family val="2"/>
          </rPr>
          <t>(</t>
        </r>
        <r>
          <rPr>
            <sz val="10"/>
            <rFont val="FreeSans"/>
            <family val="2"/>
          </rPr>
          <t xml:space="preserve">پمپ تنها در برابر پکیج کامل </t>
        </r>
        <r>
          <rPr>
            <sz val="10"/>
            <rFont val="Arial"/>
            <family val="2"/>
          </rPr>
          <t xml:space="preserve">NFPA 20). </t>
        </r>
        <r>
          <rPr>
            <sz val="10"/>
            <rFont val="FreeSans"/>
            <family val="2"/>
          </rPr>
          <t>به دلیل نامشخص بودن دامنه کار از آمار حذف شد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<sst xmlns="http://schemas.openxmlformats.org/spreadsheetml/2006/main" count="1468" uniqueCount="746">
  <si>
    <t>ماشین‌حساب قیمت پمپ — انتقال قیمت قدیم به سال هدف</t>
  </si>
  <si>
    <t>فقط خانه‌های زرد را پر کنید. بقیه خودکار محاسبه می‌شود. روش: تبدیل به یورو ← تعدیل با شاخص قیمت پمپ (PPI) ← کف قیمت پمپ API ← تبدیل با نرخ یوروی سال هدف.</t>
  </si>
  <si>
    <t>الف) ورودی‌ها</t>
  </si>
  <si>
    <t>ورودی</t>
  </si>
  <si>
    <t>مقدار</t>
  </si>
  <si>
    <t>راهنما</t>
  </si>
  <si>
    <t>نوع پمپ</t>
  </si>
  <si>
    <t>گریز از مرکز API 610</t>
  </si>
  <si>
    <t>از لیست انتخاب کنید. کف قیمت فقط به «گریز از مرکز API 610» با کلاس S یا D اعمال می‌شود.</t>
  </si>
  <si>
    <t>کلاس مواد API 610</t>
  </si>
  <si>
    <t>D2</t>
  </si>
  <si>
    <t>از دیتاشیت (مثلاً S6، D1، I2). اگر نمی‌دانید «نامشخص».</t>
  </si>
  <si>
    <t>قیمت واحد پایه</t>
  </si>
  <si>
    <t>قیمت یک دستگاه در منبع قدیمی، به همان ارزی که در منبع آمده.</t>
  </si>
  <si>
    <t>ارز قیمت پایه</t>
  </si>
  <si>
    <t>EUR</t>
  </si>
  <si>
    <t>EUR / USD / IRR</t>
  </si>
  <si>
    <t>سال پایه (شمسی)</t>
  </si>
  <si>
    <t>سال تاریخ قیمت/استعلام منبع (نه سال انتشار گزارش).</t>
  </si>
  <si>
    <t>نرخ تسعیر منبع (ریال به ازای یورو) — اختیاری</t>
  </si>
  <si>
    <t>فقط برای قیمت ریالی. اگر منبع ریال را از یورو ساخته، همان نرخ را بنویسید (گچساران ۴ = ۴۵۵٬۶۹۲؛ پازنان ۱۴۰۴ = ۶۹۵٬۲۹۹). خالی = نرخ جدول Indices.</t>
  </si>
  <si>
    <t>سال هدف (شمسی)</t>
  </si>
  <si>
    <t>سالی که قیمت را برای آن می‌خواهید.</t>
  </si>
  <si>
    <t>نرخ یورو هدف (ریال) — اختیاری</t>
  </si>
  <si>
    <t>خالی = نرخ سال هدف در Indices. برای نرخ روز یا مرکز مبادله اینجا بنویسید.</t>
  </si>
  <si>
    <t>تعداد</t>
  </si>
  <si>
    <t>تعداد دستگاه (مثلاً A/B = ۲).</t>
  </si>
  <si>
    <t>هزینه گمرک/حمل/ترخیص (٪ از قیمت)</t>
  </si>
  <si>
    <t>برای کالای وارداتی؛ برای ساخت داخل صفر. مثال: CSV پمپ‌ها ۶٪.</t>
  </si>
  <si>
    <t>اعمال کف قیمت</t>
  </si>
  <si>
    <t>خودکار</t>
  </si>
  <si>
    <t>خودکار = طبق نوع و کلاس؛ یا اجباری بله/خیر.</t>
  </si>
  <si>
    <t>ب) مراحل محاسبه (خودکار)</t>
  </si>
  <si>
    <t>مرحله</t>
  </si>
  <si>
    <t>توضیح</t>
  </si>
  <si>
    <t>۱. نرخ تبدیل ارز پایه به یورو</t>
  </si>
  <si>
    <t>یورو=۱؛ دلار=نرخ یورو/دلار سال پایه؛ ریال=نرخ تسعیر منبع یا نرخ سال پایه</t>
  </si>
  <si>
    <t>۲. قیمت پایه به یورو</t>
  </si>
  <si>
    <t>لنگر یورویی قیمت</t>
  </si>
  <si>
    <t>۳. شاخص قیمت پمپ در سال پایه</t>
  </si>
  <si>
    <t>Eurostat C28.13 (۲۰۲۱=۱۰۰)</t>
  </si>
  <si>
    <t>۴. شاخص قیمت پمپ در سال هدف</t>
  </si>
  <si>
    <t>برای ۱۴۰۵ به بعد پیش‌بینی است</t>
  </si>
  <si>
    <t>۵. ضریب تعدیل یورویی</t>
  </si>
  <si>
    <t>رشد قیمت پمپ به یورو بین دو سال</t>
  </si>
  <si>
    <t>۶. قیمت یورویی تعدیل‌شده</t>
  </si>
  <si>
    <t>۷. مشمول کف قیمت؟</t>
  </si>
  <si>
    <t>پمپ کوچک API بازار امروز ارزان‌تر از این حد ندارد</t>
  </si>
  <si>
    <t>۸. کف قیمت در سال هدف (یورو)</t>
  </si>
  <si>
    <t>۲۵٬۰۰۰ یورو در سطح ۱۴۰۴ × رشد شاخص</t>
  </si>
  <si>
    <t>۹. قیمت یورویی نهایی (واحد)</t>
  </si>
  <si>
    <t>۱۰. نرخ یورو سال هدف (ریال)</t>
  </si>
  <si>
    <t>دستی یا از Indices</t>
  </si>
  <si>
    <t>۱۱. قیمت ریالی واحد (بدون گمرک)</t>
  </si>
  <si>
    <t>۱۲. گمرک/حمل/ترخیص (ریال، واحد)</t>
  </si>
  <si>
    <t>ج) نتیجه</t>
  </si>
  <si>
    <t>قیمت واحد (ریال)</t>
  </si>
  <si>
    <t>قیمت کل (ریال)</t>
  </si>
  <si>
    <t>قیمت کل (تومان)</t>
  </si>
  <si>
    <t>قیمت کل (یورو)</t>
  </si>
  <si>
    <t>قیمت کل (دلار)</t>
  </si>
  <si>
    <t>هشدار:</t>
  </si>
  <si>
    <t>د) محاسبه چندقلمی (سال هدف، نرخ یورو هدف و درصد گمرک از بخش الف خوانده می‌شوند)</t>
  </si>
  <si>
    <t>Tag/شرح</t>
  </si>
  <si>
    <t>کلاس</t>
  </si>
  <si>
    <t>ارز</t>
  </si>
  <si>
    <t>سال پایه</t>
  </si>
  <si>
    <t>نرخ تسعیر منبع (اختیاری)</t>
  </si>
  <si>
    <t>کف قیمت</t>
  </si>
  <si>
    <t>یورو پایه</t>
  </si>
  <si>
    <t>ضریب PPI</t>
  </si>
  <si>
    <t>یورو نهایی (واحد)</t>
  </si>
  <si>
    <t>ریال واحد</t>
  </si>
  <si>
    <t>ریال کل</t>
  </si>
  <si>
    <t>KPL P-111 A/B/C</t>
  </si>
  <si>
    <t>D1</t>
  </si>
  <si>
    <t>Gachsaran P-103</t>
  </si>
  <si>
    <t>S6</t>
  </si>
  <si>
    <t>IRR</t>
  </si>
  <si>
    <t>Pazanan P-210 A/B</t>
  </si>
  <si>
    <t>پرتابل/کوچک</t>
  </si>
  <si>
    <t>نامشخص</t>
  </si>
  <si>
    <t>جمع</t>
  </si>
  <si>
    <t>ریال:</t>
  </si>
  <si>
    <t>سه سطر اول نمونه‌اند؛ آن‌ها را پاک یا جایگزین کنید.</t>
  </si>
  <si>
    <t>راهنمای فایل: هر شیت چه می‌کند و هر نرخ به چه کار می‌آید</t>
  </si>
  <si>
    <t>ترتیب استفاده</t>
  </si>
  <si>
    <t>شیت‌ها</t>
  </si>
  <si>
    <t>ماشین_حساب</t>
  </si>
  <si>
    <t>محاسبه قیمت یک پمپ (با نمایش گام‌به‌گام) و جدول ۲۰ قلمی. ورودی‌ها زرد، نتیجه سبز.</t>
  </si>
  <si>
    <t>Summary</t>
  </si>
  <si>
    <t>جدول مقایسه ۷ روش تعدیل روی پمپ‌های یورویی و ۴ روش روی پکیج‌های ریالی، روش پیشنهادی، محدودیت‌ها و جمع بانک پمپ ۱۴۰۵. همه اعداد فرمول و متصل به شیت‌های دیگرند.</t>
  </si>
  <si>
    <t>Indices</t>
  </si>
  <si>
    <t>تنها محل نرخ‌ها و شاخص‌ها. جدول ۱: شاخص قیمت پمپ اروپا و آمریکا (میلادی). جدول ۲: سبد فلزی پمپ. جدول ۳: سری شمسی (شاخص پمپ شمسی، دلار، یورو/دلار، نرخ یورو، تورم ریالی و ارزی). تغییر هر عدد اینجا همه فایل را به‌روز می‌کند.</t>
  </si>
  <si>
    <t>Val_EUR_Pumps</t>
  </si>
  <si>
    <t>آزمون اصلی: ۱۸ پمپ پازنان ۲ با قیمت ۱۳۹۳ و استعلام واقعی ۱۴۰۴ (آریا سپهر کیهان، پمپیران، کالای پمپ). برای هر روش: پیش‌بینی، نسبت پیش‌بینی/واقعی و خطای مطلق؛ پایین شیت آمار خطا. ستون «در آمار؟» پمپ‌های آتش‌نشانی را کنار می‌گذارد؛ ستون «مشمول کف؟» تعیین می‌کند کف قیمت اعمال شود یا نه.</t>
  </si>
  <si>
    <t>Val_IRR_Packages</t>
  </si>
  <si>
    <t>آزمون مسیر ریالی: ۱۱ پکیج تزریق پازنان (قیمت ریالی ۱۳۹۳). مقایسه CPI، ضریب پازنان، مدل فعلی شما و روش پیشنهادی با استعلام ریالی واقعی و میانگین همه استعلام‌ها. پایین شیت: نرخ دلاری که روش پیشنهادی را دقیقاً منطبق می‌کند (آزمون حساسیت).</t>
  </si>
  <si>
    <t>Drivers</t>
  </si>
  <si>
    <t>تفکیک اثر عوامل ۱۳۹۳ تا ۱۴۰۳: نرخ یورو، PPI پمپ، CPI، فلزات؛ و جدول/نمودار سالانه «شاخص ریالی پمپ» در برابر CPI.</t>
  </si>
  <si>
    <t>Pump_Bank_Escalated</t>
  </si>
  <si>
    <t>۱۱۱ ردیف پمپ مدل شما (KPL، پازنان، گچساران، CSV) با روش پیشنهادی به سال هدف (D3) + ستون مقایسه با خروجی مدل فعلی. سطرهای اشتباه‌طبقه‌بندی‌شده (جرثقیل، فیلتر، IGF، مخزن) حذف شده‌اند.</t>
  </si>
  <si>
    <t>Model_Issues</t>
  </si>
  <si>
    <t>۱۰ ایراد یافت‌شده در مدل فعلی با محل، اثر و اصلاح.</t>
  </si>
  <si>
    <t>Sources</t>
  </si>
  <si>
    <t>لینک منابع شاخص‌ها و نرخ‌ها و فایل‌های مرجع.</t>
  </si>
  <si>
    <t>نرخ‌ها و ضرایب: چه هستند و چرا</t>
  </si>
  <si>
    <t>شاخص PPI پمپ اروپا (Eurostat C28.13)</t>
  </si>
  <si>
    <t>شاخص رسمی قیمت تولیدکننده پمپ و کمپرسور در منطقه یورو. موتور اصلی تعدیل است چون استعلام‌ها (حتی سازنده داخلی) به یورو داده می‌شوند. ۱۳۹۳→۱۴۰۴ ≈ ۱٫۳۵ برابر. اثر فولاد، نیکل، مس، دستمزد و انرژی سازنده داخلش هست.</t>
  </si>
  <si>
    <t>سهم سال شمسی (۰٫۷۹)</t>
  </si>
  <si>
    <t>تبدیل شاخص میلادی به شمسی: سال شمسی Y حدود ۹٫۵ ماه در سال میلادی Y+621 است. شاخص شمسی = ۰٫۷۹×میلادی(Y+621) + ۰٫۲۱×میلادی(Y+622).</t>
  </si>
  <si>
    <t>رشد پیش‌بینی (۲٪) و روش «فلزی»</t>
  </si>
  <si>
    <t>برای سال‌هایی که شاخص رسمی هنوز منتشر نشده (۲۰۲۶ به بعد). «روند» = ۲٪ ثابت؛ «فلزی» = ترکیب ۷۰٪ روند + ۳۰٪ تغییر سبد فلزی. فلزات فقط همین‌جا وارد می‌شوند تا دوباره‌شماری نشود.</t>
  </si>
  <si>
    <t>سبد فلزی پمپ (فولاد ۶۰٪، مس ۲۵٪، نیکل ۱۲٪، مولیبدن ۳٪)</t>
  </si>
  <si>
    <t>برای nowcast و تحلیل حساسیت. نشان می‌دهد اثر مستقیم فلزات در ۱۰ سال فقط حدود ۵٪ قیمت بوده است.</t>
  </si>
  <si>
    <t>PPI پمپ آمریکا (BLS)</t>
  </si>
  <si>
    <t>فقط برای مقایسه (روش M5). چون قیمت‌ها به یورو است، شاخص اروپا مبناست.</t>
  </si>
  <si>
    <t>دلار آزاد و یورو/دلار (Indices ستون D و E)</t>
  </si>
  <si>
    <t>برای تبدیل قیمت ریالی و دلاری به یورو در سال پایه و برگرداندن یورو به ریال در سال هدف. از Params مدل شما آمده و تخمینی است؛ ۱۴۰۵ = ۲٬۵۰۰٬۰۰۰ (عدد خودتان).</t>
  </si>
  <si>
    <t>نرخ یورو جایگزین ۱۳۹۳ = ۴۰٬۵۳۱</t>
  </si>
  <si>
    <t>از شیت Inflation مارون ۳. همان نرخی است که قیمت‌های ریالی آن دوره با آن ساخته شده‌اند، پس برای برگرداندن آن‌ها به یورو درست‌ترین است.</t>
  </si>
  <si>
    <t>نرخ تسعیر منبع</t>
  </si>
  <si>
    <t>قاعده طلایی: ریال را با همان نرخی به یورو برگردانید که منبع با آن ساخته (گچساران ۴: ۴۲۰٬۰۰۰×۱٫۰۸۵ = ۴۵۵٬۶۹۲؛ پازنان ۱۴۰۴: ۶۵۸٬۵۳۳×۱٫۰۵۶ = ۶۹۵٬۲۹۹). اگر نه، خطای نرخ ارز وارد قیمت می‌شود.</t>
  </si>
  <si>
    <t>تورم ریالی (CPI) و تورم ارزی مارون ۳</t>
  </si>
  <si>
    <t>فقط برای مقایسه و روش‌های قدیمی (M1، R1). برای پمپ CPI استفاده نمی‌شود چون در آزمون نصف قیمت واقعی را داد. تورم ریالی ۱۴۰۵ (۲۰٪) در منبع غیرواقعی است.</t>
  </si>
  <si>
    <t>ضرایب پازنان (۱٫۵۵ یورویی، ۱۶٫۲۶ ریالی)</t>
  </si>
  <si>
    <t>ضرایبی که مشاور پازنان برای اقلام بدون استعلام به کار برده (از فایل لینک‌شده Basic INFO). ۱۶٫۲۶ همان CPI است. فقط برای مقایسه (M2، R2).</t>
  </si>
  <si>
    <t>کف قیمت ۲۵٬۰۰۰ یورو (سطح ۱۴۰۴)</t>
  </si>
  <si>
    <t>پمپ گریز از مرکز API 610 با کلاس S یا D امروز ارزان‌تر از این حد عرضه نمی‌شود (پمپیران برای پمپ‌های کوچک ۳۰٬۰۰۰ داده). با شاخص به سال هدف می‌رود. پمپ چدنی I2، جابه‌جایی مثبت، آتش‌نشانی و پکیج کف ندارند. نتیجه بین ۲۲٬۵۰۰ تا ۳۰٬۰۰۰ تقریباً ثابت است.</t>
  </si>
  <si>
    <t>نرخ دلار اسفند ۱۴۰۳ = ۹۳۰٬۰۰۰ و یورو/دلار ۱٫۰۴</t>
  </si>
  <si>
    <t>فقط در آزمون ریالی، برای تاریخ استعلام‌های پازنان. تقریبی است؛ آزمون حساسیت در Val_IRR_Packages.</t>
  </si>
  <si>
    <t>معیارهای خطا</t>
  </si>
  <si>
    <t>سوگیری میانه</t>
  </si>
  <si>
    <t>میانه (پیش‌بینی÷واقعی)−۱. منفی = کم‌برآورد سیستماتیک.</t>
  </si>
  <si>
    <t>MdAPE / MAPE</t>
  </si>
  <si>
    <t>میانه / میانگین قدر مطلق خطای تک‌قلم. MdAPE حساسیت کمتری به اقلام عجیب دارد.</t>
  </si>
  <si>
    <t>جمع پیش‌بینی/واقعی</t>
  </si>
  <si>
    <t>دقت روی جمع پروژه (وزنی با تعداد و مبلغ). مهم‌ترین معیار برای بودجه.</t>
  </si>
  <si>
    <t>رنگ‌ها</t>
  </si>
  <si>
    <t>آبی = ورودی؛ زرد = فرض کلیدی/ورودی کاربر؛ سیاه = فرمول؛ سبز = پیوند از شیت دیگر یا نتیجه؛ صورتی = مقدار پیش‌بینی‌شده.</t>
  </si>
  <si>
    <t>روش تعدیل قیمت پمپ‌های نمک‌زدایی — نتیجه صحت‌سنجی</t>
  </si>
  <si>
    <t>داده آزمون: همان Tagهای پازنان ۲ با قیمت ۱۳۹۳ و استعلام واقعی ۱۴۰۴ (۱۴ پمپ یورویی + ۱۱ پکیج ریالی). اعداد این صفحه همه فرمول‌اند و با تغییر ورودی‌ها به‌روز می‌شوند.</t>
  </si>
  <si>
    <t>الف) پمپ‌ها — قیمت یورویی (۱۴ پمپ، بدون آتش‌نشانی)</t>
  </si>
  <si>
    <t>کد</t>
  </si>
  <si>
    <t>روش</t>
  </si>
  <si>
    <t>ضریب ۱۳۹۳→۱۴۰۴</t>
  </si>
  <si>
    <t>MdAPE</t>
  </si>
  <si>
    <t>MAPE</t>
  </si>
  <si>
    <t>خطای ≤۲۵٪ (از ۱۴)</t>
  </si>
  <si>
    <t>M0</t>
  </si>
  <si>
    <t>M1</t>
  </si>
  <si>
    <t>M2</t>
  </si>
  <si>
    <t>M3</t>
  </si>
  <si>
    <t>M4</t>
  </si>
  <si>
    <t>M5</t>
  </si>
  <si>
    <t>M6</t>
  </si>
  <si>
    <t>ب) پکیج‌های تزریق — قیمت ریالی (۱۱ قلم)</t>
  </si>
  <si>
    <t>میانه پیش/استعلام ریالی</t>
  </si>
  <si>
    <t>جمع پیش/استعلام ریالی</t>
  </si>
  <si>
    <t>میانه پیش/میانگین همه استعلام‌ها</t>
  </si>
  <si>
    <t>جمع پیش/میانگین همه</t>
  </si>
  <si>
    <t>R1</t>
  </si>
  <si>
    <t>تورم ریالی (CPI مارون ۳)</t>
  </si>
  <si>
    <t>R2</t>
  </si>
  <si>
    <t>ضریب ریالی پازنان (۱۶٫۲۶)</t>
  </si>
  <si>
    <t>R3</t>
  </si>
  <si>
    <t>مدل فلزی فعلی شما</t>
  </si>
  <si>
    <t>R4</t>
  </si>
  <si>
    <t>پیشنهادی: یورو × PPI × نرخ ارز</t>
  </si>
  <si>
    <t>ج) روش پیشنهادی برای پمپ‌ها</t>
  </si>
  <si>
    <t>۱. لنگر یورو: قیمت پایه را با «نرخ تسعیر همان منبع» در تاریخ همان منبع به یورو برگردانید (قیمت ریالی پازنان ۹۳ ÷ ۴۰٬۵۳۱؛ گچساران ÷ ۴۵۵٬۶۹۳).</t>
  </si>
  <si>
    <t>۲. تعدیل در یورو با شاخص PPI پمپ و کمپرسور منطقه یورو (Eurostat C28.13)؛ ۱۳۹۳→۱۴۰۴ ≈ ۱٫۳۵ (حدود ۳٪ در سال).</t>
  </si>
  <si>
    <t>۳. کف قیمت برای پمپ گریز از مرکز API 610 با کلاس مواد S یا D: حداقل ۲۵٬۰۰۰ یورو در سطح ۱۴۰۴ (با همان شاخص تعدیل شود). پمپ‌های I2 چدنی، جابه‌جایی مثبت و آتش‌نشانی کف ندارند.</t>
  </si>
  <si>
    <t>۴. تبدیل به ریال با نرخ یوروی تاریخ هدف، از همان نوع نرخ (آزاد یا مرکز مبادله) که در کل پروژه ثابت است؛ هزینه ترخیص/حمل جدا.</t>
  </si>
  <si>
    <t>۵. تورم ریالی (CPI) برای پمپ و پکیج پمپ استفاده نشود؛ فلزات فقط برای پیش‌بینی سال‌های بدون PPI (۲۰۲۶ به بعد) و تحلیل حساسیت.</t>
  </si>
  <si>
    <t>فرمول: ریال(هدف) = MAX[ قیمت پایه ÷ نرخ تسعیر منبع × PPI(هدف)/PPI(پایه) ، کف × PPI(هدف)/PPI(۱۴۰۴) ] × نرخ یورو(هدف)</t>
  </si>
  <si>
    <t>د) محدودیت‌ها</t>
  </si>
  <si>
    <t>• فقط یک زوج داده واقعی (پازنان ۲) با همان Tag در دو زمان موجود است؛ ۱۴ پمپ و ۱۱ پکیج. کف قیمت روی همین داده تنظیم شده و باید با استعلام‌های بعدی بازبینی شود.</t>
  </si>
  <si>
    <t>• پراکندگی استعلام دو فروشنده برای یک پمپ (میانه ~۱٫۳ برابر، بیشینه ۴ برابر) سقف دقت تک‌قلم را تعیین می‌کند؛ دقت روی جمع پروژه (±۵٪) بسیار بهتر از تک‌قلم (±۲۰٪) است.</t>
  </si>
  <si>
    <t>• نرخ‌های ارز سالانه Indices تخمینی‌اند (از Params مدل شما). برای آزمون ریالی نرخ اسفند ۱۴۰۳ (۹۳۰٬۰۰۰ ریال/دلار) تقریبی است؛ حساسیت در شیت Val_IRR_Packages.</t>
  </si>
  <si>
    <t>• PPI منطقه یورو برای ۲۰۲۶ و ۲۰۲۷ هنوز منتشر نشده و با رشد ۲٪ (یا روش فلزی) پیش‌بینی شده است.</t>
  </si>
  <si>
    <t>ه) جمع بانک پمپ‌ها در سال هدف (شیت Pump_Bank_Escalated)</t>
  </si>
  <si>
    <t>روش پیشنهادی (ریال)</t>
  </si>
  <si>
    <t>مدل فعلی شما (ریال، همان اقلام)</t>
  </si>
  <si>
    <t>اختلاف</t>
  </si>
  <si>
    <t>راهنما: سلول‌های آبی ورودی‌اند و زرد فرض‌های کلیدی. برای تغییر سال هدف به Pump_Bank_Escalated!D3 و برای نرخ ارز به Indices بروید.</t>
  </si>
  <si>
    <t>شاخص‌ها و نرخ‌ها (ورودی‌های مدل تعدیل پمپ)</t>
  </si>
  <si>
    <t>متن آبی = ورودی قابل ویرایش؛ زرد = فرض کلیدی؛ سیاه = فرمول. منابع در شیت Sources.</t>
  </si>
  <si>
    <t>سهم سال شمسی از سال میلادی هم‌شماره (Y+621)</t>
  </si>
  <si>
    <t>فروردین تا دی = ~۹٫۵ ماه از ۱۲ ماه در سال میلادی Y+621</t>
  </si>
  <si>
    <t>رشد پیش‌بینی شاخص پمپ (روند) برای سال‌های بدون داده</t>
  </si>
  <si>
    <t>میانگین رشد سالانه EA C2813 در ۲۰۱۵ تا ۲۰۲۱ حدود ۱٫۴٪ و ۲۰۲۴ تا ۲۰۲۵ حدود ۱٪ بوده؛ ۲٪ فرض محافظه‌کارانه است</t>
  </si>
  <si>
    <t>روش پیش‌بینی ۲۰۲۶ (روند / فلزی)</t>
  </si>
  <si>
    <t>روند</t>
  </si>
  <si>
    <t>«فلزی»: رشد ۲۰۲۶ = (۱−سهم فلز)×رشد روند + سهم فلز×تغییر سبد فلزی پمپ (۱۴۰۴→۱۴۰۵، جدول پایین)</t>
  </si>
  <si>
    <t>سهم فلزات در قیمت پمپ (برای nowcast)</t>
  </si>
  <si>
    <t>جدول ۱: شاخص قیمت تولیدکننده پمپ (میلادی)</t>
  </si>
  <si>
    <t>سال میلادی</t>
  </si>
  <si>
    <t>EA20 PPI C28.13 پمپ و کمپرسور (2021=100)</t>
  </si>
  <si>
    <t>رشد سالانه</t>
  </si>
  <si>
    <t>وضعیت</t>
  </si>
  <si>
    <t>US PPI پمپ (NAICS 333914، ژانویه، Dec1983=100)</t>
  </si>
  <si>
    <t>Eurostat sts_inppd_a (imputed)</t>
  </si>
  <si>
    <t>Eurostat sts_inppd_a</t>
  </si>
  <si>
    <t>پیش‌بینی (داده رسمی هنوز منتشر نشده)</t>
  </si>
  <si>
    <t>پیش‌بینی</t>
  </si>
  <si>
    <t>جدول ۲: سبد فلزی پمپ (قیمت‌ها از شیت MetalPrices مدل شما، دلار بر تن؛ بخشی تخمینی)</t>
  </si>
  <si>
    <t>فلز</t>
  </si>
  <si>
    <t>وزن در سبد پمپ</t>
  </si>
  <si>
    <t>۱۳۹۳</t>
  </si>
  <si>
    <t>۱۴۰۳</t>
  </si>
  <si>
    <t>۱۴۰۴</t>
  </si>
  <si>
    <t>۱۴۰۵</t>
  </si>
  <si>
    <t>نسبت ۱۴۰۴/۱۳۹۳</t>
  </si>
  <si>
    <t>نسبت ۱۴۰۵/۱۴۰۴</t>
  </si>
  <si>
    <t>فولاد (HRC/Plate)</t>
  </si>
  <si>
    <t>نیکل</t>
  </si>
  <si>
    <t>مولیبدن</t>
  </si>
  <si>
    <t>مس (سیم‌پیچ موتور)</t>
  </si>
  <si>
    <t>جمع وزن</t>
  </si>
  <si>
    <t>تغییر سبد فلزی (دلاری) ۱۳۹۳→۱۴۰۴</t>
  </si>
  <si>
    <t>تغییر سبد فلزی (دلاری) ۱۴۰۴→۱۴۰۵ (برای nowcast ۲۰۲۶)</t>
  </si>
  <si>
    <t>وزن‌ها برآورد مهندسی است (پوسته/پروانه/شفت + سیم‌پیچ مسی الکتروموتور). اعداد فلزات از MetalPrices مدل شما کپی شده و برای ۱۴۰۵ تخمینی است.</t>
  </si>
  <si>
    <t>جدول ۳: سری سالانه شمسی (شاخص پمپ، نرخ ارز، تورم)</t>
  </si>
  <si>
    <t>سال شمسی</t>
  </si>
  <si>
    <t>شاخص پمپ EA (شمسی)</t>
  </si>
  <si>
    <t>دلار آزاد (ریال، میانگین تقریبی)</t>
  </si>
  <si>
    <t>یورو/دلار</t>
  </si>
  <si>
    <t>نرخ یورو جایگزین (ریال)</t>
  </si>
  <si>
    <t>نرخ مؤثر یورو (ریال)</t>
  </si>
  <si>
    <t>تورم ریالی سالانه</t>
  </si>
  <si>
    <t>شاخص تجمعی ریالی (۱۳۸۵=۱)</t>
  </si>
  <si>
    <t>تورم ارزی سالانه (مارون ۳)</t>
  </si>
  <si>
    <t>شاخص تجمعی ارزی</t>
  </si>
  <si>
    <t>شاخص ریالیِ پمپ = یورو×PPI (۱۳۸۵=۱)</t>
  </si>
  <si>
    <t>وضعیت داده</t>
  </si>
  <si>
    <t>نرخ دلار از خود شما (Params مدل)</t>
  </si>
  <si>
    <t>نرخ دلار و یورو/دلار از Params مدل شما (تخمینی) — با سری رسمی/بازار جایگزین شود</t>
  </si>
  <si>
    <t>نرخ دلار و یورو/دلار از Params مدل شما (تخمینی) — با سری رسمی/بازار جایگزین شود؛ تورم‌ها از شیت Inflation مارون ۳</t>
  </si>
  <si>
    <t>نرخ دلار از خود شما (Params مدل)؛ تورم‌ها از شیت Inflation مارون ۳</t>
  </si>
  <si>
    <t>هشدار: تورم ریالی ۱۴۰۵ در فایل مارون ۳ برابر ۲۰٪ است که با واقعیت (تورم نقطه‌ای بالای ۵۰٪) نمی‌خواند؛ برای پمپ‌ها این ستون در روش پیشنهادی استفاده نمی‌شود ولی در روش CPI اثر دارد.</t>
  </si>
  <si>
    <t>نرخ دلار بازار آزاد ۱۴۰۵: یورونیوز ۲ سپتامبر ۲۰۲۶ دلار را ۲٬۲۰۰٬۰۰۰ و یورو را حدود ۲٬۵۵۰٬۰۰۰ ریال گزارش کرده است؛ عدد ۲٬۵۰۰٬۰۰۰ دلار (از شما) را نگه داشتم.</t>
  </si>
  <si>
    <t>اعتبارسنجی ۱: پمپ‌های پازنان ۲ — قیمت یورویی ۱۳۹۳ (بهمن، Rev.R02 فوریه ۲۰۱۵) در برابر استعلام‌های واقعی ۱۴۰۴ (فوریه تا مه ۲۰۲۵)</t>
  </si>
  <si>
    <t>همان Tag و همان مشخصات؛ «واقعی» = میانگین استعلام‌های فروشندگان (همه به یورو). سطرهایی که قیمت ۱۴۰۴ آن‌ها مشتق از ضریب است (P-163, P-210, P-211) حذف شده‌اند.</t>
  </si>
  <si>
    <t>ضرایب روش‌ها (۱۳۹۳ → ۲۰۲۵)</t>
  </si>
  <si>
    <t>ضریب</t>
  </si>
  <si>
    <t>منبع</t>
  </si>
  <si>
    <t>بدون تعدیل (یورو ثابت)</t>
  </si>
  <si>
    <t>مرجع</t>
  </si>
  <si>
    <t>تورم ارزی مارون ۳ (۱۳۹۴ تا ۱۴۰۳)</t>
  </si>
  <si>
    <t>شیت Inflation مارون ۳</t>
  </si>
  <si>
    <t>ضریب یورویی پازنان (Basic INFO!C138)</t>
  </si>
  <si>
    <t>فایل لینک‌شده PZN-Summary-140401 Rev.03</t>
  </si>
  <si>
    <t>مدل فلزی فعلی شما (ضریب هر سطر)</t>
  </si>
  <si>
    <t>هر سطر</t>
  </si>
  <si>
    <t>خروجی ستون AH شیت Equipment مدل (پس از محاسبه مجدد)</t>
  </si>
  <si>
    <t>PPI پمپ منطقه یورو (Eurostat C28.13)</t>
  </si>
  <si>
    <t>Eurostat</t>
  </si>
  <si>
    <t>PPI پمپ آمریکا تبدیل‌شده به یورو</t>
  </si>
  <si>
    <t>BLS/FRED</t>
  </si>
  <si>
    <t>پیشنهادی: PPI پمپ یورو + کف قیمت پمپ API (S/D)</t>
  </si>
  <si>
    <t>M4 + کف</t>
  </si>
  <si>
    <t>یورو/دلار بهمن ۱۳۹۳ (فوریه ۲۰۱۵)</t>
  </si>
  <si>
    <t>یورو/دلار فوریه تا مه ۲۰۲۵ (میانگین تقریبی)</t>
  </si>
  <si>
    <t>کف قیمت پمپ گریز از مرکز API 610 کلاس S/D (یورو، سطح ۱۴۰۴)</t>
  </si>
  <si>
    <t>فقط پمپ‌های گریز از مرکز با کلاس مواد S یا D (نه I2 چدنی، نه جابه‌جایی مثبت، نه آتش‌نشانی). نتیجه بین ۲۲٬۵۰۰ تا ۳۰٬۰۰۰ تقریباً ثابت است (پمپیران برای پمپ‌های کوچک API عدد ثابت ۳۰٬۰۰۰ داده)؛ با داده جدید بازبینی شود</t>
  </si>
  <si>
    <t>Tag</t>
  </si>
  <si>
    <t>سرویس</t>
  </si>
  <si>
    <t>نوع</t>
  </si>
  <si>
    <t>قیمت ۱۳۹۳ (یورو)</t>
  </si>
  <si>
    <t>آریا سپهر کیهان</t>
  </si>
  <si>
    <t>پمپیران</t>
  </si>
  <si>
    <t>کالای پمپ</t>
  </si>
  <si>
    <t>میانگین استعلام (واقعی)</t>
  </si>
  <si>
    <t>بیشینه/کمینه استعلام</t>
  </si>
  <si>
    <t>در آمار؟</t>
  </si>
  <si>
    <t>مشمول کف؟</t>
  </si>
  <si>
    <t>نسبت واقعی/قدیم</t>
  </si>
  <si>
    <t>M0 پیش‌بینی</t>
  </si>
  <si>
    <t>M0 پیش/واقعی</t>
  </si>
  <si>
    <t>M0 |خطا|</t>
  </si>
  <si>
    <t>M1 پیش‌بینی</t>
  </si>
  <si>
    <t>M1 پیش/واقعی</t>
  </si>
  <si>
    <t>M1 |خطا|</t>
  </si>
  <si>
    <t>M2 پیش‌بینی</t>
  </si>
  <si>
    <t>M2 پیش/واقعی</t>
  </si>
  <si>
    <t>M2 |خطا|</t>
  </si>
  <si>
    <t>M3 پیش‌بینی</t>
  </si>
  <si>
    <t>M3 پیش/واقعی</t>
  </si>
  <si>
    <t>M3 |خطا|</t>
  </si>
  <si>
    <t>M4 پیش‌بینی</t>
  </si>
  <si>
    <t>M4 پیش/واقعی</t>
  </si>
  <si>
    <t>M4 |خطا|</t>
  </si>
  <si>
    <t>M5 پیش‌بینی</t>
  </si>
  <si>
    <t>M5 پیش/واقعی</t>
  </si>
  <si>
    <t>M5 |خطا|</t>
  </si>
  <si>
    <t>M6 پیش‌بینی</t>
  </si>
  <si>
    <t>M6 پیش/واقعی</t>
  </si>
  <si>
    <t>M6 |خطا|</t>
  </si>
  <si>
    <t>پراکندگی (کمکی)</t>
  </si>
  <si>
    <t>P-111 A/B</t>
  </si>
  <si>
    <t>Off Spec. Crude Pumps</t>
  </si>
  <si>
    <t>Centrifugal (VS6)</t>
  </si>
  <si>
    <t>Y</t>
  </si>
  <si>
    <t>P-122 A/B</t>
  </si>
  <si>
    <t>Deaerated Water Pumps</t>
  </si>
  <si>
    <t>Centrifugal (Horizontal)</t>
  </si>
  <si>
    <t>I2</t>
  </si>
  <si>
    <t>N</t>
  </si>
  <si>
    <t>P-124</t>
  </si>
  <si>
    <t>Dilution Water Pump</t>
  </si>
  <si>
    <t>Centrifugal (OH2)</t>
  </si>
  <si>
    <t>P-125 A/B</t>
  </si>
  <si>
    <t>Dilution Water Pumps</t>
  </si>
  <si>
    <t>P-136 A/B</t>
  </si>
  <si>
    <t>Disposal Water InjectionPumps</t>
  </si>
  <si>
    <t>Centrifugal (BB3)</t>
  </si>
  <si>
    <t>P-137 A/B</t>
  </si>
  <si>
    <t>Dirty Oil Pumps</t>
  </si>
  <si>
    <t>P.D.-Rotary (Ext. Gear)</t>
  </si>
  <si>
    <t>P-138 A/B</t>
  </si>
  <si>
    <t>Evaporation Pond Water Return Pumps</t>
  </si>
  <si>
    <t>P-139 A/B/C</t>
  </si>
  <si>
    <t>P-151 A/B</t>
  </si>
  <si>
    <t>Flare K.O. Drum Pumps</t>
  </si>
  <si>
    <t>P-161 A/B</t>
  </si>
  <si>
    <t>Closed Drain Drum Pumps</t>
  </si>
  <si>
    <t>P-162</t>
  </si>
  <si>
    <t>C. D. Drum / Flare K.O. Drum Sump Pump</t>
  </si>
  <si>
    <t>Centrifugal (VS4)</t>
  </si>
  <si>
    <t>P-164 A/B</t>
  </si>
  <si>
    <t>O.W.S. Water Pumps</t>
  </si>
  <si>
    <t>P-165 A/B</t>
  </si>
  <si>
    <t>Oily Water Basin Pumps</t>
  </si>
  <si>
    <t>P-171</t>
  </si>
  <si>
    <t>Fuel Oil Pump</t>
  </si>
  <si>
    <t>S1</t>
  </si>
  <si>
    <t>P-191</t>
  </si>
  <si>
    <t>Fire Water Loading Pump</t>
  </si>
  <si>
    <t>P-192</t>
  </si>
  <si>
    <t>Fire Water Pump-Elect. Motor Driven</t>
  </si>
  <si>
    <t>Centrifugal (Horizontal,</t>
  </si>
  <si>
    <t>P-193</t>
  </si>
  <si>
    <t>Fire Water Pump-Diesel Engine Driven</t>
  </si>
  <si>
    <t>P-194 A/B</t>
  </si>
  <si>
    <t>Fire Water Jockey Pumps</t>
  </si>
  <si>
    <t>Centrifugal</t>
  </si>
  <si>
    <t>آمار خطا (فقط سطرهای «در آمار = Y»)</t>
  </si>
  <si>
    <t>میانه پیش/واقعی −۱ (سوگیری)</t>
  </si>
  <si>
    <t>میانه |خطا| (MdAPE)</t>
  </si>
  <si>
    <t>میانگین |خطا| (MAPE)</t>
  </si>
  <si>
    <t>تعداد با خطای ≤۲۵٪</t>
  </si>
  <si>
    <t>جمع پیش‌بینی/جمع واقعی (وزنی با تعداد)</t>
  </si>
  <si>
    <t>کف نویز داده (پراکندگی استعلام‌ها)</t>
  </si>
  <si>
    <t>میانه نسبت بیشینه/کمینه استعلام‌ها برای یک Tag (پمپ‌های در آمار با ≥۲ استعلام)</t>
  </si>
  <si>
    <t>تفسیر: وقتی دو فروشنده برای یک پمپ به‌طور میانه ~۳۳٪ (و گاهی تا ۴ برابر) اختلاف قیمت می‌دهند، هیچ روش تعدیلی نمی‌تواند خطای تک‌قلم را زیر ~۱۵٪ ببرد؛ معیار اصلی باید سوگیری و دقت جمع باشد.</t>
  </si>
  <si>
    <t>اثر اندازه: پمپ‌های کوچک (قیمت ۱۳۹۳ ≤ ۱۵٬۰۰۰ یورو) ۱٫۵ تا ۳ برابر شده‌اند ولی پمپ‌های بزرگ BB3 فقط ۱٫۲ تا ۱٫۴ برابر؛ یعنی برآوردهای قدیمی پمپ‌های کوچک API کم بوده و بازار امروز یک کف قیمت دارد.</t>
  </si>
  <si>
    <t>اعتبارسنجی ۲: پکیج‌های تزریق مواد شیمیایی پازنان ۲ — قیمت ریالی ۱۳۹۳ در برابر استعلام ۱۴۰۴</t>
  </si>
  <si>
    <t>این سطرها آزمون مسیر «ریالی» است: آیا قیمت ریالی قدیم را باید با تورم ریالی (CPI) بالا برد یا با نرخ ارز؟ «واقعی الف» = تنها استعلام کاملاً ریالی (کندر صنعت پارتیان، اسفند ۱۴۰۳)؛ «واقعی ب» = میانگین همه استعلام‌ها (ریالی، دلاری، یورویی) که پازنان با نرخ ۶۵۸٬۵۳۳ ریال/دلار تبدیل کرده است.</t>
  </si>
  <si>
    <t>ورودی‌ها</t>
  </si>
  <si>
    <t>نرخ یورو پایه (بهمن ۱۳۹۳، فایل مارون ۳)</t>
  </si>
  <si>
    <t>دلار آزاد در تاریخ استعلام (اسفند ۱۴۰۳، تقریبی)</t>
  </si>
  <si>
    <t>تقریبی؛ ۲ اردیبهشت ۱۴۰۴ حدود ۷۹۰٬۰۰۰ و اوایل ۲۰۲۵ حدود ۸۱۷٬۵۰۰ بوده — با نرخ روز استعلام جایگزین شود</t>
  </si>
  <si>
    <t>یورو/دلار در تاریخ استعلام</t>
  </si>
  <si>
    <t>فوریه ۲۰۲۵</t>
  </si>
  <si>
    <t>نرخ یورو هدف (ریال)</t>
  </si>
  <si>
    <t>فرمول</t>
  </si>
  <si>
    <t>شاخص پمپ EA (۱۳۹۳→۲۰۲۵)</t>
  </si>
  <si>
    <t>ضریب تورم ریالی ۱۳۹۴ تا ۱۴۰۳ (مارون ۳)</t>
  </si>
  <si>
    <t>ضریب ریالی پازنان (Basic INFO!E127)</t>
  </si>
  <si>
    <t>فایل لینک‌شده PZN-Summary؛ عملاً همان CPI</t>
  </si>
  <si>
    <t>نرخ تسعیر پازنان (ریال/یورو)</t>
  </si>
  <si>
    <t>Basic INFO!C101 × C103 (نرخ مرکز مبادله)</t>
  </si>
  <si>
    <t>قیمت ۱۳۹۳ (ریال)</t>
  </si>
  <si>
    <t>معادل یورویی ۱۳۹۳</t>
  </si>
  <si>
    <t>واقعی الف: استعلام ریالی</t>
  </si>
  <si>
    <t>واقعی ب: میانگین همه (پازنان)</t>
  </si>
  <si>
    <t>نسبت واقعی الف/قدیم</t>
  </si>
  <si>
    <t>نسبت واقعی ب/قدیم</t>
  </si>
  <si>
    <t>R1 تورم ریالی (CPI)</t>
  </si>
  <si>
    <t>R2 ضریب ریالی پازنان</t>
  </si>
  <si>
    <t>R3 مدل فلزی فعلی</t>
  </si>
  <si>
    <t>R4 پیشنهادی: یورو×PPI×نرخ ارز</t>
  </si>
  <si>
    <t>R1/الف</t>
  </si>
  <si>
    <t>R2/الف</t>
  </si>
  <si>
    <t>R3/الف</t>
  </si>
  <si>
    <t>R4/الف</t>
  </si>
  <si>
    <t>R1/ب</t>
  </si>
  <si>
    <t>R2/ب</t>
  </si>
  <si>
    <t>R3/ب</t>
  </si>
  <si>
    <t>R4/ب</t>
  </si>
  <si>
    <t>PK-180</t>
  </si>
  <si>
    <t>Anti Scale Injection Package</t>
  </si>
  <si>
    <t>PK-181</t>
  </si>
  <si>
    <t>Demulsifier Injection Package</t>
  </si>
  <si>
    <t>PK-182</t>
  </si>
  <si>
    <t>Reverse Demulsifier Injection Package</t>
  </si>
  <si>
    <t>PK-183</t>
  </si>
  <si>
    <t>Biocide Injection Package</t>
  </si>
  <si>
    <t>PK-184</t>
  </si>
  <si>
    <t>Oxygen Scavenger Injection Package</t>
  </si>
  <si>
    <t>PK-185</t>
  </si>
  <si>
    <t>PK-186</t>
  </si>
  <si>
    <t>Corrosion Inhibitor Injection Package</t>
  </si>
  <si>
    <t>PK-187</t>
  </si>
  <si>
    <t>PK-188</t>
  </si>
  <si>
    <t>PK-189</t>
  </si>
  <si>
    <t>PK-212</t>
  </si>
  <si>
    <t>میانه نسبت‌ها</t>
  </si>
  <si>
    <t>جمع پیش‌بینی / جمع واقعی</t>
  </si>
  <si>
    <t>آزمون حساسیت: نرخ دلار لازم برای اینکه روش R4 دقیقاً میانه «واقعی الف» را بدهد</t>
  </si>
  <si>
    <t>ریال/دلار</t>
  </si>
  <si>
    <t>نتیجه: مسیر تورم ریالی (R1، R2) قیمت را حدود نصف واقعیت برآورد می‌کند؛ چون از ۱۳۹۳ تا ۱۴۰۳ دلار ~۲۸ برابر ولی CPI ~۱۶ برابر شده و قیمت پمپ و پکیج (حتی سازنده داخلی) به ارز گره خورده است.</t>
  </si>
  <si>
    <t>نکته: هر سه فروشنده (یکی ریالی، یکی دلاری، یکی یورویی) سازنده داخلی‌اند؛ یعنی «ساخت داخل» به معنای «ریالی» نیست.</t>
  </si>
  <si>
    <t>تفکیک اثر عوامل: تورم ارزی، تورم ریالی، نرخ ارز و فلزات (۱۳۹۳ → ۱۴۰۳/۱۴۰۴)</t>
  </si>
  <si>
    <t>عامل</t>
  </si>
  <si>
    <t>ضریب ۱۳۹۳→هدف</t>
  </si>
  <si>
    <t>نرخ یورو (ریال) — بهمن ۱۳۹۳ تا اسفند ۱۴۰۳</t>
  </si>
  <si>
    <t>کاهش ارزش ریال؛ بزرگ‌ترین عامل</t>
  </si>
  <si>
    <t>شاخص قیمت پمپ به یورو (EA PPI C28.13)</t>
  </si>
  <si>
    <t>تورم ارزیِ خاصِ صنعت پمپ؛ اثر فلزات، دستمزد و انرژی سازنده در آن نهفته است</t>
  </si>
  <si>
    <t>حاصل‌ضرب: «شاخص ریالیِ پمپ»</t>
  </si>
  <si>
    <t>پیش‌بینی روش پیشنهادی برای قیمت ریالی</t>
  </si>
  <si>
    <t>تورم ریالی تجمعی (CPI، مارون ۳)</t>
  </si>
  <si>
    <t>مسیر CPI</t>
  </si>
  <si>
    <t>مشاهده‌شده: میانه استعلام ریالی/قیمت قدیم</t>
  </si>
  <si>
    <t>پکیج‌های تزریق، واقعی الف</t>
  </si>
  <si>
    <t>مشاهده‌شده: پمپ‌ها، میانه نسبت یورویی واقعی/قدیم</t>
  </si>
  <si>
    <t>در یورو؛ شامل اثر کف قیمت پمپ‌های کوچک</t>
  </si>
  <si>
    <t>مشاهده‌شده: پمپ‌ها، جمع واقعی/جمع قدیم (بدون آتش‌نشانی)</t>
  </si>
  <si>
    <t>در یورو، وزنی با مبلغ</t>
  </si>
  <si>
    <t>سبد فلزی پمپ به دلار (۱۳۹۳→۱۴۰۴)</t>
  </si>
  <si>
    <t>فولاد ثابت، نیکل −۱۰٪، مولیبدن ×۲٫۲، مس +۴۵٪</t>
  </si>
  <si>
    <t>سبد فلزی پمپ به یورو</t>
  </si>
  <si>
    <t>با تبدیل یورو/دلار</t>
  </si>
  <si>
    <t>سهم مستقیم فلز در رشد قیمت (فرض سهم فلز)</t>
  </si>
  <si>
    <t>سهم فلز × تغییر سبد فلزی؛ در برابر کل رشد ~۳۵٪</t>
  </si>
  <si>
    <t>برداشت:</t>
  </si>
  <si>
    <t>۱) قیمت ریالی پمپ ≈ قیمت یورویی × نرخ یورو. ضریب «یورو × PPI» (حدود ۳۰ تا ۳۲) با مشاهده (۳۰ تا ۳۵) می‌خواند؛ CPI (حدود ۱۶) نصف واقعیت است.</t>
  </si>
  <si>
    <t>۲) در خود یورو، رشد قیمت پمپ طی ۱۰ سال حدود ۳۵٪ (۳٪ در سال) بوده که دو سوم آن در ۲۰۲۲ و ۲۰۲۳ رخ داده است.</t>
  </si>
  <si>
    <t>۳) اثر مستقیم فلزات کوچک است (چند درصد) و خودش داخل PPI لحاظ شده؛ اضافه‌کردن جداگانه شاخص فلزی روی PPI دوباره‌شماری است.</t>
  </si>
  <si>
    <t>۴) فلزات فقط برای «پیش‌بینی» سال‌هایی که هنوز PPI رسمی ندارند (۲۰۲۶ به بعد) و برای تحلیل حساسیت (شوک نیکل/مس برای پمپ‌های دوپلکس) کاربرد دارند.</t>
  </si>
  <si>
    <t>مقایسه سالانه: شاخص ریالیِ پمپ (یورو×PPI) در برابر شاخص تورم ریالی (۱۳۹۳ = ۱)</t>
  </si>
  <si>
    <t>شاخص پمپ به یورو</t>
  </si>
  <si>
    <t>نرخ یورو</t>
  </si>
  <si>
    <t>شاخص ریالی پمپ</t>
  </si>
  <si>
    <t>شاخص CPI</t>
  </si>
  <si>
    <t>نسبت پمپ/CPI</t>
  </si>
  <si>
    <t>توجه: نرخ یورو این جدول از ستون «نرخ مؤثر یورو» Indices است (میانگین سالانه تقریبی، و برای ۱۳۹۳ نرخ مارون ۳)؛ با سری رسمی جایگزین کنید.</t>
  </si>
  <si>
    <t>بانک قیمت پمپ‌ها به سال هدف با روش پیشنهادی (لنگر یورو + PPI پمپ + کف قیمت + نرخ ارز هدف)</t>
  </si>
  <si>
    <t>سال هدف</t>
  </si>
  <si>
    <t>روش: یورو پایه = قیمت ÷ نرخ تسعیرِ همان منبع ← × شاخص پمپ(هدف)/شاخص پمپ(پایه) ← اگر مشمول کف: MAX(…، کف×شاخص) ← × نرخ یورو هدف</t>
  </si>
  <si>
    <t>نرخ یورو هدف (ریال) — پیش‌فرض از Indices</t>
  </si>
  <si>
    <t>هشدار: نرخ تسعیر منبع را همانی بگذارید که منبع با آن ریال را ساخته (گچساران ۴: ۴۲۰٬۰۰۰×۱٫۰۸۵؛ پازنان: ۶۵۸٬۵۳۳×۱٫۰۵۶). ستون «مدل فعلی» برای مقایسه از خروجی مدل شما کپی شده (ثابت).</t>
  </si>
  <si>
    <t>نرخ یورو هدف دستی (اختیاری، مثلاً نرخ مرکز مبادله یا روز)</t>
  </si>
  <si>
    <t>نرخ یورو مؤثر هدف</t>
  </si>
  <si>
    <t>کف قیمت پمپ API (یورو، سطح ۱۴۰۴)</t>
  </si>
  <si>
    <t>شاخص پمپ سال هدف / ۱۴۰۴</t>
  </si>
  <si>
    <t>نوع (اصلاح‌شده)</t>
  </si>
  <si>
    <t>ارز پایه</t>
  </si>
  <si>
    <t>نرخ تسعیر منبع به یورو</t>
  </si>
  <si>
    <t>ضریب PPI پمپ</t>
  </si>
  <si>
    <t>یورو تعدیل‌شده</t>
  </si>
  <si>
    <t>ریال واحد (سال هدف)</t>
  </si>
  <si>
    <t>مدل فعلی: ریال واحد ۱۴۰۵</t>
  </si>
  <si>
    <t>اختلاف با مدل فعلی</t>
  </si>
  <si>
    <t>یادداشت</t>
  </si>
  <si>
    <t>KPL R03 (1394)</t>
  </si>
  <si>
    <t>P-111 A/B/C</t>
  </si>
  <si>
    <t>Salty Crude Transfer Pumps</t>
  </si>
  <si>
    <t>API 610 دوپلکس/D</t>
  </si>
  <si>
    <t>P-114 A/B/C</t>
  </si>
  <si>
    <t>Salty Crude Booster Pumps</t>
  </si>
  <si>
    <t>P-135 A/B</t>
  </si>
  <si>
    <t>جابه‌جایی مثبت</t>
  </si>
  <si>
    <t>Free Water Transfer Pumps</t>
  </si>
  <si>
    <t>P-139 A/B</t>
  </si>
  <si>
    <t>API 610 CS/S</t>
  </si>
  <si>
    <t>P-152</t>
  </si>
  <si>
    <t>P-171 A/B</t>
  </si>
  <si>
    <t>P-231 A/B</t>
  </si>
  <si>
    <t>O.W.S. Oil Pumps</t>
  </si>
  <si>
    <t>P-232 A/B</t>
  </si>
  <si>
    <t>P-234 A/B</t>
  </si>
  <si>
    <t>P-236</t>
  </si>
  <si>
    <t>Evaporation Pond Portable Pump</t>
  </si>
  <si>
    <t>کوچک/پرتابل</t>
  </si>
  <si>
    <t>P-121 A/B/C</t>
  </si>
  <si>
    <t>P-124 A/B/C</t>
  </si>
  <si>
    <t>P-145 A/B</t>
  </si>
  <si>
    <t>P-146 A/B</t>
  </si>
  <si>
    <t>P-147 A/B</t>
  </si>
  <si>
    <t>P-149 A/B</t>
  </si>
  <si>
    <t>P-181 A/B</t>
  </si>
  <si>
    <t>P-241 A/B</t>
  </si>
  <si>
    <t>P-242 A/B</t>
  </si>
  <si>
    <t>P-244 A/B</t>
  </si>
  <si>
    <t>P-246</t>
  </si>
  <si>
    <t>P-153 A/B</t>
  </si>
  <si>
    <t>گریز از مرکز I2/S1</t>
  </si>
  <si>
    <t>P-158</t>
  </si>
  <si>
    <t>Potable Water Loading Pump</t>
  </si>
  <si>
    <t>P-172</t>
  </si>
  <si>
    <t>Flare K.O. Drums Sump Pump</t>
  </si>
  <si>
    <t>P-201</t>
  </si>
  <si>
    <t>P-235</t>
  </si>
  <si>
    <t>Closed Drain Drums Sump Pump</t>
  </si>
  <si>
    <t>P-270</t>
  </si>
  <si>
    <t>آتش‌نشانی</t>
  </si>
  <si>
    <t>آتش‌نشانی: دامنه کار مشخص شود</t>
  </si>
  <si>
    <t>P-271</t>
  </si>
  <si>
    <t>P-272 A/B</t>
  </si>
  <si>
    <t>P-273</t>
  </si>
  <si>
    <t>P-220 A/B/C/D/E</t>
  </si>
  <si>
    <t>Chemical Loading Pumps</t>
  </si>
  <si>
    <t>P-157 A/B</t>
  </si>
  <si>
    <t>Water Liquid Return Pumps</t>
  </si>
  <si>
    <t>P-116</t>
  </si>
  <si>
    <t>Water Glycol Loading Pump</t>
  </si>
  <si>
    <t>Pazanan 2 استعلام ۱۴۰۴</t>
  </si>
  <si>
    <t>Off Spec. Crude Pumps Type: Centrifugal (VS6) Rated Flow (m3</t>
  </si>
  <si>
    <t>Deaerated Water Pumps Type: Centrifugal (Horizontal) Rated F</t>
  </si>
  <si>
    <t>Dilution Water Pump Type: Centrifugal (OH2) Rated Flow (m3/h</t>
  </si>
  <si>
    <t>Dilution Water Pumps Type: Centrifugal (OH2) Rated Flow (m3/</t>
  </si>
  <si>
    <t xml:space="preserve">Disposal Water InjectionPumps Type: Centrifugal (BB3) Rated </t>
  </si>
  <si>
    <t>Dirty Oil Pumps Type: P.D.-Rotary (Ext. Gear) Rated Flow (m3</t>
  </si>
  <si>
    <t xml:space="preserve">Evaporation Pond Water Return Pumps Type: Centrifugal (OH2) </t>
  </si>
  <si>
    <t>Flare K.O. Drum Pumps Type: Centrifugal (OH2) Rated Flow (m3</t>
  </si>
  <si>
    <t>Closed Drain Drum Pumps Type: Centrifugal (OH2) Rated Flow (</t>
  </si>
  <si>
    <t>C. D. Drum / Flare K.O. Drum Sump Pump Type: Centrifugal (VS</t>
  </si>
  <si>
    <t>Pazanan 2 (پایه ۱۳۹۳)</t>
  </si>
  <si>
    <t>P-163 A/B</t>
  </si>
  <si>
    <t>O.W.S. Oil Pumps Type: P.D.-Rotary (Progressing Cavity) Rate</t>
  </si>
  <si>
    <t>بدون استعلام؛ پایه ۱۳۹۳ استفاده شد</t>
  </si>
  <si>
    <t>O.W.S. Water Pumps Type: Centrifugal (OH2) Rated Flow (m3/hr</t>
  </si>
  <si>
    <t>Oily Water Basin Pumps Type: Centrifugal (OH2) Rated Flow (m</t>
  </si>
  <si>
    <t>Fuel Oil Pump Type: Centrifugal (Horizontal) Rated Flow (m3/</t>
  </si>
  <si>
    <t>Fire Water Loading Pump Type: Centrifugal (Horizontal) Rated</t>
  </si>
  <si>
    <t>آتش‌نشانی: پراکندگی شدید استعلام</t>
  </si>
  <si>
    <t>Fire Water Pump-Elect. Motor Driven Type: Centrifugal (Horiz</t>
  </si>
  <si>
    <t>Fire Water Pump-Diesel Engine Driven Type: Centrifugal (Hori</t>
  </si>
  <si>
    <t>Fire Water Jockey Pumps Type: Centrifugal (Horizontal, Overh</t>
  </si>
  <si>
    <t>Pazanan 2 (پایه ۱۳۹۳ ریالی)</t>
  </si>
  <si>
    <t>P-210 A/B</t>
  </si>
  <si>
    <t>Chemical Loading Pumps Type: Portable Barrel Pump Rated Flow</t>
  </si>
  <si>
    <t>قیمت ۱۴۰۴ پازنان مشتق از CPI بود؛ پایه اصلی ۱۳۹۳ استفاده شد</t>
  </si>
  <si>
    <t>P-211</t>
  </si>
  <si>
    <t>Anti Scale Injection Package Max. Injection Rate (Lit/hr): 3</t>
  </si>
  <si>
    <t>پکیج تزریق مواد (CIP)</t>
  </si>
  <si>
    <t>در مدل فعلی اشتباهاً PUMP_* ثبت شده؛ قالب درست CIP_SS316</t>
  </si>
  <si>
    <t xml:space="preserve">Demulsifier Injection Package Max. Injection Rate (Lit/hr): </t>
  </si>
  <si>
    <t>Reverse Demulsifier Injection Package Max. Injection Rate (L</t>
  </si>
  <si>
    <t>Biocide Injection Package Max. Injection Rate (Lit/hr): 66 M</t>
  </si>
  <si>
    <t>Oxygen Scavenger Injection Package Max. Injection Rate (Lit/</t>
  </si>
  <si>
    <t>Anti Scale Injection Package Max. Injection Rate (Lit/hr): 2</t>
  </si>
  <si>
    <t>Corrosion Inhibitor Injection Package Max. Injection Rate (L</t>
  </si>
  <si>
    <t>Anti Scale Injection Package Max. Injection Rate (Lit/hr): 4</t>
  </si>
  <si>
    <t>Demulsifier Injection Package (Production Unit) Max. Injecti</t>
  </si>
  <si>
    <t>Gachsaran 4 (1402)</t>
  </si>
  <si>
    <t>P-001-A/B</t>
  </si>
  <si>
    <t>MAIN TRANSFER PUMPS</t>
  </si>
  <si>
    <t>500m3/hr, 15.2 bar, 216.3 kw</t>
  </si>
  <si>
    <t>P-002-A/B</t>
  </si>
  <si>
    <t>AUXILLIARY TRANSFER PUMPS</t>
  </si>
  <si>
    <t>250m3/hr, 15.2 bar, 108.1 kw</t>
  </si>
  <si>
    <t>P-003-A/B</t>
  </si>
  <si>
    <t>OFF-SPEC PUMPS</t>
  </si>
  <si>
    <t>100 m3/hr , 15.5 bar,44.2 kw</t>
  </si>
  <si>
    <t>P-005-A/B</t>
  </si>
  <si>
    <t>DEGASSING WATER PUMPS</t>
  </si>
  <si>
    <t>30m3/hr, 3bar, 2.7 kw</t>
  </si>
  <si>
    <t>P-103</t>
  </si>
  <si>
    <t>DILUTION WATER PUMPS</t>
  </si>
  <si>
    <t>40m3/hr , 10.4 bar, 12 kw</t>
  </si>
  <si>
    <t>P-106-A1/A2</t>
  </si>
  <si>
    <t>20 m3/hr, 10.4 bar, 6 kw</t>
  </si>
  <si>
    <t>P-102-A/B</t>
  </si>
  <si>
    <t>DEAERATED WATER PUMPS</t>
  </si>
  <si>
    <t>20m3/hr, 2.4 bar, 1.35 kw</t>
  </si>
  <si>
    <t>P-105</t>
  </si>
  <si>
    <t>40m3/hr, 2.4 bar, 2.7 kw</t>
  </si>
  <si>
    <t>P-104</t>
  </si>
  <si>
    <t>POTABLE WATER FILLING PUMP</t>
  </si>
  <si>
    <t>20m3/hr, 2.5 bar, 1.4 kw</t>
  </si>
  <si>
    <t>P-201-A/B/C</t>
  </si>
  <si>
    <t>WATER INJECTION MAIN PUMPS</t>
  </si>
  <si>
    <t>73m3/hr (each),36.3 bar, 73.6 kw</t>
  </si>
  <si>
    <t>P-206-A/B/C</t>
  </si>
  <si>
    <t>WATER INJECTION BOOSTER PUMPS</t>
  </si>
  <si>
    <t>36.5m3/hr (each),36.3 bar, 36.5 kw</t>
  </si>
  <si>
    <t>P-501-A/B/C</t>
  </si>
  <si>
    <t>CHEMICAL INJECTION PORTABLE PUMPS</t>
  </si>
  <si>
    <t>.8m³/h, 2bar, 0.45 kw</t>
  </si>
  <si>
    <t>P-601-A/B</t>
  </si>
  <si>
    <t>FLARE K.O DRUM LIQUID PUMPS</t>
  </si>
  <si>
    <t>15m3/hr, 0.8 bar, 0.33 kw</t>
  </si>
  <si>
    <t>P-701-A/B</t>
  </si>
  <si>
    <t>HC CLOSED DRAIN TRANSFER PUMPS</t>
  </si>
  <si>
    <t>27.5m3/hr, 4.3 bar, 3.3 kw</t>
  </si>
  <si>
    <t>P-702A/B</t>
  </si>
  <si>
    <t>HC CLOSED DRAIN DRUM SUMP PUMP</t>
  </si>
  <si>
    <t>5.5m3/hr, 7 bar. 0.11 kw</t>
  </si>
  <si>
    <t>P-703-A/B</t>
  </si>
  <si>
    <t>CLEAN WATER PUMPS</t>
  </si>
  <si>
    <t>11m3/hr, 1.8 bar, 0.54 kw</t>
  </si>
  <si>
    <t>P-704-A/B</t>
  </si>
  <si>
    <t>RECOVERED WASTE OIL PUMPS</t>
  </si>
  <si>
    <t>11 m3/hr, 2.7 bar, 0.8 kw</t>
  </si>
  <si>
    <t>P-750</t>
  </si>
  <si>
    <t>OILY WATER SEPARATOR PUMP</t>
  </si>
  <si>
    <t>1m3/hr, 0.84 bar, 0.02kw</t>
  </si>
  <si>
    <t>P-705-A/B</t>
  </si>
  <si>
    <t>DIRTY OIL PUMPS</t>
  </si>
  <si>
    <t>5m3/hr, 2bar, 0.3 kw</t>
  </si>
  <si>
    <t>P-706-A/B</t>
  </si>
  <si>
    <t>RECOVERED WASTE WATER PUMPS</t>
  </si>
  <si>
    <t>33m3/hr, 1.5 bar, 1.35 kw</t>
  </si>
  <si>
    <t>P-801</t>
  </si>
  <si>
    <t>DIESEL OIL PUMP</t>
  </si>
  <si>
    <t>10m3/hr, 0.6 bar, 0.16 kw</t>
  </si>
  <si>
    <t>P-901A/B</t>
  </si>
  <si>
    <t>FIRE WATER MAIN ELECTRICAL PUMP</t>
  </si>
  <si>
    <t>480m3/hr, 10 barg,133kw</t>
  </si>
  <si>
    <t>P902</t>
  </si>
  <si>
    <t>FIRE WATER MAIN DESEL PUMP</t>
  </si>
  <si>
    <t>P-903-A/B</t>
  </si>
  <si>
    <t>FIRE WATER JOCKEY PUMPS</t>
  </si>
  <si>
    <t>15m3/hr, 6 barg, 2.5 kw</t>
  </si>
  <si>
    <t>P108A/B</t>
  </si>
  <si>
    <t>UNIT SUPPLY WATER PUMP</t>
  </si>
  <si>
    <t>P-904</t>
  </si>
  <si>
    <t>FIRE WATER LOADING PUMP</t>
  </si>
  <si>
    <t>30m3/hr, 3 bar, 2.5 kw</t>
  </si>
  <si>
    <t>Pump CSV 1405 ($)</t>
  </si>
  <si>
    <t>#1</t>
  </si>
  <si>
    <t>2nd Stage Separators Oil Pumps</t>
  </si>
  <si>
    <t>USD</t>
  </si>
  <si>
    <t>قیمت ۱۴۰۵ است؛ فقط تبدیل ارز. هزینه گمرک/حمل جدا (۶٪)</t>
  </si>
  <si>
    <t>#2</t>
  </si>
  <si>
    <t>3rd Stage Separators Oil Pumps</t>
  </si>
  <si>
    <t>#3</t>
  </si>
  <si>
    <t>Stabilized Oil Pump</t>
  </si>
  <si>
    <t>#4</t>
  </si>
  <si>
    <t>Product Oil Pump</t>
  </si>
  <si>
    <t>#5</t>
  </si>
  <si>
    <t>Off Spec Crude Pump</t>
  </si>
  <si>
    <t>#6</t>
  </si>
  <si>
    <t>Second Stage Desalter Water Criculated Pump</t>
  </si>
  <si>
    <t>#7</t>
  </si>
  <si>
    <t>Degassing Water Pump</t>
  </si>
  <si>
    <t>#8</t>
  </si>
  <si>
    <t>Disposal Water Pump</t>
  </si>
  <si>
    <t>#9</t>
  </si>
  <si>
    <t>Fresh Water Pump</t>
  </si>
  <si>
    <t>#10</t>
  </si>
  <si>
    <t>Closed Drain Pump</t>
  </si>
  <si>
    <t>#11</t>
  </si>
  <si>
    <t>Diesel Unlodaing pump</t>
  </si>
  <si>
    <t>#12</t>
  </si>
  <si>
    <t>Diesel Transfer pump</t>
  </si>
  <si>
    <t>#13</t>
  </si>
  <si>
    <t>Sludge Discharge Water Jet Pump</t>
  </si>
  <si>
    <t>#14</t>
  </si>
  <si>
    <t>Flare KO Drum Pumps</t>
  </si>
  <si>
    <t>جمع (ریال)</t>
  </si>
  <si>
    <t>جمع به یورو</t>
  </si>
  <si>
    <t>ایرادهای یافت‌شده در فایل Desalting_Equipment_Escalation_Model.xlsx (بخش پمپ)</t>
  </si>
  <si>
    <t>#</t>
  </si>
  <si>
    <t>شدت</t>
  </si>
  <si>
    <t>محل</t>
  </si>
  <si>
    <t>ایراد</t>
  </si>
  <si>
    <t>اثر</t>
  </si>
  <si>
    <t>اصلاح پیشنهادی</t>
  </si>
  <si>
    <t>بالا</t>
  </si>
  <si>
    <t>Equipment سطرهای ریالی + Params ستون F/H</t>
  </si>
  <si>
    <t>مسیر ریالی (ساخت داخل) سهم غیرفلزی را با تورم ریالی (CPI) تعدیل می‌کند.</t>
  </si>
  <si>
    <t>در آزمون پکیج‌های پازنان، CPI قیمت را ~۵۰٪ کمتر از استعلام ریالی واقعی می‌دهد.</t>
  </si>
  <si>
    <t>برای پمپ و پکیج پمپ: ریال پایه ← یورو با نرخ تسعیر همان منبع ← PPI پمپ ← نرخ یورو هدف.</t>
  </si>
  <si>
    <t>Equipment سطرهای گچساران ۴ (۱۸۹ به بعد)</t>
  </si>
  <si>
    <t>قیمت‌های گچساران در منبع «یورو × ۴۲۰٬۰۰۰ × ۱٫۰۸۵» ساخته شده‌اند ولی در مدل به عنوان ریال ۱۴۰۲ با نرخ دلار ۵۲۰٬۰۰۰ برگشت داده می‌شوند.</t>
  </si>
  <si>
    <t>لنگر ارزی ۲۴٪ جابه‌جا می‌شود و بعد CPI هم رویش اعمال می‌شود.</t>
  </si>
  <si>
    <t>ستون «نرخ تسعیر منبع» اضافه شود؛ گچساران = ۴۵۵٬۶۹۲ ریال/یورو.</t>
  </si>
  <si>
    <t>Equipment!AP سطرهای ۳۴۲، ۳۵۰، ۳۵۱، ۳۶۶، ۳۷۰</t>
  </si>
  <si>
    <t>قیمت «واقعی ۱۴۰۴» این سطرها استعلام نیست؛ پازنان آن‌ها را با ضریب ۱٫۵۵۲ (یورو) یا ۱۶٫۲۶ (ریال) از ۱۳۹۳ ساخته است.</t>
  </si>
  <si>
    <t>اعتبارسنجی دوری (circular) و گمراه‌کننده.</t>
  </si>
  <si>
    <t>از آمار اعتبارسنجی حذف شوند (در این فایل حذف شده‌اند).</t>
  </si>
  <si>
    <t>Equipment قالب مواد</t>
  </si>
  <si>
    <t>جرثقیل‌ها (CN-131, CN-161, CN-191, CR007..CR011, CN-1xx KPL) با قالب PUMP_* ثبت شده‌اند؛ پکیج‌های تزریق PK-180..PK-212 با PUMP_API_CS/PUMP_SMALL؛ IGF (PK-131) با PUMP_ROTARY؛ فیلتر F-121 و مخزن TK-154 با PUMP_SMALL.</t>
  </si>
  <si>
    <t>جمع گروه پمپ در Summary و آمار اعتبارسنجی پمپ آلوده می‌شود (نسبت ۶٫۱ برای CN-161).</t>
  </si>
  <si>
    <t>قالب درست: CRANE، CIP_SS316، PKG_FILTER_DX، TANK_SS.</t>
  </si>
  <si>
    <t>متوسط</t>
  </si>
  <si>
    <t>Equipment سطرهای ۲۶۳ تا ۲۷۶ و ۳۰۷ تا ۳۲۰</t>
  </si>
  <si>
    <t>«نمونه قیمتی» و «CSV پمپ ۱۴۰۵» همان ۱۴ پمپ‌اند (۱۰ قلم با قیمت یکسان، ۴ قلم اصلاح‌شده) و هر دو «اصلی» شمرده می‌شوند. این پمپ‌ها مربوط به واحد جداسازی/تثبیت‌اند نه نمک‌زدایی مشابه.</t>
  </si>
  <si>
    <t>دوباره‌شماری در Summary.</t>
  </si>
  <si>
    <t>نسخه قدیمی‌تر (نمونه قیمتی) غیرفعال شود؛ برچسب نوع واحد اضافه شود.</t>
  </si>
  <si>
    <t>Templates + Alloys</t>
  </si>
  <si>
    <t>ضریب فلزی-وزنی برای پمپ‌ها دقت را بهتر نکرده: در آزمون پازنان سوگیری میانه حدود −۲۰٪. PPI سازنده پمپ خودش اثر فلزات را دارد.</t>
  </si>
  <si>
    <t>افزودن فلز روی شاخص ارزی = دوباره‌شماری؛ کنار گذاشتن PPI = کم‌برآوردی.</t>
  </si>
  <si>
    <t>فلزات فقط برای nowcast سال‌های بدون PPI و تحلیل حساسیت.</t>
  </si>
  <si>
    <t>Params ستون C</t>
  </si>
  <si>
    <t>نرخ دلار سال‌های ۱۳۸۶ تا ۱۴۰۴ تخمینی است و میانگین سالانه است، در حالی که در ۱۴۰۴ دلار از ~۸۲۰ هزار به ~۱٫۴ میلیون ریال رسید.</t>
  </si>
  <si>
    <t>خطای نرخ ارز از خطای شاخص بزرگ‌تر است.</t>
  </si>
  <si>
    <t>به جای سال، تاریخ (ماه) قیمت و نرخ همان ماه ثبت شود؛ نوع نرخ (آزاد/مرکز مبادله) ثابت بماند.</t>
  </si>
  <si>
    <t>Params!F32</t>
  </si>
  <si>
    <t>تورم ریالی ۱۴۰۵ = ۲۰٪ (از مارون ۳)؛ با واقعیت سازگار نیست.</t>
  </si>
  <si>
    <t>هر قلمی که از مسیر CPI برود کم‌برآورد می‌شود.</t>
  </si>
  <si>
    <t>اصلاح عدد؛ در روش پیشنهادی پمپ بی‌اثر است.</t>
  </si>
  <si>
    <t>پایین</t>
  </si>
  <si>
    <t>اعتبارسنجی پمپ‌های آتش‌نشانی</t>
  </si>
  <si>
    <t>استعلام P-192 از ۳۰ هزار تا ۶۹۹ هزار یورو؛ دامنه کار (پمپ تنها یا پکیج NFPA 20 با موتور دیزل و کنترلر) یکسان نیست.</t>
  </si>
  <si>
    <t>هر روش تعدیلی روی این اقلام بی‌معناست.</t>
  </si>
  <si>
    <t>دامنه کار استاندارد تعریف و فقط استعلام‌های هم‌دامنه مقایسه شوند.</t>
  </si>
  <si>
    <t>Params ستون D</t>
  </si>
  <si>
    <t>یورو/دلار ۱۳۹۳ = ۱٫۳۳ میانگین ۲۰۱۴ است؛ قیمت‌های پازنان مربوط به فوریه ۲۰۱۵ (۱٫۱۳) است.</t>
  </si>
  <si>
    <t>خطای ~۱۵٪ در تبدیل دلار↔یورو برای همان تاریخ.</t>
  </si>
  <si>
    <t>تاریخ ماهانه.</t>
  </si>
  <si>
    <t>منابع</t>
  </si>
  <si>
    <t>Eurostat — sts_inppd_a, NACE C2813 (Manufacture of other pumps and compressors), Domestic PPI, EA20, Index 2021=100</t>
  </si>
  <si>
    <t>https://ec.europa.eu/eurostat/api/dissemination/statistics/1.0/data/sts_inppd_a?format=JSON&amp;lang=EN&amp;geo=EA20&amp;nace_r2=C2813&amp;unit=I21</t>
  </si>
  <si>
    <t>FRED/BLS — PCU333914333914, Measuring, Dispensing, and Other Pumping Equipment Mfg (Dec 1983=100)</t>
  </si>
  <si>
    <t>https://fred.stlouisfed.org/data/PCU333914333914</t>
  </si>
  <si>
    <t>ONS — EWKO, PPI output domestic C2813 Other pumps and compressors (UK, 2015=100) — برای مقایسه</t>
  </si>
  <si>
    <t>https://www.ons.gov.uk/economy/inflationandpriceindices/timeseries/ewko/ppi</t>
  </si>
  <si>
    <t>Wikipedia — Iranian rial (نرخ بازار آزاد ۲۰۱۴ تا ۲۰۲۶)</t>
  </si>
  <si>
    <t>https://en.wikipedia.org/wiki/Iranian_rial</t>
  </si>
  <si>
    <t>Euronews فارسی، ۲ سپتامبر ۲۰۲۶ — دلار آزاد ۲۲۰ هزار تومان، یورو ~۲۵۵ هزار تومان</t>
  </si>
  <si>
    <t>https://parsi.euronews.com/business/2026/09/02/iran-currency-rial-crisis</t>
  </si>
  <si>
    <t>فایل مرجع: PC-ME 14040105_Pazanan2_Reconstruction.xlsx — شیت‌های PUMPS و C.I.P. (قیمت ۱۳۹۳ و استعلام‌های ۱۴۰۴) + مقادیر کش‌شده Basic INFO</t>
  </si>
  <si>
    <t>فایل مرجع: برآورد پروژه نمکزدایی مارون ۳ (14050310) — شیت Inflation (تورم ریالی/ارزی، نرخ یورو ۹۳)</t>
  </si>
  <si>
    <t>فایل مرجع: PEP-Rev.140205 Gachsaran 4 — شیت P.ME و basic data (۴۲۰٬۰۰۰ ریال/دلار، ۱٫۰۸۵ یورو/دلار)</t>
  </si>
  <si>
    <t>فایل مرجع: 91215-KPL-ME-RE-476 R03 — شیت‌های PUMPS</t>
  </si>
  <si>
    <t>فایل مرجع: 18061405_Pump_only_CSV.csv و نمونه قیمتی نمک زدایی.xlsx</t>
  </si>
  <si>
    <t>فایل بررسی‌شده: Desalting_Equipment_Escalation_Model.xlsx (بازمحاسبه با LibreOffice برای استخراج ضرایب ستون AH)</t>
  </si>
  <si>
    <r>
      <rPr>
        <sz val="11"/>
        <color theme="1"/>
        <rFont val="FreeSans"/>
        <family val="2"/>
      </rPr>
      <t xml:space="preserve">گریز از مرکز </t>
    </r>
    <r>
      <rPr>
        <sz val="11"/>
        <color theme="1"/>
        <rFont val="Calibri"/>
        <family val="2"/>
        <charset val="1"/>
      </rPr>
      <t>API 610</t>
    </r>
  </si>
  <si>
    <r>
      <rPr>
        <sz val="11"/>
        <color theme="1"/>
        <rFont val="FreeSans"/>
        <family val="2"/>
      </rPr>
      <t xml:space="preserve">گریز از مرکز غیر </t>
    </r>
    <r>
      <rPr>
        <sz val="11"/>
        <color theme="1"/>
        <rFont val="Calibri"/>
        <family val="2"/>
        <charset val="1"/>
      </rPr>
      <t>API (</t>
    </r>
    <r>
      <rPr>
        <sz val="11"/>
        <color theme="1"/>
        <rFont val="FreeSans"/>
        <family val="2"/>
      </rPr>
      <t>چدنی</t>
    </r>
    <r>
      <rPr>
        <sz val="11"/>
        <color theme="1"/>
        <rFont val="Calibri"/>
        <family val="2"/>
        <charset val="1"/>
      </rPr>
      <t>/ISO)</t>
    </r>
  </si>
  <si>
    <t>S5</t>
  </si>
  <si>
    <t>بله</t>
  </si>
  <si>
    <r>
      <rPr>
        <sz val="11"/>
        <color theme="1"/>
        <rFont val="FreeSans"/>
        <family val="2"/>
      </rPr>
      <t xml:space="preserve">جابه‌جایی مثبت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دنده‌ای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پیچی</t>
    </r>
    <r>
      <rPr>
        <sz val="11"/>
        <color theme="1"/>
        <rFont val="Calibri"/>
        <family val="2"/>
        <charset val="1"/>
      </rPr>
      <t>)</t>
    </r>
  </si>
  <si>
    <t>خیر</t>
  </si>
  <si>
    <r>
      <rPr>
        <sz val="11"/>
        <color theme="1"/>
        <rFont val="FreeSans"/>
        <family val="2"/>
      </rPr>
      <t>پرتابل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کوچک</t>
    </r>
  </si>
  <si>
    <t>S8</t>
  </si>
  <si>
    <t>پکیج تزریق مواد</t>
  </si>
  <si>
    <t>C6</t>
  </si>
  <si>
    <t>A8</t>
  </si>
  <si>
    <t>I1</t>
  </si>
  <si>
    <t>جابه‌جایی مثبت (دنده‌ای/پیچی)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</si>
</sst>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#,##0.000"/>
    <numFmt numFmtId="167" formatCode="0.000"/>
    <numFmt numFmtId="168" formatCode="0.00\x"/>
    <numFmt numFmtId="169" formatCode="0.0"/>
  </numFmts>
  <fonts count="23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9"/>
      <color rgb="FF595959"/>
      <name val="Arial"/>
      <family val="2"/>
    </font>
    <font>
      <sz val="10"/>
      <name val="Arial"/>
      <family val="2"/>
    </font>
    <font>
      <b/>
      <sz val="13"/>
      <color rgb="FF006100"/>
      <name val="Arial"/>
      <family val="2"/>
    </font>
    <font>
      <b/>
      <sz val="10"/>
      <color rgb="FFC00000"/>
      <name val="Arial"/>
      <family val="2"/>
    </font>
    <font>
      <sz val="9"/>
      <color rgb="FFC00000"/>
      <name val="Arial"/>
      <family val="2"/>
    </font>
    <font>
      <i/>
      <sz val="9"/>
      <name val="Arial"/>
      <family val="2"/>
    </font>
    <font>
      <b/>
      <sz val="12"/>
      <color rgb="FF1F4E78"/>
      <name val="Arial"/>
      <family val="2"/>
    </font>
    <font>
      <sz val="10"/>
      <color rgb="FF008000"/>
      <name val="Arial"/>
      <family val="2"/>
    </font>
    <font>
      <sz val="9"/>
      <name val="Arial"/>
      <family val="2"/>
    </font>
    <font>
      <sz val="10"/>
      <name val="FreeSans"/>
      <family val="2"/>
    </font>
    <font>
      <u/>
      <sz val="10"/>
      <color rgb="FF0563C1"/>
      <name val="Arial"/>
      <family val="2"/>
    </font>
    <font>
      <sz val="11"/>
      <color theme="1"/>
      <name val="FreeSans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5">
    <xf numFmtId="0" fontId="0" fillId="0" borderId="0" xfId="0"/>
    <xf numFmtId="167" fontId="8" fillId="4" borderId="1" xfId="0" applyNumberFormat="1" applyFont="1" applyFill="1" applyBorder="1"/>
    <xf numFmtId="2" fontId="8" fillId="4" borderId="1" xfId="0" applyNumberFormat="1" applyFont="1" applyFill="1" applyBorder="1"/>
    <xf numFmtId="164" fontId="8" fillId="4" borderId="1" xfId="0" applyNumberFormat="1" applyFont="1" applyFill="1" applyBorder="1"/>
    <xf numFmtId="0" fontId="7" fillId="0" borderId="0" xfId="0" applyFont="1"/>
    <xf numFmtId="166" fontId="8" fillId="4" borderId="1" xfId="0" applyNumberFormat="1" applyFont="1" applyFill="1" applyBorder="1"/>
    <xf numFmtId="0" fontId="8" fillId="0" borderId="0" xfId="0" applyFont="1"/>
    <xf numFmtId="165" fontId="6" fillId="3" borderId="1" xfId="0" applyNumberFormat="1" applyFont="1" applyFill="1" applyBorder="1"/>
    <xf numFmtId="1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0" borderId="0" xfId="0" applyFont="1" applyAlignment="1">
      <alignment vertical="top" wrapText="1"/>
    </xf>
    <xf numFmtId="0" fontId="6" fillId="3" borderId="1" xfId="0" applyFont="1" applyFill="1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/>
    <xf numFmtId="1" fontId="6" fillId="3" borderId="1" xfId="0" applyNumberFormat="1" applyFont="1" applyFill="1" applyBorder="1"/>
    <xf numFmtId="0" fontId="8" fillId="0" borderId="0" xfId="0" applyFont="1"/>
    <xf numFmtId="164" fontId="9" fillId="5" borderId="1" xfId="0" applyNumberFormat="1" applyFont="1" applyFill="1" applyBorder="1"/>
    <xf numFmtId="0" fontId="10" fillId="0" borderId="0" xfId="0" applyFont="1"/>
    <xf numFmtId="164" fontId="8" fillId="0" borderId="0" xfId="0" applyNumberFormat="1" applyFont="1"/>
    <xf numFmtId="167" fontId="8" fillId="0" borderId="0" xfId="0" applyNumberFormat="1" applyFont="1"/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vertical="top" wrapText="1"/>
    </xf>
    <xf numFmtId="0" fontId="14" fillId="0" borderId="0" xfId="0" applyFont="1"/>
    <xf numFmtId="167" fontId="14" fillId="0" borderId="0" xfId="0" applyNumberFormat="1" applyFont="1"/>
    <xf numFmtId="165" fontId="14" fillId="0" borderId="0" xfId="0" applyNumberFormat="1" applyFont="1"/>
    <xf numFmtId="1" fontId="14" fillId="0" borderId="0" xfId="0" applyNumberFormat="1" applyFont="1"/>
    <xf numFmtId="168" fontId="14" fillId="0" borderId="0" xfId="0" applyNumberFormat="1" applyFont="1"/>
    <xf numFmtId="0" fontId="4" fillId="6" borderId="0" xfId="0" applyFont="1" applyFill="1"/>
    <xf numFmtId="0" fontId="14" fillId="6" borderId="0" xfId="0" applyFont="1" applyFill="1"/>
    <xf numFmtId="167" fontId="14" fillId="6" borderId="0" xfId="0" applyNumberFormat="1" applyFont="1" applyFill="1"/>
    <xf numFmtId="165" fontId="14" fillId="6" borderId="0" xfId="0" applyNumberFormat="1" applyFont="1" applyFill="1"/>
    <xf numFmtId="1" fontId="14" fillId="6" borderId="0" xfId="0" applyNumberFormat="1" applyFont="1" applyFill="1"/>
    <xf numFmtId="168" fontId="14" fillId="6" borderId="0" xfId="0" applyNumberFormat="1" applyFont="1" applyFill="1"/>
    <xf numFmtId="0" fontId="4" fillId="7" borderId="0" xfId="0" applyFont="1" applyFill="1"/>
    <xf numFmtId="0" fontId="14" fillId="7" borderId="0" xfId="0" applyFont="1" applyFill="1"/>
    <xf numFmtId="167" fontId="14" fillId="7" borderId="0" xfId="0" applyNumberFormat="1" applyFont="1" applyFill="1"/>
    <xf numFmtId="165" fontId="14" fillId="7" borderId="0" xfId="0" applyNumberFormat="1" applyFont="1" applyFill="1"/>
    <xf numFmtId="1" fontId="14" fillId="7" borderId="0" xfId="0" applyNumberFormat="1" applyFont="1" applyFill="1"/>
    <xf numFmtId="168" fontId="14" fillId="7" borderId="0" xfId="0" applyNumberFormat="1" applyFont="1" applyFill="1"/>
    <xf numFmtId="2" fontId="14" fillId="0" borderId="0" xfId="0" applyNumberFormat="1" applyFont="1"/>
    <xf numFmtId="0" fontId="8" fillId="7" borderId="0" xfId="0" applyFont="1" applyFill="1"/>
    <xf numFmtId="2" fontId="14" fillId="7" borderId="0" xfId="0" applyNumberFormat="1" applyFont="1" applyFill="1"/>
    <xf numFmtId="0" fontId="3" fillId="0" borderId="0" xfId="0" applyFont="1"/>
    <xf numFmtId="2" fontId="6" fillId="8" borderId="0" xfId="0" applyNumberFormat="1" applyFont="1" applyFill="1"/>
    <xf numFmtId="165" fontId="6" fillId="8" borderId="0" xfId="0" applyNumberFormat="1" applyFont="1" applyFill="1"/>
    <xf numFmtId="0" fontId="6" fillId="8" borderId="0" xfId="0" applyFont="1" applyFill="1"/>
    <xf numFmtId="1" fontId="8" fillId="0" borderId="0" xfId="0" applyNumberFormat="1" applyFont="1"/>
    <xf numFmtId="169" fontId="6" fillId="0" borderId="0" xfId="0" applyNumberFormat="1" applyFont="1"/>
    <xf numFmtId="165" fontId="8" fillId="0" borderId="0" xfId="0" applyNumberFormat="1" applyFont="1"/>
    <xf numFmtId="169" fontId="8" fillId="6" borderId="0" xfId="0" applyNumberFormat="1" applyFont="1" applyFill="1"/>
    <xf numFmtId="165" fontId="6" fillId="0" borderId="0" xfId="0" applyNumberFormat="1" applyFont="1"/>
    <xf numFmtId="164" fontId="6" fillId="0" borderId="0" xfId="0" applyNumberFormat="1" applyFont="1"/>
    <xf numFmtId="2" fontId="8" fillId="0" borderId="0" xfId="0" applyNumberFormat="1" applyFont="1"/>
    <xf numFmtId="2" fontId="6" fillId="0" borderId="0" xfId="0" applyNumberFormat="1" applyFont="1"/>
    <xf numFmtId="0" fontId="15" fillId="0" borderId="0" xfId="0" applyFont="1"/>
    <xf numFmtId="164" fontId="6" fillId="8" borderId="0" xfId="0" applyNumberFormat="1" applyFont="1" applyFill="1"/>
    <xf numFmtId="0" fontId="11" fillId="0" borderId="0" xfId="0" applyFont="1"/>
    <xf numFmtId="167" fontId="6" fillId="0" borderId="0" xfId="0" applyNumberFormat="1" applyFont="1"/>
    <xf numFmtId="0" fontId="5" fillId="2" borderId="0" xfId="0" applyFont="1" applyFill="1"/>
    <xf numFmtId="1" fontId="6" fillId="0" borderId="0" xfId="0" applyNumberFormat="1" applyFont="1"/>
    <xf numFmtId="168" fontId="8" fillId="0" borderId="0" xfId="0" applyNumberFormat="1" applyFont="1"/>
    <xf numFmtId="0" fontId="6" fillId="0" borderId="0" xfId="0" applyFont="1"/>
    <xf numFmtId="1" fontId="8" fillId="7" borderId="0" xfId="0" applyNumberFormat="1" applyFont="1" applyFill="1"/>
    <xf numFmtId="165" fontId="8" fillId="7" borderId="0" xfId="0" applyNumberFormat="1" applyFont="1" applyFill="1"/>
    <xf numFmtId="168" fontId="8" fillId="7" borderId="0" xfId="0" applyNumberFormat="1" applyFont="1" applyFill="1"/>
    <xf numFmtId="2" fontId="4" fillId="0" borderId="0" xfId="0" applyNumberFormat="1" applyFont="1"/>
    <xf numFmtId="2" fontId="4" fillId="4" borderId="0" xfId="0" applyNumberFormat="1" applyFont="1" applyFill="1"/>
    <xf numFmtId="166" fontId="8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8" fillId="6" borderId="0" xfId="0" applyFont="1" applyFill="1" applyAlignment="1">
      <alignment vertical="top" wrapText="1"/>
    </xf>
    <xf numFmtId="0" fontId="17" fillId="0" borderId="0" xfId="0" applyFont="1"/>
    <xf numFmtId="0" fontId="18" fillId="0" borderId="0" xfId="0" applyFont="1"/>
    <xf numFmtId="0" fontId="8" fillId="4" borderId="1" xfId="0" applyFont="1" applyFill="1" applyBorder="1"/>
    <xf numFmtId="164" fontId="9" fillId="5" borderId="1" xfId="0" applyNumberFormat="1" applyFont="1" applyFill="1" applyBorder="1"/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0" fontId="4" fillId="7" borderId="0" xfId="0" applyFont="1" applyFill="1" applyAlignment="1">
      <alignment horizontal="right" vertical="top" wrapText="1"/>
    </xf>
    <xf numFmtId="0" fontId="15" fillId="0" borderId="0" xfId="0" applyFont="1" applyAlignment="1">
      <alignment horizontal="right" vertical="top" wrapText="1"/>
    </xf>
    <xf numFmtId="164" fontId="14" fillId="0" borderId="0" xfId="0" applyNumberFormat="1" applyFont="1"/>
    <xf numFmtId="165" fontId="14" fillId="0" borderId="0" xfId="0" applyNumberFormat="1" applyFont="1"/>
    <xf numFmtId="0" fontId="12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readingOrder="2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top" wrapText="1"/>
    </xf>
    <xf numFmtId="0" fontId="22" fillId="0" borderId="0" xfId="0" applyFont="1"/>
    <xf numFmtId="0" fontId="21" fillId="0" borderId="0" xfId="0" applyFont="1" applyAlignment="1">
      <alignment horizontal="right" vertical="top" wrapText="1" readingOrder="2"/>
    </xf>
    <xf numFmtId="0" fontId="21" fillId="0" borderId="0" xfId="0" applyFont="1" applyAlignment="1">
      <alignment horizontal="right" vertical="top" wrapText="1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top" wrapText="1"/>
    </xf>
    <xf numFmtId="0" fontId="6" fillId="3" borderId="1" xfId="0" applyFont="1" applyFill="1" applyBorder="1" applyAlignment="1">
      <alignment wrapText="1"/>
    </xf>
    <xf numFmtId="1" fontId="6" fillId="3" borderId="1" xfId="0" applyNumberFormat="1" applyFont="1" applyFill="1" applyBorder="1" applyAlignment="1">
      <alignment wrapText="1"/>
    </xf>
    <xf numFmtId="1" fontId="6" fillId="8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4" fontId="6" fillId="8" borderId="0" xfId="0" applyNumberFormat="1" applyFont="1" applyFill="1" applyAlignment="1">
      <alignment horizontal="center"/>
    </xf>
    <xf numFmtId="164" fontId="14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readingOrder="2"/>
    </xf>
    <xf numFmtId="0" fontId="8" fillId="0" borderId="0" xfId="0" applyFont="1" applyAlignment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شاخص ریالی پمپ در برابر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CPI (</a:t>
            </a: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۱۳۹۳=۱، مقیاس لگاریتمی)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Drivers!$D$23</c:f>
              <c:strCache>
                <c:ptCount val="1"/>
                <c:pt idx="0">
                  <c:v>شاخص ریالی پمپ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Drivers!$A$24:$A$36</c:f>
              <c:numCache>
                <c:formatCode>0</c:formatCode>
                <c:ptCount val="13"/>
                <c:pt idx="0">
                  <c:v>1393</c:v>
                </c:pt>
                <c:pt idx="1">
                  <c:v>1394</c:v>
                </c:pt>
                <c:pt idx="2">
                  <c:v>1395</c:v>
                </c:pt>
                <c:pt idx="3">
                  <c:v>1396</c:v>
                </c:pt>
                <c:pt idx="4">
                  <c:v>1397</c:v>
                </c:pt>
                <c:pt idx="5">
                  <c:v>1398</c:v>
                </c:pt>
                <c:pt idx="6">
                  <c:v>1399</c:v>
                </c:pt>
                <c:pt idx="7">
                  <c:v>1400</c:v>
                </c:pt>
                <c:pt idx="8">
                  <c:v>1401</c:v>
                </c:pt>
                <c:pt idx="9">
                  <c:v>1402</c:v>
                </c:pt>
                <c:pt idx="10">
                  <c:v>1403</c:v>
                </c:pt>
                <c:pt idx="11">
                  <c:v>1404</c:v>
                </c:pt>
                <c:pt idx="12">
                  <c:v>1405</c:v>
                </c:pt>
              </c:numCache>
            </c:numRef>
          </c:cat>
          <c:val>
            <c:numRef>
              <c:f>Drivers!$D$24:$D$36</c:f>
              <c:numCache>
                <c:formatCode>0.00</c:formatCode>
                <c:ptCount val="13"/>
                <c:pt idx="0">
                  <c:v>1</c:v>
                </c:pt>
                <c:pt idx="1">
                  <c:v>0.92448093515947061</c:v>
                </c:pt>
                <c:pt idx="2">
                  <c:v>1.0156197812355403</c:v>
                </c:pt>
                <c:pt idx="3">
                  <c:v>1.1739023480266511</c:v>
                </c:pt>
                <c:pt idx="4">
                  <c:v>2.5730278580987633</c:v>
                </c:pt>
                <c:pt idx="5">
                  <c:v>3.5100987134784916</c:v>
                </c:pt>
                <c:pt idx="6">
                  <c:v>7.2614312114497954</c:v>
                </c:pt>
                <c:pt idx="7">
                  <c:v>8.7733673913984624</c:v>
                </c:pt>
                <c:pt idx="8">
                  <c:v>11.043064514386064</c:v>
                </c:pt>
                <c:pt idx="9">
                  <c:v>18.088796119968947</c:v>
                </c:pt>
                <c:pt idx="10">
                  <c:v>22.767387101904159</c:v>
                </c:pt>
                <c:pt idx="11">
                  <c:v>37.667871355562959</c:v>
                </c:pt>
                <c:pt idx="12">
                  <c:v>97.753126327600341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A9-4BD2-AE4F-DABAC557D5C1}"/>
            </c:ext>
          </c:extLst>
        </c:ser>
        <c:ser>
          <c:idx val="1"/>
          <c:order val="1"/>
          <c:tx>
            <c:strRef>
              <c:f>Drivers!$E$23</c:f>
              <c:strCache>
                <c:ptCount val="1"/>
                <c:pt idx="0">
                  <c:v>شاخص CPI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Drivers!$A$24:$A$36</c:f>
              <c:numCache>
                <c:formatCode>0</c:formatCode>
                <c:ptCount val="13"/>
                <c:pt idx="0">
                  <c:v>1393</c:v>
                </c:pt>
                <c:pt idx="1">
                  <c:v>1394</c:v>
                </c:pt>
                <c:pt idx="2">
                  <c:v>1395</c:v>
                </c:pt>
                <c:pt idx="3">
                  <c:v>1396</c:v>
                </c:pt>
                <c:pt idx="4">
                  <c:v>1397</c:v>
                </c:pt>
                <c:pt idx="5">
                  <c:v>1398</c:v>
                </c:pt>
                <c:pt idx="6">
                  <c:v>1399</c:v>
                </c:pt>
                <c:pt idx="7">
                  <c:v>1400</c:v>
                </c:pt>
                <c:pt idx="8">
                  <c:v>1401</c:v>
                </c:pt>
                <c:pt idx="9">
                  <c:v>1402</c:v>
                </c:pt>
                <c:pt idx="10">
                  <c:v>1403</c:v>
                </c:pt>
                <c:pt idx="11">
                  <c:v>1404</c:v>
                </c:pt>
                <c:pt idx="12">
                  <c:v>1405</c:v>
                </c:pt>
              </c:numCache>
            </c:numRef>
          </c:cat>
          <c:val>
            <c:numRef>
              <c:f>Drivers!$E$24:$E$36</c:f>
              <c:numCache>
                <c:formatCode>0.00</c:formatCode>
                <c:ptCount val="13"/>
                <c:pt idx="0">
                  <c:v>1</c:v>
                </c:pt>
                <c:pt idx="1">
                  <c:v>1.119</c:v>
                </c:pt>
                <c:pt idx="2">
                  <c:v>1.2197100000000003</c:v>
                </c:pt>
                <c:pt idx="3">
                  <c:v>1.3368021600000004</c:v>
                </c:pt>
                <c:pt idx="4">
                  <c:v>1.7538844339200006</c:v>
                </c:pt>
                <c:pt idx="5">
                  <c:v>2.4764848206950405</c:v>
                </c:pt>
                <c:pt idx="6">
                  <c:v>3.6404326864217094</c:v>
                </c:pt>
                <c:pt idx="7">
                  <c:v>5.3223125875485389</c:v>
                </c:pt>
                <c:pt idx="8">
                  <c:v>7.7971879407586098</c:v>
                </c:pt>
                <c:pt idx="9">
                  <c:v>11.695781911137916</c:v>
                </c:pt>
                <c:pt idx="10">
                  <c:v>16.374094675593081</c:v>
                </c:pt>
                <c:pt idx="11">
                  <c:v>26.198551480948929</c:v>
                </c:pt>
                <c:pt idx="12">
                  <c:v>31.438261777138717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A9-4BD2-AE4F-DABAC557D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482151"/>
        <c:axId val="81341736"/>
      </c:lineChart>
      <c:catAx>
        <c:axId val="35482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41736"/>
        <c:crosses val="autoZero"/>
        <c:auto val="1"/>
        <c:lblAlgn val="ctr"/>
        <c:lblOffset val="100"/>
        <c:noMultiLvlLbl val="0"/>
      </c:catAx>
      <c:valAx>
        <c:axId val="8134173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برابر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482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-364680</xdr:colOff>
      <xdr:row>20</xdr:row>
      <xdr:rowOff>163080</xdr:rowOff>
    </xdr:from>
    <xdr:to>
      <xdr:col>17</xdr:col>
      <xdr:colOff>0</xdr:colOff>
      <xdr:row>36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timeseries/ewko/ppi" TargetMode="External"/><Relationship Id="rId2" Type="http://schemas.openxmlformats.org/officeDocument/2006/relationships/hyperlink" Target="https://fred.stlouisfed.org/data/PCU333914333914" TargetMode="External"/><Relationship Id="rId1" Type="http://schemas.openxmlformats.org/officeDocument/2006/relationships/hyperlink" Target="https://ec.europa.eu/eurostat/api/dissemination/statistics/1.0/data/sts_inppd_a?format=JSON&amp;lang=EN&amp;geo=EA20&amp;nace_r2=C2813&amp;unit=I21" TargetMode="External"/><Relationship Id="rId5" Type="http://schemas.openxmlformats.org/officeDocument/2006/relationships/hyperlink" Target="https://parsi.euronews.com/business/2026/09/02/iran-currency-rial-crisis" TargetMode="External"/><Relationship Id="rId4" Type="http://schemas.openxmlformats.org/officeDocument/2006/relationships/hyperlink" Target="https://en.wikipedia.org/wiki/Iranian_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67"/>
  <sheetViews>
    <sheetView showGridLines="0" rightToLeft="1" zoomScaleNormal="100" workbookViewId="0">
      <selection activeCell="K45" sqref="K45"/>
    </sheetView>
  </sheetViews>
  <sheetFormatPr defaultColWidth="8.7109375" defaultRowHeight="15"/>
  <cols>
    <col min="1" max="1" width="2" customWidth="1"/>
    <col min="2" max="2" width="22" customWidth="1"/>
    <col min="3" max="3" width="26" customWidth="1"/>
    <col min="4" max="4" width="10" customWidth="1"/>
    <col min="5" max="5" width="16" customWidth="1"/>
    <col min="6" max="7" width="9" customWidth="1"/>
    <col min="8" max="8" width="16" customWidth="1"/>
    <col min="9" max="9" width="7" customWidth="1"/>
    <col min="10" max="10" width="9" customWidth="1"/>
    <col min="11" max="11" width="12" customWidth="1"/>
    <col min="12" max="12" width="9" customWidth="1"/>
    <col min="13" max="13" width="13" customWidth="1"/>
    <col min="14" max="14" width="17" customWidth="1"/>
    <col min="15" max="15" width="19" customWidth="1"/>
  </cols>
  <sheetData>
    <row r="1" spans="2:8" ht="18">
      <c r="B1" s="15" t="s">
        <v>0</v>
      </c>
    </row>
    <row r="2" spans="2:8" ht="31.5" customHeight="1">
      <c r="B2" s="97" t="s">
        <v>1</v>
      </c>
      <c r="C2" s="97"/>
      <c r="D2" s="97"/>
      <c r="E2" s="97"/>
      <c r="F2" s="97"/>
      <c r="G2" s="97"/>
    </row>
    <row r="4" spans="2:8">
      <c r="B4" s="16" t="s">
        <v>2</v>
      </c>
    </row>
    <row r="5" spans="2:8" ht="42" customHeight="1">
      <c r="B5" s="13" t="s">
        <v>3</v>
      </c>
      <c r="C5" s="13"/>
      <c r="D5" s="13" t="s">
        <v>4</v>
      </c>
      <c r="E5" s="13"/>
      <c r="F5" s="17" t="s">
        <v>5</v>
      </c>
    </row>
    <row r="6" spans="2:8" ht="30" customHeight="1">
      <c r="B6" s="12" t="s">
        <v>6</v>
      </c>
      <c r="C6" s="12"/>
      <c r="D6" s="11" t="s">
        <v>7</v>
      </c>
      <c r="E6" s="11"/>
      <c r="F6" s="10" t="s">
        <v>8</v>
      </c>
      <c r="G6" s="10"/>
      <c r="H6" s="10"/>
    </row>
    <row r="7" spans="2:8" ht="30" customHeight="1">
      <c r="B7" s="12" t="s">
        <v>9</v>
      </c>
      <c r="C7" s="12"/>
      <c r="D7" s="11" t="s">
        <v>10</v>
      </c>
      <c r="E7" s="11"/>
      <c r="F7" s="10" t="s">
        <v>11</v>
      </c>
      <c r="G7" s="10"/>
      <c r="H7" s="10"/>
    </row>
    <row r="8" spans="2:8" ht="30" customHeight="1">
      <c r="B8" s="12" t="s">
        <v>12</v>
      </c>
      <c r="C8" s="12"/>
      <c r="D8" s="9">
        <v>260000</v>
      </c>
      <c r="E8" s="9"/>
      <c r="F8" s="10" t="s">
        <v>13</v>
      </c>
      <c r="G8" s="10"/>
      <c r="H8" s="10"/>
    </row>
    <row r="9" spans="2:8" ht="30" customHeight="1">
      <c r="B9" s="12" t="s">
        <v>14</v>
      </c>
      <c r="C9" s="12"/>
      <c r="D9" s="11" t="s">
        <v>15</v>
      </c>
      <c r="E9" s="11"/>
      <c r="F9" s="10" t="s">
        <v>16</v>
      </c>
      <c r="G9" s="10"/>
      <c r="H9" s="10"/>
    </row>
    <row r="10" spans="2:8" ht="30" customHeight="1">
      <c r="B10" s="12" t="s">
        <v>17</v>
      </c>
      <c r="C10" s="12"/>
      <c r="D10" s="8">
        <v>1393</v>
      </c>
      <c r="E10" s="8"/>
      <c r="F10" s="10" t="s">
        <v>18</v>
      </c>
      <c r="G10" s="10"/>
      <c r="H10" s="10"/>
    </row>
    <row r="11" spans="2:8" s="95" customFormat="1" ht="38.25" customHeight="1">
      <c r="B11" s="92" t="s">
        <v>19</v>
      </c>
      <c r="C11" s="92"/>
      <c r="D11" s="93"/>
      <c r="E11" s="93"/>
      <c r="F11" s="94" t="s">
        <v>20</v>
      </c>
      <c r="G11" s="94"/>
      <c r="H11" s="94"/>
    </row>
    <row r="12" spans="2:8" ht="30" customHeight="1">
      <c r="B12" s="12" t="s">
        <v>21</v>
      </c>
      <c r="C12" s="12"/>
      <c r="D12" s="8">
        <v>1405</v>
      </c>
      <c r="E12" s="8"/>
      <c r="F12" s="10" t="s">
        <v>22</v>
      </c>
      <c r="G12" s="10"/>
      <c r="H12" s="10"/>
    </row>
    <row r="13" spans="2:8" ht="30" customHeight="1">
      <c r="B13" s="12" t="s">
        <v>23</v>
      </c>
      <c r="C13" s="12"/>
      <c r="D13" s="9"/>
      <c r="E13" s="9"/>
      <c r="F13" s="10" t="s">
        <v>24</v>
      </c>
      <c r="G13" s="10"/>
      <c r="H13" s="10"/>
    </row>
    <row r="14" spans="2:8" ht="30" customHeight="1">
      <c r="B14" s="12" t="s">
        <v>25</v>
      </c>
      <c r="C14" s="12"/>
      <c r="D14" s="8">
        <v>2</v>
      </c>
      <c r="E14" s="8"/>
      <c r="F14" s="10" t="s">
        <v>26</v>
      </c>
      <c r="G14" s="10"/>
      <c r="H14" s="10"/>
    </row>
    <row r="15" spans="2:8" ht="30" customHeight="1">
      <c r="B15" s="12" t="s">
        <v>27</v>
      </c>
      <c r="C15" s="12"/>
      <c r="D15" s="7">
        <v>0</v>
      </c>
      <c r="E15" s="7"/>
      <c r="F15" s="10" t="s">
        <v>28</v>
      </c>
      <c r="G15" s="10"/>
      <c r="H15" s="10"/>
    </row>
    <row r="16" spans="2:8" ht="30" customHeight="1">
      <c r="B16" s="12" t="s">
        <v>29</v>
      </c>
      <c r="C16" s="12"/>
      <c r="D16" s="11" t="s">
        <v>30</v>
      </c>
      <c r="E16" s="11"/>
      <c r="F16" s="10" t="s">
        <v>31</v>
      </c>
      <c r="G16" s="10"/>
      <c r="H16" s="10"/>
    </row>
    <row r="18" spans="2:8">
      <c r="B18" s="16" t="s">
        <v>32</v>
      </c>
    </row>
    <row r="19" spans="2:8" ht="42" customHeight="1">
      <c r="B19" s="13" t="s">
        <v>33</v>
      </c>
      <c r="C19" s="13"/>
      <c r="D19" s="13" t="s">
        <v>4</v>
      </c>
      <c r="E19" s="13"/>
      <c r="F19" s="17" t="s">
        <v>34</v>
      </c>
    </row>
    <row r="20" spans="2:8" ht="17.25" customHeight="1">
      <c r="B20" s="6" t="s">
        <v>35</v>
      </c>
      <c r="C20" s="6"/>
      <c r="D20" s="5">
        <f>IF(D9="EUR",1,IF(D9="USD",INDEX(Indices!$E$51:$E$71,MATCH(D10,Indices!$A$51:$A$71,0)),IF(D11&lt;&gt;"",D11,INDEX(Indices!$G$51:$G$71,MATCH(D10,Indices!$A$51:$A$71,0)))))</f>
        <v>1</v>
      </c>
      <c r="E20" s="5"/>
      <c r="F20" s="4" t="s">
        <v>36</v>
      </c>
      <c r="G20" s="4"/>
      <c r="H20" s="4"/>
    </row>
    <row r="21" spans="2:8">
      <c r="B21" s="6" t="s">
        <v>37</v>
      </c>
      <c r="C21" s="6"/>
      <c r="D21" s="3">
        <f>D8/D20</f>
        <v>260000</v>
      </c>
      <c r="E21" s="3"/>
      <c r="F21" s="4" t="s">
        <v>38</v>
      </c>
      <c r="G21" s="4"/>
      <c r="H21" s="4"/>
    </row>
    <row r="22" spans="2:8">
      <c r="B22" s="6" t="s">
        <v>39</v>
      </c>
      <c r="C22" s="6"/>
      <c r="D22" s="2">
        <f>INDEX(Indices!$C$51:$C$71,MATCH(D10,Indices!$A$51:$A$71,0))</f>
        <v>91.347000000000008</v>
      </c>
      <c r="E22" s="2"/>
      <c r="F22" s="4" t="s">
        <v>40</v>
      </c>
      <c r="G22" s="4"/>
      <c r="H22" s="4"/>
    </row>
    <row r="23" spans="2:8">
      <c r="B23" s="6" t="s">
        <v>41</v>
      </c>
      <c r="C23" s="6"/>
      <c r="D23" s="2">
        <f>INDEX(Indices!$C$51:$C$71,MATCH(D12,Indices!$A$51:$A$71,0))</f>
        <v>125.8845036</v>
      </c>
      <c r="E23" s="2"/>
      <c r="F23" s="4" t="s">
        <v>42</v>
      </c>
      <c r="G23" s="4"/>
      <c r="H23" s="4"/>
    </row>
    <row r="24" spans="2:8">
      <c r="B24" s="6" t="s">
        <v>43</v>
      </c>
      <c r="C24" s="6"/>
      <c r="D24" s="1">
        <f>D23/D22</f>
        <v>1.3780912739334623</v>
      </c>
      <c r="E24" s="1"/>
      <c r="F24" s="4" t="s">
        <v>44</v>
      </c>
      <c r="G24" s="4"/>
      <c r="H24" s="4"/>
    </row>
    <row r="25" spans="2:8">
      <c r="B25" s="6" t="s">
        <v>45</v>
      </c>
      <c r="C25" s="6"/>
      <c r="D25" s="3">
        <f>D21*D24</f>
        <v>358303.73122270021</v>
      </c>
      <c r="E25" s="3"/>
      <c r="F25" s="4"/>
      <c r="G25" s="4"/>
      <c r="H25" s="4"/>
    </row>
    <row r="26" spans="2:8">
      <c r="B26" s="6" t="s">
        <v>46</v>
      </c>
      <c r="C26" s="6"/>
      <c r="D26" s="80" t="str">
        <f>IF(D16="بله","بله",IF(D16="خیر","خیر",IF(AND(D6="گریز از مرکز API 610",OR(LEFT(D7,1)="S",LEFT(D7,1)="D")),"بله","خیر")))</f>
        <v>بله</v>
      </c>
      <c r="E26" s="80"/>
      <c r="F26" s="96" t="s">
        <v>47</v>
      </c>
      <c r="G26" s="96"/>
      <c r="H26" s="96"/>
    </row>
    <row r="27" spans="2:8">
      <c r="B27" s="6" t="s">
        <v>48</v>
      </c>
      <c r="C27" s="6"/>
      <c r="D27" s="3">
        <f>Val_EUR_Pumps!$E$16*D23/INDEX(Indices!$C$51:$C$71,MATCH(1404,Indices!$A$51:$A$71,0))</f>
        <v>25500</v>
      </c>
      <c r="E27" s="3"/>
      <c r="F27" s="4" t="s">
        <v>49</v>
      </c>
      <c r="G27" s="4"/>
      <c r="H27" s="4"/>
    </row>
    <row r="28" spans="2:8">
      <c r="B28" s="6" t="s">
        <v>50</v>
      </c>
      <c r="C28" s="6"/>
      <c r="D28" s="3">
        <f>IF(D26="بله",MAX(D25,D27),D25)</f>
        <v>358303.73122270021</v>
      </c>
      <c r="E28" s="3"/>
      <c r="F28" s="4"/>
      <c r="G28" s="4"/>
      <c r="H28" s="4"/>
    </row>
    <row r="29" spans="2:8">
      <c r="B29" s="6" t="s">
        <v>51</v>
      </c>
      <c r="C29" s="6"/>
      <c r="D29" s="3">
        <f>IF(D13&lt;&gt;"",D13,INDEX(Indices!$G$51:$G$71,MATCH(D12,Indices!$A$51:$A$71,0)))</f>
        <v>2875000</v>
      </c>
      <c r="E29" s="3"/>
      <c r="F29" s="4" t="s">
        <v>52</v>
      </c>
      <c r="G29" s="4"/>
      <c r="H29" s="4"/>
    </row>
    <row r="30" spans="2:8">
      <c r="B30" s="6" t="s">
        <v>53</v>
      </c>
      <c r="C30" s="6"/>
      <c r="D30" s="3">
        <f>D28*D29</f>
        <v>1030123227265.2631</v>
      </c>
      <c r="E30" s="3"/>
      <c r="F30" s="4"/>
      <c r="G30" s="4"/>
      <c r="H30" s="4"/>
    </row>
    <row r="31" spans="2:8">
      <c r="B31" s="6" t="s">
        <v>54</v>
      </c>
      <c r="C31" s="6"/>
      <c r="D31" s="3">
        <f>D30*D15</f>
        <v>0</v>
      </c>
      <c r="E31" s="3"/>
      <c r="F31" s="4"/>
      <c r="G31" s="4"/>
      <c r="H31" s="4"/>
    </row>
    <row r="33" spans="2:15">
      <c r="B33" s="16" t="s">
        <v>55</v>
      </c>
    </row>
    <row r="34" spans="2:15" ht="21.75" customHeight="1">
      <c r="B34" s="12" t="s">
        <v>56</v>
      </c>
      <c r="C34" s="12"/>
      <c r="D34" s="81">
        <f>D30+D31</f>
        <v>1030123227265.2631</v>
      </c>
      <c r="E34" s="81"/>
    </row>
    <row r="35" spans="2:15" ht="21.75" customHeight="1">
      <c r="B35" s="12" t="s">
        <v>57</v>
      </c>
      <c r="C35" s="12"/>
      <c r="D35" s="81">
        <f>D34*D14</f>
        <v>2060246454530.5261</v>
      </c>
      <c r="E35" s="81"/>
    </row>
    <row r="36" spans="2:15" ht="21.75" customHeight="1">
      <c r="B36" s="12" t="s">
        <v>58</v>
      </c>
      <c r="C36" s="12"/>
      <c r="D36" s="81">
        <f>D35/10</f>
        <v>206024645453.05261</v>
      </c>
      <c r="E36" s="81"/>
    </row>
    <row r="37" spans="2:15" ht="21.75" customHeight="1">
      <c r="B37" s="12" t="s">
        <v>59</v>
      </c>
      <c r="C37" s="12"/>
      <c r="D37" s="81">
        <f>D28*(1+D15)*D14</f>
        <v>716607.46244540042</v>
      </c>
      <c r="E37" s="81"/>
    </row>
    <row r="38" spans="2:15" ht="21.75" customHeight="1">
      <c r="B38" s="12" t="s">
        <v>60</v>
      </c>
      <c r="C38" s="12"/>
      <c r="D38" s="81">
        <f>D37*INDEX(Indices!$E$51:$E$71,MATCH(D12,Indices!$A$51:$A$71,0))</f>
        <v>824098.58181221038</v>
      </c>
      <c r="E38" s="81"/>
    </row>
    <row r="40" spans="2:15" ht="30" customHeight="1">
      <c r="B40" s="23" t="s">
        <v>61</v>
      </c>
      <c r="D40" s="82" t="str">
        <f>IF(D10&gt;D12,"سال پایه بعد از سال هدف است. ","")&amp;IF(D6="آتش‌نشانی","پمپ آتش‌نشانی: دامنه کار (پمپ تنها یا پکیج NFPA 20) را مشخص کنید؛ پراکندگی استعلام‌ها بسیار زیاد است. ","")&amp;IF(D6="پکیج تزریق مواد","پکیج تزریق: روش روی ۱۱ پکیج پازنان آزموده شده (خطای حدود ±۱۰٪). ","")&amp;IF(D12&gt;=1405,"شاخص پمپ برای ۱۴۰۵ پیش‌بینی است (رشد در Indices!C4). ","")&amp;IF(AND(D9="IRR",D11=""),"قیمت ریالی بدون نرخ تسعیر منبع: نرخ تقریبی Indices استفاده شد. ","")</f>
        <v xml:space="preserve">شاخص پمپ برای ۱۴۰۵ پیش‌بینی است (رشد در Indices!C4). </v>
      </c>
      <c r="E40" s="82"/>
      <c r="F40" s="82"/>
      <c r="G40" s="82"/>
      <c r="H40" s="82"/>
    </row>
    <row r="41" spans="2:15">
      <c r="D41" s="82"/>
      <c r="E41" s="82"/>
      <c r="F41" s="82"/>
      <c r="G41" s="82"/>
      <c r="H41" s="82"/>
    </row>
    <row r="43" spans="2:15">
      <c r="B43" s="16" t="s">
        <v>62</v>
      </c>
    </row>
    <row r="44" spans="2:15" ht="42" customHeight="1">
      <c r="B44" s="17" t="s">
        <v>63</v>
      </c>
      <c r="C44" s="17" t="s">
        <v>6</v>
      </c>
      <c r="D44" s="17" t="s">
        <v>64</v>
      </c>
      <c r="E44" s="17" t="s">
        <v>12</v>
      </c>
      <c r="F44" s="17" t="s">
        <v>65</v>
      </c>
      <c r="G44" s="17" t="s">
        <v>66</v>
      </c>
      <c r="H44" s="17" t="s">
        <v>67</v>
      </c>
      <c r="I44" s="17" t="s">
        <v>25</v>
      </c>
      <c r="J44" s="17" t="s">
        <v>68</v>
      </c>
      <c r="K44" s="17" t="s">
        <v>69</v>
      </c>
      <c r="L44" s="17" t="s">
        <v>70</v>
      </c>
      <c r="M44" s="17" t="s">
        <v>71</v>
      </c>
      <c r="N44" s="17" t="s">
        <v>72</v>
      </c>
      <c r="O44" s="17" t="s">
        <v>73</v>
      </c>
    </row>
    <row r="45" spans="2:15">
      <c r="B45" s="18" t="s">
        <v>74</v>
      </c>
      <c r="C45" s="104" t="s">
        <v>745</v>
      </c>
      <c r="D45" s="18" t="s">
        <v>75</v>
      </c>
      <c r="E45" s="19">
        <v>55000</v>
      </c>
      <c r="F45" s="18" t="s">
        <v>15</v>
      </c>
      <c r="G45" s="105">
        <v>1388</v>
      </c>
      <c r="H45" s="19"/>
      <c r="I45" s="20">
        <v>3</v>
      </c>
      <c r="J45" s="18" t="s">
        <v>30</v>
      </c>
      <c r="K45" s="24">
        <f>IF(E45="","",E45/IF(F45="EUR",1,IF(F45="USD",INDEX(Indices!$E$51:$E$71,MATCH(G45,Indices!$A$51:$A$71,0)),IF(H45&lt;&gt;"",H45,INDEX(Indices!$G$51:$G$71,MATCH(G45,Indices!$A$51:$A$71,0))))))</f>
        <v>55000</v>
      </c>
      <c r="L45" s="25">
        <f>IF(E45="","",INDEX(Indices!$C$51:$C$71,MATCH($D$12,Indices!$A$51:$A$71,0))/INDEX(Indices!$C$51:$C$71,MATCH(G45,Indices!$A$51:$A$71,0)))</f>
        <v>1.5013596622419405</v>
      </c>
      <c r="M45" s="24">
        <f t="shared" ref="M45:M64" si="0">IF(E45="","",IF(OR(J45="بله",AND(J45&lt;&gt;"خیر",C45="گریز از مرکز API 610",OR(LEFT(D45,1)="S",LEFT(D45,1)="D"))),MAX(K45*L45,$D$27),K45*L45))</f>
        <v>82574.781423306733</v>
      </c>
      <c r="N45" s="24">
        <f t="shared" ref="N45:N64" si="1">IF(E45="","",M45*$D$29*(1+$D$15))</f>
        <v>237402496592.00687</v>
      </c>
      <c r="O45" s="24">
        <f t="shared" ref="O45:O64" si="2">IF(E45="","",N45*I45)</f>
        <v>712207489776.02063</v>
      </c>
    </row>
    <row r="46" spans="2:15">
      <c r="B46" s="18" t="s">
        <v>76</v>
      </c>
      <c r="C46" s="18" t="s">
        <v>7</v>
      </c>
      <c r="D46" s="18" t="s">
        <v>77</v>
      </c>
      <c r="E46" s="19">
        <v>13215061212</v>
      </c>
      <c r="F46" s="18" t="s">
        <v>78</v>
      </c>
      <c r="G46" s="20">
        <v>1402</v>
      </c>
      <c r="H46" s="19">
        <v>455692</v>
      </c>
      <c r="I46" s="20">
        <v>1</v>
      </c>
      <c r="J46" s="18" t="s">
        <v>30</v>
      </c>
      <c r="K46" s="24">
        <f>IF(E46="","",E46/IF(F46="EUR",1,IF(F46="USD",INDEX(Indices!$E$51:$E$71,MATCH(G46,Indices!$A$51:$A$71,0)),IF(H46&lt;&gt;"",H46,INDEX(Indices!$G$51:$G$71,MATCH(G46,Indices!$A$51:$A$71,0))))))</f>
        <v>28999.985103973737</v>
      </c>
      <c r="L46" s="25">
        <f>IF(E46="","",INDEX(Indices!$C$51:$C$71,MATCH($D$12,Indices!$A$51:$A$71,0))/INDEX(Indices!$C$51:$C$71,MATCH(G46,Indices!$A$51:$A$71,0)))</f>
        <v>1.0556263981014835</v>
      </c>
      <c r="M46" s="24">
        <f t="shared" si="0"/>
        <v>30613.149820304472</v>
      </c>
      <c r="N46" s="24">
        <f t="shared" si="1"/>
        <v>88012805733.375351</v>
      </c>
      <c r="O46" s="24">
        <f t="shared" si="2"/>
        <v>88012805733.375351</v>
      </c>
    </row>
    <row r="47" spans="2:15">
      <c r="B47" s="18" t="s">
        <v>79</v>
      </c>
      <c r="C47" s="18" t="s">
        <v>80</v>
      </c>
      <c r="D47" s="18" t="s">
        <v>81</v>
      </c>
      <c r="E47" s="19">
        <v>100000000</v>
      </c>
      <c r="F47" s="18" t="s">
        <v>78</v>
      </c>
      <c r="G47" s="20">
        <v>1393</v>
      </c>
      <c r="H47" s="19"/>
      <c r="I47" s="20">
        <v>2</v>
      </c>
      <c r="J47" s="18" t="s">
        <v>30</v>
      </c>
      <c r="K47" s="24">
        <f>IF(E47="","",E47/IF(F47="EUR",1,IF(F47="USD",INDEX(Indices!$E$51:$E$71,MATCH(G47,Indices!$A$51:$A$71,0)),IF(H47&lt;&gt;"",H47,INDEX(Indices!$G$51:$G$71,MATCH(G47,Indices!$A$51:$A$71,0))))))</f>
        <v>2467.2594668745742</v>
      </c>
      <c r="L47" s="25">
        <f>IF(E47="","",INDEX(Indices!$C$51:$C$71,MATCH($D$12,Indices!$A$51:$A$71,0))/INDEX(Indices!$C$51:$C$71,MATCH(G47,Indices!$A$51:$A$71,0)))</f>
        <v>1.3780912739334623</v>
      </c>
      <c r="M47" s="24">
        <f t="shared" si="0"/>
        <v>3400.108741829577</v>
      </c>
      <c r="N47" s="24">
        <f t="shared" si="1"/>
        <v>9775312632.7600346</v>
      </c>
      <c r="O47" s="24">
        <f t="shared" si="2"/>
        <v>19550625265.520069</v>
      </c>
    </row>
    <row r="48" spans="2:15">
      <c r="B48" s="18"/>
      <c r="C48" s="18"/>
      <c r="D48" s="18"/>
      <c r="E48" s="19"/>
      <c r="F48" s="18"/>
      <c r="G48" s="20"/>
      <c r="H48" s="19"/>
      <c r="I48" s="20"/>
      <c r="J48" s="18" t="s">
        <v>30</v>
      </c>
      <c r="K48" s="24" t="str">
        <f>IF(E48="","",E48/IF(F48="EUR",1,IF(F48="USD",INDEX(Indices!$E$51:$E$71,MATCH(G48,Indices!$A$51:$A$71,0)),IF(H48&lt;&gt;"",H48,INDEX(Indices!$G$51:$G$71,MATCH(G48,Indices!$A$51:$A$71,0))))))</f>
        <v/>
      </c>
      <c r="L48" s="25" t="str">
        <f>IF(E48="","",INDEX(Indices!$C$51:$C$71,MATCH($D$12,Indices!$A$51:$A$71,0))/INDEX(Indices!$C$51:$C$71,MATCH(G48,Indices!$A$51:$A$71,0)))</f>
        <v/>
      </c>
      <c r="M48" s="24" t="str">
        <f t="shared" si="0"/>
        <v/>
      </c>
      <c r="N48" s="24" t="str">
        <f t="shared" si="1"/>
        <v/>
      </c>
      <c r="O48" s="24" t="str">
        <f t="shared" si="2"/>
        <v/>
      </c>
    </row>
    <row r="49" spans="2:15">
      <c r="B49" s="18"/>
      <c r="C49" s="18"/>
      <c r="D49" s="18"/>
      <c r="E49" s="19"/>
      <c r="F49" s="18"/>
      <c r="G49" s="20"/>
      <c r="H49" s="19"/>
      <c r="I49" s="20"/>
      <c r="J49" s="18" t="s">
        <v>30</v>
      </c>
      <c r="K49" s="24" t="str">
        <f>IF(E49="","",E49/IF(F49="EUR",1,IF(F49="USD",INDEX(Indices!$E$51:$E$71,MATCH(G49,Indices!$A$51:$A$71,0)),IF(H49&lt;&gt;"",H49,INDEX(Indices!$G$51:$G$71,MATCH(G49,Indices!$A$51:$A$71,0))))))</f>
        <v/>
      </c>
      <c r="L49" s="25" t="str">
        <f>IF(E49="","",INDEX(Indices!$C$51:$C$71,MATCH($D$12,Indices!$A$51:$A$71,0))/INDEX(Indices!$C$51:$C$71,MATCH(G49,Indices!$A$51:$A$71,0)))</f>
        <v/>
      </c>
      <c r="M49" s="24" t="str">
        <f t="shared" si="0"/>
        <v/>
      </c>
      <c r="N49" s="24" t="str">
        <f t="shared" si="1"/>
        <v/>
      </c>
      <c r="O49" s="24" t="str">
        <f t="shared" si="2"/>
        <v/>
      </c>
    </row>
    <row r="50" spans="2:15">
      <c r="B50" s="18"/>
      <c r="C50" s="18"/>
      <c r="D50" s="18"/>
      <c r="E50" s="19"/>
      <c r="F50" s="18"/>
      <c r="G50" s="20"/>
      <c r="H50" s="19"/>
      <c r="I50" s="20"/>
      <c r="J50" s="18" t="s">
        <v>30</v>
      </c>
      <c r="K50" s="24" t="str">
        <f>IF(E50="","",E50/IF(F50="EUR",1,IF(F50="USD",INDEX(Indices!$E$51:$E$71,MATCH(G50,Indices!$A$51:$A$71,0)),IF(H50&lt;&gt;"",H50,INDEX(Indices!$G$51:$G$71,MATCH(G50,Indices!$A$51:$A$71,0))))))</f>
        <v/>
      </c>
      <c r="L50" s="25" t="str">
        <f>IF(E50="","",INDEX(Indices!$C$51:$C$71,MATCH($D$12,Indices!$A$51:$A$71,0))/INDEX(Indices!$C$51:$C$71,MATCH(G50,Indices!$A$51:$A$71,0)))</f>
        <v/>
      </c>
      <c r="M50" s="24" t="str">
        <f t="shared" si="0"/>
        <v/>
      </c>
      <c r="N50" s="24" t="str">
        <f t="shared" si="1"/>
        <v/>
      </c>
      <c r="O50" s="24" t="str">
        <f t="shared" si="2"/>
        <v/>
      </c>
    </row>
    <row r="51" spans="2:15">
      <c r="B51" s="18"/>
      <c r="C51" s="18"/>
      <c r="D51" s="18"/>
      <c r="E51" s="19"/>
      <c r="F51" s="18"/>
      <c r="G51" s="20"/>
      <c r="H51" s="19"/>
      <c r="I51" s="20"/>
      <c r="J51" s="18" t="s">
        <v>30</v>
      </c>
      <c r="K51" s="24" t="str">
        <f>IF(E51="","",E51/IF(F51="EUR",1,IF(F51="USD",INDEX(Indices!$E$51:$E$71,MATCH(G51,Indices!$A$51:$A$71,0)),IF(H51&lt;&gt;"",H51,INDEX(Indices!$G$51:$G$71,MATCH(G51,Indices!$A$51:$A$71,0))))))</f>
        <v/>
      </c>
      <c r="L51" s="25" t="str">
        <f>IF(E51="","",INDEX(Indices!$C$51:$C$71,MATCH($D$12,Indices!$A$51:$A$71,0))/INDEX(Indices!$C$51:$C$71,MATCH(G51,Indices!$A$51:$A$71,0)))</f>
        <v/>
      </c>
      <c r="M51" s="24" t="str">
        <f t="shared" si="0"/>
        <v/>
      </c>
      <c r="N51" s="24" t="str">
        <f t="shared" si="1"/>
        <v/>
      </c>
      <c r="O51" s="24" t="str">
        <f t="shared" si="2"/>
        <v/>
      </c>
    </row>
    <row r="52" spans="2:15">
      <c r="B52" s="18"/>
      <c r="C52" s="18"/>
      <c r="D52" s="18"/>
      <c r="E52" s="19"/>
      <c r="F52" s="18"/>
      <c r="G52" s="20"/>
      <c r="H52" s="19"/>
      <c r="I52" s="20"/>
      <c r="J52" s="18" t="s">
        <v>30</v>
      </c>
      <c r="K52" s="24" t="str">
        <f>IF(E52="","",E52/IF(F52="EUR",1,IF(F52="USD",INDEX(Indices!$E$51:$E$71,MATCH(G52,Indices!$A$51:$A$71,0)),IF(H52&lt;&gt;"",H52,INDEX(Indices!$G$51:$G$71,MATCH(G52,Indices!$A$51:$A$71,0))))))</f>
        <v/>
      </c>
      <c r="L52" s="25" t="str">
        <f>IF(E52="","",INDEX(Indices!$C$51:$C$71,MATCH($D$12,Indices!$A$51:$A$71,0))/INDEX(Indices!$C$51:$C$71,MATCH(G52,Indices!$A$51:$A$71,0)))</f>
        <v/>
      </c>
      <c r="M52" s="24" t="str">
        <f t="shared" si="0"/>
        <v/>
      </c>
      <c r="N52" s="24" t="str">
        <f t="shared" si="1"/>
        <v/>
      </c>
      <c r="O52" s="24" t="str">
        <f t="shared" si="2"/>
        <v/>
      </c>
    </row>
    <row r="53" spans="2:15">
      <c r="B53" s="18"/>
      <c r="C53" s="18"/>
      <c r="D53" s="18"/>
      <c r="E53" s="19"/>
      <c r="F53" s="18"/>
      <c r="G53" s="20"/>
      <c r="H53" s="19"/>
      <c r="I53" s="20"/>
      <c r="J53" s="18" t="s">
        <v>30</v>
      </c>
      <c r="K53" s="24" t="str">
        <f>IF(E53="","",E53/IF(F53="EUR",1,IF(F53="USD",INDEX(Indices!$E$51:$E$71,MATCH(G53,Indices!$A$51:$A$71,0)),IF(H53&lt;&gt;"",H53,INDEX(Indices!$G$51:$G$71,MATCH(G53,Indices!$A$51:$A$71,0))))))</f>
        <v/>
      </c>
      <c r="L53" s="25" t="str">
        <f>IF(E53="","",INDEX(Indices!$C$51:$C$71,MATCH($D$12,Indices!$A$51:$A$71,0))/INDEX(Indices!$C$51:$C$71,MATCH(G53,Indices!$A$51:$A$71,0)))</f>
        <v/>
      </c>
      <c r="M53" s="24" t="str">
        <f t="shared" si="0"/>
        <v/>
      </c>
      <c r="N53" s="24" t="str">
        <f t="shared" si="1"/>
        <v/>
      </c>
      <c r="O53" s="24" t="str">
        <f t="shared" si="2"/>
        <v/>
      </c>
    </row>
    <row r="54" spans="2:15">
      <c r="B54" s="18"/>
      <c r="C54" s="18"/>
      <c r="D54" s="18"/>
      <c r="E54" s="19"/>
      <c r="F54" s="18"/>
      <c r="G54" s="20"/>
      <c r="H54" s="19"/>
      <c r="I54" s="20"/>
      <c r="J54" s="18" t="s">
        <v>30</v>
      </c>
      <c r="K54" s="24" t="str">
        <f>IF(E54="","",E54/IF(F54="EUR",1,IF(F54="USD",INDEX(Indices!$E$51:$E$71,MATCH(G54,Indices!$A$51:$A$71,0)),IF(H54&lt;&gt;"",H54,INDEX(Indices!$G$51:$G$71,MATCH(G54,Indices!$A$51:$A$71,0))))))</f>
        <v/>
      </c>
      <c r="L54" s="25" t="str">
        <f>IF(E54="","",INDEX(Indices!$C$51:$C$71,MATCH($D$12,Indices!$A$51:$A$71,0))/INDEX(Indices!$C$51:$C$71,MATCH(G54,Indices!$A$51:$A$71,0)))</f>
        <v/>
      </c>
      <c r="M54" s="24" t="str">
        <f t="shared" si="0"/>
        <v/>
      </c>
      <c r="N54" s="24" t="str">
        <f t="shared" si="1"/>
        <v/>
      </c>
      <c r="O54" s="24" t="str">
        <f t="shared" si="2"/>
        <v/>
      </c>
    </row>
    <row r="55" spans="2:15">
      <c r="B55" s="18"/>
      <c r="C55" s="18"/>
      <c r="D55" s="18"/>
      <c r="E55" s="19"/>
      <c r="F55" s="18"/>
      <c r="G55" s="20"/>
      <c r="H55" s="19"/>
      <c r="I55" s="20"/>
      <c r="J55" s="18" t="s">
        <v>30</v>
      </c>
      <c r="K55" s="24" t="str">
        <f>IF(E55="","",E55/IF(F55="EUR",1,IF(F55="USD",INDEX(Indices!$E$51:$E$71,MATCH(G55,Indices!$A$51:$A$71,0)),IF(H55&lt;&gt;"",H55,INDEX(Indices!$G$51:$G$71,MATCH(G55,Indices!$A$51:$A$71,0))))))</f>
        <v/>
      </c>
      <c r="L55" s="25" t="str">
        <f>IF(E55="","",INDEX(Indices!$C$51:$C$71,MATCH($D$12,Indices!$A$51:$A$71,0))/INDEX(Indices!$C$51:$C$71,MATCH(G55,Indices!$A$51:$A$71,0)))</f>
        <v/>
      </c>
      <c r="M55" s="24" t="str">
        <f t="shared" si="0"/>
        <v/>
      </c>
      <c r="N55" s="24" t="str">
        <f t="shared" si="1"/>
        <v/>
      </c>
      <c r="O55" s="24" t="str">
        <f t="shared" si="2"/>
        <v/>
      </c>
    </row>
    <row r="56" spans="2:15">
      <c r="B56" s="18"/>
      <c r="C56" s="18"/>
      <c r="D56" s="18"/>
      <c r="E56" s="19"/>
      <c r="F56" s="18"/>
      <c r="G56" s="20"/>
      <c r="H56" s="19"/>
      <c r="I56" s="20"/>
      <c r="J56" s="18" t="s">
        <v>30</v>
      </c>
      <c r="K56" s="24" t="str">
        <f>IF(E56="","",E56/IF(F56="EUR",1,IF(F56="USD",INDEX(Indices!$E$51:$E$71,MATCH(G56,Indices!$A$51:$A$71,0)),IF(H56&lt;&gt;"",H56,INDEX(Indices!$G$51:$G$71,MATCH(G56,Indices!$A$51:$A$71,0))))))</f>
        <v/>
      </c>
      <c r="L56" s="25" t="str">
        <f>IF(E56="","",INDEX(Indices!$C$51:$C$71,MATCH($D$12,Indices!$A$51:$A$71,0))/INDEX(Indices!$C$51:$C$71,MATCH(G56,Indices!$A$51:$A$71,0)))</f>
        <v/>
      </c>
      <c r="M56" s="24" t="str">
        <f t="shared" si="0"/>
        <v/>
      </c>
      <c r="N56" s="24" t="str">
        <f t="shared" si="1"/>
        <v/>
      </c>
      <c r="O56" s="24" t="str">
        <f t="shared" si="2"/>
        <v/>
      </c>
    </row>
    <row r="57" spans="2:15">
      <c r="B57" s="18"/>
      <c r="C57" s="18"/>
      <c r="D57" s="18"/>
      <c r="E57" s="19"/>
      <c r="F57" s="18"/>
      <c r="G57" s="20"/>
      <c r="H57" s="19"/>
      <c r="I57" s="20"/>
      <c r="J57" s="18" t="s">
        <v>30</v>
      </c>
      <c r="K57" s="24" t="str">
        <f>IF(E57="","",E57/IF(F57="EUR",1,IF(F57="USD",INDEX(Indices!$E$51:$E$71,MATCH(G57,Indices!$A$51:$A$71,0)),IF(H57&lt;&gt;"",H57,INDEX(Indices!$G$51:$G$71,MATCH(G57,Indices!$A$51:$A$71,0))))))</f>
        <v/>
      </c>
      <c r="L57" s="25" t="str">
        <f>IF(E57="","",INDEX(Indices!$C$51:$C$71,MATCH($D$12,Indices!$A$51:$A$71,0))/INDEX(Indices!$C$51:$C$71,MATCH(G57,Indices!$A$51:$A$71,0)))</f>
        <v/>
      </c>
      <c r="M57" s="24" t="str">
        <f t="shared" si="0"/>
        <v/>
      </c>
      <c r="N57" s="24" t="str">
        <f t="shared" si="1"/>
        <v/>
      </c>
      <c r="O57" s="24" t="str">
        <f t="shared" si="2"/>
        <v/>
      </c>
    </row>
    <row r="58" spans="2:15">
      <c r="B58" s="18"/>
      <c r="C58" s="18"/>
      <c r="D58" s="18"/>
      <c r="E58" s="19"/>
      <c r="F58" s="18"/>
      <c r="G58" s="20"/>
      <c r="H58" s="19"/>
      <c r="I58" s="20"/>
      <c r="J58" s="18" t="s">
        <v>30</v>
      </c>
      <c r="K58" s="24" t="str">
        <f>IF(E58="","",E58/IF(F58="EUR",1,IF(F58="USD",INDEX(Indices!$E$51:$E$71,MATCH(G58,Indices!$A$51:$A$71,0)),IF(H58&lt;&gt;"",H58,INDEX(Indices!$G$51:$G$71,MATCH(G58,Indices!$A$51:$A$71,0))))))</f>
        <v/>
      </c>
      <c r="L58" s="25" t="str">
        <f>IF(E58="","",INDEX(Indices!$C$51:$C$71,MATCH($D$12,Indices!$A$51:$A$71,0))/INDEX(Indices!$C$51:$C$71,MATCH(G58,Indices!$A$51:$A$71,0)))</f>
        <v/>
      </c>
      <c r="M58" s="24" t="str">
        <f t="shared" si="0"/>
        <v/>
      </c>
      <c r="N58" s="24" t="str">
        <f t="shared" si="1"/>
        <v/>
      </c>
      <c r="O58" s="24" t="str">
        <f t="shared" si="2"/>
        <v/>
      </c>
    </row>
    <row r="59" spans="2:15">
      <c r="B59" s="18"/>
      <c r="C59" s="18"/>
      <c r="D59" s="18"/>
      <c r="E59" s="19"/>
      <c r="F59" s="18"/>
      <c r="G59" s="20"/>
      <c r="H59" s="19"/>
      <c r="I59" s="20"/>
      <c r="J59" s="18" t="s">
        <v>30</v>
      </c>
      <c r="K59" s="24" t="str">
        <f>IF(E59="","",E59/IF(F59="EUR",1,IF(F59="USD",INDEX(Indices!$E$51:$E$71,MATCH(G59,Indices!$A$51:$A$71,0)),IF(H59&lt;&gt;"",H59,INDEX(Indices!$G$51:$G$71,MATCH(G59,Indices!$A$51:$A$71,0))))))</f>
        <v/>
      </c>
      <c r="L59" s="25" t="str">
        <f>IF(E59="","",INDEX(Indices!$C$51:$C$71,MATCH($D$12,Indices!$A$51:$A$71,0))/INDEX(Indices!$C$51:$C$71,MATCH(G59,Indices!$A$51:$A$71,0)))</f>
        <v/>
      </c>
      <c r="M59" s="24" t="str">
        <f t="shared" si="0"/>
        <v/>
      </c>
      <c r="N59" s="24" t="str">
        <f t="shared" si="1"/>
        <v/>
      </c>
      <c r="O59" s="24" t="str">
        <f t="shared" si="2"/>
        <v/>
      </c>
    </row>
    <row r="60" spans="2:15">
      <c r="B60" s="18"/>
      <c r="C60" s="18"/>
      <c r="D60" s="18"/>
      <c r="E60" s="19"/>
      <c r="F60" s="18"/>
      <c r="G60" s="20"/>
      <c r="H60" s="19"/>
      <c r="I60" s="20"/>
      <c r="J60" s="18" t="s">
        <v>30</v>
      </c>
      <c r="K60" s="24" t="str">
        <f>IF(E60="","",E60/IF(F60="EUR",1,IF(F60="USD",INDEX(Indices!$E$51:$E$71,MATCH(G60,Indices!$A$51:$A$71,0)),IF(H60&lt;&gt;"",H60,INDEX(Indices!$G$51:$G$71,MATCH(G60,Indices!$A$51:$A$71,0))))))</f>
        <v/>
      </c>
      <c r="L60" s="25" t="str">
        <f>IF(E60="","",INDEX(Indices!$C$51:$C$71,MATCH($D$12,Indices!$A$51:$A$71,0))/INDEX(Indices!$C$51:$C$71,MATCH(G60,Indices!$A$51:$A$71,0)))</f>
        <v/>
      </c>
      <c r="M60" s="24" t="str">
        <f t="shared" si="0"/>
        <v/>
      </c>
      <c r="N60" s="24" t="str">
        <f t="shared" si="1"/>
        <v/>
      </c>
      <c r="O60" s="24" t="str">
        <f t="shared" si="2"/>
        <v/>
      </c>
    </row>
    <row r="61" spans="2:15">
      <c r="B61" s="18"/>
      <c r="C61" s="18"/>
      <c r="D61" s="18"/>
      <c r="E61" s="19"/>
      <c r="F61" s="18"/>
      <c r="G61" s="20"/>
      <c r="H61" s="19"/>
      <c r="I61" s="20"/>
      <c r="J61" s="18" t="s">
        <v>30</v>
      </c>
      <c r="K61" s="24" t="str">
        <f>IF(E61="","",E61/IF(F61="EUR",1,IF(F61="USD",INDEX(Indices!$E$51:$E$71,MATCH(G61,Indices!$A$51:$A$71,0)),IF(H61&lt;&gt;"",H61,INDEX(Indices!$G$51:$G$71,MATCH(G61,Indices!$A$51:$A$71,0))))))</f>
        <v/>
      </c>
      <c r="L61" s="25" t="str">
        <f>IF(E61="","",INDEX(Indices!$C$51:$C$71,MATCH($D$12,Indices!$A$51:$A$71,0))/INDEX(Indices!$C$51:$C$71,MATCH(G61,Indices!$A$51:$A$71,0)))</f>
        <v/>
      </c>
      <c r="M61" s="24" t="str">
        <f t="shared" si="0"/>
        <v/>
      </c>
      <c r="N61" s="24" t="str">
        <f t="shared" si="1"/>
        <v/>
      </c>
      <c r="O61" s="24" t="str">
        <f t="shared" si="2"/>
        <v/>
      </c>
    </row>
    <row r="62" spans="2:15">
      <c r="B62" s="18"/>
      <c r="C62" s="18"/>
      <c r="D62" s="18"/>
      <c r="E62" s="19"/>
      <c r="F62" s="18"/>
      <c r="G62" s="20"/>
      <c r="H62" s="19"/>
      <c r="I62" s="20"/>
      <c r="J62" s="18" t="s">
        <v>30</v>
      </c>
      <c r="K62" s="24" t="str">
        <f>IF(E62="","",E62/IF(F62="EUR",1,IF(F62="USD",INDEX(Indices!$E$51:$E$71,MATCH(G62,Indices!$A$51:$A$71,0)),IF(H62&lt;&gt;"",H62,INDEX(Indices!$G$51:$G$71,MATCH(G62,Indices!$A$51:$A$71,0))))))</f>
        <v/>
      </c>
      <c r="L62" s="25" t="str">
        <f>IF(E62="","",INDEX(Indices!$C$51:$C$71,MATCH($D$12,Indices!$A$51:$A$71,0))/INDEX(Indices!$C$51:$C$71,MATCH(G62,Indices!$A$51:$A$71,0)))</f>
        <v/>
      </c>
      <c r="M62" s="24" t="str">
        <f t="shared" si="0"/>
        <v/>
      </c>
      <c r="N62" s="24" t="str">
        <f t="shared" si="1"/>
        <v/>
      </c>
      <c r="O62" s="24" t="str">
        <f t="shared" si="2"/>
        <v/>
      </c>
    </row>
    <row r="63" spans="2:15">
      <c r="B63" s="18"/>
      <c r="C63" s="18"/>
      <c r="D63" s="18"/>
      <c r="E63" s="19"/>
      <c r="F63" s="18"/>
      <c r="G63" s="20"/>
      <c r="H63" s="19"/>
      <c r="I63" s="20"/>
      <c r="J63" s="18" t="s">
        <v>30</v>
      </c>
      <c r="K63" s="24" t="str">
        <f>IF(E63="","",E63/IF(F63="EUR",1,IF(F63="USD",INDEX(Indices!$E$51:$E$71,MATCH(G63,Indices!$A$51:$A$71,0)),IF(H63&lt;&gt;"",H63,INDEX(Indices!$G$51:$G$71,MATCH(G63,Indices!$A$51:$A$71,0))))))</f>
        <v/>
      </c>
      <c r="L63" s="25" t="str">
        <f>IF(E63="","",INDEX(Indices!$C$51:$C$71,MATCH($D$12,Indices!$A$51:$A$71,0))/INDEX(Indices!$C$51:$C$71,MATCH(G63,Indices!$A$51:$A$71,0)))</f>
        <v/>
      </c>
      <c r="M63" s="24" t="str">
        <f t="shared" si="0"/>
        <v/>
      </c>
      <c r="N63" s="24" t="str">
        <f t="shared" si="1"/>
        <v/>
      </c>
      <c r="O63" s="24" t="str">
        <f t="shared" si="2"/>
        <v/>
      </c>
    </row>
    <row r="64" spans="2:15">
      <c r="B64" s="18"/>
      <c r="C64" s="18"/>
      <c r="D64" s="18"/>
      <c r="E64" s="19"/>
      <c r="F64" s="18"/>
      <c r="G64" s="20"/>
      <c r="H64" s="19"/>
      <c r="I64" s="20"/>
      <c r="J64" s="18" t="s">
        <v>30</v>
      </c>
      <c r="K64" s="24" t="str">
        <f>IF(E64="","",E64/IF(F64="EUR",1,IF(F64="USD",INDEX(Indices!$E$51:$E$71,MATCH(G64,Indices!$A$51:$A$71,0)),IF(H64&lt;&gt;"",H64,INDEX(Indices!$G$51:$G$71,MATCH(G64,Indices!$A$51:$A$71,0))))))</f>
        <v/>
      </c>
      <c r="L64" s="25" t="str">
        <f>IF(E64="","",INDEX(Indices!$C$51:$C$71,MATCH($D$12,Indices!$A$51:$A$71,0))/INDEX(Indices!$C$51:$C$71,MATCH(G64,Indices!$A$51:$A$71,0)))</f>
        <v/>
      </c>
      <c r="M64" s="24" t="str">
        <f t="shared" si="0"/>
        <v/>
      </c>
      <c r="N64" s="24" t="str">
        <f t="shared" si="1"/>
        <v/>
      </c>
      <c r="O64" s="24" t="str">
        <f t="shared" si="2"/>
        <v/>
      </c>
    </row>
    <row r="65" spans="2:15" ht="16.5">
      <c r="B65" s="16" t="s">
        <v>82</v>
      </c>
      <c r="N65" s="16" t="s">
        <v>83</v>
      </c>
      <c r="O65" s="22">
        <f>SUM(O45:O64)</f>
        <v>819770920774.91602</v>
      </c>
    </row>
    <row r="67" spans="2:15">
      <c r="B67" s="26" t="s">
        <v>84</v>
      </c>
    </row>
  </sheetData>
  <mergeCells count="85">
    <mergeCell ref="B38:C38"/>
    <mergeCell ref="D38:E38"/>
    <mergeCell ref="D40:H41"/>
    <mergeCell ref="B35:C35"/>
    <mergeCell ref="D35:E35"/>
    <mergeCell ref="B36:C36"/>
    <mergeCell ref="D36:E36"/>
    <mergeCell ref="B37:C37"/>
    <mergeCell ref="D37:E37"/>
    <mergeCell ref="B31:C31"/>
    <mergeCell ref="D31:E31"/>
    <mergeCell ref="F31:H31"/>
    <mergeCell ref="B34:C34"/>
    <mergeCell ref="D34:E34"/>
    <mergeCell ref="B29:C29"/>
    <mergeCell ref="D29:E29"/>
    <mergeCell ref="F29:H29"/>
    <mergeCell ref="B30:C30"/>
    <mergeCell ref="D30:E30"/>
    <mergeCell ref="F30:H30"/>
    <mergeCell ref="B27:C27"/>
    <mergeCell ref="D27:E27"/>
    <mergeCell ref="F27:H27"/>
    <mergeCell ref="B28:C28"/>
    <mergeCell ref="D28:E28"/>
    <mergeCell ref="F28:H28"/>
    <mergeCell ref="B25:C25"/>
    <mergeCell ref="D25:E25"/>
    <mergeCell ref="F25:H25"/>
    <mergeCell ref="B26:C26"/>
    <mergeCell ref="D26:E26"/>
    <mergeCell ref="F26:H26"/>
    <mergeCell ref="B23:C23"/>
    <mergeCell ref="D23:E23"/>
    <mergeCell ref="F23:H23"/>
    <mergeCell ref="B24:C24"/>
    <mergeCell ref="D24:E24"/>
    <mergeCell ref="F24:H24"/>
    <mergeCell ref="B21:C21"/>
    <mergeCell ref="D21:E21"/>
    <mergeCell ref="F21:H21"/>
    <mergeCell ref="B22:C22"/>
    <mergeCell ref="D22:E22"/>
    <mergeCell ref="F22:H22"/>
    <mergeCell ref="B19:C19"/>
    <mergeCell ref="D19:E19"/>
    <mergeCell ref="B20:C20"/>
    <mergeCell ref="D20:E20"/>
    <mergeCell ref="F20:H20"/>
    <mergeCell ref="B15:C15"/>
    <mergeCell ref="D15:E15"/>
    <mergeCell ref="F15:H15"/>
    <mergeCell ref="B16:C16"/>
    <mergeCell ref="D16:E16"/>
    <mergeCell ref="F16:H16"/>
    <mergeCell ref="B13:C13"/>
    <mergeCell ref="D13:E13"/>
    <mergeCell ref="F13:H13"/>
    <mergeCell ref="B14:C14"/>
    <mergeCell ref="D14:E14"/>
    <mergeCell ref="F14:H14"/>
    <mergeCell ref="B11:C11"/>
    <mergeCell ref="D11:E11"/>
    <mergeCell ref="F11:H11"/>
    <mergeCell ref="B12:C12"/>
    <mergeCell ref="D12:E12"/>
    <mergeCell ref="F12:H12"/>
    <mergeCell ref="B9:C9"/>
    <mergeCell ref="D9:E9"/>
    <mergeCell ref="F9:H9"/>
    <mergeCell ref="B10:C10"/>
    <mergeCell ref="D10:E10"/>
    <mergeCell ref="F10:H10"/>
    <mergeCell ref="B7:C7"/>
    <mergeCell ref="D7:E7"/>
    <mergeCell ref="F7:H7"/>
    <mergeCell ref="B8:C8"/>
    <mergeCell ref="D8:E8"/>
    <mergeCell ref="F8:H8"/>
    <mergeCell ref="B2:G2"/>
    <mergeCell ref="B5:C5"/>
    <mergeCell ref="D5:E5"/>
    <mergeCell ref="B6:C6"/>
    <mergeCell ref="D6:E6"/>
    <mergeCell ref="F6:H6"/>
  </mergeCells>
  <dataValidations count="1">
    <dataValidation type="decimal" operator="greaterThanOrEqual" allowBlank="1" sqref="D8 D11 D13:D15" xr:uid="{00000000-0002-0000-0000-000006000000}">
      <formula1>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prompt="از لیست انتخاب کنید. کف قیمت فقط به «گریز از مرکز API 610» با کلاس S یا D اعمال می‌شود." xr:uid="{00000000-0002-0000-0000-000000000000}">
          <x14:formula1>
            <xm:f>Lists!$A$1:$A$6</xm:f>
          </x14:formula1>
          <x14:formula2>
            <xm:f>0</xm:f>
          </x14:formula2>
          <xm:sqref>D6</xm:sqref>
        </x14:dataValidation>
        <x14:dataValidation type="list" allowBlank="1" showInputMessage="1" prompt="از دیتاشیت (مثلاً S6، D1، I2). اگر نمی‌دانید «نامشخص»." xr:uid="{00000000-0002-0000-0000-000001000000}">
          <x14:formula1>
            <xm:f>Lists!$B$1:$B$11</xm:f>
          </x14:formula1>
          <x14:formula2>
            <xm:f>0</xm:f>
          </x14:formula2>
          <xm:sqref>D7</xm:sqref>
        </x14:dataValidation>
        <x14:dataValidation type="list" allowBlank="1" showInputMessage="1" prompt="EUR / USD / IRR" xr:uid="{00000000-0002-0000-0000-000002000000}">
          <x14:formula1>
            <xm:f>Lists!$D$1:$D$3</xm:f>
          </x14:formula1>
          <x14:formula2>
            <xm:f>0</xm:f>
          </x14:formula2>
          <xm:sqref>D9</xm:sqref>
        </x14:dataValidation>
        <x14:dataValidation type="list" allowBlank="1" showInputMessage="1" prompt="سال تاریخ قیمت/استعلام منبع (نه سال انتشار گزارش)." xr:uid="{00000000-0002-0000-0000-000003000000}">
          <x14:formula1>
            <xm:f>Lists!$C$1:$C$21</xm:f>
          </x14:formula1>
          <x14:formula2>
            <xm:f>0</xm:f>
          </x14:formula2>
          <xm:sqref>D10</xm:sqref>
        </x14:dataValidation>
        <x14:dataValidation type="list" allowBlank="1" showInputMessage="1" prompt="سالی که قیمت را برای آن می‌خواهید." xr:uid="{00000000-0002-0000-0000-000004000000}">
          <x14:formula1>
            <xm:f>Lists!$C$1:$C$21</xm:f>
          </x14:formula1>
          <x14:formula2>
            <xm:f>0</xm:f>
          </x14:formula2>
          <xm:sqref>D12</xm:sqref>
        </x14:dataValidation>
        <x14:dataValidation type="list" allowBlank="1" showInputMessage="1" prompt="خودکار = طبق نوع و کلاس؛ یا اجباری بله/خیر." xr:uid="{00000000-0002-0000-0000-000005000000}">
          <x14:formula1>
            <xm:f>Lists!$E$1:$E$3</xm:f>
          </x14:formula1>
          <x14:formula2>
            <xm:f>0</xm:f>
          </x14:formula2>
          <xm:sqref>D16</xm:sqref>
        </x14:dataValidation>
        <x14:dataValidation type="list" allowBlank="1" xr:uid="{00000000-0002-0000-0000-000007000000}">
          <x14:formula1>
            <xm:f>Lists!$A$1:$A$6</xm:f>
          </x14:formula1>
          <x14:formula2>
            <xm:f>0</xm:f>
          </x14:formula2>
          <xm:sqref>C45:C64</xm:sqref>
        </x14:dataValidation>
        <x14:dataValidation type="list" allowBlank="1" xr:uid="{00000000-0002-0000-0000-000008000000}">
          <x14:formula1>
            <xm:f>Lists!$B$1:$B$11</xm:f>
          </x14:formula1>
          <x14:formula2>
            <xm:f>0</xm:f>
          </x14:formula2>
          <xm:sqref>D45:D64</xm:sqref>
        </x14:dataValidation>
        <x14:dataValidation type="list" allowBlank="1" xr:uid="{00000000-0002-0000-0000-000009000000}">
          <x14:formula1>
            <xm:f>Lists!$D$1:$D$3</xm:f>
          </x14:formula1>
          <x14:formula2>
            <xm:f>0</xm:f>
          </x14:formula2>
          <xm:sqref>F45:F64</xm:sqref>
        </x14:dataValidation>
        <x14:dataValidation type="list" allowBlank="1" xr:uid="{00000000-0002-0000-0000-00000A000000}">
          <x14:formula1>
            <xm:f>Lists!$C$1:$C$21</xm:f>
          </x14:formula1>
          <x14:formula2>
            <xm:f>0</xm:f>
          </x14:formula2>
          <xm:sqref>G45:G64</xm:sqref>
        </x14:dataValidation>
        <x14:dataValidation type="list" allowBlank="1" xr:uid="{00000000-0002-0000-0000-00000B000000}">
          <x14:formula1>
            <xm:f>Lists!$E$1:$E$3</xm:f>
          </x14:formula1>
          <x14:formula2>
            <xm:f>0</xm:f>
          </x14:formula2>
          <xm:sqref>J45:J64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2"/>
  <sheetViews>
    <sheetView showGridLines="0" rightToLeft="1" topLeftCell="A3" zoomScaleNormal="100" workbookViewId="0">
      <selection activeCell="B8" sqref="B8"/>
    </sheetView>
  </sheetViews>
  <sheetFormatPr defaultColWidth="8.7109375" defaultRowHeight="15"/>
  <cols>
    <col min="1" max="1" width="34" customWidth="1"/>
    <col min="2" max="2" width="110" customWidth="1"/>
  </cols>
  <sheetData>
    <row r="1" spans="1:2" ht="18">
      <c r="A1" s="15" t="s">
        <v>85</v>
      </c>
    </row>
    <row r="3" spans="1:2" ht="15.75">
      <c r="A3" s="27" t="s">
        <v>86</v>
      </c>
    </row>
    <row r="4" spans="1:2" ht="30" customHeight="1">
      <c r="A4" s="83"/>
      <c r="B4" s="83"/>
    </row>
    <row r="5" spans="1:2" ht="15.75">
      <c r="A5" s="27" t="s">
        <v>87</v>
      </c>
    </row>
    <row r="6" spans="1:2" ht="15.75">
      <c r="A6" s="98" t="s">
        <v>88</v>
      </c>
      <c r="B6" s="98" t="s">
        <v>89</v>
      </c>
    </row>
    <row r="7" spans="1:2" ht="31.5">
      <c r="A7" s="103" t="s">
        <v>90</v>
      </c>
      <c r="B7" s="98" t="s">
        <v>91</v>
      </c>
    </row>
    <row r="8" spans="1:2" ht="45" customHeight="1">
      <c r="A8" s="103" t="s">
        <v>92</v>
      </c>
      <c r="B8" s="98" t="s">
        <v>93</v>
      </c>
    </row>
    <row r="9" spans="1:2" ht="47.25">
      <c r="A9" s="103" t="s">
        <v>94</v>
      </c>
      <c r="B9" s="98" t="s">
        <v>95</v>
      </c>
    </row>
    <row r="10" spans="1:2" ht="31.5">
      <c r="A10" s="103" t="s">
        <v>96</v>
      </c>
      <c r="B10" s="98" t="s">
        <v>97</v>
      </c>
    </row>
    <row r="11" spans="1:2" ht="30" customHeight="1">
      <c r="A11" s="103" t="s">
        <v>98</v>
      </c>
      <c r="B11" s="98" t="s">
        <v>99</v>
      </c>
    </row>
    <row r="12" spans="1:2" ht="31.5">
      <c r="A12" s="103" t="s">
        <v>100</v>
      </c>
      <c r="B12" s="98" t="s">
        <v>101</v>
      </c>
    </row>
    <row r="13" spans="1:2" ht="18" customHeight="1">
      <c r="A13" s="103" t="s">
        <v>102</v>
      </c>
      <c r="B13" s="98" t="s">
        <v>103</v>
      </c>
    </row>
    <row r="14" spans="1:2" ht="18" customHeight="1">
      <c r="A14" s="103" t="s">
        <v>104</v>
      </c>
      <c r="B14" s="98" t="s">
        <v>105</v>
      </c>
    </row>
    <row r="15" spans="1:2" ht="15.75">
      <c r="A15" s="27" t="s">
        <v>106</v>
      </c>
      <c r="B15" s="99"/>
    </row>
    <row r="16" spans="1:2" ht="45" customHeight="1">
      <c r="A16" s="98" t="s">
        <v>107</v>
      </c>
      <c r="B16" s="98" t="s">
        <v>108</v>
      </c>
    </row>
    <row r="17" spans="1:2" ht="30" customHeight="1">
      <c r="A17" s="98" t="s">
        <v>109</v>
      </c>
      <c r="B17" s="98" t="s">
        <v>110</v>
      </c>
    </row>
    <row r="18" spans="1:2" ht="31.5">
      <c r="A18" s="98" t="s">
        <v>111</v>
      </c>
      <c r="B18" s="98" t="s">
        <v>112</v>
      </c>
    </row>
    <row r="19" spans="1:2" ht="18" customHeight="1">
      <c r="A19" s="98" t="s">
        <v>113</v>
      </c>
      <c r="B19" s="98" t="s">
        <v>114</v>
      </c>
    </row>
    <row r="20" spans="1:2" ht="18" customHeight="1">
      <c r="A20" s="100" t="s">
        <v>115</v>
      </c>
      <c r="B20" s="98" t="s">
        <v>116</v>
      </c>
    </row>
    <row r="21" spans="1:2" ht="30" customHeight="1">
      <c r="A21" s="102" t="s">
        <v>117</v>
      </c>
      <c r="B21" s="98" t="s">
        <v>118</v>
      </c>
    </row>
    <row r="22" spans="1:2" ht="30" customHeight="1">
      <c r="A22" s="101" t="s">
        <v>119</v>
      </c>
      <c r="B22" s="98" t="s">
        <v>120</v>
      </c>
    </row>
    <row r="23" spans="1:2" ht="30" customHeight="1">
      <c r="A23" s="98" t="s">
        <v>121</v>
      </c>
      <c r="B23" s="98" t="s">
        <v>122</v>
      </c>
    </row>
    <row r="24" spans="1:2" ht="30" customHeight="1">
      <c r="A24" s="98" t="s">
        <v>123</v>
      </c>
      <c r="B24" s="98" t="s">
        <v>124</v>
      </c>
    </row>
    <row r="25" spans="1:2" ht="30" customHeight="1">
      <c r="A25" s="98" t="s">
        <v>125</v>
      </c>
      <c r="B25" s="98" t="s">
        <v>126</v>
      </c>
    </row>
    <row r="26" spans="1:2" ht="45" customHeight="1">
      <c r="A26" s="98" t="s">
        <v>127</v>
      </c>
      <c r="B26" s="98" t="s">
        <v>128</v>
      </c>
    </row>
    <row r="27" spans="1:2" ht="30" customHeight="1">
      <c r="A27" s="98" t="s">
        <v>129</v>
      </c>
      <c r="B27" s="98" t="s">
        <v>130</v>
      </c>
    </row>
    <row r="28" spans="1:2" ht="15.75">
      <c r="A28" s="27" t="s">
        <v>131</v>
      </c>
      <c r="B28" s="99"/>
    </row>
    <row r="29" spans="1:2" ht="18" customHeight="1">
      <c r="A29" s="98" t="s">
        <v>132</v>
      </c>
      <c r="B29" s="98" t="s">
        <v>133</v>
      </c>
    </row>
    <row r="30" spans="1:2" ht="18" customHeight="1">
      <c r="A30" s="98" t="s">
        <v>134</v>
      </c>
      <c r="B30" s="98" t="s">
        <v>135</v>
      </c>
    </row>
    <row r="31" spans="1:2" ht="18" customHeight="1">
      <c r="A31" s="98" t="s">
        <v>136</v>
      </c>
      <c r="B31" s="98" t="s">
        <v>137</v>
      </c>
    </row>
    <row r="32" spans="1:2" ht="30" customHeight="1">
      <c r="A32" s="98" t="s">
        <v>138</v>
      </c>
      <c r="B32" s="98" t="s">
        <v>139</v>
      </c>
    </row>
  </sheetData>
  <mergeCells count="1">
    <mergeCell ref="A4: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0"/>
  <sheetViews>
    <sheetView showGridLines="0" rightToLeft="1" zoomScaleNormal="100" workbookViewId="0"/>
  </sheetViews>
  <sheetFormatPr defaultColWidth="8.7109375" defaultRowHeight="15"/>
  <cols>
    <col min="1" max="1" width="8" customWidth="1"/>
    <col min="2" max="2" width="42" customWidth="1"/>
    <col min="3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18">
      <c r="A1" s="15" t="s">
        <v>140</v>
      </c>
    </row>
    <row r="2" spans="1:8" ht="30" customHeight="1">
      <c r="A2" s="84" t="s">
        <v>141</v>
      </c>
      <c r="B2" s="84"/>
      <c r="C2" s="84"/>
      <c r="D2" s="84"/>
      <c r="E2" s="84"/>
      <c r="F2" s="84"/>
      <c r="G2" s="84"/>
      <c r="H2" s="84"/>
    </row>
    <row r="4" spans="1:8">
      <c r="A4" s="16" t="s">
        <v>142</v>
      </c>
    </row>
    <row r="5" spans="1:8" ht="42" customHeight="1">
      <c r="A5" s="17" t="s">
        <v>143</v>
      </c>
      <c r="B5" s="17" t="s">
        <v>144</v>
      </c>
      <c r="C5" s="17" t="s">
        <v>145</v>
      </c>
      <c r="D5" s="17" t="s">
        <v>132</v>
      </c>
      <c r="E5" s="17" t="s">
        <v>146</v>
      </c>
      <c r="F5" s="17" t="s">
        <v>147</v>
      </c>
      <c r="G5" s="17" t="s">
        <v>148</v>
      </c>
      <c r="H5" s="17" t="s">
        <v>136</v>
      </c>
    </row>
    <row r="6" spans="1:8">
      <c r="A6" s="16" t="s">
        <v>149</v>
      </c>
      <c r="B6" s="29" t="str">
        <f>Val_EUR_Pumps!B6</f>
        <v>بدون تعدیل (یورو ثابت)</v>
      </c>
      <c r="C6" s="30">
        <f>IF(ISNUMBER(Val_EUR_Pumps!E6),Val_EUR_Pumps!E6,"~1.27 (هر سطر)")</f>
        <v>1</v>
      </c>
      <c r="D6" s="31">
        <f>Val_EUR_Pumps!D39</f>
        <v>-0.37365643931991399</v>
      </c>
      <c r="E6" s="31">
        <f>Val_EUR_Pumps!E39</f>
        <v>0.37365643931991399</v>
      </c>
      <c r="F6" s="31">
        <f>Val_EUR_Pumps!F39</f>
        <v>0.37234734323160579</v>
      </c>
      <c r="G6" s="32">
        <f>Val_EUR_Pumps!G39</f>
        <v>3</v>
      </c>
      <c r="H6" s="33">
        <f>Val_EUR_Pumps!H39</f>
        <v>0.73446192784317466</v>
      </c>
    </row>
    <row r="7" spans="1:8">
      <c r="A7" s="16" t="s">
        <v>150</v>
      </c>
      <c r="B7" s="29" t="str">
        <f>Val_EUR_Pumps!B7</f>
        <v>تورم ارزی مارون ۳ (۱۳۹۴ تا ۱۴۰۳)</v>
      </c>
      <c r="C7" s="30">
        <f>IF(ISNUMBER(Val_EUR_Pumps!E7),Val_EUR_Pumps!E7,"~1.27 (هر سطر)")</f>
        <v>1.3810888648415325</v>
      </c>
      <c r="D7" s="31">
        <f>Val_EUR_Pumps!D40</f>
        <v>-0.13496388277953653</v>
      </c>
      <c r="E7" s="31">
        <f>Val_EUR_Pumps!E40</f>
        <v>0.21998303314597834</v>
      </c>
      <c r="F7" s="31">
        <f>Val_EUR_Pumps!F40</f>
        <v>0.26138110532417369</v>
      </c>
      <c r="G7" s="32">
        <f>Val_EUR_Pumps!G40</f>
        <v>8</v>
      </c>
      <c r="H7" s="33">
        <f>Val_EUR_Pumps!H40</f>
        <v>1.0143571901942536</v>
      </c>
    </row>
    <row r="8" spans="1:8">
      <c r="A8" s="16" t="s">
        <v>151</v>
      </c>
      <c r="B8" s="29" t="str">
        <f>Val_EUR_Pumps!B8</f>
        <v>ضریب یورویی پازنان (Basic INFO!C138)</v>
      </c>
      <c r="C8" s="30">
        <f>IF(ISNUMBER(Val_EUR_Pumps!E8),Val_EUR_Pumps!E8,"~1.27 (هر سطر)")</f>
        <v>1.55207623267439</v>
      </c>
      <c r="D8" s="31">
        <f>Val_EUR_Pumps!D41</f>
        <v>-2.7867045979788951E-2</v>
      </c>
      <c r="E8" s="31">
        <f>Val_EUR_Pumps!E41</f>
        <v>0.17359988774085944</v>
      </c>
      <c r="F8" s="31">
        <f>Val_EUR_Pumps!F41</f>
        <v>0.25805631805864421</v>
      </c>
      <c r="G8" s="32">
        <f>Val_EUR_Pumps!G41</f>
        <v>8</v>
      </c>
      <c r="H8" s="33">
        <f>Val_EUR_Pumps!H41</f>
        <v>1.1399409020096043</v>
      </c>
    </row>
    <row r="9" spans="1:8">
      <c r="A9" s="34" t="s">
        <v>152</v>
      </c>
      <c r="B9" s="35" t="str">
        <f>Val_EUR_Pumps!B9</f>
        <v>مدل فلزی فعلی شما (ضریب هر سطر)</v>
      </c>
      <c r="C9" s="36" t="str">
        <f>IF(ISNUMBER(Val_EUR_Pumps!E9),Val_EUR_Pumps!E9,"~1.27 (هر سطر)")</f>
        <v>~1.27 (هر سطر)</v>
      </c>
      <c r="D9" s="37">
        <f>Val_EUR_Pumps!D42</f>
        <v>-0.20406497540069335</v>
      </c>
      <c r="E9" s="37">
        <f>Val_EUR_Pumps!E42</f>
        <v>0.28204028706487361</v>
      </c>
      <c r="F9" s="37">
        <f>Val_EUR_Pumps!F42</f>
        <v>0.28598869934328669</v>
      </c>
      <c r="G9" s="38">
        <f>Val_EUR_Pumps!G42</f>
        <v>6</v>
      </c>
      <c r="H9" s="39">
        <f>Val_EUR_Pumps!H42</f>
        <v>0.93570194150454045</v>
      </c>
    </row>
    <row r="10" spans="1:8">
      <c r="A10" s="16" t="s">
        <v>153</v>
      </c>
      <c r="B10" s="29" t="str">
        <f>Val_EUR_Pumps!B10</f>
        <v>PPI پمپ منطقه یورو (Eurostat C28.13)</v>
      </c>
      <c r="C10" s="30">
        <f>IF(ISNUMBER(Val_EUR_Pumps!E10),Val_EUR_Pumps!E10,"~1.27 (هر سطر)")</f>
        <v>1.3454191161176612</v>
      </c>
      <c r="D10" s="31">
        <f>Val_EUR_Pumps!D43</f>
        <v>-0.15730540020381001</v>
      </c>
      <c r="E10" s="31">
        <f>Val_EUR_Pumps!E43</f>
        <v>0.24012873840530763</v>
      </c>
      <c r="F10" s="31">
        <f>Val_EUR_Pumps!F43</f>
        <v>0.26877251276871988</v>
      </c>
      <c r="G10" s="32">
        <f>Val_EUR_Pumps!G43</f>
        <v>8</v>
      </c>
      <c r="H10" s="33">
        <f>Val_EUR_Pumps!H43</f>
        <v>0.98815911778083743</v>
      </c>
    </row>
    <row r="11" spans="1:8">
      <c r="A11" s="16" t="s">
        <v>154</v>
      </c>
      <c r="B11" s="29" t="str">
        <f>Val_EUR_Pumps!B11</f>
        <v>PPI پمپ آمریکا تبدیل‌شده به یورو</v>
      </c>
      <c r="C11" s="30">
        <f>IF(ISNUMBER(Val_EUR_Pumps!E11),Val_EUR_Pumps!E11,"~1.27 (هر سطر)")</f>
        <v>1.5903822873934634</v>
      </c>
      <c r="D11" s="31">
        <f>Val_EUR_Pumps!D44</f>
        <v>-3.8742952714382328E-3</v>
      </c>
      <c r="E11" s="31">
        <f>Val_EUR_Pumps!E44</f>
        <v>0.17535234679798933</v>
      </c>
      <c r="F11" s="31">
        <f>Val_EUR_Pumps!F44</f>
        <v>0.26442528321129272</v>
      </c>
      <c r="G11" s="32">
        <f>Val_EUR_Pumps!G44</f>
        <v>9</v>
      </c>
      <c r="H11" s="33">
        <f>Val_EUR_Pumps!H44</f>
        <v>1.1680752408066408</v>
      </c>
    </row>
    <row r="12" spans="1:8">
      <c r="A12" s="40" t="s">
        <v>155</v>
      </c>
      <c r="B12" s="41" t="str">
        <f>Val_EUR_Pumps!B12</f>
        <v>پیشنهادی: PPI پمپ یورو + کف قیمت پمپ API (S/D)</v>
      </c>
      <c r="C12" s="42">
        <f>IF(ISNUMBER(Val_EUR_Pumps!E12),Val_EUR_Pumps!E12,"~1.27 (هر سطر)")</f>
        <v>1.3454191161176612</v>
      </c>
      <c r="D12" s="43">
        <f>Val_EUR_Pumps!D45</f>
        <v>-7.0297462196829086E-2</v>
      </c>
      <c r="E12" s="43">
        <f>Val_EUR_Pumps!E45</f>
        <v>0.1307196076470013</v>
      </c>
      <c r="F12" s="43">
        <f>Val_EUR_Pumps!F45</f>
        <v>0.20849719626101024</v>
      </c>
      <c r="G12" s="44">
        <f>Val_EUR_Pumps!G45</f>
        <v>10</v>
      </c>
      <c r="H12" s="45">
        <f>Val_EUR_Pumps!H45</f>
        <v>1.0097807608392502</v>
      </c>
    </row>
    <row r="14" spans="1:8">
      <c r="A14" s="16" t="s">
        <v>156</v>
      </c>
    </row>
    <row r="15" spans="1:8" ht="42" customHeight="1">
      <c r="A15" s="17" t="s">
        <v>143</v>
      </c>
      <c r="B15" s="17" t="s">
        <v>144</v>
      </c>
      <c r="C15" s="17" t="s">
        <v>157</v>
      </c>
      <c r="D15" s="17" t="s">
        <v>158</v>
      </c>
      <c r="E15" s="17" t="s">
        <v>159</v>
      </c>
      <c r="F15" s="17" t="s">
        <v>160</v>
      </c>
    </row>
    <row r="16" spans="1:8">
      <c r="A16" s="16" t="s">
        <v>161</v>
      </c>
      <c r="B16" s="21" t="s">
        <v>162</v>
      </c>
      <c r="C16" s="46">
        <f>Val_IRR_Packages!N28</f>
        <v>0.46217202713367567</v>
      </c>
      <c r="D16" s="46">
        <f>Val_IRR_Packages!N29</f>
        <v>0.47716292507104263</v>
      </c>
      <c r="E16" s="46">
        <f>Val_IRR_Packages!R28</f>
        <v>0.55026842832693157</v>
      </c>
      <c r="F16" s="46">
        <f>Val_IRR_Packages!R29</f>
        <v>0.57186268434694409</v>
      </c>
    </row>
    <row r="17" spans="1:8">
      <c r="A17" s="16" t="s">
        <v>163</v>
      </c>
      <c r="B17" s="21" t="s">
        <v>164</v>
      </c>
      <c r="C17" s="46">
        <f>Val_IRR_Packages!O28</f>
        <v>0.45894075682382179</v>
      </c>
      <c r="D17" s="46">
        <f>Val_IRR_Packages!O29</f>
        <v>0.47382684607399173</v>
      </c>
      <c r="E17" s="46">
        <f>Val_IRR_Packages!S28</f>
        <v>0.54642123306085266</v>
      </c>
      <c r="F17" s="46">
        <f>Val_IRR_Packages!S29</f>
        <v>0.56786451309304176</v>
      </c>
    </row>
    <row r="18" spans="1:8">
      <c r="A18" s="16" t="s">
        <v>165</v>
      </c>
      <c r="B18" s="21" t="s">
        <v>166</v>
      </c>
      <c r="C18" s="46">
        <f>Val_IRR_Packages!P28</f>
        <v>0.82899545924668072</v>
      </c>
      <c r="D18" s="46">
        <f>Val_IRR_Packages!P29</f>
        <v>0.85544587461952637</v>
      </c>
      <c r="E18" s="46">
        <f>Val_IRR_Packages!T28</f>
        <v>0.987013496422392</v>
      </c>
      <c r="F18" s="46">
        <f>Val_IRR_Packages!T29</f>
        <v>1.0252212577090043</v>
      </c>
    </row>
    <row r="19" spans="1:8">
      <c r="A19" s="40" t="s">
        <v>167</v>
      </c>
      <c r="B19" s="47" t="s">
        <v>168</v>
      </c>
      <c r="C19" s="48">
        <f>Val_IRR_Packages!Q28</f>
        <v>0.9062229679654028</v>
      </c>
      <c r="D19" s="48">
        <f>Val_IRR_Packages!Q29</f>
        <v>0.93561699275206045</v>
      </c>
      <c r="E19" s="48">
        <f>Val_IRR_Packages!U28</f>
        <v>1.0789616398654489</v>
      </c>
      <c r="F19" s="48">
        <f>Val_IRR_Packages!U29</f>
        <v>1.1213034728466136</v>
      </c>
    </row>
    <row r="21" spans="1:8">
      <c r="A21" s="16" t="s">
        <v>169</v>
      </c>
    </row>
    <row r="22" spans="1:8" ht="30" customHeight="1">
      <c r="A22" s="85" t="s">
        <v>170</v>
      </c>
      <c r="B22" s="85"/>
      <c r="C22" s="85"/>
      <c r="D22" s="85"/>
      <c r="E22" s="85"/>
      <c r="F22" s="85"/>
      <c r="G22" s="85"/>
      <c r="H22" s="85"/>
    </row>
    <row r="23" spans="1:8" ht="30" customHeight="1">
      <c r="A23" s="85" t="s">
        <v>171</v>
      </c>
      <c r="B23" s="85"/>
      <c r="C23" s="85"/>
      <c r="D23" s="85"/>
      <c r="E23" s="85"/>
      <c r="F23" s="85"/>
      <c r="G23" s="85"/>
      <c r="H23" s="85"/>
    </row>
    <row r="24" spans="1:8" ht="30" customHeight="1">
      <c r="A24" s="85" t="s">
        <v>172</v>
      </c>
      <c r="B24" s="85"/>
      <c r="C24" s="85"/>
      <c r="D24" s="85"/>
      <c r="E24" s="85"/>
      <c r="F24" s="85"/>
      <c r="G24" s="85"/>
      <c r="H24" s="85"/>
    </row>
    <row r="25" spans="1:8" ht="30" customHeight="1">
      <c r="A25" s="85" t="s">
        <v>173</v>
      </c>
      <c r="B25" s="85"/>
      <c r="C25" s="85"/>
      <c r="D25" s="85"/>
      <c r="E25" s="85"/>
      <c r="F25" s="85"/>
      <c r="G25" s="85"/>
      <c r="H25" s="85"/>
    </row>
    <row r="26" spans="1:8" ht="30" customHeight="1">
      <c r="A26" s="85" t="s">
        <v>174</v>
      </c>
      <c r="B26" s="85"/>
      <c r="C26" s="85"/>
      <c r="D26" s="85"/>
      <c r="E26" s="85"/>
      <c r="F26" s="85"/>
      <c r="G26" s="85"/>
      <c r="H26" s="85"/>
    </row>
    <row r="27" spans="1:8" ht="30" customHeight="1">
      <c r="A27" s="86" t="s">
        <v>175</v>
      </c>
      <c r="B27" s="86"/>
      <c r="C27" s="86"/>
      <c r="D27" s="86"/>
      <c r="E27" s="86"/>
      <c r="F27" s="86"/>
      <c r="G27" s="86"/>
      <c r="H27" s="86"/>
    </row>
    <row r="29" spans="1:8">
      <c r="A29" s="16" t="s">
        <v>176</v>
      </c>
    </row>
    <row r="30" spans="1:8" ht="30" customHeight="1">
      <c r="A30" s="87" t="s">
        <v>177</v>
      </c>
      <c r="B30" s="87"/>
      <c r="C30" s="87"/>
      <c r="D30" s="87"/>
      <c r="E30" s="87"/>
      <c r="F30" s="87"/>
      <c r="G30" s="87"/>
      <c r="H30" s="87"/>
    </row>
    <row r="31" spans="1:8" ht="30" customHeight="1">
      <c r="A31" s="87" t="s">
        <v>178</v>
      </c>
      <c r="B31" s="87"/>
      <c r="C31" s="87"/>
      <c r="D31" s="87"/>
      <c r="E31" s="87"/>
      <c r="F31" s="87"/>
      <c r="G31" s="87"/>
      <c r="H31" s="87"/>
    </row>
    <row r="32" spans="1:8" ht="30" customHeight="1">
      <c r="A32" s="87" t="s">
        <v>179</v>
      </c>
      <c r="B32" s="87"/>
      <c r="C32" s="87"/>
      <c r="D32" s="87"/>
      <c r="E32" s="87"/>
      <c r="F32" s="87"/>
      <c r="G32" s="87"/>
      <c r="H32" s="87"/>
    </row>
    <row r="33" spans="1:8" ht="30" customHeight="1">
      <c r="A33" s="87" t="s">
        <v>180</v>
      </c>
      <c r="B33" s="87"/>
      <c r="C33" s="87"/>
      <c r="D33" s="87"/>
      <c r="E33" s="87"/>
      <c r="F33" s="87"/>
      <c r="G33" s="87"/>
      <c r="H33" s="87"/>
    </row>
    <row r="35" spans="1:8">
      <c r="A35" s="16" t="s">
        <v>181</v>
      </c>
    </row>
    <row r="36" spans="1:8">
      <c r="A36" s="6" t="s">
        <v>182</v>
      </c>
      <c r="B36" s="6"/>
      <c r="C36" s="6"/>
      <c r="D36" s="88">
        <f>Pump_Bank_Escalated!P123</f>
        <v>41237234034709.703</v>
      </c>
      <c r="E36" s="88"/>
      <c r="F36" s="88"/>
    </row>
    <row r="37" spans="1:8">
      <c r="A37" s="6" t="s">
        <v>183</v>
      </c>
      <c r="B37" s="6"/>
      <c r="C37" s="6"/>
      <c r="D37" s="88">
        <f>Pump_Bank_Escalated!Q123</f>
        <v>35640784522934.203</v>
      </c>
      <c r="E37" s="88"/>
      <c r="F37" s="88"/>
    </row>
    <row r="38" spans="1:8">
      <c r="A38" s="6" t="s">
        <v>184</v>
      </c>
      <c r="B38" s="6"/>
      <c r="C38" s="6"/>
      <c r="D38" s="89">
        <f>Pump_Bank_Escalated!R123</f>
        <v>0.15702374643785655</v>
      </c>
      <c r="E38" s="89"/>
      <c r="F38" s="89"/>
    </row>
    <row r="40" spans="1:8" ht="30" customHeight="1">
      <c r="A40" s="90" t="s">
        <v>185</v>
      </c>
      <c r="B40" s="90"/>
      <c r="C40" s="90"/>
      <c r="D40" s="90"/>
      <c r="E40" s="90"/>
      <c r="F40" s="90"/>
      <c r="G40" s="90"/>
      <c r="H40" s="90"/>
    </row>
  </sheetData>
  <mergeCells count="18">
    <mergeCell ref="A38:C38"/>
    <mergeCell ref="D38:F38"/>
    <mergeCell ref="A40:H40"/>
    <mergeCell ref="A33:H33"/>
    <mergeCell ref="A36:C36"/>
    <mergeCell ref="D36:F36"/>
    <mergeCell ref="A37:C37"/>
    <mergeCell ref="D37:F37"/>
    <mergeCell ref="A26:H26"/>
    <mergeCell ref="A27:H27"/>
    <mergeCell ref="A30:H30"/>
    <mergeCell ref="A31:H31"/>
    <mergeCell ref="A32:H32"/>
    <mergeCell ref="A2:H2"/>
    <mergeCell ref="A22:H22"/>
    <mergeCell ref="A23:H23"/>
    <mergeCell ref="A24:H24"/>
    <mergeCell ref="A25:H2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74"/>
  <sheetViews>
    <sheetView showGridLines="0" rightToLeft="1" tabSelected="1" zoomScaleNormal="100" workbookViewId="0">
      <pane ySplit="9" topLeftCell="A10" activePane="bottomLeft" state="frozen"/>
      <selection pane="bottomLeft" activeCell="A77" sqref="A77"/>
    </sheetView>
  </sheetViews>
  <sheetFormatPr defaultColWidth="8.7109375" defaultRowHeight="15"/>
  <cols>
    <col min="1" max="1" width="44" customWidth="1"/>
    <col min="2" max="2" width="16" customWidth="1"/>
    <col min="3" max="3" width="14" customWidth="1"/>
    <col min="4" max="4" width="18" customWidth="1"/>
    <col min="5" max="5" width="10" customWidth="1"/>
    <col min="6" max="7" width="16" customWidth="1"/>
    <col min="8" max="8" width="12" customWidth="1"/>
    <col min="9" max="9" width="14" customWidth="1"/>
    <col min="10" max="11" width="12" customWidth="1"/>
    <col min="12" max="12" width="16" customWidth="1"/>
    <col min="13" max="13" width="60" customWidth="1"/>
  </cols>
  <sheetData>
    <row r="1" spans="1:5" ht="18">
      <c r="A1" s="15" t="s">
        <v>186</v>
      </c>
    </row>
    <row r="2" spans="1:5">
      <c r="A2" s="49" t="s">
        <v>187</v>
      </c>
    </row>
    <row r="3" spans="1:5">
      <c r="A3" s="21" t="s">
        <v>188</v>
      </c>
      <c r="C3" s="50">
        <v>0.79</v>
      </c>
      <c r="D3" s="112" t="s">
        <v>189</v>
      </c>
    </row>
    <row r="4" spans="1:5">
      <c r="A4" s="21" t="s">
        <v>190</v>
      </c>
      <c r="C4" s="51">
        <v>0.02</v>
      </c>
      <c r="D4" s="113" t="s">
        <v>191</v>
      </c>
    </row>
    <row r="5" spans="1:5">
      <c r="A5" s="21" t="s">
        <v>192</v>
      </c>
      <c r="C5" s="52" t="s">
        <v>193</v>
      </c>
      <c r="D5" s="113" t="s">
        <v>194</v>
      </c>
    </row>
    <row r="6" spans="1:5">
      <c r="A6" s="21" t="s">
        <v>195</v>
      </c>
      <c r="C6" s="51">
        <v>0.3</v>
      </c>
    </row>
    <row r="8" spans="1:5">
      <c r="A8" s="16" t="s">
        <v>196</v>
      </c>
    </row>
    <row r="9" spans="1:5" ht="42" customHeight="1">
      <c r="A9" s="17" t="s">
        <v>197</v>
      </c>
      <c r="B9" s="17" t="s">
        <v>198</v>
      </c>
      <c r="C9" s="17" t="s">
        <v>199</v>
      </c>
      <c r="D9" s="17" t="s">
        <v>200</v>
      </c>
      <c r="E9" s="17" t="s">
        <v>201</v>
      </c>
    </row>
    <row r="10" spans="1:5">
      <c r="A10" s="53">
        <v>2005</v>
      </c>
      <c r="B10" s="54">
        <v>74.8</v>
      </c>
      <c r="D10" s="21" t="s">
        <v>202</v>
      </c>
    </row>
    <row r="11" spans="1:5">
      <c r="A11" s="53">
        <v>2006</v>
      </c>
      <c r="B11" s="54">
        <v>76.5</v>
      </c>
      <c r="C11" s="55">
        <f t="shared" ref="C11:C32" si="0">B11/B10-1</f>
        <v>2.2727272727272707E-2</v>
      </c>
      <c r="D11" s="21" t="s">
        <v>202</v>
      </c>
    </row>
    <row r="12" spans="1:5">
      <c r="A12" s="53">
        <v>2007</v>
      </c>
      <c r="B12" s="54">
        <v>79.8</v>
      </c>
      <c r="C12" s="55">
        <f t="shared" si="0"/>
        <v>4.3137254901960853E-2</v>
      </c>
      <c r="D12" s="21" t="s">
        <v>202</v>
      </c>
    </row>
    <row r="13" spans="1:5">
      <c r="A13" s="53">
        <v>2008</v>
      </c>
      <c r="B13" s="54">
        <v>81.5</v>
      </c>
      <c r="C13" s="55">
        <f t="shared" si="0"/>
        <v>2.130325814536338E-2</v>
      </c>
      <c r="D13" s="21" t="s">
        <v>202</v>
      </c>
    </row>
    <row r="14" spans="1:5">
      <c r="A14" s="53">
        <v>2009</v>
      </c>
      <c r="B14" s="54">
        <v>83.7</v>
      </c>
      <c r="C14" s="55">
        <f t="shared" si="0"/>
        <v>2.6993865030674913E-2</v>
      </c>
      <c r="D14" s="21" t="s">
        <v>202</v>
      </c>
    </row>
    <row r="15" spans="1:5">
      <c r="A15" s="53">
        <v>2010</v>
      </c>
      <c r="B15" s="54">
        <v>84.4</v>
      </c>
      <c r="C15" s="55">
        <f t="shared" si="0"/>
        <v>8.3632019115891243E-3</v>
      </c>
      <c r="D15" s="21" t="s">
        <v>202</v>
      </c>
      <c r="E15" s="54">
        <v>226.2</v>
      </c>
    </row>
    <row r="16" spans="1:5">
      <c r="A16" s="53">
        <v>2011</v>
      </c>
      <c r="B16" s="54">
        <v>86.2</v>
      </c>
      <c r="C16" s="55">
        <f t="shared" si="0"/>
        <v>2.1327014218009532E-2</v>
      </c>
      <c r="D16" s="21" t="s">
        <v>202</v>
      </c>
      <c r="E16" s="54">
        <v>229.2</v>
      </c>
    </row>
    <row r="17" spans="1:5">
      <c r="A17" s="53">
        <v>2012</v>
      </c>
      <c r="B17" s="54">
        <v>88.4</v>
      </c>
      <c r="C17" s="55">
        <f t="shared" si="0"/>
        <v>2.5522041763341052E-2</v>
      </c>
      <c r="D17" s="21" t="s">
        <v>202</v>
      </c>
      <c r="E17" s="54">
        <v>235.4</v>
      </c>
    </row>
    <row r="18" spans="1:5">
      <c r="A18" s="53">
        <v>2013</v>
      </c>
      <c r="B18" s="54">
        <v>89.9</v>
      </c>
      <c r="C18" s="55">
        <f t="shared" si="0"/>
        <v>1.6968325791855143E-2</v>
      </c>
      <c r="D18" s="21" t="s">
        <v>202</v>
      </c>
      <c r="E18" s="54">
        <v>239.5</v>
      </c>
    </row>
    <row r="19" spans="1:5">
      <c r="A19" s="53">
        <v>2014</v>
      </c>
      <c r="B19" s="54">
        <v>91.2</v>
      </c>
      <c r="C19" s="55">
        <f t="shared" si="0"/>
        <v>1.4460511679643906E-2</v>
      </c>
      <c r="D19" s="21" t="s">
        <v>202</v>
      </c>
      <c r="E19" s="54">
        <v>245.1</v>
      </c>
    </row>
    <row r="20" spans="1:5">
      <c r="A20" s="53">
        <v>2015</v>
      </c>
      <c r="B20" s="54">
        <v>91.9</v>
      </c>
      <c r="C20" s="55">
        <f t="shared" si="0"/>
        <v>7.6754385964912242E-3</v>
      </c>
      <c r="D20" s="21" t="s">
        <v>202</v>
      </c>
      <c r="E20" s="54">
        <v>250.7</v>
      </c>
    </row>
    <row r="21" spans="1:5">
      <c r="A21" s="53">
        <v>2016</v>
      </c>
      <c r="B21" s="54">
        <v>92.6</v>
      </c>
      <c r="C21" s="55">
        <f t="shared" si="0"/>
        <v>7.6169749727963421E-3</v>
      </c>
      <c r="D21" s="21" t="s">
        <v>202</v>
      </c>
      <c r="E21" s="54">
        <v>255.9</v>
      </c>
    </row>
    <row r="22" spans="1:5">
      <c r="A22" s="53">
        <v>2017</v>
      </c>
      <c r="B22" s="54">
        <v>93.6</v>
      </c>
      <c r="C22" s="55">
        <f t="shared" si="0"/>
        <v>1.0799136069114423E-2</v>
      </c>
      <c r="D22" s="21" t="s">
        <v>202</v>
      </c>
      <c r="E22" s="54">
        <v>256.89999999999998</v>
      </c>
    </row>
    <row r="23" spans="1:5">
      <c r="A23" s="53">
        <v>2018</v>
      </c>
      <c r="B23" s="54">
        <v>94.6</v>
      </c>
      <c r="C23" s="55">
        <f t="shared" si="0"/>
        <v>1.0683760683760646E-2</v>
      </c>
      <c r="D23" s="21" t="s">
        <v>203</v>
      </c>
      <c r="E23" s="54">
        <v>266.39999999999998</v>
      </c>
    </row>
    <row r="24" spans="1:5">
      <c r="A24" s="53">
        <v>2019</v>
      </c>
      <c r="B24" s="54">
        <v>96.4</v>
      </c>
      <c r="C24" s="55">
        <f t="shared" si="0"/>
        <v>1.9027484143763429E-2</v>
      </c>
      <c r="D24" s="21" t="s">
        <v>203</v>
      </c>
      <c r="E24" s="54">
        <v>274.89999999999998</v>
      </c>
    </row>
    <row r="25" spans="1:5">
      <c r="A25" s="53">
        <v>2020</v>
      </c>
      <c r="B25" s="54">
        <v>97.8</v>
      </c>
      <c r="C25" s="55">
        <f t="shared" si="0"/>
        <v>1.4522821576763434E-2</v>
      </c>
      <c r="D25" s="21" t="s">
        <v>203</v>
      </c>
      <c r="E25" s="54">
        <v>276</v>
      </c>
    </row>
    <row r="26" spans="1:5">
      <c r="A26" s="53">
        <v>2021</v>
      </c>
      <c r="B26" s="54">
        <v>100</v>
      </c>
      <c r="C26" s="55">
        <f t="shared" si="0"/>
        <v>2.249488752556239E-2</v>
      </c>
      <c r="D26" s="21" t="s">
        <v>203</v>
      </c>
      <c r="E26" s="54">
        <v>279.39999999999998</v>
      </c>
    </row>
    <row r="27" spans="1:5">
      <c r="A27" s="53">
        <v>2022</v>
      </c>
      <c r="B27" s="54">
        <v>109.3</v>
      </c>
      <c r="C27" s="55">
        <f t="shared" si="0"/>
        <v>9.2999999999999972E-2</v>
      </c>
      <c r="D27" s="21" t="s">
        <v>203</v>
      </c>
      <c r="E27" s="54">
        <v>304.84199999999998</v>
      </c>
    </row>
    <row r="28" spans="1:5">
      <c r="A28" s="53">
        <v>2023</v>
      </c>
      <c r="B28" s="54">
        <v>118.6</v>
      </c>
      <c r="C28" s="55">
        <f t="shared" si="0"/>
        <v>8.5086916742909358E-2</v>
      </c>
      <c r="D28" s="21" t="s">
        <v>203</v>
      </c>
      <c r="E28" s="54">
        <v>343.291</v>
      </c>
    </row>
    <row r="29" spans="1:5">
      <c r="A29" s="53">
        <v>2024</v>
      </c>
      <c r="B29" s="54">
        <v>121.7</v>
      </c>
      <c r="C29" s="55">
        <f t="shared" si="0"/>
        <v>2.6138279932546471E-2</v>
      </c>
      <c r="D29" s="21" t="s">
        <v>203</v>
      </c>
      <c r="E29" s="54">
        <v>367.3</v>
      </c>
    </row>
    <row r="30" spans="1:5">
      <c r="A30" s="53">
        <v>2025</v>
      </c>
      <c r="B30" s="54">
        <v>122.9</v>
      </c>
      <c r="C30" s="55">
        <f t="shared" si="0"/>
        <v>9.8603122432210366E-3</v>
      </c>
      <c r="D30" s="21" t="s">
        <v>203</v>
      </c>
      <c r="E30" s="54">
        <v>382.90100000000001</v>
      </c>
    </row>
    <row r="31" spans="1:5">
      <c r="A31" s="53">
        <v>2026</v>
      </c>
      <c r="B31" s="56">
        <f>B30*(1+IF($C$5="فلزی",(1-$C$6)*$C$4+$C$6*$H$45,$C$4))</f>
        <v>125.358</v>
      </c>
      <c r="C31" s="55">
        <f t="shared" si="0"/>
        <v>2.0000000000000018E-2</v>
      </c>
      <c r="D31" s="21" t="s">
        <v>204</v>
      </c>
      <c r="E31" s="54">
        <v>399.84300000000002</v>
      </c>
    </row>
    <row r="32" spans="1:5">
      <c r="A32" s="53">
        <v>2027</v>
      </c>
      <c r="B32" s="56">
        <f>B31*(1+$C$4)</f>
        <v>127.86516</v>
      </c>
      <c r="C32" s="55">
        <f t="shared" si="0"/>
        <v>2.0000000000000018E-2</v>
      </c>
      <c r="D32" s="21" t="s">
        <v>205</v>
      </c>
    </row>
    <row r="36" spans="1:8">
      <c r="A36" s="16" t="s">
        <v>206</v>
      </c>
    </row>
    <row r="37" spans="1:8" ht="42" customHeight="1">
      <c r="A37" s="17" t="s">
        <v>207</v>
      </c>
      <c r="B37" s="17" t="s">
        <v>208</v>
      </c>
      <c r="C37" s="17" t="s">
        <v>209</v>
      </c>
      <c r="D37" s="17" t="s">
        <v>210</v>
      </c>
      <c r="E37" s="17" t="s">
        <v>211</v>
      </c>
      <c r="F37" s="17" t="s">
        <v>212</v>
      </c>
      <c r="G37" s="17" t="s">
        <v>213</v>
      </c>
      <c r="H37" s="17" t="s">
        <v>214</v>
      </c>
    </row>
    <row r="38" spans="1:8">
      <c r="A38" s="21" t="s">
        <v>215</v>
      </c>
      <c r="B38" s="57">
        <v>0.6</v>
      </c>
      <c r="C38" s="58">
        <v>560</v>
      </c>
      <c r="D38" s="58">
        <v>600</v>
      </c>
      <c r="E38" s="58">
        <v>560</v>
      </c>
      <c r="F38" s="58">
        <v>600</v>
      </c>
      <c r="G38" s="25">
        <f>E38/C38</f>
        <v>1</v>
      </c>
      <c r="H38" s="25">
        <f>F38/E38</f>
        <v>1.0714285714285714</v>
      </c>
    </row>
    <row r="39" spans="1:8">
      <c r="A39" s="21" t="s">
        <v>216</v>
      </c>
      <c r="B39" s="57">
        <v>0.12</v>
      </c>
      <c r="C39" s="58">
        <v>16893</v>
      </c>
      <c r="D39" s="58">
        <v>16814</v>
      </c>
      <c r="E39" s="58">
        <v>15162</v>
      </c>
      <c r="F39" s="58">
        <v>17800</v>
      </c>
      <c r="G39" s="25">
        <f>E39/C39</f>
        <v>0.89753152193216124</v>
      </c>
      <c r="H39" s="25">
        <f>F39/E39</f>
        <v>1.1739876005803984</v>
      </c>
    </row>
    <row r="40" spans="1:8">
      <c r="A40" s="21" t="s">
        <v>217</v>
      </c>
      <c r="B40" s="57">
        <v>0.03</v>
      </c>
      <c r="C40" s="58">
        <v>24000</v>
      </c>
      <c r="D40" s="58">
        <v>46000</v>
      </c>
      <c r="E40" s="58">
        <v>52000</v>
      </c>
      <c r="F40" s="58">
        <v>66000</v>
      </c>
      <c r="G40" s="25">
        <f>E40/C40</f>
        <v>2.1666666666666665</v>
      </c>
      <c r="H40" s="25">
        <f>F40/E40</f>
        <v>1.2692307692307692</v>
      </c>
    </row>
    <row r="41" spans="1:8">
      <c r="A41" s="21" t="s">
        <v>218</v>
      </c>
      <c r="B41" s="57">
        <v>0.25</v>
      </c>
      <c r="C41" s="58">
        <v>6863</v>
      </c>
      <c r="D41" s="58">
        <v>9142</v>
      </c>
      <c r="E41" s="58">
        <v>9921</v>
      </c>
      <c r="F41" s="58">
        <v>13200</v>
      </c>
      <c r="G41" s="25">
        <f>E41/C41</f>
        <v>1.4455777356841031</v>
      </c>
      <c r="H41" s="25">
        <f>F41/E41</f>
        <v>1.3305110371938313</v>
      </c>
    </row>
    <row r="42" spans="1:8">
      <c r="A42" s="21" t="s">
        <v>219</v>
      </c>
      <c r="B42" s="55">
        <f>SUM(B38:B41)</f>
        <v>1</v>
      </c>
    </row>
    <row r="44" spans="1:8">
      <c r="A44" s="21" t="s">
        <v>220</v>
      </c>
      <c r="G44" s="55">
        <f>SUMPRODUCT(B38:B41,G38:G41)-1</f>
        <v>0.13409821655288501</v>
      </c>
    </row>
    <row r="45" spans="1:8">
      <c r="A45" s="21" t="s">
        <v>221</v>
      </c>
      <c r="H45" s="55">
        <f>SUMPRODUCT(B38:B41,H38:H41)-1</f>
        <v>0.15444033730217166</v>
      </c>
    </row>
    <row r="46" spans="1:8">
      <c r="A46" s="114" t="s">
        <v>222</v>
      </c>
    </row>
    <row r="49" spans="1:13">
      <c r="A49" s="16" t="s">
        <v>223</v>
      </c>
    </row>
    <row r="50" spans="1:13" ht="42" customHeight="1">
      <c r="A50" s="17" t="s">
        <v>224</v>
      </c>
      <c r="B50" s="17" t="s">
        <v>197</v>
      </c>
      <c r="C50" s="17" t="s">
        <v>225</v>
      </c>
      <c r="D50" s="17" t="s">
        <v>226</v>
      </c>
      <c r="E50" s="17" t="s">
        <v>227</v>
      </c>
      <c r="F50" s="17" t="s">
        <v>228</v>
      </c>
      <c r="G50" s="17" t="s">
        <v>229</v>
      </c>
      <c r="H50" s="17" t="s">
        <v>230</v>
      </c>
      <c r="I50" s="17" t="s">
        <v>231</v>
      </c>
      <c r="J50" s="17" t="s">
        <v>232</v>
      </c>
      <c r="K50" s="17" t="s">
        <v>233</v>
      </c>
      <c r="L50" s="17" t="s">
        <v>234</v>
      </c>
      <c r="M50" s="17" t="s">
        <v>235</v>
      </c>
    </row>
    <row r="51" spans="1:13">
      <c r="A51" s="53">
        <v>1385</v>
      </c>
      <c r="B51" s="53">
        <f t="shared" ref="B51:B71" si="1">A51+621</f>
        <v>2006</v>
      </c>
      <c r="C51" s="59">
        <f t="shared" ref="C51:C71" si="2">$C$3*INDEX($B$10:$B$32,MATCH(B51,$A$10:$A$32,0))+(1-$C$3)*INDEX($B$10:$B$32,MATCH(B51+1,$A$10:$A$32,0))</f>
        <v>77.192999999999998</v>
      </c>
      <c r="D51" s="58">
        <v>9148</v>
      </c>
      <c r="E51" s="60">
        <v>1.26</v>
      </c>
      <c r="G51" s="24">
        <f t="shared" ref="G51:G71" si="3">IF(F51="",D51*E51,F51)</f>
        <v>11526.48</v>
      </c>
      <c r="I51" s="59">
        <v>1</v>
      </c>
      <c r="K51" s="25">
        <v>1</v>
      </c>
      <c r="L51" s="59">
        <f t="shared" ref="L51:L71" si="4">(G51*C51)/($G$51*$C$51)</f>
        <v>1</v>
      </c>
      <c r="M51" s="61" t="s">
        <v>236</v>
      </c>
    </row>
    <row r="52" spans="1:13">
      <c r="A52" s="53">
        <v>1386</v>
      </c>
      <c r="B52" s="53">
        <f t="shared" si="1"/>
        <v>2007</v>
      </c>
      <c r="C52" s="59">
        <f t="shared" si="2"/>
        <v>80.156999999999996</v>
      </c>
      <c r="D52" s="58">
        <v>9300</v>
      </c>
      <c r="E52" s="60">
        <v>1.37</v>
      </c>
      <c r="G52" s="24">
        <f t="shared" si="3"/>
        <v>12741.000000000002</v>
      </c>
      <c r="H52" s="57">
        <v>0.184</v>
      </c>
      <c r="I52" s="59">
        <f t="shared" ref="I52:I71" si="5">I51*(1+H52)</f>
        <v>1.1839999999999999</v>
      </c>
      <c r="J52" s="57">
        <v>0.03</v>
      </c>
      <c r="K52" s="25">
        <f t="shared" ref="K52:K71" si="6">K51*(1+J52)</f>
        <v>1.03</v>
      </c>
      <c r="L52" s="59">
        <f t="shared" si="4"/>
        <v>1.1478109137075607</v>
      </c>
      <c r="M52" s="61" t="s">
        <v>237</v>
      </c>
    </row>
    <row r="53" spans="1:13">
      <c r="A53" s="53">
        <v>1387</v>
      </c>
      <c r="B53" s="53">
        <f t="shared" si="1"/>
        <v>2008</v>
      </c>
      <c r="C53" s="59">
        <f t="shared" si="2"/>
        <v>81.962000000000003</v>
      </c>
      <c r="D53" s="58">
        <v>9800</v>
      </c>
      <c r="E53" s="60">
        <v>1.47</v>
      </c>
      <c r="G53" s="24">
        <f t="shared" si="3"/>
        <v>14406</v>
      </c>
      <c r="H53" s="57">
        <v>0.254</v>
      </c>
      <c r="I53" s="59">
        <f t="shared" si="5"/>
        <v>1.4847359999999998</v>
      </c>
      <c r="J53" s="57">
        <v>3.5000000000000003E-2</v>
      </c>
      <c r="K53" s="25">
        <f t="shared" si="6"/>
        <v>1.0660499999999999</v>
      </c>
      <c r="L53" s="59">
        <f t="shared" si="4"/>
        <v>1.3270318216677492</v>
      </c>
      <c r="M53" s="61" t="s">
        <v>237</v>
      </c>
    </row>
    <row r="54" spans="1:13">
      <c r="A54" s="53">
        <v>1388</v>
      </c>
      <c r="B54" s="53">
        <f t="shared" si="1"/>
        <v>2009</v>
      </c>
      <c r="C54" s="59">
        <f t="shared" si="2"/>
        <v>83.847000000000008</v>
      </c>
      <c r="D54" s="58">
        <v>10300</v>
      </c>
      <c r="E54" s="60">
        <v>1.39</v>
      </c>
      <c r="G54" s="24">
        <f t="shared" si="3"/>
        <v>14316.999999999998</v>
      </c>
      <c r="H54" s="57">
        <v>0.108</v>
      </c>
      <c r="I54" s="59">
        <f t="shared" si="5"/>
        <v>1.6450874879999999</v>
      </c>
      <c r="J54" s="57">
        <v>0</v>
      </c>
      <c r="K54" s="25">
        <f t="shared" si="6"/>
        <v>1.0660499999999999</v>
      </c>
      <c r="L54" s="59">
        <f t="shared" si="4"/>
        <v>1.3491645855275181</v>
      </c>
      <c r="M54" s="61" t="s">
        <v>237</v>
      </c>
    </row>
    <row r="55" spans="1:13">
      <c r="A55" s="53">
        <v>1389</v>
      </c>
      <c r="B55" s="53">
        <f t="shared" si="1"/>
        <v>2010</v>
      </c>
      <c r="C55" s="59">
        <f t="shared" si="2"/>
        <v>84.777999999999992</v>
      </c>
      <c r="D55" s="58">
        <v>10700</v>
      </c>
      <c r="E55" s="60">
        <v>1.33</v>
      </c>
      <c r="G55" s="24">
        <f t="shared" si="3"/>
        <v>14231</v>
      </c>
      <c r="H55" s="57">
        <v>0.124</v>
      </c>
      <c r="I55" s="59">
        <f t="shared" si="5"/>
        <v>1.849078336512</v>
      </c>
      <c r="J55" s="57">
        <v>1.4999999999999999E-2</v>
      </c>
      <c r="K55" s="25">
        <f t="shared" si="6"/>
        <v>1.0820407499999998</v>
      </c>
      <c r="L55" s="59">
        <f t="shared" si="4"/>
        <v>1.355950904049928</v>
      </c>
      <c r="M55" s="61" t="s">
        <v>237</v>
      </c>
    </row>
    <row r="56" spans="1:13">
      <c r="A56" s="53">
        <v>1390</v>
      </c>
      <c r="B56" s="53">
        <f t="shared" si="1"/>
        <v>2011</v>
      </c>
      <c r="C56" s="59">
        <f t="shared" si="2"/>
        <v>86.661999999999992</v>
      </c>
      <c r="D56" s="58">
        <v>13500</v>
      </c>
      <c r="E56" s="60">
        <v>1.39</v>
      </c>
      <c r="G56" s="24">
        <f t="shared" si="3"/>
        <v>18765</v>
      </c>
      <c r="H56" s="57">
        <v>0.215</v>
      </c>
      <c r="I56" s="59">
        <f t="shared" si="5"/>
        <v>2.2466301788620804</v>
      </c>
      <c r="J56" s="57">
        <v>0.03</v>
      </c>
      <c r="K56" s="25">
        <f t="shared" si="6"/>
        <v>1.1145019724999998</v>
      </c>
      <c r="L56" s="59">
        <f t="shared" si="4"/>
        <v>1.8276905052768997</v>
      </c>
      <c r="M56" s="61" t="s">
        <v>237</v>
      </c>
    </row>
    <row r="57" spans="1:13">
      <c r="A57" s="53">
        <v>1391</v>
      </c>
      <c r="B57" s="53">
        <f t="shared" si="1"/>
        <v>2012</v>
      </c>
      <c r="C57" s="59">
        <f t="shared" si="2"/>
        <v>88.715000000000003</v>
      </c>
      <c r="D57" s="58">
        <v>24000</v>
      </c>
      <c r="E57" s="60">
        <v>1.28</v>
      </c>
      <c r="G57" s="24">
        <f t="shared" si="3"/>
        <v>30720</v>
      </c>
      <c r="H57" s="57">
        <v>0.30499999999999999</v>
      </c>
      <c r="I57" s="59">
        <f t="shared" si="5"/>
        <v>2.931852383415015</v>
      </c>
      <c r="J57" s="57">
        <v>0.02</v>
      </c>
      <c r="K57" s="25">
        <f t="shared" si="6"/>
        <v>1.1367920119499999</v>
      </c>
      <c r="L57" s="59">
        <f t="shared" si="4"/>
        <v>3.0629763792640956</v>
      </c>
      <c r="M57" s="61" t="s">
        <v>237</v>
      </c>
    </row>
    <row r="58" spans="1:13">
      <c r="A58" s="53">
        <v>1392</v>
      </c>
      <c r="B58" s="53">
        <f t="shared" si="1"/>
        <v>2013</v>
      </c>
      <c r="C58" s="59">
        <f t="shared" si="2"/>
        <v>90.173000000000002</v>
      </c>
      <c r="D58" s="58">
        <v>27500</v>
      </c>
      <c r="E58" s="60">
        <v>1.33</v>
      </c>
      <c r="G58" s="24">
        <f t="shared" si="3"/>
        <v>36575</v>
      </c>
      <c r="H58" s="57">
        <v>0.37</v>
      </c>
      <c r="I58" s="59">
        <f t="shared" si="5"/>
        <v>4.0166377652785705</v>
      </c>
      <c r="J58" s="57">
        <v>0.02</v>
      </c>
      <c r="K58" s="25">
        <f t="shared" si="6"/>
        <v>1.159527852189</v>
      </c>
      <c r="L58" s="59">
        <f t="shared" si="4"/>
        <v>3.7066897137941024</v>
      </c>
      <c r="M58" s="61" t="s">
        <v>238</v>
      </c>
    </row>
    <row r="59" spans="1:13">
      <c r="A59" s="53">
        <v>1393</v>
      </c>
      <c r="B59" s="53">
        <f t="shared" si="1"/>
        <v>2014</v>
      </c>
      <c r="C59" s="59">
        <f t="shared" si="2"/>
        <v>91.347000000000008</v>
      </c>
      <c r="D59" s="58">
        <v>31000</v>
      </c>
      <c r="E59" s="60">
        <v>1.33</v>
      </c>
      <c r="F59" s="62">
        <v>40530.800000000003</v>
      </c>
      <c r="G59" s="24">
        <f t="shared" si="3"/>
        <v>40530.800000000003</v>
      </c>
      <c r="H59" s="57">
        <v>0.156</v>
      </c>
      <c r="I59" s="59">
        <f t="shared" si="5"/>
        <v>4.6432332566620271</v>
      </c>
      <c r="J59" s="57">
        <v>0.02</v>
      </c>
      <c r="K59" s="25">
        <f t="shared" si="6"/>
        <v>1.18271840923278</v>
      </c>
      <c r="L59" s="59">
        <f t="shared" si="4"/>
        <v>4.1610682992302293</v>
      </c>
      <c r="M59" s="61" t="s">
        <v>238</v>
      </c>
    </row>
    <row r="60" spans="1:13">
      <c r="A60" s="53">
        <v>1394</v>
      </c>
      <c r="B60" s="53">
        <f t="shared" si="1"/>
        <v>2015</v>
      </c>
      <c r="C60" s="59">
        <f t="shared" si="2"/>
        <v>92.047000000000011</v>
      </c>
      <c r="D60" s="58">
        <v>33500</v>
      </c>
      <c r="E60" s="60">
        <v>1.1100000000000001</v>
      </c>
      <c r="G60" s="24">
        <f t="shared" si="3"/>
        <v>37185</v>
      </c>
      <c r="H60" s="57">
        <v>0.11899999999999999</v>
      </c>
      <c r="I60" s="59">
        <f t="shared" si="5"/>
        <v>5.1957780142048087</v>
      </c>
      <c r="J60" s="57">
        <v>0.02</v>
      </c>
      <c r="K60" s="25">
        <f t="shared" si="6"/>
        <v>1.2063727774174358</v>
      </c>
      <c r="L60" s="59">
        <f t="shared" si="4"/>
        <v>3.84682831253479</v>
      </c>
      <c r="M60" s="61" t="s">
        <v>238</v>
      </c>
    </row>
    <row r="61" spans="1:13">
      <c r="A61" s="53">
        <v>1395</v>
      </c>
      <c r="B61" s="53">
        <f t="shared" si="1"/>
        <v>2016</v>
      </c>
      <c r="C61" s="59">
        <f t="shared" si="2"/>
        <v>92.809999999999988</v>
      </c>
      <c r="D61" s="58">
        <v>36500</v>
      </c>
      <c r="E61" s="60">
        <v>1.1100000000000001</v>
      </c>
      <c r="G61" s="24">
        <f t="shared" si="3"/>
        <v>40515</v>
      </c>
      <c r="H61" s="57">
        <v>0.09</v>
      </c>
      <c r="I61" s="59">
        <f t="shared" si="5"/>
        <v>5.6633980354832421</v>
      </c>
      <c r="J61" s="57">
        <v>0.02</v>
      </c>
      <c r="K61" s="25">
        <f t="shared" si="6"/>
        <v>1.2305002329657846</v>
      </c>
      <c r="L61" s="59">
        <f t="shared" si="4"/>
        <v>4.2260632757703478</v>
      </c>
      <c r="M61" s="61" t="s">
        <v>238</v>
      </c>
    </row>
    <row r="62" spans="1:13">
      <c r="A62" s="53">
        <v>1396</v>
      </c>
      <c r="B62" s="53">
        <f t="shared" si="1"/>
        <v>2017</v>
      </c>
      <c r="C62" s="59">
        <f t="shared" si="2"/>
        <v>93.81</v>
      </c>
      <c r="D62" s="58">
        <v>41000</v>
      </c>
      <c r="E62" s="60">
        <v>1.1299999999999999</v>
      </c>
      <c r="G62" s="24">
        <f t="shared" si="3"/>
        <v>46329.999999999993</v>
      </c>
      <c r="H62" s="57">
        <v>9.6000000000000002E-2</v>
      </c>
      <c r="I62" s="59">
        <f t="shared" si="5"/>
        <v>6.2070842468896341</v>
      </c>
      <c r="J62" s="57">
        <v>0.02</v>
      </c>
      <c r="K62" s="25">
        <f t="shared" si="6"/>
        <v>1.2551102376251002</v>
      </c>
      <c r="L62" s="59">
        <f t="shared" si="4"/>
        <v>4.8846878467656296</v>
      </c>
      <c r="M62" s="61" t="s">
        <v>238</v>
      </c>
    </row>
    <row r="63" spans="1:13">
      <c r="A63" s="53">
        <v>1397</v>
      </c>
      <c r="B63" s="53">
        <f t="shared" si="1"/>
        <v>2018</v>
      </c>
      <c r="C63" s="59">
        <f t="shared" si="2"/>
        <v>94.977999999999994</v>
      </c>
      <c r="D63" s="58">
        <v>85000</v>
      </c>
      <c r="E63" s="60">
        <v>1.18</v>
      </c>
      <c r="G63" s="24">
        <f t="shared" si="3"/>
        <v>100300</v>
      </c>
      <c r="H63" s="57">
        <v>0.312</v>
      </c>
      <c r="I63" s="59">
        <f t="shared" si="5"/>
        <v>8.1436945319192002</v>
      </c>
      <c r="J63" s="57">
        <v>0.02</v>
      </c>
      <c r="K63" s="25">
        <f t="shared" si="6"/>
        <v>1.2802124423776022</v>
      </c>
      <c r="L63" s="59">
        <f t="shared" si="4"/>
        <v>10.706544653371019</v>
      </c>
      <c r="M63" s="61" t="s">
        <v>238</v>
      </c>
    </row>
    <row r="64" spans="1:13">
      <c r="A64" s="53">
        <v>1398</v>
      </c>
      <c r="B64" s="53">
        <f t="shared" si="1"/>
        <v>2019</v>
      </c>
      <c r="C64" s="59">
        <f t="shared" si="2"/>
        <v>96.694000000000003</v>
      </c>
      <c r="D64" s="58">
        <v>120000</v>
      </c>
      <c r="E64" s="60">
        <v>1.1200000000000001</v>
      </c>
      <c r="G64" s="24">
        <f t="shared" si="3"/>
        <v>134400</v>
      </c>
      <c r="H64" s="57">
        <v>0.41199999999999998</v>
      </c>
      <c r="I64" s="59">
        <f t="shared" si="5"/>
        <v>11.49889667906991</v>
      </c>
      <c r="J64" s="57">
        <v>0.02</v>
      </c>
      <c r="K64" s="25">
        <f t="shared" si="6"/>
        <v>1.3058166912251543</v>
      </c>
      <c r="L64" s="59">
        <f t="shared" si="4"/>
        <v>14.605760483824163</v>
      </c>
      <c r="M64" s="61" t="s">
        <v>238</v>
      </c>
    </row>
    <row r="65" spans="1:13">
      <c r="A65" s="53">
        <v>1399</v>
      </c>
      <c r="B65" s="53">
        <f t="shared" si="1"/>
        <v>2020</v>
      </c>
      <c r="C65" s="59">
        <f t="shared" si="2"/>
        <v>98.262</v>
      </c>
      <c r="D65" s="58">
        <v>240000</v>
      </c>
      <c r="E65" s="60">
        <v>1.1399999999999999</v>
      </c>
      <c r="G65" s="24">
        <f t="shared" si="3"/>
        <v>273600</v>
      </c>
      <c r="H65" s="57">
        <v>0.47</v>
      </c>
      <c r="I65" s="59">
        <f t="shared" si="5"/>
        <v>16.903378118232766</v>
      </c>
      <c r="J65" s="57">
        <v>0.05</v>
      </c>
      <c r="K65" s="25">
        <f t="shared" si="6"/>
        <v>1.371107525786412</v>
      </c>
      <c r="L65" s="59">
        <f t="shared" si="4"/>
        <v>30.215311221004701</v>
      </c>
      <c r="M65" s="61" t="s">
        <v>238</v>
      </c>
    </row>
    <row r="66" spans="1:13">
      <c r="A66" s="53">
        <v>1400</v>
      </c>
      <c r="B66" s="53">
        <f t="shared" si="1"/>
        <v>2021</v>
      </c>
      <c r="C66" s="59">
        <f t="shared" si="2"/>
        <v>101.953</v>
      </c>
      <c r="D66" s="58">
        <v>270000</v>
      </c>
      <c r="E66" s="60">
        <v>1.18</v>
      </c>
      <c r="G66" s="24">
        <f t="shared" si="3"/>
        <v>318600</v>
      </c>
      <c r="H66" s="57">
        <v>0.46200000000000002</v>
      </c>
      <c r="I66" s="59">
        <f t="shared" si="5"/>
        <v>24.712738808856304</v>
      </c>
      <c r="J66" s="57">
        <v>0.05</v>
      </c>
      <c r="K66" s="25">
        <f t="shared" si="6"/>
        <v>1.4396629020757328</v>
      </c>
      <c r="L66" s="59">
        <f t="shared" si="4"/>
        <v>36.506580929848354</v>
      </c>
      <c r="M66" s="61" t="s">
        <v>238</v>
      </c>
    </row>
    <row r="67" spans="1:13">
      <c r="A67" s="53">
        <v>1401</v>
      </c>
      <c r="B67" s="53">
        <f t="shared" si="1"/>
        <v>2022</v>
      </c>
      <c r="C67" s="59">
        <f t="shared" si="2"/>
        <v>111.253</v>
      </c>
      <c r="D67" s="58">
        <v>350000</v>
      </c>
      <c r="E67" s="60">
        <v>1.05</v>
      </c>
      <c r="G67" s="24">
        <f t="shared" si="3"/>
        <v>367500</v>
      </c>
      <c r="H67" s="57">
        <v>0.46500000000000002</v>
      </c>
      <c r="I67" s="59">
        <f t="shared" si="5"/>
        <v>36.204162354974486</v>
      </c>
      <c r="J67" s="57">
        <v>4.9000000000000002E-2</v>
      </c>
      <c r="K67" s="25">
        <f t="shared" si="6"/>
        <v>1.5102063842774436</v>
      </c>
      <c r="L67" s="59">
        <f t="shared" si="4"/>
        <v>45.950945677166125</v>
      </c>
      <c r="M67" s="61" t="s">
        <v>238</v>
      </c>
    </row>
    <row r="68" spans="1:13">
      <c r="A68" s="53">
        <v>1402</v>
      </c>
      <c r="B68" s="53">
        <f t="shared" si="1"/>
        <v>2023</v>
      </c>
      <c r="C68" s="59">
        <f t="shared" si="2"/>
        <v>119.251</v>
      </c>
      <c r="D68" s="58">
        <v>520000</v>
      </c>
      <c r="E68" s="60">
        <v>1.08</v>
      </c>
      <c r="G68" s="24">
        <f t="shared" si="3"/>
        <v>561600</v>
      </c>
      <c r="H68" s="57">
        <v>0.5</v>
      </c>
      <c r="I68" s="59">
        <f t="shared" si="5"/>
        <v>54.306243532461728</v>
      </c>
      <c r="J68" s="57">
        <v>0.04</v>
      </c>
      <c r="K68" s="25">
        <f t="shared" si="6"/>
        <v>1.5706146396485414</v>
      </c>
      <c r="L68" s="59">
        <f t="shared" si="4"/>
        <v>75.268716106041552</v>
      </c>
      <c r="M68" s="61" t="s">
        <v>238</v>
      </c>
    </row>
    <row r="69" spans="1:13">
      <c r="A69" s="53">
        <v>1403</v>
      </c>
      <c r="B69" s="53">
        <f t="shared" si="1"/>
        <v>2024</v>
      </c>
      <c r="C69" s="59">
        <f t="shared" si="2"/>
        <v>121.952</v>
      </c>
      <c r="D69" s="58">
        <v>640000</v>
      </c>
      <c r="E69" s="60">
        <v>1.08</v>
      </c>
      <c r="G69" s="24">
        <f t="shared" si="3"/>
        <v>691200</v>
      </c>
      <c r="H69" s="57">
        <v>0.4</v>
      </c>
      <c r="I69" s="59">
        <f t="shared" si="5"/>
        <v>76.028740945446415</v>
      </c>
      <c r="J69" s="57">
        <v>0.04</v>
      </c>
      <c r="K69" s="25">
        <f t="shared" si="6"/>
        <v>1.6334392252344831</v>
      </c>
      <c r="L69" s="59">
        <f t="shared" si="4"/>
        <v>94.736652726036596</v>
      </c>
      <c r="M69" s="61" t="s">
        <v>238</v>
      </c>
    </row>
    <row r="70" spans="1:13">
      <c r="A70" s="53">
        <v>1404</v>
      </c>
      <c r="B70" s="53">
        <f t="shared" si="1"/>
        <v>2025</v>
      </c>
      <c r="C70" s="59">
        <f t="shared" si="2"/>
        <v>123.41618</v>
      </c>
      <c r="D70" s="58">
        <v>1000000</v>
      </c>
      <c r="E70" s="60">
        <v>1.1299999999999999</v>
      </c>
      <c r="G70" s="24">
        <f t="shared" si="3"/>
        <v>1130000</v>
      </c>
      <c r="H70" s="57">
        <v>0.6</v>
      </c>
      <c r="I70" s="59">
        <f t="shared" si="5"/>
        <v>121.64598551271428</v>
      </c>
      <c r="J70" s="57">
        <v>0.04</v>
      </c>
      <c r="K70" s="25">
        <f t="shared" si="6"/>
        <v>1.6987767942438625</v>
      </c>
      <c r="L70" s="59">
        <f t="shared" si="4"/>
        <v>156.73858539711546</v>
      </c>
      <c r="M70" s="61" t="s">
        <v>238</v>
      </c>
    </row>
    <row r="71" spans="1:13">
      <c r="A71" s="53">
        <v>1405</v>
      </c>
      <c r="B71" s="53">
        <f t="shared" si="1"/>
        <v>2026</v>
      </c>
      <c r="C71" s="59">
        <f t="shared" si="2"/>
        <v>125.8845036</v>
      </c>
      <c r="D71" s="58">
        <v>2500000</v>
      </c>
      <c r="E71" s="60">
        <v>1.1499999999999999</v>
      </c>
      <c r="G71" s="24">
        <f t="shared" si="3"/>
        <v>2875000</v>
      </c>
      <c r="H71" s="57">
        <v>0.2</v>
      </c>
      <c r="I71" s="59">
        <f t="shared" si="5"/>
        <v>145.97518261525713</v>
      </c>
      <c r="J71" s="57">
        <v>0.01</v>
      </c>
      <c r="K71" s="25">
        <f t="shared" si="6"/>
        <v>1.7157645621863011</v>
      </c>
      <c r="L71" s="59">
        <f t="shared" si="4"/>
        <v>406.75743511242575</v>
      </c>
      <c r="M71" s="61" t="s">
        <v>239</v>
      </c>
    </row>
    <row r="73" spans="1:13">
      <c r="A73" s="63" t="s">
        <v>240</v>
      </c>
    </row>
    <row r="74" spans="1:13">
      <c r="A74" s="61" t="s">
        <v>241</v>
      </c>
    </row>
  </sheetData>
  <dataValidations count="1">
    <dataValidation type="list" sqref="C5" xr:uid="{00000000-0002-0000-0300-000000000000}">
      <formula1>"روند,فلزی"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50"/>
  <sheetViews>
    <sheetView showGridLines="0" rightToLeft="1" zoomScaleNormal="100"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ColWidth="8.7109375" defaultRowHeight="15"/>
  <cols>
    <col min="1" max="1" width="12" customWidth="1"/>
    <col min="2" max="2" width="30" customWidth="1"/>
    <col min="3" max="3" width="22" customWidth="1"/>
    <col min="4" max="4" width="10" customWidth="1"/>
    <col min="5" max="5" width="7" customWidth="1"/>
    <col min="6" max="9" width="12" customWidth="1"/>
    <col min="10" max="10" width="13" customWidth="1"/>
    <col min="11" max="11" width="10" customWidth="1"/>
    <col min="12" max="13" width="8" customWidth="1"/>
    <col min="14" max="14" width="10" customWidth="1"/>
    <col min="15" max="36" width="11" customWidth="1"/>
  </cols>
  <sheetData>
    <row r="1" spans="1:6" ht="18">
      <c r="A1" s="15" t="s">
        <v>242</v>
      </c>
    </row>
    <row r="2" spans="1:6">
      <c r="A2" s="49" t="s">
        <v>243</v>
      </c>
    </row>
    <row r="4" spans="1:6">
      <c r="A4" s="16" t="s">
        <v>244</v>
      </c>
    </row>
    <row r="5" spans="1:6" ht="42" customHeight="1">
      <c r="A5" s="17" t="s">
        <v>143</v>
      </c>
      <c r="B5" s="17" t="s">
        <v>144</v>
      </c>
      <c r="C5" s="17"/>
      <c r="D5" s="17"/>
      <c r="E5" s="17" t="s">
        <v>245</v>
      </c>
      <c r="F5" s="17" t="s">
        <v>246</v>
      </c>
    </row>
    <row r="6" spans="1:6">
      <c r="A6" s="16" t="s">
        <v>149</v>
      </c>
      <c r="B6" s="21" t="s">
        <v>247</v>
      </c>
      <c r="E6" s="25">
        <f>1</f>
        <v>1</v>
      </c>
      <c r="F6" s="61" t="s">
        <v>248</v>
      </c>
    </row>
    <row r="7" spans="1:6">
      <c r="A7" s="16" t="s">
        <v>150</v>
      </c>
      <c r="B7" s="21" t="s">
        <v>249</v>
      </c>
      <c r="E7" s="25">
        <f>INDEX(Indices!$K$51:$K$71,MATCH(1403,Indices!$A$51:$A$71,0))/INDEX(Indices!$K$51:$K$71,MATCH(1393,Indices!$A$51:$A$71,0))</f>
        <v>1.3810888648415325</v>
      </c>
      <c r="F7" s="61" t="s">
        <v>250</v>
      </c>
    </row>
    <row r="8" spans="1:6">
      <c r="A8" s="16" t="s">
        <v>151</v>
      </c>
      <c r="B8" s="21" t="s">
        <v>251</v>
      </c>
      <c r="E8" s="64">
        <v>1.55207623267439</v>
      </c>
      <c r="F8" s="61" t="s">
        <v>252</v>
      </c>
    </row>
    <row r="9" spans="1:6">
      <c r="A9" s="16" t="s">
        <v>152</v>
      </c>
      <c r="B9" s="21" t="s">
        <v>253</v>
      </c>
      <c r="E9" s="25" t="s">
        <v>254</v>
      </c>
      <c r="F9" s="61" t="s">
        <v>255</v>
      </c>
    </row>
    <row r="10" spans="1:6">
      <c r="A10" s="16" t="s">
        <v>153</v>
      </c>
      <c r="B10" s="21" t="s">
        <v>256</v>
      </c>
      <c r="E10" s="25">
        <f>INDEX(Indices!$B$10:$B$32,MATCH(2025,Indices!$A$10:$A$32,0))/INDEX(Indices!$C$51:$C$71,MATCH(1393,Indices!$A$51:$A$71,0))</f>
        <v>1.3454191161176612</v>
      </c>
      <c r="F10" s="61" t="s">
        <v>257</v>
      </c>
    </row>
    <row r="11" spans="1:6">
      <c r="A11" s="16" t="s">
        <v>154</v>
      </c>
      <c r="B11" s="21" t="s">
        <v>258</v>
      </c>
      <c r="E11" s="25">
        <f>(INDEX(Indices!$E$10:$E$32,MATCH(2025,Indices!$A$10:$A$32,0))/INDEX(Indices!$E$10:$E$32,MATCH(2015,Indices!$A$10:$A$32,0)))*E14/E15</f>
        <v>1.5903822873934634</v>
      </c>
      <c r="F11" s="61" t="s">
        <v>259</v>
      </c>
    </row>
    <row r="12" spans="1:6">
      <c r="A12" s="16" t="s">
        <v>155</v>
      </c>
      <c r="B12" s="21" t="s">
        <v>260</v>
      </c>
      <c r="E12" s="25">
        <f>E10</f>
        <v>1.3454191161176612</v>
      </c>
      <c r="F12" s="61" t="s">
        <v>261</v>
      </c>
    </row>
    <row r="14" spans="1:6">
      <c r="B14" s="21" t="s">
        <v>262</v>
      </c>
      <c r="E14" s="64">
        <v>1.135</v>
      </c>
    </row>
    <row r="15" spans="1:6">
      <c r="B15" s="21" t="s">
        <v>263</v>
      </c>
      <c r="E15" s="64">
        <v>1.0900000000000001</v>
      </c>
    </row>
    <row r="16" spans="1:6">
      <c r="B16" s="21" t="s">
        <v>264</v>
      </c>
      <c r="E16" s="62">
        <v>25000</v>
      </c>
      <c r="F16" s="61" t="s">
        <v>265</v>
      </c>
    </row>
    <row r="17" spans="1:36" ht="42" customHeight="1">
      <c r="A17" s="17" t="s">
        <v>266</v>
      </c>
      <c r="B17" s="17" t="s">
        <v>267</v>
      </c>
      <c r="C17" s="17" t="s">
        <v>268</v>
      </c>
      <c r="D17" s="17" t="s">
        <v>9</v>
      </c>
      <c r="E17" s="17" t="s">
        <v>25</v>
      </c>
      <c r="F17" s="17" t="s">
        <v>269</v>
      </c>
      <c r="G17" s="17" t="s">
        <v>270</v>
      </c>
      <c r="H17" s="17" t="s">
        <v>271</v>
      </c>
      <c r="I17" s="17" t="s">
        <v>272</v>
      </c>
      <c r="J17" s="17" t="s">
        <v>273</v>
      </c>
      <c r="K17" s="17" t="s">
        <v>274</v>
      </c>
      <c r="L17" s="17" t="s">
        <v>275</v>
      </c>
      <c r="M17" s="17" t="s">
        <v>276</v>
      </c>
      <c r="N17" s="17" t="s">
        <v>277</v>
      </c>
      <c r="O17" s="17" t="s">
        <v>278</v>
      </c>
      <c r="P17" s="17" t="s">
        <v>279</v>
      </c>
      <c r="Q17" s="17" t="s">
        <v>280</v>
      </c>
      <c r="R17" s="17" t="s">
        <v>281</v>
      </c>
      <c r="S17" s="17" t="s">
        <v>282</v>
      </c>
      <c r="T17" s="17" t="s">
        <v>283</v>
      </c>
      <c r="U17" s="17" t="s">
        <v>284</v>
      </c>
      <c r="V17" s="17" t="s">
        <v>285</v>
      </c>
      <c r="W17" s="17" t="s">
        <v>286</v>
      </c>
      <c r="X17" s="17" t="s">
        <v>287</v>
      </c>
      <c r="Y17" s="17" t="s">
        <v>288</v>
      </c>
      <c r="Z17" s="17" t="s">
        <v>289</v>
      </c>
      <c r="AA17" s="17" t="s">
        <v>290</v>
      </c>
      <c r="AB17" s="17" t="s">
        <v>291</v>
      </c>
      <c r="AC17" s="17" t="s">
        <v>292</v>
      </c>
      <c r="AD17" s="17" t="s">
        <v>293</v>
      </c>
      <c r="AE17" s="17" t="s">
        <v>294</v>
      </c>
      <c r="AF17" s="17" t="s">
        <v>295</v>
      </c>
      <c r="AG17" s="17" t="s">
        <v>296</v>
      </c>
      <c r="AH17" s="17" t="s">
        <v>297</v>
      </c>
      <c r="AI17" s="17" t="s">
        <v>298</v>
      </c>
      <c r="AJ17" s="65" t="s">
        <v>299</v>
      </c>
    </row>
    <row r="18" spans="1:36">
      <c r="A18" s="21" t="s">
        <v>300</v>
      </c>
      <c r="B18" s="21" t="s">
        <v>301</v>
      </c>
      <c r="C18" s="21" t="s">
        <v>302</v>
      </c>
      <c r="D18" s="21" t="s">
        <v>75</v>
      </c>
      <c r="E18" s="66">
        <v>2</v>
      </c>
      <c r="F18" s="58">
        <v>75000</v>
      </c>
      <c r="G18" s="58">
        <v>43000</v>
      </c>
      <c r="H18" s="58">
        <v>180000</v>
      </c>
      <c r="J18" s="24">
        <f t="shared" ref="J18:J35" si="0">AVERAGE(G18:I18)</f>
        <v>111500</v>
      </c>
      <c r="K18" s="67">
        <f t="shared" ref="K18:K35" si="1">MAX(G18:I18)/MIN(G18:I18)</f>
        <v>4.1860465116279073</v>
      </c>
      <c r="L18" s="52" t="s">
        <v>303</v>
      </c>
      <c r="M18" s="68" t="s">
        <v>303</v>
      </c>
      <c r="N18" s="67">
        <f t="shared" ref="N18:N35" si="2">J18/F18</f>
        <v>1.4866666666666666</v>
      </c>
      <c r="O18" s="24">
        <f t="shared" ref="O18:O35" si="3">F18*$E$6</f>
        <v>75000</v>
      </c>
      <c r="P18" s="59">
        <f t="shared" ref="P18:P35" si="4">IF($L18="Y",O18/$J18,"")</f>
        <v>0.67264573991031396</v>
      </c>
      <c r="Q18" s="55">
        <f t="shared" ref="Q18:Q35" si="5">IF($L18="Y",ABS(P18-1),"")</f>
        <v>0.32735426008968604</v>
      </c>
      <c r="R18" s="24">
        <f t="shared" ref="R18:R35" si="6">F18*$E$7</f>
        <v>103581.66486311493</v>
      </c>
      <c r="S18" s="59">
        <f t="shared" ref="S18:S35" si="7">IF($L18="Y",R18/$J18,"")</f>
        <v>0.92898354137322803</v>
      </c>
      <c r="T18" s="55">
        <f t="shared" ref="T18:T35" si="8">IF($L18="Y",ABS(S18-1),"")</f>
        <v>7.1016458626771972E-2</v>
      </c>
      <c r="U18" s="24">
        <f t="shared" ref="U18:U35" si="9">F18*$E$8</f>
        <v>116405.71745057925</v>
      </c>
      <c r="V18" s="59">
        <f t="shared" ref="V18:V35" si="10">IF($L18="Y",U18/$J18,"")</f>
        <v>1.0439974659244775</v>
      </c>
      <c r="W18" s="55">
        <f t="shared" ref="W18:W35" si="11">IF($L18="Y",ABS(V18-1),"")</f>
        <v>4.3997465924477508E-2</v>
      </c>
      <c r="X18" s="24">
        <f>F18*1.27425462793664</f>
        <v>95569.097095247998</v>
      </c>
      <c r="Y18" s="59">
        <f t="shared" ref="Y18:Y35" si="12">IF($L18="Y",X18/$J18,"")</f>
        <v>0.85712194704258293</v>
      </c>
      <c r="Z18" s="55">
        <f t="shared" ref="Z18:Z35" si="13">IF($L18="Y",ABS(Y18-1),"")</f>
        <v>0.14287805295741707</v>
      </c>
      <c r="AA18" s="24">
        <f t="shared" ref="AA18:AA35" si="14">F18*$E$10</f>
        <v>100906.4337088246</v>
      </c>
      <c r="AB18" s="59">
        <f t="shared" ref="AB18:AB35" si="15">IF($L18="Y",AA18/$J18,"")</f>
        <v>0.90499043685044478</v>
      </c>
      <c r="AC18" s="55">
        <f t="shared" ref="AC18:AC35" si="16">IF($L18="Y",ABS(AB18-1),"")</f>
        <v>9.5009563149555221E-2</v>
      </c>
      <c r="AD18" s="24">
        <f t="shared" ref="AD18:AD35" si="17">F18*$E$11</f>
        <v>119278.67155450975</v>
      </c>
      <c r="AE18" s="59">
        <f t="shared" ref="AE18:AE35" si="18">IF($L18="Y",AD18/$J18,"")</f>
        <v>1.0697638704440338</v>
      </c>
      <c r="AF18" s="55">
        <f t="shared" ref="AF18:AF35" si="19">IF($L18="Y",ABS(AE18-1),"")</f>
        <v>6.976387044403376E-2</v>
      </c>
      <c r="AG18" s="24">
        <f t="shared" ref="AG18:AG35" si="20">IF(M18="Y",MAX(F18*$E$12,$E$16),F18*$E$12)</f>
        <v>100906.4337088246</v>
      </c>
      <c r="AH18" s="59">
        <f t="shared" ref="AH18:AH35" si="21">IF($L18="Y",AG18/$J18,"")</f>
        <v>0.90499043685044478</v>
      </c>
      <c r="AI18" s="55">
        <f t="shared" ref="AI18:AI35" si="22">IF($L18="Y",ABS(AH18-1),"")</f>
        <v>9.5009563149555221E-2</v>
      </c>
      <c r="AJ18" s="67">
        <f t="shared" ref="AJ18:AJ35" si="23">IF(AND(L18="Y",COUNT(G18:I18)&gt;=2),K18,"")</f>
        <v>4.1860465116279073</v>
      </c>
    </row>
    <row r="19" spans="1:36">
      <c r="A19" s="21" t="s">
        <v>304</v>
      </c>
      <c r="B19" s="21" t="s">
        <v>305</v>
      </c>
      <c r="C19" s="21" t="s">
        <v>306</v>
      </c>
      <c r="D19" s="21" t="s">
        <v>307</v>
      </c>
      <c r="E19" s="66">
        <v>2</v>
      </c>
      <c r="F19" s="58">
        <v>10000</v>
      </c>
      <c r="G19" s="58">
        <v>14100</v>
      </c>
      <c r="H19" s="58">
        <v>16000</v>
      </c>
      <c r="J19" s="24">
        <f t="shared" si="0"/>
        <v>15050</v>
      </c>
      <c r="K19" s="67">
        <f t="shared" si="1"/>
        <v>1.1347517730496455</v>
      </c>
      <c r="L19" s="52" t="s">
        <v>303</v>
      </c>
      <c r="M19" s="68" t="s">
        <v>308</v>
      </c>
      <c r="N19" s="67">
        <f t="shared" si="2"/>
        <v>1.5049999999999999</v>
      </c>
      <c r="O19" s="24">
        <f t="shared" si="3"/>
        <v>10000</v>
      </c>
      <c r="P19" s="59">
        <f t="shared" si="4"/>
        <v>0.66445182724252494</v>
      </c>
      <c r="Q19" s="55">
        <f t="shared" si="5"/>
        <v>0.33554817275747506</v>
      </c>
      <c r="R19" s="24">
        <f t="shared" si="6"/>
        <v>13810.888648415324</v>
      </c>
      <c r="S19" s="59">
        <f t="shared" si="7"/>
        <v>0.91766701982826071</v>
      </c>
      <c r="T19" s="55">
        <f t="shared" si="8"/>
        <v>8.233298017173929E-2</v>
      </c>
      <c r="U19" s="24">
        <f t="shared" si="9"/>
        <v>15520.762326743899</v>
      </c>
      <c r="V19" s="59">
        <f t="shared" si="10"/>
        <v>1.0312798888201926</v>
      </c>
      <c r="W19" s="55">
        <f t="shared" si="11"/>
        <v>3.1279888820192614E-2</v>
      </c>
      <c r="X19" s="24">
        <f>F19*1.2649857956038</f>
        <v>12649.857956038</v>
      </c>
      <c r="Y19" s="59">
        <f t="shared" si="12"/>
        <v>0.84052212332478404</v>
      </c>
      <c r="Z19" s="55">
        <f t="shared" si="13"/>
        <v>0.15947787667521596</v>
      </c>
      <c r="AA19" s="24">
        <f t="shared" si="14"/>
        <v>13454.191161176612</v>
      </c>
      <c r="AB19" s="59">
        <f t="shared" si="15"/>
        <v>0.89396619011140277</v>
      </c>
      <c r="AC19" s="55">
        <f t="shared" si="16"/>
        <v>0.10603380988859723</v>
      </c>
      <c r="AD19" s="24">
        <f t="shared" si="17"/>
        <v>15903.822873934634</v>
      </c>
      <c r="AE19" s="59">
        <f t="shared" si="18"/>
        <v>1.0567324168727332</v>
      </c>
      <c r="AF19" s="55">
        <f t="shared" si="19"/>
        <v>5.6732416872733227E-2</v>
      </c>
      <c r="AG19" s="24">
        <f t="shared" si="20"/>
        <v>13454.191161176612</v>
      </c>
      <c r="AH19" s="59">
        <f t="shared" si="21"/>
        <v>0.89396619011140277</v>
      </c>
      <c r="AI19" s="55">
        <f t="shared" si="22"/>
        <v>0.10603380988859723</v>
      </c>
      <c r="AJ19" s="67">
        <f t="shared" si="23"/>
        <v>1.1347517730496455</v>
      </c>
    </row>
    <row r="20" spans="1:36">
      <c r="A20" s="21" t="s">
        <v>309</v>
      </c>
      <c r="B20" s="21" t="s">
        <v>310</v>
      </c>
      <c r="C20" s="21" t="s">
        <v>311</v>
      </c>
      <c r="D20" s="21" t="s">
        <v>307</v>
      </c>
      <c r="E20" s="66">
        <v>1</v>
      </c>
      <c r="F20" s="58">
        <v>15000</v>
      </c>
      <c r="G20" s="58">
        <v>28500</v>
      </c>
      <c r="H20" s="58">
        <v>16000</v>
      </c>
      <c r="J20" s="24">
        <f t="shared" si="0"/>
        <v>22250</v>
      </c>
      <c r="K20" s="67">
        <f t="shared" si="1"/>
        <v>1.78125</v>
      </c>
      <c r="L20" s="52" t="s">
        <v>303</v>
      </c>
      <c r="M20" s="68" t="s">
        <v>308</v>
      </c>
      <c r="N20" s="67">
        <f t="shared" si="2"/>
        <v>1.4833333333333334</v>
      </c>
      <c r="O20" s="24">
        <f t="shared" si="3"/>
        <v>15000</v>
      </c>
      <c r="P20" s="59">
        <f t="shared" si="4"/>
        <v>0.6741573033707865</v>
      </c>
      <c r="Q20" s="55">
        <f t="shared" si="5"/>
        <v>0.3258426966292135</v>
      </c>
      <c r="R20" s="24">
        <f t="shared" si="6"/>
        <v>20716.332972622986</v>
      </c>
      <c r="S20" s="59">
        <f t="shared" si="7"/>
        <v>0.93107114483698816</v>
      </c>
      <c r="T20" s="55">
        <f t="shared" si="8"/>
        <v>6.8928855163011837E-2</v>
      </c>
      <c r="U20" s="24">
        <f t="shared" si="9"/>
        <v>23281.14349011585</v>
      </c>
      <c r="V20" s="59">
        <f t="shared" si="10"/>
        <v>1.0463435276456561</v>
      </c>
      <c r="W20" s="55">
        <f t="shared" si="11"/>
        <v>4.634352764565608E-2</v>
      </c>
      <c r="X20" s="24">
        <f>F20*1.2649857956038</f>
        <v>18974.786934057</v>
      </c>
      <c r="Y20" s="59">
        <f t="shared" si="12"/>
        <v>0.85279941276660676</v>
      </c>
      <c r="Z20" s="55">
        <f t="shared" si="13"/>
        <v>0.14720058723339324</v>
      </c>
      <c r="AA20" s="24">
        <f t="shared" si="14"/>
        <v>20181.286741764918</v>
      </c>
      <c r="AB20" s="59">
        <f t="shared" si="15"/>
        <v>0.90702412322538961</v>
      </c>
      <c r="AC20" s="55">
        <f t="shared" si="16"/>
        <v>9.2975876774610389E-2</v>
      </c>
      <c r="AD20" s="24">
        <f t="shared" si="17"/>
        <v>23855.734310901953</v>
      </c>
      <c r="AE20" s="59">
        <f t="shared" si="18"/>
        <v>1.0721678341978407</v>
      </c>
      <c r="AF20" s="55">
        <f t="shared" si="19"/>
        <v>7.2167834197840675E-2</v>
      </c>
      <c r="AG20" s="24">
        <f t="shared" si="20"/>
        <v>20181.286741764918</v>
      </c>
      <c r="AH20" s="59">
        <f t="shared" si="21"/>
        <v>0.90702412322538961</v>
      </c>
      <c r="AI20" s="55">
        <f t="shared" si="22"/>
        <v>9.2975876774610389E-2</v>
      </c>
      <c r="AJ20" s="67">
        <f t="shared" si="23"/>
        <v>1.78125</v>
      </c>
    </row>
    <row r="21" spans="1:36">
      <c r="A21" s="21" t="s">
        <v>312</v>
      </c>
      <c r="B21" s="21" t="s">
        <v>313</v>
      </c>
      <c r="C21" s="21" t="s">
        <v>311</v>
      </c>
      <c r="D21" s="21" t="s">
        <v>307</v>
      </c>
      <c r="E21" s="66">
        <v>2</v>
      </c>
      <c r="F21" s="58">
        <v>12000</v>
      </c>
      <c r="G21" s="58">
        <v>27000</v>
      </c>
      <c r="H21" s="58">
        <v>16000</v>
      </c>
      <c r="J21" s="24">
        <f t="shared" si="0"/>
        <v>21500</v>
      </c>
      <c r="K21" s="67">
        <f t="shared" si="1"/>
        <v>1.6875</v>
      </c>
      <c r="L21" s="52" t="s">
        <v>303</v>
      </c>
      <c r="M21" s="68" t="s">
        <v>308</v>
      </c>
      <c r="N21" s="67">
        <f t="shared" si="2"/>
        <v>1.7916666666666667</v>
      </c>
      <c r="O21" s="24">
        <f t="shared" si="3"/>
        <v>12000</v>
      </c>
      <c r="P21" s="59">
        <f t="shared" si="4"/>
        <v>0.55813953488372092</v>
      </c>
      <c r="Q21" s="55">
        <f t="shared" si="5"/>
        <v>0.44186046511627908</v>
      </c>
      <c r="R21" s="24">
        <f t="shared" si="6"/>
        <v>16573.066378098389</v>
      </c>
      <c r="S21" s="59">
        <f t="shared" si="7"/>
        <v>0.77084029665573905</v>
      </c>
      <c r="T21" s="55">
        <f t="shared" si="8"/>
        <v>0.22915970334426095</v>
      </c>
      <c r="U21" s="24">
        <f t="shared" si="9"/>
        <v>18624.914792092681</v>
      </c>
      <c r="V21" s="59">
        <f t="shared" si="10"/>
        <v>0.8662751066089619</v>
      </c>
      <c r="W21" s="55">
        <f t="shared" si="11"/>
        <v>0.1337248933910381</v>
      </c>
      <c r="X21" s="24">
        <f>F21*1.2649857956038</f>
        <v>15179.829547245599</v>
      </c>
      <c r="Y21" s="59">
        <f t="shared" si="12"/>
        <v>0.70603858359281857</v>
      </c>
      <c r="Z21" s="55">
        <f t="shared" si="13"/>
        <v>0.29396141640718143</v>
      </c>
      <c r="AA21" s="24">
        <f t="shared" si="14"/>
        <v>16145.029393411935</v>
      </c>
      <c r="AB21" s="59">
        <f t="shared" si="15"/>
        <v>0.75093159969357837</v>
      </c>
      <c r="AC21" s="55">
        <f t="shared" si="16"/>
        <v>0.24906840030642163</v>
      </c>
      <c r="AD21" s="24">
        <f t="shared" si="17"/>
        <v>19084.587448721562</v>
      </c>
      <c r="AE21" s="59">
        <f t="shared" si="18"/>
        <v>0.88765523017309589</v>
      </c>
      <c r="AF21" s="55">
        <f t="shared" si="19"/>
        <v>0.11234476982690411</v>
      </c>
      <c r="AG21" s="24">
        <f t="shared" si="20"/>
        <v>16145.029393411935</v>
      </c>
      <c r="AH21" s="59">
        <f t="shared" si="21"/>
        <v>0.75093159969357837</v>
      </c>
      <c r="AI21" s="55">
        <f t="shared" si="22"/>
        <v>0.24906840030642163</v>
      </c>
      <c r="AJ21" s="67">
        <f t="shared" si="23"/>
        <v>1.6875</v>
      </c>
    </row>
    <row r="22" spans="1:36">
      <c r="A22" s="21" t="s">
        <v>314</v>
      </c>
      <c r="B22" s="21" t="s">
        <v>315</v>
      </c>
      <c r="C22" s="21" t="s">
        <v>316</v>
      </c>
      <c r="D22" s="21" t="s">
        <v>10</v>
      </c>
      <c r="E22" s="66">
        <v>2</v>
      </c>
      <c r="F22" s="58">
        <v>260000</v>
      </c>
      <c r="G22" s="58">
        <v>335000</v>
      </c>
      <c r="H22" s="58">
        <v>300000</v>
      </c>
      <c r="J22" s="24">
        <f t="shared" si="0"/>
        <v>317500</v>
      </c>
      <c r="K22" s="67">
        <f t="shared" si="1"/>
        <v>1.1166666666666667</v>
      </c>
      <c r="L22" s="52" t="s">
        <v>303</v>
      </c>
      <c r="M22" s="68" t="s">
        <v>303</v>
      </c>
      <c r="N22" s="67">
        <f t="shared" si="2"/>
        <v>1.2211538461538463</v>
      </c>
      <c r="O22" s="24">
        <f t="shared" si="3"/>
        <v>260000</v>
      </c>
      <c r="P22" s="59">
        <f t="shared" si="4"/>
        <v>0.81889763779527558</v>
      </c>
      <c r="Q22" s="55">
        <f t="shared" si="5"/>
        <v>0.18110236220472442</v>
      </c>
      <c r="R22" s="24">
        <f t="shared" si="6"/>
        <v>359083.10485879844</v>
      </c>
      <c r="S22" s="59">
        <f t="shared" si="7"/>
        <v>1.1309704090040895</v>
      </c>
      <c r="T22" s="55">
        <f t="shared" si="8"/>
        <v>0.13097040900408952</v>
      </c>
      <c r="U22" s="24">
        <f t="shared" si="9"/>
        <v>403539.82049534138</v>
      </c>
      <c r="V22" s="59">
        <f t="shared" si="10"/>
        <v>1.2709915606152484</v>
      </c>
      <c r="W22" s="55">
        <f t="shared" si="11"/>
        <v>0.27099156061524843</v>
      </c>
      <c r="X22" s="24">
        <f>F22*1.27425462793664</f>
        <v>331306.20326352643</v>
      </c>
      <c r="Y22" s="59">
        <f t="shared" si="12"/>
        <v>1.0434841047670125</v>
      </c>
      <c r="Z22" s="55">
        <f t="shared" si="13"/>
        <v>4.3484104767012477E-2</v>
      </c>
      <c r="AA22" s="24">
        <f t="shared" si="14"/>
        <v>349808.97019059194</v>
      </c>
      <c r="AB22" s="59">
        <f t="shared" si="15"/>
        <v>1.1017605360333604</v>
      </c>
      <c r="AC22" s="55">
        <f t="shared" si="16"/>
        <v>0.10176053603336044</v>
      </c>
      <c r="AD22" s="24">
        <f t="shared" si="17"/>
        <v>413499.39472230047</v>
      </c>
      <c r="AE22" s="59">
        <f t="shared" si="18"/>
        <v>1.3023602983379543</v>
      </c>
      <c r="AF22" s="55">
        <f t="shared" si="19"/>
        <v>0.3023602983379543</v>
      </c>
      <c r="AG22" s="24">
        <f t="shared" si="20"/>
        <v>349808.97019059194</v>
      </c>
      <c r="AH22" s="59">
        <f t="shared" si="21"/>
        <v>1.1017605360333604</v>
      </c>
      <c r="AI22" s="55">
        <f t="shared" si="22"/>
        <v>0.10176053603336044</v>
      </c>
      <c r="AJ22" s="67">
        <f t="shared" si="23"/>
        <v>1.1166666666666667</v>
      </c>
    </row>
    <row r="23" spans="1:36">
      <c r="A23" s="21" t="s">
        <v>317</v>
      </c>
      <c r="B23" s="21" t="s">
        <v>318</v>
      </c>
      <c r="C23" s="21" t="s">
        <v>319</v>
      </c>
      <c r="D23" s="21" t="s">
        <v>75</v>
      </c>
      <c r="E23" s="66">
        <v>2</v>
      </c>
      <c r="F23" s="58">
        <v>10000</v>
      </c>
      <c r="G23" s="58">
        <v>30000</v>
      </c>
      <c r="J23" s="24">
        <f t="shared" si="0"/>
        <v>30000</v>
      </c>
      <c r="K23" s="67">
        <f t="shared" si="1"/>
        <v>1</v>
      </c>
      <c r="L23" s="52" t="s">
        <v>303</v>
      </c>
      <c r="M23" s="68" t="s">
        <v>308</v>
      </c>
      <c r="N23" s="67">
        <f t="shared" si="2"/>
        <v>3</v>
      </c>
      <c r="O23" s="24">
        <f t="shared" si="3"/>
        <v>10000</v>
      </c>
      <c r="P23" s="59">
        <f t="shared" si="4"/>
        <v>0.33333333333333331</v>
      </c>
      <c r="Q23" s="55">
        <f t="shared" si="5"/>
        <v>0.66666666666666674</v>
      </c>
      <c r="R23" s="24">
        <f t="shared" si="6"/>
        <v>13810.888648415324</v>
      </c>
      <c r="S23" s="59">
        <f t="shared" si="7"/>
        <v>0.46036295494717749</v>
      </c>
      <c r="T23" s="55">
        <f t="shared" si="8"/>
        <v>0.53963704505282251</v>
      </c>
      <c r="U23" s="24">
        <f t="shared" si="9"/>
        <v>15520.762326743899</v>
      </c>
      <c r="V23" s="59">
        <f t="shared" si="10"/>
        <v>0.51735874422479666</v>
      </c>
      <c r="W23" s="55">
        <f t="shared" si="11"/>
        <v>0.48264125577520334</v>
      </c>
      <c r="X23" s="24">
        <f>F23*1.27499556885319</f>
        <v>12749.9556885319</v>
      </c>
      <c r="Y23" s="59">
        <f t="shared" si="12"/>
        <v>0.42499852295106333</v>
      </c>
      <c r="Z23" s="55">
        <f t="shared" si="13"/>
        <v>0.57500147704893667</v>
      </c>
      <c r="AA23" s="24">
        <f t="shared" si="14"/>
        <v>13454.191161176612</v>
      </c>
      <c r="AB23" s="59">
        <f t="shared" si="15"/>
        <v>0.44847303870588706</v>
      </c>
      <c r="AC23" s="55">
        <f t="shared" si="16"/>
        <v>0.55152696129411294</v>
      </c>
      <c r="AD23" s="24">
        <f t="shared" si="17"/>
        <v>15903.822873934634</v>
      </c>
      <c r="AE23" s="59">
        <f t="shared" si="18"/>
        <v>0.53012742913115452</v>
      </c>
      <c r="AF23" s="55">
        <f t="shared" si="19"/>
        <v>0.46987257086884548</v>
      </c>
      <c r="AG23" s="24">
        <f t="shared" si="20"/>
        <v>13454.191161176612</v>
      </c>
      <c r="AH23" s="59">
        <f t="shared" si="21"/>
        <v>0.44847303870588706</v>
      </c>
      <c r="AI23" s="55">
        <f t="shared" si="22"/>
        <v>0.55152696129411294</v>
      </c>
      <c r="AJ23" s="67" t="str">
        <f t="shared" si="23"/>
        <v/>
      </c>
    </row>
    <row r="24" spans="1:36">
      <c r="A24" s="21" t="s">
        <v>320</v>
      </c>
      <c r="B24" s="21" t="s">
        <v>321</v>
      </c>
      <c r="C24" s="21" t="s">
        <v>311</v>
      </c>
      <c r="D24" s="21" t="s">
        <v>10</v>
      </c>
      <c r="E24" s="66">
        <v>2</v>
      </c>
      <c r="F24" s="58">
        <v>35000</v>
      </c>
      <c r="G24" s="58">
        <v>28000</v>
      </c>
      <c r="H24" s="58">
        <v>30000</v>
      </c>
      <c r="J24" s="24">
        <f t="shared" si="0"/>
        <v>29000</v>
      </c>
      <c r="K24" s="67">
        <f t="shared" si="1"/>
        <v>1.0714285714285714</v>
      </c>
      <c r="L24" s="52" t="s">
        <v>303</v>
      </c>
      <c r="M24" s="68" t="s">
        <v>303</v>
      </c>
      <c r="N24" s="67">
        <f t="shared" si="2"/>
        <v>0.82857142857142863</v>
      </c>
      <c r="O24" s="24">
        <f t="shared" si="3"/>
        <v>35000</v>
      </c>
      <c r="P24" s="59">
        <f t="shared" si="4"/>
        <v>1.2068965517241379</v>
      </c>
      <c r="Q24" s="55">
        <f t="shared" si="5"/>
        <v>0.2068965517241379</v>
      </c>
      <c r="R24" s="24">
        <f t="shared" si="6"/>
        <v>48338.110269453638</v>
      </c>
      <c r="S24" s="59">
        <f t="shared" si="7"/>
        <v>1.6668313886018495</v>
      </c>
      <c r="T24" s="55">
        <f t="shared" si="8"/>
        <v>0.66683138860184954</v>
      </c>
      <c r="U24" s="24">
        <f t="shared" si="9"/>
        <v>54322.668143603652</v>
      </c>
      <c r="V24" s="59">
        <f t="shared" si="10"/>
        <v>1.8731954532277122</v>
      </c>
      <c r="W24" s="55">
        <f t="shared" si="11"/>
        <v>0.87319545322771219</v>
      </c>
      <c r="X24" s="24">
        <f>F24*1.27425462793664</f>
        <v>44598.911977782402</v>
      </c>
      <c r="Y24" s="59">
        <f t="shared" si="12"/>
        <v>1.5378935164752552</v>
      </c>
      <c r="Z24" s="55">
        <f t="shared" si="13"/>
        <v>0.53789351647525518</v>
      </c>
      <c r="AA24" s="24">
        <f t="shared" si="14"/>
        <v>47089.669064118141</v>
      </c>
      <c r="AB24" s="59">
        <f t="shared" si="15"/>
        <v>1.6237816918661427</v>
      </c>
      <c r="AC24" s="55">
        <f t="shared" si="16"/>
        <v>0.62378169186614274</v>
      </c>
      <c r="AD24" s="24">
        <f t="shared" si="17"/>
        <v>55663.380058771218</v>
      </c>
      <c r="AE24" s="59">
        <f t="shared" si="18"/>
        <v>1.9194268985783178</v>
      </c>
      <c r="AF24" s="55">
        <f t="shared" si="19"/>
        <v>0.91942689857831783</v>
      </c>
      <c r="AG24" s="24">
        <f t="shared" si="20"/>
        <v>47089.669064118141</v>
      </c>
      <c r="AH24" s="59">
        <f t="shared" si="21"/>
        <v>1.6237816918661427</v>
      </c>
      <c r="AI24" s="55">
        <f t="shared" si="22"/>
        <v>0.62378169186614274</v>
      </c>
      <c r="AJ24" s="67">
        <f t="shared" si="23"/>
        <v>1.0714285714285714</v>
      </c>
    </row>
    <row r="25" spans="1:36">
      <c r="A25" s="21" t="s">
        <v>322</v>
      </c>
      <c r="B25" s="21" t="s">
        <v>315</v>
      </c>
      <c r="C25" s="21" t="s">
        <v>316</v>
      </c>
      <c r="D25" s="21" t="s">
        <v>10</v>
      </c>
      <c r="E25" s="66">
        <v>3</v>
      </c>
      <c r="F25" s="58">
        <v>180000</v>
      </c>
      <c r="G25" s="58">
        <v>225000</v>
      </c>
      <c r="H25" s="58">
        <v>270000</v>
      </c>
      <c r="J25" s="24">
        <f t="shared" si="0"/>
        <v>247500</v>
      </c>
      <c r="K25" s="67">
        <f t="shared" si="1"/>
        <v>1.2</v>
      </c>
      <c r="L25" s="52" t="s">
        <v>303</v>
      </c>
      <c r="M25" s="68" t="s">
        <v>303</v>
      </c>
      <c r="N25" s="67">
        <f t="shared" si="2"/>
        <v>1.375</v>
      </c>
      <c r="O25" s="24">
        <f t="shared" si="3"/>
        <v>180000</v>
      </c>
      <c r="P25" s="59">
        <f t="shared" si="4"/>
        <v>0.72727272727272729</v>
      </c>
      <c r="Q25" s="55">
        <f t="shared" si="5"/>
        <v>0.27272727272727271</v>
      </c>
      <c r="R25" s="24">
        <f t="shared" si="6"/>
        <v>248595.99567147586</v>
      </c>
      <c r="S25" s="59">
        <f t="shared" si="7"/>
        <v>1.0044282653392964</v>
      </c>
      <c r="T25" s="55">
        <f t="shared" si="8"/>
        <v>4.4282653392964111E-3</v>
      </c>
      <c r="U25" s="24">
        <f t="shared" si="9"/>
        <v>279373.7218813902</v>
      </c>
      <c r="V25" s="59">
        <f t="shared" si="10"/>
        <v>1.1287827146722835</v>
      </c>
      <c r="W25" s="55">
        <f t="shared" si="11"/>
        <v>0.12878271467228353</v>
      </c>
      <c r="X25" s="24">
        <f>F25*1.27425462793664</f>
        <v>229365.8330285952</v>
      </c>
      <c r="Y25" s="59">
        <f t="shared" si="12"/>
        <v>0.92673063849937454</v>
      </c>
      <c r="Z25" s="55">
        <f t="shared" si="13"/>
        <v>7.3269361500625463E-2</v>
      </c>
      <c r="AA25" s="24">
        <f t="shared" si="14"/>
        <v>242175.44090117901</v>
      </c>
      <c r="AB25" s="59">
        <f t="shared" si="15"/>
        <v>0.97848662990375357</v>
      </c>
      <c r="AC25" s="55">
        <f t="shared" si="16"/>
        <v>2.1513370096246431E-2</v>
      </c>
      <c r="AD25" s="24">
        <f t="shared" si="17"/>
        <v>286268.81173082342</v>
      </c>
      <c r="AE25" s="59">
        <f t="shared" si="18"/>
        <v>1.1566416635588825</v>
      </c>
      <c r="AF25" s="55">
        <f t="shared" si="19"/>
        <v>0.15664166355888254</v>
      </c>
      <c r="AG25" s="24">
        <f t="shared" si="20"/>
        <v>242175.44090117901</v>
      </c>
      <c r="AH25" s="59">
        <f t="shared" si="21"/>
        <v>0.97848662990375357</v>
      </c>
      <c r="AI25" s="55">
        <f t="shared" si="22"/>
        <v>2.1513370096246431E-2</v>
      </c>
      <c r="AJ25" s="67">
        <f t="shared" si="23"/>
        <v>1.2</v>
      </c>
    </row>
    <row r="26" spans="1:36">
      <c r="A26" s="21" t="s">
        <v>323</v>
      </c>
      <c r="B26" s="21" t="s">
        <v>324</v>
      </c>
      <c r="C26" s="21" t="s">
        <v>311</v>
      </c>
      <c r="D26" s="21" t="s">
        <v>77</v>
      </c>
      <c r="E26" s="66">
        <v>2</v>
      </c>
      <c r="F26" s="58">
        <v>15000</v>
      </c>
      <c r="G26" s="58">
        <v>21000</v>
      </c>
      <c r="H26" s="58">
        <v>30000</v>
      </c>
      <c r="J26" s="24">
        <f t="shared" si="0"/>
        <v>25500</v>
      </c>
      <c r="K26" s="67">
        <f t="shared" si="1"/>
        <v>1.4285714285714286</v>
      </c>
      <c r="L26" s="52" t="s">
        <v>303</v>
      </c>
      <c r="M26" s="68" t="s">
        <v>303</v>
      </c>
      <c r="N26" s="67">
        <f t="shared" si="2"/>
        <v>1.7</v>
      </c>
      <c r="O26" s="24">
        <f t="shared" si="3"/>
        <v>15000</v>
      </c>
      <c r="P26" s="59">
        <f t="shared" si="4"/>
        <v>0.58823529411764708</v>
      </c>
      <c r="Q26" s="55">
        <f t="shared" si="5"/>
        <v>0.41176470588235292</v>
      </c>
      <c r="R26" s="24">
        <f t="shared" si="6"/>
        <v>20716.332972622986</v>
      </c>
      <c r="S26" s="59">
        <f t="shared" si="7"/>
        <v>0.81240521461266613</v>
      </c>
      <c r="T26" s="55">
        <f t="shared" si="8"/>
        <v>0.18759478538733387</v>
      </c>
      <c r="U26" s="24">
        <f t="shared" si="9"/>
        <v>23281.14349011585</v>
      </c>
      <c r="V26" s="59">
        <f t="shared" si="10"/>
        <v>0.91298601922022937</v>
      </c>
      <c r="W26" s="55">
        <f t="shared" si="11"/>
        <v>8.7013980779770628E-2</v>
      </c>
      <c r="X26" s="24">
        <f>F26*1.27729147398551</f>
        <v>19159.372109782649</v>
      </c>
      <c r="Y26" s="59">
        <f t="shared" si="12"/>
        <v>0.75134792587382937</v>
      </c>
      <c r="Z26" s="55">
        <f t="shared" si="13"/>
        <v>0.24865207412617063</v>
      </c>
      <c r="AA26" s="24">
        <f t="shared" si="14"/>
        <v>20181.286741764918</v>
      </c>
      <c r="AB26" s="59">
        <f t="shared" si="15"/>
        <v>0.79142300948097721</v>
      </c>
      <c r="AC26" s="55">
        <f t="shared" si="16"/>
        <v>0.20857699051902279</v>
      </c>
      <c r="AD26" s="24">
        <f t="shared" si="17"/>
        <v>23855.734310901953</v>
      </c>
      <c r="AE26" s="59">
        <f t="shared" si="18"/>
        <v>0.93551899258439031</v>
      </c>
      <c r="AF26" s="55">
        <f t="shared" si="19"/>
        <v>6.4481007415609692E-2</v>
      </c>
      <c r="AG26" s="24">
        <f t="shared" si="20"/>
        <v>25000</v>
      </c>
      <c r="AH26" s="59">
        <f t="shared" si="21"/>
        <v>0.98039215686274506</v>
      </c>
      <c r="AI26" s="55">
        <f t="shared" si="22"/>
        <v>1.9607843137254943E-2</v>
      </c>
      <c r="AJ26" s="67">
        <f t="shared" si="23"/>
        <v>1.4285714285714286</v>
      </c>
    </row>
    <row r="27" spans="1:36">
      <c r="A27" s="21" t="s">
        <v>325</v>
      </c>
      <c r="B27" s="21" t="s">
        <v>326</v>
      </c>
      <c r="C27" s="21" t="s">
        <v>311</v>
      </c>
      <c r="D27" s="21" t="s">
        <v>10</v>
      </c>
      <c r="E27" s="66">
        <v>2</v>
      </c>
      <c r="F27" s="58">
        <v>32000</v>
      </c>
      <c r="G27" s="58">
        <v>32000</v>
      </c>
      <c r="H27" s="58">
        <v>30000</v>
      </c>
      <c r="J27" s="24">
        <f t="shared" si="0"/>
        <v>31000</v>
      </c>
      <c r="K27" s="67">
        <f t="shared" si="1"/>
        <v>1.0666666666666667</v>
      </c>
      <c r="L27" s="52" t="s">
        <v>303</v>
      </c>
      <c r="M27" s="68" t="s">
        <v>303</v>
      </c>
      <c r="N27" s="67">
        <f t="shared" si="2"/>
        <v>0.96875</v>
      </c>
      <c r="O27" s="24">
        <f t="shared" si="3"/>
        <v>32000</v>
      </c>
      <c r="P27" s="59">
        <f t="shared" si="4"/>
        <v>1.032258064516129</v>
      </c>
      <c r="Q27" s="55">
        <f t="shared" si="5"/>
        <v>3.2258064516129004E-2</v>
      </c>
      <c r="R27" s="24">
        <f t="shared" si="6"/>
        <v>44194.843674929041</v>
      </c>
      <c r="S27" s="59">
        <f t="shared" si="7"/>
        <v>1.4256401185460981</v>
      </c>
      <c r="T27" s="55">
        <f t="shared" si="8"/>
        <v>0.42564011854609807</v>
      </c>
      <c r="U27" s="24">
        <f t="shared" si="9"/>
        <v>49666.43944558048</v>
      </c>
      <c r="V27" s="59">
        <f t="shared" si="10"/>
        <v>1.6021432079219509</v>
      </c>
      <c r="W27" s="55">
        <f t="shared" si="11"/>
        <v>0.60214320792195086</v>
      </c>
      <c r="X27" s="24">
        <f>F27*1.27425462793664</f>
        <v>40776.148093972479</v>
      </c>
      <c r="Y27" s="59">
        <f t="shared" si="12"/>
        <v>1.3153596159345962</v>
      </c>
      <c r="Z27" s="55">
        <f t="shared" si="13"/>
        <v>0.31535961593459616</v>
      </c>
      <c r="AA27" s="24">
        <f t="shared" si="14"/>
        <v>43053.411715765156</v>
      </c>
      <c r="AB27" s="59">
        <f t="shared" si="15"/>
        <v>1.3888197327666179</v>
      </c>
      <c r="AC27" s="55">
        <f t="shared" si="16"/>
        <v>0.38881973276661785</v>
      </c>
      <c r="AD27" s="24">
        <f t="shared" si="17"/>
        <v>50892.233196590831</v>
      </c>
      <c r="AE27" s="59">
        <f t="shared" si="18"/>
        <v>1.6416849418255106</v>
      </c>
      <c r="AF27" s="55">
        <f t="shared" si="19"/>
        <v>0.64168494182551061</v>
      </c>
      <c r="AG27" s="24">
        <f t="shared" si="20"/>
        <v>43053.411715765156</v>
      </c>
      <c r="AH27" s="59">
        <f t="shared" si="21"/>
        <v>1.3888197327666179</v>
      </c>
      <c r="AI27" s="55">
        <f t="shared" si="22"/>
        <v>0.38881973276661785</v>
      </c>
      <c r="AJ27" s="67">
        <f t="shared" si="23"/>
        <v>1.0666666666666667</v>
      </c>
    </row>
    <row r="28" spans="1:36">
      <c r="A28" s="21" t="s">
        <v>327</v>
      </c>
      <c r="B28" s="21" t="s">
        <v>328</v>
      </c>
      <c r="C28" s="21" t="s">
        <v>329</v>
      </c>
      <c r="D28" s="21" t="s">
        <v>77</v>
      </c>
      <c r="E28" s="66">
        <v>1</v>
      </c>
      <c r="F28" s="58">
        <v>15000</v>
      </c>
      <c r="G28" s="58">
        <v>24000</v>
      </c>
      <c r="H28" s="58">
        <v>45000</v>
      </c>
      <c r="J28" s="24">
        <f t="shared" si="0"/>
        <v>34500</v>
      </c>
      <c r="K28" s="67">
        <f t="shared" si="1"/>
        <v>1.875</v>
      </c>
      <c r="L28" s="52" t="s">
        <v>303</v>
      </c>
      <c r="M28" s="68" t="s">
        <v>303</v>
      </c>
      <c r="N28" s="67">
        <f t="shared" si="2"/>
        <v>2.2999999999999998</v>
      </c>
      <c r="O28" s="24">
        <f t="shared" si="3"/>
        <v>15000</v>
      </c>
      <c r="P28" s="59">
        <f t="shared" si="4"/>
        <v>0.43478260869565216</v>
      </c>
      <c r="Q28" s="55">
        <f t="shared" si="5"/>
        <v>0.56521739130434789</v>
      </c>
      <c r="R28" s="24">
        <f t="shared" si="6"/>
        <v>20716.332972622986</v>
      </c>
      <c r="S28" s="59">
        <f t="shared" si="7"/>
        <v>0.60047341949631838</v>
      </c>
      <c r="T28" s="55">
        <f t="shared" si="8"/>
        <v>0.39952658050368162</v>
      </c>
      <c r="U28" s="24">
        <f t="shared" si="9"/>
        <v>23281.14349011585</v>
      </c>
      <c r="V28" s="59">
        <f t="shared" si="10"/>
        <v>0.6748157533366913</v>
      </c>
      <c r="W28" s="55">
        <f t="shared" si="11"/>
        <v>0.3251842466633087</v>
      </c>
      <c r="X28" s="24">
        <f>F28*1.27729147398551</f>
        <v>19159.372109782649</v>
      </c>
      <c r="Y28" s="59">
        <f t="shared" si="12"/>
        <v>0.55534411912413473</v>
      </c>
      <c r="Z28" s="55">
        <f t="shared" si="13"/>
        <v>0.44465588087586527</v>
      </c>
      <c r="AA28" s="24">
        <f t="shared" si="14"/>
        <v>20181.286741764918</v>
      </c>
      <c r="AB28" s="59">
        <f t="shared" si="15"/>
        <v>0.58496483309463532</v>
      </c>
      <c r="AC28" s="55">
        <f t="shared" si="16"/>
        <v>0.41503516690536468</v>
      </c>
      <c r="AD28" s="24">
        <f t="shared" si="17"/>
        <v>23855.734310901953</v>
      </c>
      <c r="AE28" s="59">
        <f t="shared" si="18"/>
        <v>0.69147055973628846</v>
      </c>
      <c r="AF28" s="55">
        <f t="shared" si="19"/>
        <v>0.30852944026371154</v>
      </c>
      <c r="AG28" s="24">
        <f t="shared" si="20"/>
        <v>25000</v>
      </c>
      <c r="AH28" s="59">
        <f t="shared" si="21"/>
        <v>0.72463768115942029</v>
      </c>
      <c r="AI28" s="55">
        <f t="shared" si="22"/>
        <v>0.27536231884057971</v>
      </c>
      <c r="AJ28" s="67">
        <f t="shared" si="23"/>
        <v>1.875</v>
      </c>
    </row>
    <row r="29" spans="1:36">
      <c r="A29" s="21" t="s">
        <v>330</v>
      </c>
      <c r="B29" s="21" t="s">
        <v>331</v>
      </c>
      <c r="C29" s="21" t="s">
        <v>311</v>
      </c>
      <c r="D29" s="21" t="s">
        <v>10</v>
      </c>
      <c r="E29" s="66">
        <v>2</v>
      </c>
      <c r="F29" s="58">
        <v>15000</v>
      </c>
      <c r="G29" s="58">
        <v>29200</v>
      </c>
      <c r="H29" s="58">
        <v>30000</v>
      </c>
      <c r="J29" s="24">
        <f t="shared" si="0"/>
        <v>29600</v>
      </c>
      <c r="K29" s="67">
        <f t="shared" si="1"/>
        <v>1.0273972602739727</v>
      </c>
      <c r="L29" s="52" t="s">
        <v>303</v>
      </c>
      <c r="M29" s="68" t="s">
        <v>303</v>
      </c>
      <c r="N29" s="67">
        <f t="shared" si="2"/>
        <v>1.9733333333333334</v>
      </c>
      <c r="O29" s="24">
        <f t="shared" si="3"/>
        <v>15000</v>
      </c>
      <c r="P29" s="59">
        <f t="shared" si="4"/>
        <v>0.5067567567567568</v>
      </c>
      <c r="Q29" s="55">
        <f t="shared" si="5"/>
        <v>0.4932432432432432</v>
      </c>
      <c r="R29" s="24">
        <f t="shared" si="6"/>
        <v>20716.332972622986</v>
      </c>
      <c r="S29" s="59">
        <f t="shared" si="7"/>
        <v>0.69987611393996574</v>
      </c>
      <c r="T29" s="55">
        <f t="shared" si="8"/>
        <v>0.30012388606003426</v>
      </c>
      <c r="U29" s="24">
        <f t="shared" si="9"/>
        <v>23281.14349011585</v>
      </c>
      <c r="V29" s="59">
        <f t="shared" si="10"/>
        <v>0.78652511790931923</v>
      </c>
      <c r="W29" s="55">
        <f t="shared" si="11"/>
        <v>0.21347488209068077</v>
      </c>
      <c r="X29" s="24">
        <f>F29*1.27425462793664</f>
        <v>19113.8194190496</v>
      </c>
      <c r="Y29" s="59">
        <f t="shared" si="12"/>
        <v>0.64573714253545944</v>
      </c>
      <c r="Z29" s="55">
        <f t="shared" si="13"/>
        <v>0.35426285746454056</v>
      </c>
      <c r="AA29" s="24">
        <f t="shared" si="14"/>
        <v>20181.286741764918</v>
      </c>
      <c r="AB29" s="59">
        <f t="shared" si="15"/>
        <v>0.68180022776232829</v>
      </c>
      <c r="AC29" s="55">
        <f t="shared" si="16"/>
        <v>0.31819977223767171</v>
      </c>
      <c r="AD29" s="24">
        <f t="shared" si="17"/>
        <v>23855.734310901953</v>
      </c>
      <c r="AE29" s="59">
        <f t="shared" si="18"/>
        <v>0.80593696996290387</v>
      </c>
      <c r="AF29" s="55">
        <f t="shared" si="19"/>
        <v>0.19406303003709613</v>
      </c>
      <c r="AG29" s="24">
        <f t="shared" si="20"/>
        <v>25000</v>
      </c>
      <c r="AH29" s="59">
        <f t="shared" si="21"/>
        <v>0.84459459459459463</v>
      </c>
      <c r="AI29" s="55">
        <f t="shared" si="22"/>
        <v>0.15540540540540537</v>
      </c>
      <c r="AJ29" s="67">
        <f t="shared" si="23"/>
        <v>1.0273972602739727</v>
      </c>
    </row>
    <row r="30" spans="1:36">
      <c r="A30" s="21" t="s">
        <v>332</v>
      </c>
      <c r="B30" s="21" t="s">
        <v>333</v>
      </c>
      <c r="C30" s="21" t="s">
        <v>311</v>
      </c>
      <c r="D30" s="21" t="s">
        <v>77</v>
      </c>
      <c r="E30" s="66">
        <v>2</v>
      </c>
      <c r="F30" s="58">
        <v>15000</v>
      </c>
      <c r="G30" s="58">
        <v>22500</v>
      </c>
      <c r="H30" s="58">
        <v>30000</v>
      </c>
      <c r="J30" s="24">
        <f t="shared" si="0"/>
        <v>26250</v>
      </c>
      <c r="K30" s="67">
        <f t="shared" si="1"/>
        <v>1.3333333333333333</v>
      </c>
      <c r="L30" s="52" t="s">
        <v>303</v>
      </c>
      <c r="M30" s="68" t="s">
        <v>303</v>
      </c>
      <c r="N30" s="67">
        <f t="shared" si="2"/>
        <v>1.75</v>
      </c>
      <c r="O30" s="24">
        <f t="shared" si="3"/>
        <v>15000</v>
      </c>
      <c r="P30" s="59">
        <f t="shared" si="4"/>
        <v>0.5714285714285714</v>
      </c>
      <c r="Q30" s="55">
        <f t="shared" si="5"/>
        <v>0.4285714285714286</v>
      </c>
      <c r="R30" s="24">
        <f t="shared" si="6"/>
        <v>20716.332972622986</v>
      </c>
      <c r="S30" s="59">
        <f t="shared" si="7"/>
        <v>0.78919363705230428</v>
      </c>
      <c r="T30" s="55">
        <f t="shared" si="8"/>
        <v>0.21080636294769572</v>
      </c>
      <c r="U30" s="24">
        <f t="shared" si="9"/>
        <v>23281.14349011585</v>
      </c>
      <c r="V30" s="59">
        <f t="shared" si="10"/>
        <v>0.88690070438536572</v>
      </c>
      <c r="W30" s="55">
        <f t="shared" si="11"/>
        <v>0.11309929561463428</v>
      </c>
      <c r="X30" s="24">
        <f>F30*1.27729147398551</f>
        <v>19159.372109782649</v>
      </c>
      <c r="Y30" s="59">
        <f t="shared" si="12"/>
        <v>0.72988084227743422</v>
      </c>
      <c r="Z30" s="55">
        <f t="shared" si="13"/>
        <v>0.27011915772256578</v>
      </c>
      <c r="AA30" s="24">
        <f t="shared" si="14"/>
        <v>20181.286741764918</v>
      </c>
      <c r="AB30" s="59">
        <f t="shared" si="15"/>
        <v>0.76881092349580638</v>
      </c>
      <c r="AC30" s="55">
        <f t="shared" si="16"/>
        <v>0.23118907650419362</v>
      </c>
      <c r="AD30" s="24">
        <f t="shared" si="17"/>
        <v>23855.734310901953</v>
      </c>
      <c r="AE30" s="59">
        <f t="shared" si="18"/>
        <v>0.9087898785105506</v>
      </c>
      <c r="AF30" s="55">
        <f t="shared" si="19"/>
        <v>9.1210121489449403E-2</v>
      </c>
      <c r="AG30" s="24">
        <f t="shared" si="20"/>
        <v>25000</v>
      </c>
      <c r="AH30" s="59">
        <f t="shared" si="21"/>
        <v>0.95238095238095233</v>
      </c>
      <c r="AI30" s="55">
        <f t="shared" si="22"/>
        <v>4.7619047619047672E-2</v>
      </c>
      <c r="AJ30" s="67">
        <f t="shared" si="23"/>
        <v>1.3333333333333333</v>
      </c>
    </row>
    <row r="31" spans="1:36">
      <c r="A31" s="21" t="s">
        <v>334</v>
      </c>
      <c r="B31" s="21" t="s">
        <v>335</v>
      </c>
      <c r="C31" s="21" t="s">
        <v>306</v>
      </c>
      <c r="D31" s="21" t="s">
        <v>336</v>
      </c>
      <c r="E31" s="66">
        <v>1</v>
      </c>
      <c r="F31" s="58">
        <v>10000</v>
      </c>
      <c r="G31" s="58">
        <v>12000</v>
      </c>
      <c r="H31" s="58">
        <v>30000</v>
      </c>
      <c r="J31" s="24">
        <f t="shared" si="0"/>
        <v>21000</v>
      </c>
      <c r="K31" s="67">
        <f t="shared" si="1"/>
        <v>2.5</v>
      </c>
      <c r="L31" s="52" t="s">
        <v>303</v>
      </c>
      <c r="M31" s="68" t="s">
        <v>303</v>
      </c>
      <c r="N31" s="67">
        <f t="shared" si="2"/>
        <v>2.1</v>
      </c>
      <c r="O31" s="24">
        <f t="shared" si="3"/>
        <v>10000</v>
      </c>
      <c r="P31" s="59">
        <f t="shared" si="4"/>
        <v>0.47619047619047616</v>
      </c>
      <c r="Q31" s="55">
        <f t="shared" si="5"/>
        <v>0.52380952380952384</v>
      </c>
      <c r="R31" s="24">
        <f t="shared" si="6"/>
        <v>13810.888648415324</v>
      </c>
      <c r="S31" s="59">
        <f t="shared" si="7"/>
        <v>0.65766136421025356</v>
      </c>
      <c r="T31" s="55">
        <f t="shared" si="8"/>
        <v>0.34233863578974644</v>
      </c>
      <c r="U31" s="24">
        <f t="shared" si="9"/>
        <v>15520.762326743899</v>
      </c>
      <c r="V31" s="59">
        <f t="shared" si="10"/>
        <v>0.73908392032113812</v>
      </c>
      <c r="W31" s="55">
        <f t="shared" si="11"/>
        <v>0.26091607967886188</v>
      </c>
      <c r="X31" s="24">
        <f>F31*1.2649857956038</f>
        <v>12649.857956038</v>
      </c>
      <c r="Y31" s="59">
        <f t="shared" si="12"/>
        <v>0.60237418838276191</v>
      </c>
      <c r="Z31" s="55">
        <f t="shared" si="13"/>
        <v>0.39762581161723809</v>
      </c>
      <c r="AA31" s="24">
        <f t="shared" si="14"/>
        <v>13454.191161176612</v>
      </c>
      <c r="AB31" s="59">
        <f t="shared" si="15"/>
        <v>0.64067576957983863</v>
      </c>
      <c r="AC31" s="55">
        <f t="shared" si="16"/>
        <v>0.35932423042016137</v>
      </c>
      <c r="AD31" s="24">
        <f t="shared" si="17"/>
        <v>15903.822873934634</v>
      </c>
      <c r="AE31" s="59">
        <f t="shared" si="18"/>
        <v>0.75732489875879205</v>
      </c>
      <c r="AF31" s="55">
        <f t="shared" si="19"/>
        <v>0.24267510124120795</v>
      </c>
      <c r="AG31" s="24">
        <f t="shared" si="20"/>
        <v>25000</v>
      </c>
      <c r="AH31" s="59">
        <f t="shared" si="21"/>
        <v>1.1904761904761905</v>
      </c>
      <c r="AI31" s="55">
        <f t="shared" si="22"/>
        <v>0.19047619047619047</v>
      </c>
      <c r="AJ31" s="67">
        <f t="shared" si="23"/>
        <v>2.5</v>
      </c>
    </row>
    <row r="32" spans="1:36">
      <c r="A32" s="21" t="s">
        <v>337</v>
      </c>
      <c r="B32" s="21" t="s">
        <v>338</v>
      </c>
      <c r="C32" s="21" t="s">
        <v>306</v>
      </c>
      <c r="D32" s="21" t="s">
        <v>307</v>
      </c>
      <c r="E32" s="66">
        <v>1</v>
      </c>
      <c r="F32" s="58">
        <v>6500</v>
      </c>
      <c r="G32" s="58">
        <v>19000</v>
      </c>
      <c r="H32" s="58">
        <v>13000</v>
      </c>
      <c r="J32" s="24">
        <f t="shared" si="0"/>
        <v>16000</v>
      </c>
      <c r="K32" s="67">
        <f t="shared" si="1"/>
        <v>1.4615384615384615</v>
      </c>
      <c r="L32" s="52" t="s">
        <v>308</v>
      </c>
      <c r="M32" s="68" t="s">
        <v>308</v>
      </c>
      <c r="N32" s="67">
        <f t="shared" si="2"/>
        <v>2.4615384615384617</v>
      </c>
      <c r="O32" s="24">
        <f t="shared" si="3"/>
        <v>6500</v>
      </c>
      <c r="P32" s="59" t="str">
        <f t="shared" si="4"/>
        <v/>
      </c>
      <c r="Q32" s="55" t="str">
        <f t="shared" si="5"/>
        <v/>
      </c>
      <c r="R32" s="24">
        <f t="shared" si="6"/>
        <v>8977.0776214699617</v>
      </c>
      <c r="S32" s="59" t="str">
        <f t="shared" si="7"/>
        <v/>
      </c>
      <c r="T32" s="55" t="str">
        <f t="shared" si="8"/>
        <v/>
      </c>
      <c r="U32" s="24">
        <f t="shared" si="9"/>
        <v>10088.495512383535</v>
      </c>
      <c r="V32" s="59" t="str">
        <f t="shared" si="10"/>
        <v/>
      </c>
      <c r="W32" s="55" t="str">
        <f t="shared" si="11"/>
        <v/>
      </c>
      <c r="X32" s="24">
        <f>F32*1.28661751025058</f>
        <v>8363.0138166287688</v>
      </c>
      <c r="Y32" s="59" t="str">
        <f t="shared" si="12"/>
        <v/>
      </c>
      <c r="Z32" s="55" t="str">
        <f t="shared" si="13"/>
        <v/>
      </c>
      <c r="AA32" s="24">
        <f t="shared" si="14"/>
        <v>8745.2242547647984</v>
      </c>
      <c r="AB32" s="59" t="str">
        <f t="shared" si="15"/>
        <v/>
      </c>
      <c r="AC32" s="55" t="str">
        <f t="shared" si="16"/>
        <v/>
      </c>
      <c r="AD32" s="24">
        <f t="shared" si="17"/>
        <v>10337.484868057512</v>
      </c>
      <c r="AE32" s="59" t="str">
        <f t="shared" si="18"/>
        <v/>
      </c>
      <c r="AF32" s="55" t="str">
        <f t="shared" si="19"/>
        <v/>
      </c>
      <c r="AG32" s="24">
        <f t="shared" si="20"/>
        <v>8745.2242547647984</v>
      </c>
      <c r="AH32" s="59" t="str">
        <f t="shared" si="21"/>
        <v/>
      </c>
      <c r="AI32" s="55" t="str">
        <f t="shared" si="22"/>
        <v/>
      </c>
      <c r="AJ32" s="67" t="str">
        <f t="shared" si="23"/>
        <v/>
      </c>
    </row>
    <row r="33" spans="1:36">
      <c r="A33" s="21" t="s">
        <v>339</v>
      </c>
      <c r="B33" s="21" t="s">
        <v>340</v>
      </c>
      <c r="C33" s="21" t="s">
        <v>341</v>
      </c>
      <c r="D33" s="21" t="s">
        <v>307</v>
      </c>
      <c r="E33" s="66">
        <v>1</v>
      </c>
      <c r="F33" s="58">
        <v>80000</v>
      </c>
      <c r="G33" s="58">
        <v>200000</v>
      </c>
      <c r="H33" s="58">
        <v>30000</v>
      </c>
      <c r="I33" s="58">
        <v>698980.33</v>
      </c>
      <c r="J33" s="24">
        <f t="shared" si="0"/>
        <v>309660.11</v>
      </c>
      <c r="K33" s="67">
        <f t="shared" si="1"/>
        <v>23.29934433333333</v>
      </c>
      <c r="L33" s="52" t="s">
        <v>308</v>
      </c>
      <c r="M33" s="68" t="s">
        <v>308</v>
      </c>
      <c r="N33" s="67">
        <f t="shared" si="2"/>
        <v>3.8707513749999998</v>
      </c>
      <c r="O33" s="24">
        <f t="shared" si="3"/>
        <v>80000</v>
      </c>
      <c r="P33" s="59" t="str">
        <f t="shared" si="4"/>
        <v/>
      </c>
      <c r="Q33" s="55" t="str">
        <f t="shared" si="5"/>
        <v/>
      </c>
      <c r="R33" s="24">
        <f t="shared" si="6"/>
        <v>110487.1091873226</v>
      </c>
      <c r="S33" s="59" t="str">
        <f t="shared" si="7"/>
        <v/>
      </c>
      <c r="T33" s="55" t="str">
        <f t="shared" si="8"/>
        <v/>
      </c>
      <c r="U33" s="24">
        <f t="shared" si="9"/>
        <v>124166.0986139512</v>
      </c>
      <c r="V33" s="59" t="str">
        <f t="shared" si="10"/>
        <v/>
      </c>
      <c r="W33" s="55" t="str">
        <f t="shared" si="11"/>
        <v/>
      </c>
      <c r="X33" s="24">
        <f>F33*1.28661751025058</f>
        <v>102929.40082004639</v>
      </c>
      <c r="Y33" s="59" t="str">
        <f t="shared" si="12"/>
        <v/>
      </c>
      <c r="Z33" s="55" t="str">
        <f t="shared" si="13"/>
        <v/>
      </c>
      <c r="AA33" s="24">
        <f t="shared" si="14"/>
        <v>107633.52928941289</v>
      </c>
      <c r="AB33" s="59" t="str">
        <f t="shared" si="15"/>
        <v/>
      </c>
      <c r="AC33" s="55" t="str">
        <f t="shared" si="16"/>
        <v/>
      </c>
      <c r="AD33" s="24">
        <f t="shared" si="17"/>
        <v>127230.58299147707</v>
      </c>
      <c r="AE33" s="59" t="str">
        <f t="shared" si="18"/>
        <v/>
      </c>
      <c r="AF33" s="55" t="str">
        <f t="shared" si="19"/>
        <v/>
      </c>
      <c r="AG33" s="24">
        <f t="shared" si="20"/>
        <v>107633.52928941289</v>
      </c>
      <c r="AH33" s="59" t="str">
        <f t="shared" si="21"/>
        <v/>
      </c>
      <c r="AI33" s="55" t="str">
        <f t="shared" si="22"/>
        <v/>
      </c>
      <c r="AJ33" s="67" t="str">
        <f t="shared" si="23"/>
        <v/>
      </c>
    </row>
    <row r="34" spans="1:36">
      <c r="A34" s="21" t="s">
        <v>342</v>
      </c>
      <c r="B34" s="21" t="s">
        <v>343</v>
      </c>
      <c r="C34" s="21" t="s">
        <v>341</v>
      </c>
      <c r="D34" s="21" t="s">
        <v>307</v>
      </c>
      <c r="E34" s="66">
        <v>1</v>
      </c>
      <c r="F34" s="58">
        <v>100000</v>
      </c>
      <c r="G34" s="58">
        <v>225000</v>
      </c>
      <c r="H34" s="58">
        <v>120000</v>
      </c>
      <c r="I34" s="58">
        <v>263921.27</v>
      </c>
      <c r="J34" s="24">
        <f t="shared" si="0"/>
        <v>202973.75666666668</v>
      </c>
      <c r="K34" s="67">
        <f t="shared" si="1"/>
        <v>2.1993439166666668</v>
      </c>
      <c r="L34" s="52" t="s">
        <v>308</v>
      </c>
      <c r="M34" s="68" t="s">
        <v>308</v>
      </c>
      <c r="N34" s="67">
        <f t="shared" si="2"/>
        <v>2.0297375666666668</v>
      </c>
      <c r="O34" s="24">
        <f t="shared" si="3"/>
        <v>100000</v>
      </c>
      <c r="P34" s="59" t="str">
        <f t="shared" si="4"/>
        <v/>
      </c>
      <c r="Q34" s="55" t="str">
        <f t="shared" si="5"/>
        <v/>
      </c>
      <c r="R34" s="24">
        <f t="shared" si="6"/>
        <v>138108.88648415325</v>
      </c>
      <c r="S34" s="59" t="str">
        <f t="shared" si="7"/>
        <v/>
      </c>
      <c r="T34" s="55" t="str">
        <f t="shared" si="8"/>
        <v/>
      </c>
      <c r="U34" s="24">
        <f t="shared" si="9"/>
        <v>155207.62326743899</v>
      </c>
      <c r="V34" s="59" t="str">
        <f t="shared" si="10"/>
        <v/>
      </c>
      <c r="W34" s="55" t="str">
        <f t="shared" si="11"/>
        <v/>
      </c>
      <c r="X34" s="24">
        <f>F34*1.28661751025058</f>
        <v>128661.75102505799</v>
      </c>
      <c r="Y34" s="59" t="str">
        <f t="shared" si="12"/>
        <v/>
      </c>
      <c r="Z34" s="55" t="str">
        <f t="shared" si="13"/>
        <v/>
      </c>
      <c r="AA34" s="24">
        <f t="shared" si="14"/>
        <v>134541.91161176612</v>
      </c>
      <c r="AB34" s="59" t="str">
        <f t="shared" si="15"/>
        <v/>
      </c>
      <c r="AC34" s="55" t="str">
        <f t="shared" si="16"/>
        <v/>
      </c>
      <c r="AD34" s="24">
        <f t="shared" si="17"/>
        <v>159038.22873934635</v>
      </c>
      <c r="AE34" s="59" t="str">
        <f t="shared" si="18"/>
        <v/>
      </c>
      <c r="AF34" s="55" t="str">
        <f t="shared" si="19"/>
        <v/>
      </c>
      <c r="AG34" s="24">
        <f t="shared" si="20"/>
        <v>134541.91161176612</v>
      </c>
      <c r="AH34" s="59" t="str">
        <f t="shared" si="21"/>
        <v/>
      </c>
      <c r="AI34" s="55" t="str">
        <f t="shared" si="22"/>
        <v/>
      </c>
      <c r="AJ34" s="67" t="str">
        <f t="shared" si="23"/>
        <v/>
      </c>
    </row>
    <row r="35" spans="1:36">
      <c r="A35" s="21" t="s">
        <v>344</v>
      </c>
      <c r="B35" s="21" t="s">
        <v>345</v>
      </c>
      <c r="C35" s="21" t="s">
        <v>346</v>
      </c>
      <c r="D35" s="21" t="s">
        <v>307</v>
      </c>
      <c r="E35" s="66">
        <v>2</v>
      </c>
      <c r="F35" s="58">
        <v>15000</v>
      </c>
      <c r="G35" s="58">
        <v>19000</v>
      </c>
      <c r="H35" s="58">
        <v>21000</v>
      </c>
      <c r="I35" s="58">
        <v>40424.199999999997</v>
      </c>
      <c r="J35" s="24">
        <f t="shared" si="0"/>
        <v>26808.066666666666</v>
      </c>
      <c r="K35" s="67">
        <f t="shared" si="1"/>
        <v>2.1275894736842105</v>
      </c>
      <c r="L35" s="52" t="s">
        <v>308</v>
      </c>
      <c r="M35" s="68" t="s">
        <v>308</v>
      </c>
      <c r="N35" s="67">
        <f t="shared" si="2"/>
        <v>1.7872044444444444</v>
      </c>
      <c r="O35" s="24">
        <f t="shared" si="3"/>
        <v>15000</v>
      </c>
      <c r="P35" s="59" t="str">
        <f t="shared" si="4"/>
        <v/>
      </c>
      <c r="Q35" s="55" t="str">
        <f t="shared" si="5"/>
        <v/>
      </c>
      <c r="R35" s="24">
        <f t="shared" si="6"/>
        <v>20716.332972622986</v>
      </c>
      <c r="S35" s="59" t="str">
        <f t="shared" si="7"/>
        <v/>
      </c>
      <c r="T35" s="55" t="str">
        <f t="shared" si="8"/>
        <v/>
      </c>
      <c r="U35" s="24">
        <f t="shared" si="9"/>
        <v>23281.14349011585</v>
      </c>
      <c r="V35" s="59" t="str">
        <f t="shared" si="10"/>
        <v/>
      </c>
      <c r="W35" s="55" t="str">
        <f t="shared" si="11"/>
        <v/>
      </c>
      <c r="X35" s="24">
        <f>F35*1.28661751025058</f>
        <v>19299.262653758698</v>
      </c>
      <c r="Y35" s="59" t="str">
        <f t="shared" si="12"/>
        <v/>
      </c>
      <c r="Z35" s="55" t="str">
        <f t="shared" si="13"/>
        <v/>
      </c>
      <c r="AA35" s="24">
        <f t="shared" si="14"/>
        <v>20181.286741764918</v>
      </c>
      <c r="AB35" s="59" t="str">
        <f t="shared" si="15"/>
        <v/>
      </c>
      <c r="AC35" s="55" t="str">
        <f t="shared" si="16"/>
        <v/>
      </c>
      <c r="AD35" s="24">
        <f t="shared" si="17"/>
        <v>23855.734310901953</v>
      </c>
      <c r="AE35" s="59" t="str">
        <f t="shared" si="18"/>
        <v/>
      </c>
      <c r="AF35" s="55" t="str">
        <f t="shared" si="19"/>
        <v/>
      </c>
      <c r="AG35" s="24">
        <f t="shared" si="20"/>
        <v>20181.286741764918</v>
      </c>
      <c r="AH35" s="59" t="str">
        <f t="shared" si="21"/>
        <v/>
      </c>
      <c r="AI35" s="55" t="str">
        <f t="shared" si="22"/>
        <v/>
      </c>
      <c r="AJ35" s="67" t="str">
        <f t="shared" si="23"/>
        <v/>
      </c>
    </row>
    <row r="37" spans="1:36">
      <c r="A37" s="16" t="s">
        <v>347</v>
      </c>
    </row>
    <row r="38" spans="1:36" ht="42" customHeight="1">
      <c r="A38" s="17" t="s">
        <v>143</v>
      </c>
      <c r="B38" s="17" t="s">
        <v>144</v>
      </c>
      <c r="C38" s="17" t="s">
        <v>25</v>
      </c>
      <c r="D38" s="17" t="s">
        <v>348</v>
      </c>
      <c r="E38" s="17" t="s">
        <v>349</v>
      </c>
      <c r="F38" s="17" t="s">
        <v>350</v>
      </c>
      <c r="G38" s="17" t="s">
        <v>351</v>
      </c>
      <c r="H38" s="17" t="s">
        <v>352</v>
      </c>
    </row>
    <row r="39" spans="1:36">
      <c r="A39" s="16" t="s">
        <v>149</v>
      </c>
      <c r="B39" s="29" t="str">
        <f t="shared" ref="B39:B45" si="24">B6</f>
        <v>بدون تعدیل (یورو ثابت)</v>
      </c>
      <c r="C39" s="53">
        <f>COUNT(P18:P35)</f>
        <v>14</v>
      </c>
      <c r="D39" s="55">
        <f>MEDIAN(P18:P35)-1</f>
        <v>-0.37365643931991399</v>
      </c>
      <c r="E39" s="55">
        <f>MEDIAN(Q18:Q35)</f>
        <v>0.37365643931991399</v>
      </c>
      <c r="F39" s="55">
        <f>AVERAGE(Q18:Q35)</f>
        <v>0.37234734323160579</v>
      </c>
      <c r="G39" s="53">
        <f>COUNTIF(Q18:Q35,"&lt;=0.25")</f>
        <v>3</v>
      </c>
      <c r="H39" s="67">
        <f>SUMPRODUCT(($L$18:$L$35="Y")*$E$18:$E$35*O18:O35)/SUMPRODUCT(($L$18:$L$35="Y")*$E$18:$E$35*$J$18:$J$35)</f>
        <v>0.73446192784317466</v>
      </c>
    </row>
    <row r="40" spans="1:36">
      <c r="A40" s="16" t="s">
        <v>150</v>
      </c>
      <c r="B40" s="29" t="str">
        <f t="shared" si="24"/>
        <v>تورم ارزی مارون ۳ (۱۳۹۴ تا ۱۴۰۳)</v>
      </c>
      <c r="C40" s="53">
        <f>COUNT(S18:S35)</f>
        <v>14</v>
      </c>
      <c r="D40" s="55">
        <f>MEDIAN(S18:S35)-1</f>
        <v>-0.13496388277953653</v>
      </c>
      <c r="E40" s="55">
        <f>MEDIAN(T18:T35)</f>
        <v>0.21998303314597834</v>
      </c>
      <c r="F40" s="55">
        <f>AVERAGE(T18:T35)</f>
        <v>0.26138110532417369</v>
      </c>
      <c r="G40" s="53">
        <f>COUNTIF(T18:T35,"&lt;=0.25")</f>
        <v>8</v>
      </c>
      <c r="H40" s="67">
        <f>SUMPRODUCT(($L$18:$L$35="Y")*$E$18:$E$35*R18:R35)/SUMPRODUCT(($L$18:$L$35="Y")*$E$18:$E$35*$J$18:$J$35)</f>
        <v>1.0143571901942536</v>
      </c>
    </row>
    <row r="41" spans="1:36">
      <c r="A41" s="16" t="s">
        <v>151</v>
      </c>
      <c r="B41" s="29" t="str">
        <f t="shared" si="24"/>
        <v>ضریب یورویی پازنان (Basic INFO!C138)</v>
      </c>
      <c r="C41" s="53">
        <f>COUNT(V18:V35)</f>
        <v>14</v>
      </c>
      <c r="D41" s="55">
        <f>MEDIAN(V18:V35)-1</f>
        <v>-2.7867045979788951E-2</v>
      </c>
      <c r="E41" s="55">
        <f>MEDIAN(W18:W35)</f>
        <v>0.17359988774085944</v>
      </c>
      <c r="F41" s="55">
        <f>AVERAGE(W18:W35)</f>
        <v>0.25805631805864421</v>
      </c>
      <c r="G41" s="53">
        <f>COUNTIF(W18:W35,"&lt;=0.25")</f>
        <v>8</v>
      </c>
      <c r="H41" s="67">
        <f>SUMPRODUCT(($L$18:$L$35="Y")*$E$18:$E$35*U18:U35)/SUMPRODUCT(($L$18:$L$35="Y")*$E$18:$E$35*$J$18:$J$35)</f>
        <v>1.1399409020096043</v>
      </c>
    </row>
    <row r="42" spans="1:36">
      <c r="A42" s="16" t="s">
        <v>152</v>
      </c>
      <c r="B42" s="29" t="str">
        <f t="shared" si="24"/>
        <v>مدل فلزی فعلی شما (ضریب هر سطر)</v>
      </c>
      <c r="C42" s="53">
        <f>COUNT(Y18:Y35)</f>
        <v>14</v>
      </c>
      <c r="D42" s="55">
        <f>MEDIAN(Y18:Y35)-1</f>
        <v>-0.20406497540069335</v>
      </c>
      <c r="E42" s="55">
        <f>MEDIAN(Z18:Z35)</f>
        <v>0.28204028706487361</v>
      </c>
      <c r="F42" s="55">
        <f>AVERAGE(Z18:Z35)</f>
        <v>0.28598869934328669</v>
      </c>
      <c r="G42" s="53">
        <f>COUNTIF(Z18:Z35,"&lt;=0.25")</f>
        <v>6</v>
      </c>
      <c r="H42" s="67">
        <f>SUMPRODUCT(($L$18:$L$35="Y")*$E$18:$E$35*X18:X35)/SUMPRODUCT(($L$18:$L$35="Y")*$E$18:$E$35*$J$18:$J$35)</f>
        <v>0.93570194150454045</v>
      </c>
    </row>
    <row r="43" spans="1:36">
      <c r="A43" s="16" t="s">
        <v>153</v>
      </c>
      <c r="B43" s="29" t="str">
        <f t="shared" si="24"/>
        <v>PPI پمپ منطقه یورو (Eurostat C28.13)</v>
      </c>
      <c r="C43" s="53">
        <f>COUNT(AB18:AB35)</f>
        <v>14</v>
      </c>
      <c r="D43" s="55">
        <f>MEDIAN(AB18:AB35)-1</f>
        <v>-0.15730540020381001</v>
      </c>
      <c r="E43" s="55">
        <f>MEDIAN(AC18:AC35)</f>
        <v>0.24012873840530763</v>
      </c>
      <c r="F43" s="55">
        <f>AVERAGE(AC18:AC35)</f>
        <v>0.26877251276871988</v>
      </c>
      <c r="G43" s="53">
        <f>COUNTIF(AC18:AC35,"&lt;=0.25")</f>
        <v>8</v>
      </c>
      <c r="H43" s="67">
        <f>SUMPRODUCT(($L$18:$L$35="Y")*$E$18:$E$35*AA18:AA35)/SUMPRODUCT(($L$18:$L$35="Y")*$E$18:$E$35*$J$18:$J$35)</f>
        <v>0.98815911778083743</v>
      </c>
    </row>
    <row r="44" spans="1:36">
      <c r="A44" s="16" t="s">
        <v>154</v>
      </c>
      <c r="B44" s="29" t="str">
        <f t="shared" si="24"/>
        <v>PPI پمپ آمریکا تبدیل‌شده به یورو</v>
      </c>
      <c r="C44" s="53">
        <f>COUNT(AE18:AE35)</f>
        <v>14</v>
      </c>
      <c r="D44" s="55">
        <f>MEDIAN(AE18:AE35)-1</f>
        <v>-3.8742952714382328E-3</v>
      </c>
      <c r="E44" s="55">
        <f>MEDIAN(AF18:AF35)</f>
        <v>0.17535234679798933</v>
      </c>
      <c r="F44" s="55">
        <f>AVERAGE(AF18:AF35)</f>
        <v>0.26442528321129272</v>
      </c>
      <c r="G44" s="53">
        <f>COUNTIF(AF18:AF35,"&lt;=0.25")</f>
        <v>9</v>
      </c>
      <c r="H44" s="67">
        <f>SUMPRODUCT(($L$18:$L$35="Y")*$E$18:$E$35*AD18:AD35)/SUMPRODUCT(($L$18:$L$35="Y")*$E$18:$E$35*$J$18:$J$35)</f>
        <v>1.1680752408066408</v>
      </c>
    </row>
    <row r="45" spans="1:36">
      <c r="A45" s="40" t="s">
        <v>155</v>
      </c>
      <c r="B45" s="41" t="str">
        <f t="shared" si="24"/>
        <v>پیشنهادی: PPI پمپ یورو + کف قیمت پمپ API (S/D)</v>
      </c>
      <c r="C45" s="69">
        <f>COUNT(AH18:AH35)</f>
        <v>14</v>
      </c>
      <c r="D45" s="70">
        <f>MEDIAN(AH18:AH35)-1</f>
        <v>-7.0297462196829086E-2</v>
      </c>
      <c r="E45" s="70">
        <f>MEDIAN(AI18:AI35)</f>
        <v>0.1307196076470013</v>
      </c>
      <c r="F45" s="70">
        <f>AVERAGE(AI18:AI35)</f>
        <v>0.20849719626101024</v>
      </c>
      <c r="G45" s="69">
        <f>COUNTIF(AI18:AI35,"&lt;=0.25")</f>
        <v>10</v>
      </c>
      <c r="H45" s="71">
        <f>SUMPRODUCT(($L$18:$L$35="Y")*$E$18:$E$35*AG18:AG35)/SUMPRODUCT(($L$18:$L$35="Y")*$E$18:$E$35*$J$18:$J$35)</f>
        <v>1.0097807608392502</v>
      </c>
    </row>
    <row r="47" spans="1:36">
      <c r="A47" s="16" t="s">
        <v>353</v>
      </c>
    </row>
    <row r="48" spans="1:36">
      <c r="A48" s="21" t="s">
        <v>354</v>
      </c>
      <c r="H48" s="67">
        <f>MEDIAN(AJ18:AJ35)</f>
        <v>1.3333333333333333</v>
      </c>
    </row>
    <row r="49" spans="1:1">
      <c r="A49" s="26" t="s">
        <v>355</v>
      </c>
    </row>
    <row r="50" spans="1:1">
      <c r="A50" s="26" t="s">
        <v>356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showGridLines="0" rightToLeft="1" zoomScaleNormal="100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/>
    </sheetView>
  </sheetViews>
  <sheetFormatPr defaultColWidth="8.7109375" defaultRowHeight="15"/>
  <cols>
    <col min="1" max="1" width="10" customWidth="1"/>
    <col min="2" max="2" width="34" customWidth="1"/>
    <col min="3" max="3" width="6" customWidth="1"/>
    <col min="4" max="4" width="15" customWidth="1"/>
    <col min="5" max="5" width="12" customWidth="1"/>
    <col min="6" max="7" width="16" customWidth="1"/>
    <col min="8" max="9" width="10" customWidth="1"/>
    <col min="10" max="12" width="15" customWidth="1"/>
    <col min="13" max="13" width="16" customWidth="1"/>
    <col min="14" max="21" width="8" customWidth="1"/>
  </cols>
  <sheetData>
    <row r="1" spans="1:21" ht="18">
      <c r="A1" s="15" t="s">
        <v>357</v>
      </c>
    </row>
    <row r="2" spans="1:21" ht="45" customHeight="1">
      <c r="A2" s="14" t="s">
        <v>358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21">
      <c r="A4" s="16" t="s">
        <v>359</v>
      </c>
    </row>
    <row r="5" spans="1:21">
      <c r="A5" s="21" t="s">
        <v>360</v>
      </c>
      <c r="E5" s="24">
        <f>INDEX(Indices!$G$51:$G$71,MATCH(1393,Indices!$A$51:$A$71,0))</f>
        <v>40530.800000000003</v>
      </c>
      <c r="F5" s="61" t="s">
        <v>92</v>
      </c>
    </row>
    <row r="6" spans="1:21">
      <c r="A6" s="21" t="s">
        <v>361</v>
      </c>
      <c r="E6" s="62">
        <v>930000</v>
      </c>
      <c r="F6" s="61" t="s">
        <v>362</v>
      </c>
    </row>
    <row r="7" spans="1:21">
      <c r="A7" s="21" t="s">
        <v>363</v>
      </c>
      <c r="E7" s="64">
        <v>1.04</v>
      </c>
      <c r="F7" s="61" t="s">
        <v>364</v>
      </c>
    </row>
    <row r="8" spans="1:21">
      <c r="A8" s="21" t="s">
        <v>365</v>
      </c>
      <c r="E8" s="24">
        <f>E6*E7</f>
        <v>967200</v>
      </c>
      <c r="F8" s="61" t="s">
        <v>366</v>
      </c>
    </row>
    <row r="9" spans="1:21">
      <c r="A9" s="21" t="s">
        <v>367</v>
      </c>
      <c r="E9" s="25">
        <f>Val_EUR_Pumps!E10</f>
        <v>1.3454191161176612</v>
      </c>
      <c r="F9" s="61" t="s">
        <v>94</v>
      </c>
    </row>
    <row r="10" spans="1:21">
      <c r="A10" s="21" t="s">
        <v>368</v>
      </c>
      <c r="E10" s="59">
        <f>INDEX(Indices!$I$51:$I$71,MATCH(1403,Indices!$A$51:$A$71,0))/INDEX(Indices!$I$51:$I$71,MATCH(1393,Indices!$A$51:$A$71,0))</f>
        <v>16.374094675593081</v>
      </c>
      <c r="F10" s="61" t="s">
        <v>92</v>
      </c>
    </row>
    <row r="11" spans="1:21">
      <c r="A11" s="21" t="s">
        <v>369</v>
      </c>
      <c r="E11" s="60">
        <v>16.259615384615401</v>
      </c>
      <c r="F11" s="61" t="s">
        <v>370</v>
      </c>
    </row>
    <row r="12" spans="1:21">
      <c r="A12" s="21" t="s">
        <v>371</v>
      </c>
      <c r="E12" s="24">
        <f>658533*1.05582863728925</f>
        <v>695298.00000000175</v>
      </c>
      <c r="F12" s="61" t="s">
        <v>372</v>
      </c>
    </row>
    <row r="15" spans="1:21" ht="42" customHeight="1">
      <c r="A15" s="17" t="s">
        <v>266</v>
      </c>
      <c r="B15" s="17" t="s">
        <v>267</v>
      </c>
      <c r="C15" s="17" t="s">
        <v>25</v>
      </c>
      <c r="D15" s="17" t="s">
        <v>373</v>
      </c>
      <c r="E15" s="17" t="s">
        <v>374</v>
      </c>
      <c r="F15" s="17" t="s">
        <v>375</v>
      </c>
      <c r="G15" s="17" t="s">
        <v>376</v>
      </c>
      <c r="H15" s="17" t="s">
        <v>377</v>
      </c>
      <c r="I15" s="17" t="s">
        <v>378</v>
      </c>
      <c r="J15" s="17" t="s">
        <v>379</v>
      </c>
      <c r="K15" s="17" t="s">
        <v>380</v>
      </c>
      <c r="L15" s="17" t="s">
        <v>381</v>
      </c>
      <c r="M15" s="17" t="s">
        <v>382</v>
      </c>
      <c r="N15" s="17" t="s">
        <v>383</v>
      </c>
      <c r="O15" s="17" t="s">
        <v>384</v>
      </c>
      <c r="P15" s="17" t="s">
        <v>385</v>
      </c>
      <c r="Q15" s="17" t="s">
        <v>386</v>
      </c>
      <c r="R15" s="17" t="s">
        <v>387</v>
      </c>
      <c r="S15" s="17" t="s">
        <v>388</v>
      </c>
      <c r="T15" s="17" t="s">
        <v>389</v>
      </c>
      <c r="U15" s="17" t="s">
        <v>390</v>
      </c>
    </row>
    <row r="16" spans="1:21">
      <c r="A16" s="21" t="s">
        <v>391</v>
      </c>
      <c r="B16" s="21" t="s">
        <v>392</v>
      </c>
      <c r="C16" s="66">
        <v>1</v>
      </c>
      <c r="D16" s="58">
        <v>1750000000</v>
      </c>
      <c r="E16" s="24">
        <f t="shared" ref="E16:E26" si="0">D16/$E$5</f>
        <v>43177.040670305047</v>
      </c>
      <c r="F16" s="58">
        <v>62000000000</v>
      </c>
      <c r="G16" s="58">
        <v>49878867366.666702</v>
      </c>
      <c r="H16" s="67">
        <f t="shared" ref="H16:H26" si="1">F16/D16</f>
        <v>35.428571428571431</v>
      </c>
      <c r="I16" s="67">
        <f t="shared" ref="I16:I26" si="2">G16/D16</f>
        <v>28.502209923809545</v>
      </c>
      <c r="J16" s="24">
        <f t="shared" ref="J16:J26" si="3">D16*$E$10</f>
        <v>28654665682.287891</v>
      </c>
      <c r="K16" s="24">
        <f t="shared" ref="K16:K26" si="4">D16*$E$11</f>
        <v>28454326923.07695</v>
      </c>
      <c r="L16" s="24">
        <f>D16*29.3701248418824</f>
        <v>51397718473.294205</v>
      </c>
      <c r="M16" s="24">
        <f t="shared" ref="M16:M26" si="5">E16*$E$9*$E$8</f>
        <v>56185824013.854973</v>
      </c>
      <c r="N16" s="59">
        <f t="shared" ref="N16:N26" si="6">J16/$F16</f>
        <v>0.46217202713367567</v>
      </c>
      <c r="O16" s="59">
        <f t="shared" ref="O16:O26" si="7">K16/$F16</f>
        <v>0.45894075682382179</v>
      </c>
      <c r="P16" s="59">
        <f t="shared" ref="P16:P26" si="8">L16/$F16</f>
        <v>0.82899545924668072</v>
      </c>
      <c r="Q16" s="59">
        <f t="shared" ref="Q16:Q26" si="9">M16/$F16</f>
        <v>0.9062229679654028</v>
      </c>
      <c r="R16" s="59">
        <f t="shared" ref="R16:R26" si="10">J16/$G16</f>
        <v>0.57448509148460281</v>
      </c>
      <c r="S16" s="59">
        <f t="shared" ref="S16:S26" si="11">K16/$G16</f>
        <v>0.57046858570193892</v>
      </c>
      <c r="T16" s="59">
        <f t="shared" ref="T16:T26" si="12">L16/$G16</f>
        <v>1.030450793829423</v>
      </c>
      <c r="U16" s="59">
        <f t="shared" ref="U16:U26" si="13">M16/$G16</f>
        <v>1.1264454663901031</v>
      </c>
    </row>
    <row r="17" spans="1:21">
      <c r="A17" s="21" t="s">
        <v>393</v>
      </c>
      <c r="B17" s="21" t="s">
        <v>394</v>
      </c>
      <c r="C17" s="66">
        <v>1</v>
      </c>
      <c r="D17" s="58">
        <v>3000000000</v>
      </c>
      <c r="E17" s="24">
        <f t="shared" si="0"/>
        <v>74017.784006237227</v>
      </c>
      <c r="F17" s="58">
        <v>86500000000</v>
      </c>
      <c r="G17" s="58">
        <v>73692914633.333298</v>
      </c>
      <c r="H17" s="67">
        <f t="shared" si="1"/>
        <v>28.833333333333332</v>
      </c>
      <c r="I17" s="67">
        <f t="shared" si="2"/>
        <v>24.564304877777765</v>
      </c>
      <c r="J17" s="24">
        <f t="shared" si="3"/>
        <v>49122284026.779243</v>
      </c>
      <c r="K17" s="24">
        <f t="shared" si="4"/>
        <v>48778846153.846207</v>
      </c>
      <c r="L17" s="24">
        <f>D17*29.3701248418824</f>
        <v>88110374525.647202</v>
      </c>
      <c r="M17" s="24">
        <f t="shared" si="5"/>
        <v>96318555452.322815</v>
      </c>
      <c r="N17" s="59">
        <f t="shared" si="6"/>
        <v>0.5678876766101647</v>
      </c>
      <c r="O17" s="59">
        <f t="shared" si="7"/>
        <v>0.56391729657625678</v>
      </c>
      <c r="P17" s="59">
        <f t="shared" si="8"/>
        <v>1.0186170465392741</v>
      </c>
      <c r="Q17" s="59">
        <f t="shared" si="9"/>
        <v>1.113509311587547</v>
      </c>
      <c r="R17" s="59">
        <f t="shared" si="10"/>
        <v>0.66658082763033921</v>
      </c>
      <c r="S17" s="59">
        <f t="shared" si="11"/>
        <v>0.66192043558801261</v>
      </c>
      <c r="T17" s="59">
        <f t="shared" si="12"/>
        <v>1.1956424164256423</v>
      </c>
      <c r="U17" s="59">
        <f t="shared" si="13"/>
        <v>1.3070260001462248</v>
      </c>
    </row>
    <row r="18" spans="1:21">
      <c r="A18" s="21" t="s">
        <v>395</v>
      </c>
      <c r="B18" s="21" t="s">
        <v>396</v>
      </c>
      <c r="C18" s="66">
        <v>1</v>
      </c>
      <c r="D18" s="58">
        <v>1750000000</v>
      </c>
      <c r="E18" s="24">
        <f t="shared" si="0"/>
        <v>43177.040670305047</v>
      </c>
      <c r="F18" s="58">
        <v>62000000000</v>
      </c>
      <c r="G18" s="58">
        <v>50976422366.666702</v>
      </c>
      <c r="H18" s="67">
        <f t="shared" si="1"/>
        <v>35.428571428571431</v>
      </c>
      <c r="I18" s="67">
        <f t="shared" si="2"/>
        <v>29.129384209523831</v>
      </c>
      <c r="J18" s="24">
        <f t="shared" si="3"/>
        <v>28654665682.287891</v>
      </c>
      <c r="K18" s="24">
        <f t="shared" si="4"/>
        <v>28454326923.07695</v>
      </c>
      <c r="L18" s="24">
        <f>D18*29.3701248418824</f>
        <v>51397718473.294205</v>
      </c>
      <c r="M18" s="24">
        <f t="shared" si="5"/>
        <v>56185824013.854973</v>
      </c>
      <c r="N18" s="59">
        <f t="shared" si="6"/>
        <v>0.46217202713367567</v>
      </c>
      <c r="O18" s="59">
        <f t="shared" si="7"/>
        <v>0.45894075682382179</v>
      </c>
      <c r="P18" s="59">
        <f t="shared" si="8"/>
        <v>0.82899545924668072</v>
      </c>
      <c r="Q18" s="59">
        <f t="shared" si="9"/>
        <v>0.9062229679654028</v>
      </c>
      <c r="R18" s="59">
        <f t="shared" si="10"/>
        <v>0.56211605977717793</v>
      </c>
      <c r="S18" s="59">
        <f t="shared" si="11"/>
        <v>0.55818603193469951</v>
      </c>
      <c r="T18" s="59">
        <f t="shared" si="12"/>
        <v>1.0082645287187315</v>
      </c>
      <c r="U18" s="59">
        <f t="shared" si="13"/>
        <v>1.1021923745396986</v>
      </c>
    </row>
    <row r="19" spans="1:21">
      <c r="A19" s="21" t="s">
        <v>397</v>
      </c>
      <c r="B19" s="21" t="s">
        <v>398</v>
      </c>
      <c r="C19" s="66">
        <v>1</v>
      </c>
      <c r="D19" s="58">
        <v>1900000000</v>
      </c>
      <c r="E19" s="24">
        <f t="shared" si="0"/>
        <v>46877.929870616907</v>
      </c>
      <c r="F19" s="58">
        <v>62000000000</v>
      </c>
      <c r="G19" s="58">
        <v>52073977366.666702</v>
      </c>
      <c r="H19" s="67">
        <f t="shared" si="1"/>
        <v>32.631578947368418</v>
      </c>
      <c r="I19" s="67">
        <f t="shared" si="2"/>
        <v>27.407356508771947</v>
      </c>
      <c r="J19" s="24">
        <f t="shared" si="3"/>
        <v>31110779883.626854</v>
      </c>
      <c r="K19" s="24">
        <f t="shared" si="4"/>
        <v>30893269230.76926</v>
      </c>
      <c r="L19" s="24">
        <f>D19*29.3701248418824</f>
        <v>55803237199.576561</v>
      </c>
      <c r="M19" s="24">
        <f t="shared" si="5"/>
        <v>61001751786.471107</v>
      </c>
      <c r="N19" s="59">
        <f t="shared" si="6"/>
        <v>0.50178677231656221</v>
      </c>
      <c r="O19" s="59">
        <f t="shared" si="7"/>
        <v>0.49827853598014937</v>
      </c>
      <c r="P19" s="59">
        <f t="shared" si="8"/>
        <v>0.90005221289639614</v>
      </c>
      <c r="Q19" s="59">
        <f t="shared" si="9"/>
        <v>0.98389922236243721</v>
      </c>
      <c r="R19" s="59">
        <f t="shared" si="10"/>
        <v>0.5974342936120971</v>
      </c>
      <c r="S19" s="59">
        <f t="shared" si="11"/>
        <v>0.59325733875178288</v>
      </c>
      <c r="T19" s="59">
        <f t="shared" si="12"/>
        <v>1.0716146532585968</v>
      </c>
      <c r="U19" s="59">
        <f t="shared" si="13"/>
        <v>1.1714440661396301</v>
      </c>
    </row>
    <row r="20" spans="1:21">
      <c r="A20" s="21" t="s">
        <v>399</v>
      </c>
      <c r="B20" s="21" t="s">
        <v>400</v>
      </c>
      <c r="C20" s="66">
        <v>1</v>
      </c>
      <c r="D20" s="58">
        <v>1350000000</v>
      </c>
      <c r="E20" s="24">
        <f t="shared" si="0"/>
        <v>33308.002802806754</v>
      </c>
      <c r="F20" s="58">
        <v>50500000000</v>
      </c>
      <c r="G20" s="58">
        <v>40488071333.333298</v>
      </c>
      <c r="H20" s="67">
        <f t="shared" si="1"/>
        <v>37.407407407407405</v>
      </c>
      <c r="I20" s="67">
        <f t="shared" si="2"/>
        <v>29.991163950617256</v>
      </c>
      <c r="J20" s="24">
        <f t="shared" si="3"/>
        <v>22105027812.050659</v>
      </c>
      <c r="K20" s="24">
        <f t="shared" si="4"/>
        <v>21950480769.230793</v>
      </c>
      <c r="L20" s="24">
        <f>D20*29.2979785279696</f>
        <v>39552271012.758965</v>
      </c>
      <c r="M20" s="24">
        <f t="shared" si="5"/>
        <v>43343349953.545273</v>
      </c>
      <c r="N20" s="59">
        <f t="shared" si="6"/>
        <v>0.43772332301090416</v>
      </c>
      <c r="O20" s="59">
        <f t="shared" si="7"/>
        <v>0.43466298552932264</v>
      </c>
      <c r="P20" s="59">
        <f t="shared" si="8"/>
        <v>0.78321328738136564</v>
      </c>
      <c r="Q20" s="59">
        <f t="shared" si="9"/>
        <v>0.858284157495946</v>
      </c>
      <c r="R20" s="59">
        <f t="shared" si="10"/>
        <v>0.5459639613372218</v>
      </c>
      <c r="S20" s="59">
        <f t="shared" si="11"/>
        <v>0.54214686070164197</v>
      </c>
      <c r="T20" s="59">
        <f t="shared" si="12"/>
        <v>0.97688701166153347</v>
      </c>
      <c r="U20" s="59">
        <f t="shared" si="13"/>
        <v>1.0705214777138881</v>
      </c>
    </row>
    <row r="21" spans="1:21">
      <c r="A21" s="21" t="s">
        <v>401</v>
      </c>
      <c r="B21" s="21" t="s">
        <v>392</v>
      </c>
      <c r="C21" s="66">
        <v>1</v>
      </c>
      <c r="D21" s="58">
        <v>1750000000</v>
      </c>
      <c r="E21" s="24">
        <f t="shared" si="0"/>
        <v>43177.040670305047</v>
      </c>
      <c r="F21" s="58">
        <v>62000000000</v>
      </c>
      <c r="G21" s="58">
        <v>52073977366.666702</v>
      </c>
      <c r="H21" s="67">
        <f t="shared" si="1"/>
        <v>35.428571428571431</v>
      </c>
      <c r="I21" s="67">
        <f t="shared" si="2"/>
        <v>29.756558495238117</v>
      </c>
      <c r="J21" s="24">
        <f t="shared" si="3"/>
        <v>28654665682.287891</v>
      </c>
      <c r="K21" s="24">
        <f t="shared" si="4"/>
        <v>28454326923.07695</v>
      </c>
      <c r="L21" s="24">
        <f>D21*29.3701248418824</f>
        <v>51397718473.294205</v>
      </c>
      <c r="M21" s="24">
        <f t="shared" si="5"/>
        <v>56185824013.854973</v>
      </c>
      <c r="N21" s="59">
        <f t="shared" si="6"/>
        <v>0.46217202713367567</v>
      </c>
      <c r="O21" s="59">
        <f t="shared" si="7"/>
        <v>0.45894075682382179</v>
      </c>
      <c r="P21" s="59">
        <f t="shared" si="8"/>
        <v>0.82899545924668072</v>
      </c>
      <c r="Q21" s="59">
        <f t="shared" si="9"/>
        <v>0.9062229679654028</v>
      </c>
      <c r="R21" s="59">
        <f t="shared" si="10"/>
        <v>0.55026842832693157</v>
      </c>
      <c r="S21" s="59">
        <f t="shared" si="11"/>
        <v>0.54642123306085266</v>
      </c>
      <c r="T21" s="59">
        <f t="shared" si="12"/>
        <v>0.987013496422392</v>
      </c>
      <c r="U21" s="59">
        <f t="shared" si="13"/>
        <v>1.0789616398654489</v>
      </c>
    </row>
    <row r="22" spans="1:21">
      <c r="A22" s="21" t="s">
        <v>402</v>
      </c>
      <c r="B22" s="21" t="s">
        <v>403</v>
      </c>
      <c r="C22" s="66">
        <v>1</v>
      </c>
      <c r="D22" s="58">
        <v>1750000000</v>
      </c>
      <c r="E22" s="24">
        <f t="shared" si="0"/>
        <v>43177.040670305047</v>
      </c>
      <c r="F22" s="58">
        <v>62000000000</v>
      </c>
      <c r="G22" s="58">
        <v>52073977366.666702</v>
      </c>
      <c r="H22" s="67">
        <f t="shared" si="1"/>
        <v>35.428571428571431</v>
      </c>
      <c r="I22" s="67">
        <f t="shared" si="2"/>
        <v>29.756558495238117</v>
      </c>
      <c r="J22" s="24">
        <f t="shared" si="3"/>
        <v>28654665682.287891</v>
      </c>
      <c r="K22" s="24">
        <f t="shared" si="4"/>
        <v>28454326923.07695</v>
      </c>
      <c r="L22" s="24">
        <f>D22*29.3701248418824</f>
        <v>51397718473.294205</v>
      </c>
      <c r="M22" s="24">
        <f t="shared" si="5"/>
        <v>56185824013.854973</v>
      </c>
      <c r="N22" s="59">
        <f t="shared" si="6"/>
        <v>0.46217202713367567</v>
      </c>
      <c r="O22" s="59">
        <f t="shared" si="7"/>
        <v>0.45894075682382179</v>
      </c>
      <c r="P22" s="59">
        <f t="shared" si="8"/>
        <v>0.82899545924668072</v>
      </c>
      <c r="Q22" s="59">
        <f t="shared" si="9"/>
        <v>0.9062229679654028</v>
      </c>
      <c r="R22" s="59">
        <f t="shared" si="10"/>
        <v>0.55026842832693157</v>
      </c>
      <c r="S22" s="59">
        <f t="shared" si="11"/>
        <v>0.54642123306085266</v>
      </c>
      <c r="T22" s="59">
        <f t="shared" si="12"/>
        <v>0.987013496422392</v>
      </c>
      <c r="U22" s="59">
        <f t="shared" si="13"/>
        <v>1.0789616398654489</v>
      </c>
    </row>
    <row r="23" spans="1:21">
      <c r="A23" s="21" t="s">
        <v>404</v>
      </c>
      <c r="B23" s="21" t="s">
        <v>392</v>
      </c>
      <c r="C23" s="66">
        <v>1</v>
      </c>
      <c r="D23" s="58">
        <v>1750000000</v>
      </c>
      <c r="E23" s="24">
        <f t="shared" si="0"/>
        <v>43177.040670305047</v>
      </c>
      <c r="F23" s="58">
        <v>62000000000</v>
      </c>
      <c r="G23" s="58">
        <v>52073977366.666702</v>
      </c>
      <c r="H23" s="67">
        <f t="shared" si="1"/>
        <v>35.428571428571431</v>
      </c>
      <c r="I23" s="67">
        <f t="shared" si="2"/>
        <v>29.756558495238117</v>
      </c>
      <c r="J23" s="24">
        <f t="shared" si="3"/>
        <v>28654665682.287891</v>
      </c>
      <c r="K23" s="24">
        <f t="shared" si="4"/>
        <v>28454326923.07695</v>
      </c>
      <c r="L23" s="24">
        <f>D23*29.3701248418824</f>
        <v>51397718473.294205</v>
      </c>
      <c r="M23" s="24">
        <f t="shared" si="5"/>
        <v>56185824013.854973</v>
      </c>
      <c r="N23" s="59">
        <f t="shared" si="6"/>
        <v>0.46217202713367567</v>
      </c>
      <c r="O23" s="59">
        <f t="shared" si="7"/>
        <v>0.45894075682382179</v>
      </c>
      <c r="P23" s="59">
        <f t="shared" si="8"/>
        <v>0.82899545924668072</v>
      </c>
      <c r="Q23" s="59">
        <f t="shared" si="9"/>
        <v>0.9062229679654028</v>
      </c>
      <c r="R23" s="59">
        <f t="shared" si="10"/>
        <v>0.55026842832693157</v>
      </c>
      <c r="S23" s="59">
        <f t="shared" si="11"/>
        <v>0.54642123306085266</v>
      </c>
      <c r="T23" s="59">
        <f t="shared" si="12"/>
        <v>0.987013496422392</v>
      </c>
      <c r="U23" s="59">
        <f t="shared" si="13"/>
        <v>1.0789616398654489</v>
      </c>
    </row>
    <row r="24" spans="1:21">
      <c r="A24" s="21" t="s">
        <v>405</v>
      </c>
      <c r="B24" s="21" t="s">
        <v>400</v>
      </c>
      <c r="C24" s="66">
        <v>1</v>
      </c>
      <c r="D24" s="58">
        <v>1400000000</v>
      </c>
      <c r="E24" s="24">
        <f t="shared" si="0"/>
        <v>34541.63253624404</v>
      </c>
      <c r="F24" s="58">
        <v>50500000000</v>
      </c>
      <c r="G24" s="58">
        <v>43780736333.333298</v>
      </c>
      <c r="H24" s="67">
        <f t="shared" si="1"/>
        <v>36.071428571428569</v>
      </c>
      <c r="I24" s="67">
        <f t="shared" si="2"/>
        <v>31.271954523809498</v>
      </c>
      <c r="J24" s="24">
        <f t="shared" si="3"/>
        <v>22923732545.830315</v>
      </c>
      <c r="K24" s="24">
        <f t="shared" si="4"/>
        <v>22763461538.461563</v>
      </c>
      <c r="L24" s="24">
        <f>D24*29.2979785279696</f>
        <v>41017169939.15744</v>
      </c>
      <c r="M24" s="24">
        <f t="shared" si="5"/>
        <v>44948659211.083977</v>
      </c>
      <c r="N24" s="59">
        <f t="shared" si="6"/>
        <v>0.45393529793723397</v>
      </c>
      <c r="O24" s="59">
        <f t="shared" si="7"/>
        <v>0.45076161462300124</v>
      </c>
      <c r="P24" s="59">
        <f t="shared" si="8"/>
        <v>0.81222118691400869</v>
      </c>
      <c r="Q24" s="59">
        <f t="shared" si="9"/>
        <v>0.89007245962542525</v>
      </c>
      <c r="R24" s="59">
        <f t="shared" si="10"/>
        <v>0.52360317495110043</v>
      </c>
      <c r="S24" s="59">
        <f t="shared" si="11"/>
        <v>0.51994240949141302</v>
      </c>
      <c r="T24" s="59">
        <f t="shared" si="12"/>
        <v>0.93687711478548696</v>
      </c>
      <c r="U24" s="59">
        <f t="shared" si="13"/>
        <v>1.026676638530208</v>
      </c>
    </row>
    <row r="25" spans="1:21">
      <c r="A25" s="21" t="s">
        <v>406</v>
      </c>
      <c r="B25" s="21" t="s">
        <v>400</v>
      </c>
      <c r="C25" s="66">
        <v>1</v>
      </c>
      <c r="D25" s="58">
        <v>1350000000</v>
      </c>
      <c r="E25" s="24">
        <f t="shared" si="0"/>
        <v>33308.002802806754</v>
      </c>
      <c r="F25" s="58">
        <v>50500000000</v>
      </c>
      <c r="G25" s="58">
        <v>40488071333.333298</v>
      </c>
      <c r="H25" s="67">
        <f t="shared" si="1"/>
        <v>37.407407407407405</v>
      </c>
      <c r="I25" s="67">
        <f t="shared" si="2"/>
        <v>29.991163950617256</v>
      </c>
      <c r="J25" s="24">
        <f t="shared" si="3"/>
        <v>22105027812.050659</v>
      </c>
      <c r="K25" s="24">
        <f t="shared" si="4"/>
        <v>21950480769.230793</v>
      </c>
      <c r="L25" s="24">
        <f>D25*29.2979785279696</f>
        <v>39552271012.758965</v>
      </c>
      <c r="M25" s="24">
        <f t="shared" si="5"/>
        <v>43343349953.545273</v>
      </c>
      <c r="N25" s="59">
        <f t="shared" si="6"/>
        <v>0.43772332301090416</v>
      </c>
      <c r="O25" s="59">
        <f t="shared" si="7"/>
        <v>0.43466298552932264</v>
      </c>
      <c r="P25" s="59">
        <f t="shared" si="8"/>
        <v>0.78321328738136564</v>
      </c>
      <c r="Q25" s="59">
        <f t="shared" si="9"/>
        <v>0.858284157495946</v>
      </c>
      <c r="R25" s="59">
        <f t="shared" si="10"/>
        <v>0.5459639613372218</v>
      </c>
      <c r="S25" s="59">
        <f t="shared" si="11"/>
        <v>0.54214686070164197</v>
      </c>
      <c r="T25" s="59">
        <f t="shared" si="12"/>
        <v>0.97688701166153347</v>
      </c>
      <c r="U25" s="59">
        <f t="shared" si="13"/>
        <v>1.0705214777138881</v>
      </c>
    </row>
    <row r="26" spans="1:21">
      <c r="A26" s="21" t="s">
        <v>407</v>
      </c>
      <c r="B26" s="21" t="s">
        <v>394</v>
      </c>
      <c r="C26" s="66">
        <v>1</v>
      </c>
      <c r="D26" s="58">
        <v>1900000000</v>
      </c>
      <c r="E26" s="24">
        <f t="shared" si="0"/>
        <v>46877.929870616907</v>
      </c>
      <c r="F26" s="58">
        <v>64300000000</v>
      </c>
      <c r="G26" s="58">
        <v>55035754033.333298</v>
      </c>
      <c r="H26" s="67">
        <f t="shared" si="1"/>
        <v>33.842105263157897</v>
      </c>
      <c r="I26" s="67">
        <f t="shared" si="2"/>
        <v>28.966186333333315</v>
      </c>
      <c r="J26" s="24">
        <f t="shared" si="3"/>
        <v>31110779883.626854</v>
      </c>
      <c r="K26" s="24">
        <f t="shared" si="4"/>
        <v>30893269230.76926</v>
      </c>
      <c r="L26" s="24">
        <f>D26*29.3701248418824</f>
        <v>55803237199.576561</v>
      </c>
      <c r="M26" s="24">
        <f t="shared" si="5"/>
        <v>61001751786.471107</v>
      </c>
      <c r="N26" s="59">
        <f t="shared" si="6"/>
        <v>0.48383794531301483</v>
      </c>
      <c r="O26" s="59">
        <f t="shared" si="7"/>
        <v>0.48045519799019065</v>
      </c>
      <c r="P26" s="59">
        <f t="shared" si="8"/>
        <v>0.86785749921580968</v>
      </c>
      <c r="Q26" s="59">
        <f t="shared" si="9"/>
        <v>0.94870531549721782</v>
      </c>
      <c r="R26" s="59">
        <f t="shared" si="10"/>
        <v>0.56528306789045002</v>
      </c>
      <c r="S26" s="59">
        <f t="shared" si="11"/>
        <v>0.56133089794787316</v>
      </c>
      <c r="T26" s="59">
        <f t="shared" si="12"/>
        <v>1.0139451740004948</v>
      </c>
      <c r="U26" s="59">
        <f t="shared" si="13"/>
        <v>1.108402217030122</v>
      </c>
    </row>
    <row r="28" spans="1:21">
      <c r="A28" s="16" t="s">
        <v>408</v>
      </c>
      <c r="H28" s="72">
        <f>MEDIAN(H16:H26)</f>
        <v>35.428571428571431</v>
      </c>
      <c r="I28" s="72">
        <f>MEDIAN(I16:I26)</f>
        <v>29.756558495238117</v>
      </c>
      <c r="N28" s="73">
        <f t="shared" ref="N28:U28" si="14">MEDIAN(N16:N26)</f>
        <v>0.46217202713367567</v>
      </c>
      <c r="O28" s="73">
        <f t="shared" si="14"/>
        <v>0.45894075682382179</v>
      </c>
      <c r="P28" s="73">
        <f t="shared" si="14"/>
        <v>0.82899545924668072</v>
      </c>
      <c r="Q28" s="73">
        <f t="shared" si="14"/>
        <v>0.9062229679654028</v>
      </c>
      <c r="R28" s="73">
        <f t="shared" si="14"/>
        <v>0.55026842832693157</v>
      </c>
      <c r="S28" s="73">
        <f t="shared" si="14"/>
        <v>0.54642123306085266</v>
      </c>
      <c r="T28" s="73">
        <f t="shared" si="14"/>
        <v>0.987013496422392</v>
      </c>
      <c r="U28" s="73">
        <f t="shared" si="14"/>
        <v>1.0789616398654489</v>
      </c>
    </row>
    <row r="29" spans="1:21">
      <c r="A29" s="16" t="s">
        <v>409</v>
      </c>
      <c r="N29" s="73">
        <f>SUMPRODUCT($C$16:$C$26,J16:J26)/SUMPRODUCT($C$16:$C$26,$F$16:$F$26)</f>
        <v>0.47716292507104263</v>
      </c>
      <c r="O29" s="73">
        <f>SUMPRODUCT($C$16:$C$26,K16:K26)/SUMPRODUCT($C$16:$C$26,$F$16:$F$26)</f>
        <v>0.47382684607399173</v>
      </c>
      <c r="P29" s="73">
        <f>SUMPRODUCT($C$16:$C$26,L16:L26)/SUMPRODUCT($C$16:$C$26,$F$16:$F$26)</f>
        <v>0.85544587461952637</v>
      </c>
      <c r="Q29" s="73">
        <f>SUMPRODUCT($C$16:$C$26,M16:M26)/SUMPRODUCT($C$16:$C$26,$F$16:$F$26)</f>
        <v>0.93561699275206045</v>
      </c>
      <c r="R29" s="73">
        <f>SUMPRODUCT($C$16:$C$26,J16:J26)/SUMPRODUCT($C$16:$C$26,$G$16:$G$26)</f>
        <v>0.57186268434694409</v>
      </c>
      <c r="S29" s="73">
        <f>SUMPRODUCT($C$16:$C$26,K16:K26)/SUMPRODUCT($C$16:$C$26,$G$16:$G$26)</f>
        <v>0.56786451309304176</v>
      </c>
      <c r="T29" s="73">
        <f>SUMPRODUCT($C$16:$C$26,L16:L26)/SUMPRODUCT($C$16:$C$26,$G$16:$G$26)</f>
        <v>1.0252212577090043</v>
      </c>
      <c r="U29" s="73">
        <f>SUMPRODUCT($C$16:$C$26,M16:M26)/SUMPRODUCT($C$16:$C$26,$G$16:$G$26)</f>
        <v>1.1213034728466136</v>
      </c>
    </row>
    <row r="31" spans="1:21">
      <c r="A31" s="16" t="s">
        <v>410</v>
      </c>
      <c r="M31" s="24">
        <f>$E$6*MEDIAN(H16:H26)/(($E$9*$E$8)/$E$5)</f>
        <v>1026237.5076279294</v>
      </c>
      <c r="N31" s="61" t="s">
        <v>411</v>
      </c>
    </row>
    <row r="32" spans="1:21">
      <c r="A32" s="26" t="s">
        <v>412</v>
      </c>
    </row>
    <row r="33" spans="1:1">
      <c r="A33" s="26" t="s">
        <v>413</v>
      </c>
    </row>
  </sheetData>
  <mergeCells count="1">
    <mergeCell ref="A2:N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8"/>
  <sheetViews>
    <sheetView showGridLines="0" rightToLeft="1" topLeftCell="A17" zoomScaleNormal="100" workbookViewId="0"/>
  </sheetViews>
  <sheetFormatPr defaultColWidth="8.7109375" defaultRowHeight="15"/>
  <cols>
    <col min="1" max="1" width="52" customWidth="1"/>
    <col min="2" max="2" width="14" customWidth="1"/>
    <col min="3" max="3" width="60" customWidth="1"/>
    <col min="4" max="6" width="14" customWidth="1"/>
  </cols>
  <sheetData>
    <row r="1" spans="1:3" ht="18">
      <c r="A1" s="15" t="s">
        <v>414</v>
      </c>
    </row>
    <row r="3" spans="1:3" ht="42" customHeight="1">
      <c r="A3" s="17" t="s">
        <v>415</v>
      </c>
      <c r="B3" s="17" t="s">
        <v>416</v>
      </c>
      <c r="C3" s="17" t="s">
        <v>34</v>
      </c>
    </row>
    <row r="4" spans="1:3">
      <c r="A4" s="21" t="s">
        <v>417</v>
      </c>
      <c r="B4" s="67">
        <f>Val_IRR_Packages!E8/Val_IRR_Packages!E5</f>
        <v>23.863333563610883</v>
      </c>
      <c r="C4" s="61" t="s">
        <v>418</v>
      </c>
    </row>
    <row r="5" spans="1:3">
      <c r="A5" s="21" t="s">
        <v>419</v>
      </c>
      <c r="B5" s="67">
        <f>Val_EUR_Pumps!E10</f>
        <v>1.3454191161176612</v>
      </c>
      <c r="C5" s="61" t="s">
        <v>420</v>
      </c>
    </row>
    <row r="6" spans="1:3">
      <c r="A6" s="21" t="s">
        <v>421</v>
      </c>
      <c r="B6" s="71">
        <f>B4*B5</f>
        <v>32.106185150774273</v>
      </c>
      <c r="C6" s="61" t="s">
        <v>422</v>
      </c>
    </row>
    <row r="7" spans="1:3">
      <c r="A7" s="21" t="s">
        <v>423</v>
      </c>
      <c r="B7" s="67">
        <f>Val_IRR_Packages!E10</f>
        <v>16.374094675593081</v>
      </c>
      <c r="C7" s="61" t="s">
        <v>424</v>
      </c>
    </row>
    <row r="8" spans="1:3">
      <c r="A8" s="21" t="s">
        <v>425</v>
      </c>
      <c r="B8" s="67">
        <f>Val_IRR_Packages!H28</f>
        <v>35.428571428571431</v>
      </c>
      <c r="C8" s="61" t="s">
        <v>426</v>
      </c>
    </row>
    <row r="9" spans="1:3">
      <c r="A9" s="21" t="s">
        <v>427</v>
      </c>
      <c r="B9" s="67">
        <f>MEDIAN(Val_EUR_Pumps!N18:N35)</f>
        <v>1.7686022222222222</v>
      </c>
      <c r="C9" s="61" t="s">
        <v>428</v>
      </c>
    </row>
    <row r="10" spans="1:3">
      <c r="A10" s="21" t="s">
        <v>429</v>
      </c>
      <c r="B10" s="67">
        <f>SUMPRODUCT((Val_EUR_Pumps!L18:L35="Y")*Val_EUR_Pumps!E18:E35*Val_EUR_Pumps!J18:J35)/SUMPRODUCT((Val_EUR_Pumps!L18:L35="Y")*Val_EUR_Pumps!E18:E35*Val_EUR_Pumps!F18:F35)</f>
        <v>1.3615409622886867</v>
      </c>
      <c r="C10" s="61" t="s">
        <v>430</v>
      </c>
    </row>
    <row r="11" spans="1:3">
      <c r="A11" s="21" t="s">
        <v>431</v>
      </c>
      <c r="B11" s="67">
        <f>1+Indices!G44</f>
        <v>1.134098216552885</v>
      </c>
      <c r="C11" s="61" t="s">
        <v>432</v>
      </c>
    </row>
    <row r="12" spans="1:3">
      <c r="A12" s="21" t="s">
        <v>433</v>
      </c>
      <c r="B12" s="67">
        <f>B11*Val_EUR_Pumps!E14/Val_EUR_Pumps!E15</f>
        <v>1.1809187851261691</v>
      </c>
      <c r="C12" s="61" t="s">
        <v>434</v>
      </c>
    </row>
    <row r="13" spans="1:3">
      <c r="A13" s="21" t="s">
        <v>435</v>
      </c>
      <c r="B13" s="55">
        <f>Indices!C6*(B12-1)</f>
        <v>5.4275635537850732E-2</v>
      </c>
      <c r="C13" s="61" t="s">
        <v>436</v>
      </c>
    </row>
    <row r="15" spans="1:3">
      <c r="A15" s="16" t="s">
        <v>437</v>
      </c>
    </row>
    <row r="16" spans="1:3">
      <c r="A16" s="21" t="s">
        <v>438</v>
      </c>
    </row>
    <row r="17" spans="1:6">
      <c r="A17" s="21" t="s">
        <v>439</v>
      </c>
    </row>
    <row r="18" spans="1:6">
      <c r="A18" s="21" t="s">
        <v>440</v>
      </c>
    </row>
    <row r="19" spans="1:6">
      <c r="A19" s="21" t="s">
        <v>441</v>
      </c>
    </row>
    <row r="22" spans="1:6">
      <c r="A22" s="16" t="s">
        <v>442</v>
      </c>
    </row>
    <row r="23" spans="1:6" ht="42" customHeight="1">
      <c r="A23" s="17" t="s">
        <v>224</v>
      </c>
      <c r="B23" s="17" t="s">
        <v>443</v>
      </c>
      <c r="C23" s="17" t="s">
        <v>444</v>
      </c>
      <c r="D23" s="17" t="s">
        <v>445</v>
      </c>
      <c r="E23" s="17" t="s">
        <v>446</v>
      </c>
      <c r="F23" s="17" t="s">
        <v>447</v>
      </c>
    </row>
    <row r="24" spans="1:6">
      <c r="A24" s="53">
        <v>1393</v>
      </c>
      <c r="B24" s="25">
        <f>INDEX(Indices!$C$51:$C$71,MATCH(A24,Indices!$A$51:$A$71,0))/INDEX(Indices!$C$51:$C$71,MATCH(1393,Indices!$A$51:$A$71,0))</f>
        <v>1</v>
      </c>
      <c r="C24" s="59">
        <f>INDEX(Indices!$G$51:$G$71,MATCH(A24,Indices!$A$51:$A$71,0))/INDEX(Indices!$G$51:$G$71,MATCH(1393,Indices!$A$51:$A$71,0))</f>
        <v>1</v>
      </c>
      <c r="D24" s="59">
        <f t="shared" ref="D24:D36" si="0">B24*C24</f>
        <v>1</v>
      </c>
      <c r="E24" s="59">
        <f>INDEX(Indices!$I$51:$I$71,MATCH(A24,Indices!$A$51:$A$71,0))/INDEX(Indices!$I$51:$I$71,MATCH(1393,Indices!$A$51:$A$71,0))</f>
        <v>1</v>
      </c>
      <c r="F24" s="59">
        <f t="shared" ref="F24:F36" si="1">D24/E24</f>
        <v>1</v>
      </c>
    </row>
    <row r="25" spans="1:6">
      <c r="A25" s="53">
        <v>1394</v>
      </c>
      <c r="B25" s="25">
        <f>INDEX(Indices!$C$51:$C$71,MATCH(A25,Indices!$A$51:$A$71,0))/INDEX(Indices!$C$51:$C$71,MATCH(1393,Indices!$A$51:$A$71,0))</f>
        <v>1.0076630869103529</v>
      </c>
      <c r="C25" s="59">
        <f>INDEX(Indices!$G$51:$G$71,MATCH(A25,Indices!$A$51:$A$71,0))/INDEX(Indices!$G$51:$G$71,MATCH(1393,Indices!$A$51:$A$71,0))</f>
        <v>0.91745043275731042</v>
      </c>
      <c r="D25" s="59">
        <f t="shared" si="0"/>
        <v>0.92448093515947061</v>
      </c>
      <c r="E25" s="59">
        <f>INDEX(Indices!$I$51:$I$71,MATCH(A25,Indices!$A$51:$A$71,0))/INDEX(Indices!$I$51:$I$71,MATCH(1393,Indices!$A$51:$A$71,0))</f>
        <v>1.119</v>
      </c>
      <c r="F25" s="59">
        <f t="shared" si="1"/>
        <v>0.82616705554912473</v>
      </c>
    </row>
    <row r="26" spans="1:6">
      <c r="A26" s="53">
        <v>1395</v>
      </c>
      <c r="B26" s="25">
        <f>INDEX(Indices!$C$51:$C$71,MATCH(A26,Indices!$A$51:$A$71,0))/INDEX(Indices!$C$51:$C$71,MATCH(1393,Indices!$A$51:$A$71,0))</f>
        <v>1.0160158516426372</v>
      </c>
      <c r="C26" s="59">
        <f>INDEX(Indices!$G$51:$G$71,MATCH(A26,Indices!$A$51:$A$71,0))/INDEX(Indices!$G$51:$G$71,MATCH(1393,Indices!$A$51:$A$71,0))</f>
        <v>0.99961017300423372</v>
      </c>
      <c r="D26" s="59">
        <f t="shared" si="0"/>
        <v>1.0156197812355403</v>
      </c>
      <c r="E26" s="59">
        <f>INDEX(Indices!$I$51:$I$71,MATCH(A26,Indices!$A$51:$A$71,0))/INDEX(Indices!$I$51:$I$71,MATCH(1393,Indices!$A$51:$A$71,0))</f>
        <v>1.2197100000000003</v>
      </c>
      <c r="F26" s="59">
        <f t="shared" si="1"/>
        <v>0.83267316102642441</v>
      </c>
    </row>
    <row r="27" spans="1:6">
      <c r="A27" s="53">
        <v>1396</v>
      </c>
      <c r="B27" s="25">
        <f>INDEX(Indices!$C$51:$C$71,MATCH(A27,Indices!$A$51:$A$71,0))/INDEX(Indices!$C$51:$C$71,MATCH(1393,Indices!$A$51:$A$71,0))</f>
        <v>1.0269631186574271</v>
      </c>
      <c r="C27" s="59">
        <f>INDEX(Indices!$G$51:$G$71,MATCH(A27,Indices!$A$51:$A$71,0))/INDEX(Indices!$G$51:$G$71,MATCH(1393,Indices!$A$51:$A$71,0))</f>
        <v>1.14308131100299</v>
      </c>
      <c r="D27" s="59">
        <f t="shared" si="0"/>
        <v>1.1739023480266511</v>
      </c>
      <c r="E27" s="59">
        <f>INDEX(Indices!$I$51:$I$71,MATCH(A27,Indices!$A$51:$A$71,0))/INDEX(Indices!$I$51:$I$71,MATCH(1393,Indices!$A$51:$A$71,0))</f>
        <v>1.3368021600000004</v>
      </c>
      <c r="F27" s="59">
        <f t="shared" si="1"/>
        <v>0.87814216879081841</v>
      </c>
    </row>
    <row r="28" spans="1:6">
      <c r="A28" s="53">
        <v>1397</v>
      </c>
      <c r="B28" s="25">
        <f>INDEX(Indices!$C$51:$C$71,MATCH(A28,Indices!$A$51:$A$71,0))/INDEX(Indices!$C$51:$C$71,MATCH(1393,Indices!$A$51:$A$71,0))</f>
        <v>1.0397495265307015</v>
      </c>
      <c r="C28" s="59">
        <f>INDEX(Indices!$G$51:$G$71,MATCH(A28,Indices!$A$51:$A$71,0))/INDEX(Indices!$G$51:$G$71,MATCH(1393,Indices!$A$51:$A$71,0))</f>
        <v>2.4746612452751982</v>
      </c>
      <c r="D28" s="59">
        <f t="shared" si="0"/>
        <v>2.5730278580987633</v>
      </c>
      <c r="E28" s="59">
        <f>INDEX(Indices!$I$51:$I$71,MATCH(A28,Indices!$A$51:$A$71,0))/INDEX(Indices!$I$51:$I$71,MATCH(1393,Indices!$A$51:$A$71,0))</f>
        <v>1.7538844339200006</v>
      </c>
      <c r="F28" s="59">
        <f t="shared" si="1"/>
        <v>1.4670452672574013</v>
      </c>
    </row>
    <row r="29" spans="1:6">
      <c r="A29" s="53">
        <v>1398</v>
      </c>
      <c r="B29" s="25">
        <f>INDEX(Indices!$C$51:$C$71,MATCH(A29,Indices!$A$51:$A$71,0))/INDEX(Indices!$C$51:$C$71,MATCH(1393,Indices!$A$51:$A$71,0))</f>
        <v>1.0585350367280808</v>
      </c>
      <c r="C29" s="59">
        <f>INDEX(Indices!$G$51:$G$71,MATCH(A29,Indices!$A$51:$A$71,0))/INDEX(Indices!$G$51:$G$71,MATCH(1393,Indices!$A$51:$A$71,0))</f>
        <v>3.3159967234794276</v>
      </c>
      <c r="D29" s="59">
        <f t="shared" si="0"/>
        <v>3.5100987134784916</v>
      </c>
      <c r="E29" s="59">
        <f>INDEX(Indices!$I$51:$I$71,MATCH(A29,Indices!$A$51:$A$71,0))/INDEX(Indices!$I$51:$I$71,MATCH(1393,Indices!$A$51:$A$71,0))</f>
        <v>2.4764848206950405</v>
      </c>
      <c r="F29" s="59">
        <f t="shared" si="1"/>
        <v>1.4173713822697129</v>
      </c>
    </row>
    <row r="30" spans="1:6">
      <c r="A30" s="53">
        <v>1399</v>
      </c>
      <c r="B30" s="25">
        <f>INDEX(Indices!$C$51:$C$71,MATCH(A30,Indices!$A$51:$A$71,0))/INDEX(Indices!$C$51:$C$71,MATCH(1393,Indices!$A$51:$A$71,0))</f>
        <v>1.0757003514072712</v>
      </c>
      <c r="C30" s="59">
        <f>INDEX(Indices!$G$51:$G$71,MATCH(A30,Indices!$A$51:$A$71,0))/INDEX(Indices!$G$51:$G$71,MATCH(1393,Indices!$A$51:$A$71,0))</f>
        <v>6.7504219013688349</v>
      </c>
      <c r="D30" s="59">
        <f t="shared" si="0"/>
        <v>7.2614312114497954</v>
      </c>
      <c r="E30" s="59">
        <f>INDEX(Indices!$I$51:$I$71,MATCH(A30,Indices!$A$51:$A$71,0))/INDEX(Indices!$I$51:$I$71,MATCH(1393,Indices!$A$51:$A$71,0))</f>
        <v>3.6404326864217094</v>
      </c>
      <c r="F30" s="59">
        <f t="shared" si="1"/>
        <v>1.9946615792496014</v>
      </c>
    </row>
    <row r="31" spans="1:6">
      <c r="A31" s="53">
        <v>1400</v>
      </c>
      <c r="B31" s="25">
        <f>INDEX(Indices!$C$51:$C$71,MATCH(A31,Indices!$A$51:$A$71,0))/INDEX(Indices!$C$51:$C$71,MATCH(1393,Indices!$A$51:$A$71,0))</f>
        <v>1.1161067139588601</v>
      </c>
      <c r="C31" s="59">
        <f>INDEX(Indices!$G$51:$G$71,MATCH(A31,Indices!$A$51:$A$71,0))/INDEX(Indices!$G$51:$G$71,MATCH(1393,Indices!$A$51:$A$71,0))</f>
        <v>7.8606886614623939</v>
      </c>
      <c r="D31" s="59">
        <f t="shared" si="0"/>
        <v>8.7733673913984624</v>
      </c>
      <c r="E31" s="59">
        <f>INDEX(Indices!$I$51:$I$71,MATCH(A31,Indices!$A$51:$A$71,0))/INDEX(Indices!$I$51:$I$71,MATCH(1393,Indices!$A$51:$A$71,0))</f>
        <v>5.3223125875485389</v>
      </c>
      <c r="F31" s="59">
        <f t="shared" si="1"/>
        <v>1.648412649028471</v>
      </c>
    </row>
    <row r="32" spans="1:6">
      <c r="A32" s="53">
        <v>1401</v>
      </c>
      <c r="B32" s="25">
        <f>INDEX(Indices!$C$51:$C$71,MATCH(A32,Indices!$A$51:$A$71,0))/INDEX(Indices!$C$51:$C$71,MATCH(1393,Indices!$A$51:$A$71,0))</f>
        <v>1.2179162971964048</v>
      </c>
      <c r="C32" s="59">
        <f>INDEX(Indices!$G$51:$G$71,MATCH(A32,Indices!$A$51:$A$71,0))/INDEX(Indices!$G$51:$G$71,MATCH(1393,Indices!$A$51:$A$71,0))</f>
        <v>9.0671785407640595</v>
      </c>
      <c r="D32" s="59">
        <f t="shared" si="0"/>
        <v>11.043064514386064</v>
      </c>
      <c r="E32" s="59">
        <f>INDEX(Indices!$I$51:$I$71,MATCH(A32,Indices!$A$51:$A$71,0))/INDEX(Indices!$I$51:$I$71,MATCH(1393,Indices!$A$51:$A$71,0))</f>
        <v>7.7971879407586098</v>
      </c>
      <c r="F32" s="59">
        <f t="shared" si="1"/>
        <v>1.4162881026196803</v>
      </c>
    </row>
    <row r="33" spans="1:6">
      <c r="A33" s="53">
        <v>1402</v>
      </c>
      <c r="B33" s="25">
        <f>INDEX(Indices!$C$51:$C$71,MATCH(A33,Indices!$A$51:$A$71,0))/INDEX(Indices!$C$51:$C$71,MATCH(1393,Indices!$A$51:$A$71,0))</f>
        <v>1.3054725387806934</v>
      </c>
      <c r="C33" s="59">
        <f>INDEX(Indices!$G$51:$G$71,MATCH(A33,Indices!$A$51:$A$71,0))/INDEX(Indices!$G$51:$G$71,MATCH(1393,Indices!$A$51:$A$71,0))</f>
        <v>13.856129165967609</v>
      </c>
      <c r="D33" s="59">
        <f t="shared" si="0"/>
        <v>18.088796119968947</v>
      </c>
      <c r="E33" s="59">
        <f>INDEX(Indices!$I$51:$I$71,MATCH(A33,Indices!$A$51:$A$71,0))/INDEX(Indices!$I$51:$I$71,MATCH(1393,Indices!$A$51:$A$71,0))</f>
        <v>11.695781911137916</v>
      </c>
      <c r="F33" s="59">
        <f t="shared" si="1"/>
        <v>1.5466085343762226</v>
      </c>
    </row>
    <row r="34" spans="1:6">
      <c r="A34" s="53">
        <v>1403</v>
      </c>
      <c r="B34" s="25">
        <f>INDEX(Indices!$C$51:$C$71,MATCH(A34,Indices!$A$51:$A$71,0))/INDEX(Indices!$C$51:$C$71,MATCH(1393,Indices!$A$51:$A$71,0))</f>
        <v>1.3350411069876404</v>
      </c>
      <c r="C34" s="59">
        <f>INDEX(Indices!$G$51:$G$71,MATCH(A34,Indices!$A$51:$A$71,0))/INDEX(Indices!$G$51:$G$71,MATCH(1393,Indices!$A$51:$A$71,0))</f>
        <v>17.053697435037058</v>
      </c>
      <c r="D34" s="59">
        <f t="shared" si="0"/>
        <v>22.767387101904159</v>
      </c>
      <c r="E34" s="59">
        <f>INDEX(Indices!$I$51:$I$71,MATCH(A34,Indices!$A$51:$A$71,0))/INDEX(Indices!$I$51:$I$71,MATCH(1393,Indices!$A$51:$A$71,0))</f>
        <v>16.374094675593081</v>
      </c>
      <c r="F34" s="59">
        <f t="shared" si="1"/>
        <v>1.3904516587314473</v>
      </c>
    </row>
    <row r="35" spans="1:6">
      <c r="A35" s="53">
        <v>1404</v>
      </c>
      <c r="B35" s="25">
        <f>INDEX(Indices!$C$51:$C$71,MATCH(A35,Indices!$A$51:$A$71,0))/INDEX(Indices!$C$51:$C$71,MATCH(1393,Indices!$A$51:$A$71,0))</f>
        <v>1.3510698764053553</v>
      </c>
      <c r="C35" s="59">
        <f>INDEX(Indices!$G$51:$G$71,MATCH(A35,Indices!$A$51:$A$71,0))/INDEX(Indices!$G$51:$G$71,MATCH(1393,Indices!$A$51:$A$71,0))</f>
        <v>27.880031975682687</v>
      </c>
      <c r="D35" s="59">
        <f t="shared" si="0"/>
        <v>37.667871355562959</v>
      </c>
      <c r="E35" s="59">
        <f>INDEX(Indices!$I$51:$I$71,MATCH(A35,Indices!$A$51:$A$71,0))/INDEX(Indices!$I$51:$I$71,MATCH(1393,Indices!$A$51:$A$71,0))</f>
        <v>26.198551480948929</v>
      </c>
      <c r="F35" s="59">
        <f t="shared" si="1"/>
        <v>1.4377845043438486</v>
      </c>
    </row>
    <row r="36" spans="1:6">
      <c r="A36" s="53">
        <v>1405</v>
      </c>
      <c r="B36" s="25">
        <f>INDEX(Indices!$C$51:$C$71,MATCH(A36,Indices!$A$51:$A$71,0))/INDEX(Indices!$C$51:$C$71,MATCH(1393,Indices!$A$51:$A$71,0))</f>
        <v>1.3780912739334623</v>
      </c>
      <c r="C36" s="59">
        <f>INDEX(Indices!$G$51:$G$71,MATCH(A36,Indices!$A$51:$A$71,0))/INDEX(Indices!$G$51:$G$71,MATCH(1393,Indices!$A$51:$A$71,0))</f>
        <v>70.933709672644014</v>
      </c>
      <c r="D36" s="59">
        <f t="shared" si="0"/>
        <v>97.753126327600341</v>
      </c>
      <c r="E36" s="59">
        <f>INDEX(Indices!$I$51:$I$71,MATCH(A36,Indices!$A$51:$A$71,0))/INDEX(Indices!$I$51:$I$71,MATCH(1393,Indices!$A$51:$A$71,0))</f>
        <v>31.438261777138717</v>
      </c>
      <c r="F36" s="59">
        <f t="shared" si="1"/>
        <v>3.1093680376020179</v>
      </c>
    </row>
    <row r="38" spans="1:6">
      <c r="A38" s="26" t="s">
        <v>448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24"/>
  <sheetViews>
    <sheetView showGridLines="0" rightToLeft="1" zoomScaleNormal="100" workbookViewId="0">
      <pane xSplit="3" ySplit="10" topLeftCell="D14" activePane="bottomRight" state="frozen"/>
      <selection pane="topRight" activeCell="D1" sqref="D1"/>
      <selection pane="bottomLeft" activeCell="A11" sqref="A11"/>
      <selection pane="bottomRight" activeCell="D8" sqref="D8"/>
    </sheetView>
  </sheetViews>
  <sheetFormatPr defaultColWidth="8.7109375" defaultRowHeight="15"/>
  <cols>
    <col min="1" max="1" width="22" customWidth="1"/>
    <col min="2" max="2" width="13" customWidth="1"/>
    <col min="3" max="3" width="32" customWidth="1"/>
    <col min="4" max="4" width="19.28515625" style="91" customWidth="1"/>
    <col min="5" max="5" width="6" customWidth="1"/>
    <col min="6" max="6" width="7" customWidth="1"/>
    <col min="7" max="7" width="6" customWidth="1"/>
    <col min="8" max="8" width="15" customWidth="1"/>
    <col min="9" max="9" width="12" customWidth="1"/>
    <col min="10" max="10" width="11" customWidth="1"/>
    <col min="11" max="11" width="8" customWidth="1"/>
    <col min="12" max="12" width="11" customWidth="1"/>
    <col min="13" max="13" width="7" customWidth="1"/>
    <col min="14" max="14" width="11" customWidth="1"/>
    <col min="15" max="15" width="17" customWidth="1"/>
    <col min="16" max="16" width="18" customWidth="1"/>
    <col min="17" max="17" width="17" customWidth="1"/>
    <col min="18" max="18" width="9" customWidth="1"/>
    <col min="19" max="19" width="40" customWidth="1"/>
  </cols>
  <sheetData>
    <row r="1" spans="1:19" ht="18">
      <c r="A1" s="15" t="s">
        <v>449</v>
      </c>
    </row>
    <row r="3" spans="1:19">
      <c r="A3" s="21" t="s">
        <v>450</v>
      </c>
      <c r="D3" s="106">
        <v>1405</v>
      </c>
      <c r="F3" s="61" t="s">
        <v>451</v>
      </c>
    </row>
    <row r="4" spans="1:19">
      <c r="A4" s="21" t="s">
        <v>452</v>
      </c>
      <c r="D4" s="107">
        <v>2850000</v>
      </c>
      <c r="F4" s="63" t="s">
        <v>453</v>
      </c>
    </row>
    <row r="5" spans="1:19">
      <c r="A5" s="21" t="s">
        <v>454</v>
      </c>
      <c r="D5" s="108"/>
    </row>
    <row r="6" spans="1:19">
      <c r="A6" s="21" t="s">
        <v>455</v>
      </c>
      <c r="D6" s="107">
        <f>IF(D5="",D4,D5)</f>
        <v>2850000</v>
      </c>
    </row>
    <row r="7" spans="1:19">
      <c r="A7" s="21" t="s">
        <v>456</v>
      </c>
      <c r="D7" s="109">
        <f>Val_EUR_Pumps!E16</f>
        <v>25000</v>
      </c>
    </row>
    <row r="8" spans="1:19">
      <c r="A8" s="21" t="s">
        <v>457</v>
      </c>
      <c r="D8" s="110">
        <f>INDEX(Indices!$C$51:$C$71,MATCH(D3,Indices!$A$51:$A$71,0))/INDEX(Indices!$C$51:$C$71,MATCH(1404,Indices!$A$51:$A$71,0))</f>
        <v>1.02</v>
      </c>
    </row>
    <row r="10" spans="1:19" ht="42" customHeight="1">
      <c r="A10" s="17" t="s">
        <v>246</v>
      </c>
      <c r="B10" s="17" t="s">
        <v>266</v>
      </c>
      <c r="C10" s="17" t="s">
        <v>267</v>
      </c>
      <c r="D10" s="17" t="s">
        <v>458</v>
      </c>
      <c r="E10" s="17" t="s">
        <v>25</v>
      </c>
      <c r="F10" s="17" t="s">
        <v>66</v>
      </c>
      <c r="G10" s="17" t="s">
        <v>459</v>
      </c>
      <c r="H10" s="17" t="s">
        <v>12</v>
      </c>
      <c r="I10" s="17" t="s">
        <v>460</v>
      </c>
      <c r="J10" s="17" t="s">
        <v>69</v>
      </c>
      <c r="K10" s="17" t="s">
        <v>461</v>
      </c>
      <c r="L10" s="17" t="s">
        <v>462</v>
      </c>
      <c r="M10" s="17" t="s">
        <v>276</v>
      </c>
      <c r="N10" s="17" t="s">
        <v>71</v>
      </c>
      <c r="O10" s="17" t="s">
        <v>463</v>
      </c>
      <c r="P10" s="17" t="s">
        <v>73</v>
      </c>
      <c r="Q10" s="17" t="s">
        <v>464</v>
      </c>
      <c r="R10" s="17" t="s">
        <v>465</v>
      </c>
      <c r="S10" s="17" t="s">
        <v>466</v>
      </c>
    </row>
    <row r="11" spans="1:19">
      <c r="A11" s="21" t="s">
        <v>467</v>
      </c>
      <c r="B11" s="21" t="s">
        <v>468</v>
      </c>
      <c r="C11" s="21" t="s">
        <v>469</v>
      </c>
      <c r="D11" s="111" t="s">
        <v>470</v>
      </c>
      <c r="E11" s="66">
        <v>3</v>
      </c>
      <c r="F11" s="66">
        <v>1394</v>
      </c>
      <c r="G11" s="68" t="s">
        <v>15</v>
      </c>
      <c r="H11" s="58">
        <v>55000</v>
      </c>
      <c r="I11" s="58">
        <v>1</v>
      </c>
      <c r="J11" s="24">
        <f t="shared" ref="J11:J42" si="0">H11/I11</f>
        <v>55000</v>
      </c>
      <c r="K11" s="25">
        <f>INDEX(Indices!$C$51:$C$71,MATCH($D$3,Indices!$A$51:$A$71,0))/INDEX(Indices!$C$51:$C$71,MATCH(F11,Indices!$A$51:$A$71,0))</f>
        <v>1.3676111508251219</v>
      </c>
      <c r="L11" s="24">
        <f t="shared" ref="L11:L42" si="1">J11*K11</f>
        <v>75218.6132953817</v>
      </c>
      <c r="M11" s="68" t="s">
        <v>303</v>
      </c>
      <c r="N11" s="24">
        <f t="shared" ref="N11:N42" si="2">IF(M11="Y",MAX(L11,$D$7*$D$8),L11)</f>
        <v>75218.6132953817</v>
      </c>
      <c r="O11" s="24">
        <f t="shared" ref="O11:O42" si="3">N11*$D$6</f>
        <v>214373047891.83783</v>
      </c>
      <c r="P11" s="24">
        <f t="shared" ref="P11:P42" si="4">O11*E11</f>
        <v>643119143675.51343</v>
      </c>
      <c r="Q11" s="58">
        <v>253556273612.64001</v>
      </c>
      <c r="R11" s="55">
        <f t="shared" ref="R11:R42" si="5">IF(Q11="","",O11/Q11-1)</f>
        <v>-0.1545346331310371</v>
      </c>
      <c r="S11" s="61"/>
    </row>
    <row r="12" spans="1:19">
      <c r="A12" s="21" t="s">
        <v>467</v>
      </c>
      <c r="B12" s="21" t="s">
        <v>471</v>
      </c>
      <c r="C12" s="21" t="s">
        <v>472</v>
      </c>
      <c r="D12" s="111" t="s">
        <v>470</v>
      </c>
      <c r="E12" s="66">
        <v>3</v>
      </c>
      <c r="F12" s="66">
        <v>1394</v>
      </c>
      <c r="G12" s="68" t="s">
        <v>15</v>
      </c>
      <c r="H12" s="58">
        <v>60000</v>
      </c>
      <c r="I12" s="58">
        <v>1</v>
      </c>
      <c r="J12" s="24">
        <f t="shared" si="0"/>
        <v>60000</v>
      </c>
      <c r="K12" s="25">
        <f>INDEX(Indices!$C$51:$C$71,MATCH($D$3,Indices!$A$51:$A$71,0))/INDEX(Indices!$C$51:$C$71,MATCH(F12,Indices!$A$51:$A$71,0))</f>
        <v>1.3676111508251219</v>
      </c>
      <c r="L12" s="24">
        <f t="shared" si="1"/>
        <v>82056.669049507313</v>
      </c>
      <c r="M12" s="68" t="s">
        <v>303</v>
      </c>
      <c r="N12" s="24">
        <f t="shared" si="2"/>
        <v>82056.669049507313</v>
      </c>
      <c r="O12" s="24">
        <f t="shared" si="3"/>
        <v>233861506791.09586</v>
      </c>
      <c r="P12" s="24">
        <f t="shared" si="4"/>
        <v>701584520373.2876</v>
      </c>
      <c r="Q12" s="58">
        <v>276606843941.06201</v>
      </c>
      <c r="R12" s="55">
        <f t="shared" si="5"/>
        <v>-0.15453463313103744</v>
      </c>
      <c r="S12" s="61"/>
    </row>
    <row r="13" spans="1:19">
      <c r="A13" s="21" t="s">
        <v>467</v>
      </c>
      <c r="B13" s="21" t="s">
        <v>473</v>
      </c>
      <c r="C13" s="21" t="s">
        <v>318</v>
      </c>
      <c r="D13" s="111" t="s">
        <v>474</v>
      </c>
      <c r="E13" s="66">
        <v>2</v>
      </c>
      <c r="F13" s="66">
        <v>1394</v>
      </c>
      <c r="G13" s="68" t="s">
        <v>15</v>
      </c>
      <c r="H13" s="58">
        <v>10000</v>
      </c>
      <c r="I13" s="58">
        <v>1</v>
      </c>
      <c r="J13" s="24">
        <f t="shared" si="0"/>
        <v>10000</v>
      </c>
      <c r="K13" s="25">
        <f>INDEX(Indices!$C$51:$C$71,MATCH($D$3,Indices!$A$51:$A$71,0))/INDEX(Indices!$C$51:$C$71,MATCH(F13,Indices!$A$51:$A$71,0))</f>
        <v>1.3676111508251219</v>
      </c>
      <c r="L13" s="24">
        <f t="shared" si="1"/>
        <v>13676.111508251219</v>
      </c>
      <c r="M13" s="68" t="s">
        <v>308</v>
      </c>
      <c r="N13" s="24">
        <f t="shared" si="2"/>
        <v>13676.111508251219</v>
      </c>
      <c r="O13" s="24">
        <f t="shared" si="3"/>
        <v>38976917798.515976</v>
      </c>
      <c r="P13" s="24">
        <f t="shared" si="4"/>
        <v>77953835597.031952</v>
      </c>
      <c r="Q13" s="58">
        <v>43288163259.346001</v>
      </c>
      <c r="R13" s="55">
        <f t="shared" si="5"/>
        <v>-9.9594095388170989E-2</v>
      </c>
      <c r="S13" s="61"/>
    </row>
    <row r="14" spans="1:19">
      <c r="A14" s="21" t="s">
        <v>467</v>
      </c>
      <c r="B14" s="21" t="s">
        <v>314</v>
      </c>
      <c r="C14" s="21" t="s">
        <v>475</v>
      </c>
      <c r="D14" s="111" t="s">
        <v>470</v>
      </c>
      <c r="E14" s="66">
        <v>2</v>
      </c>
      <c r="F14" s="66">
        <v>1394</v>
      </c>
      <c r="G14" s="68" t="s">
        <v>15</v>
      </c>
      <c r="H14" s="58">
        <v>30000</v>
      </c>
      <c r="I14" s="58">
        <v>1</v>
      </c>
      <c r="J14" s="24">
        <f t="shared" si="0"/>
        <v>30000</v>
      </c>
      <c r="K14" s="25">
        <f>INDEX(Indices!$C$51:$C$71,MATCH($D$3,Indices!$A$51:$A$71,0))/INDEX(Indices!$C$51:$C$71,MATCH(F14,Indices!$A$51:$A$71,0))</f>
        <v>1.3676111508251219</v>
      </c>
      <c r="L14" s="24">
        <f t="shared" si="1"/>
        <v>41028.334524753656</v>
      </c>
      <c r="M14" s="68" t="s">
        <v>303</v>
      </c>
      <c r="N14" s="24">
        <f t="shared" si="2"/>
        <v>41028.334524753656</v>
      </c>
      <c r="O14" s="24">
        <f t="shared" si="3"/>
        <v>116930753395.54793</v>
      </c>
      <c r="P14" s="24">
        <f t="shared" si="4"/>
        <v>233861506791.09586</v>
      </c>
      <c r="Q14" s="58">
        <v>138303421970.53101</v>
      </c>
      <c r="R14" s="55">
        <f t="shared" si="5"/>
        <v>-0.15453463313103744</v>
      </c>
      <c r="S14" s="61"/>
    </row>
    <row r="15" spans="1:19">
      <c r="A15" s="21" t="s">
        <v>467</v>
      </c>
      <c r="B15" s="21" t="s">
        <v>317</v>
      </c>
      <c r="C15" s="21" t="s">
        <v>315</v>
      </c>
      <c r="D15" s="111" t="s">
        <v>470</v>
      </c>
      <c r="E15" s="66">
        <v>2</v>
      </c>
      <c r="F15" s="66">
        <v>1394</v>
      </c>
      <c r="G15" s="68" t="s">
        <v>15</v>
      </c>
      <c r="H15" s="58">
        <v>210000</v>
      </c>
      <c r="I15" s="58">
        <v>1</v>
      </c>
      <c r="J15" s="24">
        <f t="shared" si="0"/>
        <v>210000</v>
      </c>
      <c r="K15" s="25">
        <f>INDEX(Indices!$C$51:$C$71,MATCH($D$3,Indices!$A$51:$A$71,0))/INDEX(Indices!$C$51:$C$71,MATCH(F15,Indices!$A$51:$A$71,0))</f>
        <v>1.3676111508251219</v>
      </c>
      <c r="L15" s="24">
        <f t="shared" si="1"/>
        <v>287198.34167327557</v>
      </c>
      <c r="M15" s="68" t="s">
        <v>303</v>
      </c>
      <c r="N15" s="24">
        <f t="shared" si="2"/>
        <v>287198.34167327557</v>
      </c>
      <c r="O15" s="24">
        <f t="shared" si="3"/>
        <v>818515273768.83533</v>
      </c>
      <c r="P15" s="24">
        <f t="shared" si="4"/>
        <v>1637030547537.6707</v>
      </c>
      <c r="Q15" s="58">
        <v>968123953793.71594</v>
      </c>
      <c r="R15" s="55">
        <f t="shared" si="5"/>
        <v>-0.15453463313103666</v>
      </c>
      <c r="S15" s="61"/>
    </row>
    <row r="16" spans="1:19">
      <c r="A16" s="21" t="s">
        <v>467</v>
      </c>
      <c r="B16" s="21" t="s">
        <v>476</v>
      </c>
      <c r="C16" s="21" t="s">
        <v>315</v>
      </c>
      <c r="D16" s="111" t="s">
        <v>470</v>
      </c>
      <c r="E16" s="66">
        <v>2</v>
      </c>
      <c r="F16" s="66">
        <v>1394</v>
      </c>
      <c r="G16" s="68" t="s">
        <v>15</v>
      </c>
      <c r="H16" s="58">
        <v>150000</v>
      </c>
      <c r="I16" s="58">
        <v>1</v>
      </c>
      <c r="J16" s="24">
        <f t="shared" si="0"/>
        <v>150000</v>
      </c>
      <c r="K16" s="25">
        <f>INDEX(Indices!$C$51:$C$71,MATCH($D$3,Indices!$A$51:$A$71,0))/INDEX(Indices!$C$51:$C$71,MATCH(F16,Indices!$A$51:$A$71,0))</f>
        <v>1.3676111508251219</v>
      </c>
      <c r="L16" s="24">
        <f t="shared" si="1"/>
        <v>205141.67262376827</v>
      </c>
      <c r="M16" s="68" t="s">
        <v>303</v>
      </c>
      <c r="N16" s="24">
        <f t="shared" si="2"/>
        <v>205141.67262376827</v>
      </c>
      <c r="O16" s="24">
        <f t="shared" si="3"/>
        <v>584653766977.73962</v>
      </c>
      <c r="P16" s="24">
        <f t="shared" si="4"/>
        <v>1169307533955.4792</v>
      </c>
      <c r="Q16" s="58">
        <v>691517109852.65503</v>
      </c>
      <c r="R16" s="55">
        <f t="shared" si="5"/>
        <v>-0.15453463313103755</v>
      </c>
      <c r="S16" s="61"/>
    </row>
    <row r="17" spans="1:19">
      <c r="A17" s="21" t="s">
        <v>467</v>
      </c>
      <c r="B17" s="21" t="s">
        <v>323</v>
      </c>
      <c r="C17" s="21" t="s">
        <v>313</v>
      </c>
      <c r="D17" s="111" t="s">
        <v>477</v>
      </c>
      <c r="E17" s="66">
        <v>2</v>
      </c>
      <c r="F17" s="66">
        <v>1394</v>
      </c>
      <c r="G17" s="68" t="s">
        <v>15</v>
      </c>
      <c r="H17" s="58">
        <v>16500</v>
      </c>
      <c r="I17" s="58">
        <v>1</v>
      </c>
      <c r="J17" s="24">
        <f t="shared" si="0"/>
        <v>16500</v>
      </c>
      <c r="K17" s="25">
        <f>INDEX(Indices!$C$51:$C$71,MATCH($D$3,Indices!$A$51:$A$71,0))/INDEX(Indices!$C$51:$C$71,MATCH(F17,Indices!$A$51:$A$71,0))</f>
        <v>1.3676111508251219</v>
      </c>
      <c r="L17" s="24">
        <f t="shared" si="1"/>
        <v>22565.583988614511</v>
      </c>
      <c r="M17" s="68" t="s">
        <v>303</v>
      </c>
      <c r="N17" s="24">
        <f t="shared" si="2"/>
        <v>25500</v>
      </c>
      <c r="O17" s="24">
        <f t="shared" si="3"/>
        <v>72675000000</v>
      </c>
      <c r="P17" s="24">
        <f t="shared" si="4"/>
        <v>145350000000</v>
      </c>
      <c r="Q17" s="58">
        <v>72246748905.118607</v>
      </c>
      <c r="R17" s="55">
        <f t="shared" si="5"/>
        <v>5.9276175242684026E-3</v>
      </c>
      <c r="S17" s="61"/>
    </row>
    <row r="18" spans="1:19">
      <c r="A18" s="21" t="s">
        <v>467</v>
      </c>
      <c r="B18" s="21" t="s">
        <v>478</v>
      </c>
      <c r="C18" s="21" t="s">
        <v>310</v>
      </c>
      <c r="D18" s="111" t="s">
        <v>477</v>
      </c>
      <c r="E18" s="66">
        <v>1</v>
      </c>
      <c r="F18" s="66">
        <v>1394</v>
      </c>
      <c r="G18" s="68" t="s">
        <v>15</v>
      </c>
      <c r="H18" s="58">
        <v>17500</v>
      </c>
      <c r="I18" s="58">
        <v>1</v>
      </c>
      <c r="J18" s="24">
        <f t="shared" si="0"/>
        <v>17500</v>
      </c>
      <c r="K18" s="25">
        <f>INDEX(Indices!$C$51:$C$71,MATCH($D$3,Indices!$A$51:$A$71,0))/INDEX(Indices!$C$51:$C$71,MATCH(F18,Indices!$A$51:$A$71,0))</f>
        <v>1.3676111508251219</v>
      </c>
      <c r="L18" s="24">
        <f t="shared" si="1"/>
        <v>23933.195139439631</v>
      </c>
      <c r="M18" s="68" t="s">
        <v>303</v>
      </c>
      <c r="N18" s="24">
        <f t="shared" si="2"/>
        <v>25500</v>
      </c>
      <c r="O18" s="24">
        <f t="shared" si="3"/>
        <v>72675000000</v>
      </c>
      <c r="P18" s="24">
        <f t="shared" si="4"/>
        <v>72675000000</v>
      </c>
      <c r="Q18" s="58">
        <v>76625339747.852997</v>
      </c>
      <c r="R18" s="55">
        <f t="shared" si="5"/>
        <v>-5.1553960619974748E-2</v>
      </c>
      <c r="S18" s="61"/>
    </row>
    <row r="19" spans="1:19">
      <c r="A19" s="21" t="s">
        <v>467</v>
      </c>
      <c r="B19" s="21" t="s">
        <v>479</v>
      </c>
      <c r="C19" s="21" t="s">
        <v>324</v>
      </c>
      <c r="D19" s="111" t="s">
        <v>477</v>
      </c>
      <c r="E19" s="66">
        <v>2</v>
      </c>
      <c r="F19" s="66">
        <v>1394</v>
      </c>
      <c r="G19" s="68" t="s">
        <v>15</v>
      </c>
      <c r="H19" s="58">
        <v>10000</v>
      </c>
      <c r="I19" s="58">
        <v>1</v>
      </c>
      <c r="J19" s="24">
        <f t="shared" si="0"/>
        <v>10000</v>
      </c>
      <c r="K19" s="25">
        <f>INDEX(Indices!$C$51:$C$71,MATCH($D$3,Indices!$A$51:$A$71,0))/INDEX(Indices!$C$51:$C$71,MATCH(F19,Indices!$A$51:$A$71,0))</f>
        <v>1.3676111508251219</v>
      </c>
      <c r="L19" s="24">
        <f t="shared" si="1"/>
        <v>13676.111508251219</v>
      </c>
      <c r="M19" s="68" t="s">
        <v>303</v>
      </c>
      <c r="N19" s="24">
        <f t="shared" si="2"/>
        <v>25500</v>
      </c>
      <c r="O19" s="24">
        <f t="shared" si="3"/>
        <v>72675000000</v>
      </c>
      <c r="P19" s="24">
        <f t="shared" si="4"/>
        <v>145350000000</v>
      </c>
      <c r="Q19" s="58">
        <v>43785908427.344597</v>
      </c>
      <c r="R19" s="55">
        <f t="shared" si="5"/>
        <v>0.65978056891504311</v>
      </c>
      <c r="S19" s="61"/>
    </row>
    <row r="20" spans="1:19">
      <c r="A20" s="21" t="s">
        <v>467</v>
      </c>
      <c r="B20" s="21" t="s">
        <v>480</v>
      </c>
      <c r="C20" s="21" t="s">
        <v>481</v>
      </c>
      <c r="D20" s="111" t="s">
        <v>474</v>
      </c>
      <c r="E20" s="66">
        <v>2</v>
      </c>
      <c r="F20" s="66">
        <v>1394</v>
      </c>
      <c r="G20" s="68" t="s">
        <v>15</v>
      </c>
      <c r="H20" s="58">
        <v>25000</v>
      </c>
      <c r="I20" s="58">
        <v>1</v>
      </c>
      <c r="J20" s="24">
        <f t="shared" si="0"/>
        <v>25000</v>
      </c>
      <c r="K20" s="25">
        <f>INDEX(Indices!$C$51:$C$71,MATCH($D$3,Indices!$A$51:$A$71,0))/INDEX(Indices!$C$51:$C$71,MATCH(F20,Indices!$A$51:$A$71,0))</f>
        <v>1.3676111508251219</v>
      </c>
      <c r="L20" s="24">
        <f t="shared" si="1"/>
        <v>34190.278770628043</v>
      </c>
      <c r="M20" s="68" t="s">
        <v>308</v>
      </c>
      <c r="N20" s="24">
        <f t="shared" si="2"/>
        <v>34190.278770628043</v>
      </c>
      <c r="O20" s="24">
        <f t="shared" si="3"/>
        <v>97442294496.289917</v>
      </c>
      <c r="P20" s="24">
        <f t="shared" si="4"/>
        <v>194884588992.57983</v>
      </c>
      <c r="Q20" s="58">
        <v>108220408148.36501</v>
      </c>
      <c r="R20" s="55">
        <f t="shared" si="5"/>
        <v>-9.9594095388171211E-2</v>
      </c>
      <c r="S20" s="61"/>
    </row>
    <row r="21" spans="1:19">
      <c r="A21" s="21" t="s">
        <v>467</v>
      </c>
      <c r="B21" s="21" t="s">
        <v>482</v>
      </c>
      <c r="C21" s="21" t="s">
        <v>331</v>
      </c>
      <c r="D21" s="111" t="s">
        <v>470</v>
      </c>
      <c r="E21" s="66">
        <v>2</v>
      </c>
      <c r="F21" s="66">
        <v>1394</v>
      </c>
      <c r="G21" s="68" t="s">
        <v>15</v>
      </c>
      <c r="H21" s="58">
        <v>20000</v>
      </c>
      <c r="I21" s="58">
        <v>1</v>
      </c>
      <c r="J21" s="24">
        <f t="shared" si="0"/>
        <v>20000</v>
      </c>
      <c r="K21" s="25">
        <f>INDEX(Indices!$C$51:$C$71,MATCH($D$3,Indices!$A$51:$A$71,0))/INDEX(Indices!$C$51:$C$71,MATCH(F21,Indices!$A$51:$A$71,0))</f>
        <v>1.3676111508251219</v>
      </c>
      <c r="L21" s="24">
        <f t="shared" si="1"/>
        <v>27352.223016502438</v>
      </c>
      <c r="M21" s="68" t="s">
        <v>303</v>
      </c>
      <c r="N21" s="24">
        <f t="shared" si="2"/>
        <v>27352.223016502438</v>
      </c>
      <c r="O21" s="24">
        <f t="shared" si="3"/>
        <v>77953835597.031952</v>
      </c>
      <c r="P21" s="24">
        <f t="shared" si="4"/>
        <v>155907671194.0639</v>
      </c>
      <c r="Q21" s="58">
        <v>92202281313.687302</v>
      </c>
      <c r="R21" s="55">
        <f t="shared" si="5"/>
        <v>-0.1545346331310371</v>
      </c>
      <c r="S21" s="61"/>
    </row>
    <row r="22" spans="1:19">
      <c r="A22" s="21" t="s">
        <v>467</v>
      </c>
      <c r="B22" s="21" t="s">
        <v>483</v>
      </c>
      <c r="C22" s="21" t="s">
        <v>326</v>
      </c>
      <c r="D22" s="111" t="s">
        <v>470</v>
      </c>
      <c r="E22" s="66">
        <v>2</v>
      </c>
      <c r="F22" s="66">
        <v>1394</v>
      </c>
      <c r="G22" s="68" t="s">
        <v>15</v>
      </c>
      <c r="H22" s="58">
        <v>15000</v>
      </c>
      <c r="I22" s="58">
        <v>1</v>
      </c>
      <c r="J22" s="24">
        <f t="shared" si="0"/>
        <v>15000</v>
      </c>
      <c r="K22" s="25">
        <f>INDEX(Indices!$C$51:$C$71,MATCH($D$3,Indices!$A$51:$A$71,0))/INDEX(Indices!$C$51:$C$71,MATCH(F22,Indices!$A$51:$A$71,0))</f>
        <v>1.3676111508251219</v>
      </c>
      <c r="L22" s="24">
        <f t="shared" si="1"/>
        <v>20514.167262376828</v>
      </c>
      <c r="M22" s="68" t="s">
        <v>303</v>
      </c>
      <c r="N22" s="24">
        <f t="shared" si="2"/>
        <v>25500</v>
      </c>
      <c r="O22" s="24">
        <f t="shared" si="3"/>
        <v>72675000000</v>
      </c>
      <c r="P22" s="24">
        <f t="shared" si="4"/>
        <v>145350000000</v>
      </c>
      <c r="Q22" s="58">
        <v>69151710985.265503</v>
      </c>
      <c r="R22" s="55">
        <f t="shared" si="5"/>
        <v>5.0950135065858548E-2</v>
      </c>
      <c r="S22" s="61"/>
    </row>
    <row r="23" spans="1:19">
      <c r="A23" s="21" t="s">
        <v>467</v>
      </c>
      <c r="B23" s="21" t="s">
        <v>484</v>
      </c>
      <c r="C23" s="21" t="s">
        <v>485</v>
      </c>
      <c r="D23" s="111" t="s">
        <v>486</v>
      </c>
      <c r="E23" s="66">
        <v>1</v>
      </c>
      <c r="F23" s="66">
        <v>1394</v>
      </c>
      <c r="G23" s="68" t="s">
        <v>15</v>
      </c>
      <c r="H23" s="58">
        <v>20000</v>
      </c>
      <c r="I23" s="58">
        <v>1</v>
      </c>
      <c r="J23" s="24">
        <f t="shared" si="0"/>
        <v>20000</v>
      </c>
      <c r="K23" s="25">
        <f>INDEX(Indices!$C$51:$C$71,MATCH($D$3,Indices!$A$51:$A$71,0))/INDEX(Indices!$C$51:$C$71,MATCH(F23,Indices!$A$51:$A$71,0))</f>
        <v>1.3676111508251219</v>
      </c>
      <c r="L23" s="24">
        <f t="shared" si="1"/>
        <v>27352.223016502438</v>
      </c>
      <c r="M23" s="68" t="s">
        <v>308</v>
      </c>
      <c r="N23" s="24">
        <f t="shared" si="2"/>
        <v>27352.223016502438</v>
      </c>
      <c r="O23" s="24">
        <f t="shared" si="3"/>
        <v>77953835597.031952</v>
      </c>
      <c r="P23" s="24">
        <f t="shared" si="4"/>
        <v>77953835597.031952</v>
      </c>
      <c r="Q23" s="58">
        <v>87970342681.264999</v>
      </c>
      <c r="R23" s="55">
        <f t="shared" si="5"/>
        <v>-0.11386231744628927</v>
      </c>
      <c r="S23" s="61"/>
    </row>
    <row r="24" spans="1:19">
      <c r="A24" s="21" t="s">
        <v>467</v>
      </c>
      <c r="B24" s="21" t="s">
        <v>487</v>
      </c>
      <c r="C24" s="21" t="s">
        <v>469</v>
      </c>
      <c r="D24" s="111" t="s">
        <v>470</v>
      </c>
      <c r="E24" s="66">
        <v>3</v>
      </c>
      <c r="F24" s="66">
        <v>1394</v>
      </c>
      <c r="G24" s="68" t="s">
        <v>15</v>
      </c>
      <c r="H24" s="58">
        <v>55000</v>
      </c>
      <c r="I24" s="58">
        <v>1</v>
      </c>
      <c r="J24" s="24">
        <f t="shared" si="0"/>
        <v>55000</v>
      </c>
      <c r="K24" s="25">
        <f>INDEX(Indices!$C$51:$C$71,MATCH($D$3,Indices!$A$51:$A$71,0))/INDEX(Indices!$C$51:$C$71,MATCH(F24,Indices!$A$51:$A$71,0))</f>
        <v>1.3676111508251219</v>
      </c>
      <c r="L24" s="24">
        <f t="shared" si="1"/>
        <v>75218.6132953817</v>
      </c>
      <c r="M24" s="68" t="s">
        <v>303</v>
      </c>
      <c r="N24" s="24">
        <f t="shared" si="2"/>
        <v>75218.6132953817</v>
      </c>
      <c r="O24" s="24">
        <f t="shared" si="3"/>
        <v>214373047891.83783</v>
      </c>
      <c r="P24" s="24">
        <f t="shared" si="4"/>
        <v>643119143675.51343</v>
      </c>
      <c r="Q24" s="58">
        <v>253556273612.64001</v>
      </c>
      <c r="R24" s="55">
        <f t="shared" si="5"/>
        <v>-0.1545346331310371</v>
      </c>
      <c r="S24" s="61"/>
    </row>
    <row r="25" spans="1:19">
      <c r="A25" s="21" t="s">
        <v>467</v>
      </c>
      <c r="B25" s="21" t="s">
        <v>304</v>
      </c>
      <c r="C25" s="21" t="s">
        <v>301</v>
      </c>
      <c r="D25" s="111" t="s">
        <v>470</v>
      </c>
      <c r="E25" s="66">
        <v>2</v>
      </c>
      <c r="F25" s="66">
        <v>1394</v>
      </c>
      <c r="G25" s="68" t="s">
        <v>15</v>
      </c>
      <c r="H25" s="58">
        <v>15000</v>
      </c>
      <c r="I25" s="58">
        <v>1</v>
      </c>
      <c r="J25" s="24">
        <f t="shared" si="0"/>
        <v>15000</v>
      </c>
      <c r="K25" s="25">
        <f>INDEX(Indices!$C$51:$C$71,MATCH($D$3,Indices!$A$51:$A$71,0))/INDEX(Indices!$C$51:$C$71,MATCH(F25,Indices!$A$51:$A$71,0))</f>
        <v>1.3676111508251219</v>
      </c>
      <c r="L25" s="24">
        <f t="shared" si="1"/>
        <v>20514.167262376828</v>
      </c>
      <c r="M25" s="68" t="s">
        <v>303</v>
      </c>
      <c r="N25" s="24">
        <f t="shared" si="2"/>
        <v>25500</v>
      </c>
      <c r="O25" s="24">
        <f t="shared" si="3"/>
        <v>72675000000</v>
      </c>
      <c r="P25" s="24">
        <f t="shared" si="4"/>
        <v>145350000000</v>
      </c>
      <c r="Q25" s="58">
        <v>69151710985.265503</v>
      </c>
      <c r="R25" s="55">
        <f t="shared" si="5"/>
        <v>5.0950135065858548E-2</v>
      </c>
      <c r="S25" s="61"/>
    </row>
    <row r="26" spans="1:19">
      <c r="A26" s="21" t="s">
        <v>467</v>
      </c>
      <c r="B26" s="21" t="s">
        <v>488</v>
      </c>
      <c r="C26" s="21" t="s">
        <v>472</v>
      </c>
      <c r="D26" s="111" t="s">
        <v>470</v>
      </c>
      <c r="E26" s="66">
        <v>3</v>
      </c>
      <c r="F26" s="66">
        <v>1394</v>
      </c>
      <c r="G26" s="68" t="s">
        <v>15</v>
      </c>
      <c r="H26" s="58">
        <v>60000</v>
      </c>
      <c r="I26" s="58">
        <v>1</v>
      </c>
      <c r="J26" s="24">
        <f t="shared" si="0"/>
        <v>60000</v>
      </c>
      <c r="K26" s="25">
        <f>INDEX(Indices!$C$51:$C$71,MATCH($D$3,Indices!$A$51:$A$71,0))/INDEX(Indices!$C$51:$C$71,MATCH(F26,Indices!$A$51:$A$71,0))</f>
        <v>1.3676111508251219</v>
      </c>
      <c r="L26" s="24">
        <f t="shared" si="1"/>
        <v>82056.669049507313</v>
      </c>
      <c r="M26" s="68" t="s">
        <v>303</v>
      </c>
      <c r="N26" s="24">
        <f t="shared" si="2"/>
        <v>82056.669049507313</v>
      </c>
      <c r="O26" s="24">
        <f t="shared" si="3"/>
        <v>233861506791.09586</v>
      </c>
      <c r="P26" s="24">
        <f t="shared" si="4"/>
        <v>701584520373.2876</v>
      </c>
      <c r="Q26" s="58">
        <v>276606843941.06201</v>
      </c>
      <c r="R26" s="55">
        <f t="shared" si="5"/>
        <v>-0.15453463313103744</v>
      </c>
      <c r="S26" s="61"/>
    </row>
    <row r="27" spans="1:19">
      <c r="A27" s="21" t="s">
        <v>467</v>
      </c>
      <c r="B27" s="21" t="s">
        <v>489</v>
      </c>
      <c r="C27" s="21" t="s">
        <v>318</v>
      </c>
      <c r="D27" s="111" t="s">
        <v>474</v>
      </c>
      <c r="E27" s="66">
        <v>2</v>
      </c>
      <c r="F27" s="66">
        <v>1394</v>
      </c>
      <c r="G27" s="68" t="s">
        <v>15</v>
      </c>
      <c r="H27" s="58">
        <v>10000</v>
      </c>
      <c r="I27" s="58">
        <v>1</v>
      </c>
      <c r="J27" s="24">
        <f t="shared" si="0"/>
        <v>10000</v>
      </c>
      <c r="K27" s="25">
        <f>INDEX(Indices!$C$51:$C$71,MATCH($D$3,Indices!$A$51:$A$71,0))/INDEX(Indices!$C$51:$C$71,MATCH(F27,Indices!$A$51:$A$71,0))</f>
        <v>1.3676111508251219</v>
      </c>
      <c r="L27" s="24">
        <f t="shared" si="1"/>
        <v>13676.111508251219</v>
      </c>
      <c r="M27" s="68" t="s">
        <v>308</v>
      </c>
      <c r="N27" s="24">
        <f t="shared" si="2"/>
        <v>13676.111508251219</v>
      </c>
      <c r="O27" s="24">
        <f t="shared" si="3"/>
        <v>38976917798.515976</v>
      </c>
      <c r="P27" s="24">
        <f t="shared" si="4"/>
        <v>77953835597.031952</v>
      </c>
      <c r="Q27" s="58">
        <v>43288163259.346001</v>
      </c>
      <c r="R27" s="55">
        <f t="shared" si="5"/>
        <v>-9.9594095388170989E-2</v>
      </c>
      <c r="S27" s="61"/>
    </row>
    <row r="28" spans="1:19">
      <c r="A28" s="21" t="s">
        <v>467</v>
      </c>
      <c r="B28" s="21" t="s">
        <v>490</v>
      </c>
      <c r="C28" s="21" t="s">
        <v>475</v>
      </c>
      <c r="D28" s="111" t="s">
        <v>470</v>
      </c>
      <c r="E28" s="66">
        <v>2</v>
      </c>
      <c r="F28" s="66">
        <v>1394</v>
      </c>
      <c r="G28" s="68" t="s">
        <v>15</v>
      </c>
      <c r="H28" s="58">
        <v>35000</v>
      </c>
      <c r="I28" s="58">
        <v>1</v>
      </c>
      <c r="J28" s="24">
        <f t="shared" si="0"/>
        <v>35000</v>
      </c>
      <c r="K28" s="25">
        <f>INDEX(Indices!$C$51:$C$71,MATCH($D$3,Indices!$A$51:$A$71,0))/INDEX(Indices!$C$51:$C$71,MATCH(F28,Indices!$A$51:$A$71,0))</f>
        <v>1.3676111508251219</v>
      </c>
      <c r="L28" s="24">
        <f t="shared" si="1"/>
        <v>47866.390278879262</v>
      </c>
      <c r="M28" s="68" t="s">
        <v>303</v>
      </c>
      <c r="N28" s="24">
        <f t="shared" si="2"/>
        <v>47866.390278879262</v>
      </c>
      <c r="O28" s="24">
        <f t="shared" si="3"/>
        <v>136419212294.80589</v>
      </c>
      <c r="P28" s="24">
        <f t="shared" si="4"/>
        <v>272838424589.61179</v>
      </c>
      <c r="Q28" s="58">
        <v>161353992298.953</v>
      </c>
      <c r="R28" s="55">
        <f t="shared" si="5"/>
        <v>-0.15453463313103843</v>
      </c>
      <c r="S28" s="61"/>
    </row>
    <row r="29" spans="1:19">
      <c r="A29" s="21" t="s">
        <v>467</v>
      </c>
      <c r="B29" s="21" t="s">
        <v>491</v>
      </c>
      <c r="C29" s="21" t="s">
        <v>315</v>
      </c>
      <c r="D29" s="111" t="s">
        <v>470</v>
      </c>
      <c r="E29" s="66">
        <v>2</v>
      </c>
      <c r="F29" s="66">
        <v>1394</v>
      </c>
      <c r="G29" s="68" t="s">
        <v>15</v>
      </c>
      <c r="H29" s="58">
        <v>230000</v>
      </c>
      <c r="I29" s="58">
        <v>1</v>
      </c>
      <c r="J29" s="24">
        <f t="shared" si="0"/>
        <v>230000</v>
      </c>
      <c r="K29" s="25">
        <f>INDEX(Indices!$C$51:$C$71,MATCH($D$3,Indices!$A$51:$A$71,0))/INDEX(Indices!$C$51:$C$71,MATCH(F29,Indices!$A$51:$A$71,0))</f>
        <v>1.3676111508251219</v>
      </c>
      <c r="L29" s="24">
        <f t="shared" si="1"/>
        <v>314550.56468977802</v>
      </c>
      <c r="M29" s="68" t="s">
        <v>303</v>
      </c>
      <c r="N29" s="24">
        <f t="shared" si="2"/>
        <v>314550.56468977802</v>
      </c>
      <c r="O29" s="24">
        <f t="shared" si="3"/>
        <v>896469109365.86731</v>
      </c>
      <c r="P29" s="24">
        <f t="shared" si="4"/>
        <v>1792938218731.7346</v>
      </c>
      <c r="Q29" s="58">
        <v>1060326235107.4</v>
      </c>
      <c r="R29" s="55">
        <f t="shared" si="5"/>
        <v>-0.1545346331310341</v>
      </c>
      <c r="S29" s="61"/>
    </row>
    <row r="30" spans="1:19">
      <c r="A30" s="21" t="s">
        <v>467</v>
      </c>
      <c r="B30" s="21" t="s">
        <v>492</v>
      </c>
      <c r="C30" s="21" t="s">
        <v>315</v>
      </c>
      <c r="D30" s="111" t="s">
        <v>470</v>
      </c>
      <c r="E30" s="66">
        <v>2</v>
      </c>
      <c r="F30" s="66">
        <v>1394</v>
      </c>
      <c r="G30" s="68" t="s">
        <v>15</v>
      </c>
      <c r="H30" s="58">
        <v>160000</v>
      </c>
      <c r="I30" s="58">
        <v>1</v>
      </c>
      <c r="J30" s="24">
        <f t="shared" si="0"/>
        <v>160000</v>
      </c>
      <c r="K30" s="25">
        <f>INDEX(Indices!$C$51:$C$71,MATCH($D$3,Indices!$A$51:$A$71,0))/INDEX(Indices!$C$51:$C$71,MATCH(F30,Indices!$A$51:$A$71,0))</f>
        <v>1.3676111508251219</v>
      </c>
      <c r="L30" s="24">
        <f t="shared" si="1"/>
        <v>218817.7841320195</v>
      </c>
      <c r="M30" s="68" t="s">
        <v>303</v>
      </c>
      <c r="N30" s="24">
        <f t="shared" si="2"/>
        <v>218817.7841320195</v>
      </c>
      <c r="O30" s="24">
        <f t="shared" si="3"/>
        <v>623630684776.25562</v>
      </c>
      <c r="P30" s="24">
        <f t="shared" si="4"/>
        <v>1247261369552.5112</v>
      </c>
      <c r="Q30" s="58">
        <v>737618250509.49805</v>
      </c>
      <c r="R30" s="55">
        <f t="shared" si="5"/>
        <v>-0.15453463313103677</v>
      </c>
      <c r="S30" s="61"/>
    </row>
    <row r="31" spans="1:19">
      <c r="A31" s="21" t="s">
        <v>467</v>
      </c>
      <c r="B31" s="21" t="s">
        <v>325</v>
      </c>
      <c r="C31" s="21" t="s">
        <v>313</v>
      </c>
      <c r="D31" s="111" t="s">
        <v>477</v>
      </c>
      <c r="E31" s="66">
        <v>2</v>
      </c>
      <c r="F31" s="66">
        <v>1394</v>
      </c>
      <c r="G31" s="68" t="s">
        <v>15</v>
      </c>
      <c r="H31" s="58">
        <v>16500</v>
      </c>
      <c r="I31" s="58">
        <v>1</v>
      </c>
      <c r="J31" s="24">
        <f t="shared" si="0"/>
        <v>16500</v>
      </c>
      <c r="K31" s="25">
        <f>INDEX(Indices!$C$51:$C$71,MATCH($D$3,Indices!$A$51:$A$71,0))/INDEX(Indices!$C$51:$C$71,MATCH(F31,Indices!$A$51:$A$71,0))</f>
        <v>1.3676111508251219</v>
      </c>
      <c r="L31" s="24">
        <f t="shared" si="1"/>
        <v>22565.583988614511</v>
      </c>
      <c r="M31" s="68" t="s">
        <v>303</v>
      </c>
      <c r="N31" s="24">
        <f t="shared" si="2"/>
        <v>25500</v>
      </c>
      <c r="O31" s="24">
        <f t="shared" si="3"/>
        <v>72675000000</v>
      </c>
      <c r="P31" s="24">
        <f t="shared" si="4"/>
        <v>145350000000</v>
      </c>
      <c r="Q31" s="58">
        <v>72246748905.118607</v>
      </c>
      <c r="R31" s="55">
        <f t="shared" si="5"/>
        <v>5.9276175242684026E-3</v>
      </c>
      <c r="S31" s="61"/>
    </row>
    <row r="32" spans="1:19">
      <c r="A32" s="21" t="s">
        <v>467</v>
      </c>
      <c r="B32" s="21" t="s">
        <v>327</v>
      </c>
      <c r="C32" s="21" t="s">
        <v>310</v>
      </c>
      <c r="D32" s="111" t="s">
        <v>477</v>
      </c>
      <c r="E32" s="66">
        <v>1</v>
      </c>
      <c r="F32" s="66">
        <v>1394</v>
      </c>
      <c r="G32" s="68" t="s">
        <v>15</v>
      </c>
      <c r="H32" s="58">
        <v>17500</v>
      </c>
      <c r="I32" s="58">
        <v>1</v>
      </c>
      <c r="J32" s="24">
        <f t="shared" si="0"/>
        <v>17500</v>
      </c>
      <c r="K32" s="25">
        <f>INDEX(Indices!$C$51:$C$71,MATCH($D$3,Indices!$A$51:$A$71,0))/INDEX(Indices!$C$51:$C$71,MATCH(F32,Indices!$A$51:$A$71,0))</f>
        <v>1.3676111508251219</v>
      </c>
      <c r="L32" s="24">
        <f t="shared" si="1"/>
        <v>23933.195139439631</v>
      </c>
      <c r="M32" s="68" t="s">
        <v>303</v>
      </c>
      <c r="N32" s="24">
        <f t="shared" si="2"/>
        <v>25500</v>
      </c>
      <c r="O32" s="24">
        <f t="shared" si="3"/>
        <v>72675000000</v>
      </c>
      <c r="P32" s="24">
        <f t="shared" si="4"/>
        <v>72675000000</v>
      </c>
      <c r="Q32" s="58">
        <v>76625339747.852997</v>
      </c>
      <c r="R32" s="55">
        <f t="shared" si="5"/>
        <v>-5.1553960619974748E-2</v>
      </c>
      <c r="S32" s="61"/>
    </row>
    <row r="33" spans="1:19">
      <c r="A33" s="21" t="s">
        <v>467</v>
      </c>
      <c r="B33" s="21" t="s">
        <v>493</v>
      </c>
      <c r="C33" s="21" t="s">
        <v>324</v>
      </c>
      <c r="D33" s="111" t="s">
        <v>477</v>
      </c>
      <c r="E33" s="66">
        <v>2</v>
      </c>
      <c r="F33" s="66">
        <v>1394</v>
      </c>
      <c r="G33" s="68" t="s">
        <v>15</v>
      </c>
      <c r="H33" s="58">
        <v>10000</v>
      </c>
      <c r="I33" s="58">
        <v>1</v>
      </c>
      <c r="J33" s="24">
        <f t="shared" si="0"/>
        <v>10000</v>
      </c>
      <c r="K33" s="25">
        <f>INDEX(Indices!$C$51:$C$71,MATCH($D$3,Indices!$A$51:$A$71,0))/INDEX(Indices!$C$51:$C$71,MATCH(F33,Indices!$A$51:$A$71,0))</f>
        <v>1.3676111508251219</v>
      </c>
      <c r="L33" s="24">
        <f t="shared" si="1"/>
        <v>13676.111508251219</v>
      </c>
      <c r="M33" s="68" t="s">
        <v>303</v>
      </c>
      <c r="N33" s="24">
        <f t="shared" si="2"/>
        <v>25500</v>
      </c>
      <c r="O33" s="24">
        <f t="shared" si="3"/>
        <v>72675000000</v>
      </c>
      <c r="P33" s="24">
        <f t="shared" si="4"/>
        <v>145350000000</v>
      </c>
      <c r="Q33" s="58">
        <v>43785908427.344597</v>
      </c>
      <c r="R33" s="55">
        <f t="shared" si="5"/>
        <v>0.65978056891504311</v>
      </c>
      <c r="S33" s="61"/>
    </row>
    <row r="34" spans="1:19">
      <c r="A34" s="21" t="s">
        <v>467</v>
      </c>
      <c r="B34" s="21" t="s">
        <v>494</v>
      </c>
      <c r="C34" s="21" t="s">
        <v>481</v>
      </c>
      <c r="D34" s="111" t="s">
        <v>474</v>
      </c>
      <c r="E34" s="66">
        <v>2</v>
      </c>
      <c r="F34" s="66">
        <v>1394</v>
      </c>
      <c r="G34" s="68" t="s">
        <v>15</v>
      </c>
      <c r="H34" s="58">
        <v>25000</v>
      </c>
      <c r="I34" s="58">
        <v>1</v>
      </c>
      <c r="J34" s="24">
        <f t="shared" si="0"/>
        <v>25000</v>
      </c>
      <c r="K34" s="25">
        <f>INDEX(Indices!$C$51:$C$71,MATCH($D$3,Indices!$A$51:$A$71,0))/INDEX(Indices!$C$51:$C$71,MATCH(F34,Indices!$A$51:$A$71,0))</f>
        <v>1.3676111508251219</v>
      </c>
      <c r="L34" s="24">
        <f t="shared" si="1"/>
        <v>34190.278770628043</v>
      </c>
      <c r="M34" s="68" t="s">
        <v>308</v>
      </c>
      <c r="N34" s="24">
        <f t="shared" si="2"/>
        <v>34190.278770628043</v>
      </c>
      <c r="O34" s="24">
        <f t="shared" si="3"/>
        <v>97442294496.289917</v>
      </c>
      <c r="P34" s="24">
        <f t="shared" si="4"/>
        <v>194884588992.57983</v>
      </c>
      <c r="Q34" s="58">
        <v>108220408148.36501</v>
      </c>
      <c r="R34" s="55">
        <f t="shared" si="5"/>
        <v>-9.9594095388171211E-2</v>
      </c>
      <c r="S34" s="61"/>
    </row>
    <row r="35" spans="1:19">
      <c r="A35" s="21" t="s">
        <v>467</v>
      </c>
      <c r="B35" s="21" t="s">
        <v>495</v>
      </c>
      <c r="C35" s="21" t="s">
        <v>331</v>
      </c>
      <c r="D35" s="111" t="s">
        <v>470</v>
      </c>
      <c r="E35" s="66">
        <v>2</v>
      </c>
      <c r="F35" s="66">
        <v>1394</v>
      </c>
      <c r="G35" s="68" t="s">
        <v>15</v>
      </c>
      <c r="H35" s="58">
        <v>20000</v>
      </c>
      <c r="I35" s="58">
        <v>1</v>
      </c>
      <c r="J35" s="24">
        <f t="shared" si="0"/>
        <v>20000</v>
      </c>
      <c r="K35" s="25">
        <f>INDEX(Indices!$C$51:$C$71,MATCH($D$3,Indices!$A$51:$A$71,0))/INDEX(Indices!$C$51:$C$71,MATCH(F35,Indices!$A$51:$A$71,0))</f>
        <v>1.3676111508251219</v>
      </c>
      <c r="L35" s="24">
        <f t="shared" si="1"/>
        <v>27352.223016502438</v>
      </c>
      <c r="M35" s="68" t="s">
        <v>303</v>
      </c>
      <c r="N35" s="24">
        <f t="shared" si="2"/>
        <v>27352.223016502438</v>
      </c>
      <c r="O35" s="24">
        <f t="shared" si="3"/>
        <v>77953835597.031952</v>
      </c>
      <c r="P35" s="24">
        <f t="shared" si="4"/>
        <v>155907671194.0639</v>
      </c>
      <c r="Q35" s="58">
        <v>92202281313.687302</v>
      </c>
      <c r="R35" s="55">
        <f t="shared" si="5"/>
        <v>-0.1545346331310371</v>
      </c>
      <c r="S35" s="61"/>
    </row>
    <row r="36" spans="1:19">
      <c r="A36" s="21" t="s">
        <v>467</v>
      </c>
      <c r="B36" s="21" t="s">
        <v>496</v>
      </c>
      <c r="C36" s="21" t="s">
        <v>326</v>
      </c>
      <c r="D36" s="111" t="s">
        <v>470</v>
      </c>
      <c r="E36" s="66">
        <v>2</v>
      </c>
      <c r="F36" s="66">
        <v>1394</v>
      </c>
      <c r="G36" s="68" t="s">
        <v>15</v>
      </c>
      <c r="H36" s="58">
        <v>17500</v>
      </c>
      <c r="I36" s="58">
        <v>1</v>
      </c>
      <c r="J36" s="24">
        <f t="shared" si="0"/>
        <v>17500</v>
      </c>
      <c r="K36" s="25">
        <f>INDEX(Indices!$C$51:$C$71,MATCH($D$3,Indices!$A$51:$A$71,0))/INDEX(Indices!$C$51:$C$71,MATCH(F36,Indices!$A$51:$A$71,0))</f>
        <v>1.3676111508251219</v>
      </c>
      <c r="L36" s="24">
        <f t="shared" si="1"/>
        <v>23933.195139439631</v>
      </c>
      <c r="M36" s="68" t="s">
        <v>303</v>
      </c>
      <c r="N36" s="24">
        <f t="shared" si="2"/>
        <v>25500</v>
      </c>
      <c r="O36" s="24">
        <f t="shared" si="3"/>
        <v>72675000000</v>
      </c>
      <c r="P36" s="24">
        <f t="shared" si="4"/>
        <v>145350000000</v>
      </c>
      <c r="Q36" s="58">
        <v>80676996149.476395</v>
      </c>
      <c r="R36" s="55">
        <f t="shared" si="5"/>
        <v>-9.9185598514977991E-2</v>
      </c>
      <c r="S36" s="61"/>
    </row>
    <row r="37" spans="1:19">
      <c r="A37" s="21" t="s">
        <v>467</v>
      </c>
      <c r="B37" s="21" t="s">
        <v>497</v>
      </c>
      <c r="C37" s="21" t="s">
        <v>485</v>
      </c>
      <c r="D37" s="111" t="s">
        <v>486</v>
      </c>
      <c r="E37" s="66">
        <v>1</v>
      </c>
      <c r="F37" s="66">
        <v>1394</v>
      </c>
      <c r="G37" s="68" t="s">
        <v>15</v>
      </c>
      <c r="H37" s="58">
        <v>20000</v>
      </c>
      <c r="I37" s="58">
        <v>1</v>
      </c>
      <c r="J37" s="24">
        <f t="shared" si="0"/>
        <v>20000</v>
      </c>
      <c r="K37" s="25">
        <f>INDEX(Indices!$C$51:$C$71,MATCH($D$3,Indices!$A$51:$A$71,0))/INDEX(Indices!$C$51:$C$71,MATCH(F37,Indices!$A$51:$A$71,0))</f>
        <v>1.3676111508251219</v>
      </c>
      <c r="L37" s="24">
        <f t="shared" si="1"/>
        <v>27352.223016502438</v>
      </c>
      <c r="M37" s="68" t="s">
        <v>308</v>
      </c>
      <c r="N37" s="24">
        <f t="shared" si="2"/>
        <v>27352.223016502438</v>
      </c>
      <c r="O37" s="24">
        <f t="shared" si="3"/>
        <v>77953835597.031952</v>
      </c>
      <c r="P37" s="24">
        <f t="shared" si="4"/>
        <v>77953835597.031952</v>
      </c>
      <c r="Q37" s="58">
        <v>87970342681.264999</v>
      </c>
      <c r="R37" s="55">
        <f t="shared" si="5"/>
        <v>-0.11386231744628927</v>
      </c>
      <c r="S37" s="61"/>
    </row>
    <row r="38" spans="1:19">
      <c r="A38" s="21" t="s">
        <v>467</v>
      </c>
      <c r="B38" s="21" t="s">
        <v>498</v>
      </c>
      <c r="C38" s="21" t="s">
        <v>305</v>
      </c>
      <c r="D38" s="111" t="s">
        <v>499</v>
      </c>
      <c r="E38" s="66">
        <v>2</v>
      </c>
      <c r="F38" s="66">
        <v>1394</v>
      </c>
      <c r="G38" s="68" t="s">
        <v>15</v>
      </c>
      <c r="H38" s="58">
        <v>6500</v>
      </c>
      <c r="I38" s="58">
        <v>1</v>
      </c>
      <c r="J38" s="24">
        <f t="shared" si="0"/>
        <v>6500</v>
      </c>
      <c r="K38" s="25">
        <f>INDEX(Indices!$C$51:$C$71,MATCH($D$3,Indices!$A$51:$A$71,0))/INDEX(Indices!$C$51:$C$71,MATCH(F38,Indices!$A$51:$A$71,0))</f>
        <v>1.3676111508251219</v>
      </c>
      <c r="L38" s="24">
        <f t="shared" si="1"/>
        <v>8889.4724803632926</v>
      </c>
      <c r="M38" s="68" t="s">
        <v>308</v>
      </c>
      <c r="N38" s="24">
        <f t="shared" si="2"/>
        <v>8889.4724803632926</v>
      </c>
      <c r="O38" s="24">
        <f t="shared" si="3"/>
        <v>25334996569.035385</v>
      </c>
      <c r="P38" s="24">
        <f t="shared" si="4"/>
        <v>50669993138.07077</v>
      </c>
      <c r="Q38" s="58">
        <v>28450773375.4776</v>
      </c>
      <c r="R38" s="55">
        <f t="shared" si="5"/>
        <v>-0.10951466117711151</v>
      </c>
      <c r="S38" s="61"/>
    </row>
    <row r="39" spans="1:19">
      <c r="A39" s="21" t="s">
        <v>467</v>
      </c>
      <c r="B39" s="21" t="s">
        <v>500</v>
      </c>
      <c r="C39" s="21" t="s">
        <v>501</v>
      </c>
      <c r="D39" s="111" t="s">
        <v>499</v>
      </c>
      <c r="E39" s="66">
        <v>1</v>
      </c>
      <c r="F39" s="66">
        <v>1394</v>
      </c>
      <c r="G39" s="68" t="s">
        <v>15</v>
      </c>
      <c r="H39" s="58">
        <v>6500</v>
      </c>
      <c r="I39" s="58">
        <v>1</v>
      </c>
      <c r="J39" s="24">
        <f t="shared" si="0"/>
        <v>6500</v>
      </c>
      <c r="K39" s="25">
        <f>INDEX(Indices!$C$51:$C$71,MATCH($D$3,Indices!$A$51:$A$71,0))/INDEX(Indices!$C$51:$C$71,MATCH(F39,Indices!$A$51:$A$71,0))</f>
        <v>1.3676111508251219</v>
      </c>
      <c r="L39" s="24">
        <f t="shared" si="1"/>
        <v>8889.4724803632926</v>
      </c>
      <c r="M39" s="68" t="s">
        <v>308</v>
      </c>
      <c r="N39" s="24">
        <f t="shared" si="2"/>
        <v>8889.4724803632926</v>
      </c>
      <c r="O39" s="24">
        <f t="shared" si="3"/>
        <v>25334996569.035385</v>
      </c>
      <c r="P39" s="24">
        <f t="shared" si="4"/>
        <v>25334996569.035385</v>
      </c>
      <c r="Q39" s="58">
        <v>28450773375.4776</v>
      </c>
      <c r="R39" s="55">
        <f t="shared" si="5"/>
        <v>-0.10951466117711151</v>
      </c>
      <c r="S39" s="61"/>
    </row>
    <row r="40" spans="1:19">
      <c r="A40" s="21" t="s">
        <v>467</v>
      </c>
      <c r="B40" s="21" t="s">
        <v>502</v>
      </c>
      <c r="C40" s="21" t="s">
        <v>503</v>
      </c>
      <c r="D40" s="111" t="s">
        <v>477</v>
      </c>
      <c r="E40" s="66">
        <v>1</v>
      </c>
      <c r="F40" s="66">
        <v>1394</v>
      </c>
      <c r="G40" s="68" t="s">
        <v>15</v>
      </c>
      <c r="H40" s="58">
        <v>10000</v>
      </c>
      <c r="I40" s="58">
        <v>1</v>
      </c>
      <c r="J40" s="24">
        <f t="shared" si="0"/>
        <v>10000</v>
      </c>
      <c r="K40" s="25">
        <f>INDEX(Indices!$C$51:$C$71,MATCH($D$3,Indices!$A$51:$A$71,0))/INDEX(Indices!$C$51:$C$71,MATCH(F40,Indices!$A$51:$A$71,0))</f>
        <v>1.3676111508251219</v>
      </c>
      <c r="L40" s="24">
        <f t="shared" si="1"/>
        <v>13676.111508251219</v>
      </c>
      <c r="M40" s="68" t="s">
        <v>303</v>
      </c>
      <c r="N40" s="24">
        <f t="shared" si="2"/>
        <v>25500</v>
      </c>
      <c r="O40" s="24">
        <f t="shared" si="3"/>
        <v>72675000000</v>
      </c>
      <c r="P40" s="24">
        <f t="shared" si="4"/>
        <v>72675000000</v>
      </c>
      <c r="Q40" s="58">
        <v>43785908427.344597</v>
      </c>
      <c r="R40" s="55">
        <f t="shared" si="5"/>
        <v>0.65978056891504311</v>
      </c>
      <c r="S40" s="61"/>
    </row>
    <row r="41" spans="1:19">
      <c r="A41" s="21" t="s">
        <v>467</v>
      </c>
      <c r="B41" s="21" t="s">
        <v>504</v>
      </c>
      <c r="C41" s="21" t="s">
        <v>335</v>
      </c>
      <c r="D41" s="111" t="s">
        <v>499</v>
      </c>
      <c r="E41" s="66">
        <v>1</v>
      </c>
      <c r="F41" s="66">
        <v>1394</v>
      </c>
      <c r="G41" s="68" t="s">
        <v>15</v>
      </c>
      <c r="H41" s="58">
        <v>7000</v>
      </c>
      <c r="I41" s="58">
        <v>1</v>
      </c>
      <c r="J41" s="24">
        <f t="shared" si="0"/>
        <v>7000</v>
      </c>
      <c r="K41" s="25">
        <f>INDEX(Indices!$C$51:$C$71,MATCH($D$3,Indices!$A$51:$A$71,0))/INDEX(Indices!$C$51:$C$71,MATCH(F41,Indices!$A$51:$A$71,0))</f>
        <v>1.3676111508251219</v>
      </c>
      <c r="L41" s="24">
        <f t="shared" si="1"/>
        <v>9573.2780557758524</v>
      </c>
      <c r="M41" s="68" t="s">
        <v>303</v>
      </c>
      <c r="N41" s="24">
        <f t="shared" si="2"/>
        <v>25500</v>
      </c>
      <c r="O41" s="24">
        <f t="shared" si="3"/>
        <v>72675000000</v>
      </c>
      <c r="P41" s="24">
        <f t="shared" si="4"/>
        <v>72675000000</v>
      </c>
      <c r="Q41" s="58">
        <v>30639294404.3605</v>
      </c>
      <c r="R41" s="55">
        <f t="shared" si="5"/>
        <v>1.3719541005375469</v>
      </c>
      <c r="S41" s="61"/>
    </row>
    <row r="42" spans="1:19">
      <c r="A42" s="21" t="s">
        <v>467</v>
      </c>
      <c r="B42" s="21" t="s">
        <v>505</v>
      </c>
      <c r="C42" s="21" t="s">
        <v>506</v>
      </c>
      <c r="D42" s="111" t="s">
        <v>477</v>
      </c>
      <c r="E42" s="66">
        <v>1</v>
      </c>
      <c r="F42" s="66">
        <v>1394</v>
      </c>
      <c r="G42" s="68" t="s">
        <v>15</v>
      </c>
      <c r="H42" s="58">
        <v>10000</v>
      </c>
      <c r="I42" s="58">
        <v>1</v>
      </c>
      <c r="J42" s="24">
        <f t="shared" si="0"/>
        <v>10000</v>
      </c>
      <c r="K42" s="25">
        <f>INDEX(Indices!$C$51:$C$71,MATCH($D$3,Indices!$A$51:$A$71,0))/INDEX(Indices!$C$51:$C$71,MATCH(F42,Indices!$A$51:$A$71,0))</f>
        <v>1.3676111508251219</v>
      </c>
      <c r="L42" s="24">
        <f t="shared" si="1"/>
        <v>13676.111508251219</v>
      </c>
      <c r="M42" s="68" t="s">
        <v>303</v>
      </c>
      <c r="N42" s="24">
        <f t="shared" si="2"/>
        <v>25500</v>
      </c>
      <c r="O42" s="24">
        <f t="shared" si="3"/>
        <v>72675000000</v>
      </c>
      <c r="P42" s="24">
        <f t="shared" si="4"/>
        <v>72675000000</v>
      </c>
      <c r="Q42" s="58">
        <v>43785908427.344597</v>
      </c>
      <c r="R42" s="55">
        <f t="shared" si="5"/>
        <v>0.65978056891504311</v>
      </c>
      <c r="S42" s="61"/>
    </row>
    <row r="43" spans="1:19">
      <c r="A43" s="21" t="s">
        <v>467</v>
      </c>
      <c r="B43" s="21" t="s">
        <v>507</v>
      </c>
      <c r="C43" s="21" t="s">
        <v>340</v>
      </c>
      <c r="D43" s="111" t="s">
        <v>508</v>
      </c>
      <c r="E43" s="66">
        <v>1</v>
      </c>
      <c r="F43" s="66">
        <v>1394</v>
      </c>
      <c r="G43" s="68" t="s">
        <v>15</v>
      </c>
      <c r="H43" s="58">
        <v>70000</v>
      </c>
      <c r="I43" s="58">
        <v>1</v>
      </c>
      <c r="J43" s="24">
        <f t="shared" ref="J43:J74" si="6">H43/I43</f>
        <v>70000</v>
      </c>
      <c r="K43" s="25">
        <f>INDEX(Indices!$C$51:$C$71,MATCH($D$3,Indices!$A$51:$A$71,0))/INDEX(Indices!$C$51:$C$71,MATCH(F43,Indices!$A$51:$A$71,0))</f>
        <v>1.3676111508251219</v>
      </c>
      <c r="L43" s="24">
        <f t="shared" ref="L43:L74" si="7">J43*K43</f>
        <v>95732.780557758524</v>
      </c>
      <c r="M43" s="68" t="s">
        <v>308</v>
      </c>
      <c r="N43" s="24">
        <f t="shared" ref="N43:N74" si="8">IF(M43="Y",MAX(L43,$D$7*$D$8),L43)</f>
        <v>95732.780557758524</v>
      </c>
      <c r="O43" s="24">
        <f t="shared" ref="O43:O74" si="9">N43*$D$6</f>
        <v>272838424589.61179</v>
      </c>
      <c r="P43" s="24">
        <f t="shared" ref="P43:P74" si="10">O43*E43</f>
        <v>272838424589.61179</v>
      </c>
      <c r="Q43" s="58">
        <v>302060823193.414</v>
      </c>
      <c r="R43" s="55">
        <f t="shared" ref="R43:R74" si="11">IF(Q43="","",O43/Q43-1)</f>
        <v>-9.6743425032284613E-2</v>
      </c>
      <c r="S43" s="61" t="s">
        <v>509</v>
      </c>
    </row>
    <row r="44" spans="1:19">
      <c r="A44" s="21" t="s">
        <v>467</v>
      </c>
      <c r="B44" s="21" t="s">
        <v>510</v>
      </c>
      <c r="C44" s="21" t="s">
        <v>343</v>
      </c>
      <c r="D44" s="111" t="s">
        <v>508</v>
      </c>
      <c r="E44" s="66">
        <v>1</v>
      </c>
      <c r="F44" s="66">
        <v>1394</v>
      </c>
      <c r="G44" s="68" t="s">
        <v>15</v>
      </c>
      <c r="H44" s="58">
        <v>90000</v>
      </c>
      <c r="I44" s="58">
        <v>1</v>
      </c>
      <c r="J44" s="24">
        <f t="shared" si="6"/>
        <v>90000</v>
      </c>
      <c r="K44" s="25">
        <f>INDEX(Indices!$C$51:$C$71,MATCH($D$3,Indices!$A$51:$A$71,0))/INDEX(Indices!$C$51:$C$71,MATCH(F44,Indices!$A$51:$A$71,0))</f>
        <v>1.3676111508251219</v>
      </c>
      <c r="L44" s="24">
        <f t="shared" si="7"/>
        <v>123085.00357426096</v>
      </c>
      <c r="M44" s="68" t="s">
        <v>308</v>
      </c>
      <c r="N44" s="24">
        <f t="shared" si="8"/>
        <v>123085.00357426096</v>
      </c>
      <c r="O44" s="24">
        <f t="shared" si="9"/>
        <v>350792260186.64374</v>
      </c>
      <c r="P44" s="24">
        <f t="shared" si="10"/>
        <v>350792260186.64374</v>
      </c>
      <c r="Q44" s="58">
        <v>388363915534.39001</v>
      </c>
      <c r="R44" s="55">
        <f t="shared" si="11"/>
        <v>-9.6743425032285946E-2</v>
      </c>
      <c r="S44" s="61" t="s">
        <v>509</v>
      </c>
    </row>
    <row r="45" spans="1:19">
      <c r="A45" s="21" t="s">
        <v>467</v>
      </c>
      <c r="B45" s="21" t="s">
        <v>511</v>
      </c>
      <c r="C45" s="21" t="s">
        <v>345</v>
      </c>
      <c r="D45" s="111" t="s">
        <v>508</v>
      </c>
      <c r="E45" s="66">
        <v>2</v>
      </c>
      <c r="F45" s="66">
        <v>1394</v>
      </c>
      <c r="G45" s="68" t="s">
        <v>15</v>
      </c>
      <c r="H45" s="58">
        <v>15000</v>
      </c>
      <c r="I45" s="58">
        <v>1</v>
      </c>
      <c r="J45" s="24">
        <f t="shared" si="6"/>
        <v>15000</v>
      </c>
      <c r="K45" s="25">
        <f>INDEX(Indices!$C$51:$C$71,MATCH($D$3,Indices!$A$51:$A$71,0))/INDEX(Indices!$C$51:$C$71,MATCH(F45,Indices!$A$51:$A$71,0))</f>
        <v>1.3676111508251219</v>
      </c>
      <c r="L45" s="24">
        <f t="shared" si="7"/>
        <v>20514.167262376828</v>
      </c>
      <c r="M45" s="68" t="s">
        <v>308</v>
      </c>
      <c r="N45" s="24">
        <f t="shared" si="8"/>
        <v>20514.167262376828</v>
      </c>
      <c r="O45" s="24">
        <f t="shared" si="9"/>
        <v>58465376697.773964</v>
      </c>
      <c r="P45" s="24">
        <f t="shared" si="10"/>
        <v>116930753395.54793</v>
      </c>
      <c r="Q45" s="58">
        <v>64727319255.731697</v>
      </c>
      <c r="R45" s="55">
        <f t="shared" si="11"/>
        <v>-9.6743425032286168E-2</v>
      </c>
      <c r="S45" s="61" t="s">
        <v>509</v>
      </c>
    </row>
    <row r="46" spans="1:19">
      <c r="A46" s="21" t="s">
        <v>467</v>
      </c>
      <c r="B46" s="21" t="s">
        <v>512</v>
      </c>
      <c r="C46" s="21" t="s">
        <v>338</v>
      </c>
      <c r="D46" s="111" t="s">
        <v>508</v>
      </c>
      <c r="E46" s="66">
        <v>1</v>
      </c>
      <c r="F46" s="66">
        <v>1394</v>
      </c>
      <c r="G46" s="68" t="s">
        <v>15</v>
      </c>
      <c r="H46" s="58">
        <v>6500</v>
      </c>
      <c r="I46" s="58">
        <v>1</v>
      </c>
      <c r="J46" s="24">
        <f t="shared" si="6"/>
        <v>6500</v>
      </c>
      <c r="K46" s="25">
        <f>INDEX(Indices!$C$51:$C$71,MATCH($D$3,Indices!$A$51:$A$71,0))/INDEX(Indices!$C$51:$C$71,MATCH(F46,Indices!$A$51:$A$71,0))</f>
        <v>1.3676111508251219</v>
      </c>
      <c r="L46" s="24">
        <f t="shared" si="7"/>
        <v>8889.4724803632926</v>
      </c>
      <c r="M46" s="68" t="s">
        <v>308</v>
      </c>
      <c r="N46" s="24">
        <f t="shared" si="8"/>
        <v>8889.4724803632926</v>
      </c>
      <c r="O46" s="24">
        <f t="shared" si="9"/>
        <v>25334996569.035385</v>
      </c>
      <c r="P46" s="24">
        <f t="shared" si="10"/>
        <v>25334996569.035385</v>
      </c>
      <c r="Q46" s="58">
        <v>28048505010.817101</v>
      </c>
      <c r="R46" s="55">
        <f t="shared" si="11"/>
        <v>-9.6743425032287167E-2</v>
      </c>
      <c r="S46" s="61" t="s">
        <v>509</v>
      </c>
    </row>
    <row r="47" spans="1:19">
      <c r="A47" s="21" t="s">
        <v>467</v>
      </c>
      <c r="B47" s="21" t="s">
        <v>513</v>
      </c>
      <c r="C47" s="21" t="s">
        <v>514</v>
      </c>
      <c r="D47" s="111" t="s">
        <v>486</v>
      </c>
      <c r="E47" s="66">
        <v>5</v>
      </c>
      <c r="F47" s="66">
        <v>1394</v>
      </c>
      <c r="G47" s="68" t="s">
        <v>78</v>
      </c>
      <c r="H47" s="58">
        <v>100000000</v>
      </c>
      <c r="I47" s="24">
        <f>INDEX(Indices!$G$51:$G$71,MATCH(F47,Indices!$A$51:$A$71,0))</f>
        <v>37185</v>
      </c>
      <c r="J47" s="24">
        <f t="shared" si="6"/>
        <v>2689.2564205997041</v>
      </c>
      <c r="K47" s="25">
        <f>INDEX(Indices!$C$51:$C$71,MATCH($D$3,Indices!$A$51:$A$71,0))/INDEX(Indices!$C$51:$C$71,MATCH(F47,Indices!$A$51:$A$71,0))</f>
        <v>1.3676111508251219</v>
      </c>
      <c r="L47" s="24">
        <f t="shared" si="7"/>
        <v>3677.8570682402092</v>
      </c>
      <c r="M47" s="68" t="s">
        <v>308</v>
      </c>
      <c r="N47" s="24">
        <f t="shared" si="8"/>
        <v>3677.8570682402092</v>
      </c>
      <c r="O47" s="24">
        <f t="shared" si="9"/>
        <v>10481892644.484596</v>
      </c>
      <c r="P47" s="24">
        <f t="shared" si="10"/>
        <v>52409463222.422981</v>
      </c>
      <c r="Q47" s="58">
        <v>5929709836.53473</v>
      </c>
      <c r="R47" s="55">
        <f t="shared" si="11"/>
        <v>0.76769065155642124</v>
      </c>
      <c r="S47" s="61"/>
    </row>
    <row r="48" spans="1:19">
      <c r="A48" s="21" t="s">
        <v>467</v>
      </c>
      <c r="B48" s="21" t="s">
        <v>515</v>
      </c>
      <c r="C48" s="21" t="s">
        <v>516</v>
      </c>
      <c r="D48" s="111" t="s">
        <v>499</v>
      </c>
      <c r="E48" s="66">
        <v>2</v>
      </c>
      <c r="F48" s="66">
        <v>1394</v>
      </c>
      <c r="G48" s="68" t="s">
        <v>78</v>
      </c>
      <c r="H48" s="58">
        <v>250000000</v>
      </c>
      <c r="I48" s="24">
        <f>INDEX(Indices!$G$51:$G$71,MATCH(F48,Indices!$A$51:$A$71,0))</f>
        <v>37185</v>
      </c>
      <c r="J48" s="24">
        <f t="shared" si="6"/>
        <v>6723.1410514992604</v>
      </c>
      <c r="K48" s="25">
        <f>INDEX(Indices!$C$51:$C$71,MATCH($D$3,Indices!$A$51:$A$71,0))/INDEX(Indices!$C$51:$C$71,MATCH(F48,Indices!$A$51:$A$71,0))</f>
        <v>1.3676111508251219</v>
      </c>
      <c r="L48" s="24">
        <f t="shared" si="7"/>
        <v>9194.6426706005241</v>
      </c>
      <c r="M48" s="68" t="s">
        <v>308</v>
      </c>
      <c r="N48" s="24">
        <f t="shared" si="8"/>
        <v>9194.6426706005241</v>
      </c>
      <c r="O48" s="24">
        <f t="shared" si="9"/>
        <v>26204731611.211494</v>
      </c>
      <c r="P48" s="24">
        <f t="shared" si="10"/>
        <v>52409463222.422989</v>
      </c>
      <c r="Q48" s="58">
        <v>15194609574.361099</v>
      </c>
      <c r="R48" s="55">
        <f t="shared" si="11"/>
        <v>0.7246071037868933</v>
      </c>
      <c r="S48" s="61"/>
    </row>
    <row r="49" spans="1:19">
      <c r="A49" s="21" t="s">
        <v>467</v>
      </c>
      <c r="B49" s="21" t="s">
        <v>517</v>
      </c>
      <c r="C49" s="21" t="s">
        <v>518</v>
      </c>
      <c r="D49" s="111" t="s">
        <v>477</v>
      </c>
      <c r="E49" s="66">
        <v>1</v>
      </c>
      <c r="F49" s="66">
        <v>1394</v>
      </c>
      <c r="G49" s="68" t="s">
        <v>78</v>
      </c>
      <c r="H49" s="58">
        <v>100000000</v>
      </c>
      <c r="I49" s="24">
        <f>INDEX(Indices!$G$51:$G$71,MATCH(F49,Indices!$A$51:$A$71,0))</f>
        <v>37185</v>
      </c>
      <c r="J49" s="24">
        <f t="shared" si="6"/>
        <v>2689.2564205997041</v>
      </c>
      <c r="K49" s="25">
        <f>INDEX(Indices!$C$51:$C$71,MATCH($D$3,Indices!$A$51:$A$71,0))/INDEX(Indices!$C$51:$C$71,MATCH(F49,Indices!$A$51:$A$71,0))</f>
        <v>1.3676111508251219</v>
      </c>
      <c r="L49" s="24">
        <f t="shared" si="7"/>
        <v>3677.8570682402092</v>
      </c>
      <c r="M49" s="68" t="s">
        <v>308</v>
      </c>
      <c r="N49" s="24">
        <f t="shared" si="8"/>
        <v>3677.8570682402092</v>
      </c>
      <c r="O49" s="24">
        <f t="shared" si="9"/>
        <v>10481892644.484596</v>
      </c>
      <c r="P49" s="24">
        <f t="shared" si="10"/>
        <v>10481892644.484596</v>
      </c>
      <c r="Q49" s="58">
        <v>6082331126.5464602</v>
      </c>
      <c r="R49" s="55">
        <f t="shared" si="11"/>
        <v>0.72333475873027675</v>
      </c>
      <c r="S49" s="61"/>
    </row>
    <row r="50" spans="1:19">
      <c r="A50" s="21" t="s">
        <v>519</v>
      </c>
      <c r="B50" s="21" t="s">
        <v>300</v>
      </c>
      <c r="C50" s="21" t="s">
        <v>520</v>
      </c>
      <c r="D50" s="111" t="s">
        <v>470</v>
      </c>
      <c r="E50" s="66">
        <v>2</v>
      </c>
      <c r="F50" s="66">
        <v>1404</v>
      </c>
      <c r="G50" s="68" t="s">
        <v>15</v>
      </c>
      <c r="H50" s="58">
        <v>111500</v>
      </c>
      <c r="I50" s="58">
        <v>1</v>
      </c>
      <c r="J50" s="24">
        <f t="shared" si="6"/>
        <v>111500</v>
      </c>
      <c r="K50" s="25">
        <f>INDEX(Indices!$C$51:$C$71,MATCH($D$3,Indices!$A$51:$A$71,0))/INDEX(Indices!$C$51:$C$71,MATCH(F50,Indices!$A$51:$A$71,0))</f>
        <v>1.02</v>
      </c>
      <c r="L50" s="24">
        <f t="shared" si="7"/>
        <v>113730</v>
      </c>
      <c r="M50" s="68" t="s">
        <v>303</v>
      </c>
      <c r="N50" s="24">
        <f t="shared" si="8"/>
        <v>113730</v>
      </c>
      <c r="O50" s="24">
        <f t="shared" si="9"/>
        <v>324130500000</v>
      </c>
      <c r="P50" s="24">
        <f t="shared" si="10"/>
        <v>648261000000</v>
      </c>
      <c r="Q50" s="58">
        <v>346423268995.69897</v>
      </c>
      <c r="R50" s="55">
        <f t="shared" si="11"/>
        <v>-6.4351245978155558E-2</v>
      </c>
      <c r="S50" s="61"/>
    </row>
    <row r="51" spans="1:19">
      <c r="A51" s="21" t="s">
        <v>519</v>
      </c>
      <c r="B51" s="21" t="s">
        <v>304</v>
      </c>
      <c r="C51" s="21" t="s">
        <v>521</v>
      </c>
      <c r="D51" s="111" t="s">
        <v>499</v>
      </c>
      <c r="E51" s="66">
        <v>2</v>
      </c>
      <c r="F51" s="66">
        <v>1404</v>
      </c>
      <c r="G51" s="68" t="s">
        <v>15</v>
      </c>
      <c r="H51" s="58">
        <v>15050</v>
      </c>
      <c r="I51" s="58">
        <v>1</v>
      </c>
      <c r="J51" s="24">
        <f t="shared" si="6"/>
        <v>15050</v>
      </c>
      <c r="K51" s="25">
        <f>INDEX(Indices!$C$51:$C$71,MATCH($D$3,Indices!$A$51:$A$71,0))/INDEX(Indices!$C$51:$C$71,MATCH(F51,Indices!$A$51:$A$71,0))</f>
        <v>1.02</v>
      </c>
      <c r="L51" s="24">
        <f t="shared" si="7"/>
        <v>15351</v>
      </c>
      <c r="M51" s="68" t="s">
        <v>308</v>
      </c>
      <c r="N51" s="24">
        <f t="shared" si="8"/>
        <v>15351</v>
      </c>
      <c r="O51" s="24">
        <f t="shared" si="9"/>
        <v>43750350000</v>
      </c>
      <c r="P51" s="24">
        <f t="shared" si="10"/>
        <v>87500700000</v>
      </c>
      <c r="Q51" s="58">
        <v>45920671835.143898</v>
      </c>
      <c r="R51" s="55">
        <f t="shared" si="11"/>
        <v>-4.7262414690608101E-2</v>
      </c>
      <c r="S51" s="61"/>
    </row>
    <row r="52" spans="1:19">
      <c r="A52" s="21" t="s">
        <v>519</v>
      </c>
      <c r="B52" s="21" t="s">
        <v>309</v>
      </c>
      <c r="C52" s="21" t="s">
        <v>522</v>
      </c>
      <c r="D52" s="111" t="s">
        <v>499</v>
      </c>
      <c r="E52" s="66">
        <v>1</v>
      </c>
      <c r="F52" s="66">
        <v>1404</v>
      </c>
      <c r="G52" s="68" t="s">
        <v>15</v>
      </c>
      <c r="H52" s="58">
        <v>22250</v>
      </c>
      <c r="I52" s="58">
        <v>1</v>
      </c>
      <c r="J52" s="24">
        <f t="shared" si="6"/>
        <v>22250</v>
      </c>
      <c r="K52" s="25">
        <f>INDEX(Indices!$C$51:$C$71,MATCH($D$3,Indices!$A$51:$A$71,0))/INDEX(Indices!$C$51:$C$71,MATCH(F52,Indices!$A$51:$A$71,0))</f>
        <v>1.02</v>
      </c>
      <c r="L52" s="24">
        <f t="shared" si="7"/>
        <v>22695</v>
      </c>
      <c r="M52" s="68" t="s">
        <v>308</v>
      </c>
      <c r="N52" s="24">
        <f t="shared" si="8"/>
        <v>22695</v>
      </c>
      <c r="O52" s="24">
        <f t="shared" si="9"/>
        <v>64680750000</v>
      </c>
      <c r="P52" s="24">
        <f t="shared" si="10"/>
        <v>64680750000</v>
      </c>
      <c r="Q52" s="58">
        <v>67889365337.671204</v>
      </c>
      <c r="R52" s="55">
        <f t="shared" si="11"/>
        <v>-4.726241469060799E-2</v>
      </c>
      <c r="S52" s="61"/>
    </row>
    <row r="53" spans="1:19">
      <c r="A53" s="21" t="s">
        <v>519</v>
      </c>
      <c r="B53" s="21" t="s">
        <v>312</v>
      </c>
      <c r="C53" s="21" t="s">
        <v>523</v>
      </c>
      <c r="D53" s="111" t="s">
        <v>499</v>
      </c>
      <c r="E53" s="66">
        <v>2</v>
      </c>
      <c r="F53" s="66">
        <v>1404</v>
      </c>
      <c r="G53" s="68" t="s">
        <v>15</v>
      </c>
      <c r="H53" s="58">
        <v>21500</v>
      </c>
      <c r="I53" s="58">
        <v>1</v>
      </c>
      <c r="J53" s="24">
        <f t="shared" si="6"/>
        <v>21500</v>
      </c>
      <c r="K53" s="25">
        <f>INDEX(Indices!$C$51:$C$71,MATCH($D$3,Indices!$A$51:$A$71,0))/INDEX(Indices!$C$51:$C$71,MATCH(F53,Indices!$A$51:$A$71,0))</f>
        <v>1.02</v>
      </c>
      <c r="L53" s="24">
        <f t="shared" si="7"/>
        <v>21930</v>
      </c>
      <c r="M53" s="68" t="s">
        <v>308</v>
      </c>
      <c r="N53" s="24">
        <f t="shared" si="8"/>
        <v>21930</v>
      </c>
      <c r="O53" s="24">
        <f t="shared" si="9"/>
        <v>62500500000</v>
      </c>
      <c r="P53" s="24">
        <f t="shared" si="10"/>
        <v>125001000000</v>
      </c>
      <c r="Q53" s="58">
        <v>65600959764.491203</v>
      </c>
      <c r="R53" s="55">
        <f t="shared" si="11"/>
        <v>-4.726241469060688E-2</v>
      </c>
      <c r="S53" s="61"/>
    </row>
    <row r="54" spans="1:19">
      <c r="A54" s="21" t="s">
        <v>519</v>
      </c>
      <c r="B54" s="21" t="s">
        <v>314</v>
      </c>
      <c r="C54" s="21" t="s">
        <v>524</v>
      </c>
      <c r="D54" s="111" t="s">
        <v>470</v>
      </c>
      <c r="E54" s="66">
        <v>2</v>
      </c>
      <c r="F54" s="66">
        <v>1404</v>
      </c>
      <c r="G54" s="68" t="s">
        <v>15</v>
      </c>
      <c r="H54" s="58">
        <v>317500</v>
      </c>
      <c r="I54" s="58">
        <v>1</v>
      </c>
      <c r="J54" s="24">
        <f t="shared" si="6"/>
        <v>317500</v>
      </c>
      <c r="K54" s="25">
        <f>INDEX(Indices!$C$51:$C$71,MATCH($D$3,Indices!$A$51:$A$71,0))/INDEX(Indices!$C$51:$C$71,MATCH(F54,Indices!$A$51:$A$71,0))</f>
        <v>1.02</v>
      </c>
      <c r="L54" s="24">
        <f t="shared" si="7"/>
        <v>323850</v>
      </c>
      <c r="M54" s="68" t="s">
        <v>303</v>
      </c>
      <c r="N54" s="24">
        <f t="shared" si="8"/>
        <v>323850</v>
      </c>
      <c r="O54" s="24">
        <f t="shared" si="9"/>
        <v>922972500000</v>
      </c>
      <c r="P54" s="24">
        <f t="shared" si="10"/>
        <v>1845945000000</v>
      </c>
      <c r="Q54" s="58">
        <v>986451909472.05798</v>
      </c>
      <c r="R54" s="55">
        <f t="shared" si="11"/>
        <v>-6.4351245978155891E-2</v>
      </c>
      <c r="S54" s="61"/>
    </row>
    <row r="55" spans="1:19">
      <c r="A55" s="21" t="s">
        <v>519</v>
      </c>
      <c r="B55" s="21" t="s">
        <v>317</v>
      </c>
      <c r="C55" s="21" t="s">
        <v>525</v>
      </c>
      <c r="D55" s="111" t="s">
        <v>474</v>
      </c>
      <c r="E55" s="66">
        <v>2</v>
      </c>
      <c r="F55" s="66">
        <v>1404</v>
      </c>
      <c r="G55" s="68" t="s">
        <v>15</v>
      </c>
      <c r="H55" s="58">
        <v>30000</v>
      </c>
      <c r="I55" s="58">
        <v>1</v>
      </c>
      <c r="J55" s="24">
        <f t="shared" si="6"/>
        <v>30000</v>
      </c>
      <c r="K55" s="25">
        <f>INDEX(Indices!$C$51:$C$71,MATCH($D$3,Indices!$A$51:$A$71,0))/INDEX(Indices!$C$51:$C$71,MATCH(F55,Indices!$A$51:$A$71,0))</f>
        <v>1.02</v>
      </c>
      <c r="L55" s="24">
        <f t="shared" si="7"/>
        <v>30600</v>
      </c>
      <c r="M55" s="68" t="s">
        <v>308</v>
      </c>
      <c r="N55" s="24">
        <f t="shared" si="8"/>
        <v>30600</v>
      </c>
      <c r="O55" s="24">
        <f t="shared" si="9"/>
        <v>87210000000</v>
      </c>
      <c r="P55" s="24">
        <f t="shared" si="10"/>
        <v>174420000000</v>
      </c>
      <c r="Q55" s="58">
        <v>90933123736.087799</v>
      </c>
      <c r="R55" s="55">
        <f t="shared" si="11"/>
        <v>-4.0943537218553039E-2</v>
      </c>
      <c r="S55" s="61"/>
    </row>
    <row r="56" spans="1:19">
      <c r="A56" s="21" t="s">
        <v>519</v>
      </c>
      <c r="B56" s="21" t="s">
        <v>320</v>
      </c>
      <c r="C56" s="21" t="s">
        <v>526</v>
      </c>
      <c r="D56" s="111" t="s">
        <v>470</v>
      </c>
      <c r="E56" s="66">
        <v>2</v>
      </c>
      <c r="F56" s="66">
        <v>1404</v>
      </c>
      <c r="G56" s="68" t="s">
        <v>15</v>
      </c>
      <c r="H56" s="58">
        <v>29000</v>
      </c>
      <c r="I56" s="58">
        <v>1</v>
      </c>
      <c r="J56" s="24">
        <f t="shared" si="6"/>
        <v>29000</v>
      </c>
      <c r="K56" s="25">
        <f>INDEX(Indices!$C$51:$C$71,MATCH($D$3,Indices!$A$51:$A$71,0))/INDEX(Indices!$C$51:$C$71,MATCH(F56,Indices!$A$51:$A$71,0))</f>
        <v>1.02</v>
      </c>
      <c r="L56" s="24">
        <f t="shared" si="7"/>
        <v>29580</v>
      </c>
      <c r="M56" s="68" t="s">
        <v>303</v>
      </c>
      <c r="N56" s="24">
        <f t="shared" si="8"/>
        <v>29580</v>
      </c>
      <c r="O56" s="24">
        <f t="shared" si="9"/>
        <v>84303000000</v>
      </c>
      <c r="P56" s="24">
        <f t="shared" si="10"/>
        <v>168606000000</v>
      </c>
      <c r="Q56" s="58">
        <v>90101119290.361206</v>
      </c>
      <c r="R56" s="55">
        <f t="shared" si="11"/>
        <v>-6.4351245978156002E-2</v>
      </c>
      <c r="S56" s="61"/>
    </row>
    <row r="57" spans="1:19">
      <c r="A57" s="21" t="s">
        <v>519</v>
      </c>
      <c r="B57" s="21" t="s">
        <v>322</v>
      </c>
      <c r="C57" s="21" t="s">
        <v>524</v>
      </c>
      <c r="D57" s="111" t="s">
        <v>470</v>
      </c>
      <c r="E57" s="66">
        <v>3</v>
      </c>
      <c r="F57" s="66">
        <v>1404</v>
      </c>
      <c r="G57" s="68" t="s">
        <v>15</v>
      </c>
      <c r="H57" s="58">
        <v>247500</v>
      </c>
      <c r="I57" s="58">
        <v>1</v>
      </c>
      <c r="J57" s="24">
        <f t="shared" si="6"/>
        <v>247500</v>
      </c>
      <c r="K57" s="25">
        <f>INDEX(Indices!$C$51:$C$71,MATCH($D$3,Indices!$A$51:$A$71,0))/INDEX(Indices!$C$51:$C$71,MATCH(F57,Indices!$A$51:$A$71,0))</f>
        <v>1.02</v>
      </c>
      <c r="L57" s="24">
        <f t="shared" si="7"/>
        <v>252450</v>
      </c>
      <c r="M57" s="68" t="s">
        <v>303</v>
      </c>
      <c r="N57" s="24">
        <f t="shared" si="8"/>
        <v>252450</v>
      </c>
      <c r="O57" s="24">
        <f t="shared" si="9"/>
        <v>719482500000</v>
      </c>
      <c r="P57" s="24">
        <f t="shared" si="10"/>
        <v>2158447500000</v>
      </c>
      <c r="Q57" s="58">
        <v>768966449116.01404</v>
      </c>
      <c r="R57" s="55">
        <f t="shared" si="11"/>
        <v>-6.4351245978156335E-2</v>
      </c>
      <c r="S57" s="61"/>
    </row>
    <row r="58" spans="1:19">
      <c r="A58" s="21" t="s">
        <v>519</v>
      </c>
      <c r="B58" s="21" t="s">
        <v>323</v>
      </c>
      <c r="C58" s="21" t="s">
        <v>527</v>
      </c>
      <c r="D58" s="111" t="s">
        <v>477</v>
      </c>
      <c r="E58" s="66">
        <v>2</v>
      </c>
      <c r="F58" s="66">
        <v>1404</v>
      </c>
      <c r="G58" s="68" t="s">
        <v>15</v>
      </c>
      <c r="H58" s="58">
        <v>25500</v>
      </c>
      <c r="I58" s="58">
        <v>1</v>
      </c>
      <c r="J58" s="24">
        <f t="shared" si="6"/>
        <v>25500</v>
      </c>
      <c r="K58" s="25">
        <f>INDEX(Indices!$C$51:$C$71,MATCH($D$3,Indices!$A$51:$A$71,0))/INDEX(Indices!$C$51:$C$71,MATCH(F58,Indices!$A$51:$A$71,0))</f>
        <v>1.02</v>
      </c>
      <c r="L58" s="24">
        <f t="shared" si="7"/>
        <v>26010</v>
      </c>
      <c r="M58" s="68" t="s">
        <v>303</v>
      </c>
      <c r="N58" s="24">
        <f t="shared" si="8"/>
        <v>26010</v>
      </c>
      <c r="O58" s="24">
        <f t="shared" si="9"/>
        <v>74128500000</v>
      </c>
      <c r="P58" s="24">
        <f t="shared" si="10"/>
        <v>148257000000</v>
      </c>
      <c r="Q58" s="58">
        <v>77677165816.899994</v>
      </c>
      <c r="R58" s="55">
        <f t="shared" si="11"/>
        <v>-4.5684800411808002E-2</v>
      </c>
      <c r="S58" s="61"/>
    </row>
    <row r="59" spans="1:19">
      <c r="A59" s="21" t="s">
        <v>519</v>
      </c>
      <c r="B59" s="21" t="s">
        <v>325</v>
      </c>
      <c r="C59" s="21" t="s">
        <v>528</v>
      </c>
      <c r="D59" s="111" t="s">
        <v>470</v>
      </c>
      <c r="E59" s="66">
        <v>2</v>
      </c>
      <c r="F59" s="66">
        <v>1404</v>
      </c>
      <c r="G59" s="68" t="s">
        <v>15</v>
      </c>
      <c r="H59" s="58">
        <v>31000</v>
      </c>
      <c r="I59" s="58">
        <v>1</v>
      </c>
      <c r="J59" s="24">
        <f t="shared" si="6"/>
        <v>31000</v>
      </c>
      <c r="K59" s="25">
        <f>INDEX(Indices!$C$51:$C$71,MATCH($D$3,Indices!$A$51:$A$71,0))/INDEX(Indices!$C$51:$C$71,MATCH(F59,Indices!$A$51:$A$71,0))</f>
        <v>1.02</v>
      </c>
      <c r="L59" s="24">
        <f t="shared" si="7"/>
        <v>31620</v>
      </c>
      <c r="M59" s="68" t="s">
        <v>303</v>
      </c>
      <c r="N59" s="24">
        <f t="shared" si="8"/>
        <v>31620</v>
      </c>
      <c r="O59" s="24">
        <f t="shared" si="9"/>
        <v>90117000000</v>
      </c>
      <c r="P59" s="24">
        <f t="shared" si="10"/>
        <v>180234000000</v>
      </c>
      <c r="Q59" s="58">
        <v>96314989586.248199</v>
      </c>
      <c r="R59" s="55">
        <f t="shared" si="11"/>
        <v>-6.4351245978156113E-2</v>
      </c>
      <c r="S59" s="61"/>
    </row>
    <row r="60" spans="1:19">
      <c r="A60" s="21" t="s">
        <v>519</v>
      </c>
      <c r="B60" s="21" t="s">
        <v>327</v>
      </c>
      <c r="C60" s="21" t="s">
        <v>529</v>
      </c>
      <c r="D60" s="111" t="s">
        <v>477</v>
      </c>
      <c r="E60" s="66">
        <v>1</v>
      </c>
      <c r="F60" s="66">
        <v>1404</v>
      </c>
      <c r="G60" s="68" t="s">
        <v>15</v>
      </c>
      <c r="H60" s="58">
        <v>34500</v>
      </c>
      <c r="I60" s="58">
        <v>1</v>
      </c>
      <c r="J60" s="24">
        <f t="shared" si="6"/>
        <v>34500</v>
      </c>
      <c r="K60" s="25">
        <f>INDEX(Indices!$C$51:$C$71,MATCH($D$3,Indices!$A$51:$A$71,0))/INDEX(Indices!$C$51:$C$71,MATCH(F60,Indices!$A$51:$A$71,0))</f>
        <v>1.02</v>
      </c>
      <c r="L60" s="24">
        <f t="shared" si="7"/>
        <v>35190</v>
      </c>
      <c r="M60" s="68" t="s">
        <v>303</v>
      </c>
      <c r="N60" s="24">
        <f t="shared" si="8"/>
        <v>35190</v>
      </c>
      <c r="O60" s="24">
        <f t="shared" si="9"/>
        <v>100291500000</v>
      </c>
      <c r="P60" s="24">
        <f t="shared" si="10"/>
        <v>100291500000</v>
      </c>
      <c r="Q60" s="58">
        <v>105092636105.218</v>
      </c>
      <c r="R60" s="55">
        <f t="shared" si="11"/>
        <v>-4.5684800411811333E-2</v>
      </c>
      <c r="S60" s="61"/>
    </row>
    <row r="61" spans="1:19">
      <c r="A61" s="21" t="s">
        <v>530</v>
      </c>
      <c r="B61" s="21" t="s">
        <v>531</v>
      </c>
      <c r="C61" s="21" t="s">
        <v>532</v>
      </c>
      <c r="D61" s="111" t="s">
        <v>474</v>
      </c>
      <c r="E61" s="66">
        <v>2</v>
      </c>
      <c r="F61" s="66">
        <v>1393</v>
      </c>
      <c r="G61" s="68" t="s">
        <v>15</v>
      </c>
      <c r="H61" s="58">
        <v>25000</v>
      </c>
      <c r="I61" s="58">
        <v>1</v>
      </c>
      <c r="J61" s="24">
        <f t="shared" si="6"/>
        <v>25000</v>
      </c>
      <c r="K61" s="25">
        <f>INDEX(Indices!$C$51:$C$71,MATCH($D$3,Indices!$A$51:$A$71,0))/INDEX(Indices!$C$51:$C$71,MATCH(F61,Indices!$A$51:$A$71,0))</f>
        <v>1.3780912739334623</v>
      </c>
      <c r="L61" s="24">
        <f t="shared" si="7"/>
        <v>34452.281848336555</v>
      </c>
      <c r="M61" s="68" t="s">
        <v>308</v>
      </c>
      <c r="N61" s="24">
        <f t="shared" si="8"/>
        <v>34452.281848336555</v>
      </c>
      <c r="O61" s="24">
        <f t="shared" si="9"/>
        <v>98189003267.759186</v>
      </c>
      <c r="P61" s="24">
        <f t="shared" si="10"/>
        <v>196378006535.51837</v>
      </c>
      <c r="Q61" s="58">
        <v>117612616761.351</v>
      </c>
      <c r="R61" s="55">
        <f t="shared" si="11"/>
        <v>-0.16514906332714685</v>
      </c>
      <c r="S61" s="61" t="s">
        <v>533</v>
      </c>
    </row>
    <row r="62" spans="1:19">
      <c r="A62" s="21" t="s">
        <v>519</v>
      </c>
      <c r="B62" s="21" t="s">
        <v>330</v>
      </c>
      <c r="C62" s="21" t="s">
        <v>534</v>
      </c>
      <c r="D62" s="111" t="s">
        <v>470</v>
      </c>
      <c r="E62" s="66">
        <v>2</v>
      </c>
      <c r="F62" s="66">
        <v>1404</v>
      </c>
      <c r="G62" s="68" t="s">
        <v>15</v>
      </c>
      <c r="H62" s="58">
        <v>29600</v>
      </c>
      <c r="I62" s="58">
        <v>1</v>
      </c>
      <c r="J62" s="24">
        <f t="shared" si="6"/>
        <v>29600</v>
      </c>
      <c r="K62" s="25">
        <f>INDEX(Indices!$C$51:$C$71,MATCH($D$3,Indices!$A$51:$A$71,0))/INDEX(Indices!$C$51:$C$71,MATCH(F62,Indices!$A$51:$A$71,0))</f>
        <v>1.02</v>
      </c>
      <c r="L62" s="24">
        <f t="shared" si="7"/>
        <v>30192</v>
      </c>
      <c r="M62" s="68" t="s">
        <v>303</v>
      </c>
      <c r="N62" s="24">
        <f t="shared" si="8"/>
        <v>30192</v>
      </c>
      <c r="O62" s="24">
        <f t="shared" si="9"/>
        <v>86047200000</v>
      </c>
      <c r="P62" s="24">
        <f t="shared" si="10"/>
        <v>172094400000</v>
      </c>
      <c r="Q62" s="58">
        <v>91965280379.127304</v>
      </c>
      <c r="R62" s="55">
        <f t="shared" si="11"/>
        <v>-6.4351245978156002E-2</v>
      </c>
      <c r="S62" s="61"/>
    </row>
    <row r="63" spans="1:19">
      <c r="A63" s="21" t="s">
        <v>519</v>
      </c>
      <c r="B63" s="21" t="s">
        <v>332</v>
      </c>
      <c r="C63" s="21" t="s">
        <v>535</v>
      </c>
      <c r="D63" s="111" t="s">
        <v>477</v>
      </c>
      <c r="E63" s="66">
        <v>2</v>
      </c>
      <c r="F63" s="66">
        <v>1404</v>
      </c>
      <c r="G63" s="68" t="s">
        <v>15</v>
      </c>
      <c r="H63" s="58">
        <v>26250</v>
      </c>
      <c r="I63" s="58">
        <v>1</v>
      </c>
      <c r="J63" s="24">
        <f t="shared" si="6"/>
        <v>26250</v>
      </c>
      <c r="K63" s="25">
        <f>INDEX(Indices!$C$51:$C$71,MATCH($D$3,Indices!$A$51:$A$71,0))/INDEX(Indices!$C$51:$C$71,MATCH(F63,Indices!$A$51:$A$71,0))</f>
        <v>1.02</v>
      </c>
      <c r="L63" s="24">
        <f t="shared" si="7"/>
        <v>26775</v>
      </c>
      <c r="M63" s="68" t="s">
        <v>303</v>
      </c>
      <c r="N63" s="24">
        <f t="shared" si="8"/>
        <v>26775</v>
      </c>
      <c r="O63" s="24">
        <f t="shared" si="9"/>
        <v>76308750000</v>
      </c>
      <c r="P63" s="24">
        <f t="shared" si="10"/>
        <v>152617500000</v>
      </c>
      <c r="Q63" s="58">
        <v>79961788340.926498</v>
      </c>
      <c r="R63" s="55">
        <f t="shared" si="11"/>
        <v>-4.5684800411808446E-2</v>
      </c>
      <c r="S63" s="61"/>
    </row>
    <row r="64" spans="1:19">
      <c r="A64" s="21" t="s">
        <v>519</v>
      </c>
      <c r="B64" s="21" t="s">
        <v>334</v>
      </c>
      <c r="C64" s="21" t="s">
        <v>536</v>
      </c>
      <c r="D64" s="111" t="s">
        <v>499</v>
      </c>
      <c r="E64" s="66">
        <v>1</v>
      </c>
      <c r="F64" s="66">
        <v>1404</v>
      </c>
      <c r="G64" s="68" t="s">
        <v>15</v>
      </c>
      <c r="H64" s="58">
        <v>21000</v>
      </c>
      <c r="I64" s="58">
        <v>1</v>
      </c>
      <c r="J64" s="24">
        <f t="shared" si="6"/>
        <v>21000</v>
      </c>
      <c r="K64" s="25">
        <f>INDEX(Indices!$C$51:$C$71,MATCH($D$3,Indices!$A$51:$A$71,0))/INDEX(Indices!$C$51:$C$71,MATCH(F64,Indices!$A$51:$A$71,0))</f>
        <v>1.02</v>
      </c>
      <c r="L64" s="24">
        <f t="shared" si="7"/>
        <v>21420</v>
      </c>
      <c r="M64" s="68" t="s">
        <v>303</v>
      </c>
      <c r="N64" s="24">
        <f t="shared" si="8"/>
        <v>25500</v>
      </c>
      <c r="O64" s="24">
        <f t="shared" si="9"/>
        <v>72675000000</v>
      </c>
      <c r="P64" s="24">
        <f t="shared" si="10"/>
        <v>72675000000</v>
      </c>
      <c r="Q64" s="58">
        <v>64075356049.038002</v>
      </c>
      <c r="R64" s="55">
        <f t="shared" si="11"/>
        <v>0.13421141108260937</v>
      </c>
      <c r="S64" s="61"/>
    </row>
    <row r="65" spans="1:19">
      <c r="A65" s="21" t="s">
        <v>519</v>
      </c>
      <c r="B65" s="21" t="s">
        <v>337</v>
      </c>
      <c r="C65" s="21" t="s">
        <v>537</v>
      </c>
      <c r="D65" s="111" t="s">
        <v>508</v>
      </c>
      <c r="E65" s="66">
        <v>1</v>
      </c>
      <c r="F65" s="66">
        <v>1404</v>
      </c>
      <c r="G65" s="68" t="s">
        <v>15</v>
      </c>
      <c r="H65" s="58">
        <v>16000</v>
      </c>
      <c r="I65" s="58">
        <v>1</v>
      </c>
      <c r="J65" s="24">
        <f t="shared" si="6"/>
        <v>16000</v>
      </c>
      <c r="K65" s="25">
        <f>INDEX(Indices!$C$51:$C$71,MATCH($D$3,Indices!$A$51:$A$71,0))/INDEX(Indices!$C$51:$C$71,MATCH(F65,Indices!$A$51:$A$71,0))</f>
        <v>1.02</v>
      </c>
      <c r="L65" s="24">
        <f t="shared" si="7"/>
        <v>16320</v>
      </c>
      <c r="M65" s="68" t="s">
        <v>308</v>
      </c>
      <c r="N65" s="24">
        <f t="shared" si="8"/>
        <v>16320</v>
      </c>
      <c r="O65" s="24">
        <f t="shared" si="9"/>
        <v>46512000000</v>
      </c>
      <c r="P65" s="24">
        <f t="shared" si="10"/>
        <v>46512000000</v>
      </c>
      <c r="Q65" s="58">
        <v>48383163026.001099</v>
      </c>
      <c r="R65" s="55">
        <f t="shared" si="11"/>
        <v>-3.8673846622957142E-2</v>
      </c>
      <c r="S65" s="61" t="s">
        <v>538</v>
      </c>
    </row>
    <row r="66" spans="1:19">
      <c r="A66" s="21" t="s">
        <v>519</v>
      </c>
      <c r="B66" s="21" t="s">
        <v>339</v>
      </c>
      <c r="C66" s="21" t="s">
        <v>539</v>
      </c>
      <c r="D66" s="111" t="s">
        <v>508</v>
      </c>
      <c r="E66" s="66">
        <v>1</v>
      </c>
      <c r="F66" s="66">
        <v>1404</v>
      </c>
      <c r="G66" s="68" t="s">
        <v>15</v>
      </c>
      <c r="H66" s="58">
        <v>309660.11</v>
      </c>
      <c r="I66" s="58">
        <v>1</v>
      </c>
      <c r="J66" s="24">
        <f t="shared" si="6"/>
        <v>309660.11</v>
      </c>
      <c r="K66" s="25">
        <f>INDEX(Indices!$C$51:$C$71,MATCH($D$3,Indices!$A$51:$A$71,0))/INDEX(Indices!$C$51:$C$71,MATCH(F66,Indices!$A$51:$A$71,0))</f>
        <v>1.02</v>
      </c>
      <c r="L66" s="24">
        <f t="shared" si="7"/>
        <v>315853.31219999999</v>
      </c>
      <c r="M66" s="68" t="s">
        <v>308</v>
      </c>
      <c r="N66" s="24">
        <f t="shared" si="8"/>
        <v>315853.31219999999</v>
      </c>
      <c r="O66" s="24">
        <f t="shared" si="9"/>
        <v>900181939770</v>
      </c>
      <c r="P66" s="24">
        <f t="shared" si="10"/>
        <v>900181939770</v>
      </c>
      <c r="Q66" s="58">
        <v>936395974048.71399</v>
      </c>
      <c r="R66" s="55">
        <f t="shared" si="11"/>
        <v>-3.8673846622956587E-2</v>
      </c>
      <c r="S66" s="61" t="s">
        <v>538</v>
      </c>
    </row>
    <row r="67" spans="1:19">
      <c r="A67" s="21" t="s">
        <v>519</v>
      </c>
      <c r="B67" s="21" t="s">
        <v>342</v>
      </c>
      <c r="C67" s="21" t="s">
        <v>540</v>
      </c>
      <c r="D67" s="111" t="s">
        <v>508</v>
      </c>
      <c r="E67" s="66">
        <v>1</v>
      </c>
      <c r="F67" s="66">
        <v>1404</v>
      </c>
      <c r="G67" s="68" t="s">
        <v>15</v>
      </c>
      <c r="H67" s="58">
        <v>202973.756666667</v>
      </c>
      <c r="I67" s="58">
        <v>1</v>
      </c>
      <c r="J67" s="24">
        <f t="shared" si="6"/>
        <v>202973.756666667</v>
      </c>
      <c r="K67" s="25">
        <f>INDEX(Indices!$C$51:$C$71,MATCH($D$3,Indices!$A$51:$A$71,0))/INDEX(Indices!$C$51:$C$71,MATCH(F67,Indices!$A$51:$A$71,0))</f>
        <v>1.02</v>
      </c>
      <c r="L67" s="24">
        <f t="shared" si="7"/>
        <v>207033.23180000036</v>
      </c>
      <c r="M67" s="68" t="s">
        <v>308</v>
      </c>
      <c r="N67" s="24">
        <f t="shared" si="8"/>
        <v>207033.23180000036</v>
      </c>
      <c r="O67" s="24">
        <f t="shared" si="9"/>
        <v>590044710630.00098</v>
      </c>
      <c r="P67" s="24">
        <f t="shared" si="10"/>
        <v>590044710630.00098</v>
      </c>
      <c r="Q67" s="58">
        <v>613782022425.20105</v>
      </c>
      <c r="R67" s="55">
        <f t="shared" si="11"/>
        <v>-3.8673846622956143E-2</v>
      </c>
      <c r="S67" s="61" t="s">
        <v>538</v>
      </c>
    </row>
    <row r="68" spans="1:19">
      <c r="A68" s="21" t="s">
        <v>519</v>
      </c>
      <c r="B68" s="21" t="s">
        <v>344</v>
      </c>
      <c r="C68" s="21" t="s">
        <v>541</v>
      </c>
      <c r="D68" s="111" t="s">
        <v>508</v>
      </c>
      <c r="E68" s="66">
        <v>2</v>
      </c>
      <c r="F68" s="66">
        <v>1404</v>
      </c>
      <c r="G68" s="68" t="s">
        <v>15</v>
      </c>
      <c r="H68" s="58">
        <v>26808.066666666698</v>
      </c>
      <c r="I68" s="58">
        <v>1</v>
      </c>
      <c r="J68" s="24">
        <f t="shared" si="6"/>
        <v>26808.066666666698</v>
      </c>
      <c r="K68" s="25">
        <f>INDEX(Indices!$C$51:$C$71,MATCH($D$3,Indices!$A$51:$A$71,0))/INDEX(Indices!$C$51:$C$71,MATCH(F68,Indices!$A$51:$A$71,0))</f>
        <v>1.02</v>
      </c>
      <c r="L68" s="24">
        <f t="shared" si="7"/>
        <v>27344.228000000032</v>
      </c>
      <c r="M68" s="68" t="s">
        <v>308</v>
      </c>
      <c r="N68" s="24">
        <f t="shared" si="8"/>
        <v>27344.228000000032</v>
      </c>
      <c r="O68" s="24">
        <f t="shared" si="9"/>
        <v>77931049800.000092</v>
      </c>
      <c r="P68" s="24">
        <f t="shared" si="10"/>
        <v>155862099600.00018</v>
      </c>
      <c r="Q68" s="58">
        <v>81066191246.577499</v>
      </c>
      <c r="R68" s="55">
        <f t="shared" si="11"/>
        <v>-3.8673846622956587E-2</v>
      </c>
      <c r="S68" s="61" t="s">
        <v>538</v>
      </c>
    </row>
    <row r="69" spans="1:19">
      <c r="A69" s="21" t="s">
        <v>542</v>
      </c>
      <c r="B69" s="21" t="s">
        <v>543</v>
      </c>
      <c r="C69" s="21" t="s">
        <v>544</v>
      </c>
      <c r="D69" s="111" t="s">
        <v>486</v>
      </c>
      <c r="E69" s="66">
        <v>2</v>
      </c>
      <c r="F69" s="66">
        <v>1393</v>
      </c>
      <c r="G69" s="68" t="s">
        <v>78</v>
      </c>
      <c r="H69" s="58">
        <v>100000000</v>
      </c>
      <c r="I69" s="24">
        <f>INDEX(Indices!$G$51:$G$71,MATCH(F69,Indices!$A$51:$A$71,0))</f>
        <v>40530.800000000003</v>
      </c>
      <c r="J69" s="24">
        <f t="shared" si="6"/>
        <v>2467.2594668745742</v>
      </c>
      <c r="K69" s="25">
        <f>INDEX(Indices!$C$51:$C$71,MATCH($D$3,Indices!$A$51:$A$71,0))/INDEX(Indices!$C$51:$C$71,MATCH(F69,Indices!$A$51:$A$71,0))</f>
        <v>1.3780912739334623</v>
      </c>
      <c r="L69" s="24">
        <f t="shared" si="7"/>
        <v>3400.108741829577</v>
      </c>
      <c r="M69" s="68" t="s">
        <v>308</v>
      </c>
      <c r="N69" s="24">
        <f t="shared" si="8"/>
        <v>3400.108741829577</v>
      </c>
      <c r="O69" s="24">
        <f t="shared" si="9"/>
        <v>9690309914.2142944</v>
      </c>
      <c r="P69" s="24">
        <f t="shared" si="10"/>
        <v>19380619828.428589</v>
      </c>
      <c r="Q69" s="58">
        <v>2778342066.6515098</v>
      </c>
      <c r="R69" s="55">
        <f t="shared" si="11"/>
        <v>2.4878030428748352</v>
      </c>
      <c r="S69" s="61" t="s">
        <v>545</v>
      </c>
    </row>
    <row r="70" spans="1:19">
      <c r="A70" s="21" t="s">
        <v>542</v>
      </c>
      <c r="B70" s="21" t="s">
        <v>546</v>
      </c>
      <c r="C70" s="21" t="s">
        <v>544</v>
      </c>
      <c r="D70" s="111" t="s">
        <v>486</v>
      </c>
      <c r="E70" s="66">
        <v>1</v>
      </c>
      <c r="F70" s="66">
        <v>1393</v>
      </c>
      <c r="G70" s="68" t="s">
        <v>78</v>
      </c>
      <c r="H70" s="58">
        <v>100000000</v>
      </c>
      <c r="I70" s="24">
        <f>INDEX(Indices!$G$51:$G$71,MATCH(F70,Indices!$A$51:$A$71,0))</f>
        <v>40530.800000000003</v>
      </c>
      <c r="J70" s="24">
        <f t="shared" si="6"/>
        <v>2467.2594668745742</v>
      </c>
      <c r="K70" s="25">
        <f>INDEX(Indices!$C$51:$C$71,MATCH($D$3,Indices!$A$51:$A$71,0))/INDEX(Indices!$C$51:$C$71,MATCH(F70,Indices!$A$51:$A$71,0))</f>
        <v>1.3780912739334623</v>
      </c>
      <c r="L70" s="24">
        <f t="shared" si="7"/>
        <v>3400.108741829577</v>
      </c>
      <c r="M70" s="68" t="s">
        <v>308</v>
      </c>
      <c r="N70" s="24">
        <f t="shared" si="8"/>
        <v>3400.108741829577</v>
      </c>
      <c r="O70" s="24">
        <f t="shared" si="9"/>
        <v>9690309914.2142944</v>
      </c>
      <c r="P70" s="24">
        <f t="shared" si="10"/>
        <v>9690309914.2142944</v>
      </c>
      <c r="Q70" s="58">
        <v>2778342066.6515098</v>
      </c>
      <c r="R70" s="55">
        <f t="shared" si="11"/>
        <v>2.4878030428748352</v>
      </c>
      <c r="S70" s="61" t="s">
        <v>545</v>
      </c>
    </row>
    <row r="71" spans="1:19">
      <c r="A71" s="21" t="s">
        <v>519</v>
      </c>
      <c r="B71" s="21" t="s">
        <v>391</v>
      </c>
      <c r="C71" s="21" t="s">
        <v>547</v>
      </c>
      <c r="D71" s="111" t="s">
        <v>548</v>
      </c>
      <c r="E71" s="66">
        <v>1</v>
      </c>
      <c r="F71" s="66">
        <v>1404</v>
      </c>
      <c r="G71" s="68" t="s">
        <v>78</v>
      </c>
      <c r="H71" s="58">
        <v>49878867366.666702</v>
      </c>
      <c r="I71" s="24">
        <f>Val_IRR_Packages!$E$12</f>
        <v>695298.00000000175</v>
      </c>
      <c r="J71" s="24">
        <f t="shared" si="6"/>
        <v>71737.395140884313</v>
      </c>
      <c r="K71" s="25">
        <f>INDEX(Indices!$C$51:$C$71,MATCH($D$3,Indices!$A$51:$A$71,0))/INDEX(Indices!$C$51:$C$71,MATCH(F71,Indices!$A$51:$A$71,0))</f>
        <v>1.02</v>
      </c>
      <c r="L71" s="24">
        <f t="shared" si="7"/>
        <v>73172.143043702003</v>
      </c>
      <c r="M71" s="68" t="s">
        <v>308</v>
      </c>
      <c r="N71" s="24">
        <f t="shared" si="8"/>
        <v>73172.143043702003</v>
      </c>
      <c r="O71" s="24">
        <f t="shared" si="9"/>
        <v>208540607674.55072</v>
      </c>
      <c r="P71" s="24">
        <f t="shared" si="10"/>
        <v>208540607674.55072</v>
      </c>
      <c r="Q71" s="58">
        <v>86868132994.807907</v>
      </c>
      <c r="R71" s="55">
        <f t="shared" si="11"/>
        <v>1.4006571856104602</v>
      </c>
      <c r="S71" s="61" t="s">
        <v>549</v>
      </c>
    </row>
    <row r="72" spans="1:19">
      <c r="A72" s="21" t="s">
        <v>519</v>
      </c>
      <c r="B72" s="21" t="s">
        <v>393</v>
      </c>
      <c r="C72" s="21" t="s">
        <v>550</v>
      </c>
      <c r="D72" s="111" t="s">
        <v>548</v>
      </c>
      <c r="E72" s="66">
        <v>1</v>
      </c>
      <c r="F72" s="66">
        <v>1404</v>
      </c>
      <c r="G72" s="68" t="s">
        <v>78</v>
      </c>
      <c r="H72" s="58">
        <v>73692914633.333298</v>
      </c>
      <c r="I72" s="24">
        <f>Val_IRR_Packages!$E$12</f>
        <v>695298.00000000175</v>
      </c>
      <c r="J72" s="24">
        <f t="shared" si="6"/>
        <v>105987.52568443044</v>
      </c>
      <c r="K72" s="25">
        <f>INDEX(Indices!$C$51:$C$71,MATCH($D$3,Indices!$A$51:$A$71,0))/INDEX(Indices!$C$51:$C$71,MATCH(F72,Indices!$A$51:$A$71,0))</f>
        <v>1.02</v>
      </c>
      <c r="L72" s="24">
        <f t="shared" si="7"/>
        <v>108107.27619811906</v>
      </c>
      <c r="M72" s="68" t="s">
        <v>308</v>
      </c>
      <c r="N72" s="24">
        <f t="shared" si="8"/>
        <v>108107.27619811906</v>
      </c>
      <c r="O72" s="24">
        <f t="shared" si="9"/>
        <v>308105737164.63928</v>
      </c>
      <c r="P72" s="24">
        <f t="shared" si="10"/>
        <v>308105737164.63928</v>
      </c>
      <c r="Q72" s="58">
        <v>128342246869.493</v>
      </c>
      <c r="R72" s="55">
        <f t="shared" si="11"/>
        <v>1.4006571856104548</v>
      </c>
      <c r="S72" s="61" t="s">
        <v>549</v>
      </c>
    </row>
    <row r="73" spans="1:19">
      <c r="A73" s="21" t="s">
        <v>519</v>
      </c>
      <c r="B73" s="21" t="s">
        <v>395</v>
      </c>
      <c r="C73" s="21" t="s">
        <v>551</v>
      </c>
      <c r="D73" s="111" t="s">
        <v>548</v>
      </c>
      <c r="E73" s="66">
        <v>1</v>
      </c>
      <c r="F73" s="66">
        <v>1404</v>
      </c>
      <c r="G73" s="68" t="s">
        <v>78</v>
      </c>
      <c r="H73" s="58">
        <v>50976422366.666702</v>
      </c>
      <c r="I73" s="24">
        <f>Val_IRR_Packages!$E$12</f>
        <v>695298.00000000175</v>
      </c>
      <c r="J73" s="24">
        <f t="shared" si="6"/>
        <v>73315.934127045635</v>
      </c>
      <c r="K73" s="25">
        <f>INDEX(Indices!$C$51:$C$71,MATCH($D$3,Indices!$A$51:$A$71,0))/INDEX(Indices!$C$51:$C$71,MATCH(F73,Indices!$A$51:$A$71,0))</f>
        <v>1.02</v>
      </c>
      <c r="L73" s="24">
        <f t="shared" si="7"/>
        <v>74782.252809586556</v>
      </c>
      <c r="M73" s="68" t="s">
        <v>308</v>
      </c>
      <c r="N73" s="24">
        <f t="shared" si="8"/>
        <v>74782.252809586556</v>
      </c>
      <c r="O73" s="24">
        <f t="shared" si="9"/>
        <v>213129420507.32169</v>
      </c>
      <c r="P73" s="24">
        <f t="shared" si="10"/>
        <v>213129420507.32169</v>
      </c>
      <c r="Q73" s="58">
        <v>88779614925.787598</v>
      </c>
      <c r="R73" s="55">
        <f t="shared" si="11"/>
        <v>1.4006571856104606</v>
      </c>
      <c r="S73" s="61" t="s">
        <v>549</v>
      </c>
    </row>
    <row r="74" spans="1:19">
      <c r="A74" s="21" t="s">
        <v>519</v>
      </c>
      <c r="B74" s="21" t="s">
        <v>397</v>
      </c>
      <c r="C74" s="21" t="s">
        <v>552</v>
      </c>
      <c r="D74" s="111" t="s">
        <v>548</v>
      </c>
      <c r="E74" s="66">
        <v>1</v>
      </c>
      <c r="F74" s="66">
        <v>1404</v>
      </c>
      <c r="G74" s="68" t="s">
        <v>78</v>
      </c>
      <c r="H74" s="58">
        <v>52073977366.666702</v>
      </c>
      <c r="I74" s="24">
        <f>Val_IRR_Packages!$E$12</f>
        <v>695298.00000000175</v>
      </c>
      <c r="J74" s="24">
        <f t="shared" si="6"/>
        <v>74894.473113206957</v>
      </c>
      <c r="K74" s="25">
        <f>INDEX(Indices!$C$51:$C$71,MATCH($D$3,Indices!$A$51:$A$71,0))/INDEX(Indices!$C$51:$C$71,MATCH(F74,Indices!$A$51:$A$71,0))</f>
        <v>1.02</v>
      </c>
      <c r="L74" s="24">
        <f t="shared" si="7"/>
        <v>76392.362575471096</v>
      </c>
      <c r="M74" s="68" t="s">
        <v>308</v>
      </c>
      <c r="N74" s="24">
        <f t="shared" si="8"/>
        <v>76392.362575471096</v>
      </c>
      <c r="O74" s="24">
        <f t="shared" si="9"/>
        <v>217718233340.09262</v>
      </c>
      <c r="P74" s="24">
        <f t="shared" si="10"/>
        <v>217718233340.09262</v>
      </c>
      <c r="Q74" s="58">
        <v>90691096856.767303</v>
      </c>
      <c r="R74" s="55">
        <f t="shared" si="11"/>
        <v>1.4006571856104597</v>
      </c>
      <c r="S74" s="61" t="s">
        <v>549</v>
      </c>
    </row>
    <row r="75" spans="1:19">
      <c r="A75" s="21" t="s">
        <v>519</v>
      </c>
      <c r="B75" s="21" t="s">
        <v>399</v>
      </c>
      <c r="C75" s="21" t="s">
        <v>553</v>
      </c>
      <c r="D75" s="111" t="s">
        <v>548</v>
      </c>
      <c r="E75" s="66">
        <v>1</v>
      </c>
      <c r="F75" s="66">
        <v>1404</v>
      </c>
      <c r="G75" s="68" t="s">
        <v>78</v>
      </c>
      <c r="H75" s="58">
        <v>40488071333.333298</v>
      </c>
      <c r="I75" s="24">
        <f>Val_IRR_Packages!$E$12</f>
        <v>695298.00000000175</v>
      </c>
      <c r="J75" s="24">
        <f t="shared" ref="J75:J106" si="12">H75/I75</f>
        <v>58231.249526581691</v>
      </c>
      <c r="K75" s="25">
        <f>INDEX(Indices!$C$51:$C$71,MATCH($D$3,Indices!$A$51:$A$71,0))/INDEX(Indices!$C$51:$C$71,MATCH(F75,Indices!$A$51:$A$71,0))</f>
        <v>1.02</v>
      </c>
      <c r="L75" s="24">
        <f t="shared" ref="L75:L106" si="13">J75*K75</f>
        <v>59395.874517113327</v>
      </c>
      <c r="M75" s="68" t="s">
        <v>308</v>
      </c>
      <c r="N75" s="24">
        <f t="shared" ref="N75:N106" si="14">IF(M75="Y",MAX(L75,$D$7*$D$8),L75)</f>
        <v>59395.874517113327</v>
      </c>
      <c r="O75" s="24">
        <f t="shared" ref="O75:O106" si="15">N75*$D$6</f>
        <v>169278242373.77298</v>
      </c>
      <c r="P75" s="24">
        <f t="shared" ref="P75:P106" si="16">O75*E75</f>
        <v>169278242373.77298</v>
      </c>
      <c r="Q75" s="58">
        <v>69183501037.437103</v>
      </c>
      <c r="R75" s="55">
        <f t="shared" ref="R75:R106" si="17">IF(Q75="","",O75/Q75-1)</f>
        <v>1.4468007521355686</v>
      </c>
      <c r="S75" s="61" t="s">
        <v>549</v>
      </c>
    </row>
    <row r="76" spans="1:19">
      <c r="A76" s="21" t="s">
        <v>519</v>
      </c>
      <c r="B76" s="21" t="s">
        <v>401</v>
      </c>
      <c r="C76" s="21" t="s">
        <v>554</v>
      </c>
      <c r="D76" s="111" t="s">
        <v>548</v>
      </c>
      <c r="E76" s="66">
        <v>1</v>
      </c>
      <c r="F76" s="66">
        <v>1404</v>
      </c>
      <c r="G76" s="68" t="s">
        <v>78</v>
      </c>
      <c r="H76" s="58">
        <v>52073977366.666702</v>
      </c>
      <c r="I76" s="24">
        <f>Val_IRR_Packages!$E$12</f>
        <v>695298.00000000175</v>
      </c>
      <c r="J76" s="24">
        <f t="shared" si="12"/>
        <v>74894.473113206957</v>
      </c>
      <c r="K76" s="25">
        <f>INDEX(Indices!$C$51:$C$71,MATCH($D$3,Indices!$A$51:$A$71,0))/INDEX(Indices!$C$51:$C$71,MATCH(F76,Indices!$A$51:$A$71,0))</f>
        <v>1.02</v>
      </c>
      <c r="L76" s="24">
        <f t="shared" si="13"/>
        <v>76392.362575471096</v>
      </c>
      <c r="M76" s="68" t="s">
        <v>308</v>
      </c>
      <c r="N76" s="24">
        <f t="shared" si="14"/>
        <v>76392.362575471096</v>
      </c>
      <c r="O76" s="24">
        <f t="shared" si="15"/>
        <v>217718233340.09262</v>
      </c>
      <c r="P76" s="24">
        <f t="shared" si="16"/>
        <v>217718233340.09262</v>
      </c>
      <c r="Q76" s="58">
        <v>90691096856.767303</v>
      </c>
      <c r="R76" s="55">
        <f t="shared" si="17"/>
        <v>1.4006571856104597</v>
      </c>
      <c r="S76" s="61" t="s">
        <v>549</v>
      </c>
    </row>
    <row r="77" spans="1:19">
      <c r="A77" s="21" t="s">
        <v>519</v>
      </c>
      <c r="B77" s="21" t="s">
        <v>402</v>
      </c>
      <c r="C77" s="21" t="s">
        <v>555</v>
      </c>
      <c r="D77" s="111" t="s">
        <v>548</v>
      </c>
      <c r="E77" s="66">
        <v>1</v>
      </c>
      <c r="F77" s="66">
        <v>1404</v>
      </c>
      <c r="G77" s="68" t="s">
        <v>78</v>
      </c>
      <c r="H77" s="58">
        <v>52073977366.666702</v>
      </c>
      <c r="I77" s="24">
        <f>Val_IRR_Packages!$E$12</f>
        <v>695298.00000000175</v>
      </c>
      <c r="J77" s="24">
        <f t="shared" si="12"/>
        <v>74894.473113206957</v>
      </c>
      <c r="K77" s="25">
        <f>INDEX(Indices!$C$51:$C$71,MATCH($D$3,Indices!$A$51:$A$71,0))/INDEX(Indices!$C$51:$C$71,MATCH(F77,Indices!$A$51:$A$71,0))</f>
        <v>1.02</v>
      </c>
      <c r="L77" s="24">
        <f t="shared" si="13"/>
        <v>76392.362575471096</v>
      </c>
      <c r="M77" s="68" t="s">
        <v>308</v>
      </c>
      <c r="N77" s="24">
        <f t="shared" si="14"/>
        <v>76392.362575471096</v>
      </c>
      <c r="O77" s="24">
        <f t="shared" si="15"/>
        <v>217718233340.09262</v>
      </c>
      <c r="P77" s="24">
        <f t="shared" si="16"/>
        <v>217718233340.09262</v>
      </c>
      <c r="Q77" s="58">
        <v>90691096856.767303</v>
      </c>
      <c r="R77" s="55">
        <f t="shared" si="17"/>
        <v>1.4006571856104597</v>
      </c>
      <c r="S77" s="61" t="s">
        <v>549</v>
      </c>
    </row>
    <row r="78" spans="1:19">
      <c r="A78" s="21" t="s">
        <v>519</v>
      </c>
      <c r="B78" s="21" t="s">
        <v>404</v>
      </c>
      <c r="C78" s="21" t="s">
        <v>556</v>
      </c>
      <c r="D78" s="111" t="s">
        <v>548</v>
      </c>
      <c r="E78" s="66">
        <v>1</v>
      </c>
      <c r="F78" s="66">
        <v>1404</v>
      </c>
      <c r="G78" s="68" t="s">
        <v>78</v>
      </c>
      <c r="H78" s="58">
        <v>52073977366.666702</v>
      </c>
      <c r="I78" s="24">
        <f>Val_IRR_Packages!$E$12</f>
        <v>695298.00000000175</v>
      </c>
      <c r="J78" s="24">
        <f t="shared" si="12"/>
        <v>74894.473113206957</v>
      </c>
      <c r="K78" s="25">
        <f>INDEX(Indices!$C$51:$C$71,MATCH($D$3,Indices!$A$51:$A$71,0))/INDEX(Indices!$C$51:$C$71,MATCH(F78,Indices!$A$51:$A$71,0))</f>
        <v>1.02</v>
      </c>
      <c r="L78" s="24">
        <f t="shared" si="13"/>
        <v>76392.362575471096</v>
      </c>
      <c r="M78" s="68" t="s">
        <v>308</v>
      </c>
      <c r="N78" s="24">
        <f t="shared" si="14"/>
        <v>76392.362575471096</v>
      </c>
      <c r="O78" s="24">
        <f t="shared" si="15"/>
        <v>217718233340.09262</v>
      </c>
      <c r="P78" s="24">
        <f t="shared" si="16"/>
        <v>217718233340.09262</v>
      </c>
      <c r="Q78" s="58">
        <v>90691096856.767303</v>
      </c>
      <c r="R78" s="55">
        <f t="shared" si="17"/>
        <v>1.4006571856104597</v>
      </c>
      <c r="S78" s="61" t="s">
        <v>549</v>
      </c>
    </row>
    <row r="79" spans="1:19">
      <c r="A79" s="21" t="s">
        <v>519</v>
      </c>
      <c r="B79" s="21" t="s">
        <v>405</v>
      </c>
      <c r="C79" s="21" t="s">
        <v>553</v>
      </c>
      <c r="D79" s="111" t="s">
        <v>548</v>
      </c>
      <c r="E79" s="66">
        <v>1</v>
      </c>
      <c r="F79" s="66">
        <v>1404</v>
      </c>
      <c r="G79" s="68" t="s">
        <v>78</v>
      </c>
      <c r="H79" s="58">
        <v>43780736333.333298</v>
      </c>
      <c r="I79" s="24">
        <f>Val_IRR_Packages!$E$12</f>
        <v>695298.00000000175</v>
      </c>
      <c r="J79" s="24">
        <f t="shared" si="12"/>
        <v>62966.866485065664</v>
      </c>
      <c r="K79" s="25">
        <f>INDEX(Indices!$C$51:$C$71,MATCH($D$3,Indices!$A$51:$A$71,0))/INDEX(Indices!$C$51:$C$71,MATCH(F79,Indices!$A$51:$A$71,0))</f>
        <v>1.02</v>
      </c>
      <c r="L79" s="24">
        <f t="shared" si="13"/>
        <v>64226.203814766981</v>
      </c>
      <c r="M79" s="68" t="s">
        <v>308</v>
      </c>
      <c r="N79" s="24">
        <f t="shared" si="14"/>
        <v>64226.203814766981</v>
      </c>
      <c r="O79" s="24">
        <f t="shared" si="15"/>
        <v>183044680872.08591</v>
      </c>
      <c r="P79" s="24">
        <f t="shared" si="16"/>
        <v>183044680872.08591</v>
      </c>
      <c r="Q79" s="58">
        <v>74809802437.866898</v>
      </c>
      <c r="R79" s="55">
        <f t="shared" si="17"/>
        <v>1.4468007521355672</v>
      </c>
      <c r="S79" s="61" t="s">
        <v>549</v>
      </c>
    </row>
    <row r="80" spans="1:19">
      <c r="A80" s="21" t="s">
        <v>519</v>
      </c>
      <c r="B80" s="21" t="s">
        <v>406</v>
      </c>
      <c r="C80" s="21" t="s">
        <v>553</v>
      </c>
      <c r="D80" s="111" t="s">
        <v>548</v>
      </c>
      <c r="E80" s="66">
        <v>1</v>
      </c>
      <c r="F80" s="66">
        <v>1404</v>
      </c>
      <c r="G80" s="68" t="s">
        <v>78</v>
      </c>
      <c r="H80" s="58">
        <v>40488071333.333298</v>
      </c>
      <c r="I80" s="24">
        <f>Val_IRR_Packages!$E$12</f>
        <v>695298.00000000175</v>
      </c>
      <c r="J80" s="24">
        <f t="shared" si="12"/>
        <v>58231.249526581691</v>
      </c>
      <c r="K80" s="25">
        <f>INDEX(Indices!$C$51:$C$71,MATCH($D$3,Indices!$A$51:$A$71,0))/INDEX(Indices!$C$51:$C$71,MATCH(F80,Indices!$A$51:$A$71,0))</f>
        <v>1.02</v>
      </c>
      <c r="L80" s="24">
        <f t="shared" si="13"/>
        <v>59395.874517113327</v>
      </c>
      <c r="M80" s="68" t="s">
        <v>308</v>
      </c>
      <c r="N80" s="24">
        <f t="shared" si="14"/>
        <v>59395.874517113327</v>
      </c>
      <c r="O80" s="24">
        <f t="shared" si="15"/>
        <v>169278242373.77298</v>
      </c>
      <c r="P80" s="24">
        <f t="shared" si="16"/>
        <v>169278242373.77298</v>
      </c>
      <c r="Q80" s="58">
        <v>69183501037.437103</v>
      </c>
      <c r="R80" s="55">
        <f t="shared" si="17"/>
        <v>1.4468007521355686</v>
      </c>
      <c r="S80" s="61" t="s">
        <v>549</v>
      </c>
    </row>
    <row r="81" spans="1:19">
      <c r="A81" s="21" t="s">
        <v>519</v>
      </c>
      <c r="B81" s="21" t="s">
        <v>407</v>
      </c>
      <c r="C81" s="21" t="s">
        <v>557</v>
      </c>
      <c r="D81" s="111" t="s">
        <v>548</v>
      </c>
      <c r="E81" s="66">
        <v>1</v>
      </c>
      <c r="F81" s="66">
        <v>1404</v>
      </c>
      <c r="G81" s="68" t="s">
        <v>78</v>
      </c>
      <c r="H81" s="58">
        <v>55035754033.333298</v>
      </c>
      <c r="I81" s="24">
        <f>Val_IRR_Packages!$E$12</f>
        <v>695298.00000000175</v>
      </c>
      <c r="J81" s="24">
        <f t="shared" si="12"/>
        <v>79154.195802854549</v>
      </c>
      <c r="K81" s="25">
        <f>INDEX(Indices!$C$51:$C$71,MATCH($D$3,Indices!$A$51:$A$71,0))/INDEX(Indices!$C$51:$C$71,MATCH(F81,Indices!$A$51:$A$71,0))</f>
        <v>1.02</v>
      </c>
      <c r="L81" s="24">
        <f t="shared" si="13"/>
        <v>80737.279718911639</v>
      </c>
      <c r="M81" s="68" t="s">
        <v>308</v>
      </c>
      <c r="N81" s="24">
        <f t="shared" si="14"/>
        <v>80737.279718911639</v>
      </c>
      <c r="O81" s="24">
        <f t="shared" si="15"/>
        <v>230101247198.89816</v>
      </c>
      <c r="P81" s="24">
        <f t="shared" si="16"/>
        <v>230101247198.89816</v>
      </c>
      <c r="Q81" s="58">
        <v>95849273514.821304</v>
      </c>
      <c r="R81" s="55">
        <f t="shared" si="17"/>
        <v>1.4006571856104606</v>
      </c>
      <c r="S81" s="61" t="s">
        <v>549</v>
      </c>
    </row>
    <row r="82" spans="1:19">
      <c r="A82" s="21" t="s">
        <v>558</v>
      </c>
      <c r="B82" s="21" t="s">
        <v>559</v>
      </c>
      <c r="C82" s="21" t="s">
        <v>560</v>
      </c>
      <c r="D82" s="111" t="s">
        <v>477</v>
      </c>
      <c r="E82" s="66">
        <v>2</v>
      </c>
      <c r="F82" s="66">
        <v>1402</v>
      </c>
      <c r="G82" s="68" t="s">
        <v>78</v>
      </c>
      <c r="H82" s="58">
        <v>175441330000</v>
      </c>
      <c r="I82" s="24">
        <f t="shared" ref="I82:I107" si="18">420000*1.08498039510108</f>
        <v>455691.76594245358</v>
      </c>
      <c r="J82" s="24">
        <f t="shared" si="12"/>
        <v>385000.00024612114</v>
      </c>
      <c r="K82" s="25">
        <f>INDEX(Indices!$C$51:$C$71,MATCH($D$3,Indices!$A$51:$A$71,0))/INDEX(Indices!$C$51:$C$71,MATCH(F82,Indices!$A$51:$A$71,0))</f>
        <v>1.0556263981014835</v>
      </c>
      <c r="L82" s="24">
        <f t="shared" si="13"/>
        <v>406416.16352888313</v>
      </c>
      <c r="M82" s="68" t="s">
        <v>303</v>
      </c>
      <c r="N82" s="24">
        <f t="shared" si="14"/>
        <v>406416.16352888313</v>
      </c>
      <c r="O82" s="24">
        <f t="shared" si="15"/>
        <v>1158286066057.3169</v>
      </c>
      <c r="P82" s="24">
        <f t="shared" si="16"/>
        <v>2316572132114.6338</v>
      </c>
      <c r="Q82" s="58">
        <v>604231365510.00806</v>
      </c>
      <c r="R82" s="55">
        <f t="shared" si="17"/>
        <v>0.91695786113263567</v>
      </c>
      <c r="S82" s="61" t="s">
        <v>561</v>
      </c>
    </row>
    <row r="83" spans="1:19">
      <c r="A83" s="21" t="s">
        <v>558</v>
      </c>
      <c r="B83" s="21" t="s">
        <v>562</v>
      </c>
      <c r="C83" s="21" t="s">
        <v>563</v>
      </c>
      <c r="D83" s="111" t="s">
        <v>477</v>
      </c>
      <c r="E83" s="66">
        <v>2</v>
      </c>
      <c r="F83" s="66">
        <v>1402</v>
      </c>
      <c r="G83" s="68" t="s">
        <v>78</v>
      </c>
      <c r="H83" s="58">
        <v>61518388000</v>
      </c>
      <c r="I83" s="24">
        <f t="shared" si="18"/>
        <v>455691.76594245358</v>
      </c>
      <c r="J83" s="24">
        <f t="shared" si="12"/>
        <v>134999.99911731732</v>
      </c>
      <c r="K83" s="25">
        <f>INDEX(Indices!$C$51:$C$71,MATCH($D$3,Indices!$A$51:$A$71,0))/INDEX(Indices!$C$51:$C$71,MATCH(F83,Indices!$A$51:$A$71,0))</f>
        <v>1.0556263981014835</v>
      </c>
      <c r="L83" s="24">
        <f t="shared" si="13"/>
        <v>142509.56281191713</v>
      </c>
      <c r="M83" s="68" t="s">
        <v>303</v>
      </c>
      <c r="N83" s="24">
        <f t="shared" si="14"/>
        <v>142509.56281191713</v>
      </c>
      <c r="O83" s="24">
        <f t="shared" si="15"/>
        <v>406152254013.96381</v>
      </c>
      <c r="P83" s="24">
        <f t="shared" si="16"/>
        <v>812304508027.92761</v>
      </c>
      <c r="Q83" s="58">
        <v>211873334437.29901</v>
      </c>
      <c r="R83" s="55">
        <f t="shared" si="17"/>
        <v>0.91695786113263322</v>
      </c>
      <c r="S83" s="61" t="s">
        <v>564</v>
      </c>
    </row>
    <row r="84" spans="1:19">
      <c r="A84" s="21" t="s">
        <v>558</v>
      </c>
      <c r="B84" s="21" t="s">
        <v>565</v>
      </c>
      <c r="C84" s="21" t="s">
        <v>566</v>
      </c>
      <c r="D84" s="111" t="s">
        <v>477</v>
      </c>
      <c r="E84" s="66">
        <v>2</v>
      </c>
      <c r="F84" s="66">
        <v>1402</v>
      </c>
      <c r="G84" s="68" t="s">
        <v>78</v>
      </c>
      <c r="H84" s="58">
        <v>63796847231.943298</v>
      </c>
      <c r="I84" s="24">
        <f t="shared" si="18"/>
        <v>455691.76594245358</v>
      </c>
      <c r="J84" s="24">
        <f t="shared" si="12"/>
        <v>139999.99999999956</v>
      </c>
      <c r="K84" s="25">
        <f>INDEX(Indices!$C$51:$C$71,MATCH($D$3,Indices!$A$51:$A$71,0))/INDEX(Indices!$C$51:$C$71,MATCH(F84,Indices!$A$51:$A$71,0))</f>
        <v>1.0556263981014835</v>
      </c>
      <c r="L84" s="24">
        <f t="shared" si="13"/>
        <v>147787.69573420723</v>
      </c>
      <c r="M84" s="68" t="s">
        <v>303</v>
      </c>
      <c r="N84" s="24">
        <f t="shared" si="14"/>
        <v>147787.69573420723</v>
      </c>
      <c r="O84" s="24">
        <f t="shared" si="15"/>
        <v>421194932842.4906</v>
      </c>
      <c r="P84" s="24">
        <f t="shared" si="16"/>
        <v>842389865684.9812</v>
      </c>
      <c r="Q84" s="58">
        <v>219720496408.63101</v>
      </c>
      <c r="R84" s="55">
        <f t="shared" si="17"/>
        <v>0.91695786113263722</v>
      </c>
      <c r="S84" s="61" t="s">
        <v>567</v>
      </c>
    </row>
    <row r="85" spans="1:19">
      <c r="A85" s="21" t="s">
        <v>558</v>
      </c>
      <c r="B85" s="21" t="s">
        <v>568</v>
      </c>
      <c r="C85" s="21" t="s">
        <v>569</v>
      </c>
      <c r="D85" s="111" t="s">
        <v>477</v>
      </c>
      <c r="E85" s="66">
        <v>2</v>
      </c>
      <c r="F85" s="66">
        <v>1402</v>
      </c>
      <c r="G85" s="68" t="s">
        <v>78</v>
      </c>
      <c r="H85" s="58">
        <v>15493520000</v>
      </c>
      <c r="I85" s="24">
        <f t="shared" si="18"/>
        <v>455691.76594245358</v>
      </c>
      <c r="J85" s="24">
        <f t="shared" si="12"/>
        <v>33999.999907737147</v>
      </c>
      <c r="K85" s="25">
        <f>INDEX(Indices!$C$51:$C$71,MATCH($D$3,Indices!$A$51:$A$71,0))/INDEX(Indices!$C$51:$C$71,MATCH(F85,Indices!$A$51:$A$71,0))</f>
        <v>1.0556263981014835</v>
      </c>
      <c r="L85" s="24">
        <f t="shared" si="13"/>
        <v>35891.297438055335</v>
      </c>
      <c r="M85" s="68" t="s">
        <v>303</v>
      </c>
      <c r="N85" s="24">
        <f t="shared" si="14"/>
        <v>35891.297438055335</v>
      </c>
      <c r="O85" s="24">
        <f t="shared" si="15"/>
        <v>102290197698.4577</v>
      </c>
      <c r="P85" s="24">
        <f t="shared" si="16"/>
        <v>204580395396.91541</v>
      </c>
      <c r="Q85" s="58">
        <v>53360691840.153099</v>
      </c>
      <c r="R85" s="55">
        <f t="shared" si="17"/>
        <v>0.91695786113263811</v>
      </c>
      <c r="S85" s="61" t="s">
        <v>570</v>
      </c>
    </row>
    <row r="86" spans="1:19">
      <c r="A86" s="21" t="s">
        <v>558</v>
      </c>
      <c r="B86" s="21" t="s">
        <v>571</v>
      </c>
      <c r="C86" s="21" t="s">
        <v>572</v>
      </c>
      <c r="D86" s="111" t="s">
        <v>477</v>
      </c>
      <c r="E86" s="66">
        <v>1</v>
      </c>
      <c r="F86" s="66">
        <v>1402</v>
      </c>
      <c r="G86" s="68" t="s">
        <v>78</v>
      </c>
      <c r="H86" s="58">
        <v>13215061212.3311</v>
      </c>
      <c r="I86" s="24">
        <f t="shared" si="18"/>
        <v>455691.76594245358</v>
      </c>
      <c r="J86" s="24">
        <f t="shared" si="12"/>
        <v>28999.999999999884</v>
      </c>
      <c r="K86" s="25">
        <f>INDEX(Indices!$C$51:$C$71,MATCH($D$3,Indices!$A$51:$A$71,0))/INDEX(Indices!$C$51:$C$71,MATCH(F86,Indices!$A$51:$A$71,0))</f>
        <v>1.0556263981014835</v>
      </c>
      <c r="L86" s="24">
        <f t="shared" si="13"/>
        <v>30613.165544942898</v>
      </c>
      <c r="M86" s="68" t="s">
        <v>303</v>
      </c>
      <c r="N86" s="24">
        <f t="shared" si="14"/>
        <v>30613.165544942898</v>
      </c>
      <c r="O86" s="24">
        <f t="shared" si="15"/>
        <v>87247521803.087265</v>
      </c>
      <c r="P86" s="24">
        <f t="shared" si="16"/>
        <v>87247521803.087265</v>
      </c>
      <c r="Q86" s="58">
        <v>45513531398.930702</v>
      </c>
      <c r="R86" s="55">
        <f t="shared" si="17"/>
        <v>0.91695786113263589</v>
      </c>
      <c r="S86" s="61" t="s">
        <v>573</v>
      </c>
    </row>
    <row r="87" spans="1:19">
      <c r="A87" s="21" t="s">
        <v>558</v>
      </c>
      <c r="B87" s="21" t="s">
        <v>574</v>
      </c>
      <c r="C87" s="21" t="s">
        <v>572</v>
      </c>
      <c r="D87" s="111" t="s">
        <v>477</v>
      </c>
      <c r="E87" s="66">
        <v>2</v>
      </c>
      <c r="F87" s="66">
        <v>1402</v>
      </c>
      <c r="G87" s="68" t="s">
        <v>78</v>
      </c>
      <c r="H87" s="58">
        <v>12531523563.4174</v>
      </c>
      <c r="I87" s="24">
        <f t="shared" si="18"/>
        <v>455691.76594245358</v>
      </c>
      <c r="J87" s="24">
        <f t="shared" si="12"/>
        <v>27499.99999999984</v>
      </c>
      <c r="K87" s="25">
        <f>INDEX(Indices!$C$51:$C$71,MATCH($D$3,Indices!$A$51:$A$71,0))/INDEX(Indices!$C$51:$C$71,MATCH(F87,Indices!$A$51:$A$71,0))</f>
        <v>1.0556263981014835</v>
      </c>
      <c r="L87" s="24">
        <f t="shared" si="13"/>
        <v>29029.725947790626</v>
      </c>
      <c r="M87" s="68" t="s">
        <v>303</v>
      </c>
      <c r="N87" s="24">
        <f t="shared" si="14"/>
        <v>29029.725947790626</v>
      </c>
      <c r="O87" s="24">
        <f t="shared" si="15"/>
        <v>82734718951.203278</v>
      </c>
      <c r="P87" s="24">
        <f t="shared" si="16"/>
        <v>165469437902.40656</v>
      </c>
      <c r="Q87" s="58">
        <v>43159383223.123802</v>
      </c>
      <c r="R87" s="55">
        <f t="shared" si="17"/>
        <v>0.91695786113263833</v>
      </c>
      <c r="S87" s="61" t="s">
        <v>575</v>
      </c>
    </row>
    <row r="88" spans="1:19">
      <c r="A88" s="21" t="s">
        <v>558</v>
      </c>
      <c r="B88" s="21" t="s">
        <v>576</v>
      </c>
      <c r="C88" s="21" t="s">
        <v>577</v>
      </c>
      <c r="D88" s="111" t="s">
        <v>477</v>
      </c>
      <c r="E88" s="66">
        <v>2</v>
      </c>
      <c r="F88" s="66">
        <v>1402</v>
      </c>
      <c r="G88" s="68" t="s">
        <v>78</v>
      </c>
      <c r="H88" s="58">
        <v>6835376489.1367798</v>
      </c>
      <c r="I88" s="24">
        <f t="shared" si="18"/>
        <v>455691.76594245358</v>
      </c>
      <c r="J88" s="24">
        <f t="shared" si="12"/>
        <v>14999.999999999947</v>
      </c>
      <c r="K88" s="25">
        <f>INDEX(Indices!$C$51:$C$71,MATCH($D$3,Indices!$A$51:$A$71,0))/INDEX(Indices!$C$51:$C$71,MATCH(F88,Indices!$A$51:$A$71,0))</f>
        <v>1.0556263981014835</v>
      </c>
      <c r="L88" s="24">
        <f t="shared" si="13"/>
        <v>15834.395971522197</v>
      </c>
      <c r="M88" s="68" t="s">
        <v>308</v>
      </c>
      <c r="N88" s="24">
        <f t="shared" si="14"/>
        <v>15834.395971522197</v>
      </c>
      <c r="O88" s="24">
        <f t="shared" si="15"/>
        <v>45128028518.838264</v>
      </c>
      <c r="P88" s="24">
        <f t="shared" si="16"/>
        <v>90256057037.676529</v>
      </c>
      <c r="Q88" s="58">
        <v>23541481758.0676</v>
      </c>
      <c r="R88" s="55">
        <f t="shared" si="17"/>
        <v>0.91695786113263722</v>
      </c>
      <c r="S88" s="61" t="s">
        <v>578</v>
      </c>
    </row>
    <row r="89" spans="1:19">
      <c r="A89" s="21" t="s">
        <v>558</v>
      </c>
      <c r="B89" s="21" t="s">
        <v>579</v>
      </c>
      <c r="C89" s="21" t="s">
        <v>577</v>
      </c>
      <c r="D89" s="111" t="s">
        <v>477</v>
      </c>
      <c r="E89" s="66">
        <v>1</v>
      </c>
      <c r="F89" s="66">
        <v>1402</v>
      </c>
      <c r="G89" s="68" t="s">
        <v>78</v>
      </c>
      <c r="H89" s="58">
        <v>7746760021.0216799</v>
      </c>
      <c r="I89" s="24">
        <f t="shared" si="18"/>
        <v>455691.76594245358</v>
      </c>
      <c r="J89" s="24">
        <f t="shared" si="12"/>
        <v>16999.999999999931</v>
      </c>
      <c r="K89" s="25">
        <f>INDEX(Indices!$C$51:$C$71,MATCH($D$3,Indices!$A$51:$A$71,0))/INDEX(Indices!$C$51:$C$71,MATCH(F89,Indices!$A$51:$A$71,0))</f>
        <v>1.0556263981014835</v>
      </c>
      <c r="L89" s="24">
        <f t="shared" si="13"/>
        <v>17945.648767725146</v>
      </c>
      <c r="M89" s="68" t="s">
        <v>308</v>
      </c>
      <c r="N89" s="24">
        <f t="shared" si="14"/>
        <v>17945.648767725146</v>
      </c>
      <c r="O89" s="24">
        <f t="shared" si="15"/>
        <v>51145098988.01667</v>
      </c>
      <c r="P89" s="24">
        <f t="shared" si="16"/>
        <v>51145098988.01667</v>
      </c>
      <c r="Q89" s="58">
        <v>26680345992.476601</v>
      </c>
      <c r="R89" s="55">
        <f t="shared" si="17"/>
        <v>0.916957861132637</v>
      </c>
      <c r="S89" s="61" t="s">
        <v>580</v>
      </c>
    </row>
    <row r="90" spans="1:19">
      <c r="A90" s="21" t="s">
        <v>558</v>
      </c>
      <c r="B90" s="21" t="s">
        <v>581</v>
      </c>
      <c r="C90" s="21" t="s">
        <v>582</v>
      </c>
      <c r="D90" s="111" t="s">
        <v>477</v>
      </c>
      <c r="E90" s="66">
        <v>1</v>
      </c>
      <c r="F90" s="66">
        <v>1402</v>
      </c>
      <c r="G90" s="68" t="s">
        <v>78</v>
      </c>
      <c r="H90" s="58">
        <v>5012609000</v>
      </c>
      <c r="I90" s="24">
        <f t="shared" si="18"/>
        <v>455691.76594245358</v>
      </c>
      <c r="J90" s="24">
        <f t="shared" si="12"/>
        <v>10999.999066546685</v>
      </c>
      <c r="K90" s="25">
        <f>INDEX(Indices!$C$51:$C$71,MATCH($D$3,Indices!$A$51:$A$71,0))/INDEX(Indices!$C$51:$C$71,MATCH(F90,Indices!$A$51:$A$71,0))</f>
        <v>1.0556263981014835</v>
      </c>
      <c r="L90" s="24">
        <f t="shared" si="13"/>
        <v>11611.889393738358</v>
      </c>
      <c r="M90" s="68" t="s">
        <v>308</v>
      </c>
      <c r="N90" s="24">
        <f t="shared" si="14"/>
        <v>11611.889393738358</v>
      </c>
      <c r="O90" s="24">
        <f t="shared" si="15"/>
        <v>33093884772.15432</v>
      </c>
      <c r="P90" s="24">
        <f t="shared" si="16"/>
        <v>33093884772.15432</v>
      </c>
      <c r="Q90" s="58">
        <v>17263751824.257999</v>
      </c>
      <c r="R90" s="55">
        <f t="shared" si="17"/>
        <v>0.91695786113263966</v>
      </c>
      <c r="S90" s="61" t="s">
        <v>583</v>
      </c>
    </row>
    <row r="91" spans="1:19">
      <c r="A91" s="21" t="s">
        <v>558</v>
      </c>
      <c r="B91" s="21" t="s">
        <v>584</v>
      </c>
      <c r="C91" s="21" t="s">
        <v>585</v>
      </c>
      <c r="D91" s="111" t="s">
        <v>470</v>
      </c>
      <c r="E91" s="66">
        <v>3</v>
      </c>
      <c r="F91" s="66">
        <v>1402</v>
      </c>
      <c r="G91" s="68" t="s">
        <v>78</v>
      </c>
      <c r="H91" s="58">
        <v>195947459000</v>
      </c>
      <c r="I91" s="24">
        <f t="shared" si="18"/>
        <v>455691.76594245358</v>
      </c>
      <c r="J91" s="24">
        <f t="shared" si="12"/>
        <v>429999.99922040495</v>
      </c>
      <c r="K91" s="25">
        <f>INDEX(Indices!$C$51:$C$71,MATCH($D$3,Indices!$A$51:$A$71,0))/INDEX(Indices!$C$51:$C$71,MATCH(F91,Indices!$A$51:$A$71,0))</f>
        <v>1.0556263981014835</v>
      </c>
      <c r="L91" s="24">
        <f t="shared" si="13"/>
        <v>453919.35036067682</v>
      </c>
      <c r="M91" s="68" t="s">
        <v>303</v>
      </c>
      <c r="N91" s="24">
        <f t="shared" si="14"/>
        <v>453919.35036067682</v>
      </c>
      <c r="O91" s="24">
        <f t="shared" si="15"/>
        <v>1293670148527.929</v>
      </c>
      <c r="P91" s="24">
        <f t="shared" si="16"/>
        <v>3881010445583.7871</v>
      </c>
      <c r="Q91" s="58">
        <v>728872174341.25</v>
      </c>
      <c r="R91" s="55">
        <f t="shared" si="17"/>
        <v>0.77489303895726258</v>
      </c>
      <c r="S91" s="61" t="s">
        <v>586</v>
      </c>
    </row>
    <row r="92" spans="1:19">
      <c r="A92" s="21" t="s">
        <v>558</v>
      </c>
      <c r="B92" s="21" t="s">
        <v>587</v>
      </c>
      <c r="C92" s="21" t="s">
        <v>588</v>
      </c>
      <c r="D92" s="111" t="s">
        <v>470</v>
      </c>
      <c r="E92" s="66">
        <v>3</v>
      </c>
      <c r="F92" s="66">
        <v>1402</v>
      </c>
      <c r="G92" s="68" t="s">
        <v>78</v>
      </c>
      <c r="H92" s="58">
        <v>129872153000</v>
      </c>
      <c r="I92" s="24">
        <f t="shared" si="18"/>
        <v>455691.76594245358</v>
      </c>
      <c r="J92" s="24">
        <f t="shared" si="12"/>
        <v>284999.99935570644</v>
      </c>
      <c r="K92" s="25">
        <f>INDEX(Indices!$C$51:$C$71,MATCH($D$3,Indices!$A$51:$A$71,0))/INDEX(Indices!$C$51:$C$71,MATCH(F92,Indices!$A$51:$A$71,0))</f>
        <v>1.0556263981014835</v>
      </c>
      <c r="L92" s="24">
        <f t="shared" si="13"/>
        <v>300853.52277878951</v>
      </c>
      <c r="M92" s="68" t="s">
        <v>303</v>
      </c>
      <c r="N92" s="24">
        <f t="shared" si="14"/>
        <v>300853.52277878951</v>
      </c>
      <c r="O92" s="24">
        <f t="shared" si="15"/>
        <v>857432539919.55017</v>
      </c>
      <c r="P92" s="24">
        <f t="shared" si="16"/>
        <v>2572297619758.6504</v>
      </c>
      <c r="Q92" s="58">
        <v>483089696730.84399</v>
      </c>
      <c r="R92" s="55">
        <f t="shared" si="17"/>
        <v>0.7748930389572628</v>
      </c>
      <c r="S92" s="61" t="s">
        <v>589</v>
      </c>
    </row>
    <row r="93" spans="1:19">
      <c r="A93" s="21" t="s">
        <v>558</v>
      </c>
      <c r="B93" s="21" t="s">
        <v>590</v>
      </c>
      <c r="C93" s="21" t="s">
        <v>591</v>
      </c>
      <c r="D93" s="111" t="s">
        <v>486</v>
      </c>
      <c r="E93" s="66">
        <v>3</v>
      </c>
      <c r="F93" s="66">
        <v>1402</v>
      </c>
      <c r="G93" s="68" t="s">
        <v>78</v>
      </c>
      <c r="H93" s="58">
        <v>4101226000</v>
      </c>
      <c r="I93" s="24">
        <f t="shared" si="18"/>
        <v>455691.76594245358</v>
      </c>
      <c r="J93" s="24">
        <f t="shared" si="12"/>
        <v>9000.0002337499282</v>
      </c>
      <c r="K93" s="25">
        <f>INDEX(Indices!$C$51:$C$71,MATCH($D$3,Indices!$A$51:$A$71,0))/INDEX(Indices!$C$51:$C$71,MATCH(F93,Indices!$A$51:$A$71,0))</f>
        <v>1.0556263981014835</v>
      </c>
      <c r="L93" s="24">
        <f t="shared" si="13"/>
        <v>9500.6378296659459</v>
      </c>
      <c r="M93" s="68" t="s">
        <v>308</v>
      </c>
      <c r="N93" s="24">
        <f t="shared" si="14"/>
        <v>9500.6378296659459</v>
      </c>
      <c r="O93" s="24">
        <f t="shared" si="15"/>
        <v>27076817814.547947</v>
      </c>
      <c r="P93" s="24">
        <f t="shared" si="16"/>
        <v>81230453443.643845</v>
      </c>
      <c r="Q93" s="58">
        <v>14055826595.503099</v>
      </c>
      <c r="R93" s="55">
        <f t="shared" si="17"/>
        <v>0.92637676842219085</v>
      </c>
      <c r="S93" s="61" t="s">
        <v>592</v>
      </c>
    </row>
    <row r="94" spans="1:19">
      <c r="A94" s="21" t="s">
        <v>558</v>
      </c>
      <c r="B94" s="21" t="s">
        <v>593</v>
      </c>
      <c r="C94" s="21" t="s">
        <v>594</v>
      </c>
      <c r="D94" s="111" t="s">
        <v>477</v>
      </c>
      <c r="E94" s="66">
        <v>2</v>
      </c>
      <c r="F94" s="66">
        <v>1402</v>
      </c>
      <c r="G94" s="68" t="s">
        <v>78</v>
      </c>
      <c r="H94" s="58">
        <v>12759369000</v>
      </c>
      <c r="I94" s="24">
        <f t="shared" si="18"/>
        <v>455691.76594245358</v>
      </c>
      <c r="J94" s="24">
        <f t="shared" si="12"/>
        <v>27999.99902041526</v>
      </c>
      <c r="K94" s="25">
        <f>INDEX(Indices!$C$51:$C$71,MATCH($D$3,Indices!$A$51:$A$71,0))/INDEX(Indices!$C$51:$C$71,MATCH(F94,Indices!$A$51:$A$71,0))</f>
        <v>1.0556263981014835</v>
      </c>
      <c r="L94" s="24">
        <f t="shared" si="13"/>
        <v>29557.538112766029</v>
      </c>
      <c r="M94" s="68" t="s">
        <v>303</v>
      </c>
      <c r="N94" s="24">
        <f t="shared" si="14"/>
        <v>29557.538112766029</v>
      </c>
      <c r="O94" s="24">
        <f t="shared" si="15"/>
        <v>84238983621.383179</v>
      </c>
      <c r="P94" s="24">
        <f t="shared" si="16"/>
        <v>168477967242.76636</v>
      </c>
      <c r="Q94" s="58">
        <v>43944097744.334602</v>
      </c>
      <c r="R94" s="55">
        <f t="shared" si="17"/>
        <v>0.91695786113263655</v>
      </c>
      <c r="S94" s="61" t="s">
        <v>595</v>
      </c>
    </row>
    <row r="95" spans="1:19">
      <c r="A95" s="21" t="s">
        <v>558</v>
      </c>
      <c r="B95" s="21" t="s">
        <v>596</v>
      </c>
      <c r="C95" s="21" t="s">
        <v>597</v>
      </c>
      <c r="D95" s="111" t="s">
        <v>477</v>
      </c>
      <c r="E95" s="66">
        <v>2</v>
      </c>
      <c r="F95" s="66">
        <v>1402</v>
      </c>
      <c r="G95" s="68" t="s">
        <v>78</v>
      </c>
      <c r="H95" s="58">
        <v>24151664000</v>
      </c>
      <c r="I95" s="24">
        <f t="shared" si="18"/>
        <v>455691.76594245358</v>
      </c>
      <c r="J95" s="24">
        <f t="shared" si="12"/>
        <v>53000.000888868286</v>
      </c>
      <c r="K95" s="25">
        <f>INDEX(Indices!$C$51:$C$71,MATCH($D$3,Indices!$A$51:$A$71,0))/INDEX(Indices!$C$51:$C$71,MATCH(F95,Indices!$A$51:$A$71,0))</f>
        <v>1.0556263981014835</v>
      </c>
      <c r="L95" s="24">
        <f t="shared" si="13"/>
        <v>55948.200037691451</v>
      </c>
      <c r="M95" s="68" t="s">
        <v>303</v>
      </c>
      <c r="N95" s="24">
        <f t="shared" si="14"/>
        <v>55948.200037691451</v>
      </c>
      <c r="O95" s="24">
        <f t="shared" si="15"/>
        <v>159452370107.42062</v>
      </c>
      <c r="P95" s="24">
        <f t="shared" si="16"/>
        <v>318904740214.84125</v>
      </c>
      <c r="Q95" s="58">
        <v>83179903606.857605</v>
      </c>
      <c r="R95" s="55">
        <f t="shared" si="17"/>
        <v>0.91695786113263633</v>
      </c>
      <c r="S95" s="61" t="s">
        <v>598</v>
      </c>
    </row>
    <row r="96" spans="1:19">
      <c r="A96" s="21" t="s">
        <v>558</v>
      </c>
      <c r="B96" s="21" t="s">
        <v>599</v>
      </c>
      <c r="C96" s="21" t="s">
        <v>600</v>
      </c>
      <c r="D96" s="111" t="s">
        <v>477</v>
      </c>
      <c r="E96" s="66">
        <v>2</v>
      </c>
      <c r="F96" s="66">
        <v>1402</v>
      </c>
      <c r="G96" s="68" t="s">
        <v>78</v>
      </c>
      <c r="H96" s="58">
        <v>24151664000</v>
      </c>
      <c r="I96" s="24">
        <f t="shared" si="18"/>
        <v>455691.76594245358</v>
      </c>
      <c r="J96" s="24">
        <f t="shared" si="12"/>
        <v>53000.000888868286</v>
      </c>
      <c r="K96" s="25">
        <f>INDEX(Indices!$C$51:$C$71,MATCH($D$3,Indices!$A$51:$A$71,0))/INDEX(Indices!$C$51:$C$71,MATCH(F96,Indices!$A$51:$A$71,0))</f>
        <v>1.0556263981014835</v>
      </c>
      <c r="L96" s="24">
        <f t="shared" si="13"/>
        <v>55948.200037691451</v>
      </c>
      <c r="M96" s="68" t="s">
        <v>303</v>
      </c>
      <c r="N96" s="24">
        <f t="shared" si="14"/>
        <v>55948.200037691451</v>
      </c>
      <c r="O96" s="24">
        <f t="shared" si="15"/>
        <v>159452370107.42062</v>
      </c>
      <c r="P96" s="24">
        <f t="shared" si="16"/>
        <v>318904740214.84125</v>
      </c>
      <c r="Q96" s="58">
        <v>83179903606.857605</v>
      </c>
      <c r="R96" s="55">
        <f t="shared" si="17"/>
        <v>0.91695786113263633</v>
      </c>
      <c r="S96" s="61" t="s">
        <v>601</v>
      </c>
    </row>
    <row r="97" spans="1:19">
      <c r="A97" s="21" t="s">
        <v>558</v>
      </c>
      <c r="B97" s="21" t="s">
        <v>602</v>
      </c>
      <c r="C97" s="21" t="s">
        <v>603</v>
      </c>
      <c r="D97" s="111" t="s">
        <v>477</v>
      </c>
      <c r="E97" s="66">
        <v>2</v>
      </c>
      <c r="F97" s="66">
        <v>1402</v>
      </c>
      <c r="G97" s="68" t="s">
        <v>78</v>
      </c>
      <c r="H97" s="58">
        <v>13215061000</v>
      </c>
      <c r="I97" s="24">
        <f t="shared" si="18"/>
        <v>455691.76594245358</v>
      </c>
      <c r="J97" s="24">
        <f t="shared" si="12"/>
        <v>28999.999534046543</v>
      </c>
      <c r="K97" s="25">
        <f>INDEX(Indices!$C$51:$C$71,MATCH($D$3,Indices!$A$51:$A$71,0))/INDEX(Indices!$C$51:$C$71,MATCH(F97,Indices!$A$51:$A$71,0))</f>
        <v>1.0556263981014835</v>
      </c>
      <c r="L97" s="24">
        <f t="shared" si="13"/>
        <v>30613.165053070254</v>
      </c>
      <c r="M97" s="68" t="s">
        <v>308</v>
      </c>
      <c r="N97" s="24">
        <f t="shared" si="14"/>
        <v>30613.165053070254</v>
      </c>
      <c r="O97" s="24">
        <f t="shared" si="15"/>
        <v>87247520401.250229</v>
      </c>
      <c r="P97" s="24">
        <f t="shared" si="16"/>
        <v>174495040802.50046</v>
      </c>
      <c r="Q97" s="58">
        <v>45513530667.648499</v>
      </c>
      <c r="R97" s="55">
        <f t="shared" si="17"/>
        <v>0.91695786113263877</v>
      </c>
      <c r="S97" s="61" t="s">
        <v>604</v>
      </c>
    </row>
    <row r="98" spans="1:19">
      <c r="A98" s="21" t="s">
        <v>558</v>
      </c>
      <c r="B98" s="21" t="s">
        <v>605</v>
      </c>
      <c r="C98" s="21" t="s">
        <v>606</v>
      </c>
      <c r="D98" s="111" t="s">
        <v>474</v>
      </c>
      <c r="E98" s="66">
        <v>2</v>
      </c>
      <c r="F98" s="66">
        <v>1402</v>
      </c>
      <c r="G98" s="68" t="s">
        <v>78</v>
      </c>
      <c r="H98" s="58">
        <v>15949212000</v>
      </c>
      <c r="I98" s="24">
        <f t="shared" si="18"/>
        <v>455691.76594245358</v>
      </c>
      <c r="J98" s="24">
        <f t="shared" si="12"/>
        <v>35000.00042136843</v>
      </c>
      <c r="K98" s="25">
        <f>INDEX(Indices!$C$51:$C$71,MATCH($D$3,Indices!$A$51:$A$71,0))/INDEX(Indices!$C$51:$C$71,MATCH(F98,Indices!$A$51:$A$71,0))</f>
        <v>1.0556263981014835</v>
      </c>
      <c r="L98" s="24">
        <f t="shared" si="13"/>
        <v>36946.924378359559</v>
      </c>
      <c r="M98" s="68" t="s">
        <v>308</v>
      </c>
      <c r="N98" s="24">
        <f t="shared" si="14"/>
        <v>36946.924378359559</v>
      </c>
      <c r="O98" s="24">
        <f t="shared" si="15"/>
        <v>105298734478.32474</v>
      </c>
      <c r="P98" s="24">
        <f t="shared" si="16"/>
        <v>210597468956.64948</v>
      </c>
      <c r="Q98" s="58">
        <v>53661051737.9916</v>
      </c>
      <c r="R98" s="55">
        <f t="shared" si="17"/>
        <v>0.96229352701587234</v>
      </c>
      <c r="S98" s="61" t="s">
        <v>607</v>
      </c>
    </row>
    <row r="99" spans="1:19">
      <c r="A99" s="21" t="s">
        <v>558</v>
      </c>
      <c r="B99" s="21" t="s">
        <v>608</v>
      </c>
      <c r="C99" s="21" t="s">
        <v>609</v>
      </c>
      <c r="D99" s="111" t="s">
        <v>477</v>
      </c>
      <c r="E99" s="66">
        <v>1</v>
      </c>
      <c r="F99" s="66">
        <v>1402</v>
      </c>
      <c r="G99" s="68" t="s">
        <v>78</v>
      </c>
      <c r="H99" s="58">
        <v>6083485000</v>
      </c>
      <c r="I99" s="24">
        <f t="shared" si="18"/>
        <v>455691.76594245358</v>
      </c>
      <c r="J99" s="24">
        <f t="shared" si="12"/>
        <v>13349.999834687038</v>
      </c>
      <c r="K99" s="25">
        <f>INDEX(Indices!$C$51:$C$71,MATCH($D$3,Indices!$A$51:$A$71,0))/INDEX(Indices!$C$51:$C$71,MATCH(F99,Indices!$A$51:$A$71,0))</f>
        <v>1.0556263981014835</v>
      </c>
      <c r="L99" s="24">
        <f t="shared" si="13"/>
        <v>14092.612240146078</v>
      </c>
      <c r="M99" s="68" t="s">
        <v>303</v>
      </c>
      <c r="N99" s="24">
        <f t="shared" si="14"/>
        <v>25500</v>
      </c>
      <c r="O99" s="24">
        <f t="shared" si="15"/>
        <v>72675000000</v>
      </c>
      <c r="P99" s="24">
        <f t="shared" si="16"/>
        <v>72675000000</v>
      </c>
      <c r="Q99" s="58">
        <v>20951918505.2328</v>
      </c>
      <c r="R99" s="55">
        <f t="shared" si="17"/>
        <v>2.4686561033467753</v>
      </c>
      <c r="S99" s="61" t="s">
        <v>610</v>
      </c>
    </row>
    <row r="100" spans="1:19">
      <c r="A100" s="21" t="s">
        <v>558</v>
      </c>
      <c r="B100" s="21" t="s">
        <v>611</v>
      </c>
      <c r="C100" s="21" t="s">
        <v>612</v>
      </c>
      <c r="D100" s="111" t="s">
        <v>474</v>
      </c>
      <c r="E100" s="66">
        <v>2</v>
      </c>
      <c r="F100" s="66">
        <v>1402</v>
      </c>
      <c r="G100" s="68" t="s">
        <v>78</v>
      </c>
      <c r="H100" s="58">
        <v>14126445000</v>
      </c>
      <c r="I100" s="24">
        <f t="shared" si="18"/>
        <v>455691.76594245358</v>
      </c>
      <c r="J100" s="24">
        <f t="shared" si="12"/>
        <v>31000.000561309109</v>
      </c>
      <c r="K100" s="25">
        <f>INDEX(Indices!$C$51:$C$71,MATCH($D$3,Indices!$A$51:$A$71,0))/INDEX(Indices!$C$51:$C$71,MATCH(F100,Indices!$A$51:$A$71,0))</f>
        <v>1.0556263981014835</v>
      </c>
      <c r="L100" s="24">
        <f t="shared" si="13"/>
        <v>32724.418933678702</v>
      </c>
      <c r="M100" s="68" t="s">
        <v>308</v>
      </c>
      <c r="N100" s="24">
        <f t="shared" si="14"/>
        <v>32724.418933678702</v>
      </c>
      <c r="O100" s="24">
        <f t="shared" si="15"/>
        <v>93264593960.984299</v>
      </c>
      <c r="P100" s="24">
        <f t="shared" si="16"/>
        <v>186529187921.9686</v>
      </c>
      <c r="Q100" s="58">
        <v>47528360399.177902</v>
      </c>
      <c r="R100" s="55">
        <f t="shared" si="17"/>
        <v>0.9622935270158719</v>
      </c>
      <c r="S100" s="61" t="s">
        <v>613</v>
      </c>
    </row>
    <row r="101" spans="1:19">
      <c r="A101" s="21" t="s">
        <v>558</v>
      </c>
      <c r="B101" s="21" t="s">
        <v>614</v>
      </c>
      <c r="C101" s="21" t="s">
        <v>615</v>
      </c>
      <c r="D101" s="111" t="s">
        <v>477</v>
      </c>
      <c r="E101" s="66">
        <v>2</v>
      </c>
      <c r="F101" s="66">
        <v>1402</v>
      </c>
      <c r="G101" s="68" t="s">
        <v>78</v>
      </c>
      <c r="H101" s="58">
        <v>12759369000</v>
      </c>
      <c r="I101" s="24">
        <f t="shared" si="18"/>
        <v>455691.76594245358</v>
      </c>
      <c r="J101" s="24">
        <f t="shared" si="12"/>
        <v>27999.99902041526</v>
      </c>
      <c r="K101" s="25">
        <f>INDEX(Indices!$C$51:$C$71,MATCH($D$3,Indices!$A$51:$A$71,0))/INDEX(Indices!$C$51:$C$71,MATCH(F101,Indices!$A$51:$A$71,0))</f>
        <v>1.0556263981014835</v>
      </c>
      <c r="L101" s="24">
        <f t="shared" si="13"/>
        <v>29557.538112766029</v>
      </c>
      <c r="M101" s="68" t="s">
        <v>303</v>
      </c>
      <c r="N101" s="24">
        <f t="shared" si="14"/>
        <v>29557.538112766029</v>
      </c>
      <c r="O101" s="24">
        <f t="shared" si="15"/>
        <v>84238983621.383179</v>
      </c>
      <c r="P101" s="24">
        <f t="shared" si="16"/>
        <v>168477967242.76636</v>
      </c>
      <c r="Q101" s="58">
        <v>43944097744.334602</v>
      </c>
      <c r="R101" s="55">
        <f t="shared" si="17"/>
        <v>0.91695786113263655</v>
      </c>
      <c r="S101" s="61" t="s">
        <v>616</v>
      </c>
    </row>
    <row r="102" spans="1:19">
      <c r="A102" s="21" t="s">
        <v>558</v>
      </c>
      <c r="B102" s="21" t="s">
        <v>617</v>
      </c>
      <c r="C102" s="21" t="s">
        <v>618</v>
      </c>
      <c r="D102" s="111" t="s">
        <v>477</v>
      </c>
      <c r="E102" s="66">
        <v>1</v>
      </c>
      <c r="F102" s="66">
        <v>1402</v>
      </c>
      <c r="G102" s="68" t="s">
        <v>78</v>
      </c>
      <c r="H102" s="58">
        <v>6151839000</v>
      </c>
      <c r="I102" s="24">
        <f t="shared" si="18"/>
        <v>455691.76594245358</v>
      </c>
      <c r="J102" s="24">
        <f t="shared" si="12"/>
        <v>13500.000350624892</v>
      </c>
      <c r="K102" s="25">
        <f>INDEX(Indices!$C$51:$C$71,MATCH($D$3,Indices!$A$51:$A$71,0))/INDEX(Indices!$C$51:$C$71,MATCH(F102,Indices!$A$51:$A$71,0))</f>
        <v>1.0556263981014835</v>
      </c>
      <c r="L102" s="24">
        <f t="shared" si="13"/>
        <v>14250.956744498919</v>
      </c>
      <c r="M102" s="68" t="s">
        <v>308</v>
      </c>
      <c r="N102" s="24">
        <f t="shared" si="14"/>
        <v>14250.956744498919</v>
      </c>
      <c r="O102" s="24">
        <f t="shared" si="15"/>
        <v>40615226721.821922</v>
      </c>
      <c r="P102" s="24">
        <f t="shared" si="16"/>
        <v>40615226721.821922</v>
      </c>
      <c r="Q102" s="58">
        <v>21187334132.5429</v>
      </c>
      <c r="R102" s="55">
        <f t="shared" si="17"/>
        <v>0.91695786113263567</v>
      </c>
      <c r="S102" s="61" t="s">
        <v>619</v>
      </c>
    </row>
    <row r="103" spans="1:19">
      <c r="A103" s="21" t="s">
        <v>558</v>
      </c>
      <c r="B103" s="21" t="s">
        <v>620</v>
      </c>
      <c r="C103" s="21" t="s">
        <v>621</v>
      </c>
      <c r="D103" s="111" t="s">
        <v>508</v>
      </c>
      <c r="E103" s="66">
        <v>2</v>
      </c>
      <c r="F103" s="66">
        <v>1402</v>
      </c>
      <c r="G103" s="68" t="s">
        <v>78</v>
      </c>
      <c r="H103" s="58">
        <v>37500000000</v>
      </c>
      <c r="I103" s="24">
        <f t="shared" si="18"/>
        <v>455691.76594245358</v>
      </c>
      <c r="J103" s="24">
        <f t="shared" si="12"/>
        <v>82292.467853666763</v>
      </c>
      <c r="K103" s="25">
        <f>INDEX(Indices!$C$51:$C$71,MATCH($D$3,Indices!$A$51:$A$71,0))/INDEX(Indices!$C$51:$C$71,MATCH(F103,Indices!$A$51:$A$71,0))</f>
        <v>1.0556263981014835</v>
      </c>
      <c r="L103" s="24">
        <f t="shared" si="13"/>
        <v>86870.10143124836</v>
      </c>
      <c r="M103" s="68" t="s">
        <v>308</v>
      </c>
      <c r="N103" s="24">
        <f t="shared" si="14"/>
        <v>86870.10143124836</v>
      </c>
      <c r="O103" s="24">
        <f t="shared" si="15"/>
        <v>247579789079.05783</v>
      </c>
      <c r="P103" s="24">
        <f t="shared" si="16"/>
        <v>495159578158.11566</v>
      </c>
      <c r="Q103" s="58">
        <v>124628042402.98199</v>
      </c>
      <c r="R103" s="55">
        <f t="shared" si="17"/>
        <v>0.9865496103879583</v>
      </c>
      <c r="S103" s="61" t="s">
        <v>622</v>
      </c>
    </row>
    <row r="104" spans="1:19">
      <c r="A104" s="21" t="s">
        <v>558</v>
      </c>
      <c r="B104" s="21" t="s">
        <v>623</v>
      </c>
      <c r="C104" s="21" t="s">
        <v>624</v>
      </c>
      <c r="D104" s="111" t="s">
        <v>508</v>
      </c>
      <c r="E104" s="66">
        <v>1</v>
      </c>
      <c r="F104" s="66">
        <v>1402</v>
      </c>
      <c r="G104" s="68" t="s">
        <v>78</v>
      </c>
      <c r="H104" s="58">
        <v>45000000000</v>
      </c>
      <c r="I104" s="24">
        <f t="shared" si="18"/>
        <v>455691.76594245358</v>
      </c>
      <c r="J104" s="24">
        <f t="shared" si="12"/>
        <v>98750.961424400113</v>
      </c>
      <c r="K104" s="25">
        <f>INDEX(Indices!$C$51:$C$71,MATCH($D$3,Indices!$A$51:$A$71,0))/INDEX(Indices!$C$51:$C$71,MATCH(F104,Indices!$A$51:$A$71,0))</f>
        <v>1.0556263981014835</v>
      </c>
      <c r="L104" s="24">
        <f t="shared" si="13"/>
        <v>104244.12171749804</v>
      </c>
      <c r="M104" s="68" t="s">
        <v>308</v>
      </c>
      <c r="N104" s="24">
        <f t="shared" si="14"/>
        <v>104244.12171749804</v>
      </c>
      <c r="O104" s="24">
        <f t="shared" si="15"/>
        <v>297095746894.86945</v>
      </c>
      <c r="P104" s="24">
        <f t="shared" si="16"/>
        <v>297095746894.86945</v>
      </c>
      <c r="Q104" s="58">
        <v>149553650883.578</v>
      </c>
      <c r="R104" s="55">
        <f t="shared" si="17"/>
        <v>0.98654961038796385</v>
      </c>
      <c r="S104" s="61" t="s">
        <v>622</v>
      </c>
    </row>
    <row r="105" spans="1:19">
      <c r="A105" s="21" t="s">
        <v>558</v>
      </c>
      <c r="B105" s="21" t="s">
        <v>625</v>
      </c>
      <c r="C105" s="21" t="s">
        <v>626</v>
      </c>
      <c r="D105" s="111" t="s">
        <v>508</v>
      </c>
      <c r="E105" s="66">
        <v>2</v>
      </c>
      <c r="F105" s="66">
        <v>1402</v>
      </c>
      <c r="G105" s="68" t="s">
        <v>78</v>
      </c>
      <c r="H105" s="58">
        <v>2000000000</v>
      </c>
      <c r="I105" s="24">
        <f t="shared" si="18"/>
        <v>455691.76594245358</v>
      </c>
      <c r="J105" s="24">
        <f t="shared" si="12"/>
        <v>4388.931618862227</v>
      </c>
      <c r="K105" s="25">
        <f>INDEX(Indices!$C$51:$C$71,MATCH($D$3,Indices!$A$51:$A$71,0))/INDEX(Indices!$C$51:$C$71,MATCH(F105,Indices!$A$51:$A$71,0))</f>
        <v>1.0556263981014835</v>
      </c>
      <c r="L105" s="24">
        <f t="shared" si="13"/>
        <v>4633.0720763332456</v>
      </c>
      <c r="M105" s="68" t="s">
        <v>308</v>
      </c>
      <c r="N105" s="24">
        <f t="shared" si="14"/>
        <v>4633.0720763332456</v>
      </c>
      <c r="O105" s="24">
        <f t="shared" si="15"/>
        <v>13204255417.549749</v>
      </c>
      <c r="P105" s="24">
        <f t="shared" si="16"/>
        <v>26408510835.099499</v>
      </c>
      <c r="Q105" s="58">
        <v>6646828928.15903</v>
      </c>
      <c r="R105" s="55">
        <f t="shared" si="17"/>
        <v>0.98654961038796096</v>
      </c>
      <c r="S105" s="61" t="s">
        <v>627</v>
      </c>
    </row>
    <row r="106" spans="1:19">
      <c r="A106" s="21" t="s">
        <v>558</v>
      </c>
      <c r="B106" s="21" t="s">
        <v>628</v>
      </c>
      <c r="C106" s="21" t="s">
        <v>629</v>
      </c>
      <c r="D106" s="111" t="s">
        <v>477</v>
      </c>
      <c r="E106" s="66">
        <v>2</v>
      </c>
      <c r="F106" s="66">
        <v>1402</v>
      </c>
      <c r="G106" s="68" t="s">
        <v>78</v>
      </c>
      <c r="H106" s="58">
        <v>7974606000</v>
      </c>
      <c r="I106" s="24">
        <f t="shared" si="18"/>
        <v>455691.76594245358</v>
      </c>
      <c r="J106" s="24">
        <f t="shared" si="12"/>
        <v>17500.000210684215</v>
      </c>
      <c r="K106" s="25">
        <f>INDEX(Indices!$C$51:$C$71,MATCH($D$3,Indices!$A$51:$A$71,0))/INDEX(Indices!$C$51:$C$71,MATCH(F106,Indices!$A$51:$A$71,0))</f>
        <v>1.0556263981014835</v>
      </c>
      <c r="L106" s="24">
        <f t="shared" si="13"/>
        <v>18473.46218917978</v>
      </c>
      <c r="M106" s="68" t="s">
        <v>308</v>
      </c>
      <c r="N106" s="24">
        <f t="shared" si="14"/>
        <v>18473.46218917978</v>
      </c>
      <c r="O106" s="24">
        <f t="shared" si="15"/>
        <v>52649367239.162369</v>
      </c>
      <c r="P106" s="24">
        <f t="shared" si="16"/>
        <v>105298734478.32474</v>
      </c>
      <c r="Q106" s="58">
        <v>27465062381.733501</v>
      </c>
      <c r="R106" s="55">
        <f t="shared" si="17"/>
        <v>0.91695786113263944</v>
      </c>
      <c r="S106" s="61" t="s">
        <v>627</v>
      </c>
    </row>
    <row r="107" spans="1:19">
      <c r="A107" s="21" t="s">
        <v>558</v>
      </c>
      <c r="B107" s="21" t="s">
        <v>630</v>
      </c>
      <c r="C107" s="21" t="s">
        <v>631</v>
      </c>
      <c r="D107" s="111" t="s">
        <v>508</v>
      </c>
      <c r="E107" s="66">
        <v>1</v>
      </c>
      <c r="F107" s="66">
        <v>1402</v>
      </c>
      <c r="G107" s="68" t="s">
        <v>78</v>
      </c>
      <c r="H107" s="58">
        <v>8885989000</v>
      </c>
      <c r="I107" s="24">
        <f t="shared" si="18"/>
        <v>455691.76594245358</v>
      </c>
      <c r="J107" s="24">
        <f t="shared" ref="J107:J138" si="19">H107/I107</f>
        <v>19499.999043480973</v>
      </c>
      <c r="K107" s="25">
        <f>INDEX(Indices!$C$51:$C$71,MATCH($D$3,Indices!$A$51:$A$71,0))/INDEX(Indices!$C$51:$C$71,MATCH(F107,Indices!$A$51:$A$71,0))</f>
        <v>1.0556263981014835</v>
      </c>
      <c r="L107" s="24">
        <f t="shared" ref="L107:L138" si="20">J107*K107</f>
        <v>20584.713753252192</v>
      </c>
      <c r="M107" s="68" t="s">
        <v>308</v>
      </c>
      <c r="N107" s="24">
        <f t="shared" ref="N107:N138" si="21">IF(M107="Y",MAX(L107,$D$7*$D$8),L107)</f>
        <v>20584.713753252192</v>
      </c>
      <c r="O107" s="24">
        <f t="shared" ref="O107:O138" si="22">N107*$D$6</f>
        <v>58666434196.768745</v>
      </c>
      <c r="P107" s="24">
        <f t="shared" ref="P107:P138" si="23">O107*E107</f>
        <v>58666434196.768745</v>
      </c>
      <c r="Q107" s="58">
        <v>29531824370.251499</v>
      </c>
      <c r="R107" s="55">
        <f t="shared" ref="R107:R138" si="24">IF(Q107="","",O107/Q107-1)</f>
        <v>0.98654961038795896</v>
      </c>
      <c r="S107" s="61" t="s">
        <v>632</v>
      </c>
    </row>
    <row r="108" spans="1:19">
      <c r="A108" s="21" t="s">
        <v>633</v>
      </c>
      <c r="B108" s="21" t="s">
        <v>634</v>
      </c>
      <c r="C108" s="21" t="s">
        <v>635</v>
      </c>
      <c r="D108" s="111" t="s">
        <v>477</v>
      </c>
      <c r="E108" s="66">
        <v>1</v>
      </c>
      <c r="F108" s="66">
        <v>1405</v>
      </c>
      <c r="G108" s="68" t="s">
        <v>636</v>
      </c>
      <c r="H108" s="58">
        <v>240000</v>
      </c>
      <c r="I108" s="74">
        <f>INDEX(Indices!$E$51:$E$71,MATCH(F108,Indices!$A$51:$A$71,0))</f>
        <v>1.1499999999999999</v>
      </c>
      <c r="J108" s="24">
        <f t="shared" si="19"/>
        <v>208695.65217391305</v>
      </c>
      <c r="K108" s="25">
        <f>INDEX(Indices!$C$51:$C$71,MATCH($D$3,Indices!$A$51:$A$71,0))/INDEX(Indices!$C$51:$C$71,MATCH(F108,Indices!$A$51:$A$71,0))</f>
        <v>1</v>
      </c>
      <c r="L108" s="24">
        <f t="shared" si="20"/>
        <v>208695.65217391305</v>
      </c>
      <c r="M108" s="68" t="s">
        <v>308</v>
      </c>
      <c r="N108" s="24">
        <f t="shared" si="21"/>
        <v>208695.65217391305</v>
      </c>
      <c r="O108" s="24">
        <f t="shared" si="22"/>
        <v>594782608695.65222</v>
      </c>
      <c r="P108" s="24">
        <f t="shared" si="23"/>
        <v>594782608695.65222</v>
      </c>
      <c r="Q108" s="58">
        <v>600000000000</v>
      </c>
      <c r="R108" s="55">
        <f t="shared" si="24"/>
        <v>-8.6956521739129933E-3</v>
      </c>
      <c r="S108" s="61" t="s">
        <v>637</v>
      </c>
    </row>
    <row r="109" spans="1:19">
      <c r="A109" s="21" t="s">
        <v>633</v>
      </c>
      <c r="B109" s="21" t="s">
        <v>638</v>
      </c>
      <c r="C109" s="21" t="s">
        <v>639</v>
      </c>
      <c r="D109" s="111" t="s">
        <v>477</v>
      </c>
      <c r="E109" s="66">
        <v>1</v>
      </c>
      <c r="F109" s="66">
        <v>1405</v>
      </c>
      <c r="G109" s="68" t="s">
        <v>636</v>
      </c>
      <c r="H109" s="58">
        <v>280000</v>
      </c>
      <c r="I109" s="74">
        <f>INDEX(Indices!$E$51:$E$71,MATCH(F109,Indices!$A$51:$A$71,0))</f>
        <v>1.1499999999999999</v>
      </c>
      <c r="J109" s="24">
        <f t="shared" si="19"/>
        <v>243478.26086956525</v>
      </c>
      <c r="K109" s="25">
        <f>INDEX(Indices!$C$51:$C$71,MATCH($D$3,Indices!$A$51:$A$71,0))/INDEX(Indices!$C$51:$C$71,MATCH(F109,Indices!$A$51:$A$71,0))</f>
        <v>1</v>
      </c>
      <c r="L109" s="24">
        <f t="shared" si="20"/>
        <v>243478.26086956525</v>
      </c>
      <c r="M109" s="68" t="s">
        <v>308</v>
      </c>
      <c r="N109" s="24">
        <f t="shared" si="21"/>
        <v>243478.26086956525</v>
      </c>
      <c r="O109" s="24">
        <f t="shared" si="22"/>
        <v>693913043478.26099</v>
      </c>
      <c r="P109" s="24">
        <f t="shared" si="23"/>
        <v>693913043478.26099</v>
      </c>
      <c r="Q109" s="58">
        <v>700000000000</v>
      </c>
      <c r="R109" s="55">
        <f t="shared" si="24"/>
        <v>-8.6956521739128823E-3</v>
      </c>
      <c r="S109" s="61" t="s">
        <v>637</v>
      </c>
    </row>
    <row r="110" spans="1:19">
      <c r="A110" s="21" t="s">
        <v>633</v>
      </c>
      <c r="B110" s="21" t="s">
        <v>640</v>
      </c>
      <c r="C110" s="21" t="s">
        <v>641</v>
      </c>
      <c r="D110" s="111" t="s">
        <v>477</v>
      </c>
      <c r="E110" s="66">
        <v>1</v>
      </c>
      <c r="F110" s="66">
        <v>1405</v>
      </c>
      <c r="G110" s="68" t="s">
        <v>636</v>
      </c>
      <c r="H110" s="58">
        <v>250000</v>
      </c>
      <c r="I110" s="74">
        <f>INDEX(Indices!$E$51:$E$71,MATCH(F110,Indices!$A$51:$A$71,0))</f>
        <v>1.1499999999999999</v>
      </c>
      <c r="J110" s="24">
        <f t="shared" si="19"/>
        <v>217391.30434782611</v>
      </c>
      <c r="K110" s="25">
        <f>INDEX(Indices!$C$51:$C$71,MATCH($D$3,Indices!$A$51:$A$71,0))/INDEX(Indices!$C$51:$C$71,MATCH(F110,Indices!$A$51:$A$71,0))</f>
        <v>1</v>
      </c>
      <c r="L110" s="24">
        <f t="shared" si="20"/>
        <v>217391.30434782611</v>
      </c>
      <c r="M110" s="68" t="s">
        <v>308</v>
      </c>
      <c r="N110" s="24">
        <f t="shared" si="21"/>
        <v>217391.30434782611</v>
      </c>
      <c r="O110" s="24">
        <f t="shared" si="22"/>
        <v>619565217391.30444</v>
      </c>
      <c r="P110" s="24">
        <f t="shared" si="23"/>
        <v>619565217391.30444</v>
      </c>
      <c r="Q110" s="58">
        <v>625000000000</v>
      </c>
      <c r="R110" s="55">
        <f t="shared" si="24"/>
        <v>-8.6956521739128823E-3</v>
      </c>
      <c r="S110" s="61" t="s">
        <v>637</v>
      </c>
    </row>
    <row r="111" spans="1:19">
      <c r="A111" s="21" t="s">
        <v>633</v>
      </c>
      <c r="B111" s="21" t="s">
        <v>642</v>
      </c>
      <c r="C111" s="21" t="s">
        <v>643</v>
      </c>
      <c r="D111" s="111" t="s">
        <v>477</v>
      </c>
      <c r="E111" s="66">
        <v>1</v>
      </c>
      <c r="F111" s="66">
        <v>1405</v>
      </c>
      <c r="G111" s="68" t="s">
        <v>636</v>
      </c>
      <c r="H111" s="58">
        <v>420000</v>
      </c>
      <c r="I111" s="74">
        <f>INDEX(Indices!$E$51:$E$71,MATCH(F111,Indices!$A$51:$A$71,0))</f>
        <v>1.1499999999999999</v>
      </c>
      <c r="J111" s="24">
        <f t="shared" si="19"/>
        <v>365217.39130434784</v>
      </c>
      <c r="K111" s="25">
        <f>INDEX(Indices!$C$51:$C$71,MATCH($D$3,Indices!$A$51:$A$71,0))/INDEX(Indices!$C$51:$C$71,MATCH(F111,Indices!$A$51:$A$71,0))</f>
        <v>1</v>
      </c>
      <c r="L111" s="24">
        <f t="shared" si="20"/>
        <v>365217.39130434784</v>
      </c>
      <c r="M111" s="68" t="s">
        <v>308</v>
      </c>
      <c r="N111" s="24">
        <f t="shared" si="21"/>
        <v>365217.39130434784</v>
      </c>
      <c r="O111" s="24">
        <f t="shared" si="22"/>
        <v>1040869565217.3914</v>
      </c>
      <c r="P111" s="24">
        <f t="shared" si="23"/>
        <v>1040869565217.3914</v>
      </c>
      <c r="Q111" s="58">
        <v>1050000000000</v>
      </c>
      <c r="R111" s="55">
        <f t="shared" si="24"/>
        <v>-8.6956521739129933E-3</v>
      </c>
      <c r="S111" s="61" t="s">
        <v>637</v>
      </c>
    </row>
    <row r="112" spans="1:19">
      <c r="A112" s="21" t="s">
        <v>633</v>
      </c>
      <c r="B112" s="21" t="s">
        <v>644</v>
      </c>
      <c r="C112" s="21" t="s">
        <v>645</v>
      </c>
      <c r="D112" s="111" t="s">
        <v>477</v>
      </c>
      <c r="E112" s="66">
        <v>1</v>
      </c>
      <c r="F112" s="66">
        <v>1405</v>
      </c>
      <c r="G112" s="68" t="s">
        <v>636</v>
      </c>
      <c r="H112" s="58">
        <v>75000</v>
      </c>
      <c r="I112" s="74">
        <f>INDEX(Indices!$E$51:$E$71,MATCH(F112,Indices!$A$51:$A$71,0))</f>
        <v>1.1499999999999999</v>
      </c>
      <c r="J112" s="24">
        <f t="shared" si="19"/>
        <v>65217.391304347831</v>
      </c>
      <c r="K112" s="25">
        <f>INDEX(Indices!$C$51:$C$71,MATCH($D$3,Indices!$A$51:$A$71,0))/INDEX(Indices!$C$51:$C$71,MATCH(F112,Indices!$A$51:$A$71,0))</f>
        <v>1</v>
      </c>
      <c r="L112" s="24">
        <f t="shared" si="20"/>
        <v>65217.391304347831</v>
      </c>
      <c r="M112" s="68" t="s">
        <v>308</v>
      </c>
      <c r="N112" s="24">
        <f t="shared" si="21"/>
        <v>65217.391304347831</v>
      </c>
      <c r="O112" s="24">
        <f t="shared" si="22"/>
        <v>185869565217.39133</v>
      </c>
      <c r="P112" s="24">
        <f t="shared" si="23"/>
        <v>185869565217.39133</v>
      </c>
      <c r="Q112" s="58">
        <v>187500000000</v>
      </c>
      <c r="R112" s="55">
        <f t="shared" si="24"/>
        <v>-8.6956521739128823E-3</v>
      </c>
      <c r="S112" s="61" t="s">
        <v>637</v>
      </c>
    </row>
    <row r="113" spans="1:19">
      <c r="A113" s="21" t="s">
        <v>633</v>
      </c>
      <c r="B113" s="21" t="s">
        <v>646</v>
      </c>
      <c r="C113" s="21" t="s">
        <v>647</v>
      </c>
      <c r="D113" s="111" t="s">
        <v>477</v>
      </c>
      <c r="E113" s="66">
        <v>1</v>
      </c>
      <c r="F113" s="66">
        <v>1405</v>
      </c>
      <c r="G113" s="68" t="s">
        <v>636</v>
      </c>
      <c r="H113" s="58">
        <v>60000</v>
      </c>
      <c r="I113" s="74">
        <f>INDEX(Indices!$E$51:$E$71,MATCH(F113,Indices!$A$51:$A$71,0))</f>
        <v>1.1499999999999999</v>
      </c>
      <c r="J113" s="24">
        <f t="shared" si="19"/>
        <v>52173.913043478264</v>
      </c>
      <c r="K113" s="25">
        <f>INDEX(Indices!$C$51:$C$71,MATCH($D$3,Indices!$A$51:$A$71,0))/INDEX(Indices!$C$51:$C$71,MATCH(F113,Indices!$A$51:$A$71,0))</f>
        <v>1</v>
      </c>
      <c r="L113" s="24">
        <f t="shared" si="20"/>
        <v>52173.913043478264</v>
      </c>
      <c r="M113" s="68" t="s">
        <v>308</v>
      </c>
      <c r="N113" s="24">
        <f t="shared" si="21"/>
        <v>52173.913043478264</v>
      </c>
      <c r="O113" s="24">
        <f t="shared" si="22"/>
        <v>148695652173.91306</v>
      </c>
      <c r="P113" s="24">
        <f t="shared" si="23"/>
        <v>148695652173.91306</v>
      </c>
      <c r="Q113" s="58">
        <v>150000000000</v>
      </c>
      <c r="R113" s="55">
        <f t="shared" si="24"/>
        <v>-8.6956521739129933E-3</v>
      </c>
      <c r="S113" s="61" t="s">
        <v>637</v>
      </c>
    </row>
    <row r="114" spans="1:19">
      <c r="A114" s="21" t="s">
        <v>633</v>
      </c>
      <c r="B114" s="21" t="s">
        <v>648</v>
      </c>
      <c r="C114" s="21" t="s">
        <v>649</v>
      </c>
      <c r="D114" s="111" t="s">
        <v>477</v>
      </c>
      <c r="E114" s="66">
        <v>1</v>
      </c>
      <c r="F114" s="66">
        <v>1405</v>
      </c>
      <c r="G114" s="68" t="s">
        <v>636</v>
      </c>
      <c r="H114" s="58">
        <v>60000</v>
      </c>
      <c r="I114" s="74">
        <f>INDEX(Indices!$E$51:$E$71,MATCH(F114,Indices!$A$51:$A$71,0))</f>
        <v>1.1499999999999999</v>
      </c>
      <c r="J114" s="24">
        <f t="shared" si="19"/>
        <v>52173.913043478264</v>
      </c>
      <c r="K114" s="25">
        <f>INDEX(Indices!$C$51:$C$71,MATCH($D$3,Indices!$A$51:$A$71,0))/INDEX(Indices!$C$51:$C$71,MATCH(F114,Indices!$A$51:$A$71,0))</f>
        <v>1</v>
      </c>
      <c r="L114" s="24">
        <f t="shared" si="20"/>
        <v>52173.913043478264</v>
      </c>
      <c r="M114" s="68" t="s">
        <v>308</v>
      </c>
      <c r="N114" s="24">
        <f t="shared" si="21"/>
        <v>52173.913043478264</v>
      </c>
      <c r="O114" s="24">
        <f t="shared" si="22"/>
        <v>148695652173.91306</v>
      </c>
      <c r="P114" s="24">
        <f t="shared" si="23"/>
        <v>148695652173.91306</v>
      </c>
      <c r="Q114" s="58">
        <v>150000000000</v>
      </c>
      <c r="R114" s="55">
        <f t="shared" si="24"/>
        <v>-8.6956521739129933E-3</v>
      </c>
      <c r="S114" s="61" t="s">
        <v>637</v>
      </c>
    </row>
    <row r="115" spans="1:19">
      <c r="A115" s="21" t="s">
        <v>633</v>
      </c>
      <c r="B115" s="21" t="s">
        <v>650</v>
      </c>
      <c r="C115" s="21" t="s">
        <v>651</v>
      </c>
      <c r="D115" s="111" t="s">
        <v>470</v>
      </c>
      <c r="E115" s="66">
        <v>1</v>
      </c>
      <c r="F115" s="66">
        <v>1405</v>
      </c>
      <c r="G115" s="68" t="s">
        <v>636</v>
      </c>
      <c r="H115" s="58">
        <v>410000</v>
      </c>
      <c r="I115" s="74">
        <f>INDEX(Indices!$E$51:$E$71,MATCH(F115,Indices!$A$51:$A$71,0))</f>
        <v>1.1499999999999999</v>
      </c>
      <c r="J115" s="24">
        <f t="shared" si="19"/>
        <v>356521.73913043481</v>
      </c>
      <c r="K115" s="25">
        <f>INDEX(Indices!$C$51:$C$71,MATCH($D$3,Indices!$A$51:$A$71,0))/INDEX(Indices!$C$51:$C$71,MATCH(F115,Indices!$A$51:$A$71,0))</f>
        <v>1</v>
      </c>
      <c r="L115" s="24">
        <f t="shared" si="20"/>
        <v>356521.73913043481</v>
      </c>
      <c r="M115" s="68" t="s">
        <v>308</v>
      </c>
      <c r="N115" s="24">
        <f t="shared" si="21"/>
        <v>356521.73913043481</v>
      </c>
      <c r="O115" s="24">
        <f t="shared" si="22"/>
        <v>1016086956521.7393</v>
      </c>
      <c r="P115" s="24">
        <f t="shared" si="23"/>
        <v>1016086956521.7393</v>
      </c>
      <c r="Q115" s="58">
        <v>1025000000000</v>
      </c>
      <c r="R115" s="55">
        <f t="shared" si="24"/>
        <v>-8.6956521739128823E-3</v>
      </c>
      <c r="S115" s="61" t="s">
        <v>637</v>
      </c>
    </row>
    <row r="116" spans="1:19">
      <c r="A116" s="21" t="s">
        <v>633</v>
      </c>
      <c r="B116" s="21" t="s">
        <v>652</v>
      </c>
      <c r="C116" s="21" t="s">
        <v>653</v>
      </c>
      <c r="D116" s="111" t="s">
        <v>477</v>
      </c>
      <c r="E116" s="66">
        <v>1</v>
      </c>
      <c r="F116" s="66">
        <v>1405</v>
      </c>
      <c r="G116" s="68" t="s">
        <v>636</v>
      </c>
      <c r="H116" s="58">
        <v>8000</v>
      </c>
      <c r="I116" s="74">
        <f>INDEX(Indices!$E$51:$E$71,MATCH(F116,Indices!$A$51:$A$71,0))</f>
        <v>1.1499999999999999</v>
      </c>
      <c r="J116" s="24">
        <f t="shared" si="19"/>
        <v>6956.521739130435</v>
      </c>
      <c r="K116" s="25">
        <f>INDEX(Indices!$C$51:$C$71,MATCH($D$3,Indices!$A$51:$A$71,0))/INDEX(Indices!$C$51:$C$71,MATCH(F116,Indices!$A$51:$A$71,0))</f>
        <v>1</v>
      </c>
      <c r="L116" s="24">
        <f t="shared" si="20"/>
        <v>6956.521739130435</v>
      </c>
      <c r="M116" s="68" t="s">
        <v>308</v>
      </c>
      <c r="N116" s="24">
        <f t="shared" si="21"/>
        <v>6956.521739130435</v>
      </c>
      <c r="O116" s="24">
        <f t="shared" si="22"/>
        <v>19826086956.52174</v>
      </c>
      <c r="P116" s="24">
        <f t="shared" si="23"/>
        <v>19826086956.52174</v>
      </c>
      <c r="Q116" s="58">
        <v>20000000000</v>
      </c>
      <c r="R116" s="55">
        <f t="shared" si="24"/>
        <v>-8.6956521739129933E-3</v>
      </c>
      <c r="S116" s="61" t="s">
        <v>637</v>
      </c>
    </row>
    <row r="117" spans="1:19">
      <c r="A117" s="21" t="s">
        <v>633</v>
      </c>
      <c r="B117" s="21" t="s">
        <v>654</v>
      </c>
      <c r="C117" s="21" t="s">
        <v>655</v>
      </c>
      <c r="D117" s="111" t="s">
        <v>477</v>
      </c>
      <c r="E117" s="66">
        <v>1</v>
      </c>
      <c r="F117" s="66">
        <v>1405</v>
      </c>
      <c r="G117" s="68" t="s">
        <v>636</v>
      </c>
      <c r="H117" s="58">
        <v>40000</v>
      </c>
      <c r="I117" s="74">
        <f>INDEX(Indices!$E$51:$E$71,MATCH(F117,Indices!$A$51:$A$71,0))</f>
        <v>1.1499999999999999</v>
      </c>
      <c r="J117" s="24">
        <f t="shared" si="19"/>
        <v>34782.608695652176</v>
      </c>
      <c r="K117" s="25">
        <f>INDEX(Indices!$C$51:$C$71,MATCH($D$3,Indices!$A$51:$A$71,0))/INDEX(Indices!$C$51:$C$71,MATCH(F117,Indices!$A$51:$A$71,0))</f>
        <v>1</v>
      </c>
      <c r="L117" s="24">
        <f t="shared" si="20"/>
        <v>34782.608695652176</v>
      </c>
      <c r="M117" s="68" t="s">
        <v>308</v>
      </c>
      <c r="N117" s="24">
        <f t="shared" si="21"/>
        <v>34782.608695652176</v>
      </c>
      <c r="O117" s="24">
        <f t="shared" si="22"/>
        <v>99130434782.608704</v>
      </c>
      <c r="P117" s="24">
        <f t="shared" si="23"/>
        <v>99130434782.608704</v>
      </c>
      <c r="Q117" s="58">
        <v>100000000000</v>
      </c>
      <c r="R117" s="55">
        <f t="shared" si="24"/>
        <v>-8.6956521739129933E-3</v>
      </c>
      <c r="S117" s="61" t="s">
        <v>637</v>
      </c>
    </row>
    <row r="118" spans="1:19">
      <c r="A118" s="21" t="s">
        <v>633</v>
      </c>
      <c r="B118" s="21" t="s">
        <v>656</v>
      </c>
      <c r="C118" s="21" t="s">
        <v>657</v>
      </c>
      <c r="D118" s="111" t="s">
        <v>474</v>
      </c>
      <c r="E118" s="66">
        <v>1</v>
      </c>
      <c r="F118" s="66">
        <v>1405</v>
      </c>
      <c r="G118" s="68" t="s">
        <v>636</v>
      </c>
      <c r="H118" s="58">
        <v>5000</v>
      </c>
      <c r="I118" s="74">
        <f>INDEX(Indices!$E$51:$E$71,MATCH(F118,Indices!$A$51:$A$71,0))</f>
        <v>1.1499999999999999</v>
      </c>
      <c r="J118" s="24">
        <f t="shared" si="19"/>
        <v>4347.826086956522</v>
      </c>
      <c r="K118" s="25">
        <f>INDEX(Indices!$C$51:$C$71,MATCH($D$3,Indices!$A$51:$A$71,0))/INDEX(Indices!$C$51:$C$71,MATCH(F118,Indices!$A$51:$A$71,0))</f>
        <v>1</v>
      </c>
      <c r="L118" s="24">
        <f t="shared" si="20"/>
        <v>4347.826086956522</v>
      </c>
      <c r="M118" s="68" t="s">
        <v>308</v>
      </c>
      <c r="N118" s="24">
        <f t="shared" si="21"/>
        <v>4347.826086956522</v>
      </c>
      <c r="O118" s="24">
        <f t="shared" si="22"/>
        <v>12391304347.826088</v>
      </c>
      <c r="P118" s="24">
        <f t="shared" si="23"/>
        <v>12391304347.826088</v>
      </c>
      <c r="Q118" s="58">
        <v>12500000000</v>
      </c>
      <c r="R118" s="55">
        <f t="shared" si="24"/>
        <v>-8.6956521739129933E-3</v>
      </c>
      <c r="S118" s="61" t="s">
        <v>637</v>
      </c>
    </row>
    <row r="119" spans="1:19">
      <c r="A119" s="21" t="s">
        <v>633</v>
      </c>
      <c r="B119" s="21" t="s">
        <v>658</v>
      </c>
      <c r="C119" s="21" t="s">
        <v>659</v>
      </c>
      <c r="D119" s="111" t="s">
        <v>474</v>
      </c>
      <c r="E119" s="66">
        <v>1</v>
      </c>
      <c r="F119" s="66">
        <v>1405</v>
      </c>
      <c r="G119" s="68" t="s">
        <v>636</v>
      </c>
      <c r="H119" s="58">
        <v>3000</v>
      </c>
      <c r="I119" s="74">
        <f>INDEX(Indices!$E$51:$E$71,MATCH(F119,Indices!$A$51:$A$71,0))</f>
        <v>1.1499999999999999</v>
      </c>
      <c r="J119" s="24">
        <f t="shared" si="19"/>
        <v>2608.6956521739135</v>
      </c>
      <c r="K119" s="25">
        <f>INDEX(Indices!$C$51:$C$71,MATCH($D$3,Indices!$A$51:$A$71,0))/INDEX(Indices!$C$51:$C$71,MATCH(F119,Indices!$A$51:$A$71,0))</f>
        <v>1</v>
      </c>
      <c r="L119" s="24">
        <f t="shared" si="20"/>
        <v>2608.6956521739135</v>
      </c>
      <c r="M119" s="68" t="s">
        <v>308</v>
      </c>
      <c r="N119" s="24">
        <f t="shared" si="21"/>
        <v>2608.6956521739135</v>
      </c>
      <c r="O119" s="24">
        <f t="shared" si="22"/>
        <v>7434782608.695653</v>
      </c>
      <c r="P119" s="24">
        <f t="shared" si="23"/>
        <v>7434782608.695653</v>
      </c>
      <c r="Q119" s="58">
        <v>7500000000</v>
      </c>
      <c r="R119" s="55">
        <f t="shared" si="24"/>
        <v>-8.6956521739129933E-3</v>
      </c>
      <c r="S119" s="61" t="s">
        <v>637</v>
      </c>
    </row>
    <row r="120" spans="1:19">
      <c r="A120" s="21" t="s">
        <v>633</v>
      </c>
      <c r="B120" s="21" t="s">
        <v>660</v>
      </c>
      <c r="C120" s="21" t="s">
        <v>661</v>
      </c>
      <c r="D120" s="111" t="s">
        <v>486</v>
      </c>
      <c r="E120" s="66">
        <v>1</v>
      </c>
      <c r="F120" s="66">
        <v>1405</v>
      </c>
      <c r="G120" s="68" t="s">
        <v>636</v>
      </c>
      <c r="H120" s="58">
        <v>3000</v>
      </c>
      <c r="I120" s="74">
        <f>INDEX(Indices!$E$51:$E$71,MATCH(F120,Indices!$A$51:$A$71,0))</f>
        <v>1.1499999999999999</v>
      </c>
      <c r="J120" s="24">
        <f t="shared" si="19"/>
        <v>2608.6956521739135</v>
      </c>
      <c r="K120" s="25">
        <f>INDEX(Indices!$C$51:$C$71,MATCH($D$3,Indices!$A$51:$A$71,0))/INDEX(Indices!$C$51:$C$71,MATCH(F120,Indices!$A$51:$A$71,0))</f>
        <v>1</v>
      </c>
      <c r="L120" s="24">
        <f t="shared" si="20"/>
        <v>2608.6956521739135</v>
      </c>
      <c r="M120" s="68" t="s">
        <v>308</v>
      </c>
      <c r="N120" s="24">
        <f t="shared" si="21"/>
        <v>2608.6956521739135</v>
      </c>
      <c r="O120" s="24">
        <f t="shared" si="22"/>
        <v>7434782608.695653</v>
      </c>
      <c r="P120" s="24">
        <f t="shared" si="23"/>
        <v>7434782608.695653</v>
      </c>
      <c r="Q120" s="58">
        <v>7500000000</v>
      </c>
      <c r="R120" s="55">
        <f t="shared" si="24"/>
        <v>-8.6956521739129933E-3</v>
      </c>
      <c r="S120" s="61" t="s">
        <v>637</v>
      </c>
    </row>
    <row r="121" spans="1:19">
      <c r="A121" s="21" t="s">
        <v>633</v>
      </c>
      <c r="B121" s="21" t="s">
        <v>662</v>
      </c>
      <c r="C121" s="21" t="s">
        <v>663</v>
      </c>
      <c r="D121" s="111" t="s">
        <v>477</v>
      </c>
      <c r="E121" s="66">
        <v>1</v>
      </c>
      <c r="F121" s="66">
        <v>1405</v>
      </c>
      <c r="G121" s="68" t="s">
        <v>636</v>
      </c>
      <c r="H121" s="58">
        <v>40000</v>
      </c>
      <c r="I121" s="74">
        <f>INDEX(Indices!$E$51:$E$71,MATCH(F121,Indices!$A$51:$A$71,0))</f>
        <v>1.1499999999999999</v>
      </c>
      <c r="J121" s="24">
        <f t="shared" si="19"/>
        <v>34782.608695652176</v>
      </c>
      <c r="K121" s="25">
        <f>INDEX(Indices!$C$51:$C$71,MATCH($D$3,Indices!$A$51:$A$71,0))/INDEX(Indices!$C$51:$C$71,MATCH(F121,Indices!$A$51:$A$71,0))</f>
        <v>1</v>
      </c>
      <c r="L121" s="24">
        <f t="shared" si="20"/>
        <v>34782.608695652176</v>
      </c>
      <c r="M121" s="68" t="s">
        <v>308</v>
      </c>
      <c r="N121" s="24">
        <f t="shared" si="21"/>
        <v>34782.608695652176</v>
      </c>
      <c r="O121" s="24">
        <f t="shared" si="22"/>
        <v>99130434782.608704</v>
      </c>
      <c r="P121" s="24">
        <f t="shared" si="23"/>
        <v>99130434782.608704</v>
      </c>
      <c r="Q121" s="58">
        <v>100000000000</v>
      </c>
      <c r="R121" s="55">
        <f t="shared" si="24"/>
        <v>-8.6956521739129933E-3</v>
      </c>
      <c r="S121" s="61" t="s">
        <v>637</v>
      </c>
    </row>
    <row r="123" spans="1:19">
      <c r="A123" s="16" t="s">
        <v>664</v>
      </c>
      <c r="P123" s="75">
        <f>SUM(P11:P121)</f>
        <v>41237234034709.703</v>
      </c>
      <c r="Q123" s="75">
        <f>SUMPRODUCT(E11:E121,Q11:Q121)</f>
        <v>35640784522934.203</v>
      </c>
      <c r="R123" s="76">
        <f>P123/Q123-1</f>
        <v>0.15702374643785655</v>
      </c>
    </row>
    <row r="124" spans="1:19">
      <c r="A124" s="16" t="s">
        <v>665</v>
      </c>
      <c r="P124" s="75">
        <f>SUMPRODUCT(E11:E121,N11:N121)</f>
        <v>14469204.924459545</v>
      </c>
    </row>
  </sheetData>
  <dataValidations count="1">
    <dataValidation type="list" sqref="M11:M121" xr:uid="{00000000-0002-0000-0700-000000000000}">
      <formula1>"Y,N"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3"/>
  <sheetViews>
    <sheetView showGridLines="0" rightToLeft="1" zoomScaleNormal="100" workbookViewId="0"/>
  </sheetViews>
  <sheetFormatPr defaultColWidth="8.7109375" defaultRowHeight="15"/>
  <cols>
    <col min="1" max="1" width="4" customWidth="1"/>
    <col min="2" max="2" width="8" customWidth="1"/>
    <col min="3" max="3" width="28" customWidth="1"/>
    <col min="4" max="4" width="55" customWidth="1"/>
    <col min="5" max="5" width="40" customWidth="1"/>
    <col min="6" max="6" width="45" customWidth="1"/>
  </cols>
  <sheetData>
    <row r="1" spans="1:6" ht="18">
      <c r="A1" s="15" t="s">
        <v>666</v>
      </c>
    </row>
    <row r="3" spans="1:6" ht="42" customHeight="1">
      <c r="A3" s="17" t="s">
        <v>667</v>
      </c>
      <c r="B3" s="17" t="s">
        <v>668</v>
      </c>
      <c r="C3" s="17" t="s">
        <v>669</v>
      </c>
      <c r="D3" s="17" t="s">
        <v>670</v>
      </c>
      <c r="E3" s="17" t="s">
        <v>671</v>
      </c>
      <c r="F3" s="17" t="s">
        <v>672</v>
      </c>
    </row>
    <row r="4" spans="1:6" ht="61.5" customHeight="1">
      <c r="A4" s="53">
        <v>1</v>
      </c>
      <c r="B4" s="77" t="s">
        <v>673</v>
      </c>
      <c r="C4" s="28" t="s">
        <v>674</v>
      </c>
      <c r="D4" s="28" t="s">
        <v>675</v>
      </c>
      <c r="E4" s="28" t="s">
        <v>676</v>
      </c>
      <c r="F4" s="28" t="s">
        <v>677</v>
      </c>
    </row>
    <row r="5" spans="1:6" ht="61.5" customHeight="1">
      <c r="A5" s="53">
        <v>2</v>
      </c>
      <c r="B5" s="77" t="s">
        <v>673</v>
      </c>
      <c r="C5" s="28" t="s">
        <v>678</v>
      </c>
      <c r="D5" s="28" t="s">
        <v>679</v>
      </c>
      <c r="E5" s="28" t="s">
        <v>680</v>
      </c>
      <c r="F5" s="28" t="s">
        <v>681</v>
      </c>
    </row>
    <row r="6" spans="1:6" ht="61.5" customHeight="1">
      <c r="A6" s="53">
        <v>3</v>
      </c>
      <c r="B6" s="77" t="s">
        <v>673</v>
      </c>
      <c r="C6" s="28" t="s">
        <v>682</v>
      </c>
      <c r="D6" s="28" t="s">
        <v>683</v>
      </c>
      <c r="E6" s="28" t="s">
        <v>684</v>
      </c>
      <c r="F6" s="28" t="s">
        <v>685</v>
      </c>
    </row>
    <row r="7" spans="1:6" ht="61.5" customHeight="1">
      <c r="A7" s="53">
        <v>4</v>
      </c>
      <c r="B7" s="77" t="s">
        <v>673</v>
      </c>
      <c r="C7" s="28" t="s">
        <v>686</v>
      </c>
      <c r="D7" s="28" t="s">
        <v>687</v>
      </c>
      <c r="E7" s="28" t="s">
        <v>688</v>
      </c>
      <c r="F7" s="28" t="s">
        <v>689</v>
      </c>
    </row>
    <row r="8" spans="1:6" ht="61.5" customHeight="1">
      <c r="A8" s="53">
        <v>5</v>
      </c>
      <c r="B8" s="28" t="s">
        <v>690</v>
      </c>
      <c r="C8" s="28" t="s">
        <v>691</v>
      </c>
      <c r="D8" s="28" t="s">
        <v>692</v>
      </c>
      <c r="E8" s="28" t="s">
        <v>693</v>
      </c>
      <c r="F8" s="28" t="s">
        <v>694</v>
      </c>
    </row>
    <row r="9" spans="1:6" ht="61.5" customHeight="1">
      <c r="A9" s="53">
        <v>6</v>
      </c>
      <c r="B9" s="28" t="s">
        <v>690</v>
      </c>
      <c r="C9" s="28" t="s">
        <v>695</v>
      </c>
      <c r="D9" s="28" t="s">
        <v>696</v>
      </c>
      <c r="E9" s="28" t="s">
        <v>697</v>
      </c>
      <c r="F9" s="28" t="s">
        <v>698</v>
      </c>
    </row>
    <row r="10" spans="1:6" ht="61.5" customHeight="1">
      <c r="A10" s="53">
        <v>7</v>
      </c>
      <c r="B10" s="28" t="s">
        <v>690</v>
      </c>
      <c r="C10" s="28" t="s">
        <v>699</v>
      </c>
      <c r="D10" s="28" t="s">
        <v>700</v>
      </c>
      <c r="E10" s="28" t="s">
        <v>701</v>
      </c>
      <c r="F10" s="28" t="s">
        <v>702</v>
      </c>
    </row>
    <row r="11" spans="1:6" ht="61.5" customHeight="1">
      <c r="A11" s="53">
        <v>8</v>
      </c>
      <c r="B11" s="28" t="s">
        <v>690</v>
      </c>
      <c r="C11" s="28" t="s">
        <v>703</v>
      </c>
      <c r="D11" s="28" t="s">
        <v>704</v>
      </c>
      <c r="E11" s="28" t="s">
        <v>705</v>
      </c>
      <c r="F11" s="28" t="s">
        <v>706</v>
      </c>
    </row>
    <row r="12" spans="1:6" ht="61.5" customHeight="1">
      <c r="A12" s="53">
        <v>9</v>
      </c>
      <c r="B12" s="28" t="s">
        <v>707</v>
      </c>
      <c r="C12" s="28" t="s">
        <v>708</v>
      </c>
      <c r="D12" s="28" t="s">
        <v>709</v>
      </c>
      <c r="E12" s="28" t="s">
        <v>710</v>
      </c>
      <c r="F12" s="28" t="s">
        <v>711</v>
      </c>
    </row>
    <row r="13" spans="1:6" ht="61.5" customHeight="1">
      <c r="A13" s="53">
        <v>10</v>
      </c>
      <c r="B13" s="28" t="s">
        <v>707</v>
      </c>
      <c r="C13" s="28" t="s">
        <v>712</v>
      </c>
      <c r="D13" s="28" t="s">
        <v>713</v>
      </c>
      <c r="E13" s="28" t="s">
        <v>714</v>
      </c>
      <c r="F13" s="28" t="s">
        <v>715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3"/>
  <sheetViews>
    <sheetView showGridLines="0" rightToLeft="1" zoomScaleNormal="100" workbookViewId="0"/>
  </sheetViews>
  <sheetFormatPr defaultColWidth="8.7109375" defaultRowHeight="15"/>
  <cols>
    <col min="1" max="1" width="80" customWidth="1"/>
    <col min="2" max="2" width="70" customWidth="1"/>
  </cols>
  <sheetData>
    <row r="1" spans="1:2" ht="18">
      <c r="A1" s="15" t="s">
        <v>716</v>
      </c>
    </row>
    <row r="3" spans="1:2" ht="30" customHeight="1">
      <c r="A3" s="28" t="s">
        <v>717</v>
      </c>
      <c r="B3" s="78" t="s">
        <v>718</v>
      </c>
    </row>
    <row r="4" spans="1:2" ht="30" customHeight="1">
      <c r="A4" s="28" t="s">
        <v>719</v>
      </c>
      <c r="B4" s="78" t="s">
        <v>720</v>
      </c>
    </row>
    <row r="5" spans="1:2" ht="30" customHeight="1">
      <c r="A5" s="28" t="s">
        <v>721</v>
      </c>
      <c r="B5" s="78" t="s">
        <v>722</v>
      </c>
    </row>
    <row r="6" spans="1:2" ht="30" customHeight="1">
      <c r="A6" s="28" t="s">
        <v>723</v>
      </c>
      <c r="B6" s="78" t="s">
        <v>724</v>
      </c>
    </row>
    <row r="7" spans="1:2" ht="30" customHeight="1">
      <c r="A7" s="28" t="s">
        <v>725</v>
      </c>
      <c r="B7" s="78" t="s">
        <v>726</v>
      </c>
    </row>
    <row r="8" spans="1:2" ht="30" customHeight="1">
      <c r="A8" s="28" t="s">
        <v>727</v>
      </c>
      <c r="B8" s="21"/>
    </row>
    <row r="9" spans="1:2" ht="30" customHeight="1">
      <c r="A9" s="28" t="s">
        <v>728</v>
      </c>
      <c r="B9" s="21"/>
    </row>
    <row r="10" spans="1:2" ht="30" customHeight="1">
      <c r="A10" s="28" t="s">
        <v>729</v>
      </c>
      <c r="B10" s="21"/>
    </row>
    <row r="11" spans="1:2" ht="30" customHeight="1">
      <c r="A11" s="28" t="s">
        <v>730</v>
      </c>
      <c r="B11" s="21"/>
    </row>
    <row r="12" spans="1:2" ht="30" customHeight="1">
      <c r="A12" s="28" t="s">
        <v>731</v>
      </c>
      <c r="B12" s="21"/>
    </row>
    <row r="13" spans="1:2" ht="30" customHeight="1">
      <c r="A13" s="28" t="s">
        <v>732</v>
      </c>
      <c r="B13" s="21"/>
    </row>
  </sheetData>
  <hyperlinks>
    <hyperlink ref="B3" r:id="rId1" xr:uid="{00000000-0004-0000-0900-000000000000}"/>
    <hyperlink ref="B4" r:id="rId2" xr:uid="{00000000-0004-0000-0900-000001000000}"/>
    <hyperlink ref="B5" r:id="rId3" xr:uid="{00000000-0004-0000-0900-000002000000}"/>
    <hyperlink ref="B6" r:id="rId4" xr:uid="{00000000-0004-0000-0900-000003000000}"/>
    <hyperlink ref="B7" r:id="rId5" xr:uid="{00000000-0004-0000-0900-000004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21"/>
  <sheetViews>
    <sheetView zoomScaleNormal="100" workbookViewId="0"/>
  </sheetViews>
  <sheetFormatPr defaultColWidth="8.7109375" defaultRowHeight="15"/>
  <sheetData>
    <row r="1" spans="1:5">
      <c r="A1" s="79" t="s">
        <v>733</v>
      </c>
      <c r="B1" t="s">
        <v>336</v>
      </c>
      <c r="C1">
        <v>1385</v>
      </c>
      <c r="D1" t="s">
        <v>15</v>
      </c>
      <c r="E1" s="79" t="s">
        <v>30</v>
      </c>
    </row>
    <row r="2" spans="1:5">
      <c r="A2" s="79" t="s">
        <v>734</v>
      </c>
      <c r="B2" t="s">
        <v>735</v>
      </c>
      <c r="C2">
        <v>1386</v>
      </c>
      <c r="D2" t="s">
        <v>636</v>
      </c>
      <c r="E2" s="79" t="s">
        <v>736</v>
      </c>
    </row>
    <row r="3" spans="1:5">
      <c r="A3" s="79" t="s">
        <v>737</v>
      </c>
      <c r="B3" t="s">
        <v>77</v>
      </c>
      <c r="C3">
        <v>1387</v>
      </c>
      <c r="D3" t="s">
        <v>78</v>
      </c>
      <c r="E3" s="79" t="s">
        <v>738</v>
      </c>
    </row>
    <row r="4" spans="1:5">
      <c r="A4" s="79" t="s">
        <v>739</v>
      </c>
      <c r="B4" t="s">
        <v>740</v>
      </c>
      <c r="C4">
        <v>1388</v>
      </c>
    </row>
    <row r="5" spans="1:5">
      <c r="A5" s="79" t="s">
        <v>508</v>
      </c>
      <c r="B5" t="s">
        <v>75</v>
      </c>
      <c r="C5">
        <v>1389</v>
      </c>
    </row>
    <row r="6" spans="1:5">
      <c r="A6" s="79" t="s">
        <v>741</v>
      </c>
      <c r="B6" t="s">
        <v>10</v>
      </c>
      <c r="C6">
        <v>1390</v>
      </c>
    </row>
    <row r="7" spans="1:5">
      <c r="B7" t="s">
        <v>742</v>
      </c>
      <c r="C7">
        <v>1391</v>
      </c>
    </row>
    <row r="8" spans="1:5">
      <c r="B8" t="s">
        <v>743</v>
      </c>
      <c r="C8">
        <v>1392</v>
      </c>
    </row>
    <row r="9" spans="1:5">
      <c r="B9" t="s">
        <v>744</v>
      </c>
      <c r="C9">
        <v>1393</v>
      </c>
    </row>
    <row r="10" spans="1:5">
      <c r="B10" t="s">
        <v>307</v>
      </c>
      <c r="C10">
        <v>1394</v>
      </c>
    </row>
    <row r="11" spans="1:5">
      <c r="B11" s="79" t="s">
        <v>81</v>
      </c>
      <c r="C11">
        <v>1395</v>
      </c>
    </row>
    <row r="12" spans="1:5">
      <c r="C12">
        <v>1396</v>
      </c>
    </row>
    <row r="13" spans="1:5">
      <c r="C13">
        <v>1397</v>
      </c>
    </row>
    <row r="14" spans="1:5">
      <c r="C14">
        <v>1398</v>
      </c>
    </row>
    <row r="15" spans="1:5">
      <c r="C15">
        <v>1399</v>
      </c>
    </row>
    <row r="16" spans="1:5">
      <c r="C16">
        <v>1400</v>
      </c>
    </row>
    <row r="17" spans="3:3">
      <c r="C17">
        <v>1401</v>
      </c>
    </row>
    <row r="18" spans="3:3">
      <c r="C18">
        <v>1402</v>
      </c>
    </row>
    <row r="19" spans="3:3">
      <c r="C19">
        <v>1403</v>
      </c>
    </row>
    <row r="20" spans="3:3">
      <c r="C20">
        <v>1404</v>
      </c>
    </row>
    <row r="21" spans="3:3">
      <c r="C21">
        <v>1405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ماشین_حساب</vt:lpstr>
      <vt:lpstr>راهنما</vt:lpstr>
      <vt:lpstr>Summary</vt:lpstr>
      <vt:lpstr>Indices</vt:lpstr>
      <vt:lpstr>Val_EUR_Pumps</vt:lpstr>
      <vt:lpstr>Val_IRR_Packages</vt:lpstr>
      <vt:lpstr>Drivers</vt:lpstr>
      <vt:lpstr>Pump_Bank_Escalated</vt:lpstr>
      <vt:lpstr>Model_Issues</vt:lpstr>
      <vt:lpstr>Sources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Mehdi</cp:lastModifiedBy>
  <cp:revision>1</cp:revision>
  <dcterms:created xsi:type="dcterms:W3CDTF">2026-10-09T20:25:16Z</dcterms:created>
  <dcterms:modified xsi:type="dcterms:W3CDTF">2026-10-09T21:30:37Z</dcterms:modified>
  <dc:language>en-US</dc:language>
</cp:coreProperties>
</file>